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51672df32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5a17b6df81ca43da"/>
    <x:sheet xmlns:r="http://schemas.openxmlformats.org/officeDocument/2006/relationships" name="Catálogos" sheetId="2" r:id="Ra636a3cc299f4649"/>
    <x:sheet xmlns:r="http://schemas.openxmlformats.org/officeDocument/2006/relationships" name="Plantilla_Editable" sheetId="3" r:id="R1a5ef20d95bf47d4"/>
    <x:sheet xmlns:r="http://schemas.openxmlformats.org/officeDocument/2006/relationships" name="AT_2023" sheetId="4" r:id="Re01861e8472d4a8f"/>
    <x:sheet xmlns:r="http://schemas.openxmlformats.org/officeDocument/2006/relationships" name="AT_2024" sheetId="5" r:id="Rb2bc97596d954735"/>
    <x:sheet xmlns:r="http://schemas.openxmlformats.org/officeDocument/2006/relationships" name="AT_2025" sheetId="6" r:id="Rea0d97d2a19c4357"/>
    <x:sheet xmlns:r="http://schemas.openxmlformats.org/officeDocument/2006/relationships" name="AT_2026" sheetId="7" r:id="Rd943e75bd2e6411e"/>
    <x:sheet xmlns:r="http://schemas.openxmlformats.org/officeDocument/2006/relationships" name="Consolidado" sheetId="8" r:id="Rbaf7f1dcb7f04d87"/>
    <x:sheet xmlns:r="http://schemas.openxmlformats.org/officeDocument/2006/relationships" name="Resumen_Anual" sheetId="9" r:id="Ree41d8d449894407"/>
    <x:sheet xmlns:r="http://schemas.openxmlformats.org/officeDocument/2006/relationships" name="Resumen_Sedes" sheetId="10" r:id="R98f21c699e514c9d"/>
    <x:sheet xmlns:r="http://schemas.openxmlformats.org/officeDocument/2006/relationships" name="Dashboard" sheetId="11" r:id="R3c2788720582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"/>
    <x:numFmt numFmtId="203" formatCode="0.0%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0"/>
      <x:color rgb="FFFFFF"/>
      <x:name val="Carlito"/>
    </x:font>
    <x:font>
      <x:b/>
      <x:sz val="12"/>
      <x:name val="Carlito"/>
    </x:font>
    <x:font>
      <x:i/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34E4A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203" fontId="4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left"/>
    </x:xf>
  </x:cellXfs>
  <x:cellStyles count="1">
    <x:cellStyle name="Normal" xfId="0"/>
  </x:cellStyles>
  <x:dxfs count="23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  <x:color rgb="B91C1C"/>
      </x:font>
    </x:dxf>
    <x:dxf>
      <x:font>
        <x:b/>
        <x:color rgb="166534"/>
      </x:font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  <x:color rgb="B91C1C"/>
      </x:font>
    </x:dxf>
    <x:dxf>
      <x:font>
        <x:b/>
        <x:color rgb="166534"/>
      </x:font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  <x:color rgb="B91C1C"/>
      </x:font>
    </x:dxf>
    <x:dxf>
      <x:font>
        <x:b/>
        <x:color rgb="166534"/>
      </x:font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ont>
        <x:b/>
        <x:color rgb="B91C1C"/>
      </x:font>
    </x:dxf>
    <x:dxf>
      <x:font>
        <x:b/>
        <x:color rgb="166534"/>
      </x:font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9d3f0793941aa" /><Relationship Type="http://schemas.openxmlformats.org/officeDocument/2006/relationships/theme" Target="/xl/theme/theme1.xml" Id="Rbf651a3fea954137" /><Relationship Type="http://schemas.openxmlformats.org/officeDocument/2006/relationships/sharedStrings" Target="/xl/sharedStrings.xml" Id="R8fbee05b36ac438e" /><Relationship Type="http://schemas.openxmlformats.org/officeDocument/2006/relationships/worksheet" Target="/xl/worksheets/sheet1.xml" Id="R5a17b6df81ca43da" /><Relationship Type="http://schemas.openxmlformats.org/officeDocument/2006/relationships/worksheet" Target="/xl/worksheets/sheet2.xml" Id="Ra636a3cc299f4649" /><Relationship Type="http://schemas.openxmlformats.org/officeDocument/2006/relationships/worksheet" Target="/xl/worksheets/sheet3.xml" Id="R1a5ef20d95bf47d4" /><Relationship Type="http://schemas.openxmlformats.org/officeDocument/2006/relationships/worksheet" Target="/xl/worksheets/sheet4.xml" Id="Re01861e8472d4a8f" /><Relationship Type="http://schemas.openxmlformats.org/officeDocument/2006/relationships/worksheet" Target="/xl/worksheets/sheet5.xml" Id="Rb2bc97596d954735" /><Relationship Type="http://schemas.openxmlformats.org/officeDocument/2006/relationships/worksheet" Target="/xl/worksheets/sheet6.xml" Id="Rea0d97d2a19c4357" /><Relationship Type="http://schemas.openxmlformats.org/officeDocument/2006/relationships/worksheet" Target="/xl/worksheets/sheet7.xml" Id="Rd943e75bd2e6411e" /><Relationship Type="http://schemas.openxmlformats.org/officeDocument/2006/relationships/worksheet" Target="/xl/worksheets/sheet8.xml" Id="Rbaf7f1dcb7f04d87" /><Relationship Type="http://schemas.openxmlformats.org/officeDocument/2006/relationships/worksheet" Target="/xl/worksheets/sheet9.xml" Id="Ree41d8d449894407" /><Relationship Type="http://schemas.openxmlformats.org/officeDocument/2006/relationships/worksheet" Target="/xl/worksheets/sheet10.xml" Id="R98f21c699e514c9d" /><Relationship Type="http://schemas.openxmlformats.org/officeDocument/2006/relationships/worksheet" Target="/xl/worksheets/sheet11.xml" Id="R3c278872058245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a27e0cd63b4678" /><Relationship Type="http://schemas.openxmlformats.org/officeDocument/2006/relationships/chart" Target="/xl/drawings/charts/chart2.xml" Id="Rd82e01c9257243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Tendencia anual de AT, días perdidos, IF e IS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Días perdidos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'Dashboard'!$F$5:$F$8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IF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'Dashboard'!$G$5:$G$8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IS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Sedes - accidentes y días perdidos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AT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'Dashboard'!$K$5:$K$10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Días perdidos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'Dashboard'!$L$5:$L$10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27e0cd63b4678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2e01c9257243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identesConsolidado" displayName="AccidentesConsolidado" ref="A1:AN94" headerRowCount="1">
  <x:tableColumns count="40">
    <x:tableColumn id="1" name="Año"/>
    <x:tableColumn id="2" name="N.° Caso"/>
    <x:tableColumn id="3" name="Fecha del accidente"/>
    <x:tableColumn id="4" name="Hora"/>
    <x:tableColumn id="5" name="Mes"/>
    <x:tableColumn id="6" name="Sede"/>
    <x:tableColumn id="7" name="Área / Proceso"/>
    <x:tableColumn id="8" name="Nombre del trabajador"/>
    <x:tableColumn id="9" name="Identificación"/>
    <x:tableColumn id="10" name="Cargo"/>
    <x:tableColumn id="11" name="Tipo de contrato"/>
    <x:tableColumn id="12" name="ARL"/>
    <x:tableColumn id="13" name="Tipo de evento"/>
    <x:tableColumn id="14" name="Descripción del accidente"/>
    <x:tableColumn id="15" name="Mecanismo del accidente"/>
    <x:tableColumn id="16" name="Agente material"/>
    <x:tableColumn id="17" name="Lugar exacto"/>
    <x:tableColumn id="18" name="Parte del cuerpo afectada"/>
    <x:tableColumn id="19" name="Naturaleza de la lesión"/>
    <x:tableColumn id="20" name="Días de incapacidad"/>
    <x:tableColumn id="21" name="Días perdidos"/>
    <x:tableColumn id="22" name="Reporte ARL realizado"/>
    <x:tableColumn id="23" name="Fecha reporte ARL"/>
    <x:tableColumn id="24" name="Investigación realizada"/>
    <x:tableColumn id="25" name="Fecha investigación"/>
    <x:tableColumn id="26" name="Equipo investigador"/>
    <x:tableColumn id="27" name="Actos inseguros"/>
    <x:tableColumn id="28" name="Condiciones inseguras"/>
    <x:tableColumn id="29" name="Factores personales"/>
    <x:tableColumn id="30" name="Factores de trabajo"/>
    <x:tableColumn id="31" name="Causa raíz"/>
    <x:tableColumn id="32" name="Acción correctiva / preventiva"/>
    <x:tableColumn id="33" name="Responsable acción"/>
    <x:tableColumn id="34" name="Fecha límite de cierre"/>
    <x:tableColumn id="35" name="Estado de acción"/>
    <x:tableColumn id="36" name="Fecha cierre real"/>
    <x:tableColumn id="37" name="Cierre oportuno"/>
    <x:tableColumn id="38" name="Eficacia verificada"/>
    <x:tableColumn id="39" name="Estado del evento"/>
    <x:tableColumn id="40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66ff17114e9542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4677d5c2e14b98" /></Relationships>
</file>

<file path=xl/worksheets/sheet1.xml><?xml version="1.0" encoding="utf-8"?>
<x:worksheet xmlns:x="http://schemas.openxmlformats.org/spreadsheetml/2006/main">
  <x:sheetFormatPr defaultRowHeight="15"/>
  <x:cols>
    <x:col min="1" max="1" width="77.5199966430664" hidden="0" customWidth="1"/>
    <x:col min="2" max="2" width="126.6500015258789" hidden="0" customWidth="1"/>
  </x:cols>
  <x:sheetData>
    <x:row r="1" ht="26" customHeight="1">
      <x:c r="A1" s="5" t="str">
        <x:v>Matriz de Accidentalidad con Investigación y Cierre del Evento (2023-2026)</x:v>
      </x:c>
    </x:row>
    <x:row r="3">
      <x:c r="A3" s="16" t="str">
        <x:v>Propósito</x:v>
      </x:c>
      <x:c r="B3" s="13" t="str">
        <x:v>Controlar y analizar los accidentes de trabajo, relacionando el reporte, la investigación, las causas, las acciones correctivas/preventivas y el cierre del evento.</x:v>
      </x:c>
    </x:row>
    <x:row r="4">
      <x:c r="A4" s="16" t="str">
        <x:v>Cobertura</x:v>
      </x:c>
      <x:c r="B4" s="13" t="str">
        <x:v>Datos simulados para 2023, 2024, 2025 y 2026 con corte a mayo. Enfoque para empresa del sector vigilancia y seguridad privada.</x:v>
      </x:c>
    </x:row>
    <x:row r="5">
      <x:c r="A5" s="16" t="str">
        <x:v>Uso recomendado</x:v>
      </x:c>
      <x:c r="B5" s="13" t="str">
        <x:v>Registrar cada accidente en la hoja del año correspondiente o en Plantilla_Editable y luego consolidarlo para análisis en dashboard.</x:v>
      </x:c>
    </x:row>
    <x:row r="6">
      <x:c r="A6" s="16" t="str">
        <x:v>Indicadores sugeridos</x:v>
      </x:c>
      <x:c r="B6" s="13" t="str">
        <x:v>Número de accidentes, días perdidos, índice de frecuencia (IF), índice de severidad (IS), ILI, % investigación oportuna, % cierre oportuno y % eficacia verificada.</x:v>
      </x:c>
    </x:row>
    <x:row r="7">
      <x:c r="A7" s="16" t="str">
        <x:v>Criterio de investigación</x:v>
      </x:c>
      <x:c r="B7" s="13" t="str">
        <x:v>Toda ocurrencia debe registrar si hubo investigación, fecha de investigación, causas inmediatas, causas básicas y causa raíz.</x:v>
      </x:c>
    </x:row>
    <x:row r="8">
      <x:c r="A8" s="16" t="str">
        <x:v>Criterio de cierre</x:v>
      </x:c>
      <x:c r="B8" s="13" t="str">
        <x:v>Se considera cierre oportuno cuando la fecha real de cierre no supera la fecha límite definida para la acción correctiva.</x:v>
      </x:c>
    </x:row>
    <x:row r="9">
      <x:c r="A9" s="16" t="str">
        <x:v>Notas</x:v>
      </x:c>
      <x:c r="B9" s="13" t="str">
        <x:v>La simulación incluye casos cerrados, en seguimiento y abiertos para permitir análisis realista de gestión del evento.</x:v>
      </x:c>
    </x:row>
    <x:row r="10">
      <x:c r="A10" s="16" t="str">
        <x:v>Corte 2026</x:v>
      </x:c>
      <x:c r="B10" s="13" t="str">
        <x:v>Información simulada entre enero y mayo de 2026.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190000534057617" hidden="0" customWidth="1"/>
    <x:col min="2" max="2" width="17.360000610351562" hidden="0" customWidth="1"/>
    <x:col min="3" max="3" width="13.0600004196167" hidden="0" customWidth="1"/>
    <x:col min="4" max="4" width="12.380000114440918" hidden="0" customWidth="1"/>
    <x:col min="5" max="5" width="17.6299991607666" hidden="0" customWidth="1"/>
    <x:col min="6" max="6" width="13.1899995803833" hidden="0" customWidth="1"/>
    <x:col min="7" max="7" width="7.809999942779541" hidden="0" customWidth="1"/>
    <x:col min="8" max="8" width="26.110000610351562" hidden="0" customWidth="1"/>
  </x:cols>
  <x:sheetData>
    <x:row r="1">
      <x:c r="A1" s="5" t="str">
        <x:v>Catálogos de apoyo</x:v>
      </x:c>
    </x:row>
    <x:row r="2">
      <x:c r="A2" s="22" t="str">
        <x:v>Sedes</x:v>
      </x:c>
      <x:c r="B2" s="22" t="str">
        <x:v>Áreas / Procesos</x:v>
      </x:c>
      <x:c r="C2" s="22" t="str">
        <x:v>Tipo de evento</x:v>
      </x:c>
      <x:c r="D2" s="22" t="str">
        <x:v>Estado de acción</x:v>
      </x:c>
      <x:c r="E2" s="22" t="str">
        <x:v>Eficacia verificada</x:v>
      </x:c>
      <x:c r="F2" s="22" t="str">
        <x:v>Estado del evento</x:v>
      </x:c>
      <x:c r="G2" s="22" t="str">
        <x:v>ARL</x:v>
      </x:c>
      <x:c r="H2" s="22" t="str">
        <x:v>Responsables</x:v>
      </x:c>
    </x:row>
    <x:row r="3">
      <x:c r="A3" t="str">
        <x:v>Cúcuta</x:v>
      </x:c>
      <x:c r="B3" t="str">
        <x:v>Operaciones</x:v>
      </x:c>
      <x:c r="C3" t="str">
        <x:v>Con incapacidad</x:v>
      </x:c>
      <x:c r="D3" t="str">
        <x:v>Cerrada</x:v>
      </x:c>
      <x:c r="E3" t="str">
        <x:v>Sí</x:v>
      </x:c>
      <x:c r="F3" t="str">
        <x:v>Cerrado</x:v>
      </x:c>
      <x:c r="G3" t="str">
        <x:v>ARL SURA</x:v>
      </x:c>
      <x:c r="H3" t="str">
        <x:v>Coordinador SST</x:v>
      </x:c>
    </x:row>
    <x:row r="4">
      <x:c r="A4" t="str">
        <x:v>Barrancabermeja</x:v>
      </x:c>
      <x:c r="B4" t="str">
        <x:v>Monitoreo</x:v>
      </x:c>
      <x:c r="C4" t="str">
        <x:v>Sin incapacidad</x:v>
      </x:c>
      <x:c r="D4" t="str">
        <x:v>En seguimiento</x:v>
      </x:c>
      <x:c r="E4" t="str">
        <x:v>No</x:v>
      </x:c>
      <x:c r="F4" t="str">
        <x:v>En seguimiento</x:v>
      </x:c>
      <x:c r="H4" t="str">
        <x:v>Supervisor Operativo</x:v>
      </x:c>
    </x:row>
    <x:row r="5">
      <x:c r="A5" t="str">
        <x:v>Ocaña</x:v>
      </x:c>
      <x:c r="B5" t="str">
        <x:v>Escoltas</x:v>
      </x:c>
      <x:c r="C5" t="str">
        <x:v>Fatal</x:v>
      </x:c>
      <x:c r="D5" t="str">
        <x:v>Abierta</x:v>
      </x:c>
      <x:c r="E5" t="str">
        <x:v>Pendiente verificación</x:v>
      </x:c>
      <x:c r="F5" t="str">
        <x:v>En investigación</x:v>
      </x:c>
      <x:c r="H5" t="str">
        <x:v>Jefe de Operaciones</x:v>
      </x:c>
    </x:row>
    <x:row r="6">
      <x:c r="A6" t="str">
        <x:v>Girón</x:v>
      </x:c>
      <x:c r="B6" t="str">
        <x:v>Transporte de Valores</x:v>
      </x:c>
      <x:c r="F6" t="str">
        <x:v>Abierto</x:v>
      </x:c>
      <x:c r="H6" t="str">
        <x:v>Analista SST</x:v>
      </x:c>
    </x:row>
    <x:row r="7">
      <x:c r="A7" t="str">
        <x:v>Valledupar</x:v>
      </x:c>
      <x:c r="B7" t="str">
        <x:v>Administrativa</x:v>
      </x:c>
      <x:c r="H7" t="str">
        <x:v>Coordinador de Talento Humano</x:v>
      </x:c>
    </x:row>
    <x:row r="8">
      <x:c r="A8" t="str">
        <x:v>Arauca</x:v>
      </x:c>
      <x:c r="B8" t="str">
        <x:v>Central de Alarmas</x:v>
      </x:c>
      <x:c r="H8" t="str">
        <x:v>Líder de Mantenimiento</x:v>
      </x:c>
    </x:row>
    <x:row r="9">
      <x:c r="A9" t="str">
        <x:v>Bogotá</x:v>
      </x:c>
      <x:c r="B9" t="str">
        <x:v>Supervisión</x:v>
      </x:c>
    </x:row>
    <x:row r="10">
      <x:c r="A10" t="str">
        <x:v>Tibú</x:v>
      </x:c>
      <x:c r="B10" t="str">
        <x:v>Talento Humano</x:v>
      </x:c>
    </x:row>
    <x:row r="11">
      <x:c r="A11" t="str">
        <x:v>Medellín</x:v>
      </x:c>
      <x:c r="B11" t="str">
        <x:v>Mantenimiento</x:v>
      </x:c>
    </x:row>
    <x:row r="12">
      <x:c r="A12" t="str">
        <x:v>Ábrego</x:v>
      </x:c>
      <x:c r="B12" t="str">
        <x:v>Logística</x:v>
      </x:c>
    </x:row>
    <x:row r="13">
      <x:c r="A13" t="str">
        <x:v>Pamplona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str"/>
      <x:c r="B2" s="13" t="str"/>
      <x:c r="C2" s="30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>
        <x:f>IF(M2="Sin incapacidad",0,T2)</x:f>
      </x:c>
      <x:c r="V2" s="13" t="str"/>
      <x:c r="W2" s="30" t="str"/>
      <x:c r="X2" s="30" t="str"/>
      <x:c r="Y2" s="30" t="str"/>
      <x:c r="Z2" s="13" t="str"/>
      <x:c r="AA2" s="13" t="str"/>
      <x:c r="AB2" s="13" t="str"/>
      <x:c r="AC2" s="13" t="str"/>
      <x:c r="AD2" s="13" t="str"/>
      <x:c r="AE2" s="13" t="str"/>
      <x:c r="AF2" s="13" t="str"/>
      <x:c r="AG2" s="13" t="str"/>
      <x:c r="AH2" s="30" t="str"/>
      <x:c r="AI2" s="30" t="str"/>
      <x:c r="AJ2" s="30" t="str"/>
      <x:c r="AK2" s="13" t="str">
        <x:f>IF(OR(AI2&lt;&gt;"Cerrada",AJ2="",AH2=""),"No",IF(AJ2&lt;=AH2,"Sí","No"))</x:f>
        <x:v>No</x:v>
      </x:c>
      <x:c r="AL2" s="13" t="str"/>
      <x:c r="AM2" s="13" t="str"/>
      <x:c r="AN2" s="13" t="str"/>
    </x:row>
    <x:row r="3">
      <x:c r="A3" s="13" t="str"/>
      <x:c r="B3" s="13" t="str"/>
      <x:c r="C3" s="30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>
        <x:f>IF(M3="Sin incapacidad",0,T3)</x:f>
      </x:c>
      <x:c r="V3" s="13" t="str"/>
      <x:c r="W3" s="30" t="str"/>
      <x:c r="X3" s="30" t="str"/>
      <x:c r="Y3" s="30" t="str"/>
      <x:c r="Z3" s="13" t="str"/>
      <x:c r="AA3" s="13" t="str"/>
      <x:c r="AB3" s="13" t="str"/>
      <x:c r="AC3" s="13" t="str"/>
      <x:c r="AD3" s="13" t="str"/>
      <x:c r="AE3" s="13" t="str"/>
      <x:c r="AF3" s="13" t="str"/>
      <x:c r="AG3" s="13" t="str"/>
      <x:c r="AH3" s="30" t="str"/>
      <x:c r="AI3" s="30" t="str"/>
      <x:c r="AJ3" s="30" t="str"/>
      <x:c r="AK3" s="13" t="str">
        <x:f>IF(OR(AI3&lt;&gt;"Cerrada",AJ3="",AH3=""),"No",IF(AJ3&lt;=AH3,"Sí","No"))</x:f>
        <x:v>No</x:v>
      </x:c>
      <x:c r="AL3" s="13" t="str"/>
      <x:c r="AM3" s="13" t="str"/>
      <x:c r="AN3" s="13" t="str"/>
    </x:row>
    <x:row r="4">
      <x:c r="A4" s="13" t="str"/>
      <x:c r="B4" s="13" t="str"/>
      <x:c r="C4" s="30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>
        <x:f>IF(M4="Sin incapacidad",0,T4)</x:f>
      </x:c>
      <x:c r="V4" s="13" t="str"/>
      <x:c r="W4" s="30" t="str"/>
      <x:c r="X4" s="30" t="str"/>
      <x:c r="Y4" s="30" t="str"/>
      <x:c r="Z4" s="13" t="str"/>
      <x:c r="AA4" s="13" t="str"/>
      <x:c r="AB4" s="13" t="str"/>
      <x:c r="AC4" s="13" t="str"/>
      <x:c r="AD4" s="13" t="str"/>
      <x:c r="AE4" s="13" t="str"/>
      <x:c r="AF4" s="13" t="str"/>
      <x:c r="AG4" s="13" t="str"/>
      <x:c r="AH4" s="30" t="str"/>
      <x:c r="AI4" s="30" t="str"/>
      <x:c r="AJ4" s="30" t="str"/>
      <x:c r="AK4" s="13" t="str">
        <x:f>IF(OR(AI4&lt;&gt;"Cerrada",AJ4="",AH4=""),"No",IF(AJ4&lt;=AH4,"Sí","No"))</x:f>
        <x:v>No</x:v>
      </x:c>
      <x:c r="AL4" s="13" t="str"/>
      <x:c r="AM4" s="13" t="str"/>
      <x:c r="AN4" s="13" t="str"/>
    </x:row>
    <x:row r="5">
      <x:c r="A5" s="13" t="str"/>
      <x:c r="B5" s="13" t="str"/>
      <x:c r="C5" s="30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>
        <x:f>IF(M5="Sin incapacidad",0,T5)</x:f>
      </x:c>
      <x:c r="V5" s="13" t="str"/>
      <x:c r="W5" s="30" t="str"/>
      <x:c r="X5" s="30" t="str"/>
      <x:c r="Y5" s="30" t="str"/>
      <x:c r="Z5" s="13" t="str"/>
      <x:c r="AA5" s="13" t="str"/>
      <x:c r="AB5" s="13" t="str"/>
      <x:c r="AC5" s="13" t="str"/>
      <x:c r="AD5" s="13" t="str"/>
      <x:c r="AE5" s="13" t="str"/>
      <x:c r="AF5" s="13" t="str"/>
      <x:c r="AG5" s="13" t="str"/>
      <x:c r="AH5" s="30" t="str"/>
      <x:c r="AI5" s="30" t="str"/>
      <x:c r="AJ5" s="30" t="str"/>
      <x:c r="AK5" s="13" t="str">
        <x:f>IF(OR(AI5&lt;&gt;"Cerrada",AJ5="",AH5=""),"No",IF(AJ5&lt;=AH5,"Sí","No"))</x:f>
        <x:v>No</x:v>
      </x:c>
      <x:c r="AL5" s="13" t="str"/>
      <x:c r="AM5" s="13" t="str"/>
      <x:c r="AN5" s="13" t="str"/>
    </x:row>
    <x:row r="6">
      <x:c r="A6" s="13" t="str"/>
      <x:c r="B6" s="13" t="str"/>
      <x:c r="C6" s="30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>
        <x:f>IF(M6="Sin incapacidad",0,T6)</x:f>
      </x:c>
      <x:c r="V6" s="13" t="str"/>
      <x:c r="W6" s="30" t="str"/>
      <x:c r="X6" s="30" t="str"/>
      <x:c r="Y6" s="30" t="str"/>
      <x:c r="Z6" s="13" t="str"/>
      <x:c r="AA6" s="13" t="str"/>
      <x:c r="AB6" s="13" t="str"/>
      <x:c r="AC6" s="13" t="str"/>
      <x:c r="AD6" s="13" t="str"/>
      <x:c r="AE6" s="13" t="str"/>
      <x:c r="AF6" s="13" t="str"/>
      <x:c r="AG6" s="13" t="str"/>
      <x:c r="AH6" s="30" t="str"/>
      <x:c r="AI6" s="30" t="str"/>
      <x:c r="AJ6" s="30" t="str"/>
      <x:c r="AK6" s="13" t="str">
        <x:f>IF(OR(AI6&lt;&gt;"Cerrada",AJ6="",AH6=""),"No",IF(AJ6&lt;=AH6,"Sí","No"))</x:f>
        <x:v>No</x:v>
      </x:c>
      <x:c r="AL6" s="13" t="str"/>
      <x:c r="AM6" s="13" t="str"/>
      <x:c r="AN6" s="13" t="str"/>
    </x:row>
    <x:row r="7">
      <x:c r="A7" s="13" t="str"/>
      <x:c r="B7" s="13" t="str"/>
      <x:c r="C7" s="30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>
        <x:f>IF(M7="Sin incapacidad",0,T7)</x:f>
      </x:c>
      <x:c r="V7" s="13" t="str"/>
      <x:c r="W7" s="30" t="str"/>
      <x:c r="X7" s="30" t="str"/>
      <x:c r="Y7" s="30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30" t="str"/>
      <x:c r="AI7" s="30" t="str"/>
      <x:c r="AJ7" s="30" t="str"/>
      <x:c r="AK7" s="13" t="str">
        <x:f>IF(OR(AI7&lt;&gt;"Cerrada",AJ7="",AH7=""),"No",IF(AJ7&lt;=AH7,"Sí","No"))</x:f>
        <x:v>No</x:v>
      </x:c>
      <x:c r="AL7" s="13" t="str"/>
      <x:c r="AM7" s="13" t="str"/>
      <x:c r="AN7" s="13" t="str"/>
    </x:row>
    <x:row r="8">
      <x:c r="A8" s="13" t="str"/>
      <x:c r="B8" s="13" t="str"/>
      <x:c r="C8" s="30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>
        <x:f>IF(M8="Sin incapacidad",0,T8)</x:f>
      </x:c>
      <x:c r="V8" s="13" t="str"/>
      <x:c r="W8" s="30" t="str"/>
      <x:c r="X8" s="30" t="str"/>
      <x:c r="Y8" s="30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30" t="str"/>
      <x:c r="AI8" s="30" t="str"/>
      <x:c r="AJ8" s="30" t="str"/>
      <x:c r="AK8" s="13" t="str">
        <x:f>IF(OR(AI8&lt;&gt;"Cerrada",AJ8="",AH8=""),"No",IF(AJ8&lt;=AH8,"Sí","No"))</x:f>
        <x:v>No</x:v>
      </x:c>
      <x:c r="AL8" s="13" t="str"/>
      <x:c r="AM8" s="13" t="str"/>
      <x:c r="AN8" s="13" t="str"/>
    </x:row>
    <x:row r="9">
      <x:c r="A9" s="13" t="str"/>
      <x:c r="B9" s="13" t="str"/>
      <x:c r="C9" s="30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>
        <x:f>IF(M9="Sin incapacidad",0,T9)</x:f>
      </x:c>
      <x:c r="V9" s="13" t="str"/>
      <x:c r="W9" s="30" t="str"/>
      <x:c r="X9" s="30" t="str"/>
      <x:c r="Y9" s="30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30" t="str"/>
      <x:c r="AI9" s="30" t="str"/>
      <x:c r="AJ9" s="30" t="str"/>
      <x:c r="AK9" s="13" t="str">
        <x:f>IF(OR(AI9&lt;&gt;"Cerrada",AJ9="",AH9=""),"No",IF(AJ9&lt;=AH9,"Sí","No"))</x:f>
        <x:v>No</x:v>
      </x:c>
      <x:c r="AL9" s="13" t="str"/>
      <x:c r="AM9" s="13" t="str"/>
      <x:c r="AN9" s="13" t="str"/>
    </x:row>
    <x:row r="10">
      <x:c r="A10" s="13" t="str"/>
      <x:c r="B10" s="13" t="str"/>
      <x:c r="C10" s="30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>
        <x:f>IF(M10="Sin incapacidad",0,T10)</x:f>
      </x:c>
      <x:c r="V10" s="13" t="str"/>
      <x:c r="W10" s="30" t="str"/>
      <x:c r="X10" s="30" t="str"/>
      <x:c r="Y10" s="30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30" t="str"/>
      <x:c r="AI10" s="30" t="str"/>
      <x:c r="AJ10" s="30" t="str"/>
      <x:c r="AK10" s="13" t="str">
        <x:f>IF(OR(AI10&lt;&gt;"Cerrada",AJ10="",AH10=""),"No",IF(AJ10&lt;=AH10,"Sí","No"))</x:f>
        <x:v>No</x:v>
      </x:c>
      <x:c r="AL10" s="13" t="str"/>
      <x:c r="AM10" s="13" t="str"/>
      <x:c r="AN10" s="13" t="str"/>
    </x:row>
    <x:row r="11">
      <x:c r="A11" s="13" t="str"/>
      <x:c r="B11" s="13" t="str"/>
      <x:c r="C11" s="30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>
        <x:f>IF(M11="Sin incapacidad",0,T11)</x:f>
      </x:c>
      <x:c r="V11" s="13" t="str"/>
      <x:c r="W11" s="30" t="str"/>
      <x:c r="X11" s="30" t="str"/>
      <x:c r="Y11" s="30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30" t="str"/>
      <x:c r="AI11" s="30" t="str"/>
      <x:c r="AJ11" s="30" t="str"/>
      <x:c r="AK11" s="13" t="str">
        <x:f>IF(OR(AI11&lt;&gt;"Cerrada",AJ11="",AH11=""),"No",IF(AJ11&lt;=AH11,"Sí","No"))</x:f>
        <x:v>No</x:v>
      </x:c>
      <x:c r="AL11" s="13" t="str"/>
      <x:c r="AM11" s="13" t="str"/>
      <x:c r="AN11" s="13" t="str"/>
    </x:row>
    <x:row r="12">
      <x:c r="A12" s="13" t="str"/>
      <x:c r="B12" s="13" t="str"/>
      <x:c r="C12" s="30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>
        <x:f>IF(M12="Sin incapacidad",0,T12)</x:f>
      </x:c>
      <x:c r="V12" s="13" t="str"/>
      <x:c r="W12" s="30" t="str"/>
      <x:c r="X12" s="30" t="str"/>
      <x:c r="Y12" s="30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30" t="str"/>
      <x:c r="AI12" s="30" t="str"/>
      <x:c r="AJ12" s="30" t="str"/>
      <x:c r="AK12" s="13" t="str">
        <x:f>IF(OR(AI12&lt;&gt;"Cerrada",AJ12="",AH12=""),"No",IF(AJ12&lt;=AH12,"Sí","No"))</x:f>
        <x:v>No</x:v>
      </x:c>
      <x:c r="AL12" s="13" t="str"/>
      <x:c r="AM12" s="13" t="str"/>
      <x:c r="AN12" s="13" t="str"/>
    </x:row>
    <x:row r="13">
      <x:c r="A13" s="13" t="str"/>
      <x:c r="B13" s="13" t="str"/>
      <x:c r="C13" s="30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>
        <x:f>IF(M13="Sin incapacidad",0,T13)</x:f>
      </x:c>
      <x:c r="V13" s="13" t="str"/>
      <x:c r="W13" s="30" t="str"/>
      <x:c r="X13" s="30" t="str"/>
      <x:c r="Y13" s="30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30" t="str"/>
      <x:c r="AI13" s="30" t="str"/>
      <x:c r="AJ13" s="30" t="str"/>
      <x:c r="AK13" s="13" t="str">
        <x:f>IF(OR(AI13&lt;&gt;"Cerrada",AJ13="",AH13=""),"No",IF(AJ13&lt;=AH13,"Sí","No"))</x:f>
        <x:v>No</x:v>
      </x:c>
      <x:c r="AL13" s="13" t="str"/>
      <x:c r="AM13" s="13" t="str"/>
      <x:c r="AN13" s="13" t="str"/>
    </x:row>
    <x:row r="14">
      <x:c r="A14" s="13" t="str"/>
      <x:c r="B14" s="13" t="str"/>
      <x:c r="C14" s="30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>
        <x:f>IF(M14="Sin incapacidad",0,T14)</x:f>
      </x:c>
      <x:c r="V14" s="13" t="str"/>
      <x:c r="W14" s="30" t="str"/>
      <x:c r="X14" s="30" t="str"/>
      <x:c r="Y14" s="30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30" t="str"/>
      <x:c r="AI14" s="30" t="str"/>
      <x:c r="AJ14" s="30" t="str"/>
      <x:c r="AK14" s="13" t="str">
        <x:f>IF(OR(AI14&lt;&gt;"Cerrada",AJ14="",AH14=""),"No",IF(AJ14&lt;=AH14,"Sí","No"))</x:f>
        <x:v>No</x:v>
      </x:c>
      <x:c r="AL14" s="13" t="str"/>
      <x:c r="AM14" s="13" t="str"/>
      <x:c r="AN14" s="13" t="str"/>
    </x:row>
    <x:row r="15">
      <x:c r="A15" s="13" t="str"/>
      <x:c r="B15" s="13" t="str"/>
      <x:c r="C15" s="30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>
        <x:f>IF(M15="Sin incapacidad",0,T15)</x:f>
      </x:c>
      <x:c r="V15" s="13" t="str"/>
      <x:c r="W15" s="30" t="str"/>
      <x:c r="X15" s="30" t="str"/>
      <x:c r="Y15" s="30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30" t="str"/>
      <x:c r="AI15" s="30" t="str"/>
      <x:c r="AJ15" s="30" t="str"/>
      <x:c r="AK15" s="13" t="str">
        <x:f>IF(OR(AI15&lt;&gt;"Cerrada",AJ15="",AH15=""),"No",IF(AJ15&lt;=AH15,"Sí","No"))</x:f>
        <x:v>No</x:v>
      </x:c>
      <x:c r="AL15" s="13" t="str"/>
      <x:c r="AM15" s="13" t="str"/>
      <x:c r="AN15" s="13" t="str"/>
    </x:row>
  </x:sheetData>
  <x:dataValidations count="7">
    <x:dataValidation type="list" sqref="F2:F200">
      <x:formula1>Catálogos!$A$3:$A$13</x:formula1>
    </x:dataValidation>
    <x:dataValidation type="list" sqref="G2:G200">
      <x:formula1>Catálogos!$B$3:$B$12</x:formula1>
    </x:dataValidation>
    <x:dataValidation type="list" sqref="M2:M200">
      <x:formula1>Catálogos!$C$3:$C$5</x:formula1>
    </x:dataValidation>
    <x:dataValidation type="list" sqref="AI2:AI200">
      <x:formula1>Catálogos!$D$3:$D$5</x:formula1>
    </x:dataValidation>
    <x:dataValidation type="list" sqref="AL2:AL200">
      <x:formula1>Catálogos!$E$3:$E$5</x:formula1>
    </x:dataValidation>
    <x:dataValidation type="list" sqref="AM2:AM200">
      <x:formula1>Catálogos!$F$3:$F$6</x:formula1>
    </x:dataValidation>
    <x:dataValidation type="list" sqref="AG2:AG200">
      <x:formula1>Catálogos!$H$3:$H$8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n">
        <x:v>2023</x:v>
      </x:c>
      <x:c r="B2" s="13" t="str">
        <x:v>AT-2023-005</x:v>
      </x:c>
      <x:c r="C2" s="30" t="n">
        <x:v>44928</x:v>
      </x:c>
      <x:c r="D2" s="13" t="str">
        <x:v>14:15</x:v>
      </x:c>
      <x:c r="E2" s="13" t="str">
        <x:v>Enero</x:v>
      </x:c>
      <x:c r="F2" s="13" t="str">
        <x:v>Medellín</x:v>
      </x:c>
      <x:c r="G2" s="13" t="str">
        <x:v>Logística</x:v>
      </x:c>
      <x:c r="H2" s="13" t="str">
        <x:v>Ricardo Andrés Parra</x:v>
      </x:c>
      <x:c r="I2" s="13" t="str">
        <x:v>88075659</x:v>
      </x:c>
      <x:c r="J2" s="13" t="str">
        <x:v>Conductor</x:v>
      </x:c>
      <x:c r="K2" s="13" t="str">
        <x:v>Término indefinido</x:v>
      </x:c>
      <x:c r="L2" s="13" t="str">
        <x:v>ARL SURA</x:v>
      </x:c>
      <x:c r="M2" s="13" t="str">
        <x:v>Con incapacidad</x:v>
      </x:c>
      <x:c r="N2" s="13" t="str">
        <x:v>Durante ronda de vigilancia en medellín, el trabajador sufrió contusión por caída al mismo nivel.</x:v>
      </x:c>
      <x:c r="O2" s="13" t="str">
        <x:v>Caída al mismo nivel</x:v>
      </x:c>
      <x:c r="P2" s="13" t="str">
        <x:v>Andén irregular</x:v>
      </x:c>
      <x:c r="Q2" s="13" t="str">
        <x:v>Área administrativa</x:v>
      </x:c>
      <x:c r="R2" s="13" t="str">
        <x:v>Pierna</x:v>
      </x:c>
      <x:c r="S2" s="13" t="str">
        <x:v>Contusión</x:v>
      </x:c>
      <x:c r="T2" s="13" t="n">
        <x:v>20</x:v>
      </x:c>
      <x:c r="U2" s="13" t="n">
        <x:f>IF(M2="Sin incapacidad",0,T2)</x:f>
        <x:v>20</x:v>
      </x:c>
      <x:c r="V2" s="13" t="str">
        <x:v>Sí</x:v>
      </x:c>
      <x:c r="W2" s="30" t="n">
        <x:v>44929</x:v>
      </x:c>
      <x:c r="X2" s="30" t="str">
        <x:v>Sí</x:v>
      </x:c>
      <x:c r="Y2" s="30" t="n">
        <x:v>44930</x:v>
      </x:c>
      <x:c r="Z2" s="13" t="str">
        <x:v>Supervisor + Analista SST</x:v>
      </x:c>
      <x:c r="AA2" s="13" t="str">
        <x:v>Manipulación incorrecta de carga</x:v>
      </x:c>
      <x:c r="AB2" s="13" t="str">
        <x:v>Señalización insuficiente</x:v>
      </x:c>
      <x:c r="AC2" s="13" t="str">
        <x:v>Fatiga</x:v>
      </x:c>
      <x:c r="AD2" s="13" t="str">
        <x:v>Deficiencia en supervisión</x:v>
      </x:c>
      <x:c r="AE2" s="13" t="str">
        <x:v>Falta de inspección previa y gestión tardía del peligro</x:v>
      </x:c>
      <x:c r="AF2" s="13" t="str">
        <x:v>Realizar capacitación focalizada y socialización de lección aprendida</x:v>
      </x:c>
      <x:c r="AG2" s="13" t="str">
        <x:v>Coordinador SST</x:v>
      </x:c>
      <x:c r="AH2" s="30" t="n">
        <x:v>44960</x:v>
      </x:c>
      <x:c r="AI2" s="30" t="str">
        <x:v>Cerrada</x:v>
      </x:c>
      <x:c r="AJ2" s="30" t="n">
        <x:v>44953</x:v>
      </x:c>
      <x:c r="AK2" s="13" t="str">
        <x:f>IF(OR(AI2&lt;&gt;"Cerrada",AJ2="",AH2=""),"No",IF(AJ2&lt;=AH2,"Sí","No"))</x:f>
        <x:v>Sí</x:v>
      </x:c>
      <x:c r="AL2" s="13" t="str">
        <x:v>Sí</x:v>
      </x:c>
      <x:c r="AM2" s="13" t="str">
        <x:v>Cerrado</x:v>
      </x:c>
      <x:c r="AN2" s="13" t="str">
        <x:v>Se recomienda refuerzo de inspecciones y autocuidado.</x:v>
      </x:c>
    </x:row>
    <x:row r="3">
      <x:c r="A3" s="13" t="n">
        <x:v>2023</x:v>
      </x:c>
      <x:c r="B3" s="13" t="str">
        <x:v>AT-2023-029</x:v>
      </x:c>
      <x:c r="C3" s="30" t="n">
        <x:v>44941</x:v>
      </x:c>
      <x:c r="D3" s="13" t="str">
        <x:v>13:15</x:v>
      </x:c>
      <x:c r="E3" s="13" t="str">
        <x:v>Enero</x:v>
      </x:c>
      <x:c r="F3" s="13" t="str">
        <x:v>Valledupar</x:v>
      </x:c>
      <x:c r="G3" s="13" t="str">
        <x:v>Central de Alarmas</x:v>
      </x:c>
      <x:c r="H3" s="13" t="str">
        <x:v>Cristian Camilo Acevedo</x:v>
      </x:c>
      <x:c r="I3" s="13" t="str">
        <x:v>88076154</x:v>
      </x:c>
      <x:c r="J3" s="13" t="str">
        <x:v>Supervisor de Puesto</x:v>
      </x:c>
      <x:c r="K3" s="13" t="str">
        <x:v>Obra o labor</x:v>
      </x:c>
      <x:c r="L3" s="13" t="str">
        <x:v>ARL SURA</x:v>
      </x:c>
      <x:c r="M3" s="13" t="str">
        <x:v>Sin incapacidad</x:v>
      </x:c>
      <x:c r="N3" s="13" t="str">
        <x:v>Trabajador reporta lesión tipo golpe leve durante servicio en puesto asignado por sobreesfuerzo o esfuerzo excesivo.</x:v>
      </x:c>
      <x:c r="O3" s="13" t="str">
        <x:v>Sobreesfuerzo o esfuerzo excesivo</x:v>
      </x:c>
      <x:c r="P3" s="13" t="str">
        <x:v>Escalera</x:v>
      </x:c>
      <x:c r="Q3" s="13" t="str">
        <x:v>Área administrativa</x:v>
      </x:c>
      <x:c r="R3" s="13" t="str">
        <x:v>Hombro</x:v>
      </x:c>
      <x:c r="S3" s="13" t="str">
        <x:v>Golpe leve</x:v>
      </x:c>
      <x:c r="T3" s="13" t="n">
        <x:v>0</x:v>
      </x:c>
      <x:c r="U3" s="13" t="n">
        <x:f>IF(M3="Sin incapacidad",0,T3)</x:f>
        <x:v>0</x:v>
      </x:c>
      <x:c r="V3" s="13" t="str">
        <x:v>Sí</x:v>
      </x:c>
      <x:c r="W3" s="30" t="n">
        <x:v>44942</x:v>
      </x:c>
      <x:c r="X3" s="30" t="str">
        <x:v>Sí</x:v>
      </x:c>
      <x:c r="Y3" s="30" t="n">
        <x:v>44946</x:v>
      </x:c>
      <x:c r="Z3" s="13" t="str">
        <x:v>Coordinador SST + Operaciones</x:v>
      </x:c>
      <x:c r="AA3" s="13" t="str">
        <x:v>No reportar condición insegura</x:v>
      </x:c>
      <x:c r="AB3" s="13" t="str">
        <x:v>Cable expuesto</x:v>
      </x:c>
      <x:c r="AC3" s="13" t="str">
        <x:v>Falta de atención</x:v>
      </x:c>
      <x:c r="AD3" s="13" t="str">
        <x:v>Carga laboral elevada</x:v>
      </x:c>
      <x:c r="AE3" s="13" t="str">
        <x:v>Falta de inspección previa y gestión tardía del peligro</x:v>
      </x:c>
      <x:c r="AF3" s="13" t="str">
        <x:v>Ejecutar inspección locativa y corrección inmediata del peligro</x:v>
      </x:c>
      <x:c r="AG3" s="13" t="str">
        <x:v>Analista SST</x:v>
      </x:c>
      <x:c r="AH3" s="30" t="n">
        <x:v>44961</x:v>
      </x:c>
      <x:c r="AI3" s="30" t="str">
        <x:v>En seguimiento</x:v>
      </x:c>
      <x:c r="AJ3" s="30"/>
      <x:c r="AK3" s="13" t="str">
        <x:f>IF(OR(AI3&lt;&gt;"Cerrada",AJ3="",AH3=""),"No",IF(AJ3&lt;=AH3,"Sí","No"))</x:f>
        <x:v>No</x:v>
      </x:c>
      <x:c r="AL3" s="13" t="str">
        <x:v>Pendiente verificación</x:v>
      </x:c>
      <x:c r="AM3" s="13" t="str">
        <x:v>En seguimiento</x:v>
      </x:c>
      <x:c r="AN3" s="13" t="str">
        <x:v>Se realiza seguimiento por SST y jefe inmediato.</x:v>
      </x:c>
    </x:row>
    <x:row r="4">
      <x:c r="A4" s="13" t="n">
        <x:v>2023</x:v>
      </x:c>
      <x:c r="B4" s="13" t="str">
        <x:v>AT-2023-007</x:v>
      </x:c>
      <x:c r="C4" s="30" t="n">
        <x:v>44961</x:v>
      </x:c>
      <x:c r="D4" s="13" t="str">
        <x:v>07:40</x:v>
      </x:c>
      <x:c r="E4" s="13" t="str">
        <x:v>Febrero</x:v>
      </x:c>
      <x:c r="F4" s="13" t="str">
        <x:v>Barrancabermeja</x:v>
      </x:c>
      <x:c r="G4" s="13" t="str">
        <x:v>Administrativa</x:v>
      </x:c>
      <x:c r="H4" s="13" t="str">
        <x:v>Álvaro José Pabón</x:v>
      </x:c>
      <x:c r="I4" s="13" t="str">
        <x:v>88075329</x:v>
      </x:c>
      <x:c r="J4" s="13" t="str">
        <x:v>Analista SST</x:v>
      </x:c>
      <x:c r="K4" s="13" t="str">
        <x:v>Término indefinido</x:v>
      </x:c>
      <x:c r="L4" s="13" t="str">
        <x:v>ARL SURA</x:v>
      </x:c>
      <x:c r="M4" s="13" t="str">
        <x:v>Sin incapacidad</x:v>
      </x:c>
      <x:c r="N4" s="13" t="str">
        <x:v>En desarrollo de actividades de administrativa, se presentó evento por caída de objetos asociado a silla ergonómica.</x:v>
      </x:c>
      <x:c r="O4" s="13" t="str">
        <x:v>Caída de objetos</x:v>
      </x:c>
      <x:c r="P4" s="13" t="str">
        <x:v>Silla ergonómica</x:v>
      </x:c>
      <x:c r="Q4" s="13" t="str">
        <x:v>Zona común del cliente</x:v>
      </x:c>
      <x:c r="R4" s="13" t="str">
        <x:v>Ojo</x:v>
      </x:c>
      <x:c r="S4" s="13" t="str">
        <x:v>Herida superficial</x:v>
      </x:c>
      <x:c r="T4" s="13" t="n">
        <x:v>0</x:v>
      </x:c>
      <x:c r="U4" s="13" t="n">
        <x:f>IF(M4="Sin incapacidad",0,T4)</x:f>
        <x:v>0</x:v>
      </x:c>
      <x:c r="V4" s="13" t="str">
        <x:v>Sí</x:v>
      </x:c>
      <x:c r="W4" s="30" t="n">
        <x:v>44962</x:v>
      </x:c>
      <x:c r="X4" s="30" t="str">
        <x:v>Sí</x:v>
      </x:c>
      <x:c r="Y4" s="30" t="n">
        <x:v>44965</x:v>
      </x:c>
      <x:c r="Z4" s="13" t="str">
        <x:v>Jefe inmediato + SST</x:v>
      </x:c>
      <x:c r="AA4" s="13" t="str">
        <x:v>Desplazamiento apresurado</x:v>
      </x:c>
      <x:c r="AB4" s="13" t="str">
        <x:v>Herramienta en mal estado</x:v>
      </x:c>
      <x:c r="AC4" s="13" t="str">
        <x:v>Exceso de confianza</x:v>
      </x:c>
      <x:c r="AD4" s="13" t="str">
        <x:v>Carga laboral elevada</x:v>
      </x:c>
      <x:c r="AE4" s="13" t="str">
        <x:v>Brecha de capacitación y hábitos inseguros de trabajo</x:v>
      </x:c>
      <x:c r="AF4" s="13" t="str">
        <x:v>Reforzar supervisión operativa y seguimiento al uso de EPP</x:v>
      </x:c>
      <x:c r="AG4" s="13" t="str">
        <x:v>Líder de Mantenimiento</x:v>
      </x:c>
      <x:c r="AH4" s="30" t="n">
        <x:v>44975</x:v>
      </x:c>
      <x:c r="AI4" s="30" t="str">
        <x:v>Cerrada</x:v>
      </x:c>
      <x:c r="AJ4" s="30" t="n">
        <x:v>44970</x:v>
      </x:c>
      <x:c r="AK4" s="13" t="str">
        <x:f>IF(OR(AI4&lt;&gt;"Cerrada",AJ4="",AH4=""),"No",IF(AJ4&lt;=AH4,"Sí","No"))</x:f>
        <x:v>Sí</x:v>
      </x:c>
      <x:c r="AL4" s="13" t="str">
        <x:v>Sí</x:v>
      </x:c>
      <x:c r="AM4" s="13" t="str">
        <x:v>Cerrado</x:v>
      </x:c>
      <x:c r="AN4" s="13" t="str">
        <x:v>Se realiza seguimiento por SST y jefe inmediato.</x:v>
      </x:c>
    </x:row>
    <x:row r="5">
      <x:c r="A5" s="13" t="n">
        <x:v>2023</x:v>
      </x:c>
      <x:c r="B5" s="13" t="str">
        <x:v>AT-2023-012</x:v>
      </x:c>
      <x:c r="C5" s="30" t="n">
        <x:v>44965</x:v>
      </x:c>
      <x:c r="D5" s="13" t="str">
        <x:v>10:00</x:v>
      </x:c>
      <x:c r="E5" s="13" t="str">
        <x:v>Febrero</x:v>
      </x:c>
      <x:c r="F5" s="13" t="str">
        <x:v>Arauca</x:v>
      </x:c>
      <x:c r="G5" s="13" t="str">
        <x:v>Central de Alarmas</x:v>
      </x:c>
      <x:c r="H5" s="13" t="str">
        <x:v>Jorge Enrique Suárez</x:v>
      </x:c>
      <x:c r="I5" s="13" t="str">
        <x:v>88075425</x:v>
      </x:c>
      <x:c r="J5" s="13" t="str">
        <x:v>Coordinador Operativo</x:v>
      </x:c>
      <x:c r="K5" s="13" t="str">
        <x:v>Término indefinido</x:v>
      </x:c>
      <x:c r="L5" s="13" t="str">
        <x:v>ARL SURA</x:v>
      </x:c>
      <x:c r="M5" s="13" t="str">
        <x:v>Con incapacidad</x:v>
      </x:c>
      <x:c r="N5" s="13" t="str">
        <x:v>Trabajador reporta lesión tipo herida superficial durante servicio en puesto asignado por caída de objetos.</x:v>
      </x:c>
      <x:c r="O5" s="13" t="str">
        <x:v>Caída de objetos</x:v>
      </x:c>
      <x:c r="P5" s="13" t="str">
        <x:v>Piso húmedo</x:v>
      </x:c>
      <x:c r="Q5" s="13" t="str">
        <x:v>Parqueadero</x:v>
      </x:c>
      <x:c r="R5" s="13" t="str">
        <x:v>Espalda baja</x:v>
      </x:c>
      <x:c r="S5" s="13" t="str">
        <x:v>Herida superficial</x:v>
      </x:c>
      <x:c r="T5" s="13" t="n">
        <x:v>25</x:v>
      </x:c>
      <x:c r="U5" s="13" t="n">
        <x:f>IF(M5="Sin incapacidad",0,T5)</x:f>
        <x:v>25</x:v>
      </x:c>
      <x:c r="V5" s="13" t="str">
        <x:v>Sí</x:v>
      </x:c>
      <x:c r="W5" s="30" t="n">
        <x:v>44965</x:v>
      </x:c>
      <x:c r="X5" s="30" t="str">
        <x:v>Sí</x:v>
      </x:c>
      <x:c r="Y5" s="30" t="n">
        <x:v>44971</x:v>
      </x:c>
      <x:c r="Z5" s="13" t="str">
        <x:v>Coordinador SST + Operaciones</x:v>
      </x:c>
      <x:c r="AA5" s="13" t="str">
        <x:v>Omisión de inspección previa</x:v>
      </x:c>
      <x:c r="AB5" s="13" t="str">
        <x:v>Señalización insuficiente</x:v>
      </x:c>
      <x:c r="AC5" s="13" t="str">
        <x:v>Falta de atención</x:v>
      </x:c>
      <x:c r="AD5" s="13" t="str">
        <x:v>Deficiencia en supervisión</x:v>
      </x:c>
      <x:c r="AE5" s="13" t="str">
        <x:v>Brecha de capacitación y hábitos inseguros de trabajo</x:v>
      </x:c>
      <x:c r="AF5" s="13" t="str">
        <x:v>Realizar capacitación focalizada y socialización de lección aprendida</x:v>
      </x:c>
      <x:c r="AG5" s="13" t="str">
        <x:v>Supervisor Operativo</x:v>
      </x:c>
      <x:c r="AH5" s="30" t="n">
        <x:v>44991</x:v>
      </x:c>
      <x:c r="AI5" s="30" t="str">
        <x:v>Cerrada</x:v>
      </x:c>
      <x:c r="AJ5" s="30" t="n">
        <x:v>44990</x:v>
      </x:c>
      <x:c r="AK5" s="13" t="str">
        <x:f>IF(OR(AI5&lt;&gt;"Cerrada",AJ5="",AH5=""),"No",IF(AJ5&lt;=AH5,"Sí","No"))</x:f>
        <x:v>Sí</x:v>
      </x:c>
      <x:c r="AL5" s="13" t="str">
        <x:v>Pendiente verificación</x:v>
      </x:c>
      <x:c r="AM5" s="13" t="str">
        <x:v>Cerrado</x:v>
      </x:c>
      <x:c r="AN5" s="13" t="str">
        <x:v>Se vincula acción al plan de mejora del proceso.</x:v>
      </x:c>
    </x:row>
    <x:row r="6">
      <x:c r="A6" s="13" t="n">
        <x:v>2023</x:v>
      </x:c>
      <x:c r="B6" s="13" t="str">
        <x:v>AT-2023-022</x:v>
      </x:c>
      <x:c r="C6" s="30" t="n">
        <x:v>44971</x:v>
      </x:c>
      <x:c r="D6" s="13" t="str">
        <x:v>14:50</x:v>
      </x:c>
      <x:c r="E6" s="13" t="str">
        <x:v>Febrero</x:v>
      </x:c>
      <x:c r="F6" s="13" t="str">
        <x:v>Girón</x:v>
      </x:c>
      <x:c r="G6" s="13" t="str">
        <x:v>Talento Humano</x:v>
      </x:c>
      <x:c r="H6" s="13" t="str">
        <x:v>Edwin Mauricio Rodríguez</x:v>
      </x:c>
      <x:c r="I6" s="13" t="str">
        <x:v>88075694</x:v>
      </x:c>
      <x:c r="J6" s="13" t="str">
        <x:v>Auxiliar Administrativa</x:v>
      </x:c>
      <x:c r="K6" s="13" t="str">
        <x:v>Término indefinido</x:v>
      </x:c>
      <x:c r="L6" s="13" t="str">
        <x:v>ARL SURA</x:v>
      </x:c>
      <x:c r="M6" s="13" t="str">
        <x:v>Con incapacidad</x:v>
      </x:c>
      <x:c r="N6" s="13" t="str">
        <x:v>En desarrollo de actividades de talento humano, se presentó evento por sobreesfuerzo o esfuerzo excesivo asociado a escritorio.</x:v>
      </x:c>
      <x:c r="O6" s="13" t="str">
        <x:v>Sobreesfuerzo o esfuerzo excesivo</x:v>
      </x:c>
      <x:c r="P6" s="13" t="str">
        <x:v>Escritorio</x:v>
      </x:c>
      <x:c r="Q6" s="13" t="str">
        <x:v>Puesto de vigilancia</x:v>
      </x:c>
      <x:c r="R6" s="13" t="str">
        <x:v>Tobillo</x:v>
      </x:c>
      <x:c r="S6" s="13" t="str">
        <x:v>Trauma ocular leve</x:v>
      </x:c>
      <x:c r="T6" s="13" t="n">
        <x:v>5</x:v>
      </x:c>
      <x:c r="U6" s="13" t="n">
        <x:f>IF(M6="Sin incapacidad",0,T6)</x:f>
        <x:v>5</x:v>
      </x:c>
      <x:c r="V6" s="13" t="str">
        <x:v>Sí</x:v>
      </x:c>
      <x:c r="W6" s="30" t="n">
        <x:v>44973</x:v>
      </x:c>
      <x:c r="X6" s="30" t="str">
        <x:v>Sí</x:v>
      </x:c>
      <x:c r="Y6" s="30" t="n">
        <x:v>44976</x:v>
      </x:c>
      <x:c r="Z6" s="13" t="str">
        <x:v>Jefe inmediato + SST</x:v>
      </x:c>
      <x:c r="AA6" s="13" t="str">
        <x:v>Uso inadecuado del EPP</x:v>
      </x:c>
      <x:c r="AB6" s="13" t="str">
        <x:v>Iluminación insuficiente</x:v>
      </x:c>
      <x:c r="AC6" s="13" t="str">
        <x:v>Falta de atención</x:v>
      </x:c>
      <x:c r="AD6" s="13" t="str">
        <x:v>Condición locativa no corregida</x:v>
      </x:c>
      <x:c r="AE6" s="13" t="str">
        <x:v>Brecha de capacitación y hábitos inseguros de trabajo</x:v>
      </x:c>
      <x:c r="AF6" s="13" t="str">
        <x:v>Reforzar supervisión operativa y seguimiento al uso de EPP</x:v>
      </x:c>
      <x:c r="AG6" s="13" t="str">
        <x:v>Coordinador de Talento Humano</x:v>
      </x:c>
      <x:c r="AH6" s="30" t="n">
        <x:v>44991</x:v>
      </x:c>
      <x:c r="AI6" s="30" t="str">
        <x:v>Cerrada</x:v>
      </x:c>
      <x:c r="AJ6" s="30" t="n">
        <x:v>44986</x:v>
      </x:c>
      <x:c r="AK6" s="13" t="str">
        <x:f>IF(OR(AI6&lt;&gt;"Cerrada",AJ6="",AH6=""),"No",IF(AJ6&lt;=AH6,"Sí","No"))</x:f>
        <x:v>Sí</x:v>
      </x:c>
      <x:c r="AL6" s="13" t="str">
        <x:v>No</x:v>
      </x:c>
      <x:c r="AM6" s="13" t="str">
        <x:v>Cerrado</x:v>
      </x:c>
      <x:c r="AN6" s="13" t="str">
        <x:v>Se realiza seguimiento por SST y jefe inmediato.</x:v>
      </x:c>
    </x:row>
    <x:row r="7">
      <x:c r="A7" s="13" t="n">
        <x:v>2023</x:v>
      </x:c>
      <x:c r="B7" s="13" t="str">
        <x:v>AT-2023-025</x:v>
      </x:c>
      <x:c r="C7" s="30" t="n">
        <x:v>45003</x:v>
      </x:c>
      <x:c r="D7" s="13" t="str">
        <x:v>15:10</x:v>
      </x:c>
      <x:c r="E7" s="13" t="str">
        <x:v>Marzo</x:v>
      </x:c>
      <x:c r="F7" s="13" t="str">
        <x:v>Girón</x:v>
      </x:c>
      <x:c r="G7" s="13" t="str">
        <x:v>Operaciones</x:v>
      </x:c>
      <x:c r="H7" s="13" t="str">
        <x:v>Cristian Camilo Acevedo</x:v>
      </x:c>
      <x:c r="I7" s="13" t="str">
        <x:v>88076386</x:v>
      </x:c>
      <x:c r="J7" s="13" t="str">
        <x:v>Tecnólogo de Monitoreo</x:v>
      </x:c>
      <x:c r="K7" s="13" t="str">
        <x:v>Término fijo</x:v>
      </x:c>
      <x:c r="L7" s="13" t="str">
        <x:v>ARL SURA</x:v>
      </x:c>
      <x:c r="M7" s="13" t="str">
        <x:v>Con incapacidad</x:v>
      </x:c>
      <x:c r="N7" s="13" t="str">
        <x:v>Durante ronda de vigilancia en girón, el trabajador sufrió luxación por sobreesfuerzo o esfuerzo excesivo.</x:v>
      </x:c>
      <x:c r="O7" s="13" t="str">
        <x:v>Sobreesfuerzo o esfuerzo excesivo</x:v>
      </x:c>
      <x:c r="P7" s="13" t="str">
        <x:v>Cableado</x:v>
      </x:c>
      <x:c r="Q7" s="13" t="str">
        <x:v>Vía pública en ronda</x:v>
      </x:c>
      <x:c r="R7" s="13" t="str">
        <x:v>Ojo</x:v>
      </x:c>
      <x:c r="S7" s="13" t="str">
        <x:v>Luxación</x:v>
      </x:c>
      <x:c r="T7" s="13" t="n">
        <x:v>20</x:v>
      </x:c>
      <x:c r="U7" s="13" t="n">
        <x:f>IF(M7="Sin incapacidad",0,T7)</x:f>
        <x:v>20</x:v>
      </x:c>
      <x:c r="V7" s="13" t="str">
        <x:v>Sí</x:v>
      </x:c>
      <x:c r="W7" s="30" t="n">
        <x:v>45004</x:v>
      </x:c>
      <x:c r="X7" s="30" t="str">
        <x:v>Sí</x:v>
      </x:c>
      <x:c r="Y7" s="30" t="n">
        <x:v>45013</x:v>
      </x:c>
      <x:c r="Z7" s="13" t="str">
        <x:v>Jefe inmediato + SST</x:v>
      </x:c>
      <x:c r="AA7" s="13" t="str">
        <x:v>Desplazamiento apresurado</x:v>
      </x:c>
      <x:c r="AB7" s="13" t="str">
        <x:v>Señalización insuficiente</x:v>
      </x:c>
      <x:c r="AC7" s="13" t="str">
        <x:v>Capacitación insuficiente</x:v>
      </x:c>
      <x:c r="AD7" s="13" t="str">
        <x:v>Deficiencia en supervisión</x:v>
      </x:c>
      <x:c r="AE7" s="13" t="str">
        <x:v>Mantenimiento deficiente y ausencia de corrección oportuna</x:v>
      </x:c>
      <x:c r="AF7" s="13" t="str">
        <x:v>Implementar señalización y control administrativo temporal</x:v>
      </x:c>
      <x:c r="AG7" s="13" t="str">
        <x:v>Coordinador SST</x:v>
      </x:c>
      <x:c r="AH7" s="30" t="n">
        <x:v>45028</x:v>
      </x:c>
      <x:c r="AI7" s="30" t="str">
        <x:v>Cerrada</x:v>
      </x:c>
      <x:c r="AJ7" s="30" t="n">
        <x:v>45025</x:v>
      </x:c>
      <x:c r="AK7" s="13" t="str">
        <x:f>IF(OR(AI7&lt;&gt;"Cerrada",AJ7="",AH7=""),"No",IF(AJ7&lt;=AH7,"Sí","No"))</x:f>
        <x:v>Sí</x:v>
      </x:c>
      <x:c r="AL7" s="13" t="str">
        <x:v>Sí</x:v>
      </x:c>
      <x:c r="AM7" s="13" t="str">
        <x:v>Cerrado</x:v>
      </x:c>
      <x:c r="AN7" s="13" t="str">
        <x:v>Se recomienda refuerzo de inspecciones y autocuidado.</x:v>
      </x:c>
    </x:row>
    <x:row r="8">
      <x:c r="A8" s="13" t="n">
        <x:v>2023</x:v>
      </x:c>
      <x:c r="B8" s="13" t="str">
        <x:v>AT-2023-013</x:v>
      </x:c>
      <x:c r="C8" s="30" t="n">
        <x:v>45008</x:v>
      </x:c>
      <x:c r="D8" s="13" t="str">
        <x:v>09:45</x:v>
      </x:c>
      <x:c r="E8" s="13" t="str">
        <x:v>Marzo</x:v>
      </x:c>
      <x:c r="F8" s="13" t="str">
        <x:v>Cúcuta</x:v>
      </x:c>
      <x:c r="G8" s="13" t="str">
        <x:v>Mantenimiento</x:v>
      </x:c>
      <x:c r="H8" s="13" t="str">
        <x:v>Paola Andrea Cárdenas</x:v>
      </x:c>
      <x:c r="I8" s="13" t="str">
        <x:v>88076168</x:v>
      </x:c>
      <x:c r="J8" s="13" t="str">
        <x:v>Escolta</x:v>
      </x:c>
      <x:c r="K8" s="13" t="str">
        <x:v>Obra o labor</x:v>
      </x:c>
      <x:c r="L8" s="13" t="str">
        <x:v>ARL SURA</x:v>
      </x:c>
      <x:c r="M8" s="13" t="str">
        <x:v>Con incapacidad</x:v>
      </x:c>
      <x:c r="N8" s="13" t="str">
        <x:v>Durante ronda de vigilancia en cúcuta, el trabajador sufrió contusión por exposición a temperatura.</x:v>
      </x:c>
      <x:c r="O8" s="13" t="str">
        <x:v>Exposición a temperatura</x:v>
      </x:c>
      <x:c r="P8" s="13" t="str">
        <x:v>Vehículo</x:v>
      </x:c>
      <x:c r="Q8" s="13" t="str">
        <x:v>Cuarto técnico</x:v>
      </x:c>
      <x:c r="R8" s="13" t="str">
        <x:v>Rodilla</x:v>
      </x:c>
      <x:c r="S8" s="13" t="str">
        <x:v>Contusión</x:v>
      </x:c>
      <x:c r="T8" s="13" t="n">
        <x:v>25</x:v>
      </x:c>
      <x:c r="U8" s="13" t="n">
        <x:f>IF(M8="Sin incapacidad",0,T8)</x:f>
        <x:v>25</x:v>
      </x:c>
      <x:c r="V8" s="13" t="str">
        <x:v>Sí</x:v>
      </x:c>
      <x:c r="W8" s="30" t="n">
        <x:v>45008</x:v>
      </x:c>
      <x:c r="X8" s="30" t="str">
        <x:v>Sí</x:v>
      </x:c>
      <x:c r="Y8" s="30" t="n">
        <x:v>45013</x:v>
      </x:c>
      <x:c r="Z8" s="13" t="str">
        <x:v>Jefe inmediato + SST</x:v>
      </x:c>
      <x:c r="AA8" s="13" t="str">
        <x:v>Manipulación incorrecta de carga</x:v>
      </x:c>
      <x:c r="AB8" s="13" t="str">
        <x:v>Espacio reducido</x:v>
      </x:c>
      <x:c r="AC8" s="13" t="str">
        <x:v>Capacitación insuficiente</x:v>
      </x:c>
      <x:c r="AD8" s="13" t="str">
        <x:v>Control operativo insuficiente</x:v>
      </x:c>
      <x:c r="AE8" s="13" t="str">
        <x:v>Brecha de capacitación y hábitos inseguros de trabajo</x:v>
      </x:c>
      <x:c r="AF8" s="13" t="str">
        <x:v>Implementar señalización y control administrativo temporal</x:v>
      </x:c>
      <x:c r="AG8" s="13" t="str">
        <x:v>Coordinador de Talento Humano</x:v>
      </x:c>
      <x:c r="AH8" s="30" t="n">
        <x:v>45033</x:v>
      </x:c>
      <x:c r="AI8" s="30" t="str">
        <x:v>En seguimiento</x:v>
      </x:c>
      <x:c r="AJ8" s="30"/>
      <x:c r="AK8" s="13" t="str">
        <x:f>IF(OR(AI8&lt;&gt;"Cerrada",AJ8="",AH8=""),"No",IF(AJ8&lt;=AH8,"Sí","No"))</x:f>
        <x:v>No</x:v>
      </x:c>
      <x:c r="AL8" s="13" t="str">
        <x:v>Pendiente verificación</x:v>
      </x:c>
      <x:c r="AM8" s="13" t="str">
        <x:v>En seguimiento</x:v>
      </x:c>
      <x:c r="AN8" s="13" t="str">
        <x:v>Se deja lección aprendida socializada en charla preoperacional.</x:v>
      </x:c>
    </x:row>
    <x:row r="9">
      <x:c r="A9" s="13" t="n">
        <x:v>2023</x:v>
      </x:c>
      <x:c r="B9" s="13" t="str">
        <x:v>AT-2023-019</x:v>
      </x:c>
      <x:c r="C9" s="30" t="n">
        <x:v>45011</x:v>
      </x:c>
      <x:c r="D9" s="13" t="str">
        <x:v>20:15</x:v>
      </x:c>
      <x:c r="E9" s="13" t="str">
        <x:v>Marzo</x:v>
      </x:c>
      <x:c r="F9" s="13" t="str">
        <x:v>Ábrego</x:v>
      </x:c>
      <x:c r="G9" s="13" t="str">
        <x:v>Administrativa</x:v>
      </x:c>
      <x:c r="H9" s="13" t="str">
        <x:v>Claudia Patricia Solano</x:v>
      </x:c>
      <x:c r="I9" s="13" t="str">
        <x:v>88076131</x:v>
      </x:c>
      <x:c r="J9" s="13" t="str">
        <x:v>Tecnólogo de Monitoreo</x:v>
      </x:c>
      <x:c r="K9" s="13" t="str">
        <x:v>Término indefinido</x:v>
      </x:c>
      <x:c r="L9" s="13" t="str">
        <x:v>ARL SURA</x:v>
      </x:c>
      <x:c r="M9" s="13" t="str">
        <x:v>Con incapacidad</x:v>
      </x:c>
      <x:c r="N9" s="13" t="str">
        <x:v>En desarrollo de actividades de administrativa, se presentó evento por sobreesfuerzo o esfuerzo excesivo asociado a cableado.</x:v>
      </x:c>
      <x:c r="O9" s="13" t="str">
        <x:v>Sobreesfuerzo o esfuerzo excesivo</x:v>
      </x:c>
      <x:c r="P9" s="13" t="str">
        <x:v>Cableado</x:v>
      </x:c>
      <x:c r="Q9" s="13" t="str">
        <x:v>Parqueadero</x:v>
      </x:c>
      <x:c r="R9" s="13" t="str">
        <x:v>Hombro</x:v>
      </x:c>
      <x:c r="S9" s="13" t="str">
        <x:v>Contusión</x:v>
      </x:c>
      <x:c r="T9" s="13" t="n">
        <x:v>5</x:v>
      </x:c>
      <x:c r="U9" s="13" t="n">
        <x:f>IF(M9="Sin incapacidad",0,T9)</x:f>
        <x:v>5</x:v>
      </x:c>
      <x:c r="V9" s="13" t="str">
        <x:v>Sí</x:v>
      </x:c>
      <x:c r="W9" s="30" t="n">
        <x:v>45012</x:v>
      </x:c>
      <x:c r="X9" s="30" t="str">
        <x:v>Sí</x:v>
      </x:c>
      <x:c r="Y9" s="30" t="n">
        <x:v>45019</x:v>
      </x:c>
      <x:c r="Z9" s="13" t="str">
        <x:v>Supervisor + Analista SST</x:v>
      </x:c>
      <x:c r="AA9" s="13" t="str">
        <x:v>Distracción durante la labor</x:v>
      </x:c>
      <x:c r="AB9" s="13" t="str">
        <x:v>Herramienta en mal estado</x:v>
      </x:c>
      <x:c r="AC9" s="13" t="str">
        <x:v>Exceso de confianza</x:v>
      </x:c>
      <x:c r="AD9" s="13" t="str">
        <x:v>Carga laboral elevada</x:v>
      </x:c>
      <x:c r="AE9" s="13" t="str">
        <x:v>Mantenimiento deficiente y ausencia de corrección oportuna</x:v>
      </x:c>
      <x:c r="AF9" s="13" t="str">
        <x:v>Realizar capacitación focalizada y socialización de lección aprendida</x:v>
      </x:c>
      <x:c r="AG9" s="13" t="str">
        <x:v>Analista SST</x:v>
      </x:c>
      <x:c r="AH9" s="30" t="n">
        <x:v>45029</x:v>
      </x:c>
      <x:c r="AI9" s="30" t="str">
        <x:v>Cerrada</x:v>
      </x:c>
      <x:c r="AJ9" s="30" t="n">
        <x:v>45034</x:v>
      </x:c>
      <x:c r="AK9" s="13" t="str">
        <x:f>IF(OR(AI9&lt;&gt;"Cerrada",AJ9="",AH9=""),"No",IF(AJ9&lt;=AH9,"Sí","No"))</x:f>
        <x:v>No</x:v>
      </x:c>
      <x:c r="AL9" s="13" t="str">
        <x:v>Pendiente verificación</x:v>
      </x:c>
      <x:c r="AM9" s="13" t="str">
        <x:v>Cerrado</x:v>
      </x:c>
      <x:c r="AN9" s="13" t="str">
        <x:v>Se realiza seguimiento por SST y jefe inmediato.</x:v>
      </x:c>
    </x:row>
    <x:row r="10">
      <x:c r="A10" s="13" t="n">
        <x:v>2023</x:v>
      </x:c>
      <x:c r="B10" s="13" t="str">
        <x:v>AT-2023-024</x:v>
      </x:c>
      <x:c r="C10" s="30" t="n">
        <x:v>45026</x:v>
      </x:c>
      <x:c r="D10" s="13" t="str">
        <x:v>15:20</x:v>
      </x:c>
      <x:c r="E10" s="13" t="str">
        <x:v>Abril</x:v>
      </x:c>
      <x:c r="F10" s="13" t="str">
        <x:v>Arauca</x:v>
      </x:c>
      <x:c r="G10" s="13" t="str">
        <x:v>Operaciones</x:v>
      </x:c>
      <x:c r="H10" s="13" t="str">
        <x:v>Juan Carlos Pérez</x:v>
      </x:c>
      <x:c r="I10" s="13" t="str">
        <x:v>88075868</x:v>
      </x:c>
      <x:c r="J10" s="13" t="str">
        <x:v>Conductor</x:v>
      </x:c>
      <x:c r="K10" s="13" t="str">
        <x:v>Término indefinido</x:v>
      </x:c>
      <x:c r="L10" s="13" t="str">
        <x:v>ARL SURA</x:v>
      </x:c>
      <x:c r="M10" s="13" t="str">
        <x:v>Sin incapacidad</x:v>
      </x:c>
      <x:c r="N10" s="13" t="str">
        <x:v>Durante ronda de vigilancia en arauca, el trabajador sufrió golpe leve por sobreesfuerzo o esfuerzo excesivo.</x:v>
      </x:c>
      <x:c r="O10" s="13" t="str">
        <x:v>Sobreesfuerzo o esfuerzo excesivo</x:v>
      </x:c>
      <x:c r="P10" s="13" t="str">
        <x:v>Rejilla</x:v>
      </x:c>
      <x:c r="Q10" s="13" t="str">
        <x:v>Puesto de vigilancia</x:v>
      </x:c>
      <x:c r="R10" s="13" t="str">
        <x:v>Hombro</x:v>
      </x:c>
      <x:c r="S10" s="13" t="str">
        <x:v>Golpe leve</x:v>
      </x:c>
      <x:c r="T10" s="13" t="n">
        <x:v>0</x:v>
      </x:c>
      <x:c r="U10" s="13" t="n">
        <x:f>IF(M10="Sin incapacidad",0,T10)</x:f>
        <x:v>0</x:v>
      </x:c>
      <x:c r="V10" s="13" t="str">
        <x:v>Sí</x:v>
      </x:c>
      <x:c r="W10" s="30" t="n">
        <x:v>45026</x:v>
      </x:c>
      <x:c r="X10" s="30" t="str">
        <x:v>Sí</x:v>
      </x:c>
      <x:c r="Y10" s="30" t="n">
        <x:v>45036</x:v>
      </x:c>
      <x:c r="Z10" s="13" t="str">
        <x:v>Supervisor + Analista SST</x:v>
      </x:c>
      <x:c r="AA10" s="13" t="str">
        <x:v>No reportar condición insegura</x:v>
      </x:c>
      <x:c r="AB10" s="13" t="str">
        <x:v>Cable expuesto</x:v>
      </x:c>
      <x:c r="AC10" s="13" t="str">
        <x:v>Postura inadecuada</x:v>
      </x:c>
      <x:c r="AD10" s="13" t="str">
        <x:v>Procedimiento no actualizado</x:v>
      </x:c>
      <x:c r="AE10" s="13" t="str">
        <x:v>Incumplimiento del procedimiento seguro y supervisión insuficiente</x:v>
      </x:c>
      <x:c r="AF10" s="13" t="str">
        <x:v>Realizar capacitación focalizada y socialización de lección aprendida</x:v>
      </x:c>
      <x:c r="AG10" s="13" t="str">
        <x:v>Jefe de Operaciones</x:v>
      </x:c>
      <x:c r="AH10" s="30" t="n">
        <x:v>45066</x:v>
      </x:c>
      <x:c r="AI10" s="30" t="str">
        <x:v>Cerrada</x:v>
      </x:c>
      <x:c r="AJ10" s="30" t="n">
        <x:v>45070</x:v>
      </x:c>
      <x:c r="AK10" s="13" t="str">
        <x:f>IF(OR(AI10&lt;&gt;"Cerrada",AJ10="",AH10=""),"No",IF(AJ10&lt;=AH10,"Sí","No"))</x:f>
        <x:v>No</x:v>
      </x:c>
      <x:c r="AL10" s="13" t="str">
        <x:v>Sí</x:v>
      </x:c>
      <x:c r="AM10" s="13" t="str">
        <x:v>Cerrado</x:v>
      </x:c>
      <x:c r="AN10" s="13" t="str">
        <x:v>Se deja lección aprendida socializada en charla preoperacional.</x:v>
      </x:c>
    </x:row>
    <x:row r="11">
      <x:c r="A11" s="13" t="n">
        <x:v>2023</x:v>
      </x:c>
      <x:c r="B11" s="13" t="str">
        <x:v>AT-2023-018</x:v>
      </x:c>
      <x:c r="C11" s="30" t="n">
        <x:v>45045</x:v>
      </x:c>
      <x:c r="D11" s="13" t="str">
        <x:v>18:15</x:v>
      </x:c>
      <x:c r="E11" s="13" t="str">
        <x:v>Abril</x:v>
      </x:c>
      <x:c r="F11" s="13" t="str">
        <x:v>Girón</x:v>
      </x:c>
      <x:c r="G11" s="13" t="str">
        <x:v>Operaciones</x:v>
      </x:c>
      <x:c r="H11" s="13" t="str">
        <x:v>Cristian Camilo Acevedo</x:v>
      </x:c>
      <x:c r="I11" s="13" t="str">
        <x:v>88076072</x:v>
      </x:c>
      <x:c r="J11" s="13" t="str">
        <x:v>Auxiliar Administrativa</x:v>
      </x:c>
      <x:c r="K11" s="13" t="str">
        <x:v>Término indefinido</x:v>
      </x:c>
      <x:c r="L11" s="13" t="str">
        <x:v>ARL SURA</x:v>
      </x:c>
      <x:c r="M11" s="13" t="str">
        <x:v>Con incapacidad</x:v>
      </x:c>
      <x:c r="N11" s="13" t="str">
        <x:v>En desarrollo de actividades de operaciones, se presentó evento por exposición a temperatura asociado a elementos almacenados.</x:v>
      </x:c>
      <x:c r="O11" s="13" t="str">
        <x:v>Exposición a temperatura</x:v>
      </x:c>
      <x:c r="P11" s="13" t="str">
        <x:v>Elementos almacenados</x:v>
      </x:c>
      <x:c r="Q11" s="13" t="str">
        <x:v>Zona común del cliente</x:v>
      </x:c>
      <x:c r="R11" s="13" t="str">
        <x:v>Brazo</x:v>
      </x:c>
      <x:c r="S11" s="13" t="str">
        <x:v>Contusión</x:v>
      </x:c>
      <x:c r="T11" s="13" t="n">
        <x:v>20</x:v>
      </x:c>
      <x:c r="U11" s="13" t="n">
        <x:f>IF(M11="Sin incapacidad",0,T11)</x:f>
        <x:v>20</x:v>
      </x:c>
      <x:c r="V11" s="13" t="str">
        <x:v>Sí</x:v>
      </x:c>
      <x:c r="W11" s="30" t="n">
        <x:v>45046</x:v>
      </x:c>
      <x:c r="X11" s="30" t="str">
        <x:v>Sí</x:v>
      </x:c>
      <x:c r="Y11" s="30" t="n">
        <x:v>45051</x:v>
      </x:c>
      <x:c r="Z11" s="13" t="str">
        <x:v>Supervisor + Analista SST</x:v>
      </x:c>
      <x:c r="AA11" s="13" t="str">
        <x:v>Conducción sin distancia segura</x:v>
      </x:c>
      <x:c r="AB11" s="13" t="str">
        <x:v>Herramienta en mal estado</x:v>
      </x:c>
      <x:c r="AC11" s="13" t="str">
        <x:v>Apuro operativo</x:v>
      </x:c>
      <x:c r="AD11" s="13" t="str">
        <x:v>Condición locativa no corregida</x:v>
      </x:c>
      <x:c r="AE11" s="13" t="str">
        <x:v>Falta de inspección previa y gestión tardía del peligro</x:v>
      </x:c>
      <x:c r="AF11" s="13" t="str">
        <x:v>Programar mantenimiento correctivo del elemento involucrado</x:v>
      </x:c>
      <x:c r="AG11" s="13" t="str">
        <x:v>Supervisor Operativo</x:v>
      </x:c>
      <x:c r="AH11" s="30" t="n">
        <x:v>45081</x:v>
      </x:c>
      <x:c r="AI11" s="30" t="str">
        <x:v>Cerrada</x:v>
      </x:c>
      <x:c r="AJ11" s="30" t="n">
        <x:v>45080</x:v>
      </x:c>
      <x:c r="AK11" s="13" t="str">
        <x:f>IF(OR(AI11&lt;&gt;"Cerrada",AJ11="",AH11=""),"No",IF(AJ11&lt;=AH11,"Sí","No"))</x:f>
        <x:v>Sí</x:v>
      </x:c>
      <x:c r="AL11" s="13" t="str">
        <x:v>Sí</x:v>
      </x:c>
      <x:c r="AM11" s="13" t="str">
        <x:v>Cerrado</x:v>
      </x:c>
      <x:c r="AN11" s="13" t="str">
        <x:v>Se recomienda refuerzo de inspecciones y autocuidado.</x:v>
      </x:c>
    </x:row>
    <x:row r="12">
      <x:c r="A12" s="13" t="n">
        <x:v>2023</x:v>
      </x:c>
      <x:c r="B12" s="13" t="str">
        <x:v>AT-2023-016</x:v>
      </x:c>
      <x:c r="C12" s="30" t="n">
        <x:v>45047</x:v>
      </x:c>
      <x:c r="D12" s="13" t="str">
        <x:v>15:20</x:v>
      </x:c>
      <x:c r="E12" s="13" t="str">
        <x:v>Mayo</x:v>
      </x:c>
      <x:c r="F12" s="13" t="str">
        <x:v>Girón</x:v>
      </x:c>
      <x:c r="G12" s="13" t="str">
        <x:v>Operaciones</x:v>
      </x:c>
      <x:c r="H12" s="13" t="str">
        <x:v>María Camila Rojas</x:v>
      </x:c>
      <x:c r="I12" s="13" t="str">
        <x:v>88075929</x:v>
      </x:c>
      <x:c r="J12" s="13" t="str">
        <x:v>Escolta</x:v>
      </x:c>
      <x:c r="K12" s="13" t="str">
        <x:v>Término indefinido</x:v>
      </x:c>
      <x:c r="L12" s="13" t="str">
        <x:v>ARL SURA</x:v>
      </x:c>
      <x:c r="M12" s="13" t="str">
        <x:v>Sin incapacidad</x:v>
      </x:c>
      <x:c r="N12" s="13" t="str">
        <x:v>Durante ronda de vigilancia en girón, el trabajador sufrió herida superficial por sobreesfuerzo o esfuerzo excesivo.</x:v>
      </x:c>
      <x:c r="O12" s="13" t="str">
        <x:v>Sobreesfuerzo o esfuerzo excesivo</x:v>
      </x:c>
      <x:c r="P12" s="13" t="str">
        <x:v>Radio de comunicación</x:v>
      </x:c>
      <x:c r="Q12" s="13" t="str">
        <x:v>Recepción</x:v>
      </x:c>
      <x:c r="R12" s="13" t="str">
        <x:v>Brazo</x:v>
      </x:c>
      <x:c r="S12" s="13" t="str">
        <x:v>Herida superficial</x:v>
      </x:c>
      <x:c r="T12" s="13" t="n">
        <x:v>0</x:v>
      </x:c>
      <x:c r="U12" s="13" t="n">
        <x:f>IF(M12="Sin incapacidad",0,T12)</x:f>
        <x:v>0</x:v>
      </x:c>
      <x:c r="V12" s="13" t="str">
        <x:v>Sí</x:v>
      </x:c>
      <x:c r="W12" s="30" t="n">
        <x:v>45048</x:v>
      </x:c>
      <x:c r="X12" s="30" t="str">
        <x:v>Sí</x:v>
      </x:c>
      <x:c r="Y12" s="30" t="n">
        <x:v>45051</x:v>
      </x:c>
      <x:c r="Z12" s="13" t="str">
        <x:v>COPASST + SST</x:v>
      </x:c>
      <x:c r="AA12" s="13" t="str">
        <x:v>No asegurar postura adecuada</x:v>
      </x:c>
      <x:c r="AB12" s="13" t="str">
        <x:v>Iluminación insuficiente</x:v>
      </x:c>
      <x:c r="AC12" s="13" t="str">
        <x:v>Postura inadecuada</x:v>
      </x:c>
      <x:c r="AD12" s="13" t="str">
        <x:v>Deficiencia en supervisión</x:v>
      </x:c>
      <x:c r="AE12" s="13" t="str">
        <x:v>Incumplimiento del procedimiento seguro y supervisión insuficiente</x:v>
      </x:c>
      <x:c r="AF12" s="13" t="str">
        <x:v>Implementar señalización y control administrativo temporal</x:v>
      </x:c>
      <x:c r="AG12" s="13" t="str">
        <x:v>Coordinador de Talento Humano</x:v>
      </x:c>
      <x:c r="AH12" s="30" t="n">
        <x:v>45081</x:v>
      </x:c>
      <x:c r="AI12" s="30" t="str">
        <x:v>Cerrada</x:v>
      </x:c>
      <x:c r="AJ12" s="30" t="n">
        <x:v>45083</x:v>
      </x:c>
      <x:c r="AK12" s="13" t="str">
        <x:f>IF(OR(AI12&lt;&gt;"Cerrada",AJ12="",AH12=""),"No",IF(AJ12&lt;=AH12,"Sí","No"))</x:f>
        <x:v>No</x:v>
      </x:c>
      <x:c r="AL12" s="13" t="str">
        <x:v>Pendiente verificación</x:v>
      </x:c>
      <x:c r="AM12" s="13" t="str">
        <x:v>Cerrado</x:v>
      </x:c>
      <x:c r="AN12" s="13" t="str">
        <x:v>Se deja lección aprendida socializada en charla preoperacional.</x:v>
      </x:c>
    </x:row>
    <x:row r="13">
      <x:c r="A13" s="13" t="n">
        <x:v>2023</x:v>
      </x:c>
      <x:c r="B13" s="13" t="str">
        <x:v>AT-2023-008</x:v>
      </x:c>
      <x:c r="C13" s="30" t="n">
        <x:v>45054</x:v>
      </x:c>
      <x:c r="D13" s="13" t="str">
        <x:v>12:20</x:v>
      </x:c>
      <x:c r="E13" s="13" t="str">
        <x:v>Mayo</x:v>
      </x:c>
      <x:c r="F13" s="13" t="str">
        <x:v>Medellín</x:v>
      </x:c>
      <x:c r="G13" s="13" t="str">
        <x:v>Transporte de Valores</x:v>
      </x:c>
      <x:c r="H13" s="13" t="str">
        <x:v>Ángela María Villamizar</x:v>
      </x:c>
      <x:c r="I13" s="13" t="str">
        <x:v>88075432</x:v>
      </x:c>
      <x:c r="J13" s="13" t="str">
        <x:v>Operador de Medios Tecnológicos</x:v>
      </x:c>
      <x:c r="K13" s="13" t="str">
        <x:v>Término indefinido</x:v>
      </x:c>
      <x:c r="L13" s="13" t="str">
        <x:v>ARL SURA</x:v>
      </x:c>
      <x:c r="M13" s="13" t="str">
        <x:v>Sin incapacidad</x:v>
      </x:c>
      <x:c r="N13" s="13" t="str">
        <x:v>Durante ronda de vigilancia en medellín, el trabajador sufrió esguince por caída al mismo nivel.</x:v>
      </x:c>
      <x:c r="O13" s="13" t="str">
        <x:v>Caída al mismo nivel</x:v>
      </x:c>
      <x:c r="P13" s="13" t="str">
        <x:v>Andén irregular</x:v>
      </x:c>
      <x:c r="Q13" s="13" t="str">
        <x:v>Vía pública en ronda</x:v>
      </x:c>
      <x:c r="R13" s="13" t="str">
        <x:v>Pierna</x:v>
      </x:c>
      <x:c r="S13" s="13" t="str">
        <x:v>Esguince</x:v>
      </x:c>
      <x:c r="T13" s="13" t="n">
        <x:v>0</x:v>
      </x:c>
      <x:c r="U13" s="13" t="n">
        <x:f>IF(M13="Sin incapacidad",0,T13)</x:f>
        <x:v>0</x:v>
      </x:c>
      <x:c r="V13" s="13" t="str">
        <x:v>Sí</x:v>
      </x:c>
      <x:c r="W13" s="30" t="n">
        <x:v>45054</x:v>
      </x:c>
      <x:c r="X13" s="30" t="str">
        <x:v>Sí</x:v>
      </x:c>
      <x:c r="Y13" s="30" t="n">
        <x:v>45063</x:v>
      </x:c>
      <x:c r="Z13" s="13" t="str">
        <x:v>Jefe inmediato + SST</x:v>
      </x:c>
      <x:c r="AA13" s="13" t="str">
        <x:v>Desplazamiento apresurado</x:v>
      </x:c>
      <x:c r="AB13" s="13" t="str">
        <x:v>Señalización insuficiente</x:v>
      </x:c>
      <x:c r="AC13" s="13" t="str">
        <x:v>Falta de atención</x:v>
      </x:c>
      <x:c r="AD13" s="13" t="str">
        <x:v>Carga laboral elevada</x:v>
      </x:c>
      <x:c r="AE13" s="13" t="str">
        <x:v>Brecha de capacitación y hábitos inseguros de trabajo</x:v>
      </x:c>
      <x:c r="AF13" s="13" t="str">
        <x:v>Reforzar supervisión operativa y seguimiento al uso de EPP</x:v>
      </x:c>
      <x:c r="AG13" s="13" t="str">
        <x:v>Supervisor Operativo</x:v>
      </x:c>
      <x:c r="AH13" s="30" t="n">
        <x:v>45093</x:v>
      </x:c>
      <x:c r="AI13" s="30" t="str">
        <x:v>En seguimiento</x:v>
      </x:c>
      <x:c r="AJ13" s="30"/>
      <x:c r="AK13" s="13" t="str">
        <x:f>IF(OR(AI13&lt;&gt;"Cerrada",AJ13="",AH13=""),"No",IF(AJ13&lt;=AH13,"Sí","No"))</x:f>
        <x:v>No</x:v>
      </x:c>
      <x:c r="AL13" s="13" t="str">
        <x:v>Pendiente verificación</x:v>
      </x:c>
      <x:c r="AM13" s="13" t="str">
        <x:v>En seguimiento</x:v>
      </x:c>
      <x:c r="AN13" s="13" t="str">
        <x:v>Se realiza seguimiento por SST y jefe inmediato.</x:v>
      </x:c>
    </x:row>
    <x:row r="14">
      <x:c r="A14" s="13" t="n">
        <x:v>2023</x:v>
      </x:c>
      <x:c r="B14" s="13" t="str">
        <x:v>AT-2023-030</x:v>
      </x:c>
      <x:c r="C14" s="30" t="n">
        <x:v>45068</x:v>
      </x:c>
      <x:c r="D14" s="13" t="str">
        <x:v>19:40</x:v>
      </x:c>
      <x:c r="E14" s="13" t="str">
        <x:v>Mayo</x:v>
      </x:c>
      <x:c r="F14" s="13" t="str">
        <x:v>Medellín</x:v>
      </x:c>
      <x:c r="G14" s="13" t="str">
        <x:v>Monitoreo</x:v>
      </x:c>
      <x:c r="H14" s="13" t="str">
        <x:v>Juan Carlos Pérez</x:v>
      </x:c>
      <x:c r="I14" s="13" t="str">
        <x:v>88076704</x:v>
      </x:c>
      <x:c r="J14" s="13" t="str">
        <x:v>Guarda Motorizado</x:v>
      </x:c>
      <x:c r="K14" s="13" t="str">
        <x:v>Término indefinido</x:v>
      </x:c>
      <x:c r="L14" s="13" t="str">
        <x:v>ARL SURA</x:v>
      </x:c>
      <x:c r="M14" s="13" t="str">
        <x:v>Con incapacidad</x:v>
      </x:c>
      <x:c r="N14" s="13" t="str">
        <x:v>En desarrollo de actividades de monitoreo, se presentó evento por caída de objetos asociado a cableado.</x:v>
      </x:c>
      <x:c r="O14" s="13" t="str">
        <x:v>Caída de objetos</x:v>
      </x:c>
      <x:c r="P14" s="13" t="str">
        <x:v>Cableado</x:v>
      </x:c>
      <x:c r="Q14" s="13" t="str">
        <x:v>Puesto de vigilancia</x:v>
      </x:c>
      <x:c r="R14" s="13" t="str">
        <x:v>Hombro</x:v>
      </x:c>
      <x:c r="S14" s="13" t="str">
        <x:v>Golpe leve</x:v>
      </x:c>
      <x:c r="T14" s="13" t="n">
        <x:v>15</x:v>
      </x:c>
      <x:c r="U14" s="13" t="n">
        <x:f>IF(M14="Sin incapacidad",0,T14)</x:f>
        <x:v>15</x:v>
      </x:c>
      <x:c r="V14" s="13" t="str">
        <x:v>Sí</x:v>
      </x:c>
      <x:c r="W14" s="30" t="n">
        <x:v>45069</x:v>
      </x:c>
      <x:c r="X14" s="30" t="str">
        <x:v>Sí</x:v>
      </x:c>
      <x:c r="Y14" s="30" t="n">
        <x:v>45077</x:v>
      </x:c>
      <x:c r="Z14" s="13" t="str">
        <x:v>Coordinador SST + Operaciones</x:v>
      </x:c>
      <x:c r="AA14" s="13" t="str">
        <x:v>No reportar condición insegura</x:v>
      </x:c>
      <x:c r="AB14" s="13" t="str">
        <x:v>Espacio reducido</x:v>
      </x:c>
      <x:c r="AC14" s="13" t="str">
        <x:v>Falta de atención</x:v>
      </x:c>
      <x:c r="AD14" s="13" t="str">
        <x:v>Condición locativa no corregida</x:v>
      </x:c>
      <x:c r="AE14" s="13" t="str">
        <x:v>Incumplimiento del procedimiento seguro y supervisión insuficiente</x:v>
      </x:c>
      <x:c r="AF14" s="13" t="str">
        <x:v>Programar mantenimiento correctivo del elemento involucrado</x:v>
      </x:c>
      <x:c r="AG14" s="13" t="str">
        <x:v>Analista SST</x:v>
      </x:c>
      <x:c r="AH14" s="30" t="n">
        <x:v>45092</x:v>
      </x:c>
      <x:c r="AI14" s="30" t="str">
        <x:v>En seguimiento</x:v>
      </x:c>
      <x:c r="AJ14" s="30"/>
      <x:c r="AK14" s="13" t="str">
        <x:f>IF(OR(AI14&lt;&gt;"Cerrada",AJ14="",AH14=""),"No",IF(AJ14&lt;=AH14,"Sí","No"))</x:f>
        <x:v>No</x:v>
      </x:c>
      <x:c r="AL14" s="13" t="str">
        <x:v>Pendiente verificación</x:v>
      </x:c>
      <x:c r="AM14" s="13" t="str">
        <x:v>En seguimiento</x:v>
      </x:c>
      <x:c r="AN14" s="13" t="str">
        <x:v>Se vincula acción al plan de mejora del proceso.</x:v>
      </x:c>
    </x:row>
    <x:row r="15">
      <x:c r="A15" s="13" t="n">
        <x:v>2023</x:v>
      </x:c>
      <x:c r="B15" s="13" t="str">
        <x:v>AT-2023-023</x:v>
      </x:c>
      <x:c r="C15" s="30" t="n">
        <x:v>45077</x:v>
      </x:c>
      <x:c r="D15" s="13" t="str">
        <x:v>13:45</x:v>
      </x:c>
      <x:c r="E15" s="13" t="str">
        <x:v>Mayo</x:v>
      </x:c>
      <x:c r="F15" s="13" t="str">
        <x:v>Girón</x:v>
      </x:c>
      <x:c r="G15" s="13" t="str">
        <x:v>Monitoreo</x:v>
      </x:c>
      <x:c r="H15" s="13" t="str">
        <x:v>Natalia Fernanda García</x:v>
      </x:c>
      <x:c r="I15" s="13" t="str">
        <x:v>88076268</x:v>
      </x:c>
      <x:c r="J15" s="13" t="str">
        <x:v>Analista SST</x:v>
      </x:c>
      <x:c r="K15" s="13" t="str">
        <x:v>Término indefinido</x:v>
      </x:c>
      <x:c r="L15" s="13" t="str">
        <x:v>ARL SURA</x:v>
      </x:c>
      <x:c r="M15" s="13" t="str">
        <x:v>Con incapacidad</x:v>
      </x:c>
      <x:c r="N15" s="13" t="str">
        <x:v>Trabajador reporta lesión tipo golpe leve durante servicio en puesto asignado por accidente de tránsito.</x:v>
      </x:c>
      <x:c r="O15" s="13" t="str">
        <x:v>Accidente de tránsito</x:v>
      </x:c>
      <x:c r="P15" s="13" t="str">
        <x:v>Escritorio</x:v>
      </x:c>
      <x:c r="Q15" s="13" t="str">
        <x:v>Cuarto técnico</x:v>
      </x:c>
      <x:c r="R15" s="13" t="str">
        <x:v>Espalda baja</x:v>
      </x:c>
      <x:c r="S15" s="13" t="str">
        <x:v>Golpe leve</x:v>
      </x:c>
      <x:c r="T15" s="13" t="n">
        <x:v>5</x:v>
      </x:c>
      <x:c r="U15" s="13" t="n">
        <x:f>IF(M15="Sin incapacidad",0,T15)</x:f>
        <x:v>5</x:v>
      </x:c>
      <x:c r="V15" s="13" t="str">
        <x:v>Sí</x:v>
      </x:c>
      <x:c r="W15" s="30" t="n">
        <x:v>45078</x:v>
      </x:c>
      <x:c r="X15" s="30" t="str">
        <x:v>Sí</x:v>
      </x:c>
      <x:c r="Y15" s="30" t="n">
        <x:v>45079</x:v>
      </x:c>
      <x:c r="Z15" s="13" t="str">
        <x:v>COPASST + SST</x:v>
      </x:c>
      <x:c r="AA15" s="13" t="str">
        <x:v>Distracción durante la labor</x:v>
      </x:c>
      <x:c r="AB15" s="13" t="str">
        <x:v>Iluminación insuficiente</x:v>
      </x:c>
      <x:c r="AC15" s="13" t="str">
        <x:v>Capacitación insuficiente</x:v>
      </x:c>
      <x:c r="AD15" s="13" t="str">
        <x:v>Control operativo insuficiente</x:v>
      </x:c>
      <x:c r="AE15" s="13" t="str">
        <x:v>Incumplimiento del procedimiento seguro y supervisión insuficiente</x:v>
      </x:c>
      <x:c r="AF15" s="13" t="str">
        <x:v>Ejecutar inspección locativa y corrección inmediata del peligro</x:v>
      </x:c>
      <x:c r="AG15" s="13" t="str">
        <x:v>Supervisor Operativo</x:v>
      </x:c>
      <x:c r="AH15" s="30" t="n">
        <x:v>45109</x:v>
      </x:c>
      <x:c r="AI15" s="30" t="str">
        <x:v>Cerrada</x:v>
      </x:c>
      <x:c r="AJ15" s="30" t="n">
        <x:v>45105</x:v>
      </x:c>
      <x:c r="AK15" s="13" t="str">
        <x:f>IF(OR(AI15&lt;&gt;"Cerrada",AJ15="",AH15=""),"No",IF(AJ15&lt;=AH15,"Sí","No"))</x:f>
        <x:v>Sí</x:v>
      </x:c>
      <x:c r="AL15" s="13" t="str">
        <x:v>Pendiente verificación</x:v>
      </x:c>
      <x:c r="AM15" s="13" t="str">
        <x:v>Cerrado</x:v>
      </x:c>
      <x:c r="AN15" s="13" t="str">
        <x:v>Se realiza seguimiento por SST y jefe inmediato.</x:v>
      </x:c>
    </x:row>
    <x:row r="16">
      <x:c r="A16" s="13" t="n">
        <x:v>2023</x:v>
      </x:c>
      <x:c r="B16" s="13" t="str">
        <x:v>AT-2023-028</x:v>
      </x:c>
      <x:c r="C16" s="30" t="n">
        <x:v>45095</x:v>
      </x:c>
      <x:c r="D16" s="13" t="str">
        <x:v>19:50</x:v>
      </x:c>
      <x:c r="E16" s="13" t="str">
        <x:v>Junio</x:v>
      </x:c>
      <x:c r="F16" s="13" t="str">
        <x:v>Valledupar</x:v>
      </x:c>
      <x:c r="G16" s="13" t="str">
        <x:v>Supervisión</x:v>
      </x:c>
      <x:c r="H16" s="13" t="str">
        <x:v>Claudia Patricia Solano</x:v>
      </x:c>
      <x:c r="I16" s="13" t="str">
        <x:v>88075924</x:v>
      </x:c>
      <x:c r="J16" s="13" t="str">
        <x:v>Conductor</x:v>
      </x:c>
      <x:c r="K16" s="13" t="str">
        <x:v>Término indefinido</x:v>
      </x:c>
      <x:c r="L16" s="13" t="str">
        <x:v>ARL SURA</x:v>
      </x:c>
      <x:c r="M16" s="13" t="str">
        <x:v>Con incapacidad</x:v>
      </x:c>
      <x:c r="N16" s="13" t="str">
        <x:v>En desarrollo de actividades de supervisión, se presentó evento por golpeado por/contra asociado a andén irregular.</x:v>
      </x:c>
      <x:c r="O16" s="13" t="str">
        <x:v>Golpeado por/contra</x:v>
      </x:c>
      <x:c r="P16" s="13" t="str">
        <x:v>Andén irregular</x:v>
      </x:c>
      <x:c r="Q16" s="13" t="str">
        <x:v>Recepción</x:v>
      </x:c>
      <x:c r="R16" s="13" t="str">
        <x:v>Cervical</x:v>
      </x:c>
      <x:c r="S16" s="13" t="str">
        <x:v>Contractura muscular</x:v>
      </x:c>
      <x:c r="T16" s="13" t="n">
        <x:v>1</x:v>
      </x:c>
      <x:c r="U16" s="13" t="n">
        <x:f>IF(M16="Sin incapacidad",0,T16)</x:f>
        <x:v>1</x:v>
      </x:c>
      <x:c r="V16" s="13" t="str">
        <x:v>Sí</x:v>
      </x:c>
      <x:c r="W16" s="30" t="n">
        <x:v>45097</x:v>
      </x:c>
      <x:c r="X16" s="30" t="str">
        <x:v>Sí</x:v>
      </x:c>
      <x:c r="Y16" s="30" t="n">
        <x:v>45096</x:v>
      </x:c>
      <x:c r="Z16" s="13" t="str">
        <x:v>COPASST + SST</x:v>
      </x:c>
      <x:c r="AA16" s="13" t="str">
        <x:v>Distracción durante la labor</x:v>
      </x:c>
      <x:c r="AB16" s="13" t="str">
        <x:v>Cable expuesto</x:v>
      </x:c>
      <x:c r="AC16" s="13" t="str">
        <x:v>Capacitación insuficiente</x:v>
      </x:c>
      <x:c r="AD16" s="13" t="str">
        <x:v>Carga laboral elevada</x:v>
      </x:c>
      <x:c r="AE16" s="13" t="str">
        <x:v>Control operativo insuficiente frente a condición locativa</x:v>
      </x:c>
      <x:c r="AF16" s="13" t="str">
        <x:v>Ejecutar inspección locativa y corrección inmediata del peligro</x:v>
      </x:c>
      <x:c r="AG16" s="13" t="str">
        <x:v>Jefe de Operaciones</x:v>
      </x:c>
      <x:c r="AH16" s="30" t="n">
        <x:v>45111</x:v>
      </x:c>
      <x:c r="AI16" s="30" t="str">
        <x:v>En seguimiento</x:v>
      </x:c>
      <x:c r="AJ16" s="30"/>
      <x:c r="AK16" s="13" t="str">
        <x:f>IF(OR(AI16&lt;&gt;"Cerrada",AJ16="",AH16=""),"No",IF(AJ16&lt;=AH16,"Sí","No"))</x:f>
        <x:v>No</x:v>
      </x:c>
      <x:c r="AL16" s="13" t="str">
        <x:v>Pendiente verificación</x:v>
      </x:c>
      <x:c r="AM16" s="13" t="str">
        <x:v>En seguimiento</x:v>
      </x:c>
      <x:c r="AN16" s="13" t="str">
        <x:v>Se realiza seguimiento por SST y jefe inmediato.</x:v>
      </x:c>
    </x:row>
    <x:row r="17">
      <x:c r="A17" s="13" t="n">
        <x:v>2023</x:v>
      </x:c>
      <x:c r="B17" s="13" t="str">
        <x:v>AT-2023-002</x:v>
      </x:c>
      <x:c r="C17" s="30" t="n">
        <x:v>45121</x:v>
      </x:c>
      <x:c r="D17" s="13" t="str">
        <x:v>09:40</x:v>
      </x:c>
      <x:c r="E17" s="13" t="str">
        <x:v>Julio</x:v>
      </x:c>
      <x:c r="F17" s="13" t="str">
        <x:v>Arauca</x:v>
      </x:c>
      <x:c r="G17" s="13" t="str">
        <x:v>Central de Alarmas</x:v>
      </x:c>
      <x:c r="H17" s="13" t="str">
        <x:v>María Camila Rojas</x:v>
      </x:c>
      <x:c r="I17" s="13" t="str">
        <x:v>88075474</x:v>
      </x:c>
      <x:c r="J17" s="13" t="str">
        <x:v>Analista SST</x:v>
      </x:c>
      <x:c r="K17" s="13" t="str">
        <x:v>Término indefinido</x:v>
      </x:c>
      <x:c r="L17" s="13" t="str">
        <x:v>ARL SURA</x:v>
      </x:c>
      <x:c r="M17" s="13" t="str">
        <x:v>Sin incapacidad</x:v>
      </x:c>
      <x:c r="N17" s="13" t="str">
        <x:v>En desarrollo de actividades de central de alarmas, se presentó evento por caída al mismo nivel asociado a puerta metálica.</x:v>
      </x:c>
      <x:c r="O17" s="13" t="str">
        <x:v>Caída al mismo nivel</x:v>
      </x:c>
      <x:c r="P17" s="13" t="str">
        <x:v>Puerta metálica</x:v>
      </x:c>
      <x:c r="Q17" s="13" t="str">
        <x:v>Parqueadero</x:v>
      </x:c>
      <x:c r="R17" s="13" t="str">
        <x:v>Brazo</x:v>
      </x:c>
      <x:c r="S17" s="13" t="str">
        <x:v>Trauma ocular leve</x:v>
      </x:c>
      <x:c r="T17" s="13" t="n">
        <x:v>0</x:v>
      </x:c>
      <x:c r="U17" s="13" t="n">
        <x:f>IF(M17="Sin incapacidad",0,T17)</x:f>
        <x:v>0</x:v>
      </x:c>
      <x:c r="V17" s="13" t="str">
        <x:v>Sí</x:v>
      </x:c>
      <x:c r="W17" s="30" t="n">
        <x:v>45123</x:v>
      </x:c>
      <x:c r="X17" s="30" t="str">
        <x:v>Sí</x:v>
      </x:c>
      <x:c r="Y17" s="30" t="n">
        <x:v>45123</x:v>
      </x:c>
      <x:c r="Z17" s="13" t="str">
        <x:v>Jefe inmediato + SST</x:v>
      </x:c>
      <x:c r="AA17" s="13" t="str">
        <x:v>Uso inadecuado del EPP</x:v>
      </x:c>
      <x:c r="AB17" s="13" t="str">
        <x:v>Vía en mal estado</x:v>
      </x:c>
      <x:c r="AC17" s="13" t="str">
        <x:v>Fatiga</x:v>
      </x:c>
      <x:c r="AD17" s="13" t="str">
        <x:v>Deficiencia en supervisión</x:v>
      </x:c>
      <x:c r="AE17" s="13" t="str">
        <x:v>Control operativo insuficiente frente a condición locativa</x:v>
      </x:c>
      <x:c r="AF17" s="13" t="str">
        <x:v>Reforzar supervisión operativa y seguimiento al uso de EPP</x:v>
      </x:c>
      <x:c r="AG17" s="13" t="str">
        <x:v>Jefe de Operaciones</x:v>
      </x:c>
      <x:c r="AH17" s="30" t="n">
        <x:v>45153</x:v>
      </x:c>
      <x:c r="AI17" s="30" t="str">
        <x:v>Cerrada</x:v>
      </x:c>
      <x:c r="AJ17" s="30" t="n">
        <x:v>45153</x:v>
      </x:c>
      <x:c r="AK17" s="13" t="str">
        <x:f>IF(OR(AI17&lt;&gt;"Cerrada",AJ17="",AH17=""),"No",IF(AJ17&lt;=AH17,"Sí","No"))</x:f>
        <x:v>Sí</x:v>
      </x:c>
      <x:c r="AL17" s="13" t="str">
        <x:v>Sí</x:v>
      </x:c>
      <x:c r="AM17" s="13" t="str">
        <x:v>Cerrado</x:v>
      </x:c>
      <x:c r="AN17" s="13" t="str">
        <x:v>Se vincula acción al plan de mejora del proceso.</x:v>
      </x:c>
    </x:row>
    <x:row r="18">
      <x:c r="A18" s="13" t="n">
        <x:v>2023</x:v>
      </x:c>
      <x:c r="B18" s="13" t="str">
        <x:v>AT-2023-009</x:v>
      </x:c>
      <x:c r="C18" s="30" t="n">
        <x:v>45126</x:v>
      </x:c>
      <x:c r="D18" s="13" t="str">
        <x:v>14:50</x:v>
      </x:c>
      <x:c r="E18" s="13" t="str">
        <x:v>Julio</x:v>
      </x:c>
      <x:c r="F18" s="13" t="str">
        <x:v>Valledupar</x:v>
      </x:c>
      <x:c r="G18" s="13" t="str">
        <x:v>Transporte de Valores</x:v>
      </x:c>
      <x:c r="H18" s="13" t="str">
        <x:v>Maribel Rocío Acevedo</x:v>
      </x:c>
      <x:c r="I18" s="13" t="str">
        <x:v>88075378</x:v>
      </x:c>
      <x:c r="J18" s="13" t="str">
        <x:v>Operador de Medios Tecnológicos</x:v>
      </x:c>
      <x:c r="K18" s="13" t="str">
        <x:v>Término indefinido</x:v>
      </x:c>
      <x:c r="L18" s="13" t="str">
        <x:v>ARL SURA</x:v>
      </x:c>
      <x:c r="M18" s="13" t="str">
        <x:v>Sin incapacidad</x:v>
      </x:c>
      <x:c r="N18" s="13" t="str">
        <x:v>Trabajador reporta lesión tipo trauma ocular leve durante servicio en puesto asignado por sobreesfuerzo o esfuerzo excesivo.</x:v>
      </x:c>
      <x:c r="O18" s="13" t="str">
        <x:v>Sobreesfuerzo o esfuerzo excesivo</x:v>
      </x:c>
      <x:c r="P18" s="13" t="str">
        <x:v>Arma de dotación</x:v>
      </x:c>
      <x:c r="Q18" s="13" t="str">
        <x:v>Puesto de vigilancia</x:v>
      </x:c>
      <x:c r="R18" s="13" t="str">
        <x:v>Mano</x:v>
      </x:c>
      <x:c r="S18" s="13" t="str">
        <x:v>Trauma ocular leve</x:v>
      </x:c>
      <x:c r="T18" s="13" t="n">
        <x:v>0</x:v>
      </x:c>
      <x:c r="U18" s="13" t="n">
        <x:f>IF(M18="Sin incapacidad",0,T18)</x:f>
        <x:v>0</x:v>
      </x:c>
      <x:c r="V18" s="13" t="str">
        <x:v>Sí</x:v>
      </x:c>
      <x:c r="W18" s="30" t="n">
        <x:v>45126</x:v>
      </x:c>
      <x:c r="X18" s="30" t="str">
        <x:v>Sí</x:v>
      </x:c>
      <x:c r="Y18" s="30" t="n">
        <x:v>45134</x:v>
      </x:c>
      <x:c r="Z18" s="13" t="str">
        <x:v>COPASST + SST</x:v>
      </x:c>
      <x:c r="AA18" s="13" t="str">
        <x:v>No asegurar postura adecuada</x:v>
      </x:c>
      <x:c r="AB18" s="13" t="str">
        <x:v>Iluminación insuficiente</x:v>
      </x:c>
      <x:c r="AC18" s="13" t="str">
        <x:v>Falta de atención</x:v>
      </x:c>
      <x:c r="AD18" s="13" t="str">
        <x:v>Falta de mantenimiento</x:v>
      </x:c>
      <x:c r="AE18" s="13" t="str">
        <x:v>Falta de inspección previa y gestión tardía del peligro</x:v>
      </x:c>
      <x:c r="AF18" s="13" t="str">
        <x:v>Realizar capacitación focalizada y socialización de lección aprendida</x:v>
      </x:c>
      <x:c r="AG18" s="13" t="str">
        <x:v>Líder de Mantenimiento</x:v>
      </x:c>
      <x:c r="AH18" s="30" t="n">
        <x:v>45149</x:v>
      </x:c>
      <x:c r="AI18" s="30" t="str">
        <x:v>Cerrada</x:v>
      </x:c>
      <x:c r="AJ18" s="30" t="n">
        <x:v>45145</x:v>
      </x:c>
      <x:c r="AK18" s="13" t="str">
        <x:f>IF(OR(AI18&lt;&gt;"Cerrada",AJ18="",AH18=""),"No",IF(AJ18&lt;=AH18,"Sí","No"))</x:f>
        <x:v>Sí</x:v>
      </x:c>
      <x:c r="AL18" s="13" t="str">
        <x:v>Sí</x:v>
      </x:c>
      <x:c r="AM18" s="13" t="str">
        <x:v>Cerrado</x:v>
      </x:c>
      <x:c r="AN18" s="13" t="str">
        <x:v>Se realiza seguimiento por SST y jefe inmediato.</x:v>
      </x:c>
    </x:row>
    <x:row r="19">
      <x:c r="A19" s="13" t="n">
        <x:v>2023</x:v>
      </x:c>
      <x:c r="B19" s="13" t="str">
        <x:v>AT-2023-015</x:v>
      </x:c>
      <x:c r="C19" s="30" t="n">
        <x:v>45133</x:v>
      </x:c>
      <x:c r="D19" s="13" t="str">
        <x:v>15:15</x:v>
      </x:c>
      <x:c r="E19" s="13" t="str">
        <x:v>Julio</x:v>
      </x:c>
      <x:c r="F19" s="13" t="str">
        <x:v>Girón</x:v>
      </x:c>
      <x:c r="G19" s="13" t="str">
        <x:v>Transporte de Valores</x:v>
      </x:c>
      <x:c r="H19" s="13" t="str">
        <x:v>Edwin Mauricio Rodríguez</x:v>
      </x:c>
      <x:c r="I19" s="13" t="str">
        <x:v>88076036</x:v>
      </x:c>
      <x:c r="J19" s="13" t="str">
        <x:v>Operador de Medios Tecnológicos</x:v>
      </x:c>
      <x:c r="K19" s="13" t="str">
        <x:v>Término indefinido</x:v>
      </x:c>
      <x:c r="L19" s="13" t="str">
        <x:v>ARL SURA</x:v>
      </x:c>
      <x:c r="M19" s="13" t="str">
        <x:v>Con incapacidad</x:v>
      </x:c>
      <x:c r="N19" s="13" t="str">
        <x:v>Trabajador reporta lesión tipo herida superficial durante servicio en puesto asignado por exposición a temperatura.</x:v>
      </x:c>
      <x:c r="O19" s="13" t="str">
        <x:v>Exposición a temperatura</x:v>
      </x:c>
      <x:c r="P19" s="13" t="str">
        <x:v>Puerta metálica</x:v>
      </x:c>
      <x:c r="Q19" s="13" t="str">
        <x:v>Zona común del cliente</x:v>
      </x:c>
      <x:c r="R19" s="13" t="str">
        <x:v>Tobillo</x:v>
      </x:c>
      <x:c r="S19" s="13" t="str">
        <x:v>Herida superficial</x:v>
      </x:c>
      <x:c r="T19" s="13" t="n">
        <x:v>10</x:v>
      </x:c>
      <x:c r="U19" s="13" t="n">
        <x:f>IF(M19="Sin incapacidad",0,T19)</x:f>
        <x:v>10</x:v>
      </x:c>
      <x:c r="V19" s="13" t="str">
        <x:v>Sí</x:v>
      </x:c>
      <x:c r="W19" s="30" t="n">
        <x:v>45135</x:v>
      </x:c>
      <x:c r="X19" s="30" t="str">
        <x:v>Sí</x:v>
      </x:c>
      <x:c r="Y19" s="30" t="n">
        <x:v>45139</x:v>
      </x:c>
      <x:c r="Z19" s="13" t="str">
        <x:v>Coordinador SST + Operaciones</x:v>
      </x:c>
      <x:c r="AA19" s="13" t="str">
        <x:v>No reportar condición insegura</x:v>
      </x:c>
      <x:c r="AB19" s="13" t="str">
        <x:v>Cable expuesto</x:v>
      </x:c>
      <x:c r="AC19" s="13" t="str">
        <x:v>Capacitación insuficiente</x:v>
      </x:c>
      <x:c r="AD19" s="13" t="str">
        <x:v>Deficiencia en supervisión</x:v>
      </x:c>
      <x:c r="AE19" s="13" t="str">
        <x:v>Falta de inspección previa y gestión tardía del peligro</x:v>
      </x:c>
      <x:c r="AF19" s="13" t="str">
        <x:v>Reforzar supervisión operativa y seguimiento al uso de EPP</x:v>
      </x:c>
      <x:c r="AG19" s="13" t="str">
        <x:v>Líder de Mantenimiento</x:v>
      </x:c>
      <x:c r="AH19" s="30" t="n">
        <x:v>45154</x:v>
      </x:c>
      <x:c r="AI19" s="30" t="str">
        <x:v>Cerrada</x:v>
      </x:c>
      <x:c r="AJ19" s="30" t="n">
        <x:v>45155</x:v>
      </x:c>
      <x:c r="AK19" s="13" t="str">
        <x:f>IF(OR(AI19&lt;&gt;"Cerrada",AJ19="",AH19=""),"No",IF(AJ19&lt;=AH19,"Sí","No"))</x:f>
        <x:v>No</x:v>
      </x:c>
      <x:c r="AL19" s="13" t="str">
        <x:v>Sí</x:v>
      </x:c>
      <x:c r="AM19" s="13" t="str">
        <x:v>Cerrado</x:v>
      </x:c>
      <x:c r="AN19" s="13" t="str">
        <x:v>Se realiza seguimiento por SST y jefe inmediato.</x:v>
      </x:c>
    </x:row>
    <x:row r="20">
      <x:c r="A20" s="13" t="n">
        <x:v>2023</x:v>
      </x:c>
      <x:c r="B20" s="13" t="str">
        <x:v>AT-2023-010</x:v>
      </x:c>
      <x:c r="C20" s="30" t="n">
        <x:v>45141</x:v>
      </x:c>
      <x:c r="D20" s="13" t="str">
        <x:v>16:30</x:v>
      </x:c>
      <x:c r="E20" s="13" t="str">
        <x:v>Agosto</x:v>
      </x:c>
      <x:c r="F20" s="13" t="str">
        <x:v>Girón</x:v>
      </x:c>
      <x:c r="G20" s="13" t="str">
        <x:v>Supervisión</x:v>
      </x:c>
      <x:c r="H20" s="13" t="str">
        <x:v>Wilson David Quintero</x:v>
      </x:c>
      <x:c r="I20" s="13" t="str">
        <x:v>88075492</x:v>
      </x:c>
      <x:c r="J20" s="13" t="str">
        <x:v>Escolta</x:v>
      </x:c>
      <x:c r="K20" s="13" t="str">
        <x:v>Término indefinido</x:v>
      </x:c>
      <x:c r="L20" s="13" t="str">
        <x:v>ARL SURA</x:v>
      </x:c>
      <x:c r="M20" s="13" t="str">
        <x:v>Con incapacidad</x:v>
      </x:c>
      <x:c r="N20" s="13" t="str">
        <x:v>Trabajador reporta lesión tipo contusión durante servicio en puesto asignado por golpeado por/contra.</x:v>
      </x:c>
      <x:c r="O20" s="13" t="str">
        <x:v>Golpeado por/contra</x:v>
      </x:c>
      <x:c r="P20" s="13" t="str">
        <x:v>Escritorio</x:v>
      </x:c>
      <x:c r="Q20" s="13" t="str">
        <x:v>Cuarto técnico</x:v>
      </x:c>
      <x:c r="R20" s="13" t="str">
        <x:v>Muñeca</x:v>
      </x:c>
      <x:c r="S20" s="13" t="str">
        <x:v>Contusión</x:v>
      </x:c>
      <x:c r="T20" s="13" t="n">
        <x:v>12</x:v>
      </x:c>
      <x:c r="U20" s="13" t="n">
        <x:f>IF(M20="Sin incapacidad",0,T20)</x:f>
        <x:v>12</x:v>
      </x:c>
      <x:c r="V20" s="13" t="str">
        <x:v>Sí</x:v>
      </x:c>
      <x:c r="W20" s="30" t="n">
        <x:v>45143</x:v>
      </x:c>
      <x:c r="X20" s="30" t="str">
        <x:v>No</x:v>
      </x:c>
      <x:c r="Y20" s="30"/>
      <x:c r="Z20" s="13" t="str">
        <x:v>Jefe inmediato + SST</x:v>
      </x:c>
      <x:c r="AA20" s="13" t="str">
        <x:v>Desplazamiento apresurado</x:v>
      </x:c>
      <x:c r="AB20" s="13" t="str">
        <x:v>Señalización insuficiente</x:v>
      </x:c>
      <x:c r="AC20" s="13" t="str">
        <x:v>Apuro operativo</x:v>
      </x:c>
      <x:c r="AD20" s="13" t="str">
        <x:v>Procedimiento no actualizado</x:v>
      </x:c>
      <x:c r="AE20" s="13" t="str">
        <x:v>Incumplimiento del procedimiento seguro y supervisión insuficiente</x:v>
      </x:c>
      <x:c r="AF20" s="13" t="str">
        <x:v>Actualizar procedimiento seguro de trabajo y verificar cumplimiento</x:v>
      </x:c>
      <x:c r="AG20" s="13" t="str">
        <x:v>Coordinador SST</x:v>
      </x:c>
      <x:c r="AH20" s="30" t="n">
        <x:v>45156</x:v>
      </x:c>
      <x:c r="AI20" s="30" t="str">
        <x:v>Cerrada</x:v>
      </x:c>
      <x:c r="AJ20" s="30" t="n">
        <x:v>45159</x:v>
      </x:c>
      <x:c r="AK20" s="13" t="str">
        <x:f>IF(OR(AI20&lt;&gt;"Cerrada",AJ20="",AH20=""),"No",IF(AJ20&lt;=AH20,"Sí","No"))</x:f>
        <x:v>No</x:v>
      </x:c>
      <x:c r="AL20" s="13" t="str">
        <x:v>Sí</x:v>
      </x:c>
      <x:c r="AM20" s="13" t="str">
        <x:v>Cerrado</x:v>
      </x:c>
      <x:c r="AN20" s="13" t="str">
        <x:v>Se realiza seguimiento por SST y jefe inmediato.</x:v>
      </x:c>
    </x:row>
    <x:row r="21">
      <x:c r="A21" s="13" t="n">
        <x:v>2023</x:v>
      </x:c>
      <x:c r="B21" s="13" t="str">
        <x:v>AT-2023-017</x:v>
      </x:c>
      <x:c r="C21" s="30" t="n">
        <x:v>45164</x:v>
      </x:c>
      <x:c r="D21" s="13" t="str">
        <x:v>16:50</x:v>
      </x:c>
      <x:c r="E21" s="13" t="str">
        <x:v>Agosto</x:v>
      </x:c>
      <x:c r="F21" s="13" t="str">
        <x:v>Ábrego</x:v>
      </x:c>
      <x:c r="G21" s="13" t="str">
        <x:v>Mantenimiento</x:v>
      </x:c>
      <x:c r="H21" s="13" t="str">
        <x:v>Ángela María Villamizar</x:v>
      </x:c>
      <x:c r="I21" s="13" t="str">
        <x:v>88075936</x:v>
      </x:c>
      <x:c r="J21" s="13" t="str">
        <x:v>Conductor</x:v>
      </x:c>
      <x:c r="K21" s="13" t="str">
        <x:v>Término fijo</x:v>
      </x:c>
      <x:c r="L21" s="13" t="str">
        <x:v>ARL SURA</x:v>
      </x:c>
      <x:c r="M21" s="13" t="str">
        <x:v>Sin incapacidad</x:v>
      </x:c>
      <x:c r="N21" s="13" t="str">
        <x:v>Durante ronda de vigilancia en ábrego, el trabajador sufrió luxación por sobreesfuerzo o esfuerzo excesivo.</x:v>
      </x:c>
      <x:c r="O21" s="13" t="str">
        <x:v>Sobreesfuerzo o esfuerzo excesivo</x:v>
      </x:c>
      <x:c r="P21" s="13" t="str">
        <x:v>Puerta metálica</x:v>
      </x:c>
      <x:c r="Q21" s="13" t="str">
        <x:v>Área administrativa</x:v>
      </x:c>
      <x:c r="R21" s="13" t="str">
        <x:v>Rodilla</x:v>
      </x:c>
      <x:c r="S21" s="13" t="str">
        <x:v>Luxación</x:v>
      </x:c>
      <x:c r="T21" s="13" t="n">
        <x:v>0</x:v>
      </x:c>
      <x:c r="U21" s="13" t="n">
        <x:f>IF(M21="Sin incapacidad",0,T21)</x:f>
        <x:v>0</x:v>
      </x:c>
      <x:c r="V21" s="13" t="str">
        <x:v>Sí</x:v>
      </x:c>
      <x:c r="W21" s="30" t="n">
        <x:v>45166</x:v>
      </x:c>
      <x:c r="X21" s="30" t="str">
        <x:v>Sí</x:v>
      </x:c>
      <x:c r="Y21" s="30" t="n">
        <x:v>45168</x:v>
      </x:c>
      <x:c r="Z21" s="13" t="str">
        <x:v>Supervisor + Analista SST</x:v>
      </x:c>
      <x:c r="AA21" s="13" t="str">
        <x:v>No reportar condición insegura</x:v>
      </x:c>
      <x:c r="AB21" s="13" t="str">
        <x:v>Iluminación insuficiente</x:v>
      </x:c>
      <x:c r="AC21" s="13" t="str">
        <x:v>Capacitación insuficiente</x:v>
      </x:c>
      <x:c r="AD21" s="13" t="str">
        <x:v>Procedimiento no actualizado</x:v>
      </x:c>
      <x:c r="AE21" s="13" t="str">
        <x:v>Incumplimiento del procedimiento seguro y supervisión insuficiente</x:v>
      </x:c>
      <x:c r="AF21" s="13" t="str">
        <x:v>Actualizar procedimiento seguro de trabajo y verificar cumplimiento</x:v>
      </x:c>
      <x:c r="AG21" s="13" t="str">
        <x:v>Jefe de Operaciones</x:v>
      </x:c>
      <x:c r="AH21" s="30" t="n">
        <x:v>45188</x:v>
      </x:c>
      <x:c r="AI21" s="30" t="str">
        <x:v>En seguimiento</x:v>
      </x:c>
      <x:c r="AJ21" s="30"/>
      <x:c r="AK21" s="13" t="str">
        <x:f>IF(OR(AI21&lt;&gt;"Cerrada",AJ21="",AH21=""),"No",IF(AJ21&lt;=AH21,"Sí","No"))</x:f>
        <x:v>No</x:v>
      </x:c>
      <x:c r="AL21" s="13" t="str">
        <x:v>Pendiente verificación</x:v>
      </x:c>
      <x:c r="AM21" s="13" t="str">
        <x:v>En seguimiento</x:v>
      </x:c>
      <x:c r="AN21" s="13" t="str">
        <x:v>Se deja lección aprendida socializada en charla preoperacional.</x:v>
      </x:c>
    </x:row>
    <x:row r="22">
      <x:c r="A22" s="13" t="n">
        <x:v>2023</x:v>
      </x:c>
      <x:c r="B22" s="13" t="str">
        <x:v>AT-2023-031</x:v>
      </x:c>
      <x:c r="C22" s="30" t="n">
        <x:v>45169</x:v>
      </x:c>
      <x:c r="D22" s="13" t="str">
        <x:v>18:45</x:v>
      </x:c>
      <x:c r="E22" s="13" t="str">
        <x:v>Agosto</x:v>
      </x:c>
      <x:c r="F22" s="13" t="str">
        <x:v>Pamplona</x:v>
      </x:c>
      <x:c r="G22" s="13" t="str">
        <x:v>Talento Humano</x:v>
      </x:c>
      <x:c r="H22" s="13" t="str">
        <x:v>Jorge Enrique Suárez</x:v>
      </x:c>
      <x:c r="I22" s="13" t="str">
        <x:v>88076985</x:v>
      </x:c>
      <x:c r="J22" s="13" t="str">
        <x:v>Analista SST</x:v>
      </x:c>
      <x:c r="K22" s="13" t="str">
        <x:v>Término indefinido</x:v>
      </x:c>
      <x:c r="L22" s="13" t="str">
        <x:v>ARL SURA</x:v>
      </x:c>
      <x:c r="M22" s="13" t="str">
        <x:v>Con incapacidad</x:v>
      </x:c>
      <x:c r="N22" s="13" t="str">
        <x:v>Trabajador reporta lesión tipo esguince durante servicio en puesto asignado por sobreesfuerzo o esfuerzo excesivo.</x:v>
      </x:c>
      <x:c r="O22" s="13" t="str">
        <x:v>Sobreesfuerzo o esfuerzo excesivo</x:v>
      </x:c>
      <x:c r="P22" s="13" t="str">
        <x:v>Escalera</x:v>
      </x:c>
      <x:c r="Q22" s="13" t="str">
        <x:v>Vía pública en ronda</x:v>
      </x:c>
      <x:c r="R22" s="13" t="str">
        <x:v>Ojo</x:v>
      </x:c>
      <x:c r="S22" s="13" t="str">
        <x:v>Esguince</x:v>
      </x:c>
      <x:c r="T22" s="13" t="n">
        <x:v>15</x:v>
      </x:c>
      <x:c r="U22" s="13" t="n">
        <x:f>IF(M22="Sin incapacidad",0,T22)</x:f>
        <x:v>15</x:v>
      </x:c>
      <x:c r="V22" s="13" t="str">
        <x:v>Sí</x:v>
      </x:c>
      <x:c r="W22" s="30" t="n">
        <x:v>45170</x:v>
      </x:c>
      <x:c r="X22" s="30" t="str">
        <x:v>Sí</x:v>
      </x:c>
      <x:c r="Y22" s="30" t="n">
        <x:v>45172</x:v>
      </x:c>
      <x:c r="Z22" s="13" t="str">
        <x:v>Coordinador SST + Operaciones</x:v>
      </x:c>
      <x:c r="AA22" s="13" t="str">
        <x:v>Omisión de inspección previa</x:v>
      </x:c>
      <x:c r="AB22" s="13" t="str">
        <x:v>Iluminación insuficiente</x:v>
      </x:c>
      <x:c r="AC22" s="13" t="str">
        <x:v>Postura inadecuada</x:v>
      </x:c>
      <x:c r="AD22" s="13" t="str">
        <x:v>Procedimiento no actualizado</x:v>
      </x:c>
      <x:c r="AE22" s="13" t="str">
        <x:v>Mantenimiento deficiente y ausencia de corrección oportuna</x:v>
      </x:c>
      <x:c r="AF22" s="13" t="str">
        <x:v>Programar mantenimiento correctivo del elemento involucrado</x:v>
      </x:c>
      <x:c r="AG22" s="13" t="str">
        <x:v>Líder de Mantenimiento</x:v>
      </x:c>
      <x:c r="AH22" s="30" t="n">
        <x:v>45202</x:v>
      </x:c>
      <x:c r="AI22" s="30" t="str">
        <x:v>Cerrada</x:v>
      </x:c>
      <x:c r="AJ22" s="30" t="n">
        <x:v>45194</x:v>
      </x:c>
      <x:c r="AK22" s="13" t="str">
        <x:f>IF(OR(AI22&lt;&gt;"Cerrada",AJ22="",AH22=""),"No",IF(AJ22&lt;=AH22,"Sí","No"))</x:f>
        <x:v>Sí</x:v>
      </x:c>
      <x:c r="AL22" s="13" t="str">
        <x:v>Sí</x:v>
      </x:c>
      <x:c r="AM22" s="13" t="str">
        <x:v>Cerrado</x:v>
      </x:c>
      <x:c r="AN22" s="13" t="str">
        <x:v>Se vincula acción al plan de mejora del proceso.</x:v>
      </x:c>
    </x:row>
    <x:row r="23">
      <x:c r="A23" s="13" t="n">
        <x:v>2023</x:v>
      </x:c>
      <x:c r="B23" s="13" t="str">
        <x:v>AT-2023-027</x:v>
      </x:c>
      <x:c r="C23" s="30" t="n">
        <x:v>45183</x:v>
      </x:c>
      <x:c r="D23" s="13" t="str">
        <x:v>21:50</x:v>
      </x:c>
      <x:c r="E23" s="13" t="str">
        <x:v>Septiembre</x:v>
      </x:c>
      <x:c r="F23" s="13" t="str">
        <x:v>Barrancabermeja</x:v>
      </x:c>
      <x:c r="G23" s="13" t="str">
        <x:v>Central de Alarmas</x:v>
      </x:c>
      <x:c r="H23" s="13" t="str">
        <x:v>Ángela María Villamizar</x:v>
      </x:c>
      <x:c r="I23" s="13" t="str">
        <x:v>88076468</x:v>
      </x:c>
      <x:c r="J23" s="13" t="str">
        <x:v>Auxiliar Administrativa</x:v>
      </x:c>
      <x:c r="K23" s="13" t="str">
        <x:v>Término indefinido</x:v>
      </x:c>
      <x:c r="L23" s="13" t="str">
        <x:v>ARL SURA</x:v>
      </x:c>
      <x:c r="M23" s="13" t="str">
        <x:v>Con incapacidad</x:v>
      </x:c>
      <x:c r="N23" s="13" t="str">
        <x:v>Trabajador reporta lesión tipo contusión durante servicio en puesto asignado por caída de objetos.</x:v>
      </x:c>
      <x:c r="O23" s="13" t="str">
        <x:v>Caída de objetos</x:v>
      </x:c>
      <x:c r="P23" s="13" t="str">
        <x:v>Silla ergonómica</x:v>
      </x:c>
      <x:c r="Q23" s="13" t="str">
        <x:v>Acceso principal</x:v>
      </x:c>
      <x:c r="R23" s="13" t="str">
        <x:v>Brazo</x:v>
      </x:c>
      <x:c r="S23" s="13" t="str">
        <x:v>Contusión</x:v>
      </x:c>
      <x:c r="T23" s="13" t="n">
        <x:v>25</x:v>
      </x:c>
      <x:c r="U23" s="13" t="n">
        <x:f>IF(M23="Sin incapacidad",0,T23)</x:f>
        <x:v>25</x:v>
      </x:c>
      <x:c r="V23" s="13" t="str">
        <x:v>Sí</x:v>
      </x:c>
      <x:c r="W23" s="30" t="n">
        <x:v>45184</x:v>
      </x:c>
      <x:c r="X23" s="30" t="str">
        <x:v>Sí</x:v>
      </x:c>
      <x:c r="Y23" s="30" t="n">
        <x:v>45186</x:v>
      </x:c>
      <x:c r="Z23" s="13" t="str">
        <x:v>Coordinador SST + Operaciones</x:v>
      </x:c>
      <x:c r="AA23" s="13" t="str">
        <x:v>No reportar condición insegura</x:v>
      </x:c>
      <x:c r="AB23" s="13" t="str">
        <x:v>Vía en mal estado</x:v>
      </x:c>
      <x:c r="AC23" s="13" t="str">
        <x:v>Falta de atención</x:v>
      </x:c>
      <x:c r="AD23" s="13" t="str">
        <x:v>Control operativo insuficiente</x:v>
      </x:c>
      <x:c r="AE23" s="13" t="str">
        <x:v>Brecha de capacitación y hábitos inseguros de trabajo</x:v>
      </x:c>
      <x:c r="AF23" s="13" t="str">
        <x:v>Implementar señalización y control administrativo temporal</x:v>
      </x:c>
      <x:c r="AG23" s="13" t="str">
        <x:v>Analista SST</x:v>
      </x:c>
      <x:c r="AH23" s="30" t="n">
        <x:v>45196</x:v>
      </x:c>
      <x:c r="AI23" s="30" t="str">
        <x:v>Cerrada</x:v>
      </x:c>
      <x:c r="AJ23" s="30" t="n">
        <x:v>45195</x:v>
      </x:c>
      <x:c r="AK23" s="13" t="str">
        <x:f>IF(OR(AI23&lt;&gt;"Cerrada",AJ23="",AH23=""),"No",IF(AJ23&lt;=AH23,"Sí","No"))</x:f>
        <x:v>Sí</x:v>
      </x:c>
      <x:c r="AL23" s="13" t="str">
        <x:v>Sí</x:v>
      </x:c>
      <x:c r="AM23" s="13" t="str">
        <x:v>Cerrado</x:v>
      </x:c>
      <x:c r="AN23" s="13" t="str">
        <x:v>Se deja lección aprendida socializada en charla preoperacional.</x:v>
      </x:c>
    </x:row>
    <x:row r="24">
      <x:c r="A24" s="13" t="n">
        <x:v>2023</x:v>
      </x:c>
      <x:c r="B24" s="13" t="str">
        <x:v>AT-2023-006</x:v>
      </x:c>
      <x:c r="C24" s="30" t="n">
        <x:v>45208</x:v>
      </x:c>
      <x:c r="D24" s="13" t="str">
        <x:v>11:30</x:v>
      </x:c>
      <x:c r="E24" s="13" t="str">
        <x:v>Octubre</x:v>
      </x:c>
      <x:c r="F24" s="13" t="str">
        <x:v>Medellín</x:v>
      </x:c>
      <x:c r="G24" s="13" t="str">
        <x:v>Mantenimiento</x:v>
      </x:c>
      <x:c r="H24" s="13" t="str">
        <x:v>Ángela María Villamizar</x:v>
      </x:c>
      <x:c r="I24" s="13" t="str">
        <x:v>88076024</x:v>
      </x:c>
      <x:c r="J24" s="13" t="str">
        <x:v>Escolta</x:v>
      </x:c>
      <x:c r="K24" s="13" t="str">
        <x:v>Término indefinido</x:v>
      </x:c>
      <x:c r="L24" s="13" t="str">
        <x:v>ARL SURA</x:v>
      </x:c>
      <x:c r="M24" s="13" t="str">
        <x:v>Sin incapacidad</x:v>
      </x:c>
      <x:c r="N24" s="13" t="str">
        <x:v>Trabajador reporta lesión tipo trauma ocular leve durante servicio en puesto asignado por caída al mismo nivel.</x:v>
      </x:c>
      <x:c r="O24" s="13" t="str">
        <x:v>Caída al mismo nivel</x:v>
      </x:c>
      <x:c r="P24" s="13" t="str">
        <x:v>Puerta metálica</x:v>
      </x:c>
      <x:c r="Q24" s="13" t="str">
        <x:v>Puesto de vigilancia</x:v>
      </x:c>
      <x:c r="R24" s="13" t="str">
        <x:v>Cervical</x:v>
      </x:c>
      <x:c r="S24" s="13" t="str">
        <x:v>Trauma ocular leve</x:v>
      </x:c>
      <x:c r="T24" s="13" t="n">
        <x:v>0</x:v>
      </x:c>
      <x:c r="U24" s="13" t="n">
        <x:f>IF(M24="Sin incapacidad",0,T24)</x:f>
        <x:v>0</x:v>
      </x:c>
      <x:c r="V24" s="13" t="str">
        <x:v>Sí</x:v>
      </x:c>
      <x:c r="W24" s="30" t="n">
        <x:v>45209</x:v>
      </x:c>
      <x:c r="X24" s="30" t="str">
        <x:v>Sí</x:v>
      </x:c>
      <x:c r="Y24" s="30" t="n">
        <x:v>45216</x:v>
      </x:c>
      <x:c r="Z24" s="13" t="str">
        <x:v>Jefe inmediato + SST</x:v>
      </x:c>
      <x:c r="AA24" s="13" t="str">
        <x:v>Uso inadecuado del EPP</x:v>
      </x:c>
      <x:c r="AB24" s="13" t="str">
        <x:v>Señalización insuficiente</x:v>
      </x:c>
      <x:c r="AC24" s="13" t="str">
        <x:v>Fatiga</x:v>
      </x:c>
      <x:c r="AD24" s="13" t="str">
        <x:v>Procedimiento no actualizado</x:v>
      </x:c>
      <x:c r="AE24" s="13" t="str">
        <x:v>Control operativo insuficiente frente a condición locativa</x:v>
      </x:c>
      <x:c r="AF24" s="13" t="str">
        <x:v>Programar mantenimiento correctivo del elemento involucrado</x:v>
      </x:c>
      <x:c r="AG24" s="13" t="str">
        <x:v>Coordinador de Talento Humano</x:v>
      </x:c>
      <x:c r="AH24" s="30" t="n">
        <x:v>45231</x:v>
      </x:c>
      <x:c r="AI24" s="30" t="str">
        <x:v>Cerrada</x:v>
      </x:c>
      <x:c r="AJ24" s="30" t="n">
        <x:v>45236</x:v>
      </x:c>
      <x:c r="AK24" s="13" t="str">
        <x:f>IF(OR(AI24&lt;&gt;"Cerrada",AJ24="",AH24=""),"No",IF(AJ24&lt;=AH24,"Sí","No"))</x:f>
        <x:v>No</x:v>
      </x:c>
      <x:c r="AL24" s="13" t="str">
        <x:v>Sí</x:v>
      </x:c>
      <x:c r="AM24" s="13" t="str">
        <x:v>Cerrado</x:v>
      </x:c>
      <x:c r="AN24" s="13" t="str">
        <x:v>Se deja lección aprendida socializada en charla preoperacional.</x:v>
      </x:c>
    </x:row>
    <x:row r="25">
      <x:c r="A25" s="13" t="n">
        <x:v>2023</x:v>
      </x:c>
      <x:c r="B25" s="13" t="str">
        <x:v>AT-2023-004</x:v>
      </x:c>
      <x:c r="C25" s="30" t="n">
        <x:v>45214</x:v>
      </x:c>
      <x:c r="D25" s="13" t="str">
        <x:v>14:45</x:v>
      </x:c>
      <x:c r="E25" s="13" t="str">
        <x:v>Octubre</x:v>
      </x:c>
      <x:c r="F25" s="13" t="str">
        <x:v>Ábrego</x:v>
      </x:c>
      <x:c r="G25" s="13" t="str">
        <x:v>Escoltas</x:v>
      </x:c>
      <x:c r="H25" s="13" t="str">
        <x:v>Paola Andrea Cárdenas</x:v>
      </x:c>
      <x:c r="I25" s="13" t="str">
        <x:v>88075520</x:v>
      </x:c>
      <x:c r="J25" s="13" t="str">
        <x:v>Operador de Medios Tecnológicos</x:v>
      </x:c>
      <x:c r="K25" s="13" t="str">
        <x:v>Término indefinido</x:v>
      </x:c>
      <x:c r="L25" s="13" t="str">
        <x:v>ARL SURA</x:v>
      </x:c>
      <x:c r="M25" s="13" t="str">
        <x:v>Sin incapacidad</x:v>
      </x:c>
      <x:c r="N25" s="13" t="str">
        <x:v>En desarrollo de actividades de escoltas, se presentó evento por caída de objetos asociado a motocicleta.</x:v>
      </x:c>
      <x:c r="O25" s="13" t="str">
        <x:v>Caída de objetos</x:v>
      </x:c>
      <x:c r="P25" s="13" t="str">
        <x:v>Motocicleta</x:v>
      </x:c>
      <x:c r="Q25" s="13" t="str">
        <x:v>Área administrativa</x:v>
      </x:c>
      <x:c r="R25" s="13" t="str">
        <x:v>Hombro</x:v>
      </x:c>
      <x:c r="S25" s="13" t="str">
        <x:v>Fractura menor</x:v>
      </x:c>
      <x:c r="T25" s="13" t="n">
        <x:v>0</x:v>
      </x:c>
      <x:c r="U25" s="13" t="n">
        <x:f>IF(M25="Sin incapacidad",0,T25)</x:f>
        <x:v>0</x:v>
      </x:c>
      <x:c r="V25" s="13" t="str">
        <x:v>Sí</x:v>
      </x:c>
      <x:c r="W25" s="30" t="n">
        <x:v>45216</x:v>
      </x:c>
      <x:c r="X25" s="30" t="str">
        <x:v>Sí</x:v>
      </x:c>
      <x:c r="Y25" s="30" t="n">
        <x:v>45221</x:v>
      </x:c>
      <x:c r="Z25" s="13" t="str">
        <x:v>Coordinador SST + Operaciones</x:v>
      </x:c>
      <x:c r="AA25" s="13" t="str">
        <x:v>Manipulación incorrecta de carga</x:v>
      </x:c>
      <x:c r="AB25" s="13" t="str">
        <x:v>Superficie deslizante</x:v>
      </x:c>
      <x:c r="AC25" s="13" t="str">
        <x:v>Capacitación insuficiente</x:v>
      </x:c>
      <x:c r="AD25" s="13" t="str">
        <x:v>Condición locativa no corregida</x:v>
      </x:c>
      <x:c r="AE25" s="13" t="str">
        <x:v>Control operativo insuficiente frente a condición locativa</x:v>
      </x:c>
      <x:c r="AF25" s="13" t="str">
        <x:v>Implementar señalización y control administrativo temporal</x:v>
      </x:c>
      <x:c r="AG25" s="13" t="str">
        <x:v>Coordinador de Talento Humano</x:v>
      </x:c>
      <x:c r="AH25" s="30" t="n">
        <x:v>45241</x:v>
      </x:c>
      <x:c r="AI25" s="30" t="str">
        <x:v>Cerrada</x:v>
      </x:c>
      <x:c r="AJ25" s="30" t="n">
        <x:v>45241</x:v>
      </x:c>
      <x:c r="AK25" s="13" t="str">
        <x:f>IF(OR(AI25&lt;&gt;"Cerrada",AJ25="",AH25=""),"No",IF(AJ25&lt;=AH25,"Sí","No"))</x:f>
        <x:v>Sí</x:v>
      </x:c>
      <x:c r="AL25" s="13" t="str">
        <x:v>Sí</x:v>
      </x:c>
      <x:c r="AM25" s="13" t="str">
        <x:v>Cerrado</x:v>
      </x:c>
      <x:c r="AN25" s="13" t="str">
        <x:v>Se recomienda refuerzo de inspecciones y autocuidado.</x:v>
      </x:c>
    </x:row>
    <x:row r="26">
      <x:c r="A26" s="13" t="n">
        <x:v>2023</x:v>
      </x:c>
      <x:c r="B26" s="13" t="str">
        <x:v>AT-2023-014</x:v>
      </x:c>
      <x:c r="C26" s="30" t="n">
        <x:v>45224</x:v>
      </x:c>
      <x:c r="D26" s="13" t="str">
        <x:v>14:00</x:v>
      </x:c>
      <x:c r="E26" s="13" t="str">
        <x:v>Octubre</x:v>
      </x:c>
      <x:c r="F26" s="13" t="str">
        <x:v>Barrancabermeja</x:v>
      </x:c>
      <x:c r="G26" s="13" t="str">
        <x:v>Central de Alarmas</x:v>
      </x:c>
      <x:c r="H26" s="13" t="str">
        <x:v>Sergio Andrés Duarte</x:v>
      </x:c>
      <x:c r="I26" s="13" t="str">
        <x:v>88075815</x:v>
      </x:c>
      <x:c r="J26" s="13" t="str">
        <x:v>Auxiliar Administrativa</x:v>
      </x:c>
      <x:c r="K26" s="13" t="str">
        <x:v>Término indefinido</x:v>
      </x:c>
      <x:c r="L26" s="13" t="str">
        <x:v>ARL SURA</x:v>
      </x:c>
      <x:c r="M26" s="13" t="str">
        <x:v>Con incapacidad</x:v>
      </x:c>
      <x:c r="N26" s="13" t="str">
        <x:v>Trabajador reporta lesión tipo luxación durante servicio en puesto asignado por golpeado por/contra.</x:v>
      </x:c>
      <x:c r="O26" s="13" t="str">
        <x:v>Golpeado por/contra</x:v>
      </x:c>
      <x:c r="P26" s="13" t="str">
        <x:v>Silla ergonómica</x:v>
      </x:c>
      <x:c r="Q26" s="13" t="str">
        <x:v>Vía pública en ronda</x:v>
      </x:c>
      <x:c r="R26" s="13" t="str">
        <x:v>Rodilla</x:v>
      </x:c>
      <x:c r="S26" s="13" t="str">
        <x:v>Luxación</x:v>
      </x:c>
      <x:c r="T26" s="13" t="n">
        <x:v>1</x:v>
      </x:c>
      <x:c r="U26" s="13" t="n">
        <x:f>IF(M26="Sin incapacidad",0,T26)</x:f>
        <x:v>1</x:v>
      </x:c>
      <x:c r="V26" s="13" t="str">
        <x:v>Sí</x:v>
      </x:c>
      <x:c r="W26" s="30" t="n">
        <x:v>45225</x:v>
      </x:c>
      <x:c r="X26" s="30" t="str">
        <x:v>Sí</x:v>
      </x:c>
      <x:c r="Y26" s="30" t="n">
        <x:v>45233</x:v>
      </x:c>
      <x:c r="Z26" s="13" t="str">
        <x:v>COPASST + SST</x:v>
      </x:c>
      <x:c r="AA26" s="13" t="str">
        <x:v>Distracción durante la labor</x:v>
      </x:c>
      <x:c r="AB26" s="13" t="str">
        <x:v>Herramienta en mal estado</x:v>
      </x:c>
      <x:c r="AC26" s="13" t="str">
        <x:v>Fatiga</x:v>
      </x:c>
      <x:c r="AD26" s="13" t="str">
        <x:v>Condición locativa no corregida</x:v>
      </x:c>
      <x:c r="AE26" s="13" t="str">
        <x:v>Mantenimiento deficiente y ausencia de corrección oportuna</x:v>
      </x:c>
      <x:c r="AF26" s="13" t="str">
        <x:v>Programar mantenimiento correctivo del elemento involucrado</x:v>
      </x:c>
      <x:c r="AG26" s="13" t="str">
        <x:v>Jefe de Operaciones</x:v>
      </x:c>
      <x:c r="AH26" s="30" t="n">
        <x:v>45243</x:v>
      </x:c>
      <x:c r="AI26" s="30" t="str">
        <x:v>Cerrada</x:v>
      </x:c>
      <x:c r="AJ26" s="30" t="n">
        <x:v>45244</x:v>
      </x:c>
      <x:c r="AK26" s="13" t="str">
        <x:f>IF(OR(AI26&lt;&gt;"Cerrada",AJ26="",AH26=""),"No",IF(AJ26&lt;=AH26,"Sí","No"))</x:f>
        <x:v>No</x:v>
      </x:c>
      <x:c r="AL26" s="13" t="str">
        <x:v>Sí</x:v>
      </x:c>
      <x:c r="AM26" s="13" t="str">
        <x:v>Cerrado</x:v>
      </x:c>
      <x:c r="AN26" s="13" t="str">
        <x:v>Se vincula acción al plan de mejora del proceso.</x:v>
      </x:c>
    </x:row>
    <x:row r="27">
      <x:c r="A27" s="13" t="n">
        <x:v>2023</x:v>
      </x:c>
      <x:c r="B27" s="13" t="str">
        <x:v>AT-2023-032</x:v>
      </x:c>
      <x:c r="C27" s="30" t="n">
        <x:v>45247</x:v>
      </x:c>
      <x:c r="D27" s="13" t="str">
        <x:v>21:00</x:v>
      </x:c>
      <x:c r="E27" s="13" t="str">
        <x:v>Noviembre</x:v>
      </x:c>
      <x:c r="F27" s="13" t="str">
        <x:v>Ábrego</x:v>
      </x:c>
      <x:c r="G27" s="13" t="str">
        <x:v>Operaciones</x:v>
      </x:c>
      <x:c r="H27" s="13" t="str">
        <x:v>Leidy Tatiana Becerra</x:v>
      </x:c>
      <x:c r="I27" s="13" t="str">
        <x:v>88076799</x:v>
      </x:c>
      <x:c r="J27" s="13" t="str">
        <x:v>Escolta</x:v>
      </x:c>
      <x:c r="K27" s="13" t="str">
        <x:v>Término indefinido</x:v>
      </x:c>
      <x:c r="L27" s="13" t="str">
        <x:v>ARL SURA</x:v>
      </x:c>
      <x:c r="M27" s="13" t="str">
        <x:v>Sin incapacidad</x:v>
      </x:c>
      <x:c r="N27" s="13" t="str">
        <x:v>Durante ronda de vigilancia en ábrego, el trabajador sufrió golpe leve por accidente de tránsito.</x:v>
      </x:c>
      <x:c r="O27" s="13" t="str">
        <x:v>Accidente de tránsito</x:v>
      </x:c>
      <x:c r="P27" s="13" t="str">
        <x:v>Rejilla</x:v>
      </x:c>
      <x:c r="Q27" s="13" t="str">
        <x:v>Área administrativa</x:v>
      </x:c>
      <x:c r="R27" s="13" t="str">
        <x:v>Muñeca</x:v>
      </x:c>
      <x:c r="S27" s="13" t="str">
        <x:v>Golpe leve</x:v>
      </x:c>
      <x:c r="T27" s="13" t="n">
        <x:v>0</x:v>
      </x:c>
      <x:c r="U27" s="13" t="n">
        <x:f>IF(M27="Sin incapacidad",0,T27)</x:f>
        <x:v>0</x:v>
      </x:c>
      <x:c r="V27" s="13" t="str">
        <x:v>Sí</x:v>
      </x:c>
      <x:c r="W27" s="30" t="n">
        <x:v>45247</x:v>
      </x:c>
      <x:c r="X27" s="30" t="str">
        <x:v>Sí</x:v>
      </x:c>
      <x:c r="Y27" s="30" t="n">
        <x:v>45248</x:v>
      </x:c>
      <x:c r="Z27" s="13" t="str">
        <x:v>Jefe inmediato + SST</x:v>
      </x:c>
      <x:c r="AA27" s="13" t="str">
        <x:v>Distracción durante la labor</x:v>
      </x:c>
      <x:c r="AB27" s="13" t="str">
        <x:v>Superficie deslizante</x:v>
      </x:c>
      <x:c r="AC27" s="13" t="str">
        <x:v>Exceso de confianza</x:v>
      </x:c>
      <x:c r="AD27" s="13" t="str">
        <x:v>Procedimiento no actualizado</x:v>
      </x:c>
      <x:c r="AE27" s="13" t="str">
        <x:v>Mantenimiento deficiente y ausencia de corrección oportuna</x:v>
      </x:c>
      <x:c r="AF27" s="13" t="str">
        <x:v>Reforzar supervisión operativa y seguimiento al uso de EPP</x:v>
      </x:c>
      <x:c r="AG27" s="13" t="str">
        <x:v>Supervisor Operativo</x:v>
      </x:c>
      <x:c r="AH27" s="30" t="n">
        <x:v>45263</x:v>
      </x:c>
      <x:c r="AI27" s="30" t="str">
        <x:v>Cerrada</x:v>
      </x:c>
      <x:c r="AJ27" s="30" t="n">
        <x:v>45259</x:v>
      </x:c>
      <x:c r="AK27" s="13" t="str">
        <x:f>IF(OR(AI27&lt;&gt;"Cerrada",AJ27="",AH27=""),"No",IF(AJ27&lt;=AH27,"Sí","No"))</x:f>
        <x:v>Sí</x:v>
      </x:c>
      <x:c r="AL27" s="13" t="str">
        <x:v>Sí</x:v>
      </x:c>
      <x:c r="AM27" s="13" t="str">
        <x:v>Cerrado</x:v>
      </x:c>
      <x:c r="AN27" s="13" t="str">
        <x:v>Se deja lección aprendida socializada en charla preoperacional.</x:v>
      </x:c>
    </x:row>
    <x:row r="28">
      <x:c r="A28" s="13" t="n">
        <x:v>2023</x:v>
      </x:c>
      <x:c r="B28" s="13" t="str">
        <x:v>AT-2023-001</x:v>
      </x:c>
      <x:c r="C28" s="30" t="n">
        <x:v>45254</x:v>
      </x:c>
      <x:c r="D28" s="13" t="str">
        <x:v>09:00</x:v>
      </x:c>
      <x:c r="E28" s="13" t="str">
        <x:v>Noviembre</x:v>
      </x:c>
      <x:c r="F28" s="13" t="str">
        <x:v>Valledupar</x:v>
      </x:c>
      <x:c r="G28" s="13" t="str">
        <x:v>Monitoreo</x:v>
      </x:c>
      <x:c r="H28" s="13" t="str">
        <x:v>Laura Valentina Martínez</x:v>
      </x:c>
      <x:c r="I28" s="13" t="str">
        <x:v>88075580</x:v>
      </x:c>
      <x:c r="J28" s="13" t="str">
        <x:v>Supervisor de Puesto</x:v>
      </x:c>
      <x:c r="K28" s="13" t="str">
        <x:v>Término fijo</x:v>
      </x:c>
      <x:c r="L28" s="13" t="str">
        <x:v>ARL SURA</x:v>
      </x:c>
      <x:c r="M28" s="13" t="str">
        <x:v>Con incapacidad</x:v>
      </x:c>
      <x:c r="N28" s="13" t="str">
        <x:v>En desarrollo de actividades de monitoreo, se presentó evento por sobreesfuerzo o esfuerzo excesivo asociado a piso húmedo.</x:v>
      </x:c>
      <x:c r="O28" s="13" t="str">
        <x:v>Sobreesfuerzo o esfuerzo excesivo</x:v>
      </x:c>
      <x:c r="P28" s="13" t="str">
        <x:v>Piso húmedo</x:v>
      </x:c>
      <x:c r="Q28" s="13" t="str">
        <x:v>Acceso principal</x:v>
      </x:c>
      <x:c r="R28" s="13" t="str">
        <x:v>Mano</x:v>
      </x:c>
      <x:c r="S28" s="13" t="str">
        <x:v>Esguince</x:v>
      </x:c>
      <x:c r="T28" s="13" t="n">
        <x:v>4</x:v>
      </x:c>
      <x:c r="U28" s="13" t="n">
        <x:f>IF(M28="Sin incapacidad",0,T28)</x:f>
        <x:v>4</x:v>
      </x:c>
      <x:c r="V28" s="13" t="str">
        <x:v>Sí</x:v>
      </x:c>
      <x:c r="W28" s="30" t="n">
        <x:v>45254</x:v>
      </x:c>
      <x:c r="X28" s="30" t="str">
        <x:v>Sí</x:v>
      </x:c>
      <x:c r="Y28" s="30" t="n">
        <x:v>45255</x:v>
      </x:c>
      <x:c r="Z28" s="13" t="str">
        <x:v>COPASST + SST</x:v>
      </x:c>
      <x:c r="AA28" s="13" t="str">
        <x:v>Conducción sin distancia segura</x:v>
      </x:c>
      <x:c r="AB28" s="13" t="str">
        <x:v>Señalización insuficiente</x:v>
      </x:c>
      <x:c r="AC28" s="13" t="str">
        <x:v>Postura inadecuada</x:v>
      </x:c>
      <x:c r="AD28" s="13" t="str">
        <x:v>Control operativo insuficiente</x:v>
      </x:c>
      <x:c r="AE28" s="13" t="str">
        <x:v>Mantenimiento deficiente y ausencia de corrección oportuna</x:v>
      </x:c>
      <x:c r="AF28" s="13" t="str">
        <x:v>Realizar capacitación focalizada y socialización de lección aprendida</x:v>
      </x:c>
      <x:c r="AG28" s="13" t="str">
        <x:v>Supervisor Operativo</x:v>
      </x:c>
      <x:c r="AH28" s="30" t="n">
        <x:v>45285</x:v>
      </x:c>
      <x:c r="AI28" s="30" t="str">
        <x:v>Cerrada</x:v>
      </x:c>
      <x:c r="AJ28" s="30" t="n">
        <x:v>45288</x:v>
      </x:c>
      <x:c r="AK28" s="13" t="str">
        <x:f>IF(OR(AI28&lt;&gt;"Cerrada",AJ28="",AH28=""),"No",IF(AJ28&lt;=AH28,"Sí","No"))</x:f>
        <x:v>No</x:v>
      </x:c>
      <x:c r="AL28" s="13" t="str">
        <x:v>Sí</x:v>
      </x:c>
      <x:c r="AM28" s="13" t="str">
        <x:v>Cerrado</x:v>
      </x:c>
      <x:c r="AN28" s="13" t="str">
        <x:v>Se realiza seguimiento por SST y jefe inmediato.</x:v>
      </x:c>
    </x:row>
    <x:row r="29">
      <x:c r="A29" s="13" t="n">
        <x:v>2023</x:v>
      </x:c>
      <x:c r="B29" s="13" t="str">
        <x:v>AT-2023-020</x:v>
      </x:c>
      <x:c r="C29" s="30" t="n">
        <x:v>45260</x:v>
      </x:c>
      <x:c r="D29" s="13" t="str">
        <x:v>07:00</x:v>
      </x:c>
      <x:c r="E29" s="13" t="str">
        <x:v>Noviembre</x:v>
      </x:c>
      <x:c r="F29" s="13" t="str">
        <x:v>Girón</x:v>
      </x:c>
      <x:c r="G29" s="13" t="str">
        <x:v>Operaciones</x:v>
      </x:c>
      <x:c r="H29" s="13" t="str">
        <x:v>Luis Fernando Gómez</x:v>
      </x:c>
      <x:c r="I29" s="13" t="str">
        <x:v>88075747</x:v>
      </x:c>
      <x:c r="J29" s="13" t="str">
        <x:v>Tecnólogo de Monitoreo</x:v>
      </x:c>
      <x:c r="K29" s="13" t="str">
        <x:v>Término indefinido</x:v>
      </x:c>
      <x:c r="L29" s="13" t="str">
        <x:v>ARL SURA</x:v>
      </x:c>
      <x:c r="M29" s="13" t="str">
        <x:v>Con incapacidad</x:v>
      </x:c>
      <x:c r="N29" s="13" t="str">
        <x:v>Trabajador reporta lesión tipo luxación durante servicio en puesto asignado por caída al mismo nivel.</x:v>
      </x:c>
      <x:c r="O29" s="13" t="str">
        <x:v>Caída al mismo nivel</x:v>
      </x:c>
      <x:c r="P29" s="13" t="str">
        <x:v>Vehículo</x:v>
      </x:c>
      <x:c r="Q29" s="13" t="str">
        <x:v>Parqueadero</x:v>
      </x:c>
      <x:c r="R29" s="13" t="str">
        <x:v>Ojo</x:v>
      </x:c>
      <x:c r="S29" s="13" t="str">
        <x:v>Luxación</x:v>
      </x:c>
      <x:c r="T29" s="13" t="n">
        <x:v>7</x:v>
      </x:c>
      <x:c r="U29" s="13" t="n">
        <x:f>IF(M29="Sin incapacidad",0,T29)</x:f>
        <x:v>7</x:v>
      </x:c>
      <x:c r="V29" s="13" t="str">
        <x:v>Sí</x:v>
      </x:c>
      <x:c r="W29" s="30" t="n">
        <x:v>45260</x:v>
      </x:c>
      <x:c r="X29" s="30" t="str">
        <x:v>Sí</x:v>
      </x:c>
      <x:c r="Y29" s="30" t="n">
        <x:v>45262</x:v>
      </x:c>
      <x:c r="Z29" s="13" t="str">
        <x:v>COPASST + SST</x:v>
      </x:c>
      <x:c r="AA29" s="13" t="str">
        <x:v>Manipulación incorrecta de carga</x:v>
      </x:c>
      <x:c r="AB29" s="13" t="str">
        <x:v>Iluminación insuficiente</x:v>
      </x:c>
      <x:c r="AC29" s="13" t="str">
        <x:v>Apuro operativo</x:v>
      </x:c>
      <x:c r="AD29" s="13" t="str">
        <x:v>Falta de mantenimiento</x:v>
      </x:c>
      <x:c r="AE29" s="13" t="str">
        <x:v>Mantenimiento deficiente y ausencia de corrección oportuna</x:v>
      </x:c>
      <x:c r="AF29" s="13" t="str">
        <x:v>Programar mantenimiento correctivo del elemento involucrado</x:v>
      </x:c>
      <x:c r="AG29" s="13" t="str">
        <x:v>Líder de Mantenimiento</x:v>
      </x:c>
      <x:c r="AH29" s="30" t="n">
        <x:v>45292</x:v>
      </x:c>
      <x:c r="AI29" s="30" t="str">
        <x:v>Cerrada</x:v>
      </x:c>
      <x:c r="AJ29" s="30" t="n">
        <x:v>45286</x:v>
      </x:c>
      <x:c r="AK29" s="13" t="str">
        <x:f>IF(OR(AI29&lt;&gt;"Cerrada",AJ29="",AH29=""),"No",IF(AJ29&lt;=AH29,"Sí","No"))</x:f>
        <x:v>Sí</x:v>
      </x:c>
      <x:c r="AL29" s="13" t="str">
        <x:v>Sí</x:v>
      </x:c>
      <x:c r="AM29" s="13" t="str">
        <x:v>Cerrado</x:v>
      </x:c>
      <x:c r="AN29" s="13" t="str">
        <x:v>Se realiza seguimiento por SST y jefe inmediato.</x:v>
      </x:c>
    </x:row>
    <x:row r="30">
      <x:c r="A30" s="13" t="n">
        <x:v>2023</x:v>
      </x:c>
      <x:c r="B30" s="13" t="str">
        <x:v>AT-2023-011</x:v>
      </x:c>
      <x:c r="C30" s="30" t="n">
        <x:v>45268</x:v>
      </x:c>
      <x:c r="D30" s="13" t="str">
        <x:v>15:10</x:v>
      </x:c>
      <x:c r="E30" s="13" t="str">
        <x:v>Diciembre</x:v>
      </x:c>
      <x:c r="F30" s="13" t="str">
        <x:v>Ocaña</x:v>
      </x:c>
      <x:c r="G30" s="13" t="str">
        <x:v>Monitoreo</x:v>
      </x:c>
      <x:c r="H30" s="13" t="str">
        <x:v>Mónica Paola Sánchez</x:v>
      </x:c>
      <x:c r="I30" s="13" t="str">
        <x:v>88075417</x:v>
      </x:c>
      <x:c r="J30" s="13" t="str">
        <x:v>Conductor</x:v>
      </x:c>
      <x:c r="K30" s="13" t="str">
        <x:v>Término indefinido</x:v>
      </x:c>
      <x:c r="L30" s="13" t="str">
        <x:v>ARL SURA</x:v>
      </x:c>
      <x:c r="M30" s="13" t="str">
        <x:v>Con incapacidad</x:v>
      </x:c>
      <x:c r="N30" s="13" t="str">
        <x:v>En desarrollo de actividades de monitoreo, se presentó evento por accidente de tránsito asociado a vehículo.</x:v>
      </x:c>
      <x:c r="O30" s="13" t="str">
        <x:v>Accidente de tránsito</x:v>
      </x:c>
      <x:c r="P30" s="13" t="str">
        <x:v>Vehículo</x:v>
      </x:c>
      <x:c r="Q30" s="13" t="str">
        <x:v>Puesto de vigilancia</x:v>
      </x:c>
      <x:c r="R30" s="13" t="str">
        <x:v>Tobillo</x:v>
      </x:c>
      <x:c r="S30" s="13" t="str">
        <x:v>Contractura muscular</x:v>
      </x:c>
      <x:c r="T30" s="13" t="n">
        <x:v>12</x:v>
      </x:c>
      <x:c r="U30" s="13" t="n">
        <x:f>IF(M30="Sin incapacidad",0,T30)</x:f>
        <x:v>12</x:v>
      </x:c>
      <x:c r="V30" s="13" t="str">
        <x:v>Sí</x:v>
      </x:c>
      <x:c r="W30" s="30" t="n">
        <x:v>45269</x:v>
      </x:c>
      <x:c r="X30" s="30" t="str">
        <x:v>Sí</x:v>
      </x:c>
      <x:c r="Y30" s="30" t="n">
        <x:v>45269</x:v>
      </x:c>
      <x:c r="Z30" s="13" t="str">
        <x:v>Jefe inmediato + SST</x:v>
      </x:c>
      <x:c r="AA30" s="13" t="str">
        <x:v>Conducción sin distancia segura</x:v>
      </x:c>
      <x:c r="AB30" s="13" t="str">
        <x:v>Vía en mal estado</x:v>
      </x:c>
      <x:c r="AC30" s="13" t="str">
        <x:v>Fatiga</x:v>
      </x:c>
      <x:c r="AD30" s="13" t="str">
        <x:v>Falta de mantenimiento</x:v>
      </x:c>
      <x:c r="AE30" s="13" t="str">
        <x:v>Mantenimiento deficiente y ausencia de corrección oportuna</x:v>
      </x:c>
      <x:c r="AF30" s="13" t="str">
        <x:v>Ejecutar inspección locativa y corrección inmediata del peligro</x:v>
      </x:c>
      <x:c r="AG30" s="13" t="str">
        <x:v>Líder de Mantenimiento</x:v>
      </x:c>
      <x:c r="AH30" s="30" t="n">
        <x:v>45289</x:v>
      </x:c>
      <x:c r="AI30" s="30" t="str">
        <x:v>Cerrada</x:v>
      </x:c>
      <x:c r="AJ30" s="30" t="n">
        <x:v>45287</x:v>
      </x:c>
      <x:c r="AK30" s="13" t="str">
        <x:f>IF(OR(AI30&lt;&gt;"Cerrada",AJ30="",AH30=""),"No",IF(AJ30&lt;=AH30,"Sí","No"))</x:f>
        <x:v>Sí</x:v>
      </x:c>
      <x:c r="AL30" s="13" t="str">
        <x:v>Sí</x:v>
      </x:c>
      <x:c r="AM30" s="13" t="str">
        <x:v>Cerrado</x:v>
      </x:c>
      <x:c r="AN30" s="13" t="str">
        <x:v>Se realiza seguimiento por SST y jefe inmediato.</x:v>
      </x:c>
    </x:row>
    <x:row r="31">
      <x:c r="A31" s="13" t="n">
        <x:v>2023</x:v>
      </x:c>
      <x:c r="B31" s="13" t="str">
        <x:v>AT-2023-026</x:v>
      </x:c>
      <x:c r="C31" s="30" t="n">
        <x:v>45279</x:v>
      </x:c>
      <x:c r="D31" s="13" t="str">
        <x:v>21:30</x:v>
      </x:c>
      <x:c r="E31" s="13" t="str">
        <x:v>Diciembre</x:v>
      </x:c>
      <x:c r="F31" s="13" t="str">
        <x:v>Cúcuta</x:v>
      </x:c>
      <x:c r="G31" s="13" t="str">
        <x:v>Operaciones</x:v>
      </x:c>
      <x:c r="H31" s="13" t="str">
        <x:v>Leidy Tatiana Becerra</x:v>
      </x:c>
      <x:c r="I31" s="13" t="str">
        <x:v>88075885</x:v>
      </x:c>
      <x:c r="J31" s="13" t="str">
        <x:v>Analista SST</x:v>
      </x:c>
      <x:c r="K31" s="13" t="str">
        <x:v>Término indefinido</x:v>
      </x:c>
      <x:c r="L31" s="13" t="str">
        <x:v>ARL SURA</x:v>
      </x:c>
      <x:c r="M31" s="13" t="str">
        <x:v>Sin incapacidad</x:v>
      </x:c>
      <x:c r="N31" s="13" t="str">
        <x:v>Trabajador reporta lesión tipo herida superficial durante servicio en puesto asignado por contacto eléctrico.</x:v>
      </x:c>
      <x:c r="O31" s="13" t="str">
        <x:v>Contacto eléctrico</x:v>
      </x:c>
      <x:c r="P31" s="13" t="str">
        <x:v>Radio de comunicación</x:v>
      </x:c>
      <x:c r="Q31" s="13" t="str">
        <x:v>Vía pública en ronda</x:v>
      </x:c>
      <x:c r="R31" s="13" t="str">
        <x:v>Brazo</x:v>
      </x:c>
      <x:c r="S31" s="13" t="str">
        <x:v>Herida superficial</x:v>
      </x:c>
      <x:c r="T31" s="13" t="n">
        <x:v>0</x:v>
      </x:c>
      <x:c r="U31" s="13" t="n">
        <x:f>IF(M31="Sin incapacidad",0,T31)</x:f>
        <x:v>0</x:v>
      </x:c>
      <x:c r="V31" s="13" t="str">
        <x:v>Sí</x:v>
      </x:c>
      <x:c r="W31" s="30" t="n">
        <x:v>45280</x:v>
      </x:c>
      <x:c r="X31" s="30" t="str">
        <x:v>Sí</x:v>
      </x:c>
      <x:c r="Y31" s="30" t="n">
        <x:v>45283</x:v>
      </x:c>
      <x:c r="Z31" s="13" t="str">
        <x:v>COPASST + SST</x:v>
      </x:c>
      <x:c r="AA31" s="13" t="str">
        <x:v>Manipulación incorrecta de carga</x:v>
      </x:c>
      <x:c r="AB31" s="13" t="str">
        <x:v>Orden y aseo deficiente</x:v>
      </x:c>
      <x:c r="AC31" s="13" t="str">
        <x:v>Fatiga</x:v>
      </x:c>
      <x:c r="AD31" s="13" t="str">
        <x:v>Falta de mantenimiento</x:v>
      </x:c>
      <x:c r="AE31" s="13" t="str">
        <x:v>Incumplimiento del procedimiento seguro y supervisión insuficiente</x:v>
      </x:c>
      <x:c r="AF31" s="13" t="str">
        <x:v>Actualizar procedimiento seguro de trabajo y verificar cumplimiento</x:v>
      </x:c>
      <x:c r="AG31" s="13" t="str">
        <x:v>Coordinador de Talento Humano</x:v>
      </x:c>
      <x:c r="AH31" s="30" t="n">
        <x:v>45303</x:v>
      </x:c>
      <x:c r="AI31" s="30" t="str">
        <x:v>Cerrada</x:v>
      </x:c>
      <x:c r="AJ31" s="30" t="n">
        <x:v>45301</x:v>
      </x:c>
      <x:c r="AK31" s="13" t="str">
        <x:f>IF(OR(AI31&lt;&gt;"Cerrada",AJ31="",AH31=""),"No",IF(AJ31&lt;=AH31,"Sí","No"))</x:f>
        <x:v>Sí</x:v>
      </x:c>
      <x:c r="AL31" s="13" t="str">
        <x:v>Sí</x:v>
      </x:c>
      <x:c r="AM31" s="13" t="str">
        <x:v>Cerrado</x:v>
      </x:c>
      <x:c r="AN31" s="13" t="str">
        <x:v>Se vincula acción al plan de mejora del proceso.</x:v>
      </x:c>
    </x:row>
    <x:row r="32">
      <x:c r="A32" s="13" t="n">
        <x:v>2023</x:v>
      </x:c>
      <x:c r="B32" s="13" t="str">
        <x:v>AT-2023-021</x:v>
      </x:c>
      <x:c r="C32" s="30" t="n">
        <x:v>45283</x:v>
      </x:c>
      <x:c r="D32" s="13" t="str">
        <x:v>15:10</x:v>
      </x:c>
      <x:c r="E32" s="13" t="str">
        <x:v>Diciembre</x:v>
      </x:c>
      <x:c r="F32" s="13" t="str">
        <x:v>Ábrego</x:v>
      </x:c>
      <x:c r="G32" s="13" t="str">
        <x:v>Talento Humano</x:v>
      </x:c>
      <x:c r="H32" s="13" t="str">
        <x:v>Sergio Andrés Duarte</x:v>
      </x:c>
      <x:c r="I32" s="13" t="str">
        <x:v>88076066</x:v>
      </x:c>
      <x:c r="J32" s="13" t="str">
        <x:v>Conductor</x:v>
      </x:c>
      <x:c r="K32" s="13" t="str">
        <x:v>Término indefinido</x:v>
      </x:c>
      <x:c r="L32" s="13" t="str">
        <x:v>ARL SURA</x:v>
      </x:c>
      <x:c r="M32" s="13" t="str">
        <x:v>Con incapacidad</x:v>
      </x:c>
      <x:c r="N32" s="13" t="str">
        <x:v>En desarrollo de actividades de talento humano, se presentó evento por atrapamiento asociado a piso húmedo.</x:v>
      </x:c>
      <x:c r="O32" s="13" t="str">
        <x:v>Atrapamiento</x:v>
      </x:c>
      <x:c r="P32" s="13" t="str">
        <x:v>Piso húmedo</x:v>
      </x:c>
      <x:c r="Q32" s="13" t="str">
        <x:v>Zona común del cliente</x:v>
      </x:c>
      <x:c r="R32" s="13" t="str">
        <x:v>Cervical</x:v>
      </x:c>
      <x:c r="S32" s="13" t="str">
        <x:v>Golpe leve</x:v>
      </x:c>
      <x:c r="T32" s="13" t="n">
        <x:v>2</x:v>
      </x:c>
      <x:c r="U32" s="13" t="n">
        <x:f>IF(M32="Sin incapacidad",0,T32)</x:f>
        <x:v>2</x:v>
      </x:c>
      <x:c r="V32" s="13" t="str">
        <x:v>Sí</x:v>
      </x:c>
      <x:c r="W32" s="30" t="n">
        <x:v>45284</x:v>
      </x:c>
      <x:c r="X32" s="30" t="str">
        <x:v>Sí</x:v>
      </x:c>
      <x:c r="Y32" s="30" t="n">
        <x:v>45291</x:v>
      </x:c>
      <x:c r="Z32" s="13" t="str">
        <x:v>COPASST + SST</x:v>
      </x:c>
      <x:c r="AA32" s="13" t="str">
        <x:v>Conducción sin distancia segura</x:v>
      </x:c>
      <x:c r="AB32" s="13" t="str">
        <x:v>Orden y aseo deficiente</x:v>
      </x:c>
      <x:c r="AC32" s="13" t="str">
        <x:v>Capacitación insuficiente</x:v>
      </x:c>
      <x:c r="AD32" s="13" t="str">
        <x:v>Control operativo insuficiente</x:v>
      </x:c>
      <x:c r="AE32" s="13" t="str">
        <x:v>Mantenimiento deficiente y ausencia de corrección oportuna</x:v>
      </x:c>
      <x:c r="AF32" s="13" t="str">
        <x:v>Programar mantenimiento correctivo del elemento involucrado</x:v>
      </x:c>
      <x:c r="AG32" s="13" t="str">
        <x:v>Coordinador de Talento Humano</x:v>
      </x:c>
      <x:c r="AH32" s="30" t="n">
        <x:v>45321</x:v>
      </x:c>
      <x:c r="AI32" s="30" t="str">
        <x:v>Cerrada</x:v>
      </x:c>
      <x:c r="AJ32" s="30" t="n">
        <x:v>45313</x:v>
      </x:c>
      <x:c r="AK32" s="13" t="str">
        <x:f>IF(OR(AI32&lt;&gt;"Cerrada",AJ32="",AH32=""),"No",IF(AJ32&lt;=AH32,"Sí","No"))</x:f>
        <x:v>Sí</x:v>
      </x:c>
      <x:c r="AL32" s="13" t="str">
        <x:v>No</x:v>
      </x:c>
      <x:c r="AM32" s="13" t="str">
        <x:v>Cerrado</x:v>
      </x:c>
      <x:c r="AN32" s="13" t="str">
        <x:v>Se deja lección aprendida socializada en charla preoperacional.</x:v>
      </x:c>
    </x:row>
    <x:row r="33">
      <x:c r="A33" s="13" t="n">
        <x:v>2023</x:v>
      </x:c>
      <x:c r="B33" s="13" t="str">
        <x:v>AT-2023-003</x:v>
      </x:c>
      <x:c r="C33" s="30" t="n">
        <x:v>45286</x:v>
      </x:c>
      <x:c r="D33" s="13" t="str">
        <x:v>08:15</x:v>
      </x:c>
      <x:c r="E33" s="13" t="str">
        <x:v>Diciembre</x:v>
      </x:c>
      <x:c r="F33" s="13" t="str">
        <x:v>Medellín</x:v>
      </x:c>
      <x:c r="G33" s="13" t="str">
        <x:v>Supervisión</x:v>
      </x:c>
      <x:c r="H33" s="13" t="str">
        <x:v>Yulieth Andrea Díaz</x:v>
      </x:c>
      <x:c r="I33" s="13" t="str">
        <x:v>88075350</x:v>
      </x:c>
      <x:c r="J33" s="13" t="str">
        <x:v>Analista SST</x:v>
      </x:c>
      <x:c r="K33" s="13" t="str">
        <x:v>Término indefinido</x:v>
      </x:c>
      <x:c r="L33" s="13" t="str">
        <x:v>ARL SURA</x:v>
      </x:c>
      <x:c r="M33" s="13" t="str">
        <x:v>Sin incapacidad</x:v>
      </x:c>
      <x:c r="N33" s="13" t="str">
        <x:v>En desarrollo de actividades de supervisión, se presentó evento por accidente de tránsito asociado a vehículo.</x:v>
      </x:c>
      <x:c r="O33" s="13" t="str">
        <x:v>Accidente de tránsito</x:v>
      </x:c>
      <x:c r="P33" s="13" t="str">
        <x:v>Vehículo</x:v>
      </x:c>
      <x:c r="Q33" s="13" t="str">
        <x:v>Área administrativa</x:v>
      </x:c>
      <x:c r="R33" s="13" t="str">
        <x:v>Espalda baja</x:v>
      </x:c>
      <x:c r="S33" s="13" t="str">
        <x:v>Contusión</x:v>
      </x:c>
      <x:c r="T33" s="13" t="n">
        <x:v>0</x:v>
      </x:c>
      <x:c r="U33" s="13" t="n">
        <x:f>IF(M33="Sin incapacidad",0,T33)</x:f>
        <x:v>0</x:v>
      </x:c>
      <x:c r="V33" s="13" t="str">
        <x:v>Sí</x:v>
      </x:c>
      <x:c r="W33" s="30" t="n">
        <x:v>45286</x:v>
      </x:c>
      <x:c r="X33" s="30" t="str">
        <x:v>Sí</x:v>
      </x:c>
      <x:c r="Y33" s="30" t="n">
        <x:v>45292</x:v>
      </x:c>
      <x:c r="Z33" s="13" t="str">
        <x:v>Coordinador SST + Operaciones</x:v>
      </x:c>
      <x:c r="AA33" s="13" t="str">
        <x:v>Manipulación incorrecta de carga</x:v>
      </x:c>
      <x:c r="AB33" s="13" t="str">
        <x:v>Iluminación insuficiente</x:v>
      </x:c>
      <x:c r="AC33" s="13" t="str">
        <x:v>Falta de atención</x:v>
      </x:c>
      <x:c r="AD33" s="13" t="str">
        <x:v>Control operativo insuficiente</x:v>
      </x:c>
      <x:c r="AE33" s="13" t="str">
        <x:v>Mantenimiento deficiente y ausencia de corrección oportuna</x:v>
      </x:c>
      <x:c r="AF33" s="13" t="str">
        <x:v>Ejecutar inspección locativa y corrección inmediata del peligro</x:v>
      </x:c>
      <x:c r="AG33" s="13" t="str">
        <x:v>Líder de Mantenimiento</x:v>
      </x:c>
      <x:c r="AH33" s="30" t="n">
        <x:v>45322</x:v>
      </x:c>
      <x:c r="AI33" s="30" t="str">
        <x:v>Cerrada</x:v>
      </x:c>
      <x:c r="AJ33" s="30" t="n">
        <x:v>45317</x:v>
      </x:c>
      <x:c r="AK33" s="13" t="str">
        <x:f>IF(OR(AI33&lt;&gt;"Cerrada",AJ33="",AH33=""),"No",IF(AJ33&lt;=AH33,"Sí","No"))</x:f>
        <x:v>Sí</x:v>
      </x:c>
      <x:c r="AL33" s="13" t="str">
        <x:v>Sí</x:v>
      </x:c>
      <x:c r="AM33" s="13" t="str">
        <x:v>Cerrado</x:v>
      </x:c>
      <x:c r="AN33" s="13" t="str">
        <x:v>Se deja lección aprendida socializada en charla preoperacional.</x:v>
      </x:c>
    </x:row>
  </x:sheetData>
  <x:conditionalFormatting sqref="AI2:AI33">
    <x:cfRule type="expression" dxfId="0" priority="1">
      <x:formula>AI2="Abierta"</x:formula>
    </x:cfRule>
    <x:cfRule type="expression" dxfId="1" priority="2">
      <x:formula>AI2="En seguimiento"</x:formula>
    </x:cfRule>
    <x:cfRule type="expression" dxfId="2" priority="3">
      <x:formula>AI2="Cerrada"</x:formula>
    </x:cfRule>
  </x:conditionalFormatting>
  <x:conditionalFormatting sqref="AK2:AK33">
    <x:cfRule type="expression" dxfId="3" priority="4">
      <x:formula>AK2="No"</x:formula>
    </x:cfRule>
    <x:cfRule type="expression" dxfId="4" priority="5">
      <x:formula>AK2="Sí"</x:formula>
    </x:cfRule>
  </x:conditionalFormatting>
  <x:conditionalFormatting sqref="T2:T33">
    <x:cfRule type="dataBar" priority="6">
      <x:dataBar>
        <x:cfvo type="min"/>
        <x:cfvo type="max"/>
        <x:color rgb="704023"/>
      </x:dataBar>
      <x:extLst>
        <x:ext xmlns:x14="http://schemas.microsoft.com/office/spreadsheetml/2009/9/main" uri="{B025F937-C7B1-47D3-B67F-A62EFF666E3E}">
          <x14:id>{0EA0AEE6-632F-5050-FFAC-CB357984AD24}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0EA0AEE6-632F-5050-FFAC-CB357984AD24}">
            <x14:dataBar gradient="1">
              <x14:cfvo type="min"/>
              <x14:cfvo type="max"/>
              <x14:fillColor rgb="704023"/>
            </x14:dataBar>
          </x14:cfRule>
          <xm:sqref>T2:T33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n">
        <x:v>2024</x:v>
      </x:c>
      <x:c r="B2" s="13" t="str">
        <x:v>AT-2024-015</x:v>
      </x:c>
      <x:c r="C2" s="30" t="n">
        <x:v>45312</x:v>
      </x:c>
      <x:c r="D2" s="13" t="str">
        <x:v>13:50</x:v>
      </x:c>
      <x:c r="E2" s="13" t="str">
        <x:v>Enero</x:v>
      </x:c>
      <x:c r="F2" s="13" t="str">
        <x:v>Tibú</x:v>
      </x:c>
      <x:c r="G2" s="13" t="str">
        <x:v>Administrativa</x:v>
      </x:c>
      <x:c r="H2" s="13" t="str">
        <x:v>Yulieth Andrea Díaz</x:v>
      </x:c>
      <x:c r="I2" s="13" t="str">
        <x:v>88075824</x:v>
      </x:c>
      <x:c r="J2" s="13" t="str">
        <x:v>Auxiliar Administrativa</x:v>
      </x:c>
      <x:c r="K2" s="13" t="str">
        <x:v>Obra o labor</x:v>
      </x:c>
      <x:c r="L2" s="13" t="str">
        <x:v>ARL SURA</x:v>
      </x:c>
      <x:c r="M2" s="13" t="str">
        <x:v>Con incapacidad</x:v>
      </x:c>
      <x:c r="N2" s="13" t="str">
        <x:v>En desarrollo de actividades de administrativa, se presentó evento por accidente de tránsito asociado a radio de comunicación.</x:v>
      </x:c>
      <x:c r="O2" s="13" t="str">
        <x:v>Accidente de tránsito</x:v>
      </x:c>
      <x:c r="P2" s="13" t="str">
        <x:v>Radio de comunicación</x:v>
      </x:c>
      <x:c r="Q2" s="13" t="str">
        <x:v>Vía pública en ronda</x:v>
      </x:c>
      <x:c r="R2" s="13" t="str">
        <x:v>Brazo</x:v>
      </x:c>
      <x:c r="S2" s="13" t="str">
        <x:v>Contusión</x:v>
      </x:c>
      <x:c r="T2" s="13" t="n">
        <x:v>25</x:v>
      </x:c>
      <x:c r="U2" s="13" t="n">
        <x:f>IF(M2="Sin incapacidad",0,T2)</x:f>
        <x:v>25</x:v>
      </x:c>
      <x:c r="V2" s="13" t="str">
        <x:v>Sí</x:v>
      </x:c>
      <x:c r="W2" s="30" t="n">
        <x:v>45313</x:v>
      </x:c>
      <x:c r="X2" s="30" t="str">
        <x:v>Sí</x:v>
      </x:c>
      <x:c r="Y2" s="30" t="n">
        <x:v>45314</x:v>
      </x:c>
      <x:c r="Z2" s="13" t="str">
        <x:v>Coordinador SST + Operaciones</x:v>
      </x:c>
      <x:c r="AA2" s="13" t="str">
        <x:v>Manipulación incorrecta de carga</x:v>
      </x:c>
      <x:c r="AB2" s="13" t="str">
        <x:v>Vía en mal estado</x:v>
      </x:c>
      <x:c r="AC2" s="13" t="str">
        <x:v>Capacitación insuficiente</x:v>
      </x:c>
      <x:c r="AD2" s="13" t="str">
        <x:v>Condición locativa no corregida</x:v>
      </x:c>
      <x:c r="AE2" s="13" t="str">
        <x:v>Falta de inspección previa y gestión tardía del peligro</x:v>
      </x:c>
      <x:c r="AF2" s="13" t="str">
        <x:v>Ejecutar inspección locativa y corrección inmediata del peligro</x:v>
      </x:c>
      <x:c r="AG2" s="13" t="str">
        <x:v>Jefe de Operaciones</x:v>
      </x:c>
      <x:c r="AH2" s="30" t="n">
        <x:v>45324</x:v>
      </x:c>
      <x:c r="AI2" s="30" t="str">
        <x:v>Cerrada</x:v>
      </x:c>
      <x:c r="AJ2" s="30" t="n">
        <x:v>45327</x:v>
      </x:c>
      <x:c r="AK2" s="13" t="str">
        <x:f>IF(OR(AI2&lt;&gt;"Cerrada",AJ2="",AH2=""),"No",IF(AJ2&lt;=AH2,"Sí","No"))</x:f>
        <x:v>No</x:v>
      </x:c>
      <x:c r="AL2" s="13" t="str">
        <x:v>Pendiente verificación</x:v>
      </x:c>
      <x:c r="AM2" s="13" t="str">
        <x:v>Cerrado</x:v>
      </x:c>
      <x:c r="AN2" s="13" t="str">
        <x:v>Se deja lección aprendida socializada en charla preoperacional.</x:v>
      </x:c>
    </x:row>
    <x:row r="3">
      <x:c r="A3" s="13" t="n">
        <x:v>2024</x:v>
      </x:c>
      <x:c r="B3" s="13" t="str">
        <x:v>AT-2024-024</x:v>
      </x:c>
      <x:c r="C3" s="30" t="n">
        <x:v>45331</x:v>
      </x:c>
      <x:c r="D3" s="13" t="str">
        <x:v>10:40</x:v>
      </x:c>
      <x:c r="E3" s="13" t="str">
        <x:v>Febrero</x:v>
      </x:c>
      <x:c r="F3" s="13" t="str">
        <x:v>Bogotá</x:v>
      </x:c>
      <x:c r="G3" s="13" t="str">
        <x:v>Monitoreo</x:v>
      </x:c>
      <x:c r="H3" s="13" t="str">
        <x:v>Álvaro José Pabón</x:v>
      </x:c>
      <x:c r="I3" s="13" t="str">
        <x:v>88076759</x:v>
      </x:c>
      <x:c r="J3" s="13" t="str">
        <x:v>Escolta</x:v>
      </x:c>
      <x:c r="K3" s="13" t="str">
        <x:v>Término indefinido</x:v>
      </x:c>
      <x:c r="L3" s="13" t="str">
        <x:v>ARL SURA</x:v>
      </x:c>
      <x:c r="M3" s="13" t="str">
        <x:v>Sin incapacidad</x:v>
      </x:c>
      <x:c r="N3" s="13" t="str">
        <x:v>En desarrollo de actividades de monitoreo, se presentó evento por sobreesfuerzo o esfuerzo excesivo asociado a elementos almacenados.</x:v>
      </x:c>
      <x:c r="O3" s="13" t="str">
        <x:v>Sobreesfuerzo o esfuerzo excesivo</x:v>
      </x:c>
      <x:c r="P3" s="13" t="str">
        <x:v>Elementos almacenados</x:v>
      </x:c>
      <x:c r="Q3" s="13" t="str">
        <x:v>Acceso principal</x:v>
      </x:c>
      <x:c r="R3" s="13" t="str">
        <x:v>Pierna</x:v>
      </x:c>
      <x:c r="S3" s="13" t="str">
        <x:v>Esguince</x:v>
      </x:c>
      <x:c r="T3" s="13" t="n">
        <x:v>0</x:v>
      </x:c>
      <x:c r="U3" s="13" t="n">
        <x:f>IF(M3="Sin incapacidad",0,T3)</x:f>
        <x:v>0</x:v>
      </x:c>
      <x:c r="V3" s="13" t="str">
        <x:v>Sí</x:v>
      </x:c>
      <x:c r="W3" s="30" t="n">
        <x:v>45332</x:v>
      </x:c>
      <x:c r="X3" s="30" t="str">
        <x:v>Sí</x:v>
      </x:c>
      <x:c r="Y3" s="30" t="n">
        <x:v>45339</x:v>
      </x:c>
      <x:c r="Z3" s="13" t="str">
        <x:v>COPASST + SST</x:v>
      </x:c>
      <x:c r="AA3" s="13" t="str">
        <x:v>Manipulación incorrecta de carga</x:v>
      </x:c>
      <x:c r="AB3" s="13" t="str">
        <x:v>Cable expuesto</x:v>
      </x:c>
      <x:c r="AC3" s="13" t="str">
        <x:v>Falta de atención</x:v>
      </x:c>
      <x:c r="AD3" s="13" t="str">
        <x:v>Falta de mantenimiento</x:v>
      </x:c>
      <x:c r="AE3" s="13" t="str">
        <x:v>Incumplimiento del procedimiento seguro y supervisión insuficiente</x:v>
      </x:c>
      <x:c r="AF3" s="13" t="str">
        <x:v>Realizar capacitación focalizada y socialización de lección aprendida</x:v>
      </x:c>
      <x:c r="AG3" s="13" t="str">
        <x:v>Analista SST</x:v>
      </x:c>
      <x:c r="AH3" s="30" t="n">
        <x:v>45354</x:v>
      </x:c>
      <x:c r="AI3" s="30" t="str">
        <x:v>En seguimiento</x:v>
      </x:c>
      <x:c r="AJ3" s="30"/>
      <x:c r="AK3" s="13" t="str">
        <x:f>IF(OR(AI3&lt;&gt;"Cerrada",AJ3="",AH3=""),"No",IF(AJ3&lt;=AH3,"Sí","No"))</x:f>
        <x:v>No</x:v>
      </x:c>
      <x:c r="AL3" s="13" t="str">
        <x:v>Pendiente verificación</x:v>
      </x:c>
      <x:c r="AM3" s="13" t="str">
        <x:v>En seguimiento</x:v>
      </x:c>
      <x:c r="AN3" s="13" t="str">
        <x:v>Se vincula acción al plan de mejora del proceso.</x:v>
      </x:c>
    </x:row>
    <x:row r="4">
      <x:c r="A4" s="13" t="n">
        <x:v>2024</x:v>
      </x:c>
      <x:c r="B4" s="13" t="str">
        <x:v>AT-2024-001</x:v>
      </x:c>
      <x:c r="C4" s="30" t="n">
        <x:v>45332</x:v>
      </x:c>
      <x:c r="D4" s="13" t="str">
        <x:v>18:20</x:v>
      </x:c>
      <x:c r="E4" s="13" t="str">
        <x:v>Febrero</x:v>
      </x:c>
      <x:c r="F4" s="13" t="str">
        <x:v>Tibú</x:v>
      </x:c>
      <x:c r="G4" s="13" t="str">
        <x:v>Logística</x:v>
      </x:c>
      <x:c r="H4" s="13" t="str">
        <x:v>Jorge Enrique Suárez</x:v>
      </x:c>
      <x:c r="I4" s="13" t="str">
        <x:v>88075397</x:v>
      </x:c>
      <x:c r="J4" s="13" t="str">
        <x:v>Escolta</x:v>
      </x:c>
      <x:c r="K4" s="13" t="str">
        <x:v>Término indefinido</x:v>
      </x:c>
      <x:c r="L4" s="13" t="str">
        <x:v>ARL SURA</x:v>
      </x:c>
      <x:c r="M4" s="13" t="str">
        <x:v>Con incapacidad</x:v>
      </x:c>
      <x:c r="N4" s="13" t="str">
        <x:v>Durante ronda de vigilancia en tibú, el trabajador sufrió luxación por atrapamiento.</x:v>
      </x:c>
      <x:c r="O4" s="13" t="str">
        <x:v>Atrapamiento</x:v>
      </x:c>
      <x:c r="P4" s="13" t="str">
        <x:v>Andén irregular</x:v>
      </x:c>
      <x:c r="Q4" s="13" t="str">
        <x:v>Parqueadero</x:v>
      </x:c>
      <x:c r="R4" s="13" t="str">
        <x:v>Ojo</x:v>
      </x:c>
      <x:c r="S4" s="13" t="str">
        <x:v>Luxación</x:v>
      </x:c>
      <x:c r="T4" s="13" t="n">
        <x:v>25</x:v>
      </x:c>
      <x:c r="U4" s="13" t="n">
        <x:f>IF(M4="Sin incapacidad",0,T4)</x:f>
        <x:v>25</x:v>
      </x:c>
      <x:c r="V4" s="13" t="str">
        <x:v>Sí</x:v>
      </x:c>
      <x:c r="W4" s="30" t="n">
        <x:v>45334</x:v>
      </x:c>
      <x:c r="X4" s="30" t="str">
        <x:v>Sí</x:v>
      </x:c>
      <x:c r="Y4" s="30" t="n">
        <x:v>45340</x:v>
      </x:c>
      <x:c r="Z4" s="13" t="str">
        <x:v>Supervisor + Analista SST</x:v>
      </x:c>
      <x:c r="AA4" s="13" t="str">
        <x:v>Manipulación incorrecta de carga</x:v>
      </x:c>
      <x:c r="AB4" s="13" t="str">
        <x:v>Herramienta en mal estado</x:v>
      </x:c>
      <x:c r="AC4" s="13" t="str">
        <x:v>Capacitación insuficiente</x:v>
      </x:c>
      <x:c r="AD4" s="13" t="str">
        <x:v>Procedimiento no actualizado</x:v>
      </x:c>
      <x:c r="AE4" s="13" t="str">
        <x:v>Brecha de capacitación y hábitos inseguros de trabajo</x:v>
      </x:c>
      <x:c r="AF4" s="13" t="str">
        <x:v>Actualizar procedimiento seguro de trabajo y verificar cumplimiento</x:v>
      </x:c>
      <x:c r="AG4" s="13" t="str">
        <x:v>Supervisor Operativo</x:v>
      </x:c>
      <x:c r="AH4" s="30" t="n">
        <x:v>45370</x:v>
      </x:c>
      <x:c r="AI4" s="30" t="str">
        <x:v>En seguimiento</x:v>
      </x:c>
      <x:c r="AJ4" s="30"/>
      <x:c r="AK4" s="13" t="str">
        <x:f>IF(OR(AI4&lt;&gt;"Cerrada",AJ4="",AH4=""),"No",IF(AJ4&lt;=AH4,"Sí","No"))</x:f>
        <x:v>No</x:v>
      </x:c>
      <x:c r="AL4" s="13" t="str">
        <x:v>Pendiente verificación</x:v>
      </x:c>
      <x:c r="AM4" s="13" t="str">
        <x:v>En seguimiento</x:v>
      </x:c>
      <x:c r="AN4" s="13" t="str">
        <x:v>Se recomienda refuerzo de inspecciones y autocuidado.</x:v>
      </x:c>
    </x:row>
    <x:row r="5">
      <x:c r="A5" s="13" t="n">
        <x:v>2024</x:v>
      </x:c>
      <x:c r="B5" s="13" t="str">
        <x:v>AT-2024-022</x:v>
      </x:c>
      <x:c r="C5" s="30" t="n">
        <x:v>45355</x:v>
      </x:c>
      <x:c r="D5" s="13" t="str">
        <x:v>17:45</x:v>
      </x:c>
      <x:c r="E5" s="13" t="str">
        <x:v>Marzo</x:v>
      </x:c>
      <x:c r="F5" s="13" t="str">
        <x:v>Bogotá</x:v>
      </x:c>
      <x:c r="G5" s="13" t="str">
        <x:v>Supervisión</x:v>
      </x:c>
      <x:c r="H5" s="13" t="str">
        <x:v>Edwin Mauricio Rodríguez</x:v>
      </x:c>
      <x:c r="I5" s="13" t="str">
        <x:v>88076699</x:v>
      </x:c>
      <x:c r="J5" s="13" t="str">
        <x:v>Auxiliar Administrativa</x:v>
      </x:c>
      <x:c r="K5" s="13" t="str">
        <x:v>Término indefinido</x:v>
      </x:c>
      <x:c r="L5" s="13" t="str">
        <x:v>ARL SURA</x:v>
      </x:c>
      <x:c r="M5" s="13" t="str">
        <x:v>Con incapacidad</x:v>
      </x:c>
      <x:c r="N5" s="13" t="str">
        <x:v>Trabajador reporta lesión tipo luxación durante servicio en puesto asignado por golpeado por/contra.</x:v>
      </x:c>
      <x:c r="O5" s="13" t="str">
        <x:v>Golpeado por/contra</x:v>
      </x:c>
      <x:c r="P5" s="13" t="str">
        <x:v>Andén irregular</x:v>
      </x:c>
      <x:c r="Q5" s="13" t="str">
        <x:v>Recepción</x:v>
      </x:c>
      <x:c r="R5" s="13" t="str">
        <x:v>Pierna</x:v>
      </x:c>
      <x:c r="S5" s="13" t="str">
        <x:v>Luxación</x:v>
      </x:c>
      <x:c r="T5" s="13" t="n">
        <x:v>2</x:v>
      </x:c>
      <x:c r="U5" s="13" t="n">
        <x:f>IF(M5="Sin incapacidad",0,T5)</x:f>
        <x:v>2</x:v>
      </x:c>
      <x:c r="V5" s="13" t="str">
        <x:v>Sí</x:v>
      </x:c>
      <x:c r="W5" s="30" t="n">
        <x:v>45356</x:v>
      </x:c>
      <x:c r="X5" s="30" t="str">
        <x:v>Sí</x:v>
      </x:c>
      <x:c r="Y5" s="30" t="n">
        <x:v>45365</x:v>
      </x:c>
      <x:c r="Z5" s="13" t="str">
        <x:v>COPASST + SST</x:v>
      </x:c>
      <x:c r="AA5" s="13" t="str">
        <x:v>Manipulación incorrecta de carga</x:v>
      </x:c>
      <x:c r="AB5" s="13" t="str">
        <x:v>Espacio reducido</x:v>
      </x:c>
      <x:c r="AC5" s="13" t="str">
        <x:v>Fatiga</x:v>
      </x:c>
      <x:c r="AD5" s="13" t="str">
        <x:v>Falta de mantenimiento</x:v>
      </x:c>
      <x:c r="AE5" s="13" t="str">
        <x:v>Mantenimiento deficiente y ausencia de corrección oportuna</x:v>
      </x:c>
      <x:c r="AF5" s="13" t="str">
        <x:v>Implementar señalización y control administrativo temporal</x:v>
      </x:c>
      <x:c r="AG5" s="13" t="str">
        <x:v>Jefe de Operaciones</x:v>
      </x:c>
      <x:c r="AH5" s="30" t="n">
        <x:v>45385</x:v>
      </x:c>
      <x:c r="AI5" s="30" t="str">
        <x:v>Cerrada</x:v>
      </x:c>
      <x:c r="AJ5" s="30" t="n">
        <x:v>45379</x:v>
      </x:c>
      <x:c r="AK5" s="13" t="str">
        <x:f>IF(OR(AI5&lt;&gt;"Cerrada",AJ5="",AH5=""),"No",IF(AJ5&lt;=AH5,"Sí","No"))</x:f>
        <x:v>Sí</x:v>
      </x:c>
      <x:c r="AL5" s="13" t="str">
        <x:v>Sí</x:v>
      </x:c>
      <x:c r="AM5" s="13" t="str">
        <x:v>Cerrado</x:v>
      </x:c>
      <x:c r="AN5" s="13" t="str">
        <x:v>Se vincula acción al plan de mejora del proceso.</x:v>
      </x:c>
    </x:row>
    <x:row r="6">
      <x:c r="A6" s="13" t="n">
        <x:v>2024</x:v>
      </x:c>
      <x:c r="B6" s="13" t="str">
        <x:v>AT-2024-021</x:v>
      </x:c>
      <x:c r="C6" s="30" t="n">
        <x:v>45360</x:v>
      </x:c>
      <x:c r="D6" s="13" t="str">
        <x:v>07:40</x:v>
      </x:c>
      <x:c r="E6" s="13" t="str">
        <x:v>Marzo</x:v>
      </x:c>
      <x:c r="F6" s="13" t="str">
        <x:v>Medellín</x:v>
      </x:c>
      <x:c r="G6" s="13" t="str">
        <x:v>Monitoreo</x:v>
      </x:c>
      <x:c r="H6" s="13" t="str">
        <x:v>Kevin Esteban Rangel</x:v>
      </x:c>
      <x:c r="I6" s="13" t="str">
        <x:v>88076377</x:v>
      </x:c>
      <x:c r="J6" s="13" t="str">
        <x:v>Analista SST</x:v>
      </x:c>
      <x:c r="K6" s="13" t="str">
        <x:v>Término indefinido</x:v>
      </x:c>
      <x:c r="L6" s="13" t="str">
        <x:v>ARL SURA</x:v>
      </x:c>
      <x:c r="M6" s="13" t="str">
        <x:v>Con incapacidad</x:v>
      </x:c>
      <x:c r="N6" s="13" t="str">
        <x:v>Durante ronda de vigilancia en medellín, el trabajador sufrió contusión por caída al mismo nivel.</x:v>
      </x:c>
      <x:c r="O6" s="13" t="str">
        <x:v>Caída al mismo nivel</x:v>
      </x:c>
      <x:c r="P6" s="13" t="str">
        <x:v>Rejilla</x:v>
      </x:c>
      <x:c r="Q6" s="13" t="str">
        <x:v>Zona común del cliente</x:v>
      </x:c>
      <x:c r="R6" s="13" t="str">
        <x:v>Ojo</x:v>
      </x:c>
      <x:c r="S6" s="13" t="str">
        <x:v>Contusión</x:v>
      </x:c>
      <x:c r="T6" s="13" t="n">
        <x:v>5</x:v>
      </x:c>
      <x:c r="U6" s="13" t="n">
        <x:f>IF(M6="Sin incapacidad",0,T6)</x:f>
        <x:v>5</x:v>
      </x:c>
      <x:c r="V6" s="13" t="str">
        <x:v>Sí</x:v>
      </x:c>
      <x:c r="W6" s="30" t="n">
        <x:v>45360</x:v>
      </x:c>
      <x:c r="X6" s="30" t="str">
        <x:v>Sí</x:v>
      </x:c>
      <x:c r="Y6" s="30" t="n">
        <x:v>45364</x:v>
      </x:c>
      <x:c r="Z6" s="13" t="str">
        <x:v>Jefe inmediato + SST</x:v>
      </x:c>
      <x:c r="AA6" s="13" t="str">
        <x:v>Distracción durante la labor</x:v>
      </x:c>
      <x:c r="AB6" s="13" t="str">
        <x:v>Vía en mal estado</x:v>
      </x:c>
      <x:c r="AC6" s="13" t="str">
        <x:v>Apuro operativo</x:v>
      </x:c>
      <x:c r="AD6" s="13" t="str">
        <x:v>Carga laboral elevada</x:v>
      </x:c>
      <x:c r="AE6" s="13" t="str">
        <x:v>Falta de inspección previa y gestión tardía del peligro</x:v>
      </x:c>
      <x:c r="AF6" s="13" t="str">
        <x:v>Reforzar supervisión operativa y seguimiento al uso de EPP</x:v>
      </x:c>
      <x:c r="AG6" s="13" t="str">
        <x:v>Jefe de Operaciones</x:v>
      </x:c>
      <x:c r="AH6" s="30" t="n">
        <x:v>45374</x:v>
      </x:c>
      <x:c r="AI6" s="30" t="str">
        <x:v>Cerrada</x:v>
      </x:c>
      <x:c r="AJ6" s="30" t="n">
        <x:v>45376</x:v>
      </x:c>
      <x:c r="AK6" s="13" t="str">
        <x:f>IF(OR(AI6&lt;&gt;"Cerrada",AJ6="",AH6=""),"No",IF(AJ6&lt;=AH6,"Sí","No"))</x:f>
        <x:v>No</x:v>
      </x:c>
      <x:c r="AL6" s="13" t="str">
        <x:v>Sí</x:v>
      </x:c>
      <x:c r="AM6" s="13" t="str">
        <x:v>Cerrado</x:v>
      </x:c>
      <x:c r="AN6" s="13" t="str">
        <x:v>Se vincula acción al plan de mejora del proceso.</x:v>
      </x:c>
    </x:row>
    <x:row r="7">
      <x:c r="A7" s="13" t="n">
        <x:v>2024</x:v>
      </x:c>
      <x:c r="B7" s="13" t="str">
        <x:v>AT-2024-010</x:v>
      </x:c>
      <x:c r="C7" s="30" t="n">
        <x:v>45365</x:v>
      </x:c>
      <x:c r="D7" s="13" t="str">
        <x:v>18:10</x:v>
      </x:c>
      <x:c r="E7" s="13" t="str">
        <x:v>Marzo</x:v>
      </x:c>
      <x:c r="F7" s="13" t="str">
        <x:v>Ocaña</x:v>
      </x:c>
      <x:c r="G7" s="13" t="str">
        <x:v>Supervisión</x:v>
      </x:c>
      <x:c r="H7" s="13" t="str">
        <x:v>Luis Fernando Gómez</x:v>
      </x:c>
      <x:c r="I7" s="13" t="str">
        <x:v>88076022</x:v>
      </x:c>
      <x:c r="J7" s="13" t="str">
        <x:v>Supervisor de Puesto</x:v>
      </x:c>
      <x:c r="K7" s="13" t="str">
        <x:v>Término indefinido</x:v>
      </x:c>
      <x:c r="L7" s="13" t="str">
        <x:v>ARL SURA</x:v>
      </x:c>
      <x:c r="M7" s="13" t="str">
        <x:v>Con incapacidad</x:v>
      </x:c>
      <x:c r="N7" s="13" t="str">
        <x:v>En desarrollo de actividades de supervisión, se presentó evento por sobreesfuerzo o esfuerzo excesivo asociado a motocicleta.</x:v>
      </x:c>
      <x:c r="O7" s="13" t="str">
        <x:v>Sobreesfuerzo o esfuerzo excesivo</x:v>
      </x:c>
      <x:c r="P7" s="13" t="str">
        <x:v>Motocicleta</x:v>
      </x:c>
      <x:c r="Q7" s="13" t="str">
        <x:v>Vía pública en ronda</x:v>
      </x:c>
      <x:c r="R7" s="13" t="str">
        <x:v>Espalda baja</x:v>
      </x:c>
      <x:c r="S7" s="13" t="str">
        <x:v>Luxación</x:v>
      </x:c>
      <x:c r="T7" s="13" t="n">
        <x:v>30</x:v>
      </x:c>
      <x:c r="U7" s="13" t="n">
        <x:f>IF(M7="Sin incapacidad",0,T7)</x:f>
        <x:v>30</x:v>
      </x:c>
      <x:c r="V7" s="13" t="str">
        <x:v>Sí</x:v>
      </x:c>
      <x:c r="W7" s="30" t="n">
        <x:v>45366</x:v>
      </x:c>
      <x:c r="X7" s="30" t="str">
        <x:v>Sí</x:v>
      </x:c>
      <x:c r="Y7" s="30" t="n">
        <x:v>45375</x:v>
      </x:c>
      <x:c r="Z7" s="13" t="str">
        <x:v>Jefe inmediato + SST</x:v>
      </x:c>
      <x:c r="AA7" s="13" t="str">
        <x:v>No asegurar postura adecuada</x:v>
      </x:c>
      <x:c r="AB7" s="13" t="str">
        <x:v>Orden y aseo deficiente</x:v>
      </x:c>
      <x:c r="AC7" s="13" t="str">
        <x:v>Falta de atención</x:v>
      </x:c>
      <x:c r="AD7" s="13" t="str">
        <x:v>Control operativo insuficiente</x:v>
      </x:c>
      <x:c r="AE7" s="13" t="str">
        <x:v>Control operativo insuficiente frente a condición locativa</x:v>
      </x:c>
      <x:c r="AF7" s="13" t="str">
        <x:v>Implementar señalización y control administrativo temporal</x:v>
      </x:c>
      <x:c r="AG7" s="13" t="str">
        <x:v>Coordinador SST</x:v>
      </x:c>
      <x:c r="AH7" s="30" t="n">
        <x:v>45395</x:v>
      </x:c>
      <x:c r="AI7" s="30" t="str">
        <x:v>Cerrada</x:v>
      </x:c>
      <x:c r="AJ7" s="30" t="n">
        <x:v>45394</x:v>
      </x:c>
      <x:c r="AK7" s="13" t="str">
        <x:f>IF(OR(AI7&lt;&gt;"Cerrada",AJ7="",AH7=""),"No",IF(AJ7&lt;=AH7,"Sí","No"))</x:f>
        <x:v>Sí</x:v>
      </x:c>
      <x:c r="AL7" s="13" t="str">
        <x:v>Sí</x:v>
      </x:c>
      <x:c r="AM7" s="13" t="str">
        <x:v>Cerrado</x:v>
      </x:c>
      <x:c r="AN7" s="13" t="str">
        <x:v>Se vincula acción al plan de mejora del proceso.</x:v>
      </x:c>
    </x:row>
    <x:row r="8">
      <x:c r="A8" s="13" t="n">
        <x:v>2024</x:v>
      </x:c>
      <x:c r="B8" s="13" t="str">
        <x:v>AT-2024-014</x:v>
      </x:c>
      <x:c r="C8" s="30" t="n">
        <x:v>45369</x:v>
      </x:c>
      <x:c r="D8" s="13" t="str">
        <x:v>20:10</x:v>
      </x:c>
      <x:c r="E8" s="13" t="str">
        <x:v>Marzo</x:v>
      </x:c>
      <x:c r="F8" s="13" t="str">
        <x:v>Tibú</x:v>
      </x:c>
      <x:c r="G8" s="13" t="str">
        <x:v>Transporte de Valores</x:v>
      </x:c>
      <x:c r="H8" s="13" t="str">
        <x:v>Ricardo Andrés Parra</x:v>
      </x:c>
      <x:c r="I8" s="13" t="str">
        <x:v>88076011</x:v>
      </x:c>
      <x:c r="J8" s="13" t="str">
        <x:v>Guarda Motorizado</x:v>
      </x:c>
      <x:c r="K8" s="13" t="str">
        <x:v>Término indefinido</x:v>
      </x:c>
      <x:c r="L8" s="13" t="str">
        <x:v>ARL SURA</x:v>
      </x:c>
      <x:c r="M8" s="13" t="str">
        <x:v>Con incapacidad</x:v>
      </x:c>
      <x:c r="N8" s="13" t="str">
        <x:v>En desarrollo de actividades de transporte de valores, se presentó evento por golpeado por/contra asociado a cableado.</x:v>
      </x:c>
      <x:c r="O8" s="13" t="str">
        <x:v>Golpeado por/contra</x:v>
      </x:c>
      <x:c r="P8" s="13" t="str">
        <x:v>Cableado</x:v>
      </x:c>
      <x:c r="Q8" s="13" t="str">
        <x:v>Acceso principal</x:v>
      </x:c>
      <x:c r="R8" s="13" t="str">
        <x:v>Mano</x:v>
      </x:c>
      <x:c r="S8" s="13" t="str">
        <x:v>Contusión</x:v>
      </x:c>
      <x:c r="T8" s="13" t="n">
        <x:v>7</x:v>
      </x:c>
      <x:c r="U8" s="13" t="n">
        <x:f>IF(M8="Sin incapacidad",0,T8)</x:f>
        <x:v>7</x:v>
      </x:c>
      <x:c r="V8" s="13" t="str">
        <x:v>Sí</x:v>
      </x:c>
      <x:c r="W8" s="30" t="n">
        <x:v>45370</x:v>
      </x:c>
      <x:c r="X8" s="30" t="str">
        <x:v>Sí</x:v>
      </x:c>
      <x:c r="Y8" s="30" t="n">
        <x:v>45371</x:v>
      </x:c>
      <x:c r="Z8" s="13" t="str">
        <x:v>Coordinador SST + Operaciones</x:v>
      </x:c>
      <x:c r="AA8" s="13" t="str">
        <x:v>No reportar condición insegura</x:v>
      </x:c>
      <x:c r="AB8" s="13" t="str">
        <x:v>Superficie deslizante</x:v>
      </x:c>
      <x:c r="AC8" s="13" t="str">
        <x:v>Postura inadecuada</x:v>
      </x:c>
      <x:c r="AD8" s="13" t="str">
        <x:v>Control operativo insuficiente</x:v>
      </x:c>
      <x:c r="AE8" s="13" t="str">
        <x:v>Incumplimiento del procedimiento seguro y supervisión insuficiente</x:v>
      </x:c>
      <x:c r="AF8" s="13" t="str">
        <x:v>Actualizar procedimiento seguro de trabajo y verificar cumplimiento</x:v>
      </x:c>
      <x:c r="AG8" s="13" t="str">
        <x:v>Coordinador de Talento Humano</x:v>
      </x:c>
      <x:c r="AH8" s="30" t="n">
        <x:v>45401</x:v>
      </x:c>
      <x:c r="AI8" s="30" t="str">
        <x:v>Cerrada</x:v>
      </x:c>
      <x:c r="AJ8" s="30" t="n">
        <x:v>45406</x:v>
      </x:c>
      <x:c r="AK8" s="13" t="str">
        <x:f>IF(OR(AI8&lt;&gt;"Cerrada",AJ8="",AH8=""),"No",IF(AJ8&lt;=AH8,"Sí","No"))</x:f>
        <x:v>No</x:v>
      </x:c>
      <x:c r="AL8" s="13" t="str">
        <x:v>Sí</x:v>
      </x:c>
      <x:c r="AM8" s="13" t="str">
        <x:v>Cerrado</x:v>
      </x:c>
      <x:c r="AN8" s="13" t="str">
        <x:v>Se deja lección aprendida socializada en charla preoperacional.</x:v>
      </x:c>
    </x:row>
    <x:row r="9">
      <x:c r="A9" s="13" t="n">
        <x:v>2024</x:v>
      </x:c>
      <x:c r="B9" s="13" t="str">
        <x:v>AT-2024-011</x:v>
      </x:c>
      <x:c r="C9" s="30" t="n">
        <x:v>45402</x:v>
      </x:c>
      <x:c r="D9" s="13" t="str">
        <x:v>09:40</x:v>
      </x:c>
      <x:c r="E9" s="13" t="str">
        <x:v>Abril</x:v>
      </x:c>
      <x:c r="F9" s="13" t="str">
        <x:v>Bogotá</x:v>
      </x:c>
      <x:c r="G9" s="13" t="str">
        <x:v>Operaciones</x:v>
      </x:c>
      <x:c r="H9" s="13" t="str">
        <x:v>Maribel Rocío Acevedo</x:v>
      </x:c>
      <x:c r="I9" s="13" t="str">
        <x:v>88075978</x:v>
      </x:c>
      <x:c r="J9" s="13" t="str">
        <x:v>Conductor</x:v>
      </x:c>
      <x:c r="K9" s="13" t="str">
        <x:v>Término indefinido</x:v>
      </x:c>
      <x:c r="L9" s="13" t="str">
        <x:v>ARL SURA</x:v>
      </x:c>
      <x:c r="M9" s="13" t="str">
        <x:v>Con incapacidad</x:v>
      </x:c>
      <x:c r="N9" s="13" t="str">
        <x:v>Trabajador reporta lesión tipo herida superficial durante servicio en puesto asignado por caída de objetos.</x:v>
      </x:c>
      <x:c r="O9" s="13" t="str">
        <x:v>Caída de objetos</x:v>
      </x:c>
      <x:c r="P9" s="13" t="str">
        <x:v>Piso húmedo</x:v>
      </x:c>
      <x:c r="Q9" s="13" t="str">
        <x:v>Zona común del cliente</x:v>
      </x:c>
      <x:c r="R9" s="13" t="str">
        <x:v>Mano</x:v>
      </x:c>
      <x:c r="S9" s="13" t="str">
        <x:v>Herida superficial</x:v>
      </x:c>
      <x:c r="T9" s="13" t="n">
        <x:v>5</x:v>
      </x:c>
      <x:c r="U9" s="13" t="n">
        <x:f>IF(M9="Sin incapacidad",0,T9)</x:f>
        <x:v>5</x:v>
      </x:c>
      <x:c r="V9" s="13" t="str">
        <x:v>Sí</x:v>
      </x:c>
      <x:c r="W9" s="30" t="n">
        <x:v>45402</x:v>
      </x:c>
      <x:c r="X9" s="30" t="str">
        <x:v>Sí</x:v>
      </x:c>
      <x:c r="Y9" s="30" t="n">
        <x:v>45407</x:v>
      </x:c>
      <x:c r="Z9" s="13" t="str">
        <x:v>Supervisor + Analista SST</x:v>
      </x:c>
      <x:c r="AA9" s="13" t="str">
        <x:v>Distracción durante la labor</x:v>
      </x:c>
      <x:c r="AB9" s="13" t="str">
        <x:v>Iluminación insuficiente</x:v>
      </x:c>
      <x:c r="AC9" s="13" t="str">
        <x:v>Fatiga</x:v>
      </x:c>
      <x:c r="AD9" s="13" t="str">
        <x:v>Carga laboral elevada</x:v>
      </x:c>
      <x:c r="AE9" s="13" t="str">
        <x:v>Brecha de capacitación y hábitos inseguros de trabajo</x:v>
      </x:c>
      <x:c r="AF9" s="13" t="str">
        <x:v>Ejecutar inspección locativa y corrección inmediata del peligro</x:v>
      </x:c>
      <x:c r="AG9" s="13" t="str">
        <x:v>Supervisor Operativo</x:v>
      </x:c>
      <x:c r="AH9" s="30" t="n">
        <x:v>45437</x:v>
      </x:c>
      <x:c r="AI9" s="30" t="str">
        <x:v>Cerrada</x:v>
      </x:c>
      <x:c r="AJ9" s="30" t="n">
        <x:v>45439</x:v>
      </x:c>
      <x:c r="AK9" s="13" t="str">
        <x:f>IF(OR(AI9&lt;&gt;"Cerrada",AJ9="",AH9=""),"No",IF(AJ9&lt;=AH9,"Sí","No"))</x:f>
        <x:v>No</x:v>
      </x:c>
      <x:c r="AL9" s="13" t="str">
        <x:v>Sí</x:v>
      </x:c>
      <x:c r="AM9" s="13" t="str">
        <x:v>Cerrado</x:v>
      </x:c>
      <x:c r="AN9" s="13" t="str">
        <x:v>Se realiza seguimiento por SST y jefe inmediato.</x:v>
      </x:c>
    </x:row>
    <x:row r="10">
      <x:c r="A10" s="13" t="n">
        <x:v>2024</x:v>
      </x:c>
      <x:c r="B10" s="13" t="str">
        <x:v>AT-2024-018</x:v>
      </x:c>
      <x:c r="C10" s="30" t="n">
        <x:v>45420</x:v>
      </x:c>
      <x:c r="D10" s="13" t="str">
        <x:v>07:50</x:v>
      </x:c>
      <x:c r="E10" s="13" t="str">
        <x:v>Mayo</x:v>
      </x:c>
      <x:c r="F10" s="13" t="str">
        <x:v>Arauca</x:v>
      </x:c>
      <x:c r="G10" s="13" t="str">
        <x:v>Central de Alarmas</x:v>
      </x:c>
      <x:c r="H10" s="13" t="str">
        <x:v>Mónica Paola Sánchez</x:v>
      </x:c>
      <x:c r="I10" s="13" t="str">
        <x:v>88076425</x:v>
      </x:c>
      <x:c r="J10" s="13" t="str">
        <x:v>Conductor</x:v>
      </x:c>
      <x:c r="K10" s="13" t="str">
        <x:v>Término indefinido</x:v>
      </x:c>
      <x:c r="L10" s="13" t="str">
        <x:v>ARL SURA</x:v>
      </x:c>
      <x:c r="M10" s="13" t="str">
        <x:v>Con incapacidad</x:v>
      </x:c>
      <x:c r="N10" s="13" t="str">
        <x:v>Durante ronda de vigilancia en arauca, el trabajador sufrió lumbalgia aguda por caída al mismo nivel.</x:v>
      </x:c>
      <x:c r="O10" s="13" t="str">
        <x:v>Caída al mismo nivel</x:v>
      </x:c>
      <x:c r="P10" s="13" t="str">
        <x:v>Cableado</x:v>
      </x:c>
      <x:c r="Q10" s="13" t="str">
        <x:v>Zona común del cliente</x:v>
      </x:c>
      <x:c r="R10" s="13" t="str">
        <x:v>Pierna</x:v>
      </x:c>
      <x:c r="S10" s="13" t="str">
        <x:v>Lumbalgia aguda</x:v>
      </x:c>
      <x:c r="T10" s="13" t="n">
        <x:v>10</x:v>
      </x:c>
      <x:c r="U10" s="13" t="n">
        <x:f>IF(M10="Sin incapacidad",0,T10)</x:f>
        <x:v>10</x:v>
      </x:c>
      <x:c r="V10" s="13" t="str">
        <x:v>Sí</x:v>
      </x:c>
      <x:c r="W10" s="30" t="n">
        <x:v>45420</x:v>
      </x:c>
      <x:c r="X10" s="30" t="str">
        <x:v>Sí</x:v>
      </x:c>
      <x:c r="Y10" s="30" t="n">
        <x:v>45424</x:v>
      </x:c>
      <x:c r="Z10" s="13" t="str">
        <x:v>Coordinador SST + Operaciones</x:v>
      </x:c>
      <x:c r="AA10" s="13" t="str">
        <x:v>Distracción durante la labor</x:v>
      </x:c>
      <x:c r="AB10" s="13" t="str">
        <x:v>Superficie deslizante</x:v>
      </x:c>
      <x:c r="AC10" s="13" t="str">
        <x:v>Postura inadecuada</x:v>
      </x:c>
      <x:c r="AD10" s="13" t="str">
        <x:v>Falta de mantenimiento</x:v>
      </x:c>
      <x:c r="AE10" s="13" t="str">
        <x:v>Brecha de capacitación y hábitos inseguros de trabajo</x:v>
      </x:c>
      <x:c r="AF10" s="13" t="str">
        <x:v>Programar mantenimiento correctivo del elemento involucrado</x:v>
      </x:c>
      <x:c r="AG10" s="13" t="str">
        <x:v>Jefe de Operaciones</x:v>
      </x:c>
      <x:c r="AH10" s="30" t="n">
        <x:v>45439</x:v>
      </x:c>
      <x:c r="AI10" s="30" t="str">
        <x:v>Cerrada</x:v>
      </x:c>
      <x:c r="AJ10" s="30" t="n">
        <x:v>45443</x:v>
      </x:c>
      <x:c r="AK10" s="13" t="str">
        <x:f>IF(OR(AI10&lt;&gt;"Cerrada",AJ10="",AH10=""),"No",IF(AJ10&lt;=AH10,"Sí","No"))</x:f>
        <x:v>No</x:v>
      </x:c>
      <x:c r="AL10" s="13" t="str">
        <x:v>Sí</x:v>
      </x:c>
      <x:c r="AM10" s="13" t="str">
        <x:v>Cerrado</x:v>
      </x:c>
      <x:c r="AN10" s="13" t="str">
        <x:v>Se realiza seguimiento por SST y jefe inmediato.</x:v>
      </x:c>
    </x:row>
    <x:row r="11">
      <x:c r="A11" s="13" t="n">
        <x:v>2024</x:v>
      </x:c>
      <x:c r="B11" s="13" t="str">
        <x:v>AT-2024-027</x:v>
      </x:c>
      <x:c r="C11" s="30" t="n">
        <x:v>45420</x:v>
      </x:c>
      <x:c r="D11" s="13" t="str">
        <x:v>12:30</x:v>
      </x:c>
      <x:c r="E11" s="13" t="str">
        <x:v>Mayo</x:v>
      </x:c>
      <x:c r="F11" s="13" t="str">
        <x:v>Ocaña</x:v>
      </x:c>
      <x:c r="G11" s="13" t="str">
        <x:v>Central de Alarmas</x:v>
      </x:c>
      <x:c r="H11" s="13" t="str">
        <x:v>Jhon Alexander Contreras</x:v>
      </x:c>
      <x:c r="I11" s="13" t="str">
        <x:v>88076543</x:v>
      </x:c>
      <x:c r="J11" s="13" t="str">
        <x:v>Conductor</x:v>
      </x:c>
      <x:c r="K11" s="13" t="str">
        <x:v>Término indefinido</x:v>
      </x:c>
      <x:c r="L11" s="13" t="str">
        <x:v>ARL SURA</x:v>
      </x:c>
      <x:c r="M11" s="13" t="str">
        <x:v>Sin incapacidad</x:v>
      </x:c>
      <x:c r="N11" s="13" t="str">
        <x:v>Durante ronda de vigilancia en ocaña, el trabajador sufrió abrasión por caída al mismo nivel.</x:v>
      </x:c>
      <x:c r="O11" s="13" t="str">
        <x:v>Caída al mismo nivel</x:v>
      </x:c>
      <x:c r="P11" s="13" t="str">
        <x:v>Radio de comunicación</x:v>
      </x:c>
      <x:c r="Q11" s="13" t="str">
        <x:v>Recepción</x:v>
      </x:c>
      <x:c r="R11" s="13" t="str">
        <x:v>Brazo</x:v>
      </x:c>
      <x:c r="S11" s="13" t="str">
        <x:v>Abrasión</x:v>
      </x:c>
      <x:c r="T11" s="13" t="n">
        <x:v>0</x:v>
      </x:c>
      <x:c r="U11" s="13" t="n">
        <x:f>IF(M11="Sin incapacidad",0,T11)</x:f>
        <x:v>0</x:v>
      </x:c>
      <x:c r="V11" s="13" t="str">
        <x:v>Sí</x:v>
      </x:c>
      <x:c r="W11" s="30" t="n">
        <x:v>45421</x:v>
      </x:c>
      <x:c r="X11" s="30" t="str">
        <x:v>Sí</x:v>
      </x:c>
      <x:c r="Y11" s="30" t="n">
        <x:v>45430</x:v>
      </x:c>
      <x:c r="Z11" s="13" t="str">
        <x:v>Jefe inmediato + SST</x:v>
      </x:c>
      <x:c r="AA11" s="13" t="str">
        <x:v>No asegurar postura adecuada</x:v>
      </x:c>
      <x:c r="AB11" s="13" t="str">
        <x:v>Iluminación insuficiente</x:v>
      </x:c>
      <x:c r="AC11" s="13" t="str">
        <x:v>Fatiga</x:v>
      </x:c>
      <x:c r="AD11" s="13" t="str">
        <x:v>Condición locativa no corregida</x:v>
      </x:c>
      <x:c r="AE11" s="13" t="str">
        <x:v>Falta de inspección previa y gestión tardía del peligro</x:v>
      </x:c>
      <x:c r="AF11" s="13" t="str">
        <x:v>Actualizar procedimiento seguro de trabajo y verificar cumplimiento</x:v>
      </x:c>
      <x:c r="AG11" s="13" t="str">
        <x:v>Líder de Mantenimiento</x:v>
      </x:c>
      <x:c r="AH11" s="30" t="n">
        <x:v>45445</x:v>
      </x:c>
      <x:c r="AI11" s="30" t="str">
        <x:v>Cerrada</x:v>
      </x:c>
      <x:c r="AJ11" s="30" t="n">
        <x:v>45444</x:v>
      </x:c>
      <x:c r="AK11" s="13" t="str">
        <x:f>IF(OR(AI11&lt;&gt;"Cerrada",AJ11="",AH11=""),"No",IF(AJ11&lt;=AH11,"Sí","No"))</x:f>
        <x:v>Sí</x:v>
      </x:c>
      <x:c r="AL11" s="13" t="str">
        <x:v>Sí</x:v>
      </x:c>
      <x:c r="AM11" s="13" t="str">
        <x:v>Cerrado</x:v>
      </x:c>
      <x:c r="AN11" s="13" t="str">
        <x:v>Se vincula acción al plan de mejora del proceso.</x:v>
      </x:c>
    </x:row>
    <x:row r="12">
      <x:c r="A12" s="13" t="n">
        <x:v>2024</x:v>
      </x:c>
      <x:c r="B12" s="13" t="str">
        <x:v>AT-2024-003</x:v>
      </x:c>
      <x:c r="C12" s="30" t="n">
        <x:v>45443</x:v>
      </x:c>
      <x:c r="D12" s="13" t="str">
        <x:v>16:45</x:v>
      </x:c>
      <x:c r="E12" s="13" t="str">
        <x:v>Mayo</x:v>
      </x:c>
      <x:c r="F12" s="13" t="str">
        <x:v>Ocaña</x:v>
      </x:c>
      <x:c r="G12" s="13" t="str">
        <x:v>Operaciones</x:v>
      </x:c>
      <x:c r="H12" s="13" t="str">
        <x:v>Natalia Fernanda García</x:v>
      </x:c>
      <x:c r="I12" s="13" t="str">
        <x:v>88075512</x:v>
      </x:c>
      <x:c r="J12" s="13" t="str">
        <x:v>Conductor</x:v>
      </x:c>
      <x:c r="K12" s="13" t="str">
        <x:v>Obra o labor</x:v>
      </x:c>
      <x:c r="L12" s="13" t="str">
        <x:v>ARL SURA</x:v>
      </x:c>
      <x:c r="M12" s="13" t="str">
        <x:v>Sin incapacidad</x:v>
      </x:c>
      <x:c r="N12" s="13" t="str">
        <x:v>Trabajador reporta lesión tipo trauma ocular leve durante servicio en puesto asignado por golpeado por/contra.</x:v>
      </x:c>
      <x:c r="O12" s="13" t="str">
        <x:v>Golpeado por/contra</x:v>
      </x:c>
      <x:c r="P12" s="13" t="str">
        <x:v>Cableado</x:v>
      </x:c>
      <x:c r="Q12" s="13" t="str">
        <x:v>Cuarto técnico</x:v>
      </x:c>
      <x:c r="R12" s="13" t="str">
        <x:v>Tobillo</x:v>
      </x:c>
      <x:c r="S12" s="13" t="str">
        <x:v>Trauma ocular leve</x:v>
      </x:c>
      <x:c r="T12" s="13" t="n">
        <x:v>0</x:v>
      </x:c>
      <x:c r="U12" s="13" t="n">
        <x:f>IF(M12="Sin incapacidad",0,T12)</x:f>
        <x:v>0</x:v>
      </x:c>
      <x:c r="V12" s="13" t="str">
        <x:v>Sí</x:v>
      </x:c>
      <x:c r="W12" s="30" t="n">
        <x:v>45443</x:v>
      </x:c>
      <x:c r="X12" s="30" t="str">
        <x:v>Sí</x:v>
      </x:c>
      <x:c r="Y12" s="30" t="n">
        <x:v>45445</x:v>
      </x:c>
      <x:c r="Z12" s="13" t="str">
        <x:v>COPASST + SST</x:v>
      </x:c>
      <x:c r="AA12" s="13" t="str">
        <x:v>Uso inadecuado del EPP</x:v>
      </x:c>
      <x:c r="AB12" s="13" t="str">
        <x:v>Herramienta en mal estado</x:v>
      </x:c>
      <x:c r="AC12" s="13" t="str">
        <x:v>Apuro operativo</x:v>
      </x:c>
      <x:c r="AD12" s="13" t="str">
        <x:v>Procedimiento no actualizado</x:v>
      </x:c>
      <x:c r="AE12" s="13" t="str">
        <x:v>Control operativo insuficiente frente a condición locativa</x:v>
      </x:c>
      <x:c r="AF12" s="13" t="str">
        <x:v>Reforzar supervisión operativa y seguimiento al uso de EPP</x:v>
      </x:c>
      <x:c r="AG12" s="13" t="str">
        <x:v>Coordinador SST</x:v>
      </x:c>
      <x:c r="AH12" s="30" t="n">
        <x:v>45465</x:v>
      </x:c>
      <x:c r="AI12" s="30" t="str">
        <x:v>Cerrada</x:v>
      </x:c>
      <x:c r="AJ12" s="30" t="n">
        <x:v>45463</x:v>
      </x:c>
      <x:c r="AK12" s="13" t="str">
        <x:f>IF(OR(AI12&lt;&gt;"Cerrada",AJ12="",AH12=""),"No",IF(AJ12&lt;=AH12,"Sí","No"))</x:f>
        <x:v>Sí</x:v>
      </x:c>
      <x:c r="AL12" s="13" t="str">
        <x:v>Sí</x:v>
      </x:c>
      <x:c r="AM12" s="13" t="str">
        <x:v>Cerrado</x:v>
      </x:c>
      <x:c r="AN12" s="13" t="str">
        <x:v>Se recomienda refuerzo de inspecciones y autocuidado.</x:v>
      </x:c>
    </x:row>
    <x:row r="13">
      <x:c r="A13" s="13" t="n">
        <x:v>2024</x:v>
      </x:c>
      <x:c r="B13" s="13" t="str">
        <x:v>AT-2024-013</x:v>
      </x:c>
      <x:c r="C13" s="30" t="n">
        <x:v>45462</x:v>
      </x:c>
      <x:c r="D13" s="13" t="str">
        <x:v>11:10</x:v>
      </x:c>
      <x:c r="E13" s="13" t="str">
        <x:v>Junio</x:v>
      </x:c>
      <x:c r="F13" s="13" t="str">
        <x:v>Medellín</x:v>
      </x:c>
      <x:c r="G13" s="13" t="str">
        <x:v>Supervisión</x:v>
      </x:c>
      <x:c r="H13" s="13" t="str">
        <x:v>Nelly Johana Ortiz</x:v>
      </x:c>
      <x:c r="I13" s="13" t="str">
        <x:v>88075728</x:v>
      </x:c>
      <x:c r="J13" s="13" t="str">
        <x:v>Auxiliar Administrativa</x:v>
      </x:c>
      <x:c r="K13" s="13" t="str">
        <x:v>Término fijo</x:v>
      </x:c>
      <x:c r="L13" s="13" t="str">
        <x:v>ARL SURA</x:v>
      </x:c>
      <x:c r="M13" s="13" t="str">
        <x:v>Sin incapacidad</x:v>
      </x:c>
      <x:c r="N13" s="13" t="str">
        <x:v>Trabajador reporta lesión tipo lumbalgia aguda durante servicio en puesto asignado por contacto eléctrico.</x:v>
      </x:c>
      <x:c r="O13" s="13" t="str">
        <x:v>Contacto eléctrico</x:v>
      </x:c>
      <x:c r="P13" s="13" t="str">
        <x:v>Vehículo</x:v>
      </x:c>
      <x:c r="Q13" s="13" t="str">
        <x:v>Zona común del cliente</x:v>
      </x:c>
      <x:c r="R13" s="13" t="str">
        <x:v>Muñeca</x:v>
      </x:c>
      <x:c r="S13" s="13" t="str">
        <x:v>Lumbalgia aguda</x:v>
      </x:c>
      <x:c r="T13" s="13" t="n">
        <x:v>0</x:v>
      </x:c>
      <x:c r="U13" s="13" t="n">
        <x:f>IF(M13="Sin incapacidad",0,T13)</x:f>
        <x:v>0</x:v>
      </x:c>
      <x:c r="V13" s="13" t="str">
        <x:v>Sí</x:v>
      </x:c>
      <x:c r="W13" s="30" t="n">
        <x:v>45463</x:v>
      </x:c>
      <x:c r="X13" s="30" t="str">
        <x:v>Sí</x:v>
      </x:c>
      <x:c r="Y13" s="30" t="n">
        <x:v>45472</x:v>
      </x:c>
      <x:c r="Z13" s="13" t="str">
        <x:v>COPASST + SST</x:v>
      </x:c>
      <x:c r="AA13" s="13" t="str">
        <x:v>Desplazamiento apresurado</x:v>
      </x:c>
      <x:c r="AB13" s="13" t="str">
        <x:v>Orden y aseo deficiente</x:v>
      </x:c>
      <x:c r="AC13" s="13" t="str">
        <x:v>Capacitación insuficiente</x:v>
      </x:c>
      <x:c r="AD13" s="13" t="str">
        <x:v>Carga laboral elevada</x:v>
      </x:c>
      <x:c r="AE13" s="13" t="str">
        <x:v>Brecha de capacitación y hábitos inseguros de trabajo</x:v>
      </x:c>
      <x:c r="AF13" s="13" t="str">
        <x:v>Programar mantenimiento correctivo del elemento involucrado</x:v>
      </x:c>
      <x:c r="AG13" s="13" t="str">
        <x:v>Coordinador de Talento Humano</x:v>
      </x:c>
      <x:c r="AH13" s="30" t="n">
        <x:v>45502</x:v>
      </x:c>
      <x:c r="AI13" s="30" t="str">
        <x:v>Cerrada</x:v>
      </x:c>
      <x:c r="AJ13" s="30" t="n">
        <x:v>45498</x:v>
      </x:c>
      <x:c r="AK13" s="13" t="str">
        <x:f>IF(OR(AI13&lt;&gt;"Cerrada",AJ13="",AH13=""),"No",IF(AJ13&lt;=AH13,"Sí","No"))</x:f>
        <x:v>Sí</x:v>
      </x:c>
      <x:c r="AL13" s="13" t="str">
        <x:v>Sí</x:v>
      </x:c>
      <x:c r="AM13" s="13" t="str">
        <x:v>Cerrado</x:v>
      </x:c>
      <x:c r="AN13" s="13" t="str">
        <x:v>Se vincula acción al plan de mejora del proceso.</x:v>
      </x:c>
    </x:row>
    <x:row r="14">
      <x:c r="A14" s="13" t="n">
        <x:v>2024</x:v>
      </x:c>
      <x:c r="B14" s="13" t="str">
        <x:v>AT-2024-012</x:v>
      </x:c>
      <x:c r="C14" s="30" t="n">
        <x:v>45495</x:v>
      </x:c>
      <x:c r="D14" s="13" t="str">
        <x:v>07:45</x:v>
      </x:c>
      <x:c r="E14" s="13" t="str">
        <x:v>Julio</x:v>
      </x:c>
      <x:c r="F14" s="13" t="str">
        <x:v>Cúcuta</x:v>
      </x:c>
      <x:c r="G14" s="13" t="str">
        <x:v>Transporte de Valores</x:v>
      </x:c>
      <x:c r="H14" s="13" t="str">
        <x:v>Andrés Felipe Vera</x:v>
      </x:c>
      <x:c r="I14" s="13" t="str">
        <x:v>88075921</x:v>
      </x:c>
      <x:c r="J14" s="13" t="str">
        <x:v>Auxiliar Administrativa</x:v>
      </x:c>
      <x:c r="K14" s="13" t="str">
        <x:v>Término indefinido</x:v>
      </x:c>
      <x:c r="L14" s="13" t="str">
        <x:v>ARL SURA</x:v>
      </x:c>
      <x:c r="M14" s="13" t="str">
        <x:v>Con incapacidad</x:v>
      </x:c>
      <x:c r="N14" s="13" t="str">
        <x:v>Trabajador reporta lesión tipo fractura menor durante servicio en puesto asignado por atrapamiento.</x:v>
      </x:c>
      <x:c r="O14" s="13" t="str">
        <x:v>Atrapamiento</x:v>
      </x:c>
      <x:c r="P14" s="13" t="str">
        <x:v>Puerta metálica</x:v>
      </x:c>
      <x:c r="Q14" s="13" t="str">
        <x:v>Zona común del cliente</x:v>
      </x:c>
      <x:c r="R14" s="13" t="str">
        <x:v>Muñeca</x:v>
      </x:c>
      <x:c r="S14" s="13" t="str">
        <x:v>Fractura menor</x:v>
      </x:c>
      <x:c r="T14" s="13" t="n">
        <x:v>1</x:v>
      </x:c>
      <x:c r="U14" s="13" t="n">
        <x:f>IF(M14="Sin incapacidad",0,T14)</x:f>
        <x:v>1</x:v>
      </x:c>
      <x:c r="V14" s="13" t="str">
        <x:v>Sí</x:v>
      </x:c>
      <x:c r="W14" s="30" t="n">
        <x:v>45496</x:v>
      </x:c>
      <x:c r="X14" s="30" t="str">
        <x:v>Sí</x:v>
      </x:c>
      <x:c r="Y14" s="30" t="n">
        <x:v>45505</x:v>
      </x:c>
      <x:c r="Z14" s="13" t="str">
        <x:v>Coordinador SST + Operaciones</x:v>
      </x:c>
      <x:c r="AA14" s="13" t="str">
        <x:v>Distracción durante la labor</x:v>
      </x:c>
      <x:c r="AB14" s="13" t="str">
        <x:v>Iluminación insuficiente</x:v>
      </x:c>
      <x:c r="AC14" s="13" t="str">
        <x:v>Postura inadecuada</x:v>
      </x:c>
      <x:c r="AD14" s="13" t="str">
        <x:v>Falta de mantenimiento</x:v>
      </x:c>
      <x:c r="AE14" s="13" t="str">
        <x:v>Incumplimiento del procedimiento seguro y supervisión insuficiente</x:v>
      </x:c>
      <x:c r="AF14" s="13" t="str">
        <x:v>Reforzar supervisión operativa y seguimiento al uso de EPP</x:v>
      </x:c>
      <x:c r="AG14" s="13" t="str">
        <x:v>Coordinador de Talento Humano</x:v>
      </x:c>
      <x:c r="AH14" s="30" t="n">
        <x:v>45535</x:v>
      </x:c>
      <x:c r="AI14" s="30" t="str">
        <x:v>Cerrada</x:v>
      </x:c>
      <x:c r="AJ14" s="30" t="n">
        <x:v>45534</x:v>
      </x:c>
      <x:c r="AK14" s="13" t="str">
        <x:f>IF(OR(AI14&lt;&gt;"Cerrada",AJ14="",AH14=""),"No",IF(AJ14&lt;=AH14,"Sí","No"))</x:f>
        <x:v>Sí</x:v>
      </x:c>
      <x:c r="AL14" s="13" t="str">
        <x:v>Pendiente verificación</x:v>
      </x:c>
      <x:c r="AM14" s="13" t="str">
        <x:v>Cerrado</x:v>
      </x:c>
      <x:c r="AN14" s="13" t="str">
        <x:v>Se deja lección aprendida socializada en charla preoperacional.</x:v>
      </x:c>
    </x:row>
    <x:row r="15">
      <x:c r="A15" s="13" t="n">
        <x:v>2024</x:v>
      </x:c>
      <x:c r="B15" s="13" t="str">
        <x:v>AT-2024-026</x:v>
      </x:c>
      <x:c r="C15" s="30" t="n">
        <x:v>45501</x:v>
      </x:c>
      <x:c r="D15" s="13" t="str">
        <x:v>08:15</x:v>
      </x:c>
      <x:c r="E15" s="13" t="str">
        <x:v>Julio</x:v>
      </x:c>
      <x:c r="F15" s="13" t="str">
        <x:v>Arauca</x:v>
      </x:c>
      <x:c r="G15" s="13" t="str">
        <x:v>Supervisión</x:v>
      </x:c>
      <x:c r="H15" s="13" t="str">
        <x:v>Diego Alejandro Rojas</x:v>
      </x:c>
      <x:c r="I15" s="13" t="str">
        <x:v>88076546</x:v>
      </x:c>
      <x:c r="J15" s="13" t="str">
        <x:v>Analista SST</x:v>
      </x:c>
      <x:c r="K15" s="13" t="str">
        <x:v>Término indefinido</x:v>
      </x:c>
      <x:c r="L15" s="13" t="str">
        <x:v>ARL SURA</x:v>
      </x:c>
      <x:c r="M15" s="13" t="str">
        <x:v>Con incapacidad</x:v>
      </x:c>
      <x:c r="N15" s="13" t="str">
        <x:v>Trabajador reporta lesión tipo lumbalgia aguda durante servicio en puesto asignado por exposición a temperatura.</x:v>
      </x:c>
      <x:c r="O15" s="13" t="str">
        <x:v>Exposición a temperatura</x:v>
      </x:c>
      <x:c r="P15" s="13" t="str">
        <x:v>Arma de dotación</x:v>
      </x:c>
      <x:c r="Q15" s="13" t="str">
        <x:v>Cuarto técnico</x:v>
      </x:c>
      <x:c r="R15" s="13" t="str">
        <x:v>Brazo</x:v>
      </x:c>
      <x:c r="S15" s="13" t="str">
        <x:v>Lumbalgia aguda</x:v>
      </x:c>
      <x:c r="T15" s="13" t="n">
        <x:v>3</x:v>
      </x:c>
      <x:c r="U15" s="13" t="n">
        <x:f>IF(M15="Sin incapacidad",0,T15)</x:f>
        <x:v>3</x:v>
      </x:c>
      <x:c r="V15" s="13" t="str">
        <x:v>Sí</x:v>
      </x:c>
      <x:c r="W15" s="30" t="n">
        <x:v>45502</x:v>
      </x:c>
      <x:c r="X15" s="30" t="str">
        <x:v>Sí</x:v>
      </x:c>
      <x:c r="Y15" s="30" t="n">
        <x:v>45502</x:v>
      </x:c>
      <x:c r="Z15" s="13" t="str">
        <x:v>Jefe inmediato + SST</x:v>
      </x:c>
      <x:c r="AA15" s="13" t="str">
        <x:v>Omisión de inspección previa</x:v>
      </x:c>
      <x:c r="AB15" s="13" t="str">
        <x:v>Vía en mal estado</x:v>
      </x:c>
      <x:c r="AC15" s="13" t="str">
        <x:v>Falta de atención</x:v>
      </x:c>
      <x:c r="AD15" s="13" t="str">
        <x:v>Deficiencia en supervisión</x:v>
      </x:c>
      <x:c r="AE15" s="13" t="str">
        <x:v>Mantenimiento deficiente y ausencia de corrección oportuna</x:v>
      </x:c>
      <x:c r="AF15" s="13" t="str">
        <x:v>Implementar señalización y control administrativo temporal</x:v>
      </x:c>
      <x:c r="AG15" s="13" t="str">
        <x:v>Supervisor Operativo</x:v>
      </x:c>
      <x:c r="AH15" s="30" t="n">
        <x:v>45522</x:v>
      </x:c>
      <x:c r="AI15" s="30" t="str">
        <x:v>En seguimiento</x:v>
      </x:c>
      <x:c r="AJ15" s="30"/>
      <x:c r="AK15" s="13" t="str">
        <x:f>IF(OR(AI15&lt;&gt;"Cerrada",AJ15="",AH15=""),"No",IF(AJ15&lt;=AH15,"Sí","No"))</x:f>
        <x:v>No</x:v>
      </x:c>
      <x:c r="AL15" s="13" t="str">
        <x:v>Pendiente verificación</x:v>
      </x:c>
      <x:c r="AM15" s="13" t="str">
        <x:v>En seguimiento</x:v>
      </x:c>
      <x:c r="AN15" s="13" t="str">
        <x:v>Se realiza seguimiento por SST y jefe inmediato.</x:v>
      </x:c>
    </x:row>
    <x:row r="16">
      <x:c r="A16" s="13" t="n">
        <x:v>2024</x:v>
      </x:c>
      <x:c r="B16" s="13" t="str">
        <x:v>AT-2024-009</x:v>
      </x:c>
      <x:c r="C16" s="30" t="n">
        <x:v>45502</x:v>
      </x:c>
      <x:c r="D16" s="13" t="str">
        <x:v>17:45</x:v>
      </x:c>
      <x:c r="E16" s="13" t="str">
        <x:v>Julio</x:v>
      </x:c>
      <x:c r="F16" s="13" t="str">
        <x:v>Cúcuta</x:v>
      </x:c>
      <x:c r="G16" s="13" t="str">
        <x:v>Logística</x:v>
      </x:c>
      <x:c r="H16" s="13" t="str">
        <x:v>Ricardo Andrés Parra</x:v>
      </x:c>
      <x:c r="I16" s="13" t="str">
        <x:v>88075327</x:v>
      </x:c>
      <x:c r="J16" s="13" t="str">
        <x:v>Auxiliar Administrativa</x:v>
      </x:c>
      <x:c r="K16" s="13" t="str">
        <x:v>Término indefinido</x:v>
      </x:c>
      <x:c r="L16" s="13" t="str">
        <x:v>ARL SURA</x:v>
      </x:c>
      <x:c r="M16" s="13" t="str">
        <x:v>Con incapacidad</x:v>
      </x:c>
      <x:c r="N16" s="13" t="str">
        <x:v>En desarrollo de actividades de logística, se presentó evento por atrapamiento asociado a vehículo.</x:v>
      </x:c>
      <x:c r="O16" s="13" t="str">
        <x:v>Atrapamiento</x:v>
      </x:c>
      <x:c r="P16" s="13" t="str">
        <x:v>Vehículo</x:v>
      </x:c>
      <x:c r="Q16" s="13" t="str">
        <x:v>Puesto de vigilancia</x:v>
      </x:c>
      <x:c r="R16" s="13" t="str">
        <x:v>Muñeca</x:v>
      </x:c>
      <x:c r="S16" s="13" t="str">
        <x:v>Trauma ocular leve</x:v>
      </x:c>
      <x:c r="T16" s="13" t="n">
        <x:v>15</x:v>
      </x:c>
      <x:c r="U16" s="13" t="n">
        <x:f>IF(M16="Sin incapacidad",0,T16)</x:f>
        <x:v>15</x:v>
      </x:c>
      <x:c r="V16" s="13" t="str">
        <x:v>Sí</x:v>
      </x:c>
      <x:c r="W16" s="30" t="n">
        <x:v>45503</x:v>
      </x:c>
      <x:c r="X16" s="30" t="str">
        <x:v>Sí</x:v>
      </x:c>
      <x:c r="Y16" s="30" t="n">
        <x:v>45507</x:v>
      </x:c>
      <x:c r="Z16" s="13" t="str">
        <x:v>COPASST + SST</x:v>
      </x:c>
      <x:c r="AA16" s="13" t="str">
        <x:v>Conducción sin distancia segura</x:v>
      </x:c>
      <x:c r="AB16" s="13" t="str">
        <x:v>Superficie deslizante</x:v>
      </x:c>
      <x:c r="AC16" s="13" t="str">
        <x:v>Apuro operativo</x:v>
      </x:c>
      <x:c r="AD16" s="13" t="str">
        <x:v>Condición locativa no corregida</x:v>
      </x:c>
      <x:c r="AE16" s="13" t="str">
        <x:v>Mantenimiento deficiente y ausencia de corrección oportuna</x:v>
      </x:c>
      <x:c r="AF16" s="13" t="str">
        <x:v>Realizar capacitación focalizada y socialización de lección aprendida</x:v>
      </x:c>
      <x:c r="AG16" s="13" t="str">
        <x:v>Supervisor Operativo</x:v>
      </x:c>
      <x:c r="AH16" s="30" t="n">
        <x:v>45527</x:v>
      </x:c>
      <x:c r="AI16" s="30" t="str">
        <x:v>Cerrada</x:v>
      </x:c>
      <x:c r="AJ16" s="30" t="n">
        <x:v>45528</x:v>
      </x:c>
      <x:c r="AK16" s="13" t="str">
        <x:f>IF(OR(AI16&lt;&gt;"Cerrada",AJ16="",AH16=""),"No",IF(AJ16&lt;=AH16,"Sí","No"))</x:f>
        <x:v>No</x:v>
      </x:c>
      <x:c r="AL16" s="13" t="str">
        <x:v>Pendiente verificación</x:v>
      </x:c>
      <x:c r="AM16" s="13" t="str">
        <x:v>Cerrado</x:v>
      </x:c>
      <x:c r="AN16" s="13" t="str">
        <x:v>Se deja lección aprendida socializada en charla preoperacional.</x:v>
      </x:c>
    </x:row>
    <x:row r="17">
      <x:c r="A17" s="13" t="n">
        <x:v>2024</x:v>
      </x:c>
      <x:c r="B17" s="13" t="str">
        <x:v>AT-2024-005</x:v>
      </x:c>
      <x:c r="C17" s="30" t="n">
        <x:v>45504</x:v>
      </x:c>
      <x:c r="D17" s="13" t="str">
        <x:v>09:50</x:v>
      </x:c>
      <x:c r="E17" s="13" t="str">
        <x:v>Julio</x:v>
      </x:c>
      <x:c r="F17" s="13" t="str">
        <x:v>Ábrego</x:v>
      </x:c>
      <x:c r="G17" s="13" t="str">
        <x:v>Escoltas</x:v>
      </x:c>
      <x:c r="H17" s="13" t="str">
        <x:v>Álvaro José Pabón</x:v>
      </x:c>
      <x:c r="I17" s="13" t="str">
        <x:v>88075779</x:v>
      </x:c>
      <x:c r="J17" s="13" t="str">
        <x:v>Vigilante</x:v>
      </x:c>
      <x:c r="K17" s="13" t="str">
        <x:v>Término indefinido</x:v>
      </x:c>
      <x:c r="L17" s="13" t="str">
        <x:v>ARL SURA</x:v>
      </x:c>
      <x:c r="M17" s="13" t="str">
        <x:v>Con incapacidad</x:v>
      </x:c>
      <x:c r="N17" s="13" t="str">
        <x:v>Durante ronda de vigilancia en ábrego, el trabajador sufrió trauma ocular leve por caída de objetos.</x:v>
      </x:c>
      <x:c r="O17" s="13" t="str">
        <x:v>Caída de objetos</x:v>
      </x:c>
      <x:c r="P17" s="13" t="str">
        <x:v>Escritorio</x:v>
      </x:c>
      <x:c r="Q17" s="13" t="str">
        <x:v>Parqueadero</x:v>
      </x:c>
      <x:c r="R17" s="13" t="str">
        <x:v>Muñeca</x:v>
      </x:c>
      <x:c r="S17" s="13" t="str">
        <x:v>Trauma ocular leve</x:v>
      </x:c>
      <x:c r="T17" s="13" t="n">
        <x:v>15</x:v>
      </x:c>
      <x:c r="U17" s="13" t="n">
        <x:f>IF(M17="Sin incapacidad",0,T17)</x:f>
        <x:v>15</x:v>
      </x:c>
      <x:c r="V17" s="13" t="str">
        <x:v>Sí</x:v>
      </x:c>
      <x:c r="W17" s="30" t="n">
        <x:v>45505</x:v>
      </x:c>
      <x:c r="X17" s="30" t="str">
        <x:v>Sí</x:v>
      </x:c>
      <x:c r="Y17" s="30" t="n">
        <x:v>45509</x:v>
      </x:c>
      <x:c r="Z17" s="13" t="str">
        <x:v>COPASST + SST</x:v>
      </x:c>
      <x:c r="AA17" s="13" t="str">
        <x:v>Desplazamiento apresurado</x:v>
      </x:c>
      <x:c r="AB17" s="13" t="str">
        <x:v>Cable expuesto</x:v>
      </x:c>
      <x:c r="AC17" s="13" t="str">
        <x:v>Fatiga</x:v>
      </x:c>
      <x:c r="AD17" s="13" t="str">
        <x:v>Condición locativa no corregida</x:v>
      </x:c>
      <x:c r="AE17" s="13" t="str">
        <x:v>Incumplimiento del procedimiento seguro y supervisión insuficiente</x:v>
      </x:c>
      <x:c r="AF17" s="13" t="str">
        <x:v>Implementar señalización y control administrativo temporal</x:v>
      </x:c>
      <x:c r="AG17" s="13" t="str">
        <x:v>Líder de Mantenimiento</x:v>
      </x:c>
      <x:c r="AH17" s="30" t="n">
        <x:v>45519</x:v>
      </x:c>
      <x:c r="AI17" s="30" t="str">
        <x:v>Cerrada</x:v>
      </x:c>
      <x:c r="AJ17" s="30" t="n">
        <x:v>45519</x:v>
      </x:c>
      <x:c r="AK17" s="13" t="str">
        <x:f>IF(OR(AI17&lt;&gt;"Cerrada",AJ17="",AH17=""),"No",IF(AJ17&lt;=AH17,"Sí","No"))</x:f>
        <x:v>Sí</x:v>
      </x:c>
      <x:c r="AL17" s="13" t="str">
        <x:v>Sí</x:v>
      </x:c>
      <x:c r="AM17" s="13" t="str">
        <x:v>Cerrado</x:v>
      </x:c>
      <x:c r="AN17" s="13" t="str">
        <x:v>Se realiza seguimiento por SST y jefe inmediato.</x:v>
      </x:c>
    </x:row>
    <x:row r="18">
      <x:c r="A18" s="13" t="n">
        <x:v>2024</x:v>
      </x:c>
      <x:c r="B18" s="13" t="str">
        <x:v>AT-2024-023</x:v>
      </x:c>
      <x:c r="C18" s="30" t="n">
        <x:v>45520</x:v>
      </x:c>
      <x:c r="D18" s="13" t="str">
        <x:v>07:40</x:v>
      </x:c>
      <x:c r="E18" s="13" t="str">
        <x:v>Agosto</x:v>
      </x:c>
      <x:c r="F18" s="13" t="str">
        <x:v>Ábrego</x:v>
      </x:c>
      <x:c r="G18" s="13" t="str">
        <x:v>Logística</x:v>
      </x:c>
      <x:c r="H18" s="13" t="str">
        <x:v>Álvaro José Pabón</x:v>
      </x:c>
      <x:c r="I18" s="13" t="str">
        <x:v>88075815</x:v>
      </x:c>
      <x:c r="J18" s="13" t="str">
        <x:v>Vigilante</x:v>
      </x:c>
      <x:c r="K18" s="13" t="str">
        <x:v>Término indefinido</x:v>
      </x:c>
      <x:c r="L18" s="13" t="str">
        <x:v>ARL SURA</x:v>
      </x:c>
      <x:c r="M18" s="13" t="str">
        <x:v>Con incapacidad</x:v>
      </x:c>
      <x:c r="N18" s="13" t="str">
        <x:v>En desarrollo de actividades de logística, se presentó evento por sobreesfuerzo o esfuerzo excesivo asociado a rejilla.</x:v>
      </x:c>
      <x:c r="O18" s="13" t="str">
        <x:v>Sobreesfuerzo o esfuerzo excesivo</x:v>
      </x:c>
      <x:c r="P18" s="13" t="str">
        <x:v>Rejilla</x:v>
      </x:c>
      <x:c r="Q18" s="13" t="str">
        <x:v>Zona común del cliente</x:v>
      </x:c>
      <x:c r="R18" s="13" t="str">
        <x:v>Hombro</x:v>
      </x:c>
      <x:c r="S18" s="13" t="str">
        <x:v>Contusión</x:v>
      </x:c>
      <x:c r="T18" s="13" t="n">
        <x:v>3</x:v>
      </x:c>
      <x:c r="U18" s="13" t="n">
        <x:f>IF(M18="Sin incapacidad",0,T18)</x:f>
        <x:v>3</x:v>
      </x:c>
      <x:c r="V18" s="13" t="str">
        <x:v>Sí</x:v>
      </x:c>
      <x:c r="W18" s="30" t="n">
        <x:v>45522</x:v>
      </x:c>
      <x:c r="X18" s="30" t="str">
        <x:v>Sí</x:v>
      </x:c>
      <x:c r="Y18" s="30" t="n">
        <x:v>45528</x:v>
      </x:c>
      <x:c r="Z18" s="13" t="str">
        <x:v>Jefe inmediato + SST</x:v>
      </x:c>
      <x:c r="AA18" s="13" t="str">
        <x:v>Omisión de inspección previa</x:v>
      </x:c>
      <x:c r="AB18" s="13" t="str">
        <x:v>Iluminación insuficiente</x:v>
      </x:c>
      <x:c r="AC18" s="13" t="str">
        <x:v>Falta de atención</x:v>
      </x:c>
      <x:c r="AD18" s="13" t="str">
        <x:v>Condición locativa no corregida</x:v>
      </x:c>
      <x:c r="AE18" s="13" t="str">
        <x:v>Mantenimiento deficiente y ausencia de corrección oportuna</x:v>
      </x:c>
      <x:c r="AF18" s="13" t="str">
        <x:v>Actualizar procedimiento seguro de trabajo y verificar cumplimiento</x:v>
      </x:c>
      <x:c r="AG18" s="13" t="str">
        <x:v>Analista SST</x:v>
      </x:c>
      <x:c r="AH18" s="30" t="n">
        <x:v>45538</x:v>
      </x:c>
      <x:c r="AI18" s="30" t="str">
        <x:v>Cerrada</x:v>
      </x:c>
      <x:c r="AJ18" s="30" t="n">
        <x:v>45533</x:v>
      </x:c>
      <x:c r="AK18" s="13" t="str">
        <x:f>IF(OR(AI18&lt;&gt;"Cerrada",AJ18="",AH18=""),"No",IF(AJ18&lt;=AH18,"Sí","No"))</x:f>
        <x:v>Sí</x:v>
      </x:c>
      <x:c r="AL18" s="13" t="str">
        <x:v>Sí</x:v>
      </x:c>
      <x:c r="AM18" s="13" t="str">
        <x:v>Cerrado</x:v>
      </x:c>
      <x:c r="AN18" s="13" t="str">
        <x:v>Se recomienda refuerzo de inspecciones y autocuidado.</x:v>
      </x:c>
    </x:row>
    <x:row r="19">
      <x:c r="A19" s="13" t="n">
        <x:v>2024</x:v>
      </x:c>
      <x:c r="B19" s="13" t="str">
        <x:v>AT-2024-007</x:v>
      </x:c>
      <x:c r="C19" s="30" t="n">
        <x:v>45521</x:v>
      </x:c>
      <x:c r="D19" s="13" t="str">
        <x:v>17:10</x:v>
      </x:c>
      <x:c r="E19" s="13" t="str">
        <x:v>Agosto</x:v>
      </x:c>
      <x:c r="F19" s="13" t="str">
        <x:v>Tibú</x:v>
      </x:c>
      <x:c r="G19" s="13" t="str">
        <x:v>Administrativa</x:v>
      </x:c>
      <x:c r="H19" s="13" t="str">
        <x:v>María Camila Rojas</x:v>
      </x:c>
      <x:c r="I19" s="13" t="str">
        <x:v>88075455</x:v>
      </x:c>
      <x:c r="J19" s="13" t="str">
        <x:v>Conductor</x:v>
      </x:c>
      <x:c r="K19" s="13" t="str">
        <x:v>Término indefinido</x:v>
      </x:c>
      <x:c r="L19" s="13" t="str">
        <x:v>ARL SURA</x:v>
      </x:c>
      <x:c r="M19" s="13" t="str">
        <x:v>Sin incapacidad</x:v>
      </x:c>
      <x:c r="N19" s="13" t="str">
        <x:v>En desarrollo de actividades de administrativa, se presentó evento por caída al mismo nivel asociado a cableado.</x:v>
      </x:c>
      <x:c r="O19" s="13" t="str">
        <x:v>Caída al mismo nivel</x:v>
      </x:c>
      <x:c r="P19" s="13" t="str">
        <x:v>Cableado</x:v>
      </x:c>
      <x:c r="Q19" s="13" t="str">
        <x:v>Vía pública en ronda</x:v>
      </x:c>
      <x:c r="R19" s="13" t="str">
        <x:v>Cervical</x:v>
      </x:c>
      <x:c r="S19" s="13" t="str">
        <x:v>Fractura menor</x:v>
      </x:c>
      <x:c r="T19" s="13" t="n">
        <x:v>0</x:v>
      </x:c>
      <x:c r="U19" s="13" t="n">
        <x:f>IF(M19="Sin incapacidad",0,T19)</x:f>
        <x:v>0</x:v>
      </x:c>
      <x:c r="V19" s="13" t="str">
        <x:v>Sí</x:v>
      </x:c>
      <x:c r="W19" s="30" t="n">
        <x:v>45521</x:v>
      </x:c>
      <x:c r="X19" s="30" t="str">
        <x:v>Sí</x:v>
      </x:c>
      <x:c r="Y19" s="30" t="n">
        <x:v>45529</x:v>
      </x:c>
      <x:c r="Z19" s="13" t="str">
        <x:v>Jefe inmediato + SST</x:v>
      </x:c>
      <x:c r="AA19" s="13" t="str">
        <x:v>Desplazamiento apresurado</x:v>
      </x:c>
      <x:c r="AB19" s="13" t="str">
        <x:v>Espacio reducido</x:v>
      </x:c>
      <x:c r="AC19" s="13" t="str">
        <x:v>Apuro operativo</x:v>
      </x:c>
      <x:c r="AD19" s="13" t="str">
        <x:v>Deficiencia en supervisión</x:v>
      </x:c>
      <x:c r="AE19" s="13" t="str">
        <x:v>Control operativo insuficiente frente a condición locativa</x:v>
      </x:c>
      <x:c r="AF19" s="13" t="str">
        <x:v>Ejecutar inspección locativa y corrección inmediata del peligro</x:v>
      </x:c>
      <x:c r="AG19" s="13" t="str">
        <x:v>Jefe de Operaciones</x:v>
      </x:c>
      <x:c r="AH19" s="30" t="n">
        <x:v>45549</x:v>
      </x:c>
      <x:c r="AI19" s="30" t="str">
        <x:v>Cerrada</x:v>
      </x:c>
      <x:c r="AJ19" s="30" t="n">
        <x:v>45545</x:v>
      </x:c>
      <x:c r="AK19" s="13" t="str">
        <x:f>IF(OR(AI19&lt;&gt;"Cerrada",AJ19="",AH19=""),"No",IF(AJ19&lt;=AH19,"Sí","No"))</x:f>
        <x:v>Sí</x:v>
      </x:c>
      <x:c r="AL19" s="13" t="str">
        <x:v>Sí</x:v>
      </x:c>
      <x:c r="AM19" s="13" t="str">
        <x:v>Cerrado</x:v>
      </x:c>
      <x:c r="AN19" s="13" t="str">
        <x:v>Se realiza seguimiento por SST y jefe inmediato.</x:v>
      </x:c>
    </x:row>
    <x:row r="20">
      <x:c r="A20" s="13" t="n">
        <x:v>2024</x:v>
      </x:c>
      <x:c r="B20" s="13" t="str">
        <x:v>AT-2024-006</x:v>
      </x:c>
      <x:c r="C20" s="30" t="n">
        <x:v>45575</x:v>
      </x:c>
      <x:c r="D20" s="13" t="str">
        <x:v>12:20</x:v>
      </x:c>
      <x:c r="E20" s="13" t="str">
        <x:v>Octubre</x:v>
      </x:c>
      <x:c r="F20" s="13" t="str">
        <x:v>Girón</x:v>
      </x:c>
      <x:c r="G20" s="13" t="str">
        <x:v>Monitoreo</x:v>
      </x:c>
      <x:c r="H20" s="13" t="str">
        <x:v>Jorge Enrique Suárez</x:v>
      </x:c>
      <x:c r="I20" s="13" t="str">
        <x:v>88075112</x:v>
      </x:c>
      <x:c r="J20" s="13" t="str">
        <x:v>Tecnólogo de Monitoreo</x:v>
      </x:c>
      <x:c r="K20" s="13" t="str">
        <x:v>Término indefinido</x:v>
      </x:c>
      <x:c r="L20" s="13" t="str">
        <x:v>ARL SURA</x:v>
      </x:c>
      <x:c r="M20" s="13" t="str">
        <x:v>Sin incapacidad</x:v>
      </x:c>
      <x:c r="N20" s="13" t="str">
        <x:v>Durante ronda de vigilancia en girón, el trabajador sufrió lumbalgia aguda por caída de objetos.</x:v>
      </x:c>
      <x:c r="O20" s="13" t="str">
        <x:v>Caída de objetos</x:v>
      </x:c>
      <x:c r="P20" s="13" t="str">
        <x:v>Arma de dotación</x:v>
      </x:c>
      <x:c r="Q20" s="13" t="str">
        <x:v>Acceso principal</x:v>
      </x:c>
      <x:c r="R20" s="13" t="str">
        <x:v>Tobillo</x:v>
      </x:c>
      <x:c r="S20" s="13" t="str">
        <x:v>Lumbalgia aguda</x:v>
      </x:c>
      <x:c r="T20" s="13" t="n">
        <x:v>0</x:v>
      </x:c>
      <x:c r="U20" s="13" t="n">
        <x:f>IF(M20="Sin incapacidad",0,T20)</x:f>
        <x:v>0</x:v>
      </x:c>
      <x:c r="V20" s="13" t="str">
        <x:v>Sí</x:v>
      </x:c>
      <x:c r="W20" s="30" t="n">
        <x:v>45575</x:v>
      </x:c>
      <x:c r="X20" s="30" t="str">
        <x:v>Sí</x:v>
      </x:c>
      <x:c r="Y20" s="30" t="n">
        <x:v>45576</x:v>
      </x:c>
      <x:c r="Z20" s="13" t="str">
        <x:v>COPASST + SST</x:v>
      </x:c>
      <x:c r="AA20" s="13" t="str">
        <x:v>No asegurar postura adecuada</x:v>
      </x:c>
      <x:c r="AB20" s="13" t="str">
        <x:v>Espacio reducido</x:v>
      </x:c>
      <x:c r="AC20" s="13" t="str">
        <x:v>Falta de atención</x:v>
      </x:c>
      <x:c r="AD20" s="13" t="str">
        <x:v>Control operativo insuficiente</x:v>
      </x:c>
      <x:c r="AE20" s="13" t="str">
        <x:v>Mantenimiento deficiente y ausencia de corrección oportuna</x:v>
      </x:c>
      <x:c r="AF20" s="13" t="str">
        <x:v>Realizar capacitación focalizada y socialización de lección aprendida</x:v>
      </x:c>
      <x:c r="AG20" s="13" t="str">
        <x:v>Supervisor Operativo</x:v>
      </x:c>
      <x:c r="AH20" s="30" t="n">
        <x:v>45596</x:v>
      </x:c>
      <x:c r="AI20" s="30" t="str">
        <x:v>Cerrada</x:v>
      </x:c>
      <x:c r="AJ20" s="30" t="n">
        <x:v>45590</x:v>
      </x:c>
      <x:c r="AK20" s="13" t="str">
        <x:f>IF(OR(AI20&lt;&gt;"Cerrada",AJ20="",AH20=""),"No",IF(AJ20&lt;=AH20,"Sí","No"))</x:f>
        <x:v>Sí</x:v>
      </x:c>
      <x:c r="AL20" s="13" t="str">
        <x:v>Sí</x:v>
      </x:c>
      <x:c r="AM20" s="13" t="str">
        <x:v>Cerrado</x:v>
      </x:c>
      <x:c r="AN20" s="13" t="str">
        <x:v>Se recomienda refuerzo de inspecciones y autocuidado.</x:v>
      </x:c>
    </x:row>
    <x:row r="21">
      <x:c r="A21" s="13" t="n">
        <x:v>2024</x:v>
      </x:c>
      <x:c r="B21" s="13" t="str">
        <x:v>AT-2024-002</x:v>
      </x:c>
      <x:c r="C21" s="30" t="n">
        <x:v>45584</x:v>
      </x:c>
      <x:c r="D21" s="13" t="str">
        <x:v>17:30</x:v>
      </x:c>
      <x:c r="E21" s="13" t="str">
        <x:v>Octubre</x:v>
      </x:c>
      <x:c r="F21" s="13" t="str">
        <x:v>Valledupar</x:v>
      </x:c>
      <x:c r="G21" s="13" t="str">
        <x:v>Operaciones</x:v>
      </x:c>
      <x:c r="H21" s="13" t="str">
        <x:v>Claudia Patricia Solano</x:v>
      </x:c>
      <x:c r="I21" s="13" t="str">
        <x:v>88074970</x:v>
      </x:c>
      <x:c r="J21" s="13" t="str">
        <x:v>Guarda Motorizado</x:v>
      </x:c>
      <x:c r="K21" s="13" t="str">
        <x:v>Término indefinido</x:v>
      </x:c>
      <x:c r="L21" s="13" t="str">
        <x:v>ARL SURA</x:v>
      </x:c>
      <x:c r="M21" s="13" t="str">
        <x:v>Con incapacidad</x:v>
      </x:c>
      <x:c r="N21" s="13" t="str">
        <x:v>En desarrollo de actividades de operaciones, se presentó evento por accidente de tránsito asociado a piso húmedo.</x:v>
      </x:c>
      <x:c r="O21" s="13" t="str">
        <x:v>Accidente de tránsito</x:v>
      </x:c>
      <x:c r="P21" s="13" t="str">
        <x:v>Piso húmedo</x:v>
      </x:c>
      <x:c r="Q21" s="13" t="str">
        <x:v>Área administrativa</x:v>
      </x:c>
      <x:c r="R21" s="13" t="str">
        <x:v>Brazo</x:v>
      </x:c>
      <x:c r="S21" s="13" t="str">
        <x:v>Golpe leve</x:v>
      </x:c>
      <x:c r="T21" s="13" t="n">
        <x:v>5</x:v>
      </x:c>
      <x:c r="U21" s="13" t="n">
        <x:f>IF(M21="Sin incapacidad",0,T21)</x:f>
        <x:v>5</x:v>
      </x:c>
      <x:c r="V21" s="13" t="str">
        <x:v>Sí</x:v>
      </x:c>
      <x:c r="W21" s="30" t="n">
        <x:v>45584</x:v>
      </x:c>
      <x:c r="X21" s="30" t="str">
        <x:v>Sí</x:v>
      </x:c>
      <x:c r="Y21" s="30" t="n">
        <x:v>45590</x:v>
      </x:c>
      <x:c r="Z21" s="13" t="str">
        <x:v>COPASST + SST</x:v>
      </x:c>
      <x:c r="AA21" s="13" t="str">
        <x:v>Uso inadecuado del EPP</x:v>
      </x:c>
      <x:c r="AB21" s="13" t="str">
        <x:v>Vía en mal estado</x:v>
      </x:c>
      <x:c r="AC21" s="13" t="str">
        <x:v>Capacitación insuficiente</x:v>
      </x:c>
      <x:c r="AD21" s="13" t="str">
        <x:v>Condición locativa no corregida</x:v>
      </x:c>
      <x:c r="AE21" s="13" t="str">
        <x:v>Incumplimiento del procedimiento seguro y supervisión insuficiente</x:v>
      </x:c>
      <x:c r="AF21" s="13" t="str">
        <x:v>Implementar señalización y control administrativo temporal</x:v>
      </x:c>
      <x:c r="AG21" s="13" t="str">
        <x:v>Coordinador SST</x:v>
      </x:c>
      <x:c r="AH21" s="30" t="n">
        <x:v>45600</x:v>
      </x:c>
      <x:c r="AI21" s="30" t="str">
        <x:v>Cerrada</x:v>
      </x:c>
      <x:c r="AJ21" s="30" t="n">
        <x:v>45598</x:v>
      </x:c>
      <x:c r="AK21" s="13" t="str">
        <x:f>IF(OR(AI21&lt;&gt;"Cerrada",AJ21="",AH21=""),"No",IF(AJ21&lt;=AH21,"Sí","No"))</x:f>
        <x:v>Sí</x:v>
      </x:c>
      <x:c r="AL21" s="13" t="str">
        <x:v>Sí</x:v>
      </x:c>
      <x:c r="AM21" s="13" t="str">
        <x:v>Cerrado</x:v>
      </x:c>
      <x:c r="AN21" s="13" t="str">
        <x:v>Se realiza seguimiento por SST y jefe inmediato.</x:v>
      </x:c>
    </x:row>
    <x:row r="22">
      <x:c r="A22" s="13" t="n">
        <x:v>2024</x:v>
      </x:c>
      <x:c r="B22" s="13" t="str">
        <x:v>AT-2024-016</x:v>
      </x:c>
      <x:c r="C22" s="30" t="n">
        <x:v>45596</x:v>
      </x:c>
      <x:c r="D22" s="13" t="str">
        <x:v>08:30</x:v>
      </x:c>
      <x:c r="E22" s="13" t="str">
        <x:v>Octubre</x:v>
      </x:c>
      <x:c r="F22" s="13" t="str">
        <x:v>Medellín</x:v>
      </x:c>
      <x:c r="G22" s="13" t="str">
        <x:v>Escoltas</x:v>
      </x:c>
      <x:c r="H22" s="13" t="str">
        <x:v>Yenny Paola Cáceres</x:v>
      </x:c>
      <x:c r="I22" s="13" t="str">
        <x:v>88076166</x:v>
      </x:c>
      <x:c r="J22" s="13" t="str">
        <x:v>Operador de Medios Tecnológicos</x:v>
      </x:c>
      <x:c r="K22" s="13" t="str">
        <x:v>Término fijo</x:v>
      </x:c>
      <x:c r="L22" s="13" t="str">
        <x:v>ARL SURA</x:v>
      </x:c>
      <x:c r="M22" s="13" t="str">
        <x:v>Sin incapacidad</x:v>
      </x:c>
      <x:c r="N22" s="13" t="str">
        <x:v>Trabajador reporta lesión tipo fractura menor durante servicio en puesto asignado por caída de objetos.</x:v>
      </x:c>
      <x:c r="O22" s="13" t="str">
        <x:v>Caída de objetos</x:v>
      </x:c>
      <x:c r="P22" s="13" t="str">
        <x:v>Arma de dotación</x:v>
      </x:c>
      <x:c r="Q22" s="13" t="str">
        <x:v>Puesto de vigilancia</x:v>
      </x:c>
      <x:c r="R22" s="13" t="str">
        <x:v>Muñeca</x:v>
      </x:c>
      <x:c r="S22" s="13" t="str">
        <x:v>Fractura menor</x:v>
      </x:c>
      <x:c r="T22" s="13" t="n">
        <x:v>0</x:v>
      </x:c>
      <x:c r="U22" s="13" t="n">
        <x:f>IF(M22="Sin incapacidad",0,T22)</x:f>
        <x:v>0</x:v>
      </x:c>
      <x:c r="V22" s="13" t="str">
        <x:v>Sí</x:v>
      </x:c>
      <x:c r="W22" s="30" t="n">
        <x:v>45598</x:v>
      </x:c>
      <x:c r="X22" s="30" t="str">
        <x:v>Sí</x:v>
      </x:c>
      <x:c r="Y22" s="30" t="n">
        <x:v>45602</x:v>
      </x:c>
      <x:c r="Z22" s="13" t="str">
        <x:v>Supervisor + Analista SST</x:v>
      </x:c>
      <x:c r="AA22" s="13" t="str">
        <x:v>Omisión de inspección previa</x:v>
      </x:c>
      <x:c r="AB22" s="13" t="str">
        <x:v>Señalización insuficiente</x:v>
      </x:c>
      <x:c r="AC22" s="13" t="str">
        <x:v>Exceso de confianza</x:v>
      </x:c>
      <x:c r="AD22" s="13" t="str">
        <x:v>Carga laboral elevada</x:v>
      </x:c>
      <x:c r="AE22" s="13" t="str">
        <x:v>Incumplimiento del procedimiento seguro y supervisión insuficiente</x:v>
      </x:c>
      <x:c r="AF22" s="13" t="str">
        <x:v>Ejecutar inspección locativa y corrección inmediata del peligro</x:v>
      </x:c>
      <x:c r="AG22" s="13" t="str">
        <x:v>Supervisor Operativo</x:v>
      </x:c>
      <x:c r="AH22" s="30" t="n">
        <x:v>45617</x:v>
      </x:c>
      <x:c r="AI22" s="30" t="str">
        <x:v>Cerrada</x:v>
      </x:c>
      <x:c r="AJ22" s="30" t="n">
        <x:v>45609</x:v>
      </x:c>
      <x:c r="AK22" s="13" t="str">
        <x:f>IF(OR(AI22&lt;&gt;"Cerrada",AJ22="",AH22=""),"No",IF(AJ22&lt;=AH22,"Sí","No"))</x:f>
        <x:v>Sí</x:v>
      </x:c>
      <x:c r="AL22" s="13" t="str">
        <x:v>Pendiente verificación</x:v>
      </x:c>
      <x:c r="AM22" s="13" t="str">
        <x:v>Cerrado</x:v>
      </x:c>
      <x:c r="AN22" s="13" t="str">
        <x:v>Se vincula acción al plan de mejora del proceso.</x:v>
      </x:c>
    </x:row>
    <x:row r="23">
      <x:c r="A23" s="13" t="n">
        <x:v>2024</x:v>
      </x:c>
      <x:c r="B23" s="13" t="str">
        <x:v>AT-2024-017</x:v>
      </x:c>
      <x:c r="C23" s="30" t="n">
        <x:v>45608</x:v>
      </x:c>
      <x:c r="D23" s="13" t="str">
        <x:v>10:45</x:v>
      </x:c>
      <x:c r="E23" s="13" t="str">
        <x:v>Noviembre</x:v>
      </x:c>
      <x:c r="F23" s="13" t="str">
        <x:v>Ocaña</x:v>
      </x:c>
      <x:c r="G23" s="13" t="str">
        <x:v>Operaciones</x:v>
      </x:c>
      <x:c r="H23" s="13" t="str">
        <x:v>Yulieth Andrea Díaz</x:v>
      </x:c>
      <x:c r="I23" s="13" t="str">
        <x:v>88075561</x:v>
      </x:c>
      <x:c r="J23" s="13" t="str">
        <x:v>Analista SST</x:v>
      </x:c>
      <x:c r="K23" s="13" t="str">
        <x:v>Término indefinido</x:v>
      </x:c>
      <x:c r="L23" s="13" t="str">
        <x:v>ARL SURA</x:v>
      </x:c>
      <x:c r="M23" s="13" t="str">
        <x:v>Con incapacidad</x:v>
      </x:c>
      <x:c r="N23" s="13" t="str">
        <x:v>Durante ronda de vigilancia en ocaña, el trabajador sufrió luxación por caída al mismo nivel.</x:v>
      </x:c>
      <x:c r="O23" s="13" t="str">
        <x:v>Caída al mismo nivel</x:v>
      </x:c>
      <x:c r="P23" s="13" t="str">
        <x:v>Cableado</x:v>
      </x:c>
      <x:c r="Q23" s="13" t="str">
        <x:v>Parqueadero</x:v>
      </x:c>
      <x:c r="R23" s="13" t="str">
        <x:v>Brazo</x:v>
      </x:c>
      <x:c r="S23" s="13" t="str">
        <x:v>Luxación</x:v>
      </x:c>
      <x:c r="T23" s="13" t="n">
        <x:v>30</x:v>
      </x:c>
      <x:c r="U23" s="13" t="n">
        <x:f>IF(M23="Sin incapacidad",0,T23)</x:f>
        <x:v>30</x:v>
      </x:c>
      <x:c r="V23" s="13" t="str">
        <x:v>Sí</x:v>
      </x:c>
      <x:c r="W23" s="30" t="n">
        <x:v>45609</x:v>
      </x:c>
      <x:c r="X23" s="30" t="str">
        <x:v>Sí</x:v>
      </x:c>
      <x:c r="Y23" s="30" t="n">
        <x:v>45612</x:v>
      </x:c>
      <x:c r="Z23" s="13" t="str">
        <x:v>Supervisor + Analista SST</x:v>
      </x:c>
      <x:c r="AA23" s="13" t="str">
        <x:v>No reportar condición insegura</x:v>
      </x:c>
      <x:c r="AB23" s="13" t="str">
        <x:v>Señalización insuficiente</x:v>
      </x:c>
      <x:c r="AC23" s="13" t="str">
        <x:v>Exceso de confianza</x:v>
      </x:c>
      <x:c r="AD23" s="13" t="str">
        <x:v>Condición locativa no corregida</x:v>
      </x:c>
      <x:c r="AE23" s="13" t="str">
        <x:v>Falta de inspección previa y gestión tardía del peligro</x:v>
      </x:c>
      <x:c r="AF23" s="13" t="str">
        <x:v>Reforzar supervisión operativa y seguimiento al uso de EPP</x:v>
      </x:c>
      <x:c r="AG23" s="13" t="str">
        <x:v>Analista SST</x:v>
      </x:c>
      <x:c r="AH23" s="30" t="n">
        <x:v>45632</x:v>
      </x:c>
      <x:c r="AI23" s="30" t="str">
        <x:v>Cerrada</x:v>
      </x:c>
      <x:c r="AJ23" s="30" t="n">
        <x:v>45629</x:v>
      </x:c>
      <x:c r="AK23" s="13" t="str">
        <x:f>IF(OR(AI23&lt;&gt;"Cerrada",AJ23="",AH23=""),"No",IF(AJ23&lt;=AH23,"Sí","No"))</x:f>
        <x:v>Sí</x:v>
      </x:c>
      <x:c r="AL23" s="13" t="str">
        <x:v>Sí</x:v>
      </x:c>
      <x:c r="AM23" s="13" t="str">
        <x:v>Cerrado</x:v>
      </x:c>
      <x:c r="AN23" s="13" t="str">
        <x:v>Se deja lección aprendida socializada en charla preoperacional.</x:v>
      </x:c>
    </x:row>
    <x:row r="24">
      <x:c r="A24" s="13" t="n">
        <x:v>2024</x:v>
      </x:c>
      <x:c r="B24" s="13" t="str">
        <x:v>AT-2024-020</x:v>
      </x:c>
      <x:c r="C24" s="30" t="n">
        <x:v>45615</x:v>
      </x:c>
      <x:c r="D24" s="13" t="str">
        <x:v>13:15</x:v>
      </x:c>
      <x:c r="E24" s="13" t="str">
        <x:v>Noviembre</x:v>
      </x:c>
      <x:c r="F24" s="13" t="str">
        <x:v>Valledupar</x:v>
      </x:c>
      <x:c r="G24" s="13" t="str">
        <x:v>Transporte de Valores</x:v>
      </x:c>
      <x:c r="H24" s="13" t="str">
        <x:v>Sergio Andrés Duarte</x:v>
      </x:c>
      <x:c r="I24" s="13" t="str">
        <x:v>88076212</x:v>
      </x:c>
      <x:c r="J24" s="13" t="str">
        <x:v>Escolta</x:v>
      </x:c>
      <x:c r="K24" s="13" t="str">
        <x:v>Término indefinido</x:v>
      </x:c>
      <x:c r="L24" s="13" t="str">
        <x:v>ARL SURA</x:v>
      </x:c>
      <x:c r="M24" s="13" t="str">
        <x:v>Con incapacidad</x:v>
      </x:c>
      <x:c r="N24" s="13" t="str">
        <x:v>Trabajador reporta lesión tipo contractura muscular durante servicio en puesto asignado por caída al mismo nivel.</x:v>
      </x:c>
      <x:c r="O24" s="13" t="str">
        <x:v>Caída al mismo nivel</x:v>
      </x:c>
      <x:c r="P24" s="13" t="str">
        <x:v>Escritorio</x:v>
      </x:c>
      <x:c r="Q24" s="13" t="str">
        <x:v>Acceso principal</x:v>
      </x:c>
      <x:c r="R24" s="13" t="str">
        <x:v>Muñeca</x:v>
      </x:c>
      <x:c r="S24" s="13" t="str">
        <x:v>Contractura muscular</x:v>
      </x:c>
      <x:c r="T24" s="13" t="n">
        <x:v>15</x:v>
      </x:c>
      <x:c r="U24" s="13" t="n">
        <x:f>IF(M24="Sin incapacidad",0,T24)</x:f>
        <x:v>15</x:v>
      </x:c>
      <x:c r="V24" s="13" t="str">
        <x:v>Sí</x:v>
      </x:c>
      <x:c r="W24" s="30" t="n">
        <x:v>45617</x:v>
      </x:c>
      <x:c r="X24" s="30" t="str">
        <x:v>Sí</x:v>
      </x:c>
      <x:c r="Y24" s="30" t="n">
        <x:v>45624</x:v>
      </x:c>
      <x:c r="Z24" s="13" t="str">
        <x:v>Jefe inmediato + SST</x:v>
      </x:c>
      <x:c r="AA24" s="13" t="str">
        <x:v>Conducción sin distancia segura</x:v>
      </x:c>
      <x:c r="AB24" s="13" t="str">
        <x:v>Cable expuesto</x:v>
      </x:c>
      <x:c r="AC24" s="13" t="str">
        <x:v>Fatiga</x:v>
      </x:c>
      <x:c r="AD24" s="13" t="str">
        <x:v>Condición locativa no corregida</x:v>
      </x:c>
      <x:c r="AE24" s="13" t="str">
        <x:v>Brecha de capacitación y hábitos inseguros de trabajo</x:v>
      </x:c>
      <x:c r="AF24" s="13" t="str">
        <x:v>Actualizar procedimiento seguro de trabajo y verificar cumplimiento</x:v>
      </x:c>
      <x:c r="AG24" s="13" t="str">
        <x:v>Jefe de Operaciones</x:v>
      </x:c>
      <x:c r="AH24" s="30" t="n">
        <x:v>45634</x:v>
      </x:c>
      <x:c r="AI24" s="30" t="str">
        <x:v>Cerrada</x:v>
      </x:c>
      <x:c r="AJ24" s="30" t="n">
        <x:v>45638</x:v>
      </x:c>
      <x:c r="AK24" s="13" t="str">
        <x:f>IF(OR(AI24&lt;&gt;"Cerrada",AJ24="",AH24=""),"No",IF(AJ24&lt;=AH24,"Sí","No"))</x:f>
        <x:v>No</x:v>
      </x:c>
      <x:c r="AL24" s="13" t="str">
        <x:v>Sí</x:v>
      </x:c>
      <x:c r="AM24" s="13" t="str">
        <x:v>Cerrado</x:v>
      </x:c>
      <x:c r="AN24" s="13" t="str">
        <x:v>Se vincula acción al plan de mejora del proceso.</x:v>
      </x:c>
    </x:row>
    <x:row r="25">
      <x:c r="A25" s="13" t="n">
        <x:v>2024</x:v>
      </x:c>
      <x:c r="B25" s="13" t="str">
        <x:v>AT-2024-004</x:v>
      </x:c>
      <x:c r="C25" s="30" t="n">
        <x:v>45618</x:v>
      </x:c>
      <x:c r="D25" s="13" t="str">
        <x:v>17:10</x:v>
      </x:c>
      <x:c r="E25" s="13" t="str">
        <x:v>Noviembre</x:v>
      </x:c>
      <x:c r="F25" s="13" t="str">
        <x:v>Pamplona</x:v>
      </x:c>
      <x:c r="G25" s="13" t="str">
        <x:v>Operaciones</x:v>
      </x:c>
      <x:c r="H25" s="13" t="str">
        <x:v>Luis Fernando Gómez</x:v>
      </x:c>
      <x:c r="I25" s="13" t="str">
        <x:v>88075941</x:v>
      </x:c>
      <x:c r="J25" s="13" t="str">
        <x:v>Tecnólogo de Monitoreo</x:v>
      </x:c>
      <x:c r="K25" s="13" t="str">
        <x:v>Obra o labor</x:v>
      </x:c>
      <x:c r="L25" s="13" t="str">
        <x:v>ARL SURA</x:v>
      </x:c>
      <x:c r="M25" s="13" t="str">
        <x:v>Con incapacidad</x:v>
      </x:c>
      <x:c r="N25" s="13" t="str">
        <x:v>Trabajador reporta lesión tipo golpe leve durante servicio en puesto asignado por atrapamiento.</x:v>
      </x:c>
      <x:c r="O25" s="13" t="str">
        <x:v>Atrapamiento</x:v>
      </x:c>
      <x:c r="P25" s="13" t="str">
        <x:v>Radio de comunicación</x:v>
      </x:c>
      <x:c r="Q25" s="13" t="str">
        <x:v>Vía pública en ronda</x:v>
      </x:c>
      <x:c r="R25" s="13" t="str">
        <x:v>Muñeca</x:v>
      </x:c>
      <x:c r="S25" s="13" t="str">
        <x:v>Golpe leve</x:v>
      </x:c>
      <x:c r="T25" s="13" t="n">
        <x:v>30</x:v>
      </x:c>
      <x:c r="U25" s="13" t="n">
        <x:f>IF(M25="Sin incapacidad",0,T25)</x:f>
        <x:v>30</x:v>
      </x:c>
      <x:c r="V25" s="13" t="str">
        <x:v>Sí</x:v>
      </x:c>
      <x:c r="W25" s="30" t="n">
        <x:v>45619</x:v>
      </x:c>
      <x:c r="X25" s="30" t="str">
        <x:v>Sí</x:v>
      </x:c>
      <x:c r="Y25" s="30" t="n">
        <x:v>45620</x:v>
      </x:c>
      <x:c r="Z25" s="13" t="str">
        <x:v>COPASST + SST</x:v>
      </x:c>
      <x:c r="AA25" s="13" t="str">
        <x:v>No asegurar postura adecuada</x:v>
      </x:c>
      <x:c r="AB25" s="13" t="str">
        <x:v>Superficie deslizante</x:v>
      </x:c>
      <x:c r="AC25" s="13" t="str">
        <x:v>Exceso de confianza</x:v>
      </x:c>
      <x:c r="AD25" s="13" t="str">
        <x:v>Carga laboral elevada</x:v>
      </x:c>
      <x:c r="AE25" s="13" t="str">
        <x:v>Control operativo insuficiente frente a condición locativa</x:v>
      </x:c>
      <x:c r="AF25" s="13" t="str">
        <x:v>Realizar capacitación focalizada y socialización de lección aprendida</x:v>
      </x:c>
      <x:c r="AG25" s="13" t="str">
        <x:v>Supervisor Operativo</x:v>
      </x:c>
      <x:c r="AH25" s="30" t="n">
        <x:v>45635</x:v>
      </x:c>
      <x:c r="AI25" s="30" t="str">
        <x:v>Cerrada</x:v>
      </x:c>
      <x:c r="AJ25" s="30" t="n">
        <x:v>45635</x:v>
      </x:c>
      <x:c r="AK25" s="13" t="str">
        <x:f>IF(OR(AI25&lt;&gt;"Cerrada",AJ25="",AH25=""),"No",IF(AJ25&lt;=AH25,"Sí","No"))</x:f>
        <x:v>Sí</x:v>
      </x:c>
      <x:c r="AL25" s="13" t="str">
        <x:v>Sí</x:v>
      </x:c>
      <x:c r="AM25" s="13" t="str">
        <x:v>Cerrado</x:v>
      </x:c>
      <x:c r="AN25" s="13" t="str">
        <x:v>Se deja lección aprendida socializada en charla preoperacional.</x:v>
      </x:c>
    </x:row>
    <x:row r="26">
      <x:c r="A26" s="13" t="n">
        <x:v>2024</x:v>
      </x:c>
      <x:c r="B26" s="13" t="str">
        <x:v>AT-2024-028</x:v>
      </x:c>
      <x:c r="C26" s="30" t="n">
        <x:v>45620</x:v>
      </x:c>
      <x:c r="D26" s="13" t="str">
        <x:v>15:50</x:v>
      </x:c>
      <x:c r="E26" s="13" t="str">
        <x:v>Noviembre</x:v>
      </x:c>
      <x:c r="F26" s="13" t="str">
        <x:v>Girón</x:v>
      </x:c>
      <x:c r="G26" s="13" t="str">
        <x:v>Talento Humano</x:v>
      </x:c>
      <x:c r="H26" s="13" t="str">
        <x:v>Claudia Patricia Solano</x:v>
      </x:c>
      <x:c r="I26" s="13" t="str">
        <x:v>88076388</x:v>
      </x:c>
      <x:c r="J26" s="13" t="str">
        <x:v>Guarda Motorizado</x:v>
      </x:c>
      <x:c r="K26" s="13" t="str">
        <x:v>Término indefinido</x:v>
      </x:c>
      <x:c r="L26" s="13" t="str">
        <x:v>ARL SURA</x:v>
      </x:c>
      <x:c r="M26" s="13" t="str">
        <x:v>Con incapacidad</x:v>
      </x:c>
      <x:c r="N26" s="13" t="str">
        <x:v>Durante ronda de vigilancia en girón, el trabajador sufrió herida superficial por sobreesfuerzo o esfuerzo excesivo.</x:v>
      </x:c>
      <x:c r="O26" s="13" t="str">
        <x:v>Sobreesfuerzo o esfuerzo excesivo</x:v>
      </x:c>
      <x:c r="P26" s="13" t="str">
        <x:v>Cableado</x:v>
      </x:c>
      <x:c r="Q26" s="13" t="str">
        <x:v>Acceso principal</x:v>
      </x:c>
      <x:c r="R26" s="13" t="str">
        <x:v>Ojo</x:v>
      </x:c>
      <x:c r="S26" s="13" t="str">
        <x:v>Herida superficial</x:v>
      </x:c>
      <x:c r="T26" s="13" t="n">
        <x:v>7</x:v>
      </x:c>
      <x:c r="U26" s="13" t="n">
        <x:f>IF(M26="Sin incapacidad",0,T26)</x:f>
        <x:v>7</x:v>
      </x:c>
      <x:c r="V26" s="13" t="str">
        <x:v>Sí</x:v>
      </x:c>
      <x:c r="W26" s="30" t="n">
        <x:v>45622</x:v>
      </x:c>
      <x:c r="X26" s="30" t="str">
        <x:v>Sí</x:v>
      </x:c>
      <x:c r="Y26" s="30" t="n">
        <x:v>45626</x:v>
      </x:c>
      <x:c r="Z26" s="13" t="str">
        <x:v>Supervisor + Analista SST</x:v>
      </x:c>
      <x:c r="AA26" s="13" t="str">
        <x:v>Conducción sin distancia segura</x:v>
      </x:c>
      <x:c r="AB26" s="13" t="str">
        <x:v>Orden y aseo deficiente</x:v>
      </x:c>
      <x:c r="AC26" s="13" t="str">
        <x:v>Exceso de confianza</x:v>
      </x:c>
      <x:c r="AD26" s="13" t="str">
        <x:v>Control operativo insuficiente</x:v>
      </x:c>
      <x:c r="AE26" s="13" t="str">
        <x:v>Falta de inspección previa y gestión tardía del peligro</x:v>
      </x:c>
      <x:c r="AF26" s="13" t="str">
        <x:v>Realizar capacitación focalizada y socialización de lección aprendida</x:v>
      </x:c>
      <x:c r="AG26" s="13" t="str">
        <x:v>Jefe de Operaciones</x:v>
      </x:c>
      <x:c r="AH26" s="30" t="n">
        <x:v>45641</x:v>
      </x:c>
      <x:c r="AI26" s="30" t="str">
        <x:v>Cerrada</x:v>
      </x:c>
      <x:c r="AJ26" s="30" t="n">
        <x:v>45642</x:v>
      </x:c>
      <x:c r="AK26" s="13" t="str">
        <x:f>IF(OR(AI26&lt;&gt;"Cerrada",AJ26="",AH26=""),"No",IF(AJ26&lt;=AH26,"Sí","No"))</x:f>
        <x:v>No</x:v>
      </x:c>
      <x:c r="AL26" s="13" t="str">
        <x:v>Sí</x:v>
      </x:c>
      <x:c r="AM26" s="13" t="str">
        <x:v>Cerrado</x:v>
      </x:c>
      <x:c r="AN26" s="13" t="str">
        <x:v>Se realiza seguimiento por SST y jefe inmediato.</x:v>
      </x:c>
    </x:row>
    <x:row r="27">
      <x:c r="A27" s="13" t="n">
        <x:v>2024</x:v>
      </x:c>
      <x:c r="B27" s="13" t="str">
        <x:v>AT-2024-025</x:v>
      </x:c>
      <x:c r="C27" s="30" t="n">
        <x:v>45633</x:v>
      </x:c>
      <x:c r="D27" s="13" t="str">
        <x:v>17:10</x:v>
      </x:c>
      <x:c r="E27" s="13" t="str">
        <x:v>Diciembre</x:v>
      </x:c>
      <x:c r="F27" s="13" t="str">
        <x:v>Medellín</x:v>
      </x:c>
      <x:c r="G27" s="13" t="str">
        <x:v>Administrativa</x:v>
      </x:c>
      <x:c r="H27" s="13" t="str">
        <x:v>Ricardo Andrés Parra</x:v>
      </x:c>
      <x:c r="I27" s="13" t="str">
        <x:v>88076541</x:v>
      </x:c>
      <x:c r="J27" s="13" t="str">
        <x:v>Operador de Medios Tecnológicos</x:v>
      </x:c>
      <x:c r="K27" s="13" t="str">
        <x:v>Término fijo</x:v>
      </x:c>
      <x:c r="L27" s="13" t="str">
        <x:v>ARL SURA</x:v>
      </x:c>
      <x:c r="M27" s="13" t="str">
        <x:v>Con incapacidad</x:v>
      </x:c>
      <x:c r="N27" s="13" t="str">
        <x:v>En desarrollo de actividades de administrativa, se presentó evento por caída al mismo nivel asociado a escritorio.</x:v>
      </x:c>
      <x:c r="O27" s="13" t="str">
        <x:v>Caída al mismo nivel</x:v>
      </x:c>
      <x:c r="P27" s="13" t="str">
        <x:v>Escritorio</x:v>
      </x:c>
      <x:c r="Q27" s="13" t="str">
        <x:v>Recepción</x:v>
      </x:c>
      <x:c r="R27" s="13" t="str">
        <x:v>Pierna</x:v>
      </x:c>
      <x:c r="S27" s="13" t="str">
        <x:v>Herida superficial</x:v>
      </x:c>
      <x:c r="T27" s="13" t="n">
        <x:v>2</x:v>
      </x:c>
      <x:c r="U27" s="13" t="n">
        <x:f>IF(M27="Sin incapacidad",0,T27)</x:f>
        <x:v>2</x:v>
      </x:c>
      <x:c r="V27" s="13" t="str">
        <x:v>Sí</x:v>
      </x:c>
      <x:c r="W27" s="30" t="n">
        <x:v>45633</x:v>
      </x:c>
      <x:c r="X27" s="30" t="str">
        <x:v>Sí</x:v>
      </x:c>
      <x:c r="Y27" s="30" t="n">
        <x:v>45637</x:v>
      </x:c>
      <x:c r="Z27" s="13" t="str">
        <x:v>Coordinador SST + Operaciones</x:v>
      </x:c>
      <x:c r="AA27" s="13" t="str">
        <x:v>No asegurar postura adecuada</x:v>
      </x:c>
      <x:c r="AB27" s="13" t="str">
        <x:v>Espacio reducido</x:v>
      </x:c>
      <x:c r="AC27" s="13" t="str">
        <x:v>Apuro operativo</x:v>
      </x:c>
      <x:c r="AD27" s="13" t="str">
        <x:v>Control operativo insuficiente</x:v>
      </x:c>
      <x:c r="AE27" s="13" t="str">
        <x:v>Mantenimiento deficiente y ausencia de corrección oportuna</x:v>
      </x:c>
      <x:c r="AF27" s="13" t="str">
        <x:v>Reforzar supervisión operativa y seguimiento al uso de EPP</x:v>
      </x:c>
      <x:c r="AG27" s="13" t="str">
        <x:v>Coordinador de Talento Humano</x:v>
      </x:c>
      <x:c r="AH27" s="30" t="n">
        <x:v>45652</x:v>
      </x:c>
      <x:c r="AI27" s="30" t="str">
        <x:v>Cerrada</x:v>
      </x:c>
      <x:c r="AJ27" s="30" t="n">
        <x:v>45656</x:v>
      </x:c>
      <x:c r="AK27" s="13" t="str">
        <x:f>IF(OR(AI27&lt;&gt;"Cerrada",AJ27="",AH27=""),"No",IF(AJ27&lt;=AH27,"Sí","No"))</x:f>
        <x:v>No</x:v>
      </x:c>
      <x:c r="AL27" s="13" t="str">
        <x:v>Sí</x:v>
      </x:c>
      <x:c r="AM27" s="13" t="str">
        <x:v>Cerrado</x:v>
      </x:c>
      <x:c r="AN27" s="13" t="str">
        <x:v>Se recomienda refuerzo de inspecciones y autocuidado.</x:v>
      </x:c>
    </x:row>
    <x:row r="28">
      <x:c r="A28" s="13" t="n">
        <x:v>2024</x:v>
      </x:c>
      <x:c r="B28" s="13" t="str">
        <x:v>AT-2024-008</x:v>
      </x:c>
      <x:c r="C28" s="30" t="n">
        <x:v>45651</x:v>
      </x:c>
      <x:c r="D28" s="13" t="str">
        <x:v>09:20</x:v>
      </x:c>
      <x:c r="E28" s="13" t="str">
        <x:v>Diciembre</x:v>
      </x:c>
      <x:c r="F28" s="13" t="str">
        <x:v>Bogotá</x:v>
      </x:c>
      <x:c r="G28" s="13" t="str">
        <x:v>Transporte de Valores</x:v>
      </x:c>
      <x:c r="H28" s="13" t="str">
        <x:v>Paola Andrea Cárdenas</x:v>
      </x:c>
      <x:c r="I28" s="13" t="str">
        <x:v>88075531</x:v>
      </x:c>
      <x:c r="J28" s="13" t="str">
        <x:v>Coordinador Operativo</x:v>
      </x:c>
      <x:c r="K28" s="13" t="str">
        <x:v>Término fijo</x:v>
      </x:c>
      <x:c r="L28" s="13" t="str">
        <x:v>ARL SURA</x:v>
      </x:c>
      <x:c r="M28" s="13" t="str">
        <x:v>Con incapacidad</x:v>
      </x:c>
      <x:c r="N28" s="13" t="str">
        <x:v>Trabajador reporta lesión tipo trauma ocular leve durante servicio en puesto asignado por accidente de tránsito.</x:v>
      </x:c>
      <x:c r="O28" s="13" t="str">
        <x:v>Accidente de tránsito</x:v>
      </x:c>
      <x:c r="P28" s="13" t="str">
        <x:v>Escritorio</x:v>
      </x:c>
      <x:c r="Q28" s="13" t="str">
        <x:v>Zona común del cliente</x:v>
      </x:c>
      <x:c r="R28" s="13" t="str">
        <x:v>Cervical</x:v>
      </x:c>
      <x:c r="S28" s="13" t="str">
        <x:v>Trauma ocular leve</x:v>
      </x:c>
      <x:c r="T28" s="13" t="n">
        <x:v>25</x:v>
      </x:c>
      <x:c r="U28" s="13" t="n">
        <x:f>IF(M28="Sin incapacidad",0,T28)</x:f>
        <x:v>25</x:v>
      </x:c>
      <x:c r="V28" s="13" t="str">
        <x:v>Sí</x:v>
      </x:c>
      <x:c r="W28" s="30" t="n">
        <x:v>45652</x:v>
      </x:c>
      <x:c r="X28" s="30" t="str">
        <x:v>Sí</x:v>
      </x:c>
      <x:c r="Y28" s="30" t="n">
        <x:v>45654</x:v>
      </x:c>
      <x:c r="Z28" s="13" t="str">
        <x:v>Coordinador SST + Operaciones</x:v>
      </x:c>
      <x:c r="AA28" s="13" t="str">
        <x:v>Desplazamiento apresurado</x:v>
      </x:c>
      <x:c r="AB28" s="13" t="str">
        <x:v>Iluminación insuficiente</x:v>
      </x:c>
      <x:c r="AC28" s="13" t="str">
        <x:v>Fatiga</x:v>
      </x:c>
      <x:c r="AD28" s="13" t="str">
        <x:v>Falta de mantenimiento</x:v>
      </x:c>
      <x:c r="AE28" s="13" t="str">
        <x:v>Brecha de capacitación y hábitos inseguros de trabajo</x:v>
      </x:c>
      <x:c r="AF28" s="13" t="str">
        <x:v>Realizar capacitación focalizada y socialización de lección aprendida</x:v>
      </x:c>
      <x:c r="AG28" s="13" t="str">
        <x:v>Líder de Mantenimiento</x:v>
      </x:c>
      <x:c r="AH28" s="30" t="n">
        <x:v>45674</x:v>
      </x:c>
      <x:c r="AI28" s="30" t="str">
        <x:v>Cerrada</x:v>
      </x:c>
      <x:c r="AJ28" s="30" t="n">
        <x:v>45671</x:v>
      </x:c>
      <x:c r="AK28" s="13" t="str">
        <x:f>IF(OR(AI28&lt;&gt;"Cerrada",AJ28="",AH28=""),"No",IF(AJ28&lt;=AH28,"Sí","No"))</x:f>
        <x:v>Sí</x:v>
      </x:c>
      <x:c r="AL28" s="13" t="str">
        <x:v>Sí</x:v>
      </x:c>
      <x:c r="AM28" s="13" t="str">
        <x:v>Cerrado</x:v>
      </x:c>
      <x:c r="AN28" s="13" t="str">
        <x:v>Se realiza seguimiento por SST y jefe inmediato.</x:v>
      </x:c>
    </x:row>
    <x:row r="29">
      <x:c r="A29" s="13" t="n">
        <x:v>2024</x:v>
      </x:c>
      <x:c r="B29" s="13" t="str">
        <x:v>AT-2024-019</x:v>
      </x:c>
      <x:c r="C29" s="30" t="n">
        <x:v>45657</x:v>
      </x:c>
      <x:c r="D29" s="13" t="str">
        <x:v>16:15</x:v>
      </x:c>
      <x:c r="E29" s="13" t="str">
        <x:v>Diciembre</x:v>
      </x:c>
      <x:c r="F29" s="13" t="str">
        <x:v>Ocaña</x:v>
      </x:c>
      <x:c r="G29" s="13" t="str">
        <x:v>Operaciones</x:v>
      </x:c>
      <x:c r="H29" s="13" t="str">
        <x:v>José Luis Villabona</x:v>
      </x:c>
      <x:c r="I29" s="13" t="str">
        <x:v>88076368</x:v>
      </x:c>
      <x:c r="J29" s="13" t="str">
        <x:v>Operador de Medios Tecnológicos</x:v>
      </x:c>
      <x:c r="K29" s="13" t="str">
        <x:v>Término fijo</x:v>
      </x:c>
      <x:c r="L29" s="13" t="str">
        <x:v>ARL SURA</x:v>
      </x:c>
      <x:c r="M29" s="13" t="str">
        <x:v>Con incapacidad</x:v>
      </x:c>
      <x:c r="N29" s="13" t="str">
        <x:v>Durante ronda de vigilancia en ocaña, el trabajador sufrió luxación por caída al mismo nivel.</x:v>
      </x:c>
      <x:c r="O29" s="13" t="str">
        <x:v>Caída al mismo nivel</x:v>
      </x:c>
      <x:c r="P29" s="13" t="str">
        <x:v>Escalera</x:v>
      </x:c>
      <x:c r="Q29" s="13" t="str">
        <x:v>Recepción</x:v>
      </x:c>
      <x:c r="R29" s="13" t="str">
        <x:v>Mano</x:v>
      </x:c>
      <x:c r="S29" s="13" t="str">
        <x:v>Luxación</x:v>
      </x:c>
      <x:c r="T29" s="13" t="n">
        <x:v>4</x:v>
      </x:c>
      <x:c r="U29" s="13" t="n">
        <x:f>IF(M29="Sin incapacidad",0,T29)</x:f>
        <x:v>4</x:v>
      </x:c>
      <x:c r="V29" s="13" t="str">
        <x:v>Sí</x:v>
      </x:c>
      <x:c r="W29" s="30" t="n">
        <x:v>45657</x:v>
      </x:c>
      <x:c r="X29" s="30" t="str">
        <x:v>Sí</x:v>
      </x:c>
      <x:c r="Y29" s="30" t="n">
        <x:v>45667</x:v>
      </x:c>
      <x:c r="Z29" s="13" t="str">
        <x:v>Coordinador SST + Operaciones</x:v>
      </x:c>
      <x:c r="AA29" s="13" t="str">
        <x:v>Desplazamiento apresurado</x:v>
      </x:c>
      <x:c r="AB29" s="13" t="str">
        <x:v>Vía en mal estado</x:v>
      </x:c>
      <x:c r="AC29" s="13" t="str">
        <x:v>Falta de atención</x:v>
      </x:c>
      <x:c r="AD29" s="13" t="str">
        <x:v>Procedimiento no actualizado</x:v>
      </x:c>
      <x:c r="AE29" s="13" t="str">
        <x:v>Control operativo insuficiente frente a condición locativa</x:v>
      </x:c>
      <x:c r="AF29" s="13" t="str">
        <x:v>Realizar capacitación focalizada y socialización de lección aprendida</x:v>
      </x:c>
      <x:c r="AG29" s="13" t="str">
        <x:v>Supervisor Operativo</x:v>
      </x:c>
      <x:c r="AH29" s="30" t="n">
        <x:v>45697</x:v>
      </x:c>
      <x:c r="AI29" s="30" t="str">
        <x:v>Cerrada</x:v>
      </x:c>
      <x:c r="AJ29" s="30" t="n">
        <x:v>45693</x:v>
      </x:c>
      <x:c r="AK29" s="13" t="str">
        <x:f>IF(OR(AI29&lt;&gt;"Cerrada",AJ29="",AH29=""),"No",IF(AJ29&lt;=AH29,"Sí","No"))</x:f>
        <x:v>Sí</x:v>
      </x:c>
      <x:c r="AL29" s="13" t="str">
        <x:v>Sí</x:v>
      </x:c>
      <x:c r="AM29" s="13" t="str">
        <x:v>Cerrado</x:v>
      </x:c>
      <x:c r="AN29" s="13" t="str">
        <x:v>Se realiza seguimiento por SST y jefe inmediato.</x:v>
      </x:c>
    </x:row>
  </x:sheetData>
  <x:conditionalFormatting sqref="AI2:AI29">
    <x:cfRule type="expression" dxfId="5" priority="1">
      <x:formula>AI2="Abierta"</x:formula>
    </x:cfRule>
    <x:cfRule type="expression" dxfId="6" priority="2">
      <x:formula>AI2="En seguimiento"</x:formula>
    </x:cfRule>
    <x:cfRule type="expression" dxfId="7" priority="3">
      <x:formula>AI2="Cerrada"</x:formula>
    </x:cfRule>
  </x:conditionalFormatting>
  <x:conditionalFormatting sqref="AK2:AK29">
    <x:cfRule type="expression" dxfId="8" priority="4">
      <x:formula>AK2="No"</x:formula>
    </x:cfRule>
    <x:cfRule type="expression" dxfId="9" priority="5">
      <x:formula>AK2="Sí"</x:formula>
    </x:cfRule>
  </x:conditionalFormatting>
  <x:conditionalFormatting sqref="T2:T29">
    <x:cfRule type="dataBar" priority="6">
      <x:dataBar>
        <x:cfvo type="min"/>
        <x:cfvo type="max"/>
        <x:color rgb="704023"/>
      </x:dataBar>
      <x:extLst>
        <x:ext xmlns:x14="http://schemas.microsoft.com/office/spreadsheetml/2009/9/main" uri="{B025F937-C7B1-47D3-B67F-A62EFF666E3E}">
          <x14:id>{0E92493E-8875-10A0-F7F1-25192116D413}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0E92493E-8875-10A0-F7F1-25192116D413}">
            <x14:dataBar gradient="1">
              <x14:cfvo type="min"/>
              <x14:cfvo type="max"/>
              <x14:fillColor rgb="704023"/>
            </x14:dataBar>
          </x14:cfRule>
          <xm:sqref>T2:T29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n">
        <x:v>2025</x:v>
      </x:c>
      <x:c r="B2" s="13" t="str">
        <x:v>AT-2025-018</x:v>
      </x:c>
      <x:c r="C2" s="30" t="n">
        <x:v>45666</x:v>
      </x:c>
      <x:c r="D2" s="13" t="str">
        <x:v>06:45</x:v>
      </x:c>
      <x:c r="E2" s="13" t="str">
        <x:v>Enero</x:v>
      </x:c>
      <x:c r="F2" s="13" t="str">
        <x:v>Cúcuta</x:v>
      </x:c>
      <x:c r="G2" s="13" t="str">
        <x:v>Operaciones</x:v>
      </x:c>
      <x:c r="H2" s="13" t="str">
        <x:v>Álvaro José Pabón</x:v>
      </x:c>
      <x:c r="I2" s="13" t="str">
        <x:v>88075884</x:v>
      </x:c>
      <x:c r="J2" s="13" t="str">
        <x:v>Conductor</x:v>
      </x:c>
      <x:c r="K2" s="13" t="str">
        <x:v>Término indefinido</x:v>
      </x:c>
      <x:c r="L2" s="13" t="str">
        <x:v>ARL SURA</x:v>
      </x:c>
      <x:c r="M2" s="13" t="str">
        <x:v>Sin incapacidad</x:v>
      </x:c>
      <x:c r="N2" s="13" t="str">
        <x:v>Trabajador reporta lesión tipo esguince durante servicio en puesto asignado por atrapamiento.</x:v>
      </x:c>
      <x:c r="O2" s="13" t="str">
        <x:v>Atrapamiento</x:v>
      </x:c>
      <x:c r="P2" s="13" t="str">
        <x:v>Andén irregular</x:v>
      </x:c>
      <x:c r="Q2" s="13" t="str">
        <x:v>Acceso principal</x:v>
      </x:c>
      <x:c r="R2" s="13" t="str">
        <x:v>Hombro</x:v>
      </x:c>
      <x:c r="S2" s="13" t="str">
        <x:v>Esguince</x:v>
      </x:c>
      <x:c r="T2" s="13" t="n">
        <x:v>0</x:v>
      </x:c>
      <x:c r="U2" s="13" t="n">
        <x:f>IF(M2="Sin incapacidad",0,T2)</x:f>
        <x:v>0</x:v>
      </x:c>
      <x:c r="V2" s="13" t="str">
        <x:v>Sí</x:v>
      </x:c>
      <x:c r="W2" s="30" t="n">
        <x:v>45666</x:v>
      </x:c>
      <x:c r="X2" s="30" t="str">
        <x:v>Sí</x:v>
      </x:c>
      <x:c r="Y2" s="30" t="n">
        <x:v>45670</x:v>
      </x:c>
      <x:c r="Z2" s="13" t="str">
        <x:v>COPASST + SST</x:v>
      </x:c>
      <x:c r="AA2" s="13" t="str">
        <x:v>Manipulación incorrecta de carga</x:v>
      </x:c>
      <x:c r="AB2" s="13" t="str">
        <x:v>Espacio reducido</x:v>
      </x:c>
      <x:c r="AC2" s="13" t="str">
        <x:v>Exceso de confianza</x:v>
      </x:c>
      <x:c r="AD2" s="13" t="str">
        <x:v>Carga laboral elevada</x:v>
      </x:c>
      <x:c r="AE2" s="13" t="str">
        <x:v>Control operativo insuficiente frente a condición locativa</x:v>
      </x:c>
      <x:c r="AF2" s="13" t="str">
        <x:v>Actualizar procedimiento seguro de trabajo y verificar cumplimiento</x:v>
      </x:c>
      <x:c r="AG2" s="13" t="str">
        <x:v>Analista SST</x:v>
      </x:c>
      <x:c r="AH2" s="30" t="n">
        <x:v>45700</x:v>
      </x:c>
      <x:c r="AI2" s="30" t="str">
        <x:v>Cerrada</x:v>
      </x:c>
      <x:c r="AJ2" s="30" t="n">
        <x:v>45694</x:v>
      </x:c>
      <x:c r="AK2" s="13" t="str">
        <x:f>IF(OR(AI2&lt;&gt;"Cerrada",AJ2="",AH2=""),"No",IF(AJ2&lt;=AH2,"Sí","No"))</x:f>
        <x:v>Sí</x:v>
      </x:c>
      <x:c r="AL2" s="13" t="str">
        <x:v>Sí</x:v>
      </x:c>
      <x:c r="AM2" s="13" t="str">
        <x:v>Cerrado</x:v>
      </x:c>
      <x:c r="AN2" s="13" t="str">
        <x:v>Se realiza seguimiento por SST y jefe inmediato.</x:v>
      </x:c>
    </x:row>
    <x:row r="3">
      <x:c r="A3" s="13" t="n">
        <x:v>2025</x:v>
      </x:c>
      <x:c r="B3" s="13" t="str">
        <x:v>AT-2025-003</x:v>
      </x:c>
      <x:c r="C3" s="30" t="n">
        <x:v>45677</x:v>
      </x:c>
      <x:c r="D3" s="13" t="str">
        <x:v>10:40</x:v>
      </x:c>
      <x:c r="E3" s="13" t="str">
        <x:v>Enero</x:v>
      </x:c>
      <x:c r="F3" s="13" t="str">
        <x:v>Tibú</x:v>
      </x:c>
      <x:c r="G3" s="13" t="str">
        <x:v>Administrativa</x:v>
      </x:c>
      <x:c r="H3" s="13" t="str">
        <x:v>Jorge Enrique Suárez</x:v>
      </x:c>
      <x:c r="I3" s="13" t="str">
        <x:v>88075950</x:v>
      </x:c>
      <x:c r="J3" s="13" t="str">
        <x:v>Tecnólogo de Monitoreo</x:v>
      </x:c>
      <x:c r="K3" s="13" t="str">
        <x:v>Término indefinido</x:v>
      </x:c>
      <x:c r="L3" s="13" t="str">
        <x:v>ARL SURA</x:v>
      </x:c>
      <x:c r="M3" s="13" t="str">
        <x:v>Con incapacidad</x:v>
      </x:c>
      <x:c r="N3" s="13" t="str">
        <x:v>Trabajador reporta lesión tipo abrasión durante servicio en puesto asignado por atrapamiento.</x:v>
      </x:c>
      <x:c r="O3" s="13" t="str">
        <x:v>Atrapamiento</x:v>
      </x:c>
      <x:c r="P3" s="13" t="str">
        <x:v>Motocicleta</x:v>
      </x:c>
      <x:c r="Q3" s="13" t="str">
        <x:v>Puesto de vigilancia</x:v>
      </x:c>
      <x:c r="R3" s="13" t="str">
        <x:v>Cervical</x:v>
      </x:c>
      <x:c r="S3" s="13" t="str">
        <x:v>Abrasión</x:v>
      </x:c>
      <x:c r="T3" s="13" t="n">
        <x:v>30</x:v>
      </x:c>
      <x:c r="U3" s="13" t="n">
        <x:f>IF(M3="Sin incapacidad",0,T3)</x:f>
        <x:v>30</x:v>
      </x:c>
      <x:c r="V3" s="13" t="str">
        <x:v>Sí</x:v>
      </x:c>
      <x:c r="W3" s="30" t="n">
        <x:v>45678</x:v>
      </x:c>
      <x:c r="X3" s="30" t="str">
        <x:v>Sí</x:v>
      </x:c>
      <x:c r="Y3" s="30" t="n">
        <x:v>45686</x:v>
      </x:c>
      <x:c r="Z3" s="13" t="str">
        <x:v>Coordinador SST + Operaciones</x:v>
      </x:c>
      <x:c r="AA3" s="13" t="str">
        <x:v>Manipulación incorrecta de carga</x:v>
      </x:c>
      <x:c r="AB3" s="13" t="str">
        <x:v>Cable expuesto</x:v>
      </x:c>
      <x:c r="AC3" s="13" t="str">
        <x:v>Fatiga</x:v>
      </x:c>
      <x:c r="AD3" s="13" t="str">
        <x:v>Procedimiento no actualizado</x:v>
      </x:c>
      <x:c r="AE3" s="13" t="str">
        <x:v>Mantenimiento deficiente y ausencia de corrección oportuna</x:v>
      </x:c>
      <x:c r="AF3" s="13" t="str">
        <x:v>Implementar señalización y control administrativo temporal</x:v>
      </x:c>
      <x:c r="AG3" s="13" t="str">
        <x:v>Coordinador SST</x:v>
      </x:c>
      <x:c r="AH3" s="30" t="n">
        <x:v>45716</x:v>
      </x:c>
      <x:c r="AI3" s="30" t="str">
        <x:v>Cerrada</x:v>
      </x:c>
      <x:c r="AJ3" s="30" t="n">
        <x:v>45709</x:v>
      </x:c>
      <x:c r="AK3" s="13" t="str">
        <x:f>IF(OR(AI3&lt;&gt;"Cerrada",AJ3="",AH3=""),"No",IF(AJ3&lt;=AH3,"Sí","No"))</x:f>
        <x:v>Sí</x:v>
      </x:c>
      <x:c r="AL3" s="13" t="str">
        <x:v>Pendiente verificación</x:v>
      </x:c>
      <x:c r="AM3" s="13" t="str">
        <x:v>Cerrado</x:v>
      </x:c>
      <x:c r="AN3" s="13" t="str">
        <x:v>Se recomienda refuerzo de inspecciones y autocuidado.</x:v>
      </x:c>
    </x:row>
    <x:row r="4">
      <x:c r="A4" s="13" t="n">
        <x:v>2025</x:v>
      </x:c>
      <x:c r="B4" s="13" t="str">
        <x:v>AT-2025-013</x:v>
      </x:c>
      <x:c r="C4" s="30" t="n">
        <x:v>45692</x:v>
      </x:c>
      <x:c r="D4" s="13" t="str">
        <x:v>09:00</x:v>
      </x:c>
      <x:c r="E4" s="13" t="str">
        <x:v>Febrero</x:v>
      </x:c>
      <x:c r="F4" s="13" t="str">
        <x:v>Tibú</x:v>
      </x:c>
      <x:c r="G4" s="13" t="str">
        <x:v>Central de Alarmas</x:v>
      </x:c>
      <x:c r="H4" s="13" t="str">
        <x:v>Diana Carolina Torres</x:v>
      </x:c>
      <x:c r="I4" s="13" t="str">
        <x:v>88076164</x:v>
      </x:c>
      <x:c r="J4" s="13" t="str">
        <x:v>Escolta</x:v>
      </x:c>
      <x:c r="K4" s="13" t="str">
        <x:v>Término indefinido</x:v>
      </x:c>
      <x:c r="L4" s="13" t="str">
        <x:v>ARL SURA</x:v>
      </x:c>
      <x:c r="M4" s="13" t="str">
        <x:v>Con incapacidad</x:v>
      </x:c>
      <x:c r="N4" s="13" t="str">
        <x:v>Trabajador reporta lesión tipo lumbalgia aguda durante servicio en puesto asignado por sobreesfuerzo o esfuerzo excesivo.</x:v>
      </x:c>
      <x:c r="O4" s="13" t="str">
        <x:v>Sobreesfuerzo o esfuerzo excesivo</x:v>
      </x:c>
      <x:c r="P4" s="13" t="str">
        <x:v>Andén irregular</x:v>
      </x:c>
      <x:c r="Q4" s="13" t="str">
        <x:v>Área administrativa</x:v>
      </x:c>
      <x:c r="R4" s="13" t="str">
        <x:v>Mano</x:v>
      </x:c>
      <x:c r="S4" s="13" t="str">
        <x:v>Lumbalgia aguda</x:v>
      </x:c>
      <x:c r="T4" s="13" t="n">
        <x:v>15</x:v>
      </x:c>
      <x:c r="U4" s="13" t="n">
        <x:f>IF(M4="Sin incapacidad",0,T4)</x:f>
        <x:v>15</x:v>
      </x:c>
      <x:c r="V4" s="13" t="str">
        <x:v>Sí</x:v>
      </x:c>
      <x:c r="W4" s="30" t="n">
        <x:v>45693</x:v>
      </x:c>
      <x:c r="X4" s="30" t="str">
        <x:v>Sí</x:v>
      </x:c>
      <x:c r="Y4" s="30" t="n">
        <x:v>45702</x:v>
      </x:c>
      <x:c r="Z4" s="13" t="str">
        <x:v>Supervisor + Analista SST</x:v>
      </x:c>
      <x:c r="AA4" s="13" t="str">
        <x:v>Distracción durante la labor</x:v>
      </x:c>
      <x:c r="AB4" s="13" t="str">
        <x:v>Señalización insuficiente</x:v>
      </x:c>
      <x:c r="AC4" s="13" t="str">
        <x:v>Exceso de confianza</x:v>
      </x:c>
      <x:c r="AD4" s="13" t="str">
        <x:v>Deficiencia en supervisión</x:v>
      </x:c>
      <x:c r="AE4" s="13" t="str">
        <x:v>Falta de inspección previa y gestión tardía del peligro</x:v>
      </x:c>
      <x:c r="AF4" s="13" t="str">
        <x:v>Ejecutar inspección locativa y corrección inmediata del peligro</x:v>
      </x:c>
      <x:c r="AG4" s="13" t="str">
        <x:v>Analista SST</x:v>
      </x:c>
      <x:c r="AH4" s="30" t="n">
        <x:v>45722</x:v>
      </x:c>
      <x:c r="AI4" s="30" t="str">
        <x:v>Cerrada</x:v>
      </x:c>
      <x:c r="AJ4" s="30" t="n">
        <x:v>45719</x:v>
      </x:c>
      <x:c r="AK4" s="13" t="str">
        <x:f>IF(OR(AI4&lt;&gt;"Cerrada",AJ4="",AH4=""),"No",IF(AJ4&lt;=AH4,"Sí","No"))</x:f>
        <x:v>Sí</x:v>
      </x:c>
      <x:c r="AL4" s="13" t="str">
        <x:v>Pendiente verificación</x:v>
      </x:c>
      <x:c r="AM4" s="13" t="str">
        <x:v>Cerrado</x:v>
      </x:c>
      <x:c r="AN4" s="13" t="str">
        <x:v>Se recomienda refuerzo de inspecciones y autocuidado.</x:v>
      </x:c>
    </x:row>
    <x:row r="5">
      <x:c r="A5" s="13" t="n">
        <x:v>2025</x:v>
      </x:c>
      <x:c r="B5" s="13" t="str">
        <x:v>AT-2025-020</x:v>
      </x:c>
      <x:c r="C5" s="30" t="n">
        <x:v>45697</x:v>
      </x:c>
      <x:c r="D5" s="13" t="str">
        <x:v>15:15</x:v>
      </x:c>
      <x:c r="E5" s="13" t="str">
        <x:v>Febrero</x:v>
      </x:c>
      <x:c r="F5" s="13" t="str">
        <x:v>Ábrego</x:v>
      </x:c>
      <x:c r="G5" s="13" t="str">
        <x:v>Monitoreo</x:v>
      </x:c>
      <x:c r="H5" s="13" t="str">
        <x:v>Edwin Mauricio Rodríguez</x:v>
      </x:c>
      <x:c r="I5" s="13" t="str">
        <x:v>88076004</x:v>
      </x:c>
      <x:c r="J5" s="13" t="str">
        <x:v>Conductor</x:v>
      </x:c>
      <x:c r="K5" s="13" t="str">
        <x:v>Término indefinido</x:v>
      </x:c>
      <x:c r="L5" s="13" t="str">
        <x:v>ARL SURA</x:v>
      </x:c>
      <x:c r="M5" s="13" t="str">
        <x:v>Sin incapacidad</x:v>
      </x:c>
      <x:c r="N5" s="13" t="str">
        <x:v>En desarrollo de actividades de monitoreo, se presentó evento por contacto eléctrico asociado a rejilla.</x:v>
      </x:c>
      <x:c r="O5" s="13" t="str">
        <x:v>Contacto eléctrico</x:v>
      </x:c>
      <x:c r="P5" s="13" t="str">
        <x:v>Rejilla</x:v>
      </x:c>
      <x:c r="Q5" s="13" t="str">
        <x:v>Parqueadero</x:v>
      </x:c>
      <x:c r="R5" s="13" t="str">
        <x:v>Muñeca</x:v>
      </x:c>
      <x:c r="S5" s="13" t="str">
        <x:v>Contractura muscular</x:v>
      </x:c>
      <x:c r="T5" s="13" t="n">
        <x:v>0</x:v>
      </x:c>
      <x:c r="U5" s="13" t="n">
        <x:f>IF(M5="Sin incapacidad",0,T5)</x:f>
        <x:v>0</x:v>
      </x:c>
      <x:c r="V5" s="13" t="str">
        <x:v>Sí</x:v>
      </x:c>
      <x:c r="W5" s="30" t="n">
        <x:v>45698</x:v>
      </x:c>
      <x:c r="X5" s="30" t="str">
        <x:v>Sí</x:v>
      </x:c>
      <x:c r="Y5" s="30" t="n">
        <x:v>45704</x:v>
      </x:c>
      <x:c r="Z5" s="13" t="str">
        <x:v>COPASST + SST</x:v>
      </x:c>
      <x:c r="AA5" s="13" t="str">
        <x:v>Desplazamiento apresurado</x:v>
      </x:c>
      <x:c r="AB5" s="13" t="str">
        <x:v>Espacio reducido</x:v>
      </x:c>
      <x:c r="AC5" s="13" t="str">
        <x:v>Apuro operativo</x:v>
      </x:c>
      <x:c r="AD5" s="13" t="str">
        <x:v>Control operativo insuficiente</x:v>
      </x:c>
      <x:c r="AE5" s="13" t="str">
        <x:v>Falta de inspección previa y gestión tardía del peligro</x:v>
      </x:c>
      <x:c r="AF5" s="13" t="str">
        <x:v>Reforzar supervisión operativa y seguimiento al uso de EPP</x:v>
      </x:c>
      <x:c r="AG5" s="13" t="str">
        <x:v>Jefe de Operaciones</x:v>
      </x:c>
      <x:c r="AH5" s="30" t="n">
        <x:v>45714</x:v>
      </x:c>
      <x:c r="AI5" s="30" t="str">
        <x:v>Cerrada</x:v>
      </x:c>
      <x:c r="AJ5" s="30" t="n">
        <x:v>45707</x:v>
      </x:c>
      <x:c r="AK5" s="13" t="str">
        <x:f>IF(OR(AI5&lt;&gt;"Cerrada",AJ5="",AH5=""),"No",IF(AJ5&lt;=AH5,"Sí","No"))</x:f>
        <x:v>Sí</x:v>
      </x:c>
      <x:c r="AL5" s="13" t="str">
        <x:v>Pendiente verificación</x:v>
      </x:c>
      <x:c r="AM5" s="13" t="str">
        <x:v>Cerrado</x:v>
      </x:c>
      <x:c r="AN5" s="13" t="str">
        <x:v>Se vincula acción al plan de mejora del proceso.</x:v>
      </x:c>
    </x:row>
    <x:row r="6">
      <x:c r="A6" s="13" t="n">
        <x:v>2025</x:v>
      </x:c>
      <x:c r="B6" s="13" t="str">
        <x:v>AT-2025-019</x:v>
      </x:c>
      <x:c r="C6" s="30" t="n">
        <x:v>45705</x:v>
      </x:c>
      <x:c r="D6" s="13" t="str">
        <x:v>18:45</x:v>
      </x:c>
      <x:c r="E6" s="13" t="str">
        <x:v>Febrero</x:v>
      </x:c>
      <x:c r="F6" s="13" t="str">
        <x:v>Bogotá</x:v>
      </x:c>
      <x:c r="G6" s="13" t="str">
        <x:v>Central de Alarmas</x:v>
      </x:c>
      <x:c r="H6" s="13" t="str">
        <x:v>Diana Carolina Torres</x:v>
      </x:c>
      <x:c r="I6" s="13" t="str">
        <x:v>88076347</x:v>
      </x:c>
      <x:c r="J6" s="13" t="str">
        <x:v>Vigilante</x:v>
      </x:c>
      <x:c r="K6" s="13" t="str">
        <x:v>Término indefinido</x:v>
      </x:c>
      <x:c r="L6" s="13" t="str">
        <x:v>ARL SURA</x:v>
      </x:c>
      <x:c r="M6" s="13" t="str">
        <x:v>Con incapacidad</x:v>
      </x:c>
      <x:c r="N6" s="13" t="str">
        <x:v>Durante ronda de vigilancia en bogotá, el trabajador sufrió abrasión por sobreesfuerzo o esfuerzo excesivo.</x:v>
      </x:c>
      <x:c r="O6" s="13" t="str">
        <x:v>Sobreesfuerzo o esfuerzo excesivo</x:v>
      </x:c>
      <x:c r="P6" s="13" t="str">
        <x:v>Andén irregular</x:v>
      </x:c>
      <x:c r="Q6" s="13" t="str">
        <x:v>Área administrativa</x:v>
      </x:c>
      <x:c r="R6" s="13" t="str">
        <x:v>Espalda baja</x:v>
      </x:c>
      <x:c r="S6" s="13" t="str">
        <x:v>Abrasión</x:v>
      </x:c>
      <x:c r="T6" s="13" t="n">
        <x:v>2</x:v>
      </x:c>
      <x:c r="U6" s="13" t="n">
        <x:f>IF(M6="Sin incapacidad",0,T6)</x:f>
        <x:v>2</x:v>
      </x:c>
      <x:c r="V6" s="13" t="str">
        <x:v>Sí</x:v>
      </x:c>
      <x:c r="W6" s="30" t="n">
        <x:v>45707</x:v>
      </x:c>
      <x:c r="X6" s="30" t="str">
        <x:v>Sí</x:v>
      </x:c>
      <x:c r="Y6" s="30" t="n">
        <x:v>45709</x:v>
      </x:c>
      <x:c r="Z6" s="13" t="str">
        <x:v>COPASST + SST</x:v>
      </x:c>
      <x:c r="AA6" s="13" t="str">
        <x:v>No reportar condición insegura</x:v>
      </x:c>
      <x:c r="AB6" s="13" t="str">
        <x:v>Vía en mal estado</x:v>
      </x:c>
      <x:c r="AC6" s="13" t="str">
        <x:v>Fatiga</x:v>
      </x:c>
      <x:c r="AD6" s="13" t="str">
        <x:v>Falta de mantenimiento</x:v>
      </x:c>
      <x:c r="AE6" s="13" t="str">
        <x:v>Mantenimiento deficiente y ausencia de corrección oportuna</x:v>
      </x:c>
      <x:c r="AF6" s="13" t="str">
        <x:v>Programar mantenimiento correctivo del elemento involucrado</x:v>
      </x:c>
      <x:c r="AG6" s="13" t="str">
        <x:v>Coordinador de Talento Humano</x:v>
      </x:c>
      <x:c r="AH6" s="30" t="n">
        <x:v>45719</x:v>
      </x:c>
      <x:c r="AI6" s="30" t="str">
        <x:v>Cerrada</x:v>
      </x:c>
      <x:c r="AJ6" s="30" t="n">
        <x:v>45711</x:v>
      </x:c>
      <x:c r="AK6" s="13" t="str">
        <x:f>IF(OR(AI6&lt;&gt;"Cerrada",AJ6="",AH6=""),"No",IF(AJ6&lt;=AH6,"Sí","No"))</x:f>
        <x:v>Sí</x:v>
      </x:c>
      <x:c r="AL6" s="13" t="str">
        <x:v>Sí</x:v>
      </x:c>
      <x:c r="AM6" s="13" t="str">
        <x:v>Cerrado</x:v>
      </x:c>
      <x:c r="AN6" s="13" t="str">
        <x:v>Se recomienda refuerzo de inspecciones y autocuidado.</x:v>
      </x:c>
    </x:row>
    <x:row r="7">
      <x:c r="A7" s="13" t="n">
        <x:v>2025</x:v>
      </x:c>
      <x:c r="B7" s="13" t="str">
        <x:v>AT-2025-002</x:v>
      </x:c>
      <x:c r="C7" s="30" t="n">
        <x:v>45713</x:v>
      </x:c>
      <x:c r="D7" s="13" t="str">
        <x:v>19:15</x:v>
      </x:c>
      <x:c r="E7" s="13" t="str">
        <x:v>Febrero</x:v>
      </x:c>
      <x:c r="F7" s="13" t="str">
        <x:v>Valledupar</x:v>
      </x:c>
      <x:c r="G7" s="13" t="str">
        <x:v>Supervisión</x:v>
      </x:c>
      <x:c r="H7" s="13" t="str">
        <x:v>Claudia Patricia Solano</x:v>
      </x:c>
      <x:c r="I7" s="13" t="str">
        <x:v>88075045</x:v>
      </x:c>
      <x:c r="J7" s="13" t="str">
        <x:v>Auxiliar Administrativa</x:v>
      </x:c>
      <x:c r="K7" s="13" t="str">
        <x:v>Término indefinido</x:v>
      </x:c>
      <x:c r="L7" s="13" t="str">
        <x:v>ARL SURA</x:v>
      </x:c>
      <x:c r="M7" s="13" t="str">
        <x:v>Con incapacidad</x:v>
      </x:c>
      <x:c r="N7" s="13" t="str">
        <x:v>En desarrollo de actividades de supervisión, se presentó evento por caída al mismo nivel asociado a arma de dotación.</x:v>
      </x:c>
      <x:c r="O7" s="13" t="str">
        <x:v>Caída al mismo nivel</x:v>
      </x:c>
      <x:c r="P7" s="13" t="str">
        <x:v>Arma de dotación</x:v>
      </x:c>
      <x:c r="Q7" s="13" t="str">
        <x:v>Puesto de vigilancia</x:v>
      </x:c>
      <x:c r="R7" s="13" t="str">
        <x:v>Tobillo</x:v>
      </x:c>
      <x:c r="S7" s="13" t="str">
        <x:v>Esguince</x:v>
      </x:c>
      <x:c r="T7" s="13" t="n">
        <x:v>10</x:v>
      </x:c>
      <x:c r="U7" s="13" t="n">
        <x:f>IF(M7="Sin incapacidad",0,T7)</x:f>
        <x:v>10</x:v>
      </x:c>
      <x:c r="V7" s="13" t="str">
        <x:v>Sí</x:v>
      </x:c>
      <x:c r="W7" s="30" t="n">
        <x:v>45715</x:v>
      </x:c>
      <x:c r="X7" s="30" t="str">
        <x:v>Sí</x:v>
      </x:c>
      <x:c r="Y7" s="30" t="n">
        <x:v>45722</x:v>
      </x:c>
      <x:c r="Z7" s="13" t="str">
        <x:v>Supervisor + Analista SST</x:v>
      </x:c>
      <x:c r="AA7" s="13" t="str">
        <x:v>Desplazamiento apresurado</x:v>
      </x:c>
      <x:c r="AB7" s="13" t="str">
        <x:v>Orden y aseo deficiente</x:v>
      </x:c>
      <x:c r="AC7" s="13" t="str">
        <x:v>Fatiga</x:v>
      </x:c>
      <x:c r="AD7" s="13" t="str">
        <x:v>Carga laboral elevada</x:v>
      </x:c>
      <x:c r="AE7" s="13" t="str">
        <x:v>Mantenimiento deficiente y ausencia de corrección oportuna</x:v>
      </x:c>
      <x:c r="AF7" s="13" t="str">
        <x:v>Actualizar procedimiento seguro de trabajo y verificar cumplimiento</x:v>
      </x:c>
      <x:c r="AG7" s="13" t="str">
        <x:v>Coordinador de Talento Humano</x:v>
      </x:c>
      <x:c r="AH7" s="30" t="n">
        <x:v>45742</x:v>
      </x:c>
      <x:c r="AI7" s="30" t="str">
        <x:v>Cerrada</x:v>
      </x:c>
      <x:c r="AJ7" s="30" t="n">
        <x:v>45744</x:v>
      </x:c>
      <x:c r="AK7" s="13" t="str">
        <x:f>IF(OR(AI7&lt;&gt;"Cerrada",AJ7="",AH7=""),"No",IF(AJ7&lt;=AH7,"Sí","No"))</x:f>
        <x:v>No</x:v>
      </x:c>
      <x:c r="AL7" s="13" t="str">
        <x:v>Sí</x:v>
      </x:c>
      <x:c r="AM7" s="13" t="str">
        <x:v>Cerrado</x:v>
      </x:c>
      <x:c r="AN7" s="13" t="str">
        <x:v>Se realiza seguimiento por SST y jefe inmediato.</x:v>
      </x:c>
    </x:row>
    <x:row r="8">
      <x:c r="A8" s="13" t="n">
        <x:v>2025</x:v>
      </x:c>
      <x:c r="B8" s="13" t="str">
        <x:v>AT-2025-004</x:v>
      </x:c>
      <x:c r="C8" s="30" t="n">
        <x:v>45793</x:v>
      </x:c>
      <x:c r="D8" s="13" t="str">
        <x:v>13:00</x:v>
      </x:c>
      <x:c r="E8" s="13" t="str">
        <x:v>Mayo</x:v>
      </x:c>
      <x:c r="F8" s="13" t="str">
        <x:v>Ábrego</x:v>
      </x:c>
      <x:c r="G8" s="13" t="str">
        <x:v>Administrativa</x:v>
      </x:c>
      <x:c r="H8" s="13" t="str">
        <x:v>Edwin Mauricio Rodríguez</x:v>
      </x:c>
      <x:c r="I8" s="13" t="str">
        <x:v>88075914</x:v>
      </x:c>
      <x:c r="J8" s="13" t="str">
        <x:v>Operador de Medios Tecnológicos</x:v>
      </x:c>
      <x:c r="K8" s="13" t="str">
        <x:v>Término indefinido</x:v>
      </x:c>
      <x:c r="L8" s="13" t="str">
        <x:v>ARL SURA</x:v>
      </x:c>
      <x:c r="M8" s="13" t="str">
        <x:v>Con incapacidad</x:v>
      </x:c>
      <x:c r="N8" s="13" t="str">
        <x:v>En desarrollo de actividades de administrativa, se presentó evento por caída de objetos asociado a escalera.</x:v>
      </x:c>
      <x:c r="O8" s="13" t="str">
        <x:v>Caída de objetos</x:v>
      </x:c>
      <x:c r="P8" s="13" t="str">
        <x:v>Escalera</x:v>
      </x:c>
      <x:c r="Q8" s="13" t="str">
        <x:v>Zona común del cliente</x:v>
      </x:c>
      <x:c r="R8" s="13" t="str">
        <x:v>Rodilla</x:v>
      </x:c>
      <x:c r="S8" s="13" t="str">
        <x:v>Contusión</x:v>
      </x:c>
      <x:c r="T8" s="13" t="n">
        <x:v>12</x:v>
      </x:c>
      <x:c r="U8" s="13" t="n">
        <x:f>IF(M8="Sin incapacidad",0,T8)</x:f>
        <x:v>12</x:v>
      </x:c>
      <x:c r="V8" s="13" t="str">
        <x:v>Sí</x:v>
      </x:c>
      <x:c r="W8" s="30" t="n">
        <x:v>45794</x:v>
      </x:c>
      <x:c r="X8" s="30" t="str">
        <x:v>Sí</x:v>
      </x:c>
      <x:c r="Y8" s="30" t="n">
        <x:v>45800</x:v>
      </x:c>
      <x:c r="Z8" s="13" t="str">
        <x:v>COPASST + SST</x:v>
      </x:c>
      <x:c r="AA8" s="13" t="str">
        <x:v>Conducción sin distancia segura</x:v>
      </x:c>
      <x:c r="AB8" s="13" t="str">
        <x:v>Cable expuesto</x:v>
      </x:c>
      <x:c r="AC8" s="13" t="str">
        <x:v>Capacitación insuficiente</x:v>
      </x:c>
      <x:c r="AD8" s="13" t="str">
        <x:v>Condición locativa no corregida</x:v>
      </x:c>
      <x:c r="AE8" s="13" t="str">
        <x:v>Control operativo insuficiente frente a condición locativa</x:v>
      </x:c>
      <x:c r="AF8" s="13" t="str">
        <x:v>Implementar señalización y control administrativo temporal</x:v>
      </x:c>
      <x:c r="AG8" s="13" t="str">
        <x:v>Supervisor Operativo</x:v>
      </x:c>
      <x:c r="AH8" s="30" t="n">
        <x:v>45815</x:v>
      </x:c>
      <x:c r="AI8" s="30" t="str">
        <x:v>Cerrada</x:v>
      </x:c>
      <x:c r="AJ8" s="30" t="n">
        <x:v>45810</x:v>
      </x:c>
      <x:c r="AK8" s="13" t="str">
        <x:f>IF(OR(AI8&lt;&gt;"Cerrada",AJ8="",AH8=""),"No",IF(AJ8&lt;=AH8,"Sí","No"))</x:f>
        <x:v>Sí</x:v>
      </x:c>
      <x:c r="AL8" s="13" t="str">
        <x:v>Sí</x:v>
      </x:c>
      <x:c r="AM8" s="13" t="str">
        <x:v>Cerrado</x:v>
      </x:c>
      <x:c r="AN8" s="13" t="str">
        <x:v>Se deja lección aprendida socializada en charla preoperacional.</x:v>
      </x:c>
    </x:row>
    <x:row r="9">
      <x:c r="A9" s="13" t="n">
        <x:v>2025</x:v>
      </x:c>
      <x:c r="B9" s="13" t="str">
        <x:v>AT-2025-001</x:v>
      </x:c>
      <x:c r="C9" s="30" t="n">
        <x:v>45806</x:v>
      </x:c>
      <x:c r="D9" s="13" t="str">
        <x:v>18:45</x:v>
      </x:c>
      <x:c r="E9" s="13" t="str">
        <x:v>Mayo</x:v>
      </x:c>
      <x:c r="F9" s="13" t="str">
        <x:v>Girón</x:v>
      </x:c>
      <x:c r="G9" s="13" t="str">
        <x:v>Logística</x:v>
      </x:c>
      <x:c r="H9" s="13" t="str">
        <x:v>Yulieth Andrea Díaz</x:v>
      </x:c>
      <x:c r="I9" s="13" t="str">
        <x:v>88075918</x:v>
      </x:c>
      <x:c r="J9" s="13" t="str">
        <x:v>Auxiliar Administrativa</x:v>
      </x:c>
      <x:c r="K9" s="13" t="str">
        <x:v>Término indefinido</x:v>
      </x:c>
      <x:c r="L9" s="13" t="str">
        <x:v>ARL SURA</x:v>
      </x:c>
      <x:c r="M9" s="13" t="str">
        <x:v>Con incapacidad</x:v>
      </x:c>
      <x:c r="N9" s="13" t="str">
        <x:v>En desarrollo de actividades de logística, se presentó evento por accidente de tránsito asociado a cableado.</x:v>
      </x:c>
      <x:c r="O9" s="13" t="str">
        <x:v>Accidente de tránsito</x:v>
      </x:c>
      <x:c r="P9" s="13" t="str">
        <x:v>Cableado</x:v>
      </x:c>
      <x:c r="Q9" s="13" t="str">
        <x:v>Cuarto técnico</x:v>
      </x:c>
      <x:c r="R9" s="13" t="str">
        <x:v>Pierna</x:v>
      </x:c>
      <x:c r="S9" s="13" t="str">
        <x:v>Golpe leve</x:v>
      </x:c>
      <x:c r="T9" s="13" t="n">
        <x:v>12</x:v>
      </x:c>
      <x:c r="U9" s="13" t="n">
        <x:f>IF(M9="Sin incapacidad",0,T9)</x:f>
        <x:v>12</x:v>
      </x:c>
      <x:c r="V9" s="13" t="str">
        <x:v>Sí</x:v>
      </x:c>
      <x:c r="W9" s="30" t="n">
        <x:v>45807</x:v>
      </x:c>
      <x:c r="X9" s="30" t="str">
        <x:v>Sí</x:v>
      </x:c>
      <x:c r="Y9" s="30" t="n">
        <x:v>45808</x:v>
      </x:c>
      <x:c r="Z9" s="13" t="str">
        <x:v>Coordinador SST + Operaciones</x:v>
      </x:c>
      <x:c r="AA9" s="13" t="str">
        <x:v>No reportar condición insegura</x:v>
      </x:c>
      <x:c r="AB9" s="13" t="str">
        <x:v>Señalización insuficiente</x:v>
      </x:c>
      <x:c r="AC9" s="13" t="str">
        <x:v>Falta de atención</x:v>
      </x:c>
      <x:c r="AD9" s="13" t="str">
        <x:v>Control operativo insuficiente</x:v>
      </x:c>
      <x:c r="AE9" s="13" t="str">
        <x:v>Mantenimiento deficiente y ausencia de corrección oportuna</x:v>
      </x:c>
      <x:c r="AF9" s="13" t="str">
        <x:v>Realizar capacitación focalizada y socialización de lección aprendida</x:v>
      </x:c>
      <x:c r="AG9" s="13" t="str">
        <x:v>Coordinador SST</x:v>
      </x:c>
      <x:c r="AH9" s="30" t="n">
        <x:v>45828</x:v>
      </x:c>
      <x:c r="AI9" s="30" t="str">
        <x:v>Cerrada</x:v>
      </x:c>
      <x:c r="AJ9" s="30" t="n">
        <x:v>45820</x:v>
      </x:c>
      <x:c r="AK9" s="13" t="str">
        <x:f>IF(OR(AI9&lt;&gt;"Cerrada",AJ9="",AH9=""),"No",IF(AJ9&lt;=AH9,"Sí","No"))</x:f>
        <x:v>Sí</x:v>
      </x:c>
      <x:c r="AL9" s="13" t="str">
        <x:v>Sí</x:v>
      </x:c>
      <x:c r="AM9" s="13" t="str">
        <x:v>Cerrado</x:v>
      </x:c>
      <x:c r="AN9" s="13" t="str">
        <x:v>Se realiza seguimiento por SST y jefe inmediato.</x:v>
      </x:c>
    </x:row>
    <x:row r="10">
      <x:c r="A10" s="13" t="n">
        <x:v>2025</x:v>
      </x:c>
      <x:c r="B10" s="13" t="str">
        <x:v>AT-2025-006</x:v>
      </x:c>
      <x:c r="C10" s="30" t="n">
        <x:v>45806</x:v>
      </x:c>
      <x:c r="D10" s="13" t="str">
        <x:v>07:30</x:v>
      </x:c>
      <x:c r="E10" s="13" t="str">
        <x:v>Mayo</x:v>
      </x:c>
      <x:c r="F10" s="13" t="str">
        <x:v>Barrancabermeja</x:v>
      </x:c>
      <x:c r="G10" s="13" t="str">
        <x:v>Escoltas</x:v>
      </x:c>
      <x:c r="H10" s="13" t="str">
        <x:v>Diego Alejandro Rojas</x:v>
      </x:c>
      <x:c r="I10" s="13" t="str">
        <x:v>88075912</x:v>
      </x:c>
      <x:c r="J10" s="13" t="str">
        <x:v>Guarda Motorizado</x:v>
      </x:c>
      <x:c r="K10" s="13" t="str">
        <x:v>Término indefinido</x:v>
      </x:c>
      <x:c r="L10" s="13" t="str">
        <x:v>ARL SURA</x:v>
      </x:c>
      <x:c r="M10" s="13" t="str">
        <x:v>Con incapacidad</x:v>
      </x:c>
      <x:c r="N10" s="13" t="str">
        <x:v>Durante ronda de vigilancia en barrancabermeja, el trabajador sufrió lumbalgia aguda por sobreesfuerzo o esfuerzo excesivo.</x:v>
      </x:c>
      <x:c r="O10" s="13" t="str">
        <x:v>Sobreesfuerzo o esfuerzo excesivo</x:v>
      </x:c>
      <x:c r="P10" s="13" t="str">
        <x:v>Arma de dotación</x:v>
      </x:c>
      <x:c r="Q10" s="13" t="str">
        <x:v>Puesto de vigilancia</x:v>
      </x:c>
      <x:c r="R10" s="13" t="str">
        <x:v>Tobillo</x:v>
      </x:c>
      <x:c r="S10" s="13" t="str">
        <x:v>Lumbalgia aguda</x:v>
      </x:c>
      <x:c r="T10" s="13" t="n">
        <x:v>2</x:v>
      </x:c>
      <x:c r="U10" s="13" t="n">
        <x:f>IF(M10="Sin incapacidad",0,T10)</x:f>
        <x:v>2</x:v>
      </x:c>
      <x:c r="V10" s="13" t="str">
        <x:v>Sí</x:v>
      </x:c>
      <x:c r="W10" s="30" t="n">
        <x:v>45808</x:v>
      </x:c>
      <x:c r="X10" s="30" t="str">
        <x:v>Sí</x:v>
      </x:c>
      <x:c r="Y10" s="30" t="n">
        <x:v>45810</x:v>
      </x:c>
      <x:c r="Z10" s="13" t="str">
        <x:v>COPASST + SST</x:v>
      </x:c>
      <x:c r="AA10" s="13" t="str">
        <x:v>No asegurar postura adecuada</x:v>
      </x:c>
      <x:c r="AB10" s="13" t="str">
        <x:v>Señalización insuficiente</x:v>
      </x:c>
      <x:c r="AC10" s="13" t="str">
        <x:v>Capacitación insuficiente</x:v>
      </x:c>
      <x:c r="AD10" s="13" t="str">
        <x:v>Deficiencia en supervisión</x:v>
      </x:c>
      <x:c r="AE10" s="13" t="str">
        <x:v>Control operativo insuficiente frente a condición locativa</x:v>
      </x:c>
      <x:c r="AF10" s="13" t="str">
        <x:v>Realizar capacitación focalizada y socialización de lección aprendida</x:v>
      </x:c>
      <x:c r="AG10" s="13" t="str">
        <x:v>Analista SST</x:v>
      </x:c>
      <x:c r="AH10" s="30" t="n">
        <x:v>45830</x:v>
      </x:c>
      <x:c r="AI10" s="30" t="str">
        <x:v>Cerrada</x:v>
      </x:c>
      <x:c r="AJ10" s="30" t="n">
        <x:v>45834</x:v>
      </x:c>
      <x:c r="AK10" s="13" t="str">
        <x:f>IF(OR(AI10&lt;&gt;"Cerrada",AJ10="",AH10=""),"No",IF(AJ10&lt;=AH10,"Sí","No"))</x:f>
        <x:v>No</x:v>
      </x:c>
      <x:c r="AL10" s="13" t="str">
        <x:v>Sí</x:v>
      </x:c>
      <x:c r="AM10" s="13" t="str">
        <x:v>Cerrado</x:v>
      </x:c>
      <x:c r="AN10" s="13" t="str">
        <x:v>Se deja lección aprendida socializada en charla preoperacional.</x:v>
      </x:c>
    </x:row>
    <x:row r="11">
      <x:c r="A11" s="13" t="n">
        <x:v>2025</x:v>
      </x:c>
      <x:c r="B11" s="13" t="str">
        <x:v>AT-2025-023</x:v>
      </x:c>
      <x:c r="C11" s="30" t="n">
        <x:v>45842</x:v>
      </x:c>
      <x:c r="D11" s="13" t="str">
        <x:v>14:20</x:v>
      </x:c>
      <x:c r="E11" s="13" t="str">
        <x:v>Julio</x:v>
      </x:c>
      <x:c r="F11" s="13" t="str">
        <x:v>Pamplona</x:v>
      </x:c>
      <x:c r="G11" s="13" t="str">
        <x:v>Administrativa</x:v>
      </x:c>
      <x:c r="H11" s="13" t="str">
        <x:v>Nelly Johana Ortiz</x:v>
      </x:c>
      <x:c r="I11" s="13" t="str">
        <x:v>88075885</x:v>
      </x:c>
      <x:c r="J11" s="13" t="str">
        <x:v>Analista SST</x:v>
      </x:c>
      <x:c r="K11" s="13" t="str">
        <x:v>Término indefinido</x:v>
      </x:c>
      <x:c r="L11" s="13" t="str">
        <x:v>ARL SURA</x:v>
      </x:c>
      <x:c r="M11" s="13" t="str">
        <x:v>Con incapacidad</x:v>
      </x:c>
      <x:c r="N11" s="13" t="str">
        <x:v>En desarrollo de actividades de administrativa, se presentó evento por golpeado por/contra asociado a silla ergonómica.</x:v>
      </x:c>
      <x:c r="O11" s="13" t="str">
        <x:v>Golpeado por/contra</x:v>
      </x:c>
      <x:c r="P11" s="13" t="str">
        <x:v>Silla ergonómica</x:v>
      </x:c>
      <x:c r="Q11" s="13" t="str">
        <x:v>Cuarto técnico</x:v>
      </x:c>
      <x:c r="R11" s="13" t="str">
        <x:v>Cervical</x:v>
      </x:c>
      <x:c r="S11" s="13" t="str">
        <x:v>Trauma ocular leve</x:v>
      </x:c>
      <x:c r="T11" s="13" t="n">
        <x:v>12</x:v>
      </x:c>
      <x:c r="U11" s="13" t="n">
        <x:f>IF(M11="Sin incapacidad",0,T11)</x:f>
        <x:v>12</x:v>
      </x:c>
      <x:c r="V11" s="13" t="str">
        <x:v>Sí</x:v>
      </x:c>
      <x:c r="W11" s="30" t="n">
        <x:v>45843</x:v>
      </x:c>
      <x:c r="X11" s="30" t="str">
        <x:v>Sí</x:v>
      </x:c>
      <x:c r="Y11" s="30" t="n">
        <x:v>45852</x:v>
      </x:c>
      <x:c r="Z11" s="13" t="str">
        <x:v>COPASST + SST</x:v>
      </x:c>
      <x:c r="AA11" s="13" t="str">
        <x:v>Manipulación incorrecta de carga</x:v>
      </x:c>
      <x:c r="AB11" s="13" t="str">
        <x:v>Espacio reducido</x:v>
      </x:c>
      <x:c r="AC11" s="13" t="str">
        <x:v>Apuro operativo</x:v>
      </x:c>
      <x:c r="AD11" s="13" t="str">
        <x:v>Condición locativa no corregida</x:v>
      </x:c>
      <x:c r="AE11" s="13" t="str">
        <x:v>Incumplimiento del procedimiento seguro y supervisión insuficiente</x:v>
      </x:c>
      <x:c r="AF11" s="13" t="str">
        <x:v>Reforzar supervisión operativa y seguimiento al uso de EPP</x:v>
      </x:c>
      <x:c r="AG11" s="13" t="str">
        <x:v>Jefe de Operaciones</x:v>
      </x:c>
      <x:c r="AH11" s="30" t="n">
        <x:v>45867</x:v>
      </x:c>
      <x:c r="AI11" s="30" t="str">
        <x:v>Abierta</x:v>
      </x:c>
      <x:c r="AJ11" s="30"/>
      <x:c r="AK11" s="13" t="str">
        <x:f>IF(OR(AI11&lt;&gt;"Cerrada",AJ11="",AH11=""),"No",IF(AJ11&lt;=AH11,"Sí","No"))</x:f>
        <x:v>No</x:v>
      </x:c>
      <x:c r="AL11" s="13" t="str">
        <x:v>Pendiente verificación</x:v>
      </x:c>
      <x:c r="AM11" s="13" t="str">
        <x:v>En investigación</x:v>
      </x:c>
      <x:c r="AN11" s="13" t="str">
        <x:v>Se recomienda refuerzo de inspecciones y autocuidado.</x:v>
      </x:c>
    </x:row>
    <x:row r="12">
      <x:c r="A12" s="13" t="n">
        <x:v>2025</x:v>
      </x:c>
      <x:c r="B12" s="13" t="str">
        <x:v>AT-2025-009</x:v>
      </x:c>
      <x:c r="C12" s="30" t="n">
        <x:v>45854</x:v>
      </x:c>
      <x:c r="D12" s="13" t="str">
        <x:v>13:50</x:v>
      </x:c>
      <x:c r="E12" s="13" t="str">
        <x:v>Julio</x:v>
      </x:c>
      <x:c r="F12" s="13" t="str">
        <x:v>Valledupar</x:v>
      </x:c>
      <x:c r="G12" s="13" t="str">
        <x:v>Logística</x:v>
      </x:c>
      <x:c r="H12" s="13" t="str">
        <x:v>Ricardo Andrés Parra</x:v>
      </x:c>
      <x:c r="I12" s="13" t="str">
        <x:v>88075998</x:v>
      </x:c>
      <x:c r="J12" s="13" t="str">
        <x:v>Tecnólogo de Monitoreo</x:v>
      </x:c>
      <x:c r="K12" s="13" t="str">
        <x:v>Término indefinido</x:v>
      </x:c>
      <x:c r="L12" s="13" t="str">
        <x:v>ARL SURA</x:v>
      </x:c>
      <x:c r="M12" s="13" t="str">
        <x:v>Con incapacidad</x:v>
      </x:c>
      <x:c r="N12" s="13" t="str">
        <x:v>En desarrollo de actividades de logística, se presentó evento por golpeado por/contra asociado a vehículo.</x:v>
      </x:c>
      <x:c r="O12" s="13" t="str">
        <x:v>Golpeado por/contra</x:v>
      </x:c>
      <x:c r="P12" s="13" t="str">
        <x:v>Vehículo</x:v>
      </x:c>
      <x:c r="Q12" s="13" t="str">
        <x:v>Vía pública en ronda</x:v>
      </x:c>
      <x:c r="R12" s="13" t="str">
        <x:v>Mano</x:v>
      </x:c>
      <x:c r="S12" s="13" t="str">
        <x:v>Esguince</x:v>
      </x:c>
      <x:c r="T12" s="13" t="n">
        <x:v>12</x:v>
      </x:c>
      <x:c r="U12" s="13" t="n">
        <x:f>IF(M12="Sin incapacidad",0,T12)</x:f>
        <x:v>12</x:v>
      </x:c>
      <x:c r="V12" s="13" t="str">
        <x:v>Sí</x:v>
      </x:c>
      <x:c r="W12" s="30" t="n">
        <x:v>45855</x:v>
      </x:c>
      <x:c r="X12" s="30" t="str">
        <x:v>Sí</x:v>
      </x:c>
      <x:c r="Y12" s="30" t="n">
        <x:v>45863</x:v>
      </x:c>
      <x:c r="Z12" s="13" t="str">
        <x:v>Supervisor + Analista SST</x:v>
      </x:c>
      <x:c r="AA12" s="13" t="str">
        <x:v>Desplazamiento apresurado</x:v>
      </x:c>
      <x:c r="AB12" s="13" t="str">
        <x:v>Vía en mal estado</x:v>
      </x:c>
      <x:c r="AC12" s="13" t="str">
        <x:v>Exceso de confianza</x:v>
      </x:c>
      <x:c r="AD12" s="13" t="str">
        <x:v>Control operativo insuficiente</x:v>
      </x:c>
      <x:c r="AE12" s="13" t="str">
        <x:v>Incumplimiento del procedimiento seguro y supervisión insuficiente</x:v>
      </x:c>
      <x:c r="AF12" s="13" t="str">
        <x:v>Ejecutar inspección locativa y corrección inmediata del peligro</x:v>
      </x:c>
      <x:c r="AG12" s="13" t="str">
        <x:v>Supervisor Operativo</x:v>
      </x:c>
      <x:c r="AH12" s="30" t="n">
        <x:v>45893</x:v>
      </x:c>
      <x:c r="AI12" s="30" t="str">
        <x:v>Cerrada</x:v>
      </x:c>
      <x:c r="AJ12" s="30" t="n">
        <x:v>45887</x:v>
      </x:c>
      <x:c r="AK12" s="13" t="str">
        <x:f>IF(OR(AI12&lt;&gt;"Cerrada",AJ12="",AH12=""),"No",IF(AJ12&lt;=AH12,"Sí","No"))</x:f>
        <x:v>Sí</x:v>
      </x:c>
      <x:c r="AL12" s="13" t="str">
        <x:v>Pendiente verificación</x:v>
      </x:c>
      <x:c r="AM12" s="13" t="str">
        <x:v>Cerrado</x:v>
      </x:c>
      <x:c r="AN12" s="13" t="str">
        <x:v>Se recomienda refuerzo de inspecciones y autocuidado.</x:v>
      </x:c>
    </x:row>
    <x:row r="13">
      <x:c r="A13" s="13" t="n">
        <x:v>2025</x:v>
      </x:c>
      <x:c r="B13" s="13" t="str">
        <x:v>AT-2025-007</x:v>
      </x:c>
      <x:c r="C13" s="30" t="n">
        <x:v>45866</x:v>
      </x:c>
      <x:c r="D13" s="13" t="str">
        <x:v>21:50</x:v>
      </x:c>
      <x:c r="E13" s="13" t="str">
        <x:v>Julio</x:v>
      </x:c>
      <x:c r="F13" s="13" t="str">
        <x:v>Pamplona</x:v>
      </x:c>
      <x:c r="G13" s="13" t="str">
        <x:v>Operaciones</x:v>
      </x:c>
      <x:c r="H13" s="13" t="str">
        <x:v>Leidy Tatiana Becerra</x:v>
      </x:c>
      <x:c r="I13" s="13" t="str">
        <x:v>88075476</x:v>
      </x:c>
      <x:c r="J13" s="13" t="str">
        <x:v>Auxiliar Administrativa</x:v>
      </x:c>
      <x:c r="K13" s="13" t="str">
        <x:v>Término indefinido</x:v>
      </x:c>
      <x:c r="L13" s="13" t="str">
        <x:v>ARL SURA</x:v>
      </x:c>
      <x:c r="M13" s="13" t="str">
        <x:v>Sin incapacidad</x:v>
      </x:c>
      <x:c r="N13" s="13" t="str">
        <x:v>En desarrollo de actividades de operaciones, se presentó evento por caída al mismo nivel asociado a silla ergonómica.</x:v>
      </x:c>
      <x:c r="O13" s="13" t="str">
        <x:v>Caída al mismo nivel</x:v>
      </x:c>
      <x:c r="P13" s="13" t="str">
        <x:v>Silla ergonómica</x:v>
      </x:c>
      <x:c r="Q13" s="13" t="str">
        <x:v>Cuarto técnico</x:v>
      </x:c>
      <x:c r="R13" s="13" t="str">
        <x:v>Rodilla</x:v>
      </x:c>
      <x:c r="S13" s="13" t="str">
        <x:v>Contractura muscular</x:v>
      </x:c>
      <x:c r="T13" s="13" t="n">
        <x:v>0</x:v>
      </x:c>
      <x:c r="U13" s="13" t="n">
        <x:f>IF(M13="Sin incapacidad",0,T13)</x:f>
        <x:v>0</x:v>
      </x:c>
      <x:c r="V13" s="13" t="str">
        <x:v>Sí</x:v>
      </x:c>
      <x:c r="W13" s="30" t="n">
        <x:v>45866</x:v>
      </x:c>
      <x:c r="X13" s="30" t="str">
        <x:v>Sí</x:v>
      </x:c>
      <x:c r="Y13" s="30" t="n">
        <x:v>45869</x:v>
      </x:c>
      <x:c r="Z13" s="13" t="str">
        <x:v>Coordinador SST + Operaciones</x:v>
      </x:c>
      <x:c r="AA13" s="13" t="str">
        <x:v>Omisión de inspección previa</x:v>
      </x:c>
      <x:c r="AB13" s="13" t="str">
        <x:v>Superficie deslizante</x:v>
      </x:c>
      <x:c r="AC13" s="13" t="str">
        <x:v>Postura inadecuada</x:v>
      </x:c>
      <x:c r="AD13" s="13" t="str">
        <x:v>Carga laboral elevada</x:v>
      </x:c>
      <x:c r="AE13" s="13" t="str">
        <x:v>Incumplimiento del procedimiento seguro y supervisión insuficiente</x:v>
      </x:c>
      <x:c r="AF13" s="13" t="str">
        <x:v>Implementar señalización y control administrativo temporal</x:v>
      </x:c>
      <x:c r="AG13" s="13" t="str">
        <x:v>Jefe de Operaciones</x:v>
      </x:c>
      <x:c r="AH13" s="30" t="n">
        <x:v>45879</x:v>
      </x:c>
      <x:c r="AI13" s="30" t="str">
        <x:v>Cerrada</x:v>
      </x:c>
      <x:c r="AJ13" s="30" t="n">
        <x:v>45875</x:v>
      </x:c>
      <x:c r="AK13" s="13" t="str">
        <x:f>IF(OR(AI13&lt;&gt;"Cerrada",AJ13="",AH13=""),"No",IF(AJ13&lt;=AH13,"Sí","No"))</x:f>
        <x:v>Sí</x:v>
      </x:c>
      <x:c r="AL13" s="13" t="str">
        <x:v>Sí</x:v>
      </x:c>
      <x:c r="AM13" s="13" t="str">
        <x:v>Cerrado</x:v>
      </x:c>
      <x:c r="AN13" s="13" t="str">
        <x:v>Se recomienda refuerzo de inspecciones y autocuidado.</x:v>
      </x:c>
    </x:row>
    <x:row r="14">
      <x:c r="A14" s="13" t="n">
        <x:v>2025</x:v>
      </x:c>
      <x:c r="B14" s="13" t="str">
        <x:v>AT-2025-005</x:v>
      </x:c>
      <x:c r="C14" s="30" t="n">
        <x:v>45893</x:v>
      </x:c>
      <x:c r="D14" s="13" t="str">
        <x:v>16:40</x:v>
      </x:c>
      <x:c r="E14" s="13" t="str">
        <x:v>Agosto</x:v>
      </x:c>
      <x:c r="F14" s="13" t="str">
        <x:v>Pamplona</x:v>
      </x:c>
      <x:c r="G14" s="13" t="str">
        <x:v>Talento Humano</x:v>
      </x:c>
      <x:c r="H14" s="13" t="str">
        <x:v>Sandra Milena Niño</x:v>
      </x:c>
      <x:c r="I14" s="13" t="str">
        <x:v>88075605</x:v>
      </x:c>
      <x:c r="J14" s="13" t="str">
        <x:v>Tecnólogo de Monitoreo</x:v>
      </x:c>
      <x:c r="K14" s="13" t="str">
        <x:v>Término indefinido</x:v>
      </x:c>
      <x:c r="L14" s="13" t="str">
        <x:v>ARL SURA</x:v>
      </x:c>
      <x:c r="M14" s="13" t="str">
        <x:v>Con incapacidad</x:v>
      </x:c>
      <x:c r="N14" s="13" t="str">
        <x:v>En desarrollo de actividades de talento humano, se presentó evento por sobreesfuerzo o esfuerzo excesivo asociado a vehículo.</x:v>
      </x:c>
      <x:c r="O14" s="13" t="str">
        <x:v>Sobreesfuerzo o esfuerzo excesivo</x:v>
      </x:c>
      <x:c r="P14" s="13" t="str">
        <x:v>Vehículo</x:v>
      </x:c>
      <x:c r="Q14" s="13" t="str">
        <x:v>Zona común del cliente</x:v>
      </x:c>
      <x:c r="R14" s="13" t="str">
        <x:v>Tobillo</x:v>
      </x:c>
      <x:c r="S14" s="13" t="str">
        <x:v>Luxación</x:v>
      </x:c>
      <x:c r="T14" s="13" t="n">
        <x:v>30</x:v>
      </x:c>
      <x:c r="U14" s="13" t="n">
        <x:f>IF(M14="Sin incapacidad",0,T14)</x:f>
        <x:v>30</x:v>
      </x:c>
      <x:c r="V14" s="13" t="str">
        <x:v>Sí</x:v>
      </x:c>
      <x:c r="W14" s="30" t="n">
        <x:v>45893</x:v>
      </x:c>
      <x:c r="X14" s="30" t="str">
        <x:v>Sí</x:v>
      </x:c>
      <x:c r="Y14" s="30" t="n">
        <x:v>45901</x:v>
      </x:c>
      <x:c r="Z14" s="13" t="str">
        <x:v>Supervisor + Analista SST</x:v>
      </x:c>
      <x:c r="AA14" s="13" t="str">
        <x:v>No reportar condición insegura</x:v>
      </x:c>
      <x:c r="AB14" s="13" t="str">
        <x:v>Espacio reducido</x:v>
      </x:c>
      <x:c r="AC14" s="13" t="str">
        <x:v>Apuro operativo</x:v>
      </x:c>
      <x:c r="AD14" s="13" t="str">
        <x:v>Condición locativa no corregida</x:v>
      </x:c>
      <x:c r="AE14" s="13" t="str">
        <x:v>Mantenimiento deficiente y ausencia de corrección oportuna</x:v>
      </x:c>
      <x:c r="AF14" s="13" t="str">
        <x:v>Actualizar procedimiento seguro de trabajo y verificar cumplimiento</x:v>
      </x:c>
      <x:c r="AG14" s="13" t="str">
        <x:v>Coordinador SST</x:v>
      </x:c>
      <x:c r="AH14" s="30" t="n">
        <x:v>45931</x:v>
      </x:c>
      <x:c r="AI14" s="30" t="str">
        <x:v>En seguimiento</x:v>
      </x:c>
      <x:c r="AJ14" s="30"/>
      <x:c r="AK14" s="13" t="str">
        <x:f>IF(OR(AI14&lt;&gt;"Cerrada",AJ14="",AH14=""),"No",IF(AJ14&lt;=AH14,"Sí","No"))</x:f>
        <x:v>No</x:v>
      </x:c>
      <x:c r="AL14" s="13" t="str">
        <x:v>Pendiente verificación</x:v>
      </x:c>
      <x:c r="AM14" s="13" t="str">
        <x:v>En seguimiento</x:v>
      </x:c>
      <x:c r="AN14" s="13" t="str">
        <x:v>Se deja lección aprendida socializada en charla preoperacional.</x:v>
      </x:c>
    </x:row>
    <x:row r="15">
      <x:c r="A15" s="13" t="n">
        <x:v>2025</x:v>
      </x:c>
      <x:c r="B15" s="13" t="str">
        <x:v>AT-2025-011</x:v>
      </x:c>
      <x:c r="C15" s="30" t="n">
        <x:v>45920</x:v>
      </x:c>
      <x:c r="D15" s="13" t="str">
        <x:v>19:50</x:v>
      </x:c>
      <x:c r="E15" s="13" t="str">
        <x:v>Septiembre</x:v>
      </x:c>
      <x:c r="F15" s="13" t="str">
        <x:v>Ábrego</x:v>
      </x:c>
      <x:c r="G15" s="13" t="str">
        <x:v>Operaciones</x:v>
      </x:c>
      <x:c r="H15" s="13" t="str">
        <x:v>Tatiana Marcela Paredes</x:v>
      </x:c>
      <x:c r="I15" s="13" t="str">
        <x:v>88076072</x:v>
      </x:c>
      <x:c r="J15" s="13" t="str">
        <x:v>Guarda Motorizado</x:v>
      </x:c>
      <x:c r="K15" s="13" t="str">
        <x:v>Término indefinido</x:v>
      </x:c>
      <x:c r="L15" s="13" t="str">
        <x:v>ARL SURA</x:v>
      </x:c>
      <x:c r="M15" s="13" t="str">
        <x:v>Con incapacidad</x:v>
      </x:c>
      <x:c r="N15" s="13" t="str">
        <x:v>En desarrollo de actividades de operaciones, se presentó evento por caída al mismo nivel asociado a vehículo.</x:v>
      </x:c>
      <x:c r="O15" s="13" t="str">
        <x:v>Caída al mismo nivel</x:v>
      </x:c>
      <x:c r="P15" s="13" t="str">
        <x:v>Vehículo</x:v>
      </x:c>
      <x:c r="Q15" s="13" t="str">
        <x:v>Vía pública en ronda</x:v>
      </x:c>
      <x:c r="R15" s="13" t="str">
        <x:v>Brazo</x:v>
      </x:c>
      <x:c r="S15" s="13" t="str">
        <x:v>Esguince</x:v>
      </x:c>
      <x:c r="T15" s="13" t="n">
        <x:v>1</x:v>
      </x:c>
      <x:c r="U15" s="13" t="n">
        <x:f>IF(M15="Sin incapacidad",0,T15)</x:f>
        <x:v>1</x:v>
      </x:c>
      <x:c r="V15" s="13" t="str">
        <x:v>Sí</x:v>
      </x:c>
      <x:c r="W15" s="30" t="n">
        <x:v>45921</x:v>
      </x:c>
      <x:c r="X15" s="30" t="str">
        <x:v>Sí</x:v>
      </x:c>
      <x:c r="Y15" s="30" t="n">
        <x:v>45922</x:v>
      </x:c>
      <x:c r="Z15" s="13" t="str">
        <x:v>Jefe inmediato + SST</x:v>
      </x:c>
      <x:c r="AA15" s="13" t="str">
        <x:v>Desplazamiento apresurado</x:v>
      </x:c>
      <x:c r="AB15" s="13" t="str">
        <x:v>Cable expuesto</x:v>
      </x:c>
      <x:c r="AC15" s="13" t="str">
        <x:v>Fatiga</x:v>
      </x:c>
      <x:c r="AD15" s="13" t="str">
        <x:v>Procedimiento no actualizado</x:v>
      </x:c>
      <x:c r="AE15" s="13" t="str">
        <x:v>Brecha de capacitación y hábitos inseguros de trabajo</x:v>
      </x:c>
      <x:c r="AF15" s="13" t="str">
        <x:v>Ejecutar inspección locativa y corrección inmediata del peligro</x:v>
      </x:c>
      <x:c r="AG15" s="13" t="str">
        <x:v>Supervisor Operativo</x:v>
      </x:c>
      <x:c r="AH15" s="30" t="n">
        <x:v>45952</x:v>
      </x:c>
      <x:c r="AI15" s="30" t="str">
        <x:v>Cerrada</x:v>
      </x:c>
      <x:c r="AJ15" s="30" t="n">
        <x:v>45951</x:v>
      </x:c>
      <x:c r="AK15" s="13" t="str">
        <x:f>IF(OR(AI15&lt;&gt;"Cerrada",AJ15="",AH15=""),"No",IF(AJ15&lt;=AH15,"Sí","No"))</x:f>
        <x:v>Sí</x:v>
      </x:c>
      <x:c r="AL15" s="13" t="str">
        <x:v>Sí</x:v>
      </x:c>
      <x:c r="AM15" s="13" t="str">
        <x:v>Cerrado</x:v>
      </x:c>
      <x:c r="AN15" s="13" t="str">
        <x:v>Se realiza seguimiento por SST y jefe inmediato.</x:v>
      </x:c>
    </x:row>
    <x:row r="16">
      <x:c r="A16" s="13" t="n">
        <x:v>2025</x:v>
      </x:c>
      <x:c r="B16" s="13" t="str">
        <x:v>AT-2025-016</x:v>
      </x:c>
      <x:c r="C16" s="30" t="n">
        <x:v>45931</x:v>
      </x:c>
      <x:c r="D16" s="13" t="str">
        <x:v>17:30</x:v>
      </x:c>
      <x:c r="E16" s="13" t="str">
        <x:v>Octubre</x:v>
      </x:c>
      <x:c r="F16" s="13" t="str">
        <x:v>Valledupar</x:v>
      </x:c>
      <x:c r="G16" s="13" t="str">
        <x:v>Escoltas</x:v>
      </x:c>
      <x:c r="H16" s="13" t="str">
        <x:v>Maribel Rocío Acevedo</x:v>
      </x:c>
      <x:c r="I16" s="13" t="str">
        <x:v>88075617</x:v>
      </x:c>
      <x:c r="J16" s="13" t="str">
        <x:v>Analista SST</x:v>
      </x:c>
      <x:c r="K16" s="13" t="str">
        <x:v>Término fijo</x:v>
      </x:c>
      <x:c r="L16" s="13" t="str">
        <x:v>ARL SURA</x:v>
      </x:c>
      <x:c r="M16" s="13" t="str">
        <x:v>Sin incapacidad</x:v>
      </x:c>
      <x:c r="N16" s="13" t="str">
        <x:v>En desarrollo de actividades de escoltas, se presentó evento por accidente de tránsito asociado a escritorio.</x:v>
      </x:c>
      <x:c r="O16" s="13" t="str">
        <x:v>Accidente de tránsito</x:v>
      </x:c>
      <x:c r="P16" s="13" t="str">
        <x:v>Escritorio</x:v>
      </x:c>
      <x:c r="Q16" s="13" t="str">
        <x:v>Parqueadero</x:v>
      </x:c>
      <x:c r="R16" s="13" t="str">
        <x:v>Rodilla</x:v>
      </x:c>
      <x:c r="S16" s="13" t="str">
        <x:v>Trauma ocular leve</x:v>
      </x:c>
      <x:c r="T16" s="13" t="n">
        <x:v>0</x:v>
      </x:c>
      <x:c r="U16" s="13" t="n">
        <x:f>IF(M16="Sin incapacidad",0,T16)</x:f>
        <x:v>0</x:v>
      </x:c>
      <x:c r="V16" s="13" t="str">
        <x:v>Sí</x:v>
      </x:c>
      <x:c r="W16" s="30" t="n">
        <x:v>45932</x:v>
      </x:c>
      <x:c r="X16" s="30" t="str">
        <x:v>Sí</x:v>
      </x:c>
      <x:c r="Y16" s="30" t="n">
        <x:v>45941</x:v>
      </x:c>
      <x:c r="Z16" s="13" t="str">
        <x:v>COPASST + SST</x:v>
      </x:c>
      <x:c r="AA16" s="13" t="str">
        <x:v>Omisión de inspección previa</x:v>
      </x:c>
      <x:c r="AB16" s="13" t="str">
        <x:v>Superficie deslizante</x:v>
      </x:c>
      <x:c r="AC16" s="13" t="str">
        <x:v>Exceso de confianza</x:v>
      </x:c>
      <x:c r="AD16" s="13" t="str">
        <x:v>Control operativo insuficiente</x:v>
      </x:c>
      <x:c r="AE16" s="13" t="str">
        <x:v>Falta de inspección previa y gestión tardía del peligro</x:v>
      </x:c>
      <x:c r="AF16" s="13" t="str">
        <x:v>Programar mantenimiento correctivo del elemento involucrado</x:v>
      </x:c>
      <x:c r="AG16" s="13" t="str">
        <x:v>Líder de Mantenimiento</x:v>
      </x:c>
      <x:c r="AH16" s="30" t="n">
        <x:v>45971</x:v>
      </x:c>
      <x:c r="AI16" s="30" t="str">
        <x:v>Cerrada</x:v>
      </x:c>
      <x:c r="AJ16" s="30" t="n">
        <x:v>45973</x:v>
      </x:c>
      <x:c r="AK16" s="13" t="str">
        <x:f>IF(OR(AI16&lt;&gt;"Cerrada",AJ16="",AH16=""),"No",IF(AJ16&lt;=AH16,"Sí","No"))</x:f>
        <x:v>No</x:v>
      </x:c>
      <x:c r="AL16" s="13" t="str">
        <x:v>Sí</x:v>
      </x:c>
      <x:c r="AM16" s="13" t="str">
        <x:v>Cerrado</x:v>
      </x:c>
      <x:c r="AN16" s="13" t="str">
        <x:v>Se recomienda refuerzo de inspecciones y autocuidado.</x:v>
      </x:c>
    </x:row>
    <x:row r="17">
      <x:c r="A17" s="13" t="n">
        <x:v>2025</x:v>
      </x:c>
      <x:c r="B17" s="13" t="str">
        <x:v>AT-2025-015</x:v>
      </x:c>
      <x:c r="C17" s="30" t="n">
        <x:v>45932</x:v>
      </x:c>
      <x:c r="D17" s="13" t="str">
        <x:v>12:00</x:v>
      </x:c>
      <x:c r="E17" s="13" t="str">
        <x:v>Octubre</x:v>
      </x:c>
      <x:c r="F17" s="13" t="str">
        <x:v>Valledupar</x:v>
      </x:c>
      <x:c r="G17" s="13" t="str">
        <x:v>Escoltas</x:v>
      </x:c>
      <x:c r="H17" s="13" t="str">
        <x:v>María Camila Rojas</x:v>
      </x:c>
      <x:c r="I17" s="13" t="str">
        <x:v>88075672</x:v>
      </x:c>
      <x:c r="J17" s="13" t="str">
        <x:v>Supervisor de Puesto</x:v>
      </x:c>
      <x:c r="K17" s="13" t="str">
        <x:v>Término fijo</x:v>
      </x:c>
      <x:c r="L17" s="13" t="str">
        <x:v>ARL SURA</x:v>
      </x:c>
      <x:c r="M17" s="13" t="str">
        <x:v>Con incapacidad</x:v>
      </x:c>
      <x:c r="N17" s="13" t="str">
        <x:v>En desarrollo de actividades de escoltas, se presentó evento por atrapamiento asociado a vehículo.</x:v>
      </x:c>
      <x:c r="O17" s="13" t="str">
        <x:v>Atrapamiento</x:v>
      </x:c>
      <x:c r="P17" s="13" t="str">
        <x:v>Vehículo</x:v>
      </x:c>
      <x:c r="Q17" s="13" t="str">
        <x:v>Vía pública en ronda</x:v>
      </x:c>
      <x:c r="R17" s="13" t="str">
        <x:v>Ojo</x:v>
      </x:c>
      <x:c r="S17" s="13" t="str">
        <x:v>Herida superficial</x:v>
      </x:c>
      <x:c r="T17" s="13" t="n">
        <x:v>7</x:v>
      </x:c>
      <x:c r="U17" s="13" t="n">
        <x:f>IF(M17="Sin incapacidad",0,T17)</x:f>
        <x:v>7</x:v>
      </x:c>
      <x:c r="V17" s="13" t="str">
        <x:v>Sí</x:v>
      </x:c>
      <x:c r="W17" s="30" t="n">
        <x:v>45933</x:v>
      </x:c>
      <x:c r="X17" s="30" t="str">
        <x:v>Sí</x:v>
      </x:c>
      <x:c r="Y17" s="30" t="n">
        <x:v>45933</x:v>
      </x:c>
      <x:c r="Z17" s="13" t="str">
        <x:v>COPASST + SST</x:v>
      </x:c>
      <x:c r="AA17" s="13" t="str">
        <x:v>Uso inadecuado del EPP</x:v>
      </x:c>
      <x:c r="AB17" s="13" t="str">
        <x:v>Iluminación insuficiente</x:v>
      </x:c>
      <x:c r="AC17" s="13" t="str">
        <x:v>Capacitación insuficiente</x:v>
      </x:c>
      <x:c r="AD17" s="13" t="str">
        <x:v>Carga laboral elevada</x:v>
      </x:c>
      <x:c r="AE17" s="13" t="str">
        <x:v>Incumplimiento del procedimiento seguro y supervisión insuficiente</x:v>
      </x:c>
      <x:c r="AF17" s="13" t="str">
        <x:v>Implementar señalización y control administrativo temporal</x:v>
      </x:c>
      <x:c r="AG17" s="13" t="str">
        <x:v>Coordinador de Talento Humano</x:v>
      </x:c>
      <x:c r="AH17" s="30" t="n">
        <x:v>45948</x:v>
      </x:c>
      <x:c r="AI17" s="30" t="str">
        <x:v>Cerrada</x:v>
      </x:c>
      <x:c r="AJ17" s="30" t="n">
        <x:v>45950</x:v>
      </x:c>
      <x:c r="AK17" s="13" t="str">
        <x:f>IF(OR(AI17&lt;&gt;"Cerrada",AJ17="",AH17=""),"No",IF(AJ17&lt;=AH17,"Sí","No"))</x:f>
        <x:v>No</x:v>
      </x:c>
      <x:c r="AL17" s="13" t="str">
        <x:v>Sí</x:v>
      </x:c>
      <x:c r="AM17" s="13" t="str">
        <x:v>Cerrado</x:v>
      </x:c>
      <x:c r="AN17" s="13" t="str">
        <x:v>Se recomienda refuerzo de inspecciones y autocuidado.</x:v>
      </x:c>
    </x:row>
    <x:row r="18">
      <x:c r="A18" s="13" t="n">
        <x:v>2025</x:v>
      </x:c>
      <x:c r="B18" s="13" t="str">
        <x:v>AT-2025-010</x:v>
      </x:c>
      <x:c r="C18" s="30" t="n">
        <x:v>45933</x:v>
      </x:c>
      <x:c r="D18" s="13" t="str">
        <x:v>12:20</x:v>
      </x:c>
      <x:c r="E18" s="13" t="str">
        <x:v>Octubre</x:v>
      </x:c>
      <x:c r="F18" s="13" t="str">
        <x:v>Pamplona</x:v>
      </x:c>
      <x:c r="G18" s="13" t="str">
        <x:v>Talento Humano</x:v>
      </x:c>
      <x:c r="H18" s="13" t="str">
        <x:v>Jhon Alexander Contreras</x:v>
      </x:c>
      <x:c r="I18" s="13" t="str">
        <x:v>88075752</x:v>
      </x:c>
      <x:c r="J18" s="13" t="str">
        <x:v>Conductor</x:v>
      </x:c>
      <x:c r="K18" s="13" t="str">
        <x:v>Término indefinido</x:v>
      </x:c>
      <x:c r="L18" s="13" t="str">
        <x:v>ARL SURA</x:v>
      </x:c>
      <x:c r="M18" s="13" t="str">
        <x:v>Con incapacidad</x:v>
      </x:c>
      <x:c r="N18" s="13" t="str">
        <x:v>Durante ronda de vigilancia en pamplona, el trabajador sufrió contractura muscular por caída de objetos.</x:v>
      </x:c>
      <x:c r="O18" s="13" t="str">
        <x:v>Caída de objetos</x:v>
      </x:c>
      <x:c r="P18" s="13" t="str">
        <x:v>Escalera</x:v>
      </x:c>
      <x:c r="Q18" s="13" t="str">
        <x:v>Recepción</x:v>
      </x:c>
      <x:c r="R18" s="13" t="str">
        <x:v>Mano</x:v>
      </x:c>
      <x:c r="S18" s="13" t="str">
        <x:v>Contractura muscular</x:v>
      </x:c>
      <x:c r="T18" s="13" t="n">
        <x:v>15</x:v>
      </x:c>
      <x:c r="U18" s="13" t="n">
        <x:f>IF(M18="Sin incapacidad",0,T18)</x:f>
        <x:v>15</x:v>
      </x:c>
      <x:c r="V18" s="13" t="str">
        <x:v>Sí</x:v>
      </x:c>
      <x:c r="W18" s="30" t="n">
        <x:v>45933</x:v>
      </x:c>
      <x:c r="X18" s="30" t="str">
        <x:v>Sí</x:v>
      </x:c>
      <x:c r="Y18" s="30" t="n">
        <x:v>45936</x:v>
      </x:c>
      <x:c r="Z18" s="13" t="str">
        <x:v>COPASST + SST</x:v>
      </x:c>
      <x:c r="AA18" s="13" t="str">
        <x:v>Distracción durante la labor</x:v>
      </x:c>
      <x:c r="AB18" s="13" t="str">
        <x:v>Cable expuesto</x:v>
      </x:c>
      <x:c r="AC18" s="13" t="str">
        <x:v>Fatiga</x:v>
      </x:c>
      <x:c r="AD18" s="13" t="str">
        <x:v>Condición locativa no corregida</x:v>
      </x:c>
      <x:c r="AE18" s="13" t="str">
        <x:v>Incumplimiento del procedimiento seguro y supervisión insuficiente</x:v>
      </x:c>
      <x:c r="AF18" s="13" t="str">
        <x:v>Implementar señalización y control administrativo temporal</x:v>
      </x:c>
      <x:c r="AG18" s="13" t="str">
        <x:v>Coordinador de Talento Humano</x:v>
      </x:c>
      <x:c r="AH18" s="30" t="n">
        <x:v>45966</x:v>
      </x:c>
      <x:c r="AI18" s="30" t="str">
        <x:v>Cerrada</x:v>
      </x:c>
      <x:c r="AJ18" s="30" t="n">
        <x:v>45963</x:v>
      </x:c>
      <x:c r="AK18" s="13" t="str">
        <x:f>IF(OR(AI18&lt;&gt;"Cerrada",AJ18="",AH18=""),"No",IF(AJ18&lt;=AH18,"Sí","No"))</x:f>
        <x:v>Sí</x:v>
      </x:c>
      <x:c r="AL18" s="13" t="str">
        <x:v>Sí</x:v>
      </x:c>
      <x:c r="AM18" s="13" t="str">
        <x:v>Cerrado</x:v>
      </x:c>
      <x:c r="AN18" s="13" t="str">
        <x:v>Se deja lección aprendida socializada en charla preoperacional.</x:v>
      </x:c>
    </x:row>
    <x:row r="19">
      <x:c r="A19" s="13" t="n">
        <x:v>2025</x:v>
      </x:c>
      <x:c r="B19" s="13" t="str">
        <x:v>AT-2025-017</x:v>
      </x:c>
      <x:c r="C19" s="30" t="n">
        <x:v>45939</x:v>
      </x:c>
      <x:c r="D19" s="13" t="str">
        <x:v>16:30</x:v>
      </x:c>
      <x:c r="E19" s="13" t="str">
        <x:v>Octubre</x:v>
      </x:c>
      <x:c r="F19" s="13" t="str">
        <x:v>Tibú</x:v>
      </x:c>
      <x:c r="G19" s="13" t="str">
        <x:v>Logística</x:v>
      </x:c>
      <x:c r="H19" s="13" t="str">
        <x:v>Maribel Rocío Acevedo</x:v>
      </x:c>
      <x:c r="I19" s="13" t="str">
        <x:v>88075726</x:v>
      </x:c>
      <x:c r="J19" s="13" t="str">
        <x:v>Analista SST</x:v>
      </x:c>
      <x:c r="K19" s="13" t="str">
        <x:v>Término fijo</x:v>
      </x:c>
      <x:c r="L19" s="13" t="str">
        <x:v>ARL SURA</x:v>
      </x:c>
      <x:c r="M19" s="13" t="str">
        <x:v>Con incapacidad</x:v>
      </x:c>
      <x:c r="N19" s="13" t="str">
        <x:v>Durante ronda de vigilancia en tibú, el trabajador sufrió lumbalgia aguda por caída al mismo nivel.</x:v>
      </x:c>
      <x:c r="O19" s="13" t="str">
        <x:v>Caída al mismo nivel</x:v>
      </x:c>
      <x:c r="P19" s="13" t="str">
        <x:v>Arma de dotación</x:v>
      </x:c>
      <x:c r="Q19" s="13" t="str">
        <x:v>Recepción</x:v>
      </x:c>
      <x:c r="R19" s="13" t="str">
        <x:v>Ojo</x:v>
      </x:c>
      <x:c r="S19" s="13" t="str">
        <x:v>Lumbalgia aguda</x:v>
      </x:c>
      <x:c r="T19" s="13" t="n">
        <x:v>15</x:v>
      </x:c>
      <x:c r="U19" s="13" t="n">
        <x:f>IF(M19="Sin incapacidad",0,T19)</x:f>
        <x:v>15</x:v>
      </x:c>
      <x:c r="V19" s="13" t="str">
        <x:v>Sí</x:v>
      </x:c>
      <x:c r="W19" s="30" t="n">
        <x:v>45939</x:v>
      </x:c>
      <x:c r="X19" s="30" t="str">
        <x:v>Sí</x:v>
      </x:c>
      <x:c r="Y19" s="30" t="n">
        <x:v>45941</x:v>
      </x:c>
      <x:c r="Z19" s="13" t="str">
        <x:v>Jefe inmediato + SST</x:v>
      </x:c>
      <x:c r="AA19" s="13" t="str">
        <x:v>No asegurar postura adecuada</x:v>
      </x:c>
      <x:c r="AB19" s="13" t="str">
        <x:v>Herramienta en mal estado</x:v>
      </x:c>
      <x:c r="AC19" s="13" t="str">
        <x:v>Falta de atención</x:v>
      </x:c>
      <x:c r="AD19" s="13" t="str">
        <x:v>Condición locativa no corregida</x:v>
      </x:c>
      <x:c r="AE19" s="13" t="str">
        <x:v>Incumplimiento del procedimiento seguro y supervisión insuficiente</x:v>
      </x:c>
      <x:c r="AF19" s="13" t="str">
        <x:v>Realizar capacitación focalizada y socialización de lección aprendida</x:v>
      </x:c>
      <x:c r="AG19" s="13" t="str">
        <x:v>Líder de Mantenimiento</x:v>
      </x:c>
      <x:c r="AH19" s="30" t="n">
        <x:v>45956</x:v>
      </x:c>
      <x:c r="AI19" s="30" t="str">
        <x:v>Cerrada</x:v>
      </x:c>
      <x:c r="AJ19" s="30" t="n">
        <x:v>45953</x:v>
      </x:c>
      <x:c r="AK19" s="13" t="str">
        <x:f>IF(OR(AI19&lt;&gt;"Cerrada",AJ19="",AH19=""),"No",IF(AJ19&lt;=AH19,"Sí","No"))</x:f>
        <x:v>Sí</x:v>
      </x:c>
      <x:c r="AL19" s="13" t="str">
        <x:v>Sí</x:v>
      </x:c>
      <x:c r="AM19" s="13" t="str">
        <x:v>Cerrado</x:v>
      </x:c>
      <x:c r="AN19" s="13" t="str">
        <x:v>Se recomienda refuerzo de inspecciones y autocuidado.</x:v>
      </x:c>
    </x:row>
    <x:row r="20">
      <x:c r="A20" s="13" t="n">
        <x:v>2025</x:v>
      </x:c>
      <x:c r="B20" s="13" t="str">
        <x:v>AT-2025-021</x:v>
      </x:c>
      <x:c r="C20" s="30" t="n">
        <x:v>45941</x:v>
      </x:c>
      <x:c r="D20" s="13" t="str">
        <x:v>18:45</x:v>
      </x:c>
      <x:c r="E20" s="13" t="str">
        <x:v>Octubre</x:v>
      </x:c>
      <x:c r="F20" s="13" t="str">
        <x:v>Ocaña</x:v>
      </x:c>
      <x:c r="G20" s="13" t="str">
        <x:v>Supervisión</x:v>
      </x:c>
      <x:c r="H20" s="13" t="str">
        <x:v>Edwin Mauricio Rodríguez</x:v>
      </x:c>
      <x:c r="I20" s="13" t="str">
        <x:v>88076492</x:v>
      </x:c>
      <x:c r="J20" s="13" t="str">
        <x:v>Supervisor de Puesto</x:v>
      </x:c>
      <x:c r="K20" s="13" t="str">
        <x:v>Término indefinido</x:v>
      </x:c>
      <x:c r="L20" s="13" t="str">
        <x:v>ARL SURA</x:v>
      </x:c>
      <x:c r="M20" s="13" t="str">
        <x:v>Sin incapacidad</x:v>
      </x:c>
      <x:c r="N20" s="13" t="str">
        <x:v>Durante ronda de vigilancia en ocaña, el trabajador sufrió lumbalgia aguda por accidente de tránsito.</x:v>
      </x:c>
      <x:c r="O20" s="13" t="str">
        <x:v>Accidente de tránsito</x:v>
      </x:c>
      <x:c r="P20" s="13" t="str">
        <x:v>Escalera</x:v>
      </x:c>
      <x:c r="Q20" s="13" t="str">
        <x:v>Vía pública en ronda</x:v>
      </x:c>
      <x:c r="R20" s="13" t="str">
        <x:v>Tobillo</x:v>
      </x:c>
      <x:c r="S20" s="13" t="str">
        <x:v>Lumbalgia aguda</x:v>
      </x:c>
      <x:c r="T20" s="13" t="n">
        <x:v>0</x:v>
      </x:c>
      <x:c r="U20" s="13" t="n">
        <x:f>IF(M20="Sin incapacidad",0,T20)</x:f>
        <x:v>0</x:v>
      </x:c>
      <x:c r="V20" s="13" t="str">
        <x:v>Sí</x:v>
      </x:c>
      <x:c r="W20" s="30" t="n">
        <x:v>45942</x:v>
      </x:c>
      <x:c r="X20" s="30" t="str">
        <x:v>Sí</x:v>
      </x:c>
      <x:c r="Y20" s="30" t="n">
        <x:v>45944</x:v>
      </x:c>
      <x:c r="Z20" s="13" t="str">
        <x:v>Coordinador SST + Operaciones</x:v>
      </x:c>
      <x:c r="AA20" s="13" t="str">
        <x:v>Distracción durante la labor</x:v>
      </x:c>
      <x:c r="AB20" s="13" t="str">
        <x:v>Espacio reducido</x:v>
      </x:c>
      <x:c r="AC20" s="13" t="str">
        <x:v>Fatiga</x:v>
      </x:c>
      <x:c r="AD20" s="13" t="str">
        <x:v>Falta de mantenimiento</x:v>
      </x:c>
      <x:c r="AE20" s="13" t="str">
        <x:v>Control operativo insuficiente frente a condición locativa</x:v>
      </x:c>
      <x:c r="AF20" s="13" t="str">
        <x:v>Actualizar procedimiento seguro de trabajo y verificar cumplimiento</x:v>
      </x:c>
      <x:c r="AG20" s="13" t="str">
        <x:v>Analista SST</x:v>
      </x:c>
      <x:c r="AH20" s="30" t="n">
        <x:v>45964</x:v>
      </x:c>
      <x:c r="AI20" s="30" t="str">
        <x:v>Cerrada</x:v>
      </x:c>
      <x:c r="AJ20" s="30" t="n">
        <x:v>45968</x:v>
      </x:c>
      <x:c r="AK20" s="13" t="str">
        <x:f>IF(OR(AI20&lt;&gt;"Cerrada",AJ20="",AH20=""),"No",IF(AJ20&lt;=AH20,"Sí","No"))</x:f>
        <x:v>No</x:v>
      </x:c>
      <x:c r="AL20" s="13" t="str">
        <x:v>Sí</x:v>
      </x:c>
      <x:c r="AM20" s="13" t="str">
        <x:v>Cerrado</x:v>
      </x:c>
      <x:c r="AN20" s="13" t="str">
        <x:v>Se recomienda refuerzo de inspecciones y autocuidado.</x:v>
      </x:c>
    </x:row>
    <x:row r="21">
      <x:c r="A21" s="13" t="n">
        <x:v>2025</x:v>
      </x:c>
      <x:c r="B21" s="13" t="str">
        <x:v>AT-2025-014</x:v>
      </x:c>
      <x:c r="C21" s="30" t="n">
        <x:v>45942</x:v>
      </x:c>
      <x:c r="D21" s="13" t="str">
        <x:v>21:00</x:v>
      </x:c>
      <x:c r="E21" s="13" t="str">
        <x:v>Octubre</x:v>
      </x:c>
      <x:c r="F21" s="13" t="str">
        <x:v>Arauca</x:v>
      </x:c>
      <x:c r="G21" s="13" t="str">
        <x:v>Logística</x:v>
      </x:c>
      <x:c r="H21" s="13" t="str">
        <x:v>Edwin Mauricio Rodríguez</x:v>
      </x:c>
      <x:c r="I21" s="13" t="str">
        <x:v>88075769</x:v>
      </x:c>
      <x:c r="J21" s="13" t="str">
        <x:v>Conductor</x:v>
      </x:c>
      <x:c r="K21" s="13" t="str">
        <x:v>Término indefinido</x:v>
      </x:c>
      <x:c r="L21" s="13" t="str">
        <x:v>ARL SURA</x:v>
      </x:c>
      <x:c r="M21" s="13" t="str">
        <x:v>Con incapacidad</x:v>
      </x:c>
      <x:c r="N21" s="13" t="str">
        <x:v>En desarrollo de actividades de logística, se presentó evento por golpeado por/contra asociado a motocicleta.</x:v>
      </x:c>
      <x:c r="O21" s="13" t="str">
        <x:v>Golpeado por/contra</x:v>
      </x:c>
      <x:c r="P21" s="13" t="str">
        <x:v>Motocicleta</x:v>
      </x:c>
      <x:c r="Q21" s="13" t="str">
        <x:v>Zona común del cliente</x:v>
      </x:c>
      <x:c r="R21" s="13" t="str">
        <x:v>Pierna</x:v>
      </x:c>
      <x:c r="S21" s="13" t="str">
        <x:v>Golpe leve</x:v>
      </x:c>
      <x:c r="T21" s="13" t="n">
        <x:v>4</x:v>
      </x:c>
      <x:c r="U21" s="13" t="n">
        <x:f>IF(M21="Sin incapacidad",0,T21)</x:f>
        <x:v>4</x:v>
      </x:c>
      <x:c r="V21" s="13" t="str">
        <x:v>Sí</x:v>
      </x:c>
      <x:c r="W21" s="30" t="n">
        <x:v>45942</x:v>
      </x:c>
      <x:c r="X21" s="30" t="str">
        <x:v>Sí</x:v>
      </x:c>
      <x:c r="Y21" s="30" t="n">
        <x:v>45945</x:v>
      </x:c>
      <x:c r="Z21" s="13" t="str">
        <x:v>Coordinador SST + Operaciones</x:v>
      </x:c>
      <x:c r="AA21" s="13" t="str">
        <x:v>No asegurar postura adecuada</x:v>
      </x:c>
      <x:c r="AB21" s="13" t="str">
        <x:v>Herramienta en mal estado</x:v>
      </x:c>
      <x:c r="AC21" s="13" t="str">
        <x:v>Postura inadecuada</x:v>
      </x:c>
      <x:c r="AD21" s="13" t="str">
        <x:v>Control operativo insuficiente</x:v>
      </x:c>
      <x:c r="AE21" s="13" t="str">
        <x:v>Falta de inspección previa y gestión tardía del peligro</x:v>
      </x:c>
      <x:c r="AF21" s="13" t="str">
        <x:v>Ejecutar inspección locativa y corrección inmediata del peligro</x:v>
      </x:c>
      <x:c r="AG21" s="13" t="str">
        <x:v>Analista SST</x:v>
      </x:c>
      <x:c r="AH21" s="30" t="n">
        <x:v>45960</x:v>
      </x:c>
      <x:c r="AI21" s="30" t="str">
        <x:v>Cerrada</x:v>
      </x:c>
      <x:c r="AJ21" s="30" t="n">
        <x:v>45960</x:v>
      </x:c>
      <x:c r="AK21" s="13" t="str">
        <x:f>IF(OR(AI21&lt;&gt;"Cerrada",AJ21="",AH21=""),"No",IF(AJ21&lt;=AH21,"Sí","No"))</x:f>
        <x:v>Sí</x:v>
      </x:c>
      <x:c r="AL21" s="13" t="str">
        <x:v>Sí</x:v>
      </x:c>
      <x:c r="AM21" s="13" t="str">
        <x:v>Cerrado</x:v>
      </x:c>
      <x:c r="AN21" s="13" t="str">
        <x:v>Se realiza seguimiento por SST y jefe inmediato.</x:v>
      </x:c>
    </x:row>
    <x:row r="22">
      <x:c r="A22" s="13" t="n">
        <x:v>2025</x:v>
      </x:c>
      <x:c r="B22" s="13" t="str">
        <x:v>AT-2025-022</x:v>
      </x:c>
      <x:c r="C22" s="30" t="n">
        <x:v>45943</x:v>
      </x:c>
      <x:c r="D22" s="13" t="str">
        <x:v>19:10</x:v>
      </x:c>
      <x:c r="E22" s="13" t="str">
        <x:v>Octubre</x:v>
      </x:c>
      <x:c r="F22" s="13" t="str">
        <x:v>Cúcuta</x:v>
      </x:c>
      <x:c r="G22" s="13" t="str">
        <x:v>Operaciones</x:v>
      </x:c>
      <x:c r="H22" s="13" t="str">
        <x:v>Jhon Alexander Contreras</x:v>
      </x:c>
      <x:c r="I22" s="13" t="str">
        <x:v>88076351</x:v>
      </x:c>
      <x:c r="J22" s="13" t="str">
        <x:v>Tecnólogo de Monitoreo</x:v>
      </x:c>
      <x:c r="K22" s="13" t="str">
        <x:v>Término fijo</x:v>
      </x:c>
      <x:c r="L22" s="13" t="str">
        <x:v>ARL SURA</x:v>
      </x:c>
      <x:c r="M22" s="13" t="str">
        <x:v>Sin incapacidad</x:v>
      </x:c>
      <x:c r="N22" s="13" t="str">
        <x:v>En desarrollo de actividades de operaciones, se presentó evento por caída al mismo nivel asociado a elementos almacenados.</x:v>
      </x:c>
      <x:c r="O22" s="13" t="str">
        <x:v>Caída al mismo nivel</x:v>
      </x:c>
      <x:c r="P22" s="13" t="str">
        <x:v>Elementos almacenados</x:v>
      </x:c>
      <x:c r="Q22" s="13" t="str">
        <x:v>Recepción</x:v>
      </x:c>
      <x:c r="R22" s="13" t="str">
        <x:v>Cervical</x:v>
      </x:c>
      <x:c r="S22" s="13" t="str">
        <x:v>Esguince</x:v>
      </x:c>
      <x:c r="T22" s="13" t="n">
        <x:v>0</x:v>
      </x:c>
      <x:c r="U22" s="13" t="n">
        <x:f>IF(M22="Sin incapacidad",0,T22)</x:f>
        <x:v>0</x:v>
      </x:c>
      <x:c r="V22" s="13" t="str">
        <x:v>Sí</x:v>
      </x:c>
      <x:c r="W22" s="30" t="n">
        <x:v>45945</x:v>
      </x:c>
      <x:c r="X22" s="30" t="str">
        <x:v>Sí</x:v>
      </x:c>
      <x:c r="Y22" s="30" t="n">
        <x:v>45947</x:v>
      </x:c>
      <x:c r="Z22" s="13" t="str">
        <x:v>COPASST + SST</x:v>
      </x:c>
      <x:c r="AA22" s="13" t="str">
        <x:v>Conducción sin distancia segura</x:v>
      </x:c>
      <x:c r="AB22" s="13" t="str">
        <x:v>Orden y aseo deficiente</x:v>
      </x:c>
      <x:c r="AC22" s="13" t="str">
        <x:v>Falta de atención</x:v>
      </x:c>
      <x:c r="AD22" s="13" t="str">
        <x:v>Procedimiento no actualizado</x:v>
      </x:c>
      <x:c r="AE22" s="13" t="str">
        <x:v>Mantenimiento deficiente y ausencia de corrección oportuna</x:v>
      </x:c>
      <x:c r="AF22" s="13" t="str">
        <x:v>Actualizar procedimiento seguro de trabajo y verificar cumplimiento</x:v>
      </x:c>
      <x:c r="AG22" s="13" t="str">
        <x:v>Analista SST</x:v>
      </x:c>
      <x:c r="AH22" s="30" t="n">
        <x:v>45962</x:v>
      </x:c>
      <x:c r="AI22" s="30" t="str">
        <x:v>Cerrada</x:v>
      </x:c>
      <x:c r="AJ22" s="30" t="n">
        <x:v>45961</x:v>
      </x:c>
      <x:c r="AK22" s="13" t="str">
        <x:f>IF(OR(AI22&lt;&gt;"Cerrada",AJ22="",AH22=""),"No",IF(AJ22&lt;=AH22,"Sí","No"))</x:f>
        <x:v>Sí</x:v>
      </x:c>
      <x:c r="AL22" s="13" t="str">
        <x:v>Sí</x:v>
      </x:c>
      <x:c r="AM22" s="13" t="str">
        <x:v>Cerrado</x:v>
      </x:c>
      <x:c r="AN22" s="13" t="str">
        <x:v>Se realiza seguimiento por SST y jefe inmediato.</x:v>
      </x:c>
    </x:row>
    <x:row r="23">
      <x:c r="A23" s="13" t="n">
        <x:v>2025</x:v>
      </x:c>
      <x:c r="B23" s="13" t="str">
        <x:v>AT-2025-024</x:v>
      </x:c>
      <x:c r="C23" s="30" t="n">
        <x:v>45952</x:v>
      </x:c>
      <x:c r="D23" s="13" t="str">
        <x:v>13:40</x:v>
      </x:c>
      <x:c r="E23" s="13" t="str">
        <x:v>Octubre</x:v>
      </x:c>
      <x:c r="F23" s="13" t="str">
        <x:v>Bogotá</x:v>
      </x:c>
      <x:c r="G23" s="13" t="str">
        <x:v>Monitoreo</x:v>
      </x:c>
      <x:c r="H23" s="13" t="str">
        <x:v>Claudia Patricia Solano</x:v>
      </x:c>
      <x:c r="I23" s="13" t="str">
        <x:v>88075929</x:v>
      </x:c>
      <x:c r="J23" s="13" t="str">
        <x:v>Auxiliar Administrativa</x:v>
      </x:c>
      <x:c r="K23" s="13" t="str">
        <x:v>Obra o labor</x:v>
      </x:c>
      <x:c r="L23" s="13" t="str">
        <x:v>ARL SURA</x:v>
      </x:c>
      <x:c r="M23" s="13" t="str">
        <x:v>Con incapacidad</x:v>
      </x:c>
      <x:c r="N23" s="13" t="str">
        <x:v>En desarrollo de actividades de monitoreo, se presentó evento por caída de objetos asociado a motocicleta.</x:v>
      </x:c>
      <x:c r="O23" s="13" t="str">
        <x:v>Caída de objetos</x:v>
      </x:c>
      <x:c r="P23" s="13" t="str">
        <x:v>Motocicleta</x:v>
      </x:c>
      <x:c r="Q23" s="13" t="str">
        <x:v>Vía pública en ronda</x:v>
      </x:c>
      <x:c r="R23" s="13" t="str">
        <x:v>Pierna</x:v>
      </x:c>
      <x:c r="S23" s="13" t="str">
        <x:v>Contusión</x:v>
      </x:c>
      <x:c r="T23" s="13" t="n">
        <x:v>30</x:v>
      </x:c>
      <x:c r="U23" s="13" t="n">
        <x:f>IF(M23="Sin incapacidad",0,T23)</x:f>
        <x:v>30</x:v>
      </x:c>
      <x:c r="V23" s="13" t="str">
        <x:v>Sí</x:v>
      </x:c>
      <x:c r="W23" s="30" t="n">
        <x:v>45953</x:v>
      </x:c>
      <x:c r="X23" s="30" t="str">
        <x:v>Sí</x:v>
      </x:c>
      <x:c r="Y23" s="30" t="n">
        <x:v>45956</x:v>
      </x:c>
      <x:c r="Z23" s="13" t="str">
        <x:v>Coordinador SST + Operaciones</x:v>
      </x:c>
      <x:c r="AA23" s="13" t="str">
        <x:v>Manipulación incorrecta de carga</x:v>
      </x:c>
      <x:c r="AB23" s="13" t="str">
        <x:v>Iluminación insuficiente</x:v>
      </x:c>
      <x:c r="AC23" s="13" t="str">
        <x:v>Postura inadecuada</x:v>
      </x:c>
      <x:c r="AD23" s="13" t="str">
        <x:v>Condición locativa no corregida</x:v>
      </x:c>
      <x:c r="AE23" s="13" t="str">
        <x:v>Brecha de capacitación y hábitos inseguros de trabajo</x:v>
      </x:c>
      <x:c r="AF23" s="13" t="str">
        <x:v>Ejecutar inspección locativa y corrección inmediata del peligro</x:v>
      </x:c>
      <x:c r="AG23" s="13" t="str">
        <x:v>Líder de Mantenimiento</x:v>
      </x:c>
      <x:c r="AH23" s="30" t="n">
        <x:v>45976</x:v>
      </x:c>
      <x:c r="AI23" s="30" t="str">
        <x:v>Cerrada</x:v>
      </x:c>
      <x:c r="AJ23" s="30" t="n">
        <x:v>45971</x:v>
      </x:c>
      <x:c r="AK23" s="13" t="str">
        <x:f>IF(OR(AI23&lt;&gt;"Cerrada",AJ23="",AH23=""),"No",IF(AJ23&lt;=AH23,"Sí","No"))</x:f>
        <x:v>Sí</x:v>
      </x:c>
      <x:c r="AL23" s="13" t="str">
        <x:v>Sí</x:v>
      </x:c>
      <x:c r="AM23" s="13" t="str">
        <x:v>Cerrado</x:v>
      </x:c>
      <x:c r="AN23" s="13" t="str">
        <x:v>Se realiza seguimiento por SST y jefe inmediato.</x:v>
      </x:c>
    </x:row>
    <x:row r="24">
      <x:c r="A24" s="13" t="n">
        <x:v>2025</x:v>
      </x:c>
      <x:c r="B24" s="13" t="str">
        <x:v>AT-2025-008</x:v>
      </x:c>
      <x:c r="C24" s="30" t="n">
        <x:v>45986</x:v>
      </x:c>
      <x:c r="D24" s="13" t="str">
        <x:v>21:15</x:v>
      </x:c>
      <x:c r="E24" s="13" t="str">
        <x:v>Noviembre</x:v>
      </x:c>
      <x:c r="F24" s="13" t="str">
        <x:v>Medellín</x:v>
      </x:c>
      <x:c r="G24" s="13" t="str">
        <x:v>Transporte de Valores</x:v>
      </x:c>
      <x:c r="H24" s="13" t="str">
        <x:v>Nelly Johana Ortiz</x:v>
      </x:c>
      <x:c r="I24" s="13" t="str">
        <x:v>88075559</x:v>
      </x:c>
      <x:c r="J24" s="13" t="str">
        <x:v>Supervisor de Puesto</x:v>
      </x:c>
      <x:c r="K24" s="13" t="str">
        <x:v>Término indefinido</x:v>
      </x:c>
      <x:c r="L24" s="13" t="str">
        <x:v>ARL SURA</x:v>
      </x:c>
      <x:c r="M24" s="13" t="str">
        <x:v>Con incapacidad</x:v>
      </x:c>
      <x:c r="N24" s="13" t="str">
        <x:v>Durante ronda de vigilancia en medellín, el trabajador sufrió trauma ocular leve por golpeado por/contra.</x:v>
      </x:c>
      <x:c r="O24" s="13" t="str">
        <x:v>Golpeado por/contra</x:v>
      </x:c>
      <x:c r="P24" s="13" t="str">
        <x:v>Motocicleta</x:v>
      </x:c>
      <x:c r="Q24" s="13" t="str">
        <x:v>Puesto de vigilancia</x:v>
      </x:c>
      <x:c r="R24" s="13" t="str">
        <x:v>Mano</x:v>
      </x:c>
      <x:c r="S24" s="13" t="str">
        <x:v>Trauma ocular leve</x:v>
      </x:c>
      <x:c r="T24" s="13" t="n">
        <x:v>5</x:v>
      </x:c>
      <x:c r="U24" s="13" t="n">
        <x:f>IF(M24="Sin incapacidad",0,T24)</x:f>
        <x:v>5</x:v>
      </x:c>
      <x:c r="V24" s="13" t="str">
        <x:v>Sí</x:v>
      </x:c>
      <x:c r="W24" s="30" t="n">
        <x:v>45988</x:v>
      </x:c>
      <x:c r="X24" s="30" t="str">
        <x:v>Sí</x:v>
      </x:c>
      <x:c r="Y24" s="30" t="n">
        <x:v>45990</x:v>
      </x:c>
      <x:c r="Z24" s="13" t="str">
        <x:v>COPASST + SST</x:v>
      </x:c>
      <x:c r="AA24" s="13" t="str">
        <x:v>Conducción sin distancia segura</x:v>
      </x:c>
      <x:c r="AB24" s="13" t="str">
        <x:v>Herramienta en mal estado</x:v>
      </x:c>
      <x:c r="AC24" s="13" t="str">
        <x:v>Apuro operativo</x:v>
      </x:c>
      <x:c r="AD24" s="13" t="str">
        <x:v>Procedimiento no actualizado</x:v>
      </x:c>
      <x:c r="AE24" s="13" t="str">
        <x:v>Control operativo insuficiente frente a condición locativa</x:v>
      </x:c>
      <x:c r="AF24" s="13" t="str">
        <x:v>Reforzar supervisión operativa y seguimiento al uso de EPP</x:v>
      </x:c>
      <x:c r="AG24" s="13" t="str">
        <x:v>Líder de Mantenimiento</x:v>
      </x:c>
      <x:c r="AH24" s="30" t="n">
        <x:v>46000</x:v>
      </x:c>
      <x:c r="AI24" s="30" t="str">
        <x:v>Cerrada</x:v>
      </x:c>
      <x:c r="AJ24" s="30" t="n">
        <x:v>46003</x:v>
      </x:c>
      <x:c r="AK24" s="13" t="str">
        <x:f>IF(OR(AI24&lt;&gt;"Cerrada",AJ24="",AH24=""),"No",IF(AJ24&lt;=AH24,"Sí","No"))</x:f>
        <x:v>No</x:v>
      </x:c>
      <x:c r="AL24" s="13" t="str">
        <x:v>Sí</x:v>
      </x:c>
      <x:c r="AM24" s="13" t="str">
        <x:v>Cerrado</x:v>
      </x:c>
      <x:c r="AN24" s="13" t="str">
        <x:v>Se vincula acción al plan de mejora del proceso.</x:v>
      </x:c>
    </x:row>
    <x:row r="25">
      <x:c r="A25" s="13" t="n">
        <x:v>2025</x:v>
      </x:c>
      <x:c r="B25" s="13" t="str">
        <x:v>AT-2025-012</x:v>
      </x:c>
      <x:c r="C25" s="30" t="n">
        <x:v>46007</x:v>
      </x:c>
      <x:c r="D25" s="13" t="str">
        <x:v>10:40</x:v>
      </x:c>
      <x:c r="E25" s="13" t="str">
        <x:v>Diciembre</x:v>
      </x:c>
      <x:c r="F25" s="13" t="str">
        <x:v>Barrancabermeja</x:v>
      </x:c>
      <x:c r="G25" s="13" t="str">
        <x:v>Operaciones</x:v>
      </x:c>
      <x:c r="H25" s="13" t="str">
        <x:v>Claudia Patricia Solano</x:v>
      </x:c>
      <x:c r="I25" s="13" t="str">
        <x:v>88075499</x:v>
      </x:c>
      <x:c r="J25" s="13" t="str">
        <x:v>Conductor</x:v>
      </x:c>
      <x:c r="K25" s="13" t="str">
        <x:v>Término fijo</x:v>
      </x:c>
      <x:c r="L25" s="13" t="str">
        <x:v>ARL SURA</x:v>
      </x:c>
      <x:c r="M25" s="13" t="str">
        <x:v>Con incapacidad</x:v>
      </x:c>
      <x:c r="N25" s="13" t="str">
        <x:v>Durante ronda de vigilancia en barrancabermeja, el trabajador sufrió golpe leve por caída al mismo nivel.</x:v>
      </x:c>
      <x:c r="O25" s="13" t="str">
        <x:v>Caída al mismo nivel</x:v>
      </x:c>
      <x:c r="P25" s="13" t="str">
        <x:v>Piso húmedo</x:v>
      </x:c>
      <x:c r="Q25" s="13" t="str">
        <x:v>Parqueadero</x:v>
      </x:c>
      <x:c r="R25" s="13" t="str">
        <x:v>Tobillo</x:v>
      </x:c>
      <x:c r="S25" s="13" t="str">
        <x:v>Golpe leve</x:v>
      </x:c>
      <x:c r="T25" s="13" t="n">
        <x:v>25</x:v>
      </x:c>
      <x:c r="U25" s="13" t="n">
        <x:f>IF(M25="Sin incapacidad",0,T25)</x:f>
        <x:v>25</x:v>
      </x:c>
      <x:c r="V25" s="13" t="str">
        <x:v>Sí</x:v>
      </x:c>
      <x:c r="W25" s="30" t="n">
        <x:v>46009</x:v>
      </x:c>
      <x:c r="X25" s="30" t="str">
        <x:v>Sí</x:v>
      </x:c>
      <x:c r="Y25" s="30" t="n">
        <x:v>46014</x:v>
      </x:c>
      <x:c r="Z25" s="13" t="str">
        <x:v>COPASST + SST</x:v>
      </x:c>
      <x:c r="AA25" s="13" t="str">
        <x:v>Uso inadecuado del EPP</x:v>
      </x:c>
      <x:c r="AB25" s="13" t="str">
        <x:v>Cable expuesto</x:v>
      </x:c>
      <x:c r="AC25" s="13" t="str">
        <x:v>Exceso de confianza</x:v>
      </x:c>
      <x:c r="AD25" s="13" t="str">
        <x:v>Deficiencia en supervisión</x:v>
      </x:c>
      <x:c r="AE25" s="13" t="str">
        <x:v>Mantenimiento deficiente y ausencia de corrección oportuna</x:v>
      </x:c>
      <x:c r="AF25" s="13" t="str">
        <x:v>Ejecutar inspección locativa y corrección inmediata del peligro</x:v>
      </x:c>
      <x:c r="AG25" s="13" t="str">
        <x:v>Líder de Mantenimiento</x:v>
      </x:c>
      <x:c r="AH25" s="30" t="n">
        <x:v>46024</x:v>
      </x:c>
      <x:c r="AI25" s="30" t="str">
        <x:v>Cerrada</x:v>
      </x:c>
      <x:c r="AJ25" s="30" t="n">
        <x:v>46019</x:v>
      </x:c>
      <x:c r="AK25" s="13" t="str">
        <x:f>IF(OR(AI25&lt;&gt;"Cerrada",AJ25="",AH25=""),"No",IF(AJ25&lt;=AH25,"Sí","No"))</x:f>
        <x:v>Sí</x:v>
      </x:c>
      <x:c r="AL25" s="13" t="str">
        <x:v>Sí</x:v>
      </x:c>
      <x:c r="AM25" s="13" t="str">
        <x:v>Cerrado</x:v>
      </x:c>
      <x:c r="AN25" s="13" t="str">
        <x:v>Se deja lección aprendida socializada en charla preoperacional.</x:v>
      </x:c>
    </x:row>
  </x:sheetData>
  <x:conditionalFormatting sqref="AI2:AI25">
    <x:cfRule type="expression" dxfId="10" priority="1">
      <x:formula>AI2="Abierta"</x:formula>
    </x:cfRule>
    <x:cfRule type="expression" dxfId="11" priority="2">
      <x:formula>AI2="En seguimiento"</x:formula>
    </x:cfRule>
    <x:cfRule type="expression" dxfId="12" priority="3">
      <x:formula>AI2="Cerrada"</x:formula>
    </x:cfRule>
  </x:conditionalFormatting>
  <x:conditionalFormatting sqref="AK2:AK25">
    <x:cfRule type="expression" dxfId="13" priority="4">
      <x:formula>AK2="No"</x:formula>
    </x:cfRule>
    <x:cfRule type="expression" dxfId="14" priority="5">
      <x:formula>AK2="Sí"</x:formula>
    </x:cfRule>
  </x:conditionalFormatting>
  <x:conditionalFormatting sqref="T2:T25">
    <x:cfRule type="dataBar" priority="6">
      <x:dataBar>
        <x:cfvo type="min"/>
        <x:cfvo type="max"/>
        <x:color rgb="704023"/>
      </x:dataBar>
      <x:extLst>
        <x:ext xmlns:x14="http://schemas.microsoft.com/office/spreadsheetml/2009/9/main" uri="{B025F937-C7B1-47D3-B67F-A62EFF666E3E}">
          <x14:id>{45F57564-B255-B004-4DAB-316987DF15BC}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45F57564-B255-B004-4DAB-316987DF15BC}">
            <x14:dataBar gradient="1">
              <x14:cfvo type="min"/>
              <x14:cfvo type="max"/>
              <x14:fillColor rgb="704023"/>
            </x14:dataBar>
          </x14:cfRule>
          <xm:sqref>T2:T25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n">
        <x:v>2026</x:v>
      </x:c>
      <x:c r="B2" s="13" t="str">
        <x:v>AT-2026-005</x:v>
      </x:c>
      <x:c r="C2" s="30" t="n">
        <x:v>46058</x:v>
      </x:c>
      <x:c r="D2" s="13" t="str">
        <x:v>18:45</x:v>
      </x:c>
      <x:c r="E2" s="13" t="str">
        <x:v>Febrero</x:v>
      </x:c>
      <x:c r="F2" s="13" t="str">
        <x:v>Ocaña</x:v>
      </x:c>
      <x:c r="G2" s="13" t="str">
        <x:v>Administrativa</x:v>
      </x:c>
      <x:c r="H2" s="13" t="str">
        <x:v>Kevin Esteban Rangel</x:v>
      </x:c>
      <x:c r="I2" s="13" t="str">
        <x:v>88075317</x:v>
      </x:c>
      <x:c r="J2" s="13" t="str">
        <x:v>Conductor</x:v>
      </x:c>
      <x:c r="K2" s="13" t="str">
        <x:v>Término indefinido</x:v>
      </x:c>
      <x:c r="L2" s="13" t="str">
        <x:v>ARL SURA</x:v>
      </x:c>
      <x:c r="M2" s="13" t="str">
        <x:v>Con incapacidad</x:v>
      </x:c>
      <x:c r="N2" s="13" t="str">
        <x:v>Durante ronda de vigilancia en ocaña, el trabajador sufrió contusión por golpeado por/contra.</x:v>
      </x:c>
      <x:c r="O2" s="13" t="str">
        <x:v>Golpeado por/contra</x:v>
      </x:c>
      <x:c r="P2" s="13" t="str">
        <x:v>Cableado</x:v>
      </x:c>
      <x:c r="Q2" s="13" t="str">
        <x:v>Cuarto técnico</x:v>
      </x:c>
      <x:c r="R2" s="13" t="str">
        <x:v>Brazo</x:v>
      </x:c>
      <x:c r="S2" s="13" t="str">
        <x:v>Contusión</x:v>
      </x:c>
      <x:c r="T2" s="13" t="n">
        <x:v>7</x:v>
      </x:c>
      <x:c r="U2" s="13" t="n">
        <x:f>IF(M2="Sin incapacidad",0,T2)</x:f>
        <x:v>7</x:v>
      </x:c>
      <x:c r="V2" s="13" t="str">
        <x:v>Sí</x:v>
      </x:c>
      <x:c r="W2" s="30" t="n">
        <x:v>46058</x:v>
      </x:c>
      <x:c r="X2" s="30" t="str">
        <x:v>Sí</x:v>
      </x:c>
      <x:c r="Y2" s="30" t="n">
        <x:v>46062</x:v>
      </x:c>
      <x:c r="Z2" s="13" t="str">
        <x:v>Coordinador SST + Operaciones</x:v>
      </x:c>
      <x:c r="AA2" s="13" t="str">
        <x:v>No reportar condición insegura</x:v>
      </x:c>
      <x:c r="AB2" s="13" t="str">
        <x:v>Herramienta en mal estado</x:v>
      </x:c>
      <x:c r="AC2" s="13" t="str">
        <x:v>Capacitación insuficiente</x:v>
      </x:c>
      <x:c r="AD2" s="13" t="str">
        <x:v>Carga laboral elevada</x:v>
      </x:c>
      <x:c r="AE2" s="13" t="str">
        <x:v>Brecha de capacitación y hábitos inseguros de trabajo</x:v>
      </x:c>
      <x:c r="AF2" s="13" t="str">
        <x:v>Implementar señalización y control administrativo temporal</x:v>
      </x:c>
      <x:c r="AG2" s="13" t="str">
        <x:v>Analista SST</x:v>
      </x:c>
      <x:c r="AH2" s="30" t="n">
        <x:v>46092</x:v>
      </x:c>
      <x:c r="AI2" s="30" t="str">
        <x:v>Cerrada</x:v>
      </x:c>
      <x:c r="AJ2" s="30" t="n">
        <x:v>46088</x:v>
      </x:c>
      <x:c r="AK2" s="13" t="str">
        <x:f>IF(OR(AI2&lt;&gt;"Cerrada",AJ2="",AH2=""),"No",IF(AJ2&lt;=AH2,"Sí","No"))</x:f>
        <x:v>Sí</x:v>
      </x:c>
      <x:c r="AL2" s="13" t="str">
        <x:v>Sí</x:v>
      </x:c>
      <x:c r="AM2" s="13" t="str">
        <x:v>Cerrado</x:v>
      </x:c>
      <x:c r="AN2" s="13" t="str">
        <x:v>Se realiza seguimiento por SST y jefe inmediato.</x:v>
      </x:c>
    </x:row>
    <x:row r="3">
      <x:c r="A3" s="13" t="n">
        <x:v>2026</x:v>
      </x:c>
      <x:c r="B3" s="13" t="str">
        <x:v>AT-2026-008</x:v>
      </x:c>
      <x:c r="C3" s="30" t="n">
        <x:v>46059</x:v>
      </x:c>
      <x:c r="D3" s="13" t="str">
        <x:v>14:45</x:v>
      </x:c>
      <x:c r="E3" s="13" t="str">
        <x:v>Febrero</x:v>
      </x:c>
      <x:c r="F3" s="13" t="str">
        <x:v>Bogotá</x:v>
      </x:c>
      <x:c r="G3" s="13" t="str">
        <x:v>Transporte de Valores</x:v>
      </x:c>
      <x:c r="H3" s="13" t="str">
        <x:v>Jhon Alexander Contreras</x:v>
      </x:c>
      <x:c r="I3" s="13" t="str">
        <x:v>88075785</x:v>
      </x:c>
      <x:c r="J3" s="13" t="str">
        <x:v>Coordinador Operativo</x:v>
      </x:c>
      <x:c r="K3" s="13" t="str">
        <x:v>Término fijo</x:v>
      </x:c>
      <x:c r="L3" s="13" t="str">
        <x:v>ARL SURA</x:v>
      </x:c>
      <x:c r="M3" s="13" t="str">
        <x:v>Con incapacidad</x:v>
      </x:c>
      <x:c r="N3" s="13" t="str">
        <x:v>Trabajador reporta lesión tipo trauma ocular leve durante servicio en puesto asignado por caída de objetos.</x:v>
      </x:c>
      <x:c r="O3" s="13" t="str">
        <x:v>Caída de objetos</x:v>
      </x:c>
      <x:c r="P3" s="13" t="str">
        <x:v>Cableado</x:v>
      </x:c>
      <x:c r="Q3" s="13" t="str">
        <x:v>Área administrativa</x:v>
      </x:c>
      <x:c r="R3" s="13" t="str">
        <x:v>Ojo</x:v>
      </x:c>
      <x:c r="S3" s="13" t="str">
        <x:v>Trauma ocular leve</x:v>
      </x:c>
      <x:c r="T3" s="13" t="n">
        <x:v>20</x:v>
      </x:c>
      <x:c r="U3" s="13" t="n">
        <x:f>IF(M3="Sin incapacidad",0,T3)</x:f>
        <x:v>20</x:v>
      </x:c>
      <x:c r="V3" s="13" t="str">
        <x:v>Sí</x:v>
      </x:c>
      <x:c r="W3" s="30" t="n">
        <x:v>46059</x:v>
      </x:c>
      <x:c r="X3" s="30" t="str">
        <x:v>Sí</x:v>
      </x:c>
      <x:c r="Y3" s="30" t="n">
        <x:v>46061</x:v>
      </x:c>
      <x:c r="Z3" s="13" t="str">
        <x:v>Coordinador SST + Operaciones</x:v>
      </x:c>
      <x:c r="AA3" s="13" t="str">
        <x:v>Distracción durante la labor</x:v>
      </x:c>
      <x:c r="AB3" s="13" t="str">
        <x:v>Iluminación insuficiente</x:v>
      </x:c>
      <x:c r="AC3" s="13" t="str">
        <x:v>Apuro operativo</x:v>
      </x:c>
      <x:c r="AD3" s="13" t="str">
        <x:v>Carga laboral elevada</x:v>
      </x:c>
      <x:c r="AE3" s="13" t="str">
        <x:v>Incumplimiento del procedimiento seguro y supervisión insuficiente</x:v>
      </x:c>
      <x:c r="AF3" s="13" t="str">
        <x:v>Reforzar supervisión operativa y seguimiento al uso de EPP</x:v>
      </x:c>
      <x:c r="AG3" s="13" t="str">
        <x:v>Supervisor Operativo</x:v>
      </x:c>
      <x:c r="AH3" s="30" t="n">
        <x:v>46091</x:v>
      </x:c>
      <x:c r="AI3" s="30" t="str">
        <x:v>Cerrada</x:v>
      </x:c>
      <x:c r="AJ3" s="30" t="n">
        <x:v>46083</x:v>
      </x:c>
      <x:c r="AK3" s="13" t="str">
        <x:f>IF(OR(AI3&lt;&gt;"Cerrada",AJ3="",AH3=""),"No",IF(AJ3&lt;=AH3,"Sí","No"))</x:f>
        <x:v>Sí</x:v>
      </x:c>
      <x:c r="AL3" s="13" t="str">
        <x:v>Sí</x:v>
      </x:c>
      <x:c r="AM3" s="13" t="str">
        <x:v>Cerrado</x:v>
      </x:c>
      <x:c r="AN3" s="13" t="str">
        <x:v>Se recomienda refuerzo de inspecciones y autocuidado.</x:v>
      </x:c>
    </x:row>
    <x:row r="4">
      <x:c r="A4" s="13" t="n">
        <x:v>2026</x:v>
      </x:c>
      <x:c r="B4" s="13" t="str">
        <x:v>AT-2026-004</x:v>
      </x:c>
      <x:c r="C4" s="30" t="n">
        <x:v>46073</x:v>
      </x:c>
      <x:c r="D4" s="13" t="str">
        <x:v>20:10</x:v>
      </x:c>
      <x:c r="E4" s="13" t="str">
        <x:v>Febrero</x:v>
      </x:c>
      <x:c r="F4" s="13" t="str">
        <x:v>Valledupar</x:v>
      </x:c>
      <x:c r="G4" s="13" t="str">
        <x:v>Supervisión</x:v>
      </x:c>
      <x:c r="H4" s="13" t="str">
        <x:v>Maribel Rocío Acevedo</x:v>
      </x:c>
      <x:c r="I4" s="13" t="str">
        <x:v>88076099</x:v>
      </x:c>
      <x:c r="J4" s="13" t="str">
        <x:v>Conductor</x:v>
      </x:c>
      <x:c r="K4" s="13" t="str">
        <x:v>Término indefinido</x:v>
      </x:c>
      <x:c r="L4" s="13" t="str">
        <x:v>ARL SURA</x:v>
      </x:c>
      <x:c r="M4" s="13" t="str">
        <x:v>Con incapacidad</x:v>
      </x:c>
      <x:c r="N4" s="13" t="str">
        <x:v>Trabajador reporta lesión tipo trauma ocular leve durante servicio en puesto asignado por atrapamiento.</x:v>
      </x:c>
      <x:c r="O4" s="13" t="str">
        <x:v>Atrapamiento</x:v>
      </x:c>
      <x:c r="P4" s="13" t="str">
        <x:v>Silla ergonómica</x:v>
      </x:c>
      <x:c r="Q4" s="13" t="str">
        <x:v>Vía pública en ronda</x:v>
      </x:c>
      <x:c r="R4" s="13" t="str">
        <x:v>Muñeca</x:v>
      </x:c>
      <x:c r="S4" s="13" t="str">
        <x:v>Trauma ocular leve</x:v>
      </x:c>
      <x:c r="T4" s="13" t="n">
        <x:v>7</x:v>
      </x:c>
      <x:c r="U4" s="13" t="n">
        <x:f>IF(M4="Sin incapacidad",0,T4)</x:f>
        <x:v>7</x:v>
      </x:c>
      <x:c r="V4" s="13" t="str">
        <x:v>Sí</x:v>
      </x:c>
      <x:c r="W4" s="30" t="n">
        <x:v>46074</x:v>
      </x:c>
      <x:c r="X4" s="30" t="str">
        <x:v>Sí</x:v>
      </x:c>
      <x:c r="Y4" s="30" t="n">
        <x:v>46078</x:v>
      </x:c>
      <x:c r="Z4" s="13" t="str">
        <x:v>Jefe inmediato + SST</x:v>
      </x:c>
      <x:c r="AA4" s="13" t="str">
        <x:v>Omisión de inspección previa</x:v>
      </x:c>
      <x:c r="AB4" s="13" t="str">
        <x:v>Espacio reducido</x:v>
      </x:c>
      <x:c r="AC4" s="13" t="str">
        <x:v>Fatiga</x:v>
      </x:c>
      <x:c r="AD4" s="13" t="str">
        <x:v>Deficiencia en supervisión</x:v>
      </x:c>
      <x:c r="AE4" s="13" t="str">
        <x:v>Mantenimiento deficiente y ausencia de corrección oportuna</x:v>
      </x:c>
      <x:c r="AF4" s="13" t="str">
        <x:v>Realizar capacitación focalizada y socialización de lección aprendida</x:v>
      </x:c>
      <x:c r="AG4" s="13" t="str">
        <x:v>Supervisor Operativo</x:v>
      </x:c>
      <x:c r="AH4" s="30" t="n">
        <x:v>46098</x:v>
      </x:c>
      <x:c r="AI4" s="30" t="str">
        <x:v>En seguimiento</x:v>
      </x:c>
      <x:c r="AJ4" s="30"/>
      <x:c r="AK4" s="13" t="str">
        <x:f>IF(OR(AI4&lt;&gt;"Cerrada",AJ4="",AH4=""),"No",IF(AJ4&lt;=AH4,"Sí","No"))</x:f>
        <x:v>No</x:v>
      </x:c>
      <x:c r="AL4" s="13" t="str">
        <x:v>Pendiente verificación</x:v>
      </x:c>
      <x:c r="AM4" s="13" t="str">
        <x:v>En seguimiento</x:v>
      </x:c>
      <x:c r="AN4" s="13" t="str">
        <x:v>Se recomienda refuerzo de inspecciones y autocuidado.</x:v>
      </x:c>
    </x:row>
    <x:row r="5">
      <x:c r="A5" s="13" t="n">
        <x:v>2026</x:v>
      </x:c>
      <x:c r="B5" s="13" t="str">
        <x:v>AT-2026-003</x:v>
      </x:c>
      <x:c r="C5" s="30" t="n">
        <x:v>46085</x:v>
      </x:c>
      <x:c r="D5" s="13" t="str">
        <x:v>11:15</x:v>
      </x:c>
      <x:c r="E5" s="13" t="str">
        <x:v>Marzo</x:v>
      </x:c>
      <x:c r="F5" s="13" t="str">
        <x:v>Arauca</x:v>
      </x:c>
      <x:c r="G5" s="13" t="str">
        <x:v>Central de Alarmas</x:v>
      </x:c>
      <x:c r="H5" s="13" t="str">
        <x:v>Tatiana Marcela Paredes</x:v>
      </x:c>
      <x:c r="I5" s="13" t="str">
        <x:v>88075889</x:v>
      </x:c>
      <x:c r="J5" s="13" t="str">
        <x:v>Escolta</x:v>
      </x:c>
      <x:c r="K5" s="13" t="str">
        <x:v>Término indefinido</x:v>
      </x:c>
      <x:c r="L5" s="13" t="str">
        <x:v>ARL SURA</x:v>
      </x:c>
      <x:c r="M5" s="13" t="str">
        <x:v>Con incapacidad</x:v>
      </x:c>
      <x:c r="N5" s="13" t="str">
        <x:v>Durante ronda de vigilancia en arauca, el trabajador sufrió contusión por atrapamiento.</x:v>
      </x:c>
      <x:c r="O5" s="13" t="str">
        <x:v>Atrapamiento</x:v>
      </x:c>
      <x:c r="P5" s="13" t="str">
        <x:v>Elementos almacenados</x:v>
      </x:c>
      <x:c r="Q5" s="13" t="str">
        <x:v>Zona común del cliente</x:v>
      </x:c>
      <x:c r="R5" s="13" t="str">
        <x:v>Cervical</x:v>
      </x:c>
      <x:c r="S5" s="13" t="str">
        <x:v>Contusión</x:v>
      </x:c>
      <x:c r="T5" s="13" t="n">
        <x:v>30</x:v>
      </x:c>
      <x:c r="U5" s="13" t="n">
        <x:f>IF(M5="Sin incapacidad",0,T5)</x:f>
        <x:v>30</x:v>
      </x:c>
      <x:c r="V5" s="13" t="str">
        <x:v>Sí</x:v>
      </x:c>
      <x:c r="W5" s="30" t="n">
        <x:v>46087</x:v>
      </x:c>
      <x:c r="X5" s="30" t="str">
        <x:v>Sí</x:v>
      </x:c>
      <x:c r="Y5" s="30" t="n">
        <x:v>46093</x:v>
      </x:c>
      <x:c r="Z5" s="13" t="str">
        <x:v>Coordinador SST + Operaciones</x:v>
      </x:c>
      <x:c r="AA5" s="13" t="str">
        <x:v>Conducción sin distancia segura</x:v>
      </x:c>
      <x:c r="AB5" s="13" t="str">
        <x:v>Superficie deslizante</x:v>
      </x:c>
      <x:c r="AC5" s="13" t="str">
        <x:v>Capacitación insuficiente</x:v>
      </x:c>
      <x:c r="AD5" s="13" t="str">
        <x:v>Deficiencia en supervisión</x:v>
      </x:c>
      <x:c r="AE5" s="13" t="str">
        <x:v>Incumplimiento del procedimiento seguro y supervisión insuficiente</x:v>
      </x:c>
      <x:c r="AF5" s="13" t="str">
        <x:v>Actualizar procedimiento seguro de trabajo y verificar cumplimiento</x:v>
      </x:c>
      <x:c r="AG5" s="13" t="str">
        <x:v>Líder de Mantenimiento</x:v>
      </x:c>
      <x:c r="AH5" s="30" t="n">
        <x:v>46103</x:v>
      </x:c>
      <x:c r="AI5" s="30" t="str">
        <x:v>Cerrada</x:v>
      </x:c>
      <x:c r="AJ5" s="30" t="n">
        <x:v>46096</x:v>
      </x:c>
      <x:c r="AK5" s="13" t="str">
        <x:f>IF(OR(AI5&lt;&gt;"Cerrada",AJ5="",AH5=""),"No",IF(AJ5&lt;=AH5,"Sí","No"))</x:f>
        <x:v>Sí</x:v>
      </x:c>
      <x:c r="AL5" s="13" t="str">
        <x:v>Pendiente verificación</x:v>
      </x:c>
      <x:c r="AM5" s="13" t="str">
        <x:v>Cerrado</x:v>
      </x:c>
      <x:c r="AN5" s="13" t="str">
        <x:v>Se vincula acción al plan de mejora del proceso.</x:v>
      </x:c>
    </x:row>
    <x:row r="6">
      <x:c r="A6" s="13" t="n">
        <x:v>2026</x:v>
      </x:c>
      <x:c r="B6" s="13" t="str">
        <x:v>AT-2026-006</x:v>
      </x:c>
      <x:c r="C6" s="30" t="n">
        <x:v>46093</x:v>
      </x:c>
      <x:c r="D6" s="13" t="str">
        <x:v>13:30</x:v>
      </x:c>
      <x:c r="E6" s="13" t="str">
        <x:v>Marzo</x:v>
      </x:c>
      <x:c r="F6" s="13" t="str">
        <x:v>Ocaña</x:v>
      </x:c>
      <x:c r="G6" s="13" t="str">
        <x:v>Talento Humano</x:v>
      </x:c>
      <x:c r="H6" s="13" t="str">
        <x:v>Maribel Rocío Acevedo</x:v>
      </x:c>
      <x:c r="I6" s="13" t="str">
        <x:v>88075707</x:v>
      </x:c>
      <x:c r="J6" s="13" t="str">
        <x:v>Conductor</x:v>
      </x:c>
      <x:c r="K6" s="13" t="str">
        <x:v>Término indefinido</x:v>
      </x:c>
      <x:c r="L6" s="13" t="str">
        <x:v>ARL SURA</x:v>
      </x:c>
      <x:c r="M6" s="13" t="str">
        <x:v>Con incapacidad</x:v>
      </x:c>
      <x:c r="N6" s="13" t="str">
        <x:v>Durante ronda de vigilancia en ocaña, el trabajador sufrió contusión por accidente de tránsito.</x:v>
      </x:c>
      <x:c r="O6" s="13" t="str">
        <x:v>Accidente de tránsito</x:v>
      </x:c>
      <x:c r="P6" s="13" t="str">
        <x:v>Escritorio</x:v>
      </x:c>
      <x:c r="Q6" s="13" t="str">
        <x:v>Parqueadero</x:v>
      </x:c>
      <x:c r="R6" s="13" t="str">
        <x:v>Pierna</x:v>
      </x:c>
      <x:c r="S6" s="13" t="str">
        <x:v>Contusión</x:v>
      </x:c>
      <x:c r="T6" s="13" t="n">
        <x:v>30</x:v>
      </x:c>
      <x:c r="U6" s="13" t="n">
        <x:f>IF(M6="Sin incapacidad",0,T6)</x:f>
        <x:v>30</x:v>
      </x:c>
      <x:c r="V6" s="13" t="str">
        <x:v>Sí</x:v>
      </x:c>
      <x:c r="W6" s="30" t="n">
        <x:v>46094</x:v>
      </x:c>
      <x:c r="X6" s="30" t="str">
        <x:v>Sí</x:v>
      </x:c>
      <x:c r="Y6" s="30" t="n">
        <x:v>46100</x:v>
      </x:c>
      <x:c r="Z6" s="13" t="str">
        <x:v>Jefe inmediato + SST</x:v>
      </x:c>
      <x:c r="AA6" s="13" t="str">
        <x:v>Uso inadecuado del EPP</x:v>
      </x:c>
      <x:c r="AB6" s="13" t="str">
        <x:v>Vía en mal estado</x:v>
      </x:c>
      <x:c r="AC6" s="13" t="str">
        <x:v>Fatiga</x:v>
      </x:c>
      <x:c r="AD6" s="13" t="str">
        <x:v>Carga laboral elevada</x:v>
      </x:c>
      <x:c r="AE6" s="13" t="str">
        <x:v>Mantenimiento deficiente y ausencia de corrección oportuna</x:v>
      </x:c>
      <x:c r="AF6" s="13" t="str">
        <x:v>Actualizar procedimiento seguro de trabajo y verificar cumplimiento</x:v>
      </x:c>
      <x:c r="AG6" s="13" t="str">
        <x:v>Coordinador SST</x:v>
      </x:c>
      <x:c r="AH6" s="30" t="n">
        <x:v>46130</x:v>
      </x:c>
      <x:c r="AI6" s="30" t="str">
        <x:v>En seguimiento</x:v>
      </x:c>
      <x:c r="AJ6" s="30"/>
      <x:c r="AK6" s="13" t="str">
        <x:f>IF(OR(AI6&lt;&gt;"Cerrada",AJ6="",AH6=""),"No",IF(AJ6&lt;=AH6,"Sí","No"))</x:f>
        <x:v>No</x:v>
      </x:c>
      <x:c r="AL6" s="13" t="str">
        <x:v>Pendiente verificación</x:v>
      </x:c>
      <x:c r="AM6" s="13" t="str">
        <x:v>En seguimiento</x:v>
      </x:c>
      <x:c r="AN6" s="13" t="str">
        <x:v>Se deja lección aprendida socializada en charla preoperacional.</x:v>
      </x:c>
    </x:row>
    <x:row r="7">
      <x:c r="A7" s="13" t="n">
        <x:v>2026</x:v>
      </x:c>
      <x:c r="B7" s="13" t="str">
        <x:v>AT-2026-009</x:v>
      </x:c>
      <x:c r="C7" s="30" t="n">
        <x:v>46110</x:v>
      </x:c>
      <x:c r="D7" s="13" t="str">
        <x:v>07:00</x:v>
      </x:c>
      <x:c r="E7" s="13" t="str">
        <x:v>Marzo</x:v>
      </x:c>
      <x:c r="F7" s="13" t="str">
        <x:v>Barrancabermeja</x:v>
      </x:c>
      <x:c r="G7" s="13" t="str">
        <x:v>Central de Alarmas</x:v>
      </x:c>
      <x:c r="H7" s="13" t="str">
        <x:v>Tatiana Marcela Paredes</x:v>
      </x:c>
      <x:c r="I7" s="13" t="str">
        <x:v>88075422</x:v>
      </x:c>
      <x:c r="J7" s="13" t="str">
        <x:v>Vigilante</x:v>
      </x:c>
      <x:c r="K7" s="13" t="str">
        <x:v>Obra o labor</x:v>
      </x:c>
      <x:c r="L7" s="13" t="str">
        <x:v>ARL SURA</x:v>
      </x:c>
      <x:c r="M7" s="13" t="str">
        <x:v>Con incapacidad</x:v>
      </x:c>
      <x:c r="N7" s="13" t="str">
        <x:v>Durante ronda de vigilancia en barrancabermeja, el trabajador sufrió lumbalgia aguda por sobreesfuerzo o esfuerzo excesivo.</x:v>
      </x:c>
      <x:c r="O7" s="13" t="str">
        <x:v>Sobreesfuerzo o esfuerzo excesivo</x:v>
      </x:c>
      <x:c r="P7" s="13" t="str">
        <x:v>Elementos almacenados</x:v>
      </x:c>
      <x:c r="Q7" s="13" t="str">
        <x:v>Vía pública en ronda</x:v>
      </x:c>
      <x:c r="R7" s="13" t="str">
        <x:v>Rodilla</x:v>
      </x:c>
      <x:c r="S7" s="13" t="str">
        <x:v>Lumbalgia aguda</x:v>
      </x:c>
      <x:c r="T7" s="13" t="n">
        <x:v>25</x:v>
      </x:c>
      <x:c r="U7" s="13" t="n">
        <x:f>IF(M7="Sin incapacidad",0,T7)</x:f>
        <x:v>25</x:v>
      </x:c>
      <x:c r="V7" s="13" t="str">
        <x:v>Sí</x:v>
      </x:c>
      <x:c r="W7" s="30" t="n">
        <x:v>46111</x:v>
      </x:c>
      <x:c r="X7" s="30" t="str">
        <x:v>Sí</x:v>
      </x:c>
      <x:c r="Y7" s="30" t="n">
        <x:v>46115</x:v>
      </x:c>
      <x:c r="Z7" s="13" t="str">
        <x:v>Jefe inmediato + SST</x:v>
      </x:c>
      <x:c r="AA7" s="13" t="str">
        <x:v>Distracción durante la labor</x:v>
      </x:c>
      <x:c r="AB7" s="13" t="str">
        <x:v>Vía en mal estado</x:v>
      </x:c>
      <x:c r="AC7" s="13" t="str">
        <x:v>Fatiga</x:v>
      </x:c>
      <x:c r="AD7" s="13" t="str">
        <x:v>Procedimiento no actualizado</x:v>
      </x:c>
      <x:c r="AE7" s="13" t="str">
        <x:v>Incumplimiento del procedimiento seguro y supervisión insuficiente</x:v>
      </x:c>
      <x:c r="AF7" s="13" t="str">
        <x:v>Realizar capacitación focalizada y socialización de lección aprendida</x:v>
      </x:c>
      <x:c r="AG7" s="13" t="str">
        <x:v>Analista SST</x:v>
      </x:c>
      <x:c r="AH7" s="30" t="n">
        <x:v>46135</x:v>
      </x:c>
      <x:c r="AI7" s="30" t="str">
        <x:v>En seguimiento</x:v>
      </x:c>
      <x:c r="AJ7" s="30"/>
      <x:c r="AK7" s="13" t="str">
        <x:f>IF(OR(AI7&lt;&gt;"Cerrada",AJ7="",AH7=""),"No",IF(AJ7&lt;=AH7,"Sí","No"))</x:f>
        <x:v>No</x:v>
      </x:c>
      <x:c r="AL7" s="13" t="str">
        <x:v>Pendiente verificación</x:v>
      </x:c>
      <x:c r="AM7" s="13" t="str">
        <x:v>En seguimiento</x:v>
      </x:c>
      <x:c r="AN7" s="13" t="str">
        <x:v>Se realiza seguimiento por SST y jefe inmediato.</x:v>
      </x:c>
    </x:row>
    <x:row r="8">
      <x:c r="A8" s="13" t="n">
        <x:v>2026</x:v>
      </x:c>
      <x:c r="B8" s="13" t="str">
        <x:v>AT-2026-002</x:v>
      </x:c>
      <x:c r="C8" s="30" t="n">
        <x:v>46118</x:v>
      </x:c>
      <x:c r="D8" s="13" t="str">
        <x:v>18:50</x:v>
      </x:c>
      <x:c r="E8" s="13" t="str">
        <x:v>Abril</x:v>
      </x:c>
      <x:c r="F8" s="13" t="str">
        <x:v>Pamplona</x:v>
      </x:c>
      <x:c r="G8" s="13" t="str">
        <x:v>Central de Alarmas</x:v>
      </x:c>
      <x:c r="H8" s="13" t="str">
        <x:v>Jorge Enrique Suárez</x:v>
      </x:c>
      <x:c r="I8" s="13" t="str">
        <x:v>88075061</x:v>
      </x:c>
      <x:c r="J8" s="13" t="str">
        <x:v>Auxiliar Administrativa</x:v>
      </x:c>
      <x:c r="K8" s="13" t="str">
        <x:v>Término indefinido</x:v>
      </x:c>
      <x:c r="L8" s="13" t="str">
        <x:v>ARL SURA</x:v>
      </x:c>
      <x:c r="M8" s="13" t="str">
        <x:v>Con incapacidad</x:v>
      </x:c>
      <x:c r="N8" s="13" t="str">
        <x:v>En desarrollo de actividades de central de alarmas, se presentó evento por caída de objetos asociado a escalera.</x:v>
      </x:c>
      <x:c r="O8" s="13" t="str">
        <x:v>Caída de objetos</x:v>
      </x:c>
      <x:c r="P8" s="13" t="str">
        <x:v>Escalera</x:v>
      </x:c>
      <x:c r="Q8" s="13" t="str">
        <x:v>Acceso principal</x:v>
      </x:c>
      <x:c r="R8" s="13" t="str">
        <x:v>Muñeca</x:v>
      </x:c>
      <x:c r="S8" s="13" t="str">
        <x:v>Lumbalgia aguda</x:v>
      </x:c>
      <x:c r="T8" s="13" t="n">
        <x:v>7</x:v>
      </x:c>
      <x:c r="U8" s="13" t="n">
        <x:f>IF(M8="Sin incapacidad",0,T8)</x:f>
        <x:v>7</x:v>
      </x:c>
      <x:c r="V8" s="13" t="str">
        <x:v>Sí</x:v>
      </x:c>
      <x:c r="W8" s="30" t="n">
        <x:v>46119</x:v>
      </x:c>
      <x:c r="X8" s="30" t="str">
        <x:v>Sí</x:v>
      </x:c>
      <x:c r="Y8" s="30" t="n">
        <x:v>46122</x:v>
      </x:c>
      <x:c r="Z8" s="13" t="str">
        <x:v>Coordinador SST + Operaciones</x:v>
      </x:c>
      <x:c r="AA8" s="13" t="str">
        <x:v>Distracción durante la labor</x:v>
      </x:c>
      <x:c r="AB8" s="13" t="str">
        <x:v>Cable expuesto</x:v>
      </x:c>
      <x:c r="AC8" s="13" t="str">
        <x:v>Fatiga</x:v>
      </x:c>
      <x:c r="AD8" s="13" t="str">
        <x:v>Carga laboral elevada</x:v>
      </x:c>
      <x:c r="AE8" s="13" t="str">
        <x:v>Brecha de capacitación y hábitos inseguros de trabajo</x:v>
      </x:c>
      <x:c r="AF8" s="13" t="str">
        <x:v>Actualizar procedimiento seguro de trabajo y verificar cumplimiento</x:v>
      </x:c>
      <x:c r="AG8" s="13" t="str">
        <x:v>Coordinador SST</x:v>
      </x:c>
      <x:c r="AH8" s="30" t="n">
        <x:v>46142</x:v>
      </x:c>
      <x:c r="AI8" s="30" t="str">
        <x:v>Cerrada</x:v>
      </x:c>
      <x:c r="AJ8" s="30" t="n">
        <x:v>46136</x:v>
      </x:c>
      <x:c r="AK8" s="13" t="str">
        <x:f>IF(OR(AI8&lt;&gt;"Cerrada",AJ8="",AH8=""),"No",IF(AJ8&lt;=AH8,"Sí","No"))</x:f>
        <x:v>Sí</x:v>
      </x:c>
      <x:c r="AL8" s="13" t="str">
        <x:v>Sí</x:v>
      </x:c>
      <x:c r="AM8" s="13" t="str">
        <x:v>Cerrado</x:v>
      </x:c>
      <x:c r="AN8" s="13" t="str">
        <x:v>Se deja lección aprendida socializada en charla preoperacional.</x:v>
      </x:c>
    </x:row>
    <x:row r="9">
      <x:c r="A9" s="13" t="n">
        <x:v>2026</x:v>
      </x:c>
      <x:c r="B9" s="13" t="str">
        <x:v>AT-2026-001</x:v>
      </x:c>
      <x:c r="C9" s="30" t="n">
        <x:v>46137</x:v>
      </x:c>
      <x:c r="D9" s="13" t="str">
        <x:v>21:45</x:v>
      </x:c>
      <x:c r="E9" s="13" t="str">
        <x:v>Abril</x:v>
      </x:c>
      <x:c r="F9" s="13" t="str">
        <x:v>Medellín</x:v>
      </x:c>
      <x:c r="G9" s="13" t="str">
        <x:v>Administrativa</x:v>
      </x:c>
      <x:c r="H9" s="13" t="str">
        <x:v>Cristian Camilo Acevedo</x:v>
      </x:c>
      <x:c r="I9" s="13" t="str">
        <x:v>88075036</x:v>
      </x:c>
      <x:c r="J9" s="13" t="str">
        <x:v>Conductor</x:v>
      </x:c>
      <x:c r="K9" s="13" t="str">
        <x:v>Término fijo</x:v>
      </x:c>
      <x:c r="L9" s="13" t="str">
        <x:v>ARL SURA</x:v>
      </x:c>
      <x:c r="M9" s="13" t="str">
        <x:v>Con incapacidad</x:v>
      </x:c>
      <x:c r="N9" s="13" t="str">
        <x:v>Trabajador reporta lesión tipo esguince durante servicio en puesto asignado por caída de objetos.</x:v>
      </x:c>
      <x:c r="O9" s="13" t="str">
        <x:v>Caída de objetos</x:v>
      </x:c>
      <x:c r="P9" s="13" t="str">
        <x:v>Arma de dotación</x:v>
      </x:c>
      <x:c r="Q9" s="13" t="str">
        <x:v>Parqueadero</x:v>
      </x:c>
      <x:c r="R9" s="13" t="str">
        <x:v>Brazo</x:v>
      </x:c>
      <x:c r="S9" s="13" t="str">
        <x:v>Esguince</x:v>
      </x:c>
      <x:c r="T9" s="13" t="n">
        <x:v>2</x:v>
      </x:c>
      <x:c r="U9" s="13" t="n">
        <x:f>IF(M9="Sin incapacidad",0,T9)</x:f>
        <x:v>2</x:v>
      </x:c>
      <x:c r="V9" s="13" t="str">
        <x:v>Sí</x:v>
      </x:c>
      <x:c r="W9" s="30" t="n">
        <x:v>46137</x:v>
      </x:c>
      <x:c r="X9" s="30" t="str">
        <x:v>Sí</x:v>
      </x:c>
      <x:c r="Y9" s="30" t="n">
        <x:v>46143</x:v>
      </x:c>
      <x:c r="Z9" s="13" t="str">
        <x:v>COPASST + SST</x:v>
      </x:c>
      <x:c r="AA9" s="13" t="str">
        <x:v>No asegurar postura adecuada</x:v>
      </x:c>
      <x:c r="AB9" s="13" t="str">
        <x:v>Herramienta en mal estado</x:v>
      </x:c>
      <x:c r="AC9" s="13" t="str">
        <x:v>Exceso de confianza</x:v>
      </x:c>
      <x:c r="AD9" s="13" t="str">
        <x:v>Carga laboral elevada</x:v>
      </x:c>
      <x:c r="AE9" s="13" t="str">
        <x:v>Control operativo insuficiente frente a condición locativa</x:v>
      </x:c>
      <x:c r="AF9" s="13" t="str">
        <x:v>Realizar capacitación focalizada y socialización de lección aprendida</x:v>
      </x:c>
      <x:c r="AG9" s="13" t="str">
        <x:v>Coordinador SST</x:v>
      </x:c>
      <x:c r="AH9" s="30" t="n">
        <x:v>46163</x:v>
      </x:c>
      <x:c r="AI9" s="30" t="str">
        <x:v>Cerrada</x:v>
      </x:c>
      <x:c r="AJ9" s="30" t="n">
        <x:v>46157</x:v>
      </x:c>
      <x:c r="AK9" s="13" t="str">
        <x:f>IF(OR(AI9&lt;&gt;"Cerrada",AJ9="",AH9=""),"No",IF(AJ9&lt;=AH9,"Sí","No"))</x:f>
        <x:v>Sí</x:v>
      </x:c>
      <x:c r="AL9" s="13" t="str">
        <x:v>Sí</x:v>
      </x:c>
      <x:c r="AM9" s="13" t="str">
        <x:v>Cerrado</x:v>
      </x:c>
      <x:c r="AN9" s="13" t="str">
        <x:v>Se recomienda refuerzo de inspecciones y autocuidado.</x:v>
      </x:c>
    </x:row>
    <x:row r="10">
      <x:c r="A10" s="13" t="n">
        <x:v>2026</x:v>
      </x:c>
      <x:c r="B10" s="13" t="str">
        <x:v>AT-2026-007</x:v>
      </x:c>
      <x:c r="C10" s="30" t="n">
        <x:v>46173</x:v>
      </x:c>
      <x:c r="D10" s="13" t="str">
        <x:v>17:45</x:v>
      </x:c>
      <x:c r="E10" s="13" t="str">
        <x:v>Mayo</x:v>
      </x:c>
      <x:c r="F10" s="13" t="str">
        <x:v>Ocaña</x:v>
      </x:c>
      <x:c r="G10" s="13" t="str">
        <x:v>Central de Alarmas</x:v>
      </x:c>
      <x:c r="H10" s="13" t="str">
        <x:v>Miguel Ángel Mejía</x:v>
      </x:c>
      <x:c r="I10" s="13" t="str">
        <x:v>88076045</x:v>
      </x:c>
      <x:c r="J10" s="13" t="str">
        <x:v>Escolta</x:v>
      </x:c>
      <x:c r="K10" s="13" t="str">
        <x:v>Término indefinido</x:v>
      </x:c>
      <x:c r="L10" s="13" t="str">
        <x:v>ARL SURA</x:v>
      </x:c>
      <x:c r="M10" s="13" t="str">
        <x:v>Con incapacidad</x:v>
      </x:c>
      <x:c r="N10" s="13" t="str">
        <x:v>Trabajador reporta lesión tipo trauma ocular leve durante servicio en puesto asignado por golpeado por/contra.</x:v>
      </x:c>
      <x:c r="O10" s="13" t="str">
        <x:v>Golpeado por/contra</x:v>
      </x:c>
      <x:c r="P10" s="13" t="str">
        <x:v>Arma de dotación</x:v>
      </x:c>
      <x:c r="Q10" s="13" t="str">
        <x:v>Vía pública en ronda</x:v>
      </x:c>
      <x:c r="R10" s="13" t="str">
        <x:v>Hombro</x:v>
      </x:c>
      <x:c r="S10" s="13" t="str">
        <x:v>Trauma ocular leve</x:v>
      </x:c>
      <x:c r="T10" s="13" t="n">
        <x:v>30</x:v>
      </x:c>
      <x:c r="U10" s="13" t="n">
        <x:f>IF(M10="Sin incapacidad",0,T10)</x:f>
        <x:v>30</x:v>
      </x:c>
      <x:c r="V10" s="13" t="str">
        <x:v>Sí</x:v>
      </x:c>
      <x:c r="W10" s="30" t="n">
        <x:v>46174</x:v>
      </x:c>
      <x:c r="X10" s="30" t="str">
        <x:v>Sí</x:v>
      </x:c>
      <x:c r="Y10" s="30" t="n">
        <x:v>46178</x:v>
      </x:c>
      <x:c r="Z10" s="13" t="str">
        <x:v>Jefe inmediato + SST</x:v>
      </x:c>
      <x:c r="AA10" s="13" t="str">
        <x:v>Omisión de inspección previa</x:v>
      </x:c>
      <x:c r="AB10" s="13" t="str">
        <x:v>Herramienta en mal estado</x:v>
      </x:c>
      <x:c r="AC10" s="13" t="str">
        <x:v>Fatiga</x:v>
      </x:c>
      <x:c r="AD10" s="13" t="str">
        <x:v>Procedimiento no actualizado</x:v>
      </x:c>
      <x:c r="AE10" s="13" t="str">
        <x:v>Incumplimiento del procedimiento seguro y supervisión insuficiente</x:v>
      </x:c>
      <x:c r="AF10" s="13" t="str">
        <x:v>Implementar señalización y control administrativo temporal</x:v>
      </x:c>
      <x:c r="AG10" s="13" t="str">
        <x:v>Supervisor Operativo</x:v>
      </x:c>
      <x:c r="AH10" s="30" t="n">
        <x:v>46193</x:v>
      </x:c>
      <x:c r="AI10" s="30" t="str">
        <x:v>Cerrada</x:v>
      </x:c>
      <x:c r="AJ10" s="30" t="n">
        <x:v>46193</x:v>
      </x:c>
      <x:c r="AK10" s="13" t="str">
        <x:f>IF(OR(AI10&lt;&gt;"Cerrada",AJ10="",AH10=""),"No",IF(AJ10&lt;=AH10,"Sí","No"))</x:f>
        <x:v>Sí</x:v>
      </x:c>
      <x:c r="AL10" s="13" t="str">
        <x:v>Pendiente verificación</x:v>
      </x:c>
      <x:c r="AM10" s="13" t="str">
        <x:v>Cerrado</x:v>
      </x:c>
      <x:c r="AN10" s="13" t="str">
        <x:v>Se recomienda refuerzo de inspecciones y autocuidado.</x:v>
      </x:c>
    </x:row>
  </x:sheetData>
  <x:conditionalFormatting sqref="AI2:AI10">
    <x:cfRule type="expression" dxfId="15" priority="1">
      <x:formula>AI2="Abierta"</x:formula>
    </x:cfRule>
    <x:cfRule type="expression" dxfId="16" priority="2">
      <x:formula>AI2="En seguimiento"</x:formula>
    </x:cfRule>
    <x:cfRule type="expression" dxfId="17" priority="3">
      <x:formula>AI2="Cerrada"</x:formula>
    </x:cfRule>
  </x:conditionalFormatting>
  <x:conditionalFormatting sqref="AK2:AK10">
    <x:cfRule type="expression" dxfId="18" priority="4">
      <x:formula>AK2="No"</x:formula>
    </x:cfRule>
    <x:cfRule type="expression" dxfId="19" priority="5">
      <x:formula>AK2="Sí"</x:formula>
    </x:cfRule>
  </x:conditionalFormatting>
  <x:conditionalFormatting sqref="T2:T10">
    <x:cfRule type="dataBar" priority="6">
      <x:dataBar>
        <x:cfvo type="min"/>
        <x:cfvo type="max"/>
        <x:color rgb="704023"/>
      </x:dataBar>
      <x:extLst>
        <x:ext xmlns:x14="http://schemas.microsoft.com/office/spreadsheetml/2009/9/main" uri="{B025F937-C7B1-47D3-B67F-A62EFF666E3E}">
          <x14:id>{AF1FB08C-EF0F-C97B-45B4-A035D0C3592F}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AF1FB08C-EF0F-C97B-45B4-A035D0C3592F}">
            <x14:dataBar gradient="1">
              <x14:cfvo type="min"/>
              <x14:cfvo type="max"/>
              <x14:fillColor rgb="704023"/>
            </x14:dataBar>
          </x14:cfRule>
          <xm:sqref>T2:T10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9" hidden="0" customWidth="1"/>
    <x:col min="5" max="5" width="10" hidden="0" customWidth="1"/>
    <x:col min="6" max="6" width="14" hidden="0" customWidth="1"/>
    <x:col min="7" max="7" width="16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2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10" hidden="0" customWidth="1"/>
    <x:col min="21" max="21" width="10" hidden="0" customWidth="1"/>
    <x:col min="22" max="22" width="10" hidden="0" customWidth="1"/>
    <x:col min="23" max="23" width="12" hidden="0" customWidth="1"/>
    <x:col min="24" max="24" width="12" hidden="0" customWidth="1"/>
    <x:col min="25" max="25" width="12" hidden="0" customWidth="1"/>
    <x:col min="26" max="26" width="18" hidden="0" customWidth="1"/>
    <x:col min="27" max="27" width="18" hidden="0" customWidth="1"/>
    <x:col min="28" max="28" width="18" hidden="0" customWidth="1"/>
    <x:col min="29" max="29" width="16" hidden="0" customWidth="1"/>
    <x:col min="30" max="30" width="16" hidden="0" customWidth="1"/>
    <x:col min="31" max="31" width="24" hidden="0" customWidth="1"/>
    <x:col min="32" max="32" width="26" hidden="0" customWidth="1"/>
    <x:col min="33" max="33" width="16" hidden="0" customWidth="1"/>
    <x:col min="34" max="34" width="13" hidden="0" customWidth="1"/>
    <x:col min="35" max="35" width="14" hidden="0" customWidth="1"/>
    <x:col min="36" max="36" width="13" hidden="0" customWidth="1"/>
    <x:col min="37" max="37" width="12" hidden="0" customWidth="1"/>
    <x:col min="38" max="38" width="14" hidden="0" customWidth="1"/>
    <x:col min="39" max="39" width="14" hidden="0" customWidth="1"/>
    <x:col min="40" max="40" width="24" hidden="0" customWidth="1"/>
  </x:cols>
  <x:sheetData>
    <x:row r="1">
      <x:c r="A1" s="22" t="str">
        <x:v>Año</x:v>
      </x:c>
      <x:c r="B1" s="22" t="str">
        <x:v>N.° Caso</x:v>
      </x:c>
      <x:c r="C1" s="22" t="str">
        <x:v>Fecha del accidente</x:v>
      </x:c>
      <x:c r="D1" s="22" t="str">
        <x:v>Hora</x:v>
      </x:c>
      <x:c r="E1" s="22" t="str">
        <x:v>Mes</x:v>
      </x:c>
      <x:c r="F1" s="22" t="str">
        <x:v>Sede</x:v>
      </x:c>
      <x:c r="G1" s="22" t="str">
        <x:v>Área / Proceso</x:v>
      </x:c>
      <x:c r="H1" s="22" t="str">
        <x:v>Nombre del trabajador</x:v>
      </x:c>
      <x:c r="I1" s="22" t="str">
        <x:v>Identificación</x:v>
      </x:c>
      <x:c r="J1" s="22" t="str">
        <x:v>Cargo</x:v>
      </x:c>
      <x:c r="K1" s="22" t="str">
        <x:v>Tipo de contrato</x:v>
      </x:c>
      <x:c r="L1" s="22" t="str">
        <x:v>ARL</x:v>
      </x:c>
      <x:c r="M1" s="22" t="str">
        <x:v>Tipo de evento</x:v>
      </x:c>
      <x:c r="N1" s="22" t="str">
        <x:v>Descripción del accidente</x:v>
      </x:c>
      <x:c r="O1" s="22" t="str">
        <x:v>Mecanismo del accidente</x:v>
      </x:c>
      <x:c r="P1" s="22" t="str">
        <x:v>Agente material</x:v>
      </x:c>
      <x:c r="Q1" s="22" t="str">
        <x:v>Lugar exacto</x:v>
      </x:c>
      <x:c r="R1" s="22" t="str">
        <x:v>Parte del cuerpo afectada</x:v>
      </x:c>
      <x:c r="S1" s="22" t="str">
        <x:v>Naturaleza de la lesión</x:v>
      </x:c>
      <x:c r="T1" s="22" t="str">
        <x:v>Días de incapacidad</x:v>
      </x:c>
      <x:c r="U1" s="22" t="str">
        <x:v>Días perdidos</x:v>
      </x:c>
      <x:c r="V1" s="22" t="str">
        <x:v>Reporte ARL realizado</x:v>
      </x:c>
      <x:c r="W1" s="22" t="str">
        <x:v>Fecha reporte ARL</x:v>
      </x:c>
      <x:c r="X1" s="22" t="str">
        <x:v>Investigación realizada</x:v>
      </x:c>
      <x:c r="Y1" s="22" t="str">
        <x:v>Fecha investigación</x:v>
      </x:c>
      <x:c r="Z1" s="22" t="str">
        <x:v>Equipo investigador</x:v>
      </x:c>
      <x:c r="AA1" s="22" t="str">
        <x:v>Actos inseguros</x:v>
      </x:c>
      <x:c r="AB1" s="22" t="str">
        <x:v>Condiciones inseguras</x:v>
      </x:c>
      <x:c r="AC1" s="22" t="str">
        <x:v>Factores personales</x:v>
      </x:c>
      <x:c r="AD1" s="22" t="str">
        <x:v>Factores de trabajo</x:v>
      </x:c>
      <x:c r="AE1" s="22" t="str">
        <x:v>Causa raíz</x:v>
      </x:c>
      <x:c r="AF1" s="22" t="str">
        <x:v>Acción correctiva / preventiva</x:v>
      </x:c>
      <x:c r="AG1" s="22" t="str">
        <x:v>Responsable acción</x:v>
      </x:c>
      <x:c r="AH1" s="22" t="str">
        <x:v>Fecha límite de cierre</x:v>
      </x:c>
      <x:c r="AI1" s="22" t="str">
        <x:v>Estado de acción</x:v>
      </x:c>
      <x:c r="AJ1" s="22" t="str">
        <x:v>Fecha cierre real</x:v>
      </x:c>
      <x:c r="AK1" s="22" t="str">
        <x:v>Cierre oportuno</x:v>
      </x:c>
      <x:c r="AL1" s="22" t="str">
        <x:v>Eficacia verificada</x:v>
      </x:c>
      <x:c r="AM1" s="22" t="str">
        <x:v>Estado del evento</x:v>
      </x:c>
      <x:c r="AN1" s="22" t="str">
        <x:v>Observaciones</x:v>
      </x:c>
    </x:row>
    <x:row r="2">
      <x:c r="A2" s="13" t="n">
        <x:v>2023</x:v>
      </x:c>
      <x:c r="B2" s="13" t="str">
        <x:v>AT-2023-005</x:v>
      </x:c>
      <x:c r="C2" s="30" t="n">
        <x:v>44928</x:v>
      </x:c>
      <x:c r="D2" s="13" t="str">
        <x:v>14:15</x:v>
      </x:c>
      <x:c r="E2" s="13" t="str">
        <x:v>Enero</x:v>
      </x:c>
      <x:c r="F2" s="13" t="str">
        <x:v>Medellín</x:v>
      </x:c>
      <x:c r="G2" s="13" t="str">
        <x:v>Logística</x:v>
      </x:c>
      <x:c r="H2" s="13" t="str">
        <x:v>Ricardo Andrés Parra</x:v>
      </x:c>
      <x:c r="I2" s="13" t="str">
        <x:v>88075659</x:v>
      </x:c>
      <x:c r="J2" s="13" t="str">
        <x:v>Conductor</x:v>
      </x:c>
      <x:c r="K2" s="13" t="str">
        <x:v>Término indefinido</x:v>
      </x:c>
      <x:c r="L2" s="13" t="str">
        <x:v>ARL SURA</x:v>
      </x:c>
      <x:c r="M2" s="13" t="str">
        <x:v>Con incapacidad</x:v>
      </x:c>
      <x:c r="N2" s="13" t="str">
        <x:v>Durante ronda de vigilancia en medellín, el trabajador sufrió contusión por caída al mismo nivel.</x:v>
      </x:c>
      <x:c r="O2" s="13" t="str">
        <x:v>Caída al mismo nivel</x:v>
      </x:c>
      <x:c r="P2" s="13" t="str">
        <x:v>Andén irregular</x:v>
      </x:c>
      <x:c r="Q2" s="13" t="str">
        <x:v>Área administrativa</x:v>
      </x:c>
      <x:c r="R2" s="13" t="str">
        <x:v>Pierna</x:v>
      </x:c>
      <x:c r="S2" s="13" t="str">
        <x:v>Contusión</x:v>
      </x:c>
      <x:c r="T2" s="13" t="n">
        <x:v>20</x:v>
      </x:c>
      <x:c r="U2" s="13" t="n">
        <x:f>IF(M2="Sin incapacidad",0,T2)</x:f>
        <x:v>20</x:v>
      </x:c>
      <x:c r="V2" s="13" t="str">
        <x:v>Sí</x:v>
      </x:c>
      <x:c r="W2" s="30" t="n">
        <x:v>44929</x:v>
      </x:c>
      <x:c r="X2" s="30" t="str">
        <x:v>Sí</x:v>
      </x:c>
      <x:c r="Y2" s="30" t="n">
        <x:v>44930</x:v>
      </x:c>
      <x:c r="Z2" s="13" t="str">
        <x:v>Supervisor + Analista SST</x:v>
      </x:c>
      <x:c r="AA2" s="13" t="str">
        <x:v>Manipulación incorrecta de carga</x:v>
      </x:c>
      <x:c r="AB2" s="13" t="str">
        <x:v>Señalización insuficiente</x:v>
      </x:c>
      <x:c r="AC2" s="13" t="str">
        <x:v>Fatiga</x:v>
      </x:c>
      <x:c r="AD2" s="13" t="str">
        <x:v>Deficiencia en supervisión</x:v>
      </x:c>
      <x:c r="AE2" s="13" t="str">
        <x:v>Falta de inspección previa y gestión tardía del peligro</x:v>
      </x:c>
      <x:c r="AF2" s="13" t="str">
        <x:v>Realizar capacitación focalizada y socialización de lección aprendida</x:v>
      </x:c>
      <x:c r="AG2" s="13" t="str">
        <x:v>Coordinador SST</x:v>
      </x:c>
      <x:c r="AH2" s="30" t="n">
        <x:v>44960</x:v>
      </x:c>
      <x:c r="AI2" s="30" t="str">
        <x:v>Cerrada</x:v>
      </x:c>
      <x:c r="AJ2" s="30" t="n">
        <x:v>44953</x:v>
      </x:c>
      <x:c r="AK2" s="13" t="str">
        <x:f>IF(OR(AI2&lt;&gt;"Cerrada",AJ2="",AH2=""),"No",IF(AJ2&lt;=AH2,"Sí","No"))</x:f>
        <x:v>Sí</x:v>
      </x:c>
      <x:c r="AL2" s="13" t="str">
        <x:v>Sí</x:v>
      </x:c>
      <x:c r="AM2" s="13" t="str">
        <x:v>Cerrado</x:v>
      </x:c>
      <x:c r="AN2" s="13" t="str">
        <x:v>Se recomienda refuerzo de inspecciones y autocuidado.</x:v>
      </x:c>
    </x:row>
    <x:row r="3">
      <x:c r="A3" s="13" t="n">
        <x:v>2023</x:v>
      </x:c>
      <x:c r="B3" s="13" t="str">
        <x:v>AT-2023-029</x:v>
      </x:c>
      <x:c r="C3" s="30" t="n">
        <x:v>44941</x:v>
      </x:c>
      <x:c r="D3" s="13" t="str">
        <x:v>13:15</x:v>
      </x:c>
      <x:c r="E3" s="13" t="str">
        <x:v>Enero</x:v>
      </x:c>
      <x:c r="F3" s="13" t="str">
        <x:v>Valledupar</x:v>
      </x:c>
      <x:c r="G3" s="13" t="str">
        <x:v>Central de Alarmas</x:v>
      </x:c>
      <x:c r="H3" s="13" t="str">
        <x:v>Cristian Camilo Acevedo</x:v>
      </x:c>
      <x:c r="I3" s="13" t="str">
        <x:v>88076154</x:v>
      </x:c>
      <x:c r="J3" s="13" t="str">
        <x:v>Supervisor de Puesto</x:v>
      </x:c>
      <x:c r="K3" s="13" t="str">
        <x:v>Obra o labor</x:v>
      </x:c>
      <x:c r="L3" s="13" t="str">
        <x:v>ARL SURA</x:v>
      </x:c>
      <x:c r="M3" s="13" t="str">
        <x:v>Sin incapacidad</x:v>
      </x:c>
      <x:c r="N3" s="13" t="str">
        <x:v>Trabajador reporta lesión tipo golpe leve durante servicio en puesto asignado por sobreesfuerzo o esfuerzo excesivo.</x:v>
      </x:c>
      <x:c r="O3" s="13" t="str">
        <x:v>Sobreesfuerzo o esfuerzo excesivo</x:v>
      </x:c>
      <x:c r="P3" s="13" t="str">
        <x:v>Escalera</x:v>
      </x:c>
      <x:c r="Q3" s="13" t="str">
        <x:v>Área administrativa</x:v>
      </x:c>
      <x:c r="R3" s="13" t="str">
        <x:v>Hombro</x:v>
      </x:c>
      <x:c r="S3" s="13" t="str">
        <x:v>Golpe leve</x:v>
      </x:c>
      <x:c r="T3" s="13" t="n">
        <x:v>0</x:v>
      </x:c>
      <x:c r="U3" s="13" t="n">
        <x:f>IF(M3="Sin incapacidad",0,T3)</x:f>
        <x:v>0</x:v>
      </x:c>
      <x:c r="V3" s="13" t="str">
        <x:v>Sí</x:v>
      </x:c>
      <x:c r="W3" s="30" t="n">
        <x:v>44942</x:v>
      </x:c>
      <x:c r="X3" s="30" t="str">
        <x:v>Sí</x:v>
      </x:c>
      <x:c r="Y3" s="30" t="n">
        <x:v>44946</x:v>
      </x:c>
      <x:c r="Z3" s="13" t="str">
        <x:v>Coordinador SST + Operaciones</x:v>
      </x:c>
      <x:c r="AA3" s="13" t="str">
        <x:v>No reportar condición insegura</x:v>
      </x:c>
      <x:c r="AB3" s="13" t="str">
        <x:v>Cable expuesto</x:v>
      </x:c>
      <x:c r="AC3" s="13" t="str">
        <x:v>Falta de atención</x:v>
      </x:c>
      <x:c r="AD3" s="13" t="str">
        <x:v>Carga laboral elevada</x:v>
      </x:c>
      <x:c r="AE3" s="13" t="str">
        <x:v>Falta de inspección previa y gestión tardía del peligro</x:v>
      </x:c>
      <x:c r="AF3" s="13" t="str">
        <x:v>Ejecutar inspección locativa y corrección inmediata del peligro</x:v>
      </x:c>
      <x:c r="AG3" s="13" t="str">
        <x:v>Analista SST</x:v>
      </x:c>
      <x:c r="AH3" s="30" t="n">
        <x:v>44961</x:v>
      </x:c>
      <x:c r="AI3" s="30" t="str">
        <x:v>En seguimiento</x:v>
      </x:c>
      <x:c r="AJ3" s="30"/>
      <x:c r="AK3" s="13" t="str">
        <x:f>IF(OR(AI3&lt;&gt;"Cerrada",AJ3="",AH3=""),"No",IF(AJ3&lt;=AH3,"Sí","No"))</x:f>
        <x:v>No</x:v>
      </x:c>
      <x:c r="AL3" s="13" t="str">
        <x:v>Pendiente verificación</x:v>
      </x:c>
      <x:c r="AM3" s="13" t="str">
        <x:v>En seguimiento</x:v>
      </x:c>
      <x:c r="AN3" s="13" t="str">
        <x:v>Se realiza seguimiento por SST y jefe inmediato.</x:v>
      </x:c>
    </x:row>
    <x:row r="4">
      <x:c r="A4" s="13" t="n">
        <x:v>2023</x:v>
      </x:c>
      <x:c r="B4" s="13" t="str">
        <x:v>AT-2023-007</x:v>
      </x:c>
      <x:c r="C4" s="30" t="n">
        <x:v>44961</x:v>
      </x:c>
      <x:c r="D4" s="13" t="str">
        <x:v>07:40</x:v>
      </x:c>
      <x:c r="E4" s="13" t="str">
        <x:v>Febrero</x:v>
      </x:c>
      <x:c r="F4" s="13" t="str">
        <x:v>Barrancabermeja</x:v>
      </x:c>
      <x:c r="G4" s="13" t="str">
        <x:v>Administrativa</x:v>
      </x:c>
      <x:c r="H4" s="13" t="str">
        <x:v>Álvaro José Pabón</x:v>
      </x:c>
      <x:c r="I4" s="13" t="str">
        <x:v>88075329</x:v>
      </x:c>
      <x:c r="J4" s="13" t="str">
        <x:v>Analista SST</x:v>
      </x:c>
      <x:c r="K4" s="13" t="str">
        <x:v>Término indefinido</x:v>
      </x:c>
      <x:c r="L4" s="13" t="str">
        <x:v>ARL SURA</x:v>
      </x:c>
      <x:c r="M4" s="13" t="str">
        <x:v>Sin incapacidad</x:v>
      </x:c>
      <x:c r="N4" s="13" t="str">
        <x:v>En desarrollo de actividades de administrativa, se presentó evento por caída de objetos asociado a silla ergonómica.</x:v>
      </x:c>
      <x:c r="O4" s="13" t="str">
        <x:v>Caída de objetos</x:v>
      </x:c>
      <x:c r="P4" s="13" t="str">
        <x:v>Silla ergonómica</x:v>
      </x:c>
      <x:c r="Q4" s="13" t="str">
        <x:v>Zona común del cliente</x:v>
      </x:c>
      <x:c r="R4" s="13" t="str">
        <x:v>Ojo</x:v>
      </x:c>
      <x:c r="S4" s="13" t="str">
        <x:v>Herida superficial</x:v>
      </x:c>
      <x:c r="T4" s="13" t="n">
        <x:v>0</x:v>
      </x:c>
      <x:c r="U4" s="13" t="n">
        <x:f>IF(M4="Sin incapacidad",0,T4)</x:f>
        <x:v>0</x:v>
      </x:c>
      <x:c r="V4" s="13" t="str">
        <x:v>Sí</x:v>
      </x:c>
      <x:c r="W4" s="30" t="n">
        <x:v>44962</x:v>
      </x:c>
      <x:c r="X4" s="30" t="str">
        <x:v>Sí</x:v>
      </x:c>
      <x:c r="Y4" s="30" t="n">
        <x:v>44965</x:v>
      </x:c>
      <x:c r="Z4" s="13" t="str">
        <x:v>Jefe inmediato + SST</x:v>
      </x:c>
      <x:c r="AA4" s="13" t="str">
        <x:v>Desplazamiento apresurado</x:v>
      </x:c>
      <x:c r="AB4" s="13" t="str">
        <x:v>Herramienta en mal estado</x:v>
      </x:c>
      <x:c r="AC4" s="13" t="str">
        <x:v>Exceso de confianza</x:v>
      </x:c>
      <x:c r="AD4" s="13" t="str">
        <x:v>Carga laboral elevada</x:v>
      </x:c>
      <x:c r="AE4" s="13" t="str">
        <x:v>Brecha de capacitación y hábitos inseguros de trabajo</x:v>
      </x:c>
      <x:c r="AF4" s="13" t="str">
        <x:v>Reforzar supervisión operativa y seguimiento al uso de EPP</x:v>
      </x:c>
      <x:c r="AG4" s="13" t="str">
        <x:v>Líder de Mantenimiento</x:v>
      </x:c>
      <x:c r="AH4" s="30" t="n">
        <x:v>44975</x:v>
      </x:c>
      <x:c r="AI4" s="30" t="str">
        <x:v>Cerrada</x:v>
      </x:c>
      <x:c r="AJ4" s="30" t="n">
        <x:v>44970</x:v>
      </x:c>
      <x:c r="AK4" s="13" t="str">
        <x:f>IF(OR(AI4&lt;&gt;"Cerrada",AJ4="",AH4=""),"No",IF(AJ4&lt;=AH4,"Sí","No"))</x:f>
        <x:v>Sí</x:v>
      </x:c>
      <x:c r="AL4" s="13" t="str">
        <x:v>Sí</x:v>
      </x:c>
      <x:c r="AM4" s="13" t="str">
        <x:v>Cerrado</x:v>
      </x:c>
      <x:c r="AN4" s="13" t="str">
        <x:v>Se realiza seguimiento por SST y jefe inmediato.</x:v>
      </x:c>
    </x:row>
    <x:row r="5">
      <x:c r="A5" s="13" t="n">
        <x:v>2023</x:v>
      </x:c>
      <x:c r="B5" s="13" t="str">
        <x:v>AT-2023-012</x:v>
      </x:c>
      <x:c r="C5" s="30" t="n">
        <x:v>44965</x:v>
      </x:c>
      <x:c r="D5" s="13" t="str">
        <x:v>10:00</x:v>
      </x:c>
      <x:c r="E5" s="13" t="str">
        <x:v>Febrero</x:v>
      </x:c>
      <x:c r="F5" s="13" t="str">
        <x:v>Arauca</x:v>
      </x:c>
      <x:c r="G5" s="13" t="str">
        <x:v>Central de Alarmas</x:v>
      </x:c>
      <x:c r="H5" s="13" t="str">
        <x:v>Jorge Enrique Suárez</x:v>
      </x:c>
      <x:c r="I5" s="13" t="str">
        <x:v>88075425</x:v>
      </x:c>
      <x:c r="J5" s="13" t="str">
        <x:v>Coordinador Operativo</x:v>
      </x:c>
      <x:c r="K5" s="13" t="str">
        <x:v>Término indefinido</x:v>
      </x:c>
      <x:c r="L5" s="13" t="str">
        <x:v>ARL SURA</x:v>
      </x:c>
      <x:c r="M5" s="13" t="str">
        <x:v>Con incapacidad</x:v>
      </x:c>
      <x:c r="N5" s="13" t="str">
        <x:v>Trabajador reporta lesión tipo herida superficial durante servicio en puesto asignado por caída de objetos.</x:v>
      </x:c>
      <x:c r="O5" s="13" t="str">
        <x:v>Caída de objetos</x:v>
      </x:c>
      <x:c r="P5" s="13" t="str">
        <x:v>Piso húmedo</x:v>
      </x:c>
      <x:c r="Q5" s="13" t="str">
        <x:v>Parqueadero</x:v>
      </x:c>
      <x:c r="R5" s="13" t="str">
        <x:v>Espalda baja</x:v>
      </x:c>
      <x:c r="S5" s="13" t="str">
        <x:v>Herida superficial</x:v>
      </x:c>
      <x:c r="T5" s="13" t="n">
        <x:v>25</x:v>
      </x:c>
      <x:c r="U5" s="13" t="n">
        <x:f>IF(M5="Sin incapacidad",0,T5)</x:f>
        <x:v>25</x:v>
      </x:c>
      <x:c r="V5" s="13" t="str">
        <x:v>Sí</x:v>
      </x:c>
      <x:c r="W5" s="30" t="n">
        <x:v>44965</x:v>
      </x:c>
      <x:c r="X5" s="30" t="str">
        <x:v>Sí</x:v>
      </x:c>
      <x:c r="Y5" s="30" t="n">
        <x:v>44971</x:v>
      </x:c>
      <x:c r="Z5" s="13" t="str">
        <x:v>Coordinador SST + Operaciones</x:v>
      </x:c>
      <x:c r="AA5" s="13" t="str">
        <x:v>Omisión de inspección previa</x:v>
      </x:c>
      <x:c r="AB5" s="13" t="str">
        <x:v>Señalización insuficiente</x:v>
      </x:c>
      <x:c r="AC5" s="13" t="str">
        <x:v>Falta de atención</x:v>
      </x:c>
      <x:c r="AD5" s="13" t="str">
        <x:v>Deficiencia en supervisión</x:v>
      </x:c>
      <x:c r="AE5" s="13" t="str">
        <x:v>Brecha de capacitación y hábitos inseguros de trabajo</x:v>
      </x:c>
      <x:c r="AF5" s="13" t="str">
        <x:v>Realizar capacitación focalizada y socialización de lección aprendida</x:v>
      </x:c>
      <x:c r="AG5" s="13" t="str">
        <x:v>Supervisor Operativo</x:v>
      </x:c>
      <x:c r="AH5" s="30" t="n">
        <x:v>44991</x:v>
      </x:c>
      <x:c r="AI5" s="30" t="str">
        <x:v>Cerrada</x:v>
      </x:c>
      <x:c r="AJ5" s="30" t="n">
        <x:v>44990</x:v>
      </x:c>
      <x:c r="AK5" s="13" t="str">
        <x:f>IF(OR(AI5&lt;&gt;"Cerrada",AJ5="",AH5=""),"No",IF(AJ5&lt;=AH5,"Sí","No"))</x:f>
        <x:v>Sí</x:v>
      </x:c>
      <x:c r="AL5" s="13" t="str">
        <x:v>Pendiente verificación</x:v>
      </x:c>
      <x:c r="AM5" s="13" t="str">
        <x:v>Cerrado</x:v>
      </x:c>
      <x:c r="AN5" s="13" t="str">
        <x:v>Se vincula acción al plan de mejora del proceso.</x:v>
      </x:c>
    </x:row>
    <x:row r="6">
      <x:c r="A6" s="13" t="n">
        <x:v>2023</x:v>
      </x:c>
      <x:c r="B6" s="13" t="str">
        <x:v>AT-2023-022</x:v>
      </x:c>
      <x:c r="C6" s="30" t="n">
        <x:v>44971</x:v>
      </x:c>
      <x:c r="D6" s="13" t="str">
        <x:v>14:50</x:v>
      </x:c>
      <x:c r="E6" s="13" t="str">
        <x:v>Febrero</x:v>
      </x:c>
      <x:c r="F6" s="13" t="str">
        <x:v>Girón</x:v>
      </x:c>
      <x:c r="G6" s="13" t="str">
        <x:v>Talento Humano</x:v>
      </x:c>
      <x:c r="H6" s="13" t="str">
        <x:v>Edwin Mauricio Rodríguez</x:v>
      </x:c>
      <x:c r="I6" s="13" t="str">
        <x:v>88075694</x:v>
      </x:c>
      <x:c r="J6" s="13" t="str">
        <x:v>Auxiliar Administrativa</x:v>
      </x:c>
      <x:c r="K6" s="13" t="str">
        <x:v>Término indefinido</x:v>
      </x:c>
      <x:c r="L6" s="13" t="str">
        <x:v>ARL SURA</x:v>
      </x:c>
      <x:c r="M6" s="13" t="str">
        <x:v>Con incapacidad</x:v>
      </x:c>
      <x:c r="N6" s="13" t="str">
        <x:v>En desarrollo de actividades de talento humano, se presentó evento por sobreesfuerzo o esfuerzo excesivo asociado a escritorio.</x:v>
      </x:c>
      <x:c r="O6" s="13" t="str">
        <x:v>Sobreesfuerzo o esfuerzo excesivo</x:v>
      </x:c>
      <x:c r="P6" s="13" t="str">
        <x:v>Escritorio</x:v>
      </x:c>
      <x:c r="Q6" s="13" t="str">
        <x:v>Puesto de vigilancia</x:v>
      </x:c>
      <x:c r="R6" s="13" t="str">
        <x:v>Tobillo</x:v>
      </x:c>
      <x:c r="S6" s="13" t="str">
        <x:v>Trauma ocular leve</x:v>
      </x:c>
      <x:c r="T6" s="13" t="n">
        <x:v>5</x:v>
      </x:c>
      <x:c r="U6" s="13" t="n">
        <x:f>IF(M6="Sin incapacidad",0,T6)</x:f>
        <x:v>5</x:v>
      </x:c>
      <x:c r="V6" s="13" t="str">
        <x:v>Sí</x:v>
      </x:c>
      <x:c r="W6" s="30" t="n">
        <x:v>44973</x:v>
      </x:c>
      <x:c r="X6" s="30" t="str">
        <x:v>Sí</x:v>
      </x:c>
      <x:c r="Y6" s="30" t="n">
        <x:v>44976</x:v>
      </x:c>
      <x:c r="Z6" s="13" t="str">
        <x:v>Jefe inmediato + SST</x:v>
      </x:c>
      <x:c r="AA6" s="13" t="str">
        <x:v>Uso inadecuado del EPP</x:v>
      </x:c>
      <x:c r="AB6" s="13" t="str">
        <x:v>Iluminación insuficiente</x:v>
      </x:c>
      <x:c r="AC6" s="13" t="str">
        <x:v>Falta de atención</x:v>
      </x:c>
      <x:c r="AD6" s="13" t="str">
        <x:v>Condición locativa no corregida</x:v>
      </x:c>
      <x:c r="AE6" s="13" t="str">
        <x:v>Brecha de capacitación y hábitos inseguros de trabajo</x:v>
      </x:c>
      <x:c r="AF6" s="13" t="str">
        <x:v>Reforzar supervisión operativa y seguimiento al uso de EPP</x:v>
      </x:c>
      <x:c r="AG6" s="13" t="str">
        <x:v>Coordinador de Talento Humano</x:v>
      </x:c>
      <x:c r="AH6" s="30" t="n">
        <x:v>44991</x:v>
      </x:c>
      <x:c r="AI6" s="30" t="str">
        <x:v>Cerrada</x:v>
      </x:c>
      <x:c r="AJ6" s="30" t="n">
        <x:v>44986</x:v>
      </x:c>
      <x:c r="AK6" s="13" t="str">
        <x:f>IF(OR(AI6&lt;&gt;"Cerrada",AJ6="",AH6=""),"No",IF(AJ6&lt;=AH6,"Sí","No"))</x:f>
        <x:v>Sí</x:v>
      </x:c>
      <x:c r="AL6" s="13" t="str">
        <x:v>No</x:v>
      </x:c>
      <x:c r="AM6" s="13" t="str">
        <x:v>Cerrado</x:v>
      </x:c>
      <x:c r="AN6" s="13" t="str">
        <x:v>Se realiza seguimiento por SST y jefe inmediato.</x:v>
      </x:c>
    </x:row>
    <x:row r="7">
      <x:c r="A7" s="13" t="n">
        <x:v>2023</x:v>
      </x:c>
      <x:c r="B7" s="13" t="str">
        <x:v>AT-2023-025</x:v>
      </x:c>
      <x:c r="C7" s="30" t="n">
        <x:v>45003</x:v>
      </x:c>
      <x:c r="D7" s="13" t="str">
        <x:v>15:10</x:v>
      </x:c>
      <x:c r="E7" s="13" t="str">
        <x:v>Marzo</x:v>
      </x:c>
      <x:c r="F7" s="13" t="str">
        <x:v>Girón</x:v>
      </x:c>
      <x:c r="G7" s="13" t="str">
        <x:v>Operaciones</x:v>
      </x:c>
      <x:c r="H7" s="13" t="str">
        <x:v>Cristian Camilo Acevedo</x:v>
      </x:c>
      <x:c r="I7" s="13" t="str">
        <x:v>88076386</x:v>
      </x:c>
      <x:c r="J7" s="13" t="str">
        <x:v>Tecnólogo de Monitoreo</x:v>
      </x:c>
      <x:c r="K7" s="13" t="str">
        <x:v>Término fijo</x:v>
      </x:c>
      <x:c r="L7" s="13" t="str">
        <x:v>ARL SURA</x:v>
      </x:c>
      <x:c r="M7" s="13" t="str">
        <x:v>Con incapacidad</x:v>
      </x:c>
      <x:c r="N7" s="13" t="str">
        <x:v>Durante ronda de vigilancia en girón, el trabajador sufrió luxación por sobreesfuerzo o esfuerzo excesivo.</x:v>
      </x:c>
      <x:c r="O7" s="13" t="str">
        <x:v>Sobreesfuerzo o esfuerzo excesivo</x:v>
      </x:c>
      <x:c r="P7" s="13" t="str">
        <x:v>Cableado</x:v>
      </x:c>
      <x:c r="Q7" s="13" t="str">
        <x:v>Vía pública en ronda</x:v>
      </x:c>
      <x:c r="R7" s="13" t="str">
        <x:v>Ojo</x:v>
      </x:c>
      <x:c r="S7" s="13" t="str">
        <x:v>Luxación</x:v>
      </x:c>
      <x:c r="T7" s="13" t="n">
        <x:v>20</x:v>
      </x:c>
      <x:c r="U7" s="13" t="n">
        <x:f>IF(M7="Sin incapacidad",0,T7)</x:f>
        <x:v>20</x:v>
      </x:c>
      <x:c r="V7" s="13" t="str">
        <x:v>Sí</x:v>
      </x:c>
      <x:c r="W7" s="30" t="n">
        <x:v>45004</x:v>
      </x:c>
      <x:c r="X7" s="30" t="str">
        <x:v>Sí</x:v>
      </x:c>
      <x:c r="Y7" s="30" t="n">
        <x:v>45013</x:v>
      </x:c>
      <x:c r="Z7" s="13" t="str">
        <x:v>Jefe inmediato + SST</x:v>
      </x:c>
      <x:c r="AA7" s="13" t="str">
        <x:v>Desplazamiento apresurado</x:v>
      </x:c>
      <x:c r="AB7" s="13" t="str">
        <x:v>Señalización insuficiente</x:v>
      </x:c>
      <x:c r="AC7" s="13" t="str">
        <x:v>Capacitación insuficiente</x:v>
      </x:c>
      <x:c r="AD7" s="13" t="str">
        <x:v>Deficiencia en supervisión</x:v>
      </x:c>
      <x:c r="AE7" s="13" t="str">
        <x:v>Mantenimiento deficiente y ausencia de corrección oportuna</x:v>
      </x:c>
      <x:c r="AF7" s="13" t="str">
        <x:v>Implementar señalización y control administrativo temporal</x:v>
      </x:c>
      <x:c r="AG7" s="13" t="str">
        <x:v>Coordinador SST</x:v>
      </x:c>
      <x:c r="AH7" s="30" t="n">
        <x:v>45028</x:v>
      </x:c>
      <x:c r="AI7" s="30" t="str">
        <x:v>Cerrada</x:v>
      </x:c>
      <x:c r="AJ7" s="30" t="n">
        <x:v>45025</x:v>
      </x:c>
      <x:c r="AK7" s="13" t="str">
        <x:f>IF(OR(AI7&lt;&gt;"Cerrada",AJ7="",AH7=""),"No",IF(AJ7&lt;=AH7,"Sí","No"))</x:f>
        <x:v>Sí</x:v>
      </x:c>
      <x:c r="AL7" s="13" t="str">
        <x:v>Sí</x:v>
      </x:c>
      <x:c r="AM7" s="13" t="str">
        <x:v>Cerrado</x:v>
      </x:c>
      <x:c r="AN7" s="13" t="str">
        <x:v>Se recomienda refuerzo de inspecciones y autocuidado.</x:v>
      </x:c>
    </x:row>
    <x:row r="8">
      <x:c r="A8" s="13" t="n">
        <x:v>2023</x:v>
      </x:c>
      <x:c r="B8" s="13" t="str">
        <x:v>AT-2023-013</x:v>
      </x:c>
      <x:c r="C8" s="30" t="n">
        <x:v>45008</x:v>
      </x:c>
      <x:c r="D8" s="13" t="str">
        <x:v>09:45</x:v>
      </x:c>
      <x:c r="E8" s="13" t="str">
        <x:v>Marzo</x:v>
      </x:c>
      <x:c r="F8" s="13" t="str">
        <x:v>Cúcuta</x:v>
      </x:c>
      <x:c r="G8" s="13" t="str">
        <x:v>Mantenimiento</x:v>
      </x:c>
      <x:c r="H8" s="13" t="str">
        <x:v>Paola Andrea Cárdenas</x:v>
      </x:c>
      <x:c r="I8" s="13" t="str">
        <x:v>88076168</x:v>
      </x:c>
      <x:c r="J8" s="13" t="str">
        <x:v>Escolta</x:v>
      </x:c>
      <x:c r="K8" s="13" t="str">
        <x:v>Obra o labor</x:v>
      </x:c>
      <x:c r="L8" s="13" t="str">
        <x:v>ARL SURA</x:v>
      </x:c>
      <x:c r="M8" s="13" t="str">
        <x:v>Con incapacidad</x:v>
      </x:c>
      <x:c r="N8" s="13" t="str">
        <x:v>Durante ronda de vigilancia en cúcuta, el trabajador sufrió contusión por exposición a temperatura.</x:v>
      </x:c>
      <x:c r="O8" s="13" t="str">
        <x:v>Exposición a temperatura</x:v>
      </x:c>
      <x:c r="P8" s="13" t="str">
        <x:v>Vehículo</x:v>
      </x:c>
      <x:c r="Q8" s="13" t="str">
        <x:v>Cuarto técnico</x:v>
      </x:c>
      <x:c r="R8" s="13" t="str">
        <x:v>Rodilla</x:v>
      </x:c>
      <x:c r="S8" s="13" t="str">
        <x:v>Contusión</x:v>
      </x:c>
      <x:c r="T8" s="13" t="n">
        <x:v>25</x:v>
      </x:c>
      <x:c r="U8" s="13" t="n">
        <x:f>IF(M8="Sin incapacidad",0,T8)</x:f>
        <x:v>25</x:v>
      </x:c>
      <x:c r="V8" s="13" t="str">
        <x:v>Sí</x:v>
      </x:c>
      <x:c r="W8" s="30" t="n">
        <x:v>45008</x:v>
      </x:c>
      <x:c r="X8" s="30" t="str">
        <x:v>Sí</x:v>
      </x:c>
      <x:c r="Y8" s="30" t="n">
        <x:v>45013</x:v>
      </x:c>
      <x:c r="Z8" s="13" t="str">
        <x:v>Jefe inmediato + SST</x:v>
      </x:c>
      <x:c r="AA8" s="13" t="str">
        <x:v>Manipulación incorrecta de carga</x:v>
      </x:c>
      <x:c r="AB8" s="13" t="str">
        <x:v>Espacio reducido</x:v>
      </x:c>
      <x:c r="AC8" s="13" t="str">
        <x:v>Capacitación insuficiente</x:v>
      </x:c>
      <x:c r="AD8" s="13" t="str">
        <x:v>Control operativo insuficiente</x:v>
      </x:c>
      <x:c r="AE8" s="13" t="str">
        <x:v>Brecha de capacitación y hábitos inseguros de trabajo</x:v>
      </x:c>
      <x:c r="AF8" s="13" t="str">
        <x:v>Implementar señalización y control administrativo temporal</x:v>
      </x:c>
      <x:c r="AG8" s="13" t="str">
        <x:v>Coordinador de Talento Humano</x:v>
      </x:c>
      <x:c r="AH8" s="30" t="n">
        <x:v>45033</x:v>
      </x:c>
      <x:c r="AI8" s="30" t="str">
        <x:v>En seguimiento</x:v>
      </x:c>
      <x:c r="AJ8" s="30"/>
      <x:c r="AK8" s="13" t="str">
        <x:f>IF(OR(AI8&lt;&gt;"Cerrada",AJ8="",AH8=""),"No",IF(AJ8&lt;=AH8,"Sí","No"))</x:f>
        <x:v>No</x:v>
      </x:c>
      <x:c r="AL8" s="13" t="str">
        <x:v>Pendiente verificación</x:v>
      </x:c>
      <x:c r="AM8" s="13" t="str">
        <x:v>En seguimiento</x:v>
      </x:c>
      <x:c r="AN8" s="13" t="str">
        <x:v>Se deja lección aprendida socializada en charla preoperacional.</x:v>
      </x:c>
    </x:row>
    <x:row r="9">
      <x:c r="A9" s="13" t="n">
        <x:v>2023</x:v>
      </x:c>
      <x:c r="B9" s="13" t="str">
        <x:v>AT-2023-019</x:v>
      </x:c>
      <x:c r="C9" s="30" t="n">
        <x:v>45011</x:v>
      </x:c>
      <x:c r="D9" s="13" t="str">
        <x:v>20:15</x:v>
      </x:c>
      <x:c r="E9" s="13" t="str">
        <x:v>Marzo</x:v>
      </x:c>
      <x:c r="F9" s="13" t="str">
        <x:v>Ábrego</x:v>
      </x:c>
      <x:c r="G9" s="13" t="str">
        <x:v>Administrativa</x:v>
      </x:c>
      <x:c r="H9" s="13" t="str">
        <x:v>Claudia Patricia Solano</x:v>
      </x:c>
      <x:c r="I9" s="13" t="str">
        <x:v>88076131</x:v>
      </x:c>
      <x:c r="J9" s="13" t="str">
        <x:v>Tecnólogo de Monitoreo</x:v>
      </x:c>
      <x:c r="K9" s="13" t="str">
        <x:v>Término indefinido</x:v>
      </x:c>
      <x:c r="L9" s="13" t="str">
        <x:v>ARL SURA</x:v>
      </x:c>
      <x:c r="M9" s="13" t="str">
        <x:v>Con incapacidad</x:v>
      </x:c>
      <x:c r="N9" s="13" t="str">
        <x:v>En desarrollo de actividades de administrativa, se presentó evento por sobreesfuerzo o esfuerzo excesivo asociado a cableado.</x:v>
      </x:c>
      <x:c r="O9" s="13" t="str">
        <x:v>Sobreesfuerzo o esfuerzo excesivo</x:v>
      </x:c>
      <x:c r="P9" s="13" t="str">
        <x:v>Cableado</x:v>
      </x:c>
      <x:c r="Q9" s="13" t="str">
        <x:v>Parqueadero</x:v>
      </x:c>
      <x:c r="R9" s="13" t="str">
        <x:v>Hombro</x:v>
      </x:c>
      <x:c r="S9" s="13" t="str">
        <x:v>Contusión</x:v>
      </x:c>
      <x:c r="T9" s="13" t="n">
        <x:v>5</x:v>
      </x:c>
      <x:c r="U9" s="13" t="n">
        <x:f>IF(M9="Sin incapacidad",0,T9)</x:f>
        <x:v>5</x:v>
      </x:c>
      <x:c r="V9" s="13" t="str">
        <x:v>Sí</x:v>
      </x:c>
      <x:c r="W9" s="30" t="n">
        <x:v>45012</x:v>
      </x:c>
      <x:c r="X9" s="30" t="str">
        <x:v>Sí</x:v>
      </x:c>
      <x:c r="Y9" s="30" t="n">
        <x:v>45019</x:v>
      </x:c>
      <x:c r="Z9" s="13" t="str">
        <x:v>Supervisor + Analista SST</x:v>
      </x:c>
      <x:c r="AA9" s="13" t="str">
        <x:v>Distracción durante la labor</x:v>
      </x:c>
      <x:c r="AB9" s="13" t="str">
        <x:v>Herramienta en mal estado</x:v>
      </x:c>
      <x:c r="AC9" s="13" t="str">
        <x:v>Exceso de confianza</x:v>
      </x:c>
      <x:c r="AD9" s="13" t="str">
        <x:v>Carga laboral elevada</x:v>
      </x:c>
      <x:c r="AE9" s="13" t="str">
        <x:v>Mantenimiento deficiente y ausencia de corrección oportuna</x:v>
      </x:c>
      <x:c r="AF9" s="13" t="str">
        <x:v>Realizar capacitación focalizada y socialización de lección aprendida</x:v>
      </x:c>
      <x:c r="AG9" s="13" t="str">
        <x:v>Analista SST</x:v>
      </x:c>
      <x:c r="AH9" s="30" t="n">
        <x:v>45029</x:v>
      </x:c>
      <x:c r="AI9" s="30" t="str">
        <x:v>Cerrada</x:v>
      </x:c>
      <x:c r="AJ9" s="30" t="n">
        <x:v>45034</x:v>
      </x:c>
      <x:c r="AK9" s="13" t="str">
        <x:f>IF(OR(AI9&lt;&gt;"Cerrada",AJ9="",AH9=""),"No",IF(AJ9&lt;=AH9,"Sí","No"))</x:f>
        <x:v>No</x:v>
      </x:c>
      <x:c r="AL9" s="13" t="str">
        <x:v>Pendiente verificación</x:v>
      </x:c>
      <x:c r="AM9" s="13" t="str">
        <x:v>Cerrado</x:v>
      </x:c>
      <x:c r="AN9" s="13" t="str">
        <x:v>Se realiza seguimiento por SST y jefe inmediato.</x:v>
      </x:c>
    </x:row>
    <x:row r="10">
      <x:c r="A10" s="13" t="n">
        <x:v>2023</x:v>
      </x:c>
      <x:c r="B10" s="13" t="str">
        <x:v>AT-2023-024</x:v>
      </x:c>
      <x:c r="C10" s="30" t="n">
        <x:v>45026</x:v>
      </x:c>
      <x:c r="D10" s="13" t="str">
        <x:v>15:20</x:v>
      </x:c>
      <x:c r="E10" s="13" t="str">
        <x:v>Abril</x:v>
      </x:c>
      <x:c r="F10" s="13" t="str">
        <x:v>Arauca</x:v>
      </x:c>
      <x:c r="G10" s="13" t="str">
        <x:v>Operaciones</x:v>
      </x:c>
      <x:c r="H10" s="13" t="str">
        <x:v>Juan Carlos Pérez</x:v>
      </x:c>
      <x:c r="I10" s="13" t="str">
        <x:v>88075868</x:v>
      </x:c>
      <x:c r="J10" s="13" t="str">
        <x:v>Conductor</x:v>
      </x:c>
      <x:c r="K10" s="13" t="str">
        <x:v>Término indefinido</x:v>
      </x:c>
      <x:c r="L10" s="13" t="str">
        <x:v>ARL SURA</x:v>
      </x:c>
      <x:c r="M10" s="13" t="str">
        <x:v>Sin incapacidad</x:v>
      </x:c>
      <x:c r="N10" s="13" t="str">
        <x:v>Durante ronda de vigilancia en arauca, el trabajador sufrió golpe leve por sobreesfuerzo o esfuerzo excesivo.</x:v>
      </x:c>
      <x:c r="O10" s="13" t="str">
        <x:v>Sobreesfuerzo o esfuerzo excesivo</x:v>
      </x:c>
      <x:c r="P10" s="13" t="str">
        <x:v>Rejilla</x:v>
      </x:c>
      <x:c r="Q10" s="13" t="str">
        <x:v>Puesto de vigilancia</x:v>
      </x:c>
      <x:c r="R10" s="13" t="str">
        <x:v>Hombro</x:v>
      </x:c>
      <x:c r="S10" s="13" t="str">
        <x:v>Golpe leve</x:v>
      </x:c>
      <x:c r="T10" s="13" t="n">
        <x:v>0</x:v>
      </x:c>
      <x:c r="U10" s="13" t="n">
        <x:f>IF(M10="Sin incapacidad",0,T10)</x:f>
        <x:v>0</x:v>
      </x:c>
      <x:c r="V10" s="13" t="str">
        <x:v>Sí</x:v>
      </x:c>
      <x:c r="W10" s="30" t="n">
        <x:v>45026</x:v>
      </x:c>
      <x:c r="X10" s="30" t="str">
        <x:v>Sí</x:v>
      </x:c>
      <x:c r="Y10" s="30" t="n">
        <x:v>45036</x:v>
      </x:c>
      <x:c r="Z10" s="13" t="str">
        <x:v>Supervisor + Analista SST</x:v>
      </x:c>
      <x:c r="AA10" s="13" t="str">
        <x:v>No reportar condición insegura</x:v>
      </x:c>
      <x:c r="AB10" s="13" t="str">
        <x:v>Cable expuesto</x:v>
      </x:c>
      <x:c r="AC10" s="13" t="str">
        <x:v>Postura inadecuada</x:v>
      </x:c>
      <x:c r="AD10" s="13" t="str">
        <x:v>Procedimiento no actualizado</x:v>
      </x:c>
      <x:c r="AE10" s="13" t="str">
        <x:v>Incumplimiento del procedimiento seguro y supervisión insuficiente</x:v>
      </x:c>
      <x:c r="AF10" s="13" t="str">
        <x:v>Realizar capacitación focalizada y socialización de lección aprendida</x:v>
      </x:c>
      <x:c r="AG10" s="13" t="str">
        <x:v>Jefe de Operaciones</x:v>
      </x:c>
      <x:c r="AH10" s="30" t="n">
        <x:v>45066</x:v>
      </x:c>
      <x:c r="AI10" s="30" t="str">
        <x:v>Cerrada</x:v>
      </x:c>
      <x:c r="AJ10" s="30" t="n">
        <x:v>45070</x:v>
      </x:c>
      <x:c r="AK10" s="13" t="str">
        <x:f>IF(OR(AI10&lt;&gt;"Cerrada",AJ10="",AH10=""),"No",IF(AJ10&lt;=AH10,"Sí","No"))</x:f>
        <x:v>No</x:v>
      </x:c>
      <x:c r="AL10" s="13" t="str">
        <x:v>Sí</x:v>
      </x:c>
      <x:c r="AM10" s="13" t="str">
        <x:v>Cerrado</x:v>
      </x:c>
      <x:c r="AN10" s="13" t="str">
        <x:v>Se deja lección aprendida socializada en charla preoperacional.</x:v>
      </x:c>
    </x:row>
    <x:row r="11">
      <x:c r="A11" s="13" t="n">
        <x:v>2023</x:v>
      </x:c>
      <x:c r="B11" s="13" t="str">
        <x:v>AT-2023-018</x:v>
      </x:c>
      <x:c r="C11" s="30" t="n">
        <x:v>45045</x:v>
      </x:c>
      <x:c r="D11" s="13" t="str">
        <x:v>18:15</x:v>
      </x:c>
      <x:c r="E11" s="13" t="str">
        <x:v>Abril</x:v>
      </x:c>
      <x:c r="F11" s="13" t="str">
        <x:v>Girón</x:v>
      </x:c>
      <x:c r="G11" s="13" t="str">
        <x:v>Operaciones</x:v>
      </x:c>
      <x:c r="H11" s="13" t="str">
        <x:v>Cristian Camilo Acevedo</x:v>
      </x:c>
      <x:c r="I11" s="13" t="str">
        <x:v>88076072</x:v>
      </x:c>
      <x:c r="J11" s="13" t="str">
        <x:v>Auxiliar Administrativa</x:v>
      </x:c>
      <x:c r="K11" s="13" t="str">
        <x:v>Término indefinido</x:v>
      </x:c>
      <x:c r="L11" s="13" t="str">
        <x:v>ARL SURA</x:v>
      </x:c>
      <x:c r="M11" s="13" t="str">
        <x:v>Con incapacidad</x:v>
      </x:c>
      <x:c r="N11" s="13" t="str">
        <x:v>En desarrollo de actividades de operaciones, se presentó evento por exposición a temperatura asociado a elementos almacenados.</x:v>
      </x:c>
      <x:c r="O11" s="13" t="str">
        <x:v>Exposición a temperatura</x:v>
      </x:c>
      <x:c r="P11" s="13" t="str">
        <x:v>Elementos almacenados</x:v>
      </x:c>
      <x:c r="Q11" s="13" t="str">
        <x:v>Zona común del cliente</x:v>
      </x:c>
      <x:c r="R11" s="13" t="str">
        <x:v>Brazo</x:v>
      </x:c>
      <x:c r="S11" s="13" t="str">
        <x:v>Contusión</x:v>
      </x:c>
      <x:c r="T11" s="13" t="n">
        <x:v>20</x:v>
      </x:c>
      <x:c r="U11" s="13" t="n">
        <x:f>IF(M11="Sin incapacidad",0,T11)</x:f>
        <x:v>20</x:v>
      </x:c>
      <x:c r="V11" s="13" t="str">
        <x:v>Sí</x:v>
      </x:c>
      <x:c r="W11" s="30" t="n">
        <x:v>45046</x:v>
      </x:c>
      <x:c r="X11" s="30" t="str">
        <x:v>Sí</x:v>
      </x:c>
      <x:c r="Y11" s="30" t="n">
        <x:v>45051</x:v>
      </x:c>
      <x:c r="Z11" s="13" t="str">
        <x:v>Supervisor + Analista SST</x:v>
      </x:c>
      <x:c r="AA11" s="13" t="str">
        <x:v>Conducción sin distancia segura</x:v>
      </x:c>
      <x:c r="AB11" s="13" t="str">
        <x:v>Herramienta en mal estado</x:v>
      </x:c>
      <x:c r="AC11" s="13" t="str">
        <x:v>Apuro operativo</x:v>
      </x:c>
      <x:c r="AD11" s="13" t="str">
        <x:v>Condición locativa no corregida</x:v>
      </x:c>
      <x:c r="AE11" s="13" t="str">
        <x:v>Falta de inspección previa y gestión tardía del peligro</x:v>
      </x:c>
      <x:c r="AF11" s="13" t="str">
        <x:v>Programar mantenimiento correctivo del elemento involucrado</x:v>
      </x:c>
      <x:c r="AG11" s="13" t="str">
        <x:v>Supervisor Operativo</x:v>
      </x:c>
      <x:c r="AH11" s="30" t="n">
        <x:v>45081</x:v>
      </x:c>
      <x:c r="AI11" s="30" t="str">
        <x:v>Cerrada</x:v>
      </x:c>
      <x:c r="AJ11" s="30" t="n">
        <x:v>45080</x:v>
      </x:c>
      <x:c r="AK11" s="13" t="str">
        <x:f>IF(OR(AI11&lt;&gt;"Cerrada",AJ11="",AH11=""),"No",IF(AJ11&lt;=AH11,"Sí","No"))</x:f>
        <x:v>Sí</x:v>
      </x:c>
      <x:c r="AL11" s="13" t="str">
        <x:v>Sí</x:v>
      </x:c>
      <x:c r="AM11" s="13" t="str">
        <x:v>Cerrado</x:v>
      </x:c>
      <x:c r="AN11" s="13" t="str">
        <x:v>Se recomienda refuerzo de inspecciones y autocuidado.</x:v>
      </x:c>
    </x:row>
    <x:row r="12">
      <x:c r="A12" s="13" t="n">
        <x:v>2023</x:v>
      </x:c>
      <x:c r="B12" s="13" t="str">
        <x:v>AT-2023-016</x:v>
      </x:c>
      <x:c r="C12" s="30" t="n">
        <x:v>45047</x:v>
      </x:c>
      <x:c r="D12" s="13" t="str">
        <x:v>15:20</x:v>
      </x:c>
      <x:c r="E12" s="13" t="str">
        <x:v>Mayo</x:v>
      </x:c>
      <x:c r="F12" s="13" t="str">
        <x:v>Girón</x:v>
      </x:c>
      <x:c r="G12" s="13" t="str">
        <x:v>Operaciones</x:v>
      </x:c>
      <x:c r="H12" s="13" t="str">
        <x:v>María Camila Rojas</x:v>
      </x:c>
      <x:c r="I12" s="13" t="str">
        <x:v>88075929</x:v>
      </x:c>
      <x:c r="J12" s="13" t="str">
        <x:v>Escolta</x:v>
      </x:c>
      <x:c r="K12" s="13" t="str">
        <x:v>Término indefinido</x:v>
      </x:c>
      <x:c r="L12" s="13" t="str">
        <x:v>ARL SURA</x:v>
      </x:c>
      <x:c r="M12" s="13" t="str">
        <x:v>Sin incapacidad</x:v>
      </x:c>
      <x:c r="N12" s="13" t="str">
        <x:v>Durante ronda de vigilancia en girón, el trabajador sufrió herida superficial por sobreesfuerzo o esfuerzo excesivo.</x:v>
      </x:c>
      <x:c r="O12" s="13" t="str">
        <x:v>Sobreesfuerzo o esfuerzo excesivo</x:v>
      </x:c>
      <x:c r="P12" s="13" t="str">
        <x:v>Radio de comunicación</x:v>
      </x:c>
      <x:c r="Q12" s="13" t="str">
        <x:v>Recepción</x:v>
      </x:c>
      <x:c r="R12" s="13" t="str">
        <x:v>Brazo</x:v>
      </x:c>
      <x:c r="S12" s="13" t="str">
        <x:v>Herida superficial</x:v>
      </x:c>
      <x:c r="T12" s="13" t="n">
        <x:v>0</x:v>
      </x:c>
      <x:c r="U12" s="13" t="n">
        <x:f>IF(M12="Sin incapacidad",0,T12)</x:f>
        <x:v>0</x:v>
      </x:c>
      <x:c r="V12" s="13" t="str">
        <x:v>Sí</x:v>
      </x:c>
      <x:c r="W12" s="30" t="n">
        <x:v>45048</x:v>
      </x:c>
      <x:c r="X12" s="30" t="str">
        <x:v>Sí</x:v>
      </x:c>
      <x:c r="Y12" s="30" t="n">
        <x:v>45051</x:v>
      </x:c>
      <x:c r="Z12" s="13" t="str">
        <x:v>COPASST + SST</x:v>
      </x:c>
      <x:c r="AA12" s="13" t="str">
        <x:v>No asegurar postura adecuada</x:v>
      </x:c>
      <x:c r="AB12" s="13" t="str">
        <x:v>Iluminación insuficiente</x:v>
      </x:c>
      <x:c r="AC12" s="13" t="str">
        <x:v>Postura inadecuada</x:v>
      </x:c>
      <x:c r="AD12" s="13" t="str">
        <x:v>Deficiencia en supervisión</x:v>
      </x:c>
      <x:c r="AE12" s="13" t="str">
        <x:v>Incumplimiento del procedimiento seguro y supervisión insuficiente</x:v>
      </x:c>
      <x:c r="AF12" s="13" t="str">
        <x:v>Implementar señalización y control administrativo temporal</x:v>
      </x:c>
      <x:c r="AG12" s="13" t="str">
        <x:v>Coordinador de Talento Humano</x:v>
      </x:c>
      <x:c r="AH12" s="30" t="n">
        <x:v>45081</x:v>
      </x:c>
      <x:c r="AI12" s="30" t="str">
        <x:v>Cerrada</x:v>
      </x:c>
      <x:c r="AJ12" s="30" t="n">
        <x:v>45083</x:v>
      </x:c>
      <x:c r="AK12" s="13" t="str">
        <x:f>IF(OR(AI12&lt;&gt;"Cerrada",AJ12="",AH12=""),"No",IF(AJ12&lt;=AH12,"Sí","No"))</x:f>
        <x:v>No</x:v>
      </x:c>
      <x:c r="AL12" s="13" t="str">
        <x:v>Pendiente verificación</x:v>
      </x:c>
      <x:c r="AM12" s="13" t="str">
        <x:v>Cerrado</x:v>
      </x:c>
      <x:c r="AN12" s="13" t="str">
        <x:v>Se deja lección aprendida socializada en charla preoperacional.</x:v>
      </x:c>
    </x:row>
    <x:row r="13">
      <x:c r="A13" s="13" t="n">
        <x:v>2023</x:v>
      </x:c>
      <x:c r="B13" s="13" t="str">
        <x:v>AT-2023-008</x:v>
      </x:c>
      <x:c r="C13" s="30" t="n">
        <x:v>45054</x:v>
      </x:c>
      <x:c r="D13" s="13" t="str">
        <x:v>12:20</x:v>
      </x:c>
      <x:c r="E13" s="13" t="str">
        <x:v>Mayo</x:v>
      </x:c>
      <x:c r="F13" s="13" t="str">
        <x:v>Medellín</x:v>
      </x:c>
      <x:c r="G13" s="13" t="str">
        <x:v>Transporte de Valores</x:v>
      </x:c>
      <x:c r="H13" s="13" t="str">
        <x:v>Ángela María Villamizar</x:v>
      </x:c>
      <x:c r="I13" s="13" t="str">
        <x:v>88075432</x:v>
      </x:c>
      <x:c r="J13" s="13" t="str">
        <x:v>Operador de Medios Tecnológicos</x:v>
      </x:c>
      <x:c r="K13" s="13" t="str">
        <x:v>Término indefinido</x:v>
      </x:c>
      <x:c r="L13" s="13" t="str">
        <x:v>ARL SURA</x:v>
      </x:c>
      <x:c r="M13" s="13" t="str">
        <x:v>Sin incapacidad</x:v>
      </x:c>
      <x:c r="N13" s="13" t="str">
        <x:v>Durante ronda de vigilancia en medellín, el trabajador sufrió esguince por caída al mismo nivel.</x:v>
      </x:c>
      <x:c r="O13" s="13" t="str">
        <x:v>Caída al mismo nivel</x:v>
      </x:c>
      <x:c r="P13" s="13" t="str">
        <x:v>Andén irregular</x:v>
      </x:c>
      <x:c r="Q13" s="13" t="str">
        <x:v>Vía pública en ronda</x:v>
      </x:c>
      <x:c r="R13" s="13" t="str">
        <x:v>Pierna</x:v>
      </x:c>
      <x:c r="S13" s="13" t="str">
        <x:v>Esguince</x:v>
      </x:c>
      <x:c r="T13" s="13" t="n">
        <x:v>0</x:v>
      </x:c>
      <x:c r="U13" s="13" t="n">
        <x:f>IF(M13="Sin incapacidad",0,T13)</x:f>
        <x:v>0</x:v>
      </x:c>
      <x:c r="V13" s="13" t="str">
        <x:v>Sí</x:v>
      </x:c>
      <x:c r="W13" s="30" t="n">
        <x:v>45054</x:v>
      </x:c>
      <x:c r="X13" s="30" t="str">
        <x:v>Sí</x:v>
      </x:c>
      <x:c r="Y13" s="30" t="n">
        <x:v>45063</x:v>
      </x:c>
      <x:c r="Z13" s="13" t="str">
        <x:v>Jefe inmediato + SST</x:v>
      </x:c>
      <x:c r="AA13" s="13" t="str">
        <x:v>Desplazamiento apresurado</x:v>
      </x:c>
      <x:c r="AB13" s="13" t="str">
        <x:v>Señalización insuficiente</x:v>
      </x:c>
      <x:c r="AC13" s="13" t="str">
        <x:v>Falta de atención</x:v>
      </x:c>
      <x:c r="AD13" s="13" t="str">
        <x:v>Carga laboral elevada</x:v>
      </x:c>
      <x:c r="AE13" s="13" t="str">
        <x:v>Brecha de capacitación y hábitos inseguros de trabajo</x:v>
      </x:c>
      <x:c r="AF13" s="13" t="str">
        <x:v>Reforzar supervisión operativa y seguimiento al uso de EPP</x:v>
      </x:c>
      <x:c r="AG13" s="13" t="str">
        <x:v>Supervisor Operativo</x:v>
      </x:c>
      <x:c r="AH13" s="30" t="n">
        <x:v>45093</x:v>
      </x:c>
      <x:c r="AI13" s="30" t="str">
        <x:v>En seguimiento</x:v>
      </x:c>
      <x:c r="AJ13" s="30"/>
      <x:c r="AK13" s="13" t="str">
        <x:f>IF(OR(AI13&lt;&gt;"Cerrada",AJ13="",AH13=""),"No",IF(AJ13&lt;=AH13,"Sí","No"))</x:f>
        <x:v>No</x:v>
      </x:c>
      <x:c r="AL13" s="13" t="str">
        <x:v>Pendiente verificación</x:v>
      </x:c>
      <x:c r="AM13" s="13" t="str">
        <x:v>En seguimiento</x:v>
      </x:c>
      <x:c r="AN13" s="13" t="str">
        <x:v>Se realiza seguimiento por SST y jefe inmediato.</x:v>
      </x:c>
    </x:row>
    <x:row r="14">
      <x:c r="A14" s="13" t="n">
        <x:v>2023</x:v>
      </x:c>
      <x:c r="B14" s="13" t="str">
        <x:v>AT-2023-030</x:v>
      </x:c>
      <x:c r="C14" s="30" t="n">
        <x:v>45068</x:v>
      </x:c>
      <x:c r="D14" s="13" t="str">
        <x:v>19:40</x:v>
      </x:c>
      <x:c r="E14" s="13" t="str">
        <x:v>Mayo</x:v>
      </x:c>
      <x:c r="F14" s="13" t="str">
        <x:v>Medellín</x:v>
      </x:c>
      <x:c r="G14" s="13" t="str">
        <x:v>Monitoreo</x:v>
      </x:c>
      <x:c r="H14" s="13" t="str">
        <x:v>Juan Carlos Pérez</x:v>
      </x:c>
      <x:c r="I14" s="13" t="str">
        <x:v>88076704</x:v>
      </x:c>
      <x:c r="J14" s="13" t="str">
        <x:v>Guarda Motorizado</x:v>
      </x:c>
      <x:c r="K14" s="13" t="str">
        <x:v>Término indefinido</x:v>
      </x:c>
      <x:c r="L14" s="13" t="str">
        <x:v>ARL SURA</x:v>
      </x:c>
      <x:c r="M14" s="13" t="str">
        <x:v>Con incapacidad</x:v>
      </x:c>
      <x:c r="N14" s="13" t="str">
        <x:v>En desarrollo de actividades de monitoreo, se presentó evento por caída de objetos asociado a cableado.</x:v>
      </x:c>
      <x:c r="O14" s="13" t="str">
        <x:v>Caída de objetos</x:v>
      </x:c>
      <x:c r="P14" s="13" t="str">
        <x:v>Cableado</x:v>
      </x:c>
      <x:c r="Q14" s="13" t="str">
        <x:v>Puesto de vigilancia</x:v>
      </x:c>
      <x:c r="R14" s="13" t="str">
        <x:v>Hombro</x:v>
      </x:c>
      <x:c r="S14" s="13" t="str">
        <x:v>Golpe leve</x:v>
      </x:c>
      <x:c r="T14" s="13" t="n">
        <x:v>15</x:v>
      </x:c>
      <x:c r="U14" s="13" t="n">
        <x:f>IF(M14="Sin incapacidad",0,T14)</x:f>
        <x:v>15</x:v>
      </x:c>
      <x:c r="V14" s="13" t="str">
        <x:v>Sí</x:v>
      </x:c>
      <x:c r="W14" s="30" t="n">
        <x:v>45069</x:v>
      </x:c>
      <x:c r="X14" s="30" t="str">
        <x:v>Sí</x:v>
      </x:c>
      <x:c r="Y14" s="30" t="n">
        <x:v>45077</x:v>
      </x:c>
      <x:c r="Z14" s="13" t="str">
        <x:v>Coordinador SST + Operaciones</x:v>
      </x:c>
      <x:c r="AA14" s="13" t="str">
        <x:v>No reportar condición insegura</x:v>
      </x:c>
      <x:c r="AB14" s="13" t="str">
        <x:v>Espacio reducido</x:v>
      </x:c>
      <x:c r="AC14" s="13" t="str">
        <x:v>Falta de atención</x:v>
      </x:c>
      <x:c r="AD14" s="13" t="str">
        <x:v>Condición locativa no corregida</x:v>
      </x:c>
      <x:c r="AE14" s="13" t="str">
        <x:v>Incumplimiento del procedimiento seguro y supervisión insuficiente</x:v>
      </x:c>
      <x:c r="AF14" s="13" t="str">
        <x:v>Programar mantenimiento correctivo del elemento involucrado</x:v>
      </x:c>
      <x:c r="AG14" s="13" t="str">
        <x:v>Analista SST</x:v>
      </x:c>
      <x:c r="AH14" s="30" t="n">
        <x:v>45092</x:v>
      </x:c>
      <x:c r="AI14" s="30" t="str">
        <x:v>En seguimiento</x:v>
      </x:c>
      <x:c r="AJ14" s="30"/>
      <x:c r="AK14" s="13" t="str">
        <x:f>IF(OR(AI14&lt;&gt;"Cerrada",AJ14="",AH14=""),"No",IF(AJ14&lt;=AH14,"Sí","No"))</x:f>
        <x:v>No</x:v>
      </x:c>
      <x:c r="AL14" s="13" t="str">
        <x:v>Pendiente verificación</x:v>
      </x:c>
      <x:c r="AM14" s="13" t="str">
        <x:v>En seguimiento</x:v>
      </x:c>
      <x:c r="AN14" s="13" t="str">
        <x:v>Se vincula acción al plan de mejora del proceso.</x:v>
      </x:c>
    </x:row>
    <x:row r="15">
      <x:c r="A15" s="13" t="n">
        <x:v>2023</x:v>
      </x:c>
      <x:c r="B15" s="13" t="str">
        <x:v>AT-2023-023</x:v>
      </x:c>
      <x:c r="C15" s="30" t="n">
        <x:v>45077</x:v>
      </x:c>
      <x:c r="D15" s="13" t="str">
        <x:v>13:45</x:v>
      </x:c>
      <x:c r="E15" s="13" t="str">
        <x:v>Mayo</x:v>
      </x:c>
      <x:c r="F15" s="13" t="str">
        <x:v>Girón</x:v>
      </x:c>
      <x:c r="G15" s="13" t="str">
        <x:v>Monitoreo</x:v>
      </x:c>
      <x:c r="H15" s="13" t="str">
        <x:v>Natalia Fernanda García</x:v>
      </x:c>
      <x:c r="I15" s="13" t="str">
        <x:v>88076268</x:v>
      </x:c>
      <x:c r="J15" s="13" t="str">
        <x:v>Analista SST</x:v>
      </x:c>
      <x:c r="K15" s="13" t="str">
        <x:v>Término indefinido</x:v>
      </x:c>
      <x:c r="L15" s="13" t="str">
        <x:v>ARL SURA</x:v>
      </x:c>
      <x:c r="M15" s="13" t="str">
        <x:v>Con incapacidad</x:v>
      </x:c>
      <x:c r="N15" s="13" t="str">
        <x:v>Trabajador reporta lesión tipo golpe leve durante servicio en puesto asignado por accidente de tránsito.</x:v>
      </x:c>
      <x:c r="O15" s="13" t="str">
        <x:v>Accidente de tránsito</x:v>
      </x:c>
      <x:c r="P15" s="13" t="str">
        <x:v>Escritorio</x:v>
      </x:c>
      <x:c r="Q15" s="13" t="str">
        <x:v>Cuarto técnico</x:v>
      </x:c>
      <x:c r="R15" s="13" t="str">
        <x:v>Espalda baja</x:v>
      </x:c>
      <x:c r="S15" s="13" t="str">
        <x:v>Golpe leve</x:v>
      </x:c>
      <x:c r="T15" s="13" t="n">
        <x:v>5</x:v>
      </x:c>
      <x:c r="U15" s="13" t="n">
        <x:f>IF(M15="Sin incapacidad",0,T15)</x:f>
        <x:v>5</x:v>
      </x:c>
      <x:c r="V15" s="13" t="str">
        <x:v>Sí</x:v>
      </x:c>
      <x:c r="W15" s="30" t="n">
        <x:v>45078</x:v>
      </x:c>
      <x:c r="X15" s="30" t="str">
        <x:v>Sí</x:v>
      </x:c>
      <x:c r="Y15" s="30" t="n">
        <x:v>45079</x:v>
      </x:c>
      <x:c r="Z15" s="13" t="str">
        <x:v>COPASST + SST</x:v>
      </x:c>
      <x:c r="AA15" s="13" t="str">
        <x:v>Distracción durante la labor</x:v>
      </x:c>
      <x:c r="AB15" s="13" t="str">
        <x:v>Iluminación insuficiente</x:v>
      </x:c>
      <x:c r="AC15" s="13" t="str">
        <x:v>Capacitación insuficiente</x:v>
      </x:c>
      <x:c r="AD15" s="13" t="str">
        <x:v>Control operativo insuficiente</x:v>
      </x:c>
      <x:c r="AE15" s="13" t="str">
        <x:v>Incumplimiento del procedimiento seguro y supervisión insuficiente</x:v>
      </x:c>
      <x:c r="AF15" s="13" t="str">
        <x:v>Ejecutar inspección locativa y corrección inmediata del peligro</x:v>
      </x:c>
      <x:c r="AG15" s="13" t="str">
        <x:v>Supervisor Operativo</x:v>
      </x:c>
      <x:c r="AH15" s="30" t="n">
        <x:v>45109</x:v>
      </x:c>
      <x:c r="AI15" s="30" t="str">
        <x:v>Cerrada</x:v>
      </x:c>
      <x:c r="AJ15" s="30" t="n">
        <x:v>45105</x:v>
      </x:c>
      <x:c r="AK15" s="13" t="str">
        <x:f>IF(OR(AI15&lt;&gt;"Cerrada",AJ15="",AH15=""),"No",IF(AJ15&lt;=AH15,"Sí","No"))</x:f>
        <x:v>Sí</x:v>
      </x:c>
      <x:c r="AL15" s="13" t="str">
        <x:v>Pendiente verificación</x:v>
      </x:c>
      <x:c r="AM15" s="13" t="str">
        <x:v>Cerrado</x:v>
      </x:c>
      <x:c r="AN15" s="13" t="str">
        <x:v>Se realiza seguimiento por SST y jefe inmediato.</x:v>
      </x:c>
    </x:row>
    <x:row r="16">
      <x:c r="A16" s="13" t="n">
        <x:v>2023</x:v>
      </x:c>
      <x:c r="B16" s="13" t="str">
        <x:v>AT-2023-028</x:v>
      </x:c>
      <x:c r="C16" s="30" t="n">
        <x:v>45095</x:v>
      </x:c>
      <x:c r="D16" s="13" t="str">
        <x:v>19:50</x:v>
      </x:c>
      <x:c r="E16" s="13" t="str">
        <x:v>Junio</x:v>
      </x:c>
      <x:c r="F16" s="13" t="str">
        <x:v>Valledupar</x:v>
      </x:c>
      <x:c r="G16" s="13" t="str">
        <x:v>Supervisión</x:v>
      </x:c>
      <x:c r="H16" s="13" t="str">
        <x:v>Claudia Patricia Solano</x:v>
      </x:c>
      <x:c r="I16" s="13" t="str">
        <x:v>88075924</x:v>
      </x:c>
      <x:c r="J16" s="13" t="str">
        <x:v>Conductor</x:v>
      </x:c>
      <x:c r="K16" s="13" t="str">
        <x:v>Término indefinido</x:v>
      </x:c>
      <x:c r="L16" s="13" t="str">
        <x:v>ARL SURA</x:v>
      </x:c>
      <x:c r="M16" s="13" t="str">
        <x:v>Con incapacidad</x:v>
      </x:c>
      <x:c r="N16" s="13" t="str">
        <x:v>En desarrollo de actividades de supervisión, se presentó evento por golpeado por/contra asociado a andén irregular.</x:v>
      </x:c>
      <x:c r="O16" s="13" t="str">
        <x:v>Golpeado por/contra</x:v>
      </x:c>
      <x:c r="P16" s="13" t="str">
        <x:v>Andén irregular</x:v>
      </x:c>
      <x:c r="Q16" s="13" t="str">
        <x:v>Recepción</x:v>
      </x:c>
      <x:c r="R16" s="13" t="str">
        <x:v>Cervical</x:v>
      </x:c>
      <x:c r="S16" s="13" t="str">
        <x:v>Contractura muscular</x:v>
      </x:c>
      <x:c r="T16" s="13" t="n">
        <x:v>1</x:v>
      </x:c>
      <x:c r="U16" s="13" t="n">
        <x:f>IF(M16="Sin incapacidad",0,T16)</x:f>
        <x:v>1</x:v>
      </x:c>
      <x:c r="V16" s="13" t="str">
        <x:v>Sí</x:v>
      </x:c>
      <x:c r="W16" s="30" t="n">
        <x:v>45097</x:v>
      </x:c>
      <x:c r="X16" s="30" t="str">
        <x:v>Sí</x:v>
      </x:c>
      <x:c r="Y16" s="30" t="n">
        <x:v>45096</x:v>
      </x:c>
      <x:c r="Z16" s="13" t="str">
        <x:v>COPASST + SST</x:v>
      </x:c>
      <x:c r="AA16" s="13" t="str">
        <x:v>Distracción durante la labor</x:v>
      </x:c>
      <x:c r="AB16" s="13" t="str">
        <x:v>Cable expuesto</x:v>
      </x:c>
      <x:c r="AC16" s="13" t="str">
        <x:v>Capacitación insuficiente</x:v>
      </x:c>
      <x:c r="AD16" s="13" t="str">
        <x:v>Carga laboral elevada</x:v>
      </x:c>
      <x:c r="AE16" s="13" t="str">
        <x:v>Control operativo insuficiente frente a condición locativa</x:v>
      </x:c>
      <x:c r="AF16" s="13" t="str">
        <x:v>Ejecutar inspección locativa y corrección inmediata del peligro</x:v>
      </x:c>
      <x:c r="AG16" s="13" t="str">
        <x:v>Jefe de Operaciones</x:v>
      </x:c>
      <x:c r="AH16" s="30" t="n">
        <x:v>45111</x:v>
      </x:c>
      <x:c r="AI16" s="30" t="str">
        <x:v>En seguimiento</x:v>
      </x:c>
      <x:c r="AJ16" s="30"/>
      <x:c r="AK16" s="13" t="str">
        <x:f>IF(OR(AI16&lt;&gt;"Cerrada",AJ16="",AH16=""),"No",IF(AJ16&lt;=AH16,"Sí","No"))</x:f>
        <x:v>No</x:v>
      </x:c>
      <x:c r="AL16" s="13" t="str">
        <x:v>Pendiente verificación</x:v>
      </x:c>
      <x:c r="AM16" s="13" t="str">
        <x:v>En seguimiento</x:v>
      </x:c>
      <x:c r="AN16" s="13" t="str">
        <x:v>Se realiza seguimiento por SST y jefe inmediato.</x:v>
      </x:c>
    </x:row>
    <x:row r="17">
      <x:c r="A17" s="13" t="n">
        <x:v>2023</x:v>
      </x:c>
      <x:c r="B17" s="13" t="str">
        <x:v>AT-2023-002</x:v>
      </x:c>
      <x:c r="C17" s="30" t="n">
        <x:v>45121</x:v>
      </x:c>
      <x:c r="D17" s="13" t="str">
        <x:v>09:40</x:v>
      </x:c>
      <x:c r="E17" s="13" t="str">
        <x:v>Julio</x:v>
      </x:c>
      <x:c r="F17" s="13" t="str">
        <x:v>Arauca</x:v>
      </x:c>
      <x:c r="G17" s="13" t="str">
        <x:v>Central de Alarmas</x:v>
      </x:c>
      <x:c r="H17" s="13" t="str">
        <x:v>María Camila Rojas</x:v>
      </x:c>
      <x:c r="I17" s="13" t="str">
        <x:v>88075474</x:v>
      </x:c>
      <x:c r="J17" s="13" t="str">
        <x:v>Analista SST</x:v>
      </x:c>
      <x:c r="K17" s="13" t="str">
        <x:v>Término indefinido</x:v>
      </x:c>
      <x:c r="L17" s="13" t="str">
        <x:v>ARL SURA</x:v>
      </x:c>
      <x:c r="M17" s="13" t="str">
        <x:v>Sin incapacidad</x:v>
      </x:c>
      <x:c r="N17" s="13" t="str">
        <x:v>En desarrollo de actividades de central de alarmas, se presentó evento por caída al mismo nivel asociado a puerta metálica.</x:v>
      </x:c>
      <x:c r="O17" s="13" t="str">
        <x:v>Caída al mismo nivel</x:v>
      </x:c>
      <x:c r="P17" s="13" t="str">
        <x:v>Puerta metálica</x:v>
      </x:c>
      <x:c r="Q17" s="13" t="str">
        <x:v>Parqueadero</x:v>
      </x:c>
      <x:c r="R17" s="13" t="str">
        <x:v>Brazo</x:v>
      </x:c>
      <x:c r="S17" s="13" t="str">
        <x:v>Trauma ocular leve</x:v>
      </x:c>
      <x:c r="T17" s="13" t="n">
        <x:v>0</x:v>
      </x:c>
      <x:c r="U17" s="13" t="n">
        <x:f>IF(M17="Sin incapacidad",0,T17)</x:f>
        <x:v>0</x:v>
      </x:c>
      <x:c r="V17" s="13" t="str">
        <x:v>Sí</x:v>
      </x:c>
      <x:c r="W17" s="30" t="n">
        <x:v>45123</x:v>
      </x:c>
      <x:c r="X17" s="30" t="str">
        <x:v>Sí</x:v>
      </x:c>
      <x:c r="Y17" s="30" t="n">
        <x:v>45123</x:v>
      </x:c>
      <x:c r="Z17" s="13" t="str">
        <x:v>Jefe inmediato + SST</x:v>
      </x:c>
      <x:c r="AA17" s="13" t="str">
        <x:v>Uso inadecuado del EPP</x:v>
      </x:c>
      <x:c r="AB17" s="13" t="str">
        <x:v>Vía en mal estado</x:v>
      </x:c>
      <x:c r="AC17" s="13" t="str">
        <x:v>Fatiga</x:v>
      </x:c>
      <x:c r="AD17" s="13" t="str">
        <x:v>Deficiencia en supervisión</x:v>
      </x:c>
      <x:c r="AE17" s="13" t="str">
        <x:v>Control operativo insuficiente frente a condición locativa</x:v>
      </x:c>
      <x:c r="AF17" s="13" t="str">
        <x:v>Reforzar supervisión operativa y seguimiento al uso de EPP</x:v>
      </x:c>
      <x:c r="AG17" s="13" t="str">
        <x:v>Jefe de Operaciones</x:v>
      </x:c>
      <x:c r="AH17" s="30" t="n">
        <x:v>45153</x:v>
      </x:c>
      <x:c r="AI17" s="30" t="str">
        <x:v>Cerrada</x:v>
      </x:c>
      <x:c r="AJ17" s="30" t="n">
        <x:v>45153</x:v>
      </x:c>
      <x:c r="AK17" s="13" t="str">
        <x:f>IF(OR(AI17&lt;&gt;"Cerrada",AJ17="",AH17=""),"No",IF(AJ17&lt;=AH17,"Sí","No"))</x:f>
        <x:v>Sí</x:v>
      </x:c>
      <x:c r="AL17" s="13" t="str">
        <x:v>Sí</x:v>
      </x:c>
      <x:c r="AM17" s="13" t="str">
        <x:v>Cerrado</x:v>
      </x:c>
      <x:c r="AN17" s="13" t="str">
        <x:v>Se vincula acción al plan de mejora del proceso.</x:v>
      </x:c>
    </x:row>
    <x:row r="18">
      <x:c r="A18" s="13" t="n">
        <x:v>2023</x:v>
      </x:c>
      <x:c r="B18" s="13" t="str">
        <x:v>AT-2023-009</x:v>
      </x:c>
      <x:c r="C18" s="30" t="n">
        <x:v>45126</x:v>
      </x:c>
      <x:c r="D18" s="13" t="str">
        <x:v>14:50</x:v>
      </x:c>
      <x:c r="E18" s="13" t="str">
        <x:v>Julio</x:v>
      </x:c>
      <x:c r="F18" s="13" t="str">
        <x:v>Valledupar</x:v>
      </x:c>
      <x:c r="G18" s="13" t="str">
        <x:v>Transporte de Valores</x:v>
      </x:c>
      <x:c r="H18" s="13" t="str">
        <x:v>Maribel Rocío Acevedo</x:v>
      </x:c>
      <x:c r="I18" s="13" t="str">
        <x:v>88075378</x:v>
      </x:c>
      <x:c r="J18" s="13" t="str">
        <x:v>Operador de Medios Tecnológicos</x:v>
      </x:c>
      <x:c r="K18" s="13" t="str">
        <x:v>Término indefinido</x:v>
      </x:c>
      <x:c r="L18" s="13" t="str">
        <x:v>ARL SURA</x:v>
      </x:c>
      <x:c r="M18" s="13" t="str">
        <x:v>Sin incapacidad</x:v>
      </x:c>
      <x:c r="N18" s="13" t="str">
        <x:v>Trabajador reporta lesión tipo trauma ocular leve durante servicio en puesto asignado por sobreesfuerzo o esfuerzo excesivo.</x:v>
      </x:c>
      <x:c r="O18" s="13" t="str">
        <x:v>Sobreesfuerzo o esfuerzo excesivo</x:v>
      </x:c>
      <x:c r="P18" s="13" t="str">
        <x:v>Arma de dotación</x:v>
      </x:c>
      <x:c r="Q18" s="13" t="str">
        <x:v>Puesto de vigilancia</x:v>
      </x:c>
      <x:c r="R18" s="13" t="str">
        <x:v>Mano</x:v>
      </x:c>
      <x:c r="S18" s="13" t="str">
        <x:v>Trauma ocular leve</x:v>
      </x:c>
      <x:c r="T18" s="13" t="n">
        <x:v>0</x:v>
      </x:c>
      <x:c r="U18" s="13" t="n">
        <x:f>IF(M18="Sin incapacidad",0,T18)</x:f>
        <x:v>0</x:v>
      </x:c>
      <x:c r="V18" s="13" t="str">
        <x:v>Sí</x:v>
      </x:c>
      <x:c r="W18" s="30" t="n">
        <x:v>45126</x:v>
      </x:c>
      <x:c r="X18" s="30" t="str">
        <x:v>Sí</x:v>
      </x:c>
      <x:c r="Y18" s="30" t="n">
        <x:v>45134</x:v>
      </x:c>
      <x:c r="Z18" s="13" t="str">
        <x:v>COPASST + SST</x:v>
      </x:c>
      <x:c r="AA18" s="13" t="str">
        <x:v>No asegurar postura adecuada</x:v>
      </x:c>
      <x:c r="AB18" s="13" t="str">
        <x:v>Iluminación insuficiente</x:v>
      </x:c>
      <x:c r="AC18" s="13" t="str">
        <x:v>Falta de atención</x:v>
      </x:c>
      <x:c r="AD18" s="13" t="str">
        <x:v>Falta de mantenimiento</x:v>
      </x:c>
      <x:c r="AE18" s="13" t="str">
        <x:v>Falta de inspección previa y gestión tardía del peligro</x:v>
      </x:c>
      <x:c r="AF18" s="13" t="str">
        <x:v>Realizar capacitación focalizada y socialización de lección aprendida</x:v>
      </x:c>
      <x:c r="AG18" s="13" t="str">
        <x:v>Líder de Mantenimiento</x:v>
      </x:c>
      <x:c r="AH18" s="30" t="n">
        <x:v>45149</x:v>
      </x:c>
      <x:c r="AI18" s="30" t="str">
        <x:v>Cerrada</x:v>
      </x:c>
      <x:c r="AJ18" s="30" t="n">
        <x:v>45145</x:v>
      </x:c>
      <x:c r="AK18" s="13" t="str">
        <x:f>IF(OR(AI18&lt;&gt;"Cerrada",AJ18="",AH18=""),"No",IF(AJ18&lt;=AH18,"Sí","No"))</x:f>
        <x:v>Sí</x:v>
      </x:c>
      <x:c r="AL18" s="13" t="str">
        <x:v>Sí</x:v>
      </x:c>
      <x:c r="AM18" s="13" t="str">
        <x:v>Cerrado</x:v>
      </x:c>
      <x:c r="AN18" s="13" t="str">
        <x:v>Se realiza seguimiento por SST y jefe inmediato.</x:v>
      </x:c>
    </x:row>
    <x:row r="19">
      <x:c r="A19" s="13" t="n">
        <x:v>2023</x:v>
      </x:c>
      <x:c r="B19" s="13" t="str">
        <x:v>AT-2023-015</x:v>
      </x:c>
      <x:c r="C19" s="30" t="n">
        <x:v>45133</x:v>
      </x:c>
      <x:c r="D19" s="13" t="str">
        <x:v>15:15</x:v>
      </x:c>
      <x:c r="E19" s="13" t="str">
        <x:v>Julio</x:v>
      </x:c>
      <x:c r="F19" s="13" t="str">
        <x:v>Girón</x:v>
      </x:c>
      <x:c r="G19" s="13" t="str">
        <x:v>Transporte de Valores</x:v>
      </x:c>
      <x:c r="H19" s="13" t="str">
        <x:v>Edwin Mauricio Rodríguez</x:v>
      </x:c>
      <x:c r="I19" s="13" t="str">
        <x:v>88076036</x:v>
      </x:c>
      <x:c r="J19" s="13" t="str">
        <x:v>Operador de Medios Tecnológicos</x:v>
      </x:c>
      <x:c r="K19" s="13" t="str">
        <x:v>Término indefinido</x:v>
      </x:c>
      <x:c r="L19" s="13" t="str">
        <x:v>ARL SURA</x:v>
      </x:c>
      <x:c r="M19" s="13" t="str">
        <x:v>Con incapacidad</x:v>
      </x:c>
      <x:c r="N19" s="13" t="str">
        <x:v>Trabajador reporta lesión tipo herida superficial durante servicio en puesto asignado por exposición a temperatura.</x:v>
      </x:c>
      <x:c r="O19" s="13" t="str">
        <x:v>Exposición a temperatura</x:v>
      </x:c>
      <x:c r="P19" s="13" t="str">
        <x:v>Puerta metálica</x:v>
      </x:c>
      <x:c r="Q19" s="13" t="str">
        <x:v>Zona común del cliente</x:v>
      </x:c>
      <x:c r="R19" s="13" t="str">
        <x:v>Tobillo</x:v>
      </x:c>
      <x:c r="S19" s="13" t="str">
        <x:v>Herida superficial</x:v>
      </x:c>
      <x:c r="T19" s="13" t="n">
        <x:v>10</x:v>
      </x:c>
      <x:c r="U19" s="13" t="n">
        <x:f>IF(M19="Sin incapacidad",0,T19)</x:f>
        <x:v>10</x:v>
      </x:c>
      <x:c r="V19" s="13" t="str">
        <x:v>Sí</x:v>
      </x:c>
      <x:c r="W19" s="30" t="n">
        <x:v>45135</x:v>
      </x:c>
      <x:c r="X19" s="30" t="str">
        <x:v>Sí</x:v>
      </x:c>
      <x:c r="Y19" s="30" t="n">
        <x:v>45139</x:v>
      </x:c>
      <x:c r="Z19" s="13" t="str">
        <x:v>Coordinador SST + Operaciones</x:v>
      </x:c>
      <x:c r="AA19" s="13" t="str">
        <x:v>No reportar condición insegura</x:v>
      </x:c>
      <x:c r="AB19" s="13" t="str">
        <x:v>Cable expuesto</x:v>
      </x:c>
      <x:c r="AC19" s="13" t="str">
        <x:v>Capacitación insuficiente</x:v>
      </x:c>
      <x:c r="AD19" s="13" t="str">
        <x:v>Deficiencia en supervisión</x:v>
      </x:c>
      <x:c r="AE19" s="13" t="str">
        <x:v>Falta de inspección previa y gestión tardía del peligro</x:v>
      </x:c>
      <x:c r="AF19" s="13" t="str">
        <x:v>Reforzar supervisión operativa y seguimiento al uso de EPP</x:v>
      </x:c>
      <x:c r="AG19" s="13" t="str">
        <x:v>Líder de Mantenimiento</x:v>
      </x:c>
      <x:c r="AH19" s="30" t="n">
        <x:v>45154</x:v>
      </x:c>
      <x:c r="AI19" s="30" t="str">
        <x:v>Cerrada</x:v>
      </x:c>
      <x:c r="AJ19" s="30" t="n">
        <x:v>45155</x:v>
      </x:c>
      <x:c r="AK19" s="13" t="str">
        <x:f>IF(OR(AI19&lt;&gt;"Cerrada",AJ19="",AH19=""),"No",IF(AJ19&lt;=AH19,"Sí","No"))</x:f>
        <x:v>No</x:v>
      </x:c>
      <x:c r="AL19" s="13" t="str">
        <x:v>Sí</x:v>
      </x:c>
      <x:c r="AM19" s="13" t="str">
        <x:v>Cerrado</x:v>
      </x:c>
      <x:c r="AN19" s="13" t="str">
        <x:v>Se realiza seguimiento por SST y jefe inmediato.</x:v>
      </x:c>
    </x:row>
    <x:row r="20">
      <x:c r="A20" s="13" t="n">
        <x:v>2023</x:v>
      </x:c>
      <x:c r="B20" s="13" t="str">
        <x:v>AT-2023-010</x:v>
      </x:c>
      <x:c r="C20" s="30" t="n">
        <x:v>45141</x:v>
      </x:c>
      <x:c r="D20" s="13" t="str">
        <x:v>16:30</x:v>
      </x:c>
      <x:c r="E20" s="13" t="str">
        <x:v>Agosto</x:v>
      </x:c>
      <x:c r="F20" s="13" t="str">
        <x:v>Girón</x:v>
      </x:c>
      <x:c r="G20" s="13" t="str">
        <x:v>Supervisión</x:v>
      </x:c>
      <x:c r="H20" s="13" t="str">
        <x:v>Wilson David Quintero</x:v>
      </x:c>
      <x:c r="I20" s="13" t="str">
        <x:v>88075492</x:v>
      </x:c>
      <x:c r="J20" s="13" t="str">
        <x:v>Escolta</x:v>
      </x:c>
      <x:c r="K20" s="13" t="str">
        <x:v>Término indefinido</x:v>
      </x:c>
      <x:c r="L20" s="13" t="str">
        <x:v>ARL SURA</x:v>
      </x:c>
      <x:c r="M20" s="13" t="str">
        <x:v>Con incapacidad</x:v>
      </x:c>
      <x:c r="N20" s="13" t="str">
        <x:v>Trabajador reporta lesión tipo contusión durante servicio en puesto asignado por golpeado por/contra.</x:v>
      </x:c>
      <x:c r="O20" s="13" t="str">
        <x:v>Golpeado por/contra</x:v>
      </x:c>
      <x:c r="P20" s="13" t="str">
        <x:v>Escritorio</x:v>
      </x:c>
      <x:c r="Q20" s="13" t="str">
        <x:v>Cuarto técnico</x:v>
      </x:c>
      <x:c r="R20" s="13" t="str">
        <x:v>Muñeca</x:v>
      </x:c>
      <x:c r="S20" s="13" t="str">
        <x:v>Contusión</x:v>
      </x:c>
      <x:c r="T20" s="13" t="n">
        <x:v>12</x:v>
      </x:c>
      <x:c r="U20" s="13" t="n">
        <x:f>IF(M20="Sin incapacidad",0,T20)</x:f>
        <x:v>12</x:v>
      </x:c>
      <x:c r="V20" s="13" t="str">
        <x:v>Sí</x:v>
      </x:c>
      <x:c r="W20" s="30" t="n">
        <x:v>45143</x:v>
      </x:c>
      <x:c r="X20" s="30" t="str">
        <x:v>No</x:v>
      </x:c>
      <x:c r="Y20" s="30"/>
      <x:c r="Z20" s="13" t="str">
        <x:v>Jefe inmediato + SST</x:v>
      </x:c>
      <x:c r="AA20" s="13" t="str">
        <x:v>Desplazamiento apresurado</x:v>
      </x:c>
      <x:c r="AB20" s="13" t="str">
        <x:v>Señalización insuficiente</x:v>
      </x:c>
      <x:c r="AC20" s="13" t="str">
        <x:v>Apuro operativo</x:v>
      </x:c>
      <x:c r="AD20" s="13" t="str">
        <x:v>Procedimiento no actualizado</x:v>
      </x:c>
      <x:c r="AE20" s="13" t="str">
        <x:v>Incumplimiento del procedimiento seguro y supervisión insuficiente</x:v>
      </x:c>
      <x:c r="AF20" s="13" t="str">
        <x:v>Actualizar procedimiento seguro de trabajo y verificar cumplimiento</x:v>
      </x:c>
      <x:c r="AG20" s="13" t="str">
        <x:v>Coordinador SST</x:v>
      </x:c>
      <x:c r="AH20" s="30" t="n">
        <x:v>45156</x:v>
      </x:c>
      <x:c r="AI20" s="30" t="str">
        <x:v>Cerrada</x:v>
      </x:c>
      <x:c r="AJ20" s="30" t="n">
        <x:v>45159</x:v>
      </x:c>
      <x:c r="AK20" s="13" t="str">
        <x:f>IF(OR(AI20&lt;&gt;"Cerrada",AJ20="",AH20=""),"No",IF(AJ20&lt;=AH20,"Sí","No"))</x:f>
        <x:v>No</x:v>
      </x:c>
      <x:c r="AL20" s="13" t="str">
        <x:v>Sí</x:v>
      </x:c>
      <x:c r="AM20" s="13" t="str">
        <x:v>Cerrado</x:v>
      </x:c>
      <x:c r="AN20" s="13" t="str">
        <x:v>Se realiza seguimiento por SST y jefe inmediato.</x:v>
      </x:c>
    </x:row>
    <x:row r="21">
      <x:c r="A21" s="13" t="n">
        <x:v>2023</x:v>
      </x:c>
      <x:c r="B21" s="13" t="str">
        <x:v>AT-2023-017</x:v>
      </x:c>
      <x:c r="C21" s="30" t="n">
        <x:v>45164</x:v>
      </x:c>
      <x:c r="D21" s="13" t="str">
        <x:v>16:50</x:v>
      </x:c>
      <x:c r="E21" s="13" t="str">
        <x:v>Agosto</x:v>
      </x:c>
      <x:c r="F21" s="13" t="str">
        <x:v>Ábrego</x:v>
      </x:c>
      <x:c r="G21" s="13" t="str">
        <x:v>Mantenimiento</x:v>
      </x:c>
      <x:c r="H21" s="13" t="str">
        <x:v>Ángela María Villamizar</x:v>
      </x:c>
      <x:c r="I21" s="13" t="str">
        <x:v>88075936</x:v>
      </x:c>
      <x:c r="J21" s="13" t="str">
        <x:v>Conductor</x:v>
      </x:c>
      <x:c r="K21" s="13" t="str">
        <x:v>Término fijo</x:v>
      </x:c>
      <x:c r="L21" s="13" t="str">
        <x:v>ARL SURA</x:v>
      </x:c>
      <x:c r="M21" s="13" t="str">
        <x:v>Sin incapacidad</x:v>
      </x:c>
      <x:c r="N21" s="13" t="str">
        <x:v>Durante ronda de vigilancia en ábrego, el trabajador sufrió luxación por sobreesfuerzo o esfuerzo excesivo.</x:v>
      </x:c>
      <x:c r="O21" s="13" t="str">
        <x:v>Sobreesfuerzo o esfuerzo excesivo</x:v>
      </x:c>
      <x:c r="P21" s="13" t="str">
        <x:v>Puerta metálica</x:v>
      </x:c>
      <x:c r="Q21" s="13" t="str">
        <x:v>Área administrativa</x:v>
      </x:c>
      <x:c r="R21" s="13" t="str">
        <x:v>Rodilla</x:v>
      </x:c>
      <x:c r="S21" s="13" t="str">
        <x:v>Luxación</x:v>
      </x:c>
      <x:c r="T21" s="13" t="n">
        <x:v>0</x:v>
      </x:c>
      <x:c r="U21" s="13" t="n">
        <x:f>IF(M21="Sin incapacidad",0,T21)</x:f>
        <x:v>0</x:v>
      </x:c>
      <x:c r="V21" s="13" t="str">
        <x:v>Sí</x:v>
      </x:c>
      <x:c r="W21" s="30" t="n">
        <x:v>45166</x:v>
      </x:c>
      <x:c r="X21" s="30" t="str">
        <x:v>Sí</x:v>
      </x:c>
      <x:c r="Y21" s="30" t="n">
        <x:v>45168</x:v>
      </x:c>
      <x:c r="Z21" s="13" t="str">
        <x:v>Supervisor + Analista SST</x:v>
      </x:c>
      <x:c r="AA21" s="13" t="str">
        <x:v>No reportar condición insegura</x:v>
      </x:c>
      <x:c r="AB21" s="13" t="str">
        <x:v>Iluminación insuficiente</x:v>
      </x:c>
      <x:c r="AC21" s="13" t="str">
        <x:v>Capacitación insuficiente</x:v>
      </x:c>
      <x:c r="AD21" s="13" t="str">
        <x:v>Procedimiento no actualizado</x:v>
      </x:c>
      <x:c r="AE21" s="13" t="str">
        <x:v>Incumplimiento del procedimiento seguro y supervisión insuficiente</x:v>
      </x:c>
      <x:c r="AF21" s="13" t="str">
        <x:v>Actualizar procedimiento seguro de trabajo y verificar cumplimiento</x:v>
      </x:c>
      <x:c r="AG21" s="13" t="str">
        <x:v>Jefe de Operaciones</x:v>
      </x:c>
      <x:c r="AH21" s="30" t="n">
        <x:v>45188</x:v>
      </x:c>
      <x:c r="AI21" s="30" t="str">
        <x:v>En seguimiento</x:v>
      </x:c>
      <x:c r="AJ21" s="30"/>
      <x:c r="AK21" s="13" t="str">
        <x:f>IF(OR(AI21&lt;&gt;"Cerrada",AJ21="",AH21=""),"No",IF(AJ21&lt;=AH21,"Sí","No"))</x:f>
        <x:v>No</x:v>
      </x:c>
      <x:c r="AL21" s="13" t="str">
        <x:v>Pendiente verificación</x:v>
      </x:c>
      <x:c r="AM21" s="13" t="str">
        <x:v>En seguimiento</x:v>
      </x:c>
      <x:c r="AN21" s="13" t="str">
        <x:v>Se deja lección aprendida socializada en charla preoperacional.</x:v>
      </x:c>
    </x:row>
    <x:row r="22">
      <x:c r="A22" s="13" t="n">
        <x:v>2023</x:v>
      </x:c>
      <x:c r="B22" s="13" t="str">
        <x:v>AT-2023-031</x:v>
      </x:c>
      <x:c r="C22" s="30" t="n">
        <x:v>45169</x:v>
      </x:c>
      <x:c r="D22" s="13" t="str">
        <x:v>18:45</x:v>
      </x:c>
      <x:c r="E22" s="13" t="str">
        <x:v>Agosto</x:v>
      </x:c>
      <x:c r="F22" s="13" t="str">
        <x:v>Pamplona</x:v>
      </x:c>
      <x:c r="G22" s="13" t="str">
        <x:v>Talento Humano</x:v>
      </x:c>
      <x:c r="H22" s="13" t="str">
        <x:v>Jorge Enrique Suárez</x:v>
      </x:c>
      <x:c r="I22" s="13" t="str">
        <x:v>88076985</x:v>
      </x:c>
      <x:c r="J22" s="13" t="str">
        <x:v>Analista SST</x:v>
      </x:c>
      <x:c r="K22" s="13" t="str">
        <x:v>Término indefinido</x:v>
      </x:c>
      <x:c r="L22" s="13" t="str">
        <x:v>ARL SURA</x:v>
      </x:c>
      <x:c r="M22" s="13" t="str">
        <x:v>Con incapacidad</x:v>
      </x:c>
      <x:c r="N22" s="13" t="str">
        <x:v>Trabajador reporta lesión tipo esguince durante servicio en puesto asignado por sobreesfuerzo o esfuerzo excesivo.</x:v>
      </x:c>
      <x:c r="O22" s="13" t="str">
        <x:v>Sobreesfuerzo o esfuerzo excesivo</x:v>
      </x:c>
      <x:c r="P22" s="13" t="str">
        <x:v>Escalera</x:v>
      </x:c>
      <x:c r="Q22" s="13" t="str">
        <x:v>Vía pública en ronda</x:v>
      </x:c>
      <x:c r="R22" s="13" t="str">
        <x:v>Ojo</x:v>
      </x:c>
      <x:c r="S22" s="13" t="str">
        <x:v>Esguince</x:v>
      </x:c>
      <x:c r="T22" s="13" t="n">
        <x:v>15</x:v>
      </x:c>
      <x:c r="U22" s="13" t="n">
        <x:f>IF(M22="Sin incapacidad",0,T22)</x:f>
        <x:v>15</x:v>
      </x:c>
      <x:c r="V22" s="13" t="str">
        <x:v>Sí</x:v>
      </x:c>
      <x:c r="W22" s="30" t="n">
        <x:v>45170</x:v>
      </x:c>
      <x:c r="X22" s="30" t="str">
        <x:v>Sí</x:v>
      </x:c>
      <x:c r="Y22" s="30" t="n">
        <x:v>45172</x:v>
      </x:c>
      <x:c r="Z22" s="13" t="str">
        <x:v>Coordinador SST + Operaciones</x:v>
      </x:c>
      <x:c r="AA22" s="13" t="str">
        <x:v>Omisión de inspección previa</x:v>
      </x:c>
      <x:c r="AB22" s="13" t="str">
        <x:v>Iluminación insuficiente</x:v>
      </x:c>
      <x:c r="AC22" s="13" t="str">
        <x:v>Postura inadecuada</x:v>
      </x:c>
      <x:c r="AD22" s="13" t="str">
        <x:v>Procedimiento no actualizado</x:v>
      </x:c>
      <x:c r="AE22" s="13" t="str">
        <x:v>Mantenimiento deficiente y ausencia de corrección oportuna</x:v>
      </x:c>
      <x:c r="AF22" s="13" t="str">
        <x:v>Programar mantenimiento correctivo del elemento involucrado</x:v>
      </x:c>
      <x:c r="AG22" s="13" t="str">
        <x:v>Líder de Mantenimiento</x:v>
      </x:c>
      <x:c r="AH22" s="30" t="n">
        <x:v>45202</x:v>
      </x:c>
      <x:c r="AI22" s="30" t="str">
        <x:v>Cerrada</x:v>
      </x:c>
      <x:c r="AJ22" s="30" t="n">
        <x:v>45194</x:v>
      </x:c>
      <x:c r="AK22" s="13" t="str">
        <x:f>IF(OR(AI22&lt;&gt;"Cerrada",AJ22="",AH22=""),"No",IF(AJ22&lt;=AH22,"Sí","No"))</x:f>
        <x:v>Sí</x:v>
      </x:c>
      <x:c r="AL22" s="13" t="str">
        <x:v>Sí</x:v>
      </x:c>
      <x:c r="AM22" s="13" t="str">
        <x:v>Cerrado</x:v>
      </x:c>
      <x:c r="AN22" s="13" t="str">
        <x:v>Se vincula acción al plan de mejora del proceso.</x:v>
      </x:c>
    </x:row>
    <x:row r="23">
      <x:c r="A23" s="13" t="n">
        <x:v>2023</x:v>
      </x:c>
      <x:c r="B23" s="13" t="str">
        <x:v>AT-2023-027</x:v>
      </x:c>
      <x:c r="C23" s="30" t="n">
        <x:v>45183</x:v>
      </x:c>
      <x:c r="D23" s="13" t="str">
        <x:v>21:50</x:v>
      </x:c>
      <x:c r="E23" s="13" t="str">
        <x:v>Septiembre</x:v>
      </x:c>
      <x:c r="F23" s="13" t="str">
        <x:v>Barrancabermeja</x:v>
      </x:c>
      <x:c r="G23" s="13" t="str">
        <x:v>Central de Alarmas</x:v>
      </x:c>
      <x:c r="H23" s="13" t="str">
        <x:v>Ángela María Villamizar</x:v>
      </x:c>
      <x:c r="I23" s="13" t="str">
        <x:v>88076468</x:v>
      </x:c>
      <x:c r="J23" s="13" t="str">
        <x:v>Auxiliar Administrativa</x:v>
      </x:c>
      <x:c r="K23" s="13" t="str">
        <x:v>Término indefinido</x:v>
      </x:c>
      <x:c r="L23" s="13" t="str">
        <x:v>ARL SURA</x:v>
      </x:c>
      <x:c r="M23" s="13" t="str">
        <x:v>Con incapacidad</x:v>
      </x:c>
      <x:c r="N23" s="13" t="str">
        <x:v>Trabajador reporta lesión tipo contusión durante servicio en puesto asignado por caída de objetos.</x:v>
      </x:c>
      <x:c r="O23" s="13" t="str">
        <x:v>Caída de objetos</x:v>
      </x:c>
      <x:c r="P23" s="13" t="str">
        <x:v>Silla ergonómica</x:v>
      </x:c>
      <x:c r="Q23" s="13" t="str">
        <x:v>Acceso principal</x:v>
      </x:c>
      <x:c r="R23" s="13" t="str">
        <x:v>Brazo</x:v>
      </x:c>
      <x:c r="S23" s="13" t="str">
        <x:v>Contusión</x:v>
      </x:c>
      <x:c r="T23" s="13" t="n">
        <x:v>25</x:v>
      </x:c>
      <x:c r="U23" s="13" t="n">
        <x:f>IF(M23="Sin incapacidad",0,T23)</x:f>
        <x:v>25</x:v>
      </x:c>
      <x:c r="V23" s="13" t="str">
        <x:v>Sí</x:v>
      </x:c>
      <x:c r="W23" s="30" t="n">
        <x:v>45184</x:v>
      </x:c>
      <x:c r="X23" s="30" t="str">
        <x:v>Sí</x:v>
      </x:c>
      <x:c r="Y23" s="30" t="n">
        <x:v>45186</x:v>
      </x:c>
      <x:c r="Z23" s="13" t="str">
        <x:v>Coordinador SST + Operaciones</x:v>
      </x:c>
      <x:c r="AA23" s="13" t="str">
        <x:v>No reportar condición insegura</x:v>
      </x:c>
      <x:c r="AB23" s="13" t="str">
        <x:v>Vía en mal estado</x:v>
      </x:c>
      <x:c r="AC23" s="13" t="str">
        <x:v>Falta de atención</x:v>
      </x:c>
      <x:c r="AD23" s="13" t="str">
        <x:v>Control operativo insuficiente</x:v>
      </x:c>
      <x:c r="AE23" s="13" t="str">
        <x:v>Brecha de capacitación y hábitos inseguros de trabajo</x:v>
      </x:c>
      <x:c r="AF23" s="13" t="str">
        <x:v>Implementar señalización y control administrativo temporal</x:v>
      </x:c>
      <x:c r="AG23" s="13" t="str">
        <x:v>Analista SST</x:v>
      </x:c>
      <x:c r="AH23" s="30" t="n">
        <x:v>45196</x:v>
      </x:c>
      <x:c r="AI23" s="30" t="str">
        <x:v>Cerrada</x:v>
      </x:c>
      <x:c r="AJ23" s="30" t="n">
        <x:v>45195</x:v>
      </x:c>
      <x:c r="AK23" s="13" t="str">
        <x:f>IF(OR(AI23&lt;&gt;"Cerrada",AJ23="",AH23=""),"No",IF(AJ23&lt;=AH23,"Sí","No"))</x:f>
        <x:v>Sí</x:v>
      </x:c>
      <x:c r="AL23" s="13" t="str">
        <x:v>Sí</x:v>
      </x:c>
      <x:c r="AM23" s="13" t="str">
        <x:v>Cerrado</x:v>
      </x:c>
      <x:c r="AN23" s="13" t="str">
        <x:v>Se deja lección aprendida socializada en charla preoperacional.</x:v>
      </x:c>
    </x:row>
    <x:row r="24">
      <x:c r="A24" s="13" t="n">
        <x:v>2023</x:v>
      </x:c>
      <x:c r="B24" s="13" t="str">
        <x:v>AT-2023-006</x:v>
      </x:c>
      <x:c r="C24" s="30" t="n">
        <x:v>45208</x:v>
      </x:c>
      <x:c r="D24" s="13" t="str">
        <x:v>11:30</x:v>
      </x:c>
      <x:c r="E24" s="13" t="str">
        <x:v>Octubre</x:v>
      </x:c>
      <x:c r="F24" s="13" t="str">
        <x:v>Medellín</x:v>
      </x:c>
      <x:c r="G24" s="13" t="str">
        <x:v>Mantenimiento</x:v>
      </x:c>
      <x:c r="H24" s="13" t="str">
        <x:v>Ángela María Villamizar</x:v>
      </x:c>
      <x:c r="I24" s="13" t="str">
        <x:v>88076024</x:v>
      </x:c>
      <x:c r="J24" s="13" t="str">
        <x:v>Escolta</x:v>
      </x:c>
      <x:c r="K24" s="13" t="str">
        <x:v>Término indefinido</x:v>
      </x:c>
      <x:c r="L24" s="13" t="str">
        <x:v>ARL SURA</x:v>
      </x:c>
      <x:c r="M24" s="13" t="str">
        <x:v>Sin incapacidad</x:v>
      </x:c>
      <x:c r="N24" s="13" t="str">
        <x:v>Trabajador reporta lesión tipo trauma ocular leve durante servicio en puesto asignado por caída al mismo nivel.</x:v>
      </x:c>
      <x:c r="O24" s="13" t="str">
        <x:v>Caída al mismo nivel</x:v>
      </x:c>
      <x:c r="P24" s="13" t="str">
        <x:v>Puerta metálica</x:v>
      </x:c>
      <x:c r="Q24" s="13" t="str">
        <x:v>Puesto de vigilancia</x:v>
      </x:c>
      <x:c r="R24" s="13" t="str">
        <x:v>Cervical</x:v>
      </x:c>
      <x:c r="S24" s="13" t="str">
        <x:v>Trauma ocular leve</x:v>
      </x:c>
      <x:c r="T24" s="13" t="n">
        <x:v>0</x:v>
      </x:c>
      <x:c r="U24" s="13" t="n">
        <x:f>IF(M24="Sin incapacidad",0,T24)</x:f>
        <x:v>0</x:v>
      </x:c>
      <x:c r="V24" s="13" t="str">
        <x:v>Sí</x:v>
      </x:c>
      <x:c r="W24" s="30" t="n">
        <x:v>45209</x:v>
      </x:c>
      <x:c r="X24" s="30" t="str">
        <x:v>Sí</x:v>
      </x:c>
      <x:c r="Y24" s="30" t="n">
        <x:v>45216</x:v>
      </x:c>
      <x:c r="Z24" s="13" t="str">
        <x:v>Jefe inmediato + SST</x:v>
      </x:c>
      <x:c r="AA24" s="13" t="str">
        <x:v>Uso inadecuado del EPP</x:v>
      </x:c>
      <x:c r="AB24" s="13" t="str">
        <x:v>Señalización insuficiente</x:v>
      </x:c>
      <x:c r="AC24" s="13" t="str">
        <x:v>Fatiga</x:v>
      </x:c>
      <x:c r="AD24" s="13" t="str">
        <x:v>Procedimiento no actualizado</x:v>
      </x:c>
      <x:c r="AE24" s="13" t="str">
        <x:v>Control operativo insuficiente frente a condición locativa</x:v>
      </x:c>
      <x:c r="AF24" s="13" t="str">
        <x:v>Programar mantenimiento correctivo del elemento involucrado</x:v>
      </x:c>
      <x:c r="AG24" s="13" t="str">
        <x:v>Coordinador de Talento Humano</x:v>
      </x:c>
      <x:c r="AH24" s="30" t="n">
        <x:v>45231</x:v>
      </x:c>
      <x:c r="AI24" s="30" t="str">
        <x:v>Cerrada</x:v>
      </x:c>
      <x:c r="AJ24" s="30" t="n">
        <x:v>45236</x:v>
      </x:c>
      <x:c r="AK24" s="13" t="str">
        <x:f>IF(OR(AI24&lt;&gt;"Cerrada",AJ24="",AH24=""),"No",IF(AJ24&lt;=AH24,"Sí","No"))</x:f>
        <x:v>No</x:v>
      </x:c>
      <x:c r="AL24" s="13" t="str">
        <x:v>Sí</x:v>
      </x:c>
      <x:c r="AM24" s="13" t="str">
        <x:v>Cerrado</x:v>
      </x:c>
      <x:c r="AN24" s="13" t="str">
        <x:v>Se deja lección aprendida socializada en charla preoperacional.</x:v>
      </x:c>
    </x:row>
    <x:row r="25">
      <x:c r="A25" s="13" t="n">
        <x:v>2023</x:v>
      </x:c>
      <x:c r="B25" s="13" t="str">
        <x:v>AT-2023-004</x:v>
      </x:c>
      <x:c r="C25" s="30" t="n">
        <x:v>45214</x:v>
      </x:c>
      <x:c r="D25" s="13" t="str">
        <x:v>14:45</x:v>
      </x:c>
      <x:c r="E25" s="13" t="str">
        <x:v>Octubre</x:v>
      </x:c>
      <x:c r="F25" s="13" t="str">
        <x:v>Ábrego</x:v>
      </x:c>
      <x:c r="G25" s="13" t="str">
        <x:v>Escoltas</x:v>
      </x:c>
      <x:c r="H25" s="13" t="str">
        <x:v>Paola Andrea Cárdenas</x:v>
      </x:c>
      <x:c r="I25" s="13" t="str">
        <x:v>88075520</x:v>
      </x:c>
      <x:c r="J25" s="13" t="str">
        <x:v>Operador de Medios Tecnológicos</x:v>
      </x:c>
      <x:c r="K25" s="13" t="str">
        <x:v>Término indefinido</x:v>
      </x:c>
      <x:c r="L25" s="13" t="str">
        <x:v>ARL SURA</x:v>
      </x:c>
      <x:c r="M25" s="13" t="str">
        <x:v>Sin incapacidad</x:v>
      </x:c>
      <x:c r="N25" s="13" t="str">
        <x:v>En desarrollo de actividades de escoltas, se presentó evento por caída de objetos asociado a motocicleta.</x:v>
      </x:c>
      <x:c r="O25" s="13" t="str">
        <x:v>Caída de objetos</x:v>
      </x:c>
      <x:c r="P25" s="13" t="str">
        <x:v>Motocicleta</x:v>
      </x:c>
      <x:c r="Q25" s="13" t="str">
        <x:v>Área administrativa</x:v>
      </x:c>
      <x:c r="R25" s="13" t="str">
        <x:v>Hombro</x:v>
      </x:c>
      <x:c r="S25" s="13" t="str">
        <x:v>Fractura menor</x:v>
      </x:c>
      <x:c r="T25" s="13" t="n">
        <x:v>0</x:v>
      </x:c>
      <x:c r="U25" s="13" t="n">
        <x:f>IF(M25="Sin incapacidad",0,T25)</x:f>
        <x:v>0</x:v>
      </x:c>
      <x:c r="V25" s="13" t="str">
        <x:v>Sí</x:v>
      </x:c>
      <x:c r="W25" s="30" t="n">
        <x:v>45216</x:v>
      </x:c>
      <x:c r="X25" s="30" t="str">
        <x:v>Sí</x:v>
      </x:c>
      <x:c r="Y25" s="30" t="n">
        <x:v>45221</x:v>
      </x:c>
      <x:c r="Z25" s="13" t="str">
        <x:v>Coordinador SST + Operaciones</x:v>
      </x:c>
      <x:c r="AA25" s="13" t="str">
        <x:v>Manipulación incorrecta de carga</x:v>
      </x:c>
      <x:c r="AB25" s="13" t="str">
        <x:v>Superficie deslizante</x:v>
      </x:c>
      <x:c r="AC25" s="13" t="str">
        <x:v>Capacitación insuficiente</x:v>
      </x:c>
      <x:c r="AD25" s="13" t="str">
        <x:v>Condición locativa no corregida</x:v>
      </x:c>
      <x:c r="AE25" s="13" t="str">
        <x:v>Control operativo insuficiente frente a condición locativa</x:v>
      </x:c>
      <x:c r="AF25" s="13" t="str">
        <x:v>Implementar señalización y control administrativo temporal</x:v>
      </x:c>
      <x:c r="AG25" s="13" t="str">
        <x:v>Coordinador de Talento Humano</x:v>
      </x:c>
      <x:c r="AH25" s="30" t="n">
        <x:v>45241</x:v>
      </x:c>
      <x:c r="AI25" s="30" t="str">
        <x:v>Cerrada</x:v>
      </x:c>
      <x:c r="AJ25" s="30" t="n">
        <x:v>45241</x:v>
      </x:c>
      <x:c r="AK25" s="13" t="str">
        <x:f>IF(OR(AI25&lt;&gt;"Cerrada",AJ25="",AH25=""),"No",IF(AJ25&lt;=AH25,"Sí","No"))</x:f>
        <x:v>Sí</x:v>
      </x:c>
      <x:c r="AL25" s="13" t="str">
        <x:v>Sí</x:v>
      </x:c>
      <x:c r="AM25" s="13" t="str">
        <x:v>Cerrado</x:v>
      </x:c>
      <x:c r="AN25" s="13" t="str">
        <x:v>Se recomienda refuerzo de inspecciones y autocuidado.</x:v>
      </x:c>
    </x:row>
    <x:row r="26">
      <x:c r="A26" s="13" t="n">
        <x:v>2023</x:v>
      </x:c>
      <x:c r="B26" s="13" t="str">
        <x:v>AT-2023-014</x:v>
      </x:c>
      <x:c r="C26" s="30" t="n">
        <x:v>45224</x:v>
      </x:c>
      <x:c r="D26" s="13" t="str">
        <x:v>14:00</x:v>
      </x:c>
      <x:c r="E26" s="13" t="str">
        <x:v>Octubre</x:v>
      </x:c>
      <x:c r="F26" s="13" t="str">
        <x:v>Barrancabermeja</x:v>
      </x:c>
      <x:c r="G26" s="13" t="str">
        <x:v>Central de Alarmas</x:v>
      </x:c>
      <x:c r="H26" s="13" t="str">
        <x:v>Sergio Andrés Duarte</x:v>
      </x:c>
      <x:c r="I26" s="13" t="str">
        <x:v>88075815</x:v>
      </x:c>
      <x:c r="J26" s="13" t="str">
        <x:v>Auxiliar Administrativa</x:v>
      </x:c>
      <x:c r="K26" s="13" t="str">
        <x:v>Término indefinido</x:v>
      </x:c>
      <x:c r="L26" s="13" t="str">
        <x:v>ARL SURA</x:v>
      </x:c>
      <x:c r="M26" s="13" t="str">
        <x:v>Con incapacidad</x:v>
      </x:c>
      <x:c r="N26" s="13" t="str">
        <x:v>Trabajador reporta lesión tipo luxación durante servicio en puesto asignado por golpeado por/contra.</x:v>
      </x:c>
      <x:c r="O26" s="13" t="str">
        <x:v>Golpeado por/contra</x:v>
      </x:c>
      <x:c r="P26" s="13" t="str">
        <x:v>Silla ergonómica</x:v>
      </x:c>
      <x:c r="Q26" s="13" t="str">
        <x:v>Vía pública en ronda</x:v>
      </x:c>
      <x:c r="R26" s="13" t="str">
        <x:v>Rodilla</x:v>
      </x:c>
      <x:c r="S26" s="13" t="str">
        <x:v>Luxación</x:v>
      </x:c>
      <x:c r="T26" s="13" t="n">
        <x:v>1</x:v>
      </x:c>
      <x:c r="U26" s="13" t="n">
        <x:f>IF(M26="Sin incapacidad",0,T26)</x:f>
        <x:v>1</x:v>
      </x:c>
      <x:c r="V26" s="13" t="str">
        <x:v>Sí</x:v>
      </x:c>
      <x:c r="W26" s="30" t="n">
        <x:v>45225</x:v>
      </x:c>
      <x:c r="X26" s="30" t="str">
        <x:v>Sí</x:v>
      </x:c>
      <x:c r="Y26" s="30" t="n">
        <x:v>45233</x:v>
      </x:c>
      <x:c r="Z26" s="13" t="str">
        <x:v>COPASST + SST</x:v>
      </x:c>
      <x:c r="AA26" s="13" t="str">
        <x:v>Distracción durante la labor</x:v>
      </x:c>
      <x:c r="AB26" s="13" t="str">
        <x:v>Herramienta en mal estado</x:v>
      </x:c>
      <x:c r="AC26" s="13" t="str">
        <x:v>Fatiga</x:v>
      </x:c>
      <x:c r="AD26" s="13" t="str">
        <x:v>Condición locativa no corregida</x:v>
      </x:c>
      <x:c r="AE26" s="13" t="str">
        <x:v>Mantenimiento deficiente y ausencia de corrección oportuna</x:v>
      </x:c>
      <x:c r="AF26" s="13" t="str">
        <x:v>Programar mantenimiento correctivo del elemento involucrado</x:v>
      </x:c>
      <x:c r="AG26" s="13" t="str">
        <x:v>Jefe de Operaciones</x:v>
      </x:c>
      <x:c r="AH26" s="30" t="n">
        <x:v>45243</x:v>
      </x:c>
      <x:c r="AI26" s="30" t="str">
        <x:v>Cerrada</x:v>
      </x:c>
      <x:c r="AJ26" s="30" t="n">
        <x:v>45244</x:v>
      </x:c>
      <x:c r="AK26" s="13" t="str">
        <x:f>IF(OR(AI26&lt;&gt;"Cerrada",AJ26="",AH26=""),"No",IF(AJ26&lt;=AH26,"Sí","No"))</x:f>
        <x:v>No</x:v>
      </x:c>
      <x:c r="AL26" s="13" t="str">
        <x:v>Sí</x:v>
      </x:c>
      <x:c r="AM26" s="13" t="str">
        <x:v>Cerrado</x:v>
      </x:c>
      <x:c r="AN26" s="13" t="str">
        <x:v>Se vincula acción al plan de mejora del proceso.</x:v>
      </x:c>
    </x:row>
    <x:row r="27">
      <x:c r="A27" s="13" t="n">
        <x:v>2023</x:v>
      </x:c>
      <x:c r="B27" s="13" t="str">
        <x:v>AT-2023-032</x:v>
      </x:c>
      <x:c r="C27" s="30" t="n">
        <x:v>45247</x:v>
      </x:c>
      <x:c r="D27" s="13" t="str">
        <x:v>21:00</x:v>
      </x:c>
      <x:c r="E27" s="13" t="str">
        <x:v>Noviembre</x:v>
      </x:c>
      <x:c r="F27" s="13" t="str">
        <x:v>Ábrego</x:v>
      </x:c>
      <x:c r="G27" s="13" t="str">
        <x:v>Operaciones</x:v>
      </x:c>
      <x:c r="H27" s="13" t="str">
        <x:v>Leidy Tatiana Becerra</x:v>
      </x:c>
      <x:c r="I27" s="13" t="str">
        <x:v>88076799</x:v>
      </x:c>
      <x:c r="J27" s="13" t="str">
        <x:v>Escolta</x:v>
      </x:c>
      <x:c r="K27" s="13" t="str">
        <x:v>Término indefinido</x:v>
      </x:c>
      <x:c r="L27" s="13" t="str">
        <x:v>ARL SURA</x:v>
      </x:c>
      <x:c r="M27" s="13" t="str">
        <x:v>Sin incapacidad</x:v>
      </x:c>
      <x:c r="N27" s="13" t="str">
        <x:v>Durante ronda de vigilancia en ábrego, el trabajador sufrió golpe leve por accidente de tránsito.</x:v>
      </x:c>
      <x:c r="O27" s="13" t="str">
        <x:v>Accidente de tránsito</x:v>
      </x:c>
      <x:c r="P27" s="13" t="str">
        <x:v>Rejilla</x:v>
      </x:c>
      <x:c r="Q27" s="13" t="str">
        <x:v>Área administrativa</x:v>
      </x:c>
      <x:c r="R27" s="13" t="str">
        <x:v>Muñeca</x:v>
      </x:c>
      <x:c r="S27" s="13" t="str">
        <x:v>Golpe leve</x:v>
      </x:c>
      <x:c r="T27" s="13" t="n">
        <x:v>0</x:v>
      </x:c>
      <x:c r="U27" s="13" t="n">
        <x:f>IF(M27="Sin incapacidad",0,T27)</x:f>
        <x:v>0</x:v>
      </x:c>
      <x:c r="V27" s="13" t="str">
        <x:v>Sí</x:v>
      </x:c>
      <x:c r="W27" s="30" t="n">
        <x:v>45247</x:v>
      </x:c>
      <x:c r="X27" s="30" t="str">
        <x:v>Sí</x:v>
      </x:c>
      <x:c r="Y27" s="30" t="n">
        <x:v>45248</x:v>
      </x:c>
      <x:c r="Z27" s="13" t="str">
        <x:v>Jefe inmediato + SST</x:v>
      </x:c>
      <x:c r="AA27" s="13" t="str">
        <x:v>Distracción durante la labor</x:v>
      </x:c>
      <x:c r="AB27" s="13" t="str">
        <x:v>Superficie deslizante</x:v>
      </x:c>
      <x:c r="AC27" s="13" t="str">
        <x:v>Exceso de confianza</x:v>
      </x:c>
      <x:c r="AD27" s="13" t="str">
        <x:v>Procedimiento no actualizado</x:v>
      </x:c>
      <x:c r="AE27" s="13" t="str">
        <x:v>Mantenimiento deficiente y ausencia de corrección oportuna</x:v>
      </x:c>
      <x:c r="AF27" s="13" t="str">
        <x:v>Reforzar supervisión operativa y seguimiento al uso de EPP</x:v>
      </x:c>
      <x:c r="AG27" s="13" t="str">
        <x:v>Supervisor Operativo</x:v>
      </x:c>
      <x:c r="AH27" s="30" t="n">
        <x:v>45263</x:v>
      </x:c>
      <x:c r="AI27" s="30" t="str">
        <x:v>Cerrada</x:v>
      </x:c>
      <x:c r="AJ27" s="30" t="n">
        <x:v>45259</x:v>
      </x:c>
      <x:c r="AK27" s="13" t="str">
        <x:f>IF(OR(AI27&lt;&gt;"Cerrada",AJ27="",AH27=""),"No",IF(AJ27&lt;=AH27,"Sí","No"))</x:f>
        <x:v>Sí</x:v>
      </x:c>
      <x:c r="AL27" s="13" t="str">
        <x:v>Sí</x:v>
      </x:c>
      <x:c r="AM27" s="13" t="str">
        <x:v>Cerrado</x:v>
      </x:c>
      <x:c r="AN27" s="13" t="str">
        <x:v>Se deja lección aprendida socializada en charla preoperacional.</x:v>
      </x:c>
    </x:row>
    <x:row r="28">
      <x:c r="A28" s="13" t="n">
        <x:v>2023</x:v>
      </x:c>
      <x:c r="B28" s="13" t="str">
        <x:v>AT-2023-001</x:v>
      </x:c>
      <x:c r="C28" s="30" t="n">
        <x:v>45254</x:v>
      </x:c>
      <x:c r="D28" s="13" t="str">
        <x:v>09:00</x:v>
      </x:c>
      <x:c r="E28" s="13" t="str">
        <x:v>Noviembre</x:v>
      </x:c>
      <x:c r="F28" s="13" t="str">
        <x:v>Valledupar</x:v>
      </x:c>
      <x:c r="G28" s="13" t="str">
        <x:v>Monitoreo</x:v>
      </x:c>
      <x:c r="H28" s="13" t="str">
        <x:v>Laura Valentina Martínez</x:v>
      </x:c>
      <x:c r="I28" s="13" t="str">
        <x:v>88075580</x:v>
      </x:c>
      <x:c r="J28" s="13" t="str">
        <x:v>Supervisor de Puesto</x:v>
      </x:c>
      <x:c r="K28" s="13" t="str">
        <x:v>Término fijo</x:v>
      </x:c>
      <x:c r="L28" s="13" t="str">
        <x:v>ARL SURA</x:v>
      </x:c>
      <x:c r="M28" s="13" t="str">
        <x:v>Con incapacidad</x:v>
      </x:c>
      <x:c r="N28" s="13" t="str">
        <x:v>En desarrollo de actividades de monitoreo, se presentó evento por sobreesfuerzo o esfuerzo excesivo asociado a piso húmedo.</x:v>
      </x:c>
      <x:c r="O28" s="13" t="str">
        <x:v>Sobreesfuerzo o esfuerzo excesivo</x:v>
      </x:c>
      <x:c r="P28" s="13" t="str">
        <x:v>Piso húmedo</x:v>
      </x:c>
      <x:c r="Q28" s="13" t="str">
        <x:v>Acceso principal</x:v>
      </x:c>
      <x:c r="R28" s="13" t="str">
        <x:v>Mano</x:v>
      </x:c>
      <x:c r="S28" s="13" t="str">
        <x:v>Esguince</x:v>
      </x:c>
      <x:c r="T28" s="13" t="n">
        <x:v>4</x:v>
      </x:c>
      <x:c r="U28" s="13" t="n">
        <x:f>IF(M28="Sin incapacidad",0,T28)</x:f>
        <x:v>4</x:v>
      </x:c>
      <x:c r="V28" s="13" t="str">
        <x:v>Sí</x:v>
      </x:c>
      <x:c r="W28" s="30" t="n">
        <x:v>45254</x:v>
      </x:c>
      <x:c r="X28" s="30" t="str">
        <x:v>Sí</x:v>
      </x:c>
      <x:c r="Y28" s="30" t="n">
        <x:v>45255</x:v>
      </x:c>
      <x:c r="Z28" s="13" t="str">
        <x:v>COPASST + SST</x:v>
      </x:c>
      <x:c r="AA28" s="13" t="str">
        <x:v>Conducción sin distancia segura</x:v>
      </x:c>
      <x:c r="AB28" s="13" t="str">
        <x:v>Señalización insuficiente</x:v>
      </x:c>
      <x:c r="AC28" s="13" t="str">
        <x:v>Postura inadecuada</x:v>
      </x:c>
      <x:c r="AD28" s="13" t="str">
        <x:v>Control operativo insuficiente</x:v>
      </x:c>
      <x:c r="AE28" s="13" t="str">
        <x:v>Mantenimiento deficiente y ausencia de corrección oportuna</x:v>
      </x:c>
      <x:c r="AF28" s="13" t="str">
        <x:v>Realizar capacitación focalizada y socialización de lección aprendida</x:v>
      </x:c>
      <x:c r="AG28" s="13" t="str">
        <x:v>Supervisor Operativo</x:v>
      </x:c>
      <x:c r="AH28" s="30" t="n">
        <x:v>45285</x:v>
      </x:c>
      <x:c r="AI28" s="30" t="str">
        <x:v>Cerrada</x:v>
      </x:c>
      <x:c r="AJ28" s="30" t="n">
        <x:v>45288</x:v>
      </x:c>
      <x:c r="AK28" s="13" t="str">
        <x:f>IF(OR(AI28&lt;&gt;"Cerrada",AJ28="",AH28=""),"No",IF(AJ28&lt;=AH28,"Sí","No"))</x:f>
        <x:v>No</x:v>
      </x:c>
      <x:c r="AL28" s="13" t="str">
        <x:v>Sí</x:v>
      </x:c>
      <x:c r="AM28" s="13" t="str">
        <x:v>Cerrado</x:v>
      </x:c>
      <x:c r="AN28" s="13" t="str">
        <x:v>Se realiza seguimiento por SST y jefe inmediato.</x:v>
      </x:c>
    </x:row>
    <x:row r="29">
      <x:c r="A29" s="13" t="n">
        <x:v>2023</x:v>
      </x:c>
      <x:c r="B29" s="13" t="str">
        <x:v>AT-2023-020</x:v>
      </x:c>
      <x:c r="C29" s="30" t="n">
        <x:v>45260</x:v>
      </x:c>
      <x:c r="D29" s="13" t="str">
        <x:v>07:00</x:v>
      </x:c>
      <x:c r="E29" s="13" t="str">
        <x:v>Noviembre</x:v>
      </x:c>
      <x:c r="F29" s="13" t="str">
        <x:v>Girón</x:v>
      </x:c>
      <x:c r="G29" s="13" t="str">
        <x:v>Operaciones</x:v>
      </x:c>
      <x:c r="H29" s="13" t="str">
        <x:v>Luis Fernando Gómez</x:v>
      </x:c>
      <x:c r="I29" s="13" t="str">
        <x:v>88075747</x:v>
      </x:c>
      <x:c r="J29" s="13" t="str">
        <x:v>Tecnólogo de Monitoreo</x:v>
      </x:c>
      <x:c r="K29" s="13" t="str">
        <x:v>Término indefinido</x:v>
      </x:c>
      <x:c r="L29" s="13" t="str">
        <x:v>ARL SURA</x:v>
      </x:c>
      <x:c r="M29" s="13" t="str">
        <x:v>Con incapacidad</x:v>
      </x:c>
      <x:c r="N29" s="13" t="str">
        <x:v>Trabajador reporta lesión tipo luxación durante servicio en puesto asignado por caída al mismo nivel.</x:v>
      </x:c>
      <x:c r="O29" s="13" t="str">
        <x:v>Caída al mismo nivel</x:v>
      </x:c>
      <x:c r="P29" s="13" t="str">
        <x:v>Vehículo</x:v>
      </x:c>
      <x:c r="Q29" s="13" t="str">
        <x:v>Parqueadero</x:v>
      </x:c>
      <x:c r="R29" s="13" t="str">
        <x:v>Ojo</x:v>
      </x:c>
      <x:c r="S29" s="13" t="str">
        <x:v>Luxación</x:v>
      </x:c>
      <x:c r="T29" s="13" t="n">
        <x:v>7</x:v>
      </x:c>
      <x:c r="U29" s="13" t="n">
        <x:f>IF(M29="Sin incapacidad",0,T29)</x:f>
        <x:v>7</x:v>
      </x:c>
      <x:c r="V29" s="13" t="str">
        <x:v>Sí</x:v>
      </x:c>
      <x:c r="W29" s="30" t="n">
        <x:v>45260</x:v>
      </x:c>
      <x:c r="X29" s="30" t="str">
        <x:v>Sí</x:v>
      </x:c>
      <x:c r="Y29" s="30" t="n">
        <x:v>45262</x:v>
      </x:c>
      <x:c r="Z29" s="13" t="str">
        <x:v>COPASST + SST</x:v>
      </x:c>
      <x:c r="AA29" s="13" t="str">
        <x:v>Manipulación incorrecta de carga</x:v>
      </x:c>
      <x:c r="AB29" s="13" t="str">
        <x:v>Iluminación insuficiente</x:v>
      </x:c>
      <x:c r="AC29" s="13" t="str">
        <x:v>Apuro operativo</x:v>
      </x:c>
      <x:c r="AD29" s="13" t="str">
        <x:v>Falta de mantenimiento</x:v>
      </x:c>
      <x:c r="AE29" s="13" t="str">
        <x:v>Mantenimiento deficiente y ausencia de corrección oportuna</x:v>
      </x:c>
      <x:c r="AF29" s="13" t="str">
        <x:v>Programar mantenimiento correctivo del elemento involucrado</x:v>
      </x:c>
      <x:c r="AG29" s="13" t="str">
        <x:v>Líder de Mantenimiento</x:v>
      </x:c>
      <x:c r="AH29" s="30" t="n">
        <x:v>45292</x:v>
      </x:c>
      <x:c r="AI29" s="30" t="str">
        <x:v>Cerrada</x:v>
      </x:c>
      <x:c r="AJ29" s="30" t="n">
        <x:v>45286</x:v>
      </x:c>
      <x:c r="AK29" s="13" t="str">
        <x:f>IF(OR(AI29&lt;&gt;"Cerrada",AJ29="",AH29=""),"No",IF(AJ29&lt;=AH29,"Sí","No"))</x:f>
        <x:v>Sí</x:v>
      </x:c>
      <x:c r="AL29" s="13" t="str">
        <x:v>Sí</x:v>
      </x:c>
      <x:c r="AM29" s="13" t="str">
        <x:v>Cerrado</x:v>
      </x:c>
      <x:c r="AN29" s="13" t="str">
        <x:v>Se realiza seguimiento por SST y jefe inmediato.</x:v>
      </x:c>
    </x:row>
    <x:row r="30">
      <x:c r="A30" s="13" t="n">
        <x:v>2023</x:v>
      </x:c>
      <x:c r="B30" s="13" t="str">
        <x:v>AT-2023-011</x:v>
      </x:c>
      <x:c r="C30" s="30" t="n">
        <x:v>45268</x:v>
      </x:c>
      <x:c r="D30" s="13" t="str">
        <x:v>15:10</x:v>
      </x:c>
      <x:c r="E30" s="13" t="str">
        <x:v>Diciembre</x:v>
      </x:c>
      <x:c r="F30" s="13" t="str">
        <x:v>Ocaña</x:v>
      </x:c>
      <x:c r="G30" s="13" t="str">
        <x:v>Monitoreo</x:v>
      </x:c>
      <x:c r="H30" s="13" t="str">
        <x:v>Mónica Paola Sánchez</x:v>
      </x:c>
      <x:c r="I30" s="13" t="str">
        <x:v>88075417</x:v>
      </x:c>
      <x:c r="J30" s="13" t="str">
        <x:v>Conductor</x:v>
      </x:c>
      <x:c r="K30" s="13" t="str">
        <x:v>Término indefinido</x:v>
      </x:c>
      <x:c r="L30" s="13" t="str">
        <x:v>ARL SURA</x:v>
      </x:c>
      <x:c r="M30" s="13" t="str">
        <x:v>Con incapacidad</x:v>
      </x:c>
      <x:c r="N30" s="13" t="str">
        <x:v>En desarrollo de actividades de monitoreo, se presentó evento por accidente de tránsito asociado a vehículo.</x:v>
      </x:c>
      <x:c r="O30" s="13" t="str">
        <x:v>Accidente de tránsito</x:v>
      </x:c>
      <x:c r="P30" s="13" t="str">
        <x:v>Vehículo</x:v>
      </x:c>
      <x:c r="Q30" s="13" t="str">
        <x:v>Puesto de vigilancia</x:v>
      </x:c>
      <x:c r="R30" s="13" t="str">
        <x:v>Tobillo</x:v>
      </x:c>
      <x:c r="S30" s="13" t="str">
        <x:v>Contractura muscular</x:v>
      </x:c>
      <x:c r="T30" s="13" t="n">
        <x:v>12</x:v>
      </x:c>
      <x:c r="U30" s="13" t="n">
        <x:f>IF(M30="Sin incapacidad",0,T30)</x:f>
        <x:v>12</x:v>
      </x:c>
      <x:c r="V30" s="13" t="str">
        <x:v>Sí</x:v>
      </x:c>
      <x:c r="W30" s="30" t="n">
        <x:v>45269</x:v>
      </x:c>
      <x:c r="X30" s="30" t="str">
        <x:v>Sí</x:v>
      </x:c>
      <x:c r="Y30" s="30" t="n">
        <x:v>45269</x:v>
      </x:c>
      <x:c r="Z30" s="13" t="str">
        <x:v>Jefe inmediato + SST</x:v>
      </x:c>
      <x:c r="AA30" s="13" t="str">
        <x:v>Conducción sin distancia segura</x:v>
      </x:c>
      <x:c r="AB30" s="13" t="str">
        <x:v>Vía en mal estado</x:v>
      </x:c>
      <x:c r="AC30" s="13" t="str">
        <x:v>Fatiga</x:v>
      </x:c>
      <x:c r="AD30" s="13" t="str">
        <x:v>Falta de mantenimiento</x:v>
      </x:c>
      <x:c r="AE30" s="13" t="str">
        <x:v>Mantenimiento deficiente y ausencia de corrección oportuna</x:v>
      </x:c>
      <x:c r="AF30" s="13" t="str">
        <x:v>Ejecutar inspección locativa y corrección inmediata del peligro</x:v>
      </x:c>
      <x:c r="AG30" s="13" t="str">
        <x:v>Líder de Mantenimiento</x:v>
      </x:c>
      <x:c r="AH30" s="30" t="n">
        <x:v>45289</x:v>
      </x:c>
      <x:c r="AI30" s="30" t="str">
        <x:v>Cerrada</x:v>
      </x:c>
      <x:c r="AJ30" s="30" t="n">
        <x:v>45287</x:v>
      </x:c>
      <x:c r="AK30" s="13" t="str">
        <x:f>IF(OR(AI30&lt;&gt;"Cerrada",AJ30="",AH30=""),"No",IF(AJ30&lt;=AH30,"Sí","No"))</x:f>
        <x:v>Sí</x:v>
      </x:c>
      <x:c r="AL30" s="13" t="str">
        <x:v>Sí</x:v>
      </x:c>
      <x:c r="AM30" s="13" t="str">
        <x:v>Cerrado</x:v>
      </x:c>
      <x:c r="AN30" s="13" t="str">
        <x:v>Se realiza seguimiento por SST y jefe inmediato.</x:v>
      </x:c>
    </x:row>
    <x:row r="31">
      <x:c r="A31" s="13" t="n">
        <x:v>2023</x:v>
      </x:c>
      <x:c r="B31" s="13" t="str">
        <x:v>AT-2023-026</x:v>
      </x:c>
      <x:c r="C31" s="30" t="n">
        <x:v>45279</x:v>
      </x:c>
      <x:c r="D31" s="13" t="str">
        <x:v>21:30</x:v>
      </x:c>
      <x:c r="E31" s="13" t="str">
        <x:v>Diciembre</x:v>
      </x:c>
      <x:c r="F31" s="13" t="str">
        <x:v>Cúcuta</x:v>
      </x:c>
      <x:c r="G31" s="13" t="str">
        <x:v>Operaciones</x:v>
      </x:c>
      <x:c r="H31" s="13" t="str">
        <x:v>Leidy Tatiana Becerra</x:v>
      </x:c>
      <x:c r="I31" s="13" t="str">
        <x:v>88075885</x:v>
      </x:c>
      <x:c r="J31" s="13" t="str">
        <x:v>Analista SST</x:v>
      </x:c>
      <x:c r="K31" s="13" t="str">
        <x:v>Término indefinido</x:v>
      </x:c>
      <x:c r="L31" s="13" t="str">
        <x:v>ARL SURA</x:v>
      </x:c>
      <x:c r="M31" s="13" t="str">
        <x:v>Sin incapacidad</x:v>
      </x:c>
      <x:c r="N31" s="13" t="str">
        <x:v>Trabajador reporta lesión tipo herida superficial durante servicio en puesto asignado por contacto eléctrico.</x:v>
      </x:c>
      <x:c r="O31" s="13" t="str">
        <x:v>Contacto eléctrico</x:v>
      </x:c>
      <x:c r="P31" s="13" t="str">
        <x:v>Radio de comunicación</x:v>
      </x:c>
      <x:c r="Q31" s="13" t="str">
        <x:v>Vía pública en ronda</x:v>
      </x:c>
      <x:c r="R31" s="13" t="str">
        <x:v>Brazo</x:v>
      </x:c>
      <x:c r="S31" s="13" t="str">
        <x:v>Herida superficial</x:v>
      </x:c>
      <x:c r="T31" s="13" t="n">
        <x:v>0</x:v>
      </x:c>
      <x:c r="U31" s="13" t="n">
        <x:f>IF(M31="Sin incapacidad",0,T31)</x:f>
        <x:v>0</x:v>
      </x:c>
      <x:c r="V31" s="13" t="str">
        <x:v>Sí</x:v>
      </x:c>
      <x:c r="W31" s="30" t="n">
        <x:v>45280</x:v>
      </x:c>
      <x:c r="X31" s="30" t="str">
        <x:v>Sí</x:v>
      </x:c>
      <x:c r="Y31" s="30" t="n">
        <x:v>45283</x:v>
      </x:c>
      <x:c r="Z31" s="13" t="str">
        <x:v>COPASST + SST</x:v>
      </x:c>
      <x:c r="AA31" s="13" t="str">
        <x:v>Manipulación incorrecta de carga</x:v>
      </x:c>
      <x:c r="AB31" s="13" t="str">
        <x:v>Orden y aseo deficiente</x:v>
      </x:c>
      <x:c r="AC31" s="13" t="str">
        <x:v>Fatiga</x:v>
      </x:c>
      <x:c r="AD31" s="13" t="str">
        <x:v>Falta de mantenimiento</x:v>
      </x:c>
      <x:c r="AE31" s="13" t="str">
        <x:v>Incumplimiento del procedimiento seguro y supervisión insuficiente</x:v>
      </x:c>
      <x:c r="AF31" s="13" t="str">
        <x:v>Actualizar procedimiento seguro de trabajo y verificar cumplimiento</x:v>
      </x:c>
      <x:c r="AG31" s="13" t="str">
        <x:v>Coordinador de Talento Humano</x:v>
      </x:c>
      <x:c r="AH31" s="30" t="n">
        <x:v>45303</x:v>
      </x:c>
      <x:c r="AI31" s="30" t="str">
        <x:v>Cerrada</x:v>
      </x:c>
      <x:c r="AJ31" s="30" t="n">
        <x:v>45301</x:v>
      </x:c>
      <x:c r="AK31" s="13" t="str">
        <x:f>IF(OR(AI31&lt;&gt;"Cerrada",AJ31="",AH31=""),"No",IF(AJ31&lt;=AH31,"Sí","No"))</x:f>
        <x:v>Sí</x:v>
      </x:c>
      <x:c r="AL31" s="13" t="str">
        <x:v>Sí</x:v>
      </x:c>
      <x:c r="AM31" s="13" t="str">
        <x:v>Cerrado</x:v>
      </x:c>
      <x:c r="AN31" s="13" t="str">
        <x:v>Se vincula acción al plan de mejora del proceso.</x:v>
      </x:c>
    </x:row>
    <x:row r="32">
      <x:c r="A32" s="13" t="n">
        <x:v>2023</x:v>
      </x:c>
      <x:c r="B32" s="13" t="str">
        <x:v>AT-2023-021</x:v>
      </x:c>
      <x:c r="C32" s="30" t="n">
        <x:v>45283</x:v>
      </x:c>
      <x:c r="D32" s="13" t="str">
        <x:v>15:10</x:v>
      </x:c>
      <x:c r="E32" s="13" t="str">
        <x:v>Diciembre</x:v>
      </x:c>
      <x:c r="F32" s="13" t="str">
        <x:v>Ábrego</x:v>
      </x:c>
      <x:c r="G32" s="13" t="str">
        <x:v>Talento Humano</x:v>
      </x:c>
      <x:c r="H32" s="13" t="str">
        <x:v>Sergio Andrés Duarte</x:v>
      </x:c>
      <x:c r="I32" s="13" t="str">
        <x:v>88076066</x:v>
      </x:c>
      <x:c r="J32" s="13" t="str">
        <x:v>Conductor</x:v>
      </x:c>
      <x:c r="K32" s="13" t="str">
        <x:v>Término indefinido</x:v>
      </x:c>
      <x:c r="L32" s="13" t="str">
        <x:v>ARL SURA</x:v>
      </x:c>
      <x:c r="M32" s="13" t="str">
        <x:v>Con incapacidad</x:v>
      </x:c>
      <x:c r="N32" s="13" t="str">
        <x:v>En desarrollo de actividades de talento humano, se presentó evento por atrapamiento asociado a piso húmedo.</x:v>
      </x:c>
      <x:c r="O32" s="13" t="str">
        <x:v>Atrapamiento</x:v>
      </x:c>
      <x:c r="P32" s="13" t="str">
        <x:v>Piso húmedo</x:v>
      </x:c>
      <x:c r="Q32" s="13" t="str">
        <x:v>Zona común del cliente</x:v>
      </x:c>
      <x:c r="R32" s="13" t="str">
        <x:v>Cervical</x:v>
      </x:c>
      <x:c r="S32" s="13" t="str">
        <x:v>Golpe leve</x:v>
      </x:c>
      <x:c r="T32" s="13" t="n">
        <x:v>2</x:v>
      </x:c>
      <x:c r="U32" s="13" t="n">
        <x:f>IF(M32="Sin incapacidad",0,T32)</x:f>
        <x:v>2</x:v>
      </x:c>
      <x:c r="V32" s="13" t="str">
        <x:v>Sí</x:v>
      </x:c>
      <x:c r="W32" s="30" t="n">
        <x:v>45284</x:v>
      </x:c>
      <x:c r="X32" s="30" t="str">
        <x:v>Sí</x:v>
      </x:c>
      <x:c r="Y32" s="30" t="n">
        <x:v>45291</x:v>
      </x:c>
      <x:c r="Z32" s="13" t="str">
        <x:v>COPASST + SST</x:v>
      </x:c>
      <x:c r="AA32" s="13" t="str">
        <x:v>Conducción sin distancia segura</x:v>
      </x:c>
      <x:c r="AB32" s="13" t="str">
        <x:v>Orden y aseo deficiente</x:v>
      </x:c>
      <x:c r="AC32" s="13" t="str">
        <x:v>Capacitación insuficiente</x:v>
      </x:c>
      <x:c r="AD32" s="13" t="str">
        <x:v>Control operativo insuficiente</x:v>
      </x:c>
      <x:c r="AE32" s="13" t="str">
        <x:v>Mantenimiento deficiente y ausencia de corrección oportuna</x:v>
      </x:c>
      <x:c r="AF32" s="13" t="str">
        <x:v>Programar mantenimiento correctivo del elemento involucrado</x:v>
      </x:c>
      <x:c r="AG32" s="13" t="str">
        <x:v>Coordinador de Talento Humano</x:v>
      </x:c>
      <x:c r="AH32" s="30" t="n">
        <x:v>45321</x:v>
      </x:c>
      <x:c r="AI32" s="30" t="str">
        <x:v>Cerrada</x:v>
      </x:c>
      <x:c r="AJ32" s="30" t="n">
        <x:v>45313</x:v>
      </x:c>
      <x:c r="AK32" s="13" t="str">
        <x:f>IF(OR(AI32&lt;&gt;"Cerrada",AJ32="",AH32=""),"No",IF(AJ32&lt;=AH32,"Sí","No"))</x:f>
        <x:v>Sí</x:v>
      </x:c>
      <x:c r="AL32" s="13" t="str">
        <x:v>No</x:v>
      </x:c>
      <x:c r="AM32" s="13" t="str">
        <x:v>Cerrado</x:v>
      </x:c>
      <x:c r="AN32" s="13" t="str">
        <x:v>Se deja lección aprendida socializada en charla preoperacional.</x:v>
      </x:c>
    </x:row>
    <x:row r="33">
      <x:c r="A33" s="13" t="n">
        <x:v>2023</x:v>
      </x:c>
      <x:c r="B33" s="13" t="str">
        <x:v>AT-2023-003</x:v>
      </x:c>
      <x:c r="C33" s="30" t="n">
        <x:v>45286</x:v>
      </x:c>
      <x:c r="D33" s="13" t="str">
        <x:v>08:15</x:v>
      </x:c>
      <x:c r="E33" s="13" t="str">
        <x:v>Diciembre</x:v>
      </x:c>
      <x:c r="F33" s="13" t="str">
        <x:v>Medellín</x:v>
      </x:c>
      <x:c r="G33" s="13" t="str">
        <x:v>Supervisión</x:v>
      </x:c>
      <x:c r="H33" s="13" t="str">
        <x:v>Yulieth Andrea Díaz</x:v>
      </x:c>
      <x:c r="I33" s="13" t="str">
        <x:v>88075350</x:v>
      </x:c>
      <x:c r="J33" s="13" t="str">
        <x:v>Analista SST</x:v>
      </x:c>
      <x:c r="K33" s="13" t="str">
        <x:v>Término indefinido</x:v>
      </x:c>
      <x:c r="L33" s="13" t="str">
        <x:v>ARL SURA</x:v>
      </x:c>
      <x:c r="M33" s="13" t="str">
        <x:v>Sin incapacidad</x:v>
      </x:c>
      <x:c r="N33" s="13" t="str">
        <x:v>En desarrollo de actividades de supervisión, se presentó evento por accidente de tránsito asociado a vehículo.</x:v>
      </x:c>
      <x:c r="O33" s="13" t="str">
        <x:v>Accidente de tránsito</x:v>
      </x:c>
      <x:c r="P33" s="13" t="str">
        <x:v>Vehículo</x:v>
      </x:c>
      <x:c r="Q33" s="13" t="str">
        <x:v>Área administrativa</x:v>
      </x:c>
      <x:c r="R33" s="13" t="str">
        <x:v>Espalda baja</x:v>
      </x:c>
      <x:c r="S33" s="13" t="str">
        <x:v>Contusión</x:v>
      </x:c>
      <x:c r="T33" s="13" t="n">
        <x:v>0</x:v>
      </x:c>
      <x:c r="U33" s="13" t="n">
        <x:f>IF(M33="Sin incapacidad",0,T33)</x:f>
        <x:v>0</x:v>
      </x:c>
      <x:c r="V33" s="13" t="str">
        <x:v>Sí</x:v>
      </x:c>
      <x:c r="W33" s="30" t="n">
        <x:v>45286</x:v>
      </x:c>
      <x:c r="X33" s="30" t="str">
        <x:v>Sí</x:v>
      </x:c>
      <x:c r="Y33" s="30" t="n">
        <x:v>45292</x:v>
      </x:c>
      <x:c r="Z33" s="13" t="str">
        <x:v>Coordinador SST + Operaciones</x:v>
      </x:c>
      <x:c r="AA33" s="13" t="str">
        <x:v>Manipulación incorrecta de carga</x:v>
      </x:c>
      <x:c r="AB33" s="13" t="str">
        <x:v>Iluminación insuficiente</x:v>
      </x:c>
      <x:c r="AC33" s="13" t="str">
        <x:v>Falta de atención</x:v>
      </x:c>
      <x:c r="AD33" s="13" t="str">
        <x:v>Control operativo insuficiente</x:v>
      </x:c>
      <x:c r="AE33" s="13" t="str">
        <x:v>Mantenimiento deficiente y ausencia de corrección oportuna</x:v>
      </x:c>
      <x:c r="AF33" s="13" t="str">
        <x:v>Ejecutar inspección locativa y corrección inmediata del peligro</x:v>
      </x:c>
      <x:c r="AG33" s="13" t="str">
        <x:v>Líder de Mantenimiento</x:v>
      </x:c>
      <x:c r="AH33" s="30" t="n">
        <x:v>45322</x:v>
      </x:c>
      <x:c r="AI33" s="30" t="str">
        <x:v>Cerrada</x:v>
      </x:c>
      <x:c r="AJ33" s="30" t="n">
        <x:v>45317</x:v>
      </x:c>
      <x:c r="AK33" s="13" t="str">
        <x:f>IF(OR(AI33&lt;&gt;"Cerrada",AJ33="",AH33=""),"No",IF(AJ33&lt;=AH33,"Sí","No"))</x:f>
        <x:v>Sí</x:v>
      </x:c>
      <x:c r="AL33" s="13" t="str">
        <x:v>Sí</x:v>
      </x:c>
      <x:c r="AM33" s="13" t="str">
        <x:v>Cerrado</x:v>
      </x:c>
      <x:c r="AN33" s="13" t="str">
        <x:v>Se deja lección aprendida socializada en charla preoperacional.</x:v>
      </x:c>
    </x:row>
    <x:row r="34">
      <x:c r="A34" s="13" t="n">
        <x:v>2024</x:v>
      </x:c>
      <x:c r="B34" s="13" t="str">
        <x:v>AT-2024-015</x:v>
      </x:c>
      <x:c r="C34" s="30" t="n">
        <x:v>45312</x:v>
      </x:c>
      <x:c r="D34" s="13" t="str">
        <x:v>13:50</x:v>
      </x:c>
      <x:c r="E34" s="13" t="str">
        <x:v>Enero</x:v>
      </x:c>
      <x:c r="F34" s="13" t="str">
        <x:v>Tibú</x:v>
      </x:c>
      <x:c r="G34" s="13" t="str">
        <x:v>Administrativa</x:v>
      </x:c>
      <x:c r="H34" s="13" t="str">
        <x:v>Yulieth Andrea Díaz</x:v>
      </x:c>
      <x:c r="I34" s="13" t="str">
        <x:v>88075824</x:v>
      </x:c>
      <x:c r="J34" s="13" t="str">
        <x:v>Auxiliar Administrativa</x:v>
      </x:c>
      <x:c r="K34" s="13" t="str">
        <x:v>Obra o labor</x:v>
      </x:c>
      <x:c r="L34" s="13" t="str">
        <x:v>ARL SURA</x:v>
      </x:c>
      <x:c r="M34" s="13" t="str">
        <x:v>Con incapacidad</x:v>
      </x:c>
      <x:c r="N34" s="13" t="str">
        <x:v>En desarrollo de actividades de administrativa, se presentó evento por accidente de tránsito asociado a radio de comunicación.</x:v>
      </x:c>
      <x:c r="O34" s="13" t="str">
        <x:v>Accidente de tránsito</x:v>
      </x:c>
      <x:c r="P34" s="13" t="str">
        <x:v>Radio de comunicación</x:v>
      </x:c>
      <x:c r="Q34" s="13" t="str">
        <x:v>Vía pública en ronda</x:v>
      </x:c>
      <x:c r="R34" s="13" t="str">
        <x:v>Brazo</x:v>
      </x:c>
      <x:c r="S34" s="13" t="str">
        <x:v>Contusión</x:v>
      </x:c>
      <x:c r="T34" s="13" t="n">
        <x:v>25</x:v>
      </x:c>
      <x:c r="U34" s="13" t="n">
        <x:f>IF(M34="Sin incapacidad",0,T34)</x:f>
        <x:v>25</x:v>
      </x:c>
      <x:c r="V34" s="13" t="str">
        <x:v>Sí</x:v>
      </x:c>
      <x:c r="W34" s="30" t="n">
        <x:v>45313</x:v>
      </x:c>
      <x:c r="X34" s="30" t="str">
        <x:v>Sí</x:v>
      </x:c>
      <x:c r="Y34" s="30" t="n">
        <x:v>45314</x:v>
      </x:c>
      <x:c r="Z34" s="13" t="str">
        <x:v>Coordinador SST + Operaciones</x:v>
      </x:c>
      <x:c r="AA34" s="13" t="str">
        <x:v>Manipulación incorrecta de carga</x:v>
      </x:c>
      <x:c r="AB34" s="13" t="str">
        <x:v>Vía en mal estado</x:v>
      </x:c>
      <x:c r="AC34" s="13" t="str">
        <x:v>Capacitación insuficiente</x:v>
      </x:c>
      <x:c r="AD34" s="13" t="str">
        <x:v>Condición locativa no corregida</x:v>
      </x:c>
      <x:c r="AE34" s="13" t="str">
        <x:v>Falta de inspección previa y gestión tardía del peligro</x:v>
      </x:c>
      <x:c r="AF34" s="13" t="str">
        <x:v>Ejecutar inspección locativa y corrección inmediata del peligro</x:v>
      </x:c>
      <x:c r="AG34" s="13" t="str">
        <x:v>Jefe de Operaciones</x:v>
      </x:c>
      <x:c r="AH34" s="30" t="n">
        <x:v>45324</x:v>
      </x:c>
      <x:c r="AI34" s="30" t="str">
        <x:v>Cerrada</x:v>
      </x:c>
      <x:c r="AJ34" s="30" t="n">
        <x:v>45327</x:v>
      </x:c>
      <x:c r="AK34" s="13" t="str">
        <x:f>IF(OR(AI34&lt;&gt;"Cerrada",AJ34="",AH34=""),"No",IF(AJ34&lt;=AH34,"Sí","No"))</x:f>
        <x:v>No</x:v>
      </x:c>
      <x:c r="AL34" s="13" t="str">
        <x:v>Pendiente verificación</x:v>
      </x:c>
      <x:c r="AM34" s="13" t="str">
        <x:v>Cerrado</x:v>
      </x:c>
      <x:c r="AN34" s="13" t="str">
        <x:v>Se deja lección aprendida socializada en charla preoperacional.</x:v>
      </x:c>
    </x:row>
    <x:row r="35">
      <x:c r="A35" s="13" t="n">
        <x:v>2024</x:v>
      </x:c>
      <x:c r="B35" s="13" t="str">
        <x:v>AT-2024-024</x:v>
      </x:c>
      <x:c r="C35" s="30" t="n">
        <x:v>45331</x:v>
      </x:c>
      <x:c r="D35" s="13" t="str">
        <x:v>10:40</x:v>
      </x:c>
      <x:c r="E35" s="13" t="str">
        <x:v>Febrero</x:v>
      </x:c>
      <x:c r="F35" s="13" t="str">
        <x:v>Bogotá</x:v>
      </x:c>
      <x:c r="G35" s="13" t="str">
        <x:v>Monitoreo</x:v>
      </x:c>
      <x:c r="H35" s="13" t="str">
        <x:v>Álvaro José Pabón</x:v>
      </x:c>
      <x:c r="I35" s="13" t="str">
        <x:v>88076759</x:v>
      </x:c>
      <x:c r="J35" s="13" t="str">
        <x:v>Escolta</x:v>
      </x:c>
      <x:c r="K35" s="13" t="str">
        <x:v>Término indefinido</x:v>
      </x:c>
      <x:c r="L35" s="13" t="str">
        <x:v>ARL SURA</x:v>
      </x:c>
      <x:c r="M35" s="13" t="str">
        <x:v>Sin incapacidad</x:v>
      </x:c>
      <x:c r="N35" s="13" t="str">
        <x:v>En desarrollo de actividades de monitoreo, se presentó evento por sobreesfuerzo o esfuerzo excesivo asociado a elementos almacenados.</x:v>
      </x:c>
      <x:c r="O35" s="13" t="str">
        <x:v>Sobreesfuerzo o esfuerzo excesivo</x:v>
      </x:c>
      <x:c r="P35" s="13" t="str">
        <x:v>Elementos almacenados</x:v>
      </x:c>
      <x:c r="Q35" s="13" t="str">
        <x:v>Acceso principal</x:v>
      </x:c>
      <x:c r="R35" s="13" t="str">
        <x:v>Pierna</x:v>
      </x:c>
      <x:c r="S35" s="13" t="str">
        <x:v>Esguince</x:v>
      </x:c>
      <x:c r="T35" s="13" t="n">
        <x:v>0</x:v>
      </x:c>
      <x:c r="U35" s="13" t="n">
        <x:f>IF(M35="Sin incapacidad",0,T35)</x:f>
        <x:v>0</x:v>
      </x:c>
      <x:c r="V35" s="13" t="str">
        <x:v>Sí</x:v>
      </x:c>
      <x:c r="W35" s="30" t="n">
        <x:v>45332</x:v>
      </x:c>
      <x:c r="X35" s="30" t="str">
        <x:v>Sí</x:v>
      </x:c>
      <x:c r="Y35" s="30" t="n">
        <x:v>45339</x:v>
      </x:c>
      <x:c r="Z35" s="13" t="str">
        <x:v>COPASST + SST</x:v>
      </x:c>
      <x:c r="AA35" s="13" t="str">
        <x:v>Manipulación incorrecta de carga</x:v>
      </x:c>
      <x:c r="AB35" s="13" t="str">
        <x:v>Cable expuesto</x:v>
      </x:c>
      <x:c r="AC35" s="13" t="str">
        <x:v>Falta de atención</x:v>
      </x:c>
      <x:c r="AD35" s="13" t="str">
        <x:v>Falta de mantenimiento</x:v>
      </x:c>
      <x:c r="AE35" s="13" t="str">
        <x:v>Incumplimiento del procedimiento seguro y supervisión insuficiente</x:v>
      </x:c>
      <x:c r="AF35" s="13" t="str">
        <x:v>Realizar capacitación focalizada y socialización de lección aprendida</x:v>
      </x:c>
      <x:c r="AG35" s="13" t="str">
        <x:v>Analista SST</x:v>
      </x:c>
      <x:c r="AH35" s="30" t="n">
        <x:v>45354</x:v>
      </x:c>
      <x:c r="AI35" s="30" t="str">
        <x:v>En seguimiento</x:v>
      </x:c>
      <x:c r="AJ35" s="30"/>
      <x:c r="AK35" s="13" t="str">
        <x:f>IF(OR(AI35&lt;&gt;"Cerrada",AJ35="",AH35=""),"No",IF(AJ35&lt;=AH35,"Sí","No"))</x:f>
        <x:v>No</x:v>
      </x:c>
      <x:c r="AL35" s="13" t="str">
        <x:v>Pendiente verificación</x:v>
      </x:c>
      <x:c r="AM35" s="13" t="str">
        <x:v>En seguimiento</x:v>
      </x:c>
      <x:c r="AN35" s="13" t="str">
        <x:v>Se vincula acción al plan de mejora del proceso.</x:v>
      </x:c>
    </x:row>
    <x:row r="36">
      <x:c r="A36" s="13" t="n">
        <x:v>2024</x:v>
      </x:c>
      <x:c r="B36" s="13" t="str">
        <x:v>AT-2024-001</x:v>
      </x:c>
      <x:c r="C36" s="30" t="n">
        <x:v>45332</x:v>
      </x:c>
      <x:c r="D36" s="13" t="str">
        <x:v>18:20</x:v>
      </x:c>
      <x:c r="E36" s="13" t="str">
        <x:v>Febrero</x:v>
      </x:c>
      <x:c r="F36" s="13" t="str">
        <x:v>Tibú</x:v>
      </x:c>
      <x:c r="G36" s="13" t="str">
        <x:v>Logística</x:v>
      </x:c>
      <x:c r="H36" s="13" t="str">
        <x:v>Jorge Enrique Suárez</x:v>
      </x:c>
      <x:c r="I36" s="13" t="str">
        <x:v>88075397</x:v>
      </x:c>
      <x:c r="J36" s="13" t="str">
        <x:v>Escolta</x:v>
      </x:c>
      <x:c r="K36" s="13" t="str">
        <x:v>Término indefinido</x:v>
      </x:c>
      <x:c r="L36" s="13" t="str">
        <x:v>ARL SURA</x:v>
      </x:c>
      <x:c r="M36" s="13" t="str">
        <x:v>Con incapacidad</x:v>
      </x:c>
      <x:c r="N36" s="13" t="str">
        <x:v>Durante ronda de vigilancia en tibú, el trabajador sufrió luxación por atrapamiento.</x:v>
      </x:c>
      <x:c r="O36" s="13" t="str">
        <x:v>Atrapamiento</x:v>
      </x:c>
      <x:c r="P36" s="13" t="str">
        <x:v>Andén irregular</x:v>
      </x:c>
      <x:c r="Q36" s="13" t="str">
        <x:v>Parqueadero</x:v>
      </x:c>
      <x:c r="R36" s="13" t="str">
        <x:v>Ojo</x:v>
      </x:c>
      <x:c r="S36" s="13" t="str">
        <x:v>Luxación</x:v>
      </x:c>
      <x:c r="T36" s="13" t="n">
        <x:v>25</x:v>
      </x:c>
      <x:c r="U36" s="13" t="n">
        <x:f>IF(M36="Sin incapacidad",0,T36)</x:f>
        <x:v>25</x:v>
      </x:c>
      <x:c r="V36" s="13" t="str">
        <x:v>Sí</x:v>
      </x:c>
      <x:c r="W36" s="30" t="n">
        <x:v>45334</x:v>
      </x:c>
      <x:c r="X36" s="30" t="str">
        <x:v>Sí</x:v>
      </x:c>
      <x:c r="Y36" s="30" t="n">
        <x:v>45340</x:v>
      </x:c>
      <x:c r="Z36" s="13" t="str">
        <x:v>Supervisor + Analista SST</x:v>
      </x:c>
      <x:c r="AA36" s="13" t="str">
        <x:v>Manipulación incorrecta de carga</x:v>
      </x:c>
      <x:c r="AB36" s="13" t="str">
        <x:v>Herramienta en mal estado</x:v>
      </x:c>
      <x:c r="AC36" s="13" t="str">
        <x:v>Capacitación insuficiente</x:v>
      </x:c>
      <x:c r="AD36" s="13" t="str">
        <x:v>Procedimiento no actualizado</x:v>
      </x:c>
      <x:c r="AE36" s="13" t="str">
        <x:v>Brecha de capacitación y hábitos inseguros de trabajo</x:v>
      </x:c>
      <x:c r="AF36" s="13" t="str">
        <x:v>Actualizar procedimiento seguro de trabajo y verificar cumplimiento</x:v>
      </x:c>
      <x:c r="AG36" s="13" t="str">
        <x:v>Supervisor Operativo</x:v>
      </x:c>
      <x:c r="AH36" s="30" t="n">
        <x:v>45370</x:v>
      </x:c>
      <x:c r="AI36" s="30" t="str">
        <x:v>En seguimiento</x:v>
      </x:c>
      <x:c r="AJ36" s="30"/>
      <x:c r="AK36" s="13" t="str">
        <x:f>IF(OR(AI36&lt;&gt;"Cerrada",AJ36="",AH36=""),"No",IF(AJ36&lt;=AH36,"Sí","No"))</x:f>
        <x:v>No</x:v>
      </x:c>
      <x:c r="AL36" s="13" t="str">
        <x:v>Pendiente verificación</x:v>
      </x:c>
      <x:c r="AM36" s="13" t="str">
        <x:v>En seguimiento</x:v>
      </x:c>
      <x:c r="AN36" s="13" t="str">
        <x:v>Se recomienda refuerzo de inspecciones y autocuidado.</x:v>
      </x:c>
    </x:row>
    <x:row r="37">
      <x:c r="A37" s="13" t="n">
        <x:v>2024</x:v>
      </x:c>
      <x:c r="B37" s="13" t="str">
        <x:v>AT-2024-022</x:v>
      </x:c>
      <x:c r="C37" s="30" t="n">
        <x:v>45355</x:v>
      </x:c>
      <x:c r="D37" s="13" t="str">
        <x:v>17:45</x:v>
      </x:c>
      <x:c r="E37" s="13" t="str">
        <x:v>Marzo</x:v>
      </x:c>
      <x:c r="F37" s="13" t="str">
        <x:v>Bogotá</x:v>
      </x:c>
      <x:c r="G37" s="13" t="str">
        <x:v>Supervisión</x:v>
      </x:c>
      <x:c r="H37" s="13" t="str">
        <x:v>Edwin Mauricio Rodríguez</x:v>
      </x:c>
      <x:c r="I37" s="13" t="str">
        <x:v>88076699</x:v>
      </x:c>
      <x:c r="J37" s="13" t="str">
        <x:v>Auxiliar Administrativa</x:v>
      </x:c>
      <x:c r="K37" s="13" t="str">
        <x:v>Término indefinido</x:v>
      </x:c>
      <x:c r="L37" s="13" t="str">
        <x:v>ARL SURA</x:v>
      </x:c>
      <x:c r="M37" s="13" t="str">
        <x:v>Con incapacidad</x:v>
      </x:c>
      <x:c r="N37" s="13" t="str">
        <x:v>Trabajador reporta lesión tipo luxación durante servicio en puesto asignado por golpeado por/contra.</x:v>
      </x:c>
      <x:c r="O37" s="13" t="str">
        <x:v>Golpeado por/contra</x:v>
      </x:c>
      <x:c r="P37" s="13" t="str">
        <x:v>Andén irregular</x:v>
      </x:c>
      <x:c r="Q37" s="13" t="str">
        <x:v>Recepción</x:v>
      </x:c>
      <x:c r="R37" s="13" t="str">
        <x:v>Pierna</x:v>
      </x:c>
      <x:c r="S37" s="13" t="str">
        <x:v>Luxación</x:v>
      </x:c>
      <x:c r="T37" s="13" t="n">
        <x:v>2</x:v>
      </x:c>
      <x:c r="U37" s="13" t="n">
        <x:f>IF(M37="Sin incapacidad",0,T37)</x:f>
        <x:v>2</x:v>
      </x:c>
      <x:c r="V37" s="13" t="str">
        <x:v>Sí</x:v>
      </x:c>
      <x:c r="W37" s="30" t="n">
        <x:v>45356</x:v>
      </x:c>
      <x:c r="X37" s="30" t="str">
        <x:v>Sí</x:v>
      </x:c>
      <x:c r="Y37" s="30" t="n">
        <x:v>45365</x:v>
      </x:c>
      <x:c r="Z37" s="13" t="str">
        <x:v>COPASST + SST</x:v>
      </x:c>
      <x:c r="AA37" s="13" t="str">
        <x:v>Manipulación incorrecta de carga</x:v>
      </x:c>
      <x:c r="AB37" s="13" t="str">
        <x:v>Espacio reducido</x:v>
      </x:c>
      <x:c r="AC37" s="13" t="str">
        <x:v>Fatiga</x:v>
      </x:c>
      <x:c r="AD37" s="13" t="str">
        <x:v>Falta de mantenimiento</x:v>
      </x:c>
      <x:c r="AE37" s="13" t="str">
        <x:v>Mantenimiento deficiente y ausencia de corrección oportuna</x:v>
      </x:c>
      <x:c r="AF37" s="13" t="str">
        <x:v>Implementar señalización y control administrativo temporal</x:v>
      </x:c>
      <x:c r="AG37" s="13" t="str">
        <x:v>Jefe de Operaciones</x:v>
      </x:c>
      <x:c r="AH37" s="30" t="n">
        <x:v>45385</x:v>
      </x:c>
      <x:c r="AI37" s="30" t="str">
        <x:v>Cerrada</x:v>
      </x:c>
      <x:c r="AJ37" s="30" t="n">
        <x:v>45379</x:v>
      </x:c>
      <x:c r="AK37" s="13" t="str">
        <x:f>IF(OR(AI37&lt;&gt;"Cerrada",AJ37="",AH37=""),"No",IF(AJ37&lt;=AH37,"Sí","No"))</x:f>
        <x:v>Sí</x:v>
      </x:c>
      <x:c r="AL37" s="13" t="str">
        <x:v>Sí</x:v>
      </x:c>
      <x:c r="AM37" s="13" t="str">
        <x:v>Cerrado</x:v>
      </x:c>
      <x:c r="AN37" s="13" t="str">
        <x:v>Se vincula acción al plan de mejora del proceso.</x:v>
      </x:c>
    </x:row>
    <x:row r="38">
      <x:c r="A38" s="13" t="n">
        <x:v>2024</x:v>
      </x:c>
      <x:c r="B38" s="13" t="str">
        <x:v>AT-2024-021</x:v>
      </x:c>
      <x:c r="C38" s="30" t="n">
        <x:v>45360</x:v>
      </x:c>
      <x:c r="D38" s="13" t="str">
        <x:v>07:40</x:v>
      </x:c>
      <x:c r="E38" s="13" t="str">
        <x:v>Marzo</x:v>
      </x:c>
      <x:c r="F38" s="13" t="str">
        <x:v>Medellín</x:v>
      </x:c>
      <x:c r="G38" s="13" t="str">
        <x:v>Monitoreo</x:v>
      </x:c>
      <x:c r="H38" s="13" t="str">
        <x:v>Kevin Esteban Rangel</x:v>
      </x:c>
      <x:c r="I38" s="13" t="str">
        <x:v>88076377</x:v>
      </x:c>
      <x:c r="J38" s="13" t="str">
        <x:v>Analista SST</x:v>
      </x:c>
      <x:c r="K38" s="13" t="str">
        <x:v>Término indefinido</x:v>
      </x:c>
      <x:c r="L38" s="13" t="str">
        <x:v>ARL SURA</x:v>
      </x:c>
      <x:c r="M38" s="13" t="str">
        <x:v>Con incapacidad</x:v>
      </x:c>
      <x:c r="N38" s="13" t="str">
        <x:v>Durante ronda de vigilancia en medellín, el trabajador sufrió contusión por caída al mismo nivel.</x:v>
      </x:c>
      <x:c r="O38" s="13" t="str">
        <x:v>Caída al mismo nivel</x:v>
      </x:c>
      <x:c r="P38" s="13" t="str">
        <x:v>Rejilla</x:v>
      </x:c>
      <x:c r="Q38" s="13" t="str">
        <x:v>Zona común del cliente</x:v>
      </x:c>
      <x:c r="R38" s="13" t="str">
        <x:v>Ojo</x:v>
      </x:c>
      <x:c r="S38" s="13" t="str">
        <x:v>Contusión</x:v>
      </x:c>
      <x:c r="T38" s="13" t="n">
        <x:v>5</x:v>
      </x:c>
      <x:c r="U38" s="13" t="n">
        <x:f>IF(M38="Sin incapacidad",0,T38)</x:f>
        <x:v>5</x:v>
      </x:c>
      <x:c r="V38" s="13" t="str">
        <x:v>Sí</x:v>
      </x:c>
      <x:c r="W38" s="30" t="n">
        <x:v>45360</x:v>
      </x:c>
      <x:c r="X38" s="30" t="str">
        <x:v>Sí</x:v>
      </x:c>
      <x:c r="Y38" s="30" t="n">
        <x:v>45364</x:v>
      </x:c>
      <x:c r="Z38" s="13" t="str">
        <x:v>Jefe inmediato + SST</x:v>
      </x:c>
      <x:c r="AA38" s="13" t="str">
        <x:v>Distracción durante la labor</x:v>
      </x:c>
      <x:c r="AB38" s="13" t="str">
        <x:v>Vía en mal estado</x:v>
      </x:c>
      <x:c r="AC38" s="13" t="str">
        <x:v>Apuro operativo</x:v>
      </x:c>
      <x:c r="AD38" s="13" t="str">
        <x:v>Carga laboral elevada</x:v>
      </x:c>
      <x:c r="AE38" s="13" t="str">
        <x:v>Falta de inspección previa y gestión tardía del peligro</x:v>
      </x:c>
      <x:c r="AF38" s="13" t="str">
        <x:v>Reforzar supervisión operativa y seguimiento al uso de EPP</x:v>
      </x:c>
      <x:c r="AG38" s="13" t="str">
        <x:v>Jefe de Operaciones</x:v>
      </x:c>
      <x:c r="AH38" s="30" t="n">
        <x:v>45374</x:v>
      </x:c>
      <x:c r="AI38" s="30" t="str">
        <x:v>Cerrada</x:v>
      </x:c>
      <x:c r="AJ38" s="30" t="n">
        <x:v>45376</x:v>
      </x:c>
      <x:c r="AK38" s="13" t="str">
        <x:f>IF(OR(AI38&lt;&gt;"Cerrada",AJ38="",AH38=""),"No",IF(AJ38&lt;=AH38,"Sí","No"))</x:f>
        <x:v>No</x:v>
      </x:c>
      <x:c r="AL38" s="13" t="str">
        <x:v>Sí</x:v>
      </x:c>
      <x:c r="AM38" s="13" t="str">
        <x:v>Cerrado</x:v>
      </x:c>
      <x:c r="AN38" s="13" t="str">
        <x:v>Se vincula acción al plan de mejora del proceso.</x:v>
      </x:c>
    </x:row>
    <x:row r="39">
      <x:c r="A39" s="13" t="n">
        <x:v>2024</x:v>
      </x:c>
      <x:c r="B39" s="13" t="str">
        <x:v>AT-2024-010</x:v>
      </x:c>
      <x:c r="C39" s="30" t="n">
        <x:v>45365</x:v>
      </x:c>
      <x:c r="D39" s="13" t="str">
        <x:v>18:10</x:v>
      </x:c>
      <x:c r="E39" s="13" t="str">
        <x:v>Marzo</x:v>
      </x:c>
      <x:c r="F39" s="13" t="str">
        <x:v>Ocaña</x:v>
      </x:c>
      <x:c r="G39" s="13" t="str">
        <x:v>Supervisión</x:v>
      </x:c>
      <x:c r="H39" s="13" t="str">
        <x:v>Luis Fernando Gómez</x:v>
      </x:c>
      <x:c r="I39" s="13" t="str">
        <x:v>88076022</x:v>
      </x:c>
      <x:c r="J39" s="13" t="str">
        <x:v>Supervisor de Puesto</x:v>
      </x:c>
      <x:c r="K39" s="13" t="str">
        <x:v>Término indefinido</x:v>
      </x:c>
      <x:c r="L39" s="13" t="str">
        <x:v>ARL SURA</x:v>
      </x:c>
      <x:c r="M39" s="13" t="str">
        <x:v>Con incapacidad</x:v>
      </x:c>
      <x:c r="N39" s="13" t="str">
        <x:v>En desarrollo de actividades de supervisión, se presentó evento por sobreesfuerzo o esfuerzo excesivo asociado a motocicleta.</x:v>
      </x:c>
      <x:c r="O39" s="13" t="str">
        <x:v>Sobreesfuerzo o esfuerzo excesivo</x:v>
      </x:c>
      <x:c r="P39" s="13" t="str">
        <x:v>Motocicleta</x:v>
      </x:c>
      <x:c r="Q39" s="13" t="str">
        <x:v>Vía pública en ronda</x:v>
      </x:c>
      <x:c r="R39" s="13" t="str">
        <x:v>Espalda baja</x:v>
      </x:c>
      <x:c r="S39" s="13" t="str">
        <x:v>Luxación</x:v>
      </x:c>
      <x:c r="T39" s="13" t="n">
        <x:v>30</x:v>
      </x:c>
      <x:c r="U39" s="13" t="n">
        <x:f>IF(M39="Sin incapacidad",0,T39)</x:f>
        <x:v>30</x:v>
      </x:c>
      <x:c r="V39" s="13" t="str">
        <x:v>Sí</x:v>
      </x:c>
      <x:c r="W39" s="30" t="n">
        <x:v>45366</x:v>
      </x:c>
      <x:c r="X39" s="30" t="str">
        <x:v>Sí</x:v>
      </x:c>
      <x:c r="Y39" s="30" t="n">
        <x:v>45375</x:v>
      </x:c>
      <x:c r="Z39" s="13" t="str">
        <x:v>Jefe inmediato + SST</x:v>
      </x:c>
      <x:c r="AA39" s="13" t="str">
        <x:v>No asegurar postura adecuada</x:v>
      </x:c>
      <x:c r="AB39" s="13" t="str">
        <x:v>Orden y aseo deficiente</x:v>
      </x:c>
      <x:c r="AC39" s="13" t="str">
        <x:v>Falta de atención</x:v>
      </x:c>
      <x:c r="AD39" s="13" t="str">
        <x:v>Control operativo insuficiente</x:v>
      </x:c>
      <x:c r="AE39" s="13" t="str">
        <x:v>Control operativo insuficiente frente a condición locativa</x:v>
      </x:c>
      <x:c r="AF39" s="13" t="str">
        <x:v>Implementar señalización y control administrativo temporal</x:v>
      </x:c>
      <x:c r="AG39" s="13" t="str">
        <x:v>Coordinador SST</x:v>
      </x:c>
      <x:c r="AH39" s="30" t="n">
        <x:v>45395</x:v>
      </x:c>
      <x:c r="AI39" s="30" t="str">
        <x:v>Cerrada</x:v>
      </x:c>
      <x:c r="AJ39" s="30" t="n">
        <x:v>45394</x:v>
      </x:c>
      <x:c r="AK39" s="13" t="str">
        <x:f>IF(OR(AI39&lt;&gt;"Cerrada",AJ39="",AH39=""),"No",IF(AJ39&lt;=AH39,"Sí","No"))</x:f>
        <x:v>Sí</x:v>
      </x:c>
      <x:c r="AL39" s="13" t="str">
        <x:v>Sí</x:v>
      </x:c>
      <x:c r="AM39" s="13" t="str">
        <x:v>Cerrado</x:v>
      </x:c>
      <x:c r="AN39" s="13" t="str">
        <x:v>Se vincula acción al plan de mejora del proceso.</x:v>
      </x:c>
    </x:row>
    <x:row r="40">
      <x:c r="A40" s="13" t="n">
        <x:v>2024</x:v>
      </x:c>
      <x:c r="B40" s="13" t="str">
        <x:v>AT-2024-014</x:v>
      </x:c>
      <x:c r="C40" s="30" t="n">
        <x:v>45369</x:v>
      </x:c>
      <x:c r="D40" s="13" t="str">
        <x:v>20:10</x:v>
      </x:c>
      <x:c r="E40" s="13" t="str">
        <x:v>Marzo</x:v>
      </x:c>
      <x:c r="F40" s="13" t="str">
        <x:v>Tibú</x:v>
      </x:c>
      <x:c r="G40" s="13" t="str">
        <x:v>Transporte de Valores</x:v>
      </x:c>
      <x:c r="H40" s="13" t="str">
        <x:v>Ricardo Andrés Parra</x:v>
      </x:c>
      <x:c r="I40" s="13" t="str">
        <x:v>88076011</x:v>
      </x:c>
      <x:c r="J40" s="13" t="str">
        <x:v>Guarda Motorizado</x:v>
      </x:c>
      <x:c r="K40" s="13" t="str">
        <x:v>Término indefinido</x:v>
      </x:c>
      <x:c r="L40" s="13" t="str">
        <x:v>ARL SURA</x:v>
      </x:c>
      <x:c r="M40" s="13" t="str">
        <x:v>Con incapacidad</x:v>
      </x:c>
      <x:c r="N40" s="13" t="str">
        <x:v>En desarrollo de actividades de transporte de valores, se presentó evento por golpeado por/contra asociado a cableado.</x:v>
      </x:c>
      <x:c r="O40" s="13" t="str">
        <x:v>Golpeado por/contra</x:v>
      </x:c>
      <x:c r="P40" s="13" t="str">
        <x:v>Cableado</x:v>
      </x:c>
      <x:c r="Q40" s="13" t="str">
        <x:v>Acceso principal</x:v>
      </x:c>
      <x:c r="R40" s="13" t="str">
        <x:v>Mano</x:v>
      </x:c>
      <x:c r="S40" s="13" t="str">
        <x:v>Contusión</x:v>
      </x:c>
      <x:c r="T40" s="13" t="n">
        <x:v>7</x:v>
      </x:c>
      <x:c r="U40" s="13" t="n">
        <x:f>IF(M40="Sin incapacidad",0,T40)</x:f>
        <x:v>7</x:v>
      </x:c>
      <x:c r="V40" s="13" t="str">
        <x:v>Sí</x:v>
      </x:c>
      <x:c r="W40" s="30" t="n">
        <x:v>45370</x:v>
      </x:c>
      <x:c r="X40" s="30" t="str">
        <x:v>Sí</x:v>
      </x:c>
      <x:c r="Y40" s="30" t="n">
        <x:v>45371</x:v>
      </x:c>
      <x:c r="Z40" s="13" t="str">
        <x:v>Coordinador SST + Operaciones</x:v>
      </x:c>
      <x:c r="AA40" s="13" t="str">
        <x:v>No reportar condición insegura</x:v>
      </x:c>
      <x:c r="AB40" s="13" t="str">
        <x:v>Superficie deslizante</x:v>
      </x:c>
      <x:c r="AC40" s="13" t="str">
        <x:v>Postura inadecuada</x:v>
      </x:c>
      <x:c r="AD40" s="13" t="str">
        <x:v>Control operativo insuficiente</x:v>
      </x:c>
      <x:c r="AE40" s="13" t="str">
        <x:v>Incumplimiento del procedimiento seguro y supervisión insuficiente</x:v>
      </x:c>
      <x:c r="AF40" s="13" t="str">
        <x:v>Actualizar procedimiento seguro de trabajo y verificar cumplimiento</x:v>
      </x:c>
      <x:c r="AG40" s="13" t="str">
        <x:v>Coordinador de Talento Humano</x:v>
      </x:c>
      <x:c r="AH40" s="30" t="n">
        <x:v>45401</x:v>
      </x:c>
      <x:c r="AI40" s="30" t="str">
        <x:v>Cerrada</x:v>
      </x:c>
      <x:c r="AJ40" s="30" t="n">
        <x:v>45406</x:v>
      </x:c>
      <x:c r="AK40" s="13" t="str">
        <x:f>IF(OR(AI40&lt;&gt;"Cerrada",AJ40="",AH40=""),"No",IF(AJ40&lt;=AH40,"Sí","No"))</x:f>
        <x:v>No</x:v>
      </x:c>
      <x:c r="AL40" s="13" t="str">
        <x:v>Sí</x:v>
      </x:c>
      <x:c r="AM40" s="13" t="str">
        <x:v>Cerrado</x:v>
      </x:c>
      <x:c r="AN40" s="13" t="str">
        <x:v>Se deja lección aprendida socializada en charla preoperacional.</x:v>
      </x:c>
    </x:row>
    <x:row r="41">
      <x:c r="A41" s="13" t="n">
        <x:v>2024</x:v>
      </x:c>
      <x:c r="B41" s="13" t="str">
        <x:v>AT-2024-011</x:v>
      </x:c>
      <x:c r="C41" s="30" t="n">
        <x:v>45402</x:v>
      </x:c>
      <x:c r="D41" s="13" t="str">
        <x:v>09:40</x:v>
      </x:c>
      <x:c r="E41" s="13" t="str">
        <x:v>Abril</x:v>
      </x:c>
      <x:c r="F41" s="13" t="str">
        <x:v>Bogotá</x:v>
      </x:c>
      <x:c r="G41" s="13" t="str">
        <x:v>Operaciones</x:v>
      </x:c>
      <x:c r="H41" s="13" t="str">
        <x:v>Maribel Rocío Acevedo</x:v>
      </x:c>
      <x:c r="I41" s="13" t="str">
        <x:v>88075978</x:v>
      </x:c>
      <x:c r="J41" s="13" t="str">
        <x:v>Conductor</x:v>
      </x:c>
      <x:c r="K41" s="13" t="str">
        <x:v>Término indefinido</x:v>
      </x:c>
      <x:c r="L41" s="13" t="str">
        <x:v>ARL SURA</x:v>
      </x:c>
      <x:c r="M41" s="13" t="str">
        <x:v>Con incapacidad</x:v>
      </x:c>
      <x:c r="N41" s="13" t="str">
        <x:v>Trabajador reporta lesión tipo herida superficial durante servicio en puesto asignado por caída de objetos.</x:v>
      </x:c>
      <x:c r="O41" s="13" t="str">
        <x:v>Caída de objetos</x:v>
      </x:c>
      <x:c r="P41" s="13" t="str">
        <x:v>Piso húmedo</x:v>
      </x:c>
      <x:c r="Q41" s="13" t="str">
        <x:v>Zona común del cliente</x:v>
      </x:c>
      <x:c r="R41" s="13" t="str">
        <x:v>Mano</x:v>
      </x:c>
      <x:c r="S41" s="13" t="str">
        <x:v>Herida superficial</x:v>
      </x:c>
      <x:c r="T41" s="13" t="n">
        <x:v>5</x:v>
      </x:c>
      <x:c r="U41" s="13" t="n">
        <x:f>IF(M41="Sin incapacidad",0,T41)</x:f>
        <x:v>5</x:v>
      </x:c>
      <x:c r="V41" s="13" t="str">
        <x:v>Sí</x:v>
      </x:c>
      <x:c r="W41" s="30" t="n">
        <x:v>45402</x:v>
      </x:c>
      <x:c r="X41" s="30" t="str">
        <x:v>Sí</x:v>
      </x:c>
      <x:c r="Y41" s="30" t="n">
        <x:v>45407</x:v>
      </x:c>
      <x:c r="Z41" s="13" t="str">
        <x:v>Supervisor + Analista SST</x:v>
      </x:c>
      <x:c r="AA41" s="13" t="str">
        <x:v>Distracción durante la labor</x:v>
      </x:c>
      <x:c r="AB41" s="13" t="str">
        <x:v>Iluminación insuficiente</x:v>
      </x:c>
      <x:c r="AC41" s="13" t="str">
        <x:v>Fatiga</x:v>
      </x:c>
      <x:c r="AD41" s="13" t="str">
        <x:v>Carga laboral elevada</x:v>
      </x:c>
      <x:c r="AE41" s="13" t="str">
        <x:v>Brecha de capacitación y hábitos inseguros de trabajo</x:v>
      </x:c>
      <x:c r="AF41" s="13" t="str">
        <x:v>Ejecutar inspección locativa y corrección inmediata del peligro</x:v>
      </x:c>
      <x:c r="AG41" s="13" t="str">
        <x:v>Supervisor Operativo</x:v>
      </x:c>
      <x:c r="AH41" s="30" t="n">
        <x:v>45437</x:v>
      </x:c>
      <x:c r="AI41" s="30" t="str">
        <x:v>Cerrada</x:v>
      </x:c>
      <x:c r="AJ41" s="30" t="n">
        <x:v>45439</x:v>
      </x:c>
      <x:c r="AK41" s="13" t="str">
        <x:f>IF(OR(AI41&lt;&gt;"Cerrada",AJ41="",AH41=""),"No",IF(AJ41&lt;=AH41,"Sí","No"))</x:f>
        <x:v>No</x:v>
      </x:c>
      <x:c r="AL41" s="13" t="str">
        <x:v>Sí</x:v>
      </x:c>
      <x:c r="AM41" s="13" t="str">
        <x:v>Cerrado</x:v>
      </x:c>
      <x:c r="AN41" s="13" t="str">
        <x:v>Se realiza seguimiento por SST y jefe inmediato.</x:v>
      </x:c>
    </x:row>
    <x:row r="42">
      <x:c r="A42" s="13" t="n">
        <x:v>2024</x:v>
      </x:c>
      <x:c r="B42" s="13" t="str">
        <x:v>AT-2024-018</x:v>
      </x:c>
      <x:c r="C42" s="30" t="n">
        <x:v>45420</x:v>
      </x:c>
      <x:c r="D42" s="13" t="str">
        <x:v>07:50</x:v>
      </x:c>
      <x:c r="E42" s="13" t="str">
        <x:v>Mayo</x:v>
      </x:c>
      <x:c r="F42" s="13" t="str">
        <x:v>Arauca</x:v>
      </x:c>
      <x:c r="G42" s="13" t="str">
        <x:v>Central de Alarmas</x:v>
      </x:c>
      <x:c r="H42" s="13" t="str">
        <x:v>Mónica Paola Sánchez</x:v>
      </x:c>
      <x:c r="I42" s="13" t="str">
        <x:v>88076425</x:v>
      </x:c>
      <x:c r="J42" s="13" t="str">
        <x:v>Conductor</x:v>
      </x:c>
      <x:c r="K42" s="13" t="str">
        <x:v>Término indefinido</x:v>
      </x:c>
      <x:c r="L42" s="13" t="str">
        <x:v>ARL SURA</x:v>
      </x:c>
      <x:c r="M42" s="13" t="str">
        <x:v>Con incapacidad</x:v>
      </x:c>
      <x:c r="N42" s="13" t="str">
        <x:v>Durante ronda de vigilancia en arauca, el trabajador sufrió lumbalgia aguda por caída al mismo nivel.</x:v>
      </x:c>
      <x:c r="O42" s="13" t="str">
        <x:v>Caída al mismo nivel</x:v>
      </x:c>
      <x:c r="P42" s="13" t="str">
        <x:v>Cableado</x:v>
      </x:c>
      <x:c r="Q42" s="13" t="str">
        <x:v>Zona común del cliente</x:v>
      </x:c>
      <x:c r="R42" s="13" t="str">
        <x:v>Pierna</x:v>
      </x:c>
      <x:c r="S42" s="13" t="str">
        <x:v>Lumbalgia aguda</x:v>
      </x:c>
      <x:c r="T42" s="13" t="n">
        <x:v>10</x:v>
      </x:c>
      <x:c r="U42" s="13" t="n">
        <x:f>IF(M42="Sin incapacidad",0,T42)</x:f>
        <x:v>10</x:v>
      </x:c>
      <x:c r="V42" s="13" t="str">
        <x:v>Sí</x:v>
      </x:c>
      <x:c r="W42" s="30" t="n">
        <x:v>45420</x:v>
      </x:c>
      <x:c r="X42" s="30" t="str">
        <x:v>Sí</x:v>
      </x:c>
      <x:c r="Y42" s="30" t="n">
        <x:v>45424</x:v>
      </x:c>
      <x:c r="Z42" s="13" t="str">
        <x:v>Coordinador SST + Operaciones</x:v>
      </x:c>
      <x:c r="AA42" s="13" t="str">
        <x:v>Distracción durante la labor</x:v>
      </x:c>
      <x:c r="AB42" s="13" t="str">
        <x:v>Superficie deslizante</x:v>
      </x:c>
      <x:c r="AC42" s="13" t="str">
        <x:v>Postura inadecuada</x:v>
      </x:c>
      <x:c r="AD42" s="13" t="str">
        <x:v>Falta de mantenimiento</x:v>
      </x:c>
      <x:c r="AE42" s="13" t="str">
        <x:v>Brecha de capacitación y hábitos inseguros de trabajo</x:v>
      </x:c>
      <x:c r="AF42" s="13" t="str">
        <x:v>Programar mantenimiento correctivo del elemento involucrado</x:v>
      </x:c>
      <x:c r="AG42" s="13" t="str">
        <x:v>Jefe de Operaciones</x:v>
      </x:c>
      <x:c r="AH42" s="30" t="n">
        <x:v>45439</x:v>
      </x:c>
      <x:c r="AI42" s="30" t="str">
        <x:v>Cerrada</x:v>
      </x:c>
      <x:c r="AJ42" s="30" t="n">
        <x:v>45443</x:v>
      </x:c>
      <x:c r="AK42" s="13" t="str">
        <x:f>IF(OR(AI42&lt;&gt;"Cerrada",AJ42="",AH42=""),"No",IF(AJ42&lt;=AH42,"Sí","No"))</x:f>
        <x:v>No</x:v>
      </x:c>
      <x:c r="AL42" s="13" t="str">
        <x:v>Sí</x:v>
      </x:c>
      <x:c r="AM42" s="13" t="str">
        <x:v>Cerrado</x:v>
      </x:c>
      <x:c r="AN42" s="13" t="str">
        <x:v>Se realiza seguimiento por SST y jefe inmediato.</x:v>
      </x:c>
    </x:row>
    <x:row r="43">
      <x:c r="A43" s="13" t="n">
        <x:v>2024</x:v>
      </x:c>
      <x:c r="B43" s="13" t="str">
        <x:v>AT-2024-027</x:v>
      </x:c>
      <x:c r="C43" s="30" t="n">
        <x:v>45420</x:v>
      </x:c>
      <x:c r="D43" s="13" t="str">
        <x:v>12:30</x:v>
      </x:c>
      <x:c r="E43" s="13" t="str">
        <x:v>Mayo</x:v>
      </x:c>
      <x:c r="F43" s="13" t="str">
        <x:v>Ocaña</x:v>
      </x:c>
      <x:c r="G43" s="13" t="str">
        <x:v>Central de Alarmas</x:v>
      </x:c>
      <x:c r="H43" s="13" t="str">
        <x:v>Jhon Alexander Contreras</x:v>
      </x:c>
      <x:c r="I43" s="13" t="str">
        <x:v>88076543</x:v>
      </x:c>
      <x:c r="J43" s="13" t="str">
        <x:v>Conductor</x:v>
      </x:c>
      <x:c r="K43" s="13" t="str">
        <x:v>Término indefinido</x:v>
      </x:c>
      <x:c r="L43" s="13" t="str">
        <x:v>ARL SURA</x:v>
      </x:c>
      <x:c r="M43" s="13" t="str">
        <x:v>Sin incapacidad</x:v>
      </x:c>
      <x:c r="N43" s="13" t="str">
        <x:v>Durante ronda de vigilancia en ocaña, el trabajador sufrió abrasión por caída al mismo nivel.</x:v>
      </x:c>
      <x:c r="O43" s="13" t="str">
        <x:v>Caída al mismo nivel</x:v>
      </x:c>
      <x:c r="P43" s="13" t="str">
        <x:v>Radio de comunicación</x:v>
      </x:c>
      <x:c r="Q43" s="13" t="str">
        <x:v>Recepción</x:v>
      </x:c>
      <x:c r="R43" s="13" t="str">
        <x:v>Brazo</x:v>
      </x:c>
      <x:c r="S43" s="13" t="str">
        <x:v>Abrasión</x:v>
      </x:c>
      <x:c r="T43" s="13" t="n">
        <x:v>0</x:v>
      </x:c>
      <x:c r="U43" s="13" t="n">
        <x:f>IF(M43="Sin incapacidad",0,T43)</x:f>
        <x:v>0</x:v>
      </x:c>
      <x:c r="V43" s="13" t="str">
        <x:v>Sí</x:v>
      </x:c>
      <x:c r="W43" s="30" t="n">
        <x:v>45421</x:v>
      </x:c>
      <x:c r="X43" s="30" t="str">
        <x:v>Sí</x:v>
      </x:c>
      <x:c r="Y43" s="30" t="n">
        <x:v>45430</x:v>
      </x:c>
      <x:c r="Z43" s="13" t="str">
        <x:v>Jefe inmediato + SST</x:v>
      </x:c>
      <x:c r="AA43" s="13" t="str">
        <x:v>No asegurar postura adecuada</x:v>
      </x:c>
      <x:c r="AB43" s="13" t="str">
        <x:v>Iluminación insuficiente</x:v>
      </x:c>
      <x:c r="AC43" s="13" t="str">
        <x:v>Fatiga</x:v>
      </x:c>
      <x:c r="AD43" s="13" t="str">
        <x:v>Condición locativa no corregida</x:v>
      </x:c>
      <x:c r="AE43" s="13" t="str">
        <x:v>Falta de inspección previa y gestión tardía del peligro</x:v>
      </x:c>
      <x:c r="AF43" s="13" t="str">
        <x:v>Actualizar procedimiento seguro de trabajo y verificar cumplimiento</x:v>
      </x:c>
      <x:c r="AG43" s="13" t="str">
        <x:v>Líder de Mantenimiento</x:v>
      </x:c>
      <x:c r="AH43" s="30" t="n">
        <x:v>45445</x:v>
      </x:c>
      <x:c r="AI43" s="30" t="str">
        <x:v>Cerrada</x:v>
      </x:c>
      <x:c r="AJ43" s="30" t="n">
        <x:v>45444</x:v>
      </x:c>
      <x:c r="AK43" s="13" t="str">
        <x:f>IF(OR(AI43&lt;&gt;"Cerrada",AJ43="",AH43=""),"No",IF(AJ43&lt;=AH43,"Sí","No"))</x:f>
        <x:v>Sí</x:v>
      </x:c>
      <x:c r="AL43" s="13" t="str">
        <x:v>Sí</x:v>
      </x:c>
      <x:c r="AM43" s="13" t="str">
        <x:v>Cerrado</x:v>
      </x:c>
      <x:c r="AN43" s="13" t="str">
        <x:v>Se vincula acción al plan de mejora del proceso.</x:v>
      </x:c>
    </x:row>
    <x:row r="44">
      <x:c r="A44" s="13" t="n">
        <x:v>2024</x:v>
      </x:c>
      <x:c r="B44" s="13" t="str">
        <x:v>AT-2024-003</x:v>
      </x:c>
      <x:c r="C44" s="30" t="n">
        <x:v>45443</x:v>
      </x:c>
      <x:c r="D44" s="13" t="str">
        <x:v>16:45</x:v>
      </x:c>
      <x:c r="E44" s="13" t="str">
        <x:v>Mayo</x:v>
      </x:c>
      <x:c r="F44" s="13" t="str">
        <x:v>Ocaña</x:v>
      </x:c>
      <x:c r="G44" s="13" t="str">
        <x:v>Operaciones</x:v>
      </x:c>
      <x:c r="H44" s="13" t="str">
        <x:v>Natalia Fernanda García</x:v>
      </x:c>
      <x:c r="I44" s="13" t="str">
        <x:v>88075512</x:v>
      </x:c>
      <x:c r="J44" s="13" t="str">
        <x:v>Conductor</x:v>
      </x:c>
      <x:c r="K44" s="13" t="str">
        <x:v>Obra o labor</x:v>
      </x:c>
      <x:c r="L44" s="13" t="str">
        <x:v>ARL SURA</x:v>
      </x:c>
      <x:c r="M44" s="13" t="str">
        <x:v>Sin incapacidad</x:v>
      </x:c>
      <x:c r="N44" s="13" t="str">
        <x:v>Trabajador reporta lesión tipo trauma ocular leve durante servicio en puesto asignado por golpeado por/contra.</x:v>
      </x:c>
      <x:c r="O44" s="13" t="str">
        <x:v>Golpeado por/contra</x:v>
      </x:c>
      <x:c r="P44" s="13" t="str">
        <x:v>Cableado</x:v>
      </x:c>
      <x:c r="Q44" s="13" t="str">
        <x:v>Cuarto técnico</x:v>
      </x:c>
      <x:c r="R44" s="13" t="str">
        <x:v>Tobillo</x:v>
      </x:c>
      <x:c r="S44" s="13" t="str">
        <x:v>Trauma ocular leve</x:v>
      </x:c>
      <x:c r="T44" s="13" t="n">
        <x:v>0</x:v>
      </x:c>
      <x:c r="U44" s="13" t="n">
        <x:f>IF(M44="Sin incapacidad",0,T44)</x:f>
        <x:v>0</x:v>
      </x:c>
      <x:c r="V44" s="13" t="str">
        <x:v>Sí</x:v>
      </x:c>
      <x:c r="W44" s="30" t="n">
        <x:v>45443</x:v>
      </x:c>
      <x:c r="X44" s="30" t="str">
        <x:v>Sí</x:v>
      </x:c>
      <x:c r="Y44" s="30" t="n">
        <x:v>45445</x:v>
      </x:c>
      <x:c r="Z44" s="13" t="str">
        <x:v>COPASST + SST</x:v>
      </x:c>
      <x:c r="AA44" s="13" t="str">
        <x:v>Uso inadecuado del EPP</x:v>
      </x:c>
      <x:c r="AB44" s="13" t="str">
        <x:v>Herramienta en mal estado</x:v>
      </x:c>
      <x:c r="AC44" s="13" t="str">
        <x:v>Apuro operativo</x:v>
      </x:c>
      <x:c r="AD44" s="13" t="str">
        <x:v>Procedimiento no actualizado</x:v>
      </x:c>
      <x:c r="AE44" s="13" t="str">
        <x:v>Control operativo insuficiente frente a condición locativa</x:v>
      </x:c>
      <x:c r="AF44" s="13" t="str">
        <x:v>Reforzar supervisión operativa y seguimiento al uso de EPP</x:v>
      </x:c>
      <x:c r="AG44" s="13" t="str">
        <x:v>Coordinador SST</x:v>
      </x:c>
      <x:c r="AH44" s="30" t="n">
        <x:v>45465</x:v>
      </x:c>
      <x:c r="AI44" s="30" t="str">
        <x:v>Cerrada</x:v>
      </x:c>
      <x:c r="AJ44" s="30" t="n">
        <x:v>45463</x:v>
      </x:c>
      <x:c r="AK44" s="13" t="str">
        <x:f>IF(OR(AI44&lt;&gt;"Cerrada",AJ44="",AH44=""),"No",IF(AJ44&lt;=AH44,"Sí","No"))</x:f>
        <x:v>Sí</x:v>
      </x:c>
      <x:c r="AL44" s="13" t="str">
        <x:v>Sí</x:v>
      </x:c>
      <x:c r="AM44" s="13" t="str">
        <x:v>Cerrado</x:v>
      </x:c>
      <x:c r="AN44" s="13" t="str">
        <x:v>Se recomienda refuerzo de inspecciones y autocuidado.</x:v>
      </x:c>
    </x:row>
    <x:row r="45">
      <x:c r="A45" s="13" t="n">
        <x:v>2024</x:v>
      </x:c>
      <x:c r="B45" s="13" t="str">
        <x:v>AT-2024-013</x:v>
      </x:c>
      <x:c r="C45" s="30" t="n">
        <x:v>45462</x:v>
      </x:c>
      <x:c r="D45" s="13" t="str">
        <x:v>11:10</x:v>
      </x:c>
      <x:c r="E45" s="13" t="str">
        <x:v>Junio</x:v>
      </x:c>
      <x:c r="F45" s="13" t="str">
        <x:v>Medellín</x:v>
      </x:c>
      <x:c r="G45" s="13" t="str">
        <x:v>Supervisión</x:v>
      </x:c>
      <x:c r="H45" s="13" t="str">
        <x:v>Nelly Johana Ortiz</x:v>
      </x:c>
      <x:c r="I45" s="13" t="str">
        <x:v>88075728</x:v>
      </x:c>
      <x:c r="J45" s="13" t="str">
        <x:v>Auxiliar Administrativa</x:v>
      </x:c>
      <x:c r="K45" s="13" t="str">
        <x:v>Término fijo</x:v>
      </x:c>
      <x:c r="L45" s="13" t="str">
        <x:v>ARL SURA</x:v>
      </x:c>
      <x:c r="M45" s="13" t="str">
        <x:v>Sin incapacidad</x:v>
      </x:c>
      <x:c r="N45" s="13" t="str">
        <x:v>Trabajador reporta lesión tipo lumbalgia aguda durante servicio en puesto asignado por contacto eléctrico.</x:v>
      </x:c>
      <x:c r="O45" s="13" t="str">
        <x:v>Contacto eléctrico</x:v>
      </x:c>
      <x:c r="P45" s="13" t="str">
        <x:v>Vehículo</x:v>
      </x:c>
      <x:c r="Q45" s="13" t="str">
        <x:v>Zona común del cliente</x:v>
      </x:c>
      <x:c r="R45" s="13" t="str">
        <x:v>Muñeca</x:v>
      </x:c>
      <x:c r="S45" s="13" t="str">
        <x:v>Lumbalgia aguda</x:v>
      </x:c>
      <x:c r="T45" s="13" t="n">
        <x:v>0</x:v>
      </x:c>
      <x:c r="U45" s="13" t="n">
        <x:f>IF(M45="Sin incapacidad",0,T45)</x:f>
        <x:v>0</x:v>
      </x:c>
      <x:c r="V45" s="13" t="str">
        <x:v>Sí</x:v>
      </x:c>
      <x:c r="W45" s="30" t="n">
        <x:v>45463</x:v>
      </x:c>
      <x:c r="X45" s="30" t="str">
        <x:v>Sí</x:v>
      </x:c>
      <x:c r="Y45" s="30" t="n">
        <x:v>45472</x:v>
      </x:c>
      <x:c r="Z45" s="13" t="str">
        <x:v>COPASST + SST</x:v>
      </x:c>
      <x:c r="AA45" s="13" t="str">
        <x:v>Desplazamiento apresurado</x:v>
      </x:c>
      <x:c r="AB45" s="13" t="str">
        <x:v>Orden y aseo deficiente</x:v>
      </x:c>
      <x:c r="AC45" s="13" t="str">
        <x:v>Capacitación insuficiente</x:v>
      </x:c>
      <x:c r="AD45" s="13" t="str">
        <x:v>Carga laboral elevada</x:v>
      </x:c>
      <x:c r="AE45" s="13" t="str">
        <x:v>Brecha de capacitación y hábitos inseguros de trabajo</x:v>
      </x:c>
      <x:c r="AF45" s="13" t="str">
        <x:v>Programar mantenimiento correctivo del elemento involucrado</x:v>
      </x:c>
      <x:c r="AG45" s="13" t="str">
        <x:v>Coordinador de Talento Humano</x:v>
      </x:c>
      <x:c r="AH45" s="30" t="n">
        <x:v>45502</x:v>
      </x:c>
      <x:c r="AI45" s="30" t="str">
        <x:v>Cerrada</x:v>
      </x:c>
      <x:c r="AJ45" s="30" t="n">
        <x:v>45498</x:v>
      </x:c>
      <x:c r="AK45" s="13" t="str">
        <x:f>IF(OR(AI45&lt;&gt;"Cerrada",AJ45="",AH45=""),"No",IF(AJ45&lt;=AH45,"Sí","No"))</x:f>
        <x:v>Sí</x:v>
      </x:c>
      <x:c r="AL45" s="13" t="str">
        <x:v>Sí</x:v>
      </x:c>
      <x:c r="AM45" s="13" t="str">
        <x:v>Cerrado</x:v>
      </x:c>
      <x:c r="AN45" s="13" t="str">
        <x:v>Se vincula acción al plan de mejora del proceso.</x:v>
      </x:c>
    </x:row>
    <x:row r="46">
      <x:c r="A46" s="13" t="n">
        <x:v>2024</x:v>
      </x:c>
      <x:c r="B46" s="13" t="str">
        <x:v>AT-2024-012</x:v>
      </x:c>
      <x:c r="C46" s="30" t="n">
        <x:v>45495</x:v>
      </x:c>
      <x:c r="D46" s="13" t="str">
        <x:v>07:45</x:v>
      </x:c>
      <x:c r="E46" s="13" t="str">
        <x:v>Julio</x:v>
      </x:c>
      <x:c r="F46" s="13" t="str">
        <x:v>Cúcuta</x:v>
      </x:c>
      <x:c r="G46" s="13" t="str">
        <x:v>Transporte de Valores</x:v>
      </x:c>
      <x:c r="H46" s="13" t="str">
        <x:v>Andrés Felipe Vera</x:v>
      </x:c>
      <x:c r="I46" s="13" t="str">
        <x:v>88075921</x:v>
      </x:c>
      <x:c r="J46" s="13" t="str">
        <x:v>Auxiliar Administrativa</x:v>
      </x:c>
      <x:c r="K46" s="13" t="str">
        <x:v>Término indefinido</x:v>
      </x:c>
      <x:c r="L46" s="13" t="str">
        <x:v>ARL SURA</x:v>
      </x:c>
      <x:c r="M46" s="13" t="str">
        <x:v>Con incapacidad</x:v>
      </x:c>
      <x:c r="N46" s="13" t="str">
        <x:v>Trabajador reporta lesión tipo fractura menor durante servicio en puesto asignado por atrapamiento.</x:v>
      </x:c>
      <x:c r="O46" s="13" t="str">
        <x:v>Atrapamiento</x:v>
      </x:c>
      <x:c r="P46" s="13" t="str">
        <x:v>Puerta metálica</x:v>
      </x:c>
      <x:c r="Q46" s="13" t="str">
        <x:v>Zona común del cliente</x:v>
      </x:c>
      <x:c r="R46" s="13" t="str">
        <x:v>Muñeca</x:v>
      </x:c>
      <x:c r="S46" s="13" t="str">
        <x:v>Fractura menor</x:v>
      </x:c>
      <x:c r="T46" s="13" t="n">
        <x:v>1</x:v>
      </x:c>
      <x:c r="U46" s="13" t="n">
        <x:f>IF(M46="Sin incapacidad",0,T46)</x:f>
        <x:v>1</x:v>
      </x:c>
      <x:c r="V46" s="13" t="str">
        <x:v>Sí</x:v>
      </x:c>
      <x:c r="W46" s="30" t="n">
        <x:v>45496</x:v>
      </x:c>
      <x:c r="X46" s="30" t="str">
        <x:v>Sí</x:v>
      </x:c>
      <x:c r="Y46" s="30" t="n">
        <x:v>45505</x:v>
      </x:c>
      <x:c r="Z46" s="13" t="str">
        <x:v>Coordinador SST + Operaciones</x:v>
      </x:c>
      <x:c r="AA46" s="13" t="str">
        <x:v>Distracción durante la labor</x:v>
      </x:c>
      <x:c r="AB46" s="13" t="str">
        <x:v>Iluminación insuficiente</x:v>
      </x:c>
      <x:c r="AC46" s="13" t="str">
        <x:v>Postura inadecuada</x:v>
      </x:c>
      <x:c r="AD46" s="13" t="str">
        <x:v>Falta de mantenimiento</x:v>
      </x:c>
      <x:c r="AE46" s="13" t="str">
        <x:v>Incumplimiento del procedimiento seguro y supervisión insuficiente</x:v>
      </x:c>
      <x:c r="AF46" s="13" t="str">
        <x:v>Reforzar supervisión operativa y seguimiento al uso de EPP</x:v>
      </x:c>
      <x:c r="AG46" s="13" t="str">
        <x:v>Coordinador de Talento Humano</x:v>
      </x:c>
      <x:c r="AH46" s="30" t="n">
        <x:v>45535</x:v>
      </x:c>
      <x:c r="AI46" s="30" t="str">
        <x:v>Cerrada</x:v>
      </x:c>
      <x:c r="AJ46" s="30" t="n">
        <x:v>45534</x:v>
      </x:c>
      <x:c r="AK46" s="13" t="str">
        <x:f>IF(OR(AI46&lt;&gt;"Cerrada",AJ46="",AH46=""),"No",IF(AJ46&lt;=AH46,"Sí","No"))</x:f>
        <x:v>Sí</x:v>
      </x:c>
      <x:c r="AL46" s="13" t="str">
        <x:v>Pendiente verificación</x:v>
      </x:c>
      <x:c r="AM46" s="13" t="str">
        <x:v>Cerrado</x:v>
      </x:c>
      <x:c r="AN46" s="13" t="str">
        <x:v>Se deja lección aprendida socializada en charla preoperacional.</x:v>
      </x:c>
    </x:row>
    <x:row r="47">
      <x:c r="A47" s="13" t="n">
        <x:v>2024</x:v>
      </x:c>
      <x:c r="B47" s="13" t="str">
        <x:v>AT-2024-026</x:v>
      </x:c>
      <x:c r="C47" s="30" t="n">
        <x:v>45501</x:v>
      </x:c>
      <x:c r="D47" s="13" t="str">
        <x:v>08:15</x:v>
      </x:c>
      <x:c r="E47" s="13" t="str">
        <x:v>Julio</x:v>
      </x:c>
      <x:c r="F47" s="13" t="str">
        <x:v>Arauca</x:v>
      </x:c>
      <x:c r="G47" s="13" t="str">
        <x:v>Supervisión</x:v>
      </x:c>
      <x:c r="H47" s="13" t="str">
        <x:v>Diego Alejandro Rojas</x:v>
      </x:c>
      <x:c r="I47" s="13" t="str">
        <x:v>88076546</x:v>
      </x:c>
      <x:c r="J47" s="13" t="str">
        <x:v>Analista SST</x:v>
      </x:c>
      <x:c r="K47" s="13" t="str">
        <x:v>Término indefinido</x:v>
      </x:c>
      <x:c r="L47" s="13" t="str">
        <x:v>ARL SURA</x:v>
      </x:c>
      <x:c r="M47" s="13" t="str">
        <x:v>Con incapacidad</x:v>
      </x:c>
      <x:c r="N47" s="13" t="str">
        <x:v>Trabajador reporta lesión tipo lumbalgia aguda durante servicio en puesto asignado por exposición a temperatura.</x:v>
      </x:c>
      <x:c r="O47" s="13" t="str">
        <x:v>Exposición a temperatura</x:v>
      </x:c>
      <x:c r="P47" s="13" t="str">
        <x:v>Arma de dotación</x:v>
      </x:c>
      <x:c r="Q47" s="13" t="str">
        <x:v>Cuarto técnico</x:v>
      </x:c>
      <x:c r="R47" s="13" t="str">
        <x:v>Brazo</x:v>
      </x:c>
      <x:c r="S47" s="13" t="str">
        <x:v>Lumbalgia aguda</x:v>
      </x:c>
      <x:c r="T47" s="13" t="n">
        <x:v>3</x:v>
      </x:c>
      <x:c r="U47" s="13" t="n">
        <x:f>IF(M47="Sin incapacidad",0,T47)</x:f>
        <x:v>3</x:v>
      </x:c>
      <x:c r="V47" s="13" t="str">
        <x:v>Sí</x:v>
      </x:c>
      <x:c r="W47" s="30" t="n">
        <x:v>45502</x:v>
      </x:c>
      <x:c r="X47" s="30" t="str">
        <x:v>Sí</x:v>
      </x:c>
      <x:c r="Y47" s="30" t="n">
        <x:v>45502</x:v>
      </x:c>
      <x:c r="Z47" s="13" t="str">
        <x:v>Jefe inmediato + SST</x:v>
      </x:c>
      <x:c r="AA47" s="13" t="str">
        <x:v>Omisión de inspección previa</x:v>
      </x:c>
      <x:c r="AB47" s="13" t="str">
        <x:v>Vía en mal estado</x:v>
      </x:c>
      <x:c r="AC47" s="13" t="str">
        <x:v>Falta de atención</x:v>
      </x:c>
      <x:c r="AD47" s="13" t="str">
        <x:v>Deficiencia en supervisión</x:v>
      </x:c>
      <x:c r="AE47" s="13" t="str">
        <x:v>Mantenimiento deficiente y ausencia de corrección oportuna</x:v>
      </x:c>
      <x:c r="AF47" s="13" t="str">
        <x:v>Implementar señalización y control administrativo temporal</x:v>
      </x:c>
      <x:c r="AG47" s="13" t="str">
        <x:v>Supervisor Operativo</x:v>
      </x:c>
      <x:c r="AH47" s="30" t="n">
        <x:v>45522</x:v>
      </x:c>
      <x:c r="AI47" s="30" t="str">
        <x:v>En seguimiento</x:v>
      </x:c>
      <x:c r="AJ47" s="30"/>
      <x:c r="AK47" s="13" t="str">
        <x:f>IF(OR(AI47&lt;&gt;"Cerrada",AJ47="",AH47=""),"No",IF(AJ47&lt;=AH47,"Sí","No"))</x:f>
        <x:v>No</x:v>
      </x:c>
      <x:c r="AL47" s="13" t="str">
        <x:v>Pendiente verificación</x:v>
      </x:c>
      <x:c r="AM47" s="13" t="str">
        <x:v>En seguimiento</x:v>
      </x:c>
      <x:c r="AN47" s="13" t="str">
        <x:v>Se realiza seguimiento por SST y jefe inmediato.</x:v>
      </x:c>
    </x:row>
    <x:row r="48">
      <x:c r="A48" s="13" t="n">
        <x:v>2024</x:v>
      </x:c>
      <x:c r="B48" s="13" t="str">
        <x:v>AT-2024-009</x:v>
      </x:c>
      <x:c r="C48" s="30" t="n">
        <x:v>45502</x:v>
      </x:c>
      <x:c r="D48" s="13" t="str">
        <x:v>17:45</x:v>
      </x:c>
      <x:c r="E48" s="13" t="str">
        <x:v>Julio</x:v>
      </x:c>
      <x:c r="F48" s="13" t="str">
        <x:v>Cúcuta</x:v>
      </x:c>
      <x:c r="G48" s="13" t="str">
        <x:v>Logística</x:v>
      </x:c>
      <x:c r="H48" s="13" t="str">
        <x:v>Ricardo Andrés Parra</x:v>
      </x:c>
      <x:c r="I48" s="13" t="str">
        <x:v>88075327</x:v>
      </x:c>
      <x:c r="J48" s="13" t="str">
        <x:v>Auxiliar Administrativa</x:v>
      </x:c>
      <x:c r="K48" s="13" t="str">
        <x:v>Término indefinido</x:v>
      </x:c>
      <x:c r="L48" s="13" t="str">
        <x:v>ARL SURA</x:v>
      </x:c>
      <x:c r="M48" s="13" t="str">
        <x:v>Con incapacidad</x:v>
      </x:c>
      <x:c r="N48" s="13" t="str">
        <x:v>En desarrollo de actividades de logística, se presentó evento por atrapamiento asociado a vehículo.</x:v>
      </x:c>
      <x:c r="O48" s="13" t="str">
        <x:v>Atrapamiento</x:v>
      </x:c>
      <x:c r="P48" s="13" t="str">
        <x:v>Vehículo</x:v>
      </x:c>
      <x:c r="Q48" s="13" t="str">
        <x:v>Puesto de vigilancia</x:v>
      </x:c>
      <x:c r="R48" s="13" t="str">
        <x:v>Muñeca</x:v>
      </x:c>
      <x:c r="S48" s="13" t="str">
        <x:v>Trauma ocular leve</x:v>
      </x:c>
      <x:c r="T48" s="13" t="n">
        <x:v>15</x:v>
      </x:c>
      <x:c r="U48" s="13" t="n">
        <x:f>IF(M48="Sin incapacidad",0,T48)</x:f>
        <x:v>15</x:v>
      </x:c>
      <x:c r="V48" s="13" t="str">
        <x:v>Sí</x:v>
      </x:c>
      <x:c r="W48" s="30" t="n">
        <x:v>45503</x:v>
      </x:c>
      <x:c r="X48" s="30" t="str">
        <x:v>Sí</x:v>
      </x:c>
      <x:c r="Y48" s="30" t="n">
        <x:v>45507</x:v>
      </x:c>
      <x:c r="Z48" s="13" t="str">
        <x:v>COPASST + SST</x:v>
      </x:c>
      <x:c r="AA48" s="13" t="str">
        <x:v>Conducción sin distancia segura</x:v>
      </x:c>
      <x:c r="AB48" s="13" t="str">
        <x:v>Superficie deslizante</x:v>
      </x:c>
      <x:c r="AC48" s="13" t="str">
        <x:v>Apuro operativo</x:v>
      </x:c>
      <x:c r="AD48" s="13" t="str">
        <x:v>Condición locativa no corregida</x:v>
      </x:c>
      <x:c r="AE48" s="13" t="str">
        <x:v>Mantenimiento deficiente y ausencia de corrección oportuna</x:v>
      </x:c>
      <x:c r="AF48" s="13" t="str">
        <x:v>Realizar capacitación focalizada y socialización de lección aprendida</x:v>
      </x:c>
      <x:c r="AG48" s="13" t="str">
        <x:v>Supervisor Operativo</x:v>
      </x:c>
      <x:c r="AH48" s="30" t="n">
        <x:v>45527</x:v>
      </x:c>
      <x:c r="AI48" s="30" t="str">
        <x:v>Cerrada</x:v>
      </x:c>
      <x:c r="AJ48" s="30" t="n">
        <x:v>45528</x:v>
      </x:c>
      <x:c r="AK48" s="13" t="str">
        <x:f>IF(OR(AI48&lt;&gt;"Cerrada",AJ48="",AH48=""),"No",IF(AJ48&lt;=AH48,"Sí","No"))</x:f>
        <x:v>No</x:v>
      </x:c>
      <x:c r="AL48" s="13" t="str">
        <x:v>Pendiente verificación</x:v>
      </x:c>
      <x:c r="AM48" s="13" t="str">
        <x:v>Cerrado</x:v>
      </x:c>
      <x:c r="AN48" s="13" t="str">
        <x:v>Se deja lección aprendida socializada en charla preoperacional.</x:v>
      </x:c>
    </x:row>
    <x:row r="49">
      <x:c r="A49" s="13" t="n">
        <x:v>2024</x:v>
      </x:c>
      <x:c r="B49" s="13" t="str">
        <x:v>AT-2024-005</x:v>
      </x:c>
      <x:c r="C49" s="30" t="n">
        <x:v>45504</x:v>
      </x:c>
      <x:c r="D49" s="13" t="str">
        <x:v>09:50</x:v>
      </x:c>
      <x:c r="E49" s="13" t="str">
        <x:v>Julio</x:v>
      </x:c>
      <x:c r="F49" s="13" t="str">
        <x:v>Ábrego</x:v>
      </x:c>
      <x:c r="G49" s="13" t="str">
        <x:v>Escoltas</x:v>
      </x:c>
      <x:c r="H49" s="13" t="str">
        <x:v>Álvaro José Pabón</x:v>
      </x:c>
      <x:c r="I49" s="13" t="str">
        <x:v>88075779</x:v>
      </x:c>
      <x:c r="J49" s="13" t="str">
        <x:v>Vigilante</x:v>
      </x:c>
      <x:c r="K49" s="13" t="str">
        <x:v>Término indefinido</x:v>
      </x:c>
      <x:c r="L49" s="13" t="str">
        <x:v>ARL SURA</x:v>
      </x:c>
      <x:c r="M49" s="13" t="str">
        <x:v>Con incapacidad</x:v>
      </x:c>
      <x:c r="N49" s="13" t="str">
        <x:v>Durante ronda de vigilancia en ábrego, el trabajador sufrió trauma ocular leve por caída de objetos.</x:v>
      </x:c>
      <x:c r="O49" s="13" t="str">
        <x:v>Caída de objetos</x:v>
      </x:c>
      <x:c r="P49" s="13" t="str">
        <x:v>Escritorio</x:v>
      </x:c>
      <x:c r="Q49" s="13" t="str">
        <x:v>Parqueadero</x:v>
      </x:c>
      <x:c r="R49" s="13" t="str">
        <x:v>Muñeca</x:v>
      </x:c>
      <x:c r="S49" s="13" t="str">
        <x:v>Trauma ocular leve</x:v>
      </x:c>
      <x:c r="T49" s="13" t="n">
        <x:v>15</x:v>
      </x:c>
      <x:c r="U49" s="13" t="n">
        <x:f>IF(M49="Sin incapacidad",0,T49)</x:f>
        <x:v>15</x:v>
      </x:c>
      <x:c r="V49" s="13" t="str">
        <x:v>Sí</x:v>
      </x:c>
      <x:c r="W49" s="30" t="n">
        <x:v>45505</x:v>
      </x:c>
      <x:c r="X49" s="30" t="str">
        <x:v>Sí</x:v>
      </x:c>
      <x:c r="Y49" s="30" t="n">
        <x:v>45509</x:v>
      </x:c>
      <x:c r="Z49" s="13" t="str">
        <x:v>COPASST + SST</x:v>
      </x:c>
      <x:c r="AA49" s="13" t="str">
        <x:v>Desplazamiento apresurado</x:v>
      </x:c>
      <x:c r="AB49" s="13" t="str">
        <x:v>Cable expuesto</x:v>
      </x:c>
      <x:c r="AC49" s="13" t="str">
        <x:v>Fatiga</x:v>
      </x:c>
      <x:c r="AD49" s="13" t="str">
        <x:v>Condición locativa no corregida</x:v>
      </x:c>
      <x:c r="AE49" s="13" t="str">
        <x:v>Incumplimiento del procedimiento seguro y supervisión insuficiente</x:v>
      </x:c>
      <x:c r="AF49" s="13" t="str">
        <x:v>Implementar señalización y control administrativo temporal</x:v>
      </x:c>
      <x:c r="AG49" s="13" t="str">
        <x:v>Líder de Mantenimiento</x:v>
      </x:c>
      <x:c r="AH49" s="30" t="n">
        <x:v>45519</x:v>
      </x:c>
      <x:c r="AI49" s="30" t="str">
        <x:v>Cerrada</x:v>
      </x:c>
      <x:c r="AJ49" s="30" t="n">
        <x:v>45519</x:v>
      </x:c>
      <x:c r="AK49" s="13" t="str">
        <x:f>IF(OR(AI49&lt;&gt;"Cerrada",AJ49="",AH49=""),"No",IF(AJ49&lt;=AH49,"Sí","No"))</x:f>
        <x:v>Sí</x:v>
      </x:c>
      <x:c r="AL49" s="13" t="str">
        <x:v>Sí</x:v>
      </x:c>
      <x:c r="AM49" s="13" t="str">
        <x:v>Cerrado</x:v>
      </x:c>
      <x:c r="AN49" s="13" t="str">
        <x:v>Se realiza seguimiento por SST y jefe inmediato.</x:v>
      </x:c>
    </x:row>
    <x:row r="50">
      <x:c r="A50" s="13" t="n">
        <x:v>2024</x:v>
      </x:c>
      <x:c r="B50" s="13" t="str">
        <x:v>AT-2024-023</x:v>
      </x:c>
      <x:c r="C50" s="30" t="n">
        <x:v>45520</x:v>
      </x:c>
      <x:c r="D50" s="13" t="str">
        <x:v>07:40</x:v>
      </x:c>
      <x:c r="E50" s="13" t="str">
        <x:v>Agosto</x:v>
      </x:c>
      <x:c r="F50" s="13" t="str">
        <x:v>Ábrego</x:v>
      </x:c>
      <x:c r="G50" s="13" t="str">
        <x:v>Logística</x:v>
      </x:c>
      <x:c r="H50" s="13" t="str">
        <x:v>Álvaro José Pabón</x:v>
      </x:c>
      <x:c r="I50" s="13" t="str">
        <x:v>88075815</x:v>
      </x:c>
      <x:c r="J50" s="13" t="str">
        <x:v>Vigilante</x:v>
      </x:c>
      <x:c r="K50" s="13" t="str">
        <x:v>Término indefinido</x:v>
      </x:c>
      <x:c r="L50" s="13" t="str">
        <x:v>ARL SURA</x:v>
      </x:c>
      <x:c r="M50" s="13" t="str">
        <x:v>Con incapacidad</x:v>
      </x:c>
      <x:c r="N50" s="13" t="str">
        <x:v>En desarrollo de actividades de logística, se presentó evento por sobreesfuerzo o esfuerzo excesivo asociado a rejilla.</x:v>
      </x:c>
      <x:c r="O50" s="13" t="str">
        <x:v>Sobreesfuerzo o esfuerzo excesivo</x:v>
      </x:c>
      <x:c r="P50" s="13" t="str">
        <x:v>Rejilla</x:v>
      </x:c>
      <x:c r="Q50" s="13" t="str">
        <x:v>Zona común del cliente</x:v>
      </x:c>
      <x:c r="R50" s="13" t="str">
        <x:v>Hombro</x:v>
      </x:c>
      <x:c r="S50" s="13" t="str">
        <x:v>Contusión</x:v>
      </x:c>
      <x:c r="T50" s="13" t="n">
        <x:v>3</x:v>
      </x:c>
      <x:c r="U50" s="13" t="n">
        <x:f>IF(M50="Sin incapacidad",0,T50)</x:f>
        <x:v>3</x:v>
      </x:c>
      <x:c r="V50" s="13" t="str">
        <x:v>Sí</x:v>
      </x:c>
      <x:c r="W50" s="30" t="n">
        <x:v>45522</x:v>
      </x:c>
      <x:c r="X50" s="30" t="str">
        <x:v>Sí</x:v>
      </x:c>
      <x:c r="Y50" s="30" t="n">
        <x:v>45528</x:v>
      </x:c>
      <x:c r="Z50" s="13" t="str">
        <x:v>Jefe inmediato + SST</x:v>
      </x:c>
      <x:c r="AA50" s="13" t="str">
        <x:v>Omisión de inspección previa</x:v>
      </x:c>
      <x:c r="AB50" s="13" t="str">
        <x:v>Iluminación insuficiente</x:v>
      </x:c>
      <x:c r="AC50" s="13" t="str">
        <x:v>Falta de atención</x:v>
      </x:c>
      <x:c r="AD50" s="13" t="str">
        <x:v>Condición locativa no corregida</x:v>
      </x:c>
      <x:c r="AE50" s="13" t="str">
        <x:v>Mantenimiento deficiente y ausencia de corrección oportuna</x:v>
      </x:c>
      <x:c r="AF50" s="13" t="str">
        <x:v>Actualizar procedimiento seguro de trabajo y verificar cumplimiento</x:v>
      </x:c>
      <x:c r="AG50" s="13" t="str">
        <x:v>Analista SST</x:v>
      </x:c>
      <x:c r="AH50" s="30" t="n">
        <x:v>45538</x:v>
      </x:c>
      <x:c r="AI50" s="30" t="str">
        <x:v>Cerrada</x:v>
      </x:c>
      <x:c r="AJ50" s="30" t="n">
        <x:v>45533</x:v>
      </x:c>
      <x:c r="AK50" s="13" t="str">
        <x:f>IF(OR(AI50&lt;&gt;"Cerrada",AJ50="",AH50=""),"No",IF(AJ50&lt;=AH50,"Sí","No"))</x:f>
        <x:v>Sí</x:v>
      </x:c>
      <x:c r="AL50" s="13" t="str">
        <x:v>Sí</x:v>
      </x:c>
      <x:c r="AM50" s="13" t="str">
        <x:v>Cerrado</x:v>
      </x:c>
      <x:c r="AN50" s="13" t="str">
        <x:v>Se recomienda refuerzo de inspecciones y autocuidado.</x:v>
      </x:c>
    </x:row>
    <x:row r="51">
      <x:c r="A51" s="13" t="n">
        <x:v>2024</x:v>
      </x:c>
      <x:c r="B51" s="13" t="str">
        <x:v>AT-2024-007</x:v>
      </x:c>
      <x:c r="C51" s="30" t="n">
        <x:v>45521</x:v>
      </x:c>
      <x:c r="D51" s="13" t="str">
        <x:v>17:10</x:v>
      </x:c>
      <x:c r="E51" s="13" t="str">
        <x:v>Agosto</x:v>
      </x:c>
      <x:c r="F51" s="13" t="str">
        <x:v>Tibú</x:v>
      </x:c>
      <x:c r="G51" s="13" t="str">
        <x:v>Administrativa</x:v>
      </x:c>
      <x:c r="H51" s="13" t="str">
        <x:v>María Camila Rojas</x:v>
      </x:c>
      <x:c r="I51" s="13" t="str">
        <x:v>88075455</x:v>
      </x:c>
      <x:c r="J51" s="13" t="str">
        <x:v>Conductor</x:v>
      </x:c>
      <x:c r="K51" s="13" t="str">
        <x:v>Término indefinido</x:v>
      </x:c>
      <x:c r="L51" s="13" t="str">
        <x:v>ARL SURA</x:v>
      </x:c>
      <x:c r="M51" s="13" t="str">
        <x:v>Sin incapacidad</x:v>
      </x:c>
      <x:c r="N51" s="13" t="str">
        <x:v>En desarrollo de actividades de administrativa, se presentó evento por caída al mismo nivel asociado a cableado.</x:v>
      </x:c>
      <x:c r="O51" s="13" t="str">
        <x:v>Caída al mismo nivel</x:v>
      </x:c>
      <x:c r="P51" s="13" t="str">
        <x:v>Cableado</x:v>
      </x:c>
      <x:c r="Q51" s="13" t="str">
        <x:v>Vía pública en ronda</x:v>
      </x:c>
      <x:c r="R51" s="13" t="str">
        <x:v>Cervical</x:v>
      </x:c>
      <x:c r="S51" s="13" t="str">
        <x:v>Fractura menor</x:v>
      </x:c>
      <x:c r="T51" s="13" t="n">
        <x:v>0</x:v>
      </x:c>
      <x:c r="U51" s="13" t="n">
        <x:f>IF(M51="Sin incapacidad",0,T51)</x:f>
        <x:v>0</x:v>
      </x:c>
      <x:c r="V51" s="13" t="str">
        <x:v>Sí</x:v>
      </x:c>
      <x:c r="W51" s="30" t="n">
        <x:v>45521</x:v>
      </x:c>
      <x:c r="X51" s="30" t="str">
        <x:v>Sí</x:v>
      </x:c>
      <x:c r="Y51" s="30" t="n">
        <x:v>45529</x:v>
      </x:c>
      <x:c r="Z51" s="13" t="str">
        <x:v>Jefe inmediato + SST</x:v>
      </x:c>
      <x:c r="AA51" s="13" t="str">
        <x:v>Desplazamiento apresurado</x:v>
      </x:c>
      <x:c r="AB51" s="13" t="str">
        <x:v>Espacio reducido</x:v>
      </x:c>
      <x:c r="AC51" s="13" t="str">
        <x:v>Apuro operativo</x:v>
      </x:c>
      <x:c r="AD51" s="13" t="str">
        <x:v>Deficiencia en supervisión</x:v>
      </x:c>
      <x:c r="AE51" s="13" t="str">
        <x:v>Control operativo insuficiente frente a condición locativa</x:v>
      </x:c>
      <x:c r="AF51" s="13" t="str">
        <x:v>Ejecutar inspección locativa y corrección inmediata del peligro</x:v>
      </x:c>
      <x:c r="AG51" s="13" t="str">
        <x:v>Jefe de Operaciones</x:v>
      </x:c>
      <x:c r="AH51" s="30" t="n">
        <x:v>45549</x:v>
      </x:c>
      <x:c r="AI51" s="30" t="str">
        <x:v>Cerrada</x:v>
      </x:c>
      <x:c r="AJ51" s="30" t="n">
        <x:v>45545</x:v>
      </x:c>
      <x:c r="AK51" s="13" t="str">
        <x:f>IF(OR(AI51&lt;&gt;"Cerrada",AJ51="",AH51=""),"No",IF(AJ51&lt;=AH51,"Sí","No"))</x:f>
        <x:v>Sí</x:v>
      </x:c>
      <x:c r="AL51" s="13" t="str">
        <x:v>Sí</x:v>
      </x:c>
      <x:c r="AM51" s="13" t="str">
        <x:v>Cerrado</x:v>
      </x:c>
      <x:c r="AN51" s="13" t="str">
        <x:v>Se realiza seguimiento por SST y jefe inmediato.</x:v>
      </x:c>
    </x:row>
    <x:row r="52">
      <x:c r="A52" s="13" t="n">
        <x:v>2024</x:v>
      </x:c>
      <x:c r="B52" s="13" t="str">
        <x:v>AT-2024-006</x:v>
      </x:c>
      <x:c r="C52" s="30" t="n">
        <x:v>45575</x:v>
      </x:c>
      <x:c r="D52" s="13" t="str">
        <x:v>12:20</x:v>
      </x:c>
      <x:c r="E52" s="13" t="str">
        <x:v>Octubre</x:v>
      </x:c>
      <x:c r="F52" s="13" t="str">
        <x:v>Girón</x:v>
      </x:c>
      <x:c r="G52" s="13" t="str">
        <x:v>Monitoreo</x:v>
      </x:c>
      <x:c r="H52" s="13" t="str">
        <x:v>Jorge Enrique Suárez</x:v>
      </x:c>
      <x:c r="I52" s="13" t="str">
        <x:v>88075112</x:v>
      </x:c>
      <x:c r="J52" s="13" t="str">
        <x:v>Tecnólogo de Monitoreo</x:v>
      </x:c>
      <x:c r="K52" s="13" t="str">
        <x:v>Término indefinido</x:v>
      </x:c>
      <x:c r="L52" s="13" t="str">
        <x:v>ARL SURA</x:v>
      </x:c>
      <x:c r="M52" s="13" t="str">
        <x:v>Sin incapacidad</x:v>
      </x:c>
      <x:c r="N52" s="13" t="str">
        <x:v>Durante ronda de vigilancia en girón, el trabajador sufrió lumbalgia aguda por caída de objetos.</x:v>
      </x:c>
      <x:c r="O52" s="13" t="str">
        <x:v>Caída de objetos</x:v>
      </x:c>
      <x:c r="P52" s="13" t="str">
        <x:v>Arma de dotación</x:v>
      </x:c>
      <x:c r="Q52" s="13" t="str">
        <x:v>Acceso principal</x:v>
      </x:c>
      <x:c r="R52" s="13" t="str">
        <x:v>Tobillo</x:v>
      </x:c>
      <x:c r="S52" s="13" t="str">
        <x:v>Lumbalgia aguda</x:v>
      </x:c>
      <x:c r="T52" s="13" t="n">
        <x:v>0</x:v>
      </x:c>
      <x:c r="U52" s="13" t="n">
        <x:f>IF(M52="Sin incapacidad",0,T52)</x:f>
        <x:v>0</x:v>
      </x:c>
      <x:c r="V52" s="13" t="str">
        <x:v>Sí</x:v>
      </x:c>
      <x:c r="W52" s="30" t="n">
        <x:v>45575</x:v>
      </x:c>
      <x:c r="X52" s="30" t="str">
        <x:v>Sí</x:v>
      </x:c>
      <x:c r="Y52" s="30" t="n">
        <x:v>45576</x:v>
      </x:c>
      <x:c r="Z52" s="13" t="str">
        <x:v>COPASST + SST</x:v>
      </x:c>
      <x:c r="AA52" s="13" t="str">
        <x:v>No asegurar postura adecuada</x:v>
      </x:c>
      <x:c r="AB52" s="13" t="str">
        <x:v>Espacio reducido</x:v>
      </x:c>
      <x:c r="AC52" s="13" t="str">
        <x:v>Falta de atención</x:v>
      </x:c>
      <x:c r="AD52" s="13" t="str">
        <x:v>Control operativo insuficiente</x:v>
      </x:c>
      <x:c r="AE52" s="13" t="str">
        <x:v>Mantenimiento deficiente y ausencia de corrección oportuna</x:v>
      </x:c>
      <x:c r="AF52" s="13" t="str">
        <x:v>Realizar capacitación focalizada y socialización de lección aprendida</x:v>
      </x:c>
      <x:c r="AG52" s="13" t="str">
        <x:v>Supervisor Operativo</x:v>
      </x:c>
      <x:c r="AH52" s="30" t="n">
        <x:v>45596</x:v>
      </x:c>
      <x:c r="AI52" s="30" t="str">
        <x:v>Cerrada</x:v>
      </x:c>
      <x:c r="AJ52" s="30" t="n">
        <x:v>45590</x:v>
      </x:c>
      <x:c r="AK52" s="13" t="str">
        <x:f>IF(OR(AI52&lt;&gt;"Cerrada",AJ52="",AH52=""),"No",IF(AJ52&lt;=AH52,"Sí","No"))</x:f>
        <x:v>Sí</x:v>
      </x:c>
      <x:c r="AL52" s="13" t="str">
        <x:v>Sí</x:v>
      </x:c>
      <x:c r="AM52" s="13" t="str">
        <x:v>Cerrado</x:v>
      </x:c>
      <x:c r="AN52" s="13" t="str">
        <x:v>Se recomienda refuerzo de inspecciones y autocuidado.</x:v>
      </x:c>
    </x:row>
    <x:row r="53">
      <x:c r="A53" s="13" t="n">
        <x:v>2024</x:v>
      </x:c>
      <x:c r="B53" s="13" t="str">
        <x:v>AT-2024-002</x:v>
      </x:c>
      <x:c r="C53" s="30" t="n">
        <x:v>45584</x:v>
      </x:c>
      <x:c r="D53" s="13" t="str">
        <x:v>17:30</x:v>
      </x:c>
      <x:c r="E53" s="13" t="str">
        <x:v>Octubre</x:v>
      </x:c>
      <x:c r="F53" s="13" t="str">
        <x:v>Valledupar</x:v>
      </x:c>
      <x:c r="G53" s="13" t="str">
        <x:v>Operaciones</x:v>
      </x:c>
      <x:c r="H53" s="13" t="str">
        <x:v>Claudia Patricia Solano</x:v>
      </x:c>
      <x:c r="I53" s="13" t="str">
        <x:v>88074970</x:v>
      </x:c>
      <x:c r="J53" s="13" t="str">
        <x:v>Guarda Motorizado</x:v>
      </x:c>
      <x:c r="K53" s="13" t="str">
        <x:v>Término indefinido</x:v>
      </x:c>
      <x:c r="L53" s="13" t="str">
        <x:v>ARL SURA</x:v>
      </x:c>
      <x:c r="M53" s="13" t="str">
        <x:v>Con incapacidad</x:v>
      </x:c>
      <x:c r="N53" s="13" t="str">
        <x:v>En desarrollo de actividades de operaciones, se presentó evento por accidente de tránsito asociado a piso húmedo.</x:v>
      </x:c>
      <x:c r="O53" s="13" t="str">
        <x:v>Accidente de tránsito</x:v>
      </x:c>
      <x:c r="P53" s="13" t="str">
        <x:v>Piso húmedo</x:v>
      </x:c>
      <x:c r="Q53" s="13" t="str">
        <x:v>Área administrativa</x:v>
      </x:c>
      <x:c r="R53" s="13" t="str">
        <x:v>Brazo</x:v>
      </x:c>
      <x:c r="S53" s="13" t="str">
        <x:v>Golpe leve</x:v>
      </x:c>
      <x:c r="T53" s="13" t="n">
        <x:v>5</x:v>
      </x:c>
      <x:c r="U53" s="13" t="n">
        <x:f>IF(M53="Sin incapacidad",0,T53)</x:f>
        <x:v>5</x:v>
      </x:c>
      <x:c r="V53" s="13" t="str">
        <x:v>Sí</x:v>
      </x:c>
      <x:c r="W53" s="30" t="n">
        <x:v>45584</x:v>
      </x:c>
      <x:c r="X53" s="30" t="str">
        <x:v>Sí</x:v>
      </x:c>
      <x:c r="Y53" s="30" t="n">
        <x:v>45590</x:v>
      </x:c>
      <x:c r="Z53" s="13" t="str">
        <x:v>COPASST + SST</x:v>
      </x:c>
      <x:c r="AA53" s="13" t="str">
        <x:v>Uso inadecuado del EPP</x:v>
      </x:c>
      <x:c r="AB53" s="13" t="str">
        <x:v>Vía en mal estado</x:v>
      </x:c>
      <x:c r="AC53" s="13" t="str">
        <x:v>Capacitación insuficiente</x:v>
      </x:c>
      <x:c r="AD53" s="13" t="str">
        <x:v>Condición locativa no corregida</x:v>
      </x:c>
      <x:c r="AE53" s="13" t="str">
        <x:v>Incumplimiento del procedimiento seguro y supervisión insuficiente</x:v>
      </x:c>
      <x:c r="AF53" s="13" t="str">
        <x:v>Implementar señalización y control administrativo temporal</x:v>
      </x:c>
      <x:c r="AG53" s="13" t="str">
        <x:v>Coordinador SST</x:v>
      </x:c>
      <x:c r="AH53" s="30" t="n">
        <x:v>45600</x:v>
      </x:c>
      <x:c r="AI53" s="30" t="str">
        <x:v>Cerrada</x:v>
      </x:c>
      <x:c r="AJ53" s="30" t="n">
        <x:v>45598</x:v>
      </x:c>
      <x:c r="AK53" s="13" t="str">
        <x:f>IF(OR(AI53&lt;&gt;"Cerrada",AJ53="",AH53=""),"No",IF(AJ53&lt;=AH53,"Sí","No"))</x:f>
        <x:v>Sí</x:v>
      </x:c>
      <x:c r="AL53" s="13" t="str">
        <x:v>Sí</x:v>
      </x:c>
      <x:c r="AM53" s="13" t="str">
        <x:v>Cerrado</x:v>
      </x:c>
      <x:c r="AN53" s="13" t="str">
        <x:v>Se realiza seguimiento por SST y jefe inmediato.</x:v>
      </x:c>
    </x:row>
    <x:row r="54">
      <x:c r="A54" s="13" t="n">
        <x:v>2024</x:v>
      </x:c>
      <x:c r="B54" s="13" t="str">
        <x:v>AT-2024-016</x:v>
      </x:c>
      <x:c r="C54" s="30" t="n">
        <x:v>45596</x:v>
      </x:c>
      <x:c r="D54" s="13" t="str">
        <x:v>08:30</x:v>
      </x:c>
      <x:c r="E54" s="13" t="str">
        <x:v>Octubre</x:v>
      </x:c>
      <x:c r="F54" s="13" t="str">
        <x:v>Medellín</x:v>
      </x:c>
      <x:c r="G54" s="13" t="str">
        <x:v>Escoltas</x:v>
      </x:c>
      <x:c r="H54" s="13" t="str">
        <x:v>Yenny Paola Cáceres</x:v>
      </x:c>
      <x:c r="I54" s="13" t="str">
        <x:v>88076166</x:v>
      </x:c>
      <x:c r="J54" s="13" t="str">
        <x:v>Operador de Medios Tecnológicos</x:v>
      </x:c>
      <x:c r="K54" s="13" t="str">
        <x:v>Término fijo</x:v>
      </x:c>
      <x:c r="L54" s="13" t="str">
        <x:v>ARL SURA</x:v>
      </x:c>
      <x:c r="M54" s="13" t="str">
        <x:v>Sin incapacidad</x:v>
      </x:c>
      <x:c r="N54" s="13" t="str">
        <x:v>Trabajador reporta lesión tipo fractura menor durante servicio en puesto asignado por caída de objetos.</x:v>
      </x:c>
      <x:c r="O54" s="13" t="str">
        <x:v>Caída de objetos</x:v>
      </x:c>
      <x:c r="P54" s="13" t="str">
        <x:v>Arma de dotación</x:v>
      </x:c>
      <x:c r="Q54" s="13" t="str">
        <x:v>Puesto de vigilancia</x:v>
      </x:c>
      <x:c r="R54" s="13" t="str">
        <x:v>Muñeca</x:v>
      </x:c>
      <x:c r="S54" s="13" t="str">
        <x:v>Fractura menor</x:v>
      </x:c>
      <x:c r="T54" s="13" t="n">
        <x:v>0</x:v>
      </x:c>
      <x:c r="U54" s="13" t="n">
        <x:f>IF(M54="Sin incapacidad",0,T54)</x:f>
        <x:v>0</x:v>
      </x:c>
      <x:c r="V54" s="13" t="str">
        <x:v>Sí</x:v>
      </x:c>
      <x:c r="W54" s="30" t="n">
        <x:v>45598</x:v>
      </x:c>
      <x:c r="X54" s="30" t="str">
        <x:v>Sí</x:v>
      </x:c>
      <x:c r="Y54" s="30" t="n">
        <x:v>45602</x:v>
      </x:c>
      <x:c r="Z54" s="13" t="str">
        <x:v>Supervisor + Analista SST</x:v>
      </x:c>
      <x:c r="AA54" s="13" t="str">
        <x:v>Omisión de inspección previa</x:v>
      </x:c>
      <x:c r="AB54" s="13" t="str">
        <x:v>Señalización insuficiente</x:v>
      </x:c>
      <x:c r="AC54" s="13" t="str">
        <x:v>Exceso de confianza</x:v>
      </x:c>
      <x:c r="AD54" s="13" t="str">
        <x:v>Carga laboral elevada</x:v>
      </x:c>
      <x:c r="AE54" s="13" t="str">
        <x:v>Incumplimiento del procedimiento seguro y supervisión insuficiente</x:v>
      </x:c>
      <x:c r="AF54" s="13" t="str">
        <x:v>Ejecutar inspección locativa y corrección inmediata del peligro</x:v>
      </x:c>
      <x:c r="AG54" s="13" t="str">
        <x:v>Supervisor Operativo</x:v>
      </x:c>
      <x:c r="AH54" s="30" t="n">
        <x:v>45617</x:v>
      </x:c>
      <x:c r="AI54" s="30" t="str">
        <x:v>Cerrada</x:v>
      </x:c>
      <x:c r="AJ54" s="30" t="n">
        <x:v>45609</x:v>
      </x:c>
      <x:c r="AK54" s="13" t="str">
        <x:f>IF(OR(AI54&lt;&gt;"Cerrada",AJ54="",AH54=""),"No",IF(AJ54&lt;=AH54,"Sí","No"))</x:f>
        <x:v>Sí</x:v>
      </x:c>
      <x:c r="AL54" s="13" t="str">
        <x:v>Pendiente verificación</x:v>
      </x:c>
      <x:c r="AM54" s="13" t="str">
        <x:v>Cerrado</x:v>
      </x:c>
      <x:c r="AN54" s="13" t="str">
        <x:v>Se vincula acción al plan de mejora del proceso.</x:v>
      </x:c>
    </x:row>
    <x:row r="55">
      <x:c r="A55" s="13" t="n">
        <x:v>2024</x:v>
      </x:c>
      <x:c r="B55" s="13" t="str">
        <x:v>AT-2024-017</x:v>
      </x:c>
      <x:c r="C55" s="30" t="n">
        <x:v>45608</x:v>
      </x:c>
      <x:c r="D55" s="13" t="str">
        <x:v>10:45</x:v>
      </x:c>
      <x:c r="E55" s="13" t="str">
        <x:v>Noviembre</x:v>
      </x:c>
      <x:c r="F55" s="13" t="str">
        <x:v>Ocaña</x:v>
      </x:c>
      <x:c r="G55" s="13" t="str">
        <x:v>Operaciones</x:v>
      </x:c>
      <x:c r="H55" s="13" t="str">
        <x:v>Yulieth Andrea Díaz</x:v>
      </x:c>
      <x:c r="I55" s="13" t="str">
        <x:v>88075561</x:v>
      </x:c>
      <x:c r="J55" s="13" t="str">
        <x:v>Analista SST</x:v>
      </x:c>
      <x:c r="K55" s="13" t="str">
        <x:v>Término indefinido</x:v>
      </x:c>
      <x:c r="L55" s="13" t="str">
        <x:v>ARL SURA</x:v>
      </x:c>
      <x:c r="M55" s="13" t="str">
        <x:v>Con incapacidad</x:v>
      </x:c>
      <x:c r="N55" s="13" t="str">
        <x:v>Durante ronda de vigilancia en ocaña, el trabajador sufrió luxación por caída al mismo nivel.</x:v>
      </x:c>
      <x:c r="O55" s="13" t="str">
        <x:v>Caída al mismo nivel</x:v>
      </x:c>
      <x:c r="P55" s="13" t="str">
        <x:v>Cableado</x:v>
      </x:c>
      <x:c r="Q55" s="13" t="str">
        <x:v>Parqueadero</x:v>
      </x:c>
      <x:c r="R55" s="13" t="str">
        <x:v>Brazo</x:v>
      </x:c>
      <x:c r="S55" s="13" t="str">
        <x:v>Luxación</x:v>
      </x:c>
      <x:c r="T55" s="13" t="n">
        <x:v>30</x:v>
      </x:c>
      <x:c r="U55" s="13" t="n">
        <x:f>IF(M55="Sin incapacidad",0,T55)</x:f>
        <x:v>30</x:v>
      </x:c>
      <x:c r="V55" s="13" t="str">
        <x:v>Sí</x:v>
      </x:c>
      <x:c r="W55" s="30" t="n">
        <x:v>45609</x:v>
      </x:c>
      <x:c r="X55" s="30" t="str">
        <x:v>Sí</x:v>
      </x:c>
      <x:c r="Y55" s="30" t="n">
        <x:v>45612</x:v>
      </x:c>
      <x:c r="Z55" s="13" t="str">
        <x:v>Supervisor + Analista SST</x:v>
      </x:c>
      <x:c r="AA55" s="13" t="str">
        <x:v>No reportar condición insegura</x:v>
      </x:c>
      <x:c r="AB55" s="13" t="str">
        <x:v>Señalización insuficiente</x:v>
      </x:c>
      <x:c r="AC55" s="13" t="str">
        <x:v>Exceso de confianza</x:v>
      </x:c>
      <x:c r="AD55" s="13" t="str">
        <x:v>Condición locativa no corregida</x:v>
      </x:c>
      <x:c r="AE55" s="13" t="str">
        <x:v>Falta de inspección previa y gestión tardía del peligro</x:v>
      </x:c>
      <x:c r="AF55" s="13" t="str">
        <x:v>Reforzar supervisión operativa y seguimiento al uso de EPP</x:v>
      </x:c>
      <x:c r="AG55" s="13" t="str">
        <x:v>Analista SST</x:v>
      </x:c>
      <x:c r="AH55" s="30" t="n">
        <x:v>45632</x:v>
      </x:c>
      <x:c r="AI55" s="30" t="str">
        <x:v>Cerrada</x:v>
      </x:c>
      <x:c r="AJ55" s="30" t="n">
        <x:v>45629</x:v>
      </x:c>
      <x:c r="AK55" s="13" t="str">
        <x:f>IF(OR(AI55&lt;&gt;"Cerrada",AJ55="",AH55=""),"No",IF(AJ55&lt;=AH55,"Sí","No"))</x:f>
        <x:v>Sí</x:v>
      </x:c>
      <x:c r="AL55" s="13" t="str">
        <x:v>Sí</x:v>
      </x:c>
      <x:c r="AM55" s="13" t="str">
        <x:v>Cerrado</x:v>
      </x:c>
      <x:c r="AN55" s="13" t="str">
        <x:v>Se deja lección aprendida socializada en charla preoperacional.</x:v>
      </x:c>
    </x:row>
    <x:row r="56">
      <x:c r="A56" s="13" t="n">
        <x:v>2024</x:v>
      </x:c>
      <x:c r="B56" s="13" t="str">
        <x:v>AT-2024-020</x:v>
      </x:c>
      <x:c r="C56" s="30" t="n">
        <x:v>45615</x:v>
      </x:c>
      <x:c r="D56" s="13" t="str">
        <x:v>13:15</x:v>
      </x:c>
      <x:c r="E56" s="13" t="str">
        <x:v>Noviembre</x:v>
      </x:c>
      <x:c r="F56" s="13" t="str">
        <x:v>Valledupar</x:v>
      </x:c>
      <x:c r="G56" s="13" t="str">
        <x:v>Transporte de Valores</x:v>
      </x:c>
      <x:c r="H56" s="13" t="str">
        <x:v>Sergio Andrés Duarte</x:v>
      </x:c>
      <x:c r="I56" s="13" t="str">
        <x:v>88076212</x:v>
      </x:c>
      <x:c r="J56" s="13" t="str">
        <x:v>Escolta</x:v>
      </x:c>
      <x:c r="K56" s="13" t="str">
        <x:v>Término indefinido</x:v>
      </x:c>
      <x:c r="L56" s="13" t="str">
        <x:v>ARL SURA</x:v>
      </x:c>
      <x:c r="M56" s="13" t="str">
        <x:v>Con incapacidad</x:v>
      </x:c>
      <x:c r="N56" s="13" t="str">
        <x:v>Trabajador reporta lesión tipo contractura muscular durante servicio en puesto asignado por caída al mismo nivel.</x:v>
      </x:c>
      <x:c r="O56" s="13" t="str">
        <x:v>Caída al mismo nivel</x:v>
      </x:c>
      <x:c r="P56" s="13" t="str">
        <x:v>Escritorio</x:v>
      </x:c>
      <x:c r="Q56" s="13" t="str">
        <x:v>Acceso principal</x:v>
      </x:c>
      <x:c r="R56" s="13" t="str">
        <x:v>Muñeca</x:v>
      </x:c>
      <x:c r="S56" s="13" t="str">
        <x:v>Contractura muscular</x:v>
      </x:c>
      <x:c r="T56" s="13" t="n">
        <x:v>15</x:v>
      </x:c>
      <x:c r="U56" s="13" t="n">
        <x:f>IF(M56="Sin incapacidad",0,T56)</x:f>
        <x:v>15</x:v>
      </x:c>
      <x:c r="V56" s="13" t="str">
        <x:v>Sí</x:v>
      </x:c>
      <x:c r="W56" s="30" t="n">
        <x:v>45617</x:v>
      </x:c>
      <x:c r="X56" s="30" t="str">
        <x:v>Sí</x:v>
      </x:c>
      <x:c r="Y56" s="30" t="n">
        <x:v>45624</x:v>
      </x:c>
      <x:c r="Z56" s="13" t="str">
        <x:v>Jefe inmediato + SST</x:v>
      </x:c>
      <x:c r="AA56" s="13" t="str">
        <x:v>Conducción sin distancia segura</x:v>
      </x:c>
      <x:c r="AB56" s="13" t="str">
        <x:v>Cable expuesto</x:v>
      </x:c>
      <x:c r="AC56" s="13" t="str">
        <x:v>Fatiga</x:v>
      </x:c>
      <x:c r="AD56" s="13" t="str">
        <x:v>Condición locativa no corregida</x:v>
      </x:c>
      <x:c r="AE56" s="13" t="str">
        <x:v>Brecha de capacitación y hábitos inseguros de trabajo</x:v>
      </x:c>
      <x:c r="AF56" s="13" t="str">
        <x:v>Actualizar procedimiento seguro de trabajo y verificar cumplimiento</x:v>
      </x:c>
      <x:c r="AG56" s="13" t="str">
        <x:v>Jefe de Operaciones</x:v>
      </x:c>
      <x:c r="AH56" s="30" t="n">
        <x:v>45634</x:v>
      </x:c>
      <x:c r="AI56" s="30" t="str">
        <x:v>Cerrada</x:v>
      </x:c>
      <x:c r="AJ56" s="30" t="n">
        <x:v>45638</x:v>
      </x:c>
      <x:c r="AK56" s="13" t="str">
        <x:f>IF(OR(AI56&lt;&gt;"Cerrada",AJ56="",AH56=""),"No",IF(AJ56&lt;=AH56,"Sí","No"))</x:f>
        <x:v>No</x:v>
      </x:c>
      <x:c r="AL56" s="13" t="str">
        <x:v>Sí</x:v>
      </x:c>
      <x:c r="AM56" s="13" t="str">
        <x:v>Cerrado</x:v>
      </x:c>
      <x:c r="AN56" s="13" t="str">
        <x:v>Se vincula acción al plan de mejora del proceso.</x:v>
      </x:c>
    </x:row>
    <x:row r="57">
      <x:c r="A57" s="13" t="n">
        <x:v>2024</x:v>
      </x:c>
      <x:c r="B57" s="13" t="str">
        <x:v>AT-2024-004</x:v>
      </x:c>
      <x:c r="C57" s="30" t="n">
        <x:v>45618</x:v>
      </x:c>
      <x:c r="D57" s="13" t="str">
        <x:v>17:10</x:v>
      </x:c>
      <x:c r="E57" s="13" t="str">
        <x:v>Noviembre</x:v>
      </x:c>
      <x:c r="F57" s="13" t="str">
        <x:v>Pamplona</x:v>
      </x:c>
      <x:c r="G57" s="13" t="str">
        <x:v>Operaciones</x:v>
      </x:c>
      <x:c r="H57" s="13" t="str">
        <x:v>Luis Fernando Gómez</x:v>
      </x:c>
      <x:c r="I57" s="13" t="str">
        <x:v>88075941</x:v>
      </x:c>
      <x:c r="J57" s="13" t="str">
        <x:v>Tecnólogo de Monitoreo</x:v>
      </x:c>
      <x:c r="K57" s="13" t="str">
        <x:v>Obra o labor</x:v>
      </x:c>
      <x:c r="L57" s="13" t="str">
        <x:v>ARL SURA</x:v>
      </x:c>
      <x:c r="M57" s="13" t="str">
        <x:v>Con incapacidad</x:v>
      </x:c>
      <x:c r="N57" s="13" t="str">
        <x:v>Trabajador reporta lesión tipo golpe leve durante servicio en puesto asignado por atrapamiento.</x:v>
      </x:c>
      <x:c r="O57" s="13" t="str">
        <x:v>Atrapamiento</x:v>
      </x:c>
      <x:c r="P57" s="13" t="str">
        <x:v>Radio de comunicación</x:v>
      </x:c>
      <x:c r="Q57" s="13" t="str">
        <x:v>Vía pública en ronda</x:v>
      </x:c>
      <x:c r="R57" s="13" t="str">
        <x:v>Muñeca</x:v>
      </x:c>
      <x:c r="S57" s="13" t="str">
        <x:v>Golpe leve</x:v>
      </x:c>
      <x:c r="T57" s="13" t="n">
        <x:v>30</x:v>
      </x:c>
      <x:c r="U57" s="13" t="n">
        <x:f>IF(M57="Sin incapacidad",0,T57)</x:f>
        <x:v>30</x:v>
      </x:c>
      <x:c r="V57" s="13" t="str">
        <x:v>Sí</x:v>
      </x:c>
      <x:c r="W57" s="30" t="n">
        <x:v>45619</x:v>
      </x:c>
      <x:c r="X57" s="30" t="str">
        <x:v>Sí</x:v>
      </x:c>
      <x:c r="Y57" s="30" t="n">
        <x:v>45620</x:v>
      </x:c>
      <x:c r="Z57" s="13" t="str">
        <x:v>COPASST + SST</x:v>
      </x:c>
      <x:c r="AA57" s="13" t="str">
        <x:v>No asegurar postura adecuada</x:v>
      </x:c>
      <x:c r="AB57" s="13" t="str">
        <x:v>Superficie deslizante</x:v>
      </x:c>
      <x:c r="AC57" s="13" t="str">
        <x:v>Exceso de confianza</x:v>
      </x:c>
      <x:c r="AD57" s="13" t="str">
        <x:v>Carga laboral elevada</x:v>
      </x:c>
      <x:c r="AE57" s="13" t="str">
        <x:v>Control operativo insuficiente frente a condición locativa</x:v>
      </x:c>
      <x:c r="AF57" s="13" t="str">
        <x:v>Realizar capacitación focalizada y socialización de lección aprendida</x:v>
      </x:c>
      <x:c r="AG57" s="13" t="str">
        <x:v>Supervisor Operativo</x:v>
      </x:c>
      <x:c r="AH57" s="30" t="n">
        <x:v>45635</x:v>
      </x:c>
      <x:c r="AI57" s="30" t="str">
        <x:v>Cerrada</x:v>
      </x:c>
      <x:c r="AJ57" s="30" t="n">
        <x:v>45635</x:v>
      </x:c>
      <x:c r="AK57" s="13" t="str">
        <x:f>IF(OR(AI57&lt;&gt;"Cerrada",AJ57="",AH57=""),"No",IF(AJ57&lt;=AH57,"Sí","No"))</x:f>
        <x:v>Sí</x:v>
      </x:c>
      <x:c r="AL57" s="13" t="str">
        <x:v>Sí</x:v>
      </x:c>
      <x:c r="AM57" s="13" t="str">
        <x:v>Cerrado</x:v>
      </x:c>
      <x:c r="AN57" s="13" t="str">
        <x:v>Se deja lección aprendida socializada en charla preoperacional.</x:v>
      </x:c>
    </x:row>
    <x:row r="58">
      <x:c r="A58" s="13" t="n">
        <x:v>2024</x:v>
      </x:c>
      <x:c r="B58" s="13" t="str">
        <x:v>AT-2024-028</x:v>
      </x:c>
      <x:c r="C58" s="30" t="n">
        <x:v>45620</x:v>
      </x:c>
      <x:c r="D58" s="13" t="str">
        <x:v>15:50</x:v>
      </x:c>
      <x:c r="E58" s="13" t="str">
        <x:v>Noviembre</x:v>
      </x:c>
      <x:c r="F58" s="13" t="str">
        <x:v>Girón</x:v>
      </x:c>
      <x:c r="G58" s="13" t="str">
        <x:v>Talento Humano</x:v>
      </x:c>
      <x:c r="H58" s="13" t="str">
        <x:v>Claudia Patricia Solano</x:v>
      </x:c>
      <x:c r="I58" s="13" t="str">
        <x:v>88076388</x:v>
      </x:c>
      <x:c r="J58" s="13" t="str">
        <x:v>Guarda Motorizado</x:v>
      </x:c>
      <x:c r="K58" s="13" t="str">
        <x:v>Término indefinido</x:v>
      </x:c>
      <x:c r="L58" s="13" t="str">
        <x:v>ARL SURA</x:v>
      </x:c>
      <x:c r="M58" s="13" t="str">
        <x:v>Con incapacidad</x:v>
      </x:c>
      <x:c r="N58" s="13" t="str">
        <x:v>Durante ronda de vigilancia en girón, el trabajador sufrió herida superficial por sobreesfuerzo o esfuerzo excesivo.</x:v>
      </x:c>
      <x:c r="O58" s="13" t="str">
        <x:v>Sobreesfuerzo o esfuerzo excesivo</x:v>
      </x:c>
      <x:c r="P58" s="13" t="str">
        <x:v>Cableado</x:v>
      </x:c>
      <x:c r="Q58" s="13" t="str">
        <x:v>Acceso principal</x:v>
      </x:c>
      <x:c r="R58" s="13" t="str">
        <x:v>Ojo</x:v>
      </x:c>
      <x:c r="S58" s="13" t="str">
        <x:v>Herida superficial</x:v>
      </x:c>
      <x:c r="T58" s="13" t="n">
        <x:v>7</x:v>
      </x:c>
      <x:c r="U58" s="13" t="n">
        <x:f>IF(M58="Sin incapacidad",0,T58)</x:f>
        <x:v>7</x:v>
      </x:c>
      <x:c r="V58" s="13" t="str">
        <x:v>Sí</x:v>
      </x:c>
      <x:c r="W58" s="30" t="n">
        <x:v>45622</x:v>
      </x:c>
      <x:c r="X58" s="30" t="str">
        <x:v>Sí</x:v>
      </x:c>
      <x:c r="Y58" s="30" t="n">
        <x:v>45626</x:v>
      </x:c>
      <x:c r="Z58" s="13" t="str">
        <x:v>Supervisor + Analista SST</x:v>
      </x:c>
      <x:c r="AA58" s="13" t="str">
        <x:v>Conducción sin distancia segura</x:v>
      </x:c>
      <x:c r="AB58" s="13" t="str">
        <x:v>Orden y aseo deficiente</x:v>
      </x:c>
      <x:c r="AC58" s="13" t="str">
        <x:v>Exceso de confianza</x:v>
      </x:c>
      <x:c r="AD58" s="13" t="str">
        <x:v>Control operativo insuficiente</x:v>
      </x:c>
      <x:c r="AE58" s="13" t="str">
        <x:v>Falta de inspección previa y gestión tardía del peligro</x:v>
      </x:c>
      <x:c r="AF58" s="13" t="str">
        <x:v>Realizar capacitación focalizada y socialización de lección aprendida</x:v>
      </x:c>
      <x:c r="AG58" s="13" t="str">
        <x:v>Jefe de Operaciones</x:v>
      </x:c>
      <x:c r="AH58" s="30" t="n">
        <x:v>45641</x:v>
      </x:c>
      <x:c r="AI58" s="30" t="str">
        <x:v>Cerrada</x:v>
      </x:c>
      <x:c r="AJ58" s="30" t="n">
        <x:v>45642</x:v>
      </x:c>
      <x:c r="AK58" s="13" t="str">
        <x:f>IF(OR(AI58&lt;&gt;"Cerrada",AJ58="",AH58=""),"No",IF(AJ58&lt;=AH58,"Sí","No"))</x:f>
        <x:v>No</x:v>
      </x:c>
      <x:c r="AL58" s="13" t="str">
        <x:v>Sí</x:v>
      </x:c>
      <x:c r="AM58" s="13" t="str">
        <x:v>Cerrado</x:v>
      </x:c>
      <x:c r="AN58" s="13" t="str">
        <x:v>Se realiza seguimiento por SST y jefe inmediato.</x:v>
      </x:c>
    </x:row>
    <x:row r="59">
      <x:c r="A59" s="13" t="n">
        <x:v>2024</x:v>
      </x:c>
      <x:c r="B59" s="13" t="str">
        <x:v>AT-2024-025</x:v>
      </x:c>
      <x:c r="C59" s="30" t="n">
        <x:v>45633</x:v>
      </x:c>
      <x:c r="D59" s="13" t="str">
        <x:v>17:10</x:v>
      </x:c>
      <x:c r="E59" s="13" t="str">
        <x:v>Diciembre</x:v>
      </x:c>
      <x:c r="F59" s="13" t="str">
        <x:v>Medellín</x:v>
      </x:c>
      <x:c r="G59" s="13" t="str">
        <x:v>Administrativa</x:v>
      </x:c>
      <x:c r="H59" s="13" t="str">
        <x:v>Ricardo Andrés Parra</x:v>
      </x:c>
      <x:c r="I59" s="13" t="str">
        <x:v>88076541</x:v>
      </x:c>
      <x:c r="J59" s="13" t="str">
        <x:v>Operador de Medios Tecnológicos</x:v>
      </x:c>
      <x:c r="K59" s="13" t="str">
        <x:v>Término fijo</x:v>
      </x:c>
      <x:c r="L59" s="13" t="str">
        <x:v>ARL SURA</x:v>
      </x:c>
      <x:c r="M59" s="13" t="str">
        <x:v>Con incapacidad</x:v>
      </x:c>
      <x:c r="N59" s="13" t="str">
        <x:v>En desarrollo de actividades de administrativa, se presentó evento por caída al mismo nivel asociado a escritorio.</x:v>
      </x:c>
      <x:c r="O59" s="13" t="str">
        <x:v>Caída al mismo nivel</x:v>
      </x:c>
      <x:c r="P59" s="13" t="str">
        <x:v>Escritorio</x:v>
      </x:c>
      <x:c r="Q59" s="13" t="str">
        <x:v>Recepción</x:v>
      </x:c>
      <x:c r="R59" s="13" t="str">
        <x:v>Pierna</x:v>
      </x:c>
      <x:c r="S59" s="13" t="str">
        <x:v>Herida superficial</x:v>
      </x:c>
      <x:c r="T59" s="13" t="n">
        <x:v>2</x:v>
      </x:c>
      <x:c r="U59" s="13" t="n">
        <x:f>IF(M59="Sin incapacidad",0,T59)</x:f>
        <x:v>2</x:v>
      </x:c>
      <x:c r="V59" s="13" t="str">
        <x:v>Sí</x:v>
      </x:c>
      <x:c r="W59" s="30" t="n">
        <x:v>45633</x:v>
      </x:c>
      <x:c r="X59" s="30" t="str">
        <x:v>Sí</x:v>
      </x:c>
      <x:c r="Y59" s="30" t="n">
        <x:v>45637</x:v>
      </x:c>
      <x:c r="Z59" s="13" t="str">
        <x:v>Coordinador SST + Operaciones</x:v>
      </x:c>
      <x:c r="AA59" s="13" t="str">
        <x:v>No asegurar postura adecuada</x:v>
      </x:c>
      <x:c r="AB59" s="13" t="str">
        <x:v>Espacio reducido</x:v>
      </x:c>
      <x:c r="AC59" s="13" t="str">
        <x:v>Apuro operativo</x:v>
      </x:c>
      <x:c r="AD59" s="13" t="str">
        <x:v>Control operativo insuficiente</x:v>
      </x:c>
      <x:c r="AE59" s="13" t="str">
        <x:v>Mantenimiento deficiente y ausencia de corrección oportuna</x:v>
      </x:c>
      <x:c r="AF59" s="13" t="str">
        <x:v>Reforzar supervisión operativa y seguimiento al uso de EPP</x:v>
      </x:c>
      <x:c r="AG59" s="13" t="str">
        <x:v>Coordinador de Talento Humano</x:v>
      </x:c>
      <x:c r="AH59" s="30" t="n">
        <x:v>45652</x:v>
      </x:c>
      <x:c r="AI59" s="30" t="str">
        <x:v>Cerrada</x:v>
      </x:c>
      <x:c r="AJ59" s="30" t="n">
        <x:v>45656</x:v>
      </x:c>
      <x:c r="AK59" s="13" t="str">
        <x:f>IF(OR(AI59&lt;&gt;"Cerrada",AJ59="",AH59=""),"No",IF(AJ59&lt;=AH59,"Sí","No"))</x:f>
        <x:v>No</x:v>
      </x:c>
      <x:c r="AL59" s="13" t="str">
        <x:v>Sí</x:v>
      </x:c>
      <x:c r="AM59" s="13" t="str">
        <x:v>Cerrado</x:v>
      </x:c>
      <x:c r="AN59" s="13" t="str">
        <x:v>Se recomienda refuerzo de inspecciones y autocuidado.</x:v>
      </x:c>
    </x:row>
    <x:row r="60">
      <x:c r="A60" s="13" t="n">
        <x:v>2024</x:v>
      </x:c>
      <x:c r="B60" s="13" t="str">
        <x:v>AT-2024-008</x:v>
      </x:c>
      <x:c r="C60" s="30" t="n">
        <x:v>45651</x:v>
      </x:c>
      <x:c r="D60" s="13" t="str">
        <x:v>09:20</x:v>
      </x:c>
      <x:c r="E60" s="13" t="str">
        <x:v>Diciembre</x:v>
      </x:c>
      <x:c r="F60" s="13" t="str">
        <x:v>Bogotá</x:v>
      </x:c>
      <x:c r="G60" s="13" t="str">
        <x:v>Transporte de Valores</x:v>
      </x:c>
      <x:c r="H60" s="13" t="str">
        <x:v>Paola Andrea Cárdenas</x:v>
      </x:c>
      <x:c r="I60" s="13" t="str">
        <x:v>88075531</x:v>
      </x:c>
      <x:c r="J60" s="13" t="str">
        <x:v>Coordinador Operativo</x:v>
      </x:c>
      <x:c r="K60" s="13" t="str">
        <x:v>Término fijo</x:v>
      </x:c>
      <x:c r="L60" s="13" t="str">
        <x:v>ARL SURA</x:v>
      </x:c>
      <x:c r="M60" s="13" t="str">
        <x:v>Con incapacidad</x:v>
      </x:c>
      <x:c r="N60" s="13" t="str">
        <x:v>Trabajador reporta lesión tipo trauma ocular leve durante servicio en puesto asignado por accidente de tránsito.</x:v>
      </x:c>
      <x:c r="O60" s="13" t="str">
        <x:v>Accidente de tránsito</x:v>
      </x:c>
      <x:c r="P60" s="13" t="str">
        <x:v>Escritorio</x:v>
      </x:c>
      <x:c r="Q60" s="13" t="str">
        <x:v>Zona común del cliente</x:v>
      </x:c>
      <x:c r="R60" s="13" t="str">
        <x:v>Cervical</x:v>
      </x:c>
      <x:c r="S60" s="13" t="str">
        <x:v>Trauma ocular leve</x:v>
      </x:c>
      <x:c r="T60" s="13" t="n">
        <x:v>25</x:v>
      </x:c>
      <x:c r="U60" s="13" t="n">
        <x:f>IF(M60="Sin incapacidad",0,T60)</x:f>
        <x:v>25</x:v>
      </x:c>
      <x:c r="V60" s="13" t="str">
        <x:v>Sí</x:v>
      </x:c>
      <x:c r="W60" s="30" t="n">
        <x:v>45652</x:v>
      </x:c>
      <x:c r="X60" s="30" t="str">
        <x:v>Sí</x:v>
      </x:c>
      <x:c r="Y60" s="30" t="n">
        <x:v>45654</x:v>
      </x:c>
      <x:c r="Z60" s="13" t="str">
        <x:v>Coordinador SST + Operaciones</x:v>
      </x:c>
      <x:c r="AA60" s="13" t="str">
        <x:v>Desplazamiento apresurado</x:v>
      </x:c>
      <x:c r="AB60" s="13" t="str">
        <x:v>Iluminación insuficiente</x:v>
      </x:c>
      <x:c r="AC60" s="13" t="str">
        <x:v>Fatiga</x:v>
      </x:c>
      <x:c r="AD60" s="13" t="str">
        <x:v>Falta de mantenimiento</x:v>
      </x:c>
      <x:c r="AE60" s="13" t="str">
        <x:v>Brecha de capacitación y hábitos inseguros de trabajo</x:v>
      </x:c>
      <x:c r="AF60" s="13" t="str">
        <x:v>Realizar capacitación focalizada y socialización de lección aprendida</x:v>
      </x:c>
      <x:c r="AG60" s="13" t="str">
        <x:v>Líder de Mantenimiento</x:v>
      </x:c>
      <x:c r="AH60" s="30" t="n">
        <x:v>45674</x:v>
      </x:c>
      <x:c r="AI60" s="30" t="str">
        <x:v>Cerrada</x:v>
      </x:c>
      <x:c r="AJ60" s="30" t="n">
        <x:v>45671</x:v>
      </x:c>
      <x:c r="AK60" s="13" t="str">
        <x:f>IF(OR(AI60&lt;&gt;"Cerrada",AJ60="",AH60=""),"No",IF(AJ60&lt;=AH60,"Sí","No"))</x:f>
        <x:v>Sí</x:v>
      </x:c>
      <x:c r="AL60" s="13" t="str">
        <x:v>Sí</x:v>
      </x:c>
      <x:c r="AM60" s="13" t="str">
        <x:v>Cerrado</x:v>
      </x:c>
      <x:c r="AN60" s="13" t="str">
        <x:v>Se realiza seguimiento por SST y jefe inmediato.</x:v>
      </x:c>
    </x:row>
    <x:row r="61">
      <x:c r="A61" s="13" t="n">
        <x:v>2024</x:v>
      </x:c>
      <x:c r="B61" s="13" t="str">
        <x:v>AT-2024-019</x:v>
      </x:c>
      <x:c r="C61" s="30" t="n">
        <x:v>45657</x:v>
      </x:c>
      <x:c r="D61" s="13" t="str">
        <x:v>16:15</x:v>
      </x:c>
      <x:c r="E61" s="13" t="str">
        <x:v>Diciembre</x:v>
      </x:c>
      <x:c r="F61" s="13" t="str">
        <x:v>Ocaña</x:v>
      </x:c>
      <x:c r="G61" s="13" t="str">
        <x:v>Operaciones</x:v>
      </x:c>
      <x:c r="H61" s="13" t="str">
        <x:v>José Luis Villabona</x:v>
      </x:c>
      <x:c r="I61" s="13" t="str">
        <x:v>88076368</x:v>
      </x:c>
      <x:c r="J61" s="13" t="str">
        <x:v>Operador de Medios Tecnológicos</x:v>
      </x:c>
      <x:c r="K61" s="13" t="str">
        <x:v>Término fijo</x:v>
      </x:c>
      <x:c r="L61" s="13" t="str">
        <x:v>ARL SURA</x:v>
      </x:c>
      <x:c r="M61" s="13" t="str">
        <x:v>Con incapacidad</x:v>
      </x:c>
      <x:c r="N61" s="13" t="str">
        <x:v>Durante ronda de vigilancia en ocaña, el trabajador sufrió luxación por caída al mismo nivel.</x:v>
      </x:c>
      <x:c r="O61" s="13" t="str">
        <x:v>Caída al mismo nivel</x:v>
      </x:c>
      <x:c r="P61" s="13" t="str">
        <x:v>Escalera</x:v>
      </x:c>
      <x:c r="Q61" s="13" t="str">
        <x:v>Recepción</x:v>
      </x:c>
      <x:c r="R61" s="13" t="str">
        <x:v>Mano</x:v>
      </x:c>
      <x:c r="S61" s="13" t="str">
        <x:v>Luxación</x:v>
      </x:c>
      <x:c r="T61" s="13" t="n">
        <x:v>4</x:v>
      </x:c>
      <x:c r="U61" s="13" t="n">
        <x:f>IF(M61="Sin incapacidad",0,T61)</x:f>
        <x:v>4</x:v>
      </x:c>
      <x:c r="V61" s="13" t="str">
        <x:v>Sí</x:v>
      </x:c>
      <x:c r="W61" s="30" t="n">
        <x:v>45657</x:v>
      </x:c>
      <x:c r="X61" s="30" t="str">
        <x:v>Sí</x:v>
      </x:c>
      <x:c r="Y61" s="30" t="n">
        <x:v>45667</x:v>
      </x:c>
      <x:c r="Z61" s="13" t="str">
        <x:v>Coordinador SST + Operaciones</x:v>
      </x:c>
      <x:c r="AA61" s="13" t="str">
        <x:v>Desplazamiento apresurado</x:v>
      </x:c>
      <x:c r="AB61" s="13" t="str">
        <x:v>Vía en mal estado</x:v>
      </x:c>
      <x:c r="AC61" s="13" t="str">
        <x:v>Falta de atención</x:v>
      </x:c>
      <x:c r="AD61" s="13" t="str">
        <x:v>Procedimiento no actualizado</x:v>
      </x:c>
      <x:c r="AE61" s="13" t="str">
        <x:v>Control operativo insuficiente frente a condición locativa</x:v>
      </x:c>
      <x:c r="AF61" s="13" t="str">
        <x:v>Realizar capacitación focalizada y socialización de lección aprendida</x:v>
      </x:c>
      <x:c r="AG61" s="13" t="str">
        <x:v>Supervisor Operativo</x:v>
      </x:c>
      <x:c r="AH61" s="30" t="n">
        <x:v>45697</x:v>
      </x:c>
      <x:c r="AI61" s="30" t="str">
        <x:v>Cerrada</x:v>
      </x:c>
      <x:c r="AJ61" s="30" t="n">
        <x:v>45693</x:v>
      </x:c>
      <x:c r="AK61" s="13" t="str">
        <x:f>IF(OR(AI61&lt;&gt;"Cerrada",AJ61="",AH61=""),"No",IF(AJ61&lt;=AH61,"Sí","No"))</x:f>
        <x:v>Sí</x:v>
      </x:c>
      <x:c r="AL61" s="13" t="str">
        <x:v>Sí</x:v>
      </x:c>
      <x:c r="AM61" s="13" t="str">
        <x:v>Cerrado</x:v>
      </x:c>
      <x:c r="AN61" s="13" t="str">
        <x:v>Se realiza seguimiento por SST y jefe inmediato.</x:v>
      </x:c>
    </x:row>
    <x:row r="62">
      <x:c r="A62" s="13" t="n">
        <x:v>2025</x:v>
      </x:c>
      <x:c r="B62" s="13" t="str">
        <x:v>AT-2025-018</x:v>
      </x:c>
      <x:c r="C62" s="30" t="n">
        <x:v>45666</x:v>
      </x:c>
      <x:c r="D62" s="13" t="str">
        <x:v>06:45</x:v>
      </x:c>
      <x:c r="E62" s="13" t="str">
        <x:v>Enero</x:v>
      </x:c>
      <x:c r="F62" s="13" t="str">
        <x:v>Cúcuta</x:v>
      </x:c>
      <x:c r="G62" s="13" t="str">
        <x:v>Operaciones</x:v>
      </x:c>
      <x:c r="H62" s="13" t="str">
        <x:v>Álvaro José Pabón</x:v>
      </x:c>
      <x:c r="I62" s="13" t="str">
        <x:v>88075884</x:v>
      </x:c>
      <x:c r="J62" s="13" t="str">
        <x:v>Conductor</x:v>
      </x:c>
      <x:c r="K62" s="13" t="str">
        <x:v>Término indefinido</x:v>
      </x:c>
      <x:c r="L62" s="13" t="str">
        <x:v>ARL SURA</x:v>
      </x:c>
      <x:c r="M62" s="13" t="str">
        <x:v>Sin incapacidad</x:v>
      </x:c>
      <x:c r="N62" s="13" t="str">
        <x:v>Trabajador reporta lesión tipo esguince durante servicio en puesto asignado por atrapamiento.</x:v>
      </x:c>
      <x:c r="O62" s="13" t="str">
        <x:v>Atrapamiento</x:v>
      </x:c>
      <x:c r="P62" s="13" t="str">
        <x:v>Andén irregular</x:v>
      </x:c>
      <x:c r="Q62" s="13" t="str">
        <x:v>Acceso principal</x:v>
      </x:c>
      <x:c r="R62" s="13" t="str">
        <x:v>Hombro</x:v>
      </x:c>
      <x:c r="S62" s="13" t="str">
        <x:v>Esguince</x:v>
      </x:c>
      <x:c r="T62" s="13" t="n">
        <x:v>0</x:v>
      </x:c>
      <x:c r="U62" s="13" t="n">
        <x:f>IF(M62="Sin incapacidad",0,T62)</x:f>
        <x:v>0</x:v>
      </x:c>
      <x:c r="V62" s="13" t="str">
        <x:v>Sí</x:v>
      </x:c>
      <x:c r="W62" s="30" t="n">
        <x:v>45666</x:v>
      </x:c>
      <x:c r="X62" s="30" t="str">
        <x:v>Sí</x:v>
      </x:c>
      <x:c r="Y62" s="30" t="n">
        <x:v>45670</x:v>
      </x:c>
      <x:c r="Z62" s="13" t="str">
        <x:v>COPASST + SST</x:v>
      </x:c>
      <x:c r="AA62" s="13" t="str">
        <x:v>Manipulación incorrecta de carga</x:v>
      </x:c>
      <x:c r="AB62" s="13" t="str">
        <x:v>Espacio reducido</x:v>
      </x:c>
      <x:c r="AC62" s="13" t="str">
        <x:v>Exceso de confianza</x:v>
      </x:c>
      <x:c r="AD62" s="13" t="str">
        <x:v>Carga laboral elevada</x:v>
      </x:c>
      <x:c r="AE62" s="13" t="str">
        <x:v>Control operativo insuficiente frente a condición locativa</x:v>
      </x:c>
      <x:c r="AF62" s="13" t="str">
        <x:v>Actualizar procedimiento seguro de trabajo y verificar cumplimiento</x:v>
      </x:c>
      <x:c r="AG62" s="13" t="str">
        <x:v>Analista SST</x:v>
      </x:c>
      <x:c r="AH62" s="30" t="n">
        <x:v>45700</x:v>
      </x:c>
      <x:c r="AI62" s="30" t="str">
        <x:v>Cerrada</x:v>
      </x:c>
      <x:c r="AJ62" s="30" t="n">
        <x:v>45694</x:v>
      </x:c>
      <x:c r="AK62" s="13" t="str">
        <x:f>IF(OR(AI62&lt;&gt;"Cerrada",AJ62="",AH62=""),"No",IF(AJ62&lt;=AH62,"Sí","No"))</x:f>
        <x:v>Sí</x:v>
      </x:c>
      <x:c r="AL62" s="13" t="str">
        <x:v>Sí</x:v>
      </x:c>
      <x:c r="AM62" s="13" t="str">
        <x:v>Cerrado</x:v>
      </x:c>
      <x:c r="AN62" s="13" t="str">
        <x:v>Se realiza seguimiento por SST y jefe inmediato.</x:v>
      </x:c>
    </x:row>
    <x:row r="63">
      <x:c r="A63" s="13" t="n">
        <x:v>2025</x:v>
      </x:c>
      <x:c r="B63" s="13" t="str">
        <x:v>AT-2025-003</x:v>
      </x:c>
      <x:c r="C63" s="30" t="n">
        <x:v>45677</x:v>
      </x:c>
      <x:c r="D63" s="13" t="str">
        <x:v>10:40</x:v>
      </x:c>
      <x:c r="E63" s="13" t="str">
        <x:v>Enero</x:v>
      </x:c>
      <x:c r="F63" s="13" t="str">
        <x:v>Tibú</x:v>
      </x:c>
      <x:c r="G63" s="13" t="str">
        <x:v>Administrativa</x:v>
      </x:c>
      <x:c r="H63" s="13" t="str">
        <x:v>Jorge Enrique Suárez</x:v>
      </x:c>
      <x:c r="I63" s="13" t="str">
        <x:v>88075950</x:v>
      </x:c>
      <x:c r="J63" s="13" t="str">
        <x:v>Tecnólogo de Monitoreo</x:v>
      </x:c>
      <x:c r="K63" s="13" t="str">
        <x:v>Término indefinido</x:v>
      </x:c>
      <x:c r="L63" s="13" t="str">
        <x:v>ARL SURA</x:v>
      </x:c>
      <x:c r="M63" s="13" t="str">
        <x:v>Con incapacidad</x:v>
      </x:c>
      <x:c r="N63" s="13" t="str">
        <x:v>Trabajador reporta lesión tipo abrasión durante servicio en puesto asignado por atrapamiento.</x:v>
      </x:c>
      <x:c r="O63" s="13" t="str">
        <x:v>Atrapamiento</x:v>
      </x:c>
      <x:c r="P63" s="13" t="str">
        <x:v>Motocicleta</x:v>
      </x:c>
      <x:c r="Q63" s="13" t="str">
        <x:v>Puesto de vigilancia</x:v>
      </x:c>
      <x:c r="R63" s="13" t="str">
        <x:v>Cervical</x:v>
      </x:c>
      <x:c r="S63" s="13" t="str">
        <x:v>Abrasión</x:v>
      </x:c>
      <x:c r="T63" s="13" t="n">
        <x:v>30</x:v>
      </x:c>
      <x:c r="U63" s="13" t="n">
        <x:f>IF(M63="Sin incapacidad",0,T63)</x:f>
        <x:v>30</x:v>
      </x:c>
      <x:c r="V63" s="13" t="str">
        <x:v>Sí</x:v>
      </x:c>
      <x:c r="W63" s="30" t="n">
        <x:v>45678</x:v>
      </x:c>
      <x:c r="X63" s="30" t="str">
        <x:v>Sí</x:v>
      </x:c>
      <x:c r="Y63" s="30" t="n">
        <x:v>45686</x:v>
      </x:c>
      <x:c r="Z63" s="13" t="str">
        <x:v>Coordinador SST + Operaciones</x:v>
      </x:c>
      <x:c r="AA63" s="13" t="str">
        <x:v>Manipulación incorrecta de carga</x:v>
      </x:c>
      <x:c r="AB63" s="13" t="str">
        <x:v>Cable expuesto</x:v>
      </x:c>
      <x:c r="AC63" s="13" t="str">
        <x:v>Fatiga</x:v>
      </x:c>
      <x:c r="AD63" s="13" t="str">
        <x:v>Procedimiento no actualizado</x:v>
      </x:c>
      <x:c r="AE63" s="13" t="str">
        <x:v>Mantenimiento deficiente y ausencia de corrección oportuna</x:v>
      </x:c>
      <x:c r="AF63" s="13" t="str">
        <x:v>Implementar señalización y control administrativo temporal</x:v>
      </x:c>
      <x:c r="AG63" s="13" t="str">
        <x:v>Coordinador SST</x:v>
      </x:c>
      <x:c r="AH63" s="30" t="n">
        <x:v>45716</x:v>
      </x:c>
      <x:c r="AI63" s="30" t="str">
        <x:v>Cerrada</x:v>
      </x:c>
      <x:c r="AJ63" s="30" t="n">
        <x:v>45709</x:v>
      </x:c>
      <x:c r="AK63" s="13" t="str">
        <x:f>IF(OR(AI63&lt;&gt;"Cerrada",AJ63="",AH63=""),"No",IF(AJ63&lt;=AH63,"Sí","No"))</x:f>
        <x:v>Sí</x:v>
      </x:c>
      <x:c r="AL63" s="13" t="str">
        <x:v>Pendiente verificación</x:v>
      </x:c>
      <x:c r="AM63" s="13" t="str">
        <x:v>Cerrado</x:v>
      </x:c>
      <x:c r="AN63" s="13" t="str">
        <x:v>Se recomienda refuerzo de inspecciones y autocuidado.</x:v>
      </x:c>
    </x:row>
    <x:row r="64">
      <x:c r="A64" s="13" t="n">
        <x:v>2025</x:v>
      </x:c>
      <x:c r="B64" s="13" t="str">
        <x:v>AT-2025-013</x:v>
      </x:c>
      <x:c r="C64" s="30" t="n">
        <x:v>45692</x:v>
      </x:c>
      <x:c r="D64" s="13" t="str">
        <x:v>09:00</x:v>
      </x:c>
      <x:c r="E64" s="13" t="str">
        <x:v>Febrero</x:v>
      </x:c>
      <x:c r="F64" s="13" t="str">
        <x:v>Tibú</x:v>
      </x:c>
      <x:c r="G64" s="13" t="str">
        <x:v>Central de Alarmas</x:v>
      </x:c>
      <x:c r="H64" s="13" t="str">
        <x:v>Diana Carolina Torres</x:v>
      </x:c>
      <x:c r="I64" s="13" t="str">
        <x:v>88076164</x:v>
      </x:c>
      <x:c r="J64" s="13" t="str">
        <x:v>Escolta</x:v>
      </x:c>
      <x:c r="K64" s="13" t="str">
        <x:v>Término indefinido</x:v>
      </x:c>
      <x:c r="L64" s="13" t="str">
        <x:v>ARL SURA</x:v>
      </x:c>
      <x:c r="M64" s="13" t="str">
        <x:v>Con incapacidad</x:v>
      </x:c>
      <x:c r="N64" s="13" t="str">
        <x:v>Trabajador reporta lesión tipo lumbalgia aguda durante servicio en puesto asignado por sobreesfuerzo o esfuerzo excesivo.</x:v>
      </x:c>
      <x:c r="O64" s="13" t="str">
        <x:v>Sobreesfuerzo o esfuerzo excesivo</x:v>
      </x:c>
      <x:c r="P64" s="13" t="str">
        <x:v>Andén irregular</x:v>
      </x:c>
      <x:c r="Q64" s="13" t="str">
        <x:v>Área administrativa</x:v>
      </x:c>
      <x:c r="R64" s="13" t="str">
        <x:v>Mano</x:v>
      </x:c>
      <x:c r="S64" s="13" t="str">
        <x:v>Lumbalgia aguda</x:v>
      </x:c>
      <x:c r="T64" s="13" t="n">
        <x:v>15</x:v>
      </x:c>
      <x:c r="U64" s="13" t="n">
        <x:f>IF(M64="Sin incapacidad",0,T64)</x:f>
        <x:v>15</x:v>
      </x:c>
      <x:c r="V64" s="13" t="str">
        <x:v>Sí</x:v>
      </x:c>
      <x:c r="W64" s="30" t="n">
        <x:v>45693</x:v>
      </x:c>
      <x:c r="X64" s="30" t="str">
        <x:v>Sí</x:v>
      </x:c>
      <x:c r="Y64" s="30" t="n">
        <x:v>45702</x:v>
      </x:c>
      <x:c r="Z64" s="13" t="str">
        <x:v>Supervisor + Analista SST</x:v>
      </x:c>
      <x:c r="AA64" s="13" t="str">
        <x:v>Distracción durante la labor</x:v>
      </x:c>
      <x:c r="AB64" s="13" t="str">
        <x:v>Señalización insuficiente</x:v>
      </x:c>
      <x:c r="AC64" s="13" t="str">
        <x:v>Exceso de confianza</x:v>
      </x:c>
      <x:c r="AD64" s="13" t="str">
        <x:v>Deficiencia en supervisión</x:v>
      </x:c>
      <x:c r="AE64" s="13" t="str">
        <x:v>Falta de inspección previa y gestión tardía del peligro</x:v>
      </x:c>
      <x:c r="AF64" s="13" t="str">
        <x:v>Ejecutar inspección locativa y corrección inmediata del peligro</x:v>
      </x:c>
      <x:c r="AG64" s="13" t="str">
        <x:v>Analista SST</x:v>
      </x:c>
      <x:c r="AH64" s="30" t="n">
        <x:v>45722</x:v>
      </x:c>
      <x:c r="AI64" s="30" t="str">
        <x:v>Cerrada</x:v>
      </x:c>
      <x:c r="AJ64" s="30" t="n">
        <x:v>45719</x:v>
      </x:c>
      <x:c r="AK64" s="13" t="str">
        <x:f>IF(OR(AI64&lt;&gt;"Cerrada",AJ64="",AH64=""),"No",IF(AJ64&lt;=AH64,"Sí","No"))</x:f>
        <x:v>Sí</x:v>
      </x:c>
      <x:c r="AL64" s="13" t="str">
        <x:v>Pendiente verificación</x:v>
      </x:c>
      <x:c r="AM64" s="13" t="str">
        <x:v>Cerrado</x:v>
      </x:c>
      <x:c r="AN64" s="13" t="str">
        <x:v>Se recomienda refuerzo de inspecciones y autocuidado.</x:v>
      </x:c>
    </x:row>
    <x:row r="65">
      <x:c r="A65" s="13" t="n">
        <x:v>2025</x:v>
      </x:c>
      <x:c r="B65" s="13" t="str">
        <x:v>AT-2025-020</x:v>
      </x:c>
      <x:c r="C65" s="30" t="n">
        <x:v>45697</x:v>
      </x:c>
      <x:c r="D65" s="13" t="str">
        <x:v>15:15</x:v>
      </x:c>
      <x:c r="E65" s="13" t="str">
        <x:v>Febrero</x:v>
      </x:c>
      <x:c r="F65" s="13" t="str">
        <x:v>Ábrego</x:v>
      </x:c>
      <x:c r="G65" s="13" t="str">
        <x:v>Monitoreo</x:v>
      </x:c>
      <x:c r="H65" s="13" t="str">
        <x:v>Edwin Mauricio Rodríguez</x:v>
      </x:c>
      <x:c r="I65" s="13" t="str">
        <x:v>88076004</x:v>
      </x:c>
      <x:c r="J65" s="13" t="str">
        <x:v>Conductor</x:v>
      </x:c>
      <x:c r="K65" s="13" t="str">
        <x:v>Término indefinido</x:v>
      </x:c>
      <x:c r="L65" s="13" t="str">
        <x:v>ARL SURA</x:v>
      </x:c>
      <x:c r="M65" s="13" t="str">
        <x:v>Sin incapacidad</x:v>
      </x:c>
      <x:c r="N65" s="13" t="str">
        <x:v>En desarrollo de actividades de monitoreo, se presentó evento por contacto eléctrico asociado a rejilla.</x:v>
      </x:c>
      <x:c r="O65" s="13" t="str">
        <x:v>Contacto eléctrico</x:v>
      </x:c>
      <x:c r="P65" s="13" t="str">
        <x:v>Rejilla</x:v>
      </x:c>
      <x:c r="Q65" s="13" t="str">
        <x:v>Parqueadero</x:v>
      </x:c>
      <x:c r="R65" s="13" t="str">
        <x:v>Muñeca</x:v>
      </x:c>
      <x:c r="S65" s="13" t="str">
        <x:v>Contractura muscular</x:v>
      </x:c>
      <x:c r="T65" s="13" t="n">
        <x:v>0</x:v>
      </x:c>
      <x:c r="U65" s="13" t="n">
        <x:f>IF(M65="Sin incapacidad",0,T65)</x:f>
        <x:v>0</x:v>
      </x:c>
      <x:c r="V65" s="13" t="str">
        <x:v>Sí</x:v>
      </x:c>
      <x:c r="W65" s="30" t="n">
        <x:v>45698</x:v>
      </x:c>
      <x:c r="X65" s="30" t="str">
        <x:v>Sí</x:v>
      </x:c>
      <x:c r="Y65" s="30" t="n">
        <x:v>45704</x:v>
      </x:c>
      <x:c r="Z65" s="13" t="str">
        <x:v>COPASST + SST</x:v>
      </x:c>
      <x:c r="AA65" s="13" t="str">
        <x:v>Desplazamiento apresurado</x:v>
      </x:c>
      <x:c r="AB65" s="13" t="str">
        <x:v>Espacio reducido</x:v>
      </x:c>
      <x:c r="AC65" s="13" t="str">
        <x:v>Apuro operativo</x:v>
      </x:c>
      <x:c r="AD65" s="13" t="str">
        <x:v>Control operativo insuficiente</x:v>
      </x:c>
      <x:c r="AE65" s="13" t="str">
        <x:v>Falta de inspección previa y gestión tardía del peligro</x:v>
      </x:c>
      <x:c r="AF65" s="13" t="str">
        <x:v>Reforzar supervisión operativa y seguimiento al uso de EPP</x:v>
      </x:c>
      <x:c r="AG65" s="13" t="str">
        <x:v>Jefe de Operaciones</x:v>
      </x:c>
      <x:c r="AH65" s="30" t="n">
        <x:v>45714</x:v>
      </x:c>
      <x:c r="AI65" s="30" t="str">
        <x:v>Cerrada</x:v>
      </x:c>
      <x:c r="AJ65" s="30" t="n">
        <x:v>45707</x:v>
      </x:c>
      <x:c r="AK65" s="13" t="str">
        <x:f>IF(OR(AI65&lt;&gt;"Cerrada",AJ65="",AH65=""),"No",IF(AJ65&lt;=AH65,"Sí","No"))</x:f>
        <x:v>Sí</x:v>
      </x:c>
      <x:c r="AL65" s="13" t="str">
        <x:v>Pendiente verificación</x:v>
      </x:c>
      <x:c r="AM65" s="13" t="str">
        <x:v>Cerrado</x:v>
      </x:c>
      <x:c r="AN65" s="13" t="str">
        <x:v>Se vincula acción al plan de mejora del proceso.</x:v>
      </x:c>
    </x:row>
    <x:row r="66">
      <x:c r="A66" s="13" t="n">
        <x:v>2025</x:v>
      </x:c>
      <x:c r="B66" s="13" t="str">
        <x:v>AT-2025-019</x:v>
      </x:c>
      <x:c r="C66" s="30" t="n">
        <x:v>45705</x:v>
      </x:c>
      <x:c r="D66" s="13" t="str">
        <x:v>18:45</x:v>
      </x:c>
      <x:c r="E66" s="13" t="str">
        <x:v>Febrero</x:v>
      </x:c>
      <x:c r="F66" s="13" t="str">
        <x:v>Bogotá</x:v>
      </x:c>
      <x:c r="G66" s="13" t="str">
        <x:v>Central de Alarmas</x:v>
      </x:c>
      <x:c r="H66" s="13" t="str">
        <x:v>Diana Carolina Torres</x:v>
      </x:c>
      <x:c r="I66" s="13" t="str">
        <x:v>88076347</x:v>
      </x:c>
      <x:c r="J66" s="13" t="str">
        <x:v>Vigilante</x:v>
      </x:c>
      <x:c r="K66" s="13" t="str">
        <x:v>Término indefinido</x:v>
      </x:c>
      <x:c r="L66" s="13" t="str">
        <x:v>ARL SURA</x:v>
      </x:c>
      <x:c r="M66" s="13" t="str">
        <x:v>Con incapacidad</x:v>
      </x:c>
      <x:c r="N66" s="13" t="str">
        <x:v>Durante ronda de vigilancia en bogotá, el trabajador sufrió abrasión por sobreesfuerzo o esfuerzo excesivo.</x:v>
      </x:c>
      <x:c r="O66" s="13" t="str">
        <x:v>Sobreesfuerzo o esfuerzo excesivo</x:v>
      </x:c>
      <x:c r="P66" s="13" t="str">
        <x:v>Andén irregular</x:v>
      </x:c>
      <x:c r="Q66" s="13" t="str">
        <x:v>Área administrativa</x:v>
      </x:c>
      <x:c r="R66" s="13" t="str">
        <x:v>Espalda baja</x:v>
      </x:c>
      <x:c r="S66" s="13" t="str">
        <x:v>Abrasión</x:v>
      </x:c>
      <x:c r="T66" s="13" t="n">
        <x:v>2</x:v>
      </x:c>
      <x:c r="U66" s="13" t="n">
        <x:f>IF(M66="Sin incapacidad",0,T66)</x:f>
        <x:v>2</x:v>
      </x:c>
      <x:c r="V66" s="13" t="str">
        <x:v>Sí</x:v>
      </x:c>
      <x:c r="W66" s="30" t="n">
        <x:v>45707</x:v>
      </x:c>
      <x:c r="X66" s="30" t="str">
        <x:v>Sí</x:v>
      </x:c>
      <x:c r="Y66" s="30" t="n">
        <x:v>45709</x:v>
      </x:c>
      <x:c r="Z66" s="13" t="str">
        <x:v>COPASST + SST</x:v>
      </x:c>
      <x:c r="AA66" s="13" t="str">
        <x:v>No reportar condición insegura</x:v>
      </x:c>
      <x:c r="AB66" s="13" t="str">
        <x:v>Vía en mal estado</x:v>
      </x:c>
      <x:c r="AC66" s="13" t="str">
        <x:v>Fatiga</x:v>
      </x:c>
      <x:c r="AD66" s="13" t="str">
        <x:v>Falta de mantenimiento</x:v>
      </x:c>
      <x:c r="AE66" s="13" t="str">
        <x:v>Mantenimiento deficiente y ausencia de corrección oportuna</x:v>
      </x:c>
      <x:c r="AF66" s="13" t="str">
        <x:v>Programar mantenimiento correctivo del elemento involucrado</x:v>
      </x:c>
      <x:c r="AG66" s="13" t="str">
        <x:v>Coordinador de Talento Humano</x:v>
      </x:c>
      <x:c r="AH66" s="30" t="n">
        <x:v>45719</x:v>
      </x:c>
      <x:c r="AI66" s="30" t="str">
        <x:v>Cerrada</x:v>
      </x:c>
      <x:c r="AJ66" s="30" t="n">
        <x:v>45711</x:v>
      </x:c>
      <x:c r="AK66" s="13" t="str">
        <x:f>IF(OR(AI66&lt;&gt;"Cerrada",AJ66="",AH66=""),"No",IF(AJ66&lt;=AH66,"Sí","No"))</x:f>
        <x:v>Sí</x:v>
      </x:c>
      <x:c r="AL66" s="13" t="str">
        <x:v>Sí</x:v>
      </x:c>
      <x:c r="AM66" s="13" t="str">
        <x:v>Cerrado</x:v>
      </x:c>
      <x:c r="AN66" s="13" t="str">
        <x:v>Se recomienda refuerzo de inspecciones y autocuidado.</x:v>
      </x:c>
    </x:row>
    <x:row r="67">
      <x:c r="A67" s="13" t="n">
        <x:v>2025</x:v>
      </x:c>
      <x:c r="B67" s="13" t="str">
        <x:v>AT-2025-002</x:v>
      </x:c>
      <x:c r="C67" s="30" t="n">
        <x:v>45713</x:v>
      </x:c>
      <x:c r="D67" s="13" t="str">
        <x:v>19:15</x:v>
      </x:c>
      <x:c r="E67" s="13" t="str">
        <x:v>Febrero</x:v>
      </x:c>
      <x:c r="F67" s="13" t="str">
        <x:v>Valledupar</x:v>
      </x:c>
      <x:c r="G67" s="13" t="str">
        <x:v>Supervisión</x:v>
      </x:c>
      <x:c r="H67" s="13" t="str">
        <x:v>Claudia Patricia Solano</x:v>
      </x:c>
      <x:c r="I67" s="13" t="str">
        <x:v>88075045</x:v>
      </x:c>
      <x:c r="J67" s="13" t="str">
        <x:v>Auxiliar Administrativa</x:v>
      </x:c>
      <x:c r="K67" s="13" t="str">
        <x:v>Término indefinido</x:v>
      </x:c>
      <x:c r="L67" s="13" t="str">
        <x:v>ARL SURA</x:v>
      </x:c>
      <x:c r="M67" s="13" t="str">
        <x:v>Con incapacidad</x:v>
      </x:c>
      <x:c r="N67" s="13" t="str">
        <x:v>En desarrollo de actividades de supervisión, se presentó evento por caída al mismo nivel asociado a arma de dotación.</x:v>
      </x:c>
      <x:c r="O67" s="13" t="str">
        <x:v>Caída al mismo nivel</x:v>
      </x:c>
      <x:c r="P67" s="13" t="str">
        <x:v>Arma de dotación</x:v>
      </x:c>
      <x:c r="Q67" s="13" t="str">
        <x:v>Puesto de vigilancia</x:v>
      </x:c>
      <x:c r="R67" s="13" t="str">
        <x:v>Tobillo</x:v>
      </x:c>
      <x:c r="S67" s="13" t="str">
        <x:v>Esguince</x:v>
      </x:c>
      <x:c r="T67" s="13" t="n">
        <x:v>10</x:v>
      </x:c>
      <x:c r="U67" s="13" t="n">
        <x:f>IF(M67="Sin incapacidad",0,T67)</x:f>
        <x:v>10</x:v>
      </x:c>
      <x:c r="V67" s="13" t="str">
        <x:v>Sí</x:v>
      </x:c>
      <x:c r="W67" s="30" t="n">
        <x:v>45715</x:v>
      </x:c>
      <x:c r="X67" s="30" t="str">
        <x:v>Sí</x:v>
      </x:c>
      <x:c r="Y67" s="30" t="n">
        <x:v>45722</x:v>
      </x:c>
      <x:c r="Z67" s="13" t="str">
        <x:v>Supervisor + Analista SST</x:v>
      </x:c>
      <x:c r="AA67" s="13" t="str">
        <x:v>Desplazamiento apresurado</x:v>
      </x:c>
      <x:c r="AB67" s="13" t="str">
        <x:v>Orden y aseo deficiente</x:v>
      </x:c>
      <x:c r="AC67" s="13" t="str">
        <x:v>Fatiga</x:v>
      </x:c>
      <x:c r="AD67" s="13" t="str">
        <x:v>Carga laboral elevada</x:v>
      </x:c>
      <x:c r="AE67" s="13" t="str">
        <x:v>Mantenimiento deficiente y ausencia de corrección oportuna</x:v>
      </x:c>
      <x:c r="AF67" s="13" t="str">
        <x:v>Actualizar procedimiento seguro de trabajo y verificar cumplimiento</x:v>
      </x:c>
      <x:c r="AG67" s="13" t="str">
        <x:v>Coordinador de Talento Humano</x:v>
      </x:c>
      <x:c r="AH67" s="30" t="n">
        <x:v>45742</x:v>
      </x:c>
      <x:c r="AI67" s="30" t="str">
        <x:v>Cerrada</x:v>
      </x:c>
      <x:c r="AJ67" s="30" t="n">
        <x:v>45744</x:v>
      </x:c>
      <x:c r="AK67" s="13" t="str">
        <x:f>IF(OR(AI67&lt;&gt;"Cerrada",AJ67="",AH67=""),"No",IF(AJ67&lt;=AH67,"Sí","No"))</x:f>
        <x:v>No</x:v>
      </x:c>
      <x:c r="AL67" s="13" t="str">
        <x:v>Sí</x:v>
      </x:c>
      <x:c r="AM67" s="13" t="str">
        <x:v>Cerrado</x:v>
      </x:c>
      <x:c r="AN67" s="13" t="str">
        <x:v>Se realiza seguimiento por SST y jefe inmediato.</x:v>
      </x:c>
    </x:row>
    <x:row r="68">
      <x:c r="A68" s="13" t="n">
        <x:v>2025</x:v>
      </x:c>
      <x:c r="B68" s="13" t="str">
        <x:v>AT-2025-004</x:v>
      </x:c>
      <x:c r="C68" s="30" t="n">
        <x:v>45793</x:v>
      </x:c>
      <x:c r="D68" s="13" t="str">
        <x:v>13:00</x:v>
      </x:c>
      <x:c r="E68" s="13" t="str">
        <x:v>Mayo</x:v>
      </x:c>
      <x:c r="F68" s="13" t="str">
        <x:v>Ábrego</x:v>
      </x:c>
      <x:c r="G68" s="13" t="str">
        <x:v>Administrativa</x:v>
      </x:c>
      <x:c r="H68" s="13" t="str">
        <x:v>Edwin Mauricio Rodríguez</x:v>
      </x:c>
      <x:c r="I68" s="13" t="str">
        <x:v>88075914</x:v>
      </x:c>
      <x:c r="J68" s="13" t="str">
        <x:v>Operador de Medios Tecnológicos</x:v>
      </x:c>
      <x:c r="K68" s="13" t="str">
        <x:v>Término indefinido</x:v>
      </x:c>
      <x:c r="L68" s="13" t="str">
        <x:v>ARL SURA</x:v>
      </x:c>
      <x:c r="M68" s="13" t="str">
        <x:v>Con incapacidad</x:v>
      </x:c>
      <x:c r="N68" s="13" t="str">
        <x:v>En desarrollo de actividades de administrativa, se presentó evento por caída de objetos asociado a escalera.</x:v>
      </x:c>
      <x:c r="O68" s="13" t="str">
        <x:v>Caída de objetos</x:v>
      </x:c>
      <x:c r="P68" s="13" t="str">
        <x:v>Escalera</x:v>
      </x:c>
      <x:c r="Q68" s="13" t="str">
        <x:v>Zona común del cliente</x:v>
      </x:c>
      <x:c r="R68" s="13" t="str">
        <x:v>Rodilla</x:v>
      </x:c>
      <x:c r="S68" s="13" t="str">
        <x:v>Contusión</x:v>
      </x:c>
      <x:c r="T68" s="13" t="n">
        <x:v>12</x:v>
      </x:c>
      <x:c r="U68" s="13" t="n">
        <x:f>IF(M68="Sin incapacidad",0,T68)</x:f>
        <x:v>12</x:v>
      </x:c>
      <x:c r="V68" s="13" t="str">
        <x:v>Sí</x:v>
      </x:c>
      <x:c r="W68" s="30" t="n">
        <x:v>45794</x:v>
      </x:c>
      <x:c r="X68" s="30" t="str">
        <x:v>Sí</x:v>
      </x:c>
      <x:c r="Y68" s="30" t="n">
        <x:v>45800</x:v>
      </x:c>
      <x:c r="Z68" s="13" t="str">
        <x:v>COPASST + SST</x:v>
      </x:c>
      <x:c r="AA68" s="13" t="str">
        <x:v>Conducción sin distancia segura</x:v>
      </x:c>
      <x:c r="AB68" s="13" t="str">
        <x:v>Cable expuesto</x:v>
      </x:c>
      <x:c r="AC68" s="13" t="str">
        <x:v>Capacitación insuficiente</x:v>
      </x:c>
      <x:c r="AD68" s="13" t="str">
        <x:v>Condición locativa no corregida</x:v>
      </x:c>
      <x:c r="AE68" s="13" t="str">
        <x:v>Control operativo insuficiente frente a condición locativa</x:v>
      </x:c>
      <x:c r="AF68" s="13" t="str">
        <x:v>Implementar señalización y control administrativo temporal</x:v>
      </x:c>
      <x:c r="AG68" s="13" t="str">
        <x:v>Supervisor Operativo</x:v>
      </x:c>
      <x:c r="AH68" s="30" t="n">
        <x:v>45815</x:v>
      </x:c>
      <x:c r="AI68" s="30" t="str">
        <x:v>Cerrada</x:v>
      </x:c>
      <x:c r="AJ68" s="30" t="n">
        <x:v>45810</x:v>
      </x:c>
      <x:c r="AK68" s="13" t="str">
        <x:f>IF(OR(AI68&lt;&gt;"Cerrada",AJ68="",AH68=""),"No",IF(AJ68&lt;=AH68,"Sí","No"))</x:f>
        <x:v>Sí</x:v>
      </x:c>
      <x:c r="AL68" s="13" t="str">
        <x:v>Sí</x:v>
      </x:c>
      <x:c r="AM68" s="13" t="str">
        <x:v>Cerrado</x:v>
      </x:c>
      <x:c r="AN68" s="13" t="str">
        <x:v>Se deja lección aprendida socializada en charla preoperacional.</x:v>
      </x:c>
    </x:row>
    <x:row r="69">
      <x:c r="A69" s="13" t="n">
        <x:v>2025</x:v>
      </x:c>
      <x:c r="B69" s="13" t="str">
        <x:v>AT-2025-001</x:v>
      </x:c>
      <x:c r="C69" s="30" t="n">
        <x:v>45806</x:v>
      </x:c>
      <x:c r="D69" s="13" t="str">
        <x:v>18:45</x:v>
      </x:c>
      <x:c r="E69" s="13" t="str">
        <x:v>Mayo</x:v>
      </x:c>
      <x:c r="F69" s="13" t="str">
        <x:v>Girón</x:v>
      </x:c>
      <x:c r="G69" s="13" t="str">
        <x:v>Logística</x:v>
      </x:c>
      <x:c r="H69" s="13" t="str">
        <x:v>Yulieth Andrea Díaz</x:v>
      </x:c>
      <x:c r="I69" s="13" t="str">
        <x:v>88075918</x:v>
      </x:c>
      <x:c r="J69" s="13" t="str">
        <x:v>Auxiliar Administrativa</x:v>
      </x:c>
      <x:c r="K69" s="13" t="str">
        <x:v>Término indefinido</x:v>
      </x:c>
      <x:c r="L69" s="13" t="str">
        <x:v>ARL SURA</x:v>
      </x:c>
      <x:c r="M69" s="13" t="str">
        <x:v>Con incapacidad</x:v>
      </x:c>
      <x:c r="N69" s="13" t="str">
        <x:v>En desarrollo de actividades de logística, se presentó evento por accidente de tránsito asociado a cableado.</x:v>
      </x:c>
      <x:c r="O69" s="13" t="str">
        <x:v>Accidente de tránsito</x:v>
      </x:c>
      <x:c r="P69" s="13" t="str">
        <x:v>Cableado</x:v>
      </x:c>
      <x:c r="Q69" s="13" t="str">
        <x:v>Cuarto técnico</x:v>
      </x:c>
      <x:c r="R69" s="13" t="str">
        <x:v>Pierna</x:v>
      </x:c>
      <x:c r="S69" s="13" t="str">
        <x:v>Golpe leve</x:v>
      </x:c>
      <x:c r="T69" s="13" t="n">
        <x:v>12</x:v>
      </x:c>
      <x:c r="U69" s="13" t="n">
        <x:f>IF(M69="Sin incapacidad",0,T69)</x:f>
        <x:v>12</x:v>
      </x:c>
      <x:c r="V69" s="13" t="str">
        <x:v>Sí</x:v>
      </x:c>
      <x:c r="W69" s="30" t="n">
        <x:v>45807</x:v>
      </x:c>
      <x:c r="X69" s="30" t="str">
        <x:v>Sí</x:v>
      </x:c>
      <x:c r="Y69" s="30" t="n">
        <x:v>45808</x:v>
      </x:c>
      <x:c r="Z69" s="13" t="str">
        <x:v>Coordinador SST + Operaciones</x:v>
      </x:c>
      <x:c r="AA69" s="13" t="str">
        <x:v>No reportar condición insegura</x:v>
      </x:c>
      <x:c r="AB69" s="13" t="str">
        <x:v>Señalización insuficiente</x:v>
      </x:c>
      <x:c r="AC69" s="13" t="str">
        <x:v>Falta de atención</x:v>
      </x:c>
      <x:c r="AD69" s="13" t="str">
        <x:v>Control operativo insuficiente</x:v>
      </x:c>
      <x:c r="AE69" s="13" t="str">
        <x:v>Mantenimiento deficiente y ausencia de corrección oportuna</x:v>
      </x:c>
      <x:c r="AF69" s="13" t="str">
        <x:v>Realizar capacitación focalizada y socialización de lección aprendida</x:v>
      </x:c>
      <x:c r="AG69" s="13" t="str">
        <x:v>Coordinador SST</x:v>
      </x:c>
      <x:c r="AH69" s="30" t="n">
        <x:v>45828</x:v>
      </x:c>
      <x:c r="AI69" s="30" t="str">
        <x:v>Cerrada</x:v>
      </x:c>
      <x:c r="AJ69" s="30" t="n">
        <x:v>45820</x:v>
      </x:c>
      <x:c r="AK69" s="13" t="str">
        <x:f>IF(OR(AI69&lt;&gt;"Cerrada",AJ69="",AH69=""),"No",IF(AJ69&lt;=AH69,"Sí","No"))</x:f>
        <x:v>Sí</x:v>
      </x:c>
      <x:c r="AL69" s="13" t="str">
        <x:v>Sí</x:v>
      </x:c>
      <x:c r="AM69" s="13" t="str">
        <x:v>Cerrado</x:v>
      </x:c>
      <x:c r="AN69" s="13" t="str">
        <x:v>Se realiza seguimiento por SST y jefe inmediato.</x:v>
      </x:c>
    </x:row>
    <x:row r="70">
      <x:c r="A70" s="13" t="n">
        <x:v>2025</x:v>
      </x:c>
      <x:c r="B70" s="13" t="str">
        <x:v>AT-2025-006</x:v>
      </x:c>
      <x:c r="C70" s="30" t="n">
        <x:v>45806</x:v>
      </x:c>
      <x:c r="D70" s="13" t="str">
        <x:v>07:30</x:v>
      </x:c>
      <x:c r="E70" s="13" t="str">
        <x:v>Mayo</x:v>
      </x:c>
      <x:c r="F70" s="13" t="str">
        <x:v>Barrancabermeja</x:v>
      </x:c>
      <x:c r="G70" s="13" t="str">
        <x:v>Escoltas</x:v>
      </x:c>
      <x:c r="H70" s="13" t="str">
        <x:v>Diego Alejandro Rojas</x:v>
      </x:c>
      <x:c r="I70" s="13" t="str">
        <x:v>88075912</x:v>
      </x:c>
      <x:c r="J70" s="13" t="str">
        <x:v>Guarda Motorizado</x:v>
      </x:c>
      <x:c r="K70" s="13" t="str">
        <x:v>Término indefinido</x:v>
      </x:c>
      <x:c r="L70" s="13" t="str">
        <x:v>ARL SURA</x:v>
      </x:c>
      <x:c r="M70" s="13" t="str">
        <x:v>Con incapacidad</x:v>
      </x:c>
      <x:c r="N70" s="13" t="str">
        <x:v>Durante ronda de vigilancia en barrancabermeja, el trabajador sufrió lumbalgia aguda por sobreesfuerzo o esfuerzo excesivo.</x:v>
      </x:c>
      <x:c r="O70" s="13" t="str">
        <x:v>Sobreesfuerzo o esfuerzo excesivo</x:v>
      </x:c>
      <x:c r="P70" s="13" t="str">
        <x:v>Arma de dotación</x:v>
      </x:c>
      <x:c r="Q70" s="13" t="str">
        <x:v>Puesto de vigilancia</x:v>
      </x:c>
      <x:c r="R70" s="13" t="str">
        <x:v>Tobillo</x:v>
      </x:c>
      <x:c r="S70" s="13" t="str">
        <x:v>Lumbalgia aguda</x:v>
      </x:c>
      <x:c r="T70" s="13" t="n">
        <x:v>2</x:v>
      </x:c>
      <x:c r="U70" s="13" t="n">
        <x:f>IF(M70="Sin incapacidad",0,T70)</x:f>
        <x:v>2</x:v>
      </x:c>
      <x:c r="V70" s="13" t="str">
        <x:v>Sí</x:v>
      </x:c>
      <x:c r="W70" s="30" t="n">
        <x:v>45808</x:v>
      </x:c>
      <x:c r="X70" s="30" t="str">
        <x:v>Sí</x:v>
      </x:c>
      <x:c r="Y70" s="30" t="n">
        <x:v>45810</x:v>
      </x:c>
      <x:c r="Z70" s="13" t="str">
        <x:v>COPASST + SST</x:v>
      </x:c>
      <x:c r="AA70" s="13" t="str">
        <x:v>No asegurar postura adecuada</x:v>
      </x:c>
      <x:c r="AB70" s="13" t="str">
        <x:v>Señalización insuficiente</x:v>
      </x:c>
      <x:c r="AC70" s="13" t="str">
        <x:v>Capacitación insuficiente</x:v>
      </x:c>
      <x:c r="AD70" s="13" t="str">
        <x:v>Deficiencia en supervisión</x:v>
      </x:c>
      <x:c r="AE70" s="13" t="str">
        <x:v>Control operativo insuficiente frente a condición locativa</x:v>
      </x:c>
      <x:c r="AF70" s="13" t="str">
        <x:v>Realizar capacitación focalizada y socialización de lección aprendida</x:v>
      </x:c>
      <x:c r="AG70" s="13" t="str">
        <x:v>Analista SST</x:v>
      </x:c>
      <x:c r="AH70" s="30" t="n">
        <x:v>45830</x:v>
      </x:c>
      <x:c r="AI70" s="30" t="str">
        <x:v>Cerrada</x:v>
      </x:c>
      <x:c r="AJ70" s="30" t="n">
        <x:v>45834</x:v>
      </x:c>
      <x:c r="AK70" s="13" t="str">
        <x:f>IF(OR(AI70&lt;&gt;"Cerrada",AJ70="",AH70=""),"No",IF(AJ70&lt;=AH70,"Sí","No"))</x:f>
        <x:v>No</x:v>
      </x:c>
      <x:c r="AL70" s="13" t="str">
        <x:v>Sí</x:v>
      </x:c>
      <x:c r="AM70" s="13" t="str">
        <x:v>Cerrado</x:v>
      </x:c>
      <x:c r="AN70" s="13" t="str">
        <x:v>Se deja lección aprendida socializada en charla preoperacional.</x:v>
      </x:c>
    </x:row>
    <x:row r="71">
      <x:c r="A71" s="13" t="n">
        <x:v>2025</x:v>
      </x:c>
      <x:c r="B71" s="13" t="str">
        <x:v>AT-2025-023</x:v>
      </x:c>
      <x:c r="C71" s="30" t="n">
        <x:v>45842</x:v>
      </x:c>
      <x:c r="D71" s="13" t="str">
        <x:v>14:20</x:v>
      </x:c>
      <x:c r="E71" s="13" t="str">
        <x:v>Julio</x:v>
      </x:c>
      <x:c r="F71" s="13" t="str">
        <x:v>Pamplona</x:v>
      </x:c>
      <x:c r="G71" s="13" t="str">
        <x:v>Administrativa</x:v>
      </x:c>
      <x:c r="H71" s="13" t="str">
        <x:v>Nelly Johana Ortiz</x:v>
      </x:c>
      <x:c r="I71" s="13" t="str">
        <x:v>88075885</x:v>
      </x:c>
      <x:c r="J71" s="13" t="str">
        <x:v>Analista SST</x:v>
      </x:c>
      <x:c r="K71" s="13" t="str">
        <x:v>Término indefinido</x:v>
      </x:c>
      <x:c r="L71" s="13" t="str">
        <x:v>ARL SURA</x:v>
      </x:c>
      <x:c r="M71" s="13" t="str">
        <x:v>Con incapacidad</x:v>
      </x:c>
      <x:c r="N71" s="13" t="str">
        <x:v>En desarrollo de actividades de administrativa, se presentó evento por golpeado por/contra asociado a silla ergonómica.</x:v>
      </x:c>
      <x:c r="O71" s="13" t="str">
        <x:v>Golpeado por/contra</x:v>
      </x:c>
      <x:c r="P71" s="13" t="str">
        <x:v>Silla ergonómica</x:v>
      </x:c>
      <x:c r="Q71" s="13" t="str">
        <x:v>Cuarto técnico</x:v>
      </x:c>
      <x:c r="R71" s="13" t="str">
        <x:v>Cervical</x:v>
      </x:c>
      <x:c r="S71" s="13" t="str">
        <x:v>Trauma ocular leve</x:v>
      </x:c>
      <x:c r="T71" s="13" t="n">
        <x:v>12</x:v>
      </x:c>
      <x:c r="U71" s="13" t="n">
        <x:f>IF(M71="Sin incapacidad",0,T71)</x:f>
        <x:v>12</x:v>
      </x:c>
      <x:c r="V71" s="13" t="str">
        <x:v>Sí</x:v>
      </x:c>
      <x:c r="W71" s="30" t="n">
        <x:v>45843</x:v>
      </x:c>
      <x:c r="X71" s="30" t="str">
        <x:v>Sí</x:v>
      </x:c>
      <x:c r="Y71" s="30" t="n">
        <x:v>45852</x:v>
      </x:c>
      <x:c r="Z71" s="13" t="str">
        <x:v>COPASST + SST</x:v>
      </x:c>
      <x:c r="AA71" s="13" t="str">
        <x:v>Manipulación incorrecta de carga</x:v>
      </x:c>
      <x:c r="AB71" s="13" t="str">
        <x:v>Espacio reducido</x:v>
      </x:c>
      <x:c r="AC71" s="13" t="str">
        <x:v>Apuro operativo</x:v>
      </x:c>
      <x:c r="AD71" s="13" t="str">
        <x:v>Condición locativa no corregida</x:v>
      </x:c>
      <x:c r="AE71" s="13" t="str">
        <x:v>Incumplimiento del procedimiento seguro y supervisión insuficiente</x:v>
      </x:c>
      <x:c r="AF71" s="13" t="str">
        <x:v>Reforzar supervisión operativa y seguimiento al uso de EPP</x:v>
      </x:c>
      <x:c r="AG71" s="13" t="str">
        <x:v>Jefe de Operaciones</x:v>
      </x:c>
      <x:c r="AH71" s="30" t="n">
        <x:v>45867</x:v>
      </x:c>
      <x:c r="AI71" s="30" t="str">
        <x:v>Abierta</x:v>
      </x:c>
      <x:c r="AJ71" s="30"/>
      <x:c r="AK71" s="13" t="str">
        <x:f>IF(OR(AI71&lt;&gt;"Cerrada",AJ71="",AH71=""),"No",IF(AJ71&lt;=AH71,"Sí","No"))</x:f>
        <x:v>No</x:v>
      </x:c>
      <x:c r="AL71" s="13" t="str">
        <x:v>Pendiente verificación</x:v>
      </x:c>
      <x:c r="AM71" s="13" t="str">
        <x:v>En investigación</x:v>
      </x:c>
      <x:c r="AN71" s="13" t="str">
        <x:v>Se recomienda refuerzo de inspecciones y autocuidado.</x:v>
      </x:c>
    </x:row>
    <x:row r="72">
      <x:c r="A72" s="13" t="n">
        <x:v>2025</x:v>
      </x:c>
      <x:c r="B72" s="13" t="str">
        <x:v>AT-2025-009</x:v>
      </x:c>
      <x:c r="C72" s="30" t="n">
        <x:v>45854</x:v>
      </x:c>
      <x:c r="D72" s="13" t="str">
        <x:v>13:50</x:v>
      </x:c>
      <x:c r="E72" s="13" t="str">
        <x:v>Julio</x:v>
      </x:c>
      <x:c r="F72" s="13" t="str">
        <x:v>Valledupar</x:v>
      </x:c>
      <x:c r="G72" s="13" t="str">
        <x:v>Logística</x:v>
      </x:c>
      <x:c r="H72" s="13" t="str">
        <x:v>Ricardo Andrés Parra</x:v>
      </x:c>
      <x:c r="I72" s="13" t="str">
        <x:v>88075998</x:v>
      </x:c>
      <x:c r="J72" s="13" t="str">
        <x:v>Tecnólogo de Monitoreo</x:v>
      </x:c>
      <x:c r="K72" s="13" t="str">
        <x:v>Término indefinido</x:v>
      </x:c>
      <x:c r="L72" s="13" t="str">
        <x:v>ARL SURA</x:v>
      </x:c>
      <x:c r="M72" s="13" t="str">
        <x:v>Con incapacidad</x:v>
      </x:c>
      <x:c r="N72" s="13" t="str">
        <x:v>En desarrollo de actividades de logística, se presentó evento por golpeado por/contra asociado a vehículo.</x:v>
      </x:c>
      <x:c r="O72" s="13" t="str">
        <x:v>Golpeado por/contra</x:v>
      </x:c>
      <x:c r="P72" s="13" t="str">
        <x:v>Vehículo</x:v>
      </x:c>
      <x:c r="Q72" s="13" t="str">
        <x:v>Vía pública en ronda</x:v>
      </x:c>
      <x:c r="R72" s="13" t="str">
        <x:v>Mano</x:v>
      </x:c>
      <x:c r="S72" s="13" t="str">
        <x:v>Esguince</x:v>
      </x:c>
      <x:c r="T72" s="13" t="n">
        <x:v>12</x:v>
      </x:c>
      <x:c r="U72" s="13" t="n">
        <x:f>IF(M72="Sin incapacidad",0,T72)</x:f>
        <x:v>12</x:v>
      </x:c>
      <x:c r="V72" s="13" t="str">
        <x:v>Sí</x:v>
      </x:c>
      <x:c r="W72" s="30" t="n">
        <x:v>45855</x:v>
      </x:c>
      <x:c r="X72" s="30" t="str">
        <x:v>Sí</x:v>
      </x:c>
      <x:c r="Y72" s="30" t="n">
        <x:v>45863</x:v>
      </x:c>
      <x:c r="Z72" s="13" t="str">
        <x:v>Supervisor + Analista SST</x:v>
      </x:c>
      <x:c r="AA72" s="13" t="str">
        <x:v>Desplazamiento apresurado</x:v>
      </x:c>
      <x:c r="AB72" s="13" t="str">
        <x:v>Vía en mal estado</x:v>
      </x:c>
      <x:c r="AC72" s="13" t="str">
        <x:v>Exceso de confianza</x:v>
      </x:c>
      <x:c r="AD72" s="13" t="str">
        <x:v>Control operativo insuficiente</x:v>
      </x:c>
      <x:c r="AE72" s="13" t="str">
        <x:v>Incumplimiento del procedimiento seguro y supervisión insuficiente</x:v>
      </x:c>
      <x:c r="AF72" s="13" t="str">
        <x:v>Ejecutar inspección locativa y corrección inmediata del peligro</x:v>
      </x:c>
      <x:c r="AG72" s="13" t="str">
        <x:v>Supervisor Operativo</x:v>
      </x:c>
      <x:c r="AH72" s="30" t="n">
        <x:v>45893</x:v>
      </x:c>
      <x:c r="AI72" s="30" t="str">
        <x:v>Cerrada</x:v>
      </x:c>
      <x:c r="AJ72" s="30" t="n">
        <x:v>45887</x:v>
      </x:c>
      <x:c r="AK72" s="13" t="str">
        <x:f>IF(OR(AI72&lt;&gt;"Cerrada",AJ72="",AH72=""),"No",IF(AJ72&lt;=AH72,"Sí","No"))</x:f>
        <x:v>Sí</x:v>
      </x:c>
      <x:c r="AL72" s="13" t="str">
        <x:v>Pendiente verificación</x:v>
      </x:c>
      <x:c r="AM72" s="13" t="str">
        <x:v>Cerrado</x:v>
      </x:c>
      <x:c r="AN72" s="13" t="str">
        <x:v>Se recomienda refuerzo de inspecciones y autocuidado.</x:v>
      </x:c>
    </x:row>
    <x:row r="73">
      <x:c r="A73" s="13" t="n">
        <x:v>2025</x:v>
      </x:c>
      <x:c r="B73" s="13" t="str">
        <x:v>AT-2025-007</x:v>
      </x:c>
      <x:c r="C73" s="30" t="n">
        <x:v>45866</x:v>
      </x:c>
      <x:c r="D73" s="13" t="str">
        <x:v>21:50</x:v>
      </x:c>
      <x:c r="E73" s="13" t="str">
        <x:v>Julio</x:v>
      </x:c>
      <x:c r="F73" s="13" t="str">
        <x:v>Pamplona</x:v>
      </x:c>
      <x:c r="G73" s="13" t="str">
        <x:v>Operaciones</x:v>
      </x:c>
      <x:c r="H73" s="13" t="str">
        <x:v>Leidy Tatiana Becerra</x:v>
      </x:c>
      <x:c r="I73" s="13" t="str">
        <x:v>88075476</x:v>
      </x:c>
      <x:c r="J73" s="13" t="str">
        <x:v>Auxiliar Administrativa</x:v>
      </x:c>
      <x:c r="K73" s="13" t="str">
        <x:v>Término indefinido</x:v>
      </x:c>
      <x:c r="L73" s="13" t="str">
        <x:v>ARL SURA</x:v>
      </x:c>
      <x:c r="M73" s="13" t="str">
        <x:v>Sin incapacidad</x:v>
      </x:c>
      <x:c r="N73" s="13" t="str">
        <x:v>En desarrollo de actividades de operaciones, se presentó evento por caída al mismo nivel asociado a silla ergonómica.</x:v>
      </x:c>
      <x:c r="O73" s="13" t="str">
        <x:v>Caída al mismo nivel</x:v>
      </x:c>
      <x:c r="P73" s="13" t="str">
        <x:v>Silla ergonómica</x:v>
      </x:c>
      <x:c r="Q73" s="13" t="str">
        <x:v>Cuarto técnico</x:v>
      </x:c>
      <x:c r="R73" s="13" t="str">
        <x:v>Rodilla</x:v>
      </x:c>
      <x:c r="S73" s="13" t="str">
        <x:v>Contractura muscular</x:v>
      </x:c>
      <x:c r="T73" s="13" t="n">
        <x:v>0</x:v>
      </x:c>
      <x:c r="U73" s="13" t="n">
        <x:f>IF(M73="Sin incapacidad",0,T73)</x:f>
        <x:v>0</x:v>
      </x:c>
      <x:c r="V73" s="13" t="str">
        <x:v>Sí</x:v>
      </x:c>
      <x:c r="W73" s="30" t="n">
        <x:v>45866</x:v>
      </x:c>
      <x:c r="X73" s="30" t="str">
        <x:v>Sí</x:v>
      </x:c>
      <x:c r="Y73" s="30" t="n">
        <x:v>45869</x:v>
      </x:c>
      <x:c r="Z73" s="13" t="str">
        <x:v>Coordinador SST + Operaciones</x:v>
      </x:c>
      <x:c r="AA73" s="13" t="str">
        <x:v>Omisión de inspección previa</x:v>
      </x:c>
      <x:c r="AB73" s="13" t="str">
        <x:v>Superficie deslizante</x:v>
      </x:c>
      <x:c r="AC73" s="13" t="str">
        <x:v>Postura inadecuada</x:v>
      </x:c>
      <x:c r="AD73" s="13" t="str">
        <x:v>Carga laboral elevada</x:v>
      </x:c>
      <x:c r="AE73" s="13" t="str">
        <x:v>Incumplimiento del procedimiento seguro y supervisión insuficiente</x:v>
      </x:c>
      <x:c r="AF73" s="13" t="str">
        <x:v>Implementar señalización y control administrativo temporal</x:v>
      </x:c>
      <x:c r="AG73" s="13" t="str">
        <x:v>Jefe de Operaciones</x:v>
      </x:c>
      <x:c r="AH73" s="30" t="n">
        <x:v>45879</x:v>
      </x:c>
      <x:c r="AI73" s="30" t="str">
        <x:v>Cerrada</x:v>
      </x:c>
      <x:c r="AJ73" s="30" t="n">
        <x:v>45875</x:v>
      </x:c>
      <x:c r="AK73" s="13" t="str">
        <x:f>IF(OR(AI73&lt;&gt;"Cerrada",AJ73="",AH73=""),"No",IF(AJ73&lt;=AH73,"Sí","No"))</x:f>
        <x:v>Sí</x:v>
      </x:c>
      <x:c r="AL73" s="13" t="str">
        <x:v>Sí</x:v>
      </x:c>
      <x:c r="AM73" s="13" t="str">
        <x:v>Cerrado</x:v>
      </x:c>
      <x:c r="AN73" s="13" t="str">
        <x:v>Se recomienda refuerzo de inspecciones y autocuidado.</x:v>
      </x:c>
    </x:row>
    <x:row r="74">
      <x:c r="A74" s="13" t="n">
        <x:v>2025</x:v>
      </x:c>
      <x:c r="B74" s="13" t="str">
        <x:v>AT-2025-005</x:v>
      </x:c>
      <x:c r="C74" s="30" t="n">
        <x:v>45893</x:v>
      </x:c>
      <x:c r="D74" s="13" t="str">
        <x:v>16:40</x:v>
      </x:c>
      <x:c r="E74" s="13" t="str">
        <x:v>Agosto</x:v>
      </x:c>
      <x:c r="F74" s="13" t="str">
        <x:v>Pamplona</x:v>
      </x:c>
      <x:c r="G74" s="13" t="str">
        <x:v>Talento Humano</x:v>
      </x:c>
      <x:c r="H74" s="13" t="str">
        <x:v>Sandra Milena Niño</x:v>
      </x:c>
      <x:c r="I74" s="13" t="str">
        <x:v>88075605</x:v>
      </x:c>
      <x:c r="J74" s="13" t="str">
        <x:v>Tecnólogo de Monitoreo</x:v>
      </x:c>
      <x:c r="K74" s="13" t="str">
        <x:v>Término indefinido</x:v>
      </x:c>
      <x:c r="L74" s="13" t="str">
        <x:v>ARL SURA</x:v>
      </x:c>
      <x:c r="M74" s="13" t="str">
        <x:v>Con incapacidad</x:v>
      </x:c>
      <x:c r="N74" s="13" t="str">
        <x:v>En desarrollo de actividades de talento humano, se presentó evento por sobreesfuerzo o esfuerzo excesivo asociado a vehículo.</x:v>
      </x:c>
      <x:c r="O74" s="13" t="str">
        <x:v>Sobreesfuerzo o esfuerzo excesivo</x:v>
      </x:c>
      <x:c r="P74" s="13" t="str">
        <x:v>Vehículo</x:v>
      </x:c>
      <x:c r="Q74" s="13" t="str">
        <x:v>Zona común del cliente</x:v>
      </x:c>
      <x:c r="R74" s="13" t="str">
        <x:v>Tobillo</x:v>
      </x:c>
      <x:c r="S74" s="13" t="str">
        <x:v>Luxación</x:v>
      </x:c>
      <x:c r="T74" s="13" t="n">
        <x:v>30</x:v>
      </x:c>
      <x:c r="U74" s="13" t="n">
        <x:f>IF(M74="Sin incapacidad",0,T74)</x:f>
        <x:v>30</x:v>
      </x:c>
      <x:c r="V74" s="13" t="str">
        <x:v>Sí</x:v>
      </x:c>
      <x:c r="W74" s="30" t="n">
        <x:v>45893</x:v>
      </x:c>
      <x:c r="X74" s="30" t="str">
        <x:v>Sí</x:v>
      </x:c>
      <x:c r="Y74" s="30" t="n">
        <x:v>45901</x:v>
      </x:c>
      <x:c r="Z74" s="13" t="str">
        <x:v>Supervisor + Analista SST</x:v>
      </x:c>
      <x:c r="AA74" s="13" t="str">
        <x:v>No reportar condición insegura</x:v>
      </x:c>
      <x:c r="AB74" s="13" t="str">
        <x:v>Espacio reducido</x:v>
      </x:c>
      <x:c r="AC74" s="13" t="str">
        <x:v>Apuro operativo</x:v>
      </x:c>
      <x:c r="AD74" s="13" t="str">
        <x:v>Condición locativa no corregida</x:v>
      </x:c>
      <x:c r="AE74" s="13" t="str">
        <x:v>Mantenimiento deficiente y ausencia de corrección oportuna</x:v>
      </x:c>
      <x:c r="AF74" s="13" t="str">
        <x:v>Actualizar procedimiento seguro de trabajo y verificar cumplimiento</x:v>
      </x:c>
      <x:c r="AG74" s="13" t="str">
        <x:v>Coordinador SST</x:v>
      </x:c>
      <x:c r="AH74" s="30" t="n">
        <x:v>45931</x:v>
      </x:c>
      <x:c r="AI74" s="30" t="str">
        <x:v>En seguimiento</x:v>
      </x:c>
      <x:c r="AJ74" s="30"/>
      <x:c r="AK74" s="13" t="str">
        <x:f>IF(OR(AI74&lt;&gt;"Cerrada",AJ74="",AH74=""),"No",IF(AJ74&lt;=AH74,"Sí","No"))</x:f>
        <x:v>No</x:v>
      </x:c>
      <x:c r="AL74" s="13" t="str">
        <x:v>Pendiente verificación</x:v>
      </x:c>
      <x:c r="AM74" s="13" t="str">
        <x:v>En seguimiento</x:v>
      </x:c>
      <x:c r="AN74" s="13" t="str">
        <x:v>Se deja lección aprendida socializada en charla preoperacional.</x:v>
      </x:c>
    </x:row>
    <x:row r="75">
      <x:c r="A75" s="13" t="n">
        <x:v>2025</x:v>
      </x:c>
      <x:c r="B75" s="13" t="str">
        <x:v>AT-2025-011</x:v>
      </x:c>
      <x:c r="C75" s="30" t="n">
        <x:v>45920</x:v>
      </x:c>
      <x:c r="D75" s="13" t="str">
        <x:v>19:50</x:v>
      </x:c>
      <x:c r="E75" s="13" t="str">
        <x:v>Septiembre</x:v>
      </x:c>
      <x:c r="F75" s="13" t="str">
        <x:v>Ábrego</x:v>
      </x:c>
      <x:c r="G75" s="13" t="str">
        <x:v>Operaciones</x:v>
      </x:c>
      <x:c r="H75" s="13" t="str">
        <x:v>Tatiana Marcela Paredes</x:v>
      </x:c>
      <x:c r="I75" s="13" t="str">
        <x:v>88076072</x:v>
      </x:c>
      <x:c r="J75" s="13" t="str">
        <x:v>Guarda Motorizado</x:v>
      </x:c>
      <x:c r="K75" s="13" t="str">
        <x:v>Término indefinido</x:v>
      </x:c>
      <x:c r="L75" s="13" t="str">
        <x:v>ARL SURA</x:v>
      </x:c>
      <x:c r="M75" s="13" t="str">
        <x:v>Con incapacidad</x:v>
      </x:c>
      <x:c r="N75" s="13" t="str">
        <x:v>En desarrollo de actividades de operaciones, se presentó evento por caída al mismo nivel asociado a vehículo.</x:v>
      </x:c>
      <x:c r="O75" s="13" t="str">
        <x:v>Caída al mismo nivel</x:v>
      </x:c>
      <x:c r="P75" s="13" t="str">
        <x:v>Vehículo</x:v>
      </x:c>
      <x:c r="Q75" s="13" t="str">
        <x:v>Vía pública en ronda</x:v>
      </x:c>
      <x:c r="R75" s="13" t="str">
        <x:v>Brazo</x:v>
      </x:c>
      <x:c r="S75" s="13" t="str">
        <x:v>Esguince</x:v>
      </x:c>
      <x:c r="T75" s="13" t="n">
        <x:v>1</x:v>
      </x:c>
      <x:c r="U75" s="13" t="n">
        <x:f>IF(M75="Sin incapacidad",0,T75)</x:f>
        <x:v>1</x:v>
      </x:c>
      <x:c r="V75" s="13" t="str">
        <x:v>Sí</x:v>
      </x:c>
      <x:c r="W75" s="30" t="n">
        <x:v>45921</x:v>
      </x:c>
      <x:c r="X75" s="30" t="str">
        <x:v>Sí</x:v>
      </x:c>
      <x:c r="Y75" s="30" t="n">
        <x:v>45922</x:v>
      </x:c>
      <x:c r="Z75" s="13" t="str">
        <x:v>Jefe inmediato + SST</x:v>
      </x:c>
      <x:c r="AA75" s="13" t="str">
        <x:v>Desplazamiento apresurado</x:v>
      </x:c>
      <x:c r="AB75" s="13" t="str">
        <x:v>Cable expuesto</x:v>
      </x:c>
      <x:c r="AC75" s="13" t="str">
        <x:v>Fatiga</x:v>
      </x:c>
      <x:c r="AD75" s="13" t="str">
        <x:v>Procedimiento no actualizado</x:v>
      </x:c>
      <x:c r="AE75" s="13" t="str">
        <x:v>Brecha de capacitación y hábitos inseguros de trabajo</x:v>
      </x:c>
      <x:c r="AF75" s="13" t="str">
        <x:v>Ejecutar inspección locativa y corrección inmediata del peligro</x:v>
      </x:c>
      <x:c r="AG75" s="13" t="str">
        <x:v>Supervisor Operativo</x:v>
      </x:c>
      <x:c r="AH75" s="30" t="n">
        <x:v>45952</x:v>
      </x:c>
      <x:c r="AI75" s="30" t="str">
        <x:v>Cerrada</x:v>
      </x:c>
      <x:c r="AJ75" s="30" t="n">
        <x:v>45951</x:v>
      </x:c>
      <x:c r="AK75" s="13" t="str">
        <x:f>IF(OR(AI75&lt;&gt;"Cerrada",AJ75="",AH75=""),"No",IF(AJ75&lt;=AH75,"Sí","No"))</x:f>
        <x:v>Sí</x:v>
      </x:c>
      <x:c r="AL75" s="13" t="str">
        <x:v>Sí</x:v>
      </x:c>
      <x:c r="AM75" s="13" t="str">
        <x:v>Cerrado</x:v>
      </x:c>
      <x:c r="AN75" s="13" t="str">
        <x:v>Se realiza seguimiento por SST y jefe inmediato.</x:v>
      </x:c>
    </x:row>
    <x:row r="76">
      <x:c r="A76" s="13" t="n">
        <x:v>2025</x:v>
      </x:c>
      <x:c r="B76" s="13" t="str">
        <x:v>AT-2025-016</x:v>
      </x:c>
      <x:c r="C76" s="30" t="n">
        <x:v>45931</x:v>
      </x:c>
      <x:c r="D76" s="13" t="str">
        <x:v>17:30</x:v>
      </x:c>
      <x:c r="E76" s="13" t="str">
        <x:v>Octubre</x:v>
      </x:c>
      <x:c r="F76" s="13" t="str">
        <x:v>Valledupar</x:v>
      </x:c>
      <x:c r="G76" s="13" t="str">
        <x:v>Escoltas</x:v>
      </x:c>
      <x:c r="H76" s="13" t="str">
        <x:v>Maribel Rocío Acevedo</x:v>
      </x:c>
      <x:c r="I76" s="13" t="str">
        <x:v>88075617</x:v>
      </x:c>
      <x:c r="J76" s="13" t="str">
        <x:v>Analista SST</x:v>
      </x:c>
      <x:c r="K76" s="13" t="str">
        <x:v>Término fijo</x:v>
      </x:c>
      <x:c r="L76" s="13" t="str">
        <x:v>ARL SURA</x:v>
      </x:c>
      <x:c r="M76" s="13" t="str">
        <x:v>Sin incapacidad</x:v>
      </x:c>
      <x:c r="N76" s="13" t="str">
        <x:v>En desarrollo de actividades de escoltas, se presentó evento por accidente de tránsito asociado a escritorio.</x:v>
      </x:c>
      <x:c r="O76" s="13" t="str">
        <x:v>Accidente de tránsito</x:v>
      </x:c>
      <x:c r="P76" s="13" t="str">
        <x:v>Escritorio</x:v>
      </x:c>
      <x:c r="Q76" s="13" t="str">
        <x:v>Parqueadero</x:v>
      </x:c>
      <x:c r="R76" s="13" t="str">
        <x:v>Rodilla</x:v>
      </x:c>
      <x:c r="S76" s="13" t="str">
        <x:v>Trauma ocular leve</x:v>
      </x:c>
      <x:c r="T76" s="13" t="n">
        <x:v>0</x:v>
      </x:c>
      <x:c r="U76" s="13" t="n">
        <x:f>IF(M76="Sin incapacidad",0,T76)</x:f>
        <x:v>0</x:v>
      </x:c>
      <x:c r="V76" s="13" t="str">
        <x:v>Sí</x:v>
      </x:c>
      <x:c r="W76" s="30" t="n">
        <x:v>45932</x:v>
      </x:c>
      <x:c r="X76" s="30" t="str">
        <x:v>Sí</x:v>
      </x:c>
      <x:c r="Y76" s="30" t="n">
        <x:v>45941</x:v>
      </x:c>
      <x:c r="Z76" s="13" t="str">
        <x:v>COPASST + SST</x:v>
      </x:c>
      <x:c r="AA76" s="13" t="str">
        <x:v>Omisión de inspección previa</x:v>
      </x:c>
      <x:c r="AB76" s="13" t="str">
        <x:v>Superficie deslizante</x:v>
      </x:c>
      <x:c r="AC76" s="13" t="str">
        <x:v>Exceso de confianza</x:v>
      </x:c>
      <x:c r="AD76" s="13" t="str">
        <x:v>Control operativo insuficiente</x:v>
      </x:c>
      <x:c r="AE76" s="13" t="str">
        <x:v>Falta de inspección previa y gestión tardía del peligro</x:v>
      </x:c>
      <x:c r="AF76" s="13" t="str">
        <x:v>Programar mantenimiento correctivo del elemento involucrado</x:v>
      </x:c>
      <x:c r="AG76" s="13" t="str">
        <x:v>Líder de Mantenimiento</x:v>
      </x:c>
      <x:c r="AH76" s="30" t="n">
        <x:v>45971</x:v>
      </x:c>
      <x:c r="AI76" s="30" t="str">
        <x:v>Cerrada</x:v>
      </x:c>
      <x:c r="AJ76" s="30" t="n">
        <x:v>45973</x:v>
      </x:c>
      <x:c r="AK76" s="13" t="str">
        <x:f>IF(OR(AI76&lt;&gt;"Cerrada",AJ76="",AH76=""),"No",IF(AJ76&lt;=AH76,"Sí","No"))</x:f>
        <x:v>No</x:v>
      </x:c>
      <x:c r="AL76" s="13" t="str">
        <x:v>Sí</x:v>
      </x:c>
      <x:c r="AM76" s="13" t="str">
        <x:v>Cerrado</x:v>
      </x:c>
      <x:c r="AN76" s="13" t="str">
        <x:v>Se recomienda refuerzo de inspecciones y autocuidado.</x:v>
      </x:c>
    </x:row>
    <x:row r="77">
      <x:c r="A77" s="13" t="n">
        <x:v>2025</x:v>
      </x:c>
      <x:c r="B77" s="13" t="str">
        <x:v>AT-2025-015</x:v>
      </x:c>
      <x:c r="C77" s="30" t="n">
        <x:v>45932</x:v>
      </x:c>
      <x:c r="D77" s="13" t="str">
        <x:v>12:00</x:v>
      </x:c>
      <x:c r="E77" s="13" t="str">
        <x:v>Octubre</x:v>
      </x:c>
      <x:c r="F77" s="13" t="str">
        <x:v>Valledupar</x:v>
      </x:c>
      <x:c r="G77" s="13" t="str">
        <x:v>Escoltas</x:v>
      </x:c>
      <x:c r="H77" s="13" t="str">
        <x:v>María Camila Rojas</x:v>
      </x:c>
      <x:c r="I77" s="13" t="str">
        <x:v>88075672</x:v>
      </x:c>
      <x:c r="J77" s="13" t="str">
        <x:v>Supervisor de Puesto</x:v>
      </x:c>
      <x:c r="K77" s="13" t="str">
        <x:v>Término fijo</x:v>
      </x:c>
      <x:c r="L77" s="13" t="str">
        <x:v>ARL SURA</x:v>
      </x:c>
      <x:c r="M77" s="13" t="str">
        <x:v>Con incapacidad</x:v>
      </x:c>
      <x:c r="N77" s="13" t="str">
        <x:v>En desarrollo de actividades de escoltas, se presentó evento por atrapamiento asociado a vehículo.</x:v>
      </x:c>
      <x:c r="O77" s="13" t="str">
        <x:v>Atrapamiento</x:v>
      </x:c>
      <x:c r="P77" s="13" t="str">
        <x:v>Vehículo</x:v>
      </x:c>
      <x:c r="Q77" s="13" t="str">
        <x:v>Vía pública en ronda</x:v>
      </x:c>
      <x:c r="R77" s="13" t="str">
        <x:v>Ojo</x:v>
      </x:c>
      <x:c r="S77" s="13" t="str">
        <x:v>Herida superficial</x:v>
      </x:c>
      <x:c r="T77" s="13" t="n">
        <x:v>7</x:v>
      </x:c>
      <x:c r="U77" s="13" t="n">
        <x:f>IF(M77="Sin incapacidad",0,T77)</x:f>
        <x:v>7</x:v>
      </x:c>
      <x:c r="V77" s="13" t="str">
        <x:v>Sí</x:v>
      </x:c>
      <x:c r="W77" s="30" t="n">
        <x:v>45933</x:v>
      </x:c>
      <x:c r="X77" s="30" t="str">
        <x:v>Sí</x:v>
      </x:c>
      <x:c r="Y77" s="30" t="n">
        <x:v>45933</x:v>
      </x:c>
      <x:c r="Z77" s="13" t="str">
        <x:v>COPASST + SST</x:v>
      </x:c>
      <x:c r="AA77" s="13" t="str">
        <x:v>Uso inadecuado del EPP</x:v>
      </x:c>
      <x:c r="AB77" s="13" t="str">
        <x:v>Iluminación insuficiente</x:v>
      </x:c>
      <x:c r="AC77" s="13" t="str">
        <x:v>Capacitación insuficiente</x:v>
      </x:c>
      <x:c r="AD77" s="13" t="str">
        <x:v>Carga laboral elevada</x:v>
      </x:c>
      <x:c r="AE77" s="13" t="str">
        <x:v>Incumplimiento del procedimiento seguro y supervisión insuficiente</x:v>
      </x:c>
      <x:c r="AF77" s="13" t="str">
        <x:v>Implementar señalización y control administrativo temporal</x:v>
      </x:c>
      <x:c r="AG77" s="13" t="str">
        <x:v>Coordinador de Talento Humano</x:v>
      </x:c>
      <x:c r="AH77" s="30" t="n">
        <x:v>45948</x:v>
      </x:c>
      <x:c r="AI77" s="30" t="str">
        <x:v>Cerrada</x:v>
      </x:c>
      <x:c r="AJ77" s="30" t="n">
        <x:v>45950</x:v>
      </x:c>
      <x:c r="AK77" s="13" t="str">
        <x:f>IF(OR(AI77&lt;&gt;"Cerrada",AJ77="",AH77=""),"No",IF(AJ77&lt;=AH77,"Sí","No"))</x:f>
        <x:v>No</x:v>
      </x:c>
      <x:c r="AL77" s="13" t="str">
        <x:v>Sí</x:v>
      </x:c>
      <x:c r="AM77" s="13" t="str">
        <x:v>Cerrado</x:v>
      </x:c>
      <x:c r="AN77" s="13" t="str">
        <x:v>Se recomienda refuerzo de inspecciones y autocuidado.</x:v>
      </x:c>
    </x:row>
    <x:row r="78">
      <x:c r="A78" s="13" t="n">
        <x:v>2025</x:v>
      </x:c>
      <x:c r="B78" s="13" t="str">
        <x:v>AT-2025-010</x:v>
      </x:c>
      <x:c r="C78" s="30" t="n">
        <x:v>45933</x:v>
      </x:c>
      <x:c r="D78" s="13" t="str">
        <x:v>12:20</x:v>
      </x:c>
      <x:c r="E78" s="13" t="str">
        <x:v>Octubre</x:v>
      </x:c>
      <x:c r="F78" s="13" t="str">
        <x:v>Pamplona</x:v>
      </x:c>
      <x:c r="G78" s="13" t="str">
        <x:v>Talento Humano</x:v>
      </x:c>
      <x:c r="H78" s="13" t="str">
        <x:v>Jhon Alexander Contreras</x:v>
      </x:c>
      <x:c r="I78" s="13" t="str">
        <x:v>88075752</x:v>
      </x:c>
      <x:c r="J78" s="13" t="str">
        <x:v>Conductor</x:v>
      </x:c>
      <x:c r="K78" s="13" t="str">
        <x:v>Término indefinido</x:v>
      </x:c>
      <x:c r="L78" s="13" t="str">
        <x:v>ARL SURA</x:v>
      </x:c>
      <x:c r="M78" s="13" t="str">
        <x:v>Con incapacidad</x:v>
      </x:c>
      <x:c r="N78" s="13" t="str">
        <x:v>Durante ronda de vigilancia en pamplona, el trabajador sufrió contractura muscular por caída de objetos.</x:v>
      </x:c>
      <x:c r="O78" s="13" t="str">
        <x:v>Caída de objetos</x:v>
      </x:c>
      <x:c r="P78" s="13" t="str">
        <x:v>Escalera</x:v>
      </x:c>
      <x:c r="Q78" s="13" t="str">
        <x:v>Recepción</x:v>
      </x:c>
      <x:c r="R78" s="13" t="str">
        <x:v>Mano</x:v>
      </x:c>
      <x:c r="S78" s="13" t="str">
        <x:v>Contractura muscular</x:v>
      </x:c>
      <x:c r="T78" s="13" t="n">
        <x:v>15</x:v>
      </x:c>
      <x:c r="U78" s="13" t="n">
        <x:f>IF(M78="Sin incapacidad",0,T78)</x:f>
        <x:v>15</x:v>
      </x:c>
      <x:c r="V78" s="13" t="str">
        <x:v>Sí</x:v>
      </x:c>
      <x:c r="W78" s="30" t="n">
        <x:v>45933</x:v>
      </x:c>
      <x:c r="X78" s="30" t="str">
        <x:v>Sí</x:v>
      </x:c>
      <x:c r="Y78" s="30" t="n">
        <x:v>45936</x:v>
      </x:c>
      <x:c r="Z78" s="13" t="str">
        <x:v>COPASST + SST</x:v>
      </x:c>
      <x:c r="AA78" s="13" t="str">
        <x:v>Distracción durante la labor</x:v>
      </x:c>
      <x:c r="AB78" s="13" t="str">
        <x:v>Cable expuesto</x:v>
      </x:c>
      <x:c r="AC78" s="13" t="str">
        <x:v>Fatiga</x:v>
      </x:c>
      <x:c r="AD78" s="13" t="str">
        <x:v>Condición locativa no corregida</x:v>
      </x:c>
      <x:c r="AE78" s="13" t="str">
        <x:v>Incumplimiento del procedimiento seguro y supervisión insuficiente</x:v>
      </x:c>
      <x:c r="AF78" s="13" t="str">
        <x:v>Implementar señalización y control administrativo temporal</x:v>
      </x:c>
      <x:c r="AG78" s="13" t="str">
        <x:v>Coordinador de Talento Humano</x:v>
      </x:c>
      <x:c r="AH78" s="30" t="n">
        <x:v>45966</x:v>
      </x:c>
      <x:c r="AI78" s="30" t="str">
        <x:v>Cerrada</x:v>
      </x:c>
      <x:c r="AJ78" s="30" t="n">
        <x:v>45963</x:v>
      </x:c>
      <x:c r="AK78" s="13" t="str">
        <x:f>IF(OR(AI78&lt;&gt;"Cerrada",AJ78="",AH78=""),"No",IF(AJ78&lt;=AH78,"Sí","No"))</x:f>
        <x:v>Sí</x:v>
      </x:c>
      <x:c r="AL78" s="13" t="str">
        <x:v>Sí</x:v>
      </x:c>
      <x:c r="AM78" s="13" t="str">
        <x:v>Cerrado</x:v>
      </x:c>
      <x:c r="AN78" s="13" t="str">
        <x:v>Se deja lección aprendida socializada en charla preoperacional.</x:v>
      </x:c>
    </x:row>
    <x:row r="79">
      <x:c r="A79" s="13" t="n">
        <x:v>2025</x:v>
      </x:c>
      <x:c r="B79" s="13" t="str">
        <x:v>AT-2025-017</x:v>
      </x:c>
      <x:c r="C79" s="30" t="n">
        <x:v>45939</x:v>
      </x:c>
      <x:c r="D79" s="13" t="str">
        <x:v>16:30</x:v>
      </x:c>
      <x:c r="E79" s="13" t="str">
        <x:v>Octubre</x:v>
      </x:c>
      <x:c r="F79" s="13" t="str">
        <x:v>Tibú</x:v>
      </x:c>
      <x:c r="G79" s="13" t="str">
        <x:v>Logística</x:v>
      </x:c>
      <x:c r="H79" s="13" t="str">
        <x:v>Maribel Rocío Acevedo</x:v>
      </x:c>
      <x:c r="I79" s="13" t="str">
        <x:v>88075726</x:v>
      </x:c>
      <x:c r="J79" s="13" t="str">
        <x:v>Analista SST</x:v>
      </x:c>
      <x:c r="K79" s="13" t="str">
        <x:v>Término fijo</x:v>
      </x:c>
      <x:c r="L79" s="13" t="str">
        <x:v>ARL SURA</x:v>
      </x:c>
      <x:c r="M79" s="13" t="str">
        <x:v>Con incapacidad</x:v>
      </x:c>
      <x:c r="N79" s="13" t="str">
        <x:v>Durante ronda de vigilancia en tibú, el trabajador sufrió lumbalgia aguda por caída al mismo nivel.</x:v>
      </x:c>
      <x:c r="O79" s="13" t="str">
        <x:v>Caída al mismo nivel</x:v>
      </x:c>
      <x:c r="P79" s="13" t="str">
        <x:v>Arma de dotación</x:v>
      </x:c>
      <x:c r="Q79" s="13" t="str">
        <x:v>Recepción</x:v>
      </x:c>
      <x:c r="R79" s="13" t="str">
        <x:v>Ojo</x:v>
      </x:c>
      <x:c r="S79" s="13" t="str">
        <x:v>Lumbalgia aguda</x:v>
      </x:c>
      <x:c r="T79" s="13" t="n">
        <x:v>15</x:v>
      </x:c>
      <x:c r="U79" s="13" t="n">
        <x:f>IF(M79="Sin incapacidad",0,T79)</x:f>
        <x:v>15</x:v>
      </x:c>
      <x:c r="V79" s="13" t="str">
        <x:v>Sí</x:v>
      </x:c>
      <x:c r="W79" s="30" t="n">
        <x:v>45939</x:v>
      </x:c>
      <x:c r="X79" s="30" t="str">
        <x:v>Sí</x:v>
      </x:c>
      <x:c r="Y79" s="30" t="n">
        <x:v>45941</x:v>
      </x:c>
      <x:c r="Z79" s="13" t="str">
        <x:v>Jefe inmediato + SST</x:v>
      </x:c>
      <x:c r="AA79" s="13" t="str">
        <x:v>No asegurar postura adecuada</x:v>
      </x:c>
      <x:c r="AB79" s="13" t="str">
        <x:v>Herramienta en mal estado</x:v>
      </x:c>
      <x:c r="AC79" s="13" t="str">
        <x:v>Falta de atención</x:v>
      </x:c>
      <x:c r="AD79" s="13" t="str">
        <x:v>Condición locativa no corregida</x:v>
      </x:c>
      <x:c r="AE79" s="13" t="str">
        <x:v>Incumplimiento del procedimiento seguro y supervisión insuficiente</x:v>
      </x:c>
      <x:c r="AF79" s="13" t="str">
        <x:v>Realizar capacitación focalizada y socialización de lección aprendida</x:v>
      </x:c>
      <x:c r="AG79" s="13" t="str">
        <x:v>Líder de Mantenimiento</x:v>
      </x:c>
      <x:c r="AH79" s="30" t="n">
        <x:v>45956</x:v>
      </x:c>
      <x:c r="AI79" s="30" t="str">
        <x:v>Cerrada</x:v>
      </x:c>
      <x:c r="AJ79" s="30" t="n">
        <x:v>45953</x:v>
      </x:c>
      <x:c r="AK79" s="13" t="str">
        <x:f>IF(OR(AI79&lt;&gt;"Cerrada",AJ79="",AH79=""),"No",IF(AJ79&lt;=AH79,"Sí","No"))</x:f>
        <x:v>Sí</x:v>
      </x:c>
      <x:c r="AL79" s="13" t="str">
        <x:v>Sí</x:v>
      </x:c>
      <x:c r="AM79" s="13" t="str">
        <x:v>Cerrado</x:v>
      </x:c>
      <x:c r="AN79" s="13" t="str">
        <x:v>Se recomienda refuerzo de inspecciones y autocuidado.</x:v>
      </x:c>
    </x:row>
    <x:row r="80">
      <x:c r="A80" s="13" t="n">
        <x:v>2025</x:v>
      </x:c>
      <x:c r="B80" s="13" t="str">
        <x:v>AT-2025-021</x:v>
      </x:c>
      <x:c r="C80" s="30" t="n">
        <x:v>45941</x:v>
      </x:c>
      <x:c r="D80" s="13" t="str">
        <x:v>18:45</x:v>
      </x:c>
      <x:c r="E80" s="13" t="str">
        <x:v>Octubre</x:v>
      </x:c>
      <x:c r="F80" s="13" t="str">
        <x:v>Ocaña</x:v>
      </x:c>
      <x:c r="G80" s="13" t="str">
        <x:v>Supervisión</x:v>
      </x:c>
      <x:c r="H80" s="13" t="str">
        <x:v>Edwin Mauricio Rodríguez</x:v>
      </x:c>
      <x:c r="I80" s="13" t="str">
        <x:v>88076492</x:v>
      </x:c>
      <x:c r="J80" s="13" t="str">
        <x:v>Supervisor de Puesto</x:v>
      </x:c>
      <x:c r="K80" s="13" t="str">
        <x:v>Término indefinido</x:v>
      </x:c>
      <x:c r="L80" s="13" t="str">
        <x:v>ARL SURA</x:v>
      </x:c>
      <x:c r="M80" s="13" t="str">
        <x:v>Sin incapacidad</x:v>
      </x:c>
      <x:c r="N80" s="13" t="str">
        <x:v>Durante ronda de vigilancia en ocaña, el trabajador sufrió lumbalgia aguda por accidente de tránsito.</x:v>
      </x:c>
      <x:c r="O80" s="13" t="str">
        <x:v>Accidente de tránsito</x:v>
      </x:c>
      <x:c r="P80" s="13" t="str">
        <x:v>Escalera</x:v>
      </x:c>
      <x:c r="Q80" s="13" t="str">
        <x:v>Vía pública en ronda</x:v>
      </x:c>
      <x:c r="R80" s="13" t="str">
        <x:v>Tobillo</x:v>
      </x:c>
      <x:c r="S80" s="13" t="str">
        <x:v>Lumbalgia aguda</x:v>
      </x:c>
      <x:c r="T80" s="13" t="n">
        <x:v>0</x:v>
      </x:c>
      <x:c r="U80" s="13" t="n">
        <x:f>IF(M80="Sin incapacidad",0,T80)</x:f>
        <x:v>0</x:v>
      </x:c>
      <x:c r="V80" s="13" t="str">
        <x:v>Sí</x:v>
      </x:c>
      <x:c r="W80" s="30" t="n">
        <x:v>45942</x:v>
      </x:c>
      <x:c r="X80" s="30" t="str">
        <x:v>Sí</x:v>
      </x:c>
      <x:c r="Y80" s="30" t="n">
        <x:v>45944</x:v>
      </x:c>
      <x:c r="Z80" s="13" t="str">
        <x:v>Coordinador SST + Operaciones</x:v>
      </x:c>
      <x:c r="AA80" s="13" t="str">
        <x:v>Distracción durante la labor</x:v>
      </x:c>
      <x:c r="AB80" s="13" t="str">
        <x:v>Espacio reducido</x:v>
      </x:c>
      <x:c r="AC80" s="13" t="str">
        <x:v>Fatiga</x:v>
      </x:c>
      <x:c r="AD80" s="13" t="str">
        <x:v>Falta de mantenimiento</x:v>
      </x:c>
      <x:c r="AE80" s="13" t="str">
        <x:v>Control operativo insuficiente frente a condición locativa</x:v>
      </x:c>
      <x:c r="AF80" s="13" t="str">
        <x:v>Actualizar procedimiento seguro de trabajo y verificar cumplimiento</x:v>
      </x:c>
      <x:c r="AG80" s="13" t="str">
        <x:v>Analista SST</x:v>
      </x:c>
      <x:c r="AH80" s="30" t="n">
        <x:v>45964</x:v>
      </x:c>
      <x:c r="AI80" s="30" t="str">
        <x:v>Cerrada</x:v>
      </x:c>
      <x:c r="AJ80" s="30" t="n">
        <x:v>45968</x:v>
      </x:c>
      <x:c r="AK80" s="13" t="str">
        <x:f>IF(OR(AI80&lt;&gt;"Cerrada",AJ80="",AH80=""),"No",IF(AJ80&lt;=AH80,"Sí","No"))</x:f>
        <x:v>No</x:v>
      </x:c>
      <x:c r="AL80" s="13" t="str">
        <x:v>Sí</x:v>
      </x:c>
      <x:c r="AM80" s="13" t="str">
        <x:v>Cerrado</x:v>
      </x:c>
      <x:c r="AN80" s="13" t="str">
        <x:v>Se recomienda refuerzo de inspecciones y autocuidado.</x:v>
      </x:c>
    </x:row>
    <x:row r="81">
      <x:c r="A81" s="13" t="n">
        <x:v>2025</x:v>
      </x:c>
      <x:c r="B81" s="13" t="str">
        <x:v>AT-2025-014</x:v>
      </x:c>
      <x:c r="C81" s="30" t="n">
        <x:v>45942</x:v>
      </x:c>
      <x:c r="D81" s="13" t="str">
        <x:v>21:00</x:v>
      </x:c>
      <x:c r="E81" s="13" t="str">
        <x:v>Octubre</x:v>
      </x:c>
      <x:c r="F81" s="13" t="str">
        <x:v>Arauca</x:v>
      </x:c>
      <x:c r="G81" s="13" t="str">
        <x:v>Logística</x:v>
      </x:c>
      <x:c r="H81" s="13" t="str">
        <x:v>Edwin Mauricio Rodríguez</x:v>
      </x:c>
      <x:c r="I81" s="13" t="str">
        <x:v>88075769</x:v>
      </x:c>
      <x:c r="J81" s="13" t="str">
        <x:v>Conductor</x:v>
      </x:c>
      <x:c r="K81" s="13" t="str">
        <x:v>Término indefinido</x:v>
      </x:c>
      <x:c r="L81" s="13" t="str">
        <x:v>ARL SURA</x:v>
      </x:c>
      <x:c r="M81" s="13" t="str">
        <x:v>Con incapacidad</x:v>
      </x:c>
      <x:c r="N81" s="13" t="str">
        <x:v>En desarrollo de actividades de logística, se presentó evento por golpeado por/contra asociado a motocicleta.</x:v>
      </x:c>
      <x:c r="O81" s="13" t="str">
        <x:v>Golpeado por/contra</x:v>
      </x:c>
      <x:c r="P81" s="13" t="str">
        <x:v>Motocicleta</x:v>
      </x:c>
      <x:c r="Q81" s="13" t="str">
        <x:v>Zona común del cliente</x:v>
      </x:c>
      <x:c r="R81" s="13" t="str">
        <x:v>Pierna</x:v>
      </x:c>
      <x:c r="S81" s="13" t="str">
        <x:v>Golpe leve</x:v>
      </x:c>
      <x:c r="T81" s="13" t="n">
        <x:v>4</x:v>
      </x:c>
      <x:c r="U81" s="13" t="n">
        <x:f>IF(M81="Sin incapacidad",0,T81)</x:f>
        <x:v>4</x:v>
      </x:c>
      <x:c r="V81" s="13" t="str">
        <x:v>Sí</x:v>
      </x:c>
      <x:c r="W81" s="30" t="n">
        <x:v>45942</x:v>
      </x:c>
      <x:c r="X81" s="30" t="str">
        <x:v>Sí</x:v>
      </x:c>
      <x:c r="Y81" s="30" t="n">
        <x:v>45945</x:v>
      </x:c>
      <x:c r="Z81" s="13" t="str">
        <x:v>Coordinador SST + Operaciones</x:v>
      </x:c>
      <x:c r="AA81" s="13" t="str">
        <x:v>No asegurar postura adecuada</x:v>
      </x:c>
      <x:c r="AB81" s="13" t="str">
        <x:v>Herramienta en mal estado</x:v>
      </x:c>
      <x:c r="AC81" s="13" t="str">
        <x:v>Postura inadecuada</x:v>
      </x:c>
      <x:c r="AD81" s="13" t="str">
        <x:v>Control operativo insuficiente</x:v>
      </x:c>
      <x:c r="AE81" s="13" t="str">
        <x:v>Falta de inspección previa y gestión tardía del peligro</x:v>
      </x:c>
      <x:c r="AF81" s="13" t="str">
        <x:v>Ejecutar inspección locativa y corrección inmediata del peligro</x:v>
      </x:c>
      <x:c r="AG81" s="13" t="str">
        <x:v>Analista SST</x:v>
      </x:c>
      <x:c r="AH81" s="30" t="n">
        <x:v>45960</x:v>
      </x:c>
      <x:c r="AI81" s="30" t="str">
        <x:v>Cerrada</x:v>
      </x:c>
      <x:c r="AJ81" s="30" t="n">
        <x:v>45960</x:v>
      </x:c>
      <x:c r="AK81" s="13" t="str">
        <x:f>IF(OR(AI81&lt;&gt;"Cerrada",AJ81="",AH81=""),"No",IF(AJ81&lt;=AH81,"Sí","No"))</x:f>
        <x:v>Sí</x:v>
      </x:c>
      <x:c r="AL81" s="13" t="str">
        <x:v>Sí</x:v>
      </x:c>
      <x:c r="AM81" s="13" t="str">
        <x:v>Cerrado</x:v>
      </x:c>
      <x:c r="AN81" s="13" t="str">
        <x:v>Se realiza seguimiento por SST y jefe inmediato.</x:v>
      </x:c>
    </x:row>
    <x:row r="82">
      <x:c r="A82" s="13" t="n">
        <x:v>2025</x:v>
      </x:c>
      <x:c r="B82" s="13" t="str">
        <x:v>AT-2025-022</x:v>
      </x:c>
      <x:c r="C82" s="30" t="n">
        <x:v>45943</x:v>
      </x:c>
      <x:c r="D82" s="13" t="str">
        <x:v>19:10</x:v>
      </x:c>
      <x:c r="E82" s="13" t="str">
        <x:v>Octubre</x:v>
      </x:c>
      <x:c r="F82" s="13" t="str">
        <x:v>Cúcuta</x:v>
      </x:c>
      <x:c r="G82" s="13" t="str">
        <x:v>Operaciones</x:v>
      </x:c>
      <x:c r="H82" s="13" t="str">
        <x:v>Jhon Alexander Contreras</x:v>
      </x:c>
      <x:c r="I82" s="13" t="str">
        <x:v>88076351</x:v>
      </x:c>
      <x:c r="J82" s="13" t="str">
        <x:v>Tecnólogo de Monitoreo</x:v>
      </x:c>
      <x:c r="K82" s="13" t="str">
        <x:v>Término fijo</x:v>
      </x:c>
      <x:c r="L82" s="13" t="str">
        <x:v>ARL SURA</x:v>
      </x:c>
      <x:c r="M82" s="13" t="str">
        <x:v>Sin incapacidad</x:v>
      </x:c>
      <x:c r="N82" s="13" t="str">
        <x:v>En desarrollo de actividades de operaciones, se presentó evento por caída al mismo nivel asociado a elementos almacenados.</x:v>
      </x:c>
      <x:c r="O82" s="13" t="str">
        <x:v>Caída al mismo nivel</x:v>
      </x:c>
      <x:c r="P82" s="13" t="str">
        <x:v>Elementos almacenados</x:v>
      </x:c>
      <x:c r="Q82" s="13" t="str">
        <x:v>Recepción</x:v>
      </x:c>
      <x:c r="R82" s="13" t="str">
        <x:v>Cervical</x:v>
      </x:c>
      <x:c r="S82" s="13" t="str">
        <x:v>Esguince</x:v>
      </x:c>
      <x:c r="T82" s="13" t="n">
        <x:v>0</x:v>
      </x:c>
      <x:c r="U82" s="13" t="n">
        <x:f>IF(M82="Sin incapacidad",0,T82)</x:f>
        <x:v>0</x:v>
      </x:c>
      <x:c r="V82" s="13" t="str">
        <x:v>Sí</x:v>
      </x:c>
      <x:c r="W82" s="30" t="n">
        <x:v>45945</x:v>
      </x:c>
      <x:c r="X82" s="30" t="str">
        <x:v>Sí</x:v>
      </x:c>
      <x:c r="Y82" s="30" t="n">
        <x:v>45947</x:v>
      </x:c>
      <x:c r="Z82" s="13" t="str">
        <x:v>COPASST + SST</x:v>
      </x:c>
      <x:c r="AA82" s="13" t="str">
        <x:v>Conducción sin distancia segura</x:v>
      </x:c>
      <x:c r="AB82" s="13" t="str">
        <x:v>Orden y aseo deficiente</x:v>
      </x:c>
      <x:c r="AC82" s="13" t="str">
        <x:v>Falta de atención</x:v>
      </x:c>
      <x:c r="AD82" s="13" t="str">
        <x:v>Procedimiento no actualizado</x:v>
      </x:c>
      <x:c r="AE82" s="13" t="str">
        <x:v>Mantenimiento deficiente y ausencia de corrección oportuna</x:v>
      </x:c>
      <x:c r="AF82" s="13" t="str">
        <x:v>Actualizar procedimiento seguro de trabajo y verificar cumplimiento</x:v>
      </x:c>
      <x:c r="AG82" s="13" t="str">
        <x:v>Analista SST</x:v>
      </x:c>
      <x:c r="AH82" s="30" t="n">
        <x:v>45962</x:v>
      </x:c>
      <x:c r="AI82" s="30" t="str">
        <x:v>Cerrada</x:v>
      </x:c>
      <x:c r="AJ82" s="30" t="n">
        <x:v>45961</x:v>
      </x:c>
      <x:c r="AK82" s="13" t="str">
        <x:f>IF(OR(AI82&lt;&gt;"Cerrada",AJ82="",AH82=""),"No",IF(AJ82&lt;=AH82,"Sí","No"))</x:f>
        <x:v>Sí</x:v>
      </x:c>
      <x:c r="AL82" s="13" t="str">
        <x:v>Sí</x:v>
      </x:c>
      <x:c r="AM82" s="13" t="str">
        <x:v>Cerrado</x:v>
      </x:c>
      <x:c r="AN82" s="13" t="str">
        <x:v>Se realiza seguimiento por SST y jefe inmediato.</x:v>
      </x:c>
    </x:row>
    <x:row r="83">
      <x:c r="A83" s="13" t="n">
        <x:v>2025</x:v>
      </x:c>
      <x:c r="B83" s="13" t="str">
        <x:v>AT-2025-024</x:v>
      </x:c>
      <x:c r="C83" s="30" t="n">
        <x:v>45952</x:v>
      </x:c>
      <x:c r="D83" s="13" t="str">
        <x:v>13:40</x:v>
      </x:c>
      <x:c r="E83" s="13" t="str">
        <x:v>Octubre</x:v>
      </x:c>
      <x:c r="F83" s="13" t="str">
        <x:v>Bogotá</x:v>
      </x:c>
      <x:c r="G83" s="13" t="str">
        <x:v>Monitoreo</x:v>
      </x:c>
      <x:c r="H83" s="13" t="str">
        <x:v>Claudia Patricia Solano</x:v>
      </x:c>
      <x:c r="I83" s="13" t="str">
        <x:v>88075929</x:v>
      </x:c>
      <x:c r="J83" s="13" t="str">
        <x:v>Auxiliar Administrativa</x:v>
      </x:c>
      <x:c r="K83" s="13" t="str">
        <x:v>Obra o labor</x:v>
      </x:c>
      <x:c r="L83" s="13" t="str">
        <x:v>ARL SURA</x:v>
      </x:c>
      <x:c r="M83" s="13" t="str">
        <x:v>Con incapacidad</x:v>
      </x:c>
      <x:c r="N83" s="13" t="str">
        <x:v>En desarrollo de actividades de monitoreo, se presentó evento por caída de objetos asociado a motocicleta.</x:v>
      </x:c>
      <x:c r="O83" s="13" t="str">
        <x:v>Caída de objetos</x:v>
      </x:c>
      <x:c r="P83" s="13" t="str">
        <x:v>Motocicleta</x:v>
      </x:c>
      <x:c r="Q83" s="13" t="str">
        <x:v>Vía pública en ronda</x:v>
      </x:c>
      <x:c r="R83" s="13" t="str">
        <x:v>Pierna</x:v>
      </x:c>
      <x:c r="S83" s="13" t="str">
        <x:v>Contusión</x:v>
      </x:c>
      <x:c r="T83" s="13" t="n">
        <x:v>30</x:v>
      </x:c>
      <x:c r="U83" s="13" t="n">
        <x:f>IF(M83="Sin incapacidad",0,T83)</x:f>
        <x:v>30</x:v>
      </x:c>
      <x:c r="V83" s="13" t="str">
        <x:v>Sí</x:v>
      </x:c>
      <x:c r="W83" s="30" t="n">
        <x:v>45953</x:v>
      </x:c>
      <x:c r="X83" s="30" t="str">
        <x:v>Sí</x:v>
      </x:c>
      <x:c r="Y83" s="30" t="n">
        <x:v>45956</x:v>
      </x:c>
      <x:c r="Z83" s="13" t="str">
        <x:v>Coordinador SST + Operaciones</x:v>
      </x:c>
      <x:c r="AA83" s="13" t="str">
        <x:v>Manipulación incorrecta de carga</x:v>
      </x:c>
      <x:c r="AB83" s="13" t="str">
        <x:v>Iluminación insuficiente</x:v>
      </x:c>
      <x:c r="AC83" s="13" t="str">
        <x:v>Postura inadecuada</x:v>
      </x:c>
      <x:c r="AD83" s="13" t="str">
        <x:v>Condición locativa no corregida</x:v>
      </x:c>
      <x:c r="AE83" s="13" t="str">
        <x:v>Brecha de capacitación y hábitos inseguros de trabajo</x:v>
      </x:c>
      <x:c r="AF83" s="13" t="str">
        <x:v>Ejecutar inspección locativa y corrección inmediata del peligro</x:v>
      </x:c>
      <x:c r="AG83" s="13" t="str">
        <x:v>Líder de Mantenimiento</x:v>
      </x:c>
      <x:c r="AH83" s="30" t="n">
        <x:v>45976</x:v>
      </x:c>
      <x:c r="AI83" s="30" t="str">
        <x:v>Cerrada</x:v>
      </x:c>
      <x:c r="AJ83" s="30" t="n">
        <x:v>45971</x:v>
      </x:c>
      <x:c r="AK83" s="13" t="str">
        <x:f>IF(OR(AI83&lt;&gt;"Cerrada",AJ83="",AH83=""),"No",IF(AJ83&lt;=AH83,"Sí","No"))</x:f>
        <x:v>Sí</x:v>
      </x:c>
      <x:c r="AL83" s="13" t="str">
        <x:v>Sí</x:v>
      </x:c>
      <x:c r="AM83" s="13" t="str">
        <x:v>Cerrado</x:v>
      </x:c>
      <x:c r="AN83" s="13" t="str">
        <x:v>Se realiza seguimiento por SST y jefe inmediato.</x:v>
      </x:c>
    </x:row>
    <x:row r="84">
      <x:c r="A84" s="13" t="n">
        <x:v>2025</x:v>
      </x:c>
      <x:c r="B84" s="13" t="str">
        <x:v>AT-2025-008</x:v>
      </x:c>
      <x:c r="C84" s="30" t="n">
        <x:v>45986</x:v>
      </x:c>
      <x:c r="D84" s="13" t="str">
        <x:v>21:15</x:v>
      </x:c>
      <x:c r="E84" s="13" t="str">
        <x:v>Noviembre</x:v>
      </x:c>
      <x:c r="F84" s="13" t="str">
        <x:v>Medellín</x:v>
      </x:c>
      <x:c r="G84" s="13" t="str">
        <x:v>Transporte de Valores</x:v>
      </x:c>
      <x:c r="H84" s="13" t="str">
        <x:v>Nelly Johana Ortiz</x:v>
      </x:c>
      <x:c r="I84" s="13" t="str">
        <x:v>88075559</x:v>
      </x:c>
      <x:c r="J84" s="13" t="str">
        <x:v>Supervisor de Puesto</x:v>
      </x:c>
      <x:c r="K84" s="13" t="str">
        <x:v>Término indefinido</x:v>
      </x:c>
      <x:c r="L84" s="13" t="str">
        <x:v>ARL SURA</x:v>
      </x:c>
      <x:c r="M84" s="13" t="str">
        <x:v>Con incapacidad</x:v>
      </x:c>
      <x:c r="N84" s="13" t="str">
        <x:v>Durante ronda de vigilancia en medellín, el trabajador sufrió trauma ocular leve por golpeado por/contra.</x:v>
      </x:c>
      <x:c r="O84" s="13" t="str">
        <x:v>Golpeado por/contra</x:v>
      </x:c>
      <x:c r="P84" s="13" t="str">
        <x:v>Motocicleta</x:v>
      </x:c>
      <x:c r="Q84" s="13" t="str">
        <x:v>Puesto de vigilancia</x:v>
      </x:c>
      <x:c r="R84" s="13" t="str">
        <x:v>Mano</x:v>
      </x:c>
      <x:c r="S84" s="13" t="str">
        <x:v>Trauma ocular leve</x:v>
      </x:c>
      <x:c r="T84" s="13" t="n">
        <x:v>5</x:v>
      </x:c>
      <x:c r="U84" s="13" t="n">
        <x:f>IF(M84="Sin incapacidad",0,T84)</x:f>
        <x:v>5</x:v>
      </x:c>
      <x:c r="V84" s="13" t="str">
        <x:v>Sí</x:v>
      </x:c>
      <x:c r="W84" s="30" t="n">
        <x:v>45988</x:v>
      </x:c>
      <x:c r="X84" s="30" t="str">
        <x:v>Sí</x:v>
      </x:c>
      <x:c r="Y84" s="30" t="n">
        <x:v>45990</x:v>
      </x:c>
      <x:c r="Z84" s="13" t="str">
        <x:v>COPASST + SST</x:v>
      </x:c>
      <x:c r="AA84" s="13" t="str">
        <x:v>Conducción sin distancia segura</x:v>
      </x:c>
      <x:c r="AB84" s="13" t="str">
        <x:v>Herramienta en mal estado</x:v>
      </x:c>
      <x:c r="AC84" s="13" t="str">
        <x:v>Apuro operativo</x:v>
      </x:c>
      <x:c r="AD84" s="13" t="str">
        <x:v>Procedimiento no actualizado</x:v>
      </x:c>
      <x:c r="AE84" s="13" t="str">
        <x:v>Control operativo insuficiente frente a condición locativa</x:v>
      </x:c>
      <x:c r="AF84" s="13" t="str">
        <x:v>Reforzar supervisión operativa y seguimiento al uso de EPP</x:v>
      </x:c>
      <x:c r="AG84" s="13" t="str">
        <x:v>Líder de Mantenimiento</x:v>
      </x:c>
      <x:c r="AH84" s="30" t="n">
        <x:v>46000</x:v>
      </x:c>
      <x:c r="AI84" s="30" t="str">
        <x:v>Cerrada</x:v>
      </x:c>
      <x:c r="AJ84" s="30" t="n">
        <x:v>46003</x:v>
      </x:c>
      <x:c r="AK84" s="13" t="str">
        <x:f>IF(OR(AI84&lt;&gt;"Cerrada",AJ84="",AH84=""),"No",IF(AJ84&lt;=AH84,"Sí","No"))</x:f>
        <x:v>No</x:v>
      </x:c>
      <x:c r="AL84" s="13" t="str">
        <x:v>Sí</x:v>
      </x:c>
      <x:c r="AM84" s="13" t="str">
        <x:v>Cerrado</x:v>
      </x:c>
      <x:c r="AN84" s="13" t="str">
        <x:v>Se vincula acción al plan de mejora del proceso.</x:v>
      </x:c>
    </x:row>
    <x:row r="85">
      <x:c r="A85" s="13" t="n">
        <x:v>2025</x:v>
      </x:c>
      <x:c r="B85" s="13" t="str">
        <x:v>AT-2025-012</x:v>
      </x:c>
      <x:c r="C85" s="30" t="n">
        <x:v>46007</x:v>
      </x:c>
      <x:c r="D85" s="13" t="str">
        <x:v>10:40</x:v>
      </x:c>
      <x:c r="E85" s="13" t="str">
        <x:v>Diciembre</x:v>
      </x:c>
      <x:c r="F85" s="13" t="str">
        <x:v>Barrancabermeja</x:v>
      </x:c>
      <x:c r="G85" s="13" t="str">
        <x:v>Operaciones</x:v>
      </x:c>
      <x:c r="H85" s="13" t="str">
        <x:v>Claudia Patricia Solano</x:v>
      </x:c>
      <x:c r="I85" s="13" t="str">
        <x:v>88075499</x:v>
      </x:c>
      <x:c r="J85" s="13" t="str">
        <x:v>Conductor</x:v>
      </x:c>
      <x:c r="K85" s="13" t="str">
        <x:v>Término fijo</x:v>
      </x:c>
      <x:c r="L85" s="13" t="str">
        <x:v>ARL SURA</x:v>
      </x:c>
      <x:c r="M85" s="13" t="str">
        <x:v>Con incapacidad</x:v>
      </x:c>
      <x:c r="N85" s="13" t="str">
        <x:v>Durante ronda de vigilancia en barrancabermeja, el trabajador sufrió golpe leve por caída al mismo nivel.</x:v>
      </x:c>
      <x:c r="O85" s="13" t="str">
        <x:v>Caída al mismo nivel</x:v>
      </x:c>
      <x:c r="P85" s="13" t="str">
        <x:v>Piso húmedo</x:v>
      </x:c>
      <x:c r="Q85" s="13" t="str">
        <x:v>Parqueadero</x:v>
      </x:c>
      <x:c r="R85" s="13" t="str">
        <x:v>Tobillo</x:v>
      </x:c>
      <x:c r="S85" s="13" t="str">
        <x:v>Golpe leve</x:v>
      </x:c>
      <x:c r="T85" s="13" t="n">
        <x:v>25</x:v>
      </x:c>
      <x:c r="U85" s="13" t="n">
        <x:f>IF(M85="Sin incapacidad",0,T85)</x:f>
        <x:v>25</x:v>
      </x:c>
      <x:c r="V85" s="13" t="str">
        <x:v>Sí</x:v>
      </x:c>
      <x:c r="W85" s="30" t="n">
        <x:v>46009</x:v>
      </x:c>
      <x:c r="X85" s="30" t="str">
        <x:v>Sí</x:v>
      </x:c>
      <x:c r="Y85" s="30" t="n">
        <x:v>46014</x:v>
      </x:c>
      <x:c r="Z85" s="13" t="str">
        <x:v>COPASST + SST</x:v>
      </x:c>
      <x:c r="AA85" s="13" t="str">
        <x:v>Uso inadecuado del EPP</x:v>
      </x:c>
      <x:c r="AB85" s="13" t="str">
        <x:v>Cable expuesto</x:v>
      </x:c>
      <x:c r="AC85" s="13" t="str">
        <x:v>Exceso de confianza</x:v>
      </x:c>
      <x:c r="AD85" s="13" t="str">
        <x:v>Deficiencia en supervisión</x:v>
      </x:c>
      <x:c r="AE85" s="13" t="str">
        <x:v>Mantenimiento deficiente y ausencia de corrección oportuna</x:v>
      </x:c>
      <x:c r="AF85" s="13" t="str">
        <x:v>Ejecutar inspección locativa y corrección inmediata del peligro</x:v>
      </x:c>
      <x:c r="AG85" s="13" t="str">
        <x:v>Líder de Mantenimiento</x:v>
      </x:c>
      <x:c r="AH85" s="30" t="n">
        <x:v>46024</x:v>
      </x:c>
      <x:c r="AI85" s="30" t="str">
        <x:v>Cerrada</x:v>
      </x:c>
      <x:c r="AJ85" s="30" t="n">
        <x:v>46019</x:v>
      </x:c>
      <x:c r="AK85" s="13" t="str">
        <x:f>IF(OR(AI85&lt;&gt;"Cerrada",AJ85="",AH85=""),"No",IF(AJ85&lt;=AH85,"Sí","No"))</x:f>
        <x:v>Sí</x:v>
      </x:c>
      <x:c r="AL85" s="13" t="str">
        <x:v>Sí</x:v>
      </x:c>
      <x:c r="AM85" s="13" t="str">
        <x:v>Cerrado</x:v>
      </x:c>
      <x:c r="AN85" s="13" t="str">
        <x:v>Se deja lección aprendida socializada en charla preoperacional.</x:v>
      </x:c>
    </x:row>
    <x:row r="86">
      <x:c r="A86" s="13" t="n">
        <x:v>2026</x:v>
      </x:c>
      <x:c r="B86" s="13" t="str">
        <x:v>AT-2026-005</x:v>
      </x:c>
      <x:c r="C86" s="30" t="n">
        <x:v>46058</x:v>
      </x:c>
      <x:c r="D86" s="13" t="str">
        <x:v>18:45</x:v>
      </x:c>
      <x:c r="E86" s="13" t="str">
        <x:v>Febrero</x:v>
      </x:c>
      <x:c r="F86" s="13" t="str">
        <x:v>Ocaña</x:v>
      </x:c>
      <x:c r="G86" s="13" t="str">
        <x:v>Administrativa</x:v>
      </x:c>
      <x:c r="H86" s="13" t="str">
        <x:v>Kevin Esteban Rangel</x:v>
      </x:c>
      <x:c r="I86" s="13" t="str">
        <x:v>88075317</x:v>
      </x:c>
      <x:c r="J86" s="13" t="str">
        <x:v>Conductor</x:v>
      </x:c>
      <x:c r="K86" s="13" t="str">
        <x:v>Término indefinido</x:v>
      </x:c>
      <x:c r="L86" s="13" t="str">
        <x:v>ARL SURA</x:v>
      </x:c>
      <x:c r="M86" s="13" t="str">
        <x:v>Con incapacidad</x:v>
      </x:c>
      <x:c r="N86" s="13" t="str">
        <x:v>Durante ronda de vigilancia en ocaña, el trabajador sufrió contusión por golpeado por/contra.</x:v>
      </x:c>
      <x:c r="O86" s="13" t="str">
        <x:v>Golpeado por/contra</x:v>
      </x:c>
      <x:c r="P86" s="13" t="str">
        <x:v>Cableado</x:v>
      </x:c>
      <x:c r="Q86" s="13" t="str">
        <x:v>Cuarto técnico</x:v>
      </x:c>
      <x:c r="R86" s="13" t="str">
        <x:v>Brazo</x:v>
      </x:c>
      <x:c r="S86" s="13" t="str">
        <x:v>Contusión</x:v>
      </x:c>
      <x:c r="T86" s="13" t="n">
        <x:v>7</x:v>
      </x:c>
      <x:c r="U86" s="13" t="n">
        <x:f>IF(M86="Sin incapacidad",0,T86)</x:f>
        <x:v>7</x:v>
      </x:c>
      <x:c r="V86" s="13" t="str">
        <x:v>Sí</x:v>
      </x:c>
      <x:c r="W86" s="30" t="n">
        <x:v>46058</x:v>
      </x:c>
      <x:c r="X86" s="30" t="str">
        <x:v>Sí</x:v>
      </x:c>
      <x:c r="Y86" s="30" t="n">
        <x:v>46062</x:v>
      </x:c>
      <x:c r="Z86" s="13" t="str">
        <x:v>Coordinador SST + Operaciones</x:v>
      </x:c>
      <x:c r="AA86" s="13" t="str">
        <x:v>No reportar condición insegura</x:v>
      </x:c>
      <x:c r="AB86" s="13" t="str">
        <x:v>Herramienta en mal estado</x:v>
      </x:c>
      <x:c r="AC86" s="13" t="str">
        <x:v>Capacitación insuficiente</x:v>
      </x:c>
      <x:c r="AD86" s="13" t="str">
        <x:v>Carga laboral elevada</x:v>
      </x:c>
      <x:c r="AE86" s="13" t="str">
        <x:v>Brecha de capacitación y hábitos inseguros de trabajo</x:v>
      </x:c>
      <x:c r="AF86" s="13" t="str">
        <x:v>Implementar señalización y control administrativo temporal</x:v>
      </x:c>
      <x:c r="AG86" s="13" t="str">
        <x:v>Analista SST</x:v>
      </x:c>
      <x:c r="AH86" s="30" t="n">
        <x:v>46092</x:v>
      </x:c>
      <x:c r="AI86" s="30" t="str">
        <x:v>Cerrada</x:v>
      </x:c>
      <x:c r="AJ86" s="30" t="n">
        <x:v>46088</x:v>
      </x:c>
      <x:c r="AK86" s="13" t="str">
        <x:f>IF(OR(AI86&lt;&gt;"Cerrada",AJ86="",AH86=""),"No",IF(AJ86&lt;=AH86,"Sí","No"))</x:f>
        <x:v>Sí</x:v>
      </x:c>
      <x:c r="AL86" s="13" t="str">
        <x:v>Sí</x:v>
      </x:c>
      <x:c r="AM86" s="13" t="str">
        <x:v>Cerrado</x:v>
      </x:c>
      <x:c r="AN86" s="13" t="str">
        <x:v>Se realiza seguimiento por SST y jefe inmediato.</x:v>
      </x:c>
    </x:row>
    <x:row r="87">
      <x:c r="A87" s="13" t="n">
        <x:v>2026</x:v>
      </x:c>
      <x:c r="B87" s="13" t="str">
        <x:v>AT-2026-008</x:v>
      </x:c>
      <x:c r="C87" s="30" t="n">
        <x:v>46059</x:v>
      </x:c>
      <x:c r="D87" s="13" t="str">
        <x:v>14:45</x:v>
      </x:c>
      <x:c r="E87" s="13" t="str">
        <x:v>Febrero</x:v>
      </x:c>
      <x:c r="F87" s="13" t="str">
        <x:v>Bogotá</x:v>
      </x:c>
      <x:c r="G87" s="13" t="str">
        <x:v>Transporte de Valores</x:v>
      </x:c>
      <x:c r="H87" s="13" t="str">
        <x:v>Jhon Alexander Contreras</x:v>
      </x:c>
      <x:c r="I87" s="13" t="str">
        <x:v>88075785</x:v>
      </x:c>
      <x:c r="J87" s="13" t="str">
        <x:v>Coordinador Operativo</x:v>
      </x:c>
      <x:c r="K87" s="13" t="str">
        <x:v>Término fijo</x:v>
      </x:c>
      <x:c r="L87" s="13" t="str">
        <x:v>ARL SURA</x:v>
      </x:c>
      <x:c r="M87" s="13" t="str">
        <x:v>Con incapacidad</x:v>
      </x:c>
      <x:c r="N87" s="13" t="str">
        <x:v>Trabajador reporta lesión tipo trauma ocular leve durante servicio en puesto asignado por caída de objetos.</x:v>
      </x:c>
      <x:c r="O87" s="13" t="str">
        <x:v>Caída de objetos</x:v>
      </x:c>
      <x:c r="P87" s="13" t="str">
        <x:v>Cableado</x:v>
      </x:c>
      <x:c r="Q87" s="13" t="str">
        <x:v>Área administrativa</x:v>
      </x:c>
      <x:c r="R87" s="13" t="str">
        <x:v>Ojo</x:v>
      </x:c>
      <x:c r="S87" s="13" t="str">
        <x:v>Trauma ocular leve</x:v>
      </x:c>
      <x:c r="T87" s="13" t="n">
        <x:v>20</x:v>
      </x:c>
      <x:c r="U87" s="13" t="n">
        <x:f>IF(M87="Sin incapacidad",0,T87)</x:f>
        <x:v>20</x:v>
      </x:c>
      <x:c r="V87" s="13" t="str">
        <x:v>Sí</x:v>
      </x:c>
      <x:c r="W87" s="30" t="n">
        <x:v>46059</x:v>
      </x:c>
      <x:c r="X87" s="30" t="str">
        <x:v>Sí</x:v>
      </x:c>
      <x:c r="Y87" s="30" t="n">
        <x:v>46061</x:v>
      </x:c>
      <x:c r="Z87" s="13" t="str">
        <x:v>Coordinador SST + Operaciones</x:v>
      </x:c>
      <x:c r="AA87" s="13" t="str">
        <x:v>Distracción durante la labor</x:v>
      </x:c>
      <x:c r="AB87" s="13" t="str">
        <x:v>Iluminación insuficiente</x:v>
      </x:c>
      <x:c r="AC87" s="13" t="str">
        <x:v>Apuro operativo</x:v>
      </x:c>
      <x:c r="AD87" s="13" t="str">
        <x:v>Carga laboral elevada</x:v>
      </x:c>
      <x:c r="AE87" s="13" t="str">
        <x:v>Incumplimiento del procedimiento seguro y supervisión insuficiente</x:v>
      </x:c>
      <x:c r="AF87" s="13" t="str">
        <x:v>Reforzar supervisión operativa y seguimiento al uso de EPP</x:v>
      </x:c>
      <x:c r="AG87" s="13" t="str">
        <x:v>Supervisor Operativo</x:v>
      </x:c>
      <x:c r="AH87" s="30" t="n">
        <x:v>46091</x:v>
      </x:c>
      <x:c r="AI87" s="30" t="str">
        <x:v>Cerrada</x:v>
      </x:c>
      <x:c r="AJ87" s="30" t="n">
        <x:v>46083</x:v>
      </x:c>
      <x:c r="AK87" s="13" t="str">
        <x:f>IF(OR(AI87&lt;&gt;"Cerrada",AJ87="",AH87=""),"No",IF(AJ87&lt;=AH87,"Sí","No"))</x:f>
        <x:v>Sí</x:v>
      </x:c>
      <x:c r="AL87" s="13" t="str">
        <x:v>Sí</x:v>
      </x:c>
      <x:c r="AM87" s="13" t="str">
        <x:v>Cerrado</x:v>
      </x:c>
      <x:c r="AN87" s="13" t="str">
        <x:v>Se recomienda refuerzo de inspecciones y autocuidado.</x:v>
      </x:c>
    </x:row>
    <x:row r="88">
      <x:c r="A88" s="13" t="n">
        <x:v>2026</x:v>
      </x:c>
      <x:c r="B88" s="13" t="str">
        <x:v>AT-2026-004</x:v>
      </x:c>
      <x:c r="C88" s="30" t="n">
        <x:v>46073</x:v>
      </x:c>
      <x:c r="D88" s="13" t="str">
        <x:v>20:10</x:v>
      </x:c>
      <x:c r="E88" s="13" t="str">
        <x:v>Febrero</x:v>
      </x:c>
      <x:c r="F88" s="13" t="str">
        <x:v>Valledupar</x:v>
      </x:c>
      <x:c r="G88" s="13" t="str">
        <x:v>Supervisión</x:v>
      </x:c>
      <x:c r="H88" s="13" t="str">
        <x:v>Maribel Rocío Acevedo</x:v>
      </x:c>
      <x:c r="I88" s="13" t="str">
        <x:v>88076099</x:v>
      </x:c>
      <x:c r="J88" s="13" t="str">
        <x:v>Conductor</x:v>
      </x:c>
      <x:c r="K88" s="13" t="str">
        <x:v>Término indefinido</x:v>
      </x:c>
      <x:c r="L88" s="13" t="str">
        <x:v>ARL SURA</x:v>
      </x:c>
      <x:c r="M88" s="13" t="str">
        <x:v>Con incapacidad</x:v>
      </x:c>
      <x:c r="N88" s="13" t="str">
        <x:v>Trabajador reporta lesión tipo trauma ocular leve durante servicio en puesto asignado por atrapamiento.</x:v>
      </x:c>
      <x:c r="O88" s="13" t="str">
        <x:v>Atrapamiento</x:v>
      </x:c>
      <x:c r="P88" s="13" t="str">
        <x:v>Silla ergonómica</x:v>
      </x:c>
      <x:c r="Q88" s="13" t="str">
        <x:v>Vía pública en ronda</x:v>
      </x:c>
      <x:c r="R88" s="13" t="str">
        <x:v>Muñeca</x:v>
      </x:c>
      <x:c r="S88" s="13" t="str">
        <x:v>Trauma ocular leve</x:v>
      </x:c>
      <x:c r="T88" s="13" t="n">
        <x:v>7</x:v>
      </x:c>
      <x:c r="U88" s="13" t="n">
        <x:f>IF(M88="Sin incapacidad",0,T88)</x:f>
        <x:v>7</x:v>
      </x:c>
      <x:c r="V88" s="13" t="str">
        <x:v>Sí</x:v>
      </x:c>
      <x:c r="W88" s="30" t="n">
        <x:v>46074</x:v>
      </x:c>
      <x:c r="X88" s="30" t="str">
        <x:v>Sí</x:v>
      </x:c>
      <x:c r="Y88" s="30" t="n">
        <x:v>46078</x:v>
      </x:c>
      <x:c r="Z88" s="13" t="str">
        <x:v>Jefe inmediato + SST</x:v>
      </x:c>
      <x:c r="AA88" s="13" t="str">
        <x:v>Omisión de inspección previa</x:v>
      </x:c>
      <x:c r="AB88" s="13" t="str">
        <x:v>Espacio reducido</x:v>
      </x:c>
      <x:c r="AC88" s="13" t="str">
        <x:v>Fatiga</x:v>
      </x:c>
      <x:c r="AD88" s="13" t="str">
        <x:v>Deficiencia en supervisión</x:v>
      </x:c>
      <x:c r="AE88" s="13" t="str">
        <x:v>Mantenimiento deficiente y ausencia de corrección oportuna</x:v>
      </x:c>
      <x:c r="AF88" s="13" t="str">
        <x:v>Realizar capacitación focalizada y socialización de lección aprendida</x:v>
      </x:c>
      <x:c r="AG88" s="13" t="str">
        <x:v>Supervisor Operativo</x:v>
      </x:c>
      <x:c r="AH88" s="30" t="n">
        <x:v>46098</x:v>
      </x:c>
      <x:c r="AI88" s="30" t="str">
        <x:v>En seguimiento</x:v>
      </x:c>
      <x:c r="AJ88" s="30"/>
      <x:c r="AK88" s="13" t="str">
        <x:f>IF(OR(AI88&lt;&gt;"Cerrada",AJ88="",AH88=""),"No",IF(AJ88&lt;=AH88,"Sí","No"))</x:f>
        <x:v>No</x:v>
      </x:c>
      <x:c r="AL88" s="13" t="str">
        <x:v>Pendiente verificación</x:v>
      </x:c>
      <x:c r="AM88" s="13" t="str">
        <x:v>En seguimiento</x:v>
      </x:c>
      <x:c r="AN88" s="13" t="str">
        <x:v>Se recomienda refuerzo de inspecciones y autocuidado.</x:v>
      </x:c>
    </x:row>
    <x:row r="89">
      <x:c r="A89" s="13" t="n">
        <x:v>2026</x:v>
      </x:c>
      <x:c r="B89" s="13" t="str">
        <x:v>AT-2026-003</x:v>
      </x:c>
      <x:c r="C89" s="30" t="n">
        <x:v>46085</x:v>
      </x:c>
      <x:c r="D89" s="13" t="str">
        <x:v>11:15</x:v>
      </x:c>
      <x:c r="E89" s="13" t="str">
        <x:v>Marzo</x:v>
      </x:c>
      <x:c r="F89" s="13" t="str">
        <x:v>Arauca</x:v>
      </x:c>
      <x:c r="G89" s="13" t="str">
        <x:v>Central de Alarmas</x:v>
      </x:c>
      <x:c r="H89" s="13" t="str">
        <x:v>Tatiana Marcela Paredes</x:v>
      </x:c>
      <x:c r="I89" s="13" t="str">
        <x:v>88075889</x:v>
      </x:c>
      <x:c r="J89" s="13" t="str">
        <x:v>Escolta</x:v>
      </x:c>
      <x:c r="K89" s="13" t="str">
        <x:v>Término indefinido</x:v>
      </x:c>
      <x:c r="L89" s="13" t="str">
        <x:v>ARL SURA</x:v>
      </x:c>
      <x:c r="M89" s="13" t="str">
        <x:v>Con incapacidad</x:v>
      </x:c>
      <x:c r="N89" s="13" t="str">
        <x:v>Durante ronda de vigilancia en arauca, el trabajador sufrió contusión por atrapamiento.</x:v>
      </x:c>
      <x:c r="O89" s="13" t="str">
        <x:v>Atrapamiento</x:v>
      </x:c>
      <x:c r="P89" s="13" t="str">
        <x:v>Elementos almacenados</x:v>
      </x:c>
      <x:c r="Q89" s="13" t="str">
        <x:v>Zona común del cliente</x:v>
      </x:c>
      <x:c r="R89" s="13" t="str">
        <x:v>Cervical</x:v>
      </x:c>
      <x:c r="S89" s="13" t="str">
        <x:v>Contusión</x:v>
      </x:c>
      <x:c r="T89" s="13" t="n">
        <x:v>30</x:v>
      </x:c>
      <x:c r="U89" s="13" t="n">
        <x:f>IF(M89="Sin incapacidad",0,T89)</x:f>
        <x:v>30</x:v>
      </x:c>
      <x:c r="V89" s="13" t="str">
        <x:v>Sí</x:v>
      </x:c>
      <x:c r="W89" s="30" t="n">
        <x:v>46087</x:v>
      </x:c>
      <x:c r="X89" s="30" t="str">
        <x:v>Sí</x:v>
      </x:c>
      <x:c r="Y89" s="30" t="n">
        <x:v>46093</x:v>
      </x:c>
      <x:c r="Z89" s="13" t="str">
        <x:v>Coordinador SST + Operaciones</x:v>
      </x:c>
      <x:c r="AA89" s="13" t="str">
        <x:v>Conducción sin distancia segura</x:v>
      </x:c>
      <x:c r="AB89" s="13" t="str">
        <x:v>Superficie deslizante</x:v>
      </x:c>
      <x:c r="AC89" s="13" t="str">
        <x:v>Capacitación insuficiente</x:v>
      </x:c>
      <x:c r="AD89" s="13" t="str">
        <x:v>Deficiencia en supervisión</x:v>
      </x:c>
      <x:c r="AE89" s="13" t="str">
        <x:v>Incumplimiento del procedimiento seguro y supervisión insuficiente</x:v>
      </x:c>
      <x:c r="AF89" s="13" t="str">
        <x:v>Actualizar procedimiento seguro de trabajo y verificar cumplimiento</x:v>
      </x:c>
      <x:c r="AG89" s="13" t="str">
        <x:v>Líder de Mantenimiento</x:v>
      </x:c>
      <x:c r="AH89" s="30" t="n">
        <x:v>46103</x:v>
      </x:c>
      <x:c r="AI89" s="30" t="str">
        <x:v>Cerrada</x:v>
      </x:c>
      <x:c r="AJ89" s="30" t="n">
        <x:v>46096</x:v>
      </x:c>
      <x:c r="AK89" s="13" t="str">
        <x:f>IF(OR(AI89&lt;&gt;"Cerrada",AJ89="",AH89=""),"No",IF(AJ89&lt;=AH89,"Sí","No"))</x:f>
        <x:v>Sí</x:v>
      </x:c>
      <x:c r="AL89" s="13" t="str">
        <x:v>Pendiente verificación</x:v>
      </x:c>
      <x:c r="AM89" s="13" t="str">
        <x:v>Cerrado</x:v>
      </x:c>
      <x:c r="AN89" s="13" t="str">
        <x:v>Se vincula acción al plan de mejora del proceso.</x:v>
      </x:c>
    </x:row>
    <x:row r="90">
      <x:c r="A90" s="13" t="n">
        <x:v>2026</x:v>
      </x:c>
      <x:c r="B90" s="13" t="str">
        <x:v>AT-2026-006</x:v>
      </x:c>
      <x:c r="C90" s="30" t="n">
        <x:v>46093</x:v>
      </x:c>
      <x:c r="D90" s="13" t="str">
        <x:v>13:30</x:v>
      </x:c>
      <x:c r="E90" s="13" t="str">
        <x:v>Marzo</x:v>
      </x:c>
      <x:c r="F90" s="13" t="str">
        <x:v>Ocaña</x:v>
      </x:c>
      <x:c r="G90" s="13" t="str">
        <x:v>Talento Humano</x:v>
      </x:c>
      <x:c r="H90" s="13" t="str">
        <x:v>Maribel Rocío Acevedo</x:v>
      </x:c>
      <x:c r="I90" s="13" t="str">
        <x:v>88075707</x:v>
      </x:c>
      <x:c r="J90" s="13" t="str">
        <x:v>Conductor</x:v>
      </x:c>
      <x:c r="K90" s="13" t="str">
        <x:v>Término indefinido</x:v>
      </x:c>
      <x:c r="L90" s="13" t="str">
        <x:v>ARL SURA</x:v>
      </x:c>
      <x:c r="M90" s="13" t="str">
        <x:v>Con incapacidad</x:v>
      </x:c>
      <x:c r="N90" s="13" t="str">
        <x:v>Durante ronda de vigilancia en ocaña, el trabajador sufrió contusión por accidente de tránsito.</x:v>
      </x:c>
      <x:c r="O90" s="13" t="str">
        <x:v>Accidente de tránsito</x:v>
      </x:c>
      <x:c r="P90" s="13" t="str">
        <x:v>Escritorio</x:v>
      </x:c>
      <x:c r="Q90" s="13" t="str">
        <x:v>Parqueadero</x:v>
      </x:c>
      <x:c r="R90" s="13" t="str">
        <x:v>Pierna</x:v>
      </x:c>
      <x:c r="S90" s="13" t="str">
        <x:v>Contusión</x:v>
      </x:c>
      <x:c r="T90" s="13" t="n">
        <x:v>30</x:v>
      </x:c>
      <x:c r="U90" s="13" t="n">
        <x:f>IF(M90="Sin incapacidad",0,T90)</x:f>
        <x:v>30</x:v>
      </x:c>
      <x:c r="V90" s="13" t="str">
        <x:v>Sí</x:v>
      </x:c>
      <x:c r="W90" s="30" t="n">
        <x:v>46094</x:v>
      </x:c>
      <x:c r="X90" s="30" t="str">
        <x:v>Sí</x:v>
      </x:c>
      <x:c r="Y90" s="30" t="n">
        <x:v>46100</x:v>
      </x:c>
      <x:c r="Z90" s="13" t="str">
        <x:v>Jefe inmediato + SST</x:v>
      </x:c>
      <x:c r="AA90" s="13" t="str">
        <x:v>Uso inadecuado del EPP</x:v>
      </x:c>
      <x:c r="AB90" s="13" t="str">
        <x:v>Vía en mal estado</x:v>
      </x:c>
      <x:c r="AC90" s="13" t="str">
        <x:v>Fatiga</x:v>
      </x:c>
      <x:c r="AD90" s="13" t="str">
        <x:v>Carga laboral elevada</x:v>
      </x:c>
      <x:c r="AE90" s="13" t="str">
        <x:v>Mantenimiento deficiente y ausencia de corrección oportuna</x:v>
      </x:c>
      <x:c r="AF90" s="13" t="str">
        <x:v>Actualizar procedimiento seguro de trabajo y verificar cumplimiento</x:v>
      </x:c>
      <x:c r="AG90" s="13" t="str">
        <x:v>Coordinador SST</x:v>
      </x:c>
      <x:c r="AH90" s="30" t="n">
        <x:v>46130</x:v>
      </x:c>
      <x:c r="AI90" s="30" t="str">
        <x:v>En seguimiento</x:v>
      </x:c>
      <x:c r="AJ90" s="30"/>
      <x:c r="AK90" s="13" t="str">
        <x:f>IF(OR(AI90&lt;&gt;"Cerrada",AJ90="",AH90=""),"No",IF(AJ90&lt;=AH90,"Sí","No"))</x:f>
        <x:v>No</x:v>
      </x:c>
      <x:c r="AL90" s="13" t="str">
        <x:v>Pendiente verificación</x:v>
      </x:c>
      <x:c r="AM90" s="13" t="str">
        <x:v>En seguimiento</x:v>
      </x:c>
      <x:c r="AN90" s="13" t="str">
        <x:v>Se deja lección aprendida socializada en charla preoperacional.</x:v>
      </x:c>
    </x:row>
    <x:row r="91">
      <x:c r="A91" s="13" t="n">
        <x:v>2026</x:v>
      </x:c>
      <x:c r="B91" s="13" t="str">
        <x:v>AT-2026-009</x:v>
      </x:c>
      <x:c r="C91" s="30" t="n">
        <x:v>46110</x:v>
      </x:c>
      <x:c r="D91" s="13" t="str">
        <x:v>07:00</x:v>
      </x:c>
      <x:c r="E91" s="13" t="str">
        <x:v>Marzo</x:v>
      </x:c>
      <x:c r="F91" s="13" t="str">
        <x:v>Barrancabermeja</x:v>
      </x:c>
      <x:c r="G91" s="13" t="str">
        <x:v>Central de Alarmas</x:v>
      </x:c>
      <x:c r="H91" s="13" t="str">
        <x:v>Tatiana Marcela Paredes</x:v>
      </x:c>
      <x:c r="I91" s="13" t="str">
        <x:v>88075422</x:v>
      </x:c>
      <x:c r="J91" s="13" t="str">
        <x:v>Vigilante</x:v>
      </x:c>
      <x:c r="K91" s="13" t="str">
        <x:v>Obra o labor</x:v>
      </x:c>
      <x:c r="L91" s="13" t="str">
        <x:v>ARL SURA</x:v>
      </x:c>
      <x:c r="M91" s="13" t="str">
        <x:v>Con incapacidad</x:v>
      </x:c>
      <x:c r="N91" s="13" t="str">
        <x:v>Durante ronda de vigilancia en barrancabermeja, el trabajador sufrió lumbalgia aguda por sobreesfuerzo o esfuerzo excesivo.</x:v>
      </x:c>
      <x:c r="O91" s="13" t="str">
        <x:v>Sobreesfuerzo o esfuerzo excesivo</x:v>
      </x:c>
      <x:c r="P91" s="13" t="str">
        <x:v>Elementos almacenados</x:v>
      </x:c>
      <x:c r="Q91" s="13" t="str">
        <x:v>Vía pública en ronda</x:v>
      </x:c>
      <x:c r="R91" s="13" t="str">
        <x:v>Rodilla</x:v>
      </x:c>
      <x:c r="S91" s="13" t="str">
        <x:v>Lumbalgia aguda</x:v>
      </x:c>
      <x:c r="T91" s="13" t="n">
        <x:v>25</x:v>
      </x:c>
      <x:c r="U91" s="13" t="n">
        <x:f>IF(M91="Sin incapacidad",0,T91)</x:f>
        <x:v>25</x:v>
      </x:c>
      <x:c r="V91" s="13" t="str">
        <x:v>Sí</x:v>
      </x:c>
      <x:c r="W91" s="30" t="n">
        <x:v>46111</x:v>
      </x:c>
      <x:c r="X91" s="30" t="str">
        <x:v>Sí</x:v>
      </x:c>
      <x:c r="Y91" s="30" t="n">
        <x:v>46115</x:v>
      </x:c>
      <x:c r="Z91" s="13" t="str">
        <x:v>Jefe inmediato + SST</x:v>
      </x:c>
      <x:c r="AA91" s="13" t="str">
        <x:v>Distracción durante la labor</x:v>
      </x:c>
      <x:c r="AB91" s="13" t="str">
        <x:v>Vía en mal estado</x:v>
      </x:c>
      <x:c r="AC91" s="13" t="str">
        <x:v>Fatiga</x:v>
      </x:c>
      <x:c r="AD91" s="13" t="str">
        <x:v>Procedimiento no actualizado</x:v>
      </x:c>
      <x:c r="AE91" s="13" t="str">
        <x:v>Incumplimiento del procedimiento seguro y supervisión insuficiente</x:v>
      </x:c>
      <x:c r="AF91" s="13" t="str">
        <x:v>Realizar capacitación focalizada y socialización de lección aprendida</x:v>
      </x:c>
      <x:c r="AG91" s="13" t="str">
        <x:v>Analista SST</x:v>
      </x:c>
      <x:c r="AH91" s="30" t="n">
        <x:v>46135</x:v>
      </x:c>
      <x:c r="AI91" s="30" t="str">
        <x:v>En seguimiento</x:v>
      </x:c>
      <x:c r="AJ91" s="30"/>
      <x:c r="AK91" s="13" t="str">
        <x:f>IF(OR(AI91&lt;&gt;"Cerrada",AJ91="",AH91=""),"No",IF(AJ91&lt;=AH91,"Sí","No"))</x:f>
        <x:v>No</x:v>
      </x:c>
      <x:c r="AL91" s="13" t="str">
        <x:v>Pendiente verificación</x:v>
      </x:c>
      <x:c r="AM91" s="13" t="str">
        <x:v>En seguimiento</x:v>
      </x:c>
      <x:c r="AN91" s="13" t="str">
        <x:v>Se realiza seguimiento por SST y jefe inmediato.</x:v>
      </x:c>
    </x:row>
    <x:row r="92">
      <x:c r="A92" s="13" t="n">
        <x:v>2026</x:v>
      </x:c>
      <x:c r="B92" s="13" t="str">
        <x:v>AT-2026-002</x:v>
      </x:c>
      <x:c r="C92" s="30" t="n">
        <x:v>46118</x:v>
      </x:c>
      <x:c r="D92" s="13" t="str">
        <x:v>18:50</x:v>
      </x:c>
      <x:c r="E92" s="13" t="str">
        <x:v>Abril</x:v>
      </x:c>
      <x:c r="F92" s="13" t="str">
        <x:v>Pamplona</x:v>
      </x:c>
      <x:c r="G92" s="13" t="str">
        <x:v>Central de Alarmas</x:v>
      </x:c>
      <x:c r="H92" s="13" t="str">
        <x:v>Jorge Enrique Suárez</x:v>
      </x:c>
      <x:c r="I92" s="13" t="str">
        <x:v>88075061</x:v>
      </x:c>
      <x:c r="J92" s="13" t="str">
        <x:v>Auxiliar Administrativa</x:v>
      </x:c>
      <x:c r="K92" s="13" t="str">
        <x:v>Término indefinido</x:v>
      </x:c>
      <x:c r="L92" s="13" t="str">
        <x:v>ARL SURA</x:v>
      </x:c>
      <x:c r="M92" s="13" t="str">
        <x:v>Con incapacidad</x:v>
      </x:c>
      <x:c r="N92" s="13" t="str">
        <x:v>En desarrollo de actividades de central de alarmas, se presentó evento por caída de objetos asociado a escalera.</x:v>
      </x:c>
      <x:c r="O92" s="13" t="str">
        <x:v>Caída de objetos</x:v>
      </x:c>
      <x:c r="P92" s="13" t="str">
        <x:v>Escalera</x:v>
      </x:c>
      <x:c r="Q92" s="13" t="str">
        <x:v>Acceso principal</x:v>
      </x:c>
      <x:c r="R92" s="13" t="str">
        <x:v>Muñeca</x:v>
      </x:c>
      <x:c r="S92" s="13" t="str">
        <x:v>Lumbalgia aguda</x:v>
      </x:c>
      <x:c r="T92" s="13" t="n">
        <x:v>7</x:v>
      </x:c>
      <x:c r="U92" s="13" t="n">
        <x:f>IF(M92="Sin incapacidad",0,T92)</x:f>
        <x:v>7</x:v>
      </x:c>
      <x:c r="V92" s="13" t="str">
        <x:v>Sí</x:v>
      </x:c>
      <x:c r="W92" s="30" t="n">
        <x:v>46119</x:v>
      </x:c>
      <x:c r="X92" s="30" t="str">
        <x:v>Sí</x:v>
      </x:c>
      <x:c r="Y92" s="30" t="n">
        <x:v>46122</x:v>
      </x:c>
      <x:c r="Z92" s="13" t="str">
        <x:v>Coordinador SST + Operaciones</x:v>
      </x:c>
      <x:c r="AA92" s="13" t="str">
        <x:v>Distracción durante la labor</x:v>
      </x:c>
      <x:c r="AB92" s="13" t="str">
        <x:v>Cable expuesto</x:v>
      </x:c>
      <x:c r="AC92" s="13" t="str">
        <x:v>Fatiga</x:v>
      </x:c>
      <x:c r="AD92" s="13" t="str">
        <x:v>Carga laboral elevada</x:v>
      </x:c>
      <x:c r="AE92" s="13" t="str">
        <x:v>Brecha de capacitación y hábitos inseguros de trabajo</x:v>
      </x:c>
      <x:c r="AF92" s="13" t="str">
        <x:v>Actualizar procedimiento seguro de trabajo y verificar cumplimiento</x:v>
      </x:c>
      <x:c r="AG92" s="13" t="str">
        <x:v>Coordinador SST</x:v>
      </x:c>
      <x:c r="AH92" s="30" t="n">
        <x:v>46142</x:v>
      </x:c>
      <x:c r="AI92" s="30" t="str">
        <x:v>Cerrada</x:v>
      </x:c>
      <x:c r="AJ92" s="30" t="n">
        <x:v>46136</x:v>
      </x:c>
      <x:c r="AK92" s="13" t="str">
        <x:f>IF(OR(AI92&lt;&gt;"Cerrada",AJ92="",AH92=""),"No",IF(AJ92&lt;=AH92,"Sí","No"))</x:f>
        <x:v>Sí</x:v>
      </x:c>
      <x:c r="AL92" s="13" t="str">
        <x:v>Sí</x:v>
      </x:c>
      <x:c r="AM92" s="13" t="str">
        <x:v>Cerrado</x:v>
      </x:c>
      <x:c r="AN92" s="13" t="str">
        <x:v>Se deja lección aprendida socializada en charla preoperacional.</x:v>
      </x:c>
    </x:row>
    <x:row r="93">
      <x:c r="A93" s="13" t="n">
        <x:v>2026</x:v>
      </x:c>
      <x:c r="B93" s="13" t="str">
        <x:v>AT-2026-001</x:v>
      </x:c>
      <x:c r="C93" s="30" t="n">
        <x:v>46137</x:v>
      </x:c>
      <x:c r="D93" s="13" t="str">
        <x:v>21:45</x:v>
      </x:c>
      <x:c r="E93" s="13" t="str">
        <x:v>Abril</x:v>
      </x:c>
      <x:c r="F93" s="13" t="str">
        <x:v>Medellín</x:v>
      </x:c>
      <x:c r="G93" s="13" t="str">
        <x:v>Administrativa</x:v>
      </x:c>
      <x:c r="H93" s="13" t="str">
        <x:v>Cristian Camilo Acevedo</x:v>
      </x:c>
      <x:c r="I93" s="13" t="str">
        <x:v>88075036</x:v>
      </x:c>
      <x:c r="J93" s="13" t="str">
        <x:v>Conductor</x:v>
      </x:c>
      <x:c r="K93" s="13" t="str">
        <x:v>Término fijo</x:v>
      </x:c>
      <x:c r="L93" s="13" t="str">
        <x:v>ARL SURA</x:v>
      </x:c>
      <x:c r="M93" s="13" t="str">
        <x:v>Con incapacidad</x:v>
      </x:c>
      <x:c r="N93" s="13" t="str">
        <x:v>Trabajador reporta lesión tipo esguince durante servicio en puesto asignado por caída de objetos.</x:v>
      </x:c>
      <x:c r="O93" s="13" t="str">
        <x:v>Caída de objetos</x:v>
      </x:c>
      <x:c r="P93" s="13" t="str">
        <x:v>Arma de dotación</x:v>
      </x:c>
      <x:c r="Q93" s="13" t="str">
        <x:v>Parqueadero</x:v>
      </x:c>
      <x:c r="R93" s="13" t="str">
        <x:v>Brazo</x:v>
      </x:c>
      <x:c r="S93" s="13" t="str">
        <x:v>Esguince</x:v>
      </x:c>
      <x:c r="T93" s="13" t="n">
        <x:v>2</x:v>
      </x:c>
      <x:c r="U93" s="13" t="n">
        <x:f>IF(M93="Sin incapacidad",0,T93)</x:f>
        <x:v>2</x:v>
      </x:c>
      <x:c r="V93" s="13" t="str">
        <x:v>Sí</x:v>
      </x:c>
      <x:c r="W93" s="30" t="n">
        <x:v>46137</x:v>
      </x:c>
      <x:c r="X93" s="30" t="str">
        <x:v>Sí</x:v>
      </x:c>
      <x:c r="Y93" s="30" t="n">
        <x:v>46143</x:v>
      </x:c>
      <x:c r="Z93" s="13" t="str">
        <x:v>COPASST + SST</x:v>
      </x:c>
      <x:c r="AA93" s="13" t="str">
        <x:v>No asegurar postura adecuada</x:v>
      </x:c>
      <x:c r="AB93" s="13" t="str">
        <x:v>Herramienta en mal estado</x:v>
      </x:c>
      <x:c r="AC93" s="13" t="str">
        <x:v>Exceso de confianza</x:v>
      </x:c>
      <x:c r="AD93" s="13" t="str">
        <x:v>Carga laboral elevada</x:v>
      </x:c>
      <x:c r="AE93" s="13" t="str">
        <x:v>Control operativo insuficiente frente a condición locativa</x:v>
      </x:c>
      <x:c r="AF93" s="13" t="str">
        <x:v>Realizar capacitación focalizada y socialización de lección aprendida</x:v>
      </x:c>
      <x:c r="AG93" s="13" t="str">
        <x:v>Coordinador SST</x:v>
      </x:c>
      <x:c r="AH93" s="30" t="n">
        <x:v>46163</x:v>
      </x:c>
      <x:c r="AI93" s="30" t="str">
        <x:v>Cerrada</x:v>
      </x:c>
      <x:c r="AJ93" s="30" t="n">
        <x:v>46157</x:v>
      </x:c>
      <x:c r="AK93" s="13" t="str">
        <x:f>IF(OR(AI93&lt;&gt;"Cerrada",AJ93="",AH93=""),"No",IF(AJ93&lt;=AH93,"Sí","No"))</x:f>
        <x:v>Sí</x:v>
      </x:c>
      <x:c r="AL93" s="13" t="str">
        <x:v>Sí</x:v>
      </x:c>
      <x:c r="AM93" s="13" t="str">
        <x:v>Cerrado</x:v>
      </x:c>
      <x:c r="AN93" s="13" t="str">
        <x:v>Se recomienda refuerzo de inspecciones y autocuidado.</x:v>
      </x:c>
    </x:row>
    <x:row r="94">
      <x:c r="A94" s="13" t="n">
        <x:v>2026</x:v>
      </x:c>
      <x:c r="B94" s="13" t="str">
        <x:v>AT-2026-007</x:v>
      </x:c>
      <x:c r="C94" s="30" t="n">
        <x:v>46173</x:v>
      </x:c>
      <x:c r="D94" s="13" t="str">
        <x:v>17:45</x:v>
      </x:c>
      <x:c r="E94" s="13" t="str">
        <x:v>Mayo</x:v>
      </x:c>
      <x:c r="F94" s="13" t="str">
        <x:v>Ocaña</x:v>
      </x:c>
      <x:c r="G94" s="13" t="str">
        <x:v>Central de Alarmas</x:v>
      </x:c>
      <x:c r="H94" s="13" t="str">
        <x:v>Miguel Ángel Mejía</x:v>
      </x:c>
      <x:c r="I94" s="13" t="str">
        <x:v>88076045</x:v>
      </x:c>
      <x:c r="J94" s="13" t="str">
        <x:v>Escolta</x:v>
      </x:c>
      <x:c r="K94" s="13" t="str">
        <x:v>Término indefinido</x:v>
      </x:c>
      <x:c r="L94" s="13" t="str">
        <x:v>ARL SURA</x:v>
      </x:c>
      <x:c r="M94" s="13" t="str">
        <x:v>Con incapacidad</x:v>
      </x:c>
      <x:c r="N94" s="13" t="str">
        <x:v>Trabajador reporta lesión tipo trauma ocular leve durante servicio en puesto asignado por golpeado por/contra.</x:v>
      </x:c>
      <x:c r="O94" s="13" t="str">
        <x:v>Golpeado por/contra</x:v>
      </x:c>
      <x:c r="P94" s="13" t="str">
        <x:v>Arma de dotación</x:v>
      </x:c>
      <x:c r="Q94" s="13" t="str">
        <x:v>Vía pública en ronda</x:v>
      </x:c>
      <x:c r="R94" s="13" t="str">
        <x:v>Hombro</x:v>
      </x:c>
      <x:c r="S94" s="13" t="str">
        <x:v>Trauma ocular leve</x:v>
      </x:c>
      <x:c r="T94" s="13" t="n">
        <x:v>30</x:v>
      </x:c>
      <x:c r="U94" s="13" t="n">
        <x:f>IF(M94="Sin incapacidad",0,T94)</x:f>
        <x:v>30</x:v>
      </x:c>
      <x:c r="V94" s="13" t="str">
        <x:v>Sí</x:v>
      </x:c>
      <x:c r="W94" s="30" t="n">
        <x:v>46174</x:v>
      </x:c>
      <x:c r="X94" s="30" t="str">
        <x:v>Sí</x:v>
      </x:c>
      <x:c r="Y94" s="30" t="n">
        <x:v>46178</x:v>
      </x:c>
      <x:c r="Z94" s="13" t="str">
        <x:v>Jefe inmediato + SST</x:v>
      </x:c>
      <x:c r="AA94" s="13" t="str">
        <x:v>Omisión de inspección previa</x:v>
      </x:c>
      <x:c r="AB94" s="13" t="str">
        <x:v>Herramienta en mal estado</x:v>
      </x:c>
      <x:c r="AC94" s="13" t="str">
        <x:v>Fatiga</x:v>
      </x:c>
      <x:c r="AD94" s="13" t="str">
        <x:v>Procedimiento no actualizado</x:v>
      </x:c>
      <x:c r="AE94" s="13" t="str">
        <x:v>Incumplimiento del procedimiento seguro y supervisión insuficiente</x:v>
      </x:c>
      <x:c r="AF94" s="13" t="str">
        <x:v>Implementar señalización y control administrativo temporal</x:v>
      </x:c>
      <x:c r="AG94" s="13" t="str">
        <x:v>Supervisor Operativo</x:v>
      </x:c>
      <x:c r="AH94" s="30" t="n">
        <x:v>46193</x:v>
      </x:c>
      <x:c r="AI94" s="30" t="str">
        <x:v>Cerrada</x:v>
      </x:c>
      <x:c r="AJ94" s="30" t="n">
        <x:v>46193</x:v>
      </x:c>
      <x:c r="AK94" s="13" t="str">
        <x:f>IF(OR(AI94&lt;&gt;"Cerrada",AJ94="",AH94=""),"No",IF(AJ94&lt;=AH94,"Sí","No"))</x:f>
        <x:v>Sí</x:v>
      </x:c>
      <x:c r="AL94" s="13" t="str">
        <x:v>Pendiente verificación</x:v>
      </x:c>
      <x:c r="AM94" s="13" t="str">
        <x:v>Cerrado</x:v>
      </x:c>
      <x:c r="AN94" s="13" t="str">
        <x:v>Se recomienda refuerzo de inspecciones y autocuidado.</x:v>
      </x:c>
    </x:row>
  </x:sheetData>
  <x:pageMargins left="0.7" right="0.7" top="0.75" bottom="0.75" header="0.3" footer="0.3"/>
  <x:tableParts count="1">
    <x:tablePart xmlns:r="http://schemas.openxmlformats.org/officeDocument/2006/relationships" r:id="R66ff17114e9542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.86000061035156" hidden="0" customWidth="1"/>
    <x:col min="2" max="2" width="23.420000076293945" hidden="0" customWidth="1"/>
    <x:col min="3" max="3" width="4.440000057220459" hidden="0" customWidth="1"/>
    <x:col min="4" max="4" width="14.130000114440918" hidden="0" customWidth="1"/>
    <x:col min="5" max="5" width="10.09000015258789" hidden="0" customWidth="1"/>
    <x:col min="6" max="6" width="4.440000057220459" hidden="0" customWidth="1"/>
    <x:col min="7" max="7" width="5.380000114440918" hidden="0" customWidth="1"/>
    <x:col min="8" max="8" width="3.359999895095825" hidden="0" customWidth="1"/>
    <x:col min="9" max="9" width="18.709999084472656" hidden="0" customWidth="1"/>
    <x:col min="10" max="10" width="13.319999694824219" hidden="0" customWidth="1"/>
  </x:cols>
  <x:sheetData>
    <x:row r="1">
      <x:c r="A1" s="5" t="str">
        <x:v>Resumen anual de accidentalidad</x:v>
      </x:c>
    </x:row>
    <x:row r="3">
      <x:c r="A3" s="22" t="str">
        <x:v>Año</x:v>
      </x:c>
      <x:c r="B3" s="22" t="str">
        <x:v>Horas hombre trabajadas (HHT)</x:v>
      </x:c>
      <x:c r="C3" s="22" t="str">
        <x:v>N.° AT</x:v>
      </x:c>
      <x:c r="D3" s="22" t="str">
        <x:v>AT con incapacidad</x:v>
      </x:c>
      <x:c r="E3" s="22" t="str">
        <x:v>Días perdidos</x:v>
      </x:c>
      <x:c r="F3" s="22" t="str">
        <x:v>IF</x:v>
      </x:c>
      <x:c r="G3" s="22" t="str">
        <x:v>IS</x:v>
      </x:c>
      <x:c r="H3" s="22" t="str">
        <x:v>ILI</x:v>
      </x:c>
      <x:c r="I3" s="22" t="str">
        <x:v>% investigación oportuna</x:v>
      </x:c>
      <x:c r="J3" s="22" t="str">
        <x:v>% cierre oportuno</x:v>
      </x:c>
    </x:row>
    <x:row r="4">
      <x:c r="A4" s="13" t="n">
        <x:v>2023</x:v>
      </x:c>
      <x:c r="B4" s="38" t="n">
        <x:v>448000</x:v>
      </x:c>
      <x:c r="C4" s="13" t="n">
        <x:f>COUNTIF(Consolidado!$A:$A,A4)</x:f>
        <x:v>32</x:v>
      </x:c>
      <x:c r="D4" s="13" t="n">
        <x:f>COUNTIFS(Consolidado!$A:$A,A4,Consolidado!$M:$M,"Con incapacidad")</x:f>
        <x:v>19</x:v>
      </x:c>
      <x:c r="E4" s="13" t="n">
        <x:f>SUMIF(Consolidado!$A:$A,A4,Consolidado!$U:$U)</x:f>
        <x:v>229</x:v>
      </x:c>
      <x:c r="F4" s="39" t="n">
        <x:f>IFERROR(C4*200000/B4,0)</x:f>
        <x:v>14.285714285714286</x:v>
      </x:c>
      <x:c r="G4" s="39" t="n">
        <x:f>IFERROR(E4*200000/B4,0)</x:f>
        <x:v>102.23214285714286</x:v>
      </x:c>
      <x:c r="H4" s="39" t="n">
        <x:f>IFERROR(F4*G4/1000,0)</x:f>
        <x:v>1.4604591836734697</x:v>
      </x:c>
      <x:c r="I4" s="40" t="n">
        <x:f>IFERROR(COUNTIFS(Consolidado!$A:$A,A4,Consolidado!$X:$X,"Sí",Consolidado!$Y:$Y,"&lt;="&amp;Consolidado!$C:$C+15)/C4,0)</x:f>
        <x:v>0</x:v>
      </x:c>
      <x:c r="J4" s="40" t="n">
        <x:f>IFERROR(COUNTIFS(Consolidado!$A:$A,A4,Consolidado!$AK:$AK,"Sí")/C4,0)</x:f>
        <x:v>0.5625</x:v>
      </x:c>
    </x:row>
    <x:row r="5">
      <x:c r="A5" s="13" t="n">
        <x:v>2024</x:v>
      </x:c>
      <x:c r="B5" s="38" t="n">
        <x:v>462000</x:v>
      </x:c>
      <x:c r="C5" s="13" t="n">
        <x:f>COUNTIF(Consolidado!$A:$A,A5)</x:f>
        <x:v>28</x:v>
      </x:c>
      <x:c r="D5" s="13" t="n">
        <x:f>COUNTIFS(Consolidado!$A:$A,A5,Consolidado!$M:$M,"Con incapacidad")</x:f>
        <x:v>21</x:v>
      </x:c>
      <x:c r="E5" s="13" t="n">
        <x:f>SUMIF(Consolidado!$A:$A,A5,Consolidado!$U:$U)</x:f>
        <x:v>264</x:v>
      </x:c>
      <x:c r="F5" s="39" t="n">
        <x:f>IFERROR(C5*200000/B5,0)</x:f>
        <x:v>12.121212121212121</x:v>
      </x:c>
      <x:c r="G5" s="39" t="n">
        <x:f>IFERROR(E5*200000/B5,0)</x:f>
        <x:v>114.28571428571429</x:v>
      </x:c>
      <x:c r="H5" s="39" t="n">
        <x:f>IFERROR(F5*G5/1000,0)</x:f>
        <x:v>1.3852813852813854</x:v>
      </x:c>
      <x:c r="I5" s="40" t="n">
        <x:f>IFERROR(COUNTIFS(Consolidado!$A:$A,A5,Consolidado!$X:$X,"Sí",Consolidado!$Y:$Y,"&lt;="&amp;Consolidado!$C:$C+15)/C5,0)</x:f>
        <x:v>0</x:v>
      </x:c>
      <x:c r="J5" s="40" t="n">
        <x:f>IFERROR(COUNTIFS(Consolidado!$A:$A,A5,Consolidado!$AK:$AK,"Sí")/C5,0)</x:f>
        <x:v>0.5714285714285714</x:v>
      </x:c>
    </x:row>
    <x:row r="6">
      <x:c r="A6" s="13" t="n">
        <x:v>2025</x:v>
      </x:c>
      <x:c r="B6" s="38" t="n">
        <x:v>478000</x:v>
      </x:c>
      <x:c r="C6" s="13" t="n">
        <x:f>COUNTIF(Consolidado!$A:$A,A6)</x:f>
        <x:v>24</x:v>
      </x:c>
      <x:c r="D6" s="13" t="n">
        <x:f>COUNTIFS(Consolidado!$A:$A,A6,Consolidado!$M:$M,"Con incapacidad")</x:f>
        <x:v>18</x:v>
      </x:c>
      <x:c r="E6" s="13" t="n">
        <x:f>SUMIF(Consolidado!$A:$A,A6,Consolidado!$U:$U)</x:f>
        <x:v>239</x:v>
      </x:c>
      <x:c r="F6" s="39" t="n">
        <x:f>IFERROR(C6*200000/B6,0)</x:f>
        <x:v>10.0418410041841</x:v>
      </x:c>
      <x:c r="G6" s="39" t="n">
        <x:f>IFERROR(E6*200000/B6,0)</x:f>
        <x:v>100</x:v>
      </x:c>
      <x:c r="H6" s="39" t="n">
        <x:f>IFERROR(F6*G6/1000,0)</x:f>
        <x:v>1.00418410041841</x:v>
      </x:c>
      <x:c r="I6" s="40" t="n">
        <x:f>IFERROR(COUNTIFS(Consolidado!$A:$A,A6,Consolidado!$X:$X,"Sí",Consolidado!$Y:$Y,"&lt;="&amp;Consolidado!$C:$C+15)/C6,0)</x:f>
        <x:v>0</x:v>
      </x:c>
      <x:c r="J6" s="40" t="n">
        <x:f>IFERROR(COUNTIFS(Consolidado!$A:$A,A6,Consolidado!$AK:$AK,"Sí")/C6,0)</x:f>
        <x:v>0.6666666666666666</x:v>
      </x:c>
    </x:row>
    <x:row r="7">
      <x:c r="A7" s="13" t="n">
        <x:v>2026</x:v>
      </x:c>
      <x:c r="B7" s="38" t="n">
        <x:v>205000</x:v>
      </x:c>
      <x:c r="C7" s="13" t="n">
        <x:f>COUNTIF(Consolidado!$A:$A,A7)</x:f>
        <x:v>9</x:v>
      </x:c>
      <x:c r="D7" s="13" t="n">
        <x:f>COUNTIFS(Consolidado!$A:$A,A7,Consolidado!$M:$M,"Con incapacidad")</x:f>
        <x:v>9</x:v>
      </x:c>
      <x:c r="E7" s="13" t="n">
        <x:f>SUMIF(Consolidado!$A:$A,A7,Consolidado!$U:$U)</x:f>
        <x:v>158</x:v>
      </x:c>
      <x:c r="F7" s="39" t="n">
        <x:f>IFERROR(C7*200000/B7,0)</x:f>
        <x:v>8.78048780487805</x:v>
      </x:c>
      <x:c r="G7" s="39" t="n">
        <x:f>IFERROR(E7*200000/B7,0)</x:f>
        <x:v>154.14634146341464</x:v>
      </x:c>
      <x:c r="H7" s="39" t="n">
        <x:f>IFERROR(F7*G7/1000,0)</x:f>
        <x:v>1.35348007138608</x:v>
      </x:c>
      <x:c r="I7" s="40" t="n">
        <x:f>IFERROR(COUNTIFS(Consolidado!$A:$A,A7,Consolidado!$X:$X,"Sí",Consolidado!$Y:$Y,"&lt;="&amp;Consolidado!$C:$C+15)/C7,0)</x:f>
        <x:v>0</x:v>
      </x:c>
      <x:c r="J7" s="40" t="n">
        <x:f>IFERROR(COUNTIFS(Consolidado!$A:$A,A7,Consolidado!$AK:$AK,"Sí")/C7,0)</x:f>
        <x:v>0.6666666666666666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5.7599983215332" hidden="0" customWidth="1"/>
    <x:col min="2" max="2" width="4.440000057220459" hidden="0" customWidth="1"/>
    <x:col min="3" max="3" width="10.09000015258789" hidden="0" customWidth="1"/>
    <x:col min="4" max="4" width="15.880000114440918" hidden="0" customWidth="1"/>
    <x:col min="5" max="5" width="18.440000534057617" hidden="0" customWidth="1"/>
    <x:col min="6" max="6" width="13.319999694824219" hidden="0" customWidth="1"/>
    <x:col min="7" max="7" width="14.539999961853027" hidden="0" customWidth="1"/>
  </x:cols>
  <x:sheetData>
    <x:row r="1">
      <x:c r="A1" s="5" t="str">
        <x:v>Resumen por sede (Consolidado 2023-2026)</x:v>
      </x:c>
    </x:row>
    <x:row r="3">
      <x:c r="A3" s="22" t="str">
        <x:v>Sede</x:v>
      </x:c>
      <x:c r="B3" s="22" t="str">
        <x:v>N.° AT</x:v>
      </x:c>
      <x:c r="C3" s="22" t="str">
        <x:v>Días perdidos</x:v>
      </x:c>
      <x:c r="D3" s="22" t="str">
        <x:v>% AT con incapacidad</x:v>
      </x:c>
      <x:c r="E3" s="22" t="str">
        <x:v>% investigación realizada</x:v>
      </x:c>
      <x:c r="F3" s="22" t="str">
        <x:v>% cierre oportuno</x:v>
      </x:c>
      <x:c r="G3" s="22" t="str">
        <x:v>AT 2026 corte mayo</x:v>
      </x:c>
    </x:row>
    <x:row r="4">
      <x:c r="A4" s="13" t="str">
        <x:v>Cúcuta</x:v>
      </x:c>
      <x:c r="B4" s="13" t="n">
        <x:f>COUNTIF(Consolidado!$F:$F,A4)</x:f>
        <x:v>6</x:v>
      </x:c>
      <x:c r="C4" s="13" t="n">
        <x:f>SUMIF(Consolidado!$F:$F,A4,Consolidado!$U:$U)</x:f>
        <x:v>41</x:v>
      </x:c>
      <x:c r="D4" s="40" t="n">
        <x:f>IFERROR(COUNTIFS(Consolidado!$F:$F,A4,Consolidado!$M:$M,"Con incapacidad")/B4,0)</x:f>
        <x:v>0.5</x:v>
      </x:c>
      <x:c r="E4" s="40" t="n">
        <x:f>IFERROR(COUNTIFS(Consolidado!$F:$F,A4,Consolidado!$X:$X,"Sí")/B4,0)</x:f>
        <x:v>1</x:v>
      </x:c>
      <x:c r="F4" s="40" t="n">
        <x:f>IFERROR(COUNTIFS(Consolidado!$F:$F,A4,Consolidado!$AK:$AK,"Sí")/B4,0)</x:f>
        <x:v>0.6666666666666666</x:v>
      </x:c>
      <x:c r="G4" s="13" t="n">
        <x:f>COUNTIFS(Consolidado!$F:$F,A4,Consolidado!$A:$A,2026)</x:f>
        <x:v>0</x:v>
      </x:c>
    </x:row>
    <x:row r="5">
      <x:c r="A5" s="13" t="str">
        <x:v>Barrancabermeja</x:v>
      </x:c>
      <x:c r="B5" s="13" t="n">
        <x:f>COUNTIF(Consolidado!$F:$F,A5)</x:f>
        <x:v>6</x:v>
      </x:c>
      <x:c r="C5" s="13" t="n">
        <x:f>SUMIF(Consolidado!$F:$F,A5,Consolidado!$U:$U)</x:f>
        <x:v>78</x:v>
      </x:c>
      <x:c r="D5" s="40" t="n">
        <x:f>IFERROR(COUNTIFS(Consolidado!$F:$F,A5,Consolidado!$M:$M,"Con incapacidad")/B5,0)</x:f>
        <x:v>0.8333333333333334</x:v>
      </x:c>
      <x:c r="E5" s="40" t="n">
        <x:f>IFERROR(COUNTIFS(Consolidado!$F:$F,A5,Consolidado!$X:$X,"Sí")/B5,0)</x:f>
        <x:v>1</x:v>
      </x:c>
      <x:c r="F5" s="40" t="n">
        <x:f>IFERROR(COUNTIFS(Consolidado!$F:$F,A5,Consolidado!$AK:$AK,"Sí")/B5,0)</x:f>
        <x:v>0.5</x:v>
      </x:c>
      <x:c r="G5" s="13" t="n">
        <x:f>COUNTIFS(Consolidado!$F:$F,A5,Consolidado!$A:$A,2026)</x:f>
        <x:v>1</x:v>
      </x:c>
    </x:row>
    <x:row r="6">
      <x:c r="A6" s="13" t="str">
        <x:v>Ocaña</x:v>
      </x:c>
      <x:c r="B6" s="13" t="n">
        <x:f>COUNTIF(Consolidado!$F:$F,A6)</x:f>
        <x:v>10</x:v>
      </x:c>
      <x:c r="C6" s="13" t="n">
        <x:f>SUMIF(Consolidado!$F:$F,A6,Consolidado!$U:$U)</x:f>
        <x:v>143</x:v>
      </x:c>
      <x:c r="D6" s="40" t="n">
        <x:f>IFERROR(COUNTIFS(Consolidado!$F:$F,A6,Consolidado!$M:$M,"Con incapacidad")/B6,0)</x:f>
        <x:v>0.7</x:v>
      </x:c>
      <x:c r="E6" s="40" t="n">
        <x:f>IFERROR(COUNTIFS(Consolidado!$F:$F,A6,Consolidado!$X:$X,"Sí")/B6,0)</x:f>
        <x:v>1</x:v>
      </x:c>
      <x:c r="F6" s="40" t="n">
        <x:f>IFERROR(COUNTIFS(Consolidado!$F:$F,A6,Consolidado!$AK:$AK,"Sí")/B6,0)</x:f>
        <x:v>0.8</x:v>
      </x:c>
      <x:c r="G6" s="13" t="n">
        <x:f>COUNTIFS(Consolidado!$F:$F,A6,Consolidado!$A:$A,2026)</x:f>
        <x:v>3</x:v>
      </x:c>
    </x:row>
    <x:row r="7">
      <x:c r="A7" s="13" t="str">
        <x:v>Girón</x:v>
      </x:c>
      <x:c r="B7" s="13" t="n">
        <x:f>COUNTIF(Consolidado!$F:$F,A7)</x:f>
        <x:v>11</x:v>
      </x:c>
      <x:c r="C7" s="13" t="n">
        <x:f>SUMIF(Consolidado!$F:$F,A7,Consolidado!$U:$U)</x:f>
        <x:v>98</x:v>
      </x:c>
      <x:c r="D7" s="40" t="n">
        <x:f>IFERROR(COUNTIFS(Consolidado!$F:$F,A7,Consolidado!$M:$M,"Con incapacidad")/B7,0)</x:f>
        <x:v>0.8181818181818182</x:v>
      </x:c>
      <x:c r="E7" s="40" t="n">
        <x:f>IFERROR(COUNTIFS(Consolidado!$F:$F,A7,Consolidado!$X:$X,"Sí")/B7,0)</x:f>
        <x:v>0.9090909090909091</x:v>
      </x:c>
      <x:c r="F7" s="40" t="n">
        <x:f>IFERROR(COUNTIFS(Consolidado!$F:$F,A7,Consolidado!$AK:$AK,"Sí")/B7,0)</x:f>
        <x:v>0.6363636363636364</x:v>
      </x:c>
      <x:c r="G7" s="13" t="n">
        <x:f>COUNTIFS(Consolidado!$F:$F,A7,Consolidado!$A:$A,2026)</x:f>
        <x:v>0</x:v>
      </x:c>
    </x:row>
    <x:row r="8">
      <x:c r="A8" s="13" t="str">
        <x:v>Valledupar</x:v>
      </x:c>
      <x:c r="B8" s="13" t="n">
        <x:f>COUNTIF(Consolidado!$F:$F,A8)</x:f>
        <x:v>11</x:v>
      </x:c>
      <x:c r="C8" s="13" t="n">
        <x:f>SUMIF(Consolidado!$F:$F,A8,Consolidado!$U:$U)</x:f>
        <x:v>61</x:v>
      </x:c>
      <x:c r="D8" s="40" t="n">
        <x:f>IFERROR(COUNTIFS(Consolidado!$F:$F,A8,Consolidado!$M:$M,"Con incapacidad")/B8,0)</x:f>
        <x:v>0.7272727272727273</x:v>
      </x:c>
      <x:c r="E8" s="40" t="n">
        <x:f>IFERROR(COUNTIFS(Consolidado!$F:$F,A8,Consolidado!$X:$X,"Sí")/B8,0)</x:f>
        <x:v>1</x:v>
      </x:c>
      <x:c r="F8" s="40" t="n">
        <x:f>IFERROR(COUNTIFS(Consolidado!$F:$F,A8,Consolidado!$AK:$AK,"Sí")/B8,0)</x:f>
        <x:v>0.2727272727272727</x:v>
      </x:c>
      <x:c r="G8" s="13" t="n">
        <x:f>COUNTIFS(Consolidado!$F:$F,A8,Consolidado!$A:$A,2026)</x:f>
        <x:v>1</x:v>
      </x:c>
    </x:row>
    <x:row r="9">
      <x:c r="A9" s="13" t="str">
        <x:v>Arauca</x:v>
      </x:c>
      <x:c r="B9" s="13" t="n">
        <x:f>COUNTIF(Consolidado!$F:$F,A9)</x:f>
        <x:v>7</x:v>
      </x:c>
      <x:c r="C9" s="13" t="n">
        <x:f>SUMIF(Consolidado!$F:$F,A9,Consolidado!$U:$U)</x:f>
        <x:v>72</x:v>
      </x:c>
      <x:c r="D9" s="40" t="n">
        <x:f>IFERROR(COUNTIFS(Consolidado!$F:$F,A9,Consolidado!$M:$M,"Con incapacidad")/B9,0)</x:f>
        <x:v>0.7142857142857143</x:v>
      </x:c>
      <x:c r="E9" s="40" t="n">
        <x:f>IFERROR(COUNTIFS(Consolidado!$F:$F,A9,Consolidado!$X:$X,"Sí")/B9,0)</x:f>
        <x:v>1</x:v>
      </x:c>
      <x:c r="F9" s="40" t="n">
        <x:f>IFERROR(COUNTIFS(Consolidado!$F:$F,A9,Consolidado!$AK:$AK,"Sí")/B9,0)</x:f>
        <x:v>0.5714285714285714</x:v>
      </x:c>
      <x:c r="G9" s="13" t="n">
        <x:f>COUNTIFS(Consolidado!$F:$F,A9,Consolidado!$A:$A,2026)</x:f>
        <x:v>1</x:v>
      </x:c>
    </x:row>
    <x:row r="10">
      <x:c r="A10" s="13" t="str">
        <x:v>Bogotá</x:v>
      </x:c>
      <x:c r="B10" s="13" t="n">
        <x:f>COUNTIF(Consolidado!$F:$F,A10)</x:f>
        <x:v>7</x:v>
      </x:c>
      <x:c r="C10" s="13" t="n">
        <x:f>SUMIF(Consolidado!$F:$F,A10,Consolidado!$U:$U)</x:f>
        <x:v>84</x:v>
      </x:c>
      <x:c r="D10" s="40" t="n">
        <x:f>IFERROR(COUNTIFS(Consolidado!$F:$F,A10,Consolidado!$M:$M,"Con incapacidad")/B10,0)</x:f>
        <x:v>0.8571428571428571</x:v>
      </x:c>
      <x:c r="E10" s="40" t="n">
        <x:f>IFERROR(COUNTIFS(Consolidado!$F:$F,A10,Consolidado!$X:$X,"Sí")/B10,0)</x:f>
        <x:v>1</x:v>
      </x:c>
      <x:c r="F10" s="40" t="n">
        <x:f>IFERROR(COUNTIFS(Consolidado!$F:$F,A10,Consolidado!$AK:$AK,"Sí")/B10,0)</x:f>
        <x:v>0.7142857142857143</x:v>
      </x:c>
      <x:c r="G10" s="13" t="n">
        <x:f>COUNTIFS(Consolidado!$F:$F,A10,Consolidado!$A:$A,2026)</x:f>
        <x:v>1</x:v>
      </x:c>
    </x:row>
    <x:row r="11">
      <x:c r="A11" s="13" t="str">
        <x:v>Tibú</x:v>
      </x:c>
      <x:c r="B11" s="13" t="n">
        <x:f>COUNTIF(Consolidado!$F:$F,A11)</x:f>
        <x:v>7</x:v>
      </x:c>
      <x:c r="C11" s="13" t="n">
        <x:f>SUMIF(Consolidado!$F:$F,A11,Consolidado!$U:$U)</x:f>
        <x:v>117</x:v>
      </x:c>
      <x:c r="D11" s="40" t="n">
        <x:f>IFERROR(COUNTIFS(Consolidado!$F:$F,A11,Consolidado!$M:$M,"Con incapacidad")/B11,0)</x:f>
        <x:v>0.8571428571428571</x:v>
      </x:c>
      <x:c r="E11" s="40" t="n">
        <x:f>IFERROR(COUNTIFS(Consolidado!$F:$F,A11,Consolidado!$X:$X,"Sí")/B11,0)</x:f>
        <x:v>1</x:v>
      </x:c>
      <x:c r="F11" s="40" t="n">
        <x:f>IFERROR(COUNTIFS(Consolidado!$F:$F,A11,Consolidado!$AK:$AK,"Sí")/B11,0)</x:f>
        <x:v>0.5714285714285714</x:v>
      </x:c>
      <x:c r="G11" s="13" t="n">
        <x:f>COUNTIFS(Consolidado!$F:$F,A11,Consolidado!$A:$A,2026)</x:f>
        <x:v>0</x:v>
      </x:c>
    </x:row>
    <x:row r="12">
      <x:c r="A12" s="13" t="str">
        <x:v>Medellín</x:v>
      </x:c>
      <x:c r="B12" s="13" t="n">
        <x:f>COUNTIF(Consolidado!$F:$F,A12)</x:f>
        <x:v>11</x:v>
      </x:c>
      <x:c r="C12" s="13" t="n">
        <x:f>SUMIF(Consolidado!$F:$F,A12,Consolidado!$U:$U)</x:f>
        <x:v>49</x:v>
      </x:c>
      <x:c r="D12" s="40" t="n">
        <x:f>IFERROR(COUNTIFS(Consolidado!$F:$F,A12,Consolidado!$M:$M,"Con incapacidad")/B12,0)</x:f>
        <x:v>0.5454545454545454</x:v>
      </x:c>
      <x:c r="E12" s="40" t="n">
        <x:f>IFERROR(COUNTIFS(Consolidado!$F:$F,A12,Consolidado!$X:$X,"Sí")/B12,0)</x:f>
        <x:v>1</x:v>
      </x:c>
      <x:c r="F12" s="40" t="n">
        <x:f>IFERROR(COUNTIFS(Consolidado!$F:$F,A12,Consolidado!$AK:$AK,"Sí")/B12,0)</x:f>
        <x:v>0.45454545454545453</x:v>
      </x:c>
      <x:c r="G12" s="13" t="n">
        <x:f>COUNTIFS(Consolidado!$F:$F,A12,Consolidado!$A:$A,2026)</x:f>
        <x:v>1</x:v>
      </x:c>
    </x:row>
    <x:row r="13">
      <x:c r="A13" s="13" t="str">
        <x:v>Ábrego</x:v>
      </x:c>
      <x:c r="B13" s="13" t="n">
        <x:f>COUNTIF(Consolidado!$F:$F,A13)</x:f>
        <x:v>10</x:v>
      </x:c>
      <x:c r="C13" s="13" t="n">
        <x:f>SUMIF(Consolidado!$F:$F,A13,Consolidado!$U:$U)</x:f>
        <x:v>38</x:v>
      </x:c>
      <x:c r="D13" s="40" t="n">
        <x:f>IFERROR(COUNTIFS(Consolidado!$F:$F,A13,Consolidado!$M:$M,"Con incapacidad")/B13,0)</x:f>
        <x:v>0.6</x:v>
      </x:c>
      <x:c r="E13" s="40" t="n">
        <x:f>IFERROR(COUNTIFS(Consolidado!$F:$F,A13,Consolidado!$X:$X,"Sí")/B13,0)</x:f>
        <x:v>1</x:v>
      </x:c>
      <x:c r="F13" s="40" t="n">
        <x:f>IFERROR(COUNTIFS(Consolidado!$F:$F,A13,Consolidado!$AK:$AK,"Sí")/B13,0)</x:f>
        <x:v>0.8</x:v>
      </x:c>
      <x:c r="G13" s="13" t="n">
        <x:f>COUNTIFS(Consolidado!$F:$F,A13,Consolidado!$A:$A,2026)</x:f>
        <x:v>0</x:v>
      </x:c>
    </x:row>
    <x:row r="14">
      <x:c r="A14" s="13" t="str">
        <x:v>Pamplona</x:v>
      </x:c>
      <x:c r="B14" s="13" t="n">
        <x:f>COUNTIF(Consolidado!$F:$F,A14)</x:f>
        <x:v>7</x:v>
      </x:c>
      <x:c r="C14" s="13" t="n">
        <x:f>SUMIF(Consolidado!$F:$F,A14,Consolidado!$U:$U)</x:f>
        <x:v>109</x:v>
      </x:c>
      <x:c r="D14" s="40" t="n">
        <x:f>IFERROR(COUNTIFS(Consolidado!$F:$F,A14,Consolidado!$M:$M,"Con incapacidad")/B14,0)</x:f>
        <x:v>0.8571428571428571</x:v>
      </x:c>
      <x:c r="E14" s="40" t="n">
        <x:f>IFERROR(COUNTIFS(Consolidado!$F:$F,A14,Consolidado!$X:$X,"Sí")/B14,0)</x:f>
        <x:v>1</x:v>
      </x:c>
      <x:c r="F14" s="40" t="n">
        <x:f>IFERROR(COUNTIFS(Consolidado!$F:$F,A14,Consolidado!$AK:$AK,"Sí")/B14,0)</x:f>
        <x:v>0.7142857142857143</x:v>
      </x:c>
      <x:c r="G14" s="13" t="n">
        <x:f>COUNTIFS(Consolidado!$F:$F,A14,Consolidado!$A:$A,2026)</x:f>
        <x:v>1</x:v>
      </x:c>
    </x:row>
  </x:sheetData>
  <x:mergeCells>
    <x:mergeCell ref="A1:G1"/>
  </x:mergeCells>
  <x:conditionalFormatting sqref="B4:B14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{14928BE6-9E04-E0FE-6BAB-37652A07FB06}</x14:id>
        </x:ext>
      </x:extLst>
    </x:cfRule>
  </x:conditionalFormatting>
  <x:conditionalFormatting sqref="C4:C1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{14B335F7-B5FC-8495-BDC8-17536A8E523C}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928BE6-9E04-E0FE-6BAB-37652A07FB06}">
            <x14:dataBar gradient="1">
              <x14:cfvo type="min"/>
              <x14:cfvo type="max"/>
              <x14:fillColor rgb="FFE97132"/>
            </x14:dataBar>
          </x14:cfRule>
          <xm:sqref>B4:B14</xm:sqref>
        </x14:conditionalFormatting>
        <x14:conditionalFormatting>
          <x14:cfRule type="dataBar" priority="2" id="{14B335F7-B5FC-8495-BDC8-17536A8E523C}">
            <x14:dataBar gradient="1">
              <x14:cfvo type="min"/>
              <x14:cfvo type="max"/>
              <x14:fillColor rgb="FFA02B93"/>
            </x14:dataBar>
          </x14:cfRule>
          <xm:sqref>C4:C14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86.54000091552734" hidden="0" customWidth="1"/>
    <x:col min="2" max="2" width="5.920000076293945" hidden="0" customWidth="1"/>
    <x:col min="4" max="4" width="11.569999694824219" hidden="0" customWidth="1"/>
    <x:col min="5" max="5" width="1.8799999952316284" hidden="0" customWidth="1"/>
    <x:col min="6" max="6" width="10.09000015258789" hidden="0" customWidth="1"/>
    <x:col min="7" max="7" width="4.440000057220459" hidden="0" customWidth="1"/>
    <x:col min="8" max="8" width="5.380000114440918" hidden="0" customWidth="1"/>
    <x:col min="10" max="10" width="21.399999618530273" hidden="0" customWidth="1"/>
    <x:col min="11" max="11" width="1.8799999952316284" hidden="0" customWidth="1"/>
    <x:col min="12" max="12" width="10.09000015258789" hidden="0" customWidth="1"/>
    <x:col min="13" max="13" width="11.84000015258789" hidden="0" customWidth="1"/>
  </x:cols>
  <x:sheetData>
    <x:row r="1">
      <x:c r="A1" s="5" t="str">
        <x:v>Dashboard - Accidentalidad, Investigación y Cierre del Evento</x:v>
      </x:c>
    </x:row>
    <x:row r="3">
      <x:c r="A3" s="22" t="str">
        <x:v>KPIs 2026 (corte mayo)</x:v>
      </x:c>
      <x:c r="D3" s="22" t="str">
        <x:v>Evolución anual</x:v>
      </x:c>
      <x:c r="J3" s="22" t="str">
        <x:v>Top sedes por accidentalidad</x:v>
      </x:c>
    </x:row>
    <x:row r="4">
      <x:c r="A4" s="45" t="str">
        <x:v>N.° AT 2026</x:v>
      </x:c>
      <x:c r="B4" s="49" t="n">
        <x:f>'Resumen_Anual'!C7</x:f>
        <x:v>9</x:v>
      </x:c>
      <x:c r="D4" s="59" t="str">
        <x:v>Año</x:v>
      </x:c>
      <x:c r="E4" s="59" t="str">
        <x:v>AT</x:v>
      </x:c>
      <x:c r="F4" s="59" t="str">
        <x:v>Días perdidos</x:v>
      </x:c>
      <x:c r="G4" s="59" t="str">
        <x:v>IF</x:v>
      </x:c>
      <x:c r="H4" s="59" t="str">
        <x:v>IS</x:v>
      </x:c>
      <x:c r="J4" s="59" t="str">
        <x:v>Sede</x:v>
      </x:c>
      <x:c r="K4" s="59" t="str">
        <x:v>AT</x:v>
      </x:c>
      <x:c r="L4" s="59" t="str">
        <x:v>Días perdidos</x:v>
      </x:c>
      <x:c r="M4" s="59" t="str">
        <x:v>Cierre oportuno</x:v>
      </x:c>
    </x:row>
    <x:row r="5">
      <x:c r="A5" s="45" t="str">
        <x:v>Días perdidos 2026</x:v>
      </x:c>
      <x:c r="B5" s="49" t="n">
        <x:f>'Resumen_Anual'!E7</x:f>
        <x:v>158</x:v>
      </x:c>
      <x:c r="D5" t="n">
        <x:f>'Resumen_Anual'!A4</x:f>
        <x:v>2023</x:v>
      </x:c>
      <x:c r="E5" t="n">
        <x:f>'Resumen_Anual'!C4</x:f>
        <x:v>32</x:v>
      </x:c>
      <x:c r="F5" t="n">
        <x:f>'Resumen_Anual'!E4</x:f>
        <x:v>229</x:v>
      </x:c>
      <x:c r="G5" s="34" t="n">
        <x:f>'Resumen_Anual'!F4</x:f>
        <x:v>14.285714285714286</x:v>
      </x:c>
      <x:c r="H5" s="34" t="n">
        <x:f>'Resumen_Anual'!G4</x:f>
        <x:v>102.23214285714286</x:v>
      </x:c>
      <x:c r="J5" t="str">
        <x:f>'Resumen_Sedes'!A4</x:f>
        <x:v>Cúcuta</x:v>
      </x:c>
      <x:c r="K5" t="n">
        <x:f>'Resumen_Sedes'!B4</x:f>
        <x:v>6</x:v>
      </x:c>
      <x:c r="L5" t="n">
        <x:f>'Resumen_Sedes'!C4</x:f>
        <x:v>41</x:v>
      </x:c>
      <x:c r="M5" s="36" t="n">
        <x:f>'Resumen_Sedes'!F4</x:f>
        <x:v>0.6666666666666666</x:v>
      </x:c>
    </x:row>
    <x:row r="6">
      <x:c r="A6" s="45" t="str">
        <x:v>IF 2026</x:v>
      </x:c>
      <x:c r="B6" s="52" t="n">
        <x:f>'Resumen_Anual'!F7</x:f>
        <x:v>8.78048780487805</x:v>
      </x:c>
      <x:c r="D6" t="n">
        <x:f>'Resumen_Anual'!A5</x:f>
        <x:v>2024</x:v>
      </x:c>
      <x:c r="E6" t="n">
        <x:f>'Resumen_Anual'!C5</x:f>
        <x:v>28</x:v>
      </x:c>
      <x:c r="F6" t="n">
        <x:f>'Resumen_Anual'!E5</x:f>
        <x:v>264</x:v>
      </x:c>
      <x:c r="G6" s="34" t="n">
        <x:f>'Resumen_Anual'!F5</x:f>
        <x:v>12.121212121212121</x:v>
      </x:c>
      <x:c r="H6" s="34" t="n">
        <x:f>'Resumen_Anual'!G5</x:f>
        <x:v>114.28571428571429</x:v>
      </x:c>
      <x:c r="J6" t="str">
        <x:f>'Resumen_Sedes'!A5</x:f>
        <x:v>Barrancabermeja</x:v>
      </x:c>
      <x:c r="K6" t="n">
        <x:f>'Resumen_Sedes'!B5</x:f>
        <x:v>6</x:v>
      </x:c>
      <x:c r="L6" t="n">
        <x:f>'Resumen_Sedes'!C5</x:f>
        <x:v>78</x:v>
      </x:c>
      <x:c r="M6" s="36" t="n">
        <x:f>'Resumen_Sedes'!F5</x:f>
        <x:v>0.5</x:v>
      </x:c>
    </x:row>
    <x:row r="7">
      <x:c r="A7" s="45" t="str">
        <x:v>IS 2026</x:v>
      </x:c>
      <x:c r="B7" s="52" t="n">
        <x:f>'Resumen_Anual'!G7</x:f>
        <x:v>154.14634146341464</x:v>
      </x:c>
      <x:c r="D7" t="n">
        <x:f>'Resumen_Anual'!A6</x:f>
        <x:v>2025</x:v>
      </x:c>
      <x:c r="E7" t="n">
        <x:f>'Resumen_Anual'!C6</x:f>
        <x:v>24</x:v>
      </x:c>
      <x:c r="F7" t="n">
        <x:f>'Resumen_Anual'!E6</x:f>
        <x:v>239</x:v>
      </x:c>
      <x:c r="G7" s="34" t="n">
        <x:f>'Resumen_Anual'!F6</x:f>
        <x:v>10.0418410041841</x:v>
      </x:c>
      <x:c r="H7" s="34" t="n">
        <x:f>'Resumen_Anual'!G6</x:f>
        <x:v>100</x:v>
      </x:c>
      <x:c r="J7" t="str">
        <x:f>'Resumen_Sedes'!A6</x:f>
        <x:v>Ocaña</x:v>
      </x:c>
      <x:c r="K7" t="n">
        <x:f>'Resumen_Sedes'!B6</x:f>
        <x:v>10</x:v>
      </x:c>
      <x:c r="L7" t="n">
        <x:f>'Resumen_Sedes'!C6</x:f>
        <x:v>143</x:v>
      </x:c>
      <x:c r="M7" s="36" t="n">
        <x:f>'Resumen_Sedes'!F6</x:f>
        <x:v>0.8</x:v>
      </x:c>
    </x:row>
    <x:row r="8">
      <x:c r="A8" s="45" t="str">
        <x:v>ILI 2026</x:v>
      </x:c>
      <x:c r="B8" s="52" t="n">
        <x:f>'Resumen_Anual'!H7</x:f>
        <x:v>1.35348007138608</x:v>
      </x:c>
      <x:c r="D8" t="n">
        <x:f>'Resumen_Anual'!A7</x:f>
        <x:v>2026</x:v>
      </x:c>
      <x:c r="E8" t="n">
        <x:f>'Resumen_Anual'!C7</x:f>
        <x:v>9</x:v>
      </x:c>
      <x:c r="F8" t="n">
        <x:f>'Resumen_Anual'!E7</x:f>
        <x:v>158</x:v>
      </x:c>
      <x:c r="G8" s="34" t="n">
        <x:f>'Resumen_Anual'!F7</x:f>
        <x:v>8.78048780487805</x:v>
      </x:c>
      <x:c r="H8" s="34" t="n">
        <x:f>'Resumen_Anual'!G7</x:f>
        <x:v>154.14634146341464</x:v>
      </x:c>
      <x:c r="J8" t="str">
        <x:f>'Resumen_Sedes'!A7</x:f>
        <x:v>Girón</x:v>
      </x:c>
      <x:c r="K8" t="n">
        <x:f>'Resumen_Sedes'!B7</x:f>
        <x:v>11</x:v>
      </x:c>
      <x:c r="L8" t="n">
        <x:f>'Resumen_Sedes'!C7</x:f>
        <x:v>98</x:v>
      </x:c>
      <x:c r="M8" s="36" t="n">
        <x:f>'Resumen_Sedes'!F7</x:f>
        <x:v>0.6363636363636364</x:v>
      </x:c>
    </x:row>
    <x:row r="9">
      <x:c r="A9" s="45" t="str">
        <x:v>% cierre oportuno 2026</x:v>
      </x:c>
      <x:c r="B9" s="54" t="n">
        <x:f>'Resumen_Anual'!J7</x:f>
        <x:v>0.6666666666666666</x:v>
      </x:c>
      <x:c r="J9" t="str">
        <x:f>'Resumen_Sedes'!A8</x:f>
        <x:v>Valledupar</x:v>
      </x:c>
      <x:c r="K9" t="n">
        <x:f>'Resumen_Sedes'!B8</x:f>
        <x:v>11</x:v>
      </x:c>
      <x:c r="L9" t="n">
        <x:f>'Resumen_Sedes'!C8</x:f>
        <x:v>61</x:v>
      </x:c>
      <x:c r="M9" s="36" t="n">
        <x:f>'Resumen_Sedes'!F8</x:f>
        <x:v>0.2727272727272727</x:v>
      </x:c>
    </x:row>
    <x:row r="10">
      <x:c r="J10" t="str">
        <x:f>'Resumen_Sedes'!A9</x:f>
        <x:v>Arauca</x:v>
      </x:c>
      <x:c r="K10" t="n">
        <x:f>'Resumen_Sedes'!B9</x:f>
        <x:v>7</x:v>
      </x:c>
      <x:c r="L10" t="n">
        <x:f>'Resumen_Sedes'!C9</x:f>
        <x:v>72</x:v>
      </x:c>
      <x:c r="M10" s="36" t="n">
        <x:f>'Resumen_Sedes'!F9</x:f>
        <x:v>0.5714285714285714</x:v>
      </x:c>
    </x:row>
    <x:row r="12">
      <x:c r="A12" s="66" t="str">
        <x:v>El formato relaciona accidente, investigación, acciones y cierre del evento para análisis operativo y gerencial.</x:v>
      </x:c>
    </x:row>
  </x:sheetData>
  <x:mergeCells>
    <x:mergeCell ref="A1:M1"/>
    <x:mergeCell ref="A3:B3"/>
    <x:mergeCell ref="D3:H3"/>
    <x:mergeCell ref="J3:M3"/>
    <x:mergeCell ref="A12:M12"/>
  </x:mergeCells>
  <x:conditionalFormatting sqref="B9:B9">
    <x:cfRule type="expression" dxfId="20" priority="1">
      <x:formula>B9&lt;0.8</x:formula>
    </x:cfRule>
    <x:cfRule type="expression" dxfId="21" priority="2">
      <x:formula>AND(B9&gt;=0.8,B9&lt;0.95)</x:formula>
    </x:cfRule>
    <x:cfRule type="expression" dxfId="22" priority="3">
      <x:formula>B9&gt;=0.95</x:formula>
    </x:cfRule>
  </x:conditionalFormatting>
  <x:conditionalFormatting sqref="K5:K10">
    <x:cfRule type="dataBar" priority="4">
      <x:dataBar>
        <x:cfvo type="min"/>
        <x:cfvo type="max"/>
        <x:color rgb="0EA5E9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L5:L10">
    <x:cfRule type="dataBar" priority="5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d4677d5c2e14b9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69BE573-5479-287D-BE93-74B15E11EBFA}">
            <x14:dataBar gradient="1">
              <x14:cfvo type="min"/>
              <x14:cfvo type="max"/>
              <x14:fillColor rgb="0EA5E9"/>
            </x14:dataBar>
          </x14:cfRule>
          <xm:sqref>K5:K10</xm:sqref>
        </x14:conditionalFormatting>
        <x14:conditionalFormatting>
          <x14:cfRule type="dataBar" priority="5" id="{C5593AA7-0028-5BEA-E3E0-8178783C1A47}">
            <x14:dataBar gradient="1">
              <x14:cfvo type="min"/>
              <x14:cfvo type="max"/>
              <x14:fillColor rgb="F59E0B"/>
            </x14:dataBar>
          </x14:cfRule>
          <xm:sqref>L5:L10</xm:sqref>
        </x14:conditionalFormatting>
      </x14:conditionalFormattings>
    </x:ext>
  </x:extLst>
</x:worksheet>
</file>