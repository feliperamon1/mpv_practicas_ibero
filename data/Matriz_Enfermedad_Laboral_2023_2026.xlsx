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08dfde97f34f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vo" sheetId="1" r:id="Rc1119097a89341f6"/>
    <x:sheet xmlns:r="http://schemas.openxmlformats.org/officeDocument/2006/relationships" name="Catálogos" sheetId="2" r:id="Ra399542b01134390"/>
    <x:sheet xmlns:r="http://schemas.openxmlformats.org/officeDocument/2006/relationships" name="Plantilla_Editable" sheetId="3" r:id="R8d3ee38cdd5f4712"/>
    <x:sheet xmlns:r="http://schemas.openxmlformats.org/officeDocument/2006/relationships" name="EL_2023" sheetId="4" r:id="R27a9df2a2d574974"/>
    <x:sheet xmlns:r="http://schemas.openxmlformats.org/officeDocument/2006/relationships" name="EL_2024" sheetId="5" r:id="R42c4281db35640d3"/>
    <x:sheet xmlns:r="http://schemas.openxmlformats.org/officeDocument/2006/relationships" name="EL_2025" sheetId="6" r:id="R40c1dd253eba488d"/>
    <x:sheet xmlns:r="http://schemas.openxmlformats.org/officeDocument/2006/relationships" name="EL_2026" sheetId="7" r:id="Ra673e5482f4144cb"/>
    <x:sheet xmlns:r="http://schemas.openxmlformats.org/officeDocument/2006/relationships" name="Consolidado" sheetId="8" r:id="R4e02b7640bf643bc"/>
    <x:sheet xmlns:r="http://schemas.openxmlformats.org/officeDocument/2006/relationships" name="Resumen_Anual" sheetId="9" r:id="R77c3310956e54d37"/>
    <x:sheet xmlns:r="http://schemas.openxmlformats.org/officeDocument/2006/relationships" name="Resumen_Sedes" sheetId="10" r:id="R74324a6057f04681"/>
    <x:sheet xmlns:r="http://schemas.openxmlformats.org/officeDocument/2006/relationships" name="Dashboard" sheetId="11" r:id="R4bfe3de2c3bc4f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@"/>
  </x:numFmts>
  <x:fonts count="7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i/>
      <x:sz val="10"/>
      <x:color rgb="6B7280"/>
      <x:name val="Carlito"/>
    </x:font>
    <x:font>
      <x:b/>
      <x:sz val="11"/>
      <x:color rgb="1F2937"/>
      <x:name val="Carlito"/>
    </x:font>
    <x:font>
      <x:b/>
      <x:sz val="18"/>
      <x:color rgb="1F4E78"/>
      <x:name val="Carlito"/>
    </x:font>
    <x:font>
      <x:i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3F4F6"/>
      </x:patternFill>
    </x:fill>
    <x:fill>
      <x:patternFill patternType="solid">
        <x:fgColor rgb="0F766E"/>
      </x:patternFill>
    </x:fill>
    <x:fill>
      <x:patternFill patternType="solid">
        <x:fgColor rgb="D9EAF7"/>
      </x:patternFill>
    </x:fill>
    <x:fill>
      <x:patternFill patternType="solid">
        <x:fgColor rgb="FFFFFF"/>
      </x:patternFill>
    </x:fill>
    <x:fill>
      <x:patternFill patternType="solid">
        <x:fgColor rgb="FFF2CC"/>
      </x:patternFill>
    </x:fill>
  </x:fills>
  <x:borders count="4">
    <x:border/>
    <x:border/>
    <x:border>
      <x:left style="thin">
        <x:color rgb="D1D5DB"/>
      </x:left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D1D5DB"/>
      </x:left>
      <x:right style="thin">
        <x:color rgb="D1D5DB"/>
      </x:right>
      <x:top style="thin">
        <x:color rgb="D1D5DB"/>
      </x:top>
      <x:bottom style="thin">
        <x:color rgb="D1D5DB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2" fillId="4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2" fillId="4" borderId="3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2" xfId="0" applyNumberFormat="1" applyFont="1" applyFill="1" applyBorder="1"/>
    <x:xf numFmtId="202" fontId="0" fillId="0" borderId="3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5" fillId="6" borderId="2" xfId="0" applyNumberFormat="1" applyFont="1" applyFill="1" applyBorder="1" applyAlignment="1">
      <x:alignment horizontal="center" vertical="center"/>
    </x:xf>
    <x:xf numFmtId="0" fontId="5" fillId="6" borderId="3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201" fontId="5" fillId="6" borderId="2" xfId="0" applyNumberFormat="1" applyFont="1" applyFill="1" applyBorder="1" applyAlignment="1">
      <x:alignment horizontal="center" vertical="center"/>
    </x:xf>
    <x:xf numFmtId="201" fontId="5" fillId="6" borderId="3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35">
    <x:dxf>
      <x:fill>
        <x:patternFill patternType="solid">
          <x:bgColor rgb="D9EAD3"/>
        </x:patternFill>
      </x:fill>
    </x:dxf>
    <x:dxf>
      <x:fill>
        <x:patternFill patternType="solid">
          <x:bgColor rgb="FCE5CD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4CCCC"/>
        </x:patternFill>
      </x:fill>
    </x:dxf>
    <x:dxf>
      <x:font>
        <x:b/>
        <x:color rgb="B91C1C"/>
      </x:font>
    </x:dxf>
    <x:dxf>
      <x:font>
        <x:b/>
        <x:color rgb="B91C1C"/>
      </x:font>
    </x:dxf>
    <x:dxf>
      <x:fill>
        <x:patternFill patternType="solid">
          <x:bgColor rgb="D9EAD3"/>
        </x:patternFill>
      </x:fill>
    </x:dxf>
    <x:dxf>
      <x:fill>
        <x:patternFill patternType="solid">
          <x:bgColor rgb="FCE5CD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4CCCC"/>
        </x:patternFill>
      </x:fill>
    </x:dxf>
    <x:dxf>
      <x:font>
        <x:b/>
        <x:color rgb="B91C1C"/>
      </x:font>
    </x:dxf>
    <x:dxf>
      <x:font>
        <x:b/>
        <x:color rgb="B91C1C"/>
      </x:font>
    </x:dxf>
    <x:dxf>
      <x:fill>
        <x:patternFill patternType="solid">
          <x:bgColor rgb="D9EAD3"/>
        </x:patternFill>
      </x:fill>
    </x:dxf>
    <x:dxf>
      <x:fill>
        <x:patternFill patternType="solid">
          <x:bgColor rgb="FCE5CD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4CCCC"/>
        </x:patternFill>
      </x:fill>
    </x:dxf>
    <x:dxf>
      <x:font>
        <x:b/>
        <x:color rgb="B91C1C"/>
      </x:font>
    </x:dxf>
    <x:dxf>
      <x:font>
        <x:b/>
        <x:color rgb="B91C1C"/>
      </x:font>
    </x:dxf>
    <x:dxf>
      <x:fill>
        <x:patternFill patternType="solid">
          <x:bgColor rgb="D9EAD3"/>
        </x:patternFill>
      </x:fill>
    </x:dxf>
    <x:dxf>
      <x:fill>
        <x:patternFill patternType="solid">
          <x:bgColor rgb="FCE5CD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4CCCC"/>
        </x:patternFill>
      </x:fill>
    </x:dxf>
    <x:dxf>
      <x:font>
        <x:b/>
        <x:color rgb="B91C1C"/>
      </x:font>
    </x:dxf>
    <x:dxf>
      <x:font>
        <x:b/>
        <x:color rgb="B91C1C"/>
      </x:font>
    </x:dxf>
    <x:dxf>
      <x:fill>
        <x:patternFill patternType="solid">
          <x:bgColor rgb="D9EAD3"/>
        </x:patternFill>
      </x:fill>
    </x:dxf>
    <x:dxf>
      <x:fill>
        <x:patternFill patternType="solid">
          <x:bgColor rgb="FCE5CD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4CCCC"/>
        </x:patternFill>
      </x:fill>
    </x:dxf>
    <x:dxf>
      <x:font>
        <x:b/>
        <x:color rgb="B91C1C"/>
      </x:font>
    </x:dxf>
    <x:dxf>
      <x:font>
        <x:b/>
        <x:color rgb="B91C1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da2b0ee5c24ae7" /><Relationship Type="http://schemas.openxmlformats.org/officeDocument/2006/relationships/theme" Target="/xl/theme/theme1.xml" Id="R10df65d619e846d5" /><Relationship Type="http://schemas.openxmlformats.org/officeDocument/2006/relationships/sharedStrings" Target="/xl/sharedStrings.xml" Id="Rd79f6fb2178040eb" /><Relationship Type="http://schemas.openxmlformats.org/officeDocument/2006/relationships/worksheet" Target="/xl/worksheets/sheet1.xml" Id="Rc1119097a89341f6" /><Relationship Type="http://schemas.openxmlformats.org/officeDocument/2006/relationships/worksheet" Target="/xl/worksheets/sheet2.xml" Id="Ra399542b01134390" /><Relationship Type="http://schemas.openxmlformats.org/officeDocument/2006/relationships/worksheet" Target="/xl/worksheets/sheet3.xml" Id="R8d3ee38cdd5f4712" /><Relationship Type="http://schemas.openxmlformats.org/officeDocument/2006/relationships/worksheet" Target="/xl/worksheets/sheet4.xml" Id="R27a9df2a2d574974" /><Relationship Type="http://schemas.openxmlformats.org/officeDocument/2006/relationships/worksheet" Target="/xl/worksheets/sheet5.xml" Id="R42c4281db35640d3" /><Relationship Type="http://schemas.openxmlformats.org/officeDocument/2006/relationships/worksheet" Target="/xl/worksheets/sheet6.xml" Id="R40c1dd253eba488d" /><Relationship Type="http://schemas.openxmlformats.org/officeDocument/2006/relationships/worksheet" Target="/xl/worksheets/sheet7.xml" Id="Ra673e5482f4144cb" /><Relationship Type="http://schemas.openxmlformats.org/officeDocument/2006/relationships/worksheet" Target="/xl/worksheets/sheet8.xml" Id="R4e02b7640bf643bc" /><Relationship Type="http://schemas.openxmlformats.org/officeDocument/2006/relationships/worksheet" Target="/xl/worksheets/sheet9.xml" Id="R77c3310956e54d37" /><Relationship Type="http://schemas.openxmlformats.org/officeDocument/2006/relationships/worksheet" Target="/xl/worksheets/sheet10.xml" Id="R74324a6057f04681" /><Relationship Type="http://schemas.openxmlformats.org/officeDocument/2006/relationships/worksheet" Target="/xl/worksheets/sheet11.xml" Id="R4bfe3de2c3bc4f7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18bfd70dbbc4598" /><Relationship Type="http://schemas.openxmlformats.org/officeDocument/2006/relationships/chart" Target="/xl/drawings/charts/chart2.xml" Id="Rab79a14b277a4a35" /><Relationship Type="http://schemas.openxmlformats.org/officeDocument/2006/relationships/chart" Target="/xl/drawings/charts/chart3.xml" Id="Rf29bcec48b41461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Casos, casos laborales y cerrados por año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N.º Casos</c:v>
          </c:tx>
          <c:cat>
            <c:strRef>
              <c:f>'Dashboard'!$A$12:$A$15</c:f>
              <c:strCache>
                <c:ptCount val="0"/>
              </c:strCache>
            </c:strRef>
          </c:cat>
          <c:val>
            <c:numRef>
              <c:f>'Dashboard'!$B$12:$B$15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Casos laborales</c:v>
          </c:tx>
          <c:cat>
            <c:strRef>
              <c:f>'Dashboard'!$A$12:$A$15</c:f>
              <c:strCache>
                <c:ptCount val="0"/>
              </c:strCache>
            </c:strRef>
          </c:cat>
          <c:val>
            <c:numRef>
              <c:f>'Dashboard'!$C$12:$C$15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Casos cerrados</c:v>
          </c:tx>
          <c:cat>
            <c:strRef>
              <c:f>'Dashboard'!$A$12:$A$15</c:f>
              <c:strCache>
                <c:ptCount val="0"/>
              </c:strCache>
            </c:strRef>
          </c:cat>
          <c:val>
            <c:numRef>
              <c:f>'Dashboard'!$D$12:$D$15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Investigación, cierre y días promedio por año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N.º Casos</c:v>
          </c:tx>
          <c:cat>
            <c:strRef>
              <c:f>'Dashboard'!$A$12:$A$15</c:f>
              <c:strCache>
                <c:ptCount val="0"/>
              </c:strCache>
            </c:strRef>
          </c:cat>
          <c:val>
            <c:numRef>
              <c:f>'Dashboard'!$B$12:$B$15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Casos laborales</c:v>
          </c:tx>
          <c:cat>
            <c:strRef>
              <c:f>'Dashboard'!$A$12:$A$15</c:f>
              <c:strCache>
                <c:ptCount val="0"/>
              </c:strCache>
            </c:strRef>
          </c:cat>
          <c:val>
            <c:numRef>
              <c:f>'Dashboard'!$C$12:$C$15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Casos cerrados</c:v>
          </c:tx>
          <c:cat>
            <c:strRef>
              <c:f>'Dashboard'!$A$12:$A$15</c:f>
              <c:strCache>
                <c:ptCount val="0"/>
              </c:strCache>
            </c:strRef>
          </c:cat>
          <c:val>
            <c:numRef>
              <c:f>'Dashboard'!$D$12:$D$15</c:f>
              <c:numCache>
                <c:formatCode/>
                <c:ptCount val="0"/>
              </c:numCache>
            </c:numRef>
          </c:val>
        </c:ser>
        <c:ser>
          <c:idx val="3"/>
          <c:order val="3"/>
          <c:tx>
            <c:v>Investigación oportuna</c:v>
          </c:tx>
          <c:cat>
            <c:strRef>
              <c:f>'Dashboard'!$A$12:$A$15</c:f>
              <c:strCache>
                <c:ptCount val="0"/>
              </c:strCache>
            </c:strRef>
          </c:cat>
          <c:val>
            <c:numRef>
              <c:f>'Dashboard'!$E$12:$E$15</c:f>
              <c:numCache>
                <c:formatCode/>
                <c:ptCount val="0"/>
              </c:numCache>
            </c:numRef>
          </c:val>
        </c:ser>
        <c:ser>
          <c:idx val="4"/>
          <c:order val="4"/>
          <c:tx>
            <c:v>Cierre oportuno</c:v>
          </c:tx>
          <c:cat>
            <c:strRef>
              <c:f>'Dashboard'!$A$12:$A$15</c:f>
              <c:strCache>
                <c:ptCount val="0"/>
              </c:strCache>
            </c:strRef>
          </c:cat>
          <c:val>
            <c:numRef>
              <c:f>'Dashboard'!$F$12:$F$15</c:f>
              <c:numCache>
                <c:formatCode/>
                <c:ptCount val="0"/>
              </c:numCache>
            </c:numRef>
          </c:val>
        </c:ser>
        <c:ser>
          <c:idx val="5"/>
          <c:order val="5"/>
          <c:tx>
            <c:v>Promedio días gestión</c:v>
          </c:tx>
          <c:cat>
            <c:strRef>
              <c:f>'Dashboard'!$A$12:$A$15</c:f>
              <c:strCache>
                <c:ptCount val="0"/>
              </c:strCache>
            </c:strRef>
          </c:cat>
          <c:val>
            <c:numRef>
              <c:f>'Dashboard'!$G$12:$G$15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Casos y cierres por sede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N.º Casos</c:v>
          </c:tx>
          <c:cat>
            <c:strRef>
              <c:f>'Resumen_Sedes'!$A$4:$A$14</c:f>
              <c:strCache>
                <c:ptCount val="0"/>
              </c:strCache>
            </c:strRef>
          </c:cat>
          <c:val>
            <c:numRef>
              <c:f>'Resumen_Sedes'!$B$4:$B$14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Casos cerrados</c:v>
          </c:tx>
          <c:cat>
            <c:strRef>
              <c:f>'Resumen_Sedes'!$A$4:$A$14</c:f>
              <c:strCache>
                <c:ptCount val="0"/>
              </c:strCache>
            </c:strRef>
          </c:cat>
          <c:val>
            <c:numRef>
              <c:f>'Resumen_Sedes'!$C$4:$C$14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10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8bfd70dbbc4598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8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79a14b277a4a35"/>
        </a:graphicData>
      </a:graphic>
    </xdr:graphicFrame>
    <xdr:clientData/>
  </xdr:twoCellAnchor>
  <xdr:twoCellAnchor>
    <xdr:from>
      <xdr:col>9</xdr:col>
      <xdr:colOff>0</xdr:colOff>
      <xdr:row>25</xdr:row>
      <xdr:rowOff>0</xdr:rowOff>
    </xdr:from>
    <xdr:to>
      <xdr:col>17</xdr:col>
      <xdr:colOff>0</xdr:colOff>
      <xdr:row>43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29bcec48b41461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_Plantilla_Editable" displayName="Tbl_Plantilla_Editable" ref="A4:AG14" headerRowCount="1">
  <x:tableColumns count="33">
    <x:tableColumn id="1" name="Caso_ID"/>
    <x:tableColumn id="2" name="Fecha_Apertura"/>
    <x:tableColumn id="3" name="Fecha_Diagnostico"/>
    <x:tableColumn id="4" name="Año"/>
    <x:tableColumn id="5" name="Sede"/>
    <x:tableColumn id="6" name="Nombre_Trabajador"/>
    <x:tableColumn id="7" name="Identificación"/>
    <x:tableColumn id="8" name="Cargo"/>
    <x:tableColumn id="9" name="Área_Proceso"/>
    <x:tableColumn id="10" name="ARL"/>
    <x:tableColumn id="11" name="Tipo_Enfermedad"/>
    <x:tableColumn id="12" name="Dx_Presuntivo_CIE10"/>
    <x:tableColumn id="13" name="Dx_Confirmado_CIE10"/>
    <x:tableColumn id="14" name="Factor_Riesgo_Asociado"/>
    <x:tableColumn id="15" name="Peligro_Relacionado"/>
    <x:tableColumn id="16" name="Origen_Sospecha"/>
    <x:tableColumn id="17" name="Fecha_Reporte_ARL"/>
    <x:tableColumn id="18" name="Fecha_Calificación"/>
    <x:tableColumn id="19" name="Resultado_Calificación"/>
    <x:tableColumn id="20" name="Investigación_Realizada"/>
    <x:tableColumn id="21" name="Fecha_Investigación"/>
    <x:tableColumn id="22" name="Investigación_Oportuna"/>
    <x:tableColumn id="23" name="Descripción_Caso"/>
    <x:tableColumn id="24" name="Restricciones_Médicas"/>
    <x:tableColumn id="25" name="Reubicación_Laboral"/>
    <x:tableColumn id="26" name="PVE_Activado"/>
    <x:tableColumn id="27" name="Acciones_Intervención"/>
    <x:tableColumn id="28" name="Responsable_Seguimiento"/>
    <x:tableColumn id="29" name="Estado_Caso"/>
    <x:tableColumn id="30" name="Fecha_Cierre"/>
    <x:tableColumn id="31" name="Días_Gestión"/>
    <x:tableColumn id="32" name="Cierre_Oportuno"/>
    <x:tableColumn id="33" name="Observaciones"/>
  </x:tableColumns>
  <x:tableStyleInfo name="TableStyleMedium2" showRowStripes="1"/>
</x:table>
</file>

<file path=xl/tables/table2.xml><?xml version="1.0" encoding="utf-8"?>
<x:table xmlns:x="http://schemas.openxmlformats.org/spreadsheetml/2006/main" id="2" name="Tbl_EL_2023" displayName="Tbl_EL_2023" ref="A4:AG14" headerRowCount="1">
  <x:tableColumns count="33">
    <x:tableColumn id="1" name="Caso_ID"/>
    <x:tableColumn id="2" name="Fecha_Apertura"/>
    <x:tableColumn id="3" name="Fecha_Diagnostico"/>
    <x:tableColumn id="4" name="Año"/>
    <x:tableColumn id="5" name="Sede"/>
    <x:tableColumn id="6" name="Nombre_Trabajador"/>
    <x:tableColumn id="7" name="Identificación"/>
    <x:tableColumn id="8" name="Cargo"/>
    <x:tableColumn id="9" name="Área_Proceso"/>
    <x:tableColumn id="10" name="ARL"/>
    <x:tableColumn id="11" name="Tipo_Enfermedad"/>
    <x:tableColumn id="12" name="Dx_Presuntivo_CIE10"/>
    <x:tableColumn id="13" name="Dx_Confirmado_CIE10"/>
    <x:tableColumn id="14" name="Factor_Riesgo_Asociado"/>
    <x:tableColumn id="15" name="Peligro_Relacionado"/>
    <x:tableColumn id="16" name="Origen_Sospecha"/>
    <x:tableColumn id="17" name="Fecha_Reporte_ARL"/>
    <x:tableColumn id="18" name="Fecha_Calificación"/>
    <x:tableColumn id="19" name="Resultado_Calificación"/>
    <x:tableColumn id="20" name="Investigación_Realizada"/>
    <x:tableColumn id="21" name="Fecha_Investigación"/>
    <x:tableColumn id="22" name="Investigación_Oportuna"/>
    <x:tableColumn id="23" name="Descripción_Caso"/>
    <x:tableColumn id="24" name="Restricciones_Médicas"/>
    <x:tableColumn id="25" name="Reubicación_Laboral"/>
    <x:tableColumn id="26" name="PVE_Activado"/>
    <x:tableColumn id="27" name="Acciones_Intervención"/>
    <x:tableColumn id="28" name="Responsable_Seguimiento"/>
    <x:tableColumn id="29" name="Estado_Caso"/>
    <x:tableColumn id="30" name="Fecha_Cierre"/>
    <x:tableColumn id="31" name="Días_Gestión"/>
    <x:tableColumn id="32" name="Cierre_Oportuno"/>
    <x:tableColumn id="33" name="Observaciones"/>
  </x:tableColumns>
  <x:tableStyleInfo name="TableStyleMedium2" showRowStripes="1"/>
</x:table>
</file>

<file path=xl/tables/table3.xml><?xml version="1.0" encoding="utf-8"?>
<x:table xmlns:x="http://schemas.openxmlformats.org/spreadsheetml/2006/main" id="3" name="Tbl_EL_2024" displayName="Tbl_EL_2024" ref="A4:AG14" headerRowCount="1">
  <x:tableColumns count="33">
    <x:tableColumn id="1" name="Caso_ID"/>
    <x:tableColumn id="2" name="Fecha_Apertura"/>
    <x:tableColumn id="3" name="Fecha_Diagnostico"/>
    <x:tableColumn id="4" name="Año"/>
    <x:tableColumn id="5" name="Sede"/>
    <x:tableColumn id="6" name="Nombre_Trabajador"/>
    <x:tableColumn id="7" name="Identificación"/>
    <x:tableColumn id="8" name="Cargo"/>
    <x:tableColumn id="9" name="Área_Proceso"/>
    <x:tableColumn id="10" name="ARL"/>
    <x:tableColumn id="11" name="Tipo_Enfermedad"/>
    <x:tableColumn id="12" name="Dx_Presuntivo_CIE10"/>
    <x:tableColumn id="13" name="Dx_Confirmado_CIE10"/>
    <x:tableColumn id="14" name="Factor_Riesgo_Asociado"/>
    <x:tableColumn id="15" name="Peligro_Relacionado"/>
    <x:tableColumn id="16" name="Origen_Sospecha"/>
    <x:tableColumn id="17" name="Fecha_Reporte_ARL"/>
    <x:tableColumn id="18" name="Fecha_Calificación"/>
    <x:tableColumn id="19" name="Resultado_Calificación"/>
    <x:tableColumn id="20" name="Investigación_Realizada"/>
    <x:tableColumn id="21" name="Fecha_Investigación"/>
    <x:tableColumn id="22" name="Investigación_Oportuna"/>
    <x:tableColumn id="23" name="Descripción_Caso"/>
    <x:tableColumn id="24" name="Restricciones_Médicas"/>
    <x:tableColumn id="25" name="Reubicación_Laboral"/>
    <x:tableColumn id="26" name="PVE_Activado"/>
    <x:tableColumn id="27" name="Acciones_Intervención"/>
    <x:tableColumn id="28" name="Responsable_Seguimiento"/>
    <x:tableColumn id="29" name="Estado_Caso"/>
    <x:tableColumn id="30" name="Fecha_Cierre"/>
    <x:tableColumn id="31" name="Días_Gestión"/>
    <x:tableColumn id="32" name="Cierre_Oportuno"/>
    <x:tableColumn id="33" name="Observaciones"/>
  </x:tableColumns>
  <x:tableStyleInfo name="TableStyleMedium2" showRowStripes="1"/>
</x:table>
</file>

<file path=xl/tables/table4.xml><?xml version="1.0" encoding="utf-8"?>
<x:table xmlns:x="http://schemas.openxmlformats.org/spreadsheetml/2006/main" id="4" name="Tbl_EL_2025" displayName="Tbl_EL_2025" ref="A4:AG14" headerRowCount="1">
  <x:tableColumns count="33">
    <x:tableColumn id="1" name="Caso_ID"/>
    <x:tableColumn id="2" name="Fecha_Apertura"/>
    <x:tableColumn id="3" name="Fecha_Diagnostico"/>
    <x:tableColumn id="4" name="Año"/>
    <x:tableColumn id="5" name="Sede"/>
    <x:tableColumn id="6" name="Nombre_Trabajador"/>
    <x:tableColumn id="7" name="Identificación"/>
    <x:tableColumn id="8" name="Cargo"/>
    <x:tableColumn id="9" name="Área_Proceso"/>
    <x:tableColumn id="10" name="ARL"/>
    <x:tableColumn id="11" name="Tipo_Enfermedad"/>
    <x:tableColumn id="12" name="Dx_Presuntivo_CIE10"/>
    <x:tableColumn id="13" name="Dx_Confirmado_CIE10"/>
    <x:tableColumn id="14" name="Factor_Riesgo_Asociado"/>
    <x:tableColumn id="15" name="Peligro_Relacionado"/>
    <x:tableColumn id="16" name="Origen_Sospecha"/>
    <x:tableColumn id="17" name="Fecha_Reporte_ARL"/>
    <x:tableColumn id="18" name="Fecha_Calificación"/>
    <x:tableColumn id="19" name="Resultado_Calificación"/>
    <x:tableColumn id="20" name="Investigación_Realizada"/>
    <x:tableColumn id="21" name="Fecha_Investigación"/>
    <x:tableColumn id="22" name="Investigación_Oportuna"/>
    <x:tableColumn id="23" name="Descripción_Caso"/>
    <x:tableColumn id="24" name="Restricciones_Médicas"/>
    <x:tableColumn id="25" name="Reubicación_Laboral"/>
    <x:tableColumn id="26" name="PVE_Activado"/>
    <x:tableColumn id="27" name="Acciones_Intervención"/>
    <x:tableColumn id="28" name="Responsable_Seguimiento"/>
    <x:tableColumn id="29" name="Estado_Caso"/>
    <x:tableColumn id="30" name="Fecha_Cierre"/>
    <x:tableColumn id="31" name="Días_Gestión"/>
    <x:tableColumn id="32" name="Cierre_Oportuno"/>
    <x:tableColumn id="33" name="Observaciones"/>
  </x:tableColumns>
  <x:tableStyleInfo name="TableStyleMedium2" showRowStripes="1"/>
</x:table>
</file>

<file path=xl/tables/table5.xml><?xml version="1.0" encoding="utf-8"?>
<x:table xmlns:x="http://schemas.openxmlformats.org/spreadsheetml/2006/main" id="5" name="Tbl_EL_2026" displayName="Tbl_EL_2026" ref="A4:AG14" headerRowCount="1">
  <x:tableColumns count="33">
    <x:tableColumn id="1" name="Caso_ID"/>
    <x:tableColumn id="2" name="Fecha_Apertura"/>
    <x:tableColumn id="3" name="Fecha_Diagnostico"/>
    <x:tableColumn id="4" name="Año"/>
    <x:tableColumn id="5" name="Sede"/>
    <x:tableColumn id="6" name="Nombre_Trabajador"/>
    <x:tableColumn id="7" name="Identificación"/>
    <x:tableColumn id="8" name="Cargo"/>
    <x:tableColumn id="9" name="Área_Proceso"/>
    <x:tableColumn id="10" name="ARL"/>
    <x:tableColumn id="11" name="Tipo_Enfermedad"/>
    <x:tableColumn id="12" name="Dx_Presuntivo_CIE10"/>
    <x:tableColumn id="13" name="Dx_Confirmado_CIE10"/>
    <x:tableColumn id="14" name="Factor_Riesgo_Asociado"/>
    <x:tableColumn id="15" name="Peligro_Relacionado"/>
    <x:tableColumn id="16" name="Origen_Sospecha"/>
    <x:tableColumn id="17" name="Fecha_Reporte_ARL"/>
    <x:tableColumn id="18" name="Fecha_Calificación"/>
    <x:tableColumn id="19" name="Resultado_Calificación"/>
    <x:tableColumn id="20" name="Investigación_Realizada"/>
    <x:tableColumn id="21" name="Fecha_Investigación"/>
    <x:tableColumn id="22" name="Investigación_Oportuna"/>
    <x:tableColumn id="23" name="Descripción_Caso"/>
    <x:tableColumn id="24" name="Restricciones_Médicas"/>
    <x:tableColumn id="25" name="Reubicación_Laboral"/>
    <x:tableColumn id="26" name="PVE_Activado"/>
    <x:tableColumn id="27" name="Acciones_Intervención"/>
    <x:tableColumn id="28" name="Responsable_Seguimiento"/>
    <x:tableColumn id="29" name="Estado_Caso"/>
    <x:tableColumn id="30" name="Fecha_Cierre"/>
    <x:tableColumn id="31" name="Días_Gestión"/>
    <x:tableColumn id="32" name="Cierre_Oportuno"/>
    <x:tableColumn id="33" name="Observaciones"/>
  </x:tableColumns>
  <x:tableStyleInfo name="TableStyleMedium2" showRowStripes="1"/>
</x:table>
</file>

<file path=xl/tables/table6.xml><?xml version="1.0" encoding="utf-8"?>
<x:table xmlns:x="http://schemas.openxmlformats.org/spreadsheetml/2006/main" id="6" name="Tbl_Consolidado" displayName="Tbl_Consolidado" ref="A3:AG7" headerRowCount="1">
  <x:tableColumns count="33">
    <x:tableColumn id="1" name="Caso_ID"/>
    <x:tableColumn id="2" name="Fecha_Apertura"/>
    <x:tableColumn id="3" name="Fecha_Diagnostico"/>
    <x:tableColumn id="4" name="Año"/>
    <x:tableColumn id="5" name="Sede"/>
    <x:tableColumn id="6" name="Nombre_Trabajador"/>
    <x:tableColumn id="7" name="Identificación"/>
    <x:tableColumn id="8" name="Cargo"/>
    <x:tableColumn id="9" name="Área_Proceso"/>
    <x:tableColumn id="10" name="ARL"/>
    <x:tableColumn id="11" name="Tipo_Enfermedad"/>
    <x:tableColumn id="12" name="Dx_Presuntivo_CIE10"/>
    <x:tableColumn id="13" name="Dx_Confirmado_CIE10"/>
    <x:tableColumn id="14" name="Factor_Riesgo_Asociado"/>
    <x:tableColumn id="15" name="Peligro_Relacionado"/>
    <x:tableColumn id="16" name="Origen_Sospecha"/>
    <x:tableColumn id="17" name="Fecha_Reporte_ARL"/>
    <x:tableColumn id="18" name="Fecha_Calificación"/>
    <x:tableColumn id="19" name="Resultado_Calificación"/>
    <x:tableColumn id="20" name="Investigación_Realizada"/>
    <x:tableColumn id="21" name="Fecha_Investigación"/>
    <x:tableColumn id="22" name="Investigación_Oportuna"/>
    <x:tableColumn id="23" name="Descripción_Caso"/>
    <x:tableColumn id="24" name="Restricciones_Médicas"/>
    <x:tableColumn id="25" name="Reubicación_Laboral"/>
    <x:tableColumn id="26" name="PVE_Activado"/>
    <x:tableColumn id="27" name="Acciones_Intervención"/>
    <x:tableColumn id="28" name="Responsable_Seguimiento"/>
    <x:tableColumn id="29" name="Estado_Caso"/>
    <x:tableColumn id="30" name="Fecha_Cierre"/>
    <x:tableColumn id="31" name="Días_Gestión"/>
    <x:tableColumn id="32" name="Cierre_Oportuno"/>
    <x:tableColumn id="33" name="Observaciones"/>
  </x:tableColumns>
  <x:tableStyleInfo name="TableStyleMedium2" showRowStripes="1"/>
</x:table>
</file>

<file path=xl/tables/table7.xml><?xml version="1.0" encoding="utf-8"?>
<x:table xmlns:x="http://schemas.openxmlformats.org/spreadsheetml/2006/main" id="7" name="Tbl_ResumenAnual" displayName="Tbl_ResumenAnual" ref="A3:H7" headerRowCount="1">
  <x:tableColumns count="8">
    <x:tableColumn id="1" name="Año"/>
    <x:tableColumn id="2" name="N.º Casos"/>
    <x:tableColumn id="3" name="Casos laborales"/>
    <x:tableColumn id="4" name="Casos cerrados"/>
    <x:tableColumn id="5" name="Investigación oportuna"/>
    <x:tableColumn id="6" name="Cierre oportuno"/>
    <x:tableColumn id="7" name="Promedio días gestión"/>
    <x:tableColumn id="8" name="Factor predominante"/>
  </x:tableColumns>
  <x:tableStyleInfo name="TableStyleMedium2" showRowStripes="1"/>
</x:table>
</file>

<file path=xl/tables/table8.xml><?xml version="1.0" encoding="utf-8"?>
<x:table xmlns:x="http://schemas.openxmlformats.org/spreadsheetml/2006/main" id="8" name="Tbl_ResumenSedes" displayName="Tbl_ResumenSedes" ref="A3:F14" headerRowCount="1">
  <x:tableColumns count="6">
    <x:tableColumn id="1" name="Sede"/>
    <x:tableColumn id="2" name="N.º Casos"/>
    <x:tableColumn id="3" name="Casos cerrados"/>
    <x:tableColumn id="4" name="Promedio días gestión"/>
    <x:tableColumn id="5" name="Resultado predominante"/>
    <x:tableColumn id="6" name="Último cas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2ad304478be40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86a1fd0df6141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3b0b5123fb34d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7bfa594675d420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2e8fecf93db41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cc6d61ba471440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b16972b384b94c5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b31a300b11a344f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60ace115fcbe432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</x:cols>
  <x:sheetData>
    <x:row r="1">
      <x:c r="A1" s="5" t="str">
        <x:v>Matriz de Enfermedad Laboral 2023-2026 (corte a mayo 2026)</x:v>
      </x:c>
      <x:c r="B1" s="5"/>
      <x:c r="C1" s="5"/>
      <x:c r="D1" s="5"/>
      <x:c r="E1" s="5"/>
      <x:c r="F1" s="5"/>
      <x:c r="G1" s="5"/>
      <x:c r="H1" s="5"/>
    </x:row>
    <x:row r="2" ht="36" customHeight="1">
      <x:c r="A2" s="11" t="str">
        <x:v>Formato diseñado para registrar casos de enfermedad laboral, su investigación, seguimiento y cierre, con enfoque en SG-SST y trazabilidad para Excel, Google Sheets y Looker Studio.</x:v>
      </x:c>
      <x:c r="B2" s="11"/>
      <x:c r="C2" s="11"/>
      <x:c r="D2" s="11"/>
      <x:c r="E2" s="11"/>
      <x:c r="F2" s="11"/>
      <x:c r="G2" s="11"/>
      <x:c r="H2" s="11"/>
    </x:row>
    <x:row r="4">
      <x:c r="A4" s="22" t="str">
        <x:v>Campo</x:v>
      </x:c>
      <x:c r="B4" s="22" t="str">
        <x:v>Descripción</x:v>
      </x:c>
    </x:row>
    <x:row r="5">
      <x:c r="A5" s="23" t="str">
        <x:v>Caso_ID</x:v>
      </x:c>
      <x:c r="B5" s="23" t="str">
        <x:v>Código único del caso de enfermedad laboral.</x:v>
      </x:c>
    </x:row>
    <x:row r="6">
      <x:c r="A6" s="23" t="str">
        <x:v>Fecha_Apertura</x:v>
      </x:c>
      <x:c r="B6" s="23" t="str">
        <x:v>Fecha en la cual se abre la gestión del caso.</x:v>
      </x:c>
    </x:row>
    <x:row r="7">
      <x:c r="A7" s="23" t="str">
        <x:v>Fecha_Diagnostico</x:v>
      </x:c>
      <x:c r="B7" s="23" t="str">
        <x:v>Fecha de diagnóstico presuntivo o confirmado.</x:v>
      </x:c>
    </x:row>
    <x:row r="8">
      <x:c r="A8" s="23" t="str">
        <x:v>Resultado_Calificación</x:v>
      </x:c>
      <x:c r="B8" s="23" t="str">
        <x:v>Resultado de calificación de origen: Laboral, Común o Pendiente.</x:v>
      </x:c>
    </x:row>
    <x:row r="9">
      <x:c r="A9" s="23" t="str">
        <x:v>Investigación_Oportuna</x:v>
      </x:c>
      <x:c r="B9" s="23" t="str">
        <x:v>Se calcula con SI/NO según si la investigación se realizó dentro de los 15 días posteriores a la apertura del caso.</x:v>
      </x:c>
    </x:row>
    <x:row r="10">
      <x:c r="A10" s="23" t="str">
        <x:v>Días_Gestión</x:v>
      </x:c>
      <x:c r="B10" s="23" t="str">
        <x:v>Días calendario transcurridos entre apertura y cierre del caso. Si el caso está abierto, muestra el tiempo transcurrido hasta la fecha actual.</x:v>
      </x:c>
    </x:row>
    <x:row r="11">
      <x:c r="A11" s="23" t="str">
        <x:v>Cierre_Oportuno</x:v>
      </x:c>
      <x:c r="B11" s="23" t="str">
        <x:v>Evalúa SI/NO según si el caso cerrado se gestionó dentro de los 90 días posteriores a la fecha de calificación del origen.</x:v>
      </x:c>
    </x:row>
    <x:row r="12">
      <x:c r="A12" s="23" t="str">
        <x:v>Estado_Caso</x:v>
      </x:c>
      <x:c r="B12" s="23" t="str">
        <x:v>Abierto, En seguimiento o Cerrado.</x:v>
      </x:c>
    </x:row>
    <x:row r="14">
      <x:c r="A14" s="22" t="str">
        <x:v>Supuestos de simulación</x:v>
      </x:c>
      <x:c r="B14" s="22" t="str">
        <x:v>Detalle</x:v>
      </x:c>
    </x:row>
    <x:row r="15">
      <x:c r="A15" s="23" t="str">
        <x:v>Periodo simulado</x:v>
      </x:c>
      <x:c r="B15" s="23" t="str">
        <x:v>2023, 2024, 2025 y 2026 (corte a mayo).</x:v>
      </x:c>
    </x:row>
    <x:row r="16">
      <x:c r="A16" s="23" t="str">
        <x:v>Número de casos</x:v>
      </x:c>
      <x:c r="B16" s="23" t="str">
        <x:v>2023: 1 caso; 2024: 2 casos; 2025: 0 casos; 2026: 1 caso.</x:v>
      </x:c>
    </x:row>
    <x:row r="17">
      <x:c r="A17" s="23" t="str">
        <x:v>Sector de referencia</x:v>
      </x:c>
      <x:c r="B17" s="23" t="str">
        <x:v>Vigilancia y seguridad privada.</x:v>
      </x:c>
    </x:row>
    <x:row r="18">
      <x:c r="A18" s="23" t="str">
        <x:v>Enfoque del formato</x:v>
      </x:c>
      <x:c r="B18" s="23" t="str">
        <x:v>Incluye datos del evento, investigación, seguimiento y cierre.</x:v>
      </x:c>
    </x:row>
    <x:row r="20">
      <x:c r="A20" s="26" t="str">
        <x:v>Nota: la hoja Plantilla_Editable contiene validaciones y fórmulas base para replicar nuevos registros.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>
      <x:c r="A1" s="22" t="str">
        <x:v>Sedes</x:v>
      </x:c>
      <x:c r="B1" s="22" t="str">
        <x:v>Factores_Riesgo</x:v>
      </x:c>
      <x:c r="C1" s="22" t="str">
        <x:v>Resultado_Calificación</x:v>
      </x:c>
      <x:c r="D1" s="22" t="str">
        <x:v>Sí_No</x:v>
      </x:c>
      <x:c r="E1" s="22" t="str">
        <x:v>PVE_y_Reubicación</x:v>
      </x:c>
      <x:c r="F1" s="22" t="str">
        <x:v>Estado_Caso</x:v>
      </x:c>
      <x:c r="G1" s="22" t="str">
        <x:v>Origen_Sospecha</x:v>
      </x:c>
      <x:c r="H1" s="22" t="str">
        <x:v>ARL</x:v>
      </x:c>
      <x:c r="I1" s="22" t="str">
        <x:v>Áreas</x:v>
      </x:c>
      <x:c r="J1" s="22" t="str">
        <x:v>Cargos</x:v>
      </x:c>
      <x:c r="K1" s="22" t="str">
        <x:v>Tipo_Enfermedad</x:v>
      </x:c>
      <x:c r="L1" s="22" t="str">
        <x:v>Peligro_Relacionado</x:v>
      </x:c>
      <x:c r="M1" s="22" t="str">
        <x:v>Responsables</x:v>
      </x:c>
    </x:row>
    <x:row r="2">
      <x:c r="A2" s="23" t="str">
        <x:v>Cúcuta</x:v>
      </x:c>
      <x:c r="B2" s="23" t="str">
        <x:v>Biomecánico</x:v>
      </x:c>
      <x:c r="C2" s="23" t="str">
        <x:v>Laboral</x:v>
      </x:c>
      <x:c r="D2" s="23" t="str">
        <x:v>Sí</x:v>
      </x:c>
      <x:c r="E2" s="23" t="str">
        <x:v>Sí</x:v>
      </x:c>
      <x:c r="F2" s="23" t="str">
        <x:v>Abierto</x:v>
      </x:c>
      <x:c r="G2" s="23" t="str">
        <x:v>Examen médico ocupacional</x:v>
      </x:c>
      <x:c r="H2" s="23" t="str">
        <x:v>ARL SURA</x:v>
      </x:c>
      <x:c r="I2" s="23" t="str">
        <x:v>Operaciones</x:v>
      </x:c>
      <x:c r="J2" s="23" t="str">
        <x:v>Guarda de Seguridad</x:v>
      </x:c>
      <x:c r="K2" s="23" t="str">
        <x:v>Hipoacusia neurosensorial</x:v>
      </x:c>
      <x:c r="L2" s="23" t="str">
        <x:v>Ruido</x:v>
      </x:c>
      <x:c r="M2" s="23" t="str">
        <x:v>Líder SST</x:v>
      </x:c>
    </x:row>
    <x:row r="3">
      <x:c r="A3" s="23" t="str">
        <x:v>Barrancabermeja</x:v>
      </x:c>
      <x:c r="B3" s="23" t="str">
        <x:v>Psicosocial</x:v>
      </x:c>
      <x:c r="C3" s="23" t="str">
        <x:v>Común</x:v>
      </x:c>
      <x:c r="D3" s="23" t="str">
        <x:v>No</x:v>
      </x:c>
      <x:c r="E3" s="23" t="str">
        <x:v>No</x:v>
      </x:c>
      <x:c r="F3" s="23" t="str">
        <x:v>En seguimiento</x:v>
      </x:c>
      <x:c r="G3" s="23" t="str">
        <x:v>Autoreporte</x:v>
      </x:c>
      <x:c r="H3" s="23" t="str">
        <x:v>ARL AXA Colpatria</x:v>
      </x:c>
      <x:c r="I3" s="23" t="str">
        <x:v>Seguridad Física</x:v>
      </x:c>
      <x:c r="J3" s="23" t="str">
        <x:v>Supervisor de Puesto</x:v>
      </x:c>
      <x:c r="K3" s="23" t="str">
        <x:v>Lumbalgia mecánica crónica</x:v>
      </x:c>
      <x:c r="L3" s="23" t="str">
        <x:v>Biomecánico - postura prolongada</x:v>
      </x:c>
      <x:c r="M3" s="23" t="str">
        <x:v>Coordinador SST</x:v>
      </x:c>
    </x:row>
    <x:row r="4">
      <x:c r="A4" s="23" t="str">
        <x:v>Ocaña</x:v>
      </x:c>
      <x:c r="B4" s="23" t="str">
        <x:v>Físico</x:v>
      </x:c>
      <x:c r="C4" s="23" t="str">
        <x:v>Pendiente</x:v>
      </x:c>
      <x:c r="E4" s="23" t="str">
        <x:v>Pendiente</x:v>
      </x:c>
      <x:c r="F4" s="23" t="str">
        <x:v>Cerrado</x:v>
      </x:c>
      <x:c r="G4" s="23" t="str">
        <x:v>Consulta médica</x:v>
      </x:c>
      <x:c r="H4" s="23" t="str">
        <x:v>ARL Positiva</x:v>
      </x:c>
      <x:c r="I4" s="23" t="str">
        <x:v>Supervisión</x:v>
      </x:c>
      <x:c r="J4" s="23" t="str">
        <x:v>Operador de Medios Tecnológicos</x:v>
      </x:c>
      <x:c r="K4" s="23" t="str">
        <x:v>Síndrome del túnel carpiano</x:v>
      </x:c>
      <x:c r="L4" s="23" t="str">
        <x:v>Biomecánico - movimientos repetitivos</x:v>
      </x:c>
      <x:c r="M4" s="23" t="str">
        <x:v>Médico Laboral</x:v>
      </x:c>
    </x:row>
    <x:row r="5">
      <x:c r="A5" s="23" t="str">
        <x:v>Girón</x:v>
      </x:c>
      <x:c r="B5" s="23" t="str">
        <x:v>Químico</x:v>
      </x:c>
      <x:c r="G5" s="23" t="str">
        <x:v>Investigación epidemiológica</x:v>
      </x:c>
      <x:c r="H5" s="23" t="str">
        <x:v>ARL Bolívar</x:v>
      </x:c>
      <x:c r="I5" s="23" t="str">
        <x:v>Talento Humano</x:v>
      </x:c>
      <x:c r="J5" s="23" t="str">
        <x:v>Escolta</x:v>
      </x:c>
      <x:c r="K5" s="23" t="str">
        <x:v>Trastorno de ansiedad mixto</x:v>
      </x:c>
      <x:c r="L5" s="23" t="str">
        <x:v>Psicosocial - alta demanda</x:v>
      </x:c>
      <x:c r="M5" s="23" t="str">
        <x:v>Talento Humano</x:v>
      </x:c>
    </x:row>
    <x:row r="6">
      <x:c r="A6" s="23" t="str">
        <x:v>Valledupar</x:v>
      </x:c>
      <x:c r="B6" s="23" t="str">
        <x:v>Biológico</x:v>
      </x:c>
      <x:c r="G6" s="23" t="str">
        <x:v>Reporte de supervisión</x:v>
      </x:c>
      <x:c r="H6" s="23" t="str">
        <x:v>ARL Colmena</x:v>
      </x:c>
      <x:c r="I6" s="23" t="str">
        <x:v>Administrativa</x:v>
      </x:c>
      <x:c r="J6" s="23" t="str">
        <x:v>Analista SST</x:v>
      </x:c>
      <x:c r="K6" s="23" t="str">
        <x:v>Epicondilitis lateral</x:v>
      </x:c>
      <x:c r="L6" s="23" t="str">
        <x:v>Físico - vibración</x:v>
      </x:c>
      <x:c r="M6" s="23" t="str">
        <x:v>Supervisor Operativo</x:v>
      </x:c>
    </x:row>
    <x:row r="7">
      <x:c r="A7" s="23" t="str">
        <x:v>Arauca</x:v>
      </x:c>
      <x:c r="B7" s="23" t="str">
        <x:v>Seguridad</x:v>
      </x:c>
      <x:c r="I7" s="23" t="str">
        <x:v>Monitoreo</x:v>
      </x:c>
      <x:c r="J7" s="23" t="str">
        <x:v>Coordinador Operativo</x:v>
      </x:c>
    </x:row>
    <x:row r="8">
      <x:c r="A8" s="23" t="str">
        <x:v>Bogotá</x:v>
      </x:c>
    </x:row>
    <x:row r="9">
      <x:c r="A9" s="23" t="str">
        <x:v>Tibú</x:v>
      </x:c>
    </x:row>
    <x:row r="10">
      <x:c r="A10" s="23" t="str">
        <x:v>Medellín</x:v>
      </x:c>
    </x:row>
    <x:row r="11">
      <x:c r="A11" s="23" t="str">
        <x:v>Ábrego</x:v>
      </x:c>
    </x:row>
    <x:row r="12">
      <x:c r="A12" s="23" t="str">
        <x:v>Pamplona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8" hidden="0" customWidth="1"/>
    <x:col min="5" max="5" width="14" hidden="0" customWidth="1"/>
    <x:col min="6" max="6" width="24" hidden="0" customWidth="1"/>
    <x:col min="7" max="7" width="14" hidden="0" customWidth="1"/>
    <x:col min="8" max="8" width="20" hidden="0" customWidth="1"/>
    <x:col min="9" max="9" width="18" hidden="0" customWidth="1"/>
    <x:col min="10" max="10" width="16" hidden="0" customWidth="1"/>
    <x:col min="11" max="11" width="24" hidden="0" customWidth="1"/>
    <x:col min="12" max="12" width="14" hidden="0" customWidth="1"/>
    <x:col min="13" max="13" width="14" hidden="0" customWidth="1"/>
    <x:col min="14" max="14" width="16" hidden="0" customWidth="1"/>
    <x:col min="15" max="15" width="28" hidden="0" customWidth="1"/>
    <x:col min="16" max="16" width="20" hidden="0" customWidth="1"/>
    <x:col min="17" max="17" width="12" hidden="0" customWidth="1"/>
    <x:col min="18" max="18" width="12" hidden="0" customWidth="1"/>
    <x:col min="19" max="19" width="14" hidden="0" customWidth="1"/>
    <x:col min="20" max="20" width="14" hidden="0" customWidth="1"/>
    <x:col min="21" max="21" width="12" hidden="0" customWidth="1"/>
    <x:col min="22" max="22" width="14" hidden="0" customWidth="1"/>
    <x:col min="23" max="23" width="34" hidden="0" customWidth="1"/>
    <x:col min="24" max="24" width="28" hidden="0" customWidth="1"/>
    <x:col min="25" max="25" width="14" hidden="0" customWidth="1"/>
    <x:col min="26" max="26" width="12" hidden="0" customWidth="1"/>
    <x:col min="27" max="27" width="36" hidden="0" customWidth="1"/>
    <x:col min="28" max="28" width="18" hidden="0" customWidth="1"/>
    <x:col min="29" max="29" width="14" hidden="0" customWidth="1"/>
    <x:col min="30" max="30" width="12" hidden="0" customWidth="1"/>
    <x:col min="31" max="31" width="12" hidden="0" customWidth="1"/>
    <x:col min="32" max="32" width="14" hidden="0" customWidth="1"/>
    <x:col min="33" max="33" width="28" hidden="0" customWidth="1"/>
  </x:cols>
  <x:sheetData>
    <x:row r="1">
      <x:c r="A1" s="5" t="str">
        <x:v>Matriz de Enfermedad Laboral - Plantilla_Editable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</x:row>
    <x:row r="2" ht="28" customHeight="1">
      <x:c r="A2" s="11" t="str">
        <x:v>Plantilla editable con validaciones y fórmulas para nuevos registros.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</x:row>
    <x:row r="4">
      <x:c r="A4" s="38" t="str">
        <x:v>Caso_ID</x:v>
      </x:c>
      <x:c r="B4" s="38" t="str">
        <x:v>Fecha_Apertura</x:v>
      </x:c>
      <x:c r="C4" s="38" t="str">
        <x:v>Fecha_Diagnostico</x:v>
      </x:c>
      <x:c r="D4" s="38" t="str">
        <x:v>Año</x:v>
      </x:c>
      <x:c r="E4" s="38" t="str">
        <x:v>Sede</x:v>
      </x:c>
      <x:c r="F4" s="38" t="str">
        <x:v>Nombre_Trabajador</x:v>
      </x:c>
      <x:c r="G4" s="38" t="str">
        <x:v>Identificación</x:v>
      </x:c>
      <x:c r="H4" s="38" t="str">
        <x:v>Cargo</x:v>
      </x:c>
      <x:c r="I4" s="38" t="str">
        <x:v>Área_Proceso</x:v>
      </x:c>
      <x:c r="J4" s="38" t="str">
        <x:v>ARL</x:v>
      </x:c>
      <x:c r="K4" s="38" t="str">
        <x:v>Tipo_Enfermedad</x:v>
      </x:c>
      <x:c r="L4" s="38" t="str">
        <x:v>Dx_Presuntivo_CIE10</x:v>
      </x:c>
      <x:c r="M4" s="38" t="str">
        <x:v>Dx_Confirmado_CIE10</x:v>
      </x:c>
      <x:c r="N4" s="38" t="str">
        <x:v>Factor_Riesgo_Asociado</x:v>
      </x:c>
      <x:c r="O4" s="38" t="str">
        <x:v>Peligro_Relacionado</x:v>
      </x:c>
      <x:c r="P4" s="38" t="str">
        <x:v>Origen_Sospecha</x:v>
      </x:c>
      <x:c r="Q4" s="38" t="str">
        <x:v>Fecha_Reporte_ARL</x:v>
      </x:c>
      <x:c r="R4" s="38" t="str">
        <x:v>Fecha_Calificación</x:v>
      </x:c>
      <x:c r="S4" s="38" t="str">
        <x:v>Resultado_Calificación</x:v>
      </x:c>
      <x:c r="T4" s="38" t="str">
        <x:v>Investigación_Realizada</x:v>
      </x:c>
      <x:c r="U4" s="38" t="str">
        <x:v>Fecha_Investigación</x:v>
      </x:c>
      <x:c r="V4" s="38" t="str">
        <x:v>Investigación_Oportuna</x:v>
      </x:c>
      <x:c r="W4" s="38" t="str">
        <x:v>Descripción_Caso</x:v>
      </x:c>
      <x:c r="X4" s="38" t="str">
        <x:v>Restricciones_Médicas</x:v>
      </x:c>
      <x:c r="Y4" s="38" t="str">
        <x:v>Reubicación_Laboral</x:v>
      </x:c>
      <x:c r="Z4" s="38" t="str">
        <x:v>PVE_Activado</x:v>
      </x:c>
      <x:c r="AA4" s="38" t="str">
        <x:v>Acciones_Intervención</x:v>
      </x:c>
      <x:c r="AB4" s="38" t="str">
        <x:v>Responsable_Seguimiento</x:v>
      </x:c>
      <x:c r="AC4" s="38" t="str">
        <x:v>Estado_Caso</x:v>
      </x:c>
      <x:c r="AD4" s="38" t="str">
        <x:v>Fecha_Cierre</x:v>
      </x:c>
      <x:c r="AE4" s="38" t="str">
        <x:v>Días_Gestión</x:v>
      </x:c>
      <x:c r="AF4" s="38" t="str">
        <x:v>Cierre_Oportuno</x:v>
      </x:c>
      <x:c r="AG4" s="38" t="str">
        <x:v>Observaciones</x:v>
      </x:c>
    </x:row>
    <x:row r="5">
      <x:c r="A5" s="23"/>
      <x:c r="B5" s="40"/>
      <x:c r="C5" s="40"/>
      <x:c r="D5" s="23" t="str">
        <x:f>IF(B5="","",YEAR(B5))</x:f>
      </x:c>
      <x:c r="E5" s="23"/>
      <x:c r="F5" s="23"/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40"/>
      <x:c r="R5" s="40"/>
      <x:c r="S5" s="23"/>
      <x:c r="T5" s="23"/>
      <x:c r="U5" s="40"/>
      <x:c r="V5" s="23" t="str">
        <x:f>IF(T5="","",IF(T5="No","No",IF(U5&lt;=B5+15,"Sí","No")))</x:f>
      </x:c>
      <x:c r="W5" s="44"/>
      <x:c r="X5" s="44"/>
      <x:c r="Y5" s="23"/>
      <x:c r="Z5" s="23"/>
      <x:c r="AA5" s="44"/>
      <x:c r="AB5" s="23"/>
      <x:c r="AC5" s="23"/>
      <x:c r="AD5" s="40"/>
      <x:c r="AE5" s="42" t="str">
        <x:f>IF(B5="","",IF(AD5="",TODAY()-B5,AD5-B5))</x:f>
      </x:c>
      <x:c r="AF5" s="23" t="str">
        <x:f>IF(AC5="","",IF(AC5&lt;&gt;"Cerrado","No",IF(OR(R5="",AD5=""),"No",IF(AD5&lt;=R5+90,"Sí","No"))))</x:f>
      </x:c>
      <x:c r="AG5" s="44"/>
    </x:row>
    <x:row r="6">
      <x:c r="A6" s="23"/>
      <x:c r="B6" s="40"/>
      <x:c r="C6" s="40"/>
      <x:c r="D6" s="23" t="str">
        <x:f>IF(B6="","",YEAR(B6))</x:f>
      </x:c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3"/>
      <x:c r="P6" s="23"/>
      <x:c r="Q6" s="40"/>
      <x:c r="R6" s="40"/>
      <x:c r="S6" s="23"/>
      <x:c r="T6" s="23"/>
      <x:c r="U6" s="40"/>
      <x:c r="V6" s="23" t="str">
        <x:f>IF(T6="","",IF(T6="No","No",IF(U6&lt;=B6+15,"Sí","No")))</x:f>
      </x:c>
      <x:c r="W6" s="44"/>
      <x:c r="X6" s="44"/>
      <x:c r="Y6" s="23"/>
      <x:c r="Z6" s="23"/>
      <x:c r="AA6" s="44"/>
      <x:c r="AB6" s="23"/>
      <x:c r="AC6" s="23"/>
      <x:c r="AD6" s="40"/>
      <x:c r="AE6" s="42" t="str">
        <x:f>IF(B6="","",IF(AD6="",TODAY()-B6,AD6-B6))</x:f>
      </x:c>
      <x:c r="AF6" s="23" t="str">
        <x:f>IF(AC6="","",IF(AC6&lt;&gt;"Cerrado","No",IF(OR(R6="",AD6=""),"No",IF(AD6&lt;=R6+90,"Sí","No"))))</x:f>
      </x:c>
      <x:c r="AG6" s="44"/>
    </x:row>
    <x:row r="7">
      <x:c r="A7" s="23"/>
      <x:c r="B7" s="40"/>
      <x:c r="C7" s="40"/>
      <x:c r="D7" s="23" t="str">
        <x:f>IF(B7="","",YEAR(B7))</x:f>
      </x:c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3"/>
      <x:c r="P7" s="23"/>
      <x:c r="Q7" s="40"/>
      <x:c r="R7" s="40"/>
      <x:c r="S7" s="23"/>
      <x:c r="T7" s="23"/>
      <x:c r="U7" s="40"/>
      <x:c r="V7" s="23" t="str">
        <x:f>IF(T7="","",IF(T7="No","No",IF(U7&lt;=B7+15,"Sí","No")))</x:f>
      </x:c>
      <x:c r="W7" s="44"/>
      <x:c r="X7" s="44"/>
      <x:c r="Y7" s="23"/>
      <x:c r="Z7" s="23"/>
      <x:c r="AA7" s="44"/>
      <x:c r="AB7" s="23"/>
      <x:c r="AC7" s="23"/>
      <x:c r="AD7" s="40"/>
      <x:c r="AE7" s="42" t="str">
        <x:f>IF(B7="","",IF(AD7="",TODAY()-B7,AD7-B7))</x:f>
      </x:c>
      <x:c r="AF7" s="23" t="str">
        <x:f>IF(AC7="","",IF(AC7&lt;&gt;"Cerrado","No",IF(OR(R7="",AD7=""),"No",IF(AD7&lt;=R7+90,"Sí","No"))))</x:f>
      </x:c>
      <x:c r="AG7" s="44"/>
    </x:row>
    <x:row r="8">
      <x:c r="A8" s="23"/>
      <x:c r="B8" s="40"/>
      <x:c r="C8" s="40"/>
      <x:c r="D8" s="23" t="str">
        <x:f>IF(B8="","",YEAR(B8))</x:f>
      </x:c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3"/>
      <x:c r="P8" s="23"/>
      <x:c r="Q8" s="40"/>
      <x:c r="R8" s="40"/>
      <x:c r="S8" s="23"/>
      <x:c r="T8" s="23"/>
      <x:c r="U8" s="40"/>
      <x:c r="V8" s="23" t="str">
        <x:f>IF(T8="","",IF(T8="No","No",IF(U8&lt;=B8+15,"Sí","No")))</x:f>
      </x:c>
      <x:c r="W8" s="44"/>
      <x:c r="X8" s="44"/>
      <x:c r="Y8" s="23"/>
      <x:c r="Z8" s="23"/>
      <x:c r="AA8" s="44"/>
      <x:c r="AB8" s="23"/>
      <x:c r="AC8" s="23"/>
      <x:c r="AD8" s="40"/>
      <x:c r="AE8" s="42" t="str">
        <x:f>IF(B8="","",IF(AD8="",TODAY()-B8,AD8-B8))</x:f>
      </x:c>
      <x:c r="AF8" s="23" t="str">
        <x:f>IF(AC8="","",IF(AC8&lt;&gt;"Cerrado","No",IF(OR(R8="",AD8=""),"No",IF(AD8&lt;=R8+90,"Sí","No"))))</x:f>
      </x:c>
      <x:c r="AG8" s="44"/>
    </x:row>
    <x:row r="9">
      <x:c r="A9" s="23"/>
      <x:c r="B9" s="40"/>
      <x:c r="C9" s="40"/>
      <x:c r="D9" s="23" t="str">
        <x:f>IF(B9="","",YEAR(B9))</x:f>
      </x:c>
      <x:c r="E9" s="23"/>
      <x:c r="F9" s="23"/>
      <x:c r="G9" s="23"/>
      <x:c r="H9" s="23"/>
      <x:c r="I9" s="23"/>
      <x:c r="J9" s="23"/>
      <x:c r="K9" s="23"/>
      <x:c r="L9" s="23"/>
      <x:c r="M9" s="23"/>
      <x:c r="N9" s="23"/>
      <x:c r="O9" s="23"/>
      <x:c r="P9" s="23"/>
      <x:c r="Q9" s="40"/>
      <x:c r="R9" s="40"/>
      <x:c r="S9" s="23"/>
      <x:c r="T9" s="23"/>
      <x:c r="U9" s="40"/>
      <x:c r="V9" s="23" t="str">
        <x:f>IF(T9="","",IF(T9="No","No",IF(U9&lt;=B9+15,"Sí","No")))</x:f>
      </x:c>
      <x:c r="W9" s="44"/>
      <x:c r="X9" s="44"/>
      <x:c r="Y9" s="23"/>
      <x:c r="Z9" s="23"/>
      <x:c r="AA9" s="44"/>
      <x:c r="AB9" s="23"/>
      <x:c r="AC9" s="23"/>
      <x:c r="AD9" s="40"/>
      <x:c r="AE9" s="42" t="str">
        <x:f>IF(B9="","",IF(AD9="",TODAY()-B9,AD9-B9))</x:f>
      </x:c>
      <x:c r="AF9" s="23" t="str">
        <x:f>IF(AC9="","",IF(AC9&lt;&gt;"Cerrado","No",IF(OR(R9="",AD9=""),"No",IF(AD9&lt;=R9+90,"Sí","No"))))</x:f>
      </x:c>
      <x:c r="AG9" s="44"/>
    </x:row>
    <x:row r="10">
      <x:c r="A10" s="23"/>
      <x:c r="B10" s="40"/>
      <x:c r="C10" s="40"/>
      <x:c r="D10" s="23" t="str">
        <x:f>IF(B10="","",YEAR(B10))</x:f>
      </x:c>
      <x:c r="E10" s="23"/>
      <x:c r="F10" s="23"/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  <x:c r="Q10" s="40"/>
      <x:c r="R10" s="40"/>
      <x:c r="S10" s="23"/>
      <x:c r="T10" s="23"/>
      <x:c r="U10" s="40"/>
      <x:c r="V10" s="23" t="str">
        <x:f>IF(T10="","",IF(T10="No","No",IF(U10&lt;=B10+15,"Sí","No")))</x:f>
      </x:c>
      <x:c r="W10" s="44"/>
      <x:c r="X10" s="44"/>
      <x:c r="Y10" s="23"/>
      <x:c r="Z10" s="23"/>
      <x:c r="AA10" s="44"/>
      <x:c r="AB10" s="23"/>
      <x:c r="AC10" s="23"/>
      <x:c r="AD10" s="40"/>
      <x:c r="AE10" s="42" t="str">
        <x:f>IF(B10="","",IF(AD10="",TODAY()-B10,AD10-B10))</x:f>
      </x:c>
      <x:c r="AF10" s="23" t="str">
        <x:f>IF(AC10="","",IF(AC10&lt;&gt;"Cerrado","No",IF(OR(R10="",AD10=""),"No",IF(AD10&lt;=R10+90,"Sí","No"))))</x:f>
      </x:c>
      <x:c r="AG10" s="44"/>
    </x:row>
    <x:row r="11">
      <x:c r="A11" s="23"/>
      <x:c r="B11" s="40"/>
      <x:c r="C11" s="40"/>
      <x:c r="D11" s="23" t="str">
        <x:f>IF(B11="","",YEAR(B11))</x:f>
      </x:c>
      <x:c r="E11" s="23"/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  <x:c r="Q11" s="40"/>
      <x:c r="R11" s="40"/>
      <x:c r="S11" s="23"/>
      <x:c r="T11" s="23"/>
      <x:c r="U11" s="40"/>
      <x:c r="V11" s="23" t="str">
        <x:f>IF(T11="","",IF(T11="No","No",IF(U11&lt;=B11+15,"Sí","No")))</x:f>
      </x:c>
      <x:c r="W11" s="44"/>
      <x:c r="X11" s="44"/>
      <x:c r="Y11" s="23"/>
      <x:c r="Z11" s="23"/>
      <x:c r="AA11" s="44"/>
      <x:c r="AB11" s="23"/>
      <x:c r="AC11" s="23"/>
      <x:c r="AD11" s="40"/>
      <x:c r="AE11" s="42" t="str">
        <x:f>IF(B11="","",IF(AD11="",TODAY()-B11,AD11-B11))</x:f>
      </x:c>
      <x:c r="AF11" s="23" t="str">
        <x:f>IF(AC11="","",IF(AC11&lt;&gt;"Cerrado","No",IF(OR(R11="",AD11=""),"No",IF(AD11&lt;=R11+90,"Sí","No"))))</x:f>
      </x:c>
      <x:c r="AG11" s="44"/>
    </x:row>
    <x:row r="12">
      <x:c r="A12" s="23"/>
      <x:c r="B12" s="40"/>
      <x:c r="C12" s="40"/>
      <x:c r="D12" s="23" t="str">
        <x:f>IF(B12="","",YEAR(B12))</x:f>
      </x:c>
      <x:c r="E12" s="23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40"/>
      <x:c r="R12" s="40"/>
      <x:c r="S12" s="23"/>
      <x:c r="T12" s="23"/>
      <x:c r="U12" s="40"/>
      <x:c r="V12" s="23" t="str">
        <x:f>IF(T12="","",IF(T12="No","No",IF(U12&lt;=B12+15,"Sí","No")))</x:f>
      </x:c>
      <x:c r="W12" s="44"/>
      <x:c r="X12" s="44"/>
      <x:c r="Y12" s="23"/>
      <x:c r="Z12" s="23"/>
      <x:c r="AA12" s="44"/>
      <x:c r="AB12" s="23"/>
      <x:c r="AC12" s="23"/>
      <x:c r="AD12" s="40"/>
      <x:c r="AE12" s="42" t="str">
        <x:f>IF(B12="","",IF(AD12="",TODAY()-B12,AD12-B12))</x:f>
      </x:c>
      <x:c r="AF12" s="23" t="str">
        <x:f>IF(AC12="","",IF(AC12&lt;&gt;"Cerrado","No",IF(OR(R12="",AD12=""),"No",IF(AD12&lt;=R12+90,"Sí","No"))))</x:f>
      </x:c>
      <x:c r="AG12" s="44"/>
    </x:row>
    <x:row r="13">
      <x:c r="A13" s="23"/>
      <x:c r="B13" s="40"/>
      <x:c r="C13" s="40"/>
      <x:c r="D13" s="23" t="str">
        <x:f>IF(B13="","",YEAR(B13))</x:f>
      </x:c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40"/>
      <x:c r="R13" s="40"/>
      <x:c r="S13" s="23"/>
      <x:c r="T13" s="23"/>
      <x:c r="U13" s="40"/>
      <x:c r="V13" s="23" t="str">
        <x:f>IF(T13="","",IF(T13="No","No",IF(U13&lt;=B13+15,"Sí","No")))</x:f>
      </x:c>
      <x:c r="W13" s="44"/>
      <x:c r="X13" s="44"/>
      <x:c r="Y13" s="23"/>
      <x:c r="Z13" s="23"/>
      <x:c r="AA13" s="44"/>
      <x:c r="AB13" s="23"/>
      <x:c r="AC13" s="23"/>
      <x:c r="AD13" s="40"/>
      <x:c r="AE13" s="42" t="str">
        <x:f>IF(B13="","",IF(AD13="",TODAY()-B13,AD13-B13))</x:f>
      </x:c>
      <x:c r="AF13" s="23" t="str">
        <x:f>IF(AC13="","",IF(AC13&lt;&gt;"Cerrado","No",IF(OR(R13="",AD13=""),"No",IF(AD13&lt;=R13+90,"Sí","No"))))</x:f>
      </x:c>
      <x:c r="AG13" s="44"/>
    </x:row>
    <x:row r="14">
      <x:c r="A14" s="23"/>
      <x:c r="B14" s="40"/>
      <x:c r="C14" s="40"/>
      <x:c r="D14" s="23" t="str">
        <x:f>IF(B14="","",YEAR(B14))</x:f>
      </x:c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40"/>
      <x:c r="R14" s="40"/>
      <x:c r="S14" s="23"/>
      <x:c r="T14" s="23"/>
      <x:c r="U14" s="40"/>
      <x:c r="V14" s="23" t="str">
        <x:f>IF(T14="","",IF(T14="No","No",IF(U14&lt;=B14+15,"Sí","No")))</x:f>
      </x:c>
      <x:c r="W14" s="44"/>
      <x:c r="X14" s="44"/>
      <x:c r="Y14" s="23"/>
      <x:c r="Z14" s="23"/>
      <x:c r="AA14" s="44"/>
      <x:c r="AB14" s="23"/>
      <x:c r="AC14" s="23"/>
      <x:c r="AD14" s="40"/>
      <x:c r="AE14" s="42" t="str">
        <x:f>IF(B14="","",IF(AD14="",TODAY()-B14,AD14-B14))</x:f>
      </x:c>
      <x:c r="AF14" s="23" t="str">
        <x:f>IF(AC14="","",IF(AC14&lt;&gt;"Cerrado","No",IF(OR(R14="",AD14=""),"No",IF(AD14&lt;=R14+90,"Sí","No"))))</x:f>
      </x:c>
      <x:c r="AG14" s="44"/>
    </x:row>
  </x:sheetData>
  <x:mergeCells>
    <x:mergeCell ref="A1:AG1"/>
    <x:mergeCell ref="A2:AG2"/>
  </x:mergeCells>
  <x:conditionalFormatting sqref="S5:S14">
    <x:cfRule type="expression" dxfId="0" priority="1">
      <x:formula>S5="Laboral"</x:formula>
    </x:cfRule>
    <x:cfRule type="expression" dxfId="1" priority="2">
      <x:formula>S5="Común"</x:formula>
    </x:cfRule>
  </x:conditionalFormatting>
  <x:conditionalFormatting sqref="AC5:AC14">
    <x:cfRule type="expression" dxfId="2" priority="3">
      <x:formula>AC5="Cerrado"</x:formula>
    </x:cfRule>
    <x:cfRule type="expression" dxfId="3" priority="4">
      <x:formula>AC5="En seguimiento"</x:formula>
    </x:cfRule>
    <x:cfRule type="expression" dxfId="4" priority="5">
      <x:formula>AC5="Abierto"</x:formula>
    </x:cfRule>
  </x:conditionalFormatting>
  <x:conditionalFormatting sqref="V5:V14">
    <x:cfRule type="expression" dxfId="5" priority="6">
      <x:formula>V5="No"</x:formula>
    </x:cfRule>
  </x:conditionalFormatting>
  <x:conditionalFormatting sqref="AF5:AF14">
    <x:cfRule type="expression" dxfId="6" priority="7">
      <x:formula>AF5="No"</x:formula>
    </x:cfRule>
  </x:conditionalFormatting>
  <x:dataValidations count="14">
    <x:dataValidation type="list" sqref="E5:E84">
      <x:formula1>"Cúcuta,Barrancabermeja,Ocaña,Girón,Valledupar,Arauca,Bogotá,Tibú,Medellín,Ábrego,Pamplona"</x:formula1>
    </x:dataValidation>
    <x:dataValidation type="list" sqref="H5:H84">
      <x:formula1>"Guarda de Seguridad,Supervisor de Puesto,Operador de Medios Tecnológicos,Escolta,Analista SST,Coordinador Operativo"</x:formula1>
    </x:dataValidation>
    <x:dataValidation type="list" sqref="I5:I84">
      <x:formula1>"Operaciones,Seguridad Física,Supervisión,Talento Humano,Administrativa,Monitoreo"</x:formula1>
    </x:dataValidation>
    <x:dataValidation type="list" sqref="J5:J84">
      <x:formula1>"ARL SURA,ARL AXA Colpatria,ARL Positiva,ARL Bolívar,ARL Colmena"</x:formula1>
    </x:dataValidation>
    <x:dataValidation type="list" sqref="K5:K84">
      <x:formula1>"Hipoacusia neurosensorial,Lumbalgia mecánica crónica,Síndrome del túnel carpiano,Trastorno de ansiedad mixto,Epicondilitis lateral"</x:formula1>
    </x:dataValidation>
    <x:dataValidation type="list" sqref="N5:N84">
      <x:formula1>"Biomecánico,Psicosocial,Físico,Químico,Biológico,Seguridad"</x:formula1>
    </x:dataValidation>
    <x:dataValidation type="list" sqref="O5:O84">
      <x:formula1>"Ruido,Biomecánico - postura prolongada,Biomecánico - movimientos repetitivos,Psicosocial - alta demanda,Físico - vibración"</x:formula1>
    </x:dataValidation>
    <x:dataValidation type="list" sqref="P5:P84">
      <x:formula1>"Examen médico ocupacional,Autoreporte,Consulta médica,Investigación epidemiológica,Reporte de supervisión"</x:formula1>
    </x:dataValidation>
    <x:dataValidation type="list" sqref="S5:S84">
      <x:formula1>"Laboral,Común,Pendiente"</x:formula1>
    </x:dataValidation>
    <x:dataValidation type="list" sqref="T5:T84">
      <x:formula1>"Sí,No"</x:formula1>
    </x:dataValidation>
    <x:dataValidation type="list" sqref="Y5:Y84">
      <x:formula1>"Sí,No,Pendiente"</x:formula1>
    </x:dataValidation>
    <x:dataValidation type="list" sqref="Z5:Z84">
      <x:formula1>"Sí,No,Pendiente"</x:formula1>
    </x:dataValidation>
    <x:dataValidation type="list" sqref="AB5:AB84">
      <x:formula1>"Líder SST,Coordinador SST,Médico Laboral,Talento Humano,Supervisor Operativo"</x:formula1>
    </x:dataValidation>
    <x:dataValidation type="list" sqref="AC5:AC84">
      <x:formula1>"Abierto,En seguimiento,Cerrado"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ad304478be402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8" hidden="0" customWidth="1"/>
    <x:col min="5" max="5" width="14" hidden="0" customWidth="1"/>
    <x:col min="6" max="6" width="24" hidden="0" customWidth="1"/>
    <x:col min="7" max="7" width="14" hidden="0" customWidth="1"/>
    <x:col min="8" max="8" width="20" hidden="0" customWidth="1"/>
    <x:col min="9" max="9" width="18" hidden="0" customWidth="1"/>
    <x:col min="10" max="10" width="16" hidden="0" customWidth="1"/>
    <x:col min="11" max="11" width="24" hidden="0" customWidth="1"/>
    <x:col min="12" max="12" width="14" hidden="0" customWidth="1"/>
    <x:col min="13" max="13" width="14" hidden="0" customWidth="1"/>
    <x:col min="14" max="14" width="16" hidden="0" customWidth="1"/>
    <x:col min="15" max="15" width="28" hidden="0" customWidth="1"/>
    <x:col min="16" max="16" width="20" hidden="0" customWidth="1"/>
    <x:col min="17" max="17" width="12" hidden="0" customWidth="1"/>
    <x:col min="18" max="18" width="12" hidden="0" customWidth="1"/>
    <x:col min="19" max="19" width="14" hidden="0" customWidth="1"/>
    <x:col min="20" max="20" width="14" hidden="0" customWidth="1"/>
    <x:col min="21" max="21" width="12" hidden="0" customWidth="1"/>
    <x:col min="22" max="22" width="14" hidden="0" customWidth="1"/>
    <x:col min="23" max="23" width="34" hidden="0" customWidth="1"/>
    <x:col min="24" max="24" width="28" hidden="0" customWidth="1"/>
    <x:col min="25" max="25" width="14" hidden="0" customWidth="1"/>
    <x:col min="26" max="26" width="12" hidden="0" customWidth="1"/>
    <x:col min="27" max="27" width="36" hidden="0" customWidth="1"/>
    <x:col min="28" max="28" width="18" hidden="0" customWidth="1"/>
    <x:col min="29" max="29" width="14" hidden="0" customWidth="1"/>
    <x:col min="30" max="30" width="12" hidden="0" customWidth="1"/>
    <x:col min="31" max="31" width="12" hidden="0" customWidth="1"/>
    <x:col min="32" max="32" width="14" hidden="0" customWidth="1"/>
    <x:col min="33" max="33" width="28" hidden="0" customWidth="1"/>
  </x:cols>
  <x:sheetData>
    <x:row r="1">
      <x:c r="A1" s="5" t="str">
        <x:v>Matriz de Enfermedad Laboral - 2023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</x:row>
    <x:row r="2" ht="28" customHeight="1">
      <x:c r="A2" s="11" t="str">
        <x:v>Incluye identificación del caso, diagnóstico, investigación, seguimiento, intervención y cierre del evento.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</x:row>
    <x:row r="4">
      <x:c r="A4" s="38" t="str">
        <x:v>Caso_ID</x:v>
      </x:c>
      <x:c r="B4" s="38" t="str">
        <x:v>Fecha_Apertura</x:v>
      </x:c>
      <x:c r="C4" s="38" t="str">
        <x:v>Fecha_Diagnostico</x:v>
      </x:c>
      <x:c r="D4" s="38" t="str">
        <x:v>Año</x:v>
      </x:c>
      <x:c r="E4" s="38" t="str">
        <x:v>Sede</x:v>
      </x:c>
      <x:c r="F4" s="38" t="str">
        <x:v>Nombre_Trabajador</x:v>
      </x:c>
      <x:c r="G4" s="38" t="str">
        <x:v>Identificación</x:v>
      </x:c>
      <x:c r="H4" s="38" t="str">
        <x:v>Cargo</x:v>
      </x:c>
      <x:c r="I4" s="38" t="str">
        <x:v>Área_Proceso</x:v>
      </x:c>
      <x:c r="J4" s="38" t="str">
        <x:v>ARL</x:v>
      </x:c>
      <x:c r="K4" s="38" t="str">
        <x:v>Tipo_Enfermedad</x:v>
      </x:c>
      <x:c r="L4" s="38" t="str">
        <x:v>Dx_Presuntivo_CIE10</x:v>
      </x:c>
      <x:c r="M4" s="38" t="str">
        <x:v>Dx_Confirmado_CIE10</x:v>
      </x:c>
      <x:c r="N4" s="38" t="str">
        <x:v>Factor_Riesgo_Asociado</x:v>
      </x:c>
      <x:c r="O4" s="38" t="str">
        <x:v>Peligro_Relacionado</x:v>
      </x:c>
      <x:c r="P4" s="38" t="str">
        <x:v>Origen_Sospecha</x:v>
      </x:c>
      <x:c r="Q4" s="38" t="str">
        <x:v>Fecha_Reporte_ARL</x:v>
      </x:c>
      <x:c r="R4" s="38" t="str">
        <x:v>Fecha_Calificación</x:v>
      </x:c>
      <x:c r="S4" s="38" t="str">
        <x:v>Resultado_Calificación</x:v>
      </x:c>
      <x:c r="T4" s="38" t="str">
        <x:v>Investigación_Realizada</x:v>
      </x:c>
      <x:c r="U4" s="38" t="str">
        <x:v>Fecha_Investigación</x:v>
      </x:c>
      <x:c r="V4" s="38" t="str">
        <x:v>Investigación_Oportuna</x:v>
      </x:c>
      <x:c r="W4" s="38" t="str">
        <x:v>Descripción_Caso</x:v>
      </x:c>
      <x:c r="X4" s="38" t="str">
        <x:v>Restricciones_Médicas</x:v>
      </x:c>
      <x:c r="Y4" s="38" t="str">
        <x:v>Reubicación_Laboral</x:v>
      </x:c>
      <x:c r="Z4" s="38" t="str">
        <x:v>PVE_Activado</x:v>
      </x:c>
      <x:c r="AA4" s="38" t="str">
        <x:v>Acciones_Intervención</x:v>
      </x:c>
      <x:c r="AB4" s="38" t="str">
        <x:v>Responsable_Seguimiento</x:v>
      </x:c>
      <x:c r="AC4" s="38" t="str">
        <x:v>Estado_Caso</x:v>
      </x:c>
      <x:c r="AD4" s="38" t="str">
        <x:v>Fecha_Cierre</x:v>
      </x:c>
      <x:c r="AE4" s="38" t="str">
        <x:v>Días_Gestión</x:v>
      </x:c>
      <x:c r="AF4" s="38" t="str">
        <x:v>Cierre_Oportuno</x:v>
      </x:c>
      <x:c r="AG4" s="38" t="str">
        <x:v>Observaciones</x:v>
      </x:c>
    </x:row>
    <x:row r="5">
      <x:c r="A5" s="23" t="str">
        <x:v>EL-2023-001</x:v>
      </x:c>
      <x:c r="B5" s="40" t="n">
        <x:v>44995</x:v>
      </x:c>
      <x:c r="C5" s="40" t="n">
        <x:v>44985</x:v>
      </x:c>
      <x:c r="D5" s="23" t="n">
        <x:f>IF(B5="","",YEAR(B5))</x:f>
        <x:v>2023</x:v>
      </x:c>
      <x:c r="E5" s="23" t="str">
        <x:v>Barrancabermeja</x:v>
      </x:c>
      <x:c r="F5" s="23" t="str">
        <x:v>Luis Fernando Salcedo</x:v>
      </x:c>
      <x:c r="G5" s="23" t="str">
        <x:v>91456321</x:v>
      </x:c>
      <x:c r="H5" s="23" t="str">
        <x:v>Guarda de Seguridad</x:v>
      </x:c>
      <x:c r="I5" s="23" t="str">
        <x:v>Operaciones</x:v>
      </x:c>
      <x:c r="J5" s="23" t="str">
        <x:v>ARL SURA</x:v>
      </x:c>
      <x:c r="K5" s="23" t="str">
        <x:v>Hipoacusia neurosensorial</x:v>
      </x:c>
      <x:c r="L5" s="23" t="str">
        <x:v>H919</x:v>
      </x:c>
      <x:c r="M5" s="23" t="str">
        <x:v>H903</x:v>
      </x:c>
      <x:c r="N5" s="23" t="str">
        <x:v>Físico</x:v>
      </x:c>
      <x:c r="O5" s="23" t="str">
        <x:v>Ruido</x:v>
      </x:c>
      <x:c r="P5" s="23" t="str">
        <x:v>Examen médico ocupacional</x:v>
      </x:c>
      <x:c r="Q5" s="40" t="n">
        <x:v>45000</x:v>
      </x:c>
      <x:c r="R5" s="40" t="n">
        <x:v>45127</x:v>
      </x:c>
      <x:c r="S5" s="23" t="str">
        <x:v>Laboral</x:v>
      </x:c>
      <x:c r="T5" s="23" t="str">
        <x:v>Sí</x:v>
      </x:c>
      <x:c r="U5" s="40" t="n">
        <x:v>45009</x:v>
      </x:c>
      <x:c r="V5" s="23" t="str">
        <x:f>IF(T5="","",IF(T5="No","No",IF(U5&lt;=B5+15,"Sí","No")))</x:f>
        <x:v>Sí</x:v>
      </x:c>
      <x:c r="W5" s="44" t="str">
        <x:v>Trabajador expuesto de forma continua a ruido en control de acceso vehicular y alarmas perimetrales, con pérdida auditiva bilateral leve confirmada.</x:v>
      </x:c>
      <x:c r="X5" s="44" t="str">
        <x:v>Uso permanente de protección auditiva y restricción a exposición prolongada a ruido &gt;85 dB.</x:v>
      </x:c>
      <x:c r="Y5" s="23" t="str">
        <x:v>Sí</x:v>
      </x:c>
      <x:c r="Z5" s="23" t="str">
        <x:v>Sí</x:v>
      </x:c>
      <x:c r="AA5" s="44" t="str">
        <x:v>Ajuste de programa de conservación auditiva, reforzamiento de uso de protectores, rotación de puesto y seguimiento audiométrico semestral.</x:v>
      </x:c>
      <x:c r="AB5" s="23" t="str">
        <x:v>Líder SST</x:v>
      </x:c>
      <x:c r="AC5" s="23" t="str">
        <x:v>Cerrado</x:v>
      </x:c>
      <x:c r="AD5" s="40" t="n">
        <x:v>45260</x:v>
      </x:c>
      <x:c r="AE5" s="42" t="n">
        <x:f>IF(B5="","",IF(AD5="",TODAY()-B5,AD5-B5))</x:f>
        <x:v>265</x:v>
      </x:c>
      <x:c r="AF5" s="23" t="str">
        <x:f>IF(AC5="","",IF(AC5&lt;&gt;"Cerrado","No",IF(OR(R5="",AD5=""),"No",IF(AD5&lt;=R5+90,"Sí","No"))))</x:f>
        <x:v>No</x:v>
      </x:c>
      <x:c r="AG5" s="44" t="str">
        <x:v>Caso cerrado con reubicación parcial y seguimiento por medicina laboral.</x:v>
      </x:c>
    </x:row>
    <x:row r="6">
      <x:c r="A6" s="23"/>
      <x:c r="B6" s="40"/>
      <x:c r="C6" s="40"/>
      <x:c r="D6" s="23" t="str">
        <x:f>IF(B6="","",YEAR(B6))</x:f>
      </x:c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3"/>
      <x:c r="P6" s="23"/>
      <x:c r="Q6" s="40"/>
      <x:c r="R6" s="40"/>
      <x:c r="S6" s="23"/>
      <x:c r="T6" s="23"/>
      <x:c r="U6" s="40"/>
      <x:c r="V6" s="23" t="str">
        <x:f>IF(T6="","",IF(T6="No","No",IF(U6&lt;=B6+15,"Sí","No")))</x:f>
      </x:c>
      <x:c r="W6" s="44"/>
      <x:c r="X6" s="44"/>
      <x:c r="Y6" s="23"/>
      <x:c r="Z6" s="23"/>
      <x:c r="AA6" s="44"/>
      <x:c r="AB6" s="23"/>
      <x:c r="AC6" s="23"/>
      <x:c r="AD6" s="40"/>
      <x:c r="AE6" s="42" t="str">
        <x:f>IF(B6="","",IF(AD6="",TODAY()-B6,AD6-B6))</x:f>
      </x:c>
      <x:c r="AF6" s="23" t="str">
        <x:f>IF(AC6="","",IF(AC6&lt;&gt;"Cerrado","No",IF(OR(R6="",AD6=""),"No",IF(AD6&lt;=R6+90,"Sí","No"))))</x:f>
      </x:c>
      <x:c r="AG6" s="44"/>
    </x:row>
    <x:row r="7">
      <x:c r="A7" s="23"/>
      <x:c r="B7" s="40"/>
      <x:c r="C7" s="40"/>
      <x:c r="D7" s="23" t="str">
        <x:f>IF(B7="","",YEAR(B7))</x:f>
      </x:c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3"/>
      <x:c r="P7" s="23"/>
      <x:c r="Q7" s="40"/>
      <x:c r="R7" s="40"/>
      <x:c r="S7" s="23"/>
      <x:c r="T7" s="23"/>
      <x:c r="U7" s="40"/>
      <x:c r="V7" s="23" t="str">
        <x:f>IF(T7="","",IF(T7="No","No",IF(U7&lt;=B7+15,"Sí","No")))</x:f>
      </x:c>
      <x:c r="W7" s="44"/>
      <x:c r="X7" s="44"/>
      <x:c r="Y7" s="23"/>
      <x:c r="Z7" s="23"/>
      <x:c r="AA7" s="44"/>
      <x:c r="AB7" s="23"/>
      <x:c r="AC7" s="23"/>
      <x:c r="AD7" s="40"/>
      <x:c r="AE7" s="42" t="str">
        <x:f>IF(B7="","",IF(AD7="",TODAY()-B7,AD7-B7))</x:f>
      </x:c>
      <x:c r="AF7" s="23" t="str">
        <x:f>IF(AC7="","",IF(AC7&lt;&gt;"Cerrado","No",IF(OR(R7="",AD7=""),"No",IF(AD7&lt;=R7+90,"Sí","No"))))</x:f>
      </x:c>
      <x:c r="AG7" s="44"/>
    </x:row>
    <x:row r="8">
      <x:c r="A8" s="23"/>
      <x:c r="B8" s="40"/>
      <x:c r="C8" s="40"/>
      <x:c r="D8" s="23" t="str">
        <x:f>IF(B8="","",YEAR(B8))</x:f>
      </x:c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3"/>
      <x:c r="P8" s="23"/>
      <x:c r="Q8" s="40"/>
      <x:c r="R8" s="40"/>
      <x:c r="S8" s="23"/>
      <x:c r="T8" s="23"/>
      <x:c r="U8" s="40"/>
      <x:c r="V8" s="23" t="str">
        <x:f>IF(T8="","",IF(T8="No","No",IF(U8&lt;=B8+15,"Sí","No")))</x:f>
      </x:c>
      <x:c r="W8" s="44"/>
      <x:c r="X8" s="44"/>
      <x:c r="Y8" s="23"/>
      <x:c r="Z8" s="23"/>
      <x:c r="AA8" s="44"/>
      <x:c r="AB8" s="23"/>
      <x:c r="AC8" s="23"/>
      <x:c r="AD8" s="40"/>
      <x:c r="AE8" s="42" t="str">
        <x:f>IF(B8="","",IF(AD8="",TODAY()-B8,AD8-B8))</x:f>
      </x:c>
      <x:c r="AF8" s="23" t="str">
        <x:f>IF(AC8="","",IF(AC8&lt;&gt;"Cerrado","No",IF(OR(R8="",AD8=""),"No",IF(AD8&lt;=R8+90,"Sí","No"))))</x:f>
      </x:c>
      <x:c r="AG8" s="44"/>
    </x:row>
    <x:row r="9">
      <x:c r="A9" s="23"/>
      <x:c r="B9" s="40"/>
      <x:c r="C9" s="40"/>
      <x:c r="D9" s="23" t="str">
        <x:f>IF(B9="","",YEAR(B9))</x:f>
      </x:c>
      <x:c r="E9" s="23"/>
      <x:c r="F9" s="23"/>
      <x:c r="G9" s="23"/>
      <x:c r="H9" s="23"/>
      <x:c r="I9" s="23"/>
      <x:c r="J9" s="23"/>
      <x:c r="K9" s="23"/>
      <x:c r="L9" s="23"/>
      <x:c r="M9" s="23"/>
      <x:c r="N9" s="23"/>
      <x:c r="O9" s="23"/>
      <x:c r="P9" s="23"/>
      <x:c r="Q9" s="40"/>
      <x:c r="R9" s="40"/>
      <x:c r="S9" s="23"/>
      <x:c r="T9" s="23"/>
      <x:c r="U9" s="40"/>
      <x:c r="V9" s="23" t="str">
        <x:f>IF(T9="","",IF(T9="No","No",IF(U9&lt;=B9+15,"Sí","No")))</x:f>
      </x:c>
      <x:c r="W9" s="44"/>
      <x:c r="X9" s="44"/>
      <x:c r="Y9" s="23"/>
      <x:c r="Z9" s="23"/>
      <x:c r="AA9" s="44"/>
      <x:c r="AB9" s="23"/>
      <x:c r="AC9" s="23"/>
      <x:c r="AD9" s="40"/>
      <x:c r="AE9" s="42" t="str">
        <x:f>IF(B9="","",IF(AD9="",TODAY()-B9,AD9-B9))</x:f>
      </x:c>
      <x:c r="AF9" s="23" t="str">
        <x:f>IF(AC9="","",IF(AC9&lt;&gt;"Cerrado","No",IF(OR(R9="",AD9=""),"No",IF(AD9&lt;=R9+90,"Sí","No"))))</x:f>
      </x:c>
      <x:c r="AG9" s="44"/>
    </x:row>
    <x:row r="10">
      <x:c r="A10" s="23"/>
      <x:c r="B10" s="40"/>
      <x:c r="C10" s="40"/>
      <x:c r="D10" s="23" t="str">
        <x:f>IF(B10="","",YEAR(B10))</x:f>
      </x:c>
      <x:c r="E10" s="23"/>
      <x:c r="F10" s="23"/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  <x:c r="Q10" s="40"/>
      <x:c r="R10" s="40"/>
      <x:c r="S10" s="23"/>
      <x:c r="T10" s="23"/>
      <x:c r="U10" s="40"/>
      <x:c r="V10" s="23" t="str">
        <x:f>IF(T10="","",IF(T10="No","No",IF(U10&lt;=B10+15,"Sí","No")))</x:f>
      </x:c>
      <x:c r="W10" s="44"/>
      <x:c r="X10" s="44"/>
      <x:c r="Y10" s="23"/>
      <x:c r="Z10" s="23"/>
      <x:c r="AA10" s="44"/>
      <x:c r="AB10" s="23"/>
      <x:c r="AC10" s="23"/>
      <x:c r="AD10" s="40"/>
      <x:c r="AE10" s="42" t="str">
        <x:f>IF(B10="","",IF(AD10="",TODAY()-B10,AD10-B10))</x:f>
      </x:c>
      <x:c r="AF10" s="23" t="str">
        <x:f>IF(AC10="","",IF(AC10&lt;&gt;"Cerrado","No",IF(OR(R10="",AD10=""),"No",IF(AD10&lt;=R10+90,"Sí","No"))))</x:f>
      </x:c>
      <x:c r="AG10" s="44"/>
    </x:row>
    <x:row r="11">
      <x:c r="A11" s="23"/>
      <x:c r="B11" s="40"/>
      <x:c r="C11" s="40"/>
      <x:c r="D11" s="23" t="str">
        <x:f>IF(B11="","",YEAR(B11))</x:f>
      </x:c>
      <x:c r="E11" s="23"/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  <x:c r="Q11" s="40"/>
      <x:c r="R11" s="40"/>
      <x:c r="S11" s="23"/>
      <x:c r="T11" s="23"/>
      <x:c r="U11" s="40"/>
      <x:c r="V11" s="23" t="str">
        <x:f>IF(T11="","",IF(T11="No","No",IF(U11&lt;=B11+15,"Sí","No")))</x:f>
      </x:c>
      <x:c r="W11" s="44"/>
      <x:c r="X11" s="44"/>
      <x:c r="Y11" s="23"/>
      <x:c r="Z11" s="23"/>
      <x:c r="AA11" s="44"/>
      <x:c r="AB11" s="23"/>
      <x:c r="AC11" s="23"/>
      <x:c r="AD11" s="40"/>
      <x:c r="AE11" s="42" t="str">
        <x:f>IF(B11="","",IF(AD11="",TODAY()-B11,AD11-B11))</x:f>
      </x:c>
      <x:c r="AF11" s="23" t="str">
        <x:f>IF(AC11="","",IF(AC11&lt;&gt;"Cerrado","No",IF(OR(R11="",AD11=""),"No",IF(AD11&lt;=R11+90,"Sí","No"))))</x:f>
      </x:c>
      <x:c r="AG11" s="44"/>
    </x:row>
    <x:row r="12">
      <x:c r="A12" s="23"/>
      <x:c r="B12" s="40"/>
      <x:c r="C12" s="40"/>
      <x:c r="D12" s="23" t="str">
        <x:f>IF(B12="","",YEAR(B12))</x:f>
      </x:c>
      <x:c r="E12" s="23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40"/>
      <x:c r="R12" s="40"/>
      <x:c r="S12" s="23"/>
      <x:c r="T12" s="23"/>
      <x:c r="U12" s="40"/>
      <x:c r="V12" s="23" t="str">
        <x:f>IF(T12="","",IF(T12="No","No",IF(U12&lt;=B12+15,"Sí","No")))</x:f>
      </x:c>
      <x:c r="W12" s="44"/>
      <x:c r="X12" s="44"/>
      <x:c r="Y12" s="23"/>
      <x:c r="Z12" s="23"/>
      <x:c r="AA12" s="44"/>
      <x:c r="AB12" s="23"/>
      <x:c r="AC12" s="23"/>
      <x:c r="AD12" s="40"/>
      <x:c r="AE12" s="42" t="str">
        <x:f>IF(B12="","",IF(AD12="",TODAY()-B12,AD12-B12))</x:f>
      </x:c>
      <x:c r="AF12" s="23" t="str">
        <x:f>IF(AC12="","",IF(AC12&lt;&gt;"Cerrado","No",IF(OR(R12="",AD12=""),"No",IF(AD12&lt;=R12+90,"Sí","No"))))</x:f>
      </x:c>
      <x:c r="AG12" s="44"/>
    </x:row>
    <x:row r="13">
      <x:c r="A13" s="23"/>
      <x:c r="B13" s="40"/>
      <x:c r="C13" s="40"/>
      <x:c r="D13" s="23" t="str">
        <x:f>IF(B13="","",YEAR(B13))</x:f>
      </x:c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40"/>
      <x:c r="R13" s="40"/>
      <x:c r="S13" s="23"/>
      <x:c r="T13" s="23"/>
      <x:c r="U13" s="40"/>
      <x:c r="V13" s="23" t="str">
        <x:f>IF(T13="","",IF(T13="No","No",IF(U13&lt;=B13+15,"Sí","No")))</x:f>
      </x:c>
      <x:c r="W13" s="44"/>
      <x:c r="X13" s="44"/>
      <x:c r="Y13" s="23"/>
      <x:c r="Z13" s="23"/>
      <x:c r="AA13" s="44"/>
      <x:c r="AB13" s="23"/>
      <x:c r="AC13" s="23"/>
      <x:c r="AD13" s="40"/>
      <x:c r="AE13" s="42" t="str">
        <x:f>IF(B13="","",IF(AD13="",TODAY()-B13,AD13-B13))</x:f>
      </x:c>
      <x:c r="AF13" s="23" t="str">
        <x:f>IF(AC13="","",IF(AC13&lt;&gt;"Cerrado","No",IF(OR(R13="",AD13=""),"No",IF(AD13&lt;=R13+90,"Sí","No"))))</x:f>
      </x:c>
      <x:c r="AG13" s="44"/>
    </x:row>
    <x:row r="14">
      <x:c r="A14" s="23"/>
      <x:c r="B14" s="40"/>
      <x:c r="C14" s="40"/>
      <x:c r="D14" s="23" t="str">
        <x:f>IF(B14="","",YEAR(B14))</x:f>
      </x:c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40"/>
      <x:c r="R14" s="40"/>
      <x:c r="S14" s="23"/>
      <x:c r="T14" s="23"/>
      <x:c r="U14" s="40"/>
      <x:c r="V14" s="23" t="str">
        <x:f>IF(T14="","",IF(T14="No","No",IF(U14&lt;=B14+15,"Sí","No")))</x:f>
      </x:c>
      <x:c r="W14" s="44"/>
      <x:c r="X14" s="44"/>
      <x:c r="Y14" s="23"/>
      <x:c r="Z14" s="23"/>
      <x:c r="AA14" s="44"/>
      <x:c r="AB14" s="23"/>
      <x:c r="AC14" s="23"/>
      <x:c r="AD14" s="40"/>
      <x:c r="AE14" s="42" t="str">
        <x:f>IF(B14="","",IF(AD14="",TODAY()-B14,AD14-B14))</x:f>
      </x:c>
      <x:c r="AF14" s="23" t="str">
        <x:f>IF(AC14="","",IF(AC14&lt;&gt;"Cerrado","No",IF(OR(R14="",AD14=""),"No",IF(AD14&lt;=R14+90,"Sí","No"))))</x:f>
      </x:c>
      <x:c r="AG14" s="44"/>
    </x:row>
  </x:sheetData>
  <x:mergeCells>
    <x:mergeCell ref="A1:AG1"/>
    <x:mergeCell ref="A2:AG2"/>
  </x:mergeCells>
  <x:conditionalFormatting sqref="S5:S14">
    <x:cfRule type="expression" dxfId="7" priority="1">
      <x:formula>S5="Laboral"</x:formula>
    </x:cfRule>
    <x:cfRule type="expression" dxfId="8" priority="2">
      <x:formula>S5="Común"</x:formula>
    </x:cfRule>
  </x:conditionalFormatting>
  <x:conditionalFormatting sqref="AC5:AC14">
    <x:cfRule type="expression" dxfId="9" priority="3">
      <x:formula>AC5="Cerrado"</x:formula>
    </x:cfRule>
    <x:cfRule type="expression" dxfId="10" priority="4">
      <x:formula>AC5="En seguimiento"</x:formula>
    </x:cfRule>
    <x:cfRule type="expression" dxfId="11" priority="5">
      <x:formula>AC5="Abierto"</x:formula>
    </x:cfRule>
  </x:conditionalFormatting>
  <x:conditionalFormatting sqref="V5:V14">
    <x:cfRule type="expression" dxfId="12" priority="6">
      <x:formula>V5="No"</x:formula>
    </x:cfRule>
  </x:conditionalFormatting>
  <x:conditionalFormatting sqref="AF5:AF14">
    <x:cfRule type="expression" dxfId="13" priority="7">
      <x:formula>AF5="No"</x:formula>
    </x:cfRule>
  </x:conditionalFormatting>
  <x:dataValidations count="14">
    <x:dataValidation type="list" sqref="E5:E84">
      <x:formula1>"Cúcuta,Barrancabermeja,Ocaña,Girón,Valledupar,Arauca,Bogotá,Tibú,Medellín,Ábrego,Pamplona"</x:formula1>
    </x:dataValidation>
    <x:dataValidation type="list" sqref="H5:H84">
      <x:formula1>"Guarda de Seguridad,Supervisor de Puesto,Operador de Medios Tecnológicos,Escolta,Analista SST,Coordinador Operativo"</x:formula1>
    </x:dataValidation>
    <x:dataValidation type="list" sqref="I5:I84">
      <x:formula1>"Operaciones,Seguridad Física,Supervisión,Talento Humano,Administrativa,Monitoreo"</x:formula1>
    </x:dataValidation>
    <x:dataValidation type="list" sqref="J5:J84">
      <x:formula1>"ARL SURA,ARL AXA Colpatria,ARL Positiva,ARL Bolívar,ARL Colmena"</x:formula1>
    </x:dataValidation>
    <x:dataValidation type="list" sqref="K5:K84">
      <x:formula1>"Hipoacusia neurosensorial,Lumbalgia mecánica crónica,Síndrome del túnel carpiano,Trastorno de ansiedad mixto,Epicondilitis lateral"</x:formula1>
    </x:dataValidation>
    <x:dataValidation type="list" sqref="N5:N84">
      <x:formula1>"Biomecánico,Psicosocial,Físico,Químico,Biológico,Seguridad"</x:formula1>
    </x:dataValidation>
    <x:dataValidation type="list" sqref="O5:O84">
      <x:formula1>"Ruido,Biomecánico - postura prolongada,Biomecánico - movimientos repetitivos,Psicosocial - alta demanda,Físico - vibración"</x:formula1>
    </x:dataValidation>
    <x:dataValidation type="list" sqref="P5:P84">
      <x:formula1>"Examen médico ocupacional,Autoreporte,Consulta médica,Investigación epidemiológica,Reporte de supervisión"</x:formula1>
    </x:dataValidation>
    <x:dataValidation type="list" sqref="S5:S84">
      <x:formula1>"Laboral,Común,Pendiente"</x:formula1>
    </x:dataValidation>
    <x:dataValidation type="list" sqref="T5:T84">
      <x:formula1>"Sí,No"</x:formula1>
    </x:dataValidation>
    <x:dataValidation type="list" sqref="Y5:Y84">
      <x:formula1>"Sí,No,Pendiente"</x:formula1>
    </x:dataValidation>
    <x:dataValidation type="list" sqref="Z5:Z84">
      <x:formula1>"Sí,No,Pendiente"</x:formula1>
    </x:dataValidation>
    <x:dataValidation type="list" sqref="AB5:AB84">
      <x:formula1>"Líder SST,Coordinador SST,Médico Laboral,Talento Humano,Supervisor Operativo"</x:formula1>
    </x:dataValidation>
    <x:dataValidation type="list" sqref="AC5:AC84">
      <x:formula1>"Abierto,En seguimiento,Cerrado"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6a1fd0df6141a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8" hidden="0" customWidth="1"/>
    <x:col min="5" max="5" width="14" hidden="0" customWidth="1"/>
    <x:col min="6" max="6" width="24" hidden="0" customWidth="1"/>
    <x:col min="7" max="7" width="14" hidden="0" customWidth="1"/>
    <x:col min="8" max="8" width="20" hidden="0" customWidth="1"/>
    <x:col min="9" max="9" width="18" hidden="0" customWidth="1"/>
    <x:col min="10" max="10" width="16" hidden="0" customWidth="1"/>
    <x:col min="11" max="11" width="24" hidden="0" customWidth="1"/>
    <x:col min="12" max="12" width="14" hidden="0" customWidth="1"/>
    <x:col min="13" max="13" width="14" hidden="0" customWidth="1"/>
    <x:col min="14" max="14" width="16" hidden="0" customWidth="1"/>
    <x:col min="15" max="15" width="28" hidden="0" customWidth="1"/>
    <x:col min="16" max="16" width="20" hidden="0" customWidth="1"/>
    <x:col min="17" max="17" width="12" hidden="0" customWidth="1"/>
    <x:col min="18" max="18" width="12" hidden="0" customWidth="1"/>
    <x:col min="19" max="19" width="14" hidden="0" customWidth="1"/>
    <x:col min="20" max="20" width="14" hidden="0" customWidth="1"/>
    <x:col min="21" max="21" width="12" hidden="0" customWidth="1"/>
    <x:col min="22" max="22" width="14" hidden="0" customWidth="1"/>
    <x:col min="23" max="23" width="34" hidden="0" customWidth="1"/>
    <x:col min="24" max="24" width="28" hidden="0" customWidth="1"/>
    <x:col min="25" max="25" width="14" hidden="0" customWidth="1"/>
    <x:col min="26" max="26" width="12" hidden="0" customWidth="1"/>
    <x:col min="27" max="27" width="36" hidden="0" customWidth="1"/>
    <x:col min="28" max="28" width="18" hidden="0" customWidth="1"/>
    <x:col min="29" max="29" width="14" hidden="0" customWidth="1"/>
    <x:col min="30" max="30" width="12" hidden="0" customWidth="1"/>
    <x:col min="31" max="31" width="12" hidden="0" customWidth="1"/>
    <x:col min="32" max="32" width="14" hidden="0" customWidth="1"/>
    <x:col min="33" max="33" width="28" hidden="0" customWidth="1"/>
  </x:cols>
  <x:sheetData>
    <x:row r="1">
      <x:c r="A1" s="5" t="str">
        <x:v>Matriz de Enfermedad Laboral - 2024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</x:row>
    <x:row r="2" ht="28" customHeight="1">
      <x:c r="A2" s="11" t="str">
        <x:v>Incluye identificación del caso, diagnóstico, investigación, seguimiento, intervención y cierre del evento.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</x:row>
    <x:row r="4">
      <x:c r="A4" s="38" t="str">
        <x:v>Caso_ID</x:v>
      </x:c>
      <x:c r="B4" s="38" t="str">
        <x:v>Fecha_Apertura</x:v>
      </x:c>
      <x:c r="C4" s="38" t="str">
        <x:v>Fecha_Diagnostico</x:v>
      </x:c>
      <x:c r="D4" s="38" t="str">
        <x:v>Año</x:v>
      </x:c>
      <x:c r="E4" s="38" t="str">
        <x:v>Sede</x:v>
      </x:c>
      <x:c r="F4" s="38" t="str">
        <x:v>Nombre_Trabajador</x:v>
      </x:c>
      <x:c r="G4" s="38" t="str">
        <x:v>Identificación</x:v>
      </x:c>
      <x:c r="H4" s="38" t="str">
        <x:v>Cargo</x:v>
      </x:c>
      <x:c r="I4" s="38" t="str">
        <x:v>Área_Proceso</x:v>
      </x:c>
      <x:c r="J4" s="38" t="str">
        <x:v>ARL</x:v>
      </x:c>
      <x:c r="K4" s="38" t="str">
        <x:v>Tipo_Enfermedad</x:v>
      </x:c>
      <x:c r="L4" s="38" t="str">
        <x:v>Dx_Presuntivo_CIE10</x:v>
      </x:c>
      <x:c r="M4" s="38" t="str">
        <x:v>Dx_Confirmado_CIE10</x:v>
      </x:c>
      <x:c r="N4" s="38" t="str">
        <x:v>Factor_Riesgo_Asociado</x:v>
      </x:c>
      <x:c r="O4" s="38" t="str">
        <x:v>Peligro_Relacionado</x:v>
      </x:c>
      <x:c r="P4" s="38" t="str">
        <x:v>Origen_Sospecha</x:v>
      </x:c>
      <x:c r="Q4" s="38" t="str">
        <x:v>Fecha_Reporte_ARL</x:v>
      </x:c>
      <x:c r="R4" s="38" t="str">
        <x:v>Fecha_Calificación</x:v>
      </x:c>
      <x:c r="S4" s="38" t="str">
        <x:v>Resultado_Calificación</x:v>
      </x:c>
      <x:c r="T4" s="38" t="str">
        <x:v>Investigación_Realizada</x:v>
      </x:c>
      <x:c r="U4" s="38" t="str">
        <x:v>Fecha_Investigación</x:v>
      </x:c>
      <x:c r="V4" s="38" t="str">
        <x:v>Investigación_Oportuna</x:v>
      </x:c>
      <x:c r="W4" s="38" t="str">
        <x:v>Descripción_Caso</x:v>
      </x:c>
      <x:c r="X4" s="38" t="str">
        <x:v>Restricciones_Médicas</x:v>
      </x:c>
      <x:c r="Y4" s="38" t="str">
        <x:v>Reubicación_Laboral</x:v>
      </x:c>
      <x:c r="Z4" s="38" t="str">
        <x:v>PVE_Activado</x:v>
      </x:c>
      <x:c r="AA4" s="38" t="str">
        <x:v>Acciones_Intervención</x:v>
      </x:c>
      <x:c r="AB4" s="38" t="str">
        <x:v>Responsable_Seguimiento</x:v>
      </x:c>
      <x:c r="AC4" s="38" t="str">
        <x:v>Estado_Caso</x:v>
      </x:c>
      <x:c r="AD4" s="38" t="str">
        <x:v>Fecha_Cierre</x:v>
      </x:c>
      <x:c r="AE4" s="38" t="str">
        <x:v>Días_Gestión</x:v>
      </x:c>
      <x:c r="AF4" s="38" t="str">
        <x:v>Cierre_Oportuno</x:v>
      </x:c>
      <x:c r="AG4" s="38" t="str">
        <x:v>Observaciones</x:v>
      </x:c>
    </x:row>
    <x:row r="5">
      <x:c r="A5" s="23" t="str">
        <x:v>EL-2024-001</x:v>
      </x:c>
      <x:c r="B5" s="40" t="n">
        <x:v>45327</x:v>
      </x:c>
      <x:c r="C5" s="40" t="n">
        <x:v>45317</x:v>
      </x:c>
      <x:c r="D5" s="23" t="n">
        <x:f>IF(B5="","",YEAR(B5))</x:f>
        <x:v>2024</x:v>
      </x:c>
      <x:c r="E5" s="23" t="str">
        <x:v>Bogotá</x:v>
      </x:c>
      <x:c r="F5" s="23" t="str">
        <x:v>Sandra Milena Ortega</x:v>
      </x:c>
      <x:c r="G5" s="23" t="str">
        <x:v>52345678</x:v>
      </x:c>
      <x:c r="H5" s="23" t="str">
        <x:v>Operador de Medios Tecnológicos</x:v>
      </x:c>
      <x:c r="I5" s="23" t="str">
        <x:v>Monitoreo</x:v>
      </x:c>
      <x:c r="J5" s="23" t="str">
        <x:v>ARL AXA Colpatria</x:v>
      </x:c>
      <x:c r="K5" s="23" t="str">
        <x:v>Síndrome del túnel carpiano</x:v>
      </x:c>
      <x:c r="L5" s="23" t="str">
        <x:v>G560</x:v>
      </x:c>
      <x:c r="M5" s="23" t="str">
        <x:v>G560</x:v>
      </x:c>
      <x:c r="N5" s="23" t="str">
        <x:v>Biomecánico</x:v>
      </x:c>
      <x:c r="O5" s="23" t="str">
        <x:v>Biomecánico - movimientos repetitivos</x:v>
      </x:c>
      <x:c r="P5" s="23" t="str">
        <x:v>Consulta médica</x:v>
      </x:c>
      <x:c r="Q5" s="40" t="n">
        <x:v>45330</x:v>
      </x:c>
      <x:c r="R5" s="40" t="n">
        <x:v>45461</x:v>
      </x:c>
      <x:c r="S5" s="23" t="str">
        <x:v>Laboral</x:v>
      </x:c>
      <x:c r="T5" s="23" t="str">
        <x:v>Sí</x:v>
      </x:c>
      <x:c r="U5" s="40" t="n">
        <x:v>45336</x:v>
      </x:c>
      <x:c r="V5" s="23" t="str">
        <x:f>IF(T5="","",IF(T5="No","No",IF(U5&lt;=B5+15,"Sí","No")))</x:f>
        <x:v>Sí</x:v>
      </x:c>
      <x:c r="W5" s="44" t="str">
        <x:v>Operadora con actividades repetitivas de digitación y uso continuo de mouse durante jornadas extensas en central de monitoreo.</x:v>
      </x:c>
      <x:c r="X5" s="44" t="str">
        <x:v>Pausas activas obligatorias, férula nocturna y restricción de movimientos repetitivos de muñeca derecha.</x:v>
      </x:c>
      <x:c r="Y5" s="23" t="str">
        <x:v>Sí</x:v>
      </x:c>
      <x:c r="Z5" s="23" t="str">
        <x:v>Sí</x:v>
      </x:c>
      <x:c r="AA5" s="44" t="str">
        <x:v>Ajuste ergonómico del puesto, redistribución de tareas, capacitación en pausas activas y seguimiento por fisioterapia.</x:v>
      </x:c>
      <x:c r="AB5" s="23" t="str">
        <x:v>Coordinador SST</x:v>
      </x:c>
      <x:c r="AC5" s="23" t="str">
        <x:v>Cerrado</x:v>
      </x:c>
      <x:c r="AD5" s="40" t="n">
        <x:v>45555</x:v>
      </x:c>
      <x:c r="AE5" s="42" t="n">
        <x:f>IF(B5="","",IF(AD5="",TODAY()-B5,AD5-B5))</x:f>
        <x:v>228</x:v>
      </x:c>
      <x:c r="AF5" s="23" t="str">
        <x:f>IF(AC5="","",IF(AC5&lt;&gt;"Cerrado","No",IF(OR(R5="",AD5=""),"No",IF(AD5&lt;=R5+90,"Sí","No"))))</x:f>
        <x:v>No</x:v>
      </x:c>
      <x:c r="AG5" s="44" t="str">
        <x:v>Caso con evolución favorable y cierre tras mejora clínica.</x:v>
      </x:c>
    </x:row>
    <x:row r="6">
      <x:c r="A6" s="23" t="str">
        <x:v>EL-2024-002</x:v>
      </x:c>
      <x:c r="B6" s="40" t="n">
        <x:v>45516</x:v>
      </x:c>
      <x:c r="C6" s="40" t="n">
        <x:v>45503</x:v>
      </x:c>
      <x:c r="D6" s="23" t="n">
        <x:f>IF(B6="","",YEAR(B6))</x:f>
        <x:v>2024</x:v>
      </x:c>
      <x:c r="E6" s="23" t="str">
        <x:v>Cúcuta</x:v>
      </x:c>
      <x:c r="F6" s="23" t="str">
        <x:v>Jhon Alexander Vera</x:v>
      </x:c>
      <x:c r="G6" s="23" t="str">
        <x:v>1090123456</x:v>
      </x:c>
      <x:c r="H6" s="23" t="str">
        <x:v>Guarda de Seguridad</x:v>
      </x:c>
      <x:c r="I6" s="23" t="str">
        <x:v>Seguridad Física</x:v>
      </x:c>
      <x:c r="J6" s="23" t="str">
        <x:v>ARL Positiva</x:v>
      </x:c>
      <x:c r="K6" s="23" t="str">
        <x:v>Lumbalgia mecánica crónica</x:v>
      </x:c>
      <x:c r="L6" s="23" t="str">
        <x:v>M545</x:v>
      </x:c>
      <x:c r="M6" s="23" t="str">
        <x:v>M545</x:v>
      </x:c>
      <x:c r="N6" s="23" t="str">
        <x:v>Biomecánico</x:v>
      </x:c>
      <x:c r="O6" s="23" t="str">
        <x:v>Biomecánico - postura prolongada</x:v>
      </x:c>
      <x:c r="P6" s="23" t="str">
        <x:v>Autoreporte</x:v>
      </x:c>
      <x:c r="Q6" s="40" t="n">
        <x:v>45519</x:v>
      </x:c>
      <x:c r="R6" s="40" t="n">
        <x:v>45628</x:v>
      </x:c>
      <x:c r="S6" s="23" t="str">
        <x:v>Laboral</x:v>
      </x:c>
      <x:c r="T6" s="23" t="str">
        <x:v>Sí</x:v>
      </x:c>
      <x:c r="U6" s="40" t="n">
        <x:v>45526</x:v>
      </x:c>
      <x:c r="V6" s="23" t="str">
        <x:f>IF(T6="","",IF(T6="No","No",IF(U6&lt;=B6+15,"Sí","No")))</x:f>
        <x:v>Sí</x:v>
      </x:c>
      <x:c r="W6" s="44" t="str">
        <x:v>Guarda con bipedestación prolongada, recorridos continuos y manipulación ocasional de elementos en puestos fijos de vigilancia.</x:v>
      </x:c>
      <x:c r="X6" s="44" t="str">
        <x:v>No levantar cargas &gt;5 kg, alternancia postural y restricción de permanencia prolongada en una sola postura.</x:v>
      </x:c>
      <x:c r="Y6" s="23" t="str">
        <x:v>Sí</x:v>
      </x:c>
      <x:c r="Z6" s="23" t="str">
        <x:v>Sí</x:v>
      </x:c>
      <x:c r="AA6" s="44" t="str">
        <x:v>Implementación de sillas de descanso, rediseño de rondas, inspección ergonómica del puesto y fortalecimiento osteomuscular.</x:v>
      </x:c>
      <x:c r="AB6" s="23" t="str">
        <x:v>Coordinador SST</x:v>
      </x:c>
      <x:c r="AC6" s="23" t="str">
        <x:v>Cerrado</x:v>
      </x:c>
      <x:c r="AD6" s="40" t="n">
        <x:v>45698</x:v>
      </x:c>
      <x:c r="AE6" s="42" t="n">
        <x:f>IF(B6="","",IF(AD6="",TODAY()-B6,AD6-B6))</x:f>
        <x:v>182</x:v>
      </x:c>
      <x:c r="AF6" s="23" t="str">
        <x:f>IF(AC6="","",IF(AC6&lt;&gt;"Cerrado","No",IF(OR(R6="",AD6=""),"No",IF(AD6&lt;=R6+90,"Sí","No"))))</x:f>
        <x:v>Sí</x:v>
      </x:c>
      <x:c r="AG6" s="44" t="str">
        <x:v>Caso cerrado posterior a intervención biomecánica y seguimiento médico.</x:v>
      </x:c>
    </x:row>
    <x:row r="7">
      <x:c r="A7" s="23"/>
      <x:c r="B7" s="40"/>
      <x:c r="C7" s="40"/>
      <x:c r="D7" s="23" t="str">
        <x:f>IF(B7="","",YEAR(B7))</x:f>
      </x:c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3"/>
      <x:c r="P7" s="23"/>
      <x:c r="Q7" s="40"/>
      <x:c r="R7" s="40"/>
      <x:c r="S7" s="23"/>
      <x:c r="T7" s="23"/>
      <x:c r="U7" s="40"/>
      <x:c r="V7" s="23" t="str">
        <x:f>IF(T7="","",IF(T7="No","No",IF(U7&lt;=B7+15,"Sí","No")))</x:f>
      </x:c>
      <x:c r="W7" s="44"/>
      <x:c r="X7" s="44"/>
      <x:c r="Y7" s="23"/>
      <x:c r="Z7" s="23"/>
      <x:c r="AA7" s="44"/>
      <x:c r="AB7" s="23"/>
      <x:c r="AC7" s="23"/>
      <x:c r="AD7" s="40"/>
      <x:c r="AE7" s="42" t="str">
        <x:f>IF(B7="","",IF(AD7="",TODAY()-B7,AD7-B7))</x:f>
      </x:c>
      <x:c r="AF7" s="23" t="str">
        <x:f>IF(AC7="","",IF(AC7&lt;&gt;"Cerrado","No",IF(OR(R7="",AD7=""),"No",IF(AD7&lt;=R7+90,"Sí","No"))))</x:f>
      </x:c>
      <x:c r="AG7" s="44"/>
    </x:row>
    <x:row r="8">
      <x:c r="A8" s="23"/>
      <x:c r="B8" s="40"/>
      <x:c r="C8" s="40"/>
      <x:c r="D8" s="23" t="str">
        <x:f>IF(B8="","",YEAR(B8))</x:f>
      </x:c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3"/>
      <x:c r="P8" s="23"/>
      <x:c r="Q8" s="40"/>
      <x:c r="R8" s="40"/>
      <x:c r="S8" s="23"/>
      <x:c r="T8" s="23"/>
      <x:c r="U8" s="40"/>
      <x:c r="V8" s="23" t="str">
        <x:f>IF(T8="","",IF(T8="No","No",IF(U8&lt;=B8+15,"Sí","No")))</x:f>
      </x:c>
      <x:c r="W8" s="44"/>
      <x:c r="X8" s="44"/>
      <x:c r="Y8" s="23"/>
      <x:c r="Z8" s="23"/>
      <x:c r="AA8" s="44"/>
      <x:c r="AB8" s="23"/>
      <x:c r="AC8" s="23"/>
      <x:c r="AD8" s="40"/>
      <x:c r="AE8" s="42" t="str">
        <x:f>IF(B8="","",IF(AD8="",TODAY()-B8,AD8-B8))</x:f>
      </x:c>
      <x:c r="AF8" s="23" t="str">
        <x:f>IF(AC8="","",IF(AC8&lt;&gt;"Cerrado","No",IF(OR(R8="",AD8=""),"No",IF(AD8&lt;=R8+90,"Sí","No"))))</x:f>
      </x:c>
      <x:c r="AG8" s="44"/>
    </x:row>
    <x:row r="9">
      <x:c r="A9" s="23"/>
      <x:c r="B9" s="40"/>
      <x:c r="C9" s="40"/>
      <x:c r="D9" s="23" t="str">
        <x:f>IF(B9="","",YEAR(B9))</x:f>
      </x:c>
      <x:c r="E9" s="23"/>
      <x:c r="F9" s="23"/>
      <x:c r="G9" s="23"/>
      <x:c r="H9" s="23"/>
      <x:c r="I9" s="23"/>
      <x:c r="J9" s="23"/>
      <x:c r="K9" s="23"/>
      <x:c r="L9" s="23"/>
      <x:c r="M9" s="23"/>
      <x:c r="N9" s="23"/>
      <x:c r="O9" s="23"/>
      <x:c r="P9" s="23"/>
      <x:c r="Q9" s="40"/>
      <x:c r="R9" s="40"/>
      <x:c r="S9" s="23"/>
      <x:c r="T9" s="23"/>
      <x:c r="U9" s="40"/>
      <x:c r="V9" s="23" t="str">
        <x:f>IF(T9="","",IF(T9="No","No",IF(U9&lt;=B9+15,"Sí","No")))</x:f>
      </x:c>
      <x:c r="W9" s="44"/>
      <x:c r="X9" s="44"/>
      <x:c r="Y9" s="23"/>
      <x:c r="Z9" s="23"/>
      <x:c r="AA9" s="44"/>
      <x:c r="AB9" s="23"/>
      <x:c r="AC9" s="23"/>
      <x:c r="AD9" s="40"/>
      <x:c r="AE9" s="42" t="str">
        <x:f>IF(B9="","",IF(AD9="",TODAY()-B9,AD9-B9))</x:f>
      </x:c>
      <x:c r="AF9" s="23" t="str">
        <x:f>IF(AC9="","",IF(AC9&lt;&gt;"Cerrado","No",IF(OR(R9="",AD9=""),"No",IF(AD9&lt;=R9+90,"Sí","No"))))</x:f>
      </x:c>
      <x:c r="AG9" s="44"/>
    </x:row>
    <x:row r="10">
      <x:c r="A10" s="23"/>
      <x:c r="B10" s="40"/>
      <x:c r="C10" s="40"/>
      <x:c r="D10" s="23" t="str">
        <x:f>IF(B10="","",YEAR(B10))</x:f>
      </x:c>
      <x:c r="E10" s="23"/>
      <x:c r="F10" s="23"/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  <x:c r="Q10" s="40"/>
      <x:c r="R10" s="40"/>
      <x:c r="S10" s="23"/>
      <x:c r="T10" s="23"/>
      <x:c r="U10" s="40"/>
      <x:c r="V10" s="23" t="str">
        <x:f>IF(T10="","",IF(T10="No","No",IF(U10&lt;=B10+15,"Sí","No")))</x:f>
      </x:c>
      <x:c r="W10" s="44"/>
      <x:c r="X10" s="44"/>
      <x:c r="Y10" s="23"/>
      <x:c r="Z10" s="23"/>
      <x:c r="AA10" s="44"/>
      <x:c r="AB10" s="23"/>
      <x:c r="AC10" s="23"/>
      <x:c r="AD10" s="40"/>
      <x:c r="AE10" s="42" t="str">
        <x:f>IF(B10="","",IF(AD10="",TODAY()-B10,AD10-B10))</x:f>
      </x:c>
      <x:c r="AF10" s="23" t="str">
        <x:f>IF(AC10="","",IF(AC10&lt;&gt;"Cerrado","No",IF(OR(R10="",AD10=""),"No",IF(AD10&lt;=R10+90,"Sí","No"))))</x:f>
      </x:c>
      <x:c r="AG10" s="44"/>
    </x:row>
    <x:row r="11">
      <x:c r="A11" s="23"/>
      <x:c r="B11" s="40"/>
      <x:c r="C11" s="40"/>
      <x:c r="D11" s="23" t="str">
        <x:f>IF(B11="","",YEAR(B11))</x:f>
      </x:c>
      <x:c r="E11" s="23"/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  <x:c r="Q11" s="40"/>
      <x:c r="R11" s="40"/>
      <x:c r="S11" s="23"/>
      <x:c r="T11" s="23"/>
      <x:c r="U11" s="40"/>
      <x:c r="V11" s="23" t="str">
        <x:f>IF(T11="","",IF(T11="No","No",IF(U11&lt;=B11+15,"Sí","No")))</x:f>
      </x:c>
      <x:c r="W11" s="44"/>
      <x:c r="X11" s="44"/>
      <x:c r="Y11" s="23"/>
      <x:c r="Z11" s="23"/>
      <x:c r="AA11" s="44"/>
      <x:c r="AB11" s="23"/>
      <x:c r="AC11" s="23"/>
      <x:c r="AD11" s="40"/>
      <x:c r="AE11" s="42" t="str">
        <x:f>IF(B11="","",IF(AD11="",TODAY()-B11,AD11-B11))</x:f>
      </x:c>
      <x:c r="AF11" s="23" t="str">
        <x:f>IF(AC11="","",IF(AC11&lt;&gt;"Cerrado","No",IF(OR(R11="",AD11=""),"No",IF(AD11&lt;=R11+90,"Sí","No"))))</x:f>
      </x:c>
      <x:c r="AG11" s="44"/>
    </x:row>
    <x:row r="12">
      <x:c r="A12" s="23"/>
      <x:c r="B12" s="40"/>
      <x:c r="C12" s="40"/>
      <x:c r="D12" s="23" t="str">
        <x:f>IF(B12="","",YEAR(B12))</x:f>
      </x:c>
      <x:c r="E12" s="23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40"/>
      <x:c r="R12" s="40"/>
      <x:c r="S12" s="23"/>
      <x:c r="T12" s="23"/>
      <x:c r="U12" s="40"/>
      <x:c r="V12" s="23" t="str">
        <x:f>IF(T12="","",IF(T12="No","No",IF(U12&lt;=B12+15,"Sí","No")))</x:f>
      </x:c>
      <x:c r="W12" s="44"/>
      <x:c r="X12" s="44"/>
      <x:c r="Y12" s="23"/>
      <x:c r="Z12" s="23"/>
      <x:c r="AA12" s="44"/>
      <x:c r="AB12" s="23"/>
      <x:c r="AC12" s="23"/>
      <x:c r="AD12" s="40"/>
      <x:c r="AE12" s="42" t="str">
        <x:f>IF(B12="","",IF(AD12="",TODAY()-B12,AD12-B12))</x:f>
      </x:c>
      <x:c r="AF12" s="23" t="str">
        <x:f>IF(AC12="","",IF(AC12&lt;&gt;"Cerrado","No",IF(OR(R12="",AD12=""),"No",IF(AD12&lt;=R12+90,"Sí","No"))))</x:f>
      </x:c>
      <x:c r="AG12" s="44"/>
    </x:row>
    <x:row r="13">
      <x:c r="A13" s="23"/>
      <x:c r="B13" s="40"/>
      <x:c r="C13" s="40"/>
      <x:c r="D13" s="23" t="str">
        <x:f>IF(B13="","",YEAR(B13))</x:f>
      </x:c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40"/>
      <x:c r="R13" s="40"/>
      <x:c r="S13" s="23"/>
      <x:c r="T13" s="23"/>
      <x:c r="U13" s="40"/>
      <x:c r="V13" s="23" t="str">
        <x:f>IF(T13="","",IF(T13="No","No",IF(U13&lt;=B13+15,"Sí","No")))</x:f>
      </x:c>
      <x:c r="W13" s="44"/>
      <x:c r="X13" s="44"/>
      <x:c r="Y13" s="23"/>
      <x:c r="Z13" s="23"/>
      <x:c r="AA13" s="44"/>
      <x:c r="AB13" s="23"/>
      <x:c r="AC13" s="23"/>
      <x:c r="AD13" s="40"/>
      <x:c r="AE13" s="42" t="str">
        <x:f>IF(B13="","",IF(AD13="",TODAY()-B13,AD13-B13))</x:f>
      </x:c>
      <x:c r="AF13" s="23" t="str">
        <x:f>IF(AC13="","",IF(AC13&lt;&gt;"Cerrado","No",IF(OR(R13="",AD13=""),"No",IF(AD13&lt;=R13+90,"Sí","No"))))</x:f>
      </x:c>
      <x:c r="AG13" s="44"/>
    </x:row>
    <x:row r="14">
      <x:c r="A14" s="23"/>
      <x:c r="B14" s="40"/>
      <x:c r="C14" s="40"/>
      <x:c r="D14" s="23" t="str">
        <x:f>IF(B14="","",YEAR(B14))</x:f>
      </x:c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40"/>
      <x:c r="R14" s="40"/>
      <x:c r="S14" s="23"/>
      <x:c r="T14" s="23"/>
      <x:c r="U14" s="40"/>
      <x:c r="V14" s="23" t="str">
        <x:f>IF(T14="","",IF(T14="No","No",IF(U14&lt;=B14+15,"Sí","No")))</x:f>
      </x:c>
      <x:c r="W14" s="44"/>
      <x:c r="X14" s="44"/>
      <x:c r="Y14" s="23"/>
      <x:c r="Z14" s="23"/>
      <x:c r="AA14" s="44"/>
      <x:c r="AB14" s="23"/>
      <x:c r="AC14" s="23"/>
      <x:c r="AD14" s="40"/>
      <x:c r="AE14" s="42" t="str">
        <x:f>IF(B14="","",IF(AD14="",TODAY()-B14,AD14-B14))</x:f>
      </x:c>
      <x:c r="AF14" s="23" t="str">
        <x:f>IF(AC14="","",IF(AC14&lt;&gt;"Cerrado","No",IF(OR(R14="",AD14=""),"No",IF(AD14&lt;=R14+90,"Sí","No"))))</x:f>
      </x:c>
      <x:c r="AG14" s="44"/>
    </x:row>
  </x:sheetData>
  <x:mergeCells>
    <x:mergeCell ref="A1:AG1"/>
    <x:mergeCell ref="A2:AG2"/>
  </x:mergeCells>
  <x:conditionalFormatting sqref="S5:S14">
    <x:cfRule type="expression" dxfId="14" priority="1">
      <x:formula>S5="Laboral"</x:formula>
    </x:cfRule>
    <x:cfRule type="expression" dxfId="15" priority="2">
      <x:formula>S5="Común"</x:formula>
    </x:cfRule>
  </x:conditionalFormatting>
  <x:conditionalFormatting sqref="AC5:AC14">
    <x:cfRule type="expression" dxfId="16" priority="3">
      <x:formula>AC5="Cerrado"</x:formula>
    </x:cfRule>
    <x:cfRule type="expression" dxfId="17" priority="4">
      <x:formula>AC5="En seguimiento"</x:formula>
    </x:cfRule>
    <x:cfRule type="expression" dxfId="18" priority="5">
      <x:formula>AC5="Abierto"</x:formula>
    </x:cfRule>
  </x:conditionalFormatting>
  <x:conditionalFormatting sqref="V5:V14">
    <x:cfRule type="expression" dxfId="19" priority="6">
      <x:formula>V5="No"</x:formula>
    </x:cfRule>
  </x:conditionalFormatting>
  <x:conditionalFormatting sqref="AF5:AF14">
    <x:cfRule type="expression" dxfId="20" priority="7">
      <x:formula>AF5="No"</x:formula>
    </x:cfRule>
  </x:conditionalFormatting>
  <x:dataValidations count="14">
    <x:dataValidation type="list" sqref="E5:E84">
      <x:formula1>"Cúcuta,Barrancabermeja,Ocaña,Girón,Valledupar,Arauca,Bogotá,Tibú,Medellín,Ábrego,Pamplona"</x:formula1>
    </x:dataValidation>
    <x:dataValidation type="list" sqref="H5:H84">
      <x:formula1>"Guarda de Seguridad,Supervisor de Puesto,Operador de Medios Tecnológicos,Escolta,Analista SST,Coordinador Operativo"</x:formula1>
    </x:dataValidation>
    <x:dataValidation type="list" sqref="I5:I84">
      <x:formula1>"Operaciones,Seguridad Física,Supervisión,Talento Humano,Administrativa,Monitoreo"</x:formula1>
    </x:dataValidation>
    <x:dataValidation type="list" sqref="J5:J84">
      <x:formula1>"ARL SURA,ARL AXA Colpatria,ARL Positiva,ARL Bolívar,ARL Colmena"</x:formula1>
    </x:dataValidation>
    <x:dataValidation type="list" sqref="K5:K84">
      <x:formula1>"Hipoacusia neurosensorial,Lumbalgia mecánica crónica,Síndrome del túnel carpiano,Trastorno de ansiedad mixto,Epicondilitis lateral"</x:formula1>
    </x:dataValidation>
    <x:dataValidation type="list" sqref="N5:N84">
      <x:formula1>"Biomecánico,Psicosocial,Físico,Químico,Biológico,Seguridad"</x:formula1>
    </x:dataValidation>
    <x:dataValidation type="list" sqref="O5:O84">
      <x:formula1>"Ruido,Biomecánico - postura prolongada,Biomecánico - movimientos repetitivos,Psicosocial - alta demanda,Físico - vibración"</x:formula1>
    </x:dataValidation>
    <x:dataValidation type="list" sqref="P5:P84">
      <x:formula1>"Examen médico ocupacional,Autoreporte,Consulta médica,Investigación epidemiológica,Reporte de supervisión"</x:formula1>
    </x:dataValidation>
    <x:dataValidation type="list" sqref="S5:S84">
      <x:formula1>"Laboral,Común,Pendiente"</x:formula1>
    </x:dataValidation>
    <x:dataValidation type="list" sqref="T5:T84">
      <x:formula1>"Sí,No"</x:formula1>
    </x:dataValidation>
    <x:dataValidation type="list" sqref="Y5:Y84">
      <x:formula1>"Sí,No,Pendiente"</x:formula1>
    </x:dataValidation>
    <x:dataValidation type="list" sqref="Z5:Z84">
      <x:formula1>"Sí,No,Pendiente"</x:formula1>
    </x:dataValidation>
    <x:dataValidation type="list" sqref="AB5:AB84">
      <x:formula1>"Líder SST,Coordinador SST,Médico Laboral,Talento Humano,Supervisor Operativo"</x:formula1>
    </x:dataValidation>
    <x:dataValidation type="list" sqref="AC5:AC84">
      <x:formula1>"Abierto,En seguimiento,Cerrado"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3b0b5123fb34d8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8" hidden="0" customWidth="1"/>
    <x:col min="5" max="5" width="14" hidden="0" customWidth="1"/>
    <x:col min="6" max="6" width="24" hidden="0" customWidth="1"/>
    <x:col min="7" max="7" width="14" hidden="0" customWidth="1"/>
    <x:col min="8" max="8" width="20" hidden="0" customWidth="1"/>
    <x:col min="9" max="9" width="18" hidden="0" customWidth="1"/>
    <x:col min="10" max="10" width="16" hidden="0" customWidth="1"/>
    <x:col min="11" max="11" width="24" hidden="0" customWidth="1"/>
    <x:col min="12" max="12" width="14" hidden="0" customWidth="1"/>
    <x:col min="13" max="13" width="14" hidden="0" customWidth="1"/>
    <x:col min="14" max="14" width="16" hidden="0" customWidth="1"/>
    <x:col min="15" max="15" width="28" hidden="0" customWidth="1"/>
    <x:col min="16" max="16" width="20" hidden="0" customWidth="1"/>
    <x:col min="17" max="17" width="12" hidden="0" customWidth="1"/>
    <x:col min="18" max="18" width="12" hidden="0" customWidth="1"/>
    <x:col min="19" max="19" width="14" hidden="0" customWidth="1"/>
    <x:col min="20" max="20" width="14" hidden="0" customWidth="1"/>
    <x:col min="21" max="21" width="12" hidden="0" customWidth="1"/>
    <x:col min="22" max="22" width="14" hidden="0" customWidth="1"/>
    <x:col min="23" max="23" width="34" hidden="0" customWidth="1"/>
    <x:col min="24" max="24" width="28" hidden="0" customWidth="1"/>
    <x:col min="25" max="25" width="14" hidden="0" customWidth="1"/>
    <x:col min="26" max="26" width="12" hidden="0" customWidth="1"/>
    <x:col min="27" max="27" width="36" hidden="0" customWidth="1"/>
    <x:col min="28" max="28" width="18" hidden="0" customWidth="1"/>
    <x:col min="29" max="29" width="14" hidden="0" customWidth="1"/>
    <x:col min="30" max="30" width="12" hidden="0" customWidth="1"/>
    <x:col min="31" max="31" width="12" hidden="0" customWidth="1"/>
    <x:col min="32" max="32" width="14" hidden="0" customWidth="1"/>
    <x:col min="33" max="33" width="28" hidden="0" customWidth="1"/>
  </x:cols>
  <x:sheetData>
    <x:row r="1">
      <x:c r="A1" s="5" t="str">
        <x:v>Matriz de Enfermedad Laboral - 2025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</x:row>
    <x:row r="2" ht="28" customHeight="1">
      <x:c r="A2" s="11" t="str">
        <x:v>Incluye identificación del caso, diagnóstico, investigación, seguimiento, intervención y cierre del evento.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</x:row>
    <x:row r="4">
      <x:c r="A4" s="38" t="str">
        <x:v>Caso_ID</x:v>
      </x:c>
      <x:c r="B4" s="38" t="str">
        <x:v>Fecha_Apertura</x:v>
      </x:c>
      <x:c r="C4" s="38" t="str">
        <x:v>Fecha_Diagnostico</x:v>
      </x:c>
      <x:c r="D4" s="38" t="str">
        <x:v>Año</x:v>
      </x:c>
      <x:c r="E4" s="38" t="str">
        <x:v>Sede</x:v>
      </x:c>
      <x:c r="F4" s="38" t="str">
        <x:v>Nombre_Trabajador</x:v>
      </x:c>
      <x:c r="G4" s="38" t="str">
        <x:v>Identificación</x:v>
      </x:c>
      <x:c r="H4" s="38" t="str">
        <x:v>Cargo</x:v>
      </x:c>
      <x:c r="I4" s="38" t="str">
        <x:v>Área_Proceso</x:v>
      </x:c>
      <x:c r="J4" s="38" t="str">
        <x:v>ARL</x:v>
      </x:c>
      <x:c r="K4" s="38" t="str">
        <x:v>Tipo_Enfermedad</x:v>
      </x:c>
      <x:c r="L4" s="38" t="str">
        <x:v>Dx_Presuntivo_CIE10</x:v>
      </x:c>
      <x:c r="M4" s="38" t="str">
        <x:v>Dx_Confirmado_CIE10</x:v>
      </x:c>
      <x:c r="N4" s="38" t="str">
        <x:v>Factor_Riesgo_Asociado</x:v>
      </x:c>
      <x:c r="O4" s="38" t="str">
        <x:v>Peligro_Relacionado</x:v>
      </x:c>
      <x:c r="P4" s="38" t="str">
        <x:v>Origen_Sospecha</x:v>
      </x:c>
      <x:c r="Q4" s="38" t="str">
        <x:v>Fecha_Reporte_ARL</x:v>
      </x:c>
      <x:c r="R4" s="38" t="str">
        <x:v>Fecha_Calificación</x:v>
      </x:c>
      <x:c r="S4" s="38" t="str">
        <x:v>Resultado_Calificación</x:v>
      </x:c>
      <x:c r="T4" s="38" t="str">
        <x:v>Investigación_Realizada</x:v>
      </x:c>
      <x:c r="U4" s="38" t="str">
        <x:v>Fecha_Investigación</x:v>
      </x:c>
      <x:c r="V4" s="38" t="str">
        <x:v>Investigación_Oportuna</x:v>
      </x:c>
      <x:c r="W4" s="38" t="str">
        <x:v>Descripción_Caso</x:v>
      </x:c>
      <x:c r="X4" s="38" t="str">
        <x:v>Restricciones_Médicas</x:v>
      </x:c>
      <x:c r="Y4" s="38" t="str">
        <x:v>Reubicación_Laboral</x:v>
      </x:c>
      <x:c r="Z4" s="38" t="str">
        <x:v>PVE_Activado</x:v>
      </x:c>
      <x:c r="AA4" s="38" t="str">
        <x:v>Acciones_Intervención</x:v>
      </x:c>
      <x:c r="AB4" s="38" t="str">
        <x:v>Responsable_Seguimiento</x:v>
      </x:c>
      <x:c r="AC4" s="38" t="str">
        <x:v>Estado_Caso</x:v>
      </x:c>
      <x:c r="AD4" s="38" t="str">
        <x:v>Fecha_Cierre</x:v>
      </x:c>
      <x:c r="AE4" s="38" t="str">
        <x:v>Días_Gestión</x:v>
      </x:c>
      <x:c r="AF4" s="38" t="str">
        <x:v>Cierre_Oportuno</x:v>
      </x:c>
      <x:c r="AG4" s="38" t="str">
        <x:v>Observaciones</x:v>
      </x:c>
    </x:row>
    <x:row r="5">
      <x:c r="A5" s="23"/>
      <x:c r="B5" s="40"/>
      <x:c r="C5" s="40"/>
      <x:c r="D5" s="23" t="str">
        <x:f>IF(B5="","",YEAR(B5))</x:f>
      </x:c>
      <x:c r="E5" s="23"/>
      <x:c r="F5" s="23"/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40"/>
      <x:c r="R5" s="40"/>
      <x:c r="S5" s="23"/>
      <x:c r="T5" s="23"/>
      <x:c r="U5" s="40"/>
      <x:c r="V5" s="23" t="str">
        <x:f>IF(T5="","",IF(T5="No","No",IF(U5&lt;=B5+15,"Sí","No")))</x:f>
      </x:c>
      <x:c r="W5" s="44"/>
      <x:c r="X5" s="44"/>
      <x:c r="Y5" s="23"/>
      <x:c r="Z5" s="23"/>
      <x:c r="AA5" s="44"/>
      <x:c r="AB5" s="23"/>
      <x:c r="AC5" s="23"/>
      <x:c r="AD5" s="40"/>
      <x:c r="AE5" s="42" t="str">
        <x:f>IF(B5="","",IF(AD5="",TODAY()-B5,AD5-B5))</x:f>
      </x:c>
      <x:c r="AF5" s="23" t="str">
        <x:f>IF(AC5="","",IF(AC5&lt;&gt;"Cerrado","No",IF(OR(R5="",AD5=""),"No",IF(AD5&lt;=R5+90,"Sí","No"))))</x:f>
      </x:c>
      <x:c r="AG5" s="44"/>
    </x:row>
    <x:row r="6">
      <x:c r="A6" s="23"/>
      <x:c r="B6" s="40"/>
      <x:c r="C6" s="40"/>
      <x:c r="D6" s="23" t="str">
        <x:f>IF(B6="","",YEAR(B6))</x:f>
      </x:c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3"/>
      <x:c r="P6" s="23"/>
      <x:c r="Q6" s="40"/>
      <x:c r="R6" s="40"/>
      <x:c r="S6" s="23"/>
      <x:c r="T6" s="23"/>
      <x:c r="U6" s="40"/>
      <x:c r="V6" s="23" t="str">
        <x:f>IF(T6="","",IF(T6="No","No",IF(U6&lt;=B6+15,"Sí","No")))</x:f>
      </x:c>
      <x:c r="W6" s="44"/>
      <x:c r="X6" s="44"/>
      <x:c r="Y6" s="23"/>
      <x:c r="Z6" s="23"/>
      <x:c r="AA6" s="44"/>
      <x:c r="AB6" s="23"/>
      <x:c r="AC6" s="23"/>
      <x:c r="AD6" s="40"/>
      <x:c r="AE6" s="42" t="str">
        <x:f>IF(B6="","",IF(AD6="",TODAY()-B6,AD6-B6))</x:f>
      </x:c>
      <x:c r="AF6" s="23" t="str">
        <x:f>IF(AC6="","",IF(AC6&lt;&gt;"Cerrado","No",IF(OR(R6="",AD6=""),"No",IF(AD6&lt;=R6+90,"Sí","No"))))</x:f>
      </x:c>
      <x:c r="AG6" s="44"/>
    </x:row>
    <x:row r="7">
      <x:c r="A7" s="23"/>
      <x:c r="B7" s="40"/>
      <x:c r="C7" s="40"/>
      <x:c r="D7" s="23" t="str">
        <x:f>IF(B7="","",YEAR(B7))</x:f>
      </x:c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3"/>
      <x:c r="P7" s="23"/>
      <x:c r="Q7" s="40"/>
      <x:c r="R7" s="40"/>
      <x:c r="S7" s="23"/>
      <x:c r="T7" s="23"/>
      <x:c r="U7" s="40"/>
      <x:c r="V7" s="23" t="str">
        <x:f>IF(T7="","",IF(T7="No","No",IF(U7&lt;=B7+15,"Sí","No")))</x:f>
      </x:c>
      <x:c r="W7" s="44"/>
      <x:c r="X7" s="44"/>
      <x:c r="Y7" s="23"/>
      <x:c r="Z7" s="23"/>
      <x:c r="AA7" s="44"/>
      <x:c r="AB7" s="23"/>
      <x:c r="AC7" s="23"/>
      <x:c r="AD7" s="40"/>
      <x:c r="AE7" s="42" t="str">
        <x:f>IF(B7="","",IF(AD7="",TODAY()-B7,AD7-B7))</x:f>
      </x:c>
      <x:c r="AF7" s="23" t="str">
        <x:f>IF(AC7="","",IF(AC7&lt;&gt;"Cerrado","No",IF(OR(R7="",AD7=""),"No",IF(AD7&lt;=R7+90,"Sí","No"))))</x:f>
      </x:c>
      <x:c r="AG7" s="44"/>
    </x:row>
    <x:row r="8">
      <x:c r="A8" s="23"/>
      <x:c r="B8" s="40"/>
      <x:c r="C8" s="40"/>
      <x:c r="D8" s="23" t="str">
        <x:f>IF(B8="","",YEAR(B8))</x:f>
      </x:c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3"/>
      <x:c r="P8" s="23"/>
      <x:c r="Q8" s="40"/>
      <x:c r="R8" s="40"/>
      <x:c r="S8" s="23"/>
      <x:c r="T8" s="23"/>
      <x:c r="U8" s="40"/>
      <x:c r="V8" s="23" t="str">
        <x:f>IF(T8="","",IF(T8="No","No",IF(U8&lt;=B8+15,"Sí","No")))</x:f>
      </x:c>
      <x:c r="W8" s="44"/>
      <x:c r="X8" s="44"/>
      <x:c r="Y8" s="23"/>
      <x:c r="Z8" s="23"/>
      <x:c r="AA8" s="44"/>
      <x:c r="AB8" s="23"/>
      <x:c r="AC8" s="23"/>
      <x:c r="AD8" s="40"/>
      <x:c r="AE8" s="42" t="str">
        <x:f>IF(B8="","",IF(AD8="",TODAY()-B8,AD8-B8))</x:f>
      </x:c>
      <x:c r="AF8" s="23" t="str">
        <x:f>IF(AC8="","",IF(AC8&lt;&gt;"Cerrado","No",IF(OR(R8="",AD8=""),"No",IF(AD8&lt;=R8+90,"Sí","No"))))</x:f>
      </x:c>
      <x:c r="AG8" s="44"/>
    </x:row>
    <x:row r="9">
      <x:c r="A9" s="23"/>
      <x:c r="B9" s="40"/>
      <x:c r="C9" s="40"/>
      <x:c r="D9" s="23" t="str">
        <x:f>IF(B9="","",YEAR(B9))</x:f>
      </x:c>
      <x:c r="E9" s="23"/>
      <x:c r="F9" s="23"/>
      <x:c r="G9" s="23"/>
      <x:c r="H9" s="23"/>
      <x:c r="I9" s="23"/>
      <x:c r="J9" s="23"/>
      <x:c r="K9" s="23"/>
      <x:c r="L9" s="23"/>
      <x:c r="M9" s="23"/>
      <x:c r="N9" s="23"/>
      <x:c r="O9" s="23"/>
      <x:c r="P9" s="23"/>
      <x:c r="Q9" s="40"/>
      <x:c r="R9" s="40"/>
      <x:c r="S9" s="23"/>
      <x:c r="T9" s="23"/>
      <x:c r="U9" s="40"/>
      <x:c r="V9" s="23" t="str">
        <x:f>IF(T9="","",IF(T9="No","No",IF(U9&lt;=B9+15,"Sí","No")))</x:f>
      </x:c>
      <x:c r="W9" s="44"/>
      <x:c r="X9" s="44"/>
      <x:c r="Y9" s="23"/>
      <x:c r="Z9" s="23"/>
      <x:c r="AA9" s="44"/>
      <x:c r="AB9" s="23"/>
      <x:c r="AC9" s="23"/>
      <x:c r="AD9" s="40"/>
      <x:c r="AE9" s="42" t="str">
        <x:f>IF(B9="","",IF(AD9="",TODAY()-B9,AD9-B9))</x:f>
      </x:c>
      <x:c r="AF9" s="23" t="str">
        <x:f>IF(AC9="","",IF(AC9&lt;&gt;"Cerrado","No",IF(OR(R9="",AD9=""),"No",IF(AD9&lt;=R9+90,"Sí","No"))))</x:f>
      </x:c>
      <x:c r="AG9" s="44"/>
    </x:row>
    <x:row r="10">
      <x:c r="A10" s="23"/>
      <x:c r="B10" s="40"/>
      <x:c r="C10" s="40"/>
      <x:c r="D10" s="23" t="str">
        <x:f>IF(B10="","",YEAR(B10))</x:f>
      </x:c>
      <x:c r="E10" s="23"/>
      <x:c r="F10" s="23"/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  <x:c r="Q10" s="40"/>
      <x:c r="R10" s="40"/>
      <x:c r="S10" s="23"/>
      <x:c r="T10" s="23"/>
      <x:c r="U10" s="40"/>
      <x:c r="V10" s="23" t="str">
        <x:f>IF(T10="","",IF(T10="No","No",IF(U10&lt;=B10+15,"Sí","No")))</x:f>
      </x:c>
      <x:c r="W10" s="44"/>
      <x:c r="X10" s="44"/>
      <x:c r="Y10" s="23"/>
      <x:c r="Z10" s="23"/>
      <x:c r="AA10" s="44"/>
      <x:c r="AB10" s="23"/>
      <x:c r="AC10" s="23"/>
      <x:c r="AD10" s="40"/>
      <x:c r="AE10" s="42" t="str">
        <x:f>IF(B10="","",IF(AD10="",TODAY()-B10,AD10-B10))</x:f>
      </x:c>
      <x:c r="AF10" s="23" t="str">
        <x:f>IF(AC10="","",IF(AC10&lt;&gt;"Cerrado","No",IF(OR(R10="",AD10=""),"No",IF(AD10&lt;=R10+90,"Sí","No"))))</x:f>
      </x:c>
      <x:c r="AG10" s="44"/>
    </x:row>
    <x:row r="11">
      <x:c r="A11" s="23"/>
      <x:c r="B11" s="40"/>
      <x:c r="C11" s="40"/>
      <x:c r="D11" s="23" t="str">
        <x:f>IF(B11="","",YEAR(B11))</x:f>
      </x:c>
      <x:c r="E11" s="23"/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  <x:c r="Q11" s="40"/>
      <x:c r="R11" s="40"/>
      <x:c r="S11" s="23"/>
      <x:c r="T11" s="23"/>
      <x:c r="U11" s="40"/>
      <x:c r="V11" s="23" t="str">
        <x:f>IF(T11="","",IF(T11="No","No",IF(U11&lt;=B11+15,"Sí","No")))</x:f>
      </x:c>
      <x:c r="W11" s="44"/>
      <x:c r="X11" s="44"/>
      <x:c r="Y11" s="23"/>
      <x:c r="Z11" s="23"/>
      <x:c r="AA11" s="44"/>
      <x:c r="AB11" s="23"/>
      <x:c r="AC11" s="23"/>
      <x:c r="AD11" s="40"/>
      <x:c r="AE11" s="42" t="str">
        <x:f>IF(B11="","",IF(AD11="",TODAY()-B11,AD11-B11))</x:f>
      </x:c>
      <x:c r="AF11" s="23" t="str">
        <x:f>IF(AC11="","",IF(AC11&lt;&gt;"Cerrado","No",IF(OR(R11="",AD11=""),"No",IF(AD11&lt;=R11+90,"Sí","No"))))</x:f>
      </x:c>
      <x:c r="AG11" s="44"/>
    </x:row>
    <x:row r="12">
      <x:c r="A12" s="23"/>
      <x:c r="B12" s="40"/>
      <x:c r="C12" s="40"/>
      <x:c r="D12" s="23" t="str">
        <x:f>IF(B12="","",YEAR(B12))</x:f>
      </x:c>
      <x:c r="E12" s="23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40"/>
      <x:c r="R12" s="40"/>
      <x:c r="S12" s="23"/>
      <x:c r="T12" s="23"/>
      <x:c r="U12" s="40"/>
      <x:c r="V12" s="23" t="str">
        <x:f>IF(T12="","",IF(T12="No","No",IF(U12&lt;=B12+15,"Sí","No")))</x:f>
      </x:c>
      <x:c r="W12" s="44"/>
      <x:c r="X12" s="44"/>
      <x:c r="Y12" s="23"/>
      <x:c r="Z12" s="23"/>
      <x:c r="AA12" s="44"/>
      <x:c r="AB12" s="23"/>
      <x:c r="AC12" s="23"/>
      <x:c r="AD12" s="40"/>
      <x:c r="AE12" s="42" t="str">
        <x:f>IF(B12="","",IF(AD12="",TODAY()-B12,AD12-B12))</x:f>
      </x:c>
      <x:c r="AF12" s="23" t="str">
        <x:f>IF(AC12="","",IF(AC12&lt;&gt;"Cerrado","No",IF(OR(R12="",AD12=""),"No",IF(AD12&lt;=R12+90,"Sí","No"))))</x:f>
      </x:c>
      <x:c r="AG12" s="44"/>
    </x:row>
    <x:row r="13">
      <x:c r="A13" s="23"/>
      <x:c r="B13" s="40"/>
      <x:c r="C13" s="40"/>
      <x:c r="D13" s="23" t="str">
        <x:f>IF(B13="","",YEAR(B13))</x:f>
      </x:c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40"/>
      <x:c r="R13" s="40"/>
      <x:c r="S13" s="23"/>
      <x:c r="T13" s="23"/>
      <x:c r="U13" s="40"/>
      <x:c r="V13" s="23" t="str">
        <x:f>IF(T13="","",IF(T13="No","No",IF(U13&lt;=B13+15,"Sí","No")))</x:f>
      </x:c>
      <x:c r="W13" s="44"/>
      <x:c r="X13" s="44"/>
      <x:c r="Y13" s="23"/>
      <x:c r="Z13" s="23"/>
      <x:c r="AA13" s="44"/>
      <x:c r="AB13" s="23"/>
      <x:c r="AC13" s="23"/>
      <x:c r="AD13" s="40"/>
      <x:c r="AE13" s="42" t="str">
        <x:f>IF(B13="","",IF(AD13="",TODAY()-B13,AD13-B13))</x:f>
      </x:c>
      <x:c r="AF13" s="23" t="str">
        <x:f>IF(AC13="","",IF(AC13&lt;&gt;"Cerrado","No",IF(OR(R13="",AD13=""),"No",IF(AD13&lt;=R13+90,"Sí","No"))))</x:f>
      </x:c>
      <x:c r="AG13" s="44"/>
    </x:row>
    <x:row r="14">
      <x:c r="A14" s="23"/>
      <x:c r="B14" s="40"/>
      <x:c r="C14" s="40"/>
      <x:c r="D14" s="23" t="str">
        <x:f>IF(B14="","",YEAR(B14))</x:f>
      </x:c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40"/>
      <x:c r="R14" s="40"/>
      <x:c r="S14" s="23"/>
      <x:c r="T14" s="23"/>
      <x:c r="U14" s="40"/>
      <x:c r="V14" s="23" t="str">
        <x:f>IF(T14="","",IF(T14="No","No",IF(U14&lt;=B14+15,"Sí","No")))</x:f>
      </x:c>
      <x:c r="W14" s="44"/>
      <x:c r="X14" s="44"/>
      <x:c r="Y14" s="23"/>
      <x:c r="Z14" s="23"/>
      <x:c r="AA14" s="44"/>
      <x:c r="AB14" s="23"/>
      <x:c r="AC14" s="23"/>
      <x:c r="AD14" s="40"/>
      <x:c r="AE14" s="42" t="str">
        <x:f>IF(B14="","",IF(AD14="",TODAY()-B14,AD14-B14))</x:f>
      </x:c>
      <x:c r="AF14" s="23" t="str">
        <x:f>IF(AC14="","",IF(AC14&lt;&gt;"Cerrado","No",IF(OR(R14="",AD14=""),"No",IF(AD14&lt;=R14+90,"Sí","No"))))</x:f>
      </x:c>
      <x:c r="AG14" s="44"/>
    </x:row>
  </x:sheetData>
  <x:mergeCells>
    <x:mergeCell ref="A1:AG1"/>
    <x:mergeCell ref="A2:AG2"/>
  </x:mergeCells>
  <x:conditionalFormatting sqref="S5:S14">
    <x:cfRule type="expression" dxfId="21" priority="1">
      <x:formula>S5="Laboral"</x:formula>
    </x:cfRule>
    <x:cfRule type="expression" dxfId="22" priority="2">
      <x:formula>S5="Común"</x:formula>
    </x:cfRule>
  </x:conditionalFormatting>
  <x:conditionalFormatting sqref="AC5:AC14">
    <x:cfRule type="expression" dxfId="23" priority="3">
      <x:formula>AC5="Cerrado"</x:formula>
    </x:cfRule>
    <x:cfRule type="expression" dxfId="24" priority="4">
      <x:formula>AC5="En seguimiento"</x:formula>
    </x:cfRule>
    <x:cfRule type="expression" dxfId="25" priority="5">
      <x:formula>AC5="Abierto"</x:formula>
    </x:cfRule>
  </x:conditionalFormatting>
  <x:conditionalFormatting sqref="V5:V14">
    <x:cfRule type="expression" dxfId="26" priority="6">
      <x:formula>V5="No"</x:formula>
    </x:cfRule>
  </x:conditionalFormatting>
  <x:conditionalFormatting sqref="AF5:AF14">
    <x:cfRule type="expression" dxfId="27" priority="7">
      <x:formula>AF5="No"</x:formula>
    </x:cfRule>
  </x:conditionalFormatting>
  <x:dataValidations count="14">
    <x:dataValidation type="list" sqref="E5:E84">
      <x:formula1>"Cúcuta,Barrancabermeja,Ocaña,Girón,Valledupar,Arauca,Bogotá,Tibú,Medellín,Ábrego,Pamplona"</x:formula1>
    </x:dataValidation>
    <x:dataValidation type="list" sqref="H5:H84">
      <x:formula1>"Guarda de Seguridad,Supervisor de Puesto,Operador de Medios Tecnológicos,Escolta,Analista SST,Coordinador Operativo"</x:formula1>
    </x:dataValidation>
    <x:dataValidation type="list" sqref="I5:I84">
      <x:formula1>"Operaciones,Seguridad Física,Supervisión,Talento Humano,Administrativa,Monitoreo"</x:formula1>
    </x:dataValidation>
    <x:dataValidation type="list" sqref="J5:J84">
      <x:formula1>"ARL SURA,ARL AXA Colpatria,ARL Positiva,ARL Bolívar,ARL Colmena"</x:formula1>
    </x:dataValidation>
    <x:dataValidation type="list" sqref="K5:K84">
      <x:formula1>"Hipoacusia neurosensorial,Lumbalgia mecánica crónica,Síndrome del túnel carpiano,Trastorno de ansiedad mixto,Epicondilitis lateral"</x:formula1>
    </x:dataValidation>
    <x:dataValidation type="list" sqref="N5:N84">
      <x:formula1>"Biomecánico,Psicosocial,Físico,Químico,Biológico,Seguridad"</x:formula1>
    </x:dataValidation>
    <x:dataValidation type="list" sqref="O5:O84">
      <x:formula1>"Ruido,Biomecánico - postura prolongada,Biomecánico - movimientos repetitivos,Psicosocial - alta demanda,Físico - vibración"</x:formula1>
    </x:dataValidation>
    <x:dataValidation type="list" sqref="P5:P84">
      <x:formula1>"Examen médico ocupacional,Autoreporte,Consulta médica,Investigación epidemiológica,Reporte de supervisión"</x:formula1>
    </x:dataValidation>
    <x:dataValidation type="list" sqref="S5:S84">
      <x:formula1>"Laboral,Común,Pendiente"</x:formula1>
    </x:dataValidation>
    <x:dataValidation type="list" sqref="T5:T84">
      <x:formula1>"Sí,No"</x:formula1>
    </x:dataValidation>
    <x:dataValidation type="list" sqref="Y5:Y84">
      <x:formula1>"Sí,No,Pendiente"</x:formula1>
    </x:dataValidation>
    <x:dataValidation type="list" sqref="Z5:Z84">
      <x:formula1>"Sí,No,Pendiente"</x:formula1>
    </x:dataValidation>
    <x:dataValidation type="list" sqref="AB5:AB84">
      <x:formula1>"Líder SST,Coordinador SST,Médico Laboral,Talento Humano,Supervisor Operativo"</x:formula1>
    </x:dataValidation>
    <x:dataValidation type="list" sqref="AC5:AC84">
      <x:formula1>"Abierto,En seguimiento,Cerrado"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bfa594675d420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8" hidden="0" customWidth="1"/>
    <x:col min="5" max="5" width="14" hidden="0" customWidth="1"/>
    <x:col min="6" max="6" width="24" hidden="0" customWidth="1"/>
    <x:col min="7" max="7" width="14" hidden="0" customWidth="1"/>
    <x:col min="8" max="8" width="20" hidden="0" customWidth="1"/>
    <x:col min="9" max="9" width="18" hidden="0" customWidth="1"/>
    <x:col min="10" max="10" width="16" hidden="0" customWidth="1"/>
    <x:col min="11" max="11" width="24" hidden="0" customWidth="1"/>
    <x:col min="12" max="12" width="14" hidden="0" customWidth="1"/>
    <x:col min="13" max="13" width="14" hidden="0" customWidth="1"/>
    <x:col min="14" max="14" width="16" hidden="0" customWidth="1"/>
    <x:col min="15" max="15" width="28" hidden="0" customWidth="1"/>
    <x:col min="16" max="16" width="20" hidden="0" customWidth="1"/>
    <x:col min="17" max="17" width="12" hidden="0" customWidth="1"/>
    <x:col min="18" max="18" width="12" hidden="0" customWidth="1"/>
    <x:col min="19" max="19" width="14" hidden="0" customWidth="1"/>
    <x:col min="20" max="20" width="14" hidden="0" customWidth="1"/>
    <x:col min="21" max="21" width="12" hidden="0" customWidth="1"/>
    <x:col min="22" max="22" width="14" hidden="0" customWidth="1"/>
    <x:col min="23" max="23" width="34" hidden="0" customWidth="1"/>
    <x:col min="24" max="24" width="28" hidden="0" customWidth="1"/>
    <x:col min="25" max="25" width="14" hidden="0" customWidth="1"/>
    <x:col min="26" max="26" width="12" hidden="0" customWidth="1"/>
    <x:col min="27" max="27" width="36" hidden="0" customWidth="1"/>
    <x:col min="28" max="28" width="18" hidden="0" customWidth="1"/>
    <x:col min="29" max="29" width="14" hidden="0" customWidth="1"/>
    <x:col min="30" max="30" width="12" hidden="0" customWidth="1"/>
    <x:col min="31" max="31" width="12" hidden="0" customWidth="1"/>
    <x:col min="32" max="32" width="14" hidden="0" customWidth="1"/>
    <x:col min="33" max="33" width="28" hidden="0" customWidth="1"/>
  </x:cols>
  <x:sheetData>
    <x:row r="1">
      <x:c r="A1" s="5" t="str">
        <x:v>Matriz de Enfermedad Laboral - 2026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</x:row>
    <x:row r="2" ht="28" customHeight="1">
      <x:c r="A2" s="11" t="str">
        <x:v>Incluye identificación del caso, diagnóstico, investigación, seguimiento, intervención y cierre del evento.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</x:row>
    <x:row r="4">
      <x:c r="A4" s="38" t="str">
        <x:v>Caso_ID</x:v>
      </x:c>
      <x:c r="B4" s="38" t="str">
        <x:v>Fecha_Apertura</x:v>
      </x:c>
      <x:c r="C4" s="38" t="str">
        <x:v>Fecha_Diagnostico</x:v>
      </x:c>
      <x:c r="D4" s="38" t="str">
        <x:v>Año</x:v>
      </x:c>
      <x:c r="E4" s="38" t="str">
        <x:v>Sede</x:v>
      </x:c>
      <x:c r="F4" s="38" t="str">
        <x:v>Nombre_Trabajador</x:v>
      </x:c>
      <x:c r="G4" s="38" t="str">
        <x:v>Identificación</x:v>
      </x:c>
      <x:c r="H4" s="38" t="str">
        <x:v>Cargo</x:v>
      </x:c>
      <x:c r="I4" s="38" t="str">
        <x:v>Área_Proceso</x:v>
      </x:c>
      <x:c r="J4" s="38" t="str">
        <x:v>ARL</x:v>
      </x:c>
      <x:c r="K4" s="38" t="str">
        <x:v>Tipo_Enfermedad</x:v>
      </x:c>
      <x:c r="L4" s="38" t="str">
        <x:v>Dx_Presuntivo_CIE10</x:v>
      </x:c>
      <x:c r="M4" s="38" t="str">
        <x:v>Dx_Confirmado_CIE10</x:v>
      </x:c>
      <x:c r="N4" s="38" t="str">
        <x:v>Factor_Riesgo_Asociado</x:v>
      </x:c>
      <x:c r="O4" s="38" t="str">
        <x:v>Peligro_Relacionado</x:v>
      </x:c>
      <x:c r="P4" s="38" t="str">
        <x:v>Origen_Sospecha</x:v>
      </x:c>
      <x:c r="Q4" s="38" t="str">
        <x:v>Fecha_Reporte_ARL</x:v>
      </x:c>
      <x:c r="R4" s="38" t="str">
        <x:v>Fecha_Calificación</x:v>
      </x:c>
      <x:c r="S4" s="38" t="str">
        <x:v>Resultado_Calificación</x:v>
      </x:c>
      <x:c r="T4" s="38" t="str">
        <x:v>Investigación_Realizada</x:v>
      </x:c>
      <x:c r="U4" s="38" t="str">
        <x:v>Fecha_Investigación</x:v>
      </x:c>
      <x:c r="V4" s="38" t="str">
        <x:v>Investigación_Oportuna</x:v>
      </x:c>
      <x:c r="W4" s="38" t="str">
        <x:v>Descripción_Caso</x:v>
      </x:c>
      <x:c r="X4" s="38" t="str">
        <x:v>Restricciones_Médicas</x:v>
      </x:c>
      <x:c r="Y4" s="38" t="str">
        <x:v>Reubicación_Laboral</x:v>
      </x:c>
      <x:c r="Z4" s="38" t="str">
        <x:v>PVE_Activado</x:v>
      </x:c>
      <x:c r="AA4" s="38" t="str">
        <x:v>Acciones_Intervención</x:v>
      </x:c>
      <x:c r="AB4" s="38" t="str">
        <x:v>Responsable_Seguimiento</x:v>
      </x:c>
      <x:c r="AC4" s="38" t="str">
        <x:v>Estado_Caso</x:v>
      </x:c>
      <x:c r="AD4" s="38" t="str">
        <x:v>Fecha_Cierre</x:v>
      </x:c>
      <x:c r="AE4" s="38" t="str">
        <x:v>Días_Gestión</x:v>
      </x:c>
      <x:c r="AF4" s="38" t="str">
        <x:v>Cierre_Oportuno</x:v>
      </x:c>
      <x:c r="AG4" s="38" t="str">
        <x:v>Observaciones</x:v>
      </x:c>
    </x:row>
    <x:row r="5">
      <x:c r="A5" s="23" t="str">
        <x:v>EL-2026-001</x:v>
      </x:c>
      <x:c r="B5" s="40" t="n">
        <x:v>46070</x:v>
      </x:c>
      <x:c r="C5" s="40" t="n">
        <x:v>46056</x:v>
      </x:c>
      <x:c r="D5" s="23" t="n">
        <x:f>IF(B5="","",YEAR(B5))</x:f>
        <x:v>2026</x:v>
      </x:c>
      <x:c r="E5" s="23" t="str">
        <x:v>Medellín</x:v>
      </x:c>
      <x:c r="F5" s="23" t="str">
        <x:v>Carolina Andrea Pardo</x:v>
      </x:c>
      <x:c r="G5" s="23" t="str">
        <x:v>43678901</x:v>
      </x:c>
      <x:c r="H5" s="23" t="str">
        <x:v>Supervisor de Puesto</x:v>
      </x:c>
      <x:c r="I5" s="23" t="str">
        <x:v>Supervisión</x:v>
      </x:c>
      <x:c r="J5" s="23" t="str">
        <x:v>ARL Bolívar</x:v>
      </x:c>
      <x:c r="K5" s="23" t="str">
        <x:v>Trastorno de ansiedad mixto</x:v>
      </x:c>
      <x:c r="L5" s="23" t="str">
        <x:v>F412</x:v>
      </x:c>
      <x:c r="M5" s="23" t="str">
        <x:v>F412</x:v>
      </x:c>
      <x:c r="N5" s="23" t="str">
        <x:v>Psicosocial</x:v>
      </x:c>
      <x:c r="O5" s="23" t="str">
        <x:v>Psicosocial - alta demanda</x:v>
      </x:c>
      <x:c r="P5" s="23" t="str">
        <x:v>Consulta médica</x:v>
      </x:c>
      <x:c r="Q5" s="40" t="n">
        <x:v>46073</x:v>
      </x:c>
      <x:c r="R5" s="40" t="n">
        <x:v>46140</x:v>
      </x:c>
      <x:c r="S5" s="23" t="str">
        <x:v>Laboral</x:v>
      </x:c>
      <x:c r="T5" s="23" t="str">
        <x:v>Sí</x:v>
      </x:c>
      <x:c r="U5" s="40" t="n">
        <x:v>46080</x:v>
      </x:c>
      <x:c r="V5" s="23" t="str">
        <x:f>IF(T5="","",IF(T5="No","No",IF(U5&lt;=B5+15,"Sí","No")))</x:f>
        <x:v>Sí</x:v>
      </x:c>
      <x:c r="W5" s="44" t="str">
        <x:v>Supervisora con sintomatología ansiosa asociada a alta demanda laboral, turnos extendidos y manejo simultáneo de múltiples novedades operativas.</x:v>
      </x:c>
      <x:c r="X5" s="44" t="str">
        <x:v>Ajuste temporal de carga laboral, acompañamiento psicológico y limitación de jornadas extendidas.</x:v>
      </x:c>
      <x:c r="Y5" s="23" t="str">
        <x:v>No</x:v>
      </x:c>
      <x:c r="Z5" s="23" t="str">
        <x:v>Sí</x:v>
      </x:c>
      <x:c r="AA5" s="44" t="str">
        <x:v>Activación de intervención psicosocial, acompañamiento clínico, redistribución temporal de sedes y seguimiento quincenal.</x:v>
      </x:c>
      <x:c r="AB5" s="23" t="str">
        <x:v>Médico Laboral</x:v>
      </x:c>
      <x:c r="AC5" s="23" t="str">
        <x:v>Cerrado</x:v>
      </x:c>
      <x:c r="AD5" s="40" t="n">
        <x:v>46163</x:v>
      </x:c>
      <x:c r="AE5" s="42" t="n">
        <x:f>IF(B5="","",IF(AD5="",TODAY()-B5,AD5-B5))</x:f>
        <x:v>93</x:v>
      </x:c>
      <x:c r="AF5" s="23" t="str">
        <x:f>IF(AC5="","",IF(AC5&lt;&gt;"Cerrado","No",IF(OR(R5="",AD5=""),"No",IF(AD5&lt;=R5+90,"Sí","No"))))</x:f>
        <x:v>Sí</x:v>
      </x:c>
      <x:c r="AG5" s="44" t="str">
        <x:v>Caso cerrado a corte de mayo con reincorporación plena y seguimiento preventivo.</x:v>
      </x:c>
    </x:row>
    <x:row r="6">
      <x:c r="A6" s="23"/>
      <x:c r="B6" s="40"/>
      <x:c r="C6" s="40"/>
      <x:c r="D6" s="23" t="str">
        <x:f>IF(B6="","",YEAR(B6))</x:f>
      </x:c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3"/>
      <x:c r="P6" s="23"/>
      <x:c r="Q6" s="40"/>
      <x:c r="R6" s="40"/>
      <x:c r="S6" s="23"/>
      <x:c r="T6" s="23"/>
      <x:c r="U6" s="40"/>
      <x:c r="V6" s="23" t="str">
        <x:f>IF(T6="","",IF(T6="No","No",IF(U6&lt;=B6+15,"Sí","No")))</x:f>
      </x:c>
      <x:c r="W6" s="44"/>
      <x:c r="X6" s="44"/>
      <x:c r="Y6" s="23"/>
      <x:c r="Z6" s="23"/>
      <x:c r="AA6" s="44"/>
      <x:c r="AB6" s="23"/>
      <x:c r="AC6" s="23"/>
      <x:c r="AD6" s="40"/>
      <x:c r="AE6" s="42" t="str">
        <x:f>IF(B6="","",IF(AD6="",TODAY()-B6,AD6-B6))</x:f>
      </x:c>
      <x:c r="AF6" s="23" t="str">
        <x:f>IF(AC6="","",IF(AC6&lt;&gt;"Cerrado","No",IF(OR(R6="",AD6=""),"No",IF(AD6&lt;=R6+90,"Sí","No"))))</x:f>
      </x:c>
      <x:c r="AG6" s="44"/>
    </x:row>
    <x:row r="7">
      <x:c r="A7" s="23"/>
      <x:c r="B7" s="40"/>
      <x:c r="C7" s="40"/>
      <x:c r="D7" s="23" t="str">
        <x:f>IF(B7="","",YEAR(B7))</x:f>
      </x:c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3"/>
      <x:c r="P7" s="23"/>
      <x:c r="Q7" s="40"/>
      <x:c r="R7" s="40"/>
      <x:c r="S7" s="23"/>
      <x:c r="T7" s="23"/>
      <x:c r="U7" s="40"/>
      <x:c r="V7" s="23" t="str">
        <x:f>IF(T7="","",IF(T7="No","No",IF(U7&lt;=B7+15,"Sí","No")))</x:f>
      </x:c>
      <x:c r="W7" s="44"/>
      <x:c r="X7" s="44"/>
      <x:c r="Y7" s="23"/>
      <x:c r="Z7" s="23"/>
      <x:c r="AA7" s="44"/>
      <x:c r="AB7" s="23"/>
      <x:c r="AC7" s="23"/>
      <x:c r="AD7" s="40"/>
      <x:c r="AE7" s="42" t="str">
        <x:f>IF(B7="","",IF(AD7="",TODAY()-B7,AD7-B7))</x:f>
      </x:c>
      <x:c r="AF7" s="23" t="str">
        <x:f>IF(AC7="","",IF(AC7&lt;&gt;"Cerrado","No",IF(OR(R7="",AD7=""),"No",IF(AD7&lt;=R7+90,"Sí","No"))))</x:f>
      </x:c>
      <x:c r="AG7" s="44"/>
    </x:row>
    <x:row r="8">
      <x:c r="A8" s="23"/>
      <x:c r="B8" s="40"/>
      <x:c r="C8" s="40"/>
      <x:c r="D8" s="23" t="str">
        <x:f>IF(B8="","",YEAR(B8))</x:f>
      </x:c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3"/>
      <x:c r="P8" s="23"/>
      <x:c r="Q8" s="40"/>
      <x:c r="R8" s="40"/>
      <x:c r="S8" s="23"/>
      <x:c r="T8" s="23"/>
      <x:c r="U8" s="40"/>
      <x:c r="V8" s="23" t="str">
        <x:f>IF(T8="","",IF(T8="No","No",IF(U8&lt;=B8+15,"Sí","No")))</x:f>
      </x:c>
      <x:c r="W8" s="44"/>
      <x:c r="X8" s="44"/>
      <x:c r="Y8" s="23"/>
      <x:c r="Z8" s="23"/>
      <x:c r="AA8" s="44"/>
      <x:c r="AB8" s="23"/>
      <x:c r="AC8" s="23"/>
      <x:c r="AD8" s="40"/>
      <x:c r="AE8" s="42" t="str">
        <x:f>IF(B8="","",IF(AD8="",TODAY()-B8,AD8-B8))</x:f>
      </x:c>
      <x:c r="AF8" s="23" t="str">
        <x:f>IF(AC8="","",IF(AC8&lt;&gt;"Cerrado","No",IF(OR(R8="",AD8=""),"No",IF(AD8&lt;=R8+90,"Sí","No"))))</x:f>
      </x:c>
      <x:c r="AG8" s="44"/>
    </x:row>
    <x:row r="9">
      <x:c r="A9" s="23"/>
      <x:c r="B9" s="40"/>
      <x:c r="C9" s="40"/>
      <x:c r="D9" s="23" t="str">
        <x:f>IF(B9="","",YEAR(B9))</x:f>
      </x:c>
      <x:c r="E9" s="23"/>
      <x:c r="F9" s="23"/>
      <x:c r="G9" s="23"/>
      <x:c r="H9" s="23"/>
      <x:c r="I9" s="23"/>
      <x:c r="J9" s="23"/>
      <x:c r="K9" s="23"/>
      <x:c r="L9" s="23"/>
      <x:c r="M9" s="23"/>
      <x:c r="N9" s="23"/>
      <x:c r="O9" s="23"/>
      <x:c r="P9" s="23"/>
      <x:c r="Q9" s="40"/>
      <x:c r="R9" s="40"/>
      <x:c r="S9" s="23"/>
      <x:c r="T9" s="23"/>
      <x:c r="U9" s="40"/>
      <x:c r="V9" s="23" t="str">
        <x:f>IF(T9="","",IF(T9="No","No",IF(U9&lt;=B9+15,"Sí","No")))</x:f>
      </x:c>
      <x:c r="W9" s="44"/>
      <x:c r="X9" s="44"/>
      <x:c r="Y9" s="23"/>
      <x:c r="Z9" s="23"/>
      <x:c r="AA9" s="44"/>
      <x:c r="AB9" s="23"/>
      <x:c r="AC9" s="23"/>
      <x:c r="AD9" s="40"/>
      <x:c r="AE9" s="42" t="str">
        <x:f>IF(B9="","",IF(AD9="",TODAY()-B9,AD9-B9))</x:f>
      </x:c>
      <x:c r="AF9" s="23" t="str">
        <x:f>IF(AC9="","",IF(AC9&lt;&gt;"Cerrado","No",IF(OR(R9="",AD9=""),"No",IF(AD9&lt;=R9+90,"Sí","No"))))</x:f>
      </x:c>
      <x:c r="AG9" s="44"/>
    </x:row>
    <x:row r="10">
      <x:c r="A10" s="23"/>
      <x:c r="B10" s="40"/>
      <x:c r="C10" s="40"/>
      <x:c r="D10" s="23" t="str">
        <x:f>IF(B10="","",YEAR(B10))</x:f>
      </x:c>
      <x:c r="E10" s="23"/>
      <x:c r="F10" s="23"/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  <x:c r="Q10" s="40"/>
      <x:c r="R10" s="40"/>
      <x:c r="S10" s="23"/>
      <x:c r="T10" s="23"/>
      <x:c r="U10" s="40"/>
      <x:c r="V10" s="23" t="str">
        <x:f>IF(T10="","",IF(T10="No","No",IF(U10&lt;=B10+15,"Sí","No")))</x:f>
      </x:c>
      <x:c r="W10" s="44"/>
      <x:c r="X10" s="44"/>
      <x:c r="Y10" s="23"/>
      <x:c r="Z10" s="23"/>
      <x:c r="AA10" s="44"/>
      <x:c r="AB10" s="23"/>
      <x:c r="AC10" s="23"/>
      <x:c r="AD10" s="40"/>
      <x:c r="AE10" s="42" t="str">
        <x:f>IF(B10="","",IF(AD10="",TODAY()-B10,AD10-B10))</x:f>
      </x:c>
      <x:c r="AF10" s="23" t="str">
        <x:f>IF(AC10="","",IF(AC10&lt;&gt;"Cerrado","No",IF(OR(R10="",AD10=""),"No",IF(AD10&lt;=R10+90,"Sí","No"))))</x:f>
      </x:c>
      <x:c r="AG10" s="44"/>
    </x:row>
    <x:row r="11">
      <x:c r="A11" s="23"/>
      <x:c r="B11" s="40"/>
      <x:c r="C11" s="40"/>
      <x:c r="D11" s="23" t="str">
        <x:f>IF(B11="","",YEAR(B11))</x:f>
      </x:c>
      <x:c r="E11" s="23"/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  <x:c r="Q11" s="40"/>
      <x:c r="R11" s="40"/>
      <x:c r="S11" s="23"/>
      <x:c r="T11" s="23"/>
      <x:c r="U11" s="40"/>
      <x:c r="V11" s="23" t="str">
        <x:f>IF(T11="","",IF(T11="No","No",IF(U11&lt;=B11+15,"Sí","No")))</x:f>
      </x:c>
      <x:c r="W11" s="44"/>
      <x:c r="X11" s="44"/>
      <x:c r="Y11" s="23"/>
      <x:c r="Z11" s="23"/>
      <x:c r="AA11" s="44"/>
      <x:c r="AB11" s="23"/>
      <x:c r="AC11" s="23"/>
      <x:c r="AD11" s="40"/>
      <x:c r="AE11" s="42" t="str">
        <x:f>IF(B11="","",IF(AD11="",TODAY()-B11,AD11-B11))</x:f>
      </x:c>
      <x:c r="AF11" s="23" t="str">
        <x:f>IF(AC11="","",IF(AC11&lt;&gt;"Cerrado","No",IF(OR(R11="",AD11=""),"No",IF(AD11&lt;=R11+90,"Sí","No"))))</x:f>
      </x:c>
      <x:c r="AG11" s="44"/>
    </x:row>
    <x:row r="12">
      <x:c r="A12" s="23"/>
      <x:c r="B12" s="40"/>
      <x:c r="C12" s="40"/>
      <x:c r="D12" s="23" t="str">
        <x:f>IF(B12="","",YEAR(B12))</x:f>
      </x:c>
      <x:c r="E12" s="23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40"/>
      <x:c r="R12" s="40"/>
      <x:c r="S12" s="23"/>
      <x:c r="T12" s="23"/>
      <x:c r="U12" s="40"/>
      <x:c r="V12" s="23" t="str">
        <x:f>IF(T12="","",IF(T12="No","No",IF(U12&lt;=B12+15,"Sí","No")))</x:f>
      </x:c>
      <x:c r="W12" s="44"/>
      <x:c r="X12" s="44"/>
      <x:c r="Y12" s="23"/>
      <x:c r="Z12" s="23"/>
      <x:c r="AA12" s="44"/>
      <x:c r="AB12" s="23"/>
      <x:c r="AC12" s="23"/>
      <x:c r="AD12" s="40"/>
      <x:c r="AE12" s="42" t="str">
        <x:f>IF(B12="","",IF(AD12="",TODAY()-B12,AD12-B12))</x:f>
      </x:c>
      <x:c r="AF12" s="23" t="str">
        <x:f>IF(AC12="","",IF(AC12&lt;&gt;"Cerrado","No",IF(OR(R12="",AD12=""),"No",IF(AD12&lt;=R12+90,"Sí","No"))))</x:f>
      </x:c>
      <x:c r="AG12" s="44"/>
    </x:row>
    <x:row r="13">
      <x:c r="A13" s="23"/>
      <x:c r="B13" s="40"/>
      <x:c r="C13" s="40"/>
      <x:c r="D13" s="23" t="str">
        <x:f>IF(B13="","",YEAR(B13))</x:f>
      </x:c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40"/>
      <x:c r="R13" s="40"/>
      <x:c r="S13" s="23"/>
      <x:c r="T13" s="23"/>
      <x:c r="U13" s="40"/>
      <x:c r="V13" s="23" t="str">
        <x:f>IF(T13="","",IF(T13="No","No",IF(U13&lt;=B13+15,"Sí","No")))</x:f>
      </x:c>
      <x:c r="W13" s="44"/>
      <x:c r="X13" s="44"/>
      <x:c r="Y13" s="23"/>
      <x:c r="Z13" s="23"/>
      <x:c r="AA13" s="44"/>
      <x:c r="AB13" s="23"/>
      <x:c r="AC13" s="23"/>
      <x:c r="AD13" s="40"/>
      <x:c r="AE13" s="42" t="str">
        <x:f>IF(B13="","",IF(AD13="",TODAY()-B13,AD13-B13))</x:f>
      </x:c>
      <x:c r="AF13" s="23" t="str">
        <x:f>IF(AC13="","",IF(AC13&lt;&gt;"Cerrado","No",IF(OR(R13="",AD13=""),"No",IF(AD13&lt;=R13+90,"Sí","No"))))</x:f>
      </x:c>
      <x:c r="AG13" s="44"/>
    </x:row>
    <x:row r="14">
      <x:c r="A14" s="23"/>
      <x:c r="B14" s="40"/>
      <x:c r="C14" s="40"/>
      <x:c r="D14" s="23" t="str">
        <x:f>IF(B14="","",YEAR(B14))</x:f>
      </x:c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40"/>
      <x:c r="R14" s="40"/>
      <x:c r="S14" s="23"/>
      <x:c r="T14" s="23"/>
      <x:c r="U14" s="40"/>
      <x:c r="V14" s="23" t="str">
        <x:f>IF(T14="","",IF(T14="No","No",IF(U14&lt;=B14+15,"Sí","No")))</x:f>
      </x:c>
      <x:c r="W14" s="44"/>
      <x:c r="X14" s="44"/>
      <x:c r="Y14" s="23"/>
      <x:c r="Z14" s="23"/>
      <x:c r="AA14" s="44"/>
      <x:c r="AB14" s="23"/>
      <x:c r="AC14" s="23"/>
      <x:c r="AD14" s="40"/>
      <x:c r="AE14" s="42" t="str">
        <x:f>IF(B14="","",IF(AD14="",TODAY()-B14,AD14-B14))</x:f>
      </x:c>
      <x:c r="AF14" s="23" t="str">
        <x:f>IF(AC14="","",IF(AC14&lt;&gt;"Cerrado","No",IF(OR(R14="",AD14=""),"No",IF(AD14&lt;=R14+90,"Sí","No"))))</x:f>
      </x:c>
      <x:c r="AG14" s="44"/>
    </x:row>
  </x:sheetData>
  <x:mergeCells>
    <x:mergeCell ref="A1:AG1"/>
    <x:mergeCell ref="A2:AG2"/>
  </x:mergeCells>
  <x:conditionalFormatting sqref="S5:S14">
    <x:cfRule type="expression" dxfId="28" priority="1">
      <x:formula>S5="Laboral"</x:formula>
    </x:cfRule>
    <x:cfRule type="expression" dxfId="29" priority="2">
      <x:formula>S5="Común"</x:formula>
    </x:cfRule>
  </x:conditionalFormatting>
  <x:conditionalFormatting sqref="AC5:AC14">
    <x:cfRule type="expression" dxfId="30" priority="3">
      <x:formula>AC5="Cerrado"</x:formula>
    </x:cfRule>
    <x:cfRule type="expression" dxfId="31" priority="4">
      <x:formula>AC5="En seguimiento"</x:formula>
    </x:cfRule>
    <x:cfRule type="expression" dxfId="32" priority="5">
      <x:formula>AC5="Abierto"</x:formula>
    </x:cfRule>
  </x:conditionalFormatting>
  <x:conditionalFormatting sqref="V5:V14">
    <x:cfRule type="expression" dxfId="33" priority="6">
      <x:formula>V5="No"</x:formula>
    </x:cfRule>
  </x:conditionalFormatting>
  <x:conditionalFormatting sqref="AF5:AF14">
    <x:cfRule type="expression" dxfId="34" priority="7">
      <x:formula>AF5="No"</x:formula>
    </x:cfRule>
  </x:conditionalFormatting>
  <x:dataValidations count="14">
    <x:dataValidation type="list" sqref="E5:E84">
      <x:formula1>"Cúcuta,Barrancabermeja,Ocaña,Girón,Valledupar,Arauca,Bogotá,Tibú,Medellín,Ábrego,Pamplona"</x:formula1>
    </x:dataValidation>
    <x:dataValidation type="list" sqref="H5:H84">
      <x:formula1>"Guarda de Seguridad,Supervisor de Puesto,Operador de Medios Tecnológicos,Escolta,Analista SST,Coordinador Operativo"</x:formula1>
    </x:dataValidation>
    <x:dataValidation type="list" sqref="I5:I84">
      <x:formula1>"Operaciones,Seguridad Física,Supervisión,Talento Humano,Administrativa,Monitoreo"</x:formula1>
    </x:dataValidation>
    <x:dataValidation type="list" sqref="J5:J84">
      <x:formula1>"ARL SURA,ARL AXA Colpatria,ARL Positiva,ARL Bolívar,ARL Colmena"</x:formula1>
    </x:dataValidation>
    <x:dataValidation type="list" sqref="K5:K84">
      <x:formula1>"Hipoacusia neurosensorial,Lumbalgia mecánica crónica,Síndrome del túnel carpiano,Trastorno de ansiedad mixto,Epicondilitis lateral"</x:formula1>
    </x:dataValidation>
    <x:dataValidation type="list" sqref="N5:N84">
      <x:formula1>"Biomecánico,Psicosocial,Físico,Químico,Biológico,Seguridad"</x:formula1>
    </x:dataValidation>
    <x:dataValidation type="list" sqref="O5:O84">
      <x:formula1>"Ruido,Biomecánico - postura prolongada,Biomecánico - movimientos repetitivos,Psicosocial - alta demanda,Físico - vibración"</x:formula1>
    </x:dataValidation>
    <x:dataValidation type="list" sqref="P5:P84">
      <x:formula1>"Examen médico ocupacional,Autoreporte,Consulta médica,Investigación epidemiológica,Reporte de supervisión"</x:formula1>
    </x:dataValidation>
    <x:dataValidation type="list" sqref="S5:S84">
      <x:formula1>"Laboral,Común,Pendiente"</x:formula1>
    </x:dataValidation>
    <x:dataValidation type="list" sqref="T5:T84">
      <x:formula1>"Sí,No"</x:formula1>
    </x:dataValidation>
    <x:dataValidation type="list" sqref="Y5:Y84">
      <x:formula1>"Sí,No,Pendiente"</x:formula1>
    </x:dataValidation>
    <x:dataValidation type="list" sqref="Z5:Z84">
      <x:formula1>"Sí,No,Pendiente"</x:formula1>
    </x:dataValidation>
    <x:dataValidation type="list" sqref="AB5:AB84">
      <x:formula1>"Líder SST,Coordinador SST,Médico Laboral,Talento Humano,Supervisor Operativo"</x:formula1>
    </x:dataValidation>
    <x:dataValidation type="list" sqref="AC5:AC84">
      <x:formula1>"Abierto,En seguimiento,Cerrado"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e8fecf93db419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9" hidden="0" customWidth="1"/>
    <x:col min="5" max="5" width="10" hidden="0" customWidth="1"/>
    <x:col min="6" max="6" width="14" hidden="0" customWidth="1"/>
    <x:col min="7" max="7" width="16" hidden="0" customWidth="1"/>
    <x:col min="8" max="8" width="20" hidden="0" customWidth="1"/>
    <x:col min="9" max="9" width="14" hidden="0" customWidth="1"/>
    <x:col min="10" max="10" width="18" hidden="0" customWidth="1"/>
    <x:col min="11" max="11" width="14" hidden="0" customWidth="1"/>
    <x:col min="12" max="12" width="10" hidden="0" customWidth="1"/>
    <x:col min="13" max="13" width="14" hidden="0" customWidth="1"/>
    <x:col min="14" max="14" width="28" hidden="0" customWidth="1"/>
    <x:col min="15" max="15" width="18" hidden="0" customWidth="1"/>
    <x:col min="16" max="16" width="16" hidden="0" customWidth="1"/>
    <x:col min="17" max="17" width="18" hidden="0" customWidth="1"/>
    <x:col min="18" max="18" width="16" hidden="0" customWidth="1"/>
    <x:col min="19" max="19" width="18" hidden="0" customWidth="1"/>
    <x:col min="20" max="20" width="10" hidden="0" customWidth="1"/>
    <x:col min="21" max="21" width="10" hidden="0" customWidth="1"/>
    <x:col min="22" max="22" width="10" hidden="0" customWidth="1"/>
    <x:col min="23" max="23" width="12" hidden="0" customWidth="1"/>
    <x:col min="24" max="24" width="12" hidden="0" customWidth="1"/>
    <x:col min="25" max="25" width="12" hidden="0" customWidth="1"/>
    <x:col min="26" max="26" width="18" hidden="0" customWidth="1"/>
    <x:col min="27" max="27" width="18" hidden="0" customWidth="1"/>
    <x:col min="28" max="28" width="18" hidden="0" customWidth="1"/>
    <x:col min="29" max="29" width="16" hidden="0" customWidth="1"/>
    <x:col min="30" max="30" width="16" hidden="0" customWidth="1"/>
    <x:col min="31" max="31" width="24" hidden="0" customWidth="1"/>
    <x:col min="32" max="32" width="26" hidden="0" customWidth="1"/>
    <x:col min="33" max="33" width="16" hidden="0" customWidth="1"/>
    <x:col min="34" max="34" width="13" hidden="0" customWidth="1"/>
    <x:col min="35" max="35" width="14" hidden="0" customWidth="1"/>
    <x:col min="36" max="36" width="13" hidden="0" customWidth="1"/>
    <x:col min="37" max="37" width="12" hidden="0" customWidth="1"/>
    <x:col min="38" max="38" width="14" hidden="0" customWidth="1"/>
    <x:col min="39" max="39" width="14" hidden="0" customWidth="1"/>
    <x:col min="40" max="40" width="24" hidden="0" customWidth="1"/>
  </x:cols>
  <x:sheetData>
    <x:row r="1">
      <x:c r="A1" s="5" t="str">
        <x:v>Consolidado Enfermedad Laboral 2023-2026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</x:row>
    <x:row r="3">
      <x:c r="A3" s="38" t="str">
        <x:v>Caso_ID</x:v>
      </x:c>
      <x:c r="B3" s="38" t="str">
        <x:v>Fecha_Apertura</x:v>
      </x:c>
      <x:c r="C3" s="38" t="str">
        <x:v>Fecha_Diagnostico</x:v>
      </x:c>
      <x:c r="D3" s="38" t="str">
        <x:v>Año</x:v>
      </x:c>
      <x:c r="E3" s="38" t="str">
        <x:v>Sede</x:v>
      </x:c>
      <x:c r="F3" s="38" t="str">
        <x:v>Nombre_Trabajador</x:v>
      </x:c>
      <x:c r="G3" s="38" t="str">
        <x:v>Identificación</x:v>
      </x:c>
      <x:c r="H3" s="38" t="str">
        <x:v>Cargo</x:v>
      </x:c>
      <x:c r="I3" s="38" t="str">
        <x:v>Área_Proceso</x:v>
      </x:c>
      <x:c r="J3" s="38" t="str">
        <x:v>ARL</x:v>
      </x:c>
      <x:c r="K3" s="38" t="str">
        <x:v>Tipo_Enfermedad</x:v>
      </x:c>
      <x:c r="L3" s="38" t="str">
        <x:v>Dx_Presuntivo_CIE10</x:v>
      </x:c>
      <x:c r="M3" s="38" t="str">
        <x:v>Dx_Confirmado_CIE10</x:v>
      </x:c>
      <x:c r="N3" s="38" t="str">
        <x:v>Factor_Riesgo_Asociado</x:v>
      </x:c>
      <x:c r="O3" s="38" t="str">
        <x:v>Peligro_Relacionado</x:v>
      </x:c>
      <x:c r="P3" s="38" t="str">
        <x:v>Origen_Sospecha</x:v>
      </x:c>
      <x:c r="Q3" s="38" t="str">
        <x:v>Fecha_Reporte_ARL</x:v>
      </x:c>
      <x:c r="R3" s="38" t="str">
        <x:v>Fecha_Calificación</x:v>
      </x:c>
      <x:c r="S3" s="38" t="str">
        <x:v>Resultado_Calificación</x:v>
      </x:c>
      <x:c r="T3" s="38" t="str">
        <x:v>Investigación_Realizada</x:v>
      </x:c>
      <x:c r="U3" s="38" t="str">
        <x:v>Fecha_Investigación</x:v>
      </x:c>
      <x:c r="V3" s="38" t="str">
        <x:v>Investigación_Oportuna</x:v>
      </x:c>
      <x:c r="W3" s="38" t="str">
        <x:v>Descripción_Caso</x:v>
      </x:c>
      <x:c r="X3" s="38" t="str">
        <x:v>Restricciones_Médicas</x:v>
      </x:c>
      <x:c r="Y3" s="38" t="str">
        <x:v>Reubicación_Laboral</x:v>
      </x:c>
      <x:c r="Z3" s="38" t="str">
        <x:v>PVE_Activado</x:v>
      </x:c>
      <x:c r="AA3" s="38" t="str">
        <x:v>Acciones_Intervención</x:v>
      </x:c>
      <x:c r="AB3" s="38" t="str">
        <x:v>Responsable_Seguimiento</x:v>
      </x:c>
      <x:c r="AC3" s="38" t="str">
        <x:v>Estado_Caso</x:v>
      </x:c>
      <x:c r="AD3" s="38" t="str">
        <x:v>Fecha_Cierre</x:v>
      </x:c>
      <x:c r="AE3" s="38" t="str">
        <x:v>Días_Gestión</x:v>
      </x:c>
      <x:c r="AF3" s="38" t="str">
        <x:v>Cierre_Oportuno</x:v>
      </x:c>
      <x:c r="AG3" s="38" t="str">
        <x:v>Observaciones</x:v>
      </x:c>
    </x:row>
    <x:row r="4">
      <x:c r="A4" s="23" t="str">
        <x:v>EL-2023-001</x:v>
      </x:c>
      <x:c r="B4" s="40" t="n">
        <x:v>44995</x:v>
      </x:c>
      <x:c r="C4" s="40" t="n">
        <x:v>44985</x:v>
      </x:c>
      <x:c r="D4" s="23" t="n">
        <x:f>IF(B4="","",YEAR(B4))</x:f>
        <x:v>2023</x:v>
      </x:c>
      <x:c r="E4" s="23" t="str">
        <x:v>Barrancabermeja</x:v>
      </x:c>
      <x:c r="F4" s="23" t="str">
        <x:v>Luis Fernando Salcedo</x:v>
      </x:c>
      <x:c r="G4" s="23" t="str">
        <x:v>91456321</x:v>
      </x:c>
      <x:c r="H4" s="23" t="str">
        <x:v>Guarda de Seguridad</x:v>
      </x:c>
      <x:c r="I4" s="23" t="str">
        <x:v>Operaciones</x:v>
      </x:c>
      <x:c r="J4" s="23" t="str">
        <x:v>ARL SURA</x:v>
      </x:c>
      <x:c r="K4" s="23" t="str">
        <x:v>Hipoacusia neurosensorial</x:v>
      </x:c>
      <x:c r="L4" s="23" t="str">
        <x:v>H919</x:v>
      </x:c>
      <x:c r="M4" s="23" t="str">
        <x:v>H903</x:v>
      </x:c>
      <x:c r="N4" s="23" t="str">
        <x:v>Físico</x:v>
      </x:c>
      <x:c r="O4" s="23" t="str">
        <x:v>Ruido</x:v>
      </x:c>
      <x:c r="P4" s="23" t="str">
        <x:v>Examen médico ocupacional</x:v>
      </x:c>
      <x:c r="Q4" s="40" t="n">
        <x:v>45000</x:v>
      </x:c>
      <x:c r="R4" s="40" t="n">
        <x:v>45127</x:v>
      </x:c>
      <x:c r="S4" s="23" t="str">
        <x:v>Laboral</x:v>
      </x:c>
      <x:c r="T4" s="23" t="str">
        <x:v>Sí</x:v>
      </x:c>
      <x:c r="U4" s="40" t="n">
        <x:v>45009</x:v>
      </x:c>
      <x:c r="V4" s="23" t="str">
        <x:f>IF(T4="","",IF(T4="No","No",IF(U4&lt;=B4+15,"Sí","No")))</x:f>
        <x:v>Sí</x:v>
      </x:c>
      <x:c r="W4" s="23" t="str">
        <x:v>Trabajador expuesto de forma continua a ruido en control de acceso vehicular y alarmas perimetrales, con pérdida auditiva bilateral leve confirmada.</x:v>
      </x:c>
      <x:c r="X4" s="23" t="str">
        <x:v>Uso permanente de protección auditiva y restricción a exposición prolongada a ruido &gt;85 dB.</x:v>
      </x:c>
      <x:c r="Y4" s="23" t="str">
        <x:v>Sí</x:v>
      </x:c>
      <x:c r="Z4" s="23" t="str">
        <x:v>Sí</x:v>
      </x:c>
      <x:c r="AA4" s="23" t="str">
        <x:v>Ajuste de programa de conservación auditiva, reforzamiento de uso de protectores, rotación de puesto y seguimiento audiométrico semestral.</x:v>
      </x:c>
      <x:c r="AB4" s="23" t="str">
        <x:v>Líder SST</x:v>
      </x:c>
      <x:c r="AC4" s="23" t="str">
        <x:v>Cerrado</x:v>
      </x:c>
      <x:c r="AD4" s="40" t="n">
        <x:v>45260</x:v>
      </x:c>
      <x:c r="AE4" s="42" t="n">
        <x:f>IF(B4="","",IF(AD4="",TODAY()-B4,AD4-B4))</x:f>
        <x:v>265</x:v>
      </x:c>
      <x:c r="AF4" s="23" t="str">
        <x:f>IF(AC4="","",IF(AC4&lt;&gt;"Cerrado","No",IF(OR(R4="",AD4=""),"No",IF(AD4&lt;=R4+90,"Sí","No"))))</x:f>
        <x:v>No</x:v>
      </x:c>
      <x:c r="AG4" s="23" t="str">
        <x:v>Caso cerrado con reubicación parcial y seguimiento por medicina laboral.</x:v>
      </x:c>
    </x:row>
    <x:row r="5">
      <x:c r="A5" s="23" t="str">
        <x:v>EL-2024-001</x:v>
      </x:c>
      <x:c r="B5" s="40" t="n">
        <x:v>45327</x:v>
      </x:c>
      <x:c r="C5" s="40" t="n">
        <x:v>45317</x:v>
      </x:c>
      <x:c r="D5" s="23" t="n">
        <x:f>IF(B5="","",YEAR(B5))</x:f>
        <x:v>2024</x:v>
      </x:c>
      <x:c r="E5" s="23" t="str">
        <x:v>Bogotá</x:v>
      </x:c>
      <x:c r="F5" s="23" t="str">
        <x:v>Sandra Milena Ortega</x:v>
      </x:c>
      <x:c r="G5" s="23" t="str">
        <x:v>52345678</x:v>
      </x:c>
      <x:c r="H5" s="23" t="str">
        <x:v>Operador de Medios Tecnológicos</x:v>
      </x:c>
      <x:c r="I5" s="23" t="str">
        <x:v>Monitoreo</x:v>
      </x:c>
      <x:c r="J5" s="23" t="str">
        <x:v>ARL AXA Colpatria</x:v>
      </x:c>
      <x:c r="K5" s="23" t="str">
        <x:v>Síndrome del túnel carpiano</x:v>
      </x:c>
      <x:c r="L5" s="23" t="str">
        <x:v>G560</x:v>
      </x:c>
      <x:c r="M5" s="23" t="str">
        <x:v>G560</x:v>
      </x:c>
      <x:c r="N5" s="23" t="str">
        <x:v>Biomecánico</x:v>
      </x:c>
      <x:c r="O5" s="23" t="str">
        <x:v>Biomecánico - movimientos repetitivos</x:v>
      </x:c>
      <x:c r="P5" s="23" t="str">
        <x:v>Consulta médica</x:v>
      </x:c>
      <x:c r="Q5" s="40" t="n">
        <x:v>45330</x:v>
      </x:c>
      <x:c r="R5" s="40" t="n">
        <x:v>45461</x:v>
      </x:c>
      <x:c r="S5" s="23" t="str">
        <x:v>Laboral</x:v>
      </x:c>
      <x:c r="T5" s="23" t="str">
        <x:v>Sí</x:v>
      </x:c>
      <x:c r="U5" s="40" t="n">
        <x:v>45336</x:v>
      </x:c>
      <x:c r="V5" s="23" t="str">
        <x:f>IF(T5="","",IF(T5="No","No",IF(U5&lt;=B5+15,"Sí","No")))</x:f>
        <x:v>Sí</x:v>
      </x:c>
      <x:c r="W5" s="23" t="str">
        <x:v>Operadora con actividades repetitivas de digitación y uso continuo de mouse durante jornadas extensas en central de monitoreo.</x:v>
      </x:c>
      <x:c r="X5" s="23" t="str">
        <x:v>Pausas activas obligatorias, férula nocturna y restricción de movimientos repetitivos de muñeca derecha.</x:v>
      </x:c>
      <x:c r="Y5" s="23" t="str">
        <x:v>Sí</x:v>
      </x:c>
      <x:c r="Z5" s="23" t="str">
        <x:v>Sí</x:v>
      </x:c>
      <x:c r="AA5" s="23" t="str">
        <x:v>Ajuste ergonómico del puesto, redistribución de tareas, capacitación en pausas activas y seguimiento por fisioterapia.</x:v>
      </x:c>
      <x:c r="AB5" s="23" t="str">
        <x:v>Coordinador SST</x:v>
      </x:c>
      <x:c r="AC5" s="23" t="str">
        <x:v>Cerrado</x:v>
      </x:c>
      <x:c r="AD5" s="40" t="n">
        <x:v>45555</x:v>
      </x:c>
      <x:c r="AE5" s="42" t="n">
        <x:f>IF(B5="","",IF(AD5="",TODAY()-B5,AD5-B5))</x:f>
        <x:v>228</x:v>
      </x:c>
      <x:c r="AF5" s="23" t="str">
        <x:f>IF(AC5="","",IF(AC5&lt;&gt;"Cerrado","No",IF(OR(R5="",AD5=""),"No",IF(AD5&lt;=R5+90,"Sí","No"))))</x:f>
        <x:v>No</x:v>
      </x:c>
      <x:c r="AG5" s="23" t="str">
        <x:v>Caso con evolución favorable y cierre tras mejora clínica.</x:v>
      </x:c>
    </x:row>
    <x:row r="6">
      <x:c r="A6" s="23" t="str">
        <x:v>EL-2024-002</x:v>
      </x:c>
      <x:c r="B6" s="40" t="n">
        <x:v>45516</x:v>
      </x:c>
      <x:c r="C6" s="40" t="n">
        <x:v>45503</x:v>
      </x:c>
      <x:c r="D6" s="23" t="n">
        <x:f>IF(B6="","",YEAR(B6))</x:f>
        <x:v>2024</x:v>
      </x:c>
      <x:c r="E6" s="23" t="str">
        <x:v>Cúcuta</x:v>
      </x:c>
      <x:c r="F6" s="23" t="str">
        <x:v>Jhon Alexander Vera</x:v>
      </x:c>
      <x:c r="G6" s="23" t="str">
        <x:v>1090123456</x:v>
      </x:c>
      <x:c r="H6" s="23" t="str">
        <x:v>Guarda de Seguridad</x:v>
      </x:c>
      <x:c r="I6" s="23" t="str">
        <x:v>Seguridad Física</x:v>
      </x:c>
      <x:c r="J6" s="23" t="str">
        <x:v>ARL Positiva</x:v>
      </x:c>
      <x:c r="K6" s="23" t="str">
        <x:v>Lumbalgia mecánica crónica</x:v>
      </x:c>
      <x:c r="L6" s="23" t="str">
        <x:v>M545</x:v>
      </x:c>
      <x:c r="M6" s="23" t="str">
        <x:v>M545</x:v>
      </x:c>
      <x:c r="N6" s="23" t="str">
        <x:v>Biomecánico</x:v>
      </x:c>
      <x:c r="O6" s="23" t="str">
        <x:v>Biomecánico - postura prolongada</x:v>
      </x:c>
      <x:c r="P6" s="23" t="str">
        <x:v>Autoreporte</x:v>
      </x:c>
      <x:c r="Q6" s="40" t="n">
        <x:v>45519</x:v>
      </x:c>
      <x:c r="R6" s="40" t="n">
        <x:v>45628</x:v>
      </x:c>
      <x:c r="S6" s="23" t="str">
        <x:v>Laboral</x:v>
      </x:c>
      <x:c r="T6" s="23" t="str">
        <x:v>Sí</x:v>
      </x:c>
      <x:c r="U6" s="40" t="n">
        <x:v>45526</x:v>
      </x:c>
      <x:c r="V6" s="23" t="str">
        <x:f>IF(T6="","",IF(T6="No","No",IF(U6&lt;=B6+15,"Sí","No")))</x:f>
        <x:v>Sí</x:v>
      </x:c>
      <x:c r="W6" s="23" t="str">
        <x:v>Guarda con bipedestación prolongada, recorridos continuos y manipulación ocasional de elementos en puestos fijos de vigilancia.</x:v>
      </x:c>
      <x:c r="X6" s="23" t="str">
        <x:v>No levantar cargas &gt;5 kg, alternancia postural y restricción de permanencia prolongada en una sola postura.</x:v>
      </x:c>
      <x:c r="Y6" s="23" t="str">
        <x:v>Sí</x:v>
      </x:c>
      <x:c r="Z6" s="23" t="str">
        <x:v>Sí</x:v>
      </x:c>
      <x:c r="AA6" s="23" t="str">
        <x:v>Implementación de sillas de descanso, rediseño de rondas, inspección ergonómica del puesto y fortalecimiento osteomuscular.</x:v>
      </x:c>
      <x:c r="AB6" s="23" t="str">
        <x:v>Coordinador SST</x:v>
      </x:c>
      <x:c r="AC6" s="23" t="str">
        <x:v>Cerrado</x:v>
      </x:c>
      <x:c r="AD6" s="40" t="n">
        <x:v>45698</x:v>
      </x:c>
      <x:c r="AE6" s="42" t="n">
        <x:f>IF(B6="","",IF(AD6="",TODAY()-B6,AD6-B6))</x:f>
        <x:v>182</x:v>
      </x:c>
      <x:c r="AF6" s="23" t="str">
        <x:f>IF(AC6="","",IF(AC6&lt;&gt;"Cerrado","No",IF(OR(R6="",AD6=""),"No",IF(AD6&lt;=R6+90,"Sí","No"))))</x:f>
        <x:v>Sí</x:v>
      </x:c>
      <x:c r="AG6" s="23" t="str">
        <x:v>Caso cerrado posterior a intervención biomecánica y seguimiento médico.</x:v>
      </x:c>
    </x:row>
    <x:row r="7">
      <x:c r="A7" s="23" t="str">
        <x:v>EL-2026-001</x:v>
      </x:c>
      <x:c r="B7" s="40" t="n">
        <x:v>46070</x:v>
      </x:c>
      <x:c r="C7" s="40" t="n">
        <x:v>46056</x:v>
      </x:c>
      <x:c r="D7" s="23" t="n">
        <x:f>IF(B7="","",YEAR(B7))</x:f>
        <x:v>2026</x:v>
      </x:c>
      <x:c r="E7" s="23" t="str">
        <x:v>Medellín</x:v>
      </x:c>
      <x:c r="F7" s="23" t="str">
        <x:v>Carolina Andrea Pardo</x:v>
      </x:c>
      <x:c r="G7" s="23" t="str">
        <x:v>43678901</x:v>
      </x:c>
      <x:c r="H7" s="23" t="str">
        <x:v>Supervisor de Puesto</x:v>
      </x:c>
      <x:c r="I7" s="23" t="str">
        <x:v>Supervisión</x:v>
      </x:c>
      <x:c r="J7" s="23" t="str">
        <x:v>ARL Bolívar</x:v>
      </x:c>
      <x:c r="K7" s="23" t="str">
        <x:v>Trastorno de ansiedad mixto</x:v>
      </x:c>
      <x:c r="L7" s="23" t="str">
        <x:v>F412</x:v>
      </x:c>
      <x:c r="M7" s="23" t="str">
        <x:v>F412</x:v>
      </x:c>
      <x:c r="N7" s="23" t="str">
        <x:v>Psicosocial</x:v>
      </x:c>
      <x:c r="O7" s="23" t="str">
        <x:v>Psicosocial - alta demanda</x:v>
      </x:c>
      <x:c r="P7" s="23" t="str">
        <x:v>Consulta médica</x:v>
      </x:c>
      <x:c r="Q7" s="40" t="n">
        <x:v>46073</x:v>
      </x:c>
      <x:c r="R7" s="40" t="n">
        <x:v>46140</x:v>
      </x:c>
      <x:c r="S7" s="23" t="str">
        <x:v>Laboral</x:v>
      </x:c>
      <x:c r="T7" s="23" t="str">
        <x:v>Sí</x:v>
      </x:c>
      <x:c r="U7" s="40" t="n">
        <x:v>46080</x:v>
      </x:c>
      <x:c r="V7" s="23" t="str">
        <x:f>IF(T7="","",IF(T7="No","No",IF(U7&lt;=B7+15,"Sí","No")))</x:f>
        <x:v>Sí</x:v>
      </x:c>
      <x:c r="W7" s="23" t="str">
        <x:v>Supervisora con sintomatología ansiosa asociada a alta demanda laboral, turnos extendidos y manejo simultáneo de múltiples novedades operativas.</x:v>
      </x:c>
      <x:c r="X7" s="23" t="str">
        <x:v>Ajuste temporal de carga laboral, acompañamiento psicológico y limitación de jornadas extendidas.</x:v>
      </x:c>
      <x:c r="Y7" s="23" t="str">
        <x:v>No</x:v>
      </x:c>
      <x:c r="Z7" s="23" t="str">
        <x:v>Sí</x:v>
      </x:c>
      <x:c r="AA7" s="23" t="str">
        <x:v>Activación de intervención psicosocial, acompañamiento clínico, redistribución temporal de sedes y seguimiento quincenal.</x:v>
      </x:c>
      <x:c r="AB7" s="23" t="str">
        <x:v>Médico Laboral</x:v>
      </x:c>
      <x:c r="AC7" s="23" t="str">
        <x:v>Cerrado</x:v>
      </x:c>
      <x:c r="AD7" s="40" t="n">
        <x:v>46163</x:v>
      </x:c>
      <x:c r="AE7" s="42" t="n">
        <x:f>IF(B7="","",IF(AD7="",TODAY()-B7,AD7-B7))</x:f>
        <x:v>93</x:v>
      </x:c>
      <x:c r="AF7" s="23" t="str">
        <x:f>IF(AC7="","",IF(AC7&lt;&gt;"Cerrado","No",IF(OR(R7="",AD7=""),"No",IF(AD7&lt;=R7+90,"Sí","No"))))</x:f>
        <x:v>Sí</x:v>
      </x:c>
      <x:c r="AG7" s="23" t="str">
        <x:v>Caso cerrado a corte de mayo con reincorporación plena y seguimiento preventivo.</x:v>
      </x:c>
    </x:row>
  </x:sheetData>
  <x:mergeCells>
    <x:mergeCell ref="A1:AG1"/>
  </x:mergeCells>
  <x:pageMargins left="0.7" right="0.7" top="0.75" bottom="0.75" header="0.3" footer="0.3"/>
  <x:tableParts count="1">
    <x:tablePart xmlns:r="http://schemas.openxmlformats.org/officeDocument/2006/relationships" r:id="R1cc6d61ba471440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4" hidden="0" customWidth="1"/>
    <x:col min="4" max="4" width="13" hidden="0" customWidth="1"/>
    <x:col min="5" max="5" width="18" hidden="0" customWidth="1"/>
    <x:col min="6" max="6" width="15" hidden="0" customWidth="1"/>
    <x:col min="7" max="7" width="18" hidden="0" customWidth="1"/>
    <x:col min="8" max="8" width="16" hidden="0" customWidth="1"/>
  </x:cols>
  <x:sheetData>
    <x:row r="1">
      <x:c r="A1" s="5" t="str">
        <x:v>Resumen Anual de Enfermedad Laboral</x:v>
      </x:c>
      <x:c r="B1" s="5"/>
      <x:c r="C1" s="5"/>
      <x:c r="D1" s="5"/>
      <x:c r="E1" s="5"/>
      <x:c r="F1" s="5"/>
      <x:c r="G1" s="5"/>
      <x:c r="H1" s="5"/>
    </x:row>
    <x:row r="3">
      <x:c r="A3" s="38" t="str">
        <x:v>Año</x:v>
      </x:c>
      <x:c r="B3" s="38" t="str">
        <x:v>N.º Casos</x:v>
      </x:c>
      <x:c r="C3" s="38" t="str">
        <x:v>Casos laborales</x:v>
      </x:c>
      <x:c r="D3" s="38" t="str">
        <x:v>Casos cerrados</x:v>
      </x:c>
      <x:c r="E3" s="38" t="str">
        <x:v>Investigación oportuna</x:v>
      </x:c>
      <x:c r="F3" s="38" t="str">
        <x:v>Cierre oportuno</x:v>
      </x:c>
      <x:c r="G3" s="38" t="str">
        <x:v>Promedio días gestión</x:v>
      </x:c>
      <x:c r="H3" s="38" t="str">
        <x:v>Factor predominante</x:v>
      </x:c>
    </x:row>
    <x:row r="4">
      <x:c r="A4" s="50" t="n">
        <x:v>2023</x:v>
      </x:c>
      <x:c r="B4" s="42" t="n">
        <x:f>COUNTIFS(Consolidado!$D:$D,A4)</x:f>
        <x:v>1</x:v>
      </x:c>
      <x:c r="C4" s="42" t="n">
        <x:f>COUNTIFS(Consolidado!$D:$D,A4,Consolidado!$S:$S,"Laboral")</x:f>
        <x:v>1</x:v>
      </x:c>
      <x:c r="D4" s="42" t="n">
        <x:f>COUNTIFS(Consolidado!$D:$D,A4,Consolidado!$AC:$AC,"Cerrado")</x:f>
        <x:v>1</x:v>
      </x:c>
      <x:c r="E4" s="42" t="n">
        <x:f>COUNTIFS(Consolidado!$D:$D,A4,Consolidado!$V:$V,"Sí")</x:f>
        <x:v>1</x:v>
      </x:c>
      <x:c r="F4" s="42" t="n">
        <x:f>COUNTIFS(Consolidado!$D:$D,A4,Consolidado!$AF:$AF,"Sí")</x:f>
        <x:v>0</x:v>
      </x:c>
      <x:c r="G4" s="42" t="n">
        <x:f>IF(B4=0,0,SUMIFS(Consolidado!$AE:$AE,Consolidado!$D:$D,A4)/COUNTIFS(Consolidado!$D:$D,A4))</x:f>
        <x:v>265</x:v>
      </x:c>
      <x:c r="H4" s="50" t="str">
        <x:f>IF(B4=0,"Sin casos",IF(COUNTIFS(Consolidado!$D:$D,A4,Consolidado!$N:$N,"Biomecánico")&gt;=MAX(COUNTIFS(Consolidado!$D:$D,A4,Consolidado!$N:$N,"Biomecánico"),COUNTIFS(Consolidado!$D:$D,A4,Consolidado!$N:$N,"Psicosocial"),COUNTIFS(Consolidado!$D:$D,A4,Consolidado!$N:$N,"Físico"),COUNTIFS(Consolidado!$D:$D,A4,Consolidado!$N:$N,"Químico"),COUNTIFS(Consolidado!$D:$D,A4,Consolidado!$N:$N,"Biológico"),COUNTIFS(Consolidado!$D:$D,A4,Consolidado!$N:$N,"Seguridad")),"Biomecánico",IF(COUNTIFS(Consolidado!$D:$D,A4,Consolidado!$N:$N,"Psicosocial")&gt;=MAX(COUNTIFS(Consolidado!$D:$D,A4,Consolidado!$N:$N,"Psicosocial"),COUNTIFS(Consolidado!$D:$D,A4,Consolidado!$N:$N,"Físico"),COUNTIFS(Consolidado!$D:$D,A4,Consolidado!$N:$N,"Químico"),COUNTIFS(Consolidado!$D:$D,A4,Consolidado!$N:$N,"Biológico"),COUNTIFS(Consolidado!$D:$D,A4,Consolidado!$N:$N,"Seguridad")),"Psicosocial",IF(COUNTIFS(Consolidado!$D:$D,A4,Consolidado!$N:$N,"Físico")&gt;=MAX(COUNTIFS(Consolidado!$D:$D,A4,Consolidado!$N:$N,"Físico"),COUNTIFS(Consolidado!$D:$D,A4,Consolidado!$N:$N,"Químico"),COUNTIFS(Consolidado!$D:$D,A4,Consolidado!$N:$N,"Biológico"),COUNTIFS(Consolidado!$D:$D,A4,Consolidado!$N:$N,"Seguridad")),"Físico",IF(COUNTIFS(Consolidado!$D:$D,A4,Consolidado!$N:$N,"Químico")&gt;=MAX(COUNTIFS(Consolidado!$D:$D,A4,Consolidado!$N:$N,"Químico"),COUNTIFS(Consolidado!$D:$D,A4,Consolidado!$N:$N,"Biológico"),COUNTIFS(Consolidado!$D:$D,A4,Consolidado!$N:$N,"Seguridad")),"Químico",IF(COUNTIFS(Consolidado!$D:$D,A4,Consolidado!$N:$N,"Biológico")&gt;=COUNTIFS(Consolidado!$D:$D,A4,Consolidado!$N:$N,"Seguridad"),"Biológico","Seguridad"))))))</x:f>
        <x:v>Físico</x:v>
      </x:c>
    </x:row>
    <x:row r="5">
      <x:c r="A5" s="50" t="n">
        <x:v>2024</x:v>
      </x:c>
      <x:c r="B5" s="42" t="n">
        <x:f>COUNTIFS(Consolidado!$D:$D,A5)</x:f>
        <x:v>2</x:v>
      </x:c>
      <x:c r="C5" s="42" t="n">
        <x:f>COUNTIFS(Consolidado!$D:$D,A5,Consolidado!$S:$S,"Laboral")</x:f>
        <x:v>2</x:v>
      </x:c>
      <x:c r="D5" s="42" t="n">
        <x:f>COUNTIFS(Consolidado!$D:$D,A5,Consolidado!$AC:$AC,"Cerrado")</x:f>
        <x:v>2</x:v>
      </x:c>
      <x:c r="E5" s="42" t="n">
        <x:f>COUNTIFS(Consolidado!$D:$D,A5,Consolidado!$V:$V,"Sí")</x:f>
        <x:v>2</x:v>
      </x:c>
      <x:c r="F5" s="42" t="n">
        <x:f>COUNTIFS(Consolidado!$D:$D,A5,Consolidado!$AF:$AF,"Sí")</x:f>
        <x:v>1</x:v>
      </x:c>
      <x:c r="G5" s="42" t="n">
        <x:f>IF(B5=0,0,SUMIFS(Consolidado!$AE:$AE,Consolidado!$D:$D,A5)/COUNTIFS(Consolidado!$D:$D,A5))</x:f>
        <x:v>205</x:v>
      </x:c>
      <x:c r="H5" s="50" t="str">
        <x:f>IF(B5=0,"Sin casos",IF(COUNTIFS(Consolidado!$D:$D,A5,Consolidado!$N:$N,"Biomecánico")&gt;=MAX(COUNTIFS(Consolidado!$D:$D,A5,Consolidado!$N:$N,"Biomecánico"),COUNTIFS(Consolidado!$D:$D,A5,Consolidado!$N:$N,"Psicosocial"),COUNTIFS(Consolidado!$D:$D,A5,Consolidado!$N:$N,"Físico"),COUNTIFS(Consolidado!$D:$D,A5,Consolidado!$N:$N,"Químico"),COUNTIFS(Consolidado!$D:$D,A5,Consolidado!$N:$N,"Biológico"),COUNTIFS(Consolidado!$D:$D,A5,Consolidado!$N:$N,"Seguridad")),"Biomecánico",IF(COUNTIFS(Consolidado!$D:$D,A5,Consolidado!$N:$N,"Psicosocial")&gt;=MAX(COUNTIFS(Consolidado!$D:$D,A5,Consolidado!$N:$N,"Psicosocial"),COUNTIFS(Consolidado!$D:$D,A5,Consolidado!$N:$N,"Físico"),COUNTIFS(Consolidado!$D:$D,A5,Consolidado!$N:$N,"Químico"),COUNTIFS(Consolidado!$D:$D,A5,Consolidado!$N:$N,"Biológico"),COUNTIFS(Consolidado!$D:$D,A5,Consolidado!$N:$N,"Seguridad")),"Psicosocial",IF(COUNTIFS(Consolidado!$D:$D,A5,Consolidado!$N:$N,"Físico")&gt;=MAX(COUNTIFS(Consolidado!$D:$D,A5,Consolidado!$N:$N,"Físico"),COUNTIFS(Consolidado!$D:$D,A5,Consolidado!$N:$N,"Químico"),COUNTIFS(Consolidado!$D:$D,A5,Consolidado!$N:$N,"Biológico"),COUNTIFS(Consolidado!$D:$D,A5,Consolidado!$N:$N,"Seguridad")),"Físico",IF(COUNTIFS(Consolidado!$D:$D,A5,Consolidado!$N:$N,"Químico")&gt;=MAX(COUNTIFS(Consolidado!$D:$D,A5,Consolidado!$N:$N,"Químico"),COUNTIFS(Consolidado!$D:$D,A5,Consolidado!$N:$N,"Biológico"),COUNTIFS(Consolidado!$D:$D,A5,Consolidado!$N:$N,"Seguridad")),"Químico",IF(COUNTIFS(Consolidado!$D:$D,A5,Consolidado!$N:$N,"Biológico")&gt;=COUNTIFS(Consolidado!$D:$D,A5,Consolidado!$N:$N,"Seguridad"),"Biológico","Seguridad"))))))</x:f>
        <x:v>Biomecánico</x:v>
      </x:c>
    </x:row>
    <x:row r="6">
      <x:c r="A6" s="50" t="n">
        <x:v>2025</x:v>
      </x:c>
      <x:c r="B6" s="42" t="n">
        <x:f>COUNTIFS(Consolidado!$D:$D,A6)</x:f>
        <x:v>0</x:v>
      </x:c>
      <x:c r="C6" s="42" t="n">
        <x:f>COUNTIFS(Consolidado!$D:$D,A6,Consolidado!$S:$S,"Laboral")</x:f>
        <x:v>0</x:v>
      </x:c>
      <x:c r="D6" s="42" t="n">
        <x:f>COUNTIFS(Consolidado!$D:$D,A6,Consolidado!$AC:$AC,"Cerrado")</x:f>
        <x:v>0</x:v>
      </x:c>
      <x:c r="E6" s="42" t="n">
        <x:f>COUNTIFS(Consolidado!$D:$D,A6,Consolidado!$V:$V,"Sí")</x:f>
        <x:v>0</x:v>
      </x:c>
      <x:c r="F6" s="42" t="n">
        <x:f>COUNTIFS(Consolidado!$D:$D,A6,Consolidado!$AF:$AF,"Sí")</x:f>
        <x:v>0</x:v>
      </x:c>
      <x:c r="G6" s="42" t="n">
        <x:f>IF(B6=0,0,SUMIFS(Consolidado!$AE:$AE,Consolidado!$D:$D,A6)/COUNTIFS(Consolidado!$D:$D,A6))</x:f>
        <x:v>0</x:v>
      </x:c>
      <x:c r="H6" s="50" t="str">
        <x:f>IF(B6=0,"Sin casos",IF(COUNTIFS(Consolidado!$D:$D,A6,Consolidado!$N:$N,"Biomecánico")&gt;=MAX(COUNTIFS(Consolidado!$D:$D,A6,Consolidado!$N:$N,"Biomecánico"),COUNTIFS(Consolidado!$D:$D,A6,Consolidado!$N:$N,"Psicosocial"),COUNTIFS(Consolidado!$D:$D,A6,Consolidado!$N:$N,"Físico"),COUNTIFS(Consolidado!$D:$D,A6,Consolidado!$N:$N,"Químico"),COUNTIFS(Consolidado!$D:$D,A6,Consolidado!$N:$N,"Biológico"),COUNTIFS(Consolidado!$D:$D,A6,Consolidado!$N:$N,"Seguridad")),"Biomecánico",IF(COUNTIFS(Consolidado!$D:$D,A6,Consolidado!$N:$N,"Psicosocial")&gt;=MAX(COUNTIFS(Consolidado!$D:$D,A6,Consolidado!$N:$N,"Psicosocial"),COUNTIFS(Consolidado!$D:$D,A6,Consolidado!$N:$N,"Físico"),COUNTIFS(Consolidado!$D:$D,A6,Consolidado!$N:$N,"Químico"),COUNTIFS(Consolidado!$D:$D,A6,Consolidado!$N:$N,"Biológico"),COUNTIFS(Consolidado!$D:$D,A6,Consolidado!$N:$N,"Seguridad")),"Psicosocial",IF(COUNTIFS(Consolidado!$D:$D,A6,Consolidado!$N:$N,"Físico")&gt;=MAX(COUNTIFS(Consolidado!$D:$D,A6,Consolidado!$N:$N,"Físico"),COUNTIFS(Consolidado!$D:$D,A6,Consolidado!$N:$N,"Químico"),COUNTIFS(Consolidado!$D:$D,A6,Consolidado!$N:$N,"Biológico"),COUNTIFS(Consolidado!$D:$D,A6,Consolidado!$N:$N,"Seguridad")),"Físico",IF(COUNTIFS(Consolidado!$D:$D,A6,Consolidado!$N:$N,"Químico")&gt;=MAX(COUNTIFS(Consolidado!$D:$D,A6,Consolidado!$N:$N,"Químico"),COUNTIFS(Consolidado!$D:$D,A6,Consolidado!$N:$N,"Biológico"),COUNTIFS(Consolidado!$D:$D,A6,Consolidado!$N:$N,"Seguridad")),"Químico",IF(COUNTIFS(Consolidado!$D:$D,A6,Consolidado!$N:$N,"Biológico")&gt;=COUNTIFS(Consolidado!$D:$D,A6,Consolidado!$N:$N,"Seguridad"),"Biológico","Seguridad"))))))</x:f>
        <x:v>Sin casos</x:v>
      </x:c>
    </x:row>
    <x:row r="7">
      <x:c r="A7" s="50" t="n">
        <x:v>2026</x:v>
      </x:c>
      <x:c r="B7" s="42" t="n">
        <x:f>COUNTIFS(Consolidado!$D:$D,A7)</x:f>
        <x:v>1</x:v>
      </x:c>
      <x:c r="C7" s="42" t="n">
        <x:f>COUNTIFS(Consolidado!$D:$D,A7,Consolidado!$S:$S,"Laboral")</x:f>
        <x:v>1</x:v>
      </x:c>
      <x:c r="D7" s="42" t="n">
        <x:f>COUNTIFS(Consolidado!$D:$D,A7,Consolidado!$AC:$AC,"Cerrado")</x:f>
        <x:v>1</x:v>
      </x:c>
      <x:c r="E7" s="42" t="n">
        <x:f>COUNTIFS(Consolidado!$D:$D,A7,Consolidado!$V:$V,"Sí")</x:f>
        <x:v>1</x:v>
      </x:c>
      <x:c r="F7" s="42" t="n">
        <x:f>COUNTIFS(Consolidado!$D:$D,A7,Consolidado!$AF:$AF,"Sí")</x:f>
        <x:v>1</x:v>
      </x:c>
      <x:c r="G7" s="42" t="n">
        <x:f>IF(B7=0,0,SUMIFS(Consolidado!$AE:$AE,Consolidado!$D:$D,A7)/COUNTIFS(Consolidado!$D:$D,A7))</x:f>
        <x:v>93</x:v>
      </x:c>
      <x:c r="H7" s="50" t="str">
        <x:f>IF(B7=0,"Sin casos",IF(COUNTIFS(Consolidado!$D:$D,A7,Consolidado!$N:$N,"Biomecánico")&gt;=MAX(COUNTIFS(Consolidado!$D:$D,A7,Consolidado!$N:$N,"Biomecánico"),COUNTIFS(Consolidado!$D:$D,A7,Consolidado!$N:$N,"Psicosocial"),COUNTIFS(Consolidado!$D:$D,A7,Consolidado!$N:$N,"Físico"),COUNTIFS(Consolidado!$D:$D,A7,Consolidado!$N:$N,"Químico"),COUNTIFS(Consolidado!$D:$D,A7,Consolidado!$N:$N,"Biológico"),COUNTIFS(Consolidado!$D:$D,A7,Consolidado!$N:$N,"Seguridad")),"Biomecánico",IF(COUNTIFS(Consolidado!$D:$D,A7,Consolidado!$N:$N,"Psicosocial")&gt;=MAX(COUNTIFS(Consolidado!$D:$D,A7,Consolidado!$N:$N,"Psicosocial"),COUNTIFS(Consolidado!$D:$D,A7,Consolidado!$N:$N,"Físico"),COUNTIFS(Consolidado!$D:$D,A7,Consolidado!$N:$N,"Químico"),COUNTIFS(Consolidado!$D:$D,A7,Consolidado!$N:$N,"Biológico"),COUNTIFS(Consolidado!$D:$D,A7,Consolidado!$N:$N,"Seguridad")),"Psicosocial",IF(COUNTIFS(Consolidado!$D:$D,A7,Consolidado!$N:$N,"Físico")&gt;=MAX(COUNTIFS(Consolidado!$D:$D,A7,Consolidado!$N:$N,"Físico"),COUNTIFS(Consolidado!$D:$D,A7,Consolidado!$N:$N,"Químico"),COUNTIFS(Consolidado!$D:$D,A7,Consolidado!$N:$N,"Biológico"),COUNTIFS(Consolidado!$D:$D,A7,Consolidado!$N:$N,"Seguridad")),"Físico",IF(COUNTIFS(Consolidado!$D:$D,A7,Consolidado!$N:$N,"Químico")&gt;=MAX(COUNTIFS(Consolidado!$D:$D,A7,Consolidado!$N:$N,"Químico"),COUNTIFS(Consolidado!$D:$D,A7,Consolidado!$N:$N,"Biológico"),COUNTIFS(Consolidado!$D:$D,A7,Consolidado!$N:$N,"Seguridad")),"Químico",IF(COUNTIFS(Consolidado!$D:$D,A7,Consolidado!$N:$N,"Biológico")&gt;=COUNTIFS(Consolidado!$D:$D,A7,Consolidado!$N:$N,"Seguridad"),"Biológico","Seguridad"))))))</x:f>
        <x:v>Psicosocial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16972b384b94c52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2" hidden="0" customWidth="1"/>
    <x:col min="4" max="4" width="18" hidden="0" customWidth="1"/>
    <x:col min="5" max="5" width="18" hidden="0" customWidth="1"/>
    <x:col min="6" max="6" width="14" hidden="0" customWidth="1"/>
  </x:cols>
  <x:sheetData>
    <x:row r="1">
      <x:c r="A1" s="5" t="str">
        <x:v>Resumen por Sede 2023-2026</x:v>
      </x:c>
      <x:c r="B1" s="5"/>
      <x:c r="C1" s="5"/>
      <x:c r="D1" s="5"/>
      <x:c r="E1" s="5"/>
      <x:c r="F1" s="5"/>
    </x:row>
    <x:row r="3">
      <x:c r="A3" s="38" t="str">
        <x:v>Sede</x:v>
      </x:c>
      <x:c r="B3" s="38" t="str">
        <x:v>N.º Casos</x:v>
      </x:c>
      <x:c r="C3" s="38" t="str">
        <x:v>Casos cerrados</x:v>
      </x:c>
      <x:c r="D3" s="38" t="str">
        <x:v>Promedio días gestión</x:v>
      </x:c>
      <x:c r="E3" s="38" t="str">
        <x:v>Resultado predominante</x:v>
      </x:c>
      <x:c r="F3" s="38" t="str">
        <x:v>Último caso</x:v>
      </x:c>
    </x:row>
    <x:row r="4">
      <x:c r="A4" s="23" t="str">
        <x:v>Cúcuta</x:v>
      </x:c>
      <x:c r="B4" s="23" t="n">
        <x:f>COUNTIFS(Consolidado!$E:$E,A4)</x:f>
        <x:v>1</x:v>
      </x:c>
      <x:c r="C4" s="23" t="n">
        <x:f>COUNTIFS(Consolidado!$E:$E,A4,Consolidado!$AC:$AC,"Cerrado")</x:f>
        <x:v>1</x:v>
      </x:c>
      <x:c r="D4" s="23" t="n">
        <x:f>IF(B4=0,0,SUMIFS(Consolidado!$AE:$AE,Consolidado!$E:$E,A4)/COUNTIFS(Consolidado!$E:$E,A4))</x:f>
        <x:v>182</x:v>
      </x:c>
      <x:c r="E4" s="23" t="str">
        <x:f>IF(B4=0,"Sin casos",IF(COUNTIFS(Consolidado!$E:$E,A4,Consolidado!$S:$S,"Laboral")&gt;=COUNTIFS(Consolidado!$E:$E,A4,Consolidado!$S:$S,"Común"),"Laboral","Común"))</x:f>
        <x:v>Laboral</x:v>
      </x:c>
      <x:c r="F4" s="40" t="n">
        <x:f>IF(B4=0,"",MAXIFS(Consolidado!$B:$B,Consolidado!$E:$E,A4))</x:f>
        <x:v>45516</x:v>
      </x:c>
    </x:row>
    <x:row r="5">
      <x:c r="A5" s="23" t="str">
        <x:v>Barrancabermeja</x:v>
      </x:c>
      <x:c r="B5" s="23" t="n">
        <x:f>COUNTIFS(Consolidado!$E:$E,A5)</x:f>
        <x:v>1</x:v>
      </x:c>
      <x:c r="C5" s="23" t="n">
        <x:f>COUNTIFS(Consolidado!$E:$E,A5,Consolidado!$AC:$AC,"Cerrado")</x:f>
        <x:v>1</x:v>
      </x:c>
      <x:c r="D5" s="23" t="n">
        <x:f>IF(B5=0,0,SUMIFS(Consolidado!$AE:$AE,Consolidado!$E:$E,A5)/COUNTIFS(Consolidado!$E:$E,A5))</x:f>
        <x:v>265</x:v>
      </x:c>
      <x:c r="E5" s="23" t="str">
        <x:f>IF(B5=0,"Sin casos",IF(COUNTIFS(Consolidado!$E:$E,A5,Consolidado!$S:$S,"Laboral")&gt;=COUNTIFS(Consolidado!$E:$E,A5,Consolidado!$S:$S,"Común"),"Laboral","Común"))</x:f>
        <x:v>Laboral</x:v>
      </x:c>
      <x:c r="F5" s="40" t="n">
        <x:f>IF(B5=0,"",MAXIFS(Consolidado!$B:$B,Consolidado!$E:$E,A5))</x:f>
        <x:v>44995</x:v>
      </x:c>
    </x:row>
    <x:row r="6">
      <x:c r="A6" s="23" t="str">
        <x:v>Ocaña</x:v>
      </x:c>
      <x:c r="B6" s="23" t="n">
        <x:f>COUNTIFS(Consolidado!$E:$E,A6)</x:f>
        <x:v>0</x:v>
      </x:c>
      <x:c r="C6" s="23" t="n">
        <x:f>COUNTIFS(Consolidado!$E:$E,A6,Consolidado!$AC:$AC,"Cerrado")</x:f>
        <x:v>0</x:v>
      </x:c>
      <x:c r="D6" s="23" t="n">
        <x:f>IF(B6=0,0,SUMIFS(Consolidado!$AE:$AE,Consolidado!$E:$E,A6)/COUNTIFS(Consolidado!$E:$E,A6))</x:f>
        <x:v>0</x:v>
      </x:c>
      <x:c r="E6" s="23" t="str">
        <x:f>IF(B6=0,"Sin casos",IF(COUNTIFS(Consolidado!$E:$E,A6,Consolidado!$S:$S,"Laboral")&gt;=COUNTIFS(Consolidado!$E:$E,A6,Consolidado!$S:$S,"Común"),"Laboral","Común"))</x:f>
        <x:v>Sin casos</x:v>
      </x:c>
      <x:c r="F6" s="40" t="str">
        <x:f>IF(B6=0,"",MAXIFS(Consolidado!$B:$B,Consolidado!$E:$E,A6))</x:f>
      </x:c>
    </x:row>
    <x:row r="7">
      <x:c r="A7" s="23" t="str">
        <x:v>Girón</x:v>
      </x:c>
      <x:c r="B7" s="23" t="n">
        <x:f>COUNTIFS(Consolidado!$E:$E,A7)</x:f>
        <x:v>0</x:v>
      </x:c>
      <x:c r="C7" s="23" t="n">
        <x:f>COUNTIFS(Consolidado!$E:$E,A7,Consolidado!$AC:$AC,"Cerrado")</x:f>
        <x:v>0</x:v>
      </x:c>
      <x:c r="D7" s="23" t="n">
        <x:f>IF(B7=0,0,SUMIFS(Consolidado!$AE:$AE,Consolidado!$E:$E,A7)/COUNTIFS(Consolidado!$E:$E,A7))</x:f>
        <x:v>0</x:v>
      </x:c>
      <x:c r="E7" s="23" t="str">
        <x:f>IF(B7=0,"Sin casos",IF(COUNTIFS(Consolidado!$E:$E,A7,Consolidado!$S:$S,"Laboral")&gt;=COUNTIFS(Consolidado!$E:$E,A7,Consolidado!$S:$S,"Común"),"Laboral","Común"))</x:f>
        <x:v>Sin casos</x:v>
      </x:c>
      <x:c r="F7" s="40" t="str">
        <x:f>IF(B7=0,"",MAXIFS(Consolidado!$B:$B,Consolidado!$E:$E,A7))</x:f>
      </x:c>
    </x:row>
    <x:row r="8">
      <x:c r="A8" s="23" t="str">
        <x:v>Valledupar</x:v>
      </x:c>
      <x:c r="B8" s="23" t="n">
        <x:f>COUNTIFS(Consolidado!$E:$E,A8)</x:f>
        <x:v>0</x:v>
      </x:c>
      <x:c r="C8" s="23" t="n">
        <x:f>COUNTIFS(Consolidado!$E:$E,A8,Consolidado!$AC:$AC,"Cerrado")</x:f>
        <x:v>0</x:v>
      </x:c>
      <x:c r="D8" s="23" t="n">
        <x:f>IF(B8=0,0,SUMIFS(Consolidado!$AE:$AE,Consolidado!$E:$E,A8)/COUNTIFS(Consolidado!$E:$E,A8))</x:f>
        <x:v>0</x:v>
      </x:c>
      <x:c r="E8" s="23" t="str">
        <x:f>IF(B8=0,"Sin casos",IF(COUNTIFS(Consolidado!$E:$E,A8,Consolidado!$S:$S,"Laboral")&gt;=COUNTIFS(Consolidado!$E:$E,A8,Consolidado!$S:$S,"Común"),"Laboral","Común"))</x:f>
        <x:v>Sin casos</x:v>
      </x:c>
      <x:c r="F8" s="40" t="str">
        <x:f>IF(B8=0,"",MAXIFS(Consolidado!$B:$B,Consolidado!$E:$E,A8))</x:f>
      </x:c>
    </x:row>
    <x:row r="9">
      <x:c r="A9" s="23" t="str">
        <x:v>Arauca</x:v>
      </x:c>
      <x:c r="B9" s="23" t="n">
        <x:f>COUNTIFS(Consolidado!$E:$E,A9)</x:f>
        <x:v>0</x:v>
      </x:c>
      <x:c r="C9" s="23" t="n">
        <x:f>COUNTIFS(Consolidado!$E:$E,A9,Consolidado!$AC:$AC,"Cerrado")</x:f>
        <x:v>0</x:v>
      </x:c>
      <x:c r="D9" s="23" t="n">
        <x:f>IF(B9=0,0,SUMIFS(Consolidado!$AE:$AE,Consolidado!$E:$E,A9)/COUNTIFS(Consolidado!$E:$E,A9))</x:f>
        <x:v>0</x:v>
      </x:c>
      <x:c r="E9" s="23" t="str">
        <x:f>IF(B9=0,"Sin casos",IF(COUNTIFS(Consolidado!$E:$E,A9,Consolidado!$S:$S,"Laboral")&gt;=COUNTIFS(Consolidado!$E:$E,A9,Consolidado!$S:$S,"Común"),"Laboral","Común"))</x:f>
        <x:v>Sin casos</x:v>
      </x:c>
      <x:c r="F9" s="40" t="str">
        <x:f>IF(B9=0,"",MAXIFS(Consolidado!$B:$B,Consolidado!$E:$E,A9))</x:f>
      </x:c>
    </x:row>
    <x:row r="10">
      <x:c r="A10" s="23" t="str">
        <x:v>Bogotá</x:v>
      </x:c>
      <x:c r="B10" s="23" t="n">
        <x:f>COUNTIFS(Consolidado!$E:$E,A10)</x:f>
        <x:v>1</x:v>
      </x:c>
      <x:c r="C10" s="23" t="n">
        <x:f>COUNTIFS(Consolidado!$E:$E,A10,Consolidado!$AC:$AC,"Cerrado")</x:f>
        <x:v>1</x:v>
      </x:c>
      <x:c r="D10" s="23" t="n">
        <x:f>IF(B10=0,0,SUMIFS(Consolidado!$AE:$AE,Consolidado!$E:$E,A10)/COUNTIFS(Consolidado!$E:$E,A10))</x:f>
        <x:v>228</x:v>
      </x:c>
      <x:c r="E10" s="23" t="str">
        <x:f>IF(B10=0,"Sin casos",IF(COUNTIFS(Consolidado!$E:$E,A10,Consolidado!$S:$S,"Laboral")&gt;=COUNTIFS(Consolidado!$E:$E,A10,Consolidado!$S:$S,"Común"),"Laboral","Común"))</x:f>
        <x:v>Laboral</x:v>
      </x:c>
      <x:c r="F10" s="40" t="n">
        <x:f>IF(B10=0,"",MAXIFS(Consolidado!$B:$B,Consolidado!$E:$E,A10))</x:f>
        <x:v>45327</x:v>
      </x:c>
    </x:row>
    <x:row r="11">
      <x:c r="A11" s="23" t="str">
        <x:v>Tibú</x:v>
      </x:c>
      <x:c r="B11" s="23" t="n">
        <x:f>COUNTIFS(Consolidado!$E:$E,A11)</x:f>
        <x:v>0</x:v>
      </x:c>
      <x:c r="C11" s="23" t="n">
        <x:f>COUNTIFS(Consolidado!$E:$E,A11,Consolidado!$AC:$AC,"Cerrado")</x:f>
        <x:v>0</x:v>
      </x:c>
      <x:c r="D11" s="23" t="n">
        <x:f>IF(B11=0,0,SUMIFS(Consolidado!$AE:$AE,Consolidado!$E:$E,A11)/COUNTIFS(Consolidado!$E:$E,A11))</x:f>
        <x:v>0</x:v>
      </x:c>
      <x:c r="E11" s="23" t="str">
        <x:f>IF(B11=0,"Sin casos",IF(COUNTIFS(Consolidado!$E:$E,A11,Consolidado!$S:$S,"Laboral")&gt;=COUNTIFS(Consolidado!$E:$E,A11,Consolidado!$S:$S,"Común"),"Laboral","Común"))</x:f>
        <x:v>Sin casos</x:v>
      </x:c>
      <x:c r="F11" s="40" t="str">
        <x:f>IF(B11=0,"",MAXIFS(Consolidado!$B:$B,Consolidado!$E:$E,A11))</x:f>
      </x:c>
    </x:row>
    <x:row r="12">
      <x:c r="A12" s="23" t="str">
        <x:v>Medellín</x:v>
      </x:c>
      <x:c r="B12" s="23" t="n">
        <x:f>COUNTIFS(Consolidado!$E:$E,A12)</x:f>
        <x:v>1</x:v>
      </x:c>
      <x:c r="C12" s="23" t="n">
        <x:f>COUNTIFS(Consolidado!$E:$E,A12,Consolidado!$AC:$AC,"Cerrado")</x:f>
        <x:v>1</x:v>
      </x:c>
      <x:c r="D12" s="23" t="n">
        <x:f>IF(B12=0,0,SUMIFS(Consolidado!$AE:$AE,Consolidado!$E:$E,A12)/COUNTIFS(Consolidado!$E:$E,A12))</x:f>
        <x:v>93</x:v>
      </x:c>
      <x:c r="E12" s="23" t="str">
        <x:f>IF(B12=0,"Sin casos",IF(COUNTIFS(Consolidado!$E:$E,A12,Consolidado!$S:$S,"Laboral")&gt;=COUNTIFS(Consolidado!$E:$E,A12,Consolidado!$S:$S,"Común"),"Laboral","Común"))</x:f>
        <x:v>Laboral</x:v>
      </x:c>
      <x:c r="F12" s="40" t="n">
        <x:f>IF(B12=0,"",MAXIFS(Consolidado!$B:$B,Consolidado!$E:$E,A12))</x:f>
        <x:v>46070</x:v>
      </x:c>
    </x:row>
    <x:row r="13">
      <x:c r="A13" s="23" t="str">
        <x:v>Ábrego</x:v>
      </x:c>
      <x:c r="B13" s="23" t="n">
        <x:f>COUNTIFS(Consolidado!$E:$E,A13)</x:f>
        <x:v>0</x:v>
      </x:c>
      <x:c r="C13" s="23" t="n">
        <x:f>COUNTIFS(Consolidado!$E:$E,A13,Consolidado!$AC:$AC,"Cerrado")</x:f>
        <x:v>0</x:v>
      </x:c>
      <x:c r="D13" s="23" t="n">
        <x:f>IF(B13=0,0,SUMIFS(Consolidado!$AE:$AE,Consolidado!$E:$E,A13)/COUNTIFS(Consolidado!$E:$E,A13))</x:f>
        <x:v>0</x:v>
      </x:c>
      <x:c r="E13" s="23" t="str">
        <x:f>IF(B13=0,"Sin casos",IF(COUNTIFS(Consolidado!$E:$E,A13,Consolidado!$S:$S,"Laboral")&gt;=COUNTIFS(Consolidado!$E:$E,A13,Consolidado!$S:$S,"Común"),"Laboral","Común"))</x:f>
        <x:v>Sin casos</x:v>
      </x:c>
      <x:c r="F13" s="40" t="str">
        <x:f>IF(B13=0,"",MAXIFS(Consolidado!$B:$B,Consolidado!$E:$E,A13))</x:f>
      </x:c>
    </x:row>
    <x:row r="14">
      <x:c r="A14" s="23" t="str">
        <x:v>Pamplona</x:v>
      </x:c>
      <x:c r="B14" s="23" t="n">
        <x:f>COUNTIFS(Consolidado!$E:$E,A14)</x:f>
        <x:v>0</x:v>
      </x:c>
      <x:c r="C14" s="23" t="n">
        <x:f>COUNTIFS(Consolidado!$E:$E,A14,Consolidado!$AC:$AC,"Cerrado")</x:f>
        <x:v>0</x:v>
      </x:c>
      <x:c r="D14" s="23" t="n">
        <x:f>IF(B14=0,0,SUMIFS(Consolidado!$AE:$AE,Consolidado!$E:$E,A14)/COUNTIFS(Consolidado!$E:$E,A14))</x:f>
        <x:v>0</x:v>
      </x:c>
      <x:c r="E14" s="23" t="str">
        <x:f>IF(B14=0,"Sin casos",IF(COUNTIFS(Consolidado!$E:$E,A14,Consolidado!$S:$S,"Laboral")&gt;=COUNTIFS(Consolidado!$E:$E,A14,Consolidado!$S:$S,"Común"),"Laboral","Común"))</x:f>
        <x:v>Sin casos</x:v>
      </x:c>
      <x:c r="F14" s="40" t="str">
        <x:f>IF(B14=0,"",MAXIFS(Consolidado!$B:$B,Consolidado!$E:$E,A14))</x:f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b31a300b11a344f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5" hidden="0" customWidth="1"/>
    <x:col min="8" max="8" width="15" hidden="0" customWidth="1"/>
    <x:col min="9" max="9" width="14" hidden="0" customWidth="1"/>
    <x:col min="10" max="10" width="14" hidden="0" customWidth="1"/>
    <x:col min="11" max="11" width="16" hidden="0" customWidth="1"/>
    <x:col min="12" max="12" width="16" hidden="0" customWidth="1"/>
  </x:cols>
  <x:sheetData>
    <x:row r="1">
      <x:c r="A1" s="5" t="str">
        <x:v>Dashboard — Enfermedad Laboral 2023-2026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11" t="str">
        <x:v>Resumen ejecutivo del comportamiento de enfermedad laboral, investigación y cierre del evento. Año 2026 con corte a mayo.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>
      <x:c r="A4" s="55" t="str">
        <x:v>Casos totales</x:v>
      </x:c>
      <x:c r="B4" s="55"/>
      <x:c r="C4" s="55" t="str">
        <x:v>Casos laborales</x:v>
      </x:c>
      <x:c r="D4" s="55"/>
      <x:c r="E4" s="55" t="str">
        <x:v>Casos cerrados</x:v>
      </x:c>
      <x:c r="F4" s="55"/>
      <x:c r="G4" s="55" t="str">
        <x:v>Investigación oportuna</x:v>
      </x:c>
      <x:c r="H4" s="55"/>
      <x:c r="I4" s="55" t="str">
        <x:v>Cierre oportuno</x:v>
      </x:c>
      <x:c r="J4" s="55"/>
      <x:c r="K4" s="55" t="str">
        <x:v>Promedio días gestión</x:v>
      </x:c>
      <x:c r="L4" s="55"/>
    </x:row>
    <x:row r="5">
      <x:c r="A5" s="55"/>
      <x:c r="B5" s="55"/>
      <x:c r="C5" s="55"/>
      <x:c r="D5" s="55"/>
      <x:c r="E5" s="55"/>
      <x:c r="F5" s="55"/>
      <x:c r="G5" s="55"/>
      <x:c r="H5" s="55"/>
      <x:c r="I5" s="55"/>
      <x:c r="J5" s="55"/>
      <x:c r="K5" s="55"/>
      <x:c r="L5" s="55"/>
    </x:row>
    <x:row r="6">
      <x:c r="A6" s="55"/>
      <x:c r="B6" s="55"/>
      <x:c r="C6" s="55"/>
      <x:c r="D6" s="55"/>
      <x:c r="E6" s="55"/>
      <x:c r="F6" s="55"/>
      <x:c r="G6" s="55"/>
      <x:c r="H6" s="55"/>
      <x:c r="I6" s="55"/>
      <x:c r="J6" s="55"/>
      <x:c r="K6" s="55"/>
      <x:c r="L6" s="55"/>
    </x:row>
    <x:row r="7">
      <x:c r="A7" s="74" t="n">
        <x:f>SUM(Resumen_Anual!B4:B7)</x:f>
        <x:v>4</x:v>
      </x:c>
      <x:c r="B7" s="74"/>
      <x:c r="C7" s="74" t="n">
        <x:f>SUM(Resumen_Anual!C4:C7)</x:f>
        <x:v>4</x:v>
      </x:c>
      <x:c r="D7" s="74"/>
      <x:c r="E7" s="74" t="n">
        <x:f>SUM(Resumen_Anual!D4:D7)</x:f>
        <x:v>4</x:v>
      </x:c>
      <x:c r="F7" s="74"/>
      <x:c r="G7" s="74" t="n">
        <x:f>COUNTIF(Consolidado!V:V,"Sí")</x:f>
        <x:v>4</x:v>
      </x:c>
      <x:c r="H7" s="74"/>
      <x:c r="I7" s="74" t="n">
        <x:f>COUNTIF(Consolidado!AF:AF,"Sí")</x:f>
        <x:v>2</x:v>
      </x:c>
      <x:c r="J7" s="74"/>
      <x:c r="K7" s="74" t="n">
        <x:f>IF(COUNT(Consolidado!AE:AE)=0,0,AVERAGE(Consolidado!AE:AE))</x:f>
        <x:v>192</x:v>
      </x:c>
      <x:c r="L7" s="74"/>
    </x:row>
    <x:row r="8">
      <x:c r="A8" s="74"/>
      <x:c r="B8" s="74"/>
      <x:c r="C8" s="74"/>
      <x:c r="D8" s="74"/>
      <x:c r="E8" s="74"/>
      <x:c r="F8" s="74"/>
      <x:c r="G8" s="74"/>
      <x:c r="H8" s="74"/>
      <x:c r="I8" s="74"/>
      <x:c r="J8" s="74"/>
      <x:c r="K8" s="74"/>
      <x:c r="L8" s="74"/>
    </x:row>
    <x:row r="9">
      <x:c r="A9" s="74"/>
      <x:c r="B9" s="74"/>
      <x:c r="C9" s="74"/>
      <x:c r="D9" s="74"/>
      <x:c r="E9" s="74"/>
      <x:c r="F9" s="74"/>
      <x:c r="G9" s="74"/>
      <x:c r="H9" s="74"/>
      <x:c r="I9" s="74"/>
      <x:c r="J9" s="74"/>
      <x:c r="K9" s="74"/>
      <x:c r="L9" s="74"/>
    </x:row>
    <x:row r="11">
      <x:c r="A11" s="38" t="str">
        <x:v>Año</x:v>
      </x:c>
      <x:c r="B11" s="38" t="str">
        <x:v>N.º Casos</x:v>
      </x:c>
      <x:c r="C11" s="38" t="str">
        <x:v>Casos laborales</x:v>
      </x:c>
      <x:c r="D11" s="38" t="str">
        <x:v>Casos cerrados</x:v>
      </x:c>
      <x:c r="E11" s="38" t="str">
        <x:v>Investigación oportuna</x:v>
      </x:c>
      <x:c r="F11" s="38" t="str">
        <x:v>Cierre oportuno</x:v>
      </x:c>
      <x:c r="G11" s="38" t="str">
        <x:v>Promedio días gestión</x:v>
      </x:c>
      <x:c r="H11" s="38" t="str">
        <x:v>Factor predominante</x:v>
      </x:c>
    </x:row>
    <x:row r="12">
      <x:c r="A12" s="23" t="n">
        <x:f>Resumen_Anual!A4</x:f>
        <x:v>2023</x:v>
      </x:c>
      <x:c r="B12" s="23" t="n">
        <x:f>Resumen_Anual!B4</x:f>
        <x:v>1</x:v>
      </x:c>
      <x:c r="C12" s="23" t="n">
        <x:f>Resumen_Anual!C4</x:f>
        <x:v>1</x:v>
      </x:c>
      <x:c r="D12" s="23" t="n">
        <x:f>Resumen_Anual!D4</x:f>
        <x:v>1</x:v>
      </x:c>
      <x:c r="E12" s="23" t="n">
        <x:f>Resumen_Anual!E4</x:f>
        <x:v>1</x:v>
      </x:c>
      <x:c r="F12" s="23" t="n">
        <x:f>Resumen_Anual!F4</x:f>
        <x:v>0</x:v>
      </x:c>
      <x:c r="G12" s="23" t="n">
        <x:f>Resumen_Anual!G4</x:f>
        <x:v>265</x:v>
      </x:c>
      <x:c r="H12" s="23" t="str">
        <x:f>Resumen_Anual!H4</x:f>
        <x:v>Físico</x:v>
      </x:c>
    </x:row>
    <x:row r="13">
      <x:c r="A13" s="23" t="n">
        <x:f>Resumen_Anual!A5</x:f>
        <x:v>2024</x:v>
      </x:c>
      <x:c r="B13" s="23" t="n">
        <x:f>Resumen_Anual!B5</x:f>
        <x:v>2</x:v>
      </x:c>
      <x:c r="C13" s="23" t="n">
        <x:f>Resumen_Anual!C5</x:f>
        <x:v>2</x:v>
      </x:c>
      <x:c r="D13" s="23" t="n">
        <x:f>Resumen_Anual!D5</x:f>
        <x:v>2</x:v>
      </x:c>
      <x:c r="E13" s="23" t="n">
        <x:f>Resumen_Anual!E5</x:f>
        <x:v>2</x:v>
      </x:c>
      <x:c r="F13" s="23" t="n">
        <x:f>Resumen_Anual!F5</x:f>
        <x:v>1</x:v>
      </x:c>
      <x:c r="G13" s="23" t="n">
        <x:f>Resumen_Anual!G5</x:f>
        <x:v>205</x:v>
      </x:c>
      <x:c r="H13" s="23" t="str">
        <x:f>Resumen_Anual!H5</x:f>
        <x:v>Biomecánico</x:v>
      </x:c>
    </x:row>
    <x:row r="14">
      <x:c r="A14" s="23" t="n">
        <x:f>Resumen_Anual!A6</x:f>
        <x:v>2025</x:v>
      </x:c>
      <x:c r="B14" s="23" t="n">
        <x:f>Resumen_Anual!B6</x:f>
        <x:v>0</x:v>
      </x:c>
      <x:c r="C14" s="23" t="n">
        <x:f>Resumen_Anual!C6</x:f>
        <x:v>0</x:v>
      </x:c>
      <x:c r="D14" s="23" t="n">
        <x:f>Resumen_Anual!D6</x:f>
        <x:v>0</x:v>
      </x:c>
      <x:c r="E14" s="23" t="n">
        <x:f>Resumen_Anual!E6</x:f>
        <x:v>0</x:v>
      </x:c>
      <x:c r="F14" s="23" t="n">
        <x:f>Resumen_Anual!F6</x:f>
        <x:v>0</x:v>
      </x:c>
      <x:c r="G14" s="23" t="n">
        <x:f>Resumen_Anual!G6</x:f>
        <x:v>0</x:v>
      </x:c>
      <x:c r="H14" s="23" t="str">
        <x:f>Resumen_Anual!H6</x:f>
        <x:v>Sin casos</x:v>
      </x:c>
    </x:row>
    <x:row r="15">
      <x:c r="A15" s="23" t="n">
        <x:f>Resumen_Anual!A7</x:f>
        <x:v>2026</x:v>
      </x:c>
      <x:c r="B15" s="23" t="n">
        <x:f>Resumen_Anual!B7</x:f>
        <x:v>1</x:v>
      </x:c>
      <x:c r="C15" s="23" t="n">
        <x:f>Resumen_Anual!C7</x:f>
        <x:v>1</x:v>
      </x:c>
      <x:c r="D15" s="23" t="n">
        <x:f>Resumen_Anual!D7</x:f>
        <x:v>1</x:v>
      </x:c>
      <x:c r="E15" s="23" t="n">
        <x:f>Resumen_Anual!E7</x:f>
        <x:v>1</x:v>
      </x:c>
      <x:c r="F15" s="23" t="n">
        <x:f>Resumen_Anual!F7</x:f>
        <x:v>1</x:v>
      </x:c>
      <x:c r="G15" s="23" t="n">
        <x:f>Resumen_Anual!G7</x:f>
        <x:v>93</x:v>
      </x:c>
      <x:c r="H15" s="23" t="str">
        <x:f>Resumen_Anual!H7</x:f>
        <x:v>Psicosocial</x:v>
      </x:c>
    </x:row>
    <x:row r="17">
      <x:c r="A17" s="70" t="str">
        <x:v>Supuesto de oportunidad: investigación ≤ 15 días desde la apertura del caso; cierre oportuno ≤ 90 días después de la fecha de calificación del origen.</x:v>
      </x:c>
      <x:c r="B17" s="70"/>
      <x:c r="C17" s="70"/>
      <x:c r="D17" s="70"/>
      <x:c r="E17" s="70"/>
      <x:c r="F17" s="70"/>
      <x:c r="G17" s="70"/>
      <x:c r="H17" s="70"/>
    </x:row>
    <x:row r="18">
      <x:c r="A18" s="70"/>
      <x:c r="B18" s="70"/>
      <x:c r="C18" s="70"/>
      <x:c r="D18" s="70"/>
      <x:c r="E18" s="70"/>
      <x:c r="F18" s="70"/>
      <x:c r="G18" s="70"/>
      <x:c r="H18" s="70"/>
    </x:row>
  </x:sheetData>
  <x:mergeCells>
    <x:mergeCell ref="A1:L1"/>
    <x:mergeCell ref="A2:L2"/>
    <x:mergeCell ref="A4:B6"/>
    <x:mergeCell ref="C4:D6"/>
    <x:mergeCell ref="E4:F6"/>
    <x:mergeCell ref="G4:H6"/>
    <x:mergeCell ref="I4:J6"/>
    <x:mergeCell ref="K4:L6"/>
    <x:mergeCell ref="A7:B9"/>
    <x:mergeCell ref="C7:D9"/>
    <x:mergeCell ref="E7:F9"/>
    <x:mergeCell ref="G7:H9"/>
    <x:mergeCell ref="I7:J9"/>
    <x:mergeCell ref="K7:L9"/>
    <x:mergeCell ref="A17:H18"/>
  </x:mergeCells>
  <x:conditionalFormatting sqref="E12:F15">
    <x:cfRule type="colorScale" priority="1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pageMargins left="0.7" right="0.7" top="0.75" bottom="0.75" header="0.3" footer="0.3"/>
  <x:drawing xmlns:r="http://schemas.openxmlformats.org/officeDocument/2006/relationships" r:id="R60ace115fcbe4328"/>
</x:worksheet>
</file>