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tables/table6.xml" ContentType="application/vnd.openxmlformats-officedocument.spreadsheetml.table+xml"/>
  <Override PartName="/xl/worksheets/sheet10.xml" ContentType="application/vnd.openxmlformats-officedocument.spreadsheetml.worksheet+xml"/>
  <Override PartName="/xl/tables/table7.xml" ContentType="application/vnd.openxmlformats-officedocument.spreadsheetml.table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2b7d85ce074d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vo" sheetId="1" r:id="R9123b508a0974290"/>
    <x:sheet xmlns:r="http://schemas.openxmlformats.org/officeDocument/2006/relationships" name="Catálogos" sheetId="2" r:id="Rb0b994fa19fb417a"/>
    <x:sheet xmlns:r="http://schemas.openxmlformats.org/officeDocument/2006/relationships" name="Plantilla_Editable" sheetId="3" r:id="R10685b577a354c24"/>
    <x:sheet xmlns:r="http://schemas.openxmlformats.org/officeDocument/2006/relationships" name="EMO_2023" sheetId="4" r:id="Rd0d70d80c04c4e4c"/>
    <x:sheet xmlns:r="http://schemas.openxmlformats.org/officeDocument/2006/relationships" name="EMO_2024" sheetId="5" r:id="R16cf98fcce874480"/>
    <x:sheet xmlns:r="http://schemas.openxmlformats.org/officeDocument/2006/relationships" name="EMO_2025" sheetId="6" r:id="R0e322106e9464410"/>
    <x:sheet xmlns:r="http://schemas.openxmlformats.org/officeDocument/2006/relationships" name="EMO_2026" sheetId="7" r:id="R2141eab81ca34992"/>
    <x:sheet xmlns:r="http://schemas.openxmlformats.org/officeDocument/2006/relationships" name="Consolidado" sheetId="8" r:id="R94054ae677da4f1d"/>
    <x:sheet xmlns:r="http://schemas.openxmlformats.org/officeDocument/2006/relationships" name="Resumen_Anual" sheetId="9" r:id="R444be5f1901843c3"/>
    <x:sheet xmlns:r="http://schemas.openxmlformats.org/officeDocument/2006/relationships" name="Resumen_Sedes" sheetId="10" r:id="R468ce90d89754ecb"/>
    <x:sheet xmlns:r="http://schemas.openxmlformats.org/officeDocument/2006/relationships" name="Dashboard" sheetId="11" r:id="R48911c76c5e24f3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"/>
    <x:numFmt numFmtId="202" formatCode="0.0%"/>
  </x:numFmts>
  <x:fonts count="6">
    <x:font>
      <x:sz val="11"/>
      <x:name val="Carlito"/>
    </x:font>
    <x:font>
      <x:b/>
      <x:sz val="14"/>
      <x:color rgb="FFFFFF"/>
      <x:name val="Carlito"/>
    </x:font>
    <x:font>
      <x:b/>
      <x:sz val="11"/>
      <x:color rgb="1F1F1F"/>
      <x:name val="Carlito"/>
    </x:font>
    <x:font>
      <x:b/>
      <x:sz val="11"/>
      <x:color rgb="FFFFFF"/>
      <x:name val="Carlito"/>
    </x:font>
    <x:font>
      <x:b/>
      <x:sz val="11"/>
      <x:name val="Carlito"/>
    </x:font>
    <x:font>
      <x:b/>
      <x:sz val="16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0B3A5B"/>
      </x:patternFill>
    </x:fill>
    <x:fill>
      <x:patternFill patternType="solid">
        <x:fgColor rgb="D9EAF7"/>
      </x:patternFill>
    </x:fill>
    <x:fill>
      <x:patternFill patternType="solid">
        <x:fgColor rgb="1F4E78"/>
      </x:patternFill>
    </x:fill>
    <x:fill>
      <x:patternFill patternType="solid">
        <x:fgColor rgb="FFFFFF"/>
      </x:patternFill>
    </x:fill>
    <x:fill>
      <x:patternFill patternType="solid">
        <x:fgColor rgb="D9EAD3"/>
      </x:patternFill>
    </x:fill>
    <x:fill>
      <x:patternFill patternType="solid">
        <x:fgColor rgb="FFF2CC"/>
      </x:patternFill>
    </x:fill>
    <x:fill>
      <x:patternFill patternType="solid">
        <x:fgColor rgb="F4CCCC"/>
      </x:patternFill>
    </x:fill>
    <x:fill>
      <x:patternFill patternType="solid">
        <x:fgColor rgb="E2F0D9"/>
      </x:patternFill>
    </x:fill>
    <x:fill>
      <x:patternFill patternType="solid">
        <x:fgColor rgb="FCE4D6"/>
      </x:patternFill>
    </x:fill>
  </x:fills>
  <x:borders count="26">
    <x:border/>
    <x:border/>
    <x:border>
      <x:left>
        <x:color rgb="D0D7DE"/>
      </x:left>
      <x:top>
        <x:color rgb="D0D7DE"/>
      </x:top>
    </x:border>
    <x:border>
      <x:right>
        <x:color rgb="D0D7DE"/>
      </x:right>
      <x:top>
        <x:color rgb="D0D7DE"/>
      </x:top>
    </x:border>
    <x:border>
      <x:left>
        <x:color rgb="D0D7DE"/>
      </x:left>
    </x:border>
    <x:border>
      <x:right>
        <x:color rgb="D0D7DE"/>
      </x:right>
    </x:border>
    <x:border>
      <x:left>
        <x:color rgb="D0D7DE"/>
      </x:left>
      <x:bottom>
        <x:color rgb="D0D7DE"/>
      </x:bottom>
    </x:border>
    <x:border>
      <x:right>
        <x:color rgb="D0D7DE"/>
      </x:right>
      <x:bottom>
        <x:color rgb="D0D7DE"/>
      </x:bottom>
    </x:border>
    <x:border>
      <x:left>
        <x:color rgb="D0D7DE"/>
      </x:left>
      <x:top>
        <x:color rgb="D0D7DE"/>
      </x:top>
    </x:border>
    <x:border>
      <x:right>
        <x:color rgb="D0D7DE"/>
      </x:right>
      <x:top>
        <x:color rgb="D0D7DE"/>
      </x:top>
    </x:border>
    <x:border>
      <x:left>
        <x:color rgb="D0D7DE"/>
      </x:left>
    </x:border>
    <x:border>
      <x:right>
        <x:color rgb="D0D7DE"/>
      </x:right>
    </x:border>
    <x:border>
      <x:left>
        <x:color rgb="D0D7DE"/>
      </x:left>
      <x:bottom>
        <x:color rgb="D0D7DE"/>
      </x:bottom>
    </x:border>
    <x:border>
      <x:right>
        <x:color rgb="D0D7DE"/>
      </x:right>
      <x:bottom>
        <x:color rgb="D0D7DE"/>
      </x:bottom>
    </x:border>
    <x:border>
      <x:left>
        <x:color rgb="D0D7DE"/>
      </x:left>
      <x:right>
        <x:color rgb="D0D7DE"/>
      </x:right>
      <x:top>
        <x:color rgb="D0D7DE"/>
      </x:top>
    </x:border>
    <x:border>
      <x:left>
        <x:color rgb="D0D7DE"/>
      </x:left>
      <x:right>
        <x:color rgb="D0D7DE"/>
      </x:right>
    </x:border>
    <x:border>
      <x:left>
        <x:color rgb="D0D7DE"/>
      </x:left>
      <x:right>
        <x:color rgb="D0D7DE"/>
      </x:right>
      <x:bottom>
        <x:color rgb="D0D7DE"/>
      </x:bottom>
    </x:border>
    <x:border>
      <x:left>
        <x:color rgb="D0D7DE"/>
      </x:left>
      <x:right>
        <x:color rgb="D0D7DE"/>
      </x:right>
      <x:top>
        <x:color rgb="D0D7DE"/>
      </x:top>
    </x:border>
    <x:border>
      <x:left>
        <x:color rgb="D0D7DE"/>
      </x:left>
      <x:right>
        <x:color rgb="D0D7DE"/>
      </x:right>
    </x:border>
    <x:border>
      <x:left>
        <x:color rgb="D0D7DE"/>
      </x:left>
      <x:right>
        <x:color rgb="D0D7DE"/>
      </x:right>
      <x:bottom>
        <x:color rgb="D0D7DE"/>
      </x:bottom>
    </x:border>
    <x:border>
      <x:top>
        <x:color rgb="D0D7DE"/>
      </x:top>
    </x:border>
    <x:border>
      <x:bottom>
        <x:color rgb="D0D7DE"/>
      </x:bottom>
    </x:border>
    <x:border>
      <x:top>
        <x:color rgb="D0D7DE"/>
      </x:top>
    </x:border>
    <x:border>
      <x:bottom>
        <x:color rgb="D0D7DE"/>
      </x:bottom>
    </x:border>
    <x:border>
      <x:left>
        <x:color rgb="D0D7DE"/>
      </x:left>
      <x:right>
        <x:color rgb="D0D7DE"/>
      </x:right>
      <x:top>
        <x:color rgb="D0D7DE"/>
      </x:top>
      <x:bottom>
        <x:color rgb="D0D7DE"/>
      </x:bottom>
    </x:border>
    <x:border>
      <x:left>
        <x:color rgb="D0D7DE"/>
      </x:left>
      <x:right>
        <x:color rgb="D0D7DE"/>
      </x:right>
      <x:top>
        <x:color rgb="D0D7DE"/>
      </x:top>
      <x:bottom>
        <x:color rgb="D0D7DE"/>
      </x:bottom>
    </x:border>
  </x:borders>
  <x:cellStyleXfs count="1">
    <x:xf numFmtId="0" fontId="0" fillId="0" borderId="0"/>
  </x:cellStyleXfs>
  <x:cellXfs count="2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2" fillId="3" borderId="8" xfId="0" applyNumberFormat="1" applyFont="1" applyFill="1" applyBorder="1" applyAlignment="1">
      <x:alignment horizontal="center" vertical="center" wrapText="1"/>
    </x:xf>
    <x:xf numFmtId="0" fontId="2" fillId="3" borderId="9" xfId="0" applyNumberFormat="1" applyFont="1" applyFill="1" applyBorder="1" applyAlignment="1">
      <x:alignment horizontal="center" vertical="center" wrapText="1"/>
    </x:xf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200" fontId="0" fillId="0" borderId="5" xfId="0" applyNumberFormat="1" applyFont="1" applyFill="1" applyBorder="1"/>
    <x:xf numFmtId="200" fontId="0" fillId="0" borderId="1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200" fontId="0" fillId="0" borderId="5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200" fontId="0" fillId="0" borderId="11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3" borderId="14" xfId="0" applyNumberFormat="1" applyFont="1" applyFill="1" applyBorder="1"/>
    <x:xf numFmtId="0" fontId="2" fillId="3" borderId="14" xfId="0" applyNumberFormat="1" applyFont="1" applyFill="1" applyBorder="1"/>
    <x:xf numFmtId="0" fontId="2" fillId="3" borderId="14" xfId="0" applyNumberFormat="1" applyFont="1" applyFill="1" applyBorder="1" applyAlignment="1">
      <x:alignment wrapText="1"/>
    </x:xf>
    <x:xf numFmtId="0" fontId="2" fillId="3" borderId="14" xfId="0" applyNumberFormat="1" applyFont="1" applyFill="1" applyBorder="1" applyAlignment="1">
      <x:alignment horizontal="center" wrapText="1"/>
    </x:xf>
    <x:xf numFmtId="0" fontId="2" fillId="3" borderId="14" xfId="0" applyNumberFormat="1" applyFont="1" applyFill="1" applyBorder="1" applyAlignment="1">
      <x:alignment horizontal="center" vertical="center" wrapText="1"/>
    </x:xf>
    <x:xf numFmtId="0" fontId="0" fillId="3" borderId="17" xfId="0" applyNumberFormat="1" applyFont="1" applyFill="1" applyBorder="1"/>
    <x:xf numFmtId="0" fontId="2" fillId="3" borderId="17" xfId="0" applyNumberFormat="1" applyFont="1" applyFill="1" applyBorder="1"/>
    <x:xf numFmtId="0" fontId="2" fillId="3" borderId="17" xfId="0" applyNumberFormat="1" applyFont="1" applyFill="1" applyBorder="1" applyAlignment="1">
      <x:alignment wrapText="1"/>
    </x:xf>
    <x:xf numFmtId="0" fontId="2" fillId="3" borderId="17" xfId="0" applyNumberFormat="1" applyFont="1" applyFill="1" applyBorder="1" applyAlignment="1">
      <x:alignment horizontal="center" wrapText="1"/>
    </x:xf>
    <x:xf numFmtId="0" fontId="2" fillId="3" borderId="17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20" xfId="0" applyNumberFormat="1" applyFont="1" applyFill="1" applyBorder="1"/>
    <x:xf numFmtId="0" fontId="0" fillId="0" borderId="0" xfId="0" applyNumberFormat="1" applyFont="1" applyFill="1" applyBorder="1"/>
    <x:xf numFmtId="0" fontId="0" fillId="0" borderId="21" xfId="0" applyNumberFormat="1" applyFont="1" applyFill="1" applyBorder="1"/>
    <x:xf numFmtId="0" fontId="0" fillId="0" borderId="2" xfId="0" applyNumberFormat="1" applyFont="1" applyFill="1" applyBorder="1" applyAlignment="1">
      <x:alignment vertical="center"/>
    </x:xf>
    <x:xf numFmtId="0" fontId="0" fillId="0" borderId="20" xfId="0" applyNumberFormat="1" applyFont="1" applyFill="1" applyBorder="1" applyAlignment="1">
      <x:alignment vertical="center"/>
    </x:xf>
    <x:xf numFmtId="0" fontId="0" fillId="0" borderId="3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0" fontId="0" fillId="0" borderId="21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</x:xf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0" fontId="0" fillId="0" borderId="8" xfId="0" applyNumberFormat="1" applyFont="1" applyFill="1" applyBorder="1" applyAlignment="1">
      <x:alignment vertical="center"/>
    </x:xf>
    <x:xf numFmtId="0" fontId="0" fillId="0" borderId="22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0" borderId="11" xfId="0" applyNumberFormat="1" applyFont="1" applyFill="1" applyBorder="1" applyAlignment="1">
      <x:alignment vertical="center"/>
    </x:xf>
    <x:xf numFmtId="0" fontId="0" fillId="0" borderId="12" xfId="0" applyNumberFormat="1" applyFont="1" applyFill="1" applyBorder="1" applyAlignment="1">
      <x:alignment vertical="center"/>
    </x:xf>
    <x:xf numFmtId="0" fontId="0" fillId="0" borderId="23" xfId="0" applyNumberFormat="1" applyFont="1" applyFill="1" applyBorder="1" applyAlignment="1">
      <x:alignment vertical="center"/>
    </x:xf>
    <x:xf numFmtId="0" fontId="0" fillId="0" borderId="13" xfId="0" applyNumberFormat="1" applyFont="1" applyFill="1" applyBorder="1" applyAlignment="1">
      <x:alignment vertical="center"/>
    </x:xf>
    <x:xf numFmtId="200" fontId="0" fillId="0" borderId="2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0" fontId="0" fillId="0" borderId="21" xfId="0" applyNumberFormat="1" applyFont="1" applyFill="1" applyBorder="1" applyAlignment="1">
      <x:alignment vertical="center"/>
    </x:xf>
    <x:xf numFmtId="200" fontId="0" fillId="0" borderId="22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200" fontId="0" fillId="0" borderId="23" xfId="0" applyNumberFormat="1" applyFont="1" applyFill="1" applyBorder="1" applyAlignment="1">
      <x:alignment vertical="center"/>
    </x:xf>
    <x:xf numFmtId="201" fontId="0" fillId="0" borderId="2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201" fontId="0" fillId="0" borderId="21" xfId="0" applyNumberFormat="1" applyFont="1" applyFill="1" applyBorder="1" applyAlignment="1">
      <x:alignment vertical="center"/>
    </x:xf>
    <x:xf numFmtId="201" fontId="0" fillId="0" borderId="22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 applyAlignment="1">
      <x:alignment vertical="center"/>
    </x:xf>
    <x:xf numFmtId="201" fontId="0" fillId="0" borderId="23" xfId="0" applyNumberFormat="1" applyFont="1" applyFill="1" applyBorder="1" applyAlignment="1">
      <x:alignment vertical="center"/>
    </x:xf>
    <x:xf numFmtId="0" fontId="2" fillId="3" borderId="20" xfId="0" applyNumberFormat="1" applyFont="1" applyFill="1" applyBorder="1" applyAlignment="1">
      <x:alignment horizontal="center" vertical="center" wrapText="1"/>
    </x:xf>
    <x:xf numFmtId="0" fontId="2" fillId="3" borderId="22" xfId="0" applyNumberFormat="1" applyFont="1" applyFill="1" applyBorder="1" applyAlignment="1">
      <x:alignment horizontal="center" vertical="center" wrapText="1"/>
    </x:xf>
    <x:xf numFmtId="202" fontId="0" fillId="0" borderId="0" xfId="0" applyNumberFormat="1" applyFont="1" applyFill="1" applyBorder="1"/>
    <x:xf numFmtId="202" fontId="0" fillId="0" borderId="5" xfId="0" applyNumberFormat="1" applyFont="1" applyFill="1" applyBorder="1"/>
    <x:xf numFmtId="202" fontId="0" fillId="0" borderId="21" xfId="0" applyNumberFormat="1" applyFont="1" applyFill="1" applyBorder="1"/>
    <x:xf numFmtId="202" fontId="0" fillId="0" borderId="7" xfId="0" applyNumberFormat="1" applyFont="1" applyFill="1" applyBorder="1"/>
    <x:xf numFmtId="202" fontId="0" fillId="0" borderId="1" xfId="0" applyNumberFormat="1" applyFont="1" applyFill="1" applyBorder="1"/>
    <x:xf numFmtId="202" fontId="0" fillId="0" borderId="11" xfId="0" applyNumberFormat="1" applyFont="1" applyFill="1" applyBorder="1"/>
    <x:xf numFmtId="202" fontId="0" fillId="0" borderId="23" xfId="0" applyNumberFormat="1" applyFont="1" applyFill="1" applyBorder="1"/>
    <x:xf numFmtId="202" fontId="0" fillId="0" borderId="13" xfId="0" applyNumberFormat="1" applyFont="1" applyFill="1" applyBorder="1"/>
    <x:xf numFmtId="201" fontId="0" fillId="0" borderId="0" xfId="0" applyNumberFormat="1" applyFont="1" applyFill="1" applyBorder="1"/>
    <x:xf numFmtId="201" fontId="0" fillId="0" borderId="21" xfId="0" applyNumberFormat="1" applyFont="1" applyFill="1" applyBorder="1"/>
    <x:xf numFmtId="201" fontId="0" fillId="0" borderId="1" xfId="0" applyNumberFormat="1" applyFont="1" applyFill="1" applyBorder="1"/>
    <x:xf numFmtId="201" fontId="0" fillId="0" borderId="23" xfId="0" applyNumberFormat="1" applyFont="1" applyFill="1" applyBorder="1"/>
    <x:xf numFmtId="200" fontId="2" fillId="3" borderId="0" xfId="0" applyNumberFormat="1" applyFont="1" applyFill="1" applyBorder="1" applyAlignment="1">
      <x:alignment horizontal="center" vertical="center" wrapText="1"/>
    </x:xf>
    <x:xf numFmtId="200" fontId="2" fillId="3" borderId="1" xfId="0" applyNumberFormat="1" applyFont="1" applyFill="1" applyBorder="1" applyAlignment="1">
      <x:alignment horizontal="center" vertical="center" wrapText="1"/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/>
    </x:xf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24" xfId="0" applyNumberFormat="1" applyFont="1" applyFill="1" applyBorder="1"/>
    <x:xf numFmtId="0" fontId="5" fillId="5" borderId="24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25" xfId="0" applyNumberFormat="1" applyFont="1" applyFill="1" applyBorder="1"/>
    <x:xf numFmtId="0" fontId="5" fillId="5" borderId="25" xfId="0" applyNumberFormat="1" applyFont="1" applyFill="1" applyBorder="1" applyAlignment="1">
      <x:alignment horizontal="center"/>
    </x:xf>
    <x:xf numFmtId="0" fontId="4" fillId="3" borderId="2" xfId="0" applyNumberFormat="1" applyFont="1" applyFill="1" applyBorder="1" applyAlignment="1">
      <x:alignment horizontal="center"/>
    </x:xf>
    <x:xf numFmtId="0" fontId="4" fillId="3" borderId="8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horizontal="center"/>
    </x:xf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0" fontId="4" fillId="6" borderId="1" xfId="0" applyNumberFormat="1" applyFont="1" applyFill="1" applyBorder="1" applyAlignment="1">
      <x:alignment horizontal="center"/>
    </x:xf>
    <x:xf numFmtId="0" fontId="4" fillId="6" borderId="2" xfId="0" applyNumberFormat="1" applyFont="1" applyFill="1" applyBorder="1" applyAlignment="1">
      <x:alignment horizontal="center"/>
    </x:xf>
    <x:xf numFmtId="0" fontId="4" fillId="6" borderId="8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horizontal="center"/>
    </x:xf>
    <x:xf numFmtId="0" fontId="0" fillId="7" borderId="1" xfId="0" applyNumberFormat="1" applyFont="1" applyFill="1" applyBorder="1"/>
    <x:xf numFmtId="0" fontId="4" fillId="7" borderId="1" xfId="0" applyNumberFormat="1" applyFont="1" applyFill="1" applyBorder="1"/>
    <x:xf numFmtId="0" fontId="4" fillId="7" borderId="1" xfId="0" applyNumberFormat="1" applyFont="1" applyFill="1" applyBorder="1" applyAlignment="1">
      <x:alignment horizontal="center"/>
    </x:xf>
    <x:xf numFmtId="0" fontId="4" fillId="7" borderId="2" xfId="0" applyNumberFormat="1" applyFont="1" applyFill="1" applyBorder="1" applyAlignment="1">
      <x:alignment horizontal="center"/>
    </x:xf>
    <x:xf numFmtId="0" fontId="4" fillId="7" borderId="8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4" fillId="8" borderId="0" xfId="0" applyNumberFormat="1" applyFont="1" applyFill="1" applyBorder="1" applyAlignment="1">
      <x:alignment horizontal="center"/>
    </x:xf>
    <x:xf numFmtId="0" fontId="0" fillId="8" borderId="1" xfId="0" applyNumberFormat="1" applyFont="1" applyFill="1" applyBorder="1"/>
    <x:xf numFmtId="0" fontId="4" fillId="8" borderId="1" xfId="0" applyNumberFormat="1" applyFont="1" applyFill="1" applyBorder="1"/>
    <x:xf numFmtId="0" fontId="4" fillId="8" borderId="1" xfId="0" applyNumberFormat="1" applyFont="1" applyFill="1" applyBorder="1" applyAlignment="1">
      <x:alignment horizontal="center"/>
    </x:xf>
    <x:xf numFmtId="0" fontId="4" fillId="8" borderId="2" xfId="0" applyNumberFormat="1" applyFont="1" applyFill="1" applyBorder="1" applyAlignment="1">
      <x:alignment horizontal="center"/>
    </x:xf>
    <x:xf numFmtId="0" fontId="4" fillId="8" borderId="8" xfId="0" applyNumberFormat="1" applyFont="1" applyFill="1" applyBorder="1" applyAlignment="1">
      <x:alignment horizontal="center"/>
    </x:xf>
    <x:xf numFmtId="0" fontId="0" fillId="9" borderId="0" xfId="0" applyNumberFormat="1" applyFont="1" applyFill="1" applyBorder="1"/>
    <x:xf numFmtId="0" fontId="4" fillId="9" borderId="0" xfId="0" applyNumberFormat="1" applyFont="1" applyFill="1" applyBorder="1"/>
    <x:xf numFmtId="0" fontId="4" fillId="9" borderId="0" xfId="0" applyNumberFormat="1" applyFont="1" applyFill="1" applyBorder="1" applyAlignment="1">
      <x:alignment horizontal="center"/>
    </x:xf>
    <x:xf numFmtId="0" fontId="0" fillId="9" borderId="1" xfId="0" applyNumberFormat="1" applyFont="1" applyFill="1" applyBorder="1"/>
    <x:xf numFmtId="0" fontId="4" fillId="9" borderId="1" xfId="0" applyNumberFormat="1" applyFont="1" applyFill="1" applyBorder="1"/>
    <x:xf numFmtId="0" fontId="4" fillId="9" borderId="1" xfId="0" applyNumberFormat="1" applyFont="1" applyFill="1" applyBorder="1" applyAlignment="1">
      <x:alignment horizontal="center"/>
    </x:xf>
    <x:xf numFmtId="0" fontId="4" fillId="9" borderId="2" xfId="0" applyNumberFormat="1" applyFont="1" applyFill="1" applyBorder="1" applyAlignment="1">
      <x:alignment horizontal="center"/>
    </x:xf>
    <x:xf numFmtId="0" fontId="4" fillId="9" borderId="8" xfId="0" applyNumberFormat="1" applyFont="1" applyFill="1" applyBorder="1" applyAlignment="1">
      <x:alignment horizontal="center"/>
    </x:xf>
    <x:xf numFmtId="0" fontId="0" fillId="10" borderId="0" xfId="0" applyNumberFormat="1" applyFont="1" applyFill="1" applyBorder="1"/>
    <x:xf numFmtId="0" fontId="4" fillId="10" borderId="0" xfId="0" applyNumberFormat="1" applyFont="1" applyFill="1" applyBorder="1"/>
    <x:xf numFmtId="0" fontId="4" fillId="10" borderId="0" xfId="0" applyNumberFormat="1" applyFont="1" applyFill="1" applyBorder="1" applyAlignment="1">
      <x:alignment horizontal="center"/>
    </x:xf>
    <x:xf numFmtId="0" fontId="0" fillId="10" borderId="1" xfId="0" applyNumberFormat="1" applyFont="1" applyFill="1" applyBorder="1"/>
    <x:xf numFmtId="0" fontId="4" fillId="10" borderId="1" xfId="0" applyNumberFormat="1" applyFont="1" applyFill="1" applyBorder="1"/>
    <x:xf numFmtId="0" fontId="4" fillId="10" borderId="1" xfId="0" applyNumberFormat="1" applyFont="1" applyFill="1" applyBorder="1" applyAlignment="1">
      <x:alignment horizontal="center"/>
    </x:xf>
    <x:xf numFmtId="0" fontId="4" fillId="10" borderId="2" xfId="0" applyNumberFormat="1" applyFont="1" applyFill="1" applyBorder="1" applyAlignment="1">
      <x:alignment horizontal="center"/>
    </x:xf>
    <x:xf numFmtId="0" fontId="4" fillId="10" borderId="8" xfId="0" applyNumberFormat="1" applyFont="1" applyFill="1" applyBorder="1" applyAlignment="1">
      <x:alignment horizontal="center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center" wrapText="1"/>
    </x:xf>
    <x:xf numFmtId="0" fontId="0" fillId="0" borderId="20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21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22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11" xfId="0" applyNumberFormat="1" applyFont="1" applyFill="1" applyBorder="1" applyAlignment="1">
      <x:alignment vertical="center" wrapText="1"/>
    </x:xf>
    <x:xf numFmtId="0" fontId="0" fillId="0" borderId="12" xfId="0" applyNumberFormat="1" applyFont="1" applyFill="1" applyBorder="1" applyAlignment="1">
      <x:alignment vertical="center" wrapText="1"/>
    </x:xf>
    <x:xf numFmtId="0" fontId="0" fillId="0" borderId="23" xfId="0" applyNumberFormat="1" applyFont="1" applyFill="1" applyBorder="1" applyAlignment="1">
      <x:alignment vertical="center" wrapText="1"/>
    </x:xf>
    <x:xf numFmtId="0" fontId="0" fillId="0" borderId="13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2" fontId="0" fillId="0" borderId="5" xfId="0" applyNumberFormat="1" applyFont="1" applyFill="1" applyBorder="1" applyAlignment="1">
      <x:alignment wrapText="1"/>
    </x:xf>
    <x:xf numFmtId="201" fontId="0" fillId="0" borderId="21" xfId="0" applyNumberFormat="1" applyFont="1" applyFill="1" applyBorder="1" applyAlignment="1">
      <x:alignment wrapText="1"/>
    </x:xf>
    <x:xf numFmtId="202" fontId="0" fillId="0" borderId="21" xfId="0" applyNumberFormat="1" applyFont="1" applyFill="1" applyBorder="1" applyAlignment="1">
      <x:alignment wrapText="1"/>
    </x:xf>
    <x:xf numFmtId="202" fontId="0" fillId="0" borderId="7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2" fontId="0" fillId="0" borderId="11" xfId="0" applyNumberFormat="1" applyFont="1" applyFill="1" applyBorder="1" applyAlignment="1">
      <x:alignment wrapText="1"/>
    </x:xf>
    <x:xf numFmtId="201" fontId="0" fillId="0" borderId="23" xfId="0" applyNumberFormat="1" applyFont="1" applyFill="1" applyBorder="1" applyAlignment="1">
      <x:alignment wrapText="1"/>
    </x:xf>
    <x:xf numFmtId="202" fontId="0" fillId="0" borderId="23" xfId="0" applyNumberFormat="1" applyFont="1" applyFill="1" applyBorder="1" applyAlignment="1">
      <x:alignment wrapText="1"/>
    </x:xf>
    <x:xf numFmtId="202" fontId="0" fillId="0" borderId="13" xfId="0" applyNumberFormat="1" applyFont="1" applyFill="1" applyBorder="1" applyAlignment="1">
      <x:alignment wrapText="1"/>
    </x:xf>
    <x:xf numFmtId="0" fontId="0" fillId="0" borderId="21" xfId="0" applyNumberFormat="1" applyFont="1" applyFill="1" applyBorder="1" applyAlignment="1">
      <x:alignment wrapText="1"/>
    </x:xf>
    <x:xf numFmtId="0" fontId="0" fillId="0" borderId="23" xfId="0" applyNumberFormat="1" applyFont="1" applyFill="1" applyBorder="1" applyAlignment="1">
      <x:alignment wrapText="1"/>
    </x:xf>
    <x:xf numFmtId="0" fontId="4" fillId="3" borderId="2" xfId="0" applyNumberFormat="1" applyFont="1" applyFill="1" applyBorder="1" applyAlignment="1">
      <x:alignment horizontal="center" wrapText="1"/>
    </x:xf>
    <x:xf numFmtId="0" fontId="4" fillId="6" borderId="2" xfId="0" applyNumberFormat="1" applyFont="1" applyFill="1" applyBorder="1" applyAlignment="1">
      <x:alignment horizontal="center" wrapText="1"/>
    </x:xf>
    <x:xf numFmtId="0" fontId="4" fillId="7" borderId="2" xfId="0" applyNumberFormat="1" applyFont="1" applyFill="1" applyBorder="1" applyAlignment="1">
      <x:alignment horizontal="center" wrapText="1"/>
    </x:xf>
    <x:xf numFmtId="0" fontId="5" fillId="5" borderId="24" xfId="0" applyNumberFormat="1" applyFont="1" applyFill="1" applyBorder="1" applyAlignment="1">
      <x:alignment horizontal="center" wrapText="1"/>
    </x:xf>
    <x:xf numFmtId="0" fontId="4" fillId="8" borderId="2" xfId="0" applyNumberFormat="1" applyFont="1" applyFill="1" applyBorder="1" applyAlignment="1">
      <x:alignment horizontal="center" wrapText="1"/>
    </x:xf>
    <x:xf numFmtId="0" fontId="4" fillId="9" borderId="2" xfId="0" applyNumberFormat="1" applyFont="1" applyFill="1" applyBorder="1" applyAlignment="1">
      <x:alignment horizontal="center" wrapText="1"/>
    </x:xf>
    <x:xf numFmtId="0" fontId="4" fillId="10" borderId="2" xfId="0" applyNumberFormat="1" applyFont="1" applyFill="1" applyBorder="1" applyAlignment="1">
      <x:alignment horizontal="center" wrapText="1"/>
    </x:xf>
  </x:cellXfs>
  <x:cellStyles count="1">
    <x:cellStyle name="Normal" xfId="0"/>
  </x:cellStyles>
  <x:dxfs count="23">
    <x:dxf>
      <x:font>
        <x:color rgb="274E13"/>
      </x:font>
      <x:fill>
        <x:patternFill patternType="solid">
          <x:bgColor rgb="D9EAD3"/>
        </x:patternFill>
      </x:fill>
    </x:dxf>
    <x:dxf>
      <x:font>
        <x:color rgb="7F6000"/>
      </x:font>
      <x:fill>
        <x:patternFill patternType="solid">
          <x:bgColor rgb="FFF2CC"/>
        </x:patternFill>
      </x:fill>
    </x:dxf>
    <x:dxf>
      <x:font>
        <x:color rgb="990000"/>
      </x:font>
      <x:fill>
        <x:patternFill patternType="solid">
          <x:bgColor rgb="F4CCCC"/>
        </x:patternFill>
      </x:fill>
    </x:dxf>
    <x:dxf>
      <x:font>
        <x:color rgb="990000"/>
      </x:font>
      <x:fill>
        <x:patternFill patternType="solid">
          <x:bgColor rgb="F4CCCC"/>
        </x:patternFill>
      </x:fill>
    </x:dxf>
    <x:dxf>
      <x:font>
        <x:color rgb="7F6000"/>
      </x:font>
      <x:fill>
        <x:patternFill patternType="solid">
          <x:bgColor rgb="FFF2CC"/>
        </x:patternFill>
      </x:fill>
    </x:dxf>
    <x:dxf>
      <x:font>
        <x:color rgb="274E13"/>
      </x:font>
      <x:fill>
        <x:patternFill patternType="solid">
          <x:bgColor rgb="D9EAD3"/>
        </x:patternFill>
      </x:fill>
    </x:dxf>
    <x:dxf>
      <x:font>
        <x:color rgb="7F6000"/>
      </x:font>
      <x:fill>
        <x:patternFill patternType="solid">
          <x:bgColor rgb="FFF2CC"/>
        </x:patternFill>
      </x:fill>
    </x:dxf>
    <x:dxf>
      <x:font>
        <x:color rgb="990000"/>
      </x:font>
      <x:fill>
        <x:patternFill patternType="solid">
          <x:bgColor rgb="F4CCCC"/>
        </x:patternFill>
      </x:fill>
    </x:dxf>
    <x:dxf>
      <x:font>
        <x:color rgb="990000"/>
      </x:font>
      <x:fill>
        <x:patternFill patternType="solid">
          <x:bgColor rgb="F4CCCC"/>
        </x:patternFill>
      </x:fill>
    </x:dxf>
    <x:dxf>
      <x:font>
        <x:color rgb="7F6000"/>
      </x:font>
      <x:fill>
        <x:patternFill patternType="solid">
          <x:bgColor rgb="FFF2CC"/>
        </x:patternFill>
      </x:fill>
    </x:dxf>
    <x:dxf>
      <x:font>
        <x:color rgb="274E13"/>
      </x:font>
      <x:fill>
        <x:patternFill patternType="solid">
          <x:bgColor rgb="D9EAD3"/>
        </x:patternFill>
      </x:fill>
    </x:dxf>
    <x:dxf>
      <x:font>
        <x:color rgb="7F6000"/>
      </x:font>
      <x:fill>
        <x:patternFill patternType="solid">
          <x:bgColor rgb="FFF2CC"/>
        </x:patternFill>
      </x:fill>
    </x:dxf>
    <x:dxf>
      <x:font>
        <x:color rgb="990000"/>
      </x:font>
      <x:fill>
        <x:patternFill patternType="solid">
          <x:bgColor rgb="F4CCCC"/>
        </x:patternFill>
      </x:fill>
    </x:dxf>
    <x:dxf>
      <x:font>
        <x:color rgb="990000"/>
      </x:font>
      <x:fill>
        <x:patternFill patternType="solid">
          <x:bgColor rgb="F4CCCC"/>
        </x:patternFill>
      </x:fill>
    </x:dxf>
    <x:dxf>
      <x:font>
        <x:color rgb="7F6000"/>
      </x:font>
      <x:fill>
        <x:patternFill patternType="solid">
          <x:bgColor rgb="FFF2CC"/>
        </x:patternFill>
      </x:fill>
    </x:dxf>
    <x:dxf>
      <x:font>
        <x:color rgb="274E13"/>
      </x:font>
      <x:fill>
        <x:patternFill patternType="solid">
          <x:bgColor rgb="D9EAD3"/>
        </x:patternFill>
      </x:fill>
    </x:dxf>
    <x:dxf>
      <x:font>
        <x:color rgb="7F6000"/>
      </x:font>
      <x:fill>
        <x:patternFill patternType="solid">
          <x:bgColor rgb="FFF2CC"/>
        </x:patternFill>
      </x:fill>
    </x:dxf>
    <x:dxf>
      <x:font>
        <x:color rgb="990000"/>
      </x:font>
      <x:fill>
        <x:patternFill patternType="solid">
          <x:bgColor rgb="F4CCCC"/>
        </x:patternFill>
      </x:fill>
    </x:dxf>
    <x:dxf>
      <x:font>
        <x:color rgb="990000"/>
      </x:font>
      <x:fill>
        <x:patternFill patternType="solid">
          <x:bgColor rgb="F4CCCC"/>
        </x:patternFill>
      </x:fill>
    </x:dxf>
    <x:dxf>
      <x:font>
        <x:color rgb="7F6000"/>
      </x:font>
      <x:fill>
        <x:patternFill patternType="solid">
          <x:bgColor rgb="FFF2CC"/>
        </x:patternFill>
      </x:fill>
    </x:dxf>
    <x:dxf>
      <x:font>
        <x:color rgb="274E13"/>
      </x:font>
      <x:fill>
        <x:patternFill patternType="solid">
          <x:bgColor rgb="D9EAD3"/>
        </x:patternFill>
      </x:fill>
    </x:dxf>
    <x:dxf>
      <x:font>
        <x:color rgb="7F6000"/>
      </x:font>
      <x:fill>
        <x:patternFill patternType="solid">
          <x:bgColor rgb="FFF2CC"/>
        </x:patternFill>
      </x:fill>
    </x:dxf>
    <x:dxf>
      <x:font>
        <x:color rgb="990000"/>
      </x:font>
      <x:fill>
        <x:patternFill patternType="solid">
          <x:bgColor rgb="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543c24751e4ee3" /><Relationship Type="http://schemas.openxmlformats.org/officeDocument/2006/relationships/theme" Target="/xl/theme/theme1.xml" Id="Rdc14c28b340b4085" /><Relationship Type="http://schemas.openxmlformats.org/officeDocument/2006/relationships/sharedStrings" Target="/xl/sharedStrings.xml" Id="R80e41dff5cfb4123" /><Relationship Type="http://schemas.openxmlformats.org/officeDocument/2006/relationships/worksheet" Target="/xl/worksheets/sheet1.xml" Id="R9123b508a0974290" /><Relationship Type="http://schemas.openxmlformats.org/officeDocument/2006/relationships/worksheet" Target="/xl/worksheets/sheet2.xml" Id="Rb0b994fa19fb417a" /><Relationship Type="http://schemas.openxmlformats.org/officeDocument/2006/relationships/worksheet" Target="/xl/worksheets/sheet3.xml" Id="R10685b577a354c24" /><Relationship Type="http://schemas.openxmlformats.org/officeDocument/2006/relationships/worksheet" Target="/xl/worksheets/sheet4.xml" Id="Rd0d70d80c04c4e4c" /><Relationship Type="http://schemas.openxmlformats.org/officeDocument/2006/relationships/worksheet" Target="/xl/worksheets/sheet5.xml" Id="R16cf98fcce874480" /><Relationship Type="http://schemas.openxmlformats.org/officeDocument/2006/relationships/worksheet" Target="/xl/worksheets/sheet6.xml" Id="R0e322106e9464410" /><Relationship Type="http://schemas.openxmlformats.org/officeDocument/2006/relationships/worksheet" Target="/xl/worksheets/sheet7.xml" Id="R2141eab81ca34992" /><Relationship Type="http://schemas.openxmlformats.org/officeDocument/2006/relationships/worksheet" Target="/xl/worksheets/sheet8.xml" Id="R94054ae677da4f1d" /><Relationship Type="http://schemas.openxmlformats.org/officeDocument/2006/relationships/worksheet" Target="/xl/worksheets/sheet9.xml" Id="R444be5f1901843c3" /><Relationship Type="http://schemas.openxmlformats.org/officeDocument/2006/relationships/worksheet" Target="/xl/worksheets/sheet10.xml" Id="R468ce90d89754ecb" /><Relationship Type="http://schemas.openxmlformats.org/officeDocument/2006/relationships/worksheet" Target="/xl/worksheets/sheet11.xml" Id="R48911c76c5e24f3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8256e0e54864ce1" /><Relationship Type="http://schemas.openxmlformats.org/officeDocument/2006/relationships/chart" Target="/xl/drawings/charts/chart2.xml" Id="Rb997837ee4ba4f0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Comportamiento anual de exámenes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Total exámenes</c:v>
          </c:tx>
          <c:cat>
            <c:strRef>
              <c:f>'Dashboard'!$J$3:$J$6</c:f>
              <c:strCache>
                <c:ptCount val="0"/>
              </c:strCache>
            </c:strRef>
          </c:cat>
          <c:val>
            <c:numRef>
              <c:f>'Dashboard'!$K$3:$K$6</c:f>
              <c:numCache>
                <c:formatCode/>
                <c:ptCount val="0"/>
              </c:numCache>
            </c:numRef>
          </c:val>
        </c:ser>
        <c:ser>
          <c:idx val="1"/>
          <c:order val="1"/>
          <c:tx>
            <c:v>Vigentes</c:v>
          </c:tx>
          <c:cat>
            <c:strRef>
              <c:f>'Dashboard'!$J$3:$J$6</c:f>
              <c:strCache>
                <c:ptCount val="0"/>
              </c:strCache>
            </c:strRef>
          </c:cat>
          <c:val>
            <c:numRef>
              <c:f>'Dashboard'!$L$3:$L$6</c:f>
              <c:numCache>
                <c:formatCode/>
                <c:ptCount val="0"/>
              </c:numCache>
            </c:numRef>
          </c:val>
        </c:ser>
        <c:ser>
          <c:idx val="2"/>
          <c:order val="2"/>
          <c:tx>
            <c:v>Vencidos</c:v>
          </c:tx>
          <c:cat>
            <c:strRef>
              <c:f>'Dashboard'!$J$3:$J$6</c:f>
              <c:strCache>
                <c:ptCount val="0"/>
              </c:strCache>
            </c:strRef>
          </c:cat>
          <c:val>
            <c:numRef>
              <c:f>'Dashboard'!$M$3:$M$6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Distribución por resultado médico</a:t>
            </a:r>
          </a:p>
        </c:rich>
      </c:tx>
      <c:overlay val="0"/>
    </c:title>
    <c:autoTitleDeleted val="0"/>
    <c:plotArea>
      <c:layout/>
      <c:pieChart>
        <c:ser>
          <c:idx val="0"/>
          <c:order val="0"/>
          <c:tx>
            <c:v>Cantidad</c:v>
          </c:tx>
          <c:cat>
            <c:strRef>
              <c:f>'Dashboard'!$J$10:$J$12</c:f>
              <c:strCache>
                <c:ptCount val="0"/>
              </c:strCache>
            </c:strRef>
          </c:cat>
          <c:val>
            <c:numRef>
              <c:f>'Dashboard'!$K$10:$K$12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Chart>
    </c:plotArea>
    <c:legend>
      <c:legendPos val="r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17</xdr:row>
      <xdr:rowOff>0</xdr:rowOff>
    </xdr:from>
    <xdr:to>
      <xdr:col>17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8256e0e54864ce1"/>
        </a:graphicData>
      </a:graphic>
    </xdr:graphicFrame>
    <xdr:clientData/>
  </xdr:twoCellAnchor>
  <xdr:twoCellAnchor>
    <xdr:from>
      <xdr:col>9</xdr:col>
      <xdr:colOff>0</xdr:colOff>
      <xdr:row>34</xdr:row>
      <xdr:rowOff>0</xdr:rowOff>
    </xdr:from>
    <xdr:to>
      <xdr:col>16</xdr:col>
      <xdr:colOff>0</xdr:colOff>
      <xdr:row>50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997837ee4ba4f0e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EMO2023Table" displayName="EMO2023Table" ref="A1:V73" headerRowCount="1">
  <x:tableColumns count="22">
    <x:tableColumn id="1" name="Año"/>
    <x:tableColumn id="2" name="ID Registro"/>
    <x:tableColumn id="3" name="Fecha realización"/>
    <x:tableColumn id="4" name="Tipo de examen"/>
    <x:tableColumn id="5" name="Identificación"/>
    <x:tableColumn id="6" name="Nombre completo"/>
    <x:tableColumn id="7" name="Cargo"/>
    <x:tableColumn id="8" name="Sede"/>
    <x:tableColumn id="9" name="Área / Proceso"/>
    <x:tableColumn id="10" name="Proveedor / IPS"/>
    <x:tableColumn id="11" name="Resultado"/>
    <x:tableColumn id="12" name="Restricciones"/>
    <x:tableColumn id="13" name="Recomendaciones"/>
    <x:tableColumn id="14" name="Periodicidad (meses)"/>
    <x:tableColumn id="15" name="Fecha vencimiento próximo examen"/>
    <x:tableColumn id="16" name="Diagnóstico general"/>
    <x:tableColumn id="17" name="¿Requiere seguimiento especial?"/>
    <x:tableColumn id="18" name="Tipo de seguimiento"/>
    <x:tableColumn id="19" name="Fecha próximo seguimiento"/>
    <x:tableColumn id="20" name="Estado"/>
    <x:tableColumn id="21" name="Responsable de gestión"/>
    <x:tableColumn id="22" name="Observaciones"/>
  </x:tableColumns>
  <x:tableStyleInfo name="TableStyleMedium2" showRowStripes="1"/>
</x:table>
</file>

<file path=xl/tables/table2.xml><?xml version="1.0" encoding="utf-8"?>
<x:table xmlns:x="http://schemas.openxmlformats.org/spreadsheetml/2006/main" id="2" name="EMO2024Table" displayName="EMO2024Table" ref="A1:V79" headerRowCount="1">
  <x:tableColumns count="22">
    <x:tableColumn id="1" name="Año"/>
    <x:tableColumn id="2" name="ID Registro"/>
    <x:tableColumn id="3" name="Fecha realización"/>
    <x:tableColumn id="4" name="Tipo de examen"/>
    <x:tableColumn id="5" name="Identificación"/>
    <x:tableColumn id="6" name="Nombre completo"/>
    <x:tableColumn id="7" name="Cargo"/>
    <x:tableColumn id="8" name="Sede"/>
    <x:tableColumn id="9" name="Área / Proceso"/>
    <x:tableColumn id="10" name="Proveedor / IPS"/>
    <x:tableColumn id="11" name="Resultado"/>
    <x:tableColumn id="12" name="Restricciones"/>
    <x:tableColumn id="13" name="Recomendaciones"/>
    <x:tableColumn id="14" name="Periodicidad (meses)"/>
    <x:tableColumn id="15" name="Fecha vencimiento próximo examen"/>
    <x:tableColumn id="16" name="Diagnóstico general"/>
    <x:tableColumn id="17" name="¿Requiere seguimiento especial?"/>
    <x:tableColumn id="18" name="Tipo de seguimiento"/>
    <x:tableColumn id="19" name="Fecha próximo seguimiento"/>
    <x:tableColumn id="20" name="Estado"/>
    <x:tableColumn id="21" name="Responsable de gestión"/>
    <x:tableColumn id="22" name="Observaciones"/>
  </x:tableColumns>
  <x:tableStyleInfo name="TableStyleMedium2" showRowStripes="1"/>
</x:table>
</file>

<file path=xl/tables/table3.xml><?xml version="1.0" encoding="utf-8"?>
<x:table xmlns:x="http://schemas.openxmlformats.org/spreadsheetml/2006/main" id="3" name="EMO2025Table" displayName="EMO2025Table" ref="A1:V87" headerRowCount="1">
  <x:tableColumns count="22">
    <x:tableColumn id="1" name="Año"/>
    <x:tableColumn id="2" name="ID Registro"/>
    <x:tableColumn id="3" name="Fecha realización"/>
    <x:tableColumn id="4" name="Tipo de examen"/>
    <x:tableColumn id="5" name="Identificación"/>
    <x:tableColumn id="6" name="Nombre completo"/>
    <x:tableColumn id="7" name="Cargo"/>
    <x:tableColumn id="8" name="Sede"/>
    <x:tableColumn id="9" name="Área / Proceso"/>
    <x:tableColumn id="10" name="Proveedor / IPS"/>
    <x:tableColumn id="11" name="Resultado"/>
    <x:tableColumn id="12" name="Restricciones"/>
    <x:tableColumn id="13" name="Recomendaciones"/>
    <x:tableColumn id="14" name="Periodicidad (meses)"/>
    <x:tableColumn id="15" name="Fecha vencimiento próximo examen"/>
    <x:tableColumn id="16" name="Diagnóstico general"/>
    <x:tableColumn id="17" name="¿Requiere seguimiento especial?"/>
    <x:tableColumn id="18" name="Tipo de seguimiento"/>
    <x:tableColumn id="19" name="Fecha próximo seguimiento"/>
    <x:tableColumn id="20" name="Estado"/>
    <x:tableColumn id="21" name="Responsable de gestión"/>
    <x:tableColumn id="22" name="Observaciones"/>
  </x:tableColumns>
  <x:tableStyleInfo name="TableStyleMedium2" showRowStripes="1"/>
</x:table>
</file>

<file path=xl/tables/table4.xml><?xml version="1.0" encoding="utf-8"?>
<x:table xmlns:x="http://schemas.openxmlformats.org/spreadsheetml/2006/main" id="4" name="EMO2026Table" displayName="EMO2026Table" ref="A1:V43" headerRowCount="1">
  <x:tableColumns count="22">
    <x:tableColumn id="1" name="Año"/>
    <x:tableColumn id="2" name="ID Registro"/>
    <x:tableColumn id="3" name="Fecha realización"/>
    <x:tableColumn id="4" name="Tipo de examen"/>
    <x:tableColumn id="5" name="Identificación"/>
    <x:tableColumn id="6" name="Nombre completo"/>
    <x:tableColumn id="7" name="Cargo"/>
    <x:tableColumn id="8" name="Sede"/>
    <x:tableColumn id="9" name="Área / Proceso"/>
    <x:tableColumn id="10" name="Proveedor / IPS"/>
    <x:tableColumn id="11" name="Resultado"/>
    <x:tableColumn id="12" name="Restricciones"/>
    <x:tableColumn id="13" name="Recomendaciones"/>
    <x:tableColumn id="14" name="Periodicidad (meses)"/>
    <x:tableColumn id="15" name="Fecha vencimiento próximo examen"/>
    <x:tableColumn id="16" name="Diagnóstico general"/>
    <x:tableColumn id="17" name="¿Requiere seguimiento especial?"/>
    <x:tableColumn id="18" name="Tipo de seguimiento"/>
    <x:tableColumn id="19" name="Fecha próximo seguimiento"/>
    <x:tableColumn id="20" name="Estado"/>
    <x:tableColumn id="21" name="Responsable de gestión"/>
    <x:tableColumn id="22" name="Observaciones"/>
  </x:tableColumns>
  <x:tableStyleInfo name="TableStyleMedium2" showRowStripes="1"/>
</x:table>
</file>

<file path=xl/tables/table5.xml><?xml version="1.0" encoding="utf-8"?>
<x:table xmlns:x="http://schemas.openxmlformats.org/spreadsheetml/2006/main" id="5" name="ConsolidadoEMOTable" displayName="ConsolidadoEMOTable" ref="A1:V279" headerRowCount="1">
  <x:tableColumns count="22">
    <x:tableColumn id="1" name="Año"/>
    <x:tableColumn id="2" name="ID Registro"/>
    <x:tableColumn id="3" name="Fecha realización"/>
    <x:tableColumn id="4" name="Tipo de examen"/>
    <x:tableColumn id="5" name="Identificación"/>
    <x:tableColumn id="6" name="Nombre completo"/>
    <x:tableColumn id="7" name="Cargo"/>
    <x:tableColumn id="8" name="Sede"/>
    <x:tableColumn id="9" name="Área / Proceso"/>
    <x:tableColumn id="10" name="Proveedor / IPS"/>
    <x:tableColumn id="11" name="Resultado"/>
    <x:tableColumn id="12" name="Restricciones"/>
    <x:tableColumn id="13" name="Recomendaciones"/>
    <x:tableColumn id="14" name="Periodicidad (meses)"/>
    <x:tableColumn id="15" name="Fecha vencimiento próximo examen"/>
    <x:tableColumn id="16" name="Diagnóstico general"/>
    <x:tableColumn id="17" name="¿Requiere seguimiento especial?"/>
    <x:tableColumn id="18" name="Tipo de seguimiento"/>
    <x:tableColumn id="19" name="Fecha próximo seguimiento"/>
    <x:tableColumn id="20" name="Estado"/>
    <x:tableColumn id="21" name="Responsable de gestión"/>
    <x:tableColumn id="22" name="Observaciones"/>
  </x:tableColumns>
  <x:tableStyleInfo name="TableStyleMedium2" showRowStripes="1"/>
</x:table>
</file>

<file path=xl/tables/table6.xml><?xml version="1.0" encoding="utf-8"?>
<x:table xmlns:x="http://schemas.openxmlformats.org/spreadsheetml/2006/main" id="6" name="ResumenAnualTable" displayName="ResumenAnualTable" ref="A3:K7" headerRowCount="1">
  <x:tableColumns count="11">
    <x:tableColumn id="1" name="Año"/>
    <x:tableColumn id="2" name="Total exámenes"/>
    <x:tableColumn id="3" name="Apto"/>
    <x:tableColumn id="4" name="Apto con restricciones"/>
    <x:tableColumn id="5" name="No apto"/>
    <x:tableColumn id="6" name="Con seguimiento"/>
    <x:tableColumn id="7" name="Vigente"/>
    <x:tableColumn id="8" name="Próximo a vencer"/>
    <x:tableColumn id="9" name="Vencido"/>
    <x:tableColumn id="10" name="% Apto"/>
    <x:tableColumn id="11" name="% Cobertura seguimiento"/>
  </x:tableColumns>
  <x:tableStyleInfo name="TableStyleMedium2" showRowStripes="1"/>
</x:table>
</file>

<file path=xl/tables/table7.xml><?xml version="1.0" encoding="utf-8"?>
<x:table xmlns:x="http://schemas.openxmlformats.org/spreadsheetml/2006/main" id="7" name="ResumenSedesTable" displayName="ResumenSedesTable" ref="A3:G14" headerRowCount="1">
  <x:tableColumns count="7">
    <x:tableColumn id="1" name="Sede"/>
    <x:tableColumn id="2" name="Total exámenes"/>
    <x:tableColumn id="3" name="Apto"/>
    <x:tableColumn id="4" name="Restricciones"/>
    <x:tableColumn id="5" name="No apto"/>
    <x:tableColumn id="6" name="Seguimiento"/>
    <x:tableColumn id="7" name="Vencido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1.xml" Id="Raebf450aa8a0485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2.xml" Id="R67a8be3ab1a0496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3.xml" Id="Rac86e681227442c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4.xml" Id="Rc48dbe29bb5f42e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5.xml" Id="Re11b426321c846a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6.xml" Id="R5d789e32052f47ff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7.xml" Id="Rb9bc51cbdc6a4a4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drawing" Target="/xl/drawings/drawing1.xml" Id="R30e3e1badfdc4802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</x:cols>
  <x:sheetData>
    <x:row r="1" ht="28" customHeight="1">
      <x:c r="A1" s="38" t="str">
        <x:v>Matriz de Seguimiento a Exámenes Médicos Ocupacionales (EMO) — 2023 a 2026 corte junio 2026</x:v>
      </x:c>
      <x:c r="B1" s="39"/>
      <x:c r="C1" s="39"/>
      <x:c r="D1" s="39"/>
      <x:c r="E1" s="39"/>
      <x:c r="F1" s="39"/>
      <x:c r="G1" s="39"/>
      <x:c r="H1" s="39"/>
      <x:c r="I1" s="39"/>
      <x:c r="J1" s="39"/>
      <x:c r="K1" s="39"/>
      <x:c r="L1" s="39"/>
      <x:c r="M1" s="39"/>
      <x:c r="N1" s="39"/>
      <x:c r="O1" s="39"/>
      <x:c r="P1" s="39"/>
      <x:c r="Q1" s="39"/>
      <x:c r="R1" s="39"/>
      <x:c r="S1" s="39"/>
      <x:c r="T1" s="39"/>
      <x:c r="U1" s="39"/>
      <x:c r="V1" s="39"/>
    </x:row>
    <x:row r="2">
      <x:c r="A2" s="39"/>
      <x:c r="B2" s="39"/>
      <x:c r="C2" s="39"/>
      <x:c r="D2" s="39"/>
      <x:c r="E2" s="39"/>
      <x:c r="F2" s="39"/>
      <x:c r="G2" s="39"/>
      <x:c r="H2" s="39"/>
      <x:c r="I2" s="39"/>
      <x:c r="J2" s="39"/>
      <x:c r="K2" s="39"/>
      <x:c r="L2" s="39"/>
      <x:c r="M2" s="39"/>
      <x:c r="N2" s="39"/>
      <x:c r="O2" s="39"/>
      <x:c r="P2" s="39"/>
      <x:c r="Q2" s="39"/>
      <x:c r="R2" s="39"/>
      <x:c r="S2" s="39"/>
      <x:c r="T2" s="39"/>
      <x:c r="U2" s="39"/>
      <x:c r="V2" s="39"/>
    </x:row>
    <x:row r="3">
      <x:c r="A3" s="20" t="str">
        <x:v>Campo</x:v>
      </x:c>
      <x:c r="B3" s="21" t="str">
        <x:v>Descripción</x:v>
      </x:c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  <x:c r="O3" s="39"/>
      <x:c r="P3" s="39"/>
      <x:c r="Q3" s="39"/>
      <x:c r="R3" s="39"/>
      <x:c r="S3" s="39"/>
      <x:c r="T3" s="39"/>
      <x:c r="U3" s="39"/>
      <x:c r="V3" s="39"/>
    </x:row>
    <x:row r="4">
      <x:c r="A4" s="40" t="str">
        <x:v>Fecha de corte</x:v>
      </x:c>
      <x:c r="B4" s="41" t="n">
        <x:v>46177</x:v>
      </x:c>
      <x:c r="C4" s="39"/>
      <x:c r="D4" s="39"/>
      <x:c r="E4" s="39"/>
      <x:c r="F4" s="39"/>
      <x:c r="G4" s="39"/>
      <x:c r="H4" s="39"/>
      <x:c r="I4" s="39"/>
      <x:c r="J4" s="39"/>
      <x:c r="K4" s="39"/>
      <x:c r="L4" s="39"/>
      <x:c r="M4" s="39"/>
      <x:c r="N4" s="39"/>
      <x:c r="O4" s="39"/>
      <x:c r="P4" s="39"/>
      <x:c r="Q4" s="39"/>
      <x:c r="R4" s="39"/>
      <x:c r="S4" s="39"/>
      <x:c r="T4" s="39"/>
      <x:c r="U4" s="39"/>
      <x:c r="V4" s="39"/>
    </x:row>
    <x:row r="5" ht="30" customHeight="1">
      <x:c r="A5" s="40" t="str">
        <x:v>Objetivo</x:v>
      </x:c>
      <x:c r="B5" s="42" t="str">
        <x:v>Controlar la ejecución y vigencia de exámenes médicos ocupacionales del personal de una empresa del sector vigilancia y seguridad privada.</x:v>
      </x:c>
      <x:c r="C5" s="39"/>
      <x:c r="D5" s="39"/>
      <x:c r="E5" s="39"/>
      <x:c r="F5" s="39"/>
      <x:c r="G5" s="39"/>
      <x:c r="H5" s="39"/>
      <x:c r="I5" s="39"/>
      <x:c r="J5" s="39"/>
      <x:c r="K5" s="39"/>
      <x:c r="L5" s="39"/>
      <x:c r="M5" s="39"/>
      <x:c r="N5" s="39"/>
      <x:c r="O5" s="39"/>
      <x:c r="P5" s="39"/>
      <x:c r="Q5" s="39"/>
      <x:c r="R5" s="39"/>
      <x:c r="S5" s="39"/>
      <x:c r="T5" s="39"/>
      <x:c r="U5" s="39"/>
      <x:c r="V5" s="39"/>
    </x:row>
    <x:row r="6" ht="30" customHeight="1">
      <x:c r="A6" s="40" t="str">
        <x:v>Cobertura temporal</x:v>
      </x:c>
      <x:c r="B6" s="42" t="str">
        <x:v>Datos simulados 2023, 2024, 2025 y 2026 con corte al 2026-06-04.</x:v>
      </x:c>
      <x:c r="C6" s="39"/>
      <x:c r="D6" s="39"/>
      <x:c r="E6" s="39"/>
      <x:c r="F6" s="39"/>
      <x:c r="G6" s="39"/>
      <x:c r="H6" s="39"/>
      <x:c r="I6" s="39"/>
      <x:c r="J6" s="39"/>
      <x:c r="K6" s="39"/>
      <x:c r="L6" s="39"/>
      <x:c r="M6" s="39"/>
      <x:c r="N6" s="39"/>
      <x:c r="O6" s="39"/>
      <x:c r="P6" s="39"/>
      <x:c r="Q6" s="39"/>
      <x:c r="R6" s="39"/>
      <x:c r="S6" s="39"/>
      <x:c r="T6" s="39"/>
      <x:c r="U6" s="39"/>
      <x:c r="V6" s="39"/>
    </x:row>
    <x:row r="7" ht="30" customHeight="1">
      <x:c r="A7" s="40" t="str">
        <x:v>Uso sugerido</x:v>
      </x:c>
      <x:c r="B7" s="42" t="str">
        <x:v>Seguimiento SST, alertas de vencimiento, cobertura por sede, análisis por resultado médico y necesidad de seguimiento.</x:v>
      </x:c>
      <x:c r="C7" s="39"/>
      <x:c r="D7" s="39"/>
      <x:c r="E7" s="39"/>
      <x:c r="F7" s="39"/>
      <x:c r="G7" s="39"/>
      <x:c r="H7" s="39"/>
      <x:c r="I7" s="39"/>
      <x:c r="J7" s="39"/>
      <x:c r="K7" s="39"/>
      <x:c r="L7" s="39"/>
      <x:c r="M7" s="39"/>
      <x:c r="N7" s="39"/>
      <x:c r="O7" s="39"/>
      <x:c r="P7" s="39"/>
      <x:c r="Q7" s="39"/>
      <x:c r="R7" s="39"/>
      <x:c r="S7" s="39"/>
      <x:c r="T7" s="39"/>
      <x:c r="U7" s="39"/>
      <x:c r="V7" s="39"/>
    </x:row>
    <x:row r="8" ht="30" customHeight="1">
      <x:c r="A8" s="43" t="str">
        <x:v>Notas</x:v>
      </x:c>
      <x:c r="B8" s="44" t="str">
        <x:v>La columna 'Estado' se calcula automáticamente con base en la fecha de corte y la fecha de vencimiento del próximo examen.</x:v>
      </x:c>
      <x:c r="C8" s="39"/>
      <x:c r="D8" s="39"/>
      <x:c r="E8" s="39"/>
      <x:c r="F8" s="39"/>
      <x:c r="G8" s="39"/>
      <x:c r="H8" s="39"/>
      <x:c r="I8" s="39"/>
      <x:c r="J8" s="39"/>
      <x:c r="K8" s="39"/>
      <x:c r="L8" s="39"/>
      <x:c r="M8" s="39"/>
      <x:c r="N8" s="39"/>
      <x:c r="O8" s="39"/>
      <x:c r="P8" s="39"/>
      <x:c r="Q8" s="39"/>
      <x:c r="R8" s="39"/>
      <x:c r="S8" s="39"/>
      <x:c r="T8" s="39"/>
      <x:c r="U8" s="39"/>
      <x:c r="V8" s="39"/>
    </x:row>
    <x:row r="9">
      <x:c r="A9" s="39"/>
      <x:c r="B9" s="39"/>
      <x:c r="C9" s="39"/>
      <x:c r="D9" s="39"/>
      <x:c r="E9" s="39"/>
      <x:c r="F9" s="39"/>
      <x:c r="G9" s="39"/>
      <x:c r="H9" s="39"/>
      <x:c r="I9" s="39"/>
      <x:c r="J9" s="39"/>
      <x:c r="K9" s="39"/>
      <x:c r="L9" s="39"/>
      <x:c r="M9" s="39"/>
      <x:c r="N9" s="39"/>
      <x:c r="O9" s="39"/>
      <x:c r="P9" s="39"/>
      <x:c r="Q9" s="39"/>
      <x:c r="R9" s="39"/>
      <x:c r="S9" s="39"/>
      <x:c r="T9" s="39"/>
      <x:c r="U9" s="39"/>
      <x:c r="V9" s="39"/>
    </x:row>
    <x:row r="10">
      <x:c r="A10" s="39"/>
      <x:c r="B10" s="39"/>
      <x:c r="C10" s="39"/>
      <x:c r="D10" s="14" t="str">
        <x:v>Semáforo de estado</x:v>
      </x:c>
      <x:c r="E10" s="39"/>
      <x:c r="F10" s="39"/>
      <x:c r="G10" s="39"/>
      <x:c r="H10" s="39"/>
      <x:c r="I10" s="39"/>
      <x:c r="J10" s="39"/>
      <x:c r="K10" s="39"/>
      <x:c r="L10" s="39"/>
      <x:c r="M10" s="39"/>
      <x:c r="N10" s="39"/>
      <x:c r="O10" s="39"/>
      <x:c r="P10" s="39"/>
      <x:c r="Q10" s="39"/>
      <x:c r="R10" s="39"/>
      <x:c r="S10" s="39"/>
      <x:c r="T10" s="39"/>
      <x:c r="U10" s="39"/>
      <x:c r="V10" s="39"/>
    </x:row>
    <x:row r="11">
      <x:c r="A11" s="39"/>
      <x:c r="B11" s="39"/>
      <x:c r="C11" s="39"/>
      <x:c r="D11" s="45" t="str">
        <x:v>Estado</x:v>
      </x:c>
      <x:c r="E11" s="46" t="str">
        <x:v>Criterio</x:v>
      </x:c>
      <x:c r="F11" s="39" t="str"/>
      <x:c r="G11" s="39" t="str"/>
      <x:c r="H11" s="39"/>
      <x:c r="I11" s="39"/>
      <x:c r="J11" s="39"/>
      <x:c r="K11" s="39"/>
      <x:c r="L11" s="39"/>
      <x:c r="M11" s="39"/>
      <x:c r="N11" s="39"/>
      <x:c r="O11" s="39"/>
      <x:c r="P11" s="39"/>
      <x:c r="Q11" s="39"/>
      <x:c r="R11" s="39"/>
      <x:c r="S11" s="39"/>
      <x:c r="T11" s="39"/>
      <x:c r="U11" s="39"/>
      <x:c r="V11" s="39"/>
    </x:row>
    <x:row r="12">
      <x:c r="A12" s="39"/>
      <x:c r="B12" s="39"/>
      <x:c r="C12" s="39"/>
      <x:c r="D12" s="40" t="str">
        <x:v>Vigente</x:v>
      </x:c>
      <x:c r="E12" s="42" t="str">
        <x:v>Fecha de vencimiento superior a 30 días desde la fecha de corte</x:v>
      </x:c>
      <x:c r="F12" s="39" t="str"/>
      <x:c r="G12" s="39" t="str"/>
      <x:c r="H12" s="39"/>
      <x:c r="I12" s="39"/>
      <x:c r="J12" s="39"/>
      <x:c r="K12" s="39"/>
      <x:c r="L12" s="39"/>
      <x:c r="M12" s="39"/>
      <x:c r="N12" s="39"/>
      <x:c r="O12" s="39"/>
      <x:c r="P12" s="39"/>
      <x:c r="Q12" s="39"/>
      <x:c r="R12" s="39"/>
      <x:c r="S12" s="39"/>
      <x:c r="T12" s="39"/>
      <x:c r="U12" s="39"/>
      <x:c r="V12" s="39"/>
    </x:row>
    <x:row r="13">
      <x:c r="A13" s="39"/>
      <x:c r="B13" s="39"/>
      <x:c r="C13" s="39"/>
      <x:c r="D13" s="40" t="str">
        <x:v>Próximo a vencer</x:v>
      </x:c>
      <x:c r="E13" s="42" t="str">
        <x:v>Fecha de vencimiento entre la fecha de corte y 30 días después</x:v>
      </x:c>
      <x:c r="F13" s="39" t="str"/>
      <x:c r="G13" s="39" t="str"/>
      <x:c r="H13" s="39"/>
      <x:c r="I13" s="39"/>
      <x:c r="J13" s="39"/>
      <x:c r="K13" s="39"/>
      <x:c r="L13" s="39"/>
      <x:c r="M13" s="39"/>
      <x:c r="N13" s="39"/>
      <x:c r="O13" s="39"/>
      <x:c r="P13" s="39"/>
      <x:c r="Q13" s="39"/>
      <x:c r="R13" s="39"/>
      <x:c r="S13" s="39"/>
      <x:c r="T13" s="39"/>
      <x:c r="U13" s="39"/>
      <x:c r="V13" s="39"/>
    </x:row>
    <x:row r="14">
      <x:c r="A14" s="39"/>
      <x:c r="B14" s="39"/>
      <x:c r="C14" s="39"/>
      <x:c r="D14" s="43" t="str">
        <x:v>Vencido</x:v>
      </x:c>
      <x:c r="E14" s="44" t="str">
        <x:v>Fecha de vencimiento anterior a la fecha de corte</x:v>
      </x:c>
      <x:c r="F14" s="39" t="str"/>
      <x:c r="G14" s="39" t="str"/>
      <x:c r="H14" s="39"/>
      <x:c r="I14" s="39"/>
      <x:c r="J14" s="39"/>
      <x:c r="K14" s="39"/>
      <x:c r="L14" s="39"/>
      <x:c r="M14" s="39"/>
      <x:c r="N14" s="39"/>
      <x:c r="O14" s="39"/>
      <x:c r="P14" s="39"/>
      <x:c r="Q14" s="39"/>
      <x:c r="R14" s="39"/>
      <x:c r="S14" s="39"/>
      <x:c r="T14" s="39"/>
      <x:c r="U14" s="39"/>
      <x:c r="V14" s="39"/>
    </x:row>
    <x:row r="15">
      <x:c r="A15" s="39"/>
      <x:c r="B15" s="39"/>
      <x:c r="C15" s="39"/>
      <x:c r="D15" s="39"/>
      <x:c r="E15" s="39"/>
      <x:c r="F15" s="39"/>
      <x:c r="G15" s="39"/>
      <x:c r="H15" s="39"/>
      <x:c r="I15" s="39"/>
      <x:c r="J15" s="39"/>
      <x:c r="K15" s="39"/>
      <x:c r="L15" s="39"/>
      <x:c r="M15" s="39"/>
      <x:c r="N15" s="39"/>
      <x:c r="O15" s="39"/>
      <x:c r="P15" s="39"/>
      <x:c r="Q15" s="39"/>
      <x:c r="R15" s="39"/>
      <x:c r="S15" s="39"/>
      <x:c r="T15" s="39"/>
      <x:c r="U15" s="39"/>
      <x:c r="V15" s="39"/>
    </x:row>
    <x:row r="16">
      <x:c r="A16" s="39"/>
      <x:c r="B16" s="39"/>
      <x:c r="C16" s="39"/>
      <x:c r="D16" s="39"/>
      <x:c r="E16" s="39"/>
      <x:c r="F16" s="39"/>
      <x:c r="G16" s="39"/>
      <x:c r="H16" s="39"/>
      <x:c r="I16" s="39"/>
      <x:c r="J16" s="39"/>
      <x:c r="K16" s="39"/>
      <x:c r="L16" s="39"/>
      <x:c r="M16" s="39"/>
      <x:c r="N16" s="39"/>
      <x:c r="O16" s="39"/>
      <x:c r="P16" s="39"/>
      <x:c r="Q16" s="39"/>
      <x:c r="R16" s="39"/>
      <x:c r="S16" s="39"/>
      <x:c r="T16" s="39"/>
      <x:c r="U16" s="39"/>
      <x:c r="V16" s="39"/>
    </x:row>
    <x:row r="17">
      <x:c r="A17" s="39"/>
      <x:c r="B17" s="39"/>
      <x:c r="C17" s="39"/>
      <x:c r="D17" s="39"/>
      <x:c r="E17" s="39"/>
      <x:c r="F17" s="39"/>
      <x:c r="G17" s="39"/>
      <x:c r="H17" s="39"/>
      <x:c r="I17" s="39"/>
      <x:c r="J17" s="39"/>
      <x:c r="K17" s="39"/>
      <x:c r="L17" s="39"/>
      <x:c r="M17" s="39"/>
      <x:c r="N17" s="39"/>
      <x:c r="O17" s="39"/>
      <x:c r="P17" s="39"/>
      <x:c r="Q17" s="39"/>
      <x:c r="R17" s="39"/>
      <x:c r="S17" s="39"/>
      <x:c r="T17" s="39"/>
      <x:c r="U17" s="39"/>
      <x:c r="V17" s="39"/>
    </x:row>
    <x:row r="18">
      <x:c r="A18" s="39"/>
      <x:c r="B18" s="39"/>
      <x:c r="C18" s="39"/>
      <x:c r="D18" s="39"/>
      <x:c r="E18" s="39"/>
      <x:c r="F18" s="39"/>
      <x:c r="G18" s="39"/>
      <x:c r="H18" s="39"/>
      <x:c r="I18" s="39"/>
      <x:c r="J18" s="39"/>
      <x:c r="K18" s="39"/>
      <x:c r="L18" s="39"/>
      <x:c r="M18" s="39"/>
      <x:c r="N18" s="39"/>
      <x:c r="O18" s="39"/>
      <x:c r="P18" s="39"/>
      <x:c r="Q18" s="39"/>
      <x:c r="R18" s="39"/>
      <x:c r="S18" s="39"/>
      <x:c r="T18" s="39"/>
      <x:c r="U18" s="39"/>
      <x:c r="V18" s="39"/>
    </x:row>
    <x:row r="19">
      <x:c r="A19" s="39"/>
      <x:c r="B19" s="39"/>
      <x:c r="C19" s="39"/>
      <x:c r="D19" s="39"/>
      <x:c r="E19" s="39"/>
      <x:c r="F19" s="39"/>
      <x:c r="G19" s="39"/>
      <x:c r="H19" s="39"/>
      <x:c r="I19" s="39"/>
      <x:c r="J19" s="39"/>
      <x:c r="K19" s="39"/>
      <x:c r="L19" s="39"/>
      <x:c r="M19" s="39"/>
      <x:c r="N19" s="39"/>
      <x:c r="O19" s="39"/>
      <x:c r="P19" s="39"/>
      <x:c r="Q19" s="39"/>
      <x:c r="R19" s="39"/>
      <x:c r="S19" s="39"/>
      <x:c r="T19" s="39"/>
      <x:c r="U19" s="39"/>
      <x:c r="V19" s="39"/>
    </x:row>
    <x:row r="20">
      <x:c r="A20" s="39"/>
      <x:c r="B20" s="39"/>
      <x:c r="C20" s="39"/>
      <x:c r="D20" s="39"/>
      <x:c r="E20" s="39"/>
      <x:c r="F20" s="39"/>
      <x:c r="G20" s="39"/>
      <x:c r="H20" s="39"/>
      <x:c r="I20" s="39"/>
      <x:c r="J20" s="39"/>
      <x:c r="K20" s="39"/>
      <x:c r="L20" s="39"/>
      <x:c r="M20" s="39"/>
      <x:c r="N20" s="39"/>
      <x:c r="O20" s="39"/>
      <x:c r="P20" s="39"/>
      <x:c r="Q20" s="39"/>
      <x:c r="R20" s="39"/>
      <x:c r="S20" s="39"/>
      <x:c r="T20" s="39"/>
      <x:c r="U20" s="39"/>
      <x:c r="V20" s="39"/>
    </x:row>
    <x:row r="21">
      <x:c r="A21" s="39"/>
      <x:c r="B21" s="39"/>
      <x:c r="C21" s="39"/>
      <x:c r="D21" s="39"/>
      <x:c r="E21" s="39"/>
      <x:c r="F21" s="39"/>
      <x:c r="G21" s="39"/>
      <x:c r="H21" s="39"/>
      <x:c r="I21" s="39"/>
      <x:c r="J21" s="39"/>
      <x:c r="K21" s="39"/>
      <x:c r="L21" s="39"/>
      <x:c r="M21" s="39"/>
      <x:c r="N21" s="39"/>
      <x:c r="O21" s="39"/>
      <x:c r="P21" s="39"/>
      <x:c r="Q21" s="39"/>
      <x:c r="R21" s="39"/>
      <x:c r="S21" s="39"/>
      <x:c r="T21" s="39"/>
      <x:c r="U21" s="39"/>
      <x:c r="V21" s="39"/>
    </x:row>
    <x:row r="22">
      <x:c r="A22" s="39"/>
      <x:c r="B22" s="39"/>
      <x:c r="C22" s="39"/>
      <x:c r="D22" s="39"/>
      <x:c r="E22" s="39"/>
      <x:c r="F22" s="39"/>
      <x:c r="G22" s="39"/>
      <x:c r="H22" s="39"/>
      <x:c r="I22" s="39"/>
      <x:c r="J22" s="39"/>
      <x:c r="K22" s="39"/>
      <x:c r="L22" s="39"/>
      <x:c r="M22" s="39"/>
      <x:c r="N22" s="39"/>
      <x:c r="O22" s="39"/>
      <x:c r="P22" s="39"/>
      <x:c r="Q22" s="39"/>
      <x:c r="R22" s="39"/>
      <x:c r="S22" s="39"/>
      <x:c r="T22" s="39"/>
      <x:c r="U22" s="39"/>
      <x:c r="V22" s="39"/>
    </x:row>
    <x:row r="23">
      <x:c r="A23" s="39"/>
      <x:c r="B23" s="39"/>
      <x:c r="C23" s="39"/>
      <x:c r="D23" s="39"/>
      <x:c r="E23" s="39"/>
      <x:c r="F23" s="39"/>
      <x:c r="G23" s="39"/>
      <x:c r="H23" s="39"/>
      <x:c r="I23" s="39"/>
      <x:c r="J23" s="39"/>
      <x:c r="K23" s="39"/>
      <x:c r="L23" s="39"/>
      <x:c r="M23" s="39"/>
      <x:c r="N23" s="39"/>
      <x:c r="O23" s="39"/>
      <x:c r="P23" s="39"/>
      <x:c r="Q23" s="39"/>
      <x:c r="R23" s="39"/>
      <x:c r="S23" s="39"/>
      <x:c r="T23" s="39"/>
      <x:c r="U23" s="39"/>
      <x:c r="V23" s="39"/>
    </x:row>
    <x:row r="24">
      <x:c r="A24" s="39"/>
      <x:c r="B24" s="39"/>
      <x:c r="C24" s="39"/>
      <x:c r="D24" s="39"/>
      <x:c r="E24" s="39"/>
      <x:c r="F24" s="39"/>
      <x:c r="G24" s="39"/>
      <x:c r="H24" s="39"/>
      <x:c r="I24" s="39"/>
      <x:c r="J24" s="39"/>
      <x:c r="K24" s="39"/>
      <x:c r="L24" s="39"/>
      <x:c r="M24" s="39"/>
      <x:c r="N24" s="39"/>
      <x:c r="O24" s="39"/>
      <x:c r="P24" s="39"/>
      <x:c r="Q24" s="39"/>
      <x:c r="R24" s="39"/>
      <x:c r="S24" s="39"/>
      <x:c r="T24" s="39"/>
      <x:c r="U24" s="39"/>
      <x:c r="V24" s="39"/>
    </x:row>
    <x:row r="25">
      <x:c r="A25" s="39"/>
      <x:c r="B25" s="39"/>
      <x:c r="C25" s="39"/>
      <x:c r="D25" s="39"/>
      <x:c r="E25" s="39"/>
      <x:c r="F25" s="39"/>
      <x:c r="G25" s="39"/>
      <x:c r="H25" s="39"/>
      <x:c r="I25" s="39"/>
      <x:c r="J25" s="39"/>
      <x:c r="K25" s="39"/>
      <x:c r="L25" s="39"/>
      <x:c r="M25" s="39"/>
      <x:c r="N25" s="39"/>
      <x:c r="O25" s="39"/>
      <x:c r="P25" s="39"/>
      <x:c r="Q25" s="39"/>
      <x:c r="R25" s="39"/>
      <x:c r="S25" s="39"/>
      <x:c r="T25" s="39"/>
      <x:c r="U25" s="39"/>
      <x:c r="V25" s="39"/>
    </x:row>
    <x:row r="26">
      <x:c r="A26" s="39"/>
      <x:c r="B26" s="39"/>
      <x:c r="C26" s="39"/>
      <x:c r="D26" s="39"/>
      <x:c r="E26" s="39"/>
      <x:c r="F26" s="39"/>
      <x:c r="G26" s="39"/>
      <x:c r="H26" s="39"/>
      <x:c r="I26" s="39"/>
      <x:c r="J26" s="39"/>
      <x:c r="K26" s="39"/>
      <x:c r="L26" s="39"/>
      <x:c r="M26" s="39"/>
      <x:c r="N26" s="39"/>
      <x:c r="O26" s="39"/>
      <x:c r="P26" s="39"/>
      <x:c r="Q26" s="39"/>
      <x:c r="R26" s="39"/>
      <x:c r="S26" s="39"/>
      <x:c r="T26" s="39"/>
      <x:c r="U26" s="39"/>
      <x:c r="V26" s="39"/>
    </x:row>
    <x:row r="27">
      <x:c r="A27" s="39"/>
      <x:c r="B27" s="39"/>
      <x:c r="C27" s="39"/>
      <x:c r="D27" s="39"/>
      <x:c r="E27" s="39"/>
      <x:c r="F27" s="39"/>
      <x:c r="G27" s="39"/>
      <x:c r="H27" s="39"/>
      <x:c r="I27" s="39"/>
      <x:c r="J27" s="39"/>
      <x:c r="K27" s="39"/>
      <x:c r="L27" s="39"/>
      <x:c r="M27" s="39"/>
      <x:c r="N27" s="39"/>
      <x:c r="O27" s="39"/>
      <x:c r="P27" s="39"/>
      <x:c r="Q27" s="39"/>
      <x:c r="R27" s="39"/>
      <x:c r="S27" s="39"/>
      <x:c r="T27" s="39"/>
      <x:c r="U27" s="39"/>
      <x:c r="V27" s="39"/>
    </x:row>
    <x:row r="28">
      <x:c r="A28" s="39"/>
      <x:c r="B28" s="39"/>
      <x:c r="C28" s="39"/>
      <x:c r="D28" s="39"/>
      <x:c r="E28" s="39"/>
      <x:c r="F28" s="39"/>
      <x:c r="G28" s="39"/>
      <x:c r="H28" s="39"/>
      <x:c r="I28" s="39"/>
      <x:c r="J28" s="39"/>
      <x:c r="K28" s="39"/>
      <x:c r="L28" s="39"/>
      <x:c r="M28" s="39"/>
      <x:c r="N28" s="39"/>
      <x:c r="O28" s="39"/>
      <x:c r="P28" s="39"/>
      <x:c r="Q28" s="39"/>
      <x:c r="R28" s="39"/>
      <x:c r="S28" s="39"/>
      <x:c r="T28" s="39"/>
      <x:c r="U28" s="39"/>
      <x:c r="V28" s="39"/>
    </x:row>
    <x:row r="29">
      <x:c r="A29" s="39"/>
      <x:c r="B29" s="39"/>
      <x:c r="C29" s="39"/>
      <x:c r="D29" s="39"/>
      <x:c r="E29" s="39"/>
      <x:c r="F29" s="39"/>
      <x:c r="G29" s="39"/>
      <x:c r="H29" s="39"/>
      <x:c r="I29" s="39"/>
      <x:c r="J29" s="39"/>
      <x:c r="K29" s="39"/>
      <x:c r="L29" s="39"/>
      <x:c r="M29" s="39"/>
      <x:c r="N29" s="39"/>
      <x:c r="O29" s="39"/>
      <x:c r="P29" s="39"/>
      <x:c r="Q29" s="39"/>
      <x:c r="R29" s="39"/>
      <x:c r="S29" s="39"/>
      <x:c r="T29" s="39"/>
      <x:c r="U29" s="39"/>
      <x:c r="V29" s="39"/>
    </x:row>
    <x:row r="30">
      <x:c r="A30" s="39"/>
      <x:c r="B30" s="39"/>
      <x:c r="C30" s="39"/>
      <x:c r="D30" s="39"/>
      <x:c r="E30" s="39"/>
      <x:c r="F30" s="39"/>
      <x:c r="G30" s="39"/>
      <x:c r="H30" s="39"/>
      <x:c r="I30" s="39"/>
      <x:c r="J30" s="39"/>
      <x:c r="K30" s="39"/>
      <x:c r="L30" s="39"/>
      <x:c r="M30" s="39"/>
      <x:c r="N30" s="39"/>
      <x:c r="O30" s="39"/>
      <x:c r="P30" s="39"/>
      <x:c r="Q30" s="39"/>
      <x:c r="R30" s="39"/>
      <x:c r="S30" s="39"/>
      <x:c r="T30" s="39"/>
      <x:c r="U30" s="39"/>
      <x:c r="V30" s="39"/>
    </x:row>
    <x:row r="31">
      <x:c r="A31" s="39"/>
      <x:c r="B31" s="39"/>
      <x:c r="C31" s="39"/>
      <x:c r="D31" s="39"/>
      <x:c r="E31" s="39"/>
      <x:c r="F31" s="39"/>
      <x:c r="G31" s="39"/>
      <x:c r="H31" s="39"/>
      <x:c r="I31" s="39"/>
      <x:c r="J31" s="39"/>
      <x:c r="K31" s="39"/>
      <x:c r="L31" s="39"/>
      <x:c r="M31" s="39"/>
      <x:c r="N31" s="39"/>
      <x:c r="O31" s="39"/>
      <x:c r="P31" s="39"/>
      <x:c r="Q31" s="39"/>
      <x:c r="R31" s="39"/>
      <x:c r="S31" s="39"/>
      <x:c r="T31" s="39"/>
      <x:c r="U31" s="39"/>
      <x:c r="V31" s="39"/>
    </x:row>
    <x:row r="32">
      <x:c r="A32" s="39"/>
      <x:c r="B32" s="39"/>
      <x:c r="C32" s="39"/>
      <x:c r="D32" s="39"/>
      <x:c r="E32" s="39"/>
      <x:c r="F32" s="39"/>
      <x:c r="G32" s="39"/>
      <x:c r="H32" s="39"/>
      <x:c r="I32" s="39"/>
      <x:c r="J32" s="39"/>
      <x:c r="K32" s="39"/>
      <x:c r="L32" s="39"/>
      <x:c r="M32" s="39"/>
      <x:c r="N32" s="39"/>
      <x:c r="O32" s="39"/>
      <x:c r="P32" s="39"/>
      <x:c r="Q32" s="39"/>
      <x:c r="R32" s="39"/>
      <x:c r="S32" s="39"/>
      <x:c r="T32" s="39"/>
      <x:c r="U32" s="39"/>
      <x:c r="V32" s="39"/>
    </x:row>
    <x:row r="33">
      <x:c r="A33" s="39"/>
      <x:c r="B33" s="39"/>
      <x:c r="C33" s="39"/>
      <x:c r="D33" s="39"/>
      <x:c r="E33" s="39"/>
      <x:c r="F33" s="39"/>
      <x:c r="G33" s="39"/>
      <x:c r="H33" s="39"/>
      <x:c r="I33" s="39"/>
      <x:c r="J33" s="39"/>
      <x:c r="K33" s="39"/>
      <x:c r="L33" s="39"/>
      <x:c r="M33" s="39"/>
      <x:c r="N33" s="39"/>
      <x:c r="O33" s="39"/>
      <x:c r="P33" s="39"/>
      <x:c r="Q33" s="39"/>
      <x:c r="R33" s="39"/>
      <x:c r="S33" s="39"/>
      <x:c r="T33" s="39"/>
      <x:c r="U33" s="39"/>
      <x:c r="V33" s="39"/>
    </x:row>
    <x:row r="34">
      <x:c r="A34" s="39"/>
      <x:c r="B34" s="39"/>
      <x:c r="C34" s="39"/>
      <x:c r="D34" s="39"/>
      <x:c r="E34" s="39"/>
      <x:c r="F34" s="39"/>
      <x:c r="G34" s="39"/>
      <x:c r="H34" s="39"/>
      <x:c r="I34" s="39"/>
      <x:c r="J34" s="39"/>
      <x:c r="K34" s="39"/>
      <x:c r="L34" s="39"/>
      <x:c r="M34" s="39"/>
      <x:c r="N34" s="39"/>
      <x:c r="O34" s="39"/>
      <x:c r="P34" s="39"/>
      <x:c r="Q34" s="39"/>
      <x:c r="R34" s="39"/>
      <x:c r="S34" s="39"/>
      <x:c r="T34" s="39"/>
      <x:c r="U34" s="39"/>
      <x:c r="V34" s="39"/>
    </x:row>
    <x:row r="35">
      <x:c r="A35" s="39"/>
      <x:c r="B35" s="39"/>
      <x:c r="C35" s="39"/>
      <x:c r="D35" s="39"/>
      <x:c r="E35" s="39"/>
      <x:c r="F35" s="39"/>
      <x:c r="G35" s="39"/>
      <x:c r="H35" s="39"/>
      <x:c r="I35" s="39"/>
      <x:c r="J35" s="39"/>
      <x:c r="K35" s="39"/>
      <x:c r="L35" s="39"/>
      <x:c r="M35" s="39"/>
      <x:c r="N35" s="39"/>
      <x:c r="O35" s="39"/>
      <x:c r="P35" s="39"/>
      <x:c r="Q35" s="39"/>
      <x:c r="R35" s="39"/>
      <x:c r="S35" s="39"/>
      <x:c r="T35" s="39"/>
      <x:c r="U35" s="39"/>
      <x:c r="V35" s="39"/>
    </x:row>
    <x:row r="36">
      <x:c r="A36" s="39"/>
      <x:c r="B36" s="39"/>
      <x:c r="C36" s="39"/>
      <x:c r="D36" s="39"/>
      <x:c r="E36" s="39"/>
      <x:c r="F36" s="39"/>
      <x:c r="G36" s="39"/>
      <x:c r="H36" s="39"/>
      <x:c r="I36" s="39"/>
      <x:c r="J36" s="39"/>
      <x:c r="K36" s="39"/>
      <x:c r="L36" s="39"/>
      <x:c r="M36" s="39"/>
      <x:c r="N36" s="39"/>
      <x:c r="O36" s="39"/>
      <x:c r="P36" s="39"/>
      <x:c r="Q36" s="39"/>
      <x:c r="R36" s="39"/>
      <x:c r="S36" s="39"/>
      <x:c r="T36" s="39"/>
      <x:c r="U36" s="39"/>
      <x:c r="V36" s="39"/>
    </x:row>
    <x:row r="37">
      <x:c r="A37" s="39"/>
      <x:c r="B37" s="39"/>
      <x:c r="C37" s="39"/>
      <x:c r="D37" s="39"/>
      <x:c r="E37" s="39"/>
      <x:c r="F37" s="39"/>
      <x:c r="G37" s="39"/>
      <x:c r="H37" s="39"/>
      <x:c r="I37" s="39"/>
      <x:c r="J37" s="39"/>
      <x:c r="K37" s="39"/>
      <x:c r="L37" s="39"/>
      <x:c r="M37" s="39"/>
      <x:c r="N37" s="39"/>
      <x:c r="O37" s="39"/>
      <x:c r="P37" s="39"/>
      <x:c r="Q37" s="39"/>
      <x:c r="R37" s="39"/>
      <x:c r="S37" s="39"/>
      <x:c r="T37" s="39"/>
      <x:c r="U37" s="39"/>
      <x:c r="V37" s="39"/>
    </x:row>
    <x:row r="38">
      <x:c r="A38" s="39"/>
      <x:c r="B38" s="39"/>
      <x:c r="C38" s="39"/>
      <x:c r="D38" s="39"/>
      <x:c r="E38" s="39"/>
      <x:c r="F38" s="39"/>
      <x:c r="G38" s="39"/>
      <x:c r="H38" s="39"/>
      <x:c r="I38" s="39"/>
      <x:c r="J38" s="39"/>
      <x:c r="K38" s="39"/>
      <x:c r="L38" s="39"/>
      <x:c r="M38" s="39"/>
      <x:c r="N38" s="39"/>
      <x:c r="O38" s="39"/>
      <x:c r="P38" s="39"/>
      <x:c r="Q38" s="39"/>
      <x:c r="R38" s="39"/>
      <x:c r="S38" s="39"/>
      <x:c r="T38" s="39"/>
      <x:c r="U38" s="39"/>
      <x:c r="V38" s="39"/>
    </x:row>
    <x:row r="39">
      <x:c r="A39" s="39"/>
      <x:c r="B39" s="39"/>
      <x:c r="C39" s="39"/>
      <x:c r="D39" s="39"/>
      <x:c r="E39" s="39"/>
      <x:c r="F39" s="39"/>
      <x:c r="G39" s="39"/>
      <x:c r="H39" s="39"/>
      <x:c r="I39" s="39"/>
      <x:c r="J39" s="39"/>
      <x:c r="K39" s="39"/>
      <x:c r="L39" s="39"/>
      <x:c r="M39" s="39"/>
      <x:c r="N39" s="39"/>
      <x:c r="O39" s="39"/>
      <x:c r="P39" s="39"/>
      <x:c r="Q39" s="39"/>
      <x:c r="R39" s="39"/>
      <x:c r="S39" s="39"/>
      <x:c r="T39" s="39"/>
      <x:c r="U39" s="39"/>
      <x:c r="V39" s="39"/>
    </x:row>
    <x:row r="40">
      <x:c r="A40" s="39"/>
      <x:c r="B40" s="39"/>
      <x:c r="C40" s="39"/>
      <x:c r="D40" s="39"/>
      <x:c r="E40" s="39"/>
      <x:c r="F40" s="39"/>
      <x:c r="G40" s="39"/>
      <x:c r="H40" s="39"/>
      <x:c r="I40" s="39"/>
      <x:c r="J40" s="39"/>
      <x:c r="K40" s="39"/>
      <x:c r="L40" s="39"/>
      <x:c r="M40" s="39"/>
      <x:c r="N40" s="39"/>
      <x:c r="O40" s="39"/>
      <x:c r="P40" s="39"/>
      <x:c r="Q40" s="39"/>
      <x:c r="R40" s="39"/>
      <x:c r="S40" s="39"/>
      <x:c r="T40" s="39"/>
      <x:c r="U40" s="39"/>
      <x:c r="V40" s="39"/>
    </x:row>
  </x:sheetData>
  <x:mergeCells>
    <x:mergeCell ref="A1:H1"/>
    <x:mergeCell ref="D10:G1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</x:cols>
  <x:sheetData>
    <x:row r="1">
      <x:c r="A1" s="66" t="str">
        <x:v>Sedes</x:v>
      </x:c>
      <x:c r="B1" s="39"/>
      <x:c r="C1" s="66" t="str">
        <x:v>Tipos_examen</x:v>
      </x:c>
      <x:c r="D1" s="39"/>
      <x:c r="E1" s="66" t="str">
        <x:v>Resultado</x:v>
      </x:c>
      <x:c r="F1" s="39"/>
      <x:c r="G1" s="66" t="str">
        <x:v>Áreas</x:v>
      </x:c>
      <x:c r="H1" s="39"/>
      <x:c r="I1" s="66" t="str">
        <x:v>Seguimiento</x:v>
      </x:c>
      <x:c r="J1" s="39"/>
      <x:c r="K1" s="66" t="str">
        <x:v>Responsables</x:v>
      </x:c>
      <x:c r="L1" s="39"/>
      <x:c r="M1" s="39"/>
      <x:c r="N1" s="39"/>
      <x:c r="O1" s="39"/>
      <x:c r="P1" s="39"/>
      <x:c r="Q1" s="39"/>
      <x:c r="R1" s="39"/>
      <x:c r="S1" s="39"/>
      <x:c r="T1" s="39"/>
      <x:c r="U1" s="39"/>
      <x:c r="V1" s="39"/>
    </x:row>
    <x:row r="2">
      <x:c r="A2" s="187" t="str">
        <x:v>Cúcuta</x:v>
      </x:c>
      <x:c r="B2" s="39"/>
      <x:c r="C2" s="187" t="str">
        <x:v>Ingreso</x:v>
      </x:c>
      <x:c r="D2" s="39"/>
      <x:c r="E2" s="187" t="str">
        <x:v>Apto</x:v>
      </x:c>
      <x:c r="F2" s="39"/>
      <x:c r="G2" s="187" t="str">
        <x:v>Administrativa</x:v>
      </x:c>
      <x:c r="H2" s="39"/>
      <x:c r="I2" s="187" t="str">
        <x:v>Sí</x:v>
      </x:c>
      <x:c r="J2" s="39"/>
      <x:c r="K2" s="187" t="str">
        <x:v>Líder SST</x:v>
      </x:c>
      <x:c r="L2" s="39"/>
      <x:c r="M2" s="39"/>
      <x:c r="N2" s="39"/>
      <x:c r="O2" s="39"/>
      <x:c r="P2" s="39"/>
      <x:c r="Q2" s="39"/>
      <x:c r="R2" s="39"/>
      <x:c r="S2" s="39"/>
      <x:c r="T2" s="39"/>
      <x:c r="U2" s="39"/>
      <x:c r="V2" s="39"/>
    </x:row>
    <x:row r="3">
      <x:c r="A3" s="187" t="str">
        <x:v>Barrancabermeja</x:v>
      </x:c>
      <x:c r="B3" s="39"/>
      <x:c r="C3" s="187" t="str">
        <x:v>Periódico</x:v>
      </x:c>
      <x:c r="D3" s="39"/>
      <x:c r="E3" s="187" t="str">
        <x:v>Apto con restricciones</x:v>
      </x:c>
      <x:c r="F3" s="39"/>
      <x:c r="G3" s="187" t="str">
        <x:v>Escoltas</x:v>
      </x:c>
      <x:c r="H3" s="39"/>
      <x:c r="I3" s="187" t="str">
        <x:v>No</x:v>
      </x:c>
      <x:c r="J3" s="39"/>
      <x:c r="K3" s="187" t="str">
        <x:v>Analista SST</x:v>
      </x:c>
      <x:c r="L3" s="39"/>
      <x:c r="M3" s="39"/>
      <x:c r="N3" s="39"/>
      <x:c r="O3" s="39"/>
      <x:c r="P3" s="39"/>
      <x:c r="Q3" s="39"/>
      <x:c r="R3" s="39"/>
      <x:c r="S3" s="39"/>
      <x:c r="T3" s="39"/>
      <x:c r="U3" s="39"/>
      <x:c r="V3" s="39"/>
    </x:row>
    <x:row r="4">
      <x:c r="A4" s="187" t="str">
        <x:v>Ocaña</x:v>
      </x:c>
      <x:c r="B4" s="39"/>
      <x:c r="C4" s="187" t="str">
        <x:v>Post-incapacidad</x:v>
      </x:c>
      <x:c r="D4" s="39"/>
      <x:c r="E4" s="188" t="str">
        <x:v>No apto</x:v>
      </x:c>
      <x:c r="F4" s="39"/>
      <x:c r="G4" s="187" t="str">
        <x:v>Infraestructura</x:v>
      </x:c>
      <x:c r="H4" s="39"/>
      <x:c r="I4" s="187" t="str">
        <x:v>Medicina laboral</x:v>
      </x:c>
      <x:c r="J4" s="39"/>
      <x:c r="K4" s="187" t="str">
        <x:v>Coordinador de Talento Humano</x:v>
      </x:c>
      <x:c r="L4" s="39"/>
      <x:c r="M4" s="39"/>
      <x:c r="N4" s="39"/>
      <x:c r="O4" s="39"/>
      <x:c r="P4" s="39"/>
      <x:c r="Q4" s="39"/>
      <x:c r="R4" s="39"/>
      <x:c r="S4" s="39"/>
      <x:c r="T4" s="39"/>
      <x:c r="U4" s="39"/>
      <x:c r="V4" s="39"/>
    </x:row>
    <x:row r="5">
      <x:c r="A5" s="187" t="str">
        <x:v>Girón</x:v>
      </x:c>
      <x:c r="B5" s="39"/>
      <x:c r="C5" s="187" t="str">
        <x:v>Reintegro</x:v>
      </x:c>
      <x:c r="D5" s="39"/>
      <x:c r="E5" s="39"/>
      <x:c r="F5" s="39"/>
      <x:c r="G5" s="187" t="str">
        <x:v>Logística</x:v>
      </x:c>
      <x:c r="H5" s="39"/>
      <x:c r="I5" s="187" t="str">
        <x:v>Ergonomía</x:v>
      </x:c>
      <x:c r="J5" s="39"/>
      <x:c r="K5" s="188" t="str">
        <x:v>Médico Ocupacional</x:v>
      </x:c>
      <x:c r="L5" s="39"/>
      <x:c r="M5" s="39"/>
      <x:c r="N5" s="39"/>
      <x:c r="O5" s="39"/>
      <x:c r="P5" s="39"/>
      <x:c r="Q5" s="39"/>
      <x:c r="R5" s="39"/>
      <x:c r="S5" s="39"/>
      <x:c r="T5" s="39"/>
      <x:c r="U5" s="39"/>
      <x:c r="V5" s="39"/>
    </x:row>
    <x:row r="6">
      <x:c r="A6" s="187" t="str">
        <x:v>Valledupar</x:v>
      </x:c>
      <x:c r="B6" s="39"/>
      <x:c r="C6" s="188" t="str">
        <x:v>Post-exposición</x:v>
      </x:c>
      <x:c r="D6" s="39"/>
      <x:c r="E6" s="39"/>
      <x:c r="F6" s="39"/>
      <x:c r="G6" s="187" t="str">
        <x:v>Medios Tecnológicos</x:v>
      </x:c>
      <x:c r="H6" s="39"/>
      <x:c r="I6" s="188" t="str">
        <x:v>Fisioterapia</x:v>
      </x:c>
      <x:c r="J6" s="39"/>
      <x:c r="K6" s="39"/>
      <x:c r="L6" s="39"/>
      <x:c r="M6" s="39"/>
      <x:c r="N6" s="39"/>
      <x:c r="O6" s="39"/>
      <x:c r="P6" s="39"/>
      <x:c r="Q6" s="39"/>
      <x:c r="R6" s="39"/>
      <x:c r="S6" s="39"/>
      <x:c r="T6" s="39"/>
      <x:c r="U6" s="39"/>
      <x:c r="V6" s="39"/>
    </x:row>
    <x:row r="7">
      <x:c r="A7" s="187" t="str">
        <x:v>Arauca</x:v>
      </x:c>
      <x:c r="B7" s="39"/>
      <x:c r="C7" s="39"/>
      <x:c r="D7" s="39"/>
      <x:c r="E7" s="39"/>
      <x:c r="F7" s="39"/>
      <x:c r="G7" s="188" t="str">
        <x:v>Operaciones</x:v>
      </x:c>
      <x:c r="H7" s="39"/>
      <x:c r="I7" s="39"/>
      <x:c r="J7" s="39"/>
      <x:c r="K7" s="39"/>
      <x:c r="L7" s="39"/>
      <x:c r="M7" s="39"/>
      <x:c r="N7" s="39"/>
      <x:c r="O7" s="39"/>
      <x:c r="P7" s="39"/>
      <x:c r="Q7" s="39"/>
      <x:c r="R7" s="39"/>
      <x:c r="S7" s="39"/>
      <x:c r="T7" s="39"/>
      <x:c r="U7" s="39"/>
      <x:c r="V7" s="39"/>
    </x:row>
    <x:row r="8">
      <x:c r="A8" s="187" t="str">
        <x:v>Bogotá</x:v>
      </x:c>
      <x:c r="B8" s="39"/>
      <x:c r="C8" s="39"/>
      <x:c r="D8" s="39"/>
      <x:c r="E8" s="39"/>
      <x:c r="F8" s="39"/>
      <x:c r="G8" s="39" t="str">
        <x:v>SST</x:v>
      </x:c>
      <x:c r="H8" s="39"/>
      <x:c r="I8" s="39"/>
      <x:c r="J8" s="39"/>
      <x:c r="K8" s="39"/>
      <x:c r="L8" s="39"/>
      <x:c r="M8" s="39"/>
      <x:c r="N8" s="39"/>
      <x:c r="O8" s="39"/>
      <x:c r="P8" s="39"/>
      <x:c r="Q8" s="39"/>
      <x:c r="R8" s="39"/>
      <x:c r="S8" s="39"/>
      <x:c r="T8" s="39"/>
      <x:c r="U8" s="39"/>
      <x:c r="V8" s="39"/>
    </x:row>
    <x:row r="9">
      <x:c r="A9" s="187" t="str">
        <x:v>Tibú</x:v>
      </x:c>
      <x:c r="B9" s="39"/>
      <x:c r="C9" s="39"/>
      <x:c r="D9" s="39"/>
      <x:c r="E9" s="39"/>
      <x:c r="F9" s="39"/>
      <x:c r="G9" s="39"/>
      <x:c r="H9" s="39"/>
      <x:c r="I9" s="39"/>
      <x:c r="J9" s="39"/>
      <x:c r="K9" s="39"/>
      <x:c r="L9" s="39"/>
      <x:c r="M9" s="39"/>
      <x:c r="N9" s="39"/>
      <x:c r="O9" s="39"/>
      <x:c r="P9" s="39"/>
      <x:c r="Q9" s="39"/>
      <x:c r="R9" s="39"/>
      <x:c r="S9" s="39"/>
      <x:c r="T9" s="39"/>
      <x:c r="U9" s="39"/>
      <x:c r="V9" s="39"/>
    </x:row>
    <x:row r="10">
      <x:c r="A10" s="187" t="str">
        <x:v>Medellín</x:v>
      </x:c>
      <x:c r="B10" s="39"/>
      <x:c r="C10" s="39"/>
      <x:c r="D10" s="39"/>
      <x:c r="E10" s="39"/>
      <x:c r="F10" s="39"/>
      <x:c r="G10" s="39"/>
      <x:c r="H10" s="39"/>
      <x:c r="I10" s="39"/>
      <x:c r="J10" s="39"/>
      <x:c r="K10" s="39"/>
      <x:c r="L10" s="39"/>
      <x:c r="M10" s="39"/>
      <x:c r="N10" s="39"/>
      <x:c r="O10" s="39"/>
      <x:c r="P10" s="39"/>
      <x:c r="Q10" s="39"/>
      <x:c r="R10" s="39"/>
      <x:c r="S10" s="39"/>
      <x:c r="T10" s="39"/>
      <x:c r="U10" s="39"/>
      <x:c r="V10" s="39"/>
    </x:row>
    <x:row r="11">
      <x:c r="A11" s="188" t="str">
        <x:v>Ábrego</x:v>
      </x:c>
      <x:c r="B11" s="39"/>
      <x:c r="C11" s="39"/>
      <x:c r="D11" s="39"/>
      <x:c r="E11" s="39"/>
      <x:c r="F11" s="39"/>
      <x:c r="G11" s="39"/>
      <x:c r="H11" s="39"/>
      <x:c r="I11" s="39"/>
      <x:c r="J11" s="39"/>
      <x:c r="K11" s="39"/>
      <x:c r="L11" s="39"/>
      <x:c r="M11" s="39"/>
      <x:c r="N11" s="39"/>
      <x:c r="O11" s="39"/>
      <x:c r="P11" s="39"/>
      <x:c r="Q11" s="39"/>
      <x:c r="R11" s="39"/>
      <x:c r="S11" s="39"/>
      <x:c r="T11" s="39"/>
      <x:c r="U11" s="39"/>
      <x:c r="V11" s="39"/>
    </x:row>
    <x:row r="12">
      <x:c r="A12" s="39" t="str">
        <x:v>Pamplona</x:v>
      </x:c>
      <x:c r="B12" s="39"/>
      <x:c r="C12" s="39"/>
      <x:c r="D12" s="39"/>
      <x:c r="E12" s="39"/>
      <x:c r="F12" s="39"/>
      <x:c r="G12" s="39"/>
      <x:c r="H12" s="39"/>
      <x:c r="I12" s="39"/>
      <x:c r="J12" s="39"/>
      <x:c r="K12" s="39"/>
      <x:c r="L12" s="39"/>
      <x:c r="M12" s="39"/>
      <x:c r="N12" s="39"/>
      <x:c r="O12" s="39"/>
      <x:c r="P12" s="39"/>
      <x:c r="Q12" s="39"/>
      <x:c r="R12" s="39"/>
      <x:c r="S12" s="39"/>
      <x:c r="T12" s="39"/>
      <x:c r="U12" s="39"/>
      <x:c r="V12" s="39"/>
    </x:row>
    <x:row r="13">
      <x:c r="A13" s="39"/>
      <x:c r="B13" s="39"/>
      <x:c r="C13" s="39"/>
      <x:c r="D13" s="39"/>
      <x:c r="E13" s="39"/>
      <x:c r="F13" s="39"/>
      <x:c r="G13" s="39"/>
      <x:c r="H13" s="39"/>
      <x:c r="I13" s="39"/>
      <x:c r="J13" s="39"/>
      <x:c r="K13" s="39"/>
      <x:c r="L13" s="39"/>
      <x:c r="M13" s="39"/>
      <x:c r="N13" s="39"/>
      <x:c r="O13" s="39"/>
      <x:c r="P13" s="39"/>
      <x:c r="Q13" s="39"/>
      <x:c r="R13" s="39"/>
      <x:c r="S13" s="39"/>
      <x:c r="T13" s="39"/>
      <x:c r="U13" s="39"/>
      <x:c r="V13" s="39"/>
    </x:row>
    <x:row r="14">
      <x:c r="A14" s="39"/>
      <x:c r="B14" s="39"/>
      <x:c r="C14" s="39"/>
      <x:c r="D14" s="39"/>
      <x:c r="E14" s="39"/>
      <x:c r="F14" s="39"/>
      <x:c r="G14" s="39"/>
      <x:c r="H14" s="39"/>
      <x:c r="I14" s="39"/>
      <x:c r="J14" s="39"/>
      <x:c r="K14" s="39"/>
      <x:c r="L14" s="39"/>
      <x:c r="M14" s="39"/>
      <x:c r="N14" s="39"/>
      <x:c r="O14" s="39"/>
      <x:c r="P14" s="39"/>
      <x:c r="Q14" s="39"/>
      <x:c r="R14" s="39"/>
      <x:c r="S14" s="39"/>
      <x:c r="T14" s="39"/>
      <x:c r="U14" s="39"/>
      <x:c r="V14" s="39"/>
    </x:row>
    <x:row r="15">
      <x:c r="A15" s="39"/>
      <x:c r="B15" s="39"/>
      <x:c r="C15" s="39"/>
      <x:c r="D15" s="39"/>
      <x:c r="E15" s="39"/>
      <x:c r="F15" s="39"/>
      <x:c r="G15" s="39"/>
      <x:c r="H15" s="39"/>
      <x:c r="I15" s="39"/>
      <x:c r="J15" s="39"/>
      <x:c r="K15" s="39"/>
      <x:c r="L15" s="39"/>
      <x:c r="M15" s="39"/>
      <x:c r="N15" s="39"/>
      <x:c r="O15" s="39"/>
      <x:c r="P15" s="39"/>
      <x:c r="Q15" s="39"/>
      <x:c r="R15" s="39"/>
      <x:c r="S15" s="39"/>
      <x:c r="T15" s="39"/>
      <x:c r="U15" s="39"/>
      <x:c r="V15" s="39"/>
    </x:row>
    <x:row r="16">
      <x:c r="A16" s="39"/>
      <x:c r="B16" s="39"/>
      <x:c r="C16" s="39"/>
      <x:c r="D16" s="39"/>
      <x:c r="E16" s="39"/>
      <x:c r="F16" s="39"/>
      <x:c r="G16" s="39"/>
      <x:c r="H16" s="39"/>
      <x:c r="I16" s="39"/>
      <x:c r="J16" s="39"/>
      <x:c r="K16" s="39"/>
      <x:c r="L16" s="39"/>
      <x:c r="M16" s="39"/>
      <x:c r="N16" s="39"/>
      <x:c r="O16" s="39"/>
      <x:c r="P16" s="39"/>
      <x:c r="Q16" s="39"/>
      <x:c r="R16" s="39"/>
      <x:c r="S16" s="39"/>
      <x:c r="T16" s="39"/>
      <x:c r="U16" s="39"/>
      <x:c r="V16" s="39"/>
    </x:row>
    <x:row r="17">
      <x:c r="A17" s="39"/>
      <x:c r="B17" s="39"/>
      <x:c r="C17" s="39"/>
      <x:c r="D17" s="39"/>
      <x:c r="E17" s="39"/>
      <x:c r="F17" s="39"/>
      <x:c r="G17" s="39"/>
      <x:c r="H17" s="39"/>
      <x:c r="I17" s="39"/>
      <x:c r="J17" s="39"/>
      <x:c r="K17" s="39"/>
      <x:c r="L17" s="39"/>
      <x:c r="M17" s="39"/>
      <x:c r="N17" s="39"/>
      <x:c r="O17" s="39"/>
      <x:c r="P17" s="39"/>
      <x:c r="Q17" s="39"/>
      <x:c r="R17" s="39"/>
      <x:c r="S17" s="39"/>
      <x:c r="T17" s="39"/>
      <x:c r="U17" s="39"/>
      <x:c r="V17" s="39"/>
    </x:row>
    <x:row r="18">
      <x:c r="A18" s="39"/>
      <x:c r="B18" s="39"/>
      <x:c r="C18" s="39"/>
      <x:c r="D18" s="39"/>
      <x:c r="E18" s="39"/>
      <x:c r="F18" s="39"/>
      <x:c r="G18" s="39"/>
      <x:c r="H18" s="39"/>
      <x:c r="I18" s="39"/>
      <x:c r="J18" s="39"/>
      <x:c r="K18" s="39"/>
      <x:c r="L18" s="39"/>
      <x:c r="M18" s="39"/>
      <x:c r="N18" s="39"/>
      <x:c r="O18" s="39"/>
      <x:c r="P18" s="39"/>
      <x:c r="Q18" s="39"/>
      <x:c r="R18" s="39"/>
      <x:c r="S18" s="39"/>
      <x:c r="T18" s="39"/>
      <x:c r="U18" s="39"/>
      <x:c r="V18" s="39"/>
    </x:row>
    <x:row r="19">
      <x:c r="A19" s="39"/>
      <x:c r="B19" s="39"/>
      <x:c r="C19" s="39"/>
      <x:c r="D19" s="39"/>
      <x:c r="E19" s="39"/>
      <x:c r="F19" s="39"/>
      <x:c r="G19" s="39"/>
      <x:c r="H19" s="39"/>
      <x:c r="I19" s="39"/>
      <x:c r="J19" s="39"/>
      <x:c r="K19" s="39"/>
      <x:c r="L19" s="39"/>
      <x:c r="M19" s="39"/>
      <x:c r="N19" s="39"/>
      <x:c r="O19" s="39"/>
      <x:c r="P19" s="39"/>
      <x:c r="Q19" s="39"/>
      <x:c r="R19" s="39"/>
      <x:c r="S19" s="39"/>
      <x:c r="T19" s="39"/>
      <x:c r="U19" s="39"/>
      <x:c r="V19" s="39"/>
    </x:row>
    <x:row r="20">
      <x:c r="A20" s="39"/>
      <x:c r="B20" s="39"/>
      <x:c r="C20" s="39"/>
      <x:c r="D20" s="39"/>
      <x:c r="E20" s="39"/>
      <x:c r="F20" s="39"/>
      <x:c r="G20" s="39"/>
      <x:c r="H20" s="39"/>
      <x:c r="I20" s="39"/>
      <x:c r="J20" s="39"/>
      <x:c r="K20" s="39"/>
      <x:c r="L20" s="39"/>
      <x:c r="M20" s="39"/>
      <x:c r="N20" s="39"/>
      <x:c r="O20" s="39"/>
      <x:c r="P20" s="39"/>
      <x:c r="Q20" s="39"/>
      <x:c r="R20" s="39"/>
      <x:c r="S20" s="39"/>
      <x:c r="T20" s="39"/>
      <x:c r="U20" s="39"/>
      <x:c r="V20" s="39"/>
    </x:row>
    <x:row r="21">
      <x:c r="A21" s="39"/>
      <x:c r="B21" s="39"/>
      <x:c r="C21" s="39"/>
      <x:c r="D21" s="39"/>
      <x:c r="E21" s="39"/>
      <x:c r="F21" s="39"/>
      <x:c r="G21" s="39"/>
      <x:c r="H21" s="39"/>
      <x:c r="I21" s="39"/>
      <x:c r="J21" s="39"/>
      <x:c r="K21" s="39"/>
      <x:c r="L21" s="39"/>
      <x:c r="M21" s="39"/>
      <x:c r="N21" s="39"/>
      <x:c r="O21" s="39"/>
      <x:c r="P21" s="39"/>
      <x:c r="Q21" s="39"/>
      <x:c r="R21" s="39"/>
      <x:c r="S21" s="39"/>
      <x:c r="T21" s="39"/>
      <x:c r="U21" s="39"/>
      <x:c r="V21" s="39"/>
    </x:row>
    <x:row r="22">
      <x:c r="A22" s="39"/>
      <x:c r="B22" s="39"/>
      <x:c r="C22" s="39"/>
      <x:c r="D22" s="39"/>
      <x:c r="E22" s="39"/>
      <x:c r="F22" s="39"/>
      <x:c r="G22" s="39"/>
      <x:c r="H22" s="39"/>
      <x:c r="I22" s="39"/>
      <x:c r="J22" s="39"/>
      <x:c r="K22" s="39"/>
      <x:c r="L22" s="39"/>
      <x:c r="M22" s="39"/>
      <x:c r="N22" s="39"/>
      <x:c r="O22" s="39"/>
      <x:c r="P22" s="39"/>
      <x:c r="Q22" s="39"/>
      <x:c r="R22" s="39"/>
      <x:c r="S22" s="39"/>
      <x:c r="T22" s="39"/>
      <x:c r="U22" s="39"/>
      <x:c r="V22" s="39"/>
    </x:row>
    <x:row r="23">
      <x:c r="A23" s="39"/>
      <x:c r="B23" s="39"/>
      <x:c r="C23" s="39"/>
      <x:c r="D23" s="39"/>
      <x:c r="E23" s="39"/>
      <x:c r="F23" s="39"/>
      <x:c r="G23" s="39"/>
      <x:c r="H23" s="39"/>
      <x:c r="I23" s="39"/>
      <x:c r="J23" s="39"/>
      <x:c r="K23" s="39"/>
      <x:c r="L23" s="39"/>
      <x:c r="M23" s="39"/>
      <x:c r="N23" s="39"/>
      <x:c r="O23" s="39"/>
      <x:c r="P23" s="39"/>
      <x:c r="Q23" s="39"/>
      <x:c r="R23" s="39"/>
      <x:c r="S23" s="39"/>
      <x:c r="T23" s="39"/>
      <x:c r="U23" s="39"/>
      <x:c r="V23" s="39"/>
    </x:row>
    <x:row r="24">
      <x:c r="A24" s="39"/>
      <x:c r="B24" s="39"/>
      <x:c r="C24" s="39"/>
      <x:c r="D24" s="39"/>
      <x:c r="E24" s="39"/>
      <x:c r="F24" s="39"/>
      <x:c r="G24" s="39"/>
      <x:c r="H24" s="39"/>
      <x:c r="I24" s="39"/>
      <x:c r="J24" s="39"/>
      <x:c r="K24" s="39"/>
      <x:c r="L24" s="39"/>
      <x:c r="M24" s="39"/>
      <x:c r="N24" s="39"/>
      <x:c r="O24" s="39"/>
      <x:c r="P24" s="39"/>
      <x:c r="Q24" s="39"/>
      <x:c r="R24" s="39"/>
      <x:c r="S24" s="39"/>
      <x:c r="T24" s="39"/>
      <x:c r="U24" s="39"/>
      <x:c r="V24" s="39"/>
    </x:row>
    <x:row r="25">
      <x:c r="A25" s="39"/>
      <x:c r="B25" s="39"/>
      <x:c r="C25" s="39"/>
      <x:c r="D25" s="39"/>
      <x:c r="E25" s="39"/>
      <x:c r="F25" s="39"/>
      <x:c r="G25" s="39"/>
      <x:c r="H25" s="39"/>
      <x:c r="I25" s="39"/>
      <x:c r="J25" s="39"/>
      <x:c r="K25" s="39"/>
      <x:c r="L25" s="39"/>
      <x:c r="M25" s="39"/>
      <x:c r="N25" s="39"/>
      <x:c r="O25" s="39"/>
      <x:c r="P25" s="39"/>
      <x:c r="Q25" s="39"/>
      <x:c r="R25" s="39"/>
      <x:c r="S25" s="39"/>
      <x:c r="T25" s="39"/>
      <x:c r="U25" s="39"/>
      <x:c r="V25" s="39"/>
    </x:row>
    <x:row r="26">
      <x:c r="A26" s="39"/>
      <x:c r="B26" s="39"/>
      <x:c r="C26" s="39"/>
      <x:c r="D26" s="39"/>
      <x:c r="E26" s="39"/>
      <x:c r="F26" s="39"/>
      <x:c r="G26" s="39"/>
      <x:c r="H26" s="39"/>
      <x:c r="I26" s="39"/>
      <x:c r="J26" s="39"/>
      <x:c r="K26" s="39"/>
      <x:c r="L26" s="39"/>
      <x:c r="M26" s="39"/>
      <x:c r="N26" s="39"/>
      <x:c r="O26" s="39"/>
      <x:c r="P26" s="39"/>
      <x:c r="Q26" s="39"/>
      <x:c r="R26" s="39"/>
      <x:c r="S26" s="39"/>
      <x:c r="T26" s="39"/>
      <x:c r="U26" s="39"/>
      <x:c r="V26" s="39"/>
    </x:row>
    <x:row r="27">
      <x:c r="A27" s="39"/>
      <x:c r="B27" s="39"/>
      <x:c r="C27" s="39"/>
      <x:c r="D27" s="39"/>
      <x:c r="E27" s="39"/>
      <x:c r="F27" s="39"/>
      <x:c r="G27" s="39"/>
      <x:c r="H27" s="39"/>
      <x:c r="I27" s="39"/>
      <x:c r="J27" s="39"/>
      <x:c r="K27" s="39"/>
      <x:c r="L27" s="39"/>
      <x:c r="M27" s="39"/>
      <x:c r="N27" s="39"/>
      <x:c r="O27" s="39"/>
      <x:c r="P27" s="39"/>
      <x:c r="Q27" s="39"/>
      <x:c r="R27" s="39"/>
      <x:c r="S27" s="39"/>
      <x:c r="T27" s="39"/>
      <x:c r="U27" s="39"/>
      <x:c r="V27" s="39"/>
    </x:row>
    <x:row r="28">
      <x:c r="A28" s="39"/>
      <x:c r="B28" s="39"/>
      <x:c r="C28" s="39"/>
      <x:c r="D28" s="39"/>
      <x:c r="E28" s="39"/>
      <x:c r="F28" s="39"/>
      <x:c r="G28" s="39"/>
      <x:c r="H28" s="39"/>
      <x:c r="I28" s="39"/>
      <x:c r="J28" s="39"/>
      <x:c r="K28" s="39"/>
      <x:c r="L28" s="39"/>
      <x:c r="M28" s="39"/>
      <x:c r="N28" s="39"/>
      <x:c r="O28" s="39"/>
      <x:c r="P28" s="39"/>
      <x:c r="Q28" s="39"/>
      <x:c r="R28" s="39"/>
      <x:c r="S28" s="39"/>
      <x:c r="T28" s="39"/>
      <x:c r="U28" s="39"/>
      <x:c r="V28" s="39"/>
    </x:row>
    <x:row r="29">
      <x:c r="A29" s="39"/>
      <x:c r="B29" s="39"/>
      <x:c r="C29" s="39"/>
      <x:c r="D29" s="39"/>
      <x:c r="E29" s="39"/>
      <x:c r="F29" s="39"/>
      <x:c r="G29" s="39"/>
      <x:c r="H29" s="39"/>
      <x:c r="I29" s="39"/>
      <x:c r="J29" s="39"/>
      <x:c r="K29" s="39"/>
      <x:c r="L29" s="39"/>
      <x:c r="M29" s="39"/>
      <x:c r="N29" s="39"/>
      <x:c r="O29" s="39"/>
      <x:c r="P29" s="39"/>
      <x:c r="Q29" s="39"/>
      <x:c r="R29" s="39"/>
      <x:c r="S29" s="39"/>
      <x:c r="T29" s="39"/>
      <x:c r="U29" s="39"/>
      <x:c r="V29" s="39"/>
    </x:row>
    <x:row r="30">
      <x:c r="A30" s="39"/>
      <x:c r="B30" s="39"/>
      <x:c r="C30" s="39"/>
      <x:c r="D30" s="39"/>
      <x:c r="E30" s="39"/>
      <x:c r="F30" s="39"/>
      <x:c r="G30" s="39"/>
      <x:c r="H30" s="39"/>
      <x:c r="I30" s="39"/>
      <x:c r="J30" s="39"/>
      <x:c r="K30" s="39"/>
      <x:c r="L30" s="39"/>
      <x:c r="M30" s="39"/>
      <x:c r="N30" s="39"/>
      <x:c r="O30" s="39"/>
      <x:c r="P30" s="39"/>
      <x:c r="Q30" s="39"/>
      <x:c r="R30" s="39"/>
      <x:c r="S30" s="39"/>
      <x:c r="T30" s="39"/>
      <x:c r="U30" s="39"/>
      <x:c r="V30" s="39"/>
    </x:row>
    <x:row r="31">
      <x:c r="A31" s="39"/>
      <x:c r="B31" s="39"/>
      <x:c r="C31" s="39"/>
      <x:c r="D31" s="39"/>
      <x:c r="E31" s="39"/>
      <x:c r="F31" s="39"/>
      <x:c r="G31" s="39"/>
      <x:c r="H31" s="39"/>
      <x:c r="I31" s="39"/>
      <x:c r="J31" s="39"/>
      <x:c r="K31" s="39"/>
      <x:c r="L31" s="39"/>
      <x:c r="M31" s="39"/>
      <x:c r="N31" s="39"/>
      <x:c r="O31" s="39"/>
      <x:c r="P31" s="39"/>
      <x:c r="Q31" s="39"/>
      <x:c r="R31" s="39"/>
      <x:c r="S31" s="39"/>
      <x:c r="T31" s="39"/>
      <x:c r="U31" s="39"/>
      <x:c r="V31" s="39"/>
    </x:row>
    <x:row r="32">
      <x:c r="A32" s="39"/>
      <x:c r="B32" s="39"/>
      <x:c r="C32" s="39"/>
      <x:c r="D32" s="39"/>
      <x:c r="E32" s="39"/>
      <x:c r="F32" s="39"/>
      <x:c r="G32" s="39"/>
      <x:c r="H32" s="39"/>
      <x:c r="I32" s="39"/>
      <x:c r="J32" s="39"/>
      <x:c r="K32" s="39"/>
      <x:c r="L32" s="39"/>
      <x:c r="M32" s="39"/>
      <x:c r="N32" s="39"/>
      <x:c r="O32" s="39"/>
      <x:c r="P32" s="39"/>
      <x:c r="Q32" s="39"/>
      <x:c r="R32" s="39"/>
      <x:c r="S32" s="39"/>
      <x:c r="T32" s="39"/>
      <x:c r="U32" s="39"/>
      <x:c r="V32" s="39"/>
    </x:row>
    <x:row r="33">
      <x:c r="A33" s="39"/>
      <x:c r="B33" s="39"/>
      <x:c r="C33" s="39"/>
      <x:c r="D33" s="39"/>
      <x:c r="E33" s="39"/>
      <x:c r="F33" s="39"/>
      <x:c r="G33" s="39"/>
      <x:c r="H33" s="39"/>
      <x:c r="I33" s="39"/>
      <x:c r="J33" s="39"/>
      <x:c r="K33" s="39"/>
      <x:c r="L33" s="39"/>
      <x:c r="M33" s="39"/>
      <x:c r="N33" s="39"/>
      <x:c r="O33" s="39"/>
      <x:c r="P33" s="39"/>
      <x:c r="Q33" s="39"/>
      <x:c r="R33" s="39"/>
      <x:c r="S33" s="39"/>
      <x:c r="T33" s="39"/>
      <x:c r="U33" s="39"/>
      <x:c r="V33" s="39"/>
    </x:row>
    <x:row r="34">
      <x:c r="A34" s="39"/>
      <x:c r="B34" s="39"/>
      <x:c r="C34" s="39"/>
      <x:c r="D34" s="39"/>
      <x:c r="E34" s="39"/>
      <x:c r="F34" s="39"/>
      <x:c r="G34" s="39"/>
      <x:c r="H34" s="39"/>
      <x:c r="I34" s="39"/>
      <x:c r="J34" s="39"/>
      <x:c r="K34" s="39"/>
      <x:c r="L34" s="39"/>
      <x:c r="M34" s="39"/>
      <x:c r="N34" s="39"/>
      <x:c r="O34" s="39"/>
      <x:c r="P34" s="39"/>
      <x:c r="Q34" s="39"/>
      <x:c r="R34" s="39"/>
      <x:c r="S34" s="39"/>
      <x:c r="T34" s="39"/>
      <x:c r="U34" s="39"/>
      <x:c r="V34" s="39"/>
    </x:row>
    <x:row r="35">
      <x:c r="A35" s="39"/>
      <x:c r="B35" s="39"/>
      <x:c r="C35" s="39"/>
      <x:c r="D35" s="39"/>
      <x:c r="E35" s="39"/>
      <x:c r="F35" s="39"/>
      <x:c r="G35" s="39"/>
      <x:c r="H35" s="39"/>
      <x:c r="I35" s="39"/>
      <x:c r="J35" s="39"/>
      <x:c r="K35" s="39"/>
      <x:c r="L35" s="39"/>
      <x:c r="M35" s="39"/>
      <x:c r="N35" s="39"/>
      <x:c r="O35" s="39"/>
      <x:c r="P35" s="39"/>
      <x:c r="Q35" s="39"/>
      <x:c r="R35" s="39"/>
      <x:c r="S35" s="39"/>
      <x:c r="T35" s="39"/>
      <x:c r="U35" s="39"/>
      <x:c r="V35" s="39"/>
    </x:row>
    <x:row r="36">
      <x:c r="A36" s="39"/>
      <x:c r="B36" s="39"/>
      <x:c r="C36" s="39"/>
      <x:c r="D36" s="39"/>
      <x:c r="E36" s="39"/>
      <x:c r="F36" s="39"/>
      <x:c r="G36" s="39"/>
      <x:c r="H36" s="39"/>
      <x:c r="I36" s="39"/>
      <x:c r="J36" s="39"/>
      <x:c r="K36" s="39"/>
      <x:c r="L36" s="39"/>
      <x:c r="M36" s="39"/>
      <x:c r="N36" s="39"/>
      <x:c r="O36" s="39"/>
      <x:c r="P36" s="39"/>
      <x:c r="Q36" s="39"/>
      <x:c r="R36" s="39"/>
      <x:c r="S36" s="39"/>
      <x:c r="T36" s="39"/>
      <x:c r="U36" s="39"/>
      <x:c r="V36" s="39"/>
    </x:row>
    <x:row r="37">
      <x:c r="A37" s="39"/>
      <x:c r="B37" s="39"/>
      <x:c r="C37" s="39"/>
      <x:c r="D37" s="39"/>
      <x:c r="E37" s="39"/>
      <x:c r="F37" s="39"/>
      <x:c r="G37" s="39"/>
      <x:c r="H37" s="39"/>
      <x:c r="I37" s="39"/>
      <x:c r="J37" s="39"/>
      <x:c r="K37" s="39"/>
      <x:c r="L37" s="39"/>
      <x:c r="M37" s="39"/>
      <x:c r="N37" s="39"/>
      <x:c r="O37" s="39"/>
      <x:c r="P37" s="39"/>
      <x:c r="Q37" s="39"/>
      <x:c r="R37" s="39"/>
      <x:c r="S37" s="39"/>
      <x:c r="T37" s="39"/>
      <x:c r="U37" s="39"/>
      <x:c r="V37" s="39"/>
    </x:row>
    <x:row r="38">
      <x:c r="A38" s="39"/>
      <x:c r="B38" s="39"/>
      <x:c r="C38" s="39"/>
      <x:c r="D38" s="39"/>
      <x:c r="E38" s="39"/>
      <x:c r="F38" s="39"/>
      <x:c r="G38" s="39"/>
      <x:c r="H38" s="39"/>
      <x:c r="I38" s="39"/>
      <x:c r="J38" s="39"/>
      <x:c r="K38" s="39"/>
      <x:c r="L38" s="39"/>
      <x:c r="M38" s="39"/>
      <x:c r="N38" s="39"/>
      <x:c r="O38" s="39"/>
      <x:c r="P38" s="39"/>
      <x:c r="Q38" s="39"/>
      <x:c r="R38" s="39"/>
      <x:c r="S38" s="39"/>
      <x:c r="T38" s="39"/>
      <x:c r="U38" s="39"/>
      <x:c r="V38" s="39"/>
    </x:row>
    <x:row r="39">
      <x:c r="A39" s="39"/>
      <x:c r="B39" s="39"/>
      <x:c r="C39" s="39"/>
      <x:c r="D39" s="39"/>
      <x:c r="E39" s="39"/>
      <x:c r="F39" s="39"/>
      <x:c r="G39" s="39"/>
      <x:c r="H39" s="39"/>
      <x:c r="I39" s="39"/>
      <x:c r="J39" s="39"/>
      <x:c r="K39" s="39"/>
      <x:c r="L39" s="39"/>
      <x:c r="M39" s="39"/>
      <x:c r="N39" s="39"/>
      <x:c r="O39" s="39"/>
      <x:c r="P39" s="39"/>
      <x:c r="Q39" s="39"/>
      <x:c r="R39" s="39"/>
      <x:c r="S39" s="39"/>
      <x:c r="T39" s="39"/>
      <x:c r="U39" s="39"/>
      <x:c r="V39" s="39"/>
    </x:row>
    <x:row r="40">
      <x:c r="A40" s="39"/>
      <x:c r="B40" s="39"/>
      <x:c r="C40" s="39"/>
      <x:c r="D40" s="39"/>
      <x:c r="E40" s="39"/>
      <x:c r="F40" s="39"/>
      <x:c r="G40" s="39"/>
      <x:c r="H40" s="39"/>
      <x:c r="I40" s="39"/>
      <x:c r="J40" s="39"/>
      <x:c r="K40" s="39"/>
      <x:c r="L40" s="39"/>
      <x:c r="M40" s="39"/>
      <x:c r="N40" s="39"/>
      <x:c r="O40" s="39"/>
      <x:c r="P40" s="39"/>
      <x:c r="Q40" s="39"/>
      <x:c r="R40" s="39"/>
      <x:c r="S40" s="39"/>
      <x:c r="T40" s="39"/>
      <x:c r="U40" s="39"/>
      <x:c r="V40" s="39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2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30" hidden="0" customWidth="1"/>
    <x:col min="13" max="13" width="30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28" hidden="0" customWidth="1"/>
  </x:cols>
  <x:sheetData>
    <x:row r="1">
      <x:c r="A1" s="76" t="str">
        <x:v>Año</x:v>
      </x:c>
      <x:c r="B1" s="76" t="str">
        <x:v>ID Registro</x:v>
      </x:c>
      <x:c r="C1" s="76" t="str">
        <x:v>Fecha realización</x:v>
      </x:c>
      <x:c r="D1" s="76" t="str">
        <x:v>Tipo de examen</x:v>
      </x:c>
      <x:c r="E1" s="76" t="str">
        <x:v>Identificación</x:v>
      </x:c>
      <x:c r="F1" s="76" t="str">
        <x:v>Nombre completo</x:v>
      </x:c>
      <x:c r="G1" s="76" t="str">
        <x:v>Cargo</x:v>
      </x:c>
      <x:c r="H1" s="76" t="str">
        <x:v>Sede</x:v>
      </x:c>
      <x:c r="I1" s="76" t="str">
        <x:v>Área / Proceso</x:v>
      </x:c>
      <x:c r="J1" s="76" t="str">
        <x:v>Proveedor / IPS</x:v>
      </x:c>
      <x:c r="K1" s="76" t="str">
        <x:v>Resultado</x:v>
      </x:c>
      <x:c r="L1" s="76" t="str">
        <x:v>Restricciones</x:v>
      </x:c>
      <x:c r="M1" s="76" t="str">
        <x:v>Recomendaciones</x:v>
      </x:c>
      <x:c r="N1" s="76" t="str">
        <x:v>Periodicidad (meses)</x:v>
      </x:c>
      <x:c r="O1" s="76" t="str">
        <x:v>Fecha vencimiento próximo examen</x:v>
      </x:c>
      <x:c r="P1" s="76" t="str">
        <x:v>Diagnóstico general</x:v>
      </x:c>
      <x:c r="Q1" s="76" t="str">
        <x:v>¿Requiere seguimiento especial?</x:v>
      </x:c>
      <x:c r="R1" s="76" t="str">
        <x:v>Tipo de seguimiento</x:v>
      </x:c>
      <x:c r="S1" s="76" t="str">
        <x:v>Fecha próximo seguimiento</x:v>
      </x:c>
      <x:c r="T1" s="76" t="str">
        <x:v>Estado</x:v>
      </x:c>
      <x:c r="U1" s="76" t="str">
        <x:v>Responsable de gestión</x:v>
      </x:c>
      <x:c r="V1" s="76" t="str">
        <x:v>Observaciones</x:v>
      </x:c>
    </x:row>
    <x:row r="2">
      <x:c r="A2" s="191"/>
      <x:c r="B2" s="192"/>
      <x:c r="C2" s="192"/>
      <x:c r="D2" s="192"/>
      <x:c r="E2" s="192"/>
      <x:c r="F2" s="192"/>
      <x:c r="G2" s="192"/>
      <x:c r="H2" s="192"/>
      <x:c r="I2" s="192"/>
      <x:c r="J2" s="192"/>
      <x:c r="K2" s="192"/>
      <x:c r="L2" s="192"/>
      <x:c r="M2" s="192"/>
      <x:c r="N2" s="192"/>
      <x:c r="O2" s="192"/>
      <x:c r="P2" s="192"/>
      <x:c r="Q2" s="192"/>
      <x:c r="R2" s="192"/>
      <x:c r="S2" s="192"/>
      <x:c r="T2" s="192"/>
      <x:c r="U2" s="192"/>
      <x:c r="V2" s="193"/>
    </x:row>
    <x:row r="3">
      <x:c r="A3" s="194"/>
      <x:c r="B3" s="195"/>
      <x:c r="C3" s="195"/>
      <x:c r="D3" s="195"/>
      <x:c r="E3" s="195"/>
      <x:c r="F3" s="195"/>
      <x:c r="G3" s="195"/>
      <x:c r="H3" s="195"/>
      <x:c r="I3" s="195"/>
      <x:c r="J3" s="195"/>
      <x:c r="K3" s="195"/>
      <x:c r="L3" s="195"/>
      <x:c r="M3" s="195"/>
      <x:c r="N3" s="195"/>
      <x:c r="O3" s="195"/>
      <x:c r="P3" s="195"/>
      <x:c r="Q3" s="195"/>
      <x:c r="R3" s="195"/>
      <x:c r="S3" s="195"/>
      <x:c r="T3" s="195"/>
      <x:c r="U3" s="195"/>
      <x:c r="V3" s="196"/>
    </x:row>
    <x:row r="4">
      <x:c r="A4" s="194"/>
      <x:c r="B4" s="195"/>
      <x:c r="C4" s="195"/>
      <x:c r="D4" s="195"/>
      <x:c r="E4" s="195"/>
      <x:c r="F4" s="195"/>
      <x:c r="G4" s="195"/>
      <x:c r="H4" s="195"/>
      <x:c r="I4" s="195"/>
      <x:c r="J4" s="195"/>
      <x:c r="K4" s="195"/>
      <x:c r="L4" s="195"/>
      <x:c r="M4" s="195"/>
      <x:c r="N4" s="195"/>
      <x:c r="O4" s="195"/>
      <x:c r="P4" s="195"/>
      <x:c r="Q4" s="195"/>
      <x:c r="R4" s="195"/>
      <x:c r="S4" s="195"/>
      <x:c r="T4" s="195"/>
      <x:c r="U4" s="195"/>
      <x:c r="V4" s="196"/>
    </x:row>
    <x:row r="5">
      <x:c r="A5" s="194"/>
      <x:c r="B5" s="195"/>
      <x:c r="C5" s="195"/>
      <x:c r="D5" s="195"/>
      <x:c r="E5" s="195"/>
      <x:c r="F5" s="195"/>
      <x:c r="G5" s="195"/>
      <x:c r="H5" s="195"/>
      <x:c r="I5" s="195"/>
      <x:c r="J5" s="195"/>
      <x:c r="K5" s="195"/>
      <x:c r="L5" s="195"/>
      <x:c r="M5" s="195"/>
      <x:c r="N5" s="195"/>
      <x:c r="O5" s="195"/>
      <x:c r="P5" s="195"/>
      <x:c r="Q5" s="195"/>
      <x:c r="R5" s="195"/>
      <x:c r="S5" s="195"/>
      <x:c r="T5" s="195"/>
      <x:c r="U5" s="195"/>
      <x:c r="V5" s="196"/>
    </x:row>
    <x:row r="6">
      <x:c r="A6" s="194"/>
      <x:c r="B6" s="195"/>
      <x:c r="C6" s="195"/>
      <x:c r="D6" s="195"/>
      <x:c r="E6" s="195"/>
      <x:c r="F6" s="195"/>
      <x:c r="G6" s="195"/>
      <x:c r="H6" s="195"/>
      <x:c r="I6" s="195"/>
      <x:c r="J6" s="195"/>
      <x:c r="K6" s="195"/>
      <x:c r="L6" s="195"/>
      <x:c r="M6" s="195"/>
      <x:c r="N6" s="195"/>
      <x:c r="O6" s="195"/>
      <x:c r="P6" s="195"/>
      <x:c r="Q6" s="195"/>
      <x:c r="R6" s="195"/>
      <x:c r="S6" s="195"/>
      <x:c r="T6" s="195"/>
      <x:c r="U6" s="195"/>
      <x:c r="V6" s="196"/>
    </x:row>
    <x:row r="7">
      <x:c r="A7" s="194"/>
      <x:c r="B7" s="195"/>
      <x:c r="C7" s="195"/>
      <x:c r="D7" s="195"/>
      <x:c r="E7" s="195"/>
      <x:c r="F7" s="195"/>
      <x:c r="G7" s="195"/>
      <x:c r="H7" s="195"/>
      <x:c r="I7" s="195"/>
      <x:c r="J7" s="195"/>
      <x:c r="K7" s="195"/>
      <x:c r="L7" s="195"/>
      <x:c r="M7" s="195"/>
      <x:c r="N7" s="195"/>
      <x:c r="O7" s="195"/>
      <x:c r="P7" s="195"/>
      <x:c r="Q7" s="195"/>
      <x:c r="R7" s="195"/>
      <x:c r="S7" s="195"/>
      <x:c r="T7" s="195"/>
      <x:c r="U7" s="195"/>
      <x:c r="V7" s="196"/>
    </x:row>
    <x:row r="8">
      <x:c r="A8" s="194"/>
      <x:c r="B8" s="195"/>
      <x:c r="C8" s="195"/>
      <x:c r="D8" s="195"/>
      <x:c r="E8" s="195"/>
      <x:c r="F8" s="195"/>
      <x:c r="G8" s="195"/>
      <x:c r="H8" s="195"/>
      <x:c r="I8" s="195"/>
      <x:c r="J8" s="195"/>
      <x:c r="K8" s="195"/>
      <x:c r="L8" s="195"/>
      <x:c r="M8" s="195"/>
      <x:c r="N8" s="195"/>
      <x:c r="O8" s="195"/>
      <x:c r="P8" s="195"/>
      <x:c r="Q8" s="195"/>
      <x:c r="R8" s="195"/>
      <x:c r="S8" s="195"/>
      <x:c r="T8" s="195"/>
      <x:c r="U8" s="195"/>
      <x:c r="V8" s="196"/>
    </x:row>
    <x:row r="9">
      <x:c r="A9" s="194"/>
      <x:c r="B9" s="195"/>
      <x:c r="C9" s="195"/>
      <x:c r="D9" s="195"/>
      <x:c r="E9" s="195"/>
      <x:c r="F9" s="195"/>
      <x:c r="G9" s="195"/>
      <x:c r="H9" s="195"/>
      <x:c r="I9" s="195"/>
      <x:c r="J9" s="195"/>
      <x:c r="K9" s="195"/>
      <x:c r="L9" s="195"/>
      <x:c r="M9" s="195"/>
      <x:c r="N9" s="195"/>
      <x:c r="O9" s="195"/>
      <x:c r="P9" s="195"/>
      <x:c r="Q9" s="195"/>
      <x:c r="R9" s="195"/>
      <x:c r="S9" s="195"/>
      <x:c r="T9" s="195"/>
      <x:c r="U9" s="195"/>
      <x:c r="V9" s="196"/>
    </x:row>
    <x:row r="10">
      <x:c r="A10" s="194"/>
      <x:c r="B10" s="195"/>
      <x:c r="C10" s="195"/>
      <x:c r="D10" s="195"/>
      <x:c r="E10" s="195"/>
      <x:c r="F10" s="195"/>
      <x:c r="G10" s="195"/>
      <x:c r="H10" s="195"/>
      <x:c r="I10" s="195"/>
      <x:c r="J10" s="195"/>
      <x:c r="K10" s="195"/>
      <x:c r="L10" s="195"/>
      <x:c r="M10" s="195"/>
      <x:c r="N10" s="195"/>
      <x:c r="O10" s="195"/>
      <x:c r="P10" s="195"/>
      <x:c r="Q10" s="195"/>
      <x:c r="R10" s="195"/>
      <x:c r="S10" s="195"/>
      <x:c r="T10" s="195"/>
      <x:c r="U10" s="195"/>
      <x:c r="V10" s="196"/>
    </x:row>
    <x:row r="11">
      <x:c r="A11" s="194"/>
      <x:c r="B11" s="195"/>
      <x:c r="C11" s="195"/>
      <x:c r="D11" s="195"/>
      <x:c r="E11" s="195"/>
      <x:c r="F11" s="195"/>
      <x:c r="G11" s="195"/>
      <x:c r="H11" s="195"/>
      <x:c r="I11" s="195"/>
      <x:c r="J11" s="195"/>
      <x:c r="K11" s="195"/>
      <x:c r="L11" s="195"/>
      <x:c r="M11" s="195"/>
      <x:c r="N11" s="195"/>
      <x:c r="O11" s="195"/>
      <x:c r="P11" s="195"/>
      <x:c r="Q11" s="195"/>
      <x:c r="R11" s="195"/>
      <x:c r="S11" s="195"/>
      <x:c r="T11" s="195"/>
      <x:c r="U11" s="195"/>
      <x:c r="V11" s="196"/>
    </x:row>
    <x:row r="12">
      <x:c r="A12" s="194"/>
      <x:c r="B12" s="195"/>
      <x:c r="C12" s="195"/>
      <x:c r="D12" s="195"/>
      <x:c r="E12" s="195"/>
      <x:c r="F12" s="195"/>
      <x:c r="G12" s="195"/>
      <x:c r="H12" s="195"/>
      <x:c r="I12" s="195"/>
      <x:c r="J12" s="195"/>
      <x:c r="K12" s="195"/>
      <x:c r="L12" s="195"/>
      <x:c r="M12" s="195"/>
      <x:c r="N12" s="195"/>
      <x:c r="O12" s="195"/>
      <x:c r="P12" s="195"/>
      <x:c r="Q12" s="195"/>
      <x:c r="R12" s="195"/>
      <x:c r="S12" s="195"/>
      <x:c r="T12" s="195"/>
      <x:c r="U12" s="195"/>
      <x:c r="V12" s="196"/>
    </x:row>
    <x:row r="13">
      <x:c r="A13" s="194"/>
      <x:c r="B13" s="195"/>
      <x:c r="C13" s="195"/>
      <x:c r="D13" s="195"/>
      <x:c r="E13" s="195"/>
      <x:c r="F13" s="195"/>
      <x:c r="G13" s="195"/>
      <x:c r="H13" s="195"/>
      <x:c r="I13" s="195"/>
      <x:c r="J13" s="195"/>
      <x:c r="K13" s="195"/>
      <x:c r="L13" s="195"/>
      <x:c r="M13" s="195"/>
      <x:c r="N13" s="195"/>
      <x:c r="O13" s="195"/>
      <x:c r="P13" s="195"/>
      <x:c r="Q13" s="195"/>
      <x:c r="R13" s="195"/>
      <x:c r="S13" s="195"/>
      <x:c r="T13" s="195"/>
      <x:c r="U13" s="195"/>
      <x:c r="V13" s="196"/>
    </x:row>
    <x:row r="14">
      <x:c r="A14" s="194"/>
      <x:c r="B14" s="195"/>
      <x:c r="C14" s="195"/>
      <x:c r="D14" s="195"/>
      <x:c r="E14" s="195"/>
      <x:c r="F14" s="195"/>
      <x:c r="G14" s="195"/>
      <x:c r="H14" s="195"/>
      <x:c r="I14" s="195"/>
      <x:c r="J14" s="195"/>
      <x:c r="K14" s="195"/>
      <x:c r="L14" s="195"/>
      <x:c r="M14" s="195"/>
      <x:c r="N14" s="195"/>
      <x:c r="O14" s="195"/>
      <x:c r="P14" s="195"/>
      <x:c r="Q14" s="195"/>
      <x:c r="R14" s="195"/>
      <x:c r="S14" s="195"/>
      <x:c r="T14" s="195"/>
      <x:c r="U14" s="195"/>
      <x:c r="V14" s="196"/>
    </x:row>
    <x:row r="15">
      <x:c r="A15" s="194"/>
      <x:c r="B15" s="195"/>
      <x:c r="C15" s="195"/>
      <x:c r="D15" s="195"/>
      <x:c r="E15" s="195"/>
      <x:c r="F15" s="195"/>
      <x:c r="G15" s="195"/>
      <x:c r="H15" s="195"/>
      <x:c r="I15" s="195"/>
      <x:c r="J15" s="195"/>
      <x:c r="K15" s="195"/>
      <x:c r="L15" s="195"/>
      <x:c r="M15" s="195"/>
      <x:c r="N15" s="195"/>
      <x:c r="O15" s="195"/>
      <x:c r="P15" s="195"/>
      <x:c r="Q15" s="195"/>
      <x:c r="R15" s="195"/>
      <x:c r="S15" s="195"/>
      <x:c r="T15" s="195"/>
      <x:c r="U15" s="195"/>
      <x:c r="V15" s="196"/>
    </x:row>
    <x:row r="16">
      <x:c r="A16" s="194"/>
      <x:c r="B16" s="195"/>
      <x:c r="C16" s="195"/>
      <x:c r="D16" s="195"/>
      <x:c r="E16" s="195"/>
      <x:c r="F16" s="195"/>
      <x:c r="G16" s="195"/>
      <x:c r="H16" s="195"/>
      <x:c r="I16" s="195"/>
      <x:c r="J16" s="195"/>
      <x:c r="K16" s="195"/>
      <x:c r="L16" s="195"/>
      <x:c r="M16" s="195"/>
      <x:c r="N16" s="195"/>
      <x:c r="O16" s="195"/>
      <x:c r="P16" s="195"/>
      <x:c r="Q16" s="195"/>
      <x:c r="R16" s="195"/>
      <x:c r="S16" s="195"/>
      <x:c r="T16" s="195"/>
      <x:c r="U16" s="195"/>
      <x:c r="V16" s="196"/>
    </x:row>
    <x:row r="17">
      <x:c r="A17" s="194"/>
      <x:c r="B17" s="195"/>
      <x:c r="C17" s="195"/>
      <x:c r="D17" s="195"/>
      <x:c r="E17" s="195"/>
      <x:c r="F17" s="195"/>
      <x:c r="G17" s="195"/>
      <x:c r="H17" s="195"/>
      <x:c r="I17" s="195"/>
      <x:c r="J17" s="195"/>
      <x:c r="K17" s="195"/>
      <x:c r="L17" s="195"/>
      <x:c r="M17" s="195"/>
      <x:c r="N17" s="195"/>
      <x:c r="O17" s="195"/>
      <x:c r="P17" s="195"/>
      <x:c r="Q17" s="195"/>
      <x:c r="R17" s="195"/>
      <x:c r="S17" s="195"/>
      <x:c r="T17" s="195"/>
      <x:c r="U17" s="195"/>
      <x:c r="V17" s="196"/>
    </x:row>
    <x:row r="18">
      <x:c r="A18" s="194"/>
      <x:c r="B18" s="195"/>
      <x:c r="C18" s="195"/>
      <x:c r="D18" s="195"/>
      <x:c r="E18" s="195"/>
      <x:c r="F18" s="195"/>
      <x:c r="G18" s="195"/>
      <x:c r="H18" s="195"/>
      <x:c r="I18" s="195"/>
      <x:c r="J18" s="195"/>
      <x:c r="K18" s="195"/>
      <x:c r="L18" s="195"/>
      <x:c r="M18" s="195"/>
      <x:c r="N18" s="195"/>
      <x:c r="O18" s="195"/>
      <x:c r="P18" s="195"/>
      <x:c r="Q18" s="195"/>
      <x:c r="R18" s="195"/>
      <x:c r="S18" s="195"/>
      <x:c r="T18" s="195"/>
      <x:c r="U18" s="195"/>
      <x:c r="V18" s="196"/>
    </x:row>
    <x:row r="19">
      <x:c r="A19" s="194"/>
      <x:c r="B19" s="195"/>
      <x:c r="C19" s="195"/>
      <x:c r="D19" s="195"/>
      <x:c r="E19" s="195"/>
      <x:c r="F19" s="195"/>
      <x:c r="G19" s="195"/>
      <x:c r="H19" s="195"/>
      <x:c r="I19" s="195"/>
      <x:c r="J19" s="195"/>
      <x:c r="K19" s="195"/>
      <x:c r="L19" s="195"/>
      <x:c r="M19" s="195"/>
      <x:c r="N19" s="195"/>
      <x:c r="O19" s="195"/>
      <x:c r="P19" s="195"/>
      <x:c r="Q19" s="195"/>
      <x:c r="R19" s="195"/>
      <x:c r="S19" s="195"/>
      <x:c r="T19" s="195"/>
      <x:c r="U19" s="195"/>
      <x:c r="V19" s="196"/>
    </x:row>
    <x:row r="20">
      <x:c r="A20" s="194"/>
      <x:c r="B20" s="195"/>
      <x:c r="C20" s="195"/>
      <x:c r="D20" s="195"/>
      <x:c r="E20" s="195"/>
      <x:c r="F20" s="195"/>
      <x:c r="G20" s="195"/>
      <x:c r="H20" s="195"/>
      <x:c r="I20" s="195"/>
      <x:c r="J20" s="195"/>
      <x:c r="K20" s="195"/>
      <x:c r="L20" s="195"/>
      <x:c r="M20" s="195"/>
      <x:c r="N20" s="195"/>
      <x:c r="O20" s="195"/>
      <x:c r="P20" s="195"/>
      <x:c r="Q20" s="195"/>
      <x:c r="R20" s="195"/>
      <x:c r="S20" s="195"/>
      <x:c r="T20" s="195"/>
      <x:c r="U20" s="195"/>
      <x:c r="V20" s="196"/>
    </x:row>
    <x:row r="21">
      <x:c r="A21" s="194"/>
      <x:c r="B21" s="195"/>
      <x:c r="C21" s="195"/>
      <x:c r="D21" s="195"/>
      <x:c r="E21" s="195"/>
      <x:c r="F21" s="195"/>
      <x:c r="G21" s="195"/>
      <x:c r="H21" s="195"/>
      <x:c r="I21" s="195"/>
      <x:c r="J21" s="195"/>
      <x:c r="K21" s="195"/>
      <x:c r="L21" s="195"/>
      <x:c r="M21" s="195"/>
      <x:c r="N21" s="195"/>
      <x:c r="O21" s="195"/>
      <x:c r="P21" s="195"/>
      <x:c r="Q21" s="195"/>
      <x:c r="R21" s="195"/>
      <x:c r="S21" s="195"/>
      <x:c r="T21" s="195"/>
      <x:c r="U21" s="195"/>
      <x:c r="V21" s="196"/>
    </x:row>
    <x:row r="22">
      <x:c r="A22" s="194"/>
      <x:c r="B22" s="195"/>
      <x:c r="C22" s="195"/>
      <x:c r="D22" s="195"/>
      <x:c r="E22" s="195"/>
      <x:c r="F22" s="195"/>
      <x:c r="G22" s="195"/>
      <x:c r="H22" s="195"/>
      <x:c r="I22" s="195"/>
      <x:c r="J22" s="195"/>
      <x:c r="K22" s="195"/>
      <x:c r="L22" s="195"/>
      <x:c r="M22" s="195"/>
      <x:c r="N22" s="195"/>
      <x:c r="O22" s="195"/>
      <x:c r="P22" s="195"/>
      <x:c r="Q22" s="195"/>
      <x:c r="R22" s="195"/>
      <x:c r="S22" s="195"/>
      <x:c r="T22" s="195"/>
      <x:c r="U22" s="195"/>
      <x:c r="V22" s="196"/>
    </x:row>
    <x:row r="23">
      <x:c r="A23" s="194"/>
      <x:c r="B23" s="195"/>
      <x:c r="C23" s="195"/>
      <x:c r="D23" s="195"/>
      <x:c r="E23" s="195"/>
      <x:c r="F23" s="195"/>
      <x:c r="G23" s="195"/>
      <x:c r="H23" s="195"/>
      <x:c r="I23" s="195"/>
      <x:c r="J23" s="195"/>
      <x:c r="K23" s="195"/>
      <x:c r="L23" s="195"/>
      <x:c r="M23" s="195"/>
      <x:c r="N23" s="195"/>
      <x:c r="O23" s="195"/>
      <x:c r="P23" s="195"/>
      <x:c r="Q23" s="195"/>
      <x:c r="R23" s="195"/>
      <x:c r="S23" s="195"/>
      <x:c r="T23" s="195"/>
      <x:c r="U23" s="195"/>
      <x:c r="V23" s="196"/>
    </x:row>
    <x:row r="24">
      <x:c r="A24" s="194"/>
      <x:c r="B24" s="195"/>
      <x:c r="C24" s="195"/>
      <x:c r="D24" s="195"/>
      <x:c r="E24" s="195"/>
      <x:c r="F24" s="195"/>
      <x:c r="G24" s="195"/>
      <x:c r="H24" s="195"/>
      <x:c r="I24" s="195"/>
      <x:c r="J24" s="195"/>
      <x:c r="K24" s="195"/>
      <x:c r="L24" s="195"/>
      <x:c r="M24" s="195"/>
      <x:c r="N24" s="195"/>
      <x:c r="O24" s="195"/>
      <x:c r="P24" s="195"/>
      <x:c r="Q24" s="195"/>
      <x:c r="R24" s="195"/>
      <x:c r="S24" s="195"/>
      <x:c r="T24" s="195"/>
      <x:c r="U24" s="195"/>
      <x:c r="V24" s="196"/>
    </x:row>
    <x:row r="25">
      <x:c r="A25" s="194"/>
      <x:c r="B25" s="195"/>
      <x:c r="C25" s="195"/>
      <x:c r="D25" s="195"/>
      <x:c r="E25" s="195"/>
      <x:c r="F25" s="195"/>
      <x:c r="G25" s="195"/>
      <x:c r="H25" s="195"/>
      <x:c r="I25" s="195"/>
      <x:c r="J25" s="195"/>
      <x:c r="K25" s="195"/>
      <x:c r="L25" s="195"/>
      <x:c r="M25" s="195"/>
      <x:c r="N25" s="195"/>
      <x:c r="O25" s="195"/>
      <x:c r="P25" s="195"/>
      <x:c r="Q25" s="195"/>
      <x:c r="R25" s="195"/>
      <x:c r="S25" s="195"/>
      <x:c r="T25" s="195"/>
      <x:c r="U25" s="195"/>
      <x:c r="V25" s="196"/>
    </x:row>
    <x:row r="26">
      <x:c r="A26" s="194"/>
      <x:c r="B26" s="195"/>
      <x:c r="C26" s="195"/>
      <x:c r="D26" s="195"/>
      <x:c r="E26" s="195"/>
      <x:c r="F26" s="195"/>
      <x:c r="G26" s="195"/>
      <x:c r="H26" s="195"/>
      <x:c r="I26" s="195"/>
      <x:c r="J26" s="195"/>
      <x:c r="K26" s="195"/>
      <x:c r="L26" s="195"/>
      <x:c r="M26" s="195"/>
      <x:c r="N26" s="195"/>
      <x:c r="O26" s="195"/>
      <x:c r="P26" s="195"/>
      <x:c r="Q26" s="195"/>
      <x:c r="R26" s="195"/>
      <x:c r="S26" s="195"/>
      <x:c r="T26" s="195"/>
      <x:c r="U26" s="195"/>
      <x:c r="V26" s="196"/>
    </x:row>
    <x:row r="27">
      <x:c r="A27" s="194"/>
      <x:c r="B27" s="195"/>
      <x:c r="C27" s="195"/>
      <x:c r="D27" s="195"/>
      <x:c r="E27" s="195"/>
      <x:c r="F27" s="195"/>
      <x:c r="G27" s="195"/>
      <x:c r="H27" s="195"/>
      <x:c r="I27" s="195"/>
      <x:c r="J27" s="195"/>
      <x:c r="K27" s="195"/>
      <x:c r="L27" s="195"/>
      <x:c r="M27" s="195"/>
      <x:c r="N27" s="195"/>
      <x:c r="O27" s="195"/>
      <x:c r="P27" s="195"/>
      <x:c r="Q27" s="195"/>
      <x:c r="R27" s="195"/>
      <x:c r="S27" s="195"/>
      <x:c r="T27" s="195"/>
      <x:c r="U27" s="195"/>
      <x:c r="V27" s="196"/>
    </x:row>
    <x:row r="28">
      <x:c r="A28" s="194"/>
      <x:c r="B28" s="195"/>
      <x:c r="C28" s="195"/>
      <x:c r="D28" s="195"/>
      <x:c r="E28" s="195"/>
      <x:c r="F28" s="195"/>
      <x:c r="G28" s="195"/>
      <x:c r="H28" s="195"/>
      <x:c r="I28" s="195"/>
      <x:c r="J28" s="195"/>
      <x:c r="K28" s="195"/>
      <x:c r="L28" s="195"/>
      <x:c r="M28" s="195"/>
      <x:c r="N28" s="195"/>
      <x:c r="O28" s="195"/>
      <x:c r="P28" s="195"/>
      <x:c r="Q28" s="195"/>
      <x:c r="R28" s="195"/>
      <x:c r="S28" s="195"/>
      <x:c r="T28" s="195"/>
      <x:c r="U28" s="195"/>
      <x:c r="V28" s="196"/>
    </x:row>
    <x:row r="29">
      <x:c r="A29" s="194"/>
      <x:c r="B29" s="195"/>
      <x:c r="C29" s="195"/>
      <x:c r="D29" s="195"/>
      <x:c r="E29" s="195"/>
      <x:c r="F29" s="195"/>
      <x:c r="G29" s="195"/>
      <x:c r="H29" s="195"/>
      <x:c r="I29" s="195"/>
      <x:c r="J29" s="195"/>
      <x:c r="K29" s="195"/>
      <x:c r="L29" s="195"/>
      <x:c r="M29" s="195"/>
      <x:c r="N29" s="195"/>
      <x:c r="O29" s="195"/>
      <x:c r="P29" s="195"/>
      <x:c r="Q29" s="195"/>
      <x:c r="R29" s="195"/>
      <x:c r="S29" s="195"/>
      <x:c r="T29" s="195"/>
      <x:c r="U29" s="195"/>
      <x:c r="V29" s="196"/>
    </x:row>
    <x:row r="30">
      <x:c r="A30" s="194"/>
      <x:c r="B30" s="195"/>
      <x:c r="C30" s="195"/>
      <x:c r="D30" s="195"/>
      <x:c r="E30" s="195"/>
      <x:c r="F30" s="195"/>
      <x:c r="G30" s="195"/>
      <x:c r="H30" s="195"/>
      <x:c r="I30" s="195"/>
      <x:c r="J30" s="195"/>
      <x:c r="K30" s="195"/>
      <x:c r="L30" s="195"/>
      <x:c r="M30" s="195"/>
      <x:c r="N30" s="195"/>
      <x:c r="O30" s="195"/>
      <x:c r="P30" s="195"/>
      <x:c r="Q30" s="195"/>
      <x:c r="R30" s="195"/>
      <x:c r="S30" s="195"/>
      <x:c r="T30" s="195"/>
      <x:c r="U30" s="195"/>
      <x:c r="V30" s="196"/>
    </x:row>
    <x:row r="31">
      <x:c r="A31" s="194"/>
      <x:c r="B31" s="195"/>
      <x:c r="C31" s="195"/>
      <x:c r="D31" s="195"/>
      <x:c r="E31" s="195"/>
      <x:c r="F31" s="195"/>
      <x:c r="G31" s="195"/>
      <x:c r="H31" s="195"/>
      <x:c r="I31" s="195"/>
      <x:c r="J31" s="195"/>
      <x:c r="K31" s="195"/>
      <x:c r="L31" s="195"/>
      <x:c r="M31" s="195"/>
      <x:c r="N31" s="195"/>
      <x:c r="O31" s="195"/>
      <x:c r="P31" s="195"/>
      <x:c r="Q31" s="195"/>
      <x:c r="R31" s="195"/>
      <x:c r="S31" s="195"/>
      <x:c r="T31" s="195"/>
      <x:c r="U31" s="195"/>
      <x:c r="V31" s="196"/>
    </x:row>
    <x:row r="32">
      <x:c r="A32" s="194"/>
      <x:c r="B32" s="195"/>
      <x:c r="C32" s="195"/>
      <x:c r="D32" s="195"/>
      <x:c r="E32" s="195"/>
      <x:c r="F32" s="195"/>
      <x:c r="G32" s="195"/>
      <x:c r="H32" s="195"/>
      <x:c r="I32" s="195"/>
      <x:c r="J32" s="195"/>
      <x:c r="K32" s="195"/>
      <x:c r="L32" s="195"/>
      <x:c r="M32" s="195"/>
      <x:c r="N32" s="195"/>
      <x:c r="O32" s="195"/>
      <x:c r="P32" s="195"/>
      <x:c r="Q32" s="195"/>
      <x:c r="R32" s="195"/>
      <x:c r="S32" s="195"/>
      <x:c r="T32" s="195"/>
      <x:c r="U32" s="195"/>
      <x:c r="V32" s="196"/>
    </x:row>
    <x:row r="33">
      <x:c r="A33" s="194"/>
      <x:c r="B33" s="195"/>
      <x:c r="C33" s="195"/>
      <x:c r="D33" s="195"/>
      <x:c r="E33" s="195"/>
      <x:c r="F33" s="195"/>
      <x:c r="G33" s="195"/>
      <x:c r="H33" s="195"/>
      <x:c r="I33" s="195"/>
      <x:c r="J33" s="195"/>
      <x:c r="K33" s="195"/>
      <x:c r="L33" s="195"/>
      <x:c r="M33" s="195"/>
      <x:c r="N33" s="195"/>
      <x:c r="O33" s="195"/>
      <x:c r="P33" s="195"/>
      <x:c r="Q33" s="195"/>
      <x:c r="R33" s="195"/>
      <x:c r="S33" s="195"/>
      <x:c r="T33" s="195"/>
      <x:c r="U33" s="195"/>
      <x:c r="V33" s="196"/>
    </x:row>
    <x:row r="34">
      <x:c r="A34" s="194"/>
      <x:c r="B34" s="195"/>
      <x:c r="C34" s="195"/>
      <x:c r="D34" s="195"/>
      <x:c r="E34" s="195"/>
      <x:c r="F34" s="195"/>
      <x:c r="G34" s="195"/>
      <x:c r="H34" s="195"/>
      <x:c r="I34" s="195"/>
      <x:c r="J34" s="195"/>
      <x:c r="K34" s="195"/>
      <x:c r="L34" s="195"/>
      <x:c r="M34" s="195"/>
      <x:c r="N34" s="195"/>
      <x:c r="O34" s="195"/>
      <x:c r="P34" s="195"/>
      <x:c r="Q34" s="195"/>
      <x:c r="R34" s="195"/>
      <x:c r="S34" s="195"/>
      <x:c r="T34" s="195"/>
      <x:c r="U34" s="195"/>
      <x:c r="V34" s="196"/>
    </x:row>
    <x:row r="35">
      <x:c r="A35" s="194"/>
      <x:c r="B35" s="195"/>
      <x:c r="C35" s="195"/>
      <x:c r="D35" s="195"/>
      <x:c r="E35" s="195"/>
      <x:c r="F35" s="195"/>
      <x:c r="G35" s="195"/>
      <x:c r="H35" s="195"/>
      <x:c r="I35" s="195"/>
      <x:c r="J35" s="195"/>
      <x:c r="K35" s="195"/>
      <x:c r="L35" s="195"/>
      <x:c r="M35" s="195"/>
      <x:c r="N35" s="195"/>
      <x:c r="O35" s="195"/>
      <x:c r="P35" s="195"/>
      <x:c r="Q35" s="195"/>
      <x:c r="R35" s="195"/>
      <x:c r="S35" s="195"/>
      <x:c r="T35" s="195"/>
      <x:c r="U35" s="195"/>
      <x:c r="V35" s="196"/>
    </x:row>
    <x:row r="36">
      <x:c r="A36" s="194"/>
      <x:c r="B36" s="195"/>
      <x:c r="C36" s="195"/>
      <x:c r="D36" s="195"/>
      <x:c r="E36" s="195"/>
      <x:c r="F36" s="195"/>
      <x:c r="G36" s="195"/>
      <x:c r="H36" s="195"/>
      <x:c r="I36" s="195"/>
      <x:c r="J36" s="195"/>
      <x:c r="K36" s="195"/>
      <x:c r="L36" s="195"/>
      <x:c r="M36" s="195"/>
      <x:c r="N36" s="195"/>
      <x:c r="O36" s="195"/>
      <x:c r="P36" s="195"/>
      <x:c r="Q36" s="195"/>
      <x:c r="R36" s="195"/>
      <x:c r="S36" s="195"/>
      <x:c r="T36" s="195"/>
      <x:c r="U36" s="195"/>
      <x:c r="V36" s="196"/>
    </x:row>
    <x:row r="37">
      <x:c r="A37" s="194"/>
      <x:c r="B37" s="195"/>
      <x:c r="C37" s="195"/>
      <x:c r="D37" s="195"/>
      <x:c r="E37" s="195"/>
      <x:c r="F37" s="195"/>
      <x:c r="G37" s="195"/>
      <x:c r="H37" s="195"/>
      <x:c r="I37" s="195"/>
      <x:c r="J37" s="195"/>
      <x:c r="K37" s="195"/>
      <x:c r="L37" s="195"/>
      <x:c r="M37" s="195"/>
      <x:c r="N37" s="195"/>
      <x:c r="O37" s="195"/>
      <x:c r="P37" s="195"/>
      <x:c r="Q37" s="195"/>
      <x:c r="R37" s="195"/>
      <x:c r="S37" s="195"/>
      <x:c r="T37" s="195"/>
      <x:c r="U37" s="195"/>
      <x:c r="V37" s="196"/>
    </x:row>
    <x:row r="38">
      <x:c r="A38" s="194"/>
      <x:c r="B38" s="195"/>
      <x:c r="C38" s="195"/>
      <x:c r="D38" s="195"/>
      <x:c r="E38" s="195"/>
      <x:c r="F38" s="195"/>
      <x:c r="G38" s="195"/>
      <x:c r="H38" s="195"/>
      <x:c r="I38" s="195"/>
      <x:c r="J38" s="195"/>
      <x:c r="K38" s="195"/>
      <x:c r="L38" s="195"/>
      <x:c r="M38" s="195"/>
      <x:c r="N38" s="195"/>
      <x:c r="O38" s="195"/>
      <x:c r="P38" s="195"/>
      <x:c r="Q38" s="195"/>
      <x:c r="R38" s="195"/>
      <x:c r="S38" s="195"/>
      <x:c r="T38" s="195"/>
      <x:c r="U38" s="195"/>
      <x:c r="V38" s="196"/>
    </x:row>
    <x:row r="39">
      <x:c r="A39" s="194"/>
      <x:c r="B39" s="195"/>
      <x:c r="C39" s="195"/>
      <x:c r="D39" s="195"/>
      <x:c r="E39" s="195"/>
      <x:c r="F39" s="195"/>
      <x:c r="G39" s="195"/>
      <x:c r="H39" s="195"/>
      <x:c r="I39" s="195"/>
      <x:c r="J39" s="195"/>
      <x:c r="K39" s="195"/>
      <x:c r="L39" s="195"/>
      <x:c r="M39" s="195"/>
      <x:c r="N39" s="195"/>
      <x:c r="O39" s="195"/>
      <x:c r="P39" s="195"/>
      <x:c r="Q39" s="195"/>
      <x:c r="R39" s="195"/>
      <x:c r="S39" s="195"/>
      <x:c r="T39" s="195"/>
      <x:c r="U39" s="195"/>
      <x:c r="V39" s="196"/>
    </x:row>
    <x:row r="40">
      <x:c r="A40" s="197"/>
      <x:c r="B40" s="198"/>
      <x:c r="C40" s="198"/>
      <x:c r="D40" s="198"/>
      <x:c r="E40" s="198"/>
      <x:c r="F40" s="198"/>
      <x:c r="G40" s="198"/>
      <x:c r="H40" s="198"/>
      <x:c r="I40" s="198"/>
      <x:c r="J40" s="198"/>
      <x:c r="K40" s="198"/>
      <x:c r="L40" s="198"/>
      <x:c r="M40" s="198"/>
      <x:c r="N40" s="198"/>
      <x:c r="O40" s="198"/>
      <x:c r="P40" s="198"/>
      <x:c r="Q40" s="198"/>
      <x:c r="R40" s="198"/>
      <x:c r="S40" s="198"/>
      <x:c r="T40" s="198"/>
      <x:c r="U40" s="198"/>
      <x:c r="V40" s="199"/>
    </x:row>
  </x:sheetData>
  <x:dataValidations count="5">
    <x:dataValidation type="list" sqref="D2:D500">
      <x:formula1>Catálogos!$C$2:$C$6</x:formula1>
    </x:dataValidation>
    <x:dataValidation type="list" sqref="H2:H500">
      <x:formula1>Catálogos!$A$2:$A$12</x:formula1>
    </x:dataValidation>
    <x:dataValidation type="list" sqref="K2:K500">
      <x:formula1>Catálogos!$E$2:$E$4</x:formula1>
    </x:dataValidation>
    <x:dataValidation type="list" sqref="Q2:Q500">
      <x:formula1>"Sí,No"</x:formula1>
    </x:dataValidation>
    <x:dataValidation type="list" sqref="U2:U500">
      <x:formula1>Catálogos!$K$2:$K$5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2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30" hidden="0" customWidth="1"/>
    <x:col min="13" max="13" width="30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28" hidden="0" customWidth="1"/>
  </x:cols>
  <x:sheetData>
    <x:row r="1">
      <x:c r="A1" s="76" t="str">
        <x:v>Año</x:v>
      </x:c>
      <x:c r="B1" s="76" t="str">
        <x:v>ID Registro</x:v>
      </x:c>
      <x:c r="C1" s="76" t="str">
        <x:v>Fecha realización</x:v>
      </x:c>
      <x:c r="D1" s="76" t="str">
        <x:v>Tipo de examen</x:v>
      </x:c>
      <x:c r="E1" s="76" t="str">
        <x:v>Identificación</x:v>
      </x:c>
      <x:c r="F1" s="76" t="str">
        <x:v>Nombre completo</x:v>
      </x:c>
      <x:c r="G1" s="76" t="str">
        <x:v>Cargo</x:v>
      </x:c>
      <x:c r="H1" s="76" t="str">
        <x:v>Sede</x:v>
      </x:c>
      <x:c r="I1" s="76" t="str">
        <x:v>Área / Proceso</x:v>
      </x:c>
      <x:c r="J1" s="76" t="str">
        <x:v>Proveedor / IPS</x:v>
      </x:c>
      <x:c r="K1" s="76" t="str">
        <x:v>Resultado</x:v>
      </x:c>
      <x:c r="L1" s="76" t="str">
        <x:v>Restricciones</x:v>
      </x:c>
      <x:c r="M1" s="76" t="str">
        <x:v>Recomendaciones</x:v>
      </x:c>
      <x:c r="N1" s="76" t="str">
        <x:v>Periodicidad (meses)</x:v>
      </x:c>
      <x:c r="O1" s="76" t="str">
        <x:v>Fecha vencimiento próximo examen</x:v>
      </x:c>
      <x:c r="P1" s="76" t="str">
        <x:v>Diagnóstico general</x:v>
      </x:c>
      <x:c r="Q1" s="76" t="str">
        <x:v>¿Requiere seguimiento especial?</x:v>
      </x:c>
      <x:c r="R1" s="76" t="str">
        <x:v>Tipo de seguimiento</x:v>
      </x:c>
      <x:c r="S1" s="76" t="str">
        <x:v>Fecha próximo seguimiento</x:v>
      </x:c>
      <x:c r="T1" s="76" t="str">
        <x:v>Estado</x:v>
      </x:c>
      <x:c r="U1" s="76" t="str">
        <x:v>Responsable de gestión</x:v>
      </x:c>
      <x:c r="V1" s="76" t="str">
        <x:v>Observaciones</x:v>
      </x:c>
    </x:row>
    <x:row r="2">
      <x:c r="A2" s="85" t="n">
        <x:v>2023</x:v>
      </x:c>
      <x:c r="B2" s="86" t="str">
        <x:v>EMO-2023-0001</x:v>
      </x:c>
      <x:c r="C2" s="105" t="n">
        <x:v>45212</x:v>
      </x:c>
      <x:c r="D2" s="86" t="str">
        <x:v>Post-incapacidad</x:v>
      </x:c>
      <x:c r="E2" s="86" t="str">
        <x:v>165235884</x:v>
      </x:c>
      <x:c r="F2" s="86" t="str">
        <x:v>Wilson Andrés Rodríguez Suárez</x:v>
      </x:c>
      <x:c r="G2" s="86" t="str">
        <x:v>Vigilante</x:v>
      </x:c>
      <x:c r="H2" s="86" t="str">
        <x:v>Girón</x:v>
      </x:c>
      <x:c r="I2" s="86" t="str">
        <x:v>Operaciones</x:v>
      </x:c>
      <x:c r="J2" s="86" t="str">
        <x:v>Colmédica Ocupacional</x:v>
      </x:c>
      <x:c r="K2" s="86" t="str">
        <x:v>Apto</x:v>
      </x:c>
      <x:c r="L2" s="86" t="str"/>
      <x:c r="M2" s="86" t="str">
        <x:v>Uso permanente de EPP</x:v>
      </x:c>
      <x:c r="N2" s="111" t="n">
        <x:v>6</x:v>
      </x:c>
      <x:c r="O2" s="105" t="n">
        <x:f>EDATE(C2,N2)</x:f>
        <x:v>45395</x:v>
      </x:c>
      <x:c r="P2" s="86" t="str">
        <x:v>M75.1 Lesión de hombro</x:v>
      </x:c>
      <x:c r="Q2" s="86" t="str">
        <x:v>No</x:v>
      </x:c>
      <x:c r="R2" s="86" t="str"/>
      <x:c r="S2" s="105"/>
      <x:c r="T2" s="86" t="str">
        <x:f>IF(O2&lt;Instructivo!$B$4,"Vencido",IF(O2&lt;=Instructivo!$B$4+30,"Próximo a vencer","Vigente"))</x:f>
        <x:v>Vencido</x:v>
      </x:c>
      <x:c r="U2" s="86" t="str">
        <x:v>Líder SST</x:v>
      </x:c>
      <x:c r="V2" s="87" t="str">
        <x:v>Sin novedades adicionales</x:v>
      </x:c>
    </x:row>
    <x:row r="3">
      <x:c r="A3" s="88" t="n">
        <x:v>2023</x:v>
      </x:c>
      <x:c r="B3" s="89" t="str">
        <x:v>EMO-2023-0002</x:v>
      </x:c>
      <x:c r="C3" s="106" t="n">
        <x:v>45108</x:v>
      </x:c>
      <x:c r="D3" s="89" t="str">
        <x:v>Periódico</x:v>
      </x:c>
      <x:c r="E3" s="89" t="str">
        <x:v>601454696</x:v>
      </x:c>
      <x:c r="F3" s="89" t="str">
        <x:v>Luis Ana Moreno López</x:v>
      </x:c>
      <x:c r="G3" s="89" t="str">
        <x:v>Supervisor motorizado</x:v>
      </x:c>
      <x:c r="H3" s="89" t="str">
        <x:v>Medellín</x:v>
      </x:c>
      <x:c r="I3" s="89" t="str">
        <x:v>Operaciones</x:v>
      </x:c>
      <x:c r="J3" s="89" t="str">
        <x:v>Centro Médico Laboral Andino</x:v>
      </x:c>
      <x:c r="K3" s="89" t="str">
        <x:v>Apto</x:v>
      </x:c>
      <x:c r="L3" s="89" t="str"/>
      <x:c r="M3" s="89" t="str">
        <x:v>Mantener estilos de vida saludable</x:v>
      </x:c>
      <x:c r="N3" s="112" t="n">
        <x:v>12</x:v>
      </x:c>
      <x:c r="O3" s="106" t="n">
        <x:f>EDATE(C3,N3)</x:f>
        <x:v>45474</x:v>
      </x:c>
      <x:c r="P3" s="89" t="str">
        <x:v>M54.5 Lumbalgia</x:v>
      </x:c>
      <x:c r="Q3" s="89" t="str">
        <x:v>No</x:v>
      </x:c>
      <x:c r="R3" s="89" t="str"/>
      <x:c r="S3" s="106"/>
      <x:c r="T3" s="89" t="str">
        <x:f>IF(O3&lt;Instructivo!$B$4,"Vencido",IF(O3&lt;=Instructivo!$B$4+30,"Próximo a vencer","Vigente"))</x:f>
        <x:v>Vencido</x:v>
      </x:c>
      <x:c r="U3" s="89" t="str">
        <x:v>Coordinador de Talento Humano</x:v>
      </x:c>
      <x:c r="V3" s="90" t="str">
        <x:v>Sin novedades adicionales</x:v>
      </x:c>
    </x:row>
    <x:row r="4">
      <x:c r="A4" s="88" t="n">
        <x:v>2023</x:v>
      </x:c>
      <x:c r="B4" s="89" t="str">
        <x:v>EMO-2023-0003</x:v>
      </x:c>
      <x:c r="C4" s="106" t="n">
        <x:v>45070</x:v>
      </x:c>
      <x:c r="D4" s="89" t="str">
        <x:v>Periódico</x:v>
      </x:c>
      <x:c r="E4" s="89" t="str">
        <x:v>696069909</x:v>
      </x:c>
      <x:c r="F4" s="89" t="str">
        <x:v>Ana Sergio Martínez López</x:v>
      </x:c>
      <x:c r="G4" s="89" t="str">
        <x:v>Escolta</x:v>
      </x:c>
      <x:c r="H4" s="89" t="str">
        <x:v>Cúcuta</x:v>
      </x:c>
      <x:c r="I4" s="89" t="str">
        <x:v>Escoltas</x:v>
      </x:c>
      <x:c r="J4" s="89" t="str">
        <x:v>Salud Integral Ocupacional</x:v>
      </x:c>
      <x:c r="K4" s="89" t="str">
        <x:v>Apto</x:v>
      </x:c>
      <x:c r="L4" s="89" t="str"/>
      <x:c r="M4" s="89" t="str">
        <x:v>Participar en programas de vigilancia epidemiológica</x:v>
      </x:c>
      <x:c r="N4" s="112" t="n">
        <x:v>12</x:v>
      </x:c>
      <x:c r="O4" s="106" t="n">
        <x:f>EDATE(C4,N4)</x:f>
        <x:v>45436</x:v>
      </x:c>
      <x:c r="P4" s="89" t="str">
        <x:v>Z00.0 Examen general</x:v>
      </x:c>
      <x:c r="Q4" s="89" t="str">
        <x:v>No</x:v>
      </x:c>
      <x:c r="R4" s="89" t="str"/>
      <x:c r="S4" s="106"/>
      <x:c r="T4" s="89" t="str">
        <x:f>IF(O4&lt;Instructivo!$B$4,"Vencido",IF(O4&lt;=Instructivo!$B$4+30,"Próximo a vencer","Vigente"))</x:f>
        <x:v>Vencido</x:v>
      </x:c>
      <x:c r="U4" s="89" t="str">
        <x:v>Coordinador de Talento Humano</x:v>
      </x:c>
      <x:c r="V4" s="90" t="str">
        <x:v>Caso priorizado por restricciones activas</x:v>
      </x:c>
    </x:row>
    <x:row r="5">
      <x:c r="A5" s="88" t="n">
        <x:v>2023</x:v>
      </x:c>
      <x:c r="B5" s="89" t="str">
        <x:v>EMO-2023-0004</x:v>
      </x:c>
      <x:c r="C5" s="106" t="n">
        <x:v>45086</x:v>
      </x:c>
      <x:c r="D5" s="89" t="str">
        <x:v>Ingreso</x:v>
      </x:c>
      <x:c r="E5" s="89" t="str">
        <x:v>204905582</x:v>
      </x:c>
      <x:c r="F5" s="89" t="str">
        <x:v>Andrés Brayan Torres Cárdenas</x:v>
      </x:c>
      <x:c r="G5" s="89" t="str">
        <x:v>Operador de medios tecnológicos</x:v>
      </x:c>
      <x:c r="H5" s="89" t="str">
        <x:v>Arauca</x:v>
      </x:c>
      <x:c r="I5" s="89" t="str">
        <x:v>Medios Tecnológicos</x:v>
      </x:c>
      <x:c r="J5" s="89" t="str">
        <x:v>IPS Prevencionar</x:v>
      </x:c>
      <x:c r="K5" s="89" t="str">
        <x:v>Apto con restricciones</x:v>
      </x:c>
      <x:c r="L5" s="89" t="str">
        <x:v>Restricción para trabajo prolongado de pie</x:v>
      </x:c>
      <x:c r="M5" s="89" t="str">
        <x:v>Seguimiento por medicina laboral en 3 meses</x:v>
      </x:c>
      <x:c r="N5" s="112" t="n">
        <x:v>12</x:v>
      </x:c>
      <x:c r="O5" s="106" t="n">
        <x:f>EDATE(C5,N5)</x:f>
        <x:v>45452</x:v>
      </x:c>
      <x:c r="P5" s="89" t="str">
        <x:v>M54.5 Lumbalgia</x:v>
      </x:c>
      <x:c r="Q5" s="89" t="str">
        <x:v>Sí</x:v>
      </x:c>
      <x:c r="R5" s="89" t="str">
        <x:v>Ergonomía</x:v>
      </x:c>
      <x:c r="S5" s="106" t="n">
        <x:v>45146</x:v>
      </x:c>
      <x:c r="T5" s="89" t="str">
        <x:f>IF(O5&lt;Instructivo!$B$4,"Vencido",IF(O5&lt;=Instructivo!$B$4+30,"Próximo a vencer","Vigente"))</x:f>
        <x:v>Vencido</x:v>
      </x:c>
      <x:c r="U5" s="89" t="str">
        <x:v>Analista SST</x:v>
      </x:c>
      <x:c r="V5" s="90" t="str">
        <x:v>Caso priorizado por restricciones activas</x:v>
      </x:c>
    </x:row>
    <x:row r="6">
      <x:c r="A6" s="88" t="n">
        <x:v>2023</x:v>
      </x:c>
      <x:c r="B6" s="89" t="str">
        <x:v>EMO-2023-0005</x:v>
      </x:c>
      <x:c r="C6" s="106" t="n">
        <x:v>45199</x:v>
      </x:c>
      <x:c r="D6" s="89" t="str">
        <x:v>Ingreso</x:v>
      </x:c>
      <x:c r="E6" s="89" t="str">
        <x:v>204905582</x:v>
      </x:c>
      <x:c r="F6" s="89" t="str">
        <x:v>Andrés Brayan Torres Cárdenas</x:v>
      </x:c>
      <x:c r="G6" s="89" t="str">
        <x:v>Operador de medios tecnológicos</x:v>
      </x:c>
      <x:c r="H6" s="89" t="str">
        <x:v>Arauca</x:v>
      </x:c>
      <x:c r="I6" s="89" t="str">
        <x:v>Medios Tecnológicos</x:v>
      </x:c>
      <x:c r="J6" s="89" t="str">
        <x:v>Colmédica Ocupacional</x:v>
      </x:c>
      <x:c r="K6" s="89" t="str">
        <x:v>Apto</x:v>
      </x:c>
      <x:c r="L6" s="89" t="str"/>
      <x:c r="M6" s="89" t="str">
        <x:v>Participar en programas de vigilancia epidemiológica</x:v>
      </x:c>
      <x:c r="N6" s="112" t="n">
        <x:v>12</x:v>
      </x:c>
      <x:c r="O6" s="106" t="n">
        <x:f>EDATE(C6,N6)</x:f>
        <x:v>45565</x:v>
      </x:c>
      <x:c r="P6" s="89" t="str">
        <x:v>E66.9 Obesidad</x:v>
      </x:c>
      <x:c r="Q6" s="89" t="str">
        <x:v>No</x:v>
      </x:c>
      <x:c r="R6" s="89" t="str"/>
      <x:c r="S6" s="106"/>
      <x:c r="T6" s="89" t="str">
        <x:f>IF(O6&lt;Instructivo!$B$4,"Vencido",IF(O6&lt;=Instructivo!$B$4+30,"Próximo a vencer","Vigente"))</x:f>
        <x:v>Vencido</x:v>
      </x:c>
      <x:c r="U6" s="89" t="str">
        <x:v>Coordinador de Talento Humano</x:v>
      </x:c>
      <x:c r="V6" s="90" t="str">
        <x:v>Pendiente firma de concepto médico</x:v>
      </x:c>
    </x:row>
    <x:row r="7">
      <x:c r="A7" s="88" t="n">
        <x:v>2023</x:v>
      </x:c>
      <x:c r="B7" s="89" t="str">
        <x:v>EMO-2023-0006</x:v>
      </x:c>
      <x:c r="C7" s="106" t="n">
        <x:v>44954</x:v>
      </x:c>
      <x:c r="D7" s="89" t="str">
        <x:v>Periódico</x:v>
      </x:c>
      <x:c r="E7" s="89" t="str">
        <x:v>887847048</x:v>
      </x:c>
      <x:c r="F7" s="89" t="str">
        <x:v>Julián Carlos Rojas Sánchez</x:v>
      </x:c>
      <x:c r="G7" s="89" t="str">
        <x:v>Auxiliar administrativo</x:v>
      </x:c>
      <x:c r="H7" s="89" t="str">
        <x:v>Ocaña</x:v>
      </x:c>
      <x:c r="I7" s="89" t="str">
        <x:v>Administrativa</x:v>
      </x:c>
      <x:c r="J7" s="89" t="str">
        <x:v>IPS Prevencionar</x:v>
      </x:c>
      <x:c r="K7" s="89" t="str">
        <x:v>Apto</x:v>
      </x:c>
      <x:c r="L7" s="89" t="str"/>
      <x:c r="M7" s="89" t="str">
        <x:v>Continuar controles periódicos anuales</x:v>
      </x:c>
      <x:c r="N7" s="112" t="n">
        <x:v>12</x:v>
      </x:c>
      <x:c r="O7" s="106" t="n">
        <x:f>EDATE(C7,N7)</x:f>
        <x:v>45319</x:v>
      </x:c>
      <x:c r="P7" s="89" t="str">
        <x:v>M75.1 Lesión de hombro</x:v>
      </x:c>
      <x:c r="Q7" s="89" t="str">
        <x:v>No</x:v>
      </x:c>
      <x:c r="R7" s="89" t="str"/>
      <x:c r="S7" s="106"/>
      <x:c r="T7" s="89" t="str">
        <x:f>IF(O7&lt;Instructivo!$B$4,"Vencido",IF(O7&lt;=Instructivo!$B$4+30,"Próximo a vencer","Vigente"))</x:f>
        <x:v>Vencido</x:v>
      </x:c>
      <x:c r="U7" s="89" t="str">
        <x:v>Médico Ocupacional</x:v>
      </x:c>
      <x:c r="V7" s="90" t="str">
        <x:v>Se recomienda seguimiento por comité SST</x:v>
      </x:c>
    </x:row>
    <x:row r="8">
      <x:c r="A8" s="88" t="n">
        <x:v>2023</x:v>
      </x:c>
      <x:c r="B8" s="89" t="str">
        <x:v>EMO-2023-0007</x:v>
      </x:c>
      <x:c r="C8" s="106" t="n">
        <x:v>45067</x:v>
      </x:c>
      <x:c r="D8" s="89" t="str">
        <x:v>Periódico</x:v>
      </x:c>
      <x:c r="E8" s="89" t="str">
        <x:v>282101965</x:v>
      </x:c>
      <x:c r="F8" s="89" t="str">
        <x:v>Jhon Julián Parra Suárez</x:v>
      </x:c>
      <x:c r="G8" s="89" t="str">
        <x:v>Vigilante</x:v>
      </x:c>
      <x:c r="H8" s="89" t="str">
        <x:v>Pamplona</x:v>
      </x:c>
      <x:c r="I8" s="89" t="str">
        <x:v>Operaciones</x:v>
      </x:c>
      <x:c r="J8" s="89" t="str">
        <x:v>Colmédica Ocupacional</x:v>
      </x:c>
      <x:c r="K8" s="89" t="str">
        <x:v>Apto</x:v>
      </x:c>
      <x:c r="L8" s="89" t="str"/>
      <x:c r="M8" s="89" t="str">
        <x:v>Continuar controles periódicos anuales</x:v>
      </x:c>
      <x:c r="N8" s="112" t="n">
        <x:v>12</x:v>
      </x:c>
      <x:c r="O8" s="106" t="n">
        <x:f>EDATE(C8,N8)</x:f>
        <x:v>45433</x:v>
      </x:c>
      <x:c r="P8" s="89" t="str">
        <x:v>G56.0 Síndrome túnel carpiano</x:v>
      </x:c>
      <x:c r="Q8" s="89" t="str">
        <x:v>No</x:v>
      </x:c>
      <x:c r="R8" s="89" t="str"/>
      <x:c r="S8" s="106"/>
      <x:c r="T8" s="89" t="str">
        <x:f>IF(O8&lt;Instructivo!$B$4,"Vencido",IF(O8&lt;=Instructivo!$B$4+30,"Próximo a vencer","Vigente"))</x:f>
        <x:v>Vencido</x:v>
      </x:c>
      <x:c r="U8" s="89" t="str">
        <x:v>Coordinador de Talento Humano</x:v>
      </x:c>
      <x:c r="V8" s="90" t="str">
        <x:v>Registro completo y soportado en historia ocupacional</x:v>
      </x:c>
    </x:row>
    <x:row r="9">
      <x:c r="A9" s="88" t="n">
        <x:v>2023</x:v>
      </x:c>
      <x:c r="B9" s="89" t="str">
        <x:v>EMO-2023-0008</x:v>
      </x:c>
      <x:c r="C9" s="106" t="n">
        <x:v>45234</x:v>
      </x:c>
      <x:c r="D9" s="89" t="str">
        <x:v>Ingreso</x:v>
      </x:c>
      <x:c r="E9" s="89" t="str">
        <x:v>826279418</x:v>
      </x:c>
      <x:c r="F9" s="89" t="str">
        <x:v>Camilo Ana Castro Suárez</x:v>
      </x:c>
      <x:c r="G9" s="89" t="str">
        <x:v>Vigilante</x:v>
      </x:c>
      <x:c r="H9" s="89" t="str">
        <x:v>Ábrego</x:v>
      </x:c>
      <x:c r="I9" s="89" t="str">
        <x:v>Operaciones</x:v>
      </x:c>
      <x:c r="J9" s="89" t="str">
        <x:v>Centro Médico Laboral Andino</x:v>
      </x:c>
      <x:c r="K9" s="89" t="str">
        <x:v>Apto</x:v>
      </x:c>
      <x:c r="L9" s="89" t="str"/>
      <x:c r="M9" s="89" t="str">
        <x:v>Mantener estilos de vida saludable</x:v>
      </x:c>
      <x:c r="N9" s="112" t="n">
        <x:v>12</x:v>
      </x:c>
      <x:c r="O9" s="106" t="n">
        <x:f>EDATE(C9,N9)</x:f>
        <x:v>45600</x:v>
      </x:c>
      <x:c r="P9" s="89" t="str">
        <x:v>E66.9 Obesidad</x:v>
      </x:c>
      <x:c r="Q9" s="89" t="str">
        <x:v>No</x:v>
      </x:c>
      <x:c r="R9" s="89" t="str"/>
      <x:c r="S9" s="106"/>
      <x:c r="T9" s="89" t="str">
        <x:f>IF(O9&lt;Instructivo!$B$4,"Vencido",IF(O9&lt;=Instructivo!$B$4+30,"Próximo a vencer","Vigente"))</x:f>
        <x:v>Vencido</x:v>
      </x:c>
      <x:c r="U9" s="89" t="str">
        <x:v>Coordinador de Talento Humano</x:v>
      </x:c>
      <x:c r="V9" s="90" t="str">
        <x:v>Pendiente firma de concepto médico</x:v>
      </x:c>
    </x:row>
    <x:row r="10">
      <x:c r="A10" s="88" t="n">
        <x:v>2023</x:v>
      </x:c>
      <x:c r="B10" s="89" t="str">
        <x:v>EMO-2023-0009</x:v>
      </x:c>
      <x:c r="C10" s="106" t="n">
        <x:v>45182</x:v>
      </x:c>
      <x:c r="D10" s="89" t="str">
        <x:v>Ingreso</x:v>
      </x:c>
      <x:c r="E10" s="89" t="str">
        <x:v>765531230</x:v>
      </x:c>
      <x:c r="F10" s="89" t="str">
        <x:v>Paola Carolina Castro Cárdenas</x:v>
      </x:c>
      <x:c r="G10" s="89" t="str">
        <x:v>Vigilante</x:v>
      </x:c>
      <x:c r="H10" s="89" t="str">
        <x:v>Ocaña</x:v>
      </x:c>
      <x:c r="I10" s="89" t="str">
        <x:v>Operaciones</x:v>
      </x:c>
      <x:c r="J10" s="89" t="str">
        <x:v>Centro Médico Laboral Andino</x:v>
      </x:c>
      <x:c r="K10" s="89" t="str">
        <x:v>Apto con restricciones</x:v>
      </x:c>
      <x:c r="L10" s="89" t="str">
        <x:v>Pausas activas cada 2 horas</x:v>
      </x:c>
      <x:c r="M10" s="89" t="str">
        <x:v>Reubicación o ajuste razonable del puesto</x:v>
      </x:c>
      <x:c r="N10" s="112" t="n">
        <x:v>12</x:v>
      </x:c>
      <x:c r="O10" s="106" t="n">
        <x:f>EDATE(C10,N10)</x:f>
        <x:v>45548</x:v>
      </x:c>
      <x:c r="P10" s="89" t="str">
        <x:v>R51 Cefalea</x:v>
      </x:c>
      <x:c r="Q10" s="89" t="str">
        <x:v>Sí</x:v>
      </x:c>
      <x:c r="R10" s="89" t="str">
        <x:v>Psicosocial</x:v>
      </x:c>
      <x:c r="S10" s="106" t="n">
        <x:v>45302</x:v>
      </x:c>
      <x:c r="T10" s="89" t="str">
        <x:f>IF(O10&lt;Instructivo!$B$4,"Vencido",IF(O10&lt;=Instructivo!$B$4+30,"Próximo a vencer","Vigente"))</x:f>
        <x:v>Vencido</x:v>
      </x:c>
      <x:c r="U10" s="89" t="str">
        <x:v>Líder SST</x:v>
      </x:c>
      <x:c r="V10" s="90" t="str">
        <x:v>Requiere revisión de puesto de trabajo</x:v>
      </x:c>
    </x:row>
    <x:row r="11">
      <x:c r="A11" s="88" t="n">
        <x:v>2023</x:v>
      </x:c>
      <x:c r="B11" s="89" t="str">
        <x:v>EMO-2023-0010</x:v>
      </x:c>
      <x:c r="C11" s="106" t="n">
        <x:v>44949</x:v>
      </x:c>
      <x:c r="D11" s="89" t="str">
        <x:v>Post-incapacidad</x:v>
      </x:c>
      <x:c r="E11" s="89" t="str">
        <x:v>468617381</x:v>
      </x:c>
      <x:c r="F11" s="89" t="str">
        <x:v>Luis Luisa Ramírez Torres</x:v>
      </x:c>
      <x:c r="G11" s="89" t="str">
        <x:v>Vigilante</x:v>
      </x:c>
      <x:c r="H11" s="89" t="str">
        <x:v>Tibú</x:v>
      </x:c>
      <x:c r="I11" s="89" t="str">
        <x:v>Operaciones</x:v>
      </x:c>
      <x:c r="J11" s="89" t="str">
        <x:v>Salud Integral Ocupacional</x:v>
      </x:c>
      <x:c r="K11" s="89" t="str">
        <x:v>Apto</x:v>
      </x:c>
      <x:c r="L11" s="89" t="str"/>
      <x:c r="M11" s="89" t="str">
        <x:v>Participar en programas de vigilancia epidemiológica</x:v>
      </x:c>
      <x:c r="N11" s="112" t="n">
        <x:v>6</x:v>
      </x:c>
      <x:c r="O11" s="106" t="n">
        <x:f>EDATE(C11,N11)</x:f>
        <x:v>45130</x:v>
      </x:c>
      <x:c r="P11" s="89" t="str">
        <x:v>M75.1 Lesión de hombro</x:v>
      </x:c>
      <x:c r="Q11" s="89" t="str">
        <x:v>No</x:v>
      </x:c>
      <x:c r="R11" s="89" t="str"/>
      <x:c r="S11" s="106"/>
      <x:c r="T11" s="89" t="str">
        <x:f>IF(O11&lt;Instructivo!$B$4,"Vencido",IF(O11&lt;=Instructivo!$B$4+30,"Próximo a vencer","Vigente"))</x:f>
        <x:v>Vencido</x:v>
      </x:c>
      <x:c r="U11" s="89" t="str">
        <x:v>Médico Ocupacional</x:v>
      </x:c>
      <x:c r="V11" s="90" t="str">
        <x:v>Se recomienda seguimiento por comité SST</x:v>
      </x:c>
    </x:row>
    <x:row r="12">
      <x:c r="A12" s="88" t="n">
        <x:v>2023</x:v>
      </x:c>
      <x:c r="B12" s="89" t="str">
        <x:v>EMO-2023-0011</x:v>
      </x:c>
      <x:c r="C12" s="106" t="n">
        <x:v>45135</x:v>
      </x:c>
      <x:c r="D12" s="89" t="str">
        <x:v>Periódico</x:v>
      </x:c>
      <x:c r="E12" s="89" t="str">
        <x:v>831348050</x:v>
      </x:c>
      <x:c r="F12" s="89" t="str">
        <x:v>Yulieth Luisa Torres Gómez</x:v>
      </x:c>
      <x:c r="G12" s="89" t="str">
        <x:v>Operador de medios tecnológicos</x:v>
      </x:c>
      <x:c r="H12" s="89" t="str">
        <x:v>Tibú</x:v>
      </x:c>
      <x:c r="I12" s="89" t="str">
        <x:v>Medios Tecnológicos</x:v>
      </x:c>
      <x:c r="J12" s="89" t="str">
        <x:v>IPS Prevencionar</x:v>
      </x:c>
      <x:c r="K12" s="89" t="str">
        <x:v>Apto</x:v>
      </x:c>
      <x:c r="L12" s="89" t="str"/>
      <x:c r="M12" s="89" t="str">
        <x:v>Uso permanente de EPP</x:v>
      </x:c>
      <x:c r="N12" s="112" t="n">
        <x:v>12</x:v>
      </x:c>
      <x:c r="O12" s="106" t="n">
        <x:f>EDATE(C12,N12)</x:f>
        <x:v>45501</x:v>
      </x:c>
      <x:c r="P12" s="89" t="str">
        <x:v>R51 Cefalea</x:v>
      </x:c>
      <x:c r="Q12" s="89" t="str">
        <x:v>No</x:v>
      </x:c>
      <x:c r="R12" s="89" t="str"/>
      <x:c r="S12" s="106"/>
      <x:c r="T12" s="89" t="str">
        <x:f>IF(O12&lt;Instructivo!$B$4,"Vencido",IF(O12&lt;=Instructivo!$B$4+30,"Próximo a vencer","Vigente"))</x:f>
        <x:v>Vencido</x:v>
      </x:c>
      <x:c r="U12" s="89" t="str">
        <x:v>Líder SST</x:v>
      </x:c>
      <x:c r="V12" s="90" t="str">
        <x:v>Caso priorizado por restricciones activas</x:v>
      </x:c>
    </x:row>
    <x:row r="13">
      <x:c r="A13" s="88" t="n">
        <x:v>2023</x:v>
      </x:c>
      <x:c r="B13" s="89" t="str">
        <x:v>EMO-2023-0012</x:v>
      </x:c>
      <x:c r="C13" s="106" t="n">
        <x:v>45052</x:v>
      </x:c>
      <x:c r="D13" s="89" t="str">
        <x:v>Post-incapacidad</x:v>
      </x:c>
      <x:c r="E13" s="89" t="str">
        <x:v>899363326</x:v>
      </x:c>
      <x:c r="F13" s="89" t="str">
        <x:v>Ana Álvaro Gómez Sánchez</x:v>
      </x:c>
      <x:c r="G13" s="89" t="str">
        <x:v>Supervisor de puesto</x:v>
      </x:c>
      <x:c r="H13" s="89" t="str">
        <x:v>Barrancabermeja</x:v>
      </x:c>
      <x:c r="I13" s="89" t="str">
        <x:v>Operaciones</x:v>
      </x:c>
      <x:c r="J13" s="89" t="str">
        <x:v>Colmédica Ocupacional</x:v>
      </x:c>
      <x:c r="K13" s="89" t="str">
        <x:v>Apto</x:v>
      </x:c>
      <x:c r="L13" s="89" t="str"/>
      <x:c r="M13" s="89" t="str">
        <x:v>Participar en programas de vigilancia epidemiológica</x:v>
      </x:c>
      <x:c r="N13" s="112" t="n">
        <x:v>6</x:v>
      </x:c>
      <x:c r="O13" s="106" t="n">
        <x:f>EDATE(C13,N13)</x:f>
        <x:v>45236</x:v>
      </x:c>
      <x:c r="P13" s="89" t="str">
        <x:v>R51 Cefalea</x:v>
      </x:c>
      <x:c r="Q13" s="89" t="str">
        <x:v>No</x:v>
      </x:c>
      <x:c r="R13" s="89" t="str"/>
      <x:c r="S13" s="106"/>
      <x:c r="T13" s="89" t="str">
        <x:f>IF(O13&lt;Instructivo!$B$4,"Vencido",IF(O13&lt;=Instructivo!$B$4+30,"Próximo a vencer","Vigente"))</x:f>
        <x:v>Vencido</x:v>
      </x:c>
      <x:c r="U13" s="89" t="str">
        <x:v>Analista SST</x:v>
      </x:c>
      <x:c r="V13" s="90" t="str">
        <x:v>Sin novedades adicionales</x:v>
      </x:c>
    </x:row>
    <x:row r="14">
      <x:c r="A14" s="88" t="n">
        <x:v>2023</x:v>
      </x:c>
      <x:c r="B14" s="89" t="str">
        <x:v>EMO-2023-0013</x:v>
      </x:c>
      <x:c r="C14" s="106" t="n">
        <x:v>44967</x:v>
      </x:c>
      <x:c r="D14" s="89" t="str">
        <x:v>Periódico</x:v>
      </x:c>
      <x:c r="E14" s="89" t="str">
        <x:v>887358385</x:v>
      </x:c>
      <x:c r="F14" s="89" t="str">
        <x:v>Felipe Juan Castro Parra</x:v>
      </x:c>
      <x:c r="G14" s="89" t="str">
        <x:v>Supervisor de puesto</x:v>
      </x:c>
      <x:c r="H14" s="89" t="str">
        <x:v>Cúcuta</x:v>
      </x:c>
      <x:c r="I14" s="89" t="str">
        <x:v>Operaciones</x:v>
      </x:c>
      <x:c r="J14" s="89" t="str">
        <x:v>Colmédica Ocupacional</x:v>
      </x:c>
      <x:c r="K14" s="89" t="str">
        <x:v>Apto</x:v>
      </x:c>
      <x:c r="L14" s="89" t="str"/>
      <x:c r="M14" s="89" t="str">
        <x:v>Continuar controles periódicos anuales</x:v>
      </x:c>
      <x:c r="N14" s="112" t="n">
        <x:v>12</x:v>
      </x:c>
      <x:c r="O14" s="106" t="n">
        <x:f>EDATE(C14,N14)</x:f>
        <x:v>45332</x:v>
      </x:c>
      <x:c r="P14" s="89" t="str">
        <x:v>R51 Cefalea</x:v>
      </x:c>
      <x:c r="Q14" s="89" t="str">
        <x:v>No</x:v>
      </x:c>
      <x:c r="R14" s="89" t="str"/>
      <x:c r="S14" s="106"/>
      <x:c r="T14" s="89" t="str">
        <x:f>IF(O14&lt;Instructivo!$B$4,"Vencido",IF(O14&lt;=Instructivo!$B$4+30,"Próximo a vencer","Vigente"))</x:f>
        <x:v>Vencido</x:v>
      </x:c>
      <x:c r="U14" s="89" t="str">
        <x:v>Analista SST</x:v>
      </x:c>
      <x:c r="V14" s="90" t="str">
        <x:v>Pendiente firma de concepto médico</x:v>
      </x:c>
    </x:row>
    <x:row r="15">
      <x:c r="A15" s="88" t="n">
        <x:v>2023</x:v>
      </x:c>
      <x:c r="B15" s="89" t="str">
        <x:v>EMO-2023-0014</x:v>
      </x:c>
      <x:c r="C15" s="106" t="n">
        <x:v>45059</x:v>
      </x:c>
      <x:c r="D15" s="89" t="str">
        <x:v>Ingreso</x:v>
      </x:c>
      <x:c r="E15" s="89" t="str">
        <x:v>966207974</x:v>
      </x:c>
      <x:c r="F15" s="89" t="str">
        <x:v>Kevin Carolina Sánchez López</x:v>
      </x:c>
      <x:c r="G15" s="89" t="str">
        <x:v>Operador de medios tecnológicos</x:v>
      </x:c>
      <x:c r="H15" s="89" t="str">
        <x:v>Cúcuta</x:v>
      </x:c>
      <x:c r="I15" s="89" t="str">
        <x:v>Medios Tecnológicos</x:v>
      </x:c>
      <x:c r="J15" s="89" t="str">
        <x:v>IPS Ocupasalud SAS</x:v>
      </x:c>
      <x:c r="K15" s="89" t="str">
        <x:v>Apto</x:v>
      </x:c>
      <x:c r="L15" s="89" t="str"/>
      <x:c r="M15" s="89" t="str">
        <x:v>Mantener estilos de vida saludable</x:v>
      </x:c>
      <x:c r="N15" s="112" t="n">
        <x:v>12</x:v>
      </x:c>
      <x:c r="O15" s="106" t="n">
        <x:f>EDATE(C15,N15)</x:f>
        <x:v>45425</x:v>
      </x:c>
      <x:c r="P15" s="89" t="str">
        <x:v>H52.4 Presbicia</x:v>
      </x:c>
      <x:c r="Q15" s="89" t="str">
        <x:v>No</x:v>
      </x:c>
      <x:c r="R15" s="89" t="str"/>
      <x:c r="S15" s="106"/>
      <x:c r="T15" s="89" t="str">
        <x:f>IF(O15&lt;Instructivo!$B$4,"Vencido",IF(O15&lt;=Instructivo!$B$4+30,"Próximo a vencer","Vigente"))</x:f>
        <x:v>Vencido</x:v>
      </x:c>
      <x:c r="U15" s="89" t="str">
        <x:v>Médico Ocupacional</x:v>
      </x:c>
      <x:c r="V15" s="90" t="str">
        <x:v>Requiere revisión de puesto de trabajo</x:v>
      </x:c>
    </x:row>
    <x:row r="16">
      <x:c r="A16" s="88" t="n">
        <x:v>2023</x:v>
      </x:c>
      <x:c r="B16" s="89" t="str">
        <x:v>EMO-2023-0015</x:v>
      </x:c>
      <x:c r="C16" s="106" t="n">
        <x:v>45224</x:v>
      </x:c>
      <x:c r="D16" s="89" t="str">
        <x:v>Periódico</x:v>
      </x:c>
      <x:c r="E16" s="89" t="str">
        <x:v>949214801</x:v>
      </x:c>
      <x:c r="F16" s="89" t="str">
        <x:v>Jhon Álvaro Castro Rojas</x:v>
      </x:c>
      <x:c r="G16" s="89" t="str">
        <x:v>Supervisor motorizado</x:v>
      </x:c>
      <x:c r="H16" s="89" t="str">
        <x:v>Barrancabermeja</x:v>
      </x:c>
      <x:c r="I16" s="89" t="str">
        <x:v>Operaciones</x:v>
      </x:c>
      <x:c r="J16" s="89" t="str">
        <x:v>Colmédica Ocupacional</x:v>
      </x:c>
      <x:c r="K16" s="89" t="str">
        <x:v>Apto</x:v>
      </x:c>
      <x:c r="L16" s="89" t="str"/>
      <x:c r="M16" s="89" t="str">
        <x:v>Uso permanente de EPP</x:v>
      </x:c>
      <x:c r="N16" s="112" t="n">
        <x:v>12</x:v>
      </x:c>
      <x:c r="O16" s="106" t="n">
        <x:f>EDATE(C16,N16)</x:f>
        <x:v>45590</x:v>
      </x:c>
      <x:c r="P16" s="89" t="str">
        <x:v>H52.4 Presbicia</x:v>
      </x:c>
      <x:c r="Q16" s="89" t="str">
        <x:v>No</x:v>
      </x:c>
      <x:c r="R16" s="89" t="str"/>
      <x:c r="S16" s="106"/>
      <x:c r="T16" s="89" t="str">
        <x:f>IF(O16&lt;Instructivo!$B$4,"Vencido",IF(O16&lt;=Instructivo!$B$4+30,"Próximo a vencer","Vigente"))</x:f>
        <x:v>Vencido</x:v>
      </x:c>
      <x:c r="U16" s="89" t="str">
        <x:v>Médico Ocupacional</x:v>
      </x:c>
      <x:c r="V16" s="90" t="str">
        <x:v>Requiere revisión de puesto de trabajo</x:v>
      </x:c>
    </x:row>
    <x:row r="17">
      <x:c r="A17" s="88" t="n">
        <x:v>2023</x:v>
      </x:c>
      <x:c r="B17" s="89" t="str">
        <x:v>EMO-2023-0016</x:v>
      </x:c>
      <x:c r="C17" s="106" t="n">
        <x:v>45251</x:v>
      </x:c>
      <x:c r="D17" s="89" t="str">
        <x:v>Periódico</x:v>
      </x:c>
      <x:c r="E17" s="89" t="str">
        <x:v>742785277</x:v>
      </x:c>
      <x:c r="F17" s="89" t="str">
        <x:v>Ana José Sánchez López</x:v>
      </x:c>
      <x:c r="G17" s="89" t="str">
        <x:v>Operador de medios tecnológicos</x:v>
      </x:c>
      <x:c r="H17" s="89" t="str">
        <x:v>Ocaña</x:v>
      </x:c>
      <x:c r="I17" s="89" t="str">
        <x:v>Medios Tecnológicos</x:v>
      </x:c>
      <x:c r="J17" s="89" t="str">
        <x:v>Salud Integral Ocupacional</x:v>
      </x:c>
      <x:c r="K17" s="89" t="str">
        <x:v>Apto</x:v>
      </x:c>
      <x:c r="L17" s="89" t="str"/>
      <x:c r="M17" s="89" t="str">
        <x:v>Uso permanente de EPP</x:v>
      </x:c>
      <x:c r="N17" s="112" t="n">
        <x:v>12</x:v>
      </x:c>
      <x:c r="O17" s="106" t="n">
        <x:f>EDATE(C17,N17)</x:f>
        <x:v>45617</x:v>
      </x:c>
      <x:c r="P17" s="89" t="str">
        <x:v>M54.5 Lumbalgia</x:v>
      </x:c>
      <x:c r="Q17" s="89" t="str">
        <x:v>No</x:v>
      </x:c>
      <x:c r="R17" s="89" t="str"/>
      <x:c r="S17" s="106"/>
      <x:c r="T17" s="89" t="str">
        <x:f>IF(O17&lt;Instructivo!$B$4,"Vencido",IF(O17&lt;=Instructivo!$B$4+30,"Próximo a vencer","Vigente"))</x:f>
        <x:v>Vencido</x:v>
      </x:c>
      <x:c r="U17" s="89" t="str">
        <x:v>Coordinador de Talento Humano</x:v>
      </x:c>
      <x:c r="V17" s="90" t="str">
        <x:v>Se recomienda seguimiento por comité SST</x:v>
      </x:c>
    </x:row>
    <x:row r="18">
      <x:c r="A18" s="88" t="n">
        <x:v>2023</x:v>
      </x:c>
      <x:c r="B18" s="89" t="str">
        <x:v>EMO-2023-0017</x:v>
      </x:c>
      <x:c r="C18" s="106" t="n">
        <x:v>44957</x:v>
      </x:c>
      <x:c r="D18" s="89" t="str">
        <x:v>Periódico</x:v>
      </x:c>
      <x:c r="E18" s="89" t="str">
        <x:v>949214801</x:v>
      </x:c>
      <x:c r="F18" s="89" t="str">
        <x:v>Jhon Álvaro Castro Rojas</x:v>
      </x:c>
      <x:c r="G18" s="89" t="str">
        <x:v>Supervisor motorizado</x:v>
      </x:c>
      <x:c r="H18" s="89" t="str">
        <x:v>Barrancabermeja</x:v>
      </x:c>
      <x:c r="I18" s="89" t="str">
        <x:v>Operaciones</x:v>
      </x:c>
      <x:c r="J18" s="89" t="str">
        <x:v>Salud Integral Ocupacional</x:v>
      </x:c>
      <x:c r="K18" s="89" t="str">
        <x:v>Apto</x:v>
      </x:c>
      <x:c r="L18" s="89" t="str"/>
      <x:c r="M18" s="89" t="str">
        <x:v>Uso permanente de EPP</x:v>
      </x:c>
      <x:c r="N18" s="112" t="n">
        <x:v>12</x:v>
      </x:c>
      <x:c r="O18" s="106" t="n">
        <x:f>EDATE(C18,N18)</x:f>
        <x:v>45322</x:v>
      </x:c>
      <x:c r="P18" s="89" t="str">
        <x:v>M75.1 Lesión de hombro</x:v>
      </x:c>
      <x:c r="Q18" s="89" t="str">
        <x:v>Sí</x:v>
      </x:c>
      <x:c r="R18" s="89" t="str">
        <x:v>Medicina laboral</x:v>
      </x:c>
      <x:c r="S18" s="106" t="n">
        <x:v>45077</x:v>
      </x:c>
      <x:c r="T18" s="89" t="str">
        <x:f>IF(O18&lt;Instructivo!$B$4,"Vencido",IF(O18&lt;=Instructivo!$B$4+30,"Próximo a vencer","Vigente"))</x:f>
        <x:v>Vencido</x:v>
      </x:c>
      <x:c r="U18" s="89" t="str">
        <x:v>Médico Ocupacional</x:v>
      </x:c>
      <x:c r="V18" s="90" t="str">
        <x:v>Caso priorizado por restricciones activas</x:v>
      </x:c>
    </x:row>
    <x:row r="19">
      <x:c r="A19" s="88" t="n">
        <x:v>2023</x:v>
      </x:c>
      <x:c r="B19" s="89" t="str">
        <x:v>EMO-2023-0018</x:v>
      </x:c>
      <x:c r="C19" s="106" t="n">
        <x:v>44949</x:v>
      </x:c>
      <x:c r="D19" s="89" t="str">
        <x:v>Periódico</x:v>
      </x:c>
      <x:c r="E19" s="89" t="str">
        <x:v>264442778</x:v>
      </x:c>
      <x:c r="F19" s="89" t="str">
        <x:v>Luis Yulieth Sánchez Sánchez</x:v>
      </x:c>
      <x:c r="G19" s="89" t="str">
        <x:v>Vigilante</x:v>
      </x:c>
      <x:c r="H19" s="89" t="str">
        <x:v>Medellín</x:v>
      </x:c>
      <x:c r="I19" s="89" t="str">
        <x:v>Operaciones</x:v>
      </x:c>
      <x:c r="J19" s="89" t="str">
        <x:v>Salud Integral Ocupacional</x:v>
      </x:c>
      <x:c r="K19" s="89" t="str">
        <x:v>Apto</x:v>
      </x:c>
      <x:c r="L19" s="89" t="str"/>
      <x:c r="M19" s="89" t="str">
        <x:v>Mantener estilos de vida saludable</x:v>
      </x:c>
      <x:c r="N19" s="112" t="n">
        <x:v>12</x:v>
      </x:c>
      <x:c r="O19" s="106" t="n">
        <x:f>EDATE(C19,N19)</x:f>
        <x:v>45314</x:v>
      </x:c>
      <x:c r="P19" s="89" t="str">
        <x:v>H52.4 Presbicia</x:v>
      </x:c>
      <x:c r="Q19" s="89" t="str">
        <x:v>No</x:v>
      </x:c>
      <x:c r="R19" s="89" t="str"/>
      <x:c r="S19" s="106"/>
      <x:c r="T19" s="89" t="str">
        <x:f>IF(O19&lt;Instructivo!$B$4,"Vencido",IF(O19&lt;=Instructivo!$B$4+30,"Próximo a vencer","Vigente"))</x:f>
        <x:v>Vencido</x:v>
      </x:c>
      <x:c r="U19" s="89" t="str">
        <x:v>Líder SST</x:v>
      </x:c>
      <x:c r="V19" s="90" t="str">
        <x:v>Sin novedades adicionales</x:v>
      </x:c>
    </x:row>
    <x:row r="20">
      <x:c r="A20" s="88" t="n">
        <x:v>2023</x:v>
      </x:c>
      <x:c r="B20" s="89" t="str">
        <x:v>EMO-2023-0019</x:v>
      </x:c>
      <x:c r="C20" s="106" t="n">
        <x:v>45103</x:v>
      </x:c>
      <x:c r="D20" s="89" t="str">
        <x:v>Ingreso</x:v>
      </x:c>
      <x:c r="E20" s="89" t="str">
        <x:v>447970771</x:v>
      </x:c>
      <x:c r="F20" s="89" t="str">
        <x:v>Wilson Wilson Ramírez Cárdenas</x:v>
      </x:c>
      <x:c r="G20" s="89" t="str">
        <x:v>Vigilante</x:v>
      </x:c>
      <x:c r="H20" s="89" t="str">
        <x:v>Valledupar</x:v>
      </x:c>
      <x:c r="I20" s="89" t="str">
        <x:v>Operaciones</x:v>
      </x:c>
      <x:c r="J20" s="89" t="str">
        <x:v>IPS Prevencionar</x:v>
      </x:c>
      <x:c r="K20" s="89" t="str">
        <x:v>No apto</x:v>
      </x:c>
      <x:c r="L20" s="89" t="str">
        <x:v>Requiere reubicación temporal</x:v>
      </x:c>
      <x:c r="M20" s="89" t="str">
        <x:v>Definir reubicación temporal</x:v>
      </x:c>
      <x:c r="N20" s="112" t="n">
        <x:v>12</x:v>
      </x:c>
      <x:c r="O20" s="106" t="n">
        <x:f>EDATE(C20,N20)</x:f>
        <x:v>45469</x:v>
      </x:c>
      <x:c r="P20" s="89" t="str">
        <x:v>G56.0 Síndrome túnel carpiano</x:v>
      </x:c>
      <x:c r="Q20" s="89" t="str">
        <x:v>Sí</x:v>
      </x:c>
      <x:c r="R20" s="89" t="str">
        <x:v>Medicina laboral</x:v>
      </x:c>
      <x:c r="S20" s="106" t="n">
        <x:v>45163</x:v>
      </x:c>
      <x:c r="T20" s="89" t="str">
        <x:f>IF(O20&lt;Instructivo!$B$4,"Vencido",IF(O20&lt;=Instructivo!$B$4+30,"Próximo a vencer","Vigente"))</x:f>
        <x:v>Vencido</x:v>
      </x:c>
      <x:c r="U20" s="89" t="str">
        <x:v>Analista SST</x:v>
      </x:c>
      <x:c r="V20" s="90" t="str">
        <x:v>Requiere revisión de puesto de trabajo</x:v>
      </x:c>
    </x:row>
    <x:row r="21">
      <x:c r="A21" s="88" t="n">
        <x:v>2023</x:v>
      </x:c>
      <x:c r="B21" s="89" t="str">
        <x:v>EMO-2023-0020</x:v>
      </x:c>
      <x:c r="C21" s="106" t="n">
        <x:v>45072</x:v>
      </x:c>
      <x:c r="D21" s="89" t="str">
        <x:v>Periódico</x:v>
      </x:c>
      <x:c r="E21" s="89" t="str">
        <x:v>783123709</x:v>
      </x:c>
      <x:c r="F21" s="89" t="str">
        <x:v>Julián Carlos Gómez Díaz</x:v>
      </x:c>
      <x:c r="G21" s="89" t="str">
        <x:v>Vigilante</x:v>
      </x:c>
      <x:c r="H21" s="89" t="str">
        <x:v>Bogotá</x:v>
      </x:c>
      <x:c r="I21" s="89" t="str">
        <x:v>Operaciones</x:v>
      </x:c>
      <x:c r="J21" s="89" t="str">
        <x:v>Colmédica Ocupacional</x:v>
      </x:c>
      <x:c r="K21" s="89" t="str">
        <x:v>Apto</x:v>
      </x:c>
      <x:c r="L21" s="89" t="str"/>
      <x:c r="M21" s="89" t="str">
        <x:v>Uso permanente de EPP</x:v>
      </x:c>
      <x:c r="N21" s="112" t="n">
        <x:v>12</x:v>
      </x:c>
      <x:c r="O21" s="106" t="n">
        <x:f>EDATE(C21,N21)</x:f>
        <x:v>45438</x:v>
      </x:c>
      <x:c r="P21" s="89" t="str">
        <x:v>M54.5 Lumbalgia</x:v>
      </x:c>
      <x:c r="Q21" s="89" t="str">
        <x:v>No</x:v>
      </x:c>
      <x:c r="R21" s="89" t="str"/>
      <x:c r="S21" s="106"/>
      <x:c r="T21" s="89" t="str">
        <x:f>IF(O21&lt;Instructivo!$B$4,"Vencido",IF(O21&lt;=Instructivo!$B$4+30,"Próximo a vencer","Vigente"))</x:f>
        <x:v>Vencido</x:v>
      </x:c>
      <x:c r="U21" s="89" t="str">
        <x:v>Coordinador de Talento Humano</x:v>
      </x:c>
      <x:c r="V21" s="90" t="str">
        <x:v>Registro completo y soportado en historia ocupacional</x:v>
      </x:c>
    </x:row>
    <x:row r="22">
      <x:c r="A22" s="88" t="n">
        <x:v>2023</x:v>
      </x:c>
      <x:c r="B22" s="89" t="str">
        <x:v>EMO-2023-0021</x:v>
      </x:c>
      <x:c r="C22" s="106" t="n">
        <x:v>45125</x:v>
      </x:c>
      <x:c r="D22" s="89" t="str">
        <x:v>Periódico</x:v>
      </x:c>
      <x:c r="E22" s="89" t="str">
        <x:v>181527021</x:v>
      </x:c>
      <x:c r="F22" s="89" t="str">
        <x:v>Felipe Luis Ramírez Torres</x:v>
      </x:c>
      <x:c r="G22" s="89" t="str">
        <x:v>Vigilante</x:v>
      </x:c>
      <x:c r="H22" s="89" t="str">
        <x:v>Arauca</x:v>
      </x:c>
      <x:c r="I22" s="89" t="str">
        <x:v>Operaciones</x:v>
      </x:c>
      <x:c r="J22" s="89" t="str">
        <x:v>Centro Médico Laboral Andino</x:v>
      </x:c>
      <x:c r="K22" s="89" t="str">
        <x:v>Apto</x:v>
      </x:c>
      <x:c r="L22" s="89" t="str"/>
      <x:c r="M22" s="89" t="str">
        <x:v>Mantener estilos de vida saludable</x:v>
      </x:c>
      <x:c r="N22" s="112" t="n">
        <x:v>12</x:v>
      </x:c>
      <x:c r="O22" s="106" t="n">
        <x:f>EDATE(C22,N22)</x:f>
        <x:v>45491</x:v>
      </x:c>
      <x:c r="P22" s="89" t="str">
        <x:v>R51 Cefalea</x:v>
      </x:c>
      <x:c r="Q22" s="89" t="str">
        <x:v>No</x:v>
      </x:c>
      <x:c r="R22" s="89" t="str"/>
      <x:c r="S22" s="106"/>
      <x:c r="T22" s="89" t="str">
        <x:f>IF(O22&lt;Instructivo!$B$4,"Vencido",IF(O22&lt;=Instructivo!$B$4+30,"Próximo a vencer","Vigente"))</x:f>
        <x:v>Vencido</x:v>
      </x:c>
      <x:c r="U22" s="89" t="str">
        <x:v>Coordinador de Talento Humano</x:v>
      </x:c>
      <x:c r="V22" s="90" t="str">
        <x:v>Caso priorizado por restricciones activas</x:v>
      </x:c>
    </x:row>
    <x:row r="23">
      <x:c r="A23" s="88" t="n">
        <x:v>2023</x:v>
      </x:c>
      <x:c r="B23" s="89" t="str">
        <x:v>EMO-2023-0022</x:v>
      </x:c>
      <x:c r="C23" s="106" t="n">
        <x:v>44971</x:v>
      </x:c>
      <x:c r="D23" s="89" t="str">
        <x:v>Ingreso</x:v>
      </x:c>
      <x:c r="E23" s="89" t="str">
        <x:v>107853787</x:v>
      </x:c>
      <x:c r="F23" s="89" t="str">
        <x:v>Álvaro Karen Castro Díaz</x:v>
      </x:c>
      <x:c r="G23" s="89" t="str">
        <x:v>Vigilante</x:v>
      </x:c>
      <x:c r="H23" s="89" t="str">
        <x:v>Cúcuta</x:v>
      </x:c>
      <x:c r="I23" s="89" t="str">
        <x:v>Operaciones</x:v>
      </x:c>
      <x:c r="J23" s="89" t="str">
        <x:v>Centro Médico Laboral Andino</x:v>
      </x:c>
      <x:c r="K23" s="89" t="str">
        <x:v>Apto</x:v>
      </x:c>
      <x:c r="L23" s="89" t="str"/>
      <x:c r="M23" s="89" t="str">
        <x:v>Participar en programas de vigilancia epidemiológica</x:v>
      </x:c>
      <x:c r="N23" s="112" t="n">
        <x:v>12</x:v>
      </x:c>
      <x:c r="O23" s="106" t="n">
        <x:f>EDATE(C23,N23)</x:f>
        <x:v>45336</x:v>
      </x:c>
      <x:c r="P23" s="89" t="str">
        <x:v>M54.5 Lumbalgia</x:v>
      </x:c>
      <x:c r="Q23" s="89" t="str">
        <x:v>No</x:v>
      </x:c>
      <x:c r="R23" s="89" t="str"/>
      <x:c r="S23" s="106"/>
      <x:c r="T23" s="89" t="str">
        <x:f>IF(O23&lt;Instructivo!$B$4,"Vencido",IF(O23&lt;=Instructivo!$B$4+30,"Próximo a vencer","Vigente"))</x:f>
        <x:v>Vencido</x:v>
      </x:c>
      <x:c r="U23" s="89" t="str">
        <x:v>Médico Ocupacional</x:v>
      </x:c>
      <x:c r="V23" s="90" t="str">
        <x:v>Se recomienda seguimiento por comité SST</x:v>
      </x:c>
    </x:row>
    <x:row r="24">
      <x:c r="A24" s="88" t="n">
        <x:v>2023</x:v>
      </x:c>
      <x:c r="B24" s="89" t="str">
        <x:v>EMO-2023-0023</x:v>
      </x:c>
      <x:c r="C24" s="106" t="n">
        <x:v>45113</x:v>
      </x:c>
      <x:c r="D24" s="89" t="str">
        <x:v>Periódico</x:v>
      </x:c>
      <x:c r="E24" s="89" t="str">
        <x:v>421157662</x:v>
      </x:c>
      <x:c r="F24" s="89" t="str">
        <x:v>Carolina Álvaro Díaz Hernández</x:v>
      </x:c>
      <x:c r="G24" s="89" t="str">
        <x:v>Vigilante</x:v>
      </x:c>
      <x:c r="H24" s="89" t="str">
        <x:v>Cúcuta</x:v>
      </x:c>
      <x:c r="I24" s="89" t="str">
        <x:v>Operaciones</x:v>
      </x:c>
      <x:c r="J24" s="89" t="str">
        <x:v>Centro Médico Laboral Andino</x:v>
      </x:c>
      <x:c r="K24" s="89" t="str">
        <x:v>Apto</x:v>
      </x:c>
      <x:c r="L24" s="89" t="str"/>
      <x:c r="M24" s="89" t="str">
        <x:v>Mantener estilos de vida saludable</x:v>
      </x:c>
      <x:c r="N24" s="112" t="n">
        <x:v>12</x:v>
      </x:c>
      <x:c r="O24" s="106" t="n">
        <x:f>EDATE(C24,N24)</x:f>
        <x:v>45479</x:v>
      </x:c>
      <x:c r="P24" s="89" t="str">
        <x:v>I10 Hipertensión esencial</x:v>
      </x:c>
      <x:c r="Q24" s="89" t="str">
        <x:v>No</x:v>
      </x:c>
      <x:c r="R24" s="89" t="str"/>
      <x:c r="S24" s="106"/>
      <x:c r="T24" s="89" t="str">
        <x:f>IF(O24&lt;Instructivo!$B$4,"Vencido",IF(O24&lt;=Instructivo!$B$4+30,"Próximo a vencer","Vigente"))</x:f>
        <x:v>Vencido</x:v>
      </x:c>
      <x:c r="U24" s="89" t="str">
        <x:v>Analista SST</x:v>
      </x:c>
      <x:c r="V24" s="90" t="str">
        <x:v>Sin novedades adicionales</x:v>
      </x:c>
    </x:row>
    <x:row r="25">
      <x:c r="A25" s="88" t="n">
        <x:v>2023</x:v>
      </x:c>
      <x:c r="B25" s="89" t="str">
        <x:v>EMO-2023-0024</x:v>
      </x:c>
      <x:c r="C25" s="106" t="n">
        <x:v>44979</x:v>
      </x:c>
      <x:c r="D25" s="89" t="str">
        <x:v>Ingreso</x:v>
      </x:c>
      <x:c r="E25" s="89" t="str">
        <x:v>417199635</x:v>
      </x:c>
      <x:c r="F25" s="89" t="str">
        <x:v>José Miguel Cárdenas Díaz</x:v>
      </x:c>
      <x:c r="G25" s="89" t="str">
        <x:v>Auxiliar administrativo</x:v>
      </x:c>
      <x:c r="H25" s="89" t="str">
        <x:v>Arauca</x:v>
      </x:c>
      <x:c r="I25" s="89" t="str">
        <x:v>Administrativa</x:v>
      </x:c>
      <x:c r="J25" s="89" t="str">
        <x:v>Centro Médico Laboral Andino</x:v>
      </x:c>
      <x:c r="K25" s="89" t="str">
        <x:v>Apto</x:v>
      </x:c>
      <x:c r="L25" s="89" t="str"/>
      <x:c r="M25" s="89" t="str">
        <x:v>Continuar controles periódicos anuales</x:v>
      </x:c>
      <x:c r="N25" s="112" t="n">
        <x:v>12</x:v>
      </x:c>
      <x:c r="O25" s="106" t="n">
        <x:f>EDATE(C25,N25)</x:f>
        <x:v>45344</x:v>
      </x:c>
      <x:c r="P25" s="89" t="str">
        <x:v>M75.1 Lesión de hombro</x:v>
      </x:c>
      <x:c r="Q25" s="89" t="str">
        <x:v>No</x:v>
      </x:c>
      <x:c r="R25" s="89" t="str"/>
      <x:c r="S25" s="106"/>
      <x:c r="T25" s="89" t="str">
        <x:f>IF(O25&lt;Instructivo!$B$4,"Vencido",IF(O25&lt;=Instructivo!$B$4+30,"Próximo a vencer","Vigente"))</x:f>
        <x:v>Vencido</x:v>
      </x:c>
      <x:c r="U25" s="89" t="str">
        <x:v>Analista SST</x:v>
      </x:c>
      <x:c r="V25" s="90" t="str">
        <x:v>Caso priorizado por restricciones activas</x:v>
      </x:c>
    </x:row>
    <x:row r="26">
      <x:c r="A26" s="88" t="n">
        <x:v>2023</x:v>
      </x:c>
      <x:c r="B26" s="89" t="str">
        <x:v>EMO-2023-0025</x:v>
      </x:c>
      <x:c r="C26" s="106" t="n">
        <x:v>45247</x:v>
      </x:c>
      <x:c r="D26" s="89" t="str">
        <x:v>Ingreso</x:v>
      </x:c>
      <x:c r="E26" s="89" t="str">
        <x:v>242795765</x:v>
      </x:c>
      <x:c r="F26" s="89" t="str">
        <x:v>Tatiana Laura López Torres</x:v>
      </x:c>
      <x:c r="G26" s="89" t="str">
        <x:v>Vigilante</x:v>
      </x:c>
      <x:c r="H26" s="89" t="str">
        <x:v>Barrancabermeja</x:v>
      </x:c>
      <x:c r="I26" s="89" t="str">
        <x:v>Operaciones</x:v>
      </x:c>
      <x:c r="J26" s="89" t="str">
        <x:v>Centro Médico Laboral Andino</x:v>
      </x:c>
      <x:c r="K26" s="89" t="str">
        <x:v>Apto con restricciones</x:v>
      </x:c>
      <x:c r="L26" s="89" t="str">
        <x:v>Pausas activas cada 2 horas</x:v>
      </x:c>
      <x:c r="M26" s="89" t="str">
        <x:v>Control por optometría/medicina general</x:v>
      </x:c>
      <x:c r="N26" s="112" t="n">
        <x:v>12</x:v>
      </x:c>
      <x:c r="O26" s="106" t="n">
        <x:f>EDATE(C26,N26)</x:f>
        <x:v>45613</x:v>
      </x:c>
      <x:c r="P26" s="89" t="str">
        <x:v>G56.0 Síndrome túnel carpiano</x:v>
      </x:c>
      <x:c r="Q26" s="89" t="str">
        <x:v>Sí</x:v>
      </x:c>
      <x:c r="R26" s="89" t="str">
        <x:v>Medicina laboral</x:v>
      </x:c>
      <x:c r="S26" s="106" t="n">
        <x:v>45337</x:v>
      </x:c>
      <x:c r="T26" s="89" t="str">
        <x:f>IF(O26&lt;Instructivo!$B$4,"Vencido",IF(O26&lt;=Instructivo!$B$4+30,"Próximo a vencer","Vigente"))</x:f>
        <x:v>Vencido</x:v>
      </x:c>
      <x:c r="U26" s="89" t="str">
        <x:v>Coordinador de Talento Humano</x:v>
      </x:c>
      <x:c r="V26" s="90" t="str">
        <x:v>Se recomienda seguimiento por comité SST</x:v>
      </x:c>
    </x:row>
    <x:row r="27">
      <x:c r="A27" s="88" t="n">
        <x:v>2023</x:v>
      </x:c>
      <x:c r="B27" s="89" t="str">
        <x:v>EMO-2023-0026</x:v>
      </x:c>
      <x:c r="C27" s="106" t="n">
        <x:v>45050</x:v>
      </x:c>
      <x:c r="D27" s="89" t="str">
        <x:v>Ingreso</x:v>
      </x:c>
      <x:c r="E27" s="89" t="str">
        <x:v>248741810</x:v>
      </x:c>
      <x:c r="F27" s="89" t="str">
        <x:v>Andrés Ana López Castro</x:v>
      </x:c>
      <x:c r="G27" s="89" t="str">
        <x:v>Técnico de mantenimiento</x:v>
      </x:c>
      <x:c r="H27" s="89" t="str">
        <x:v>Ábrego</x:v>
      </x:c>
      <x:c r="I27" s="89" t="str">
        <x:v>Infraestructura</x:v>
      </x:c>
      <x:c r="J27" s="89" t="str">
        <x:v>Colmédica Ocupacional</x:v>
      </x:c>
      <x:c r="K27" s="89" t="str">
        <x:v>Apto</x:v>
      </x:c>
      <x:c r="L27" s="89" t="str"/>
      <x:c r="M27" s="89" t="str">
        <x:v>Participar en programas de vigilancia epidemiológica</x:v>
      </x:c>
      <x:c r="N27" s="112" t="n">
        <x:v>12</x:v>
      </x:c>
      <x:c r="O27" s="106" t="n">
        <x:f>EDATE(C27,N27)</x:f>
        <x:v>45416</x:v>
      </x:c>
      <x:c r="P27" s="89" t="str">
        <x:v>G56.0 Síndrome túnel carpiano</x:v>
      </x:c>
      <x:c r="Q27" s="89" t="str">
        <x:v>No</x:v>
      </x:c>
      <x:c r="R27" s="89" t="str"/>
      <x:c r="S27" s="106"/>
      <x:c r="T27" s="89" t="str">
        <x:f>IF(O27&lt;Instructivo!$B$4,"Vencido",IF(O27&lt;=Instructivo!$B$4+30,"Próximo a vencer","Vigente"))</x:f>
        <x:v>Vencido</x:v>
      </x:c>
      <x:c r="U27" s="89" t="str">
        <x:v>Médico Ocupacional</x:v>
      </x:c>
      <x:c r="V27" s="90" t="str">
        <x:v>Pendiente firma de concepto médico</x:v>
      </x:c>
    </x:row>
    <x:row r="28">
      <x:c r="A28" s="88" t="n">
        <x:v>2023</x:v>
      </x:c>
      <x:c r="B28" s="89" t="str">
        <x:v>EMO-2023-0027</x:v>
      </x:c>
      <x:c r="C28" s="106" t="n">
        <x:v>45185</x:v>
      </x:c>
      <x:c r="D28" s="89" t="str">
        <x:v>Periódico</x:v>
      </x:c>
      <x:c r="E28" s="89" t="str">
        <x:v>957783308</x:v>
      </x:c>
      <x:c r="F28" s="89" t="str">
        <x:v>Tatiana Miguel Cárdenas López</x:v>
      </x:c>
      <x:c r="G28" s="89" t="str">
        <x:v>Vigilante</x:v>
      </x:c>
      <x:c r="H28" s="89" t="str">
        <x:v>Pamplona</x:v>
      </x:c>
      <x:c r="I28" s="89" t="str">
        <x:v>Operaciones</x:v>
      </x:c>
      <x:c r="J28" s="89" t="str">
        <x:v>Centro Médico Laboral Andino</x:v>
      </x:c>
      <x:c r="K28" s="89" t="str">
        <x:v>Apto</x:v>
      </x:c>
      <x:c r="L28" s="89" t="str"/>
      <x:c r="M28" s="89" t="str">
        <x:v>Mantener estilos de vida saludable</x:v>
      </x:c>
      <x:c r="N28" s="112" t="n">
        <x:v>12</x:v>
      </x:c>
      <x:c r="O28" s="106" t="n">
        <x:f>EDATE(C28,N28)</x:f>
        <x:v>45551</x:v>
      </x:c>
      <x:c r="P28" s="89" t="str">
        <x:v>E66.9 Obesidad</x:v>
      </x:c>
      <x:c r="Q28" s="89" t="str">
        <x:v>No</x:v>
      </x:c>
      <x:c r="R28" s="89" t="str"/>
      <x:c r="S28" s="106"/>
      <x:c r="T28" s="89" t="str">
        <x:f>IF(O28&lt;Instructivo!$B$4,"Vencido",IF(O28&lt;=Instructivo!$B$4+30,"Próximo a vencer","Vigente"))</x:f>
        <x:v>Vencido</x:v>
      </x:c>
      <x:c r="U28" s="89" t="str">
        <x:v>Líder SST</x:v>
      </x:c>
      <x:c r="V28" s="90" t="str">
        <x:v>Caso priorizado por restricciones activas</x:v>
      </x:c>
    </x:row>
    <x:row r="29">
      <x:c r="A29" s="88" t="n">
        <x:v>2023</x:v>
      </x:c>
      <x:c r="B29" s="89" t="str">
        <x:v>EMO-2023-0028</x:v>
      </x:c>
      <x:c r="C29" s="106" t="n">
        <x:v>45211</x:v>
      </x:c>
      <x:c r="D29" s="89" t="str">
        <x:v>Post-incapacidad</x:v>
      </x:c>
      <x:c r="E29" s="89" t="str">
        <x:v>292255409</x:v>
      </x:c>
      <x:c r="F29" s="89" t="str">
        <x:v>Wilson Carolina Torres Parra</x:v>
      </x:c>
      <x:c r="G29" s="89" t="str">
        <x:v>Escolta</x:v>
      </x:c>
      <x:c r="H29" s="89" t="str">
        <x:v>Arauca</x:v>
      </x:c>
      <x:c r="I29" s="89" t="str">
        <x:v>Escoltas</x:v>
      </x:c>
      <x:c r="J29" s="89" t="str">
        <x:v>Colmédica Ocupacional</x:v>
      </x:c>
      <x:c r="K29" s="89" t="str">
        <x:v>Apto con restricciones</x:v>
      </x:c>
      <x:c r="L29" s="89" t="str">
        <x:v>No exposición prolongada a ruido alto sin doble protección</x:v>
      </x:c>
      <x:c r="M29" s="89" t="str">
        <x:v>Seguimiento por medicina laboral en 3 meses</x:v>
      </x:c>
      <x:c r="N29" s="112" t="n">
        <x:v>6</x:v>
      </x:c>
      <x:c r="O29" s="106" t="n">
        <x:f>EDATE(C29,N29)</x:f>
        <x:v>45394</x:v>
      </x:c>
      <x:c r="P29" s="89" t="str">
        <x:v>G56.0 Síndrome túnel carpiano</x:v>
      </x:c>
      <x:c r="Q29" s="89" t="str">
        <x:v>Sí</x:v>
      </x:c>
      <x:c r="R29" s="89" t="str">
        <x:v>Optometría</x:v>
      </x:c>
      <x:c r="S29" s="106" t="n">
        <x:v>45271</x:v>
      </x:c>
      <x:c r="T29" s="89" t="str">
        <x:f>IF(O29&lt;Instructivo!$B$4,"Vencido",IF(O29&lt;=Instructivo!$B$4+30,"Próximo a vencer","Vigente"))</x:f>
        <x:v>Vencido</x:v>
      </x:c>
      <x:c r="U29" s="89" t="str">
        <x:v>Analista SST</x:v>
      </x:c>
      <x:c r="V29" s="90" t="str">
        <x:v>Pendiente firma de concepto médico</x:v>
      </x:c>
    </x:row>
    <x:row r="30">
      <x:c r="A30" s="88" t="n">
        <x:v>2023</x:v>
      </x:c>
      <x:c r="B30" s="89" t="str">
        <x:v>EMO-2023-0029</x:v>
      </x:c>
      <x:c r="C30" s="106" t="n">
        <x:v>45041</x:v>
      </x:c>
      <x:c r="D30" s="89" t="str">
        <x:v>Ingreso</x:v>
      </x:c>
      <x:c r="E30" s="89" t="str">
        <x:v>899363326</x:v>
      </x:c>
      <x:c r="F30" s="89" t="str">
        <x:v>Ana Álvaro Gómez Sánchez</x:v>
      </x:c>
      <x:c r="G30" s="89" t="str">
        <x:v>Supervisor de puesto</x:v>
      </x:c>
      <x:c r="H30" s="89" t="str">
        <x:v>Barrancabermeja</x:v>
      </x:c>
      <x:c r="I30" s="89" t="str">
        <x:v>Operaciones</x:v>
      </x:c>
      <x:c r="J30" s="89" t="str">
        <x:v>Salud Integral Ocupacional</x:v>
      </x:c>
      <x:c r="K30" s="89" t="str">
        <x:v>Apto con restricciones</x:v>
      </x:c>
      <x:c r="L30" s="89" t="str">
        <x:v>Restricción para trabajo prolongado de pie</x:v>
      </x:c>
      <x:c r="M30" s="89" t="str">
        <x:v>Seguimiento por medicina laboral en 3 meses</x:v>
      </x:c>
      <x:c r="N30" s="112" t="n">
        <x:v>12</x:v>
      </x:c>
      <x:c r="O30" s="106" t="n">
        <x:f>EDATE(C30,N30)</x:f>
        <x:v>45407</x:v>
      </x:c>
      <x:c r="P30" s="89" t="str">
        <x:v>R51 Cefalea</x:v>
      </x:c>
      <x:c r="Q30" s="89" t="str">
        <x:v>Sí</x:v>
      </x:c>
      <x:c r="R30" s="89" t="str">
        <x:v>Psicosocial</x:v>
      </x:c>
      <x:c r="S30" s="106" t="n">
        <x:v>45101</x:v>
      </x:c>
      <x:c r="T30" s="89" t="str">
        <x:f>IF(O30&lt;Instructivo!$B$4,"Vencido",IF(O30&lt;=Instructivo!$B$4+30,"Próximo a vencer","Vigente"))</x:f>
        <x:v>Vencido</x:v>
      </x:c>
      <x:c r="U30" s="89" t="str">
        <x:v>Analista SST</x:v>
      </x:c>
      <x:c r="V30" s="90" t="str">
        <x:v>Sin novedades adicionales</x:v>
      </x:c>
    </x:row>
    <x:row r="31">
      <x:c r="A31" s="88" t="n">
        <x:v>2023</x:v>
      </x:c>
      <x:c r="B31" s="89" t="str">
        <x:v>EMO-2023-0030</x:v>
      </x:c>
      <x:c r="C31" s="106" t="n">
        <x:v>45119</x:v>
      </x:c>
      <x:c r="D31" s="89" t="str">
        <x:v>Post-exposición</x:v>
      </x:c>
      <x:c r="E31" s="89" t="str">
        <x:v>858194570</x:v>
      </x:c>
      <x:c r="F31" s="89" t="str">
        <x:v>José Diana Gómez Martínez</x:v>
      </x:c>
      <x:c r="G31" s="89" t="str">
        <x:v>Vigilante</x:v>
      </x:c>
      <x:c r="H31" s="89" t="str">
        <x:v>Pamplona</x:v>
      </x:c>
      <x:c r="I31" s="89" t="str">
        <x:v>Operaciones</x:v>
      </x:c>
      <x:c r="J31" s="89" t="str">
        <x:v>Colmédica Ocupacional</x:v>
      </x:c>
      <x:c r="K31" s="89" t="str">
        <x:v>Apto</x:v>
      </x:c>
      <x:c r="L31" s="89" t="str"/>
      <x:c r="M31" s="89" t="str">
        <x:v>Uso permanente de EPP</x:v>
      </x:c>
      <x:c r="N31" s="112" t="n">
        <x:v>12</x:v>
      </x:c>
      <x:c r="O31" s="106" t="n">
        <x:f>EDATE(C31,N31)</x:f>
        <x:v>45485</x:v>
      </x:c>
      <x:c r="P31" s="89" t="str">
        <x:v>H52.4 Presbicia</x:v>
      </x:c>
      <x:c r="Q31" s="89" t="str">
        <x:v>No</x:v>
      </x:c>
      <x:c r="R31" s="89" t="str"/>
      <x:c r="S31" s="106"/>
      <x:c r="T31" s="89" t="str">
        <x:f>IF(O31&lt;Instructivo!$B$4,"Vencido",IF(O31&lt;=Instructivo!$B$4+30,"Próximo a vencer","Vigente"))</x:f>
        <x:v>Vencido</x:v>
      </x:c>
      <x:c r="U31" s="89" t="str">
        <x:v>Analista SST</x:v>
      </x:c>
      <x:c r="V31" s="90" t="str">
        <x:v>Requiere revisión de puesto de trabajo</x:v>
      </x:c>
    </x:row>
    <x:row r="32">
      <x:c r="A32" s="88" t="n">
        <x:v>2023</x:v>
      </x:c>
      <x:c r="B32" s="89" t="str">
        <x:v>EMO-2023-0031</x:v>
      </x:c>
      <x:c r="C32" s="106" t="n">
        <x:v>45169</x:v>
      </x:c>
      <x:c r="D32" s="89" t="str">
        <x:v>Periódico</x:v>
      </x:c>
      <x:c r="E32" s="89" t="str">
        <x:v>413741438</x:v>
      </x:c>
      <x:c r="F32" s="89" t="str">
        <x:v>Álvaro Brayan Torres Ramírez</x:v>
      </x:c>
      <x:c r="G32" s="89" t="str">
        <x:v>Vigilante</x:v>
      </x:c>
      <x:c r="H32" s="89" t="str">
        <x:v>Bogotá</x:v>
      </x:c>
      <x:c r="I32" s="89" t="str">
        <x:v>Operaciones</x:v>
      </x:c>
      <x:c r="J32" s="89" t="str">
        <x:v>IPS Prevencionar</x:v>
      </x:c>
      <x:c r="K32" s="89" t="str">
        <x:v>Apto</x:v>
      </x:c>
      <x:c r="L32" s="89" t="str"/>
      <x:c r="M32" s="89" t="str">
        <x:v>Mantener estilos de vida saludable</x:v>
      </x:c>
      <x:c r="N32" s="112" t="n">
        <x:v>12</x:v>
      </x:c>
      <x:c r="O32" s="106" t="n">
        <x:f>EDATE(C32,N32)</x:f>
        <x:v>45535</x:v>
      </x:c>
      <x:c r="P32" s="89" t="str">
        <x:v>Z00.0 Examen general</x:v>
      </x:c>
      <x:c r="Q32" s="89" t="str">
        <x:v>No</x:v>
      </x:c>
      <x:c r="R32" s="89" t="str"/>
      <x:c r="S32" s="106"/>
      <x:c r="T32" s="89" t="str">
        <x:f>IF(O32&lt;Instructivo!$B$4,"Vencido",IF(O32&lt;=Instructivo!$B$4+30,"Próximo a vencer","Vigente"))</x:f>
        <x:v>Vencido</x:v>
      </x:c>
      <x:c r="U32" s="89" t="str">
        <x:v>Líder SST</x:v>
      </x:c>
      <x:c r="V32" s="90" t="str">
        <x:v>Sin novedades adicionales</x:v>
      </x:c>
    </x:row>
    <x:row r="33">
      <x:c r="A33" s="88" t="n">
        <x:v>2023</x:v>
      </x:c>
      <x:c r="B33" s="89" t="str">
        <x:v>EMO-2023-0032</x:v>
      </x:c>
      <x:c r="C33" s="106" t="n">
        <x:v>45004</x:v>
      </x:c>
      <x:c r="D33" s="89" t="str">
        <x:v>Periódico</x:v>
      </x:c>
      <x:c r="E33" s="89" t="str">
        <x:v>532714803</x:v>
      </x:c>
      <x:c r="F33" s="89" t="str">
        <x:v>Luis Brayan Martínez Rojas</x:v>
      </x:c>
      <x:c r="G33" s="89" t="str">
        <x:v>Conductor</x:v>
      </x:c>
      <x:c r="H33" s="89" t="str">
        <x:v>Medellín</x:v>
      </x:c>
      <x:c r="I33" s="89" t="str">
        <x:v>Logística</x:v>
      </x:c>
      <x:c r="J33" s="89" t="str">
        <x:v>IPS Ocupasalud SAS</x:v>
      </x:c>
      <x:c r="K33" s="89" t="str">
        <x:v>Apto</x:v>
      </x:c>
      <x:c r="L33" s="89" t="str"/>
      <x:c r="M33" s="89" t="str">
        <x:v>Participar en programas de vigilancia epidemiológica</x:v>
      </x:c>
      <x:c r="N33" s="112" t="n">
        <x:v>12</x:v>
      </x:c>
      <x:c r="O33" s="106" t="n">
        <x:f>EDATE(C33,N33)</x:f>
        <x:v>45370</x:v>
      </x:c>
      <x:c r="P33" s="89" t="str">
        <x:v>Z00.0 Examen general</x:v>
      </x:c>
      <x:c r="Q33" s="89" t="str">
        <x:v>Sí</x:v>
      </x:c>
      <x:c r="R33" s="89" t="str">
        <x:v>Optometría</x:v>
      </x:c>
      <x:c r="S33" s="106" t="n">
        <x:v>45064</x:v>
      </x:c>
      <x:c r="T33" s="89" t="str">
        <x:f>IF(O33&lt;Instructivo!$B$4,"Vencido",IF(O33&lt;=Instructivo!$B$4+30,"Próximo a vencer","Vigente"))</x:f>
        <x:v>Vencido</x:v>
      </x:c>
      <x:c r="U33" s="89" t="str">
        <x:v>Analista SST</x:v>
      </x:c>
      <x:c r="V33" s="90" t="str">
        <x:v>Se recomienda seguimiento por comité SST</x:v>
      </x:c>
    </x:row>
    <x:row r="34">
      <x:c r="A34" s="88" t="n">
        <x:v>2023</x:v>
      </x:c>
      <x:c r="B34" s="89" t="str">
        <x:v>EMO-2023-0033</x:v>
      </x:c>
      <x:c r="C34" s="106" t="n">
        <x:v>45246</x:v>
      </x:c>
      <x:c r="D34" s="89" t="str">
        <x:v>Periódico</x:v>
      </x:c>
      <x:c r="E34" s="89" t="str">
        <x:v>768419378</x:v>
      </x:c>
      <x:c r="F34" s="89" t="str">
        <x:v>Julián Miguel Moreno Castro</x:v>
      </x:c>
      <x:c r="G34" s="89" t="str">
        <x:v>Vigilante</x:v>
      </x:c>
      <x:c r="H34" s="89" t="str">
        <x:v>Pamplona</x:v>
      </x:c>
      <x:c r="I34" s="89" t="str">
        <x:v>Operaciones</x:v>
      </x:c>
      <x:c r="J34" s="89" t="str">
        <x:v>Salud Integral Ocupacional</x:v>
      </x:c>
      <x:c r="K34" s="89" t="str">
        <x:v>Apto</x:v>
      </x:c>
      <x:c r="L34" s="89" t="str"/>
      <x:c r="M34" s="89" t="str">
        <x:v>Continuar controles periódicos anuales</x:v>
      </x:c>
      <x:c r="N34" s="112" t="n">
        <x:v>12</x:v>
      </x:c>
      <x:c r="O34" s="106" t="n">
        <x:f>EDATE(C34,N34)</x:f>
        <x:v>45612</x:v>
      </x:c>
      <x:c r="P34" s="89" t="str">
        <x:v>Z00.0 Examen general</x:v>
      </x:c>
      <x:c r="Q34" s="89" t="str">
        <x:v>No</x:v>
      </x:c>
      <x:c r="R34" s="89" t="str"/>
      <x:c r="S34" s="106"/>
      <x:c r="T34" s="89" t="str">
        <x:f>IF(O34&lt;Instructivo!$B$4,"Vencido",IF(O34&lt;=Instructivo!$B$4+30,"Próximo a vencer","Vigente"))</x:f>
        <x:v>Vencido</x:v>
      </x:c>
      <x:c r="U34" s="89" t="str">
        <x:v>Analista SST</x:v>
      </x:c>
      <x:c r="V34" s="90" t="str">
        <x:v>Sin novedades adicionales</x:v>
      </x:c>
    </x:row>
    <x:row r="35">
      <x:c r="A35" s="88" t="n">
        <x:v>2023</x:v>
      </x:c>
      <x:c r="B35" s="89" t="str">
        <x:v>EMO-2023-0034</x:v>
      </x:c>
      <x:c r="C35" s="106" t="n">
        <x:v>44928</x:v>
      </x:c>
      <x:c r="D35" s="89" t="str">
        <x:v>Periódico</x:v>
      </x:c>
      <x:c r="E35" s="89" t="str">
        <x:v>849770838</x:v>
      </x:c>
      <x:c r="F35" s="89" t="str">
        <x:v>Felipe Julián Sánchez Parra</x:v>
      </x:c>
      <x:c r="G35" s="89" t="str">
        <x:v>Vigilante</x:v>
      </x:c>
      <x:c r="H35" s="89" t="str">
        <x:v>Cúcuta</x:v>
      </x:c>
      <x:c r="I35" s="89" t="str">
        <x:v>Operaciones</x:v>
      </x:c>
      <x:c r="J35" s="89" t="str">
        <x:v>IPS Ocupasalud SAS</x:v>
      </x:c>
      <x:c r="K35" s="89" t="str">
        <x:v>Apto</x:v>
      </x:c>
      <x:c r="L35" s="89" t="str"/>
      <x:c r="M35" s="89" t="str">
        <x:v>Mantener estilos de vida saludable</x:v>
      </x:c>
      <x:c r="N35" s="112" t="n">
        <x:v>12</x:v>
      </x:c>
      <x:c r="O35" s="106" t="n">
        <x:f>EDATE(C35,N35)</x:f>
        <x:v>45293</x:v>
      </x:c>
      <x:c r="P35" s="89" t="str">
        <x:v>R51 Cefalea</x:v>
      </x:c>
      <x:c r="Q35" s="89" t="str">
        <x:v>No</x:v>
      </x:c>
      <x:c r="R35" s="89" t="str"/>
      <x:c r="S35" s="106"/>
      <x:c r="T35" s="89" t="str">
        <x:f>IF(O35&lt;Instructivo!$B$4,"Vencido",IF(O35&lt;=Instructivo!$B$4+30,"Próximo a vencer","Vigente"))</x:f>
        <x:v>Vencido</x:v>
      </x:c>
      <x:c r="U35" s="89" t="str">
        <x:v>Líder SST</x:v>
      </x:c>
      <x:c r="V35" s="90" t="str">
        <x:v>Pendiente firma de concepto médico</x:v>
      </x:c>
    </x:row>
    <x:row r="36">
      <x:c r="A36" s="88" t="n">
        <x:v>2023</x:v>
      </x:c>
      <x:c r="B36" s="89" t="str">
        <x:v>EMO-2023-0035</x:v>
      </x:c>
      <x:c r="C36" s="106" t="n">
        <x:v>45187</x:v>
      </x:c>
      <x:c r="D36" s="89" t="str">
        <x:v>Periódico</x:v>
      </x:c>
      <x:c r="E36" s="89" t="str">
        <x:v>169333700</x:v>
      </x:c>
      <x:c r="F36" s="89" t="str">
        <x:v>José Yulieth Ramírez Rojas</x:v>
      </x:c>
      <x:c r="G36" s="89" t="str">
        <x:v>Operador de medios tecnológicos</x:v>
      </x:c>
      <x:c r="H36" s="89" t="str">
        <x:v>Cúcuta</x:v>
      </x:c>
      <x:c r="I36" s="89" t="str">
        <x:v>Medios Tecnológicos</x:v>
      </x:c>
      <x:c r="J36" s="89" t="str">
        <x:v>IPS Prevencionar</x:v>
      </x:c>
      <x:c r="K36" s="89" t="str">
        <x:v>Apto</x:v>
      </x:c>
      <x:c r="L36" s="89" t="str"/>
      <x:c r="M36" s="89" t="str">
        <x:v>Participar en programas de vigilancia epidemiológica</x:v>
      </x:c>
      <x:c r="N36" s="112" t="n">
        <x:v>12</x:v>
      </x:c>
      <x:c r="O36" s="106" t="n">
        <x:f>EDATE(C36,N36)</x:f>
        <x:v>45553</x:v>
      </x:c>
      <x:c r="P36" s="89" t="str">
        <x:v>R51 Cefalea</x:v>
      </x:c>
      <x:c r="Q36" s="89" t="str">
        <x:v>No</x:v>
      </x:c>
      <x:c r="R36" s="89" t="str"/>
      <x:c r="S36" s="106"/>
      <x:c r="T36" s="89" t="str">
        <x:f>IF(O36&lt;Instructivo!$B$4,"Vencido",IF(O36&lt;=Instructivo!$B$4+30,"Próximo a vencer","Vigente"))</x:f>
        <x:v>Vencido</x:v>
      </x:c>
      <x:c r="U36" s="89" t="str">
        <x:v>Coordinador de Talento Humano</x:v>
      </x:c>
      <x:c r="V36" s="90" t="str">
        <x:v>Registro completo y soportado en historia ocupacional</x:v>
      </x:c>
    </x:row>
    <x:row r="37">
      <x:c r="A37" s="88" t="n">
        <x:v>2023</x:v>
      </x:c>
      <x:c r="B37" s="89" t="str">
        <x:v>EMO-2023-0036</x:v>
      </x:c>
      <x:c r="C37" s="106" t="n">
        <x:v>44962</x:v>
      </x:c>
      <x:c r="D37" s="89" t="str">
        <x:v>Periódico</x:v>
      </x:c>
      <x:c r="E37" s="89" t="str">
        <x:v>532714803</x:v>
      </x:c>
      <x:c r="F37" s="89" t="str">
        <x:v>Luis Brayan Martínez Rojas</x:v>
      </x:c>
      <x:c r="G37" s="89" t="str">
        <x:v>Conductor</x:v>
      </x:c>
      <x:c r="H37" s="89" t="str">
        <x:v>Medellín</x:v>
      </x:c>
      <x:c r="I37" s="89" t="str">
        <x:v>Logística</x:v>
      </x:c>
      <x:c r="J37" s="89" t="str">
        <x:v>Colmédica Ocupacional</x:v>
      </x:c>
      <x:c r="K37" s="89" t="str">
        <x:v>Apto</x:v>
      </x:c>
      <x:c r="L37" s="89" t="str"/>
      <x:c r="M37" s="89" t="str">
        <x:v>Continuar controles periódicos anuales</x:v>
      </x:c>
      <x:c r="N37" s="112" t="n">
        <x:v>12</x:v>
      </x:c>
      <x:c r="O37" s="106" t="n">
        <x:f>EDATE(C37,N37)</x:f>
        <x:v>45327</x:v>
      </x:c>
      <x:c r="P37" s="89" t="str">
        <x:v>H52.4 Presbicia</x:v>
      </x:c>
      <x:c r="Q37" s="89" t="str">
        <x:v>No</x:v>
      </x:c>
      <x:c r="R37" s="89" t="str"/>
      <x:c r="S37" s="106"/>
      <x:c r="T37" s="89" t="str">
        <x:f>IF(O37&lt;Instructivo!$B$4,"Vencido",IF(O37&lt;=Instructivo!$B$4+30,"Próximo a vencer","Vigente"))</x:f>
        <x:v>Vencido</x:v>
      </x:c>
      <x:c r="U37" s="89" t="str">
        <x:v>Líder SST</x:v>
      </x:c>
      <x:c r="V37" s="90" t="str">
        <x:v>Requiere revisión de puesto de trabajo</x:v>
      </x:c>
    </x:row>
    <x:row r="38">
      <x:c r="A38" s="88" t="n">
        <x:v>2023</x:v>
      </x:c>
      <x:c r="B38" s="89" t="str">
        <x:v>EMO-2023-0037</x:v>
      </x:c>
      <x:c r="C38" s="106" t="n">
        <x:v>45257</x:v>
      </x:c>
      <x:c r="D38" s="89" t="str">
        <x:v>Periódico</x:v>
      </x:c>
      <x:c r="E38" s="89" t="str">
        <x:v>424867786</x:v>
      </x:c>
      <x:c r="F38" s="89" t="str">
        <x:v>Andrés Tatiana Sánchez Parra</x:v>
      </x:c>
      <x:c r="G38" s="89" t="str">
        <x:v>Vigilante</x:v>
      </x:c>
      <x:c r="H38" s="89" t="str">
        <x:v>Cúcuta</x:v>
      </x:c>
      <x:c r="I38" s="89" t="str">
        <x:v>Operaciones</x:v>
      </x:c>
      <x:c r="J38" s="89" t="str">
        <x:v>Centro Médico Laboral Andino</x:v>
      </x:c>
      <x:c r="K38" s="89" t="str">
        <x:v>Apto</x:v>
      </x:c>
      <x:c r="L38" s="89" t="str"/>
      <x:c r="M38" s="89" t="str">
        <x:v>Participar en programas de vigilancia epidemiológica</x:v>
      </x:c>
      <x:c r="N38" s="112" t="n">
        <x:v>12</x:v>
      </x:c>
      <x:c r="O38" s="106" t="n">
        <x:f>EDATE(C38,N38)</x:f>
        <x:v>45623</x:v>
      </x:c>
      <x:c r="P38" s="89" t="str">
        <x:v>H52.4 Presbicia</x:v>
      </x:c>
      <x:c r="Q38" s="89" t="str">
        <x:v>No</x:v>
      </x:c>
      <x:c r="R38" s="89" t="str"/>
      <x:c r="S38" s="106"/>
      <x:c r="T38" s="89" t="str">
        <x:f>IF(O38&lt;Instructivo!$B$4,"Vencido",IF(O38&lt;=Instructivo!$B$4+30,"Próximo a vencer","Vigente"))</x:f>
        <x:v>Vencido</x:v>
      </x:c>
      <x:c r="U38" s="89" t="str">
        <x:v>Líder SST</x:v>
      </x:c>
      <x:c r="V38" s="90" t="str">
        <x:v>Sin novedades adicionales</x:v>
      </x:c>
    </x:row>
    <x:row r="39">
      <x:c r="A39" s="88" t="n">
        <x:v>2023</x:v>
      </x:c>
      <x:c r="B39" s="89" t="str">
        <x:v>EMO-2023-0038</x:v>
      </x:c>
      <x:c r="C39" s="106" t="n">
        <x:v>45031</x:v>
      </x:c>
      <x:c r="D39" s="89" t="str">
        <x:v>Ingreso</x:v>
      </x:c>
      <x:c r="E39" s="89" t="str">
        <x:v>539518424</x:v>
      </x:c>
      <x:c r="F39" s="89" t="str">
        <x:v>Julián Juan Díaz Díaz</x:v>
      </x:c>
      <x:c r="G39" s="89" t="str">
        <x:v>Auxiliar administrativo</x:v>
      </x:c>
      <x:c r="H39" s="89" t="str">
        <x:v>Medellín</x:v>
      </x:c>
      <x:c r="I39" s="89" t="str">
        <x:v>Administrativa</x:v>
      </x:c>
      <x:c r="J39" s="89" t="str">
        <x:v>Colmédica Ocupacional</x:v>
      </x:c>
      <x:c r="K39" s="89" t="str">
        <x:v>Apto</x:v>
      </x:c>
      <x:c r="L39" s="89" t="str"/>
      <x:c r="M39" s="89" t="str">
        <x:v>Mantener estilos de vida saludable</x:v>
      </x:c>
      <x:c r="N39" s="112" t="n">
        <x:v>12</x:v>
      </x:c>
      <x:c r="O39" s="106" t="n">
        <x:f>EDATE(C39,N39)</x:f>
        <x:v>45397</x:v>
      </x:c>
      <x:c r="P39" s="89" t="str">
        <x:v>M75.1 Lesión de hombro</x:v>
      </x:c>
      <x:c r="Q39" s="89" t="str">
        <x:v>No</x:v>
      </x:c>
      <x:c r="R39" s="89" t="str"/>
      <x:c r="S39" s="106"/>
      <x:c r="T39" s="89" t="str">
        <x:f>IF(O39&lt;Instructivo!$B$4,"Vencido",IF(O39&lt;=Instructivo!$B$4+30,"Próximo a vencer","Vigente"))</x:f>
        <x:v>Vencido</x:v>
      </x:c>
      <x:c r="U39" s="89" t="str">
        <x:v>Médico Ocupacional</x:v>
      </x:c>
      <x:c r="V39" s="90" t="str">
        <x:v>Se recomienda seguimiento por comité SST</x:v>
      </x:c>
    </x:row>
    <x:row r="40">
      <x:c r="A40" s="88" t="n">
        <x:v>2023</x:v>
      </x:c>
      <x:c r="B40" s="89" t="str">
        <x:v>EMO-2023-0039</x:v>
      </x:c>
      <x:c r="C40" s="106" t="n">
        <x:v>45259</x:v>
      </x:c>
      <x:c r="D40" s="89" t="str">
        <x:v>Ingreso</x:v>
      </x:c>
      <x:c r="E40" s="89" t="str">
        <x:v>959910914</x:v>
      </x:c>
      <x:c r="F40" s="89" t="str">
        <x:v>Laura Paola Parra Cárdenas</x:v>
      </x:c>
      <x:c r="G40" s="89" t="str">
        <x:v>Coordinador de operaciones</x:v>
      </x:c>
      <x:c r="H40" s="89" t="str">
        <x:v>Arauca</x:v>
      </x:c>
      <x:c r="I40" s="89" t="str">
        <x:v>Operaciones</x:v>
      </x:c>
      <x:c r="J40" s="89" t="str">
        <x:v>Colmédica Ocupacional</x:v>
      </x:c>
      <x:c r="K40" s="89" t="str">
        <x:v>Apto</x:v>
      </x:c>
      <x:c r="L40" s="89" t="str"/>
      <x:c r="M40" s="89" t="str">
        <x:v>Uso permanente de EPP</x:v>
      </x:c>
      <x:c r="N40" s="112" t="n">
        <x:v>12</x:v>
      </x:c>
      <x:c r="O40" s="106" t="n">
        <x:f>EDATE(C40,N40)</x:f>
        <x:v>45625</x:v>
      </x:c>
      <x:c r="P40" s="89" t="str">
        <x:v>E66.9 Obesidad</x:v>
      </x:c>
      <x:c r="Q40" s="89" t="str">
        <x:v>No</x:v>
      </x:c>
      <x:c r="R40" s="89" t="str"/>
      <x:c r="S40" s="106"/>
      <x:c r="T40" s="89" t="str">
        <x:f>IF(O40&lt;Instructivo!$B$4,"Vencido",IF(O40&lt;=Instructivo!$B$4+30,"Próximo a vencer","Vigente"))</x:f>
        <x:v>Vencido</x:v>
      </x:c>
      <x:c r="U40" s="89" t="str">
        <x:v>Líder SST</x:v>
      </x:c>
      <x:c r="V40" s="90" t="str">
        <x:v>Registro completo y soportado en historia ocupacional</x:v>
      </x:c>
    </x:row>
    <x:row r="41">
      <x:c r="A41" s="88" t="n">
        <x:v>2023</x:v>
      </x:c>
      <x:c r="B41" s="89" t="str">
        <x:v>EMO-2023-0040</x:v>
      </x:c>
      <x:c r="C41" s="106" t="n">
        <x:v>45132</x:v>
      </x:c>
      <x:c r="D41" s="89" t="str">
        <x:v>Periódico</x:v>
      </x:c>
      <x:c r="E41" s="89" t="str">
        <x:v>722721135</x:v>
      </x:c>
      <x:c r="F41" s="89" t="str">
        <x:v>Juan Diana Díaz Castro</x:v>
      </x:c>
      <x:c r="G41" s="89" t="str">
        <x:v>Vigilante</x:v>
      </x:c>
      <x:c r="H41" s="89" t="str">
        <x:v>Girón</x:v>
      </x:c>
      <x:c r="I41" s="89" t="str">
        <x:v>Operaciones</x:v>
      </x:c>
      <x:c r="J41" s="89" t="str">
        <x:v>IPS Prevencionar</x:v>
      </x:c>
      <x:c r="K41" s="89" t="str">
        <x:v>Apto con restricciones</x:v>
      </x:c>
      <x:c r="L41" s="89" t="str">
        <x:v>Control visual y corrección óptica permanente</x:v>
      </x:c>
      <x:c r="M41" s="89" t="str">
        <x:v>Capacitación ergonómica y seguimiento SST</x:v>
      </x:c>
      <x:c r="N41" s="112" t="n">
        <x:v>12</x:v>
      </x:c>
      <x:c r="O41" s="106" t="n">
        <x:f>EDATE(C41,N41)</x:f>
        <x:v>45498</x:v>
      </x:c>
      <x:c r="P41" s="89" t="str">
        <x:v>R51 Cefalea</x:v>
      </x:c>
      <x:c r="Q41" s="89" t="str">
        <x:v>Sí</x:v>
      </x:c>
      <x:c r="R41" s="89" t="str">
        <x:v>Ergonomía</x:v>
      </x:c>
      <x:c r="S41" s="106" t="n">
        <x:v>45222</x:v>
      </x:c>
      <x:c r="T41" s="89" t="str">
        <x:f>IF(O41&lt;Instructivo!$B$4,"Vencido",IF(O41&lt;=Instructivo!$B$4+30,"Próximo a vencer","Vigente"))</x:f>
        <x:v>Vencido</x:v>
      </x:c>
      <x:c r="U41" s="89" t="str">
        <x:v>Coordinador de Talento Humano</x:v>
      </x:c>
      <x:c r="V41" s="90" t="str">
        <x:v>Requiere revisión de puesto de trabajo</x:v>
      </x:c>
    </x:row>
    <x:row r="42">
      <x:c r="A42" s="88" t="n">
        <x:v>2023</x:v>
      </x:c>
      <x:c r="B42" s="89" t="str">
        <x:v>EMO-2023-0041</x:v>
      </x:c>
      <x:c r="C42" s="106" t="n">
        <x:v>44968</x:v>
      </x:c>
      <x:c r="D42" s="89" t="str">
        <x:v>Periódico</x:v>
      </x:c>
      <x:c r="E42" s="89" t="str">
        <x:v>644553384</x:v>
      </x:c>
      <x:c r="F42" s="89" t="str">
        <x:v>Laura Yulieth Sánchez Díaz</x:v>
      </x:c>
      <x:c r="G42" s="89" t="str">
        <x:v>Auxiliar administrativo</x:v>
      </x:c>
      <x:c r="H42" s="89" t="str">
        <x:v>Ocaña</x:v>
      </x:c>
      <x:c r="I42" s="89" t="str">
        <x:v>Administrativa</x:v>
      </x:c>
      <x:c r="J42" s="89" t="str">
        <x:v>IPS Ocupasalud SAS</x:v>
      </x:c>
      <x:c r="K42" s="89" t="str">
        <x:v>Apto</x:v>
      </x:c>
      <x:c r="L42" s="89" t="str"/>
      <x:c r="M42" s="89" t="str">
        <x:v>Mantener estilos de vida saludable</x:v>
      </x:c>
      <x:c r="N42" s="112" t="n">
        <x:v>12</x:v>
      </x:c>
      <x:c r="O42" s="106" t="n">
        <x:f>EDATE(C42,N42)</x:f>
        <x:v>45333</x:v>
      </x:c>
      <x:c r="P42" s="89" t="str">
        <x:v>M54.5 Lumbalgia</x:v>
      </x:c>
      <x:c r="Q42" s="89" t="str">
        <x:v>No</x:v>
      </x:c>
      <x:c r="R42" s="89" t="str"/>
      <x:c r="S42" s="106"/>
      <x:c r="T42" s="89" t="str">
        <x:f>IF(O42&lt;Instructivo!$B$4,"Vencido",IF(O42&lt;=Instructivo!$B$4+30,"Próximo a vencer","Vigente"))</x:f>
        <x:v>Vencido</x:v>
      </x:c>
      <x:c r="U42" s="89" t="str">
        <x:v>Coordinador de Talento Humano</x:v>
      </x:c>
      <x:c r="V42" s="90" t="str">
        <x:v>Se recomienda seguimiento por comité SST</x:v>
      </x:c>
    </x:row>
    <x:row r="43">
      <x:c r="A43" s="88" t="n">
        <x:v>2023</x:v>
      </x:c>
      <x:c r="B43" s="89" t="str">
        <x:v>EMO-2023-0042</x:v>
      </x:c>
      <x:c r="C43" s="106" t="n">
        <x:v>45236</x:v>
      </x:c>
      <x:c r="D43" s="89" t="str">
        <x:v>Periódico</x:v>
      </x:c>
      <x:c r="E43" s="89" t="str">
        <x:v>458072684</x:v>
      </x:c>
      <x:c r="F43" s="89" t="str">
        <x:v>Julián Luis Castro Pérez</x:v>
      </x:c>
      <x:c r="G43" s="89" t="str">
        <x:v>Auxiliar administrativo</x:v>
      </x:c>
      <x:c r="H43" s="89" t="str">
        <x:v>Bogotá</x:v>
      </x:c>
      <x:c r="I43" s="89" t="str">
        <x:v>Administrativa</x:v>
      </x:c>
      <x:c r="J43" s="89" t="str">
        <x:v>IPS Prevencionar</x:v>
      </x:c>
      <x:c r="K43" s="89" t="str">
        <x:v>Apto</x:v>
      </x:c>
      <x:c r="L43" s="89" t="str"/>
      <x:c r="M43" s="89" t="str">
        <x:v>Mantener estilos de vida saludable</x:v>
      </x:c>
      <x:c r="N43" s="112" t="n">
        <x:v>12</x:v>
      </x:c>
      <x:c r="O43" s="106" t="n">
        <x:f>EDATE(C43,N43)</x:f>
        <x:v>45602</x:v>
      </x:c>
      <x:c r="P43" s="89" t="str">
        <x:v>Z00.0 Examen general</x:v>
      </x:c>
      <x:c r="Q43" s="89" t="str">
        <x:v>No</x:v>
      </x:c>
      <x:c r="R43" s="89" t="str"/>
      <x:c r="S43" s="106"/>
      <x:c r="T43" s="89" t="str">
        <x:f>IF(O43&lt;Instructivo!$B$4,"Vencido",IF(O43&lt;=Instructivo!$B$4+30,"Próximo a vencer","Vigente"))</x:f>
        <x:v>Vencido</x:v>
      </x:c>
      <x:c r="U43" s="89" t="str">
        <x:v>Coordinador de Talento Humano</x:v>
      </x:c>
      <x:c r="V43" s="90" t="str">
        <x:v>Se recomienda seguimiento por comité SST</x:v>
      </x:c>
    </x:row>
    <x:row r="44">
      <x:c r="A44" s="88" t="n">
        <x:v>2023</x:v>
      </x:c>
      <x:c r="B44" s="89" t="str">
        <x:v>EMO-2023-0043</x:v>
      </x:c>
      <x:c r="C44" s="106" t="n">
        <x:v>45068</x:v>
      </x:c>
      <x:c r="D44" s="89" t="str">
        <x:v>Post-exposición</x:v>
      </x:c>
      <x:c r="E44" s="89" t="str">
        <x:v>804607488</x:v>
      </x:c>
      <x:c r="F44" s="89" t="str">
        <x:v>Sergio Álvaro Ramírez Moreno</x:v>
      </x:c>
      <x:c r="G44" s="89" t="str">
        <x:v>Escolta</x:v>
      </x:c>
      <x:c r="H44" s="89" t="str">
        <x:v>Barrancabermeja</x:v>
      </x:c>
      <x:c r="I44" s="89" t="str">
        <x:v>Escoltas</x:v>
      </x:c>
      <x:c r="J44" s="89" t="str">
        <x:v>Salud Integral Ocupacional</x:v>
      </x:c>
      <x:c r="K44" s="89" t="str">
        <x:v>Apto</x:v>
      </x:c>
      <x:c r="L44" s="89" t="str"/>
      <x:c r="M44" s="89" t="str">
        <x:v>Continuar controles periódicos anuales</x:v>
      </x:c>
      <x:c r="N44" s="112" t="n">
        <x:v>12</x:v>
      </x:c>
      <x:c r="O44" s="106" t="n">
        <x:f>EDATE(C44,N44)</x:f>
        <x:v>45434</x:v>
      </x:c>
      <x:c r="P44" s="89" t="str">
        <x:v>H52.4 Presbicia</x:v>
      </x:c>
      <x:c r="Q44" s="89" t="str">
        <x:v>Sí</x:v>
      </x:c>
      <x:c r="R44" s="89" t="str">
        <x:v>Fisioterapia</x:v>
      </x:c>
      <x:c r="S44" s="106" t="n">
        <x:v>45158</x:v>
      </x:c>
      <x:c r="T44" s="89" t="str">
        <x:f>IF(O44&lt;Instructivo!$B$4,"Vencido",IF(O44&lt;=Instructivo!$B$4+30,"Próximo a vencer","Vigente"))</x:f>
        <x:v>Vencido</x:v>
      </x:c>
      <x:c r="U44" s="89" t="str">
        <x:v>Líder SST</x:v>
      </x:c>
      <x:c r="V44" s="90" t="str">
        <x:v>Se recomienda seguimiento por comité SST</x:v>
      </x:c>
    </x:row>
    <x:row r="45">
      <x:c r="A45" s="88" t="n">
        <x:v>2023</x:v>
      </x:c>
      <x:c r="B45" s="89" t="str">
        <x:v>EMO-2023-0044</x:v>
      </x:c>
      <x:c r="C45" s="106" t="n">
        <x:v>45275</x:v>
      </x:c>
      <x:c r="D45" s="89" t="str">
        <x:v>Post-incapacidad</x:v>
      </x:c>
      <x:c r="E45" s="89" t="str">
        <x:v>849770838</x:v>
      </x:c>
      <x:c r="F45" s="89" t="str">
        <x:v>Felipe Julián Sánchez Parra</x:v>
      </x:c>
      <x:c r="G45" s="89" t="str">
        <x:v>Vigilante</x:v>
      </x:c>
      <x:c r="H45" s="89" t="str">
        <x:v>Cúcuta</x:v>
      </x:c>
      <x:c r="I45" s="89" t="str">
        <x:v>Operaciones</x:v>
      </x:c>
      <x:c r="J45" s="89" t="str">
        <x:v>Colmédica Ocupacional</x:v>
      </x:c>
      <x:c r="K45" s="89" t="str">
        <x:v>Apto con restricciones</x:v>
      </x:c>
      <x:c r="L45" s="89" t="str">
        <x:v>Evitar levantamiento de cargas mayores a 15 kg</x:v>
      </x:c>
      <x:c r="M45" s="89" t="str">
        <x:v>Reubicación o ajuste razonable del puesto</x:v>
      </x:c>
      <x:c r="N45" s="112" t="n">
        <x:v>6</x:v>
      </x:c>
      <x:c r="O45" s="106" t="n">
        <x:f>EDATE(C45,N45)</x:f>
        <x:v>45458</x:v>
      </x:c>
      <x:c r="P45" s="89" t="str">
        <x:v>R51 Cefalea</x:v>
      </x:c>
      <x:c r="Q45" s="89" t="str">
        <x:v>Sí</x:v>
      </x:c>
      <x:c r="R45" s="89" t="str">
        <x:v>Medicina laboral</x:v>
      </x:c>
      <x:c r="S45" s="106" t="n">
        <x:v>45335</x:v>
      </x:c>
      <x:c r="T45" s="89" t="str">
        <x:f>IF(O45&lt;Instructivo!$B$4,"Vencido",IF(O45&lt;=Instructivo!$B$4+30,"Próximo a vencer","Vigente"))</x:f>
        <x:v>Vencido</x:v>
      </x:c>
      <x:c r="U45" s="89" t="str">
        <x:v>Médico Ocupacional</x:v>
      </x:c>
      <x:c r="V45" s="90" t="str">
        <x:v>Requiere revisión de puesto de trabajo</x:v>
      </x:c>
    </x:row>
    <x:row r="46">
      <x:c r="A46" s="88" t="n">
        <x:v>2023</x:v>
      </x:c>
      <x:c r="B46" s="89" t="str">
        <x:v>EMO-2023-0045</x:v>
      </x:c>
      <x:c r="C46" s="106" t="n">
        <x:v>45006</x:v>
      </x:c>
      <x:c r="D46" s="89" t="str">
        <x:v>Ingreso</x:v>
      </x:c>
      <x:c r="E46" s="89" t="str">
        <x:v>887847048</x:v>
      </x:c>
      <x:c r="F46" s="89" t="str">
        <x:v>Julián Carlos Rojas Sánchez</x:v>
      </x:c>
      <x:c r="G46" s="89" t="str">
        <x:v>Auxiliar administrativo</x:v>
      </x:c>
      <x:c r="H46" s="89" t="str">
        <x:v>Ocaña</x:v>
      </x:c>
      <x:c r="I46" s="89" t="str">
        <x:v>Administrativa</x:v>
      </x:c>
      <x:c r="J46" s="89" t="str">
        <x:v>Salud Integral Ocupacional</x:v>
      </x:c>
      <x:c r="K46" s="89" t="str">
        <x:v>Apto</x:v>
      </x:c>
      <x:c r="L46" s="89" t="str"/>
      <x:c r="M46" s="89" t="str">
        <x:v>Uso permanente de EPP</x:v>
      </x:c>
      <x:c r="N46" s="112" t="n">
        <x:v>12</x:v>
      </x:c>
      <x:c r="O46" s="106" t="n">
        <x:f>EDATE(C46,N46)</x:f>
        <x:v>45372</x:v>
      </x:c>
      <x:c r="P46" s="89" t="str">
        <x:v>H52.4 Presbicia</x:v>
      </x:c>
      <x:c r="Q46" s="89" t="str">
        <x:v>No</x:v>
      </x:c>
      <x:c r="R46" s="89" t="str"/>
      <x:c r="S46" s="106"/>
      <x:c r="T46" s="89" t="str">
        <x:f>IF(O46&lt;Instructivo!$B$4,"Vencido",IF(O46&lt;=Instructivo!$B$4+30,"Próximo a vencer","Vigente"))</x:f>
        <x:v>Vencido</x:v>
      </x:c>
      <x:c r="U46" s="89" t="str">
        <x:v>Coordinador de Talento Humano</x:v>
      </x:c>
      <x:c r="V46" s="90" t="str">
        <x:v>Registro completo y soportado en historia ocupacional</x:v>
      </x:c>
    </x:row>
    <x:row r="47">
      <x:c r="A47" s="88" t="n">
        <x:v>2023</x:v>
      </x:c>
      <x:c r="B47" s="89" t="str">
        <x:v>EMO-2023-0046</x:v>
      </x:c>
      <x:c r="C47" s="106" t="n">
        <x:v>45070</x:v>
      </x:c>
      <x:c r="D47" s="89" t="str">
        <x:v>Periódico</x:v>
      </x:c>
      <x:c r="E47" s="89" t="str">
        <x:v>468617381</x:v>
      </x:c>
      <x:c r="F47" s="89" t="str">
        <x:v>Luis Luisa Ramírez Torres</x:v>
      </x:c>
      <x:c r="G47" s="89" t="str">
        <x:v>Vigilante</x:v>
      </x:c>
      <x:c r="H47" s="89" t="str">
        <x:v>Tibú</x:v>
      </x:c>
      <x:c r="I47" s="89" t="str">
        <x:v>Operaciones</x:v>
      </x:c>
      <x:c r="J47" s="89" t="str">
        <x:v>IPS Prevencionar</x:v>
      </x:c>
      <x:c r="K47" s="89" t="str">
        <x:v>Apto</x:v>
      </x:c>
      <x:c r="L47" s="89" t="str"/>
      <x:c r="M47" s="89" t="str">
        <x:v>Continuar controles periódicos anuales</x:v>
      </x:c>
      <x:c r="N47" s="112" t="n">
        <x:v>12</x:v>
      </x:c>
      <x:c r="O47" s="106" t="n">
        <x:f>EDATE(C47,N47)</x:f>
        <x:v>45436</x:v>
      </x:c>
      <x:c r="P47" s="89" t="str">
        <x:v>M54.5 Lumbalgia</x:v>
      </x:c>
      <x:c r="Q47" s="89" t="str">
        <x:v>Sí</x:v>
      </x:c>
      <x:c r="R47" s="89" t="str">
        <x:v>Ergonomía</x:v>
      </x:c>
      <x:c r="S47" s="106" t="n">
        <x:v>45160</x:v>
      </x:c>
      <x:c r="T47" s="89" t="str">
        <x:f>IF(O47&lt;Instructivo!$B$4,"Vencido",IF(O47&lt;=Instructivo!$B$4+30,"Próximo a vencer","Vigente"))</x:f>
        <x:v>Vencido</x:v>
      </x:c>
      <x:c r="U47" s="89" t="str">
        <x:v>Coordinador de Talento Humano</x:v>
      </x:c>
      <x:c r="V47" s="90" t="str">
        <x:v>Caso priorizado por restricciones activas</x:v>
      </x:c>
    </x:row>
    <x:row r="48">
      <x:c r="A48" s="88" t="n">
        <x:v>2023</x:v>
      </x:c>
      <x:c r="B48" s="89" t="str">
        <x:v>EMO-2023-0047</x:v>
      </x:c>
      <x:c r="C48" s="106" t="n">
        <x:v>45037</x:v>
      </x:c>
      <x:c r="D48" s="89" t="str">
        <x:v>Periódico</x:v>
      </x:c>
      <x:c r="E48" s="89" t="str">
        <x:v>915652512</x:v>
      </x:c>
      <x:c r="F48" s="89" t="str">
        <x:v>Yulieth Yulieth Castro Ramírez</x:v>
      </x:c>
      <x:c r="G48" s="89" t="str">
        <x:v>Operador de medios tecnológicos</x:v>
      </x:c>
      <x:c r="H48" s="89" t="str">
        <x:v>Barrancabermeja</x:v>
      </x:c>
      <x:c r="I48" s="89" t="str">
        <x:v>Medios Tecnológicos</x:v>
      </x:c>
      <x:c r="J48" s="89" t="str">
        <x:v>IPS Ocupasalud SAS</x:v>
      </x:c>
      <x:c r="K48" s="89" t="str">
        <x:v>No apto</x:v>
      </x:c>
      <x:c r="L48" s="89" t="str">
        <x:v>No apto para trabajo en turnos nocturnos</x:v>
      </x:c>
      <x:c r="M48" s="89" t="str">
        <x:v>Seguimiento semanal por SST y TH</x:v>
      </x:c>
      <x:c r="N48" s="112" t="n">
        <x:v>12</x:v>
      </x:c>
      <x:c r="O48" s="106" t="n">
        <x:f>EDATE(C48,N48)</x:f>
        <x:v>45403</x:v>
      </x:c>
      <x:c r="P48" s="89" t="str">
        <x:v>G56.0 Síndrome túnel carpiano</x:v>
      </x:c>
      <x:c r="Q48" s="89" t="str">
        <x:v>Sí</x:v>
      </x:c>
      <x:c r="R48" s="89" t="str">
        <x:v>Ergonomía</x:v>
      </x:c>
      <x:c r="S48" s="106" t="n">
        <x:v>45097</x:v>
      </x:c>
      <x:c r="T48" s="89" t="str">
        <x:f>IF(O48&lt;Instructivo!$B$4,"Vencido",IF(O48&lt;=Instructivo!$B$4+30,"Próximo a vencer","Vigente"))</x:f>
        <x:v>Vencido</x:v>
      </x:c>
      <x:c r="U48" s="89" t="str">
        <x:v>Analista SST</x:v>
      </x:c>
      <x:c r="V48" s="90" t="str">
        <x:v>Pendiente firma de concepto médico</x:v>
      </x:c>
    </x:row>
    <x:row r="49">
      <x:c r="A49" s="88" t="n">
        <x:v>2023</x:v>
      </x:c>
      <x:c r="B49" s="89" t="str">
        <x:v>EMO-2023-0048</x:v>
      </x:c>
      <x:c r="C49" s="106" t="n">
        <x:v>45277</x:v>
      </x:c>
      <x:c r="D49" s="89" t="str">
        <x:v>Post-exposición</x:v>
      </x:c>
      <x:c r="E49" s="89" t="str">
        <x:v>403657144</x:v>
      </x:c>
      <x:c r="F49" s="89" t="str">
        <x:v>José Laura Pérez Moreno</x:v>
      </x:c>
      <x:c r="G49" s="89" t="str">
        <x:v>Escolta</x:v>
      </x:c>
      <x:c r="H49" s="89" t="str">
        <x:v>Cúcuta</x:v>
      </x:c>
      <x:c r="I49" s="89" t="str">
        <x:v>Escoltas</x:v>
      </x:c>
      <x:c r="J49" s="89" t="str">
        <x:v>Salud Integral Ocupacional</x:v>
      </x:c>
      <x:c r="K49" s="89" t="str">
        <x:v>No apto</x:v>
      </x:c>
      <x:c r="L49" s="89" t="str">
        <x:v>No apto para trabajo en turnos nocturnos</x:v>
      </x:c>
      <x:c r="M49" s="89" t="str">
        <x:v>No asignar tareas críticas hasta concepto médico</x:v>
      </x:c>
      <x:c r="N49" s="112" t="n">
        <x:v>12</x:v>
      </x:c>
      <x:c r="O49" s="106" t="n">
        <x:f>EDATE(C49,N49)</x:f>
        <x:v>45643</x:v>
      </x:c>
      <x:c r="P49" s="89" t="str">
        <x:v>E66.9 Obesidad</x:v>
      </x:c>
      <x:c r="Q49" s="89" t="str">
        <x:v>Sí</x:v>
      </x:c>
      <x:c r="R49" s="89" t="str">
        <x:v>Fisioterapia</x:v>
      </x:c>
      <x:c r="S49" s="106" t="n">
        <x:v>45337</x:v>
      </x:c>
      <x:c r="T49" s="89" t="str">
        <x:f>IF(O49&lt;Instructivo!$B$4,"Vencido",IF(O49&lt;=Instructivo!$B$4+30,"Próximo a vencer","Vigente"))</x:f>
        <x:v>Vencido</x:v>
      </x:c>
      <x:c r="U49" s="89" t="str">
        <x:v>Coordinador de Talento Humano</x:v>
      </x:c>
      <x:c r="V49" s="90" t="str">
        <x:v>Caso priorizado por restricciones activas</x:v>
      </x:c>
    </x:row>
    <x:row r="50">
      <x:c r="A50" s="88" t="n">
        <x:v>2023</x:v>
      </x:c>
      <x:c r="B50" s="89" t="str">
        <x:v>EMO-2023-0049</x:v>
      </x:c>
      <x:c r="C50" s="106" t="n">
        <x:v>45254</x:v>
      </x:c>
      <x:c r="D50" s="89" t="str">
        <x:v>Periódico</x:v>
      </x:c>
      <x:c r="E50" s="89" t="str">
        <x:v>939874152</x:v>
      </x:c>
      <x:c r="F50" s="89" t="str">
        <x:v>Juan Luisa Díaz Martínez</x:v>
      </x:c>
      <x:c r="G50" s="89" t="str">
        <x:v>Técnico de mantenimiento</x:v>
      </x:c>
      <x:c r="H50" s="89" t="str">
        <x:v>Pamplona</x:v>
      </x:c>
      <x:c r="I50" s="89" t="str">
        <x:v>Infraestructura</x:v>
      </x:c>
      <x:c r="J50" s="89" t="str">
        <x:v>Centro Médico Laboral Andino</x:v>
      </x:c>
      <x:c r="K50" s="89" t="str">
        <x:v>Apto</x:v>
      </x:c>
      <x:c r="L50" s="89" t="str"/>
      <x:c r="M50" s="89" t="str">
        <x:v>Uso permanente de EPP</x:v>
      </x:c>
      <x:c r="N50" s="112" t="n">
        <x:v>12</x:v>
      </x:c>
      <x:c r="O50" s="106" t="n">
        <x:f>EDATE(C50,N50)</x:f>
        <x:v>45620</x:v>
      </x:c>
      <x:c r="P50" s="89" t="str">
        <x:v>H52.4 Presbicia</x:v>
      </x:c>
      <x:c r="Q50" s="89" t="str">
        <x:v>No</x:v>
      </x:c>
      <x:c r="R50" s="89" t="str"/>
      <x:c r="S50" s="106"/>
      <x:c r="T50" s="89" t="str">
        <x:f>IF(O50&lt;Instructivo!$B$4,"Vencido",IF(O50&lt;=Instructivo!$B$4+30,"Próximo a vencer","Vigente"))</x:f>
        <x:v>Vencido</x:v>
      </x:c>
      <x:c r="U50" s="89" t="str">
        <x:v>Analista SST</x:v>
      </x:c>
      <x:c r="V50" s="90" t="str">
        <x:v>Registro completo y soportado en historia ocupacional</x:v>
      </x:c>
    </x:row>
    <x:row r="51">
      <x:c r="A51" s="88" t="n">
        <x:v>2023</x:v>
      </x:c>
      <x:c r="B51" s="89" t="str">
        <x:v>EMO-2023-0050</x:v>
      </x:c>
      <x:c r="C51" s="106" t="n">
        <x:v>45211</x:v>
      </x:c>
      <x:c r="D51" s="89" t="str">
        <x:v>Ingreso</x:v>
      </x:c>
      <x:c r="E51" s="89" t="str">
        <x:v>652651601</x:v>
      </x:c>
      <x:c r="F51" s="89" t="str">
        <x:v>Yulieth Ana Martínez Cárdenas</x:v>
      </x:c>
      <x:c r="G51" s="89" t="str">
        <x:v>Operador de medios tecnológicos</x:v>
      </x:c>
      <x:c r="H51" s="89" t="str">
        <x:v>Cúcuta</x:v>
      </x:c>
      <x:c r="I51" s="89" t="str">
        <x:v>Medios Tecnológicos</x:v>
      </x:c>
      <x:c r="J51" s="89" t="str">
        <x:v>Centro Médico Laboral Andino</x:v>
      </x:c>
      <x:c r="K51" s="89" t="str">
        <x:v>Apto</x:v>
      </x:c>
      <x:c r="L51" s="89" t="str"/>
      <x:c r="M51" s="89" t="str">
        <x:v>Participar en programas de vigilancia epidemiológica</x:v>
      </x:c>
      <x:c r="N51" s="112" t="n">
        <x:v>12</x:v>
      </x:c>
      <x:c r="O51" s="106" t="n">
        <x:f>EDATE(C51,N51)</x:f>
        <x:v>45577</x:v>
      </x:c>
      <x:c r="P51" s="89" t="str">
        <x:v>M54.5 Lumbalgia</x:v>
      </x:c>
      <x:c r="Q51" s="89" t="str">
        <x:v>No</x:v>
      </x:c>
      <x:c r="R51" s="89" t="str"/>
      <x:c r="S51" s="106"/>
      <x:c r="T51" s="89" t="str">
        <x:f>IF(O51&lt;Instructivo!$B$4,"Vencido",IF(O51&lt;=Instructivo!$B$4+30,"Próximo a vencer","Vigente"))</x:f>
        <x:v>Vencido</x:v>
      </x:c>
      <x:c r="U51" s="89" t="str">
        <x:v>Líder SST</x:v>
      </x:c>
      <x:c r="V51" s="90" t="str">
        <x:v>Caso priorizado por restricciones activas</x:v>
      </x:c>
    </x:row>
    <x:row r="52">
      <x:c r="A52" s="88" t="n">
        <x:v>2023</x:v>
      </x:c>
      <x:c r="B52" s="89" t="str">
        <x:v>EMO-2023-0051</x:v>
      </x:c>
      <x:c r="C52" s="106" t="n">
        <x:v>45173</x:v>
      </x:c>
      <x:c r="D52" s="89" t="str">
        <x:v>Periódico</x:v>
      </x:c>
      <x:c r="E52" s="89" t="str">
        <x:v>492813596</x:v>
      </x:c>
      <x:c r="F52" s="89" t="str">
        <x:v>Diana Juan Díaz Suárez</x:v>
      </x:c>
      <x:c r="G52" s="89" t="str">
        <x:v>Vigilante</x:v>
      </x:c>
      <x:c r="H52" s="89" t="str">
        <x:v>Ocaña</x:v>
      </x:c>
      <x:c r="I52" s="89" t="str">
        <x:v>Operaciones</x:v>
      </x:c>
      <x:c r="J52" s="89" t="str">
        <x:v>Centro Médico Laboral Andino</x:v>
      </x:c>
      <x:c r="K52" s="89" t="str">
        <x:v>Apto</x:v>
      </x:c>
      <x:c r="L52" s="89" t="str"/>
      <x:c r="M52" s="89" t="str">
        <x:v>Participar en programas de vigilancia epidemiológica</x:v>
      </x:c>
      <x:c r="N52" s="112" t="n">
        <x:v>12</x:v>
      </x:c>
      <x:c r="O52" s="106" t="n">
        <x:f>EDATE(C52,N52)</x:f>
        <x:v>45539</x:v>
      </x:c>
      <x:c r="P52" s="89" t="str">
        <x:v>R51 Cefalea</x:v>
      </x:c>
      <x:c r="Q52" s="89" t="str">
        <x:v>No</x:v>
      </x:c>
      <x:c r="R52" s="89" t="str"/>
      <x:c r="S52" s="106"/>
      <x:c r="T52" s="89" t="str">
        <x:f>IF(O52&lt;Instructivo!$B$4,"Vencido",IF(O52&lt;=Instructivo!$B$4+30,"Próximo a vencer","Vigente"))</x:f>
        <x:v>Vencido</x:v>
      </x:c>
      <x:c r="U52" s="89" t="str">
        <x:v>Líder SST</x:v>
      </x:c>
      <x:c r="V52" s="90" t="str">
        <x:v>Registro completo y soportado en historia ocupacional</x:v>
      </x:c>
    </x:row>
    <x:row r="53">
      <x:c r="A53" s="88" t="n">
        <x:v>2023</x:v>
      </x:c>
      <x:c r="B53" s="89" t="str">
        <x:v>EMO-2023-0052</x:v>
      </x:c>
      <x:c r="C53" s="106" t="n">
        <x:v>45192</x:v>
      </x:c>
      <x:c r="D53" s="89" t="str">
        <x:v>Periódico</x:v>
      </x:c>
      <x:c r="E53" s="89" t="str">
        <x:v>447970771</x:v>
      </x:c>
      <x:c r="F53" s="89" t="str">
        <x:v>Wilson Wilson Ramírez Cárdenas</x:v>
      </x:c>
      <x:c r="G53" s="89" t="str">
        <x:v>Vigilante</x:v>
      </x:c>
      <x:c r="H53" s="89" t="str">
        <x:v>Valledupar</x:v>
      </x:c>
      <x:c r="I53" s="89" t="str">
        <x:v>Operaciones</x:v>
      </x:c>
      <x:c r="J53" s="89" t="str">
        <x:v>IPS Prevencionar</x:v>
      </x:c>
      <x:c r="K53" s="89" t="str">
        <x:v>Apto</x:v>
      </x:c>
      <x:c r="L53" s="89" t="str"/>
      <x:c r="M53" s="89" t="str">
        <x:v>Mantener estilos de vida saludable</x:v>
      </x:c>
      <x:c r="N53" s="112" t="n">
        <x:v>12</x:v>
      </x:c>
      <x:c r="O53" s="106" t="n">
        <x:f>EDATE(C53,N53)</x:f>
        <x:v>45558</x:v>
      </x:c>
      <x:c r="P53" s="89" t="str">
        <x:v>Z00.0 Examen general</x:v>
      </x:c>
      <x:c r="Q53" s="89" t="str">
        <x:v>No</x:v>
      </x:c>
      <x:c r="R53" s="89" t="str"/>
      <x:c r="S53" s="106"/>
      <x:c r="T53" s="89" t="str">
        <x:f>IF(O53&lt;Instructivo!$B$4,"Vencido",IF(O53&lt;=Instructivo!$B$4+30,"Próximo a vencer","Vigente"))</x:f>
        <x:v>Vencido</x:v>
      </x:c>
      <x:c r="U53" s="89" t="str">
        <x:v>Líder SST</x:v>
      </x:c>
      <x:c r="V53" s="90" t="str">
        <x:v>Pendiente firma de concepto médico</x:v>
      </x:c>
    </x:row>
    <x:row r="54">
      <x:c r="A54" s="88" t="n">
        <x:v>2023</x:v>
      </x:c>
      <x:c r="B54" s="89" t="str">
        <x:v>EMO-2023-0053</x:v>
      </x:c>
      <x:c r="C54" s="106" t="n">
        <x:v>45012</x:v>
      </x:c>
      <x:c r="D54" s="89" t="str">
        <x:v>Ingreso</x:v>
      </x:c>
      <x:c r="E54" s="89" t="str">
        <x:v>599106886</x:v>
      </x:c>
      <x:c r="F54" s="89" t="str">
        <x:v>Andrés Kevin Suárez Rojas</x:v>
      </x:c>
      <x:c r="G54" s="89" t="str">
        <x:v>Vigilante</x:v>
      </x:c>
      <x:c r="H54" s="89" t="str">
        <x:v>Valledupar</x:v>
      </x:c>
      <x:c r="I54" s="89" t="str">
        <x:v>Operaciones</x:v>
      </x:c>
      <x:c r="J54" s="89" t="str">
        <x:v>Colmédica Ocupacional</x:v>
      </x:c>
      <x:c r="K54" s="89" t="str">
        <x:v>Apto</x:v>
      </x:c>
      <x:c r="L54" s="89" t="str"/>
      <x:c r="M54" s="89" t="str">
        <x:v>Mantener estilos de vida saludable</x:v>
      </x:c>
      <x:c r="N54" s="112" t="n">
        <x:v>12</x:v>
      </x:c>
      <x:c r="O54" s="106" t="n">
        <x:f>EDATE(C54,N54)</x:f>
        <x:v>45378</x:v>
      </x:c>
      <x:c r="P54" s="89" t="str">
        <x:v>M54.5 Lumbalgia</x:v>
      </x:c>
      <x:c r="Q54" s="89" t="str">
        <x:v>No</x:v>
      </x:c>
      <x:c r="R54" s="89" t="str"/>
      <x:c r="S54" s="106"/>
      <x:c r="T54" s="89" t="str">
        <x:f>IF(O54&lt;Instructivo!$B$4,"Vencido",IF(O54&lt;=Instructivo!$B$4+30,"Próximo a vencer","Vigente"))</x:f>
        <x:v>Vencido</x:v>
      </x:c>
      <x:c r="U54" s="89" t="str">
        <x:v>Coordinador de Talento Humano</x:v>
      </x:c>
      <x:c r="V54" s="90" t="str">
        <x:v>Caso priorizado por restricciones activas</x:v>
      </x:c>
    </x:row>
    <x:row r="55">
      <x:c r="A55" s="88" t="n">
        <x:v>2023</x:v>
      </x:c>
      <x:c r="B55" s="89" t="str">
        <x:v>EMO-2023-0054</x:v>
      </x:c>
      <x:c r="C55" s="106" t="n">
        <x:v>45210</x:v>
      </x:c>
      <x:c r="D55" s="89" t="str">
        <x:v>Periódico</x:v>
      </x:c>
      <x:c r="E55" s="89" t="str">
        <x:v>394740036</x:v>
      </x:c>
      <x:c r="F55" s="89" t="str">
        <x:v>Juan Luisa Sánchez Suárez</x:v>
      </x:c>
      <x:c r="G55" s="89" t="str">
        <x:v>Auxiliar administrativo</x:v>
      </x:c>
      <x:c r="H55" s="89" t="str">
        <x:v>Barrancabermeja</x:v>
      </x:c>
      <x:c r="I55" s="89" t="str">
        <x:v>Administrativa</x:v>
      </x:c>
      <x:c r="J55" s="89" t="str">
        <x:v>Salud Integral Ocupacional</x:v>
      </x:c>
      <x:c r="K55" s="89" t="str">
        <x:v>Apto</x:v>
      </x:c>
      <x:c r="L55" s="89" t="str"/>
      <x:c r="M55" s="89" t="str">
        <x:v>Uso permanente de EPP</x:v>
      </x:c>
      <x:c r="N55" s="112" t="n">
        <x:v>12</x:v>
      </x:c>
      <x:c r="O55" s="106" t="n">
        <x:f>EDATE(C55,N55)</x:f>
        <x:v>45576</x:v>
      </x:c>
      <x:c r="P55" s="89" t="str">
        <x:v>H52.4 Presbicia</x:v>
      </x:c>
      <x:c r="Q55" s="89" t="str">
        <x:v>No</x:v>
      </x:c>
      <x:c r="R55" s="89" t="str"/>
      <x:c r="S55" s="106"/>
      <x:c r="T55" s="89" t="str">
        <x:f>IF(O55&lt;Instructivo!$B$4,"Vencido",IF(O55&lt;=Instructivo!$B$4+30,"Próximo a vencer","Vigente"))</x:f>
        <x:v>Vencido</x:v>
      </x:c>
      <x:c r="U55" s="89" t="str">
        <x:v>Analista SST</x:v>
      </x:c>
      <x:c r="V55" s="90" t="str">
        <x:v>Registro completo y soportado en historia ocupacional</x:v>
      </x:c>
    </x:row>
    <x:row r="56">
      <x:c r="A56" s="88" t="n">
        <x:v>2023</x:v>
      </x:c>
      <x:c r="B56" s="89" t="str">
        <x:v>EMO-2023-0055</x:v>
      </x:c>
      <x:c r="C56" s="106" t="n">
        <x:v>45237</x:v>
      </x:c>
      <x:c r="D56" s="89" t="str">
        <x:v>Periódico</x:v>
      </x:c>
      <x:c r="E56" s="89" t="str">
        <x:v>162548511</x:v>
      </x:c>
      <x:c r="F56" s="89" t="str">
        <x:v>Ana Sergio Torres Gómez</x:v>
      </x:c>
      <x:c r="G56" s="89" t="str">
        <x:v>Analista SST</x:v>
      </x:c>
      <x:c r="H56" s="89" t="str">
        <x:v>Cúcuta</x:v>
      </x:c>
      <x:c r="I56" s="89" t="str">
        <x:v>SST</x:v>
      </x:c>
      <x:c r="J56" s="89" t="str">
        <x:v>IPS Ocupasalud SAS</x:v>
      </x:c>
      <x:c r="K56" s="89" t="str">
        <x:v>Apto</x:v>
      </x:c>
      <x:c r="L56" s="89" t="str"/>
      <x:c r="M56" s="89" t="str">
        <x:v>Continuar controles periódicos anuales</x:v>
      </x:c>
      <x:c r="N56" s="112" t="n">
        <x:v>12</x:v>
      </x:c>
      <x:c r="O56" s="106" t="n">
        <x:f>EDATE(C56,N56)</x:f>
        <x:v>45603</x:v>
      </x:c>
      <x:c r="P56" s="89" t="str">
        <x:v>Z00.0 Examen general</x:v>
      </x:c>
      <x:c r="Q56" s="89" t="str">
        <x:v>No</x:v>
      </x:c>
      <x:c r="R56" s="89" t="str"/>
      <x:c r="S56" s="106"/>
      <x:c r="T56" s="89" t="str">
        <x:f>IF(O56&lt;Instructivo!$B$4,"Vencido",IF(O56&lt;=Instructivo!$B$4+30,"Próximo a vencer","Vigente"))</x:f>
        <x:v>Vencido</x:v>
      </x:c>
      <x:c r="U56" s="89" t="str">
        <x:v>Coordinador de Talento Humano</x:v>
      </x:c>
      <x:c r="V56" s="90" t="str">
        <x:v>Registro completo y soportado en historia ocupacional</x:v>
      </x:c>
    </x:row>
    <x:row r="57">
      <x:c r="A57" s="88" t="n">
        <x:v>2023</x:v>
      </x:c>
      <x:c r="B57" s="89" t="str">
        <x:v>EMO-2023-0056</x:v>
      </x:c>
      <x:c r="C57" s="106" t="n">
        <x:v>45141</x:v>
      </x:c>
      <x:c r="D57" s="89" t="str">
        <x:v>Periódico</x:v>
      </x:c>
      <x:c r="E57" s="89" t="str">
        <x:v>508321474</x:v>
      </x:c>
      <x:c r="F57" s="89" t="str">
        <x:v>Paola María Martínez Suárez</x:v>
      </x:c>
      <x:c r="G57" s="89" t="str">
        <x:v>Vigilante</x:v>
      </x:c>
      <x:c r="H57" s="89" t="str">
        <x:v>Ábrego</x:v>
      </x:c>
      <x:c r="I57" s="89" t="str">
        <x:v>Operaciones</x:v>
      </x:c>
      <x:c r="J57" s="89" t="str">
        <x:v>Salud Integral Ocupacional</x:v>
      </x:c>
      <x:c r="K57" s="89" t="str">
        <x:v>Apto</x:v>
      </x:c>
      <x:c r="L57" s="89" t="str"/>
      <x:c r="M57" s="89" t="str">
        <x:v>Continuar controles periódicos anuales</x:v>
      </x:c>
      <x:c r="N57" s="112" t="n">
        <x:v>12</x:v>
      </x:c>
      <x:c r="O57" s="106" t="n">
        <x:f>EDATE(C57,N57)</x:f>
        <x:v>45507</x:v>
      </x:c>
      <x:c r="P57" s="89" t="str">
        <x:v>E66.9 Obesidad</x:v>
      </x:c>
      <x:c r="Q57" s="89" t="str">
        <x:v>No</x:v>
      </x:c>
      <x:c r="R57" s="89" t="str"/>
      <x:c r="S57" s="106"/>
      <x:c r="T57" s="89" t="str">
        <x:f>IF(O57&lt;Instructivo!$B$4,"Vencido",IF(O57&lt;=Instructivo!$B$4+30,"Próximo a vencer","Vigente"))</x:f>
        <x:v>Vencido</x:v>
      </x:c>
      <x:c r="U57" s="89" t="str">
        <x:v>Coordinador de Talento Humano</x:v>
      </x:c>
      <x:c r="V57" s="90" t="str">
        <x:v>Requiere revisión de puesto de trabajo</x:v>
      </x:c>
    </x:row>
    <x:row r="58">
      <x:c r="A58" s="88" t="n">
        <x:v>2023</x:v>
      </x:c>
      <x:c r="B58" s="89" t="str">
        <x:v>EMO-2023-0057</x:v>
      </x:c>
      <x:c r="C58" s="106" t="n">
        <x:v>45278</x:v>
      </x:c>
      <x:c r="D58" s="89" t="str">
        <x:v>Ingreso</x:v>
      </x:c>
      <x:c r="E58" s="89" t="str">
        <x:v>292255409</x:v>
      </x:c>
      <x:c r="F58" s="89" t="str">
        <x:v>Wilson Carolina Torres Parra</x:v>
      </x:c>
      <x:c r="G58" s="89" t="str">
        <x:v>Escolta</x:v>
      </x:c>
      <x:c r="H58" s="89" t="str">
        <x:v>Arauca</x:v>
      </x:c>
      <x:c r="I58" s="89" t="str">
        <x:v>Escoltas</x:v>
      </x:c>
      <x:c r="J58" s="89" t="str">
        <x:v>IPS Prevencionar</x:v>
      </x:c>
      <x:c r="K58" s="89" t="str">
        <x:v>Apto</x:v>
      </x:c>
      <x:c r="L58" s="89" t="str"/>
      <x:c r="M58" s="89" t="str">
        <x:v>Participar en programas de vigilancia epidemiológica</x:v>
      </x:c>
      <x:c r="N58" s="112" t="n">
        <x:v>12</x:v>
      </x:c>
      <x:c r="O58" s="106" t="n">
        <x:f>EDATE(C58,N58)</x:f>
        <x:v>45644</x:v>
      </x:c>
      <x:c r="P58" s="89" t="str">
        <x:v>G56.0 Síndrome túnel carpiano</x:v>
      </x:c>
      <x:c r="Q58" s="89" t="str">
        <x:v>Sí</x:v>
      </x:c>
      <x:c r="R58" s="89" t="str">
        <x:v>Medicina laboral</x:v>
      </x:c>
      <x:c r="S58" s="106" t="n">
        <x:v>45338</x:v>
      </x:c>
      <x:c r="T58" s="89" t="str">
        <x:f>IF(O58&lt;Instructivo!$B$4,"Vencido",IF(O58&lt;=Instructivo!$B$4+30,"Próximo a vencer","Vigente"))</x:f>
        <x:v>Vencido</x:v>
      </x:c>
      <x:c r="U58" s="89" t="str">
        <x:v>Médico Ocupacional</x:v>
      </x:c>
      <x:c r="V58" s="90" t="str">
        <x:v>Sin novedades adicionales</x:v>
      </x:c>
    </x:row>
    <x:row r="59">
      <x:c r="A59" s="88" t="n">
        <x:v>2023</x:v>
      </x:c>
      <x:c r="B59" s="89" t="str">
        <x:v>EMO-2023-0058</x:v>
      </x:c>
      <x:c r="C59" s="106" t="n">
        <x:v>45001</x:v>
      </x:c>
      <x:c r="D59" s="89" t="str">
        <x:v>Periódico</x:v>
      </x:c>
      <x:c r="E59" s="89" t="str">
        <x:v>433995870</x:v>
      </x:c>
      <x:c r="F59" s="89" t="str">
        <x:v>Diana Julián Gómez Martínez</x:v>
      </x:c>
      <x:c r="G59" s="89" t="str">
        <x:v>Vigilante</x:v>
      </x:c>
      <x:c r="H59" s="89" t="str">
        <x:v>Valledupar</x:v>
      </x:c>
      <x:c r="I59" s="89" t="str">
        <x:v>Operaciones</x:v>
      </x:c>
      <x:c r="J59" s="89" t="str">
        <x:v>IPS Prevencionar</x:v>
      </x:c>
      <x:c r="K59" s="89" t="str">
        <x:v>Apto</x:v>
      </x:c>
      <x:c r="L59" s="89" t="str"/>
      <x:c r="M59" s="89" t="str">
        <x:v>Uso permanente de EPP</x:v>
      </x:c>
      <x:c r="N59" s="112" t="n">
        <x:v>12</x:v>
      </x:c>
      <x:c r="O59" s="106" t="n">
        <x:f>EDATE(C59,N59)</x:f>
        <x:v>45367</x:v>
      </x:c>
      <x:c r="P59" s="89" t="str">
        <x:v>H52.4 Presbicia</x:v>
      </x:c>
      <x:c r="Q59" s="89" t="str">
        <x:v>No</x:v>
      </x:c>
      <x:c r="R59" s="89" t="str"/>
      <x:c r="S59" s="106"/>
      <x:c r="T59" s="89" t="str">
        <x:f>IF(O59&lt;Instructivo!$B$4,"Vencido",IF(O59&lt;=Instructivo!$B$4+30,"Próximo a vencer","Vigente"))</x:f>
        <x:v>Vencido</x:v>
      </x:c>
      <x:c r="U59" s="89" t="str">
        <x:v>Coordinador de Talento Humano</x:v>
      </x:c>
      <x:c r="V59" s="90" t="str">
        <x:v>Se recomienda seguimiento por comité SST</x:v>
      </x:c>
    </x:row>
    <x:row r="60">
      <x:c r="A60" s="88" t="n">
        <x:v>2023</x:v>
      </x:c>
      <x:c r="B60" s="89" t="str">
        <x:v>EMO-2023-0059</x:v>
      </x:c>
      <x:c r="C60" s="106" t="n">
        <x:v>45091</x:v>
      </x:c>
      <x:c r="D60" s="89" t="str">
        <x:v>Periódico</x:v>
      </x:c>
      <x:c r="E60" s="89" t="str">
        <x:v>856018975</x:v>
      </x:c>
      <x:c r="F60" s="89" t="str">
        <x:v>Ana Sergio Torres Cárdenas</x:v>
      </x:c>
      <x:c r="G60" s="89" t="str">
        <x:v>Conductor</x:v>
      </x:c>
      <x:c r="H60" s="89" t="str">
        <x:v>Medellín</x:v>
      </x:c>
      <x:c r="I60" s="89" t="str">
        <x:v>Logística</x:v>
      </x:c>
      <x:c r="J60" s="89" t="str">
        <x:v>Centro Médico Laboral Andino</x:v>
      </x:c>
      <x:c r="K60" s="89" t="str">
        <x:v>Apto</x:v>
      </x:c>
      <x:c r="L60" s="89" t="str"/>
      <x:c r="M60" s="89" t="str">
        <x:v>Continuar controles periódicos anuales</x:v>
      </x:c>
      <x:c r="N60" s="112" t="n">
        <x:v>12</x:v>
      </x:c>
      <x:c r="O60" s="106" t="n">
        <x:f>EDATE(C60,N60)</x:f>
        <x:v>45457</x:v>
      </x:c>
      <x:c r="P60" s="89" t="str">
        <x:v>M54.5 Lumbalgia</x:v>
      </x:c>
      <x:c r="Q60" s="89" t="str">
        <x:v>No</x:v>
      </x:c>
      <x:c r="R60" s="89" t="str"/>
      <x:c r="S60" s="106"/>
      <x:c r="T60" s="89" t="str">
        <x:f>IF(O60&lt;Instructivo!$B$4,"Vencido",IF(O60&lt;=Instructivo!$B$4+30,"Próximo a vencer","Vigente"))</x:f>
        <x:v>Vencido</x:v>
      </x:c>
      <x:c r="U60" s="89" t="str">
        <x:v>Líder SST</x:v>
      </x:c>
      <x:c r="V60" s="90" t="str">
        <x:v>Pendiente firma de concepto médico</x:v>
      </x:c>
    </x:row>
    <x:row r="61">
      <x:c r="A61" s="88" t="n">
        <x:v>2023</x:v>
      </x:c>
      <x:c r="B61" s="89" t="str">
        <x:v>EMO-2023-0060</x:v>
      </x:c>
      <x:c r="C61" s="106" t="n">
        <x:v>45243</x:v>
      </x:c>
      <x:c r="D61" s="89" t="str">
        <x:v>Reintegro</x:v>
      </x:c>
      <x:c r="E61" s="89" t="str">
        <x:v>437360307</x:v>
      </x:c>
      <x:c r="F61" s="89" t="str">
        <x:v>Felipe Camilo Cárdenas Parra</x:v>
      </x:c>
      <x:c r="G61" s="89" t="str">
        <x:v>Vigilante</x:v>
      </x:c>
      <x:c r="H61" s="89" t="str">
        <x:v>Barrancabermeja</x:v>
      </x:c>
      <x:c r="I61" s="89" t="str">
        <x:v>Operaciones</x:v>
      </x:c>
      <x:c r="J61" s="89" t="str">
        <x:v>Colmédica Ocupacional</x:v>
      </x:c>
      <x:c r="K61" s="89" t="str">
        <x:v>Apto</x:v>
      </x:c>
      <x:c r="L61" s="89" t="str"/>
      <x:c r="M61" s="89" t="str">
        <x:v>Mantener estilos de vida saludable</x:v>
      </x:c>
      <x:c r="N61" s="112" t="n">
        <x:v>6</x:v>
      </x:c>
      <x:c r="O61" s="106" t="n">
        <x:f>EDATE(C61,N61)</x:f>
        <x:v>45425</x:v>
      </x:c>
      <x:c r="P61" s="89" t="str">
        <x:v>I10 Hipertensión esencial</x:v>
      </x:c>
      <x:c r="Q61" s="89" t="str">
        <x:v>No</x:v>
      </x:c>
      <x:c r="R61" s="89" t="str"/>
      <x:c r="S61" s="106"/>
      <x:c r="T61" s="89" t="str">
        <x:f>IF(O61&lt;Instructivo!$B$4,"Vencido",IF(O61&lt;=Instructivo!$B$4+30,"Próximo a vencer","Vigente"))</x:f>
        <x:v>Vencido</x:v>
      </x:c>
      <x:c r="U61" s="89" t="str">
        <x:v>Analista SST</x:v>
      </x:c>
      <x:c r="V61" s="90" t="str">
        <x:v>Caso priorizado por restricciones activas</x:v>
      </x:c>
    </x:row>
    <x:row r="62">
      <x:c r="A62" s="88" t="n">
        <x:v>2023</x:v>
      </x:c>
      <x:c r="B62" s="89" t="str">
        <x:v>EMO-2023-0061</x:v>
      </x:c>
      <x:c r="C62" s="106" t="n">
        <x:v>45167</x:v>
      </x:c>
      <x:c r="D62" s="89" t="str">
        <x:v>Post-exposición</x:v>
      </x:c>
      <x:c r="E62" s="89" t="str">
        <x:v>131771600</x:v>
      </x:c>
      <x:c r="F62" s="89" t="str">
        <x:v>Felipe Carolina Gómez Díaz</x:v>
      </x:c>
      <x:c r="G62" s="89" t="str">
        <x:v>Vigilante</x:v>
      </x:c>
      <x:c r="H62" s="89" t="str">
        <x:v>Ocaña</x:v>
      </x:c>
      <x:c r="I62" s="89" t="str">
        <x:v>Operaciones</x:v>
      </x:c>
      <x:c r="J62" s="89" t="str">
        <x:v>IPS Prevencionar</x:v>
      </x:c>
      <x:c r="K62" s="89" t="str">
        <x:v>Apto</x:v>
      </x:c>
      <x:c r="L62" s="89" t="str"/>
      <x:c r="M62" s="89" t="str">
        <x:v>Uso permanente de EPP</x:v>
      </x:c>
      <x:c r="N62" s="112" t="n">
        <x:v>12</x:v>
      </x:c>
      <x:c r="O62" s="106" t="n">
        <x:f>EDATE(C62,N62)</x:f>
        <x:v>45533</x:v>
      </x:c>
      <x:c r="P62" s="89" t="str">
        <x:v>G56.0 Síndrome túnel carpiano</x:v>
      </x:c>
      <x:c r="Q62" s="89" t="str">
        <x:v>No</x:v>
      </x:c>
      <x:c r="R62" s="89" t="str"/>
      <x:c r="S62" s="106"/>
      <x:c r="T62" s="89" t="str">
        <x:f>IF(O62&lt;Instructivo!$B$4,"Vencido",IF(O62&lt;=Instructivo!$B$4+30,"Próximo a vencer","Vigente"))</x:f>
        <x:v>Vencido</x:v>
      </x:c>
      <x:c r="U62" s="89" t="str">
        <x:v>Analista SST</x:v>
      </x:c>
      <x:c r="V62" s="90" t="str">
        <x:v>Registro completo y soportado en historia ocupacional</x:v>
      </x:c>
    </x:row>
    <x:row r="63">
      <x:c r="A63" s="88" t="n">
        <x:v>2023</x:v>
      </x:c>
      <x:c r="B63" s="89" t="str">
        <x:v>EMO-2023-0062</x:v>
      </x:c>
      <x:c r="C63" s="106" t="n">
        <x:v>44952</x:v>
      </x:c>
      <x:c r="D63" s="89" t="str">
        <x:v>Periódico</x:v>
      </x:c>
      <x:c r="E63" s="89" t="str">
        <x:v>526266630</x:v>
      </x:c>
      <x:c r="F63" s="89" t="str">
        <x:v>Luisa Andrés Díaz Díaz</x:v>
      </x:c>
      <x:c r="G63" s="89" t="str">
        <x:v>Conductor</x:v>
      </x:c>
      <x:c r="H63" s="89" t="str">
        <x:v>Arauca</x:v>
      </x:c>
      <x:c r="I63" s="89" t="str">
        <x:v>Logística</x:v>
      </x:c>
      <x:c r="J63" s="89" t="str">
        <x:v>IPS Prevencionar</x:v>
      </x:c>
      <x:c r="K63" s="89" t="str">
        <x:v>Apto</x:v>
      </x:c>
      <x:c r="L63" s="89" t="str"/>
      <x:c r="M63" s="89" t="str">
        <x:v>Participar en programas de vigilancia epidemiológica</x:v>
      </x:c>
      <x:c r="N63" s="112" t="n">
        <x:v>12</x:v>
      </x:c>
      <x:c r="O63" s="106" t="n">
        <x:f>EDATE(C63,N63)</x:f>
        <x:v>45317</x:v>
      </x:c>
      <x:c r="P63" s="89" t="str">
        <x:v>E66.9 Obesidad</x:v>
      </x:c>
      <x:c r="Q63" s="89" t="str">
        <x:v>No</x:v>
      </x:c>
      <x:c r="R63" s="89" t="str"/>
      <x:c r="S63" s="106"/>
      <x:c r="T63" s="89" t="str">
        <x:f>IF(O63&lt;Instructivo!$B$4,"Vencido",IF(O63&lt;=Instructivo!$B$4+30,"Próximo a vencer","Vigente"))</x:f>
        <x:v>Vencido</x:v>
      </x:c>
      <x:c r="U63" s="89" t="str">
        <x:v>Líder SST</x:v>
      </x:c>
      <x:c r="V63" s="90" t="str">
        <x:v>Requiere revisión de puesto de trabajo</x:v>
      </x:c>
    </x:row>
    <x:row r="64">
      <x:c r="A64" s="88" t="n">
        <x:v>2023</x:v>
      </x:c>
      <x:c r="B64" s="89" t="str">
        <x:v>EMO-2023-0063</x:v>
      </x:c>
      <x:c r="C64" s="106" t="n">
        <x:v>45063</x:v>
      </x:c>
      <x:c r="D64" s="89" t="str">
        <x:v>Periódico</x:v>
      </x:c>
      <x:c r="E64" s="89" t="str">
        <x:v>222016911</x:v>
      </x:c>
      <x:c r="F64" s="89" t="str">
        <x:v>Brayan Tatiana Parra Martínez</x:v>
      </x:c>
      <x:c r="G64" s="89" t="str">
        <x:v>Técnico de mantenimiento</x:v>
      </x:c>
      <x:c r="H64" s="89" t="str">
        <x:v>Cúcuta</x:v>
      </x:c>
      <x:c r="I64" s="89" t="str">
        <x:v>Infraestructura</x:v>
      </x:c>
      <x:c r="J64" s="89" t="str">
        <x:v>Salud Integral Ocupacional</x:v>
      </x:c>
      <x:c r="K64" s="89" t="str">
        <x:v>Apto con restricciones</x:v>
      </x:c>
      <x:c r="L64" s="89" t="str">
        <x:v>Control visual y corrección óptica permanente</x:v>
      </x:c>
      <x:c r="M64" s="89" t="str">
        <x:v>Capacitación ergonómica y seguimiento SST</x:v>
      </x:c>
      <x:c r="N64" s="112" t="n">
        <x:v>12</x:v>
      </x:c>
      <x:c r="O64" s="106" t="n">
        <x:f>EDATE(C64,N64)</x:f>
        <x:v>45429</x:v>
      </x:c>
      <x:c r="P64" s="89" t="str">
        <x:v>I10 Hipertensión esencial</x:v>
      </x:c>
      <x:c r="Q64" s="89" t="str">
        <x:v>Sí</x:v>
      </x:c>
      <x:c r="R64" s="89" t="str">
        <x:v>Medicina laboral</x:v>
      </x:c>
      <x:c r="S64" s="106" t="n">
        <x:v>45153</x:v>
      </x:c>
      <x:c r="T64" s="89" t="str">
        <x:f>IF(O64&lt;Instructivo!$B$4,"Vencido",IF(O64&lt;=Instructivo!$B$4+30,"Próximo a vencer","Vigente"))</x:f>
        <x:v>Vencido</x:v>
      </x:c>
      <x:c r="U64" s="89" t="str">
        <x:v>Coordinador de Talento Humano</x:v>
      </x:c>
      <x:c r="V64" s="90" t="str">
        <x:v>Registro completo y soportado en historia ocupacional</x:v>
      </x:c>
    </x:row>
    <x:row r="65">
      <x:c r="A65" s="88" t="n">
        <x:v>2023</x:v>
      </x:c>
      <x:c r="B65" s="89" t="str">
        <x:v>EMO-2023-0064</x:v>
      </x:c>
      <x:c r="C65" s="106" t="n">
        <x:v>45125</x:v>
      </x:c>
      <x:c r="D65" s="89" t="str">
        <x:v>Periódico</x:v>
      </x:c>
      <x:c r="E65" s="89" t="str">
        <x:v>234922880</x:v>
      </x:c>
      <x:c r="F65" s="89" t="str">
        <x:v>Wilson Juan Parra Ramírez</x:v>
      </x:c>
      <x:c r="G65" s="89" t="str">
        <x:v>Conductor</x:v>
      </x:c>
      <x:c r="H65" s="89" t="str">
        <x:v>Arauca</x:v>
      </x:c>
      <x:c r="I65" s="89" t="str">
        <x:v>Logística</x:v>
      </x:c>
      <x:c r="J65" s="89" t="str">
        <x:v>Salud Integral Ocupacional</x:v>
      </x:c>
      <x:c r="K65" s="89" t="str">
        <x:v>Apto</x:v>
      </x:c>
      <x:c r="L65" s="89" t="str"/>
      <x:c r="M65" s="89" t="str">
        <x:v>Uso permanente de EPP</x:v>
      </x:c>
      <x:c r="N65" s="112" t="n">
        <x:v>12</x:v>
      </x:c>
      <x:c r="O65" s="106" t="n">
        <x:f>EDATE(C65,N65)</x:f>
        <x:v>45491</x:v>
      </x:c>
      <x:c r="P65" s="89" t="str">
        <x:v>M54.5 Lumbalgia</x:v>
      </x:c>
      <x:c r="Q65" s="89" t="str">
        <x:v>No</x:v>
      </x:c>
      <x:c r="R65" s="89" t="str"/>
      <x:c r="S65" s="106"/>
      <x:c r="T65" s="89" t="str">
        <x:f>IF(O65&lt;Instructivo!$B$4,"Vencido",IF(O65&lt;=Instructivo!$B$4+30,"Próximo a vencer","Vigente"))</x:f>
        <x:v>Vencido</x:v>
      </x:c>
      <x:c r="U65" s="89" t="str">
        <x:v>Analista SST</x:v>
      </x:c>
      <x:c r="V65" s="90" t="str">
        <x:v>Caso priorizado por restricciones activas</x:v>
      </x:c>
    </x:row>
    <x:row r="66">
      <x:c r="A66" s="88" t="n">
        <x:v>2023</x:v>
      </x:c>
      <x:c r="B66" s="89" t="str">
        <x:v>EMO-2023-0065</x:v>
      </x:c>
      <x:c r="C66" s="106" t="n">
        <x:v>45101</x:v>
      </x:c>
      <x:c r="D66" s="89" t="str">
        <x:v>Periódico</x:v>
      </x:c>
      <x:c r="E66" s="89" t="str">
        <x:v>181527021</x:v>
      </x:c>
      <x:c r="F66" s="89" t="str">
        <x:v>Felipe Luis Ramírez Torres</x:v>
      </x:c>
      <x:c r="G66" s="89" t="str">
        <x:v>Vigilante</x:v>
      </x:c>
      <x:c r="H66" s="89" t="str">
        <x:v>Arauca</x:v>
      </x:c>
      <x:c r="I66" s="89" t="str">
        <x:v>Operaciones</x:v>
      </x:c>
      <x:c r="J66" s="89" t="str">
        <x:v>Salud Integral Ocupacional</x:v>
      </x:c>
      <x:c r="K66" s="89" t="str">
        <x:v>Apto</x:v>
      </x:c>
      <x:c r="L66" s="89" t="str"/>
      <x:c r="M66" s="89" t="str">
        <x:v>Uso permanente de EPP</x:v>
      </x:c>
      <x:c r="N66" s="112" t="n">
        <x:v>12</x:v>
      </x:c>
      <x:c r="O66" s="106" t="n">
        <x:f>EDATE(C66,N66)</x:f>
        <x:v>45467</x:v>
      </x:c>
      <x:c r="P66" s="89" t="str">
        <x:v>M75.1 Lesión de hombro</x:v>
      </x:c>
      <x:c r="Q66" s="89" t="str">
        <x:v>No</x:v>
      </x:c>
      <x:c r="R66" s="89" t="str"/>
      <x:c r="S66" s="106"/>
      <x:c r="T66" s="89" t="str">
        <x:f>IF(O66&lt;Instructivo!$B$4,"Vencido",IF(O66&lt;=Instructivo!$B$4+30,"Próximo a vencer","Vigente"))</x:f>
        <x:v>Vencido</x:v>
      </x:c>
      <x:c r="U66" s="89" t="str">
        <x:v>Líder SST</x:v>
      </x:c>
      <x:c r="V66" s="90" t="str">
        <x:v>Pendiente firma de concepto médico</x:v>
      </x:c>
    </x:row>
    <x:row r="67">
      <x:c r="A67" s="88" t="n">
        <x:v>2023</x:v>
      </x:c>
      <x:c r="B67" s="89" t="str">
        <x:v>EMO-2023-0066</x:v>
      </x:c>
      <x:c r="C67" s="106" t="n">
        <x:v>45098</x:v>
      </x:c>
      <x:c r="D67" s="89" t="str">
        <x:v>Ingreso</x:v>
      </x:c>
      <x:c r="E67" s="89" t="str">
        <x:v>826279418</x:v>
      </x:c>
      <x:c r="F67" s="89" t="str">
        <x:v>Camilo Ana Castro Suárez</x:v>
      </x:c>
      <x:c r="G67" s="89" t="str">
        <x:v>Vigilante</x:v>
      </x:c>
      <x:c r="H67" s="89" t="str">
        <x:v>Ábrego</x:v>
      </x:c>
      <x:c r="I67" s="89" t="str">
        <x:v>Operaciones</x:v>
      </x:c>
      <x:c r="J67" s="89" t="str">
        <x:v>Centro Médico Laboral Andino</x:v>
      </x:c>
      <x:c r="K67" s="89" t="str">
        <x:v>Apto con restricciones</x:v>
      </x:c>
      <x:c r="L67" s="89" t="str">
        <x:v>No exposición prolongada a ruido alto sin doble protección</x:v>
      </x:c>
      <x:c r="M67" s="89" t="str">
        <x:v>Control por optometría/medicina general</x:v>
      </x:c>
      <x:c r="N67" s="112" t="n">
        <x:v>12</x:v>
      </x:c>
      <x:c r="O67" s="106" t="n">
        <x:f>EDATE(C67,N67)</x:f>
        <x:v>45464</x:v>
      </x:c>
      <x:c r="P67" s="89" t="str">
        <x:v>R51 Cefalea</x:v>
      </x:c>
      <x:c r="Q67" s="89" t="str">
        <x:v>Sí</x:v>
      </x:c>
      <x:c r="R67" s="89" t="str">
        <x:v>Ergonomía</x:v>
      </x:c>
      <x:c r="S67" s="106" t="n">
        <x:v>45218</x:v>
      </x:c>
      <x:c r="T67" s="89" t="str">
        <x:f>IF(O67&lt;Instructivo!$B$4,"Vencido",IF(O67&lt;=Instructivo!$B$4+30,"Próximo a vencer","Vigente"))</x:f>
        <x:v>Vencido</x:v>
      </x:c>
      <x:c r="U67" s="89" t="str">
        <x:v>Coordinador de Talento Humano</x:v>
      </x:c>
      <x:c r="V67" s="90" t="str">
        <x:v>Caso priorizado por restricciones activas</x:v>
      </x:c>
    </x:row>
    <x:row r="68">
      <x:c r="A68" s="88" t="n">
        <x:v>2023</x:v>
      </x:c>
      <x:c r="B68" s="89" t="str">
        <x:v>EMO-2023-0067</x:v>
      </x:c>
      <x:c r="C68" s="106" t="n">
        <x:v>45243</x:v>
      </x:c>
      <x:c r="D68" s="89" t="str">
        <x:v>Periódico</x:v>
      </x:c>
      <x:c r="E68" s="89" t="str">
        <x:v>242795765</x:v>
      </x:c>
      <x:c r="F68" s="89" t="str">
        <x:v>Tatiana Laura López Torres</x:v>
      </x:c>
      <x:c r="G68" s="89" t="str">
        <x:v>Vigilante</x:v>
      </x:c>
      <x:c r="H68" s="89" t="str">
        <x:v>Barrancabermeja</x:v>
      </x:c>
      <x:c r="I68" s="89" t="str">
        <x:v>Operaciones</x:v>
      </x:c>
      <x:c r="J68" s="89" t="str">
        <x:v>IPS Prevencionar</x:v>
      </x:c>
      <x:c r="K68" s="89" t="str">
        <x:v>Apto con restricciones</x:v>
      </x:c>
      <x:c r="L68" s="89" t="str">
        <x:v>Restricción para trabajo prolongado de pie</x:v>
      </x:c>
      <x:c r="M68" s="89" t="str">
        <x:v>Capacitación ergonómica y seguimiento SST</x:v>
      </x:c>
      <x:c r="N68" s="112" t="n">
        <x:v>12</x:v>
      </x:c>
      <x:c r="O68" s="106" t="n">
        <x:f>EDATE(C68,N68)</x:f>
        <x:v>45609</x:v>
      </x:c>
      <x:c r="P68" s="89" t="str">
        <x:v>E66.9 Obesidad</x:v>
      </x:c>
      <x:c r="Q68" s="89" t="str">
        <x:v>Sí</x:v>
      </x:c>
      <x:c r="R68" s="89" t="str">
        <x:v>Cardiometabólico</x:v>
      </x:c>
      <x:c r="S68" s="106" t="n">
        <x:v>45363</x:v>
      </x:c>
      <x:c r="T68" s="89" t="str">
        <x:f>IF(O68&lt;Instructivo!$B$4,"Vencido",IF(O68&lt;=Instructivo!$B$4+30,"Próximo a vencer","Vigente"))</x:f>
        <x:v>Vencido</x:v>
      </x:c>
      <x:c r="U68" s="89" t="str">
        <x:v>Médico Ocupacional</x:v>
      </x:c>
      <x:c r="V68" s="90" t="str">
        <x:v>Caso priorizado por restricciones activas</x:v>
      </x:c>
    </x:row>
    <x:row r="69">
      <x:c r="A69" s="88" t="n">
        <x:v>2023</x:v>
      </x:c>
      <x:c r="B69" s="89" t="str">
        <x:v>EMO-2023-0068</x:v>
      </x:c>
      <x:c r="C69" s="106" t="n">
        <x:v>45272</x:v>
      </x:c>
      <x:c r="D69" s="89" t="str">
        <x:v>Periódico</x:v>
      </x:c>
      <x:c r="E69" s="89" t="str">
        <x:v>532714803</x:v>
      </x:c>
      <x:c r="F69" s="89" t="str">
        <x:v>Luis Brayan Martínez Rojas</x:v>
      </x:c>
      <x:c r="G69" s="89" t="str">
        <x:v>Conductor</x:v>
      </x:c>
      <x:c r="H69" s="89" t="str">
        <x:v>Medellín</x:v>
      </x:c>
      <x:c r="I69" s="89" t="str">
        <x:v>Logística</x:v>
      </x:c>
      <x:c r="J69" s="89" t="str">
        <x:v>IPS Ocupasalud SAS</x:v>
      </x:c>
      <x:c r="K69" s="89" t="str">
        <x:v>Apto</x:v>
      </x:c>
      <x:c r="L69" s="89" t="str"/>
      <x:c r="M69" s="89" t="str">
        <x:v>Participar en programas de vigilancia epidemiológica</x:v>
      </x:c>
      <x:c r="N69" s="112" t="n">
        <x:v>12</x:v>
      </x:c>
      <x:c r="O69" s="106" t="n">
        <x:f>EDATE(C69,N69)</x:f>
        <x:v>45638</x:v>
      </x:c>
      <x:c r="P69" s="89" t="str">
        <x:v>G56.0 Síndrome túnel carpiano</x:v>
      </x:c>
      <x:c r="Q69" s="89" t="str">
        <x:v>No</x:v>
      </x:c>
      <x:c r="R69" s="89" t="str"/>
      <x:c r="S69" s="106"/>
      <x:c r="T69" s="89" t="str">
        <x:f>IF(O69&lt;Instructivo!$B$4,"Vencido",IF(O69&lt;=Instructivo!$B$4+30,"Próximo a vencer","Vigente"))</x:f>
        <x:v>Vencido</x:v>
      </x:c>
      <x:c r="U69" s="89" t="str">
        <x:v>Coordinador de Talento Humano</x:v>
      </x:c>
      <x:c r="V69" s="90" t="str">
        <x:v>Requiere revisión de puesto de trabajo</x:v>
      </x:c>
    </x:row>
    <x:row r="70">
      <x:c r="A70" s="88" t="n">
        <x:v>2023</x:v>
      </x:c>
      <x:c r="B70" s="89" t="str">
        <x:v>EMO-2023-0069</x:v>
      </x:c>
      <x:c r="C70" s="106" t="n">
        <x:v>44954</x:v>
      </x:c>
      <x:c r="D70" s="89" t="str">
        <x:v>Periódico</x:v>
      </x:c>
      <x:c r="E70" s="89" t="str">
        <x:v>264442778</x:v>
      </x:c>
      <x:c r="F70" s="89" t="str">
        <x:v>Luis Yulieth Sánchez Sánchez</x:v>
      </x:c>
      <x:c r="G70" s="89" t="str">
        <x:v>Vigilante</x:v>
      </x:c>
      <x:c r="H70" s="89" t="str">
        <x:v>Medellín</x:v>
      </x:c>
      <x:c r="I70" s="89" t="str">
        <x:v>Operaciones</x:v>
      </x:c>
      <x:c r="J70" s="89" t="str">
        <x:v>Salud Integral Ocupacional</x:v>
      </x:c>
      <x:c r="K70" s="89" t="str">
        <x:v>Apto</x:v>
      </x:c>
      <x:c r="L70" s="89" t="str"/>
      <x:c r="M70" s="89" t="str">
        <x:v>Mantener estilos de vida saludable</x:v>
      </x:c>
      <x:c r="N70" s="112" t="n">
        <x:v>12</x:v>
      </x:c>
      <x:c r="O70" s="106" t="n">
        <x:f>EDATE(C70,N70)</x:f>
        <x:v>45319</x:v>
      </x:c>
      <x:c r="P70" s="89" t="str">
        <x:v>M75.1 Lesión de hombro</x:v>
      </x:c>
      <x:c r="Q70" s="89" t="str">
        <x:v>No</x:v>
      </x:c>
      <x:c r="R70" s="89" t="str"/>
      <x:c r="S70" s="106"/>
      <x:c r="T70" s="89" t="str">
        <x:f>IF(O70&lt;Instructivo!$B$4,"Vencido",IF(O70&lt;=Instructivo!$B$4+30,"Próximo a vencer","Vigente"))</x:f>
        <x:v>Vencido</x:v>
      </x:c>
      <x:c r="U70" s="89" t="str">
        <x:v>Analista SST</x:v>
      </x:c>
      <x:c r="V70" s="90" t="str">
        <x:v>Requiere revisión de puesto de trabajo</x:v>
      </x:c>
    </x:row>
    <x:row r="71">
      <x:c r="A71" s="88" t="n">
        <x:v>2023</x:v>
      </x:c>
      <x:c r="B71" s="89" t="str">
        <x:v>EMO-2023-0070</x:v>
      </x:c>
      <x:c r="C71" s="106" t="n">
        <x:v>44984</x:v>
      </x:c>
      <x:c r="D71" s="89" t="str">
        <x:v>Ingreso</x:v>
      </x:c>
      <x:c r="E71" s="89" t="str">
        <x:v>931093026</x:v>
      </x:c>
      <x:c r="F71" s="89" t="str">
        <x:v>Yulieth Yulieth Martínez Moreno</x:v>
      </x:c>
      <x:c r="G71" s="89" t="str">
        <x:v>Vigilante</x:v>
      </x:c>
      <x:c r="H71" s="89" t="str">
        <x:v>Cúcuta</x:v>
      </x:c>
      <x:c r="I71" s="89" t="str">
        <x:v>Operaciones</x:v>
      </x:c>
      <x:c r="J71" s="89" t="str">
        <x:v>IPS Prevencionar</x:v>
      </x:c>
      <x:c r="K71" s="89" t="str">
        <x:v>Apto</x:v>
      </x:c>
      <x:c r="L71" s="89" t="str"/>
      <x:c r="M71" s="89" t="str">
        <x:v>Participar en programas de vigilancia epidemiológica</x:v>
      </x:c>
      <x:c r="N71" s="112" t="n">
        <x:v>12</x:v>
      </x:c>
      <x:c r="O71" s="106" t="n">
        <x:f>EDATE(C71,N71)</x:f>
        <x:v>45349</x:v>
      </x:c>
      <x:c r="P71" s="89" t="str">
        <x:v>I10 Hipertensión esencial</x:v>
      </x:c>
      <x:c r="Q71" s="89" t="str">
        <x:v>No</x:v>
      </x:c>
      <x:c r="R71" s="89" t="str"/>
      <x:c r="S71" s="106"/>
      <x:c r="T71" s="89" t="str">
        <x:f>IF(O71&lt;Instructivo!$B$4,"Vencido",IF(O71&lt;=Instructivo!$B$4+30,"Próximo a vencer","Vigente"))</x:f>
        <x:v>Vencido</x:v>
      </x:c>
      <x:c r="U71" s="89" t="str">
        <x:v>Médico Ocupacional</x:v>
      </x:c>
      <x:c r="V71" s="90" t="str">
        <x:v>Pendiente firma de concepto médico</x:v>
      </x:c>
    </x:row>
    <x:row r="72">
      <x:c r="A72" s="88" t="n">
        <x:v>2023</x:v>
      </x:c>
      <x:c r="B72" s="89" t="str">
        <x:v>EMO-2023-0071</x:v>
      </x:c>
      <x:c r="C72" s="106" t="n">
        <x:v>45169</x:v>
      </x:c>
      <x:c r="D72" s="89" t="str">
        <x:v>Periódico</x:v>
      </x:c>
      <x:c r="E72" s="89" t="str">
        <x:v>419911492</x:v>
      </x:c>
      <x:c r="F72" s="89" t="str">
        <x:v>Sergio Diana Hernández Hernández</x:v>
      </x:c>
      <x:c r="G72" s="89" t="str">
        <x:v>Vigilante</x:v>
      </x:c>
      <x:c r="H72" s="89" t="str">
        <x:v>Cúcuta</x:v>
      </x:c>
      <x:c r="I72" s="89" t="str">
        <x:v>Operaciones</x:v>
      </x:c>
      <x:c r="J72" s="89" t="str">
        <x:v>Colmédica Ocupacional</x:v>
      </x:c>
      <x:c r="K72" s="89" t="str">
        <x:v>Apto con restricciones</x:v>
      </x:c>
      <x:c r="L72" s="89" t="str">
        <x:v>Evitar levantamiento de cargas mayores a 15 kg</x:v>
      </x:c>
      <x:c r="M72" s="89" t="str">
        <x:v>Reubicación o ajuste razonable del puesto</x:v>
      </x:c>
      <x:c r="N72" s="112" t="n">
        <x:v>12</x:v>
      </x:c>
      <x:c r="O72" s="106" t="n">
        <x:f>EDATE(C72,N72)</x:f>
        <x:v>45535</x:v>
      </x:c>
      <x:c r="P72" s="89" t="str">
        <x:v>G56.0 Síndrome túnel carpiano</x:v>
      </x:c>
      <x:c r="Q72" s="89" t="str">
        <x:v>Sí</x:v>
      </x:c>
      <x:c r="R72" s="89" t="str">
        <x:v>Cardiometabólico</x:v>
      </x:c>
      <x:c r="S72" s="106" t="n">
        <x:v>45229</x:v>
      </x:c>
      <x:c r="T72" s="89" t="str">
        <x:f>IF(O72&lt;Instructivo!$B$4,"Vencido",IF(O72&lt;=Instructivo!$B$4+30,"Próximo a vencer","Vigente"))</x:f>
        <x:v>Vencido</x:v>
      </x:c>
      <x:c r="U72" s="89" t="str">
        <x:v>Médico Ocupacional</x:v>
      </x:c>
      <x:c r="V72" s="90" t="str">
        <x:v>Caso priorizado por restricciones activas</x:v>
      </x:c>
    </x:row>
    <x:row r="73">
      <x:c r="A73" s="91" t="n">
        <x:v>2023</x:v>
      </x:c>
      <x:c r="B73" s="92" t="str">
        <x:v>EMO-2023-0072</x:v>
      </x:c>
      <x:c r="C73" s="107" t="n">
        <x:v>45163</x:v>
      </x:c>
      <x:c r="D73" s="92" t="str">
        <x:v>Reintegro</x:v>
      </x:c>
      <x:c r="E73" s="92" t="str">
        <x:v>195074336</x:v>
      </x:c>
      <x:c r="F73" s="92" t="str">
        <x:v>Andrés Karen Díaz Martínez</x:v>
      </x:c>
      <x:c r="G73" s="92" t="str">
        <x:v>Operador de medios tecnológicos</x:v>
      </x:c>
      <x:c r="H73" s="92" t="str">
        <x:v>Tibú</x:v>
      </x:c>
      <x:c r="I73" s="92" t="str">
        <x:v>Medios Tecnológicos</x:v>
      </x:c>
      <x:c r="J73" s="92" t="str">
        <x:v>Colmédica Ocupacional</x:v>
      </x:c>
      <x:c r="K73" s="92" t="str">
        <x:v>Apto con restricciones</x:v>
      </x:c>
      <x:c r="L73" s="92" t="str">
        <x:v>Restricción para trabajo prolongado de pie</x:v>
      </x:c>
      <x:c r="M73" s="92" t="str">
        <x:v>Capacitación ergonómica y seguimiento SST</x:v>
      </x:c>
      <x:c r="N73" s="113" t="n">
        <x:v>6</x:v>
      </x:c>
      <x:c r="O73" s="107" t="n">
        <x:f>EDATE(C73,N73)</x:f>
        <x:v>45347</x:v>
      </x:c>
      <x:c r="P73" s="92" t="str">
        <x:v>G56.0 Síndrome túnel carpiano</x:v>
      </x:c>
      <x:c r="Q73" s="92" t="str">
        <x:v>Sí</x:v>
      </x:c>
      <x:c r="R73" s="92" t="str">
        <x:v>Fisioterapia</x:v>
      </x:c>
      <x:c r="S73" s="107" t="n">
        <x:v>45283</x:v>
      </x:c>
      <x:c r="T73" s="92" t="str">
        <x:f>IF(O73&lt;Instructivo!$B$4,"Vencido",IF(O73&lt;=Instructivo!$B$4+30,"Próximo a vencer","Vigente"))</x:f>
        <x:v>Vencido</x:v>
      </x:c>
      <x:c r="U73" s="92" t="str">
        <x:v>Analista SST</x:v>
      </x:c>
      <x:c r="V73" s="93" t="str">
        <x:v>Requiere revisión de puesto de trabajo</x:v>
      </x:c>
    </x:row>
  </x:sheetData>
  <x:conditionalFormatting sqref="T2:T73">
    <x:cfRule type="expression" dxfId="0" priority="1">
      <x:formula>T2="Vigente"</x:formula>
    </x:cfRule>
    <x:cfRule type="expression" dxfId="1" priority="2">
      <x:formula>T2="Próximo a vencer"</x:formula>
    </x:cfRule>
    <x:cfRule type="expression" dxfId="2" priority="3">
      <x:formula>T2="Vencido"</x:formula>
    </x:cfRule>
  </x:conditionalFormatting>
  <x:conditionalFormatting sqref="K2:K73">
    <x:cfRule type="expression" dxfId="3" priority="4">
      <x:formula>K2="No apto"</x:formula>
    </x:cfRule>
    <x:cfRule type="expression" dxfId="4" priority="5">
      <x:formula>K2="Apto con restricciones"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ebf450aa8a0485c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2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30" hidden="0" customWidth="1"/>
    <x:col min="13" max="13" width="30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28" hidden="0" customWidth="1"/>
  </x:cols>
  <x:sheetData>
    <x:row r="1">
      <x:c r="A1" s="76" t="str">
        <x:v>Año</x:v>
      </x:c>
      <x:c r="B1" s="76" t="str">
        <x:v>ID Registro</x:v>
      </x:c>
      <x:c r="C1" s="76" t="str">
        <x:v>Fecha realización</x:v>
      </x:c>
      <x:c r="D1" s="76" t="str">
        <x:v>Tipo de examen</x:v>
      </x:c>
      <x:c r="E1" s="76" t="str">
        <x:v>Identificación</x:v>
      </x:c>
      <x:c r="F1" s="76" t="str">
        <x:v>Nombre completo</x:v>
      </x:c>
      <x:c r="G1" s="76" t="str">
        <x:v>Cargo</x:v>
      </x:c>
      <x:c r="H1" s="76" t="str">
        <x:v>Sede</x:v>
      </x:c>
      <x:c r="I1" s="76" t="str">
        <x:v>Área / Proceso</x:v>
      </x:c>
      <x:c r="J1" s="76" t="str">
        <x:v>Proveedor / IPS</x:v>
      </x:c>
      <x:c r="K1" s="76" t="str">
        <x:v>Resultado</x:v>
      </x:c>
      <x:c r="L1" s="76" t="str">
        <x:v>Restricciones</x:v>
      </x:c>
      <x:c r="M1" s="76" t="str">
        <x:v>Recomendaciones</x:v>
      </x:c>
      <x:c r="N1" s="76" t="str">
        <x:v>Periodicidad (meses)</x:v>
      </x:c>
      <x:c r="O1" s="76" t="str">
        <x:v>Fecha vencimiento próximo examen</x:v>
      </x:c>
      <x:c r="P1" s="76" t="str">
        <x:v>Diagnóstico general</x:v>
      </x:c>
      <x:c r="Q1" s="76" t="str">
        <x:v>¿Requiere seguimiento especial?</x:v>
      </x:c>
      <x:c r="R1" s="76" t="str">
        <x:v>Tipo de seguimiento</x:v>
      </x:c>
      <x:c r="S1" s="76" t="str">
        <x:v>Fecha próximo seguimiento</x:v>
      </x:c>
      <x:c r="T1" s="76" t="str">
        <x:v>Estado</x:v>
      </x:c>
      <x:c r="U1" s="76" t="str">
        <x:v>Responsable de gestión</x:v>
      </x:c>
      <x:c r="V1" s="76" t="str">
        <x:v>Observaciones</x:v>
      </x:c>
    </x:row>
    <x:row r="2">
      <x:c r="A2" s="85" t="n">
        <x:v>2024</x:v>
      </x:c>
      <x:c r="B2" s="86" t="str">
        <x:v>EMO-2024-0001</x:v>
      </x:c>
      <x:c r="C2" s="105" t="n">
        <x:v>45445</x:v>
      </x:c>
      <x:c r="D2" s="86" t="str">
        <x:v>Periódico</x:v>
      </x:c>
      <x:c r="E2" s="86" t="str">
        <x:v>999689889</x:v>
      </x:c>
      <x:c r="F2" s="86" t="str">
        <x:v>Álvaro Carlos Ramírez Martínez</x:v>
      </x:c>
      <x:c r="G2" s="86" t="str">
        <x:v>Coordinador de operaciones</x:v>
      </x:c>
      <x:c r="H2" s="86" t="str">
        <x:v>Girón</x:v>
      </x:c>
      <x:c r="I2" s="86" t="str">
        <x:v>Operaciones</x:v>
      </x:c>
      <x:c r="J2" s="86" t="str">
        <x:v>Centro Médico Laboral Andino</x:v>
      </x:c>
      <x:c r="K2" s="86" t="str">
        <x:v>Apto</x:v>
      </x:c>
      <x:c r="L2" s="86" t="str"/>
      <x:c r="M2" s="86" t="str">
        <x:v>Uso permanente de EPP</x:v>
      </x:c>
      <x:c r="N2" s="111" t="n">
        <x:v>12</x:v>
      </x:c>
      <x:c r="O2" s="105" t="n">
        <x:f>EDATE(C2,N2)</x:f>
        <x:v>45810</x:v>
      </x:c>
      <x:c r="P2" s="86" t="str">
        <x:v>G56.0 Síndrome túnel carpiano</x:v>
      </x:c>
      <x:c r="Q2" s="86" t="str">
        <x:v>No</x:v>
      </x:c>
      <x:c r="R2" s="86" t="str"/>
      <x:c r="S2" s="105"/>
      <x:c r="T2" s="86" t="str">
        <x:f>IF(O2&lt;Instructivo!$B$4,"Vencido",IF(O2&lt;=Instructivo!$B$4+30,"Próximo a vencer","Vigente"))</x:f>
        <x:v>Vencido</x:v>
      </x:c>
      <x:c r="U2" s="86" t="str">
        <x:v>Coordinador de Talento Humano</x:v>
      </x:c>
      <x:c r="V2" s="87" t="str">
        <x:v>Requiere revisión de puesto de trabajo</x:v>
      </x:c>
    </x:row>
    <x:row r="3">
      <x:c r="A3" s="88" t="n">
        <x:v>2024</x:v>
      </x:c>
      <x:c r="B3" s="89" t="str">
        <x:v>EMO-2024-0002</x:v>
      </x:c>
      <x:c r="C3" s="106" t="n">
        <x:v>45433</x:v>
      </x:c>
      <x:c r="D3" s="89" t="str">
        <x:v>Periódico</x:v>
      </x:c>
      <x:c r="E3" s="89" t="str">
        <x:v>662672884</x:v>
      </x:c>
      <x:c r="F3" s="89" t="str">
        <x:v>María Álvaro Pérez López</x:v>
      </x:c>
      <x:c r="G3" s="89" t="str">
        <x:v>Auxiliar administrativo</x:v>
      </x:c>
      <x:c r="H3" s="89" t="str">
        <x:v>Ocaña</x:v>
      </x:c>
      <x:c r="I3" s="89" t="str">
        <x:v>Administrativa</x:v>
      </x:c>
      <x:c r="J3" s="89" t="str">
        <x:v>Colmédica Ocupacional</x:v>
      </x:c>
      <x:c r="K3" s="89" t="str">
        <x:v>Apto</x:v>
      </x:c>
      <x:c r="L3" s="89" t="str"/>
      <x:c r="M3" s="89" t="str">
        <x:v>Participar en programas de vigilancia epidemiológica</x:v>
      </x:c>
      <x:c r="N3" s="112" t="n">
        <x:v>12</x:v>
      </x:c>
      <x:c r="O3" s="106" t="n">
        <x:f>EDATE(C3,N3)</x:f>
        <x:v>45798</x:v>
      </x:c>
      <x:c r="P3" s="89" t="str">
        <x:v>H52.4 Presbicia</x:v>
      </x:c>
      <x:c r="Q3" s="89" t="str">
        <x:v>No</x:v>
      </x:c>
      <x:c r="R3" s="89" t="str"/>
      <x:c r="S3" s="106"/>
      <x:c r="T3" s="89" t="str">
        <x:f>IF(O3&lt;Instructivo!$B$4,"Vencido",IF(O3&lt;=Instructivo!$B$4+30,"Próximo a vencer","Vigente"))</x:f>
        <x:v>Vencido</x:v>
      </x:c>
      <x:c r="U3" s="89" t="str">
        <x:v>Coordinador de Talento Humano</x:v>
      </x:c>
      <x:c r="V3" s="90" t="str">
        <x:v>Sin novedades adicionales</x:v>
      </x:c>
    </x:row>
    <x:row r="4">
      <x:c r="A4" s="88" t="n">
        <x:v>2024</x:v>
      </x:c>
      <x:c r="B4" s="89" t="str">
        <x:v>EMO-2024-0003</x:v>
      </x:c>
      <x:c r="C4" s="106" t="n">
        <x:v>45333</x:v>
      </x:c>
      <x:c r="D4" s="89" t="str">
        <x:v>Periódico</x:v>
      </x:c>
      <x:c r="E4" s="89" t="str">
        <x:v>174842788</x:v>
      </x:c>
      <x:c r="F4" s="89" t="str">
        <x:v>Carlos Carolina Parra Suárez</x:v>
      </x:c>
      <x:c r="G4" s="89" t="str">
        <x:v>Auxiliar administrativo</x:v>
      </x:c>
      <x:c r="H4" s="89" t="str">
        <x:v>Barrancabermeja</x:v>
      </x:c>
      <x:c r="I4" s="89" t="str">
        <x:v>Administrativa</x:v>
      </x:c>
      <x:c r="J4" s="89" t="str">
        <x:v>IPS Prevencionar</x:v>
      </x:c>
      <x:c r="K4" s="89" t="str">
        <x:v>Apto</x:v>
      </x:c>
      <x:c r="L4" s="89" t="str"/>
      <x:c r="M4" s="89" t="str">
        <x:v>Participar en programas de vigilancia epidemiológica</x:v>
      </x:c>
      <x:c r="N4" s="112" t="n">
        <x:v>12</x:v>
      </x:c>
      <x:c r="O4" s="106" t="n">
        <x:f>EDATE(C4,N4)</x:f>
        <x:v>45699</x:v>
      </x:c>
      <x:c r="P4" s="89" t="str">
        <x:v>I10 Hipertensión esencial</x:v>
      </x:c>
      <x:c r="Q4" s="89" t="str">
        <x:v>No</x:v>
      </x:c>
      <x:c r="R4" s="89" t="str"/>
      <x:c r="S4" s="106"/>
      <x:c r="T4" s="89" t="str">
        <x:f>IF(O4&lt;Instructivo!$B$4,"Vencido",IF(O4&lt;=Instructivo!$B$4+30,"Próximo a vencer","Vigente"))</x:f>
        <x:v>Vencido</x:v>
      </x:c>
      <x:c r="U4" s="89" t="str">
        <x:v>Analista SST</x:v>
      </x:c>
      <x:c r="V4" s="90" t="str">
        <x:v>Requiere revisión de puesto de trabajo</x:v>
      </x:c>
    </x:row>
    <x:row r="5">
      <x:c r="A5" s="88" t="n">
        <x:v>2024</x:v>
      </x:c>
      <x:c r="B5" s="89" t="str">
        <x:v>EMO-2024-0004</x:v>
      </x:c>
      <x:c r="C5" s="106" t="n">
        <x:v>45580</x:v>
      </x:c>
      <x:c r="D5" s="89" t="str">
        <x:v>Periódico</x:v>
      </x:c>
      <x:c r="E5" s="89" t="str">
        <x:v>797138070</x:v>
      </x:c>
      <x:c r="F5" s="89" t="str">
        <x:v>María María Torres Hernández</x:v>
      </x:c>
      <x:c r="G5" s="89" t="str">
        <x:v>Vigilante</x:v>
      </x:c>
      <x:c r="H5" s="89" t="str">
        <x:v>Barrancabermeja</x:v>
      </x:c>
      <x:c r="I5" s="89" t="str">
        <x:v>Operaciones</x:v>
      </x:c>
      <x:c r="J5" s="89" t="str">
        <x:v>Centro Médico Laboral Andino</x:v>
      </x:c>
      <x:c r="K5" s="89" t="str">
        <x:v>Apto</x:v>
      </x:c>
      <x:c r="L5" s="89" t="str"/>
      <x:c r="M5" s="89" t="str">
        <x:v>Mantener estilos de vida saludable</x:v>
      </x:c>
      <x:c r="N5" s="112" t="n">
        <x:v>12</x:v>
      </x:c>
      <x:c r="O5" s="106" t="n">
        <x:f>EDATE(C5,N5)</x:f>
        <x:v>45945</x:v>
      </x:c>
      <x:c r="P5" s="89" t="str">
        <x:v>Z00.0 Examen general</x:v>
      </x:c>
      <x:c r="Q5" s="89" t="str">
        <x:v>Sí</x:v>
      </x:c>
      <x:c r="R5" s="89" t="str">
        <x:v>Fisioterapia</x:v>
      </x:c>
      <x:c r="S5" s="106" t="n">
        <x:v>45700</x:v>
      </x:c>
      <x:c r="T5" s="89" t="str">
        <x:f>IF(O5&lt;Instructivo!$B$4,"Vencido",IF(O5&lt;=Instructivo!$B$4+30,"Próximo a vencer","Vigente"))</x:f>
        <x:v>Vencido</x:v>
      </x:c>
      <x:c r="U5" s="89" t="str">
        <x:v>Analista SST</x:v>
      </x:c>
      <x:c r="V5" s="90" t="str">
        <x:v>Pendiente firma de concepto médico</x:v>
      </x:c>
    </x:row>
    <x:row r="6">
      <x:c r="A6" s="88" t="n">
        <x:v>2024</x:v>
      </x:c>
      <x:c r="B6" s="89" t="str">
        <x:v>EMO-2024-0005</x:v>
      </x:c>
      <x:c r="C6" s="106" t="n">
        <x:v>45504</x:v>
      </x:c>
      <x:c r="D6" s="89" t="str">
        <x:v>Ingreso</x:v>
      </x:c>
      <x:c r="E6" s="89" t="str">
        <x:v>312422633</x:v>
      </x:c>
      <x:c r="F6" s="89" t="str">
        <x:v>José María Parra Rodríguez</x:v>
      </x:c>
      <x:c r="G6" s="89" t="str">
        <x:v>Coordinador de operaciones</x:v>
      </x:c>
      <x:c r="H6" s="89" t="str">
        <x:v>Medellín</x:v>
      </x:c>
      <x:c r="I6" s="89" t="str">
        <x:v>Operaciones</x:v>
      </x:c>
      <x:c r="J6" s="89" t="str">
        <x:v>Centro Médico Laboral Andino</x:v>
      </x:c>
      <x:c r="K6" s="89" t="str">
        <x:v>Apto</x:v>
      </x:c>
      <x:c r="L6" s="89" t="str"/>
      <x:c r="M6" s="89" t="str">
        <x:v>Participar en programas de vigilancia epidemiológica</x:v>
      </x:c>
      <x:c r="N6" s="112" t="n">
        <x:v>12</x:v>
      </x:c>
      <x:c r="O6" s="106" t="n">
        <x:f>EDATE(C6,N6)</x:f>
        <x:v>45869</x:v>
      </x:c>
      <x:c r="P6" s="89" t="str">
        <x:v>M75.1 Lesión de hombro</x:v>
      </x:c>
      <x:c r="Q6" s="89" t="str">
        <x:v>Sí</x:v>
      </x:c>
      <x:c r="R6" s="89" t="str">
        <x:v>Ergonomía</x:v>
      </x:c>
      <x:c r="S6" s="106" t="n">
        <x:v>45564</x:v>
      </x:c>
      <x:c r="T6" s="89" t="str">
        <x:f>IF(O6&lt;Instructivo!$B$4,"Vencido",IF(O6&lt;=Instructivo!$B$4+30,"Próximo a vencer","Vigente"))</x:f>
        <x:v>Vencido</x:v>
      </x:c>
      <x:c r="U6" s="89" t="str">
        <x:v>Médico Ocupacional</x:v>
      </x:c>
      <x:c r="V6" s="90" t="str">
        <x:v>Caso priorizado por restricciones activas</x:v>
      </x:c>
    </x:row>
    <x:row r="7">
      <x:c r="A7" s="88" t="n">
        <x:v>2024</x:v>
      </x:c>
      <x:c r="B7" s="89" t="str">
        <x:v>EMO-2024-0006</x:v>
      </x:c>
      <x:c r="C7" s="106" t="n">
        <x:v>45440</x:v>
      </x:c>
      <x:c r="D7" s="89" t="str">
        <x:v>Periódico</x:v>
      </x:c>
      <x:c r="E7" s="89" t="str">
        <x:v>662672884</x:v>
      </x:c>
      <x:c r="F7" s="89" t="str">
        <x:v>María Álvaro Pérez López</x:v>
      </x:c>
      <x:c r="G7" s="89" t="str">
        <x:v>Auxiliar administrativo</x:v>
      </x:c>
      <x:c r="H7" s="89" t="str">
        <x:v>Ocaña</x:v>
      </x:c>
      <x:c r="I7" s="89" t="str">
        <x:v>Administrativa</x:v>
      </x:c>
      <x:c r="J7" s="89" t="str">
        <x:v>Salud Integral Ocupacional</x:v>
      </x:c>
      <x:c r="K7" s="89" t="str">
        <x:v>Apto</x:v>
      </x:c>
      <x:c r="L7" s="89" t="str"/>
      <x:c r="M7" s="89" t="str">
        <x:v>Continuar controles periódicos anuales</x:v>
      </x:c>
      <x:c r="N7" s="112" t="n">
        <x:v>12</x:v>
      </x:c>
      <x:c r="O7" s="106" t="n">
        <x:f>EDATE(C7,N7)</x:f>
        <x:v>45805</x:v>
      </x:c>
      <x:c r="P7" s="89" t="str">
        <x:v>I10 Hipertensión esencial</x:v>
      </x:c>
      <x:c r="Q7" s="89" t="str">
        <x:v>No</x:v>
      </x:c>
      <x:c r="R7" s="89" t="str"/>
      <x:c r="S7" s="106"/>
      <x:c r="T7" s="89" t="str">
        <x:f>IF(O7&lt;Instructivo!$B$4,"Vencido",IF(O7&lt;=Instructivo!$B$4+30,"Próximo a vencer","Vigente"))</x:f>
        <x:v>Vencido</x:v>
      </x:c>
      <x:c r="U7" s="89" t="str">
        <x:v>Líder SST</x:v>
      </x:c>
      <x:c r="V7" s="90" t="str">
        <x:v>Registro completo y soportado en historia ocupacional</x:v>
      </x:c>
    </x:row>
    <x:row r="8">
      <x:c r="A8" s="88" t="n">
        <x:v>2024</x:v>
      </x:c>
      <x:c r="B8" s="89" t="str">
        <x:v>EMO-2024-0007</x:v>
      </x:c>
      <x:c r="C8" s="106" t="n">
        <x:v>45383</x:v>
      </x:c>
      <x:c r="D8" s="89" t="str">
        <x:v>Periódico</x:v>
      </x:c>
      <x:c r="E8" s="89" t="str">
        <x:v>915394880</x:v>
      </x:c>
      <x:c r="F8" s="89" t="str">
        <x:v>Miguel Tatiana Cárdenas Moreno</x:v>
      </x:c>
      <x:c r="G8" s="89" t="str">
        <x:v>Operador de medios tecnológicos</x:v>
      </x:c>
      <x:c r="H8" s="89" t="str">
        <x:v>Valledupar</x:v>
      </x:c>
      <x:c r="I8" s="89" t="str">
        <x:v>Medios Tecnológicos</x:v>
      </x:c>
      <x:c r="J8" s="89" t="str">
        <x:v>Colmédica Ocupacional</x:v>
      </x:c>
      <x:c r="K8" s="89" t="str">
        <x:v>Apto con restricciones</x:v>
      </x:c>
      <x:c r="L8" s="89" t="str">
        <x:v>Evitar levantamiento de cargas mayores a 15 kg</x:v>
      </x:c>
      <x:c r="M8" s="89" t="str">
        <x:v>Control por optometría/medicina general</x:v>
      </x:c>
      <x:c r="N8" s="112" t="n">
        <x:v>12</x:v>
      </x:c>
      <x:c r="O8" s="106" t="n">
        <x:f>EDATE(C8,N8)</x:f>
        <x:v>45748</x:v>
      </x:c>
      <x:c r="P8" s="89" t="str">
        <x:v>Z00.0 Examen general</x:v>
      </x:c>
      <x:c r="Q8" s="89" t="str">
        <x:v>Sí</x:v>
      </x:c>
      <x:c r="R8" s="89" t="str">
        <x:v>Psicosocial</x:v>
      </x:c>
      <x:c r="S8" s="106" t="n">
        <x:v>45443</x:v>
      </x:c>
      <x:c r="T8" s="89" t="str">
        <x:f>IF(O8&lt;Instructivo!$B$4,"Vencido",IF(O8&lt;=Instructivo!$B$4+30,"Próximo a vencer","Vigente"))</x:f>
        <x:v>Vencido</x:v>
      </x:c>
      <x:c r="U8" s="89" t="str">
        <x:v>Líder SST</x:v>
      </x:c>
      <x:c r="V8" s="90" t="str">
        <x:v>Requiere revisión de puesto de trabajo</x:v>
      </x:c>
    </x:row>
    <x:row r="9">
      <x:c r="A9" s="88" t="n">
        <x:v>2024</x:v>
      </x:c>
      <x:c r="B9" s="89" t="str">
        <x:v>EMO-2024-0008</x:v>
      </x:c>
      <x:c r="C9" s="106" t="n">
        <x:v>45347</x:v>
      </x:c>
      <x:c r="D9" s="89" t="str">
        <x:v>Periódico</x:v>
      </x:c>
      <x:c r="E9" s="89" t="str">
        <x:v>544761823</x:v>
      </x:c>
      <x:c r="F9" s="89" t="str">
        <x:v>Ana Luis Gómez Pérez</x:v>
      </x:c>
      <x:c r="G9" s="89" t="str">
        <x:v>Vigilante</x:v>
      </x:c>
      <x:c r="H9" s="89" t="str">
        <x:v>Pamplona</x:v>
      </x:c>
      <x:c r="I9" s="89" t="str">
        <x:v>Operaciones</x:v>
      </x:c>
      <x:c r="J9" s="89" t="str">
        <x:v>Salud Integral Ocupacional</x:v>
      </x:c>
      <x:c r="K9" s="89" t="str">
        <x:v>Apto con restricciones</x:v>
      </x:c>
      <x:c r="L9" s="89" t="str">
        <x:v>Restricción para trabajo prolongado de pie</x:v>
      </x:c>
      <x:c r="M9" s="89" t="str">
        <x:v>Capacitación ergonómica y seguimiento SST</x:v>
      </x:c>
      <x:c r="N9" s="112" t="n">
        <x:v>12</x:v>
      </x:c>
      <x:c r="O9" s="106" t="n">
        <x:f>EDATE(C9,N9)</x:f>
        <x:v>45713</x:v>
      </x:c>
      <x:c r="P9" s="89" t="str">
        <x:v>G56.0 Síndrome túnel carpiano</x:v>
      </x:c>
      <x:c r="Q9" s="89" t="str">
        <x:v>Sí</x:v>
      </x:c>
      <x:c r="R9" s="89" t="str">
        <x:v>Psicosocial</x:v>
      </x:c>
      <x:c r="S9" s="106" t="n">
        <x:v>45467</x:v>
      </x:c>
      <x:c r="T9" s="89" t="str">
        <x:f>IF(O9&lt;Instructivo!$B$4,"Vencido",IF(O9&lt;=Instructivo!$B$4+30,"Próximo a vencer","Vigente"))</x:f>
        <x:v>Vencido</x:v>
      </x:c>
      <x:c r="U9" s="89" t="str">
        <x:v>Analista SST</x:v>
      </x:c>
      <x:c r="V9" s="90" t="str">
        <x:v>Caso priorizado por restricciones activas</x:v>
      </x:c>
    </x:row>
    <x:row r="10">
      <x:c r="A10" s="88" t="n">
        <x:v>2024</x:v>
      </x:c>
      <x:c r="B10" s="89" t="str">
        <x:v>EMO-2024-0009</x:v>
      </x:c>
      <x:c r="C10" s="106" t="n">
        <x:v>45391</x:v>
      </x:c>
      <x:c r="D10" s="89" t="str">
        <x:v>Periódico</x:v>
      </x:c>
      <x:c r="E10" s="89" t="str">
        <x:v>585040453</x:v>
      </x:c>
      <x:c r="F10" s="89" t="str">
        <x:v>Wilson Diana López Ramírez</x:v>
      </x:c>
      <x:c r="G10" s="89" t="str">
        <x:v>Escolta</x:v>
      </x:c>
      <x:c r="H10" s="89" t="str">
        <x:v>Girón</x:v>
      </x:c>
      <x:c r="I10" s="89" t="str">
        <x:v>Escoltas</x:v>
      </x:c>
      <x:c r="J10" s="89" t="str">
        <x:v>Colmédica Ocupacional</x:v>
      </x:c>
      <x:c r="K10" s="89" t="str">
        <x:v>Apto con restricciones</x:v>
      </x:c>
      <x:c r="L10" s="89" t="str">
        <x:v>Restricción para trabajo prolongado de pie</x:v>
      </x:c>
      <x:c r="M10" s="89" t="str">
        <x:v>Reubicación o ajuste razonable del puesto</x:v>
      </x:c>
      <x:c r="N10" s="112" t="n">
        <x:v>12</x:v>
      </x:c>
      <x:c r="O10" s="106" t="n">
        <x:f>EDATE(C10,N10)</x:f>
        <x:v>45756</x:v>
      </x:c>
      <x:c r="P10" s="89" t="str">
        <x:v>H52.4 Presbicia</x:v>
      </x:c>
      <x:c r="Q10" s="89" t="str">
        <x:v>Sí</x:v>
      </x:c>
      <x:c r="R10" s="89" t="str">
        <x:v>Fisioterapia</x:v>
      </x:c>
      <x:c r="S10" s="106" t="n">
        <x:v>45481</x:v>
      </x:c>
      <x:c r="T10" s="89" t="str">
        <x:f>IF(O10&lt;Instructivo!$B$4,"Vencido",IF(O10&lt;=Instructivo!$B$4+30,"Próximo a vencer","Vigente"))</x:f>
        <x:v>Vencido</x:v>
      </x:c>
      <x:c r="U10" s="89" t="str">
        <x:v>Líder SST</x:v>
      </x:c>
      <x:c r="V10" s="90" t="str">
        <x:v>Requiere revisión de puesto de trabajo</x:v>
      </x:c>
    </x:row>
    <x:row r="11">
      <x:c r="A11" s="88" t="n">
        <x:v>2024</x:v>
      </x:c>
      <x:c r="B11" s="89" t="str">
        <x:v>EMO-2024-0010</x:v>
      </x:c>
      <x:c r="C11" s="106" t="n">
        <x:v>45583</x:v>
      </x:c>
      <x:c r="D11" s="89" t="str">
        <x:v>Periódico</x:v>
      </x:c>
      <x:c r="E11" s="89" t="str">
        <x:v>436709938</x:v>
      </x:c>
      <x:c r="F11" s="89" t="str">
        <x:v>Julián Paola Torres Pérez</x:v>
      </x:c>
      <x:c r="G11" s="89" t="str">
        <x:v>Vigilante</x:v>
      </x:c>
      <x:c r="H11" s="89" t="str">
        <x:v>Girón</x:v>
      </x:c>
      <x:c r="I11" s="89" t="str">
        <x:v>Operaciones</x:v>
      </x:c>
      <x:c r="J11" s="89" t="str">
        <x:v>IPS Prevencionar</x:v>
      </x:c>
      <x:c r="K11" s="89" t="str">
        <x:v>Apto</x:v>
      </x:c>
      <x:c r="L11" s="89" t="str"/>
      <x:c r="M11" s="89" t="str">
        <x:v>Mantener estilos de vida saludable</x:v>
      </x:c>
      <x:c r="N11" s="112" t="n">
        <x:v>12</x:v>
      </x:c>
      <x:c r="O11" s="106" t="n">
        <x:f>EDATE(C11,N11)</x:f>
        <x:v>45948</x:v>
      </x:c>
      <x:c r="P11" s="89" t="str">
        <x:v>M75.1 Lesión de hombro</x:v>
      </x:c>
      <x:c r="Q11" s="89" t="str">
        <x:v>No</x:v>
      </x:c>
      <x:c r="R11" s="89" t="str"/>
      <x:c r="S11" s="106"/>
      <x:c r="T11" s="89" t="str">
        <x:f>IF(O11&lt;Instructivo!$B$4,"Vencido",IF(O11&lt;=Instructivo!$B$4+30,"Próximo a vencer","Vigente"))</x:f>
        <x:v>Vencido</x:v>
      </x:c>
      <x:c r="U11" s="89" t="str">
        <x:v>Coordinador de Talento Humano</x:v>
      </x:c>
      <x:c r="V11" s="90" t="str">
        <x:v>Requiere revisión de puesto de trabajo</x:v>
      </x:c>
    </x:row>
    <x:row r="12">
      <x:c r="A12" s="88" t="n">
        <x:v>2024</x:v>
      </x:c>
      <x:c r="B12" s="89" t="str">
        <x:v>EMO-2024-0011</x:v>
      </x:c>
      <x:c r="C12" s="106" t="n">
        <x:v>45341</x:v>
      </x:c>
      <x:c r="D12" s="89" t="str">
        <x:v>Periódico</x:v>
      </x:c>
      <x:c r="E12" s="89" t="str">
        <x:v>578350099</x:v>
      </x:c>
      <x:c r="F12" s="89" t="str">
        <x:v>María Álvaro Martínez Ramírez</x:v>
      </x:c>
      <x:c r="G12" s="89" t="str">
        <x:v>Operador de medios tecnológicos</x:v>
      </x:c>
      <x:c r="H12" s="89" t="str">
        <x:v>Cúcuta</x:v>
      </x:c>
      <x:c r="I12" s="89" t="str">
        <x:v>Medios Tecnológicos</x:v>
      </x:c>
      <x:c r="J12" s="89" t="str">
        <x:v>IPS Ocupasalud SAS</x:v>
      </x:c>
      <x:c r="K12" s="89" t="str">
        <x:v>Apto</x:v>
      </x:c>
      <x:c r="L12" s="89" t="str"/>
      <x:c r="M12" s="89" t="str">
        <x:v>Mantener estilos de vida saludable</x:v>
      </x:c>
      <x:c r="N12" s="112" t="n">
        <x:v>12</x:v>
      </x:c>
      <x:c r="O12" s="106" t="n">
        <x:f>EDATE(C12,N12)</x:f>
        <x:v>45707</x:v>
      </x:c>
      <x:c r="P12" s="89" t="str">
        <x:v>E66.9 Obesidad</x:v>
      </x:c>
      <x:c r="Q12" s="89" t="str">
        <x:v>No</x:v>
      </x:c>
      <x:c r="R12" s="89" t="str"/>
      <x:c r="S12" s="106"/>
      <x:c r="T12" s="89" t="str">
        <x:f>IF(O12&lt;Instructivo!$B$4,"Vencido",IF(O12&lt;=Instructivo!$B$4+30,"Próximo a vencer","Vigente"))</x:f>
        <x:v>Vencido</x:v>
      </x:c>
      <x:c r="U12" s="89" t="str">
        <x:v>Médico Ocupacional</x:v>
      </x:c>
      <x:c r="V12" s="90" t="str">
        <x:v>Pendiente firma de concepto médico</x:v>
      </x:c>
    </x:row>
    <x:row r="13">
      <x:c r="A13" s="88" t="n">
        <x:v>2024</x:v>
      </x:c>
      <x:c r="B13" s="89" t="str">
        <x:v>EMO-2024-0012</x:v>
      </x:c>
      <x:c r="C13" s="106" t="n">
        <x:v>45429</x:v>
      </x:c>
      <x:c r="D13" s="89" t="str">
        <x:v>Periódico</x:v>
      </x:c>
      <x:c r="E13" s="89" t="str">
        <x:v>966207974</x:v>
      </x:c>
      <x:c r="F13" s="89" t="str">
        <x:v>Kevin Carolina Sánchez López</x:v>
      </x:c>
      <x:c r="G13" s="89" t="str">
        <x:v>Operador de medios tecnológicos</x:v>
      </x:c>
      <x:c r="H13" s="89" t="str">
        <x:v>Cúcuta</x:v>
      </x:c>
      <x:c r="I13" s="89" t="str">
        <x:v>Medios Tecnológicos</x:v>
      </x:c>
      <x:c r="J13" s="89" t="str">
        <x:v>Centro Médico Laboral Andino</x:v>
      </x:c>
      <x:c r="K13" s="89" t="str">
        <x:v>Apto con restricciones</x:v>
      </x:c>
      <x:c r="L13" s="89" t="str">
        <x:v>Restricción para trabajo prolongado de pie</x:v>
      </x:c>
      <x:c r="M13" s="89" t="str">
        <x:v>Seguimiento por medicina laboral en 3 meses</x:v>
      </x:c>
      <x:c r="N13" s="112" t="n">
        <x:v>12</x:v>
      </x:c>
      <x:c r="O13" s="106" t="n">
        <x:f>EDATE(C13,N13)</x:f>
        <x:v>45794</x:v>
      </x:c>
      <x:c r="P13" s="89" t="str">
        <x:v>Z00.0 Examen general</x:v>
      </x:c>
      <x:c r="Q13" s="89" t="str">
        <x:v>Sí</x:v>
      </x:c>
      <x:c r="R13" s="89" t="str">
        <x:v>Optometría</x:v>
      </x:c>
      <x:c r="S13" s="106" t="n">
        <x:v>45549</x:v>
      </x:c>
      <x:c r="T13" s="89" t="str">
        <x:f>IF(O13&lt;Instructivo!$B$4,"Vencido",IF(O13&lt;=Instructivo!$B$4+30,"Próximo a vencer","Vigente"))</x:f>
        <x:v>Vencido</x:v>
      </x:c>
      <x:c r="U13" s="89" t="str">
        <x:v>Líder SST</x:v>
      </x:c>
      <x:c r="V13" s="90" t="str">
        <x:v>Se recomienda seguimiento por comité SST</x:v>
      </x:c>
    </x:row>
    <x:row r="14">
      <x:c r="A14" s="88" t="n">
        <x:v>2024</x:v>
      </x:c>
      <x:c r="B14" s="89" t="str">
        <x:v>EMO-2024-0013</x:v>
      </x:c>
      <x:c r="C14" s="106" t="n">
        <x:v>45500</x:v>
      </x:c>
      <x:c r="D14" s="89" t="str">
        <x:v>Periódico</x:v>
      </x:c>
      <x:c r="E14" s="89" t="str">
        <x:v>588639414</x:v>
      </x:c>
      <x:c r="F14" s="89" t="str">
        <x:v>Felipe Camilo Ramírez Suárez</x:v>
      </x:c>
      <x:c r="G14" s="89" t="str">
        <x:v>Operador de medios tecnológicos</x:v>
      </x:c>
      <x:c r="H14" s="89" t="str">
        <x:v>Cúcuta</x:v>
      </x:c>
      <x:c r="I14" s="89" t="str">
        <x:v>Medios Tecnológicos</x:v>
      </x:c>
      <x:c r="J14" s="89" t="str">
        <x:v>Colmédica Ocupacional</x:v>
      </x:c>
      <x:c r="K14" s="89" t="str">
        <x:v>Apto</x:v>
      </x:c>
      <x:c r="L14" s="89" t="str"/>
      <x:c r="M14" s="89" t="str">
        <x:v>Uso permanente de EPP</x:v>
      </x:c>
      <x:c r="N14" s="112" t="n">
        <x:v>12</x:v>
      </x:c>
      <x:c r="O14" s="106" t="n">
        <x:f>EDATE(C14,N14)</x:f>
        <x:v>45865</x:v>
      </x:c>
      <x:c r="P14" s="89" t="str">
        <x:v>R51 Cefalea</x:v>
      </x:c>
      <x:c r="Q14" s="89" t="str">
        <x:v>No</x:v>
      </x:c>
      <x:c r="R14" s="89" t="str"/>
      <x:c r="S14" s="106"/>
      <x:c r="T14" s="89" t="str">
        <x:f>IF(O14&lt;Instructivo!$B$4,"Vencido",IF(O14&lt;=Instructivo!$B$4+30,"Próximo a vencer","Vigente"))</x:f>
        <x:v>Vencido</x:v>
      </x:c>
      <x:c r="U14" s="89" t="str">
        <x:v>Analista SST</x:v>
      </x:c>
      <x:c r="V14" s="90" t="str">
        <x:v>Requiere revisión de puesto de trabajo</x:v>
      </x:c>
    </x:row>
    <x:row r="15">
      <x:c r="A15" s="88" t="n">
        <x:v>2024</x:v>
      </x:c>
      <x:c r="B15" s="89" t="str">
        <x:v>EMO-2024-0014</x:v>
      </x:c>
      <x:c r="C15" s="106" t="n">
        <x:v>45537</x:v>
      </x:c>
      <x:c r="D15" s="89" t="str">
        <x:v>Reintegro</x:v>
      </x:c>
      <x:c r="E15" s="89" t="str">
        <x:v>995960271</x:v>
      </x:c>
      <x:c r="F15" s="89" t="str">
        <x:v>Laura Jhon Sánchez Moreno</x:v>
      </x:c>
      <x:c r="G15" s="89" t="str">
        <x:v>Vigilante</x:v>
      </x:c>
      <x:c r="H15" s="89" t="str">
        <x:v>Arauca</x:v>
      </x:c>
      <x:c r="I15" s="89" t="str">
        <x:v>Operaciones</x:v>
      </x:c>
      <x:c r="J15" s="89" t="str">
        <x:v>IPS Prevencionar</x:v>
      </x:c>
      <x:c r="K15" s="89" t="str">
        <x:v>Apto</x:v>
      </x:c>
      <x:c r="L15" s="89" t="str"/>
      <x:c r="M15" s="89" t="str">
        <x:v>Uso permanente de EPP</x:v>
      </x:c>
      <x:c r="N15" s="112" t="n">
        <x:v>6</x:v>
      </x:c>
      <x:c r="O15" s="106" t="n">
        <x:f>EDATE(C15,N15)</x:f>
        <x:v>45718</x:v>
      </x:c>
      <x:c r="P15" s="89" t="str">
        <x:v>I10 Hipertensión esencial</x:v>
      </x:c>
      <x:c r="Q15" s="89" t="str">
        <x:v>No</x:v>
      </x:c>
      <x:c r="R15" s="89" t="str"/>
      <x:c r="S15" s="106"/>
      <x:c r="T15" s="89" t="str">
        <x:f>IF(O15&lt;Instructivo!$B$4,"Vencido",IF(O15&lt;=Instructivo!$B$4+30,"Próximo a vencer","Vigente"))</x:f>
        <x:v>Vencido</x:v>
      </x:c>
      <x:c r="U15" s="89" t="str">
        <x:v>Analista SST</x:v>
      </x:c>
      <x:c r="V15" s="90" t="str">
        <x:v>Caso priorizado por restricciones activas</x:v>
      </x:c>
    </x:row>
    <x:row r="16">
      <x:c r="A16" s="88" t="n">
        <x:v>2024</x:v>
      </x:c>
      <x:c r="B16" s="89" t="str">
        <x:v>EMO-2024-0015</x:v>
      </x:c>
      <x:c r="C16" s="106" t="n">
        <x:v>45334</x:v>
      </x:c>
      <x:c r="D16" s="89" t="str">
        <x:v>Post-incapacidad</x:v>
      </x:c>
      <x:c r="E16" s="89" t="str">
        <x:v>852829622</x:v>
      </x:c>
      <x:c r="F16" s="89" t="str">
        <x:v>Álvaro María Ramírez Gómez</x:v>
      </x:c>
      <x:c r="G16" s="89" t="str">
        <x:v>Vigilante</x:v>
      </x:c>
      <x:c r="H16" s="89" t="str">
        <x:v>Bogotá</x:v>
      </x:c>
      <x:c r="I16" s="89" t="str">
        <x:v>Operaciones</x:v>
      </x:c>
      <x:c r="J16" s="89" t="str">
        <x:v>Salud Integral Ocupacional</x:v>
      </x:c>
      <x:c r="K16" s="89" t="str">
        <x:v>Apto</x:v>
      </x:c>
      <x:c r="L16" s="89" t="str"/>
      <x:c r="M16" s="89" t="str">
        <x:v>Uso permanente de EPP</x:v>
      </x:c>
      <x:c r="N16" s="112" t="n">
        <x:v>6</x:v>
      </x:c>
      <x:c r="O16" s="106" t="n">
        <x:f>EDATE(C16,N16)</x:f>
        <x:v>45516</x:v>
      </x:c>
      <x:c r="P16" s="89" t="str">
        <x:v>I10 Hipertensión esencial</x:v>
      </x:c>
      <x:c r="Q16" s="89" t="str">
        <x:v>Sí</x:v>
      </x:c>
      <x:c r="R16" s="89" t="str">
        <x:v>Cardiometabólico</x:v>
      </x:c>
      <x:c r="S16" s="106" t="n">
        <x:v>45394</x:v>
      </x:c>
      <x:c r="T16" s="89" t="str">
        <x:f>IF(O16&lt;Instructivo!$B$4,"Vencido",IF(O16&lt;=Instructivo!$B$4+30,"Próximo a vencer","Vigente"))</x:f>
        <x:v>Vencido</x:v>
      </x:c>
      <x:c r="U16" s="89" t="str">
        <x:v>Analista SST</x:v>
      </x:c>
      <x:c r="V16" s="90" t="str">
        <x:v>Registro completo y soportado en historia ocupacional</x:v>
      </x:c>
    </x:row>
    <x:row r="17">
      <x:c r="A17" s="88" t="n">
        <x:v>2024</x:v>
      </x:c>
      <x:c r="B17" s="89" t="str">
        <x:v>EMO-2024-0016</x:v>
      </x:c>
      <x:c r="C17" s="106" t="n">
        <x:v>45559</x:v>
      </x:c>
      <x:c r="D17" s="89" t="str">
        <x:v>Periódico</x:v>
      </x:c>
      <x:c r="E17" s="89" t="str">
        <x:v>534415796</x:v>
      </x:c>
      <x:c r="F17" s="89" t="str">
        <x:v>Luisa Ana Torres Castro</x:v>
      </x:c>
      <x:c r="G17" s="89" t="str">
        <x:v>Vigilante</x:v>
      </x:c>
      <x:c r="H17" s="89" t="str">
        <x:v>Cúcuta</x:v>
      </x:c>
      <x:c r="I17" s="89" t="str">
        <x:v>Operaciones</x:v>
      </x:c>
      <x:c r="J17" s="89" t="str">
        <x:v>IPS Ocupasalud SAS</x:v>
      </x:c>
      <x:c r="K17" s="89" t="str">
        <x:v>Apto</x:v>
      </x:c>
      <x:c r="L17" s="89" t="str"/>
      <x:c r="M17" s="89" t="str">
        <x:v>Mantener estilos de vida saludable</x:v>
      </x:c>
      <x:c r="N17" s="112" t="n">
        <x:v>12</x:v>
      </x:c>
      <x:c r="O17" s="106" t="n">
        <x:f>EDATE(C17,N17)</x:f>
        <x:v>45924</x:v>
      </x:c>
      <x:c r="P17" s="89" t="str">
        <x:v>G56.0 Síndrome túnel carpiano</x:v>
      </x:c>
      <x:c r="Q17" s="89" t="str">
        <x:v>No</x:v>
      </x:c>
      <x:c r="R17" s="89" t="str"/>
      <x:c r="S17" s="106"/>
      <x:c r="T17" s="89" t="str">
        <x:f>IF(O17&lt;Instructivo!$B$4,"Vencido",IF(O17&lt;=Instructivo!$B$4+30,"Próximo a vencer","Vigente"))</x:f>
        <x:v>Vencido</x:v>
      </x:c>
      <x:c r="U17" s="89" t="str">
        <x:v>Líder SST</x:v>
      </x:c>
      <x:c r="V17" s="90" t="str">
        <x:v>Sin novedades adicionales</x:v>
      </x:c>
    </x:row>
    <x:row r="18">
      <x:c r="A18" s="88" t="n">
        <x:v>2024</x:v>
      </x:c>
      <x:c r="B18" s="89" t="str">
        <x:v>EMO-2024-0017</x:v>
      </x:c>
      <x:c r="C18" s="106" t="n">
        <x:v>45505</x:v>
      </x:c>
      <x:c r="D18" s="89" t="str">
        <x:v>Ingreso</x:v>
      </x:c>
      <x:c r="E18" s="89" t="str">
        <x:v>869526867</x:v>
      </x:c>
      <x:c r="F18" s="89" t="str">
        <x:v>Tatiana Jhon Rodríguez Torres</x:v>
      </x:c>
      <x:c r="G18" s="89" t="str">
        <x:v>Vigilante</x:v>
      </x:c>
      <x:c r="H18" s="89" t="str">
        <x:v>Tibú</x:v>
      </x:c>
      <x:c r="I18" s="89" t="str">
        <x:v>Operaciones</x:v>
      </x:c>
      <x:c r="J18" s="89" t="str">
        <x:v>Colmédica Ocupacional</x:v>
      </x:c>
      <x:c r="K18" s="89" t="str">
        <x:v>Apto</x:v>
      </x:c>
      <x:c r="L18" s="89" t="str"/>
      <x:c r="M18" s="89" t="str">
        <x:v>Continuar controles periódicos anuales</x:v>
      </x:c>
      <x:c r="N18" s="112" t="n">
        <x:v>12</x:v>
      </x:c>
      <x:c r="O18" s="106" t="n">
        <x:f>EDATE(C18,N18)</x:f>
        <x:v>45870</x:v>
      </x:c>
      <x:c r="P18" s="89" t="str">
        <x:v>Z00.0 Examen general</x:v>
      </x:c>
      <x:c r="Q18" s="89" t="str">
        <x:v>No</x:v>
      </x:c>
      <x:c r="R18" s="89" t="str"/>
      <x:c r="S18" s="106"/>
      <x:c r="T18" s="89" t="str">
        <x:f>IF(O18&lt;Instructivo!$B$4,"Vencido",IF(O18&lt;=Instructivo!$B$4+30,"Próximo a vencer","Vigente"))</x:f>
        <x:v>Vencido</x:v>
      </x:c>
      <x:c r="U18" s="89" t="str">
        <x:v>Médico Ocupacional</x:v>
      </x:c>
      <x:c r="V18" s="90" t="str">
        <x:v>Requiere revisión de puesto de trabajo</x:v>
      </x:c>
    </x:row>
    <x:row r="19">
      <x:c r="A19" s="88" t="n">
        <x:v>2024</x:v>
      </x:c>
      <x:c r="B19" s="89" t="str">
        <x:v>EMO-2024-0018</x:v>
      </x:c>
      <x:c r="C19" s="106" t="n">
        <x:v>45404</x:v>
      </x:c>
      <x:c r="D19" s="89" t="str">
        <x:v>Post-incapacidad</x:v>
      </x:c>
      <x:c r="E19" s="89" t="str">
        <x:v>748159521</x:v>
      </x:c>
      <x:c r="F19" s="89" t="str">
        <x:v>Laura Álvaro Hernández Castro</x:v>
      </x:c>
      <x:c r="G19" s="89" t="str">
        <x:v>Operador de medios tecnológicos</x:v>
      </x:c>
      <x:c r="H19" s="89" t="str">
        <x:v>Ocaña</x:v>
      </x:c>
      <x:c r="I19" s="89" t="str">
        <x:v>Medios Tecnológicos</x:v>
      </x:c>
      <x:c r="J19" s="89" t="str">
        <x:v>IPS Ocupasalud SAS</x:v>
      </x:c>
      <x:c r="K19" s="89" t="str">
        <x:v>Apto</x:v>
      </x:c>
      <x:c r="L19" s="89" t="str"/>
      <x:c r="M19" s="89" t="str">
        <x:v>Continuar controles periódicos anuales</x:v>
      </x:c>
      <x:c r="N19" s="112" t="n">
        <x:v>6</x:v>
      </x:c>
      <x:c r="O19" s="106" t="n">
        <x:f>EDATE(C19,N19)</x:f>
        <x:v>45587</x:v>
      </x:c>
      <x:c r="P19" s="89" t="str">
        <x:v>Z00.0 Examen general</x:v>
      </x:c>
      <x:c r="Q19" s="89" t="str">
        <x:v>No</x:v>
      </x:c>
      <x:c r="R19" s="89" t="str"/>
      <x:c r="S19" s="106"/>
      <x:c r="T19" s="89" t="str">
        <x:f>IF(O19&lt;Instructivo!$B$4,"Vencido",IF(O19&lt;=Instructivo!$B$4+30,"Próximo a vencer","Vigente"))</x:f>
        <x:v>Vencido</x:v>
      </x:c>
      <x:c r="U19" s="89" t="str">
        <x:v>Líder SST</x:v>
      </x:c>
      <x:c r="V19" s="90" t="str">
        <x:v>Requiere revisión de puesto de trabajo</x:v>
      </x:c>
    </x:row>
    <x:row r="20">
      <x:c r="A20" s="88" t="n">
        <x:v>2024</x:v>
      </x:c>
      <x:c r="B20" s="89" t="str">
        <x:v>EMO-2024-0019</x:v>
      </x:c>
      <x:c r="C20" s="106" t="n">
        <x:v>45502</x:v>
      </x:c>
      <x:c r="D20" s="89" t="str">
        <x:v>Ingreso</x:v>
      </x:c>
      <x:c r="E20" s="89" t="str">
        <x:v>156338112</x:v>
      </x:c>
      <x:c r="F20" s="89" t="str">
        <x:v>Tatiana Wilson Suárez Suárez</x:v>
      </x:c>
      <x:c r="G20" s="89" t="str">
        <x:v>Coordinador de operaciones</x:v>
      </x:c>
      <x:c r="H20" s="89" t="str">
        <x:v>Pamplona</x:v>
      </x:c>
      <x:c r="I20" s="89" t="str">
        <x:v>Operaciones</x:v>
      </x:c>
      <x:c r="J20" s="89" t="str">
        <x:v>IPS Prevencionar</x:v>
      </x:c>
      <x:c r="K20" s="89" t="str">
        <x:v>Apto</x:v>
      </x:c>
      <x:c r="L20" s="89" t="str"/>
      <x:c r="M20" s="89" t="str">
        <x:v>Mantener estilos de vida saludable</x:v>
      </x:c>
      <x:c r="N20" s="112" t="n">
        <x:v>12</x:v>
      </x:c>
      <x:c r="O20" s="106" t="n">
        <x:f>EDATE(C20,N20)</x:f>
        <x:v>45867</x:v>
      </x:c>
      <x:c r="P20" s="89" t="str">
        <x:v>R51 Cefalea</x:v>
      </x:c>
      <x:c r="Q20" s="89" t="str">
        <x:v>No</x:v>
      </x:c>
      <x:c r="R20" s="89" t="str"/>
      <x:c r="S20" s="106"/>
      <x:c r="T20" s="89" t="str">
        <x:f>IF(O20&lt;Instructivo!$B$4,"Vencido",IF(O20&lt;=Instructivo!$B$4+30,"Próximo a vencer","Vigente"))</x:f>
        <x:v>Vencido</x:v>
      </x:c>
      <x:c r="U20" s="89" t="str">
        <x:v>Médico Ocupacional</x:v>
      </x:c>
      <x:c r="V20" s="90" t="str">
        <x:v>Requiere revisión de puesto de trabajo</x:v>
      </x:c>
    </x:row>
    <x:row r="21">
      <x:c r="A21" s="88" t="n">
        <x:v>2024</x:v>
      </x:c>
      <x:c r="B21" s="89" t="str">
        <x:v>EMO-2024-0020</x:v>
      </x:c>
      <x:c r="C21" s="106" t="n">
        <x:v>45486</x:v>
      </x:c>
      <x:c r="D21" s="89" t="str">
        <x:v>Post-incapacidad</x:v>
      </x:c>
      <x:c r="E21" s="89" t="str">
        <x:v>248741810</x:v>
      </x:c>
      <x:c r="F21" s="89" t="str">
        <x:v>Andrés Ana López Castro</x:v>
      </x:c>
      <x:c r="G21" s="89" t="str">
        <x:v>Técnico de mantenimiento</x:v>
      </x:c>
      <x:c r="H21" s="89" t="str">
        <x:v>Ábrego</x:v>
      </x:c>
      <x:c r="I21" s="89" t="str">
        <x:v>Infraestructura</x:v>
      </x:c>
      <x:c r="J21" s="89" t="str">
        <x:v>IPS Ocupasalud SAS</x:v>
      </x:c>
      <x:c r="K21" s="89" t="str">
        <x:v>Apto</x:v>
      </x:c>
      <x:c r="L21" s="89" t="str"/>
      <x:c r="M21" s="89" t="str">
        <x:v>Mantener estilos de vida saludable</x:v>
      </x:c>
      <x:c r="N21" s="112" t="n">
        <x:v>6</x:v>
      </x:c>
      <x:c r="O21" s="106" t="n">
        <x:f>EDATE(C21,N21)</x:f>
        <x:v>45670</x:v>
      </x:c>
      <x:c r="P21" s="89" t="str">
        <x:v>H52.4 Presbicia</x:v>
      </x:c>
      <x:c r="Q21" s="89" t="str">
        <x:v>No</x:v>
      </x:c>
      <x:c r="R21" s="89" t="str"/>
      <x:c r="S21" s="106"/>
      <x:c r="T21" s="89" t="str">
        <x:f>IF(O21&lt;Instructivo!$B$4,"Vencido",IF(O21&lt;=Instructivo!$B$4+30,"Próximo a vencer","Vigente"))</x:f>
        <x:v>Vencido</x:v>
      </x:c>
      <x:c r="U21" s="89" t="str">
        <x:v>Médico Ocupacional</x:v>
      </x:c>
      <x:c r="V21" s="90" t="str">
        <x:v>Se recomienda seguimiento por comité SST</x:v>
      </x:c>
    </x:row>
    <x:row r="22">
      <x:c r="A22" s="88" t="n">
        <x:v>2024</x:v>
      </x:c>
      <x:c r="B22" s="89" t="str">
        <x:v>EMO-2024-0021</x:v>
      </x:c>
      <x:c r="C22" s="106" t="n">
        <x:v>45407</x:v>
      </x:c>
      <x:c r="D22" s="89" t="str">
        <x:v>Ingreso</x:v>
      </x:c>
      <x:c r="E22" s="89" t="str">
        <x:v>423294774</x:v>
      </x:c>
      <x:c r="F22" s="89" t="str">
        <x:v>Ana Andrés Gómez Díaz</x:v>
      </x:c>
      <x:c r="G22" s="89" t="str">
        <x:v>Vigilante</x:v>
      </x:c>
      <x:c r="H22" s="89" t="str">
        <x:v>Tibú</x:v>
      </x:c>
      <x:c r="I22" s="89" t="str">
        <x:v>Operaciones</x:v>
      </x:c>
      <x:c r="J22" s="89" t="str">
        <x:v>Salud Integral Ocupacional</x:v>
      </x:c>
      <x:c r="K22" s="89" t="str">
        <x:v>Apto con restricciones</x:v>
      </x:c>
      <x:c r="L22" s="89" t="str">
        <x:v>Evitar levantamiento de cargas mayores a 15 kg</x:v>
      </x:c>
      <x:c r="M22" s="89" t="str">
        <x:v>Capacitación ergonómica y seguimiento SST</x:v>
      </x:c>
      <x:c r="N22" s="112" t="n">
        <x:v>12</x:v>
      </x:c>
      <x:c r="O22" s="106" t="n">
        <x:f>EDATE(C22,N22)</x:f>
        <x:v>45772</x:v>
      </x:c>
      <x:c r="P22" s="89" t="str">
        <x:v>M75.1 Lesión de hombro</x:v>
      </x:c>
      <x:c r="Q22" s="89" t="str">
        <x:v>Sí</x:v>
      </x:c>
      <x:c r="R22" s="89" t="str">
        <x:v>Psicosocial</x:v>
      </x:c>
      <x:c r="S22" s="106" t="n">
        <x:v>45527</x:v>
      </x:c>
      <x:c r="T22" s="89" t="str">
        <x:f>IF(O22&lt;Instructivo!$B$4,"Vencido",IF(O22&lt;=Instructivo!$B$4+30,"Próximo a vencer","Vigente"))</x:f>
        <x:v>Vencido</x:v>
      </x:c>
      <x:c r="U22" s="89" t="str">
        <x:v>Médico Ocupacional</x:v>
      </x:c>
      <x:c r="V22" s="90" t="str">
        <x:v>Requiere revisión de puesto de trabajo</x:v>
      </x:c>
    </x:row>
    <x:row r="23">
      <x:c r="A23" s="88" t="n">
        <x:v>2024</x:v>
      </x:c>
      <x:c r="B23" s="89" t="str">
        <x:v>EMO-2024-0022</x:v>
      </x:c>
      <x:c r="C23" s="106" t="n">
        <x:v>45470</x:v>
      </x:c>
      <x:c r="D23" s="89" t="str">
        <x:v>Periódico</x:v>
      </x:c>
      <x:c r="E23" s="89" t="str">
        <x:v>846406444</x:v>
      </x:c>
      <x:c r="F23" s="89" t="str">
        <x:v>Álvaro Álvaro Cárdenas Sánchez</x:v>
      </x:c>
      <x:c r="G23" s="89" t="str">
        <x:v>Vigilante</x:v>
      </x:c>
      <x:c r="H23" s="89" t="str">
        <x:v>Girón</x:v>
      </x:c>
      <x:c r="I23" s="89" t="str">
        <x:v>Operaciones</x:v>
      </x:c>
      <x:c r="J23" s="89" t="str">
        <x:v>IPS Ocupasalud SAS</x:v>
      </x:c>
      <x:c r="K23" s="89" t="str">
        <x:v>Apto</x:v>
      </x:c>
      <x:c r="L23" s="89" t="str"/>
      <x:c r="M23" s="89" t="str">
        <x:v>Mantener estilos de vida saludable</x:v>
      </x:c>
      <x:c r="N23" s="112" t="n">
        <x:v>12</x:v>
      </x:c>
      <x:c r="O23" s="106" t="n">
        <x:f>EDATE(C23,N23)</x:f>
        <x:v>45835</x:v>
      </x:c>
      <x:c r="P23" s="89" t="str">
        <x:v>Z00.0 Examen general</x:v>
      </x:c>
      <x:c r="Q23" s="89" t="str">
        <x:v>No</x:v>
      </x:c>
      <x:c r="R23" s="89" t="str"/>
      <x:c r="S23" s="106"/>
      <x:c r="T23" s="89" t="str">
        <x:f>IF(O23&lt;Instructivo!$B$4,"Vencido",IF(O23&lt;=Instructivo!$B$4+30,"Próximo a vencer","Vigente"))</x:f>
        <x:v>Vencido</x:v>
      </x:c>
      <x:c r="U23" s="89" t="str">
        <x:v>Médico Ocupacional</x:v>
      </x:c>
      <x:c r="V23" s="90" t="str">
        <x:v>Requiere revisión de puesto de trabajo</x:v>
      </x:c>
    </x:row>
    <x:row r="24">
      <x:c r="A24" s="88" t="n">
        <x:v>2024</x:v>
      </x:c>
      <x:c r="B24" s="89" t="str">
        <x:v>EMO-2024-0023</x:v>
      </x:c>
      <x:c r="C24" s="106" t="n">
        <x:v>45301</x:v>
      </x:c>
      <x:c r="D24" s="89" t="str">
        <x:v>Periódico</x:v>
      </x:c>
      <x:c r="E24" s="89" t="str">
        <x:v>804607488</x:v>
      </x:c>
      <x:c r="F24" s="89" t="str">
        <x:v>Sergio Álvaro Ramírez Moreno</x:v>
      </x:c>
      <x:c r="G24" s="89" t="str">
        <x:v>Escolta</x:v>
      </x:c>
      <x:c r="H24" s="89" t="str">
        <x:v>Barrancabermeja</x:v>
      </x:c>
      <x:c r="I24" s="89" t="str">
        <x:v>Escoltas</x:v>
      </x:c>
      <x:c r="J24" s="89" t="str">
        <x:v>IPS Ocupasalud SAS</x:v>
      </x:c>
      <x:c r="K24" s="89" t="str">
        <x:v>Apto</x:v>
      </x:c>
      <x:c r="L24" s="89" t="str"/>
      <x:c r="M24" s="89" t="str">
        <x:v>Continuar controles periódicos anuales</x:v>
      </x:c>
      <x:c r="N24" s="112" t="n">
        <x:v>12</x:v>
      </x:c>
      <x:c r="O24" s="106" t="n">
        <x:f>EDATE(C24,N24)</x:f>
        <x:v>45667</x:v>
      </x:c>
      <x:c r="P24" s="89" t="str">
        <x:v>I10 Hipertensión esencial</x:v>
      </x:c>
      <x:c r="Q24" s="89" t="str">
        <x:v>Sí</x:v>
      </x:c>
      <x:c r="R24" s="89" t="str">
        <x:v>Medicina laboral</x:v>
      </x:c>
      <x:c r="S24" s="106" t="n">
        <x:v>45391</x:v>
      </x:c>
      <x:c r="T24" s="89" t="str">
        <x:f>IF(O24&lt;Instructivo!$B$4,"Vencido",IF(O24&lt;=Instructivo!$B$4+30,"Próximo a vencer","Vigente"))</x:f>
        <x:v>Vencido</x:v>
      </x:c>
      <x:c r="U24" s="89" t="str">
        <x:v>Líder SST</x:v>
      </x:c>
      <x:c r="V24" s="90" t="str">
        <x:v>Caso priorizado por restricciones activas</x:v>
      </x:c>
    </x:row>
    <x:row r="25">
      <x:c r="A25" s="88" t="n">
        <x:v>2024</x:v>
      </x:c>
      <x:c r="B25" s="89" t="str">
        <x:v>EMO-2024-0024</x:v>
      </x:c>
      <x:c r="C25" s="106" t="n">
        <x:v>45569</x:v>
      </x:c>
      <x:c r="D25" s="89" t="str">
        <x:v>Periódico</x:v>
      </x:c>
      <x:c r="E25" s="89" t="str">
        <x:v>944318855</x:v>
      </x:c>
      <x:c r="F25" s="89" t="str">
        <x:v>Sergio Andrés Ramírez López</x:v>
      </x:c>
      <x:c r="G25" s="89" t="str">
        <x:v>Escolta</x:v>
      </x:c>
      <x:c r="H25" s="89" t="str">
        <x:v>Ábrego</x:v>
      </x:c>
      <x:c r="I25" s="89" t="str">
        <x:v>Escoltas</x:v>
      </x:c>
      <x:c r="J25" s="89" t="str">
        <x:v>Centro Médico Laboral Andino</x:v>
      </x:c>
      <x:c r="K25" s="89" t="str">
        <x:v>Apto</x:v>
      </x:c>
      <x:c r="L25" s="89" t="str"/>
      <x:c r="M25" s="89" t="str">
        <x:v>Continuar controles periódicos anuales</x:v>
      </x:c>
      <x:c r="N25" s="112" t="n">
        <x:v>12</x:v>
      </x:c>
      <x:c r="O25" s="106" t="n">
        <x:f>EDATE(C25,N25)</x:f>
        <x:v>45934</x:v>
      </x:c>
      <x:c r="P25" s="89" t="str">
        <x:v>R51 Cefalea</x:v>
      </x:c>
      <x:c r="Q25" s="89" t="str">
        <x:v>No</x:v>
      </x:c>
      <x:c r="R25" s="89" t="str"/>
      <x:c r="S25" s="106"/>
      <x:c r="T25" s="89" t="str">
        <x:f>IF(O25&lt;Instructivo!$B$4,"Vencido",IF(O25&lt;=Instructivo!$B$4+30,"Próximo a vencer","Vigente"))</x:f>
        <x:v>Vencido</x:v>
      </x:c>
      <x:c r="U25" s="89" t="str">
        <x:v>Coordinador de Talento Humano</x:v>
      </x:c>
      <x:c r="V25" s="90" t="str">
        <x:v>Se recomienda seguimiento por comité SST</x:v>
      </x:c>
    </x:row>
    <x:row r="26">
      <x:c r="A26" s="88" t="n">
        <x:v>2024</x:v>
      </x:c>
      <x:c r="B26" s="89" t="str">
        <x:v>EMO-2024-0025</x:v>
      </x:c>
      <x:c r="C26" s="106" t="n">
        <x:v>45366</x:v>
      </x:c>
      <x:c r="D26" s="89" t="str">
        <x:v>Periódico</x:v>
      </x:c>
      <x:c r="E26" s="89" t="str">
        <x:v>966207974</x:v>
      </x:c>
      <x:c r="F26" s="89" t="str">
        <x:v>Kevin Carolina Sánchez López</x:v>
      </x:c>
      <x:c r="G26" s="89" t="str">
        <x:v>Operador de medios tecnológicos</x:v>
      </x:c>
      <x:c r="H26" s="89" t="str">
        <x:v>Cúcuta</x:v>
      </x:c>
      <x:c r="I26" s="89" t="str">
        <x:v>Medios Tecnológicos</x:v>
      </x:c>
      <x:c r="J26" s="89" t="str">
        <x:v>Salud Integral Ocupacional</x:v>
      </x:c>
      <x:c r="K26" s="89" t="str">
        <x:v>No apto</x:v>
      </x:c>
      <x:c r="L26" s="89" t="str">
        <x:v>Pendiente concepto especialista</x:v>
      </x:c>
      <x:c r="M26" s="89" t="str">
        <x:v>Seguimiento semanal por SST y TH</x:v>
      </x:c>
      <x:c r="N26" s="112" t="n">
        <x:v>12</x:v>
      </x:c>
      <x:c r="O26" s="106" t="n">
        <x:f>EDATE(C26,N26)</x:f>
        <x:v>45731</x:v>
      </x:c>
      <x:c r="P26" s="89" t="str">
        <x:v>H52.4 Presbicia</x:v>
      </x:c>
      <x:c r="Q26" s="89" t="str">
        <x:v>Sí</x:v>
      </x:c>
      <x:c r="R26" s="89" t="str">
        <x:v>Optometría</x:v>
      </x:c>
      <x:c r="S26" s="106" t="n">
        <x:v>45456</x:v>
      </x:c>
      <x:c r="T26" s="89" t="str">
        <x:f>IF(O26&lt;Instructivo!$B$4,"Vencido",IF(O26&lt;=Instructivo!$B$4+30,"Próximo a vencer","Vigente"))</x:f>
        <x:v>Vencido</x:v>
      </x:c>
      <x:c r="U26" s="89" t="str">
        <x:v>Médico Ocupacional</x:v>
      </x:c>
      <x:c r="V26" s="90" t="str">
        <x:v>Registro completo y soportado en historia ocupacional</x:v>
      </x:c>
    </x:row>
    <x:row r="27">
      <x:c r="A27" s="88" t="n">
        <x:v>2024</x:v>
      </x:c>
      <x:c r="B27" s="89" t="str">
        <x:v>EMO-2024-0026</x:v>
      </x:c>
      <x:c r="C27" s="106" t="n">
        <x:v>45469</x:v>
      </x:c>
      <x:c r="D27" s="89" t="str">
        <x:v>Periódico</x:v>
      </x:c>
      <x:c r="E27" s="89" t="str">
        <x:v>696069909</x:v>
      </x:c>
      <x:c r="F27" s="89" t="str">
        <x:v>Ana Sergio Martínez López</x:v>
      </x:c>
      <x:c r="G27" s="89" t="str">
        <x:v>Escolta</x:v>
      </x:c>
      <x:c r="H27" s="89" t="str">
        <x:v>Cúcuta</x:v>
      </x:c>
      <x:c r="I27" s="89" t="str">
        <x:v>Escoltas</x:v>
      </x:c>
      <x:c r="J27" s="89" t="str">
        <x:v>Centro Médico Laboral Andino</x:v>
      </x:c>
      <x:c r="K27" s="89" t="str">
        <x:v>Apto con restricciones</x:v>
      </x:c>
      <x:c r="L27" s="89" t="str">
        <x:v>Control visual y corrección óptica permanente</x:v>
      </x:c>
      <x:c r="M27" s="89" t="str">
        <x:v>Capacitación ergonómica y seguimiento SST</x:v>
      </x:c>
      <x:c r="N27" s="112" t="n">
        <x:v>12</x:v>
      </x:c>
      <x:c r="O27" s="106" t="n">
        <x:f>EDATE(C27,N27)</x:f>
        <x:v>45834</x:v>
      </x:c>
      <x:c r="P27" s="89" t="str">
        <x:v>E66.9 Obesidad</x:v>
      </x:c>
      <x:c r="Q27" s="89" t="str">
        <x:v>Sí</x:v>
      </x:c>
      <x:c r="R27" s="89" t="str">
        <x:v>Fisioterapia</x:v>
      </x:c>
      <x:c r="S27" s="106" t="n">
        <x:v>45559</x:v>
      </x:c>
      <x:c r="T27" s="89" t="str">
        <x:f>IF(O27&lt;Instructivo!$B$4,"Vencido",IF(O27&lt;=Instructivo!$B$4+30,"Próximo a vencer","Vigente"))</x:f>
        <x:v>Vencido</x:v>
      </x:c>
      <x:c r="U27" s="89" t="str">
        <x:v>Médico Ocupacional</x:v>
      </x:c>
      <x:c r="V27" s="90" t="str">
        <x:v>Sin novedades adicionales</x:v>
      </x:c>
    </x:row>
    <x:row r="28">
      <x:c r="A28" s="88" t="n">
        <x:v>2024</x:v>
      </x:c>
      <x:c r="B28" s="89" t="str">
        <x:v>EMO-2024-0027</x:v>
      </x:c>
      <x:c r="C28" s="106" t="n">
        <x:v>45535</x:v>
      </x:c>
      <x:c r="D28" s="89" t="str">
        <x:v>Periódico</x:v>
      </x:c>
      <x:c r="E28" s="89" t="str">
        <x:v>623592974</x:v>
      </x:c>
      <x:c r="F28" s="89" t="str">
        <x:v>Kevin Miguel Hernández Moreno</x:v>
      </x:c>
      <x:c r="G28" s="89" t="str">
        <x:v>Supervisor motorizado</x:v>
      </x:c>
      <x:c r="H28" s="89" t="str">
        <x:v>Cúcuta</x:v>
      </x:c>
      <x:c r="I28" s="89" t="str">
        <x:v>Operaciones</x:v>
      </x:c>
      <x:c r="J28" s="89" t="str">
        <x:v>Centro Médico Laboral Andino</x:v>
      </x:c>
      <x:c r="K28" s="89" t="str">
        <x:v>Apto</x:v>
      </x:c>
      <x:c r="L28" s="89" t="str"/>
      <x:c r="M28" s="89" t="str">
        <x:v>Mantener estilos de vida saludable</x:v>
      </x:c>
      <x:c r="N28" s="112" t="n">
        <x:v>12</x:v>
      </x:c>
      <x:c r="O28" s="106" t="n">
        <x:f>EDATE(C28,N28)</x:f>
        <x:v>45900</x:v>
      </x:c>
      <x:c r="P28" s="89" t="str">
        <x:v>G56.0 Síndrome túnel carpiano</x:v>
      </x:c>
      <x:c r="Q28" s="89" t="str">
        <x:v>No</x:v>
      </x:c>
      <x:c r="R28" s="89" t="str"/>
      <x:c r="S28" s="106"/>
      <x:c r="T28" s="89" t="str">
        <x:f>IF(O28&lt;Instructivo!$B$4,"Vencido",IF(O28&lt;=Instructivo!$B$4+30,"Próximo a vencer","Vigente"))</x:f>
        <x:v>Vencido</x:v>
      </x:c>
      <x:c r="U28" s="89" t="str">
        <x:v>Líder SST</x:v>
      </x:c>
      <x:c r="V28" s="90" t="str">
        <x:v>Requiere revisión de puesto de trabajo</x:v>
      </x:c>
    </x:row>
    <x:row r="29">
      <x:c r="A29" s="88" t="n">
        <x:v>2024</x:v>
      </x:c>
      <x:c r="B29" s="89" t="str">
        <x:v>EMO-2024-0028</x:v>
      </x:c>
      <x:c r="C29" s="106" t="n">
        <x:v>45506</x:v>
      </x:c>
      <x:c r="D29" s="89" t="str">
        <x:v>Periódico</x:v>
      </x:c>
      <x:c r="E29" s="89" t="str">
        <x:v>732948178</x:v>
      </x:c>
      <x:c r="F29" s="89" t="str">
        <x:v>Andrés Kevin López Suárez</x:v>
      </x:c>
      <x:c r="G29" s="89" t="str">
        <x:v>Vigilante</x:v>
      </x:c>
      <x:c r="H29" s="89" t="str">
        <x:v>Girón</x:v>
      </x:c>
      <x:c r="I29" s="89" t="str">
        <x:v>Operaciones</x:v>
      </x:c>
      <x:c r="J29" s="89" t="str">
        <x:v>Centro Médico Laboral Andino</x:v>
      </x:c>
      <x:c r="K29" s="89" t="str">
        <x:v>Apto</x:v>
      </x:c>
      <x:c r="L29" s="89" t="str"/>
      <x:c r="M29" s="89" t="str">
        <x:v>Mantener estilos de vida saludable</x:v>
      </x:c>
      <x:c r="N29" s="112" t="n">
        <x:v>12</x:v>
      </x:c>
      <x:c r="O29" s="106" t="n">
        <x:f>EDATE(C29,N29)</x:f>
        <x:v>45871</x:v>
      </x:c>
      <x:c r="P29" s="89" t="str">
        <x:v>R51 Cefalea</x:v>
      </x:c>
      <x:c r="Q29" s="89" t="str">
        <x:v>No</x:v>
      </x:c>
      <x:c r="R29" s="89" t="str"/>
      <x:c r="S29" s="106"/>
      <x:c r="T29" s="89" t="str">
        <x:f>IF(O29&lt;Instructivo!$B$4,"Vencido",IF(O29&lt;=Instructivo!$B$4+30,"Próximo a vencer","Vigente"))</x:f>
        <x:v>Vencido</x:v>
      </x:c>
      <x:c r="U29" s="89" t="str">
        <x:v>Líder SST</x:v>
      </x:c>
      <x:c r="V29" s="90" t="str">
        <x:v>Se recomienda seguimiento por comité SST</x:v>
      </x:c>
    </x:row>
    <x:row r="30">
      <x:c r="A30" s="88" t="n">
        <x:v>2024</x:v>
      </x:c>
      <x:c r="B30" s="89" t="str">
        <x:v>EMO-2024-0029</x:v>
      </x:c>
      <x:c r="C30" s="106" t="n">
        <x:v>45340</x:v>
      </x:c>
      <x:c r="D30" s="89" t="str">
        <x:v>Post-incapacidad</x:v>
      </x:c>
      <x:c r="E30" s="89" t="str">
        <x:v>447970771</x:v>
      </x:c>
      <x:c r="F30" s="89" t="str">
        <x:v>Wilson Wilson Ramírez Cárdenas</x:v>
      </x:c>
      <x:c r="G30" s="89" t="str">
        <x:v>Vigilante</x:v>
      </x:c>
      <x:c r="H30" s="89" t="str">
        <x:v>Valledupar</x:v>
      </x:c>
      <x:c r="I30" s="89" t="str">
        <x:v>Operaciones</x:v>
      </x:c>
      <x:c r="J30" s="89" t="str">
        <x:v>Salud Integral Ocupacional</x:v>
      </x:c>
      <x:c r="K30" s="89" t="str">
        <x:v>Apto</x:v>
      </x:c>
      <x:c r="L30" s="89" t="str"/>
      <x:c r="M30" s="89" t="str">
        <x:v>Mantener estilos de vida saludable</x:v>
      </x:c>
      <x:c r="N30" s="112" t="n">
        <x:v>6</x:v>
      </x:c>
      <x:c r="O30" s="106" t="n">
        <x:f>EDATE(C30,N30)</x:f>
        <x:v>45522</x:v>
      </x:c>
      <x:c r="P30" s="89" t="str">
        <x:v>Z00.0 Examen general</x:v>
      </x:c>
      <x:c r="Q30" s="89" t="str">
        <x:v>Sí</x:v>
      </x:c>
      <x:c r="R30" s="89" t="str">
        <x:v>Psicosocial</x:v>
      </x:c>
      <x:c r="S30" s="106" t="n">
        <x:v>45460</x:v>
      </x:c>
      <x:c r="T30" s="89" t="str">
        <x:f>IF(O30&lt;Instructivo!$B$4,"Vencido",IF(O30&lt;=Instructivo!$B$4+30,"Próximo a vencer","Vigente"))</x:f>
        <x:v>Vencido</x:v>
      </x:c>
      <x:c r="U30" s="89" t="str">
        <x:v>Líder SST</x:v>
      </x:c>
      <x:c r="V30" s="90" t="str">
        <x:v>Caso priorizado por restricciones activas</x:v>
      </x:c>
    </x:row>
    <x:row r="31">
      <x:c r="A31" s="88" t="n">
        <x:v>2024</x:v>
      </x:c>
      <x:c r="B31" s="89" t="str">
        <x:v>EMO-2024-0030</x:v>
      </x:c>
      <x:c r="C31" s="106" t="n">
        <x:v>45593</x:v>
      </x:c>
      <x:c r="D31" s="89" t="str">
        <x:v>Post-incapacidad</x:v>
      </x:c>
      <x:c r="E31" s="89" t="str">
        <x:v>527907400</x:v>
      </x:c>
      <x:c r="F31" s="89" t="str">
        <x:v>Carolina Luisa Ramírez Torres</x:v>
      </x:c>
      <x:c r="G31" s="89" t="str">
        <x:v>Operador de medios tecnológicos</x:v>
      </x:c>
      <x:c r="H31" s="89" t="str">
        <x:v>Cúcuta</x:v>
      </x:c>
      <x:c r="I31" s="89" t="str">
        <x:v>Medios Tecnológicos</x:v>
      </x:c>
      <x:c r="J31" s="89" t="str">
        <x:v>Colmédica Ocupacional</x:v>
      </x:c>
      <x:c r="K31" s="89" t="str">
        <x:v>Apto</x:v>
      </x:c>
      <x:c r="L31" s="89" t="str"/>
      <x:c r="M31" s="89" t="str">
        <x:v>Mantener estilos de vida saludable</x:v>
      </x:c>
      <x:c r="N31" s="112" t="n">
        <x:v>6</x:v>
      </x:c>
      <x:c r="O31" s="106" t="n">
        <x:f>EDATE(C31,N31)</x:f>
        <x:v>45775</x:v>
      </x:c>
      <x:c r="P31" s="89" t="str">
        <x:v>Z00.0 Examen general</x:v>
      </x:c>
      <x:c r="Q31" s="89" t="str">
        <x:v>No</x:v>
      </x:c>
      <x:c r="R31" s="89" t="str"/>
      <x:c r="S31" s="106"/>
      <x:c r="T31" s="89" t="str">
        <x:f>IF(O31&lt;Instructivo!$B$4,"Vencido",IF(O31&lt;=Instructivo!$B$4+30,"Próximo a vencer","Vigente"))</x:f>
        <x:v>Vencido</x:v>
      </x:c>
      <x:c r="U31" s="89" t="str">
        <x:v>Analista SST</x:v>
      </x:c>
      <x:c r="V31" s="90" t="str">
        <x:v>Se recomienda seguimiento por comité SST</x:v>
      </x:c>
    </x:row>
    <x:row r="32">
      <x:c r="A32" s="88" t="n">
        <x:v>2024</x:v>
      </x:c>
      <x:c r="B32" s="89" t="str">
        <x:v>EMO-2024-0031</x:v>
      </x:c>
      <x:c r="C32" s="106" t="n">
        <x:v>45353</x:v>
      </x:c>
      <x:c r="D32" s="89" t="str">
        <x:v>Reintegro</x:v>
      </x:c>
      <x:c r="E32" s="89" t="str">
        <x:v>527907400</x:v>
      </x:c>
      <x:c r="F32" s="89" t="str">
        <x:v>Carolina Luisa Ramírez Torres</x:v>
      </x:c>
      <x:c r="G32" s="89" t="str">
        <x:v>Operador de medios tecnológicos</x:v>
      </x:c>
      <x:c r="H32" s="89" t="str">
        <x:v>Cúcuta</x:v>
      </x:c>
      <x:c r="I32" s="89" t="str">
        <x:v>Medios Tecnológicos</x:v>
      </x:c>
      <x:c r="J32" s="89" t="str">
        <x:v>Salud Integral Ocupacional</x:v>
      </x:c>
      <x:c r="K32" s="89" t="str">
        <x:v>Apto</x:v>
      </x:c>
      <x:c r="L32" s="89" t="str"/>
      <x:c r="M32" s="89" t="str">
        <x:v>Participar en programas de vigilancia epidemiológica</x:v>
      </x:c>
      <x:c r="N32" s="112" t="n">
        <x:v>6</x:v>
      </x:c>
      <x:c r="O32" s="106" t="n">
        <x:f>EDATE(C32,N32)</x:f>
        <x:v>45537</x:v>
      </x:c>
      <x:c r="P32" s="89" t="str">
        <x:v>I10 Hipertensión esencial</x:v>
      </x:c>
      <x:c r="Q32" s="89" t="str">
        <x:v>No</x:v>
      </x:c>
      <x:c r="R32" s="89" t="str"/>
      <x:c r="S32" s="106"/>
      <x:c r="T32" s="89" t="str">
        <x:f>IF(O32&lt;Instructivo!$B$4,"Vencido",IF(O32&lt;=Instructivo!$B$4+30,"Próximo a vencer","Vigente"))</x:f>
        <x:v>Vencido</x:v>
      </x:c>
      <x:c r="U32" s="89" t="str">
        <x:v>Médico Ocupacional</x:v>
      </x:c>
      <x:c r="V32" s="90" t="str">
        <x:v>Requiere revisión de puesto de trabajo</x:v>
      </x:c>
    </x:row>
    <x:row r="33">
      <x:c r="A33" s="88" t="n">
        <x:v>2024</x:v>
      </x:c>
      <x:c r="B33" s="89" t="str">
        <x:v>EMO-2024-0032</x:v>
      </x:c>
      <x:c r="C33" s="106" t="n">
        <x:v>45437</x:v>
      </x:c>
      <x:c r="D33" s="89" t="str">
        <x:v>Periódico</x:v>
      </x:c>
      <x:c r="E33" s="89" t="str">
        <x:v>702221854</x:v>
      </x:c>
      <x:c r="F33" s="89" t="str">
        <x:v>Álvaro Sergio Sánchez Suárez</x:v>
      </x:c>
      <x:c r="G33" s="89" t="str">
        <x:v>Vigilante</x:v>
      </x:c>
      <x:c r="H33" s="89" t="str">
        <x:v>Girón</x:v>
      </x:c>
      <x:c r="I33" s="89" t="str">
        <x:v>Operaciones</x:v>
      </x:c>
      <x:c r="J33" s="89" t="str">
        <x:v>Salud Integral Ocupacional</x:v>
      </x:c>
      <x:c r="K33" s="89" t="str">
        <x:v>Apto</x:v>
      </x:c>
      <x:c r="L33" s="89" t="str"/>
      <x:c r="M33" s="89" t="str">
        <x:v>Uso permanente de EPP</x:v>
      </x:c>
      <x:c r="N33" s="112" t="n">
        <x:v>12</x:v>
      </x:c>
      <x:c r="O33" s="106" t="n">
        <x:f>EDATE(C33,N33)</x:f>
        <x:v>45802</x:v>
      </x:c>
      <x:c r="P33" s="89" t="str">
        <x:v>G56.0 Síndrome túnel carpiano</x:v>
      </x:c>
      <x:c r="Q33" s="89" t="str">
        <x:v>No</x:v>
      </x:c>
      <x:c r="R33" s="89" t="str"/>
      <x:c r="S33" s="106"/>
      <x:c r="T33" s="89" t="str">
        <x:f>IF(O33&lt;Instructivo!$B$4,"Vencido",IF(O33&lt;=Instructivo!$B$4+30,"Próximo a vencer","Vigente"))</x:f>
        <x:v>Vencido</x:v>
      </x:c>
      <x:c r="U33" s="89" t="str">
        <x:v>Médico Ocupacional</x:v>
      </x:c>
      <x:c r="V33" s="90" t="str">
        <x:v>Se recomienda seguimiento por comité SST</x:v>
      </x:c>
    </x:row>
    <x:row r="34">
      <x:c r="A34" s="88" t="n">
        <x:v>2024</x:v>
      </x:c>
      <x:c r="B34" s="89" t="str">
        <x:v>EMO-2024-0033</x:v>
      </x:c>
      <x:c r="C34" s="106" t="n">
        <x:v>45533</x:v>
      </x:c>
      <x:c r="D34" s="89" t="str">
        <x:v>Post-incapacidad</x:v>
      </x:c>
      <x:c r="E34" s="89" t="str">
        <x:v>268930103</x:v>
      </x:c>
      <x:c r="F34" s="89" t="str">
        <x:v>Kevin Carolina Castro Moreno</x:v>
      </x:c>
      <x:c r="G34" s="89" t="str">
        <x:v>Vigilante</x:v>
      </x:c>
      <x:c r="H34" s="89" t="str">
        <x:v>Cúcuta</x:v>
      </x:c>
      <x:c r="I34" s="89" t="str">
        <x:v>Operaciones</x:v>
      </x:c>
      <x:c r="J34" s="89" t="str">
        <x:v>IPS Ocupasalud SAS</x:v>
      </x:c>
      <x:c r="K34" s="89" t="str">
        <x:v>Apto con restricciones</x:v>
      </x:c>
      <x:c r="L34" s="89" t="str">
        <x:v>Restricción para trabajo prolongado de pie</x:v>
      </x:c>
      <x:c r="M34" s="89" t="str">
        <x:v>Reubicación o ajuste razonable del puesto</x:v>
      </x:c>
      <x:c r="N34" s="112" t="n">
        <x:v>6</x:v>
      </x:c>
      <x:c r="O34" s="106" t="n">
        <x:f>EDATE(C34,N34)</x:f>
        <x:v>45716</x:v>
      </x:c>
      <x:c r="P34" s="89" t="str">
        <x:v>I10 Hipertensión esencial</x:v>
      </x:c>
      <x:c r="Q34" s="89" t="str">
        <x:v>Sí</x:v>
      </x:c>
      <x:c r="R34" s="89" t="str">
        <x:v>Optometría</x:v>
      </x:c>
      <x:c r="S34" s="106" t="n">
        <x:v>45623</x:v>
      </x:c>
      <x:c r="T34" s="89" t="str">
        <x:f>IF(O34&lt;Instructivo!$B$4,"Vencido",IF(O34&lt;=Instructivo!$B$4+30,"Próximo a vencer","Vigente"))</x:f>
        <x:v>Vencido</x:v>
      </x:c>
      <x:c r="U34" s="89" t="str">
        <x:v>Analista SST</x:v>
      </x:c>
      <x:c r="V34" s="90" t="str">
        <x:v>Sin novedades adicionales</x:v>
      </x:c>
    </x:row>
    <x:row r="35">
      <x:c r="A35" s="88" t="n">
        <x:v>2024</x:v>
      </x:c>
      <x:c r="B35" s="89" t="str">
        <x:v>EMO-2024-0034</x:v>
      </x:c>
      <x:c r="C35" s="106" t="n">
        <x:v>45592</x:v>
      </x:c>
      <x:c r="D35" s="89" t="str">
        <x:v>Periódico</x:v>
      </x:c>
      <x:c r="E35" s="89" t="str">
        <x:v>532714803</x:v>
      </x:c>
      <x:c r="F35" s="89" t="str">
        <x:v>Luis Brayan Martínez Rojas</x:v>
      </x:c>
      <x:c r="G35" s="89" t="str">
        <x:v>Conductor</x:v>
      </x:c>
      <x:c r="H35" s="89" t="str">
        <x:v>Medellín</x:v>
      </x:c>
      <x:c r="I35" s="89" t="str">
        <x:v>Logística</x:v>
      </x:c>
      <x:c r="J35" s="89" t="str">
        <x:v>Colmédica Ocupacional</x:v>
      </x:c>
      <x:c r="K35" s="89" t="str">
        <x:v>Apto</x:v>
      </x:c>
      <x:c r="L35" s="89" t="str"/>
      <x:c r="M35" s="89" t="str">
        <x:v>Participar en programas de vigilancia epidemiológica</x:v>
      </x:c>
      <x:c r="N35" s="112" t="n">
        <x:v>12</x:v>
      </x:c>
      <x:c r="O35" s="106" t="n">
        <x:f>EDATE(C35,N35)</x:f>
        <x:v>45957</x:v>
      </x:c>
      <x:c r="P35" s="89" t="str">
        <x:v>I10 Hipertensión esencial</x:v>
      </x:c>
      <x:c r="Q35" s="89" t="str">
        <x:v>No</x:v>
      </x:c>
      <x:c r="R35" s="89" t="str"/>
      <x:c r="S35" s="106"/>
      <x:c r="T35" s="89" t="str">
        <x:f>IF(O35&lt;Instructivo!$B$4,"Vencido",IF(O35&lt;=Instructivo!$B$4+30,"Próximo a vencer","Vigente"))</x:f>
        <x:v>Vencido</x:v>
      </x:c>
      <x:c r="U35" s="89" t="str">
        <x:v>Médico Ocupacional</x:v>
      </x:c>
      <x:c r="V35" s="90" t="str">
        <x:v>Pendiente firma de concepto médico</x:v>
      </x:c>
    </x:row>
    <x:row r="36">
      <x:c r="A36" s="88" t="n">
        <x:v>2024</x:v>
      </x:c>
      <x:c r="B36" s="89" t="str">
        <x:v>EMO-2024-0035</x:v>
      </x:c>
      <x:c r="C36" s="106" t="n">
        <x:v>45548</x:v>
      </x:c>
      <x:c r="D36" s="89" t="str">
        <x:v>Post-incapacidad</x:v>
      </x:c>
      <x:c r="E36" s="89" t="str">
        <x:v>887847048</x:v>
      </x:c>
      <x:c r="F36" s="89" t="str">
        <x:v>Julián Carlos Rojas Sánchez</x:v>
      </x:c>
      <x:c r="G36" s="89" t="str">
        <x:v>Auxiliar administrativo</x:v>
      </x:c>
      <x:c r="H36" s="89" t="str">
        <x:v>Ocaña</x:v>
      </x:c>
      <x:c r="I36" s="89" t="str">
        <x:v>Administrativa</x:v>
      </x:c>
      <x:c r="J36" s="89" t="str">
        <x:v>IPS Prevencionar</x:v>
      </x:c>
      <x:c r="K36" s="89" t="str">
        <x:v>Apto</x:v>
      </x:c>
      <x:c r="L36" s="89" t="str"/>
      <x:c r="M36" s="89" t="str">
        <x:v>Uso permanente de EPP</x:v>
      </x:c>
      <x:c r="N36" s="112" t="n">
        <x:v>6</x:v>
      </x:c>
      <x:c r="O36" s="106" t="n">
        <x:f>EDATE(C36,N36)</x:f>
        <x:v>45729</x:v>
      </x:c>
      <x:c r="P36" s="89" t="str">
        <x:v>G56.0 Síndrome túnel carpiano</x:v>
      </x:c>
      <x:c r="Q36" s="89" t="str">
        <x:v>No</x:v>
      </x:c>
      <x:c r="R36" s="89" t="str"/>
      <x:c r="S36" s="106"/>
      <x:c r="T36" s="89" t="str">
        <x:f>IF(O36&lt;Instructivo!$B$4,"Vencido",IF(O36&lt;=Instructivo!$B$4+30,"Próximo a vencer","Vigente"))</x:f>
        <x:v>Vencido</x:v>
      </x:c>
      <x:c r="U36" s="89" t="str">
        <x:v>Analista SST</x:v>
      </x:c>
      <x:c r="V36" s="90" t="str">
        <x:v>Sin novedades adicionales</x:v>
      </x:c>
    </x:row>
    <x:row r="37">
      <x:c r="A37" s="88" t="n">
        <x:v>2024</x:v>
      </x:c>
      <x:c r="B37" s="89" t="str">
        <x:v>EMO-2024-0036</x:v>
      </x:c>
      <x:c r="C37" s="106" t="n">
        <x:v>45572</x:v>
      </x:c>
      <x:c r="D37" s="89" t="str">
        <x:v>Ingreso</x:v>
      </x:c>
      <x:c r="E37" s="89" t="str">
        <x:v>424867786</x:v>
      </x:c>
      <x:c r="F37" s="89" t="str">
        <x:v>Andrés Tatiana Sánchez Parra</x:v>
      </x:c>
      <x:c r="G37" s="89" t="str">
        <x:v>Vigilante</x:v>
      </x:c>
      <x:c r="H37" s="89" t="str">
        <x:v>Cúcuta</x:v>
      </x:c>
      <x:c r="I37" s="89" t="str">
        <x:v>Operaciones</x:v>
      </x:c>
      <x:c r="J37" s="89" t="str">
        <x:v>IPS Ocupasalud SAS</x:v>
      </x:c>
      <x:c r="K37" s="89" t="str">
        <x:v>Apto</x:v>
      </x:c>
      <x:c r="L37" s="89" t="str"/>
      <x:c r="M37" s="89" t="str">
        <x:v>Continuar controles periódicos anuales</x:v>
      </x:c>
      <x:c r="N37" s="112" t="n">
        <x:v>12</x:v>
      </x:c>
      <x:c r="O37" s="106" t="n">
        <x:f>EDATE(C37,N37)</x:f>
        <x:v>45937</x:v>
      </x:c>
      <x:c r="P37" s="89" t="str">
        <x:v>Z00.0 Examen general</x:v>
      </x:c>
      <x:c r="Q37" s="89" t="str">
        <x:v>No</x:v>
      </x:c>
      <x:c r="R37" s="89" t="str"/>
      <x:c r="S37" s="106"/>
      <x:c r="T37" s="89" t="str">
        <x:f>IF(O37&lt;Instructivo!$B$4,"Vencido",IF(O37&lt;=Instructivo!$B$4+30,"Próximo a vencer","Vigente"))</x:f>
        <x:v>Vencido</x:v>
      </x:c>
      <x:c r="U37" s="89" t="str">
        <x:v>Médico Ocupacional</x:v>
      </x:c>
      <x:c r="V37" s="90" t="str">
        <x:v>Registro completo y soportado en historia ocupacional</x:v>
      </x:c>
    </x:row>
    <x:row r="38">
      <x:c r="A38" s="88" t="n">
        <x:v>2024</x:v>
      </x:c>
      <x:c r="B38" s="89" t="str">
        <x:v>EMO-2024-0037</x:v>
      </x:c>
      <x:c r="C38" s="106" t="n">
        <x:v>45411</x:v>
      </x:c>
      <x:c r="D38" s="89" t="str">
        <x:v>Post-incapacidad</x:v>
      </x:c>
      <x:c r="E38" s="89" t="str">
        <x:v>407774229</x:v>
      </x:c>
      <x:c r="F38" s="89" t="str">
        <x:v>Andrés Diana Ramírez Gómez</x:v>
      </x:c>
      <x:c r="G38" s="89" t="str">
        <x:v>Vigilante</x:v>
      </x:c>
      <x:c r="H38" s="89" t="str">
        <x:v>Arauca</x:v>
      </x:c>
      <x:c r="I38" s="89" t="str">
        <x:v>Operaciones</x:v>
      </x:c>
      <x:c r="J38" s="89" t="str">
        <x:v>IPS Ocupasalud SAS</x:v>
      </x:c>
      <x:c r="K38" s="89" t="str">
        <x:v>Apto</x:v>
      </x:c>
      <x:c r="L38" s="89" t="str"/>
      <x:c r="M38" s="89" t="str">
        <x:v>Mantener estilos de vida saludable</x:v>
      </x:c>
      <x:c r="N38" s="112" t="n">
        <x:v>6</x:v>
      </x:c>
      <x:c r="O38" s="106" t="n">
        <x:f>EDATE(C38,N38)</x:f>
        <x:v>45594</x:v>
      </x:c>
      <x:c r="P38" s="89" t="str">
        <x:v>G56.0 Síndrome túnel carpiano</x:v>
      </x:c>
      <x:c r="Q38" s="89" t="str">
        <x:v>Sí</x:v>
      </x:c>
      <x:c r="R38" s="89" t="str">
        <x:v>Cardiometabólico</x:v>
      </x:c>
      <x:c r="S38" s="106" t="n">
        <x:v>45501</x:v>
      </x:c>
      <x:c r="T38" s="89" t="str">
        <x:f>IF(O38&lt;Instructivo!$B$4,"Vencido",IF(O38&lt;=Instructivo!$B$4+30,"Próximo a vencer","Vigente"))</x:f>
        <x:v>Vencido</x:v>
      </x:c>
      <x:c r="U38" s="89" t="str">
        <x:v>Médico Ocupacional</x:v>
      </x:c>
      <x:c r="V38" s="90" t="str">
        <x:v>Se recomienda seguimiento por comité SST</x:v>
      </x:c>
    </x:row>
    <x:row r="39">
      <x:c r="A39" s="88" t="n">
        <x:v>2024</x:v>
      </x:c>
      <x:c r="B39" s="89" t="str">
        <x:v>EMO-2024-0038</x:v>
      </x:c>
      <x:c r="C39" s="106" t="n">
        <x:v>45575</x:v>
      </x:c>
      <x:c r="D39" s="89" t="str">
        <x:v>Ingreso</x:v>
      </x:c>
      <x:c r="E39" s="89" t="str">
        <x:v>532714803</x:v>
      </x:c>
      <x:c r="F39" s="89" t="str">
        <x:v>Luis Brayan Martínez Rojas</x:v>
      </x:c>
      <x:c r="G39" s="89" t="str">
        <x:v>Conductor</x:v>
      </x:c>
      <x:c r="H39" s="89" t="str">
        <x:v>Medellín</x:v>
      </x:c>
      <x:c r="I39" s="89" t="str">
        <x:v>Logística</x:v>
      </x:c>
      <x:c r="J39" s="89" t="str">
        <x:v>Salud Integral Ocupacional</x:v>
      </x:c>
      <x:c r="K39" s="89" t="str">
        <x:v>Apto</x:v>
      </x:c>
      <x:c r="L39" s="89" t="str"/>
      <x:c r="M39" s="89" t="str">
        <x:v>Continuar controles periódicos anuales</x:v>
      </x:c>
      <x:c r="N39" s="112" t="n">
        <x:v>12</x:v>
      </x:c>
      <x:c r="O39" s="106" t="n">
        <x:f>EDATE(C39,N39)</x:f>
        <x:v>45940</x:v>
      </x:c>
      <x:c r="P39" s="89" t="str">
        <x:v>E66.9 Obesidad</x:v>
      </x:c>
      <x:c r="Q39" s="89" t="str">
        <x:v>No</x:v>
      </x:c>
      <x:c r="R39" s="89" t="str"/>
      <x:c r="S39" s="106"/>
      <x:c r="T39" s="89" t="str">
        <x:f>IF(O39&lt;Instructivo!$B$4,"Vencido",IF(O39&lt;=Instructivo!$B$4+30,"Próximo a vencer","Vigente"))</x:f>
        <x:v>Vencido</x:v>
      </x:c>
      <x:c r="U39" s="89" t="str">
        <x:v>Líder SST</x:v>
      </x:c>
      <x:c r="V39" s="90" t="str">
        <x:v>Se recomienda seguimiento por comité SST</x:v>
      </x:c>
    </x:row>
    <x:row r="40">
      <x:c r="A40" s="88" t="n">
        <x:v>2024</x:v>
      </x:c>
      <x:c r="B40" s="89" t="str">
        <x:v>EMO-2024-0039</x:v>
      </x:c>
      <x:c r="C40" s="106" t="n">
        <x:v>45638</x:v>
      </x:c>
      <x:c r="D40" s="89" t="str">
        <x:v>Post-incapacidad</x:v>
      </x:c>
      <x:c r="E40" s="89" t="str">
        <x:v>419911492</x:v>
      </x:c>
      <x:c r="F40" s="89" t="str">
        <x:v>Sergio Diana Hernández Hernández</x:v>
      </x:c>
      <x:c r="G40" s="89" t="str">
        <x:v>Vigilante</x:v>
      </x:c>
      <x:c r="H40" s="89" t="str">
        <x:v>Cúcuta</x:v>
      </x:c>
      <x:c r="I40" s="89" t="str">
        <x:v>Operaciones</x:v>
      </x:c>
      <x:c r="J40" s="89" t="str">
        <x:v>Centro Médico Laboral Andino</x:v>
      </x:c>
      <x:c r="K40" s="89" t="str">
        <x:v>Apto</x:v>
      </x:c>
      <x:c r="L40" s="89" t="str"/>
      <x:c r="M40" s="89" t="str">
        <x:v>Mantener estilos de vida saludable</x:v>
      </x:c>
      <x:c r="N40" s="112" t="n">
        <x:v>6</x:v>
      </x:c>
      <x:c r="O40" s="106" t="n">
        <x:f>EDATE(C40,N40)</x:f>
        <x:v>45820</x:v>
      </x:c>
      <x:c r="P40" s="89" t="str">
        <x:v>I10 Hipertensión esencial</x:v>
      </x:c>
      <x:c r="Q40" s="89" t="str">
        <x:v>Sí</x:v>
      </x:c>
      <x:c r="R40" s="89" t="str">
        <x:v>Medicina laboral</x:v>
      </x:c>
      <x:c r="S40" s="106" t="n">
        <x:v>45758</x:v>
      </x:c>
      <x:c r="T40" s="89" t="str">
        <x:f>IF(O40&lt;Instructivo!$B$4,"Vencido",IF(O40&lt;=Instructivo!$B$4+30,"Próximo a vencer","Vigente"))</x:f>
        <x:v>Vencido</x:v>
      </x:c>
      <x:c r="U40" s="89" t="str">
        <x:v>Coordinador de Talento Humano</x:v>
      </x:c>
      <x:c r="V40" s="90" t="str">
        <x:v>Pendiente firma de concepto médico</x:v>
      </x:c>
    </x:row>
    <x:row r="41">
      <x:c r="A41" s="88" t="n">
        <x:v>2024</x:v>
      </x:c>
      <x:c r="B41" s="89" t="str">
        <x:v>EMO-2024-0040</x:v>
      </x:c>
      <x:c r="C41" s="106" t="n">
        <x:v>45496</x:v>
      </x:c>
      <x:c r="D41" s="89" t="str">
        <x:v>Periódico</x:v>
      </x:c>
      <x:c r="E41" s="89" t="str">
        <x:v>424867786</x:v>
      </x:c>
      <x:c r="F41" s="89" t="str">
        <x:v>Andrés Tatiana Sánchez Parra</x:v>
      </x:c>
      <x:c r="G41" s="89" t="str">
        <x:v>Vigilante</x:v>
      </x:c>
      <x:c r="H41" s="89" t="str">
        <x:v>Cúcuta</x:v>
      </x:c>
      <x:c r="I41" s="89" t="str">
        <x:v>Operaciones</x:v>
      </x:c>
      <x:c r="J41" s="89" t="str">
        <x:v>Centro Médico Laboral Andino</x:v>
      </x:c>
      <x:c r="K41" s="89" t="str">
        <x:v>Apto</x:v>
      </x:c>
      <x:c r="L41" s="89" t="str"/>
      <x:c r="M41" s="89" t="str">
        <x:v>Participar en programas de vigilancia epidemiológica</x:v>
      </x:c>
      <x:c r="N41" s="112" t="n">
        <x:v>12</x:v>
      </x:c>
      <x:c r="O41" s="106" t="n">
        <x:f>EDATE(C41,N41)</x:f>
        <x:v>45861</x:v>
      </x:c>
      <x:c r="P41" s="89" t="str">
        <x:v>E66.9 Obesidad</x:v>
      </x:c>
      <x:c r="Q41" s="89" t="str">
        <x:v>No</x:v>
      </x:c>
      <x:c r="R41" s="89" t="str"/>
      <x:c r="S41" s="106"/>
      <x:c r="T41" s="89" t="str">
        <x:f>IF(O41&lt;Instructivo!$B$4,"Vencido",IF(O41&lt;=Instructivo!$B$4+30,"Próximo a vencer","Vigente"))</x:f>
        <x:v>Vencido</x:v>
      </x:c>
      <x:c r="U41" s="89" t="str">
        <x:v>Líder SST</x:v>
      </x:c>
      <x:c r="V41" s="90" t="str">
        <x:v>Pendiente firma de concepto médico</x:v>
      </x:c>
    </x:row>
    <x:row r="42">
      <x:c r="A42" s="88" t="n">
        <x:v>2024</x:v>
      </x:c>
      <x:c r="B42" s="89" t="str">
        <x:v>EMO-2024-0041</x:v>
      </x:c>
      <x:c r="C42" s="106" t="n">
        <x:v>45487</x:v>
      </x:c>
      <x:c r="D42" s="89" t="str">
        <x:v>Ingreso</x:v>
      </x:c>
      <x:c r="E42" s="89" t="str">
        <x:v>576960453</x:v>
      </x:c>
      <x:c r="F42" s="89" t="str">
        <x:v>Camilo Luisa Torres Rodríguez</x:v>
      </x:c>
      <x:c r="G42" s="89" t="str">
        <x:v>Vigilante</x:v>
      </x:c>
      <x:c r="H42" s="89" t="str">
        <x:v>Valledupar</x:v>
      </x:c>
      <x:c r="I42" s="89" t="str">
        <x:v>Operaciones</x:v>
      </x:c>
      <x:c r="J42" s="89" t="str">
        <x:v>IPS Ocupasalud SAS</x:v>
      </x:c>
      <x:c r="K42" s="89" t="str">
        <x:v>Apto</x:v>
      </x:c>
      <x:c r="L42" s="89" t="str"/>
      <x:c r="M42" s="89" t="str">
        <x:v>Participar en programas de vigilancia epidemiológica</x:v>
      </x:c>
      <x:c r="N42" s="112" t="n">
        <x:v>12</x:v>
      </x:c>
      <x:c r="O42" s="106" t="n">
        <x:f>EDATE(C42,N42)</x:f>
        <x:v>45852</x:v>
      </x:c>
      <x:c r="P42" s="89" t="str">
        <x:v>G56.0 Síndrome túnel carpiano</x:v>
      </x:c>
      <x:c r="Q42" s="89" t="str">
        <x:v>Sí</x:v>
      </x:c>
      <x:c r="R42" s="89" t="str">
        <x:v>Medicina laboral</x:v>
      </x:c>
      <x:c r="S42" s="106" t="n">
        <x:v>45607</x:v>
      </x:c>
      <x:c r="T42" s="89" t="str">
        <x:f>IF(O42&lt;Instructivo!$B$4,"Vencido",IF(O42&lt;=Instructivo!$B$4+30,"Próximo a vencer","Vigente"))</x:f>
        <x:v>Vencido</x:v>
      </x:c>
      <x:c r="U42" s="89" t="str">
        <x:v>Médico Ocupacional</x:v>
      </x:c>
      <x:c r="V42" s="90" t="str">
        <x:v>Pendiente firma de concepto médico</x:v>
      </x:c>
    </x:row>
    <x:row r="43">
      <x:c r="A43" s="88" t="n">
        <x:v>2024</x:v>
      </x:c>
      <x:c r="B43" s="89" t="str">
        <x:v>EMO-2024-0042</x:v>
      </x:c>
      <x:c r="C43" s="106" t="n">
        <x:v>45341</x:v>
      </x:c>
      <x:c r="D43" s="89" t="str">
        <x:v>Periódico</x:v>
      </x:c>
      <x:c r="E43" s="89" t="str">
        <x:v>446407373</x:v>
      </x:c>
      <x:c r="F43" s="89" t="str">
        <x:v>Kevin Luis Torres Cárdenas</x:v>
      </x:c>
      <x:c r="G43" s="89" t="str">
        <x:v>Operador de medios tecnológicos</x:v>
      </x:c>
      <x:c r="H43" s="89" t="str">
        <x:v>Cúcuta</x:v>
      </x:c>
      <x:c r="I43" s="89" t="str">
        <x:v>Medios Tecnológicos</x:v>
      </x:c>
      <x:c r="J43" s="89" t="str">
        <x:v>IPS Prevencionar</x:v>
      </x:c>
      <x:c r="K43" s="89" t="str">
        <x:v>Apto con restricciones</x:v>
      </x:c>
      <x:c r="L43" s="89" t="str">
        <x:v>Evitar levantamiento de cargas mayores a 15 kg</x:v>
      </x:c>
      <x:c r="M43" s="89" t="str">
        <x:v>Reubicación o ajuste razonable del puesto</x:v>
      </x:c>
      <x:c r="N43" s="112" t="n">
        <x:v>12</x:v>
      </x:c>
      <x:c r="O43" s="106" t="n">
        <x:f>EDATE(C43,N43)</x:f>
        <x:v>45707</x:v>
      </x:c>
      <x:c r="P43" s="89" t="str">
        <x:v>E66.9 Obesidad</x:v>
      </x:c>
      <x:c r="Q43" s="89" t="str">
        <x:v>Sí</x:v>
      </x:c>
      <x:c r="R43" s="89" t="str">
        <x:v>Ergonomía</x:v>
      </x:c>
      <x:c r="S43" s="106" t="n">
        <x:v>45461</x:v>
      </x:c>
      <x:c r="T43" s="89" t="str">
        <x:f>IF(O43&lt;Instructivo!$B$4,"Vencido",IF(O43&lt;=Instructivo!$B$4+30,"Próximo a vencer","Vigente"))</x:f>
        <x:v>Vencido</x:v>
      </x:c>
      <x:c r="U43" s="89" t="str">
        <x:v>Líder SST</x:v>
      </x:c>
      <x:c r="V43" s="90" t="str">
        <x:v>Caso priorizado por restricciones activas</x:v>
      </x:c>
    </x:row>
    <x:row r="44">
      <x:c r="A44" s="88" t="n">
        <x:v>2024</x:v>
      </x:c>
      <x:c r="B44" s="89" t="str">
        <x:v>EMO-2024-0043</x:v>
      </x:c>
      <x:c r="C44" s="106" t="n">
        <x:v>45436</x:v>
      </x:c>
      <x:c r="D44" s="89" t="str">
        <x:v>Periódico</x:v>
      </x:c>
      <x:c r="E44" s="89" t="str">
        <x:v>495017343</x:v>
      </x:c>
      <x:c r="F44" s="89" t="str">
        <x:v>Carlos Kevin Rodríguez Rodríguez</x:v>
      </x:c>
      <x:c r="G44" s="89" t="str">
        <x:v>Vigilante</x:v>
      </x:c>
      <x:c r="H44" s="89" t="str">
        <x:v>Bogotá</x:v>
      </x:c>
      <x:c r="I44" s="89" t="str">
        <x:v>Operaciones</x:v>
      </x:c>
      <x:c r="J44" s="89" t="str">
        <x:v>Centro Médico Laboral Andino</x:v>
      </x:c>
      <x:c r="K44" s="89" t="str">
        <x:v>Apto con restricciones</x:v>
      </x:c>
      <x:c r="L44" s="89" t="str">
        <x:v>No exposición prolongada a ruido alto sin doble protección</x:v>
      </x:c>
      <x:c r="M44" s="89" t="str">
        <x:v>Seguimiento por medicina laboral en 3 meses</x:v>
      </x:c>
      <x:c r="N44" s="112" t="n">
        <x:v>12</x:v>
      </x:c>
      <x:c r="O44" s="106" t="n">
        <x:f>EDATE(C44,N44)</x:f>
        <x:v>45801</x:v>
      </x:c>
      <x:c r="P44" s="89" t="str">
        <x:v>H52.4 Presbicia</x:v>
      </x:c>
      <x:c r="Q44" s="89" t="str">
        <x:v>Sí</x:v>
      </x:c>
      <x:c r="R44" s="89" t="str">
        <x:v>Ergonomía</x:v>
      </x:c>
      <x:c r="S44" s="106" t="n">
        <x:v>45526</x:v>
      </x:c>
      <x:c r="T44" s="89" t="str">
        <x:f>IF(O44&lt;Instructivo!$B$4,"Vencido",IF(O44&lt;=Instructivo!$B$4+30,"Próximo a vencer","Vigente"))</x:f>
        <x:v>Vencido</x:v>
      </x:c>
      <x:c r="U44" s="89" t="str">
        <x:v>Médico Ocupacional</x:v>
      </x:c>
      <x:c r="V44" s="90" t="str">
        <x:v>Registro completo y soportado en historia ocupacional</x:v>
      </x:c>
    </x:row>
    <x:row r="45">
      <x:c r="A45" s="88" t="n">
        <x:v>2024</x:v>
      </x:c>
      <x:c r="B45" s="89" t="str">
        <x:v>EMO-2024-0044</x:v>
      </x:c>
      <x:c r="C45" s="106" t="n">
        <x:v>45581</x:v>
      </x:c>
      <x:c r="D45" s="89" t="str">
        <x:v>Periódico</x:v>
      </x:c>
      <x:c r="E45" s="89" t="str">
        <x:v>495017343</x:v>
      </x:c>
      <x:c r="F45" s="89" t="str">
        <x:v>Carlos Kevin Rodríguez Rodríguez</x:v>
      </x:c>
      <x:c r="G45" s="89" t="str">
        <x:v>Vigilante</x:v>
      </x:c>
      <x:c r="H45" s="89" t="str">
        <x:v>Bogotá</x:v>
      </x:c>
      <x:c r="I45" s="89" t="str">
        <x:v>Operaciones</x:v>
      </x:c>
      <x:c r="J45" s="89" t="str">
        <x:v>Colmédica Ocupacional</x:v>
      </x:c>
      <x:c r="K45" s="89" t="str">
        <x:v>Apto</x:v>
      </x:c>
      <x:c r="L45" s="89" t="str"/>
      <x:c r="M45" s="89" t="str">
        <x:v>Participar en programas de vigilancia epidemiológica</x:v>
      </x:c>
      <x:c r="N45" s="112" t="n">
        <x:v>12</x:v>
      </x:c>
      <x:c r="O45" s="106" t="n">
        <x:f>EDATE(C45,N45)</x:f>
        <x:v>45946</x:v>
      </x:c>
      <x:c r="P45" s="89" t="str">
        <x:v>M75.1 Lesión de hombro</x:v>
      </x:c>
      <x:c r="Q45" s="89" t="str">
        <x:v>No</x:v>
      </x:c>
      <x:c r="R45" s="89" t="str"/>
      <x:c r="S45" s="106"/>
      <x:c r="T45" s="89" t="str">
        <x:f>IF(O45&lt;Instructivo!$B$4,"Vencido",IF(O45&lt;=Instructivo!$B$4+30,"Próximo a vencer","Vigente"))</x:f>
        <x:v>Vencido</x:v>
      </x:c>
      <x:c r="U45" s="89" t="str">
        <x:v>Analista SST</x:v>
      </x:c>
      <x:c r="V45" s="90" t="str">
        <x:v>Caso priorizado por restricciones activas</x:v>
      </x:c>
    </x:row>
    <x:row r="46">
      <x:c r="A46" s="88" t="n">
        <x:v>2024</x:v>
      </x:c>
      <x:c r="B46" s="89" t="str">
        <x:v>EMO-2024-0045</x:v>
      </x:c>
      <x:c r="C46" s="106" t="n">
        <x:v>45470</x:v>
      </x:c>
      <x:c r="D46" s="89" t="str">
        <x:v>Periódico</x:v>
      </x:c>
      <x:c r="E46" s="89" t="str">
        <x:v>783109911</x:v>
      </x:c>
      <x:c r="F46" s="89" t="str">
        <x:v>Jhon Luisa Castro Hernández</x:v>
      </x:c>
      <x:c r="G46" s="89" t="str">
        <x:v>Coordinador de operaciones</x:v>
      </x:c>
      <x:c r="H46" s="89" t="str">
        <x:v>Barrancabermeja</x:v>
      </x:c>
      <x:c r="I46" s="89" t="str">
        <x:v>Operaciones</x:v>
      </x:c>
      <x:c r="J46" s="89" t="str">
        <x:v>Colmédica Ocupacional</x:v>
      </x:c>
      <x:c r="K46" s="89" t="str">
        <x:v>Apto</x:v>
      </x:c>
      <x:c r="L46" s="89" t="str"/>
      <x:c r="M46" s="89" t="str">
        <x:v>Participar en programas de vigilancia epidemiológica</x:v>
      </x:c>
      <x:c r="N46" s="112" t="n">
        <x:v>12</x:v>
      </x:c>
      <x:c r="O46" s="106" t="n">
        <x:f>EDATE(C46,N46)</x:f>
        <x:v>45835</x:v>
      </x:c>
      <x:c r="P46" s="89" t="str">
        <x:v>M75.1 Lesión de hombro</x:v>
      </x:c>
      <x:c r="Q46" s="89" t="str">
        <x:v>No</x:v>
      </x:c>
      <x:c r="R46" s="89" t="str"/>
      <x:c r="S46" s="106"/>
      <x:c r="T46" s="89" t="str">
        <x:f>IF(O46&lt;Instructivo!$B$4,"Vencido",IF(O46&lt;=Instructivo!$B$4+30,"Próximo a vencer","Vigente"))</x:f>
        <x:v>Vencido</x:v>
      </x:c>
      <x:c r="U46" s="89" t="str">
        <x:v>Coordinador de Talento Humano</x:v>
      </x:c>
      <x:c r="V46" s="90" t="str">
        <x:v>Registro completo y soportado en historia ocupacional</x:v>
      </x:c>
    </x:row>
    <x:row r="47">
      <x:c r="A47" s="88" t="n">
        <x:v>2024</x:v>
      </x:c>
      <x:c r="B47" s="89" t="str">
        <x:v>EMO-2024-0046</x:v>
      </x:c>
      <x:c r="C47" s="106" t="n">
        <x:v>45523</x:v>
      </x:c>
      <x:c r="D47" s="89" t="str">
        <x:v>Periódico</x:v>
      </x:c>
      <x:c r="E47" s="89" t="str">
        <x:v>204905582</x:v>
      </x:c>
      <x:c r="F47" s="89" t="str">
        <x:v>Andrés Brayan Torres Cárdenas</x:v>
      </x:c>
      <x:c r="G47" s="89" t="str">
        <x:v>Operador de medios tecnológicos</x:v>
      </x:c>
      <x:c r="H47" s="89" t="str">
        <x:v>Arauca</x:v>
      </x:c>
      <x:c r="I47" s="89" t="str">
        <x:v>Medios Tecnológicos</x:v>
      </x:c>
      <x:c r="J47" s="89" t="str">
        <x:v>IPS Prevencionar</x:v>
      </x:c>
      <x:c r="K47" s="89" t="str">
        <x:v>Apto</x:v>
      </x:c>
      <x:c r="L47" s="89" t="str"/>
      <x:c r="M47" s="89" t="str">
        <x:v>Uso permanente de EPP</x:v>
      </x:c>
      <x:c r="N47" s="112" t="n">
        <x:v>12</x:v>
      </x:c>
      <x:c r="O47" s="106" t="n">
        <x:f>EDATE(C47,N47)</x:f>
        <x:v>45888</x:v>
      </x:c>
      <x:c r="P47" s="89" t="str">
        <x:v>H52.4 Presbicia</x:v>
      </x:c>
      <x:c r="Q47" s="89" t="str">
        <x:v>No</x:v>
      </x:c>
      <x:c r="R47" s="89" t="str"/>
      <x:c r="S47" s="106"/>
      <x:c r="T47" s="89" t="str">
        <x:f>IF(O47&lt;Instructivo!$B$4,"Vencido",IF(O47&lt;=Instructivo!$B$4+30,"Próximo a vencer","Vigente"))</x:f>
        <x:v>Vencido</x:v>
      </x:c>
      <x:c r="U47" s="89" t="str">
        <x:v>Médico Ocupacional</x:v>
      </x:c>
      <x:c r="V47" s="90" t="str">
        <x:v>Sin novedades adicionales</x:v>
      </x:c>
    </x:row>
    <x:row r="48">
      <x:c r="A48" s="88" t="n">
        <x:v>2024</x:v>
      </x:c>
      <x:c r="B48" s="89" t="str">
        <x:v>EMO-2024-0047</x:v>
      </x:c>
      <x:c r="C48" s="106" t="n">
        <x:v>45444</x:v>
      </x:c>
      <x:c r="D48" s="89" t="str">
        <x:v>Periódico</x:v>
      </x:c>
      <x:c r="E48" s="89" t="str">
        <x:v>644553384</x:v>
      </x:c>
      <x:c r="F48" s="89" t="str">
        <x:v>Laura Yulieth Sánchez Díaz</x:v>
      </x:c>
      <x:c r="G48" s="89" t="str">
        <x:v>Auxiliar administrativo</x:v>
      </x:c>
      <x:c r="H48" s="89" t="str">
        <x:v>Ocaña</x:v>
      </x:c>
      <x:c r="I48" s="89" t="str">
        <x:v>Administrativa</x:v>
      </x:c>
      <x:c r="J48" s="89" t="str">
        <x:v>Centro Médico Laboral Andino</x:v>
      </x:c>
      <x:c r="K48" s="89" t="str">
        <x:v>Apto con restricciones</x:v>
      </x:c>
      <x:c r="L48" s="89" t="str">
        <x:v>Evitar levantamiento de cargas mayores a 15 kg</x:v>
      </x:c>
      <x:c r="M48" s="89" t="str">
        <x:v>Seguimiento por medicina laboral en 3 meses</x:v>
      </x:c>
      <x:c r="N48" s="112" t="n">
        <x:v>12</x:v>
      </x:c>
      <x:c r="O48" s="106" t="n">
        <x:f>EDATE(C48,N48)</x:f>
        <x:v>45809</x:v>
      </x:c>
      <x:c r="P48" s="89" t="str">
        <x:v>M75.1 Lesión de hombro</x:v>
      </x:c>
      <x:c r="Q48" s="89" t="str">
        <x:v>Sí</x:v>
      </x:c>
      <x:c r="R48" s="89" t="str">
        <x:v>Optometría</x:v>
      </x:c>
      <x:c r="S48" s="106" t="n">
        <x:v>45504</x:v>
      </x:c>
      <x:c r="T48" s="89" t="str">
        <x:f>IF(O48&lt;Instructivo!$B$4,"Vencido",IF(O48&lt;=Instructivo!$B$4+30,"Próximo a vencer","Vigente"))</x:f>
        <x:v>Vencido</x:v>
      </x:c>
      <x:c r="U48" s="89" t="str">
        <x:v>Coordinador de Talento Humano</x:v>
      </x:c>
      <x:c r="V48" s="90" t="str">
        <x:v>Sin novedades adicionales</x:v>
      </x:c>
    </x:row>
    <x:row r="49">
      <x:c r="A49" s="88" t="n">
        <x:v>2024</x:v>
      </x:c>
      <x:c r="B49" s="89" t="str">
        <x:v>EMO-2024-0048</x:v>
      </x:c>
      <x:c r="C49" s="106" t="n">
        <x:v>45295</x:v>
      </x:c>
      <x:c r="D49" s="89" t="str">
        <x:v>Ingreso</x:v>
      </x:c>
      <x:c r="E49" s="89" t="str">
        <x:v>775747930</x:v>
      </x:c>
      <x:c r="F49" s="89" t="str">
        <x:v>Andrés Camilo Díaz Ramírez</x:v>
      </x:c>
      <x:c r="G49" s="89" t="str">
        <x:v>Técnico de mantenimiento</x:v>
      </x:c>
      <x:c r="H49" s="89" t="str">
        <x:v>Ocaña</x:v>
      </x:c>
      <x:c r="I49" s="89" t="str">
        <x:v>Infraestructura</x:v>
      </x:c>
      <x:c r="J49" s="89" t="str">
        <x:v>IPS Ocupasalud SAS</x:v>
      </x:c>
      <x:c r="K49" s="89" t="str">
        <x:v>Apto con restricciones</x:v>
      </x:c>
      <x:c r="L49" s="89" t="str">
        <x:v>Control visual y corrección óptica permanente</x:v>
      </x:c>
      <x:c r="M49" s="89" t="str">
        <x:v>Capacitación ergonómica y seguimiento SST</x:v>
      </x:c>
      <x:c r="N49" s="112" t="n">
        <x:v>12</x:v>
      </x:c>
      <x:c r="O49" s="106" t="n">
        <x:f>EDATE(C49,N49)</x:f>
        <x:v>45661</x:v>
      </x:c>
      <x:c r="P49" s="89" t="str">
        <x:v>H52.4 Presbicia</x:v>
      </x:c>
      <x:c r="Q49" s="89" t="str">
        <x:v>Sí</x:v>
      </x:c>
      <x:c r="R49" s="89" t="str">
        <x:v>Optometría</x:v>
      </x:c>
      <x:c r="S49" s="106" t="n">
        <x:v>45355</x:v>
      </x:c>
      <x:c r="T49" s="89" t="str">
        <x:f>IF(O49&lt;Instructivo!$B$4,"Vencido",IF(O49&lt;=Instructivo!$B$4+30,"Próximo a vencer","Vigente"))</x:f>
        <x:v>Vencido</x:v>
      </x:c>
      <x:c r="U49" s="89" t="str">
        <x:v>Médico Ocupacional</x:v>
      </x:c>
      <x:c r="V49" s="90" t="str">
        <x:v>Pendiente firma de concepto médico</x:v>
      </x:c>
    </x:row>
    <x:row r="50">
      <x:c r="A50" s="88" t="n">
        <x:v>2024</x:v>
      </x:c>
      <x:c r="B50" s="89" t="str">
        <x:v>EMO-2024-0049</x:v>
      </x:c>
      <x:c r="C50" s="106" t="n">
        <x:v>45555</x:v>
      </x:c>
      <x:c r="D50" s="89" t="str">
        <x:v>Periódico</x:v>
      </x:c>
      <x:c r="E50" s="89" t="str">
        <x:v>248741810</x:v>
      </x:c>
      <x:c r="F50" s="89" t="str">
        <x:v>Andrés Ana López Castro</x:v>
      </x:c>
      <x:c r="G50" s="89" t="str">
        <x:v>Técnico de mantenimiento</x:v>
      </x:c>
      <x:c r="H50" s="89" t="str">
        <x:v>Ábrego</x:v>
      </x:c>
      <x:c r="I50" s="89" t="str">
        <x:v>Infraestructura</x:v>
      </x:c>
      <x:c r="J50" s="89" t="str">
        <x:v>Salud Integral Ocupacional</x:v>
      </x:c>
      <x:c r="K50" s="89" t="str">
        <x:v>Apto</x:v>
      </x:c>
      <x:c r="L50" s="89" t="str"/>
      <x:c r="M50" s="89" t="str">
        <x:v>Continuar controles periódicos anuales</x:v>
      </x:c>
      <x:c r="N50" s="112" t="n">
        <x:v>12</x:v>
      </x:c>
      <x:c r="O50" s="106" t="n">
        <x:f>EDATE(C50,N50)</x:f>
        <x:v>45920</x:v>
      </x:c>
      <x:c r="P50" s="89" t="str">
        <x:v>R51 Cefalea</x:v>
      </x:c>
      <x:c r="Q50" s="89" t="str">
        <x:v>Sí</x:v>
      </x:c>
      <x:c r="R50" s="89" t="str">
        <x:v>Cardiometabólico</x:v>
      </x:c>
      <x:c r="S50" s="106" t="n">
        <x:v>45615</x:v>
      </x:c>
      <x:c r="T50" s="89" t="str">
        <x:f>IF(O50&lt;Instructivo!$B$4,"Vencido",IF(O50&lt;=Instructivo!$B$4+30,"Próximo a vencer","Vigente"))</x:f>
        <x:v>Vencido</x:v>
      </x:c>
      <x:c r="U50" s="89" t="str">
        <x:v>Médico Ocupacional</x:v>
      </x:c>
      <x:c r="V50" s="90" t="str">
        <x:v>Caso priorizado por restricciones activas</x:v>
      </x:c>
    </x:row>
    <x:row r="51">
      <x:c r="A51" s="88" t="n">
        <x:v>2024</x:v>
      </x:c>
      <x:c r="B51" s="89" t="str">
        <x:v>EMO-2024-0050</x:v>
      </x:c>
      <x:c r="C51" s="106" t="n">
        <x:v>45491</x:v>
      </x:c>
      <x:c r="D51" s="89" t="str">
        <x:v>Periódico</x:v>
      </x:c>
      <x:c r="E51" s="89" t="str">
        <x:v>103678638</x:v>
      </x:c>
      <x:c r="F51" s="89" t="str">
        <x:v>Karen Sergio Parra Torres</x:v>
      </x:c>
      <x:c r="G51" s="89" t="str">
        <x:v>Vigilante</x:v>
      </x:c>
      <x:c r="H51" s="89" t="str">
        <x:v>Cúcuta</x:v>
      </x:c>
      <x:c r="I51" s="89" t="str">
        <x:v>Operaciones</x:v>
      </x:c>
      <x:c r="J51" s="89" t="str">
        <x:v>IPS Prevencionar</x:v>
      </x:c>
      <x:c r="K51" s="89" t="str">
        <x:v>Apto con restricciones</x:v>
      </x:c>
      <x:c r="L51" s="89" t="str">
        <x:v>No exposición prolongada a ruido alto sin doble protección</x:v>
      </x:c>
      <x:c r="M51" s="89" t="str">
        <x:v>Reubicación o ajuste razonable del puesto</x:v>
      </x:c>
      <x:c r="N51" s="112" t="n">
        <x:v>12</x:v>
      </x:c>
      <x:c r="O51" s="106" t="n">
        <x:f>EDATE(C51,N51)</x:f>
        <x:v>45856</x:v>
      </x:c>
      <x:c r="P51" s="89" t="str">
        <x:v>H52.4 Presbicia</x:v>
      </x:c>
      <x:c r="Q51" s="89" t="str">
        <x:v>Sí</x:v>
      </x:c>
      <x:c r="R51" s="89" t="str">
        <x:v>Cardiometabólico</x:v>
      </x:c>
      <x:c r="S51" s="106" t="n">
        <x:v>45611</x:v>
      </x:c>
      <x:c r="T51" s="89" t="str">
        <x:f>IF(O51&lt;Instructivo!$B$4,"Vencido",IF(O51&lt;=Instructivo!$B$4+30,"Próximo a vencer","Vigente"))</x:f>
        <x:v>Vencido</x:v>
      </x:c>
      <x:c r="U51" s="89" t="str">
        <x:v>Analista SST</x:v>
      </x:c>
      <x:c r="V51" s="90" t="str">
        <x:v>Pendiente firma de concepto médico</x:v>
      </x:c>
    </x:row>
    <x:row r="52">
      <x:c r="A52" s="88" t="n">
        <x:v>2024</x:v>
      </x:c>
      <x:c r="B52" s="89" t="str">
        <x:v>EMO-2024-0051</x:v>
      </x:c>
      <x:c r="C52" s="106" t="n">
        <x:v>45545</x:v>
      </x:c>
      <x:c r="D52" s="89" t="str">
        <x:v>Periódico</x:v>
      </x:c>
      <x:c r="E52" s="89" t="str">
        <x:v>983563646</x:v>
      </x:c>
      <x:c r="F52" s="89" t="str">
        <x:v>Karen Camilo Rodríguez Moreno</x:v>
      </x:c>
      <x:c r="G52" s="89" t="str">
        <x:v>Vigilante</x:v>
      </x:c>
      <x:c r="H52" s="89" t="str">
        <x:v>Ocaña</x:v>
      </x:c>
      <x:c r="I52" s="89" t="str">
        <x:v>Operaciones</x:v>
      </x:c>
      <x:c r="J52" s="89" t="str">
        <x:v>Colmédica Ocupacional</x:v>
      </x:c>
      <x:c r="K52" s="89" t="str">
        <x:v>Apto</x:v>
      </x:c>
      <x:c r="L52" s="89" t="str"/>
      <x:c r="M52" s="89" t="str">
        <x:v>Mantener estilos de vida saludable</x:v>
      </x:c>
      <x:c r="N52" s="112" t="n">
        <x:v>12</x:v>
      </x:c>
      <x:c r="O52" s="106" t="n">
        <x:f>EDATE(C52,N52)</x:f>
        <x:v>45910</x:v>
      </x:c>
      <x:c r="P52" s="89" t="str">
        <x:v>G56.0 Síndrome túnel carpiano</x:v>
      </x:c>
      <x:c r="Q52" s="89" t="str">
        <x:v>No</x:v>
      </x:c>
      <x:c r="R52" s="89" t="str"/>
      <x:c r="S52" s="106"/>
      <x:c r="T52" s="89" t="str">
        <x:f>IF(O52&lt;Instructivo!$B$4,"Vencido",IF(O52&lt;=Instructivo!$B$4+30,"Próximo a vencer","Vigente"))</x:f>
        <x:v>Vencido</x:v>
      </x:c>
      <x:c r="U52" s="89" t="str">
        <x:v>Líder SST</x:v>
      </x:c>
      <x:c r="V52" s="90" t="str">
        <x:v>Sin novedades adicionales</x:v>
      </x:c>
    </x:row>
    <x:row r="53">
      <x:c r="A53" s="88" t="n">
        <x:v>2024</x:v>
      </x:c>
      <x:c r="B53" s="89" t="str">
        <x:v>EMO-2024-0052</x:v>
      </x:c>
      <x:c r="C53" s="106" t="n">
        <x:v>45419</x:v>
      </x:c>
      <x:c r="D53" s="89" t="str">
        <x:v>Periódico</x:v>
      </x:c>
      <x:c r="E53" s="89" t="str">
        <x:v>775747930</x:v>
      </x:c>
      <x:c r="F53" s="89" t="str">
        <x:v>Andrés Camilo Díaz Ramírez</x:v>
      </x:c>
      <x:c r="G53" s="89" t="str">
        <x:v>Técnico de mantenimiento</x:v>
      </x:c>
      <x:c r="H53" s="89" t="str">
        <x:v>Ocaña</x:v>
      </x:c>
      <x:c r="I53" s="89" t="str">
        <x:v>Infraestructura</x:v>
      </x:c>
      <x:c r="J53" s="89" t="str">
        <x:v>Colmédica Ocupacional</x:v>
      </x:c>
      <x:c r="K53" s="89" t="str">
        <x:v>Apto con restricciones</x:v>
      </x:c>
      <x:c r="L53" s="89" t="str">
        <x:v>Control visual y corrección óptica permanente</x:v>
      </x:c>
      <x:c r="M53" s="89" t="str">
        <x:v>Reubicación o ajuste razonable del puesto</x:v>
      </x:c>
      <x:c r="N53" s="112" t="n">
        <x:v>12</x:v>
      </x:c>
      <x:c r="O53" s="106" t="n">
        <x:f>EDATE(C53,N53)</x:f>
        <x:v>45784</x:v>
      </x:c>
      <x:c r="P53" s="89" t="str">
        <x:v>Z00.0 Examen general</x:v>
      </x:c>
      <x:c r="Q53" s="89" t="str">
        <x:v>Sí</x:v>
      </x:c>
      <x:c r="R53" s="89" t="str">
        <x:v>Psicosocial</x:v>
      </x:c>
      <x:c r="S53" s="106" t="n">
        <x:v>45479</x:v>
      </x:c>
      <x:c r="T53" s="89" t="str">
        <x:f>IF(O53&lt;Instructivo!$B$4,"Vencido",IF(O53&lt;=Instructivo!$B$4+30,"Próximo a vencer","Vigente"))</x:f>
        <x:v>Vencido</x:v>
      </x:c>
      <x:c r="U53" s="89" t="str">
        <x:v>Médico Ocupacional</x:v>
      </x:c>
      <x:c r="V53" s="90" t="str">
        <x:v>Pendiente firma de concepto médico</x:v>
      </x:c>
    </x:row>
    <x:row r="54">
      <x:c r="A54" s="88" t="n">
        <x:v>2024</x:v>
      </x:c>
      <x:c r="B54" s="89" t="str">
        <x:v>EMO-2024-0053</x:v>
      </x:c>
      <x:c r="C54" s="106" t="n">
        <x:v>45487</x:v>
      </x:c>
      <x:c r="D54" s="89" t="str">
        <x:v>Post-incapacidad</x:v>
      </x:c>
      <x:c r="E54" s="89" t="str">
        <x:v>887358385</x:v>
      </x:c>
      <x:c r="F54" s="89" t="str">
        <x:v>Felipe Juan Castro Parra</x:v>
      </x:c>
      <x:c r="G54" s="89" t="str">
        <x:v>Supervisor de puesto</x:v>
      </x:c>
      <x:c r="H54" s="89" t="str">
        <x:v>Cúcuta</x:v>
      </x:c>
      <x:c r="I54" s="89" t="str">
        <x:v>Operaciones</x:v>
      </x:c>
      <x:c r="J54" s="89" t="str">
        <x:v>Salud Integral Ocupacional</x:v>
      </x:c>
      <x:c r="K54" s="89" t="str">
        <x:v>Apto con restricciones</x:v>
      </x:c>
      <x:c r="L54" s="89" t="str">
        <x:v>Restricción para trabajo prolongado de pie</x:v>
      </x:c>
      <x:c r="M54" s="89" t="str">
        <x:v>Control por optometría/medicina general</x:v>
      </x:c>
      <x:c r="N54" s="112" t="n">
        <x:v>6</x:v>
      </x:c>
      <x:c r="O54" s="106" t="n">
        <x:f>EDATE(C54,N54)</x:f>
        <x:v>45671</x:v>
      </x:c>
      <x:c r="P54" s="89" t="str">
        <x:v>H52.4 Presbicia</x:v>
      </x:c>
      <x:c r="Q54" s="89" t="str">
        <x:v>Sí</x:v>
      </x:c>
      <x:c r="R54" s="89" t="str">
        <x:v>Optometría</x:v>
      </x:c>
      <x:c r="S54" s="106" t="n">
        <x:v>45577</x:v>
      </x:c>
      <x:c r="T54" s="89" t="str">
        <x:f>IF(O54&lt;Instructivo!$B$4,"Vencido",IF(O54&lt;=Instructivo!$B$4+30,"Próximo a vencer","Vigente"))</x:f>
        <x:v>Vencido</x:v>
      </x:c>
      <x:c r="U54" s="89" t="str">
        <x:v>Coordinador de Talento Humano</x:v>
      </x:c>
      <x:c r="V54" s="90" t="str">
        <x:v>Requiere revisión de puesto de trabajo</x:v>
      </x:c>
    </x:row>
    <x:row r="55">
      <x:c r="A55" s="88" t="n">
        <x:v>2024</x:v>
      </x:c>
      <x:c r="B55" s="89" t="str">
        <x:v>EMO-2024-0054</x:v>
      </x:c>
      <x:c r="C55" s="106" t="n">
        <x:v>45395</x:v>
      </x:c>
      <x:c r="D55" s="89" t="str">
        <x:v>Periódico</x:v>
      </x:c>
      <x:c r="E55" s="89" t="str">
        <x:v>639224219</x:v>
      </x:c>
      <x:c r="F55" s="89" t="str">
        <x:v>Andrés Sergio Rojas Cárdenas</x:v>
      </x:c>
      <x:c r="G55" s="89" t="str">
        <x:v>Vigilante</x:v>
      </x:c>
      <x:c r="H55" s="89" t="str">
        <x:v>Bogotá</x:v>
      </x:c>
      <x:c r="I55" s="89" t="str">
        <x:v>Operaciones</x:v>
      </x:c>
      <x:c r="J55" s="89" t="str">
        <x:v>Colmédica Ocupacional</x:v>
      </x:c>
      <x:c r="K55" s="89" t="str">
        <x:v>Apto</x:v>
      </x:c>
      <x:c r="L55" s="89" t="str"/>
      <x:c r="M55" s="89" t="str">
        <x:v>Mantener estilos de vida saludable</x:v>
      </x:c>
      <x:c r="N55" s="112" t="n">
        <x:v>12</x:v>
      </x:c>
      <x:c r="O55" s="106" t="n">
        <x:f>EDATE(C55,N55)</x:f>
        <x:v>45760</x:v>
      </x:c>
      <x:c r="P55" s="89" t="str">
        <x:v>G56.0 Síndrome túnel carpiano</x:v>
      </x:c>
      <x:c r="Q55" s="89" t="str">
        <x:v>No</x:v>
      </x:c>
      <x:c r="R55" s="89" t="str"/>
      <x:c r="S55" s="106"/>
      <x:c r="T55" s="89" t="str">
        <x:f>IF(O55&lt;Instructivo!$B$4,"Vencido",IF(O55&lt;=Instructivo!$B$4+30,"Próximo a vencer","Vigente"))</x:f>
        <x:v>Vencido</x:v>
      </x:c>
      <x:c r="U55" s="89" t="str">
        <x:v>Analista SST</x:v>
      </x:c>
      <x:c r="V55" s="90" t="str">
        <x:v>Se recomienda seguimiento por comité SST</x:v>
      </x:c>
    </x:row>
    <x:row r="56">
      <x:c r="A56" s="88" t="n">
        <x:v>2024</x:v>
      </x:c>
      <x:c r="B56" s="89" t="str">
        <x:v>EMO-2024-0055</x:v>
      </x:c>
      <x:c r="C56" s="106" t="n">
        <x:v>45494</x:v>
      </x:c>
      <x:c r="D56" s="89" t="str">
        <x:v>Periódico</x:v>
      </x:c>
      <x:c r="E56" s="89" t="str">
        <x:v>765531230</x:v>
      </x:c>
      <x:c r="F56" s="89" t="str">
        <x:v>Paola Carolina Castro Cárdenas</x:v>
      </x:c>
      <x:c r="G56" s="89" t="str">
        <x:v>Vigilante</x:v>
      </x:c>
      <x:c r="H56" s="89" t="str">
        <x:v>Ocaña</x:v>
      </x:c>
      <x:c r="I56" s="89" t="str">
        <x:v>Operaciones</x:v>
      </x:c>
      <x:c r="J56" s="89" t="str">
        <x:v>Centro Médico Laboral Andino</x:v>
      </x:c>
      <x:c r="K56" s="89" t="str">
        <x:v>Apto</x:v>
      </x:c>
      <x:c r="L56" s="89" t="str"/>
      <x:c r="M56" s="89" t="str">
        <x:v>Mantener estilos de vida saludable</x:v>
      </x:c>
      <x:c r="N56" s="112" t="n">
        <x:v>12</x:v>
      </x:c>
      <x:c r="O56" s="106" t="n">
        <x:f>EDATE(C56,N56)</x:f>
        <x:v>45859</x:v>
      </x:c>
      <x:c r="P56" s="89" t="str">
        <x:v>Z00.0 Examen general</x:v>
      </x:c>
      <x:c r="Q56" s="89" t="str">
        <x:v>No</x:v>
      </x:c>
      <x:c r="R56" s="89" t="str"/>
      <x:c r="S56" s="106"/>
      <x:c r="T56" s="89" t="str">
        <x:f>IF(O56&lt;Instructivo!$B$4,"Vencido",IF(O56&lt;=Instructivo!$B$4+30,"Próximo a vencer","Vigente"))</x:f>
        <x:v>Vencido</x:v>
      </x:c>
      <x:c r="U56" s="89" t="str">
        <x:v>Médico Ocupacional</x:v>
      </x:c>
      <x:c r="V56" s="90" t="str">
        <x:v>Caso priorizado por restricciones activas</x:v>
      </x:c>
    </x:row>
    <x:row r="57">
      <x:c r="A57" s="88" t="n">
        <x:v>2024</x:v>
      </x:c>
      <x:c r="B57" s="89" t="str">
        <x:v>EMO-2024-0056</x:v>
      </x:c>
      <x:c r="C57" s="106" t="n">
        <x:v>45442</x:v>
      </x:c>
      <x:c r="D57" s="89" t="str">
        <x:v>Periódico</x:v>
      </x:c>
      <x:c r="E57" s="89" t="str">
        <x:v>508321474</x:v>
      </x:c>
      <x:c r="F57" s="89" t="str">
        <x:v>Paola María Martínez Suárez</x:v>
      </x:c>
      <x:c r="G57" s="89" t="str">
        <x:v>Vigilante</x:v>
      </x:c>
      <x:c r="H57" s="89" t="str">
        <x:v>Ábrego</x:v>
      </x:c>
      <x:c r="I57" s="89" t="str">
        <x:v>Operaciones</x:v>
      </x:c>
      <x:c r="J57" s="89" t="str">
        <x:v>Colmédica Ocupacional</x:v>
      </x:c>
      <x:c r="K57" s="89" t="str">
        <x:v>Apto con restricciones</x:v>
      </x:c>
      <x:c r="L57" s="89" t="str">
        <x:v>Evitar levantamiento de cargas mayores a 15 kg</x:v>
      </x:c>
      <x:c r="M57" s="89" t="str">
        <x:v>Control por optometría/medicina general</x:v>
      </x:c>
      <x:c r="N57" s="112" t="n">
        <x:v>12</x:v>
      </x:c>
      <x:c r="O57" s="106" t="n">
        <x:f>EDATE(C57,N57)</x:f>
        <x:v>45807</x:v>
      </x:c>
      <x:c r="P57" s="89" t="str">
        <x:v>I10 Hipertensión esencial</x:v>
      </x:c>
      <x:c r="Q57" s="89" t="str">
        <x:v>Sí</x:v>
      </x:c>
      <x:c r="R57" s="89" t="str">
        <x:v>Fisioterapia</x:v>
      </x:c>
      <x:c r="S57" s="106" t="n">
        <x:v>45532</x:v>
      </x:c>
      <x:c r="T57" s="89" t="str">
        <x:f>IF(O57&lt;Instructivo!$B$4,"Vencido",IF(O57&lt;=Instructivo!$B$4+30,"Próximo a vencer","Vigente"))</x:f>
        <x:v>Vencido</x:v>
      </x:c>
      <x:c r="U57" s="89" t="str">
        <x:v>Coordinador de Talento Humano</x:v>
      </x:c>
      <x:c r="V57" s="90" t="str">
        <x:v>Pendiente firma de concepto médico</x:v>
      </x:c>
    </x:row>
    <x:row r="58">
      <x:c r="A58" s="88" t="n">
        <x:v>2024</x:v>
      </x:c>
      <x:c r="B58" s="89" t="str">
        <x:v>EMO-2024-0057</x:v>
      </x:c>
      <x:c r="C58" s="106" t="n">
        <x:v>45486</x:v>
      </x:c>
      <x:c r="D58" s="89" t="str">
        <x:v>Periódico</x:v>
      </x:c>
      <x:c r="E58" s="89" t="str">
        <x:v>417199635</x:v>
      </x:c>
      <x:c r="F58" s="89" t="str">
        <x:v>José Miguel Cárdenas Díaz</x:v>
      </x:c>
      <x:c r="G58" s="89" t="str">
        <x:v>Auxiliar administrativo</x:v>
      </x:c>
      <x:c r="H58" s="89" t="str">
        <x:v>Arauca</x:v>
      </x:c>
      <x:c r="I58" s="89" t="str">
        <x:v>Administrativa</x:v>
      </x:c>
      <x:c r="J58" s="89" t="str">
        <x:v>Salud Integral Ocupacional</x:v>
      </x:c>
      <x:c r="K58" s="89" t="str">
        <x:v>Apto</x:v>
      </x:c>
      <x:c r="L58" s="89" t="str"/>
      <x:c r="M58" s="89" t="str">
        <x:v>Participar en programas de vigilancia epidemiológica</x:v>
      </x:c>
      <x:c r="N58" s="112" t="n">
        <x:v>12</x:v>
      </x:c>
      <x:c r="O58" s="106" t="n">
        <x:f>EDATE(C58,N58)</x:f>
        <x:v>45851</x:v>
      </x:c>
      <x:c r="P58" s="89" t="str">
        <x:v>M75.1 Lesión de hombro</x:v>
      </x:c>
      <x:c r="Q58" s="89" t="str">
        <x:v>No</x:v>
      </x:c>
      <x:c r="R58" s="89" t="str"/>
      <x:c r="S58" s="106"/>
      <x:c r="T58" s="89" t="str">
        <x:f>IF(O58&lt;Instructivo!$B$4,"Vencido",IF(O58&lt;=Instructivo!$B$4+30,"Próximo a vencer","Vigente"))</x:f>
        <x:v>Vencido</x:v>
      </x:c>
      <x:c r="U58" s="89" t="str">
        <x:v>Líder SST</x:v>
      </x:c>
      <x:c r="V58" s="90" t="str">
        <x:v>Caso priorizado por restricciones activas</x:v>
      </x:c>
    </x:row>
    <x:row r="59">
      <x:c r="A59" s="88" t="n">
        <x:v>2024</x:v>
      </x:c>
      <x:c r="B59" s="89" t="str">
        <x:v>EMO-2024-0058</x:v>
      </x:c>
      <x:c r="C59" s="106" t="n">
        <x:v>45567</x:v>
      </x:c>
      <x:c r="D59" s="89" t="str">
        <x:v>Periódico</x:v>
      </x:c>
      <x:c r="E59" s="89" t="str">
        <x:v>775747930</x:v>
      </x:c>
      <x:c r="F59" s="89" t="str">
        <x:v>Andrés Camilo Díaz Ramírez</x:v>
      </x:c>
      <x:c r="G59" s="89" t="str">
        <x:v>Técnico de mantenimiento</x:v>
      </x:c>
      <x:c r="H59" s="89" t="str">
        <x:v>Ocaña</x:v>
      </x:c>
      <x:c r="I59" s="89" t="str">
        <x:v>Infraestructura</x:v>
      </x:c>
      <x:c r="J59" s="89" t="str">
        <x:v>Colmédica Ocupacional</x:v>
      </x:c>
      <x:c r="K59" s="89" t="str">
        <x:v>Apto</x:v>
      </x:c>
      <x:c r="L59" s="89" t="str"/>
      <x:c r="M59" s="89" t="str">
        <x:v>Continuar controles periódicos anuales</x:v>
      </x:c>
      <x:c r="N59" s="112" t="n">
        <x:v>12</x:v>
      </x:c>
      <x:c r="O59" s="106" t="n">
        <x:f>EDATE(C59,N59)</x:f>
        <x:v>45932</x:v>
      </x:c>
      <x:c r="P59" s="89" t="str">
        <x:v>H52.4 Presbicia</x:v>
      </x:c>
      <x:c r="Q59" s="89" t="str">
        <x:v>Sí</x:v>
      </x:c>
      <x:c r="R59" s="89" t="str">
        <x:v>Ergonomía</x:v>
      </x:c>
      <x:c r="S59" s="106" t="n">
        <x:v>45687</x:v>
      </x:c>
      <x:c r="T59" s="89" t="str">
        <x:f>IF(O59&lt;Instructivo!$B$4,"Vencido",IF(O59&lt;=Instructivo!$B$4+30,"Próximo a vencer","Vigente"))</x:f>
        <x:v>Vencido</x:v>
      </x:c>
      <x:c r="U59" s="89" t="str">
        <x:v>Líder SST</x:v>
      </x:c>
      <x:c r="V59" s="90" t="str">
        <x:v>Requiere revisión de puesto de trabajo</x:v>
      </x:c>
    </x:row>
    <x:row r="60">
      <x:c r="A60" s="88" t="n">
        <x:v>2024</x:v>
      </x:c>
      <x:c r="B60" s="89" t="str">
        <x:v>EMO-2024-0059</x:v>
      </x:c>
      <x:c r="C60" s="106" t="n">
        <x:v>45639</x:v>
      </x:c>
      <x:c r="D60" s="89" t="str">
        <x:v>Post-exposición</x:v>
      </x:c>
      <x:c r="E60" s="89" t="str">
        <x:v>998031780</x:v>
      </x:c>
      <x:c r="F60" s="89" t="str">
        <x:v>Diana Tatiana López Moreno</x:v>
      </x:c>
      <x:c r="G60" s="89" t="str">
        <x:v>Operador de medios tecnológicos</x:v>
      </x:c>
      <x:c r="H60" s="89" t="str">
        <x:v>Arauca</x:v>
      </x:c>
      <x:c r="I60" s="89" t="str">
        <x:v>Medios Tecnológicos</x:v>
      </x:c>
      <x:c r="J60" s="89" t="str">
        <x:v>IPS Ocupasalud SAS</x:v>
      </x:c>
      <x:c r="K60" s="89" t="str">
        <x:v>Apto</x:v>
      </x:c>
      <x:c r="L60" s="89" t="str"/>
      <x:c r="M60" s="89" t="str">
        <x:v>Uso permanente de EPP</x:v>
      </x:c>
      <x:c r="N60" s="112" t="n">
        <x:v>12</x:v>
      </x:c>
      <x:c r="O60" s="106" t="n">
        <x:f>EDATE(C60,N60)</x:f>
        <x:v>46004</x:v>
      </x:c>
      <x:c r="P60" s="89" t="str">
        <x:v>Z00.0 Examen general</x:v>
      </x:c>
      <x:c r="Q60" s="89" t="str">
        <x:v>No</x:v>
      </x:c>
      <x:c r="R60" s="89" t="str"/>
      <x:c r="S60" s="106"/>
      <x:c r="T60" s="89" t="str">
        <x:f>IF(O60&lt;Instructivo!$B$4,"Vencido",IF(O60&lt;=Instructivo!$B$4+30,"Próximo a vencer","Vigente"))</x:f>
        <x:v>Vencido</x:v>
      </x:c>
      <x:c r="U60" s="89" t="str">
        <x:v>Líder SST</x:v>
      </x:c>
      <x:c r="V60" s="90" t="str">
        <x:v>Sin novedades adicionales</x:v>
      </x:c>
    </x:row>
    <x:row r="61">
      <x:c r="A61" s="88" t="n">
        <x:v>2024</x:v>
      </x:c>
      <x:c r="B61" s="89" t="str">
        <x:v>EMO-2024-0060</x:v>
      </x:c>
      <x:c r="C61" s="106" t="n">
        <x:v>45558</x:v>
      </x:c>
      <x:c r="D61" s="89" t="str">
        <x:v>Periódico</x:v>
      </x:c>
      <x:c r="E61" s="89" t="str">
        <x:v>915652512</x:v>
      </x:c>
      <x:c r="F61" s="89" t="str">
        <x:v>Yulieth Yulieth Castro Ramírez</x:v>
      </x:c>
      <x:c r="G61" s="89" t="str">
        <x:v>Operador de medios tecnológicos</x:v>
      </x:c>
      <x:c r="H61" s="89" t="str">
        <x:v>Barrancabermeja</x:v>
      </x:c>
      <x:c r="I61" s="89" t="str">
        <x:v>Medios Tecnológicos</x:v>
      </x:c>
      <x:c r="J61" s="89" t="str">
        <x:v>IPS Prevencionar</x:v>
      </x:c>
      <x:c r="K61" s="89" t="str">
        <x:v>Apto</x:v>
      </x:c>
      <x:c r="L61" s="89" t="str"/>
      <x:c r="M61" s="89" t="str">
        <x:v>Mantener estilos de vida saludable</x:v>
      </x:c>
      <x:c r="N61" s="112" t="n">
        <x:v>12</x:v>
      </x:c>
      <x:c r="O61" s="106" t="n">
        <x:f>EDATE(C61,N61)</x:f>
        <x:v>45923</x:v>
      </x:c>
      <x:c r="P61" s="89" t="str">
        <x:v>H52.4 Presbicia</x:v>
      </x:c>
      <x:c r="Q61" s="89" t="str">
        <x:v>No</x:v>
      </x:c>
      <x:c r="R61" s="89" t="str"/>
      <x:c r="S61" s="106"/>
      <x:c r="T61" s="89" t="str">
        <x:f>IF(O61&lt;Instructivo!$B$4,"Vencido",IF(O61&lt;=Instructivo!$B$4+30,"Próximo a vencer","Vigente"))</x:f>
        <x:v>Vencido</x:v>
      </x:c>
      <x:c r="U61" s="89" t="str">
        <x:v>Coordinador de Talento Humano</x:v>
      </x:c>
      <x:c r="V61" s="90" t="str">
        <x:v>Sin novedades adicionales</x:v>
      </x:c>
    </x:row>
    <x:row r="62">
      <x:c r="A62" s="88" t="n">
        <x:v>2024</x:v>
      </x:c>
      <x:c r="B62" s="89" t="str">
        <x:v>EMO-2024-0061</x:v>
      </x:c>
      <x:c r="C62" s="106" t="n">
        <x:v>45444</x:v>
      </x:c>
      <x:c r="D62" s="89" t="str">
        <x:v>Periódico</x:v>
      </x:c>
      <x:c r="E62" s="89" t="str">
        <x:v>897067228</x:v>
      </x:c>
      <x:c r="F62" s="89" t="str">
        <x:v>Diana Camilo Rodríguez Gómez</x:v>
      </x:c>
      <x:c r="G62" s="89" t="str">
        <x:v>Auxiliar administrativo</x:v>
      </x:c>
      <x:c r="H62" s="89" t="str">
        <x:v>Arauca</x:v>
      </x:c>
      <x:c r="I62" s="89" t="str">
        <x:v>Administrativa</x:v>
      </x:c>
      <x:c r="J62" s="89" t="str">
        <x:v>Colmédica Ocupacional</x:v>
      </x:c>
      <x:c r="K62" s="89" t="str">
        <x:v>Apto</x:v>
      </x:c>
      <x:c r="L62" s="89" t="str"/>
      <x:c r="M62" s="89" t="str">
        <x:v>Continuar controles periódicos anuales</x:v>
      </x:c>
      <x:c r="N62" s="112" t="n">
        <x:v>12</x:v>
      </x:c>
      <x:c r="O62" s="106" t="n">
        <x:f>EDATE(C62,N62)</x:f>
        <x:v>45809</x:v>
      </x:c>
      <x:c r="P62" s="89" t="str">
        <x:v>R51 Cefalea</x:v>
      </x:c>
      <x:c r="Q62" s="89" t="str">
        <x:v>Sí</x:v>
      </x:c>
      <x:c r="R62" s="89" t="str">
        <x:v>Fisioterapia</x:v>
      </x:c>
      <x:c r="S62" s="106" t="n">
        <x:v>45504</x:v>
      </x:c>
      <x:c r="T62" s="89" t="str">
        <x:f>IF(O62&lt;Instructivo!$B$4,"Vencido",IF(O62&lt;=Instructivo!$B$4+30,"Próximo a vencer","Vigente"))</x:f>
        <x:v>Vencido</x:v>
      </x:c>
      <x:c r="U62" s="89" t="str">
        <x:v>Médico Ocupacional</x:v>
      </x:c>
      <x:c r="V62" s="90" t="str">
        <x:v>Se recomienda seguimiento por comité SST</x:v>
      </x:c>
    </x:row>
    <x:row r="63">
      <x:c r="A63" s="88" t="n">
        <x:v>2024</x:v>
      </x:c>
      <x:c r="B63" s="89" t="str">
        <x:v>EMO-2024-0062</x:v>
      </x:c>
      <x:c r="C63" s="106" t="n">
        <x:v>45471</x:v>
      </x:c>
      <x:c r="D63" s="89" t="str">
        <x:v>Periódico</x:v>
      </x:c>
      <x:c r="E63" s="89" t="str">
        <x:v>433995870</x:v>
      </x:c>
      <x:c r="F63" s="89" t="str">
        <x:v>Diana Julián Gómez Martínez</x:v>
      </x:c>
      <x:c r="G63" s="89" t="str">
        <x:v>Vigilante</x:v>
      </x:c>
      <x:c r="H63" s="89" t="str">
        <x:v>Valledupar</x:v>
      </x:c>
      <x:c r="I63" s="89" t="str">
        <x:v>Operaciones</x:v>
      </x:c>
      <x:c r="J63" s="89" t="str">
        <x:v>Colmédica Ocupacional</x:v>
      </x:c>
      <x:c r="K63" s="89" t="str">
        <x:v>Apto</x:v>
      </x:c>
      <x:c r="L63" s="89" t="str"/>
      <x:c r="M63" s="89" t="str">
        <x:v>Participar en programas de vigilancia epidemiológica</x:v>
      </x:c>
      <x:c r="N63" s="112" t="n">
        <x:v>12</x:v>
      </x:c>
      <x:c r="O63" s="106" t="n">
        <x:f>EDATE(C63,N63)</x:f>
        <x:v>45836</x:v>
      </x:c>
      <x:c r="P63" s="89" t="str">
        <x:v>M54.5 Lumbalgia</x:v>
      </x:c>
      <x:c r="Q63" s="89" t="str">
        <x:v>No</x:v>
      </x:c>
      <x:c r="R63" s="89" t="str"/>
      <x:c r="S63" s="106"/>
      <x:c r="T63" s="89" t="str">
        <x:f>IF(O63&lt;Instructivo!$B$4,"Vencido",IF(O63&lt;=Instructivo!$B$4+30,"Próximo a vencer","Vigente"))</x:f>
        <x:v>Vencido</x:v>
      </x:c>
      <x:c r="U63" s="89" t="str">
        <x:v>Coordinador de Talento Humano</x:v>
      </x:c>
      <x:c r="V63" s="90" t="str">
        <x:v>Sin novedades adicionales</x:v>
      </x:c>
    </x:row>
    <x:row r="64">
      <x:c r="A64" s="88" t="n">
        <x:v>2024</x:v>
      </x:c>
      <x:c r="B64" s="89" t="str">
        <x:v>EMO-2024-0063</x:v>
      </x:c>
      <x:c r="C64" s="106" t="n">
        <x:v>45351</x:v>
      </x:c>
      <x:c r="D64" s="89" t="str">
        <x:v>Post-incapacidad</x:v>
      </x:c>
      <x:c r="E64" s="89" t="str">
        <x:v>826279418</x:v>
      </x:c>
      <x:c r="F64" s="89" t="str">
        <x:v>Camilo Ana Castro Suárez</x:v>
      </x:c>
      <x:c r="G64" s="89" t="str">
        <x:v>Vigilante</x:v>
      </x:c>
      <x:c r="H64" s="89" t="str">
        <x:v>Ábrego</x:v>
      </x:c>
      <x:c r="I64" s="89" t="str">
        <x:v>Operaciones</x:v>
      </x:c>
      <x:c r="J64" s="89" t="str">
        <x:v>Centro Médico Laboral Andino</x:v>
      </x:c>
      <x:c r="K64" s="89" t="str">
        <x:v>Apto</x:v>
      </x:c>
      <x:c r="L64" s="89" t="str"/>
      <x:c r="M64" s="89" t="str">
        <x:v>Uso permanente de EPP</x:v>
      </x:c>
      <x:c r="N64" s="112" t="n">
        <x:v>6</x:v>
      </x:c>
      <x:c r="O64" s="106" t="n">
        <x:f>EDATE(C64,N64)</x:f>
        <x:v>45533</x:v>
      </x:c>
      <x:c r="P64" s="89" t="str">
        <x:v>I10 Hipertensión esencial</x:v>
      </x:c>
      <x:c r="Q64" s="89" t="str">
        <x:v>No</x:v>
      </x:c>
      <x:c r="R64" s="89" t="str"/>
      <x:c r="S64" s="106"/>
      <x:c r="T64" s="89" t="str">
        <x:f>IF(O64&lt;Instructivo!$B$4,"Vencido",IF(O64&lt;=Instructivo!$B$4+30,"Próximo a vencer","Vigente"))</x:f>
        <x:v>Vencido</x:v>
      </x:c>
      <x:c r="U64" s="89" t="str">
        <x:v>Analista SST</x:v>
      </x:c>
      <x:c r="V64" s="90" t="str">
        <x:v>Requiere revisión de puesto de trabajo</x:v>
      </x:c>
    </x:row>
    <x:row r="65">
      <x:c r="A65" s="88" t="n">
        <x:v>2024</x:v>
      </x:c>
      <x:c r="B65" s="89" t="str">
        <x:v>EMO-2024-0064</x:v>
      </x:c>
      <x:c r="C65" s="106" t="n">
        <x:v>45579</x:v>
      </x:c>
      <x:c r="D65" s="89" t="str">
        <x:v>Ingreso</x:v>
      </x:c>
      <x:c r="E65" s="89" t="str">
        <x:v>234922880</x:v>
      </x:c>
      <x:c r="F65" s="89" t="str">
        <x:v>Wilson Juan Parra Ramírez</x:v>
      </x:c>
      <x:c r="G65" s="89" t="str">
        <x:v>Conductor</x:v>
      </x:c>
      <x:c r="H65" s="89" t="str">
        <x:v>Arauca</x:v>
      </x:c>
      <x:c r="I65" s="89" t="str">
        <x:v>Logística</x:v>
      </x:c>
      <x:c r="J65" s="89" t="str">
        <x:v>Centro Médico Laboral Andino</x:v>
      </x:c>
      <x:c r="K65" s="89" t="str">
        <x:v>Apto</x:v>
      </x:c>
      <x:c r="L65" s="89" t="str"/>
      <x:c r="M65" s="89" t="str">
        <x:v>Participar en programas de vigilancia epidemiológica</x:v>
      </x:c>
      <x:c r="N65" s="112" t="n">
        <x:v>12</x:v>
      </x:c>
      <x:c r="O65" s="106" t="n">
        <x:f>EDATE(C65,N65)</x:f>
        <x:v>45944</x:v>
      </x:c>
      <x:c r="P65" s="89" t="str">
        <x:v>H52.4 Presbicia</x:v>
      </x:c>
      <x:c r="Q65" s="89" t="str">
        <x:v>No</x:v>
      </x:c>
      <x:c r="R65" s="89" t="str"/>
      <x:c r="S65" s="106"/>
      <x:c r="T65" s="89" t="str">
        <x:f>IF(O65&lt;Instructivo!$B$4,"Vencido",IF(O65&lt;=Instructivo!$B$4+30,"Próximo a vencer","Vigente"))</x:f>
        <x:v>Vencido</x:v>
      </x:c>
      <x:c r="U65" s="89" t="str">
        <x:v>Médico Ocupacional</x:v>
      </x:c>
      <x:c r="V65" s="90" t="str">
        <x:v>Sin novedades adicionales</x:v>
      </x:c>
    </x:row>
    <x:row r="66">
      <x:c r="A66" s="88" t="n">
        <x:v>2024</x:v>
      </x:c>
      <x:c r="B66" s="89" t="str">
        <x:v>EMO-2024-0065</x:v>
      </x:c>
      <x:c r="C66" s="106" t="n">
        <x:v>45607</x:v>
      </x:c>
      <x:c r="D66" s="89" t="str">
        <x:v>Ingreso</x:v>
      </x:c>
      <x:c r="E66" s="89" t="str">
        <x:v>468617381</x:v>
      </x:c>
      <x:c r="F66" s="89" t="str">
        <x:v>Luis Luisa Ramírez Torres</x:v>
      </x:c>
      <x:c r="G66" s="89" t="str">
        <x:v>Vigilante</x:v>
      </x:c>
      <x:c r="H66" s="89" t="str">
        <x:v>Tibú</x:v>
      </x:c>
      <x:c r="I66" s="89" t="str">
        <x:v>Operaciones</x:v>
      </x:c>
      <x:c r="J66" s="89" t="str">
        <x:v>Centro Médico Laboral Andino</x:v>
      </x:c>
      <x:c r="K66" s="89" t="str">
        <x:v>Apto con restricciones</x:v>
      </x:c>
      <x:c r="L66" s="89" t="str">
        <x:v>Control visual y corrección óptica permanente</x:v>
      </x:c>
      <x:c r="M66" s="89" t="str">
        <x:v>Control por optometría/medicina general</x:v>
      </x:c>
      <x:c r="N66" s="112" t="n">
        <x:v>12</x:v>
      </x:c>
      <x:c r="O66" s="106" t="n">
        <x:f>EDATE(C66,N66)</x:f>
        <x:v>45972</x:v>
      </x:c>
      <x:c r="P66" s="89" t="str">
        <x:v>I10 Hipertensión esencial</x:v>
      </x:c>
      <x:c r="Q66" s="89" t="str">
        <x:v>Sí</x:v>
      </x:c>
      <x:c r="R66" s="89" t="str">
        <x:v>Psicosocial</x:v>
      </x:c>
      <x:c r="S66" s="106" t="n">
        <x:v>45667</x:v>
      </x:c>
      <x:c r="T66" s="89" t="str">
        <x:f>IF(O66&lt;Instructivo!$B$4,"Vencido",IF(O66&lt;=Instructivo!$B$4+30,"Próximo a vencer","Vigente"))</x:f>
        <x:v>Vencido</x:v>
      </x:c>
      <x:c r="U66" s="89" t="str">
        <x:v>Coordinador de Talento Humano</x:v>
      </x:c>
      <x:c r="V66" s="90" t="str">
        <x:v>Requiere revisión de puesto de trabajo</x:v>
      </x:c>
    </x:row>
    <x:row r="67">
      <x:c r="A67" s="88" t="n">
        <x:v>2024</x:v>
      </x:c>
      <x:c r="B67" s="89" t="str">
        <x:v>EMO-2024-0066</x:v>
      </x:c>
      <x:c r="C67" s="106" t="n">
        <x:v>45567</x:v>
      </x:c>
      <x:c r="D67" s="89" t="str">
        <x:v>Periódico</x:v>
      </x:c>
      <x:c r="E67" s="89" t="str">
        <x:v>478294150</x:v>
      </x:c>
      <x:c r="F67" s="89" t="str">
        <x:v>Miguel Álvaro Pérez Torres</x:v>
      </x:c>
      <x:c r="G67" s="89" t="str">
        <x:v>Vigilante</x:v>
      </x:c>
      <x:c r="H67" s="89" t="str">
        <x:v>Pamplona</x:v>
      </x:c>
      <x:c r="I67" s="89" t="str">
        <x:v>Operaciones</x:v>
      </x:c>
      <x:c r="J67" s="89" t="str">
        <x:v>Colmédica Ocupacional</x:v>
      </x:c>
      <x:c r="K67" s="89" t="str">
        <x:v>Apto</x:v>
      </x:c>
      <x:c r="L67" s="89" t="str"/>
      <x:c r="M67" s="89" t="str">
        <x:v>Uso permanente de EPP</x:v>
      </x:c>
      <x:c r="N67" s="112" t="n">
        <x:v>12</x:v>
      </x:c>
      <x:c r="O67" s="106" t="n">
        <x:f>EDATE(C67,N67)</x:f>
        <x:v>45932</x:v>
      </x:c>
      <x:c r="P67" s="89" t="str">
        <x:v>G56.0 Síndrome túnel carpiano</x:v>
      </x:c>
      <x:c r="Q67" s="89" t="str">
        <x:v>No</x:v>
      </x:c>
      <x:c r="R67" s="89" t="str"/>
      <x:c r="S67" s="106"/>
      <x:c r="T67" s="89" t="str">
        <x:f>IF(O67&lt;Instructivo!$B$4,"Vencido",IF(O67&lt;=Instructivo!$B$4+30,"Próximo a vencer","Vigente"))</x:f>
        <x:v>Vencido</x:v>
      </x:c>
      <x:c r="U67" s="89" t="str">
        <x:v>Coordinador de Talento Humano</x:v>
      </x:c>
      <x:c r="V67" s="90" t="str">
        <x:v>Registro completo y soportado en historia ocupacional</x:v>
      </x:c>
    </x:row>
    <x:row r="68">
      <x:c r="A68" s="88" t="n">
        <x:v>2024</x:v>
      </x:c>
      <x:c r="B68" s="89" t="str">
        <x:v>EMO-2024-0067</x:v>
      </x:c>
      <x:c r="C68" s="106" t="n">
        <x:v>45493</x:v>
      </x:c>
      <x:c r="D68" s="89" t="str">
        <x:v>Periódico</x:v>
      </x:c>
      <x:c r="E68" s="89" t="str">
        <x:v>852829622</x:v>
      </x:c>
      <x:c r="F68" s="89" t="str">
        <x:v>Álvaro María Ramírez Gómez</x:v>
      </x:c>
      <x:c r="G68" s="89" t="str">
        <x:v>Vigilante</x:v>
      </x:c>
      <x:c r="H68" s="89" t="str">
        <x:v>Bogotá</x:v>
      </x:c>
      <x:c r="I68" s="89" t="str">
        <x:v>Operaciones</x:v>
      </x:c>
      <x:c r="J68" s="89" t="str">
        <x:v>Salud Integral Ocupacional</x:v>
      </x:c>
      <x:c r="K68" s="89" t="str">
        <x:v>Apto</x:v>
      </x:c>
      <x:c r="L68" s="89" t="str"/>
      <x:c r="M68" s="89" t="str">
        <x:v>Uso permanente de EPP</x:v>
      </x:c>
      <x:c r="N68" s="112" t="n">
        <x:v>12</x:v>
      </x:c>
      <x:c r="O68" s="106" t="n">
        <x:f>EDATE(C68,N68)</x:f>
        <x:v>45858</x:v>
      </x:c>
      <x:c r="P68" s="89" t="str">
        <x:v>H52.4 Presbicia</x:v>
      </x:c>
      <x:c r="Q68" s="89" t="str">
        <x:v>No</x:v>
      </x:c>
      <x:c r="R68" s="89" t="str"/>
      <x:c r="S68" s="106"/>
      <x:c r="T68" s="89" t="str">
        <x:f>IF(O68&lt;Instructivo!$B$4,"Vencido",IF(O68&lt;=Instructivo!$B$4+30,"Próximo a vencer","Vigente"))</x:f>
        <x:v>Vencido</x:v>
      </x:c>
      <x:c r="U68" s="89" t="str">
        <x:v>Coordinador de Talento Humano</x:v>
      </x:c>
      <x:c r="V68" s="90" t="str">
        <x:v>Sin novedades adicionales</x:v>
      </x:c>
    </x:row>
    <x:row r="69">
      <x:c r="A69" s="88" t="n">
        <x:v>2024</x:v>
      </x:c>
      <x:c r="B69" s="89" t="str">
        <x:v>EMO-2024-0068</x:v>
      </x:c>
      <x:c r="C69" s="106" t="n">
        <x:v>45637</x:v>
      </x:c>
      <x:c r="D69" s="89" t="str">
        <x:v>Periódico</x:v>
      </x:c>
      <x:c r="E69" s="89" t="str">
        <x:v>804607488</x:v>
      </x:c>
      <x:c r="F69" s="89" t="str">
        <x:v>Sergio Álvaro Ramírez Moreno</x:v>
      </x:c>
      <x:c r="G69" s="89" t="str">
        <x:v>Escolta</x:v>
      </x:c>
      <x:c r="H69" s="89" t="str">
        <x:v>Barrancabermeja</x:v>
      </x:c>
      <x:c r="I69" s="89" t="str">
        <x:v>Escoltas</x:v>
      </x:c>
      <x:c r="J69" s="89" t="str">
        <x:v>Centro Médico Laboral Andino</x:v>
      </x:c>
      <x:c r="K69" s="89" t="str">
        <x:v>Apto</x:v>
      </x:c>
      <x:c r="L69" s="89" t="str"/>
      <x:c r="M69" s="89" t="str">
        <x:v>Continuar controles periódicos anuales</x:v>
      </x:c>
      <x:c r="N69" s="112" t="n">
        <x:v>12</x:v>
      </x:c>
      <x:c r="O69" s="106" t="n">
        <x:f>EDATE(C69,N69)</x:f>
        <x:v>46002</x:v>
      </x:c>
      <x:c r="P69" s="89" t="str">
        <x:v>R51 Cefalea</x:v>
      </x:c>
      <x:c r="Q69" s="89" t="str">
        <x:v>No</x:v>
      </x:c>
      <x:c r="R69" s="89" t="str"/>
      <x:c r="S69" s="106"/>
      <x:c r="T69" s="89" t="str">
        <x:f>IF(O69&lt;Instructivo!$B$4,"Vencido",IF(O69&lt;=Instructivo!$B$4+30,"Próximo a vencer","Vigente"))</x:f>
        <x:v>Vencido</x:v>
      </x:c>
      <x:c r="U69" s="89" t="str">
        <x:v>Analista SST</x:v>
      </x:c>
      <x:c r="V69" s="90" t="str">
        <x:v>Registro completo y soportado en historia ocupacional</x:v>
      </x:c>
    </x:row>
    <x:row r="70">
      <x:c r="A70" s="88" t="n">
        <x:v>2024</x:v>
      </x:c>
      <x:c r="B70" s="89" t="str">
        <x:v>EMO-2024-0069</x:v>
      </x:c>
      <x:c r="C70" s="106" t="n">
        <x:v>45598</x:v>
      </x:c>
      <x:c r="D70" s="89" t="str">
        <x:v>Periódico</x:v>
      </x:c>
      <x:c r="E70" s="89" t="str">
        <x:v>421157662</x:v>
      </x:c>
      <x:c r="F70" s="89" t="str">
        <x:v>Carolina Álvaro Díaz Hernández</x:v>
      </x:c>
      <x:c r="G70" s="89" t="str">
        <x:v>Vigilante</x:v>
      </x:c>
      <x:c r="H70" s="89" t="str">
        <x:v>Cúcuta</x:v>
      </x:c>
      <x:c r="I70" s="89" t="str">
        <x:v>Operaciones</x:v>
      </x:c>
      <x:c r="J70" s="89" t="str">
        <x:v>Salud Integral Ocupacional</x:v>
      </x:c>
      <x:c r="K70" s="89" t="str">
        <x:v>Apto</x:v>
      </x:c>
      <x:c r="L70" s="89" t="str"/>
      <x:c r="M70" s="89" t="str">
        <x:v>Participar en programas de vigilancia epidemiológica</x:v>
      </x:c>
      <x:c r="N70" s="112" t="n">
        <x:v>12</x:v>
      </x:c>
      <x:c r="O70" s="106" t="n">
        <x:f>EDATE(C70,N70)</x:f>
        <x:v>45963</x:v>
      </x:c>
      <x:c r="P70" s="89" t="str">
        <x:v>H52.4 Presbicia</x:v>
      </x:c>
      <x:c r="Q70" s="89" t="str">
        <x:v>No</x:v>
      </x:c>
      <x:c r="R70" s="89" t="str"/>
      <x:c r="S70" s="106"/>
      <x:c r="T70" s="89" t="str">
        <x:f>IF(O70&lt;Instructivo!$B$4,"Vencido",IF(O70&lt;=Instructivo!$B$4+30,"Próximo a vencer","Vigente"))</x:f>
        <x:v>Vencido</x:v>
      </x:c>
      <x:c r="U70" s="89" t="str">
        <x:v>Analista SST</x:v>
      </x:c>
      <x:c r="V70" s="90" t="str">
        <x:v>Sin novedades adicionales</x:v>
      </x:c>
    </x:row>
    <x:row r="71">
      <x:c r="A71" s="88" t="n">
        <x:v>2024</x:v>
      </x:c>
      <x:c r="B71" s="89" t="str">
        <x:v>EMO-2024-0070</x:v>
      </x:c>
      <x:c r="C71" s="106" t="n">
        <x:v>45388</x:v>
      </x:c>
      <x:c r="D71" s="89" t="str">
        <x:v>Periódico</x:v>
      </x:c>
      <x:c r="E71" s="89" t="str">
        <x:v>721602286</x:v>
      </x:c>
      <x:c r="F71" s="89" t="str">
        <x:v>Paola Luis Ramírez Díaz</x:v>
      </x:c>
      <x:c r="G71" s="89" t="str">
        <x:v>Auxiliar administrativo</x:v>
      </x:c>
      <x:c r="H71" s="89" t="str">
        <x:v>Pamplona</x:v>
      </x:c>
      <x:c r="I71" s="89" t="str">
        <x:v>Administrativa</x:v>
      </x:c>
      <x:c r="J71" s="89" t="str">
        <x:v>IPS Ocupasalud SAS</x:v>
      </x:c>
      <x:c r="K71" s="89" t="str">
        <x:v>Apto</x:v>
      </x:c>
      <x:c r="L71" s="89" t="str"/>
      <x:c r="M71" s="89" t="str">
        <x:v>Participar en programas de vigilancia epidemiológica</x:v>
      </x:c>
      <x:c r="N71" s="112" t="n">
        <x:v>12</x:v>
      </x:c>
      <x:c r="O71" s="106" t="n">
        <x:f>EDATE(C71,N71)</x:f>
        <x:v>45753</x:v>
      </x:c>
      <x:c r="P71" s="89" t="str">
        <x:v>G56.0 Síndrome túnel carpiano</x:v>
      </x:c>
      <x:c r="Q71" s="89" t="str">
        <x:v>No</x:v>
      </x:c>
      <x:c r="R71" s="89" t="str"/>
      <x:c r="S71" s="106"/>
      <x:c r="T71" s="89" t="str">
        <x:f>IF(O71&lt;Instructivo!$B$4,"Vencido",IF(O71&lt;=Instructivo!$B$4+30,"Próximo a vencer","Vigente"))</x:f>
        <x:v>Vencido</x:v>
      </x:c>
      <x:c r="U71" s="89" t="str">
        <x:v>Analista SST</x:v>
      </x:c>
      <x:c r="V71" s="90" t="str">
        <x:v>Se recomienda seguimiento por comité SST</x:v>
      </x:c>
    </x:row>
    <x:row r="72">
      <x:c r="A72" s="88" t="n">
        <x:v>2024</x:v>
      </x:c>
      <x:c r="B72" s="89" t="str">
        <x:v>EMO-2024-0071</x:v>
      </x:c>
      <x:c r="C72" s="106" t="n">
        <x:v>45580</x:v>
      </x:c>
      <x:c r="D72" s="89" t="str">
        <x:v>Post-incapacidad</x:v>
      </x:c>
      <x:c r="E72" s="89" t="str">
        <x:v>581649691</x:v>
      </x:c>
      <x:c r="F72" s="89" t="str">
        <x:v>Wilson Kevin Sánchez Cárdenas</x:v>
      </x:c>
      <x:c r="G72" s="89" t="str">
        <x:v>Operador de medios tecnológicos</x:v>
      </x:c>
      <x:c r="H72" s="89" t="str">
        <x:v>Ocaña</x:v>
      </x:c>
      <x:c r="I72" s="89" t="str">
        <x:v>Medios Tecnológicos</x:v>
      </x:c>
      <x:c r="J72" s="89" t="str">
        <x:v>IPS Prevencionar</x:v>
      </x:c>
      <x:c r="K72" s="89" t="str">
        <x:v>Apto</x:v>
      </x:c>
      <x:c r="L72" s="89" t="str"/>
      <x:c r="M72" s="89" t="str">
        <x:v>Participar en programas de vigilancia epidemiológica</x:v>
      </x:c>
      <x:c r="N72" s="112" t="n">
        <x:v>6</x:v>
      </x:c>
      <x:c r="O72" s="106" t="n">
        <x:f>EDATE(C72,N72)</x:f>
        <x:v>45762</x:v>
      </x:c>
      <x:c r="P72" s="89" t="str">
        <x:v>G56.0 Síndrome túnel carpiano</x:v>
      </x:c>
      <x:c r="Q72" s="89" t="str">
        <x:v>No</x:v>
      </x:c>
      <x:c r="R72" s="89" t="str"/>
      <x:c r="S72" s="106"/>
      <x:c r="T72" s="89" t="str">
        <x:f>IF(O72&lt;Instructivo!$B$4,"Vencido",IF(O72&lt;=Instructivo!$B$4+30,"Próximo a vencer","Vigente"))</x:f>
        <x:v>Vencido</x:v>
      </x:c>
      <x:c r="U72" s="89" t="str">
        <x:v>Médico Ocupacional</x:v>
      </x:c>
      <x:c r="V72" s="90" t="str">
        <x:v>Sin novedades adicionales</x:v>
      </x:c>
    </x:row>
    <x:row r="73">
      <x:c r="A73" s="88" t="n">
        <x:v>2024</x:v>
      </x:c>
      <x:c r="B73" s="89" t="str">
        <x:v>EMO-2024-0072</x:v>
      </x:c>
      <x:c r="C73" s="106" t="n">
        <x:v>45308</x:v>
      </x:c>
      <x:c r="D73" s="89" t="str">
        <x:v>Ingreso</x:v>
      </x:c>
      <x:c r="E73" s="89" t="str">
        <x:v>534415796</x:v>
      </x:c>
      <x:c r="F73" s="89" t="str">
        <x:v>Luisa Ana Torres Castro</x:v>
      </x:c>
      <x:c r="G73" s="89" t="str">
        <x:v>Vigilante</x:v>
      </x:c>
      <x:c r="H73" s="89" t="str">
        <x:v>Cúcuta</x:v>
      </x:c>
      <x:c r="I73" s="89" t="str">
        <x:v>Operaciones</x:v>
      </x:c>
      <x:c r="J73" s="89" t="str">
        <x:v>Salud Integral Ocupacional</x:v>
      </x:c>
      <x:c r="K73" s="89" t="str">
        <x:v>Apto con restricciones</x:v>
      </x:c>
      <x:c r="L73" s="89" t="str">
        <x:v>Pausas activas cada 2 horas</x:v>
      </x:c>
      <x:c r="M73" s="89" t="str">
        <x:v>Capacitación ergonómica y seguimiento SST</x:v>
      </x:c>
      <x:c r="N73" s="112" t="n">
        <x:v>12</x:v>
      </x:c>
      <x:c r="O73" s="106" t="n">
        <x:f>EDATE(C73,N73)</x:f>
        <x:v>45674</x:v>
      </x:c>
      <x:c r="P73" s="89" t="str">
        <x:v>E66.9 Obesidad</x:v>
      </x:c>
      <x:c r="Q73" s="89" t="str">
        <x:v>Sí</x:v>
      </x:c>
      <x:c r="R73" s="89" t="str">
        <x:v>Medicina laboral</x:v>
      </x:c>
      <x:c r="S73" s="106" t="n">
        <x:v>45398</x:v>
      </x:c>
      <x:c r="T73" s="89" t="str">
        <x:f>IF(O73&lt;Instructivo!$B$4,"Vencido",IF(O73&lt;=Instructivo!$B$4+30,"Próximo a vencer","Vigente"))</x:f>
        <x:v>Vencido</x:v>
      </x:c>
      <x:c r="U73" s="89" t="str">
        <x:v>Analista SST</x:v>
      </x:c>
      <x:c r="V73" s="90" t="str">
        <x:v>Pendiente firma de concepto médico</x:v>
      </x:c>
    </x:row>
    <x:row r="74">
      <x:c r="A74" s="88" t="n">
        <x:v>2024</x:v>
      </x:c>
      <x:c r="B74" s="89" t="str">
        <x:v>EMO-2024-0073</x:v>
      </x:c>
      <x:c r="C74" s="106" t="n">
        <x:v>45546</x:v>
      </x:c>
      <x:c r="D74" s="89" t="str">
        <x:v>Periódico</x:v>
      </x:c>
      <x:c r="E74" s="89" t="str">
        <x:v>539518424</x:v>
      </x:c>
      <x:c r="F74" s="89" t="str">
        <x:v>Julián Juan Díaz Díaz</x:v>
      </x:c>
      <x:c r="G74" s="89" t="str">
        <x:v>Auxiliar administrativo</x:v>
      </x:c>
      <x:c r="H74" s="89" t="str">
        <x:v>Medellín</x:v>
      </x:c>
      <x:c r="I74" s="89" t="str">
        <x:v>Administrativa</x:v>
      </x:c>
      <x:c r="J74" s="89" t="str">
        <x:v>Salud Integral Ocupacional</x:v>
      </x:c>
      <x:c r="K74" s="89" t="str">
        <x:v>Apto</x:v>
      </x:c>
      <x:c r="L74" s="89" t="str"/>
      <x:c r="M74" s="89" t="str">
        <x:v>Continuar controles periódicos anuales</x:v>
      </x:c>
      <x:c r="N74" s="112" t="n">
        <x:v>12</x:v>
      </x:c>
      <x:c r="O74" s="106" t="n">
        <x:f>EDATE(C74,N74)</x:f>
        <x:v>45911</x:v>
      </x:c>
      <x:c r="P74" s="89" t="str">
        <x:v>R51 Cefalea</x:v>
      </x:c>
      <x:c r="Q74" s="89" t="str">
        <x:v>No</x:v>
      </x:c>
      <x:c r="R74" s="89" t="str"/>
      <x:c r="S74" s="106"/>
      <x:c r="T74" s="89" t="str">
        <x:f>IF(O74&lt;Instructivo!$B$4,"Vencido",IF(O74&lt;=Instructivo!$B$4+30,"Próximo a vencer","Vigente"))</x:f>
        <x:v>Vencido</x:v>
      </x:c>
      <x:c r="U74" s="89" t="str">
        <x:v>Líder SST</x:v>
      </x:c>
      <x:c r="V74" s="90" t="str">
        <x:v>Se recomienda seguimiento por comité SST</x:v>
      </x:c>
    </x:row>
    <x:row r="75">
      <x:c r="A75" s="88" t="n">
        <x:v>2024</x:v>
      </x:c>
      <x:c r="B75" s="89" t="str">
        <x:v>EMO-2024-0074</x:v>
      </x:c>
      <x:c r="C75" s="106" t="n">
        <x:v>45510</x:v>
      </x:c>
      <x:c r="D75" s="89" t="str">
        <x:v>Periódico</x:v>
      </x:c>
      <x:c r="E75" s="89" t="str">
        <x:v>468350368</x:v>
      </x:c>
      <x:c r="F75" s="89" t="str">
        <x:v>Karen Wilson Martínez Pérez</x:v>
      </x:c>
      <x:c r="G75" s="89" t="str">
        <x:v>Vigilante</x:v>
      </x:c>
      <x:c r="H75" s="89" t="str">
        <x:v>Pamplona</x:v>
      </x:c>
      <x:c r="I75" s="89" t="str">
        <x:v>Operaciones</x:v>
      </x:c>
      <x:c r="J75" s="89" t="str">
        <x:v>IPS Prevencionar</x:v>
      </x:c>
      <x:c r="K75" s="89" t="str">
        <x:v>Apto</x:v>
      </x:c>
      <x:c r="L75" s="89" t="str"/>
      <x:c r="M75" s="89" t="str">
        <x:v>Mantener estilos de vida saludable</x:v>
      </x:c>
      <x:c r="N75" s="112" t="n">
        <x:v>12</x:v>
      </x:c>
      <x:c r="O75" s="106" t="n">
        <x:f>EDATE(C75,N75)</x:f>
        <x:v>45875</x:v>
      </x:c>
      <x:c r="P75" s="89" t="str">
        <x:v>E66.9 Obesidad</x:v>
      </x:c>
      <x:c r="Q75" s="89" t="str">
        <x:v>No</x:v>
      </x:c>
      <x:c r="R75" s="89" t="str"/>
      <x:c r="S75" s="106"/>
      <x:c r="T75" s="89" t="str">
        <x:f>IF(O75&lt;Instructivo!$B$4,"Vencido",IF(O75&lt;=Instructivo!$B$4+30,"Próximo a vencer","Vigente"))</x:f>
        <x:v>Vencido</x:v>
      </x:c>
      <x:c r="U75" s="89" t="str">
        <x:v>Coordinador de Talento Humano</x:v>
      </x:c>
      <x:c r="V75" s="90" t="str">
        <x:v>Registro completo y soportado en historia ocupacional</x:v>
      </x:c>
    </x:row>
    <x:row r="76">
      <x:c r="A76" s="88" t="n">
        <x:v>2024</x:v>
      </x:c>
      <x:c r="B76" s="89" t="str">
        <x:v>EMO-2024-0075</x:v>
      </x:c>
      <x:c r="C76" s="106" t="n">
        <x:v>45353</x:v>
      </x:c>
      <x:c r="D76" s="89" t="str">
        <x:v>Periódico</x:v>
      </x:c>
      <x:c r="E76" s="89" t="str">
        <x:v>578350099</x:v>
      </x:c>
      <x:c r="F76" s="89" t="str">
        <x:v>María Álvaro Martínez Ramírez</x:v>
      </x:c>
      <x:c r="G76" s="89" t="str">
        <x:v>Operador de medios tecnológicos</x:v>
      </x:c>
      <x:c r="H76" s="89" t="str">
        <x:v>Cúcuta</x:v>
      </x:c>
      <x:c r="I76" s="89" t="str">
        <x:v>Medios Tecnológicos</x:v>
      </x:c>
      <x:c r="J76" s="89" t="str">
        <x:v>Salud Integral Ocupacional</x:v>
      </x:c>
      <x:c r="K76" s="89" t="str">
        <x:v>Apto</x:v>
      </x:c>
      <x:c r="L76" s="89" t="str"/>
      <x:c r="M76" s="89" t="str">
        <x:v>Mantener estilos de vida saludable</x:v>
      </x:c>
      <x:c r="N76" s="112" t="n">
        <x:v>12</x:v>
      </x:c>
      <x:c r="O76" s="106" t="n">
        <x:f>EDATE(C76,N76)</x:f>
        <x:v>45718</x:v>
      </x:c>
      <x:c r="P76" s="89" t="str">
        <x:v>R51 Cefalea</x:v>
      </x:c>
      <x:c r="Q76" s="89" t="str">
        <x:v>No</x:v>
      </x:c>
      <x:c r="R76" s="89" t="str"/>
      <x:c r="S76" s="106"/>
      <x:c r="T76" s="89" t="str">
        <x:f>IF(O76&lt;Instructivo!$B$4,"Vencido",IF(O76&lt;=Instructivo!$B$4+30,"Próximo a vencer","Vigente"))</x:f>
        <x:v>Vencido</x:v>
      </x:c>
      <x:c r="U76" s="89" t="str">
        <x:v>Médico Ocupacional</x:v>
      </x:c>
      <x:c r="V76" s="90" t="str">
        <x:v>Requiere revisión de puesto de trabajo</x:v>
      </x:c>
    </x:row>
    <x:row r="77">
      <x:c r="A77" s="88" t="n">
        <x:v>2024</x:v>
      </x:c>
      <x:c r="B77" s="89" t="str">
        <x:v>EMO-2024-0076</x:v>
      </x:c>
      <x:c r="C77" s="106" t="n">
        <x:v>45398</x:v>
      </x:c>
      <x:c r="D77" s="89" t="str">
        <x:v>Periódico</x:v>
      </x:c>
      <x:c r="E77" s="89" t="str">
        <x:v>534415796</x:v>
      </x:c>
      <x:c r="F77" s="89" t="str">
        <x:v>Luisa Ana Torres Castro</x:v>
      </x:c>
      <x:c r="G77" s="89" t="str">
        <x:v>Vigilante</x:v>
      </x:c>
      <x:c r="H77" s="89" t="str">
        <x:v>Cúcuta</x:v>
      </x:c>
      <x:c r="I77" s="89" t="str">
        <x:v>Operaciones</x:v>
      </x:c>
      <x:c r="J77" s="89" t="str">
        <x:v>Salud Integral Ocupacional</x:v>
      </x:c>
      <x:c r="K77" s="89" t="str">
        <x:v>Apto con restricciones</x:v>
      </x:c>
      <x:c r="L77" s="89" t="str">
        <x:v>Evitar levantamiento de cargas mayores a 15 kg</x:v>
      </x:c>
      <x:c r="M77" s="89" t="str">
        <x:v>Capacitación ergonómica y seguimiento SST</x:v>
      </x:c>
      <x:c r="N77" s="112" t="n">
        <x:v>12</x:v>
      </x:c>
      <x:c r="O77" s="106" t="n">
        <x:f>EDATE(C77,N77)</x:f>
        <x:v>45763</x:v>
      </x:c>
      <x:c r="P77" s="89" t="str">
        <x:v>H52.4 Presbicia</x:v>
      </x:c>
      <x:c r="Q77" s="89" t="str">
        <x:v>Sí</x:v>
      </x:c>
      <x:c r="R77" s="89" t="str">
        <x:v>Cardiometabólico</x:v>
      </x:c>
      <x:c r="S77" s="106" t="n">
        <x:v>45488</x:v>
      </x:c>
      <x:c r="T77" s="89" t="str">
        <x:f>IF(O77&lt;Instructivo!$B$4,"Vencido",IF(O77&lt;=Instructivo!$B$4+30,"Próximo a vencer","Vigente"))</x:f>
        <x:v>Vencido</x:v>
      </x:c>
      <x:c r="U77" s="89" t="str">
        <x:v>Coordinador de Talento Humano</x:v>
      </x:c>
      <x:c r="V77" s="90" t="str">
        <x:v>Caso priorizado por restricciones activas</x:v>
      </x:c>
    </x:row>
    <x:row r="78">
      <x:c r="A78" s="88" t="n">
        <x:v>2024</x:v>
      </x:c>
      <x:c r="B78" s="89" t="str">
        <x:v>EMO-2024-0077</x:v>
      </x:c>
      <x:c r="C78" s="106" t="n">
        <x:v>45429</x:v>
      </x:c>
      <x:c r="D78" s="89" t="str">
        <x:v>Periódico</x:v>
      </x:c>
      <x:c r="E78" s="89" t="str">
        <x:v>437360307</x:v>
      </x:c>
      <x:c r="F78" s="89" t="str">
        <x:v>Felipe Camilo Cárdenas Parra</x:v>
      </x:c>
      <x:c r="G78" s="89" t="str">
        <x:v>Vigilante</x:v>
      </x:c>
      <x:c r="H78" s="89" t="str">
        <x:v>Barrancabermeja</x:v>
      </x:c>
      <x:c r="I78" s="89" t="str">
        <x:v>Operaciones</x:v>
      </x:c>
      <x:c r="J78" s="89" t="str">
        <x:v>Colmédica Ocupacional</x:v>
      </x:c>
      <x:c r="K78" s="89" t="str">
        <x:v>Apto con restricciones</x:v>
      </x:c>
      <x:c r="L78" s="89" t="str">
        <x:v>No exposición prolongada a ruido alto sin doble protección</x:v>
      </x:c>
      <x:c r="M78" s="89" t="str">
        <x:v>Seguimiento por medicina laboral en 3 meses</x:v>
      </x:c>
      <x:c r="N78" s="112" t="n">
        <x:v>12</x:v>
      </x:c>
      <x:c r="O78" s="106" t="n">
        <x:f>EDATE(C78,N78)</x:f>
        <x:v>45794</x:v>
      </x:c>
      <x:c r="P78" s="89" t="str">
        <x:v>H52.4 Presbicia</x:v>
      </x:c>
      <x:c r="Q78" s="89" t="str">
        <x:v>Sí</x:v>
      </x:c>
      <x:c r="R78" s="89" t="str">
        <x:v>Ergonomía</x:v>
      </x:c>
      <x:c r="S78" s="106" t="n">
        <x:v>45519</x:v>
      </x:c>
      <x:c r="T78" s="89" t="str">
        <x:f>IF(O78&lt;Instructivo!$B$4,"Vencido",IF(O78&lt;=Instructivo!$B$4+30,"Próximo a vencer","Vigente"))</x:f>
        <x:v>Vencido</x:v>
      </x:c>
      <x:c r="U78" s="89" t="str">
        <x:v>Analista SST</x:v>
      </x:c>
      <x:c r="V78" s="90" t="str">
        <x:v>Registro completo y soportado en historia ocupacional</x:v>
      </x:c>
    </x:row>
    <x:row r="79">
      <x:c r="A79" s="91" t="n">
        <x:v>2024</x:v>
      </x:c>
      <x:c r="B79" s="92" t="str">
        <x:v>EMO-2024-0078</x:v>
      </x:c>
      <x:c r="C79" s="107" t="n">
        <x:v>45457</x:v>
      </x:c>
      <x:c r="D79" s="92" t="str">
        <x:v>Ingreso</x:v>
      </x:c>
      <x:c r="E79" s="92" t="str">
        <x:v>999689889</x:v>
      </x:c>
      <x:c r="F79" s="92" t="str">
        <x:v>Álvaro Carlos Ramírez Martínez</x:v>
      </x:c>
      <x:c r="G79" s="92" t="str">
        <x:v>Coordinador de operaciones</x:v>
      </x:c>
      <x:c r="H79" s="92" t="str">
        <x:v>Girón</x:v>
      </x:c>
      <x:c r="I79" s="92" t="str">
        <x:v>Operaciones</x:v>
      </x:c>
      <x:c r="J79" s="92" t="str">
        <x:v>Colmédica Ocupacional</x:v>
      </x:c>
      <x:c r="K79" s="92" t="str">
        <x:v>Apto con restricciones</x:v>
      </x:c>
      <x:c r="L79" s="92" t="str">
        <x:v>Control visual y corrección óptica permanente</x:v>
      </x:c>
      <x:c r="M79" s="92" t="str">
        <x:v>Control por optometría/medicina general</x:v>
      </x:c>
      <x:c r="N79" s="113" t="n">
        <x:v>12</x:v>
      </x:c>
      <x:c r="O79" s="107" t="n">
        <x:f>EDATE(C79,N79)</x:f>
        <x:v>45822</x:v>
      </x:c>
      <x:c r="P79" s="92" t="str">
        <x:v>M75.1 Lesión de hombro</x:v>
      </x:c>
      <x:c r="Q79" s="92" t="str">
        <x:v>Sí</x:v>
      </x:c>
      <x:c r="R79" s="92" t="str">
        <x:v>Ergonomía</x:v>
      </x:c>
      <x:c r="S79" s="107" t="n">
        <x:v>45577</x:v>
      </x:c>
      <x:c r="T79" s="92" t="str">
        <x:f>IF(O79&lt;Instructivo!$B$4,"Vencido",IF(O79&lt;=Instructivo!$B$4+30,"Próximo a vencer","Vigente"))</x:f>
        <x:v>Vencido</x:v>
      </x:c>
      <x:c r="U79" s="92" t="str">
        <x:v>Médico Ocupacional</x:v>
      </x:c>
      <x:c r="V79" s="93" t="str">
        <x:v>Requiere revisión de puesto de trabajo</x:v>
      </x:c>
    </x:row>
  </x:sheetData>
  <x:conditionalFormatting sqref="T2:T79">
    <x:cfRule type="expression" dxfId="5" priority="1">
      <x:formula>T2="Vigente"</x:formula>
    </x:cfRule>
    <x:cfRule type="expression" dxfId="6" priority="2">
      <x:formula>T2="Próximo a vencer"</x:formula>
    </x:cfRule>
    <x:cfRule type="expression" dxfId="7" priority="3">
      <x:formula>T2="Vencido"</x:formula>
    </x:cfRule>
  </x:conditionalFormatting>
  <x:conditionalFormatting sqref="K2:K79">
    <x:cfRule type="expression" dxfId="8" priority="4">
      <x:formula>K2="No apto"</x:formula>
    </x:cfRule>
    <x:cfRule type="expression" dxfId="9" priority="5">
      <x:formula>K2="Apto con restricciones"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7a8be3ab1a04960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2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30" hidden="0" customWidth="1"/>
    <x:col min="13" max="13" width="30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28" hidden="0" customWidth="1"/>
  </x:cols>
  <x:sheetData>
    <x:row r="1">
      <x:c r="A1" s="76" t="str">
        <x:v>Año</x:v>
      </x:c>
      <x:c r="B1" s="76" t="str">
        <x:v>ID Registro</x:v>
      </x:c>
      <x:c r="C1" s="76" t="str">
        <x:v>Fecha realización</x:v>
      </x:c>
      <x:c r="D1" s="76" t="str">
        <x:v>Tipo de examen</x:v>
      </x:c>
      <x:c r="E1" s="76" t="str">
        <x:v>Identificación</x:v>
      </x:c>
      <x:c r="F1" s="76" t="str">
        <x:v>Nombre completo</x:v>
      </x:c>
      <x:c r="G1" s="76" t="str">
        <x:v>Cargo</x:v>
      </x:c>
      <x:c r="H1" s="76" t="str">
        <x:v>Sede</x:v>
      </x:c>
      <x:c r="I1" s="76" t="str">
        <x:v>Área / Proceso</x:v>
      </x:c>
      <x:c r="J1" s="76" t="str">
        <x:v>Proveedor / IPS</x:v>
      </x:c>
      <x:c r="K1" s="76" t="str">
        <x:v>Resultado</x:v>
      </x:c>
      <x:c r="L1" s="76" t="str">
        <x:v>Restricciones</x:v>
      </x:c>
      <x:c r="M1" s="76" t="str">
        <x:v>Recomendaciones</x:v>
      </x:c>
      <x:c r="N1" s="76" t="str">
        <x:v>Periodicidad (meses)</x:v>
      </x:c>
      <x:c r="O1" s="76" t="str">
        <x:v>Fecha vencimiento próximo examen</x:v>
      </x:c>
      <x:c r="P1" s="76" t="str">
        <x:v>Diagnóstico general</x:v>
      </x:c>
      <x:c r="Q1" s="76" t="str">
        <x:v>¿Requiere seguimiento especial?</x:v>
      </x:c>
      <x:c r="R1" s="76" t="str">
        <x:v>Tipo de seguimiento</x:v>
      </x:c>
      <x:c r="S1" s="76" t="str">
        <x:v>Fecha próximo seguimiento</x:v>
      </x:c>
      <x:c r="T1" s="76" t="str">
        <x:v>Estado</x:v>
      </x:c>
      <x:c r="U1" s="76" t="str">
        <x:v>Responsable de gestión</x:v>
      </x:c>
      <x:c r="V1" s="76" t="str">
        <x:v>Observaciones</x:v>
      </x:c>
    </x:row>
    <x:row r="2">
      <x:c r="A2" s="85" t="n">
        <x:v>2025</x:v>
      </x:c>
      <x:c r="B2" s="86" t="str">
        <x:v>EMO-2025-0001</x:v>
      </x:c>
      <x:c r="C2" s="105" t="n">
        <x:v>45706</x:v>
      </x:c>
      <x:c r="D2" s="86" t="str">
        <x:v>Ingreso</x:v>
      </x:c>
      <x:c r="E2" s="86" t="str">
        <x:v>447970771</x:v>
      </x:c>
      <x:c r="F2" s="86" t="str">
        <x:v>Wilson Wilson Ramírez Cárdenas</x:v>
      </x:c>
      <x:c r="G2" s="86" t="str">
        <x:v>Vigilante</x:v>
      </x:c>
      <x:c r="H2" s="86" t="str">
        <x:v>Valledupar</x:v>
      </x:c>
      <x:c r="I2" s="86" t="str">
        <x:v>Operaciones</x:v>
      </x:c>
      <x:c r="J2" s="86" t="str">
        <x:v>IPS Prevencionar</x:v>
      </x:c>
      <x:c r="K2" s="86" t="str">
        <x:v>Apto</x:v>
      </x:c>
      <x:c r="L2" s="86" t="str"/>
      <x:c r="M2" s="86" t="str">
        <x:v>Uso permanente de EPP</x:v>
      </x:c>
      <x:c r="N2" s="111" t="n">
        <x:v>12</x:v>
      </x:c>
      <x:c r="O2" s="105" t="n">
        <x:f>EDATE(C2,N2)</x:f>
        <x:v>46071</x:v>
      </x:c>
      <x:c r="P2" s="86" t="str">
        <x:v>G56.0 Síndrome túnel carpiano</x:v>
      </x:c>
      <x:c r="Q2" s="86" t="str">
        <x:v>No</x:v>
      </x:c>
      <x:c r="R2" s="86" t="str"/>
      <x:c r="S2" s="105"/>
      <x:c r="T2" s="86" t="str">
        <x:f>IF(O2&lt;Instructivo!$B$4,"Vencido",IF(O2&lt;=Instructivo!$B$4+30,"Próximo a vencer","Vigente"))</x:f>
        <x:v>Vencido</x:v>
      </x:c>
      <x:c r="U2" s="86" t="str">
        <x:v>Coordinador de Talento Humano</x:v>
      </x:c>
      <x:c r="V2" s="87" t="str">
        <x:v>Se recomienda seguimiento por comité SST</x:v>
      </x:c>
    </x:row>
    <x:row r="3">
      <x:c r="A3" s="88" t="n">
        <x:v>2025</x:v>
      </x:c>
      <x:c r="B3" s="89" t="str">
        <x:v>EMO-2025-0002</x:v>
      </x:c>
      <x:c r="C3" s="106" t="n">
        <x:v>45706</x:v>
      </x:c>
      <x:c r="D3" s="89" t="str">
        <x:v>Ingreso</x:v>
      </x:c>
      <x:c r="E3" s="89" t="str">
        <x:v>264442778</x:v>
      </x:c>
      <x:c r="F3" s="89" t="str">
        <x:v>Luis Yulieth Sánchez Sánchez</x:v>
      </x:c>
      <x:c r="G3" s="89" t="str">
        <x:v>Vigilante</x:v>
      </x:c>
      <x:c r="H3" s="89" t="str">
        <x:v>Medellín</x:v>
      </x:c>
      <x:c r="I3" s="89" t="str">
        <x:v>Operaciones</x:v>
      </x:c>
      <x:c r="J3" s="89" t="str">
        <x:v>Centro Médico Laboral Andino</x:v>
      </x:c>
      <x:c r="K3" s="89" t="str">
        <x:v>Apto con restricciones</x:v>
      </x:c>
      <x:c r="L3" s="89" t="str">
        <x:v>Control visual y corrección óptica permanente</x:v>
      </x:c>
      <x:c r="M3" s="89" t="str">
        <x:v>Capacitación ergonómica y seguimiento SST</x:v>
      </x:c>
      <x:c r="N3" s="112" t="n">
        <x:v>12</x:v>
      </x:c>
      <x:c r="O3" s="106" t="n">
        <x:f>EDATE(C3,N3)</x:f>
        <x:v>46071</x:v>
      </x:c>
      <x:c r="P3" s="89" t="str">
        <x:v>M75.1 Lesión de hombro</x:v>
      </x:c>
      <x:c r="Q3" s="89" t="str">
        <x:v>Sí</x:v>
      </x:c>
      <x:c r="R3" s="89" t="str">
        <x:v>Medicina laboral</x:v>
      </x:c>
      <x:c r="S3" s="106" t="n">
        <x:v>45826</x:v>
      </x:c>
      <x:c r="T3" s="89" t="str">
        <x:f>IF(O3&lt;Instructivo!$B$4,"Vencido",IF(O3&lt;=Instructivo!$B$4+30,"Próximo a vencer","Vigente"))</x:f>
        <x:v>Vencido</x:v>
      </x:c>
      <x:c r="U3" s="89" t="str">
        <x:v>Analista SST</x:v>
      </x:c>
      <x:c r="V3" s="90" t="str">
        <x:v>Sin novedades adicionales</x:v>
      </x:c>
    </x:row>
    <x:row r="4">
      <x:c r="A4" s="88" t="n">
        <x:v>2025</x:v>
      </x:c>
      <x:c r="B4" s="89" t="str">
        <x:v>EMO-2025-0003</x:v>
      </x:c>
      <x:c r="C4" s="106" t="n">
        <x:v>45804</x:v>
      </x:c>
      <x:c r="D4" s="89" t="str">
        <x:v>Periódico</x:v>
      </x:c>
      <x:c r="E4" s="89" t="str">
        <x:v>652651601</x:v>
      </x:c>
      <x:c r="F4" s="89" t="str">
        <x:v>Yulieth Ana Martínez Cárdenas</x:v>
      </x:c>
      <x:c r="G4" s="89" t="str">
        <x:v>Operador de medios tecnológicos</x:v>
      </x:c>
      <x:c r="H4" s="89" t="str">
        <x:v>Cúcuta</x:v>
      </x:c>
      <x:c r="I4" s="89" t="str">
        <x:v>Medios Tecnológicos</x:v>
      </x:c>
      <x:c r="J4" s="89" t="str">
        <x:v>Colmédica Ocupacional</x:v>
      </x:c>
      <x:c r="K4" s="89" t="str">
        <x:v>Apto</x:v>
      </x:c>
      <x:c r="L4" s="89" t="str"/>
      <x:c r="M4" s="89" t="str">
        <x:v>Mantener estilos de vida saludable</x:v>
      </x:c>
      <x:c r="N4" s="112" t="n">
        <x:v>12</x:v>
      </x:c>
      <x:c r="O4" s="106" t="n">
        <x:f>EDATE(C4,N4)</x:f>
        <x:v>46169</x:v>
      </x:c>
      <x:c r="P4" s="89" t="str">
        <x:v>Z00.0 Examen general</x:v>
      </x:c>
      <x:c r="Q4" s="89" t="str">
        <x:v>No</x:v>
      </x:c>
      <x:c r="R4" s="89" t="str"/>
      <x:c r="S4" s="106"/>
      <x:c r="T4" s="89" t="str">
        <x:f>IF(O4&lt;Instructivo!$B$4,"Vencido",IF(O4&lt;=Instructivo!$B$4+30,"Próximo a vencer","Vigente"))</x:f>
        <x:v>Vencido</x:v>
      </x:c>
      <x:c r="U4" s="89" t="str">
        <x:v>Líder SST</x:v>
      </x:c>
      <x:c r="V4" s="90" t="str">
        <x:v>Sin novedades adicionales</x:v>
      </x:c>
    </x:row>
    <x:row r="5">
      <x:c r="A5" s="88" t="n">
        <x:v>2025</x:v>
      </x:c>
      <x:c r="B5" s="89" t="str">
        <x:v>EMO-2025-0004</x:v>
      </x:c>
      <x:c r="C5" s="106" t="n">
        <x:v>45894</x:v>
      </x:c>
      <x:c r="D5" s="89" t="str">
        <x:v>Periódico</x:v>
      </x:c>
      <x:c r="E5" s="89" t="str">
        <x:v>268930103</x:v>
      </x:c>
      <x:c r="F5" s="89" t="str">
        <x:v>Kevin Carolina Castro Moreno</x:v>
      </x:c>
      <x:c r="G5" s="89" t="str">
        <x:v>Vigilante</x:v>
      </x:c>
      <x:c r="H5" s="89" t="str">
        <x:v>Cúcuta</x:v>
      </x:c>
      <x:c r="I5" s="89" t="str">
        <x:v>Operaciones</x:v>
      </x:c>
      <x:c r="J5" s="89" t="str">
        <x:v>IPS Prevencionar</x:v>
      </x:c>
      <x:c r="K5" s="89" t="str">
        <x:v>Apto</x:v>
      </x:c>
      <x:c r="L5" s="89" t="str"/>
      <x:c r="M5" s="89" t="str">
        <x:v>Mantener estilos de vida saludable</x:v>
      </x:c>
      <x:c r="N5" s="112" t="n">
        <x:v>12</x:v>
      </x:c>
      <x:c r="O5" s="106" t="n">
        <x:f>EDATE(C5,N5)</x:f>
        <x:v>46259</x:v>
      </x:c>
      <x:c r="P5" s="89" t="str">
        <x:v>I10 Hipertensión esencial</x:v>
      </x:c>
      <x:c r="Q5" s="89" t="str">
        <x:v>No</x:v>
      </x:c>
      <x:c r="R5" s="89" t="str"/>
      <x:c r="S5" s="106"/>
      <x:c r="T5" s="89" t="str">
        <x:f>IF(O5&lt;Instructivo!$B$4,"Vencido",IF(O5&lt;=Instructivo!$B$4+30,"Próximo a vencer","Vigente"))</x:f>
        <x:v>Vigente</x:v>
      </x:c>
      <x:c r="U5" s="89" t="str">
        <x:v>Analista SST</x:v>
      </x:c>
      <x:c r="V5" s="90" t="str">
        <x:v>Registro completo y soportado en historia ocupacional</x:v>
      </x:c>
    </x:row>
    <x:row r="6">
      <x:c r="A6" s="88" t="n">
        <x:v>2025</x:v>
      </x:c>
      <x:c r="B6" s="89" t="str">
        <x:v>EMO-2025-0005</x:v>
      </x:c>
      <x:c r="C6" s="106" t="n">
        <x:v>45799</x:v>
      </x:c>
      <x:c r="D6" s="89" t="str">
        <x:v>Ingreso</x:v>
      </x:c>
      <x:c r="E6" s="89" t="str">
        <x:v>123556551</x:v>
      </x:c>
      <x:c r="F6" s="89" t="str">
        <x:v>Kevin Jhon Castro Martínez</x:v>
      </x:c>
      <x:c r="G6" s="89" t="str">
        <x:v>Vigilante</x:v>
      </x:c>
      <x:c r="H6" s="89" t="str">
        <x:v>Valledupar</x:v>
      </x:c>
      <x:c r="I6" s="89" t="str">
        <x:v>Operaciones</x:v>
      </x:c>
      <x:c r="J6" s="89" t="str">
        <x:v>Centro Médico Laboral Andino</x:v>
      </x:c>
      <x:c r="K6" s="89" t="str">
        <x:v>Apto</x:v>
      </x:c>
      <x:c r="L6" s="89" t="str"/>
      <x:c r="M6" s="89" t="str">
        <x:v>Uso permanente de EPP</x:v>
      </x:c>
      <x:c r="N6" s="112" t="n">
        <x:v>12</x:v>
      </x:c>
      <x:c r="O6" s="106" t="n">
        <x:f>EDATE(C6,N6)</x:f>
        <x:v>46164</x:v>
      </x:c>
      <x:c r="P6" s="89" t="str">
        <x:v>Z00.0 Examen general</x:v>
      </x:c>
      <x:c r="Q6" s="89" t="str">
        <x:v>No</x:v>
      </x:c>
      <x:c r="R6" s="89" t="str"/>
      <x:c r="S6" s="106"/>
      <x:c r="T6" s="89" t="str">
        <x:f>IF(O6&lt;Instructivo!$B$4,"Vencido",IF(O6&lt;=Instructivo!$B$4+30,"Próximo a vencer","Vigente"))</x:f>
        <x:v>Vencido</x:v>
      </x:c>
      <x:c r="U6" s="89" t="str">
        <x:v>Médico Ocupacional</x:v>
      </x:c>
      <x:c r="V6" s="90" t="str">
        <x:v>Se recomienda seguimiento por comité SST</x:v>
      </x:c>
    </x:row>
    <x:row r="7">
      <x:c r="A7" s="88" t="n">
        <x:v>2025</x:v>
      </x:c>
      <x:c r="B7" s="89" t="str">
        <x:v>EMO-2025-0006</x:v>
      </x:c>
      <x:c r="C7" s="106" t="n">
        <x:v>45778</x:v>
      </x:c>
      <x:c r="D7" s="89" t="str">
        <x:v>Periódico</x:v>
      </x:c>
      <x:c r="E7" s="89" t="str">
        <x:v>995299055</x:v>
      </x:c>
      <x:c r="F7" s="89" t="str">
        <x:v>Yulieth Diego Hernández Martínez</x:v>
      </x:c>
      <x:c r="G7" s="89" t="str">
        <x:v>Vigilante</x:v>
      </x:c>
      <x:c r="H7" s="89" t="str">
        <x:v>Tibú</x:v>
      </x:c>
      <x:c r="I7" s="89" t="str">
        <x:v>Operaciones</x:v>
      </x:c>
      <x:c r="J7" s="89" t="str">
        <x:v>Centro Médico Laboral Andino</x:v>
      </x:c>
      <x:c r="K7" s="89" t="str">
        <x:v>Apto</x:v>
      </x:c>
      <x:c r="L7" s="89" t="str"/>
      <x:c r="M7" s="89" t="str">
        <x:v>Continuar controles periódicos anuales</x:v>
      </x:c>
      <x:c r="N7" s="112" t="n">
        <x:v>12</x:v>
      </x:c>
      <x:c r="O7" s="106" t="n">
        <x:f>EDATE(C7,N7)</x:f>
        <x:v>46143</x:v>
      </x:c>
      <x:c r="P7" s="89" t="str">
        <x:v>G56.0 Síndrome túnel carpiano</x:v>
      </x:c>
      <x:c r="Q7" s="89" t="str">
        <x:v>No</x:v>
      </x:c>
      <x:c r="R7" s="89" t="str"/>
      <x:c r="S7" s="106"/>
      <x:c r="T7" s="89" t="str">
        <x:f>IF(O7&lt;Instructivo!$B$4,"Vencido",IF(O7&lt;=Instructivo!$B$4+30,"Próximo a vencer","Vigente"))</x:f>
        <x:v>Vencido</x:v>
      </x:c>
      <x:c r="U7" s="89" t="str">
        <x:v>Líder SST</x:v>
      </x:c>
      <x:c r="V7" s="90" t="str">
        <x:v>Registro completo y soportado en historia ocupacional</x:v>
      </x:c>
    </x:row>
    <x:row r="8">
      <x:c r="A8" s="88" t="n">
        <x:v>2025</x:v>
      </x:c>
      <x:c r="B8" s="89" t="str">
        <x:v>EMO-2025-0007</x:v>
      </x:c>
      <x:c r="C8" s="106" t="n">
        <x:v>45924</x:v>
      </x:c>
      <x:c r="D8" s="89" t="str">
        <x:v>Periódico</x:v>
      </x:c>
      <x:c r="E8" s="89" t="str">
        <x:v>792022698</x:v>
      </x:c>
      <x:c r="F8" s="89" t="str">
        <x:v>Tatiana Felipe Gómez Gómez</x:v>
      </x:c>
      <x:c r="G8" s="89" t="str">
        <x:v>Supervisor motorizado</x:v>
      </x:c>
      <x:c r="H8" s="89" t="str">
        <x:v>Valledupar</x:v>
      </x:c>
      <x:c r="I8" s="89" t="str">
        <x:v>Operaciones</x:v>
      </x:c>
      <x:c r="J8" s="89" t="str">
        <x:v>Centro Médico Laboral Andino</x:v>
      </x:c>
      <x:c r="K8" s="89" t="str">
        <x:v>Apto</x:v>
      </x:c>
      <x:c r="L8" s="89" t="str"/>
      <x:c r="M8" s="89" t="str">
        <x:v>Continuar controles periódicos anuales</x:v>
      </x:c>
      <x:c r="N8" s="112" t="n">
        <x:v>12</x:v>
      </x:c>
      <x:c r="O8" s="106" t="n">
        <x:f>EDATE(C8,N8)</x:f>
        <x:v>46289</x:v>
      </x:c>
      <x:c r="P8" s="89" t="str">
        <x:v>G56.0 Síndrome túnel carpiano</x:v>
      </x:c>
      <x:c r="Q8" s="89" t="str">
        <x:v>Sí</x:v>
      </x:c>
      <x:c r="R8" s="89" t="str">
        <x:v>Optometría</x:v>
      </x:c>
      <x:c r="S8" s="106" t="n">
        <x:v>45984</x:v>
      </x:c>
      <x:c r="T8" s="89" t="str">
        <x:f>IF(O8&lt;Instructivo!$B$4,"Vencido",IF(O8&lt;=Instructivo!$B$4+30,"Próximo a vencer","Vigente"))</x:f>
        <x:v>Vigente</x:v>
      </x:c>
      <x:c r="U8" s="89" t="str">
        <x:v>Líder SST</x:v>
      </x:c>
      <x:c r="V8" s="90" t="str">
        <x:v>Sin novedades adicionales</x:v>
      </x:c>
    </x:row>
    <x:row r="9">
      <x:c r="A9" s="88" t="n">
        <x:v>2025</x:v>
      </x:c>
      <x:c r="B9" s="89" t="str">
        <x:v>EMO-2025-0008</x:v>
      </x:c>
      <x:c r="C9" s="106" t="n">
        <x:v>45711</x:v>
      </x:c>
      <x:c r="D9" s="89" t="str">
        <x:v>Periódico</x:v>
      </x:c>
      <x:c r="E9" s="89" t="str">
        <x:v>846406444</x:v>
      </x:c>
      <x:c r="F9" s="89" t="str">
        <x:v>Álvaro Álvaro Cárdenas Sánchez</x:v>
      </x:c>
      <x:c r="G9" s="89" t="str">
        <x:v>Vigilante</x:v>
      </x:c>
      <x:c r="H9" s="89" t="str">
        <x:v>Girón</x:v>
      </x:c>
      <x:c r="I9" s="89" t="str">
        <x:v>Operaciones</x:v>
      </x:c>
      <x:c r="J9" s="89" t="str">
        <x:v>IPS Prevencionar</x:v>
      </x:c>
      <x:c r="K9" s="89" t="str">
        <x:v>Apto</x:v>
      </x:c>
      <x:c r="L9" s="89" t="str"/>
      <x:c r="M9" s="89" t="str">
        <x:v>Uso permanente de EPP</x:v>
      </x:c>
      <x:c r="N9" s="112" t="n">
        <x:v>12</x:v>
      </x:c>
      <x:c r="O9" s="106" t="n">
        <x:f>EDATE(C9,N9)</x:f>
        <x:v>46076</x:v>
      </x:c>
      <x:c r="P9" s="89" t="str">
        <x:v>H52.4 Presbicia</x:v>
      </x:c>
      <x:c r="Q9" s="89" t="str">
        <x:v>No</x:v>
      </x:c>
      <x:c r="R9" s="89" t="str"/>
      <x:c r="S9" s="106"/>
      <x:c r="T9" s="89" t="str">
        <x:f>IF(O9&lt;Instructivo!$B$4,"Vencido",IF(O9&lt;=Instructivo!$B$4+30,"Próximo a vencer","Vigente"))</x:f>
        <x:v>Vencido</x:v>
      </x:c>
      <x:c r="U9" s="89" t="str">
        <x:v>Analista SST</x:v>
      </x:c>
      <x:c r="V9" s="90" t="str">
        <x:v>Pendiente firma de concepto médico</x:v>
      </x:c>
    </x:row>
    <x:row r="10">
      <x:c r="A10" s="88" t="n">
        <x:v>2025</x:v>
      </x:c>
      <x:c r="B10" s="89" t="str">
        <x:v>EMO-2025-0009</x:v>
      </x:c>
      <x:c r="C10" s="106" t="n">
        <x:v>45663</x:v>
      </x:c>
      <x:c r="D10" s="89" t="str">
        <x:v>Periódico</x:v>
      </x:c>
      <x:c r="E10" s="89" t="str">
        <x:v>742785277</x:v>
      </x:c>
      <x:c r="F10" s="89" t="str">
        <x:v>Ana José Sánchez López</x:v>
      </x:c>
      <x:c r="G10" s="89" t="str">
        <x:v>Operador de medios tecnológicos</x:v>
      </x:c>
      <x:c r="H10" s="89" t="str">
        <x:v>Ocaña</x:v>
      </x:c>
      <x:c r="I10" s="89" t="str">
        <x:v>Medios Tecnológicos</x:v>
      </x:c>
      <x:c r="J10" s="89" t="str">
        <x:v>Centro Médico Laboral Andino</x:v>
      </x:c>
      <x:c r="K10" s="89" t="str">
        <x:v>Apto</x:v>
      </x:c>
      <x:c r="L10" s="89" t="str"/>
      <x:c r="M10" s="89" t="str">
        <x:v>Mantener estilos de vida saludable</x:v>
      </x:c>
      <x:c r="N10" s="112" t="n">
        <x:v>12</x:v>
      </x:c>
      <x:c r="O10" s="106" t="n">
        <x:f>EDATE(C10,N10)</x:f>
        <x:v>46028</x:v>
      </x:c>
      <x:c r="P10" s="89" t="str">
        <x:v>H52.4 Presbicia</x:v>
      </x:c>
      <x:c r="Q10" s="89" t="str">
        <x:v>No</x:v>
      </x:c>
      <x:c r="R10" s="89" t="str"/>
      <x:c r="S10" s="106"/>
      <x:c r="T10" s="89" t="str">
        <x:f>IF(O10&lt;Instructivo!$B$4,"Vencido",IF(O10&lt;=Instructivo!$B$4+30,"Próximo a vencer","Vigente"))</x:f>
        <x:v>Vencido</x:v>
      </x:c>
      <x:c r="U10" s="89" t="str">
        <x:v>Médico Ocupacional</x:v>
      </x:c>
      <x:c r="V10" s="90" t="str">
        <x:v>Requiere revisión de puesto de trabajo</x:v>
      </x:c>
    </x:row>
    <x:row r="11">
      <x:c r="A11" s="88" t="n">
        <x:v>2025</x:v>
      </x:c>
      <x:c r="B11" s="89" t="str">
        <x:v>EMO-2025-0010</x:v>
      </x:c>
      <x:c r="C11" s="106" t="n">
        <x:v>45770</x:v>
      </x:c>
      <x:c r="D11" s="89" t="str">
        <x:v>Periódico</x:v>
      </x:c>
      <x:c r="E11" s="89" t="str">
        <x:v>804607488</x:v>
      </x:c>
      <x:c r="F11" s="89" t="str">
        <x:v>Sergio Álvaro Ramírez Moreno</x:v>
      </x:c>
      <x:c r="G11" s="89" t="str">
        <x:v>Escolta</x:v>
      </x:c>
      <x:c r="H11" s="89" t="str">
        <x:v>Barrancabermeja</x:v>
      </x:c>
      <x:c r="I11" s="89" t="str">
        <x:v>Escoltas</x:v>
      </x:c>
      <x:c r="J11" s="89" t="str">
        <x:v>Salud Integral Ocupacional</x:v>
      </x:c>
      <x:c r="K11" s="89" t="str">
        <x:v>Apto</x:v>
      </x:c>
      <x:c r="L11" s="89" t="str"/>
      <x:c r="M11" s="89" t="str">
        <x:v>Continuar controles periódicos anuales</x:v>
      </x:c>
      <x:c r="N11" s="112" t="n">
        <x:v>12</x:v>
      </x:c>
      <x:c r="O11" s="106" t="n">
        <x:f>EDATE(C11,N11)</x:f>
        <x:v>46135</x:v>
      </x:c>
      <x:c r="P11" s="89" t="str">
        <x:v>M75.1 Lesión de hombro</x:v>
      </x:c>
      <x:c r="Q11" s="89" t="str">
        <x:v>No</x:v>
      </x:c>
      <x:c r="R11" s="89" t="str"/>
      <x:c r="S11" s="106"/>
      <x:c r="T11" s="89" t="str">
        <x:f>IF(O11&lt;Instructivo!$B$4,"Vencido",IF(O11&lt;=Instructivo!$B$4+30,"Próximo a vencer","Vigente"))</x:f>
        <x:v>Vencido</x:v>
      </x:c>
      <x:c r="U11" s="89" t="str">
        <x:v>Coordinador de Talento Humano</x:v>
      </x:c>
      <x:c r="V11" s="90" t="str">
        <x:v>Registro completo y soportado en historia ocupacional</x:v>
      </x:c>
    </x:row>
    <x:row r="12">
      <x:c r="A12" s="88" t="n">
        <x:v>2025</x:v>
      </x:c>
      <x:c r="B12" s="89" t="str">
        <x:v>EMO-2025-0011</x:v>
      </x:c>
      <x:c r="C12" s="106" t="n">
        <x:v>45730</x:v>
      </x:c>
      <x:c r="D12" s="89" t="str">
        <x:v>Periódico</x:v>
      </x:c>
      <x:c r="E12" s="89" t="str">
        <x:v>467718473</x:v>
      </x:c>
      <x:c r="F12" s="89" t="str">
        <x:v>Yulieth Laura Gómez Cárdenas</x:v>
      </x:c>
      <x:c r="G12" s="89" t="str">
        <x:v>Operador de medios tecnológicos</x:v>
      </x:c>
      <x:c r="H12" s="89" t="str">
        <x:v>Cúcuta</x:v>
      </x:c>
      <x:c r="I12" s="89" t="str">
        <x:v>Medios Tecnológicos</x:v>
      </x:c>
      <x:c r="J12" s="89" t="str">
        <x:v>Salud Integral Ocupacional</x:v>
      </x:c>
      <x:c r="K12" s="89" t="str">
        <x:v>Apto</x:v>
      </x:c>
      <x:c r="L12" s="89" t="str"/>
      <x:c r="M12" s="89" t="str">
        <x:v>Continuar controles periódicos anuales</x:v>
      </x:c>
      <x:c r="N12" s="112" t="n">
        <x:v>12</x:v>
      </x:c>
      <x:c r="O12" s="106" t="n">
        <x:f>EDATE(C12,N12)</x:f>
        <x:v>46095</x:v>
      </x:c>
      <x:c r="P12" s="89" t="str">
        <x:v>E66.9 Obesidad</x:v>
      </x:c>
      <x:c r="Q12" s="89" t="str">
        <x:v>No</x:v>
      </x:c>
      <x:c r="R12" s="89" t="str"/>
      <x:c r="S12" s="106"/>
      <x:c r="T12" s="89" t="str">
        <x:f>IF(O12&lt;Instructivo!$B$4,"Vencido",IF(O12&lt;=Instructivo!$B$4+30,"Próximo a vencer","Vigente"))</x:f>
        <x:v>Vencido</x:v>
      </x:c>
      <x:c r="U12" s="89" t="str">
        <x:v>Líder SST</x:v>
      </x:c>
      <x:c r="V12" s="90" t="str">
        <x:v>Caso priorizado por restricciones activas</x:v>
      </x:c>
    </x:row>
    <x:row r="13">
      <x:c r="A13" s="88" t="n">
        <x:v>2025</x:v>
      </x:c>
      <x:c r="B13" s="89" t="str">
        <x:v>EMO-2025-0012</x:v>
      </x:c>
      <x:c r="C13" s="106" t="n">
        <x:v>45969</x:v>
      </x:c>
      <x:c r="D13" s="89" t="str">
        <x:v>Periódico</x:v>
      </x:c>
      <x:c r="E13" s="89" t="str">
        <x:v>123556551</x:v>
      </x:c>
      <x:c r="F13" s="89" t="str">
        <x:v>Kevin Jhon Castro Martínez</x:v>
      </x:c>
      <x:c r="G13" s="89" t="str">
        <x:v>Vigilante</x:v>
      </x:c>
      <x:c r="H13" s="89" t="str">
        <x:v>Valledupar</x:v>
      </x:c>
      <x:c r="I13" s="89" t="str">
        <x:v>Operaciones</x:v>
      </x:c>
      <x:c r="J13" s="89" t="str">
        <x:v>Centro Médico Laboral Andino</x:v>
      </x:c>
      <x:c r="K13" s="89" t="str">
        <x:v>Apto</x:v>
      </x:c>
      <x:c r="L13" s="89" t="str"/>
      <x:c r="M13" s="89" t="str">
        <x:v>Participar en programas de vigilancia epidemiológica</x:v>
      </x:c>
      <x:c r="N13" s="112" t="n">
        <x:v>12</x:v>
      </x:c>
      <x:c r="O13" s="106" t="n">
        <x:f>EDATE(C13,N13)</x:f>
        <x:v>46334</x:v>
      </x:c>
      <x:c r="P13" s="89" t="str">
        <x:v>G56.0 Síndrome túnel carpiano</x:v>
      </x:c>
      <x:c r="Q13" s="89" t="str">
        <x:v>No</x:v>
      </x:c>
      <x:c r="R13" s="89" t="str"/>
      <x:c r="S13" s="106"/>
      <x:c r="T13" s="89" t="str">
        <x:f>IF(O13&lt;Instructivo!$B$4,"Vencido",IF(O13&lt;=Instructivo!$B$4+30,"Próximo a vencer","Vigente"))</x:f>
        <x:v>Vigente</x:v>
      </x:c>
      <x:c r="U13" s="89" t="str">
        <x:v>Médico Ocupacional</x:v>
      </x:c>
      <x:c r="V13" s="90" t="str">
        <x:v>Registro completo y soportado en historia ocupacional</x:v>
      </x:c>
    </x:row>
    <x:row r="14">
      <x:c r="A14" s="88" t="n">
        <x:v>2025</x:v>
      </x:c>
      <x:c r="B14" s="89" t="str">
        <x:v>EMO-2025-0013</x:v>
      </x:c>
      <x:c r="C14" s="106" t="n">
        <x:v>45985</x:v>
      </x:c>
      <x:c r="D14" s="89" t="str">
        <x:v>Periódico</x:v>
      </x:c>
      <x:c r="E14" s="89" t="str">
        <x:v>673351868</x:v>
      </x:c>
      <x:c r="F14" s="89" t="str">
        <x:v>Sergio Miguel Torres Cárdenas</x:v>
      </x:c>
      <x:c r="G14" s="89" t="str">
        <x:v>Vigilante</x:v>
      </x:c>
      <x:c r="H14" s="89" t="str">
        <x:v>Cúcuta</x:v>
      </x:c>
      <x:c r="I14" s="89" t="str">
        <x:v>Operaciones</x:v>
      </x:c>
      <x:c r="J14" s="89" t="str">
        <x:v>Centro Médico Laboral Andino</x:v>
      </x:c>
      <x:c r="K14" s="89" t="str">
        <x:v>Apto</x:v>
      </x:c>
      <x:c r="L14" s="89" t="str"/>
      <x:c r="M14" s="89" t="str">
        <x:v>Continuar controles periódicos anuales</x:v>
      </x:c>
      <x:c r="N14" s="112" t="n">
        <x:v>12</x:v>
      </x:c>
      <x:c r="O14" s="106" t="n">
        <x:f>EDATE(C14,N14)</x:f>
        <x:v>46350</x:v>
      </x:c>
      <x:c r="P14" s="89" t="str">
        <x:v>M75.1 Lesión de hombro</x:v>
      </x:c>
      <x:c r="Q14" s="89" t="str">
        <x:v>No</x:v>
      </x:c>
      <x:c r="R14" s="89" t="str"/>
      <x:c r="S14" s="106"/>
      <x:c r="T14" s="89" t="str">
        <x:f>IF(O14&lt;Instructivo!$B$4,"Vencido",IF(O14&lt;=Instructivo!$B$4+30,"Próximo a vencer","Vigente"))</x:f>
        <x:v>Vigente</x:v>
      </x:c>
      <x:c r="U14" s="89" t="str">
        <x:v>Médico Ocupacional</x:v>
      </x:c>
      <x:c r="V14" s="90" t="str">
        <x:v>Se recomienda seguimiento por comité SST</x:v>
      </x:c>
    </x:row>
    <x:row r="15">
      <x:c r="A15" s="88" t="n">
        <x:v>2025</x:v>
      </x:c>
      <x:c r="B15" s="89" t="str">
        <x:v>EMO-2025-0014</x:v>
      </x:c>
      <x:c r="C15" s="106" t="n">
        <x:v>45747</x:v>
      </x:c>
      <x:c r="D15" s="89" t="str">
        <x:v>Periódico</x:v>
      </x:c>
      <x:c r="E15" s="89" t="str">
        <x:v>783123709</x:v>
      </x:c>
      <x:c r="F15" s="89" t="str">
        <x:v>Julián Carlos Gómez Díaz</x:v>
      </x:c>
      <x:c r="G15" s="89" t="str">
        <x:v>Vigilante</x:v>
      </x:c>
      <x:c r="H15" s="89" t="str">
        <x:v>Bogotá</x:v>
      </x:c>
      <x:c r="I15" s="89" t="str">
        <x:v>Operaciones</x:v>
      </x:c>
      <x:c r="J15" s="89" t="str">
        <x:v>Colmédica Ocupacional</x:v>
      </x:c>
      <x:c r="K15" s="89" t="str">
        <x:v>Apto con restricciones</x:v>
      </x:c>
      <x:c r="L15" s="89" t="str">
        <x:v>Evitar levantamiento de cargas mayores a 15 kg</x:v>
      </x:c>
      <x:c r="M15" s="89" t="str">
        <x:v>Seguimiento por medicina laboral en 3 meses</x:v>
      </x:c>
      <x:c r="N15" s="112" t="n">
        <x:v>12</x:v>
      </x:c>
      <x:c r="O15" s="106" t="n">
        <x:f>EDATE(C15,N15)</x:f>
        <x:v>46112</x:v>
      </x:c>
      <x:c r="P15" s="89" t="str">
        <x:v>I10 Hipertensión esencial</x:v>
      </x:c>
      <x:c r="Q15" s="89" t="str">
        <x:v>Sí</x:v>
      </x:c>
      <x:c r="R15" s="89" t="str">
        <x:v>Cardiometabólico</x:v>
      </x:c>
      <x:c r="S15" s="106" t="n">
        <x:v>45807</x:v>
      </x:c>
      <x:c r="T15" s="89" t="str">
        <x:f>IF(O15&lt;Instructivo!$B$4,"Vencido",IF(O15&lt;=Instructivo!$B$4+30,"Próximo a vencer","Vigente"))</x:f>
        <x:v>Vencido</x:v>
      </x:c>
      <x:c r="U15" s="89" t="str">
        <x:v>Líder SST</x:v>
      </x:c>
      <x:c r="V15" s="90" t="str">
        <x:v>Registro completo y soportado en historia ocupacional</x:v>
      </x:c>
    </x:row>
    <x:row r="16">
      <x:c r="A16" s="88" t="n">
        <x:v>2025</x:v>
      </x:c>
      <x:c r="B16" s="89" t="str">
        <x:v>EMO-2025-0015</x:v>
      </x:c>
      <x:c r="C16" s="106" t="n">
        <x:v>45862</x:v>
      </x:c>
      <x:c r="D16" s="89" t="str">
        <x:v>Reintegro</x:v>
      </x:c>
      <x:c r="E16" s="89" t="str">
        <x:v>421192619</x:v>
      </x:c>
      <x:c r="F16" s="89" t="str">
        <x:v>Luisa Tatiana Martínez Torres</x:v>
      </x:c>
      <x:c r="G16" s="89" t="str">
        <x:v>Supervisor de puesto</x:v>
      </x:c>
      <x:c r="H16" s="89" t="str">
        <x:v>Tibú</x:v>
      </x:c>
      <x:c r="I16" s="89" t="str">
        <x:v>Operaciones</x:v>
      </x:c>
      <x:c r="J16" s="89" t="str">
        <x:v>IPS Ocupasalud SAS</x:v>
      </x:c>
      <x:c r="K16" s="89" t="str">
        <x:v>Apto</x:v>
      </x:c>
      <x:c r="L16" s="89" t="str"/>
      <x:c r="M16" s="89" t="str">
        <x:v>Participar en programas de vigilancia epidemiológica</x:v>
      </x:c>
      <x:c r="N16" s="112" t="n">
        <x:v>6</x:v>
      </x:c>
      <x:c r="O16" s="106" t="n">
        <x:f>EDATE(C16,N16)</x:f>
        <x:v>46046</x:v>
      </x:c>
      <x:c r="P16" s="89" t="str">
        <x:v>H52.4 Presbicia</x:v>
      </x:c>
      <x:c r="Q16" s="89" t="str">
        <x:v>No</x:v>
      </x:c>
      <x:c r="R16" s="89" t="str"/>
      <x:c r="S16" s="106"/>
      <x:c r="T16" s="89" t="str">
        <x:f>IF(O16&lt;Instructivo!$B$4,"Vencido",IF(O16&lt;=Instructivo!$B$4+30,"Próximo a vencer","Vigente"))</x:f>
        <x:v>Vencido</x:v>
      </x:c>
      <x:c r="U16" s="89" t="str">
        <x:v>Coordinador de Talento Humano</x:v>
      </x:c>
      <x:c r="V16" s="90" t="str">
        <x:v>Sin novedades adicionales</x:v>
      </x:c>
    </x:row>
    <x:row r="17">
      <x:c r="A17" s="88" t="n">
        <x:v>2025</x:v>
      </x:c>
      <x:c r="B17" s="89" t="str">
        <x:v>EMO-2025-0016</x:v>
      </x:c>
      <x:c r="C17" s="106" t="n">
        <x:v>45920</x:v>
      </x:c>
      <x:c r="D17" s="89" t="str">
        <x:v>Periódico</x:v>
      </x:c>
      <x:c r="E17" s="89" t="str">
        <x:v>644553384</x:v>
      </x:c>
      <x:c r="F17" s="89" t="str">
        <x:v>Laura Yulieth Sánchez Díaz</x:v>
      </x:c>
      <x:c r="G17" s="89" t="str">
        <x:v>Auxiliar administrativo</x:v>
      </x:c>
      <x:c r="H17" s="89" t="str">
        <x:v>Ocaña</x:v>
      </x:c>
      <x:c r="I17" s="89" t="str">
        <x:v>Administrativa</x:v>
      </x:c>
      <x:c r="J17" s="89" t="str">
        <x:v>IPS Ocupasalud SAS</x:v>
      </x:c>
      <x:c r="K17" s="89" t="str">
        <x:v>Apto con restricciones</x:v>
      </x:c>
      <x:c r="L17" s="89" t="str">
        <x:v>Pausas activas cada 2 horas</x:v>
      </x:c>
      <x:c r="M17" s="89" t="str">
        <x:v>Capacitación ergonómica y seguimiento SST</x:v>
      </x:c>
      <x:c r="N17" s="112" t="n">
        <x:v>12</x:v>
      </x:c>
      <x:c r="O17" s="106" t="n">
        <x:f>EDATE(C17,N17)</x:f>
        <x:v>46285</x:v>
      </x:c>
      <x:c r="P17" s="89" t="str">
        <x:v>E66.9 Obesidad</x:v>
      </x:c>
      <x:c r="Q17" s="89" t="str">
        <x:v>Sí</x:v>
      </x:c>
      <x:c r="R17" s="89" t="str">
        <x:v>Psicosocial</x:v>
      </x:c>
      <x:c r="S17" s="106" t="n">
        <x:v>46040</x:v>
      </x:c>
      <x:c r="T17" s="89" t="str">
        <x:f>IF(O17&lt;Instructivo!$B$4,"Vencido",IF(O17&lt;=Instructivo!$B$4+30,"Próximo a vencer","Vigente"))</x:f>
        <x:v>Vigente</x:v>
      </x:c>
      <x:c r="U17" s="89" t="str">
        <x:v>Médico Ocupacional</x:v>
      </x:c>
      <x:c r="V17" s="90" t="str">
        <x:v>Requiere revisión de puesto de trabajo</x:v>
      </x:c>
    </x:row>
    <x:row r="18">
      <x:c r="A18" s="88" t="n">
        <x:v>2025</x:v>
      </x:c>
      <x:c r="B18" s="89" t="str">
        <x:v>EMO-2025-0017</x:v>
      </x:c>
      <x:c r="C18" s="106" t="n">
        <x:v>45703</x:v>
      </x:c>
      <x:c r="D18" s="89" t="str">
        <x:v>Ingreso</x:v>
      </x:c>
      <x:c r="E18" s="89" t="str">
        <x:v>702221854</x:v>
      </x:c>
      <x:c r="F18" s="89" t="str">
        <x:v>Álvaro Sergio Sánchez Suárez</x:v>
      </x:c>
      <x:c r="G18" s="89" t="str">
        <x:v>Vigilante</x:v>
      </x:c>
      <x:c r="H18" s="89" t="str">
        <x:v>Girón</x:v>
      </x:c>
      <x:c r="I18" s="89" t="str">
        <x:v>Operaciones</x:v>
      </x:c>
      <x:c r="J18" s="89" t="str">
        <x:v>Colmédica Ocupacional</x:v>
      </x:c>
      <x:c r="K18" s="89" t="str">
        <x:v>Apto con restricciones</x:v>
      </x:c>
      <x:c r="L18" s="89" t="str">
        <x:v>Evitar levantamiento de cargas mayores a 15 kg</x:v>
      </x:c>
      <x:c r="M18" s="89" t="str">
        <x:v>Control por optometría/medicina general</x:v>
      </x:c>
      <x:c r="N18" s="112" t="n">
        <x:v>12</x:v>
      </x:c>
      <x:c r="O18" s="106" t="n">
        <x:f>EDATE(C18,N18)</x:f>
        <x:v>46068</x:v>
      </x:c>
      <x:c r="P18" s="89" t="str">
        <x:v>H52.4 Presbicia</x:v>
      </x:c>
      <x:c r="Q18" s="89" t="str">
        <x:v>Sí</x:v>
      </x:c>
      <x:c r="R18" s="89" t="str">
        <x:v>Cardiometabólico</x:v>
      </x:c>
      <x:c r="S18" s="106" t="n">
        <x:v>45823</x:v>
      </x:c>
      <x:c r="T18" s="89" t="str">
        <x:f>IF(O18&lt;Instructivo!$B$4,"Vencido",IF(O18&lt;=Instructivo!$B$4+30,"Próximo a vencer","Vigente"))</x:f>
        <x:v>Vencido</x:v>
      </x:c>
      <x:c r="U18" s="89" t="str">
        <x:v>Líder SST</x:v>
      </x:c>
      <x:c r="V18" s="90" t="str">
        <x:v>Registro completo y soportado en historia ocupacional</x:v>
      </x:c>
    </x:row>
    <x:row r="19">
      <x:c r="A19" s="88" t="n">
        <x:v>2025</x:v>
      </x:c>
      <x:c r="B19" s="89" t="str">
        <x:v>EMO-2025-0018</x:v>
      </x:c>
      <x:c r="C19" s="106" t="n">
        <x:v>45664</x:v>
      </x:c>
      <x:c r="D19" s="89" t="str">
        <x:v>Periódico</x:v>
      </x:c>
      <x:c r="E19" s="89" t="str">
        <x:v>103678638</x:v>
      </x:c>
      <x:c r="F19" s="89" t="str">
        <x:v>Karen Sergio Parra Torres</x:v>
      </x:c>
      <x:c r="G19" s="89" t="str">
        <x:v>Vigilante</x:v>
      </x:c>
      <x:c r="H19" s="89" t="str">
        <x:v>Cúcuta</x:v>
      </x:c>
      <x:c r="I19" s="89" t="str">
        <x:v>Operaciones</x:v>
      </x:c>
      <x:c r="J19" s="89" t="str">
        <x:v>Colmédica Ocupacional</x:v>
      </x:c>
      <x:c r="K19" s="89" t="str">
        <x:v>Apto</x:v>
      </x:c>
      <x:c r="L19" s="89" t="str"/>
      <x:c r="M19" s="89" t="str">
        <x:v>Uso permanente de EPP</x:v>
      </x:c>
      <x:c r="N19" s="112" t="n">
        <x:v>12</x:v>
      </x:c>
      <x:c r="O19" s="106" t="n">
        <x:f>EDATE(C19,N19)</x:f>
        <x:v>46029</x:v>
      </x:c>
      <x:c r="P19" s="89" t="str">
        <x:v>H52.4 Presbicia</x:v>
      </x:c>
      <x:c r="Q19" s="89" t="str">
        <x:v>No</x:v>
      </x:c>
      <x:c r="R19" s="89" t="str"/>
      <x:c r="S19" s="106"/>
      <x:c r="T19" s="89" t="str">
        <x:f>IF(O19&lt;Instructivo!$B$4,"Vencido",IF(O19&lt;=Instructivo!$B$4+30,"Próximo a vencer","Vigente"))</x:f>
        <x:v>Vencido</x:v>
      </x:c>
      <x:c r="U19" s="89" t="str">
        <x:v>Coordinador de Talento Humano</x:v>
      </x:c>
      <x:c r="V19" s="90" t="str">
        <x:v>Requiere revisión de puesto de trabajo</x:v>
      </x:c>
    </x:row>
    <x:row r="20">
      <x:c r="A20" s="88" t="n">
        <x:v>2025</x:v>
      </x:c>
      <x:c r="B20" s="89" t="str">
        <x:v>EMO-2025-0019</x:v>
      </x:c>
      <x:c r="C20" s="106" t="n">
        <x:v>45796</x:v>
      </x:c>
      <x:c r="D20" s="89" t="str">
        <x:v>Periódico</x:v>
      </x:c>
      <x:c r="E20" s="89" t="str">
        <x:v>819164991</x:v>
      </x:c>
      <x:c r="F20" s="89" t="str">
        <x:v>Jhon Camilo Díaz Sánchez</x:v>
      </x:c>
      <x:c r="G20" s="89" t="str">
        <x:v>Conductor</x:v>
      </x:c>
      <x:c r="H20" s="89" t="str">
        <x:v>Pamplona</x:v>
      </x:c>
      <x:c r="I20" s="89" t="str">
        <x:v>Logística</x:v>
      </x:c>
      <x:c r="J20" s="89" t="str">
        <x:v>Salud Integral Ocupacional</x:v>
      </x:c>
      <x:c r="K20" s="89" t="str">
        <x:v>Apto con restricciones</x:v>
      </x:c>
      <x:c r="L20" s="89" t="str">
        <x:v>Evitar levantamiento de cargas mayores a 15 kg</x:v>
      </x:c>
      <x:c r="M20" s="89" t="str">
        <x:v>Seguimiento por medicina laboral en 3 meses</x:v>
      </x:c>
      <x:c r="N20" s="112" t="n">
        <x:v>12</x:v>
      </x:c>
      <x:c r="O20" s="106" t="n">
        <x:f>EDATE(C20,N20)</x:f>
        <x:v>46161</x:v>
      </x:c>
      <x:c r="P20" s="89" t="str">
        <x:v>M54.5 Lumbalgia</x:v>
      </x:c>
      <x:c r="Q20" s="89" t="str">
        <x:v>Sí</x:v>
      </x:c>
      <x:c r="R20" s="89" t="str">
        <x:v>Optometría</x:v>
      </x:c>
      <x:c r="S20" s="106" t="n">
        <x:v>45886</x:v>
      </x:c>
      <x:c r="T20" s="89" t="str">
        <x:f>IF(O20&lt;Instructivo!$B$4,"Vencido",IF(O20&lt;=Instructivo!$B$4+30,"Próximo a vencer","Vigente"))</x:f>
        <x:v>Vencido</x:v>
      </x:c>
      <x:c r="U20" s="89" t="str">
        <x:v>Coordinador de Talento Humano</x:v>
      </x:c>
      <x:c r="V20" s="90" t="str">
        <x:v>Se recomienda seguimiento por comité SST</x:v>
      </x:c>
    </x:row>
    <x:row r="21">
      <x:c r="A21" s="88" t="n">
        <x:v>2025</x:v>
      </x:c>
      <x:c r="B21" s="89" t="str">
        <x:v>EMO-2025-0020</x:v>
      </x:c>
      <x:c r="C21" s="106" t="n">
        <x:v>45913</x:v>
      </x:c>
      <x:c r="D21" s="89" t="str">
        <x:v>Periódico</x:v>
      </x:c>
      <x:c r="E21" s="89" t="str">
        <x:v>258628891</x:v>
      </x:c>
      <x:c r="F21" s="89" t="str">
        <x:v>Luis Luisa Sánchez Pérez</x:v>
      </x:c>
      <x:c r="G21" s="89" t="str">
        <x:v>Vigilante</x:v>
      </x:c>
      <x:c r="H21" s="89" t="str">
        <x:v>Cúcuta</x:v>
      </x:c>
      <x:c r="I21" s="89" t="str">
        <x:v>Operaciones</x:v>
      </x:c>
      <x:c r="J21" s="89" t="str">
        <x:v>Centro Médico Laboral Andino</x:v>
      </x:c>
      <x:c r="K21" s="89" t="str">
        <x:v>Apto</x:v>
      </x:c>
      <x:c r="L21" s="89" t="str"/>
      <x:c r="M21" s="89" t="str">
        <x:v>Uso permanente de EPP</x:v>
      </x:c>
      <x:c r="N21" s="112" t="n">
        <x:v>12</x:v>
      </x:c>
      <x:c r="O21" s="106" t="n">
        <x:f>EDATE(C21,N21)</x:f>
        <x:v>46278</x:v>
      </x:c>
      <x:c r="P21" s="89" t="str">
        <x:v>E66.9 Obesidad</x:v>
      </x:c>
      <x:c r="Q21" s="89" t="str">
        <x:v>Sí</x:v>
      </x:c>
      <x:c r="R21" s="89" t="str">
        <x:v>Cardiometabólico</x:v>
      </x:c>
      <x:c r="S21" s="106" t="n">
        <x:v>45973</x:v>
      </x:c>
      <x:c r="T21" s="89" t="str">
        <x:f>IF(O21&lt;Instructivo!$B$4,"Vencido",IF(O21&lt;=Instructivo!$B$4+30,"Próximo a vencer","Vigente"))</x:f>
        <x:v>Vigente</x:v>
      </x:c>
      <x:c r="U21" s="89" t="str">
        <x:v>Líder SST</x:v>
      </x:c>
      <x:c r="V21" s="90" t="str">
        <x:v>Se recomienda seguimiento por comité SST</x:v>
      </x:c>
    </x:row>
    <x:row r="22">
      <x:c r="A22" s="88" t="n">
        <x:v>2025</x:v>
      </x:c>
      <x:c r="B22" s="89" t="str">
        <x:v>EMO-2025-0021</x:v>
      </x:c>
      <x:c r="C22" s="106" t="n">
        <x:v>45718</x:v>
      </x:c>
      <x:c r="D22" s="89" t="str">
        <x:v>Periódico</x:v>
      </x:c>
      <x:c r="E22" s="89" t="str">
        <x:v>562666893</x:v>
      </x:c>
      <x:c r="F22" s="89" t="str">
        <x:v>Luisa Diego Rojas Gómez</x:v>
      </x:c>
      <x:c r="G22" s="89" t="str">
        <x:v>Conductor</x:v>
      </x:c>
      <x:c r="H22" s="89" t="str">
        <x:v>Ocaña</x:v>
      </x:c>
      <x:c r="I22" s="89" t="str">
        <x:v>Logística</x:v>
      </x:c>
      <x:c r="J22" s="89" t="str">
        <x:v>IPS Prevencionar</x:v>
      </x:c>
      <x:c r="K22" s="89" t="str">
        <x:v>Apto</x:v>
      </x:c>
      <x:c r="L22" s="89" t="str"/>
      <x:c r="M22" s="89" t="str">
        <x:v>Continuar controles periódicos anuales</x:v>
      </x:c>
      <x:c r="N22" s="112" t="n">
        <x:v>12</x:v>
      </x:c>
      <x:c r="O22" s="106" t="n">
        <x:f>EDATE(C22,N22)</x:f>
        <x:v>46083</x:v>
      </x:c>
      <x:c r="P22" s="89" t="str">
        <x:v>R51 Cefalea</x:v>
      </x:c>
      <x:c r="Q22" s="89" t="str">
        <x:v>Sí</x:v>
      </x:c>
      <x:c r="R22" s="89" t="str">
        <x:v>Medicina laboral</x:v>
      </x:c>
      <x:c r="S22" s="106" t="n">
        <x:v>45778</x:v>
      </x:c>
      <x:c r="T22" s="89" t="str">
        <x:f>IF(O22&lt;Instructivo!$B$4,"Vencido",IF(O22&lt;=Instructivo!$B$4+30,"Próximo a vencer","Vigente"))</x:f>
        <x:v>Vencido</x:v>
      </x:c>
      <x:c r="U22" s="89" t="str">
        <x:v>Médico Ocupacional</x:v>
      </x:c>
      <x:c r="V22" s="90" t="str">
        <x:v>Registro completo y soportado en historia ocupacional</x:v>
      </x:c>
    </x:row>
    <x:row r="23">
      <x:c r="A23" s="88" t="n">
        <x:v>2025</x:v>
      </x:c>
      <x:c r="B23" s="89" t="str">
        <x:v>EMO-2025-0022</x:v>
      </x:c>
      <x:c r="C23" s="106" t="n">
        <x:v>45677</x:v>
      </x:c>
      <x:c r="D23" s="89" t="str">
        <x:v>Ingreso</x:v>
      </x:c>
      <x:c r="E23" s="89" t="str">
        <x:v>222229110</x:v>
      </x:c>
      <x:c r="F23" s="89" t="str">
        <x:v>Laura Camilo Torres López</x:v>
      </x:c>
      <x:c r="G23" s="89" t="str">
        <x:v>Técnico de mantenimiento</x:v>
      </x:c>
      <x:c r="H23" s="89" t="str">
        <x:v>Ábrego</x:v>
      </x:c>
      <x:c r="I23" s="89" t="str">
        <x:v>Infraestructura</x:v>
      </x:c>
      <x:c r="J23" s="89" t="str">
        <x:v>IPS Prevencionar</x:v>
      </x:c>
      <x:c r="K23" s="89" t="str">
        <x:v>Apto</x:v>
      </x:c>
      <x:c r="L23" s="89" t="str"/>
      <x:c r="M23" s="89" t="str">
        <x:v>Participar en programas de vigilancia epidemiológica</x:v>
      </x:c>
      <x:c r="N23" s="112" t="n">
        <x:v>12</x:v>
      </x:c>
      <x:c r="O23" s="106" t="n">
        <x:f>EDATE(C23,N23)</x:f>
        <x:v>46042</x:v>
      </x:c>
      <x:c r="P23" s="89" t="str">
        <x:v>R51 Cefalea</x:v>
      </x:c>
      <x:c r="Q23" s="89" t="str">
        <x:v>No</x:v>
      </x:c>
      <x:c r="R23" s="89" t="str"/>
      <x:c r="S23" s="106"/>
      <x:c r="T23" s="89" t="str">
        <x:f>IF(O23&lt;Instructivo!$B$4,"Vencido",IF(O23&lt;=Instructivo!$B$4+30,"Próximo a vencer","Vigente"))</x:f>
        <x:v>Vencido</x:v>
      </x:c>
      <x:c r="U23" s="89" t="str">
        <x:v>Coordinador de Talento Humano</x:v>
      </x:c>
      <x:c r="V23" s="90" t="str">
        <x:v>Pendiente firma de concepto médico</x:v>
      </x:c>
    </x:row>
    <x:row r="24">
      <x:c r="A24" s="88" t="n">
        <x:v>2025</x:v>
      </x:c>
      <x:c r="B24" s="89" t="str">
        <x:v>EMO-2025-0023</x:v>
      </x:c>
      <x:c r="C24" s="106" t="n">
        <x:v>45720</x:v>
      </x:c>
      <x:c r="D24" s="89" t="str">
        <x:v>Periódico</x:v>
      </x:c>
      <x:c r="E24" s="89" t="str">
        <x:v>495017343</x:v>
      </x:c>
      <x:c r="F24" s="89" t="str">
        <x:v>Carlos Kevin Rodríguez Rodríguez</x:v>
      </x:c>
      <x:c r="G24" s="89" t="str">
        <x:v>Vigilante</x:v>
      </x:c>
      <x:c r="H24" s="89" t="str">
        <x:v>Bogotá</x:v>
      </x:c>
      <x:c r="I24" s="89" t="str">
        <x:v>Operaciones</x:v>
      </x:c>
      <x:c r="J24" s="89" t="str">
        <x:v>IPS Ocupasalud SAS</x:v>
      </x:c>
      <x:c r="K24" s="89" t="str">
        <x:v>Apto</x:v>
      </x:c>
      <x:c r="L24" s="89" t="str"/>
      <x:c r="M24" s="89" t="str">
        <x:v>Continuar controles periódicos anuales</x:v>
      </x:c>
      <x:c r="N24" s="112" t="n">
        <x:v>12</x:v>
      </x:c>
      <x:c r="O24" s="106" t="n">
        <x:f>EDATE(C24,N24)</x:f>
        <x:v>46085</x:v>
      </x:c>
      <x:c r="P24" s="89" t="str">
        <x:v>M75.1 Lesión de hombro</x:v>
      </x:c>
      <x:c r="Q24" s="89" t="str">
        <x:v>No</x:v>
      </x:c>
      <x:c r="R24" s="89" t="str"/>
      <x:c r="S24" s="106"/>
      <x:c r="T24" s="89" t="str">
        <x:f>IF(O24&lt;Instructivo!$B$4,"Vencido",IF(O24&lt;=Instructivo!$B$4+30,"Próximo a vencer","Vigente"))</x:f>
        <x:v>Vencido</x:v>
      </x:c>
      <x:c r="U24" s="89" t="str">
        <x:v>Líder SST</x:v>
      </x:c>
      <x:c r="V24" s="90" t="str">
        <x:v>Caso priorizado por restricciones activas</x:v>
      </x:c>
    </x:row>
    <x:row r="25">
      <x:c r="A25" s="88" t="n">
        <x:v>2025</x:v>
      </x:c>
      <x:c r="B25" s="89" t="str">
        <x:v>EMO-2025-0024</x:v>
      </x:c>
      <x:c r="C25" s="106" t="n">
        <x:v>45818</x:v>
      </x:c>
      <x:c r="D25" s="89" t="str">
        <x:v>Post-incapacidad</x:v>
      </x:c>
      <x:c r="E25" s="89" t="str">
        <x:v>588639414</x:v>
      </x:c>
      <x:c r="F25" s="89" t="str">
        <x:v>Felipe Camilo Ramírez Suárez</x:v>
      </x:c>
      <x:c r="G25" s="89" t="str">
        <x:v>Operador de medios tecnológicos</x:v>
      </x:c>
      <x:c r="H25" s="89" t="str">
        <x:v>Cúcuta</x:v>
      </x:c>
      <x:c r="I25" s="89" t="str">
        <x:v>Medios Tecnológicos</x:v>
      </x:c>
      <x:c r="J25" s="89" t="str">
        <x:v>Colmédica Ocupacional</x:v>
      </x:c>
      <x:c r="K25" s="89" t="str">
        <x:v>Apto</x:v>
      </x:c>
      <x:c r="L25" s="89" t="str"/>
      <x:c r="M25" s="89" t="str">
        <x:v>Participar en programas de vigilancia epidemiológica</x:v>
      </x:c>
      <x:c r="N25" s="112" t="n">
        <x:v>6</x:v>
      </x:c>
      <x:c r="O25" s="106" t="n">
        <x:f>EDATE(C25,N25)</x:f>
        <x:v>46001</x:v>
      </x:c>
      <x:c r="P25" s="89" t="str">
        <x:v>I10 Hipertensión esencial</x:v>
      </x:c>
      <x:c r="Q25" s="89" t="str">
        <x:v>Sí</x:v>
      </x:c>
      <x:c r="R25" s="89" t="str">
        <x:v>Ergonomía</x:v>
      </x:c>
      <x:c r="S25" s="106" t="n">
        <x:v>45908</x:v>
      </x:c>
      <x:c r="T25" s="89" t="str">
        <x:f>IF(O25&lt;Instructivo!$B$4,"Vencido",IF(O25&lt;=Instructivo!$B$4+30,"Próximo a vencer","Vigente"))</x:f>
        <x:v>Vencido</x:v>
      </x:c>
      <x:c r="U25" s="89" t="str">
        <x:v>Médico Ocupacional</x:v>
      </x:c>
      <x:c r="V25" s="90" t="str">
        <x:v>Caso priorizado por restricciones activas</x:v>
      </x:c>
    </x:row>
    <x:row r="26">
      <x:c r="A26" s="88" t="n">
        <x:v>2025</x:v>
      </x:c>
      <x:c r="B26" s="89" t="str">
        <x:v>EMO-2025-0025</x:v>
      </x:c>
      <x:c r="C26" s="106" t="n">
        <x:v>45911</x:v>
      </x:c>
      <x:c r="D26" s="89" t="str">
        <x:v>Periódico</x:v>
      </x:c>
      <x:c r="E26" s="89" t="str">
        <x:v>722721135</x:v>
      </x:c>
      <x:c r="F26" s="89" t="str">
        <x:v>Juan Diana Díaz Castro</x:v>
      </x:c>
      <x:c r="G26" s="89" t="str">
        <x:v>Vigilante</x:v>
      </x:c>
      <x:c r="H26" s="89" t="str">
        <x:v>Girón</x:v>
      </x:c>
      <x:c r="I26" s="89" t="str">
        <x:v>Operaciones</x:v>
      </x:c>
      <x:c r="J26" s="89" t="str">
        <x:v>IPS Ocupasalud SAS</x:v>
      </x:c>
      <x:c r="K26" s="89" t="str">
        <x:v>No apto</x:v>
      </x:c>
      <x:c r="L26" s="89" t="str">
        <x:v>Pendiente concepto especialista</x:v>
      </x:c>
      <x:c r="M26" s="89" t="str">
        <x:v>Definir reubicación temporal</x:v>
      </x:c>
      <x:c r="N26" s="112" t="n">
        <x:v>12</x:v>
      </x:c>
      <x:c r="O26" s="106" t="n">
        <x:f>EDATE(C26,N26)</x:f>
        <x:v>46276</x:v>
      </x:c>
      <x:c r="P26" s="89" t="str">
        <x:v>I10 Hipertensión esencial</x:v>
      </x:c>
      <x:c r="Q26" s="89" t="str">
        <x:v>Sí</x:v>
      </x:c>
      <x:c r="R26" s="89" t="str">
        <x:v>Ergonomía</x:v>
      </x:c>
      <x:c r="S26" s="106" t="n">
        <x:v>45971</x:v>
      </x:c>
      <x:c r="T26" s="89" t="str">
        <x:f>IF(O26&lt;Instructivo!$B$4,"Vencido",IF(O26&lt;=Instructivo!$B$4+30,"Próximo a vencer","Vigente"))</x:f>
        <x:v>Vigente</x:v>
      </x:c>
      <x:c r="U26" s="89" t="str">
        <x:v>Coordinador de Talento Humano</x:v>
      </x:c>
      <x:c r="V26" s="90" t="str">
        <x:v>Sin novedades adicionales</x:v>
      </x:c>
    </x:row>
    <x:row r="27">
      <x:c r="A27" s="88" t="n">
        <x:v>2025</x:v>
      </x:c>
      <x:c r="B27" s="89" t="str">
        <x:v>EMO-2025-0026</x:v>
      </x:c>
      <x:c r="C27" s="106" t="n">
        <x:v>45659</x:v>
      </x:c>
      <x:c r="D27" s="89" t="str">
        <x:v>Reintegro</x:v>
      </x:c>
      <x:c r="E27" s="89" t="str">
        <x:v>814335942</x:v>
      </x:c>
      <x:c r="F27" s="89" t="str">
        <x:v>Karen Ana Moreno Ramírez</x:v>
      </x:c>
      <x:c r="G27" s="89" t="str">
        <x:v>Escolta</x:v>
      </x:c>
      <x:c r="H27" s="89" t="str">
        <x:v>Ocaña</x:v>
      </x:c>
      <x:c r="I27" s="89" t="str">
        <x:v>Escoltas</x:v>
      </x:c>
      <x:c r="J27" s="89" t="str">
        <x:v>Centro Médico Laboral Andino</x:v>
      </x:c>
      <x:c r="K27" s="89" t="str">
        <x:v>Apto con restricciones</x:v>
      </x:c>
      <x:c r="L27" s="89" t="str">
        <x:v>Control visual y corrección óptica permanente</x:v>
      </x:c>
      <x:c r="M27" s="89" t="str">
        <x:v>Capacitación ergonómica y seguimiento SST</x:v>
      </x:c>
      <x:c r="N27" s="112" t="n">
        <x:v>6</x:v>
      </x:c>
      <x:c r="O27" s="106" t="n">
        <x:f>EDATE(C27,N27)</x:f>
        <x:v>45840</x:v>
      </x:c>
      <x:c r="P27" s="89" t="str">
        <x:v>M75.1 Lesión de hombro</x:v>
      </x:c>
      <x:c r="Q27" s="89" t="str">
        <x:v>Sí</x:v>
      </x:c>
      <x:c r="R27" s="89" t="str">
        <x:v>Medicina laboral</x:v>
      </x:c>
      <x:c r="S27" s="106" t="n">
        <x:v>45719</x:v>
      </x:c>
      <x:c r="T27" s="89" t="str">
        <x:f>IF(O27&lt;Instructivo!$B$4,"Vencido",IF(O27&lt;=Instructivo!$B$4+30,"Próximo a vencer","Vigente"))</x:f>
        <x:v>Vencido</x:v>
      </x:c>
      <x:c r="U27" s="89" t="str">
        <x:v>Médico Ocupacional</x:v>
      </x:c>
      <x:c r="V27" s="90" t="str">
        <x:v>Caso priorizado por restricciones activas</x:v>
      </x:c>
    </x:row>
    <x:row r="28">
      <x:c r="A28" s="88" t="n">
        <x:v>2025</x:v>
      </x:c>
      <x:c r="B28" s="89" t="str">
        <x:v>EMO-2025-0027</x:v>
      </x:c>
      <x:c r="C28" s="106" t="n">
        <x:v>45731</x:v>
      </x:c>
      <x:c r="D28" s="89" t="str">
        <x:v>Post-exposición</x:v>
      </x:c>
      <x:c r="E28" s="89" t="str">
        <x:v>421192619</x:v>
      </x:c>
      <x:c r="F28" s="89" t="str">
        <x:v>Luisa Tatiana Martínez Torres</x:v>
      </x:c>
      <x:c r="G28" s="89" t="str">
        <x:v>Supervisor de puesto</x:v>
      </x:c>
      <x:c r="H28" s="89" t="str">
        <x:v>Tibú</x:v>
      </x:c>
      <x:c r="I28" s="89" t="str">
        <x:v>Operaciones</x:v>
      </x:c>
      <x:c r="J28" s="89" t="str">
        <x:v>Colmédica Ocupacional</x:v>
      </x:c>
      <x:c r="K28" s="89" t="str">
        <x:v>Apto</x:v>
      </x:c>
      <x:c r="L28" s="89" t="str"/>
      <x:c r="M28" s="89" t="str">
        <x:v>Continuar controles periódicos anuales</x:v>
      </x:c>
      <x:c r="N28" s="112" t="n">
        <x:v>12</x:v>
      </x:c>
      <x:c r="O28" s="106" t="n">
        <x:f>EDATE(C28,N28)</x:f>
        <x:v>46096</x:v>
      </x:c>
      <x:c r="P28" s="89" t="str">
        <x:v>G56.0 Síndrome túnel carpiano</x:v>
      </x:c>
      <x:c r="Q28" s="89" t="str">
        <x:v>Sí</x:v>
      </x:c>
      <x:c r="R28" s="89" t="str">
        <x:v>Ergonomía</x:v>
      </x:c>
      <x:c r="S28" s="106" t="n">
        <x:v>45851</x:v>
      </x:c>
      <x:c r="T28" s="89" t="str">
        <x:f>IF(O28&lt;Instructivo!$B$4,"Vencido",IF(O28&lt;=Instructivo!$B$4+30,"Próximo a vencer","Vigente"))</x:f>
        <x:v>Vencido</x:v>
      </x:c>
      <x:c r="U28" s="89" t="str">
        <x:v>Líder SST</x:v>
      </x:c>
      <x:c r="V28" s="90" t="str">
        <x:v>Sin novedades adicionales</x:v>
      </x:c>
    </x:row>
    <x:row r="29">
      <x:c r="A29" s="88" t="n">
        <x:v>2025</x:v>
      </x:c>
      <x:c r="B29" s="89" t="str">
        <x:v>EMO-2025-0028</x:v>
      </x:c>
      <x:c r="C29" s="106" t="n">
        <x:v>45727</x:v>
      </x:c>
      <x:c r="D29" s="89" t="str">
        <x:v>Ingreso</x:v>
      </x:c>
      <x:c r="E29" s="89" t="str">
        <x:v>264442778</x:v>
      </x:c>
      <x:c r="F29" s="89" t="str">
        <x:v>Luis Yulieth Sánchez Sánchez</x:v>
      </x:c>
      <x:c r="G29" s="89" t="str">
        <x:v>Vigilante</x:v>
      </x:c>
      <x:c r="H29" s="89" t="str">
        <x:v>Medellín</x:v>
      </x:c>
      <x:c r="I29" s="89" t="str">
        <x:v>Operaciones</x:v>
      </x:c>
      <x:c r="J29" s="89" t="str">
        <x:v>Centro Médico Laboral Andino</x:v>
      </x:c>
      <x:c r="K29" s="89" t="str">
        <x:v>Apto</x:v>
      </x:c>
      <x:c r="L29" s="89" t="str"/>
      <x:c r="M29" s="89" t="str">
        <x:v>Participar en programas de vigilancia epidemiológica</x:v>
      </x:c>
      <x:c r="N29" s="112" t="n">
        <x:v>12</x:v>
      </x:c>
      <x:c r="O29" s="106" t="n">
        <x:f>EDATE(C29,N29)</x:f>
        <x:v>46092</x:v>
      </x:c>
      <x:c r="P29" s="89" t="str">
        <x:v>I10 Hipertensión esencial</x:v>
      </x:c>
      <x:c r="Q29" s="89" t="str">
        <x:v>Sí</x:v>
      </x:c>
      <x:c r="R29" s="89" t="str">
        <x:v>Cardiometabólico</x:v>
      </x:c>
      <x:c r="S29" s="106" t="n">
        <x:v>45787</x:v>
      </x:c>
      <x:c r="T29" s="89" t="str">
        <x:f>IF(O29&lt;Instructivo!$B$4,"Vencido",IF(O29&lt;=Instructivo!$B$4+30,"Próximo a vencer","Vigente"))</x:f>
        <x:v>Vencido</x:v>
      </x:c>
      <x:c r="U29" s="89" t="str">
        <x:v>Coordinador de Talento Humano</x:v>
      </x:c>
      <x:c r="V29" s="90" t="str">
        <x:v>Sin novedades adicionales</x:v>
      </x:c>
    </x:row>
    <x:row r="30">
      <x:c r="A30" s="88" t="n">
        <x:v>2025</x:v>
      </x:c>
      <x:c r="B30" s="89" t="str">
        <x:v>EMO-2025-0029</x:v>
      </x:c>
      <x:c r="C30" s="106" t="n">
        <x:v>45860</x:v>
      </x:c>
      <x:c r="D30" s="89" t="str">
        <x:v>Post-incapacidad</x:v>
      </x:c>
      <x:c r="E30" s="89" t="str">
        <x:v>915652512</x:v>
      </x:c>
      <x:c r="F30" s="89" t="str">
        <x:v>Yulieth Yulieth Castro Ramírez</x:v>
      </x:c>
      <x:c r="G30" s="89" t="str">
        <x:v>Operador de medios tecnológicos</x:v>
      </x:c>
      <x:c r="H30" s="89" t="str">
        <x:v>Barrancabermeja</x:v>
      </x:c>
      <x:c r="I30" s="89" t="str">
        <x:v>Medios Tecnológicos</x:v>
      </x:c>
      <x:c r="J30" s="89" t="str">
        <x:v>Centro Médico Laboral Andino</x:v>
      </x:c>
      <x:c r="K30" s="89" t="str">
        <x:v>Apto</x:v>
      </x:c>
      <x:c r="L30" s="89" t="str"/>
      <x:c r="M30" s="89" t="str">
        <x:v>Uso permanente de EPP</x:v>
      </x:c>
      <x:c r="N30" s="112" t="n">
        <x:v>6</x:v>
      </x:c>
      <x:c r="O30" s="106" t="n">
        <x:f>EDATE(C30,N30)</x:f>
        <x:v>46044</x:v>
      </x:c>
      <x:c r="P30" s="89" t="str">
        <x:v>M54.5 Lumbalgia</x:v>
      </x:c>
      <x:c r="Q30" s="89" t="str">
        <x:v>No</x:v>
      </x:c>
      <x:c r="R30" s="89" t="str"/>
      <x:c r="S30" s="106"/>
      <x:c r="T30" s="89" t="str">
        <x:f>IF(O30&lt;Instructivo!$B$4,"Vencido",IF(O30&lt;=Instructivo!$B$4+30,"Próximo a vencer","Vigente"))</x:f>
        <x:v>Vencido</x:v>
      </x:c>
      <x:c r="U30" s="89" t="str">
        <x:v>Analista SST</x:v>
      </x:c>
      <x:c r="V30" s="90" t="str">
        <x:v>Se recomienda seguimiento por comité SST</x:v>
      </x:c>
    </x:row>
    <x:row r="31">
      <x:c r="A31" s="88" t="n">
        <x:v>2025</x:v>
      </x:c>
      <x:c r="B31" s="89" t="str">
        <x:v>EMO-2025-0030</x:v>
      </x:c>
      <x:c r="C31" s="106" t="n">
        <x:v>45958</x:v>
      </x:c>
      <x:c r="D31" s="89" t="str">
        <x:v>Periódico</x:v>
      </x:c>
      <x:c r="E31" s="89" t="str">
        <x:v>773641282</x:v>
      </x:c>
      <x:c r="F31" s="89" t="str">
        <x:v>Carlos María Rodríguez Hernández</x:v>
      </x:c>
      <x:c r="G31" s="89" t="str">
        <x:v>Supervisor de puesto</x:v>
      </x:c>
      <x:c r="H31" s="89" t="str">
        <x:v>Cúcuta</x:v>
      </x:c>
      <x:c r="I31" s="89" t="str">
        <x:v>Operaciones</x:v>
      </x:c>
      <x:c r="J31" s="89" t="str">
        <x:v>Colmédica Ocupacional</x:v>
      </x:c>
      <x:c r="K31" s="89" t="str">
        <x:v>Apto</x:v>
      </x:c>
      <x:c r="L31" s="89" t="str"/>
      <x:c r="M31" s="89" t="str">
        <x:v>Continuar controles periódicos anuales</x:v>
      </x:c>
      <x:c r="N31" s="112" t="n">
        <x:v>12</x:v>
      </x:c>
      <x:c r="O31" s="106" t="n">
        <x:f>EDATE(C31,N31)</x:f>
        <x:v>46323</x:v>
      </x:c>
      <x:c r="P31" s="89" t="str">
        <x:v>M75.1 Lesión de hombro</x:v>
      </x:c>
      <x:c r="Q31" s="89" t="str">
        <x:v>No</x:v>
      </x:c>
      <x:c r="R31" s="89" t="str"/>
      <x:c r="S31" s="106"/>
      <x:c r="T31" s="89" t="str">
        <x:f>IF(O31&lt;Instructivo!$B$4,"Vencido",IF(O31&lt;=Instructivo!$B$4+30,"Próximo a vencer","Vigente"))</x:f>
        <x:v>Vigente</x:v>
      </x:c>
      <x:c r="U31" s="89" t="str">
        <x:v>Líder SST</x:v>
      </x:c>
      <x:c r="V31" s="90" t="str">
        <x:v>Sin novedades adicionales</x:v>
      </x:c>
    </x:row>
    <x:row r="32">
      <x:c r="A32" s="88" t="n">
        <x:v>2025</x:v>
      </x:c>
      <x:c r="B32" s="89" t="str">
        <x:v>EMO-2025-0031</x:v>
      </x:c>
      <x:c r="C32" s="106" t="n">
        <x:v>45765</x:v>
      </x:c>
      <x:c r="D32" s="89" t="str">
        <x:v>Periódico</x:v>
      </x:c>
      <x:c r="E32" s="89" t="str">
        <x:v>797138070</x:v>
      </x:c>
      <x:c r="F32" s="89" t="str">
        <x:v>María María Torres Hernández</x:v>
      </x:c>
      <x:c r="G32" s="89" t="str">
        <x:v>Vigilante</x:v>
      </x:c>
      <x:c r="H32" s="89" t="str">
        <x:v>Barrancabermeja</x:v>
      </x:c>
      <x:c r="I32" s="89" t="str">
        <x:v>Operaciones</x:v>
      </x:c>
      <x:c r="J32" s="89" t="str">
        <x:v>IPS Ocupasalud SAS</x:v>
      </x:c>
      <x:c r="K32" s="89" t="str">
        <x:v>Apto</x:v>
      </x:c>
      <x:c r="L32" s="89" t="str"/>
      <x:c r="M32" s="89" t="str">
        <x:v>Participar en programas de vigilancia epidemiológica</x:v>
      </x:c>
      <x:c r="N32" s="112" t="n">
        <x:v>12</x:v>
      </x:c>
      <x:c r="O32" s="106" t="n">
        <x:f>EDATE(C32,N32)</x:f>
        <x:v>46130</x:v>
      </x:c>
      <x:c r="P32" s="89" t="str">
        <x:v>H52.4 Presbicia</x:v>
      </x:c>
      <x:c r="Q32" s="89" t="str">
        <x:v>No</x:v>
      </x:c>
      <x:c r="R32" s="89" t="str"/>
      <x:c r="S32" s="106"/>
      <x:c r="T32" s="89" t="str">
        <x:f>IF(O32&lt;Instructivo!$B$4,"Vencido",IF(O32&lt;=Instructivo!$B$4+30,"Próximo a vencer","Vigente"))</x:f>
        <x:v>Vencido</x:v>
      </x:c>
      <x:c r="U32" s="89" t="str">
        <x:v>Coordinador de Talento Humano</x:v>
      </x:c>
      <x:c r="V32" s="90" t="str">
        <x:v>Registro completo y soportado en historia ocupacional</x:v>
      </x:c>
    </x:row>
    <x:row r="33">
      <x:c r="A33" s="88" t="n">
        <x:v>2025</x:v>
      </x:c>
      <x:c r="B33" s="89" t="str">
        <x:v>EMO-2025-0032</x:v>
      </x:c>
      <x:c r="C33" s="106" t="n">
        <x:v>45826</x:v>
      </x:c>
      <x:c r="D33" s="89" t="str">
        <x:v>Ingreso</x:v>
      </x:c>
      <x:c r="E33" s="89" t="str">
        <x:v>642811298</x:v>
      </x:c>
      <x:c r="F33" s="89" t="str">
        <x:v>Wilson Karen Cárdenas Rodríguez</x:v>
      </x:c>
      <x:c r="G33" s="89" t="str">
        <x:v>Auxiliar administrativo</x:v>
      </x:c>
      <x:c r="H33" s="89" t="str">
        <x:v>Ábrego</x:v>
      </x:c>
      <x:c r="I33" s="89" t="str">
        <x:v>Administrativa</x:v>
      </x:c>
      <x:c r="J33" s="89" t="str">
        <x:v>Salud Integral Ocupacional</x:v>
      </x:c>
      <x:c r="K33" s="89" t="str">
        <x:v>Apto</x:v>
      </x:c>
      <x:c r="L33" s="89" t="str"/>
      <x:c r="M33" s="89" t="str">
        <x:v>Mantener estilos de vida saludable</x:v>
      </x:c>
      <x:c r="N33" s="112" t="n">
        <x:v>12</x:v>
      </x:c>
      <x:c r="O33" s="106" t="n">
        <x:f>EDATE(C33,N33)</x:f>
        <x:v>46191</x:v>
      </x:c>
      <x:c r="P33" s="89" t="str">
        <x:v>Z00.0 Examen general</x:v>
      </x:c>
      <x:c r="Q33" s="89" t="str">
        <x:v>No</x:v>
      </x:c>
      <x:c r="R33" s="89" t="str"/>
      <x:c r="S33" s="106"/>
      <x:c r="T33" s="89" t="str">
        <x:f>IF(O33&lt;Instructivo!$B$4,"Vencido",IF(O33&lt;=Instructivo!$B$4+30,"Próximo a vencer","Vigente"))</x:f>
        <x:v>Próximo a vencer</x:v>
      </x:c>
      <x:c r="U33" s="89" t="str">
        <x:v>Coordinador de Talento Humano</x:v>
      </x:c>
      <x:c r="V33" s="90" t="str">
        <x:v>Sin novedades adicionales</x:v>
      </x:c>
    </x:row>
    <x:row r="34">
      <x:c r="A34" s="88" t="n">
        <x:v>2025</x:v>
      </x:c>
      <x:c r="B34" s="89" t="str">
        <x:v>EMO-2025-0033</x:v>
      </x:c>
      <x:c r="C34" s="106" t="n">
        <x:v>45748</x:v>
      </x:c>
      <x:c r="D34" s="89" t="str">
        <x:v>Post-incapacidad</x:v>
      </x:c>
      <x:c r="E34" s="89" t="str">
        <x:v>915652512</x:v>
      </x:c>
      <x:c r="F34" s="89" t="str">
        <x:v>Yulieth Yulieth Castro Ramírez</x:v>
      </x:c>
      <x:c r="G34" s="89" t="str">
        <x:v>Operador de medios tecnológicos</x:v>
      </x:c>
      <x:c r="H34" s="89" t="str">
        <x:v>Barrancabermeja</x:v>
      </x:c>
      <x:c r="I34" s="89" t="str">
        <x:v>Medios Tecnológicos</x:v>
      </x:c>
      <x:c r="J34" s="89" t="str">
        <x:v>Salud Integral Ocupacional</x:v>
      </x:c>
      <x:c r="K34" s="89" t="str">
        <x:v>Apto</x:v>
      </x:c>
      <x:c r="L34" s="89" t="str"/>
      <x:c r="M34" s="89" t="str">
        <x:v>Participar en programas de vigilancia epidemiológica</x:v>
      </x:c>
      <x:c r="N34" s="112" t="n">
        <x:v>6</x:v>
      </x:c>
      <x:c r="O34" s="106" t="n">
        <x:f>EDATE(C34,N34)</x:f>
        <x:v>45931</x:v>
      </x:c>
      <x:c r="P34" s="89" t="str">
        <x:v>I10 Hipertensión esencial</x:v>
      </x:c>
      <x:c r="Q34" s="89" t="str">
        <x:v>No</x:v>
      </x:c>
      <x:c r="R34" s="89" t="str"/>
      <x:c r="S34" s="106"/>
      <x:c r="T34" s="89" t="str">
        <x:f>IF(O34&lt;Instructivo!$B$4,"Vencido",IF(O34&lt;=Instructivo!$B$4+30,"Próximo a vencer","Vigente"))</x:f>
        <x:v>Vencido</x:v>
      </x:c>
      <x:c r="U34" s="89" t="str">
        <x:v>Líder SST</x:v>
      </x:c>
      <x:c r="V34" s="90" t="str">
        <x:v>Caso priorizado por restricciones activas</x:v>
      </x:c>
    </x:row>
    <x:row r="35">
      <x:c r="A35" s="88" t="n">
        <x:v>2025</x:v>
      </x:c>
      <x:c r="B35" s="89" t="str">
        <x:v>EMO-2025-0034</x:v>
      </x:c>
      <x:c r="C35" s="106" t="n">
        <x:v>45730</x:v>
      </x:c>
      <x:c r="D35" s="89" t="str">
        <x:v>Ingreso</x:v>
      </x:c>
      <x:c r="E35" s="89" t="str">
        <x:v>949214801</x:v>
      </x:c>
      <x:c r="F35" s="89" t="str">
        <x:v>Jhon Álvaro Castro Rojas</x:v>
      </x:c>
      <x:c r="G35" s="89" t="str">
        <x:v>Supervisor motorizado</x:v>
      </x:c>
      <x:c r="H35" s="89" t="str">
        <x:v>Barrancabermeja</x:v>
      </x:c>
      <x:c r="I35" s="89" t="str">
        <x:v>Operaciones</x:v>
      </x:c>
      <x:c r="J35" s="89" t="str">
        <x:v>Centro Médico Laboral Andino</x:v>
      </x:c>
      <x:c r="K35" s="89" t="str">
        <x:v>Apto</x:v>
      </x:c>
      <x:c r="L35" s="89" t="str"/>
      <x:c r="M35" s="89" t="str">
        <x:v>Continuar controles periódicos anuales</x:v>
      </x:c>
      <x:c r="N35" s="112" t="n">
        <x:v>12</x:v>
      </x:c>
      <x:c r="O35" s="106" t="n">
        <x:f>EDATE(C35,N35)</x:f>
        <x:v>46095</x:v>
      </x:c>
      <x:c r="P35" s="89" t="str">
        <x:v>I10 Hipertensión esencial</x:v>
      </x:c>
      <x:c r="Q35" s="89" t="str">
        <x:v>No</x:v>
      </x:c>
      <x:c r="R35" s="89" t="str"/>
      <x:c r="S35" s="106"/>
      <x:c r="T35" s="89" t="str">
        <x:f>IF(O35&lt;Instructivo!$B$4,"Vencido",IF(O35&lt;=Instructivo!$B$4+30,"Próximo a vencer","Vigente"))</x:f>
        <x:v>Vencido</x:v>
      </x:c>
      <x:c r="U35" s="89" t="str">
        <x:v>Médico Ocupacional</x:v>
      </x:c>
      <x:c r="V35" s="90" t="str">
        <x:v>Pendiente firma de concepto médico</x:v>
      </x:c>
    </x:row>
    <x:row r="36">
      <x:c r="A36" s="88" t="n">
        <x:v>2025</x:v>
      </x:c>
      <x:c r="B36" s="89" t="str">
        <x:v>EMO-2025-0035</x:v>
      </x:c>
      <x:c r="C36" s="106" t="n">
        <x:v>45989</x:v>
      </x:c>
      <x:c r="D36" s="89" t="str">
        <x:v>Periódico</x:v>
      </x:c>
      <x:c r="E36" s="89" t="str">
        <x:v>165235884</x:v>
      </x:c>
      <x:c r="F36" s="89" t="str">
        <x:v>Wilson Andrés Rodríguez Suárez</x:v>
      </x:c>
      <x:c r="G36" s="89" t="str">
        <x:v>Vigilante</x:v>
      </x:c>
      <x:c r="H36" s="89" t="str">
        <x:v>Girón</x:v>
      </x:c>
      <x:c r="I36" s="89" t="str">
        <x:v>Operaciones</x:v>
      </x:c>
      <x:c r="J36" s="89" t="str">
        <x:v>IPS Ocupasalud SAS</x:v>
      </x:c>
      <x:c r="K36" s="89" t="str">
        <x:v>Apto</x:v>
      </x:c>
      <x:c r="L36" s="89" t="str"/>
      <x:c r="M36" s="89" t="str">
        <x:v>Uso permanente de EPP</x:v>
      </x:c>
      <x:c r="N36" s="112" t="n">
        <x:v>12</x:v>
      </x:c>
      <x:c r="O36" s="106" t="n">
        <x:f>EDATE(C36,N36)</x:f>
        <x:v>46354</x:v>
      </x:c>
      <x:c r="P36" s="89" t="str">
        <x:v>M54.5 Lumbalgia</x:v>
      </x:c>
      <x:c r="Q36" s="89" t="str">
        <x:v>No</x:v>
      </x:c>
      <x:c r="R36" s="89" t="str"/>
      <x:c r="S36" s="106"/>
      <x:c r="T36" s="89" t="str">
        <x:f>IF(O36&lt;Instructivo!$B$4,"Vencido",IF(O36&lt;=Instructivo!$B$4+30,"Próximo a vencer","Vigente"))</x:f>
        <x:v>Vigente</x:v>
      </x:c>
      <x:c r="U36" s="89" t="str">
        <x:v>Analista SST</x:v>
      </x:c>
      <x:c r="V36" s="90" t="str">
        <x:v>Registro completo y soportado en historia ocupacional</x:v>
      </x:c>
    </x:row>
    <x:row r="37">
      <x:c r="A37" s="88" t="n">
        <x:v>2025</x:v>
      </x:c>
      <x:c r="B37" s="89" t="str">
        <x:v>EMO-2025-0036</x:v>
      </x:c>
      <x:c r="C37" s="106" t="n">
        <x:v>45706</x:v>
      </x:c>
      <x:c r="D37" s="89" t="str">
        <x:v>Post-incapacidad</x:v>
      </x:c>
      <x:c r="E37" s="89" t="str">
        <x:v>403657144</x:v>
      </x:c>
      <x:c r="F37" s="89" t="str">
        <x:v>José Laura Pérez Moreno</x:v>
      </x:c>
      <x:c r="G37" s="89" t="str">
        <x:v>Escolta</x:v>
      </x:c>
      <x:c r="H37" s="89" t="str">
        <x:v>Cúcuta</x:v>
      </x:c>
      <x:c r="I37" s="89" t="str">
        <x:v>Escoltas</x:v>
      </x:c>
      <x:c r="J37" s="89" t="str">
        <x:v>Centro Médico Laboral Andino</x:v>
      </x:c>
      <x:c r="K37" s="89" t="str">
        <x:v>Apto con restricciones</x:v>
      </x:c>
      <x:c r="L37" s="89" t="str">
        <x:v>Restricción para trabajo prolongado de pie</x:v>
      </x:c>
      <x:c r="M37" s="89" t="str">
        <x:v>Seguimiento por medicina laboral en 3 meses</x:v>
      </x:c>
      <x:c r="N37" s="112" t="n">
        <x:v>6</x:v>
      </x:c>
      <x:c r="O37" s="106" t="n">
        <x:f>EDATE(C37,N37)</x:f>
        <x:v>45887</x:v>
      </x:c>
      <x:c r="P37" s="89" t="str">
        <x:v>M75.1 Lesión de hombro</x:v>
      </x:c>
      <x:c r="Q37" s="89" t="str">
        <x:v>Sí</x:v>
      </x:c>
      <x:c r="R37" s="89" t="str">
        <x:v>Medicina laboral</x:v>
      </x:c>
      <x:c r="S37" s="106" t="n">
        <x:v>45796</x:v>
      </x:c>
      <x:c r="T37" s="89" t="str">
        <x:f>IF(O37&lt;Instructivo!$B$4,"Vencido",IF(O37&lt;=Instructivo!$B$4+30,"Próximo a vencer","Vigente"))</x:f>
        <x:v>Vencido</x:v>
      </x:c>
      <x:c r="U37" s="89" t="str">
        <x:v>Médico Ocupacional</x:v>
      </x:c>
      <x:c r="V37" s="90" t="str">
        <x:v>Registro completo y soportado en historia ocupacional</x:v>
      </x:c>
    </x:row>
    <x:row r="38">
      <x:c r="A38" s="88" t="n">
        <x:v>2025</x:v>
      </x:c>
      <x:c r="B38" s="89" t="str">
        <x:v>EMO-2025-0037</x:v>
      </x:c>
      <x:c r="C38" s="106" t="n">
        <x:v>46008</x:v>
      </x:c>
      <x:c r="D38" s="89" t="str">
        <x:v>Ingreso</x:v>
      </x:c>
      <x:c r="E38" s="89" t="str">
        <x:v>131771600</x:v>
      </x:c>
      <x:c r="F38" s="89" t="str">
        <x:v>Felipe Carolina Gómez Díaz</x:v>
      </x:c>
      <x:c r="G38" s="89" t="str">
        <x:v>Vigilante</x:v>
      </x:c>
      <x:c r="H38" s="89" t="str">
        <x:v>Ocaña</x:v>
      </x:c>
      <x:c r="I38" s="89" t="str">
        <x:v>Operaciones</x:v>
      </x:c>
      <x:c r="J38" s="89" t="str">
        <x:v>Colmédica Ocupacional</x:v>
      </x:c>
      <x:c r="K38" s="89" t="str">
        <x:v>Apto</x:v>
      </x:c>
      <x:c r="L38" s="89" t="str"/>
      <x:c r="M38" s="89" t="str">
        <x:v>Uso permanente de EPP</x:v>
      </x:c>
      <x:c r="N38" s="112" t="n">
        <x:v>12</x:v>
      </x:c>
      <x:c r="O38" s="106" t="n">
        <x:f>EDATE(C38,N38)</x:f>
        <x:v>46373</x:v>
      </x:c>
      <x:c r="P38" s="89" t="str">
        <x:v>E66.9 Obesidad</x:v>
      </x:c>
      <x:c r="Q38" s="89" t="str">
        <x:v>No</x:v>
      </x:c>
      <x:c r="R38" s="89" t="str"/>
      <x:c r="S38" s="106"/>
      <x:c r="T38" s="89" t="str">
        <x:f>IF(O38&lt;Instructivo!$B$4,"Vencido",IF(O38&lt;=Instructivo!$B$4+30,"Próximo a vencer","Vigente"))</x:f>
        <x:v>Vigente</x:v>
      </x:c>
      <x:c r="U38" s="89" t="str">
        <x:v>Médico Ocupacional</x:v>
      </x:c>
      <x:c r="V38" s="90" t="str">
        <x:v>Pendiente firma de concepto médico</x:v>
      </x:c>
    </x:row>
    <x:row r="39">
      <x:c r="A39" s="88" t="n">
        <x:v>2025</x:v>
      </x:c>
      <x:c r="B39" s="89" t="str">
        <x:v>EMO-2025-0038</x:v>
      </x:c>
      <x:c r="C39" s="106" t="n">
        <x:v>45976</x:v>
      </x:c>
      <x:c r="D39" s="89" t="str">
        <x:v>Ingreso</x:v>
      </x:c>
      <x:c r="E39" s="89" t="str">
        <x:v>222229110</x:v>
      </x:c>
      <x:c r="F39" s="89" t="str">
        <x:v>Laura Camilo Torres López</x:v>
      </x:c>
      <x:c r="G39" s="89" t="str">
        <x:v>Técnico de mantenimiento</x:v>
      </x:c>
      <x:c r="H39" s="89" t="str">
        <x:v>Ábrego</x:v>
      </x:c>
      <x:c r="I39" s="89" t="str">
        <x:v>Infraestructura</x:v>
      </x:c>
      <x:c r="J39" s="89" t="str">
        <x:v>IPS Prevencionar</x:v>
      </x:c>
      <x:c r="K39" s="89" t="str">
        <x:v>Apto</x:v>
      </x:c>
      <x:c r="L39" s="89" t="str"/>
      <x:c r="M39" s="89" t="str">
        <x:v>Uso permanente de EPP</x:v>
      </x:c>
      <x:c r="N39" s="112" t="n">
        <x:v>12</x:v>
      </x:c>
      <x:c r="O39" s="106" t="n">
        <x:f>EDATE(C39,N39)</x:f>
        <x:v>46341</x:v>
      </x:c>
      <x:c r="P39" s="89" t="str">
        <x:v>Z00.0 Examen general</x:v>
      </x:c>
      <x:c r="Q39" s="89" t="str">
        <x:v>No</x:v>
      </x:c>
      <x:c r="R39" s="89" t="str"/>
      <x:c r="S39" s="106"/>
      <x:c r="T39" s="89" t="str">
        <x:f>IF(O39&lt;Instructivo!$B$4,"Vencido",IF(O39&lt;=Instructivo!$B$4+30,"Próximo a vencer","Vigente"))</x:f>
        <x:v>Vigente</x:v>
      </x:c>
      <x:c r="U39" s="89" t="str">
        <x:v>Líder SST</x:v>
      </x:c>
      <x:c r="V39" s="90" t="str">
        <x:v>Caso priorizado por restricciones activas</x:v>
      </x:c>
    </x:row>
    <x:row r="40">
      <x:c r="A40" s="88" t="n">
        <x:v>2025</x:v>
      </x:c>
      <x:c r="B40" s="89" t="str">
        <x:v>EMO-2025-0039</x:v>
      </x:c>
      <x:c r="C40" s="106" t="n">
        <x:v>45873</x:v>
      </x:c>
      <x:c r="D40" s="89" t="str">
        <x:v>Periódico</x:v>
      </x:c>
      <x:c r="E40" s="89" t="str">
        <x:v>634700025</x:v>
      </x:c>
      <x:c r="F40" s="89" t="str">
        <x:v>Wilson Kevin Torres Moreno</x:v>
      </x:c>
      <x:c r="G40" s="89" t="str">
        <x:v>Conductor</x:v>
      </x:c>
      <x:c r="H40" s="89" t="str">
        <x:v>Girón</x:v>
      </x:c>
      <x:c r="I40" s="89" t="str">
        <x:v>Logística</x:v>
      </x:c>
      <x:c r="J40" s="89" t="str">
        <x:v>IPS Ocupasalud SAS</x:v>
      </x:c>
      <x:c r="K40" s="89" t="str">
        <x:v>Apto</x:v>
      </x:c>
      <x:c r="L40" s="89" t="str"/>
      <x:c r="M40" s="89" t="str">
        <x:v>Mantener estilos de vida saludable</x:v>
      </x:c>
      <x:c r="N40" s="112" t="n">
        <x:v>12</x:v>
      </x:c>
      <x:c r="O40" s="106" t="n">
        <x:f>EDATE(C40,N40)</x:f>
        <x:v>46238</x:v>
      </x:c>
      <x:c r="P40" s="89" t="str">
        <x:v>M75.1 Lesión de hombro</x:v>
      </x:c>
      <x:c r="Q40" s="89" t="str">
        <x:v>No</x:v>
      </x:c>
      <x:c r="R40" s="89" t="str"/>
      <x:c r="S40" s="106"/>
      <x:c r="T40" s="89" t="str">
        <x:f>IF(O40&lt;Instructivo!$B$4,"Vencido",IF(O40&lt;=Instructivo!$B$4+30,"Próximo a vencer","Vigente"))</x:f>
        <x:v>Vigente</x:v>
      </x:c>
      <x:c r="U40" s="89" t="str">
        <x:v>Coordinador de Talento Humano</x:v>
      </x:c>
      <x:c r="V40" s="90" t="str">
        <x:v>Caso priorizado por restricciones activas</x:v>
      </x:c>
    </x:row>
    <x:row r="41">
      <x:c r="A41" s="88" t="n">
        <x:v>2025</x:v>
      </x:c>
      <x:c r="B41" s="89" t="str">
        <x:v>EMO-2025-0040</x:v>
      </x:c>
      <x:c r="C41" s="106" t="n">
        <x:v>45907</x:v>
      </x:c>
      <x:c r="D41" s="89" t="str">
        <x:v>Periódico</x:v>
      </x:c>
      <x:c r="E41" s="89" t="str">
        <x:v>662672884</x:v>
      </x:c>
      <x:c r="F41" s="89" t="str">
        <x:v>María Álvaro Pérez López</x:v>
      </x:c>
      <x:c r="G41" s="89" t="str">
        <x:v>Auxiliar administrativo</x:v>
      </x:c>
      <x:c r="H41" s="89" t="str">
        <x:v>Ocaña</x:v>
      </x:c>
      <x:c r="I41" s="89" t="str">
        <x:v>Administrativa</x:v>
      </x:c>
      <x:c r="J41" s="89" t="str">
        <x:v>IPS Ocupasalud SAS</x:v>
      </x:c>
      <x:c r="K41" s="89" t="str">
        <x:v>Apto</x:v>
      </x:c>
      <x:c r="L41" s="89" t="str"/>
      <x:c r="M41" s="89" t="str">
        <x:v>Uso permanente de EPP</x:v>
      </x:c>
      <x:c r="N41" s="112" t="n">
        <x:v>12</x:v>
      </x:c>
      <x:c r="O41" s="106" t="n">
        <x:f>EDATE(C41,N41)</x:f>
        <x:v>46272</x:v>
      </x:c>
      <x:c r="P41" s="89" t="str">
        <x:v>R51 Cefalea</x:v>
      </x:c>
      <x:c r="Q41" s="89" t="str">
        <x:v>No</x:v>
      </x:c>
      <x:c r="R41" s="89" t="str"/>
      <x:c r="S41" s="106"/>
      <x:c r="T41" s="89" t="str">
        <x:f>IF(O41&lt;Instructivo!$B$4,"Vencido",IF(O41&lt;=Instructivo!$B$4+30,"Próximo a vencer","Vigente"))</x:f>
        <x:v>Vigente</x:v>
      </x:c>
      <x:c r="U41" s="89" t="str">
        <x:v>Analista SST</x:v>
      </x:c>
      <x:c r="V41" s="90" t="str">
        <x:v>Pendiente firma de concepto médico</x:v>
      </x:c>
    </x:row>
    <x:row r="42">
      <x:c r="A42" s="88" t="n">
        <x:v>2025</x:v>
      </x:c>
      <x:c r="B42" s="89" t="str">
        <x:v>EMO-2025-0041</x:v>
      </x:c>
      <x:c r="C42" s="106" t="n">
        <x:v>45802</x:v>
      </x:c>
      <x:c r="D42" s="89" t="str">
        <x:v>Post-incapacidad</x:v>
      </x:c>
      <x:c r="E42" s="89" t="str">
        <x:v>204905582</x:v>
      </x:c>
      <x:c r="F42" s="89" t="str">
        <x:v>Andrés Brayan Torres Cárdenas</x:v>
      </x:c>
      <x:c r="G42" s="89" t="str">
        <x:v>Operador de medios tecnológicos</x:v>
      </x:c>
      <x:c r="H42" s="89" t="str">
        <x:v>Arauca</x:v>
      </x:c>
      <x:c r="I42" s="89" t="str">
        <x:v>Medios Tecnológicos</x:v>
      </x:c>
      <x:c r="J42" s="89" t="str">
        <x:v>Centro Médico Laboral Andino</x:v>
      </x:c>
      <x:c r="K42" s="89" t="str">
        <x:v>Apto</x:v>
      </x:c>
      <x:c r="L42" s="89" t="str"/>
      <x:c r="M42" s="89" t="str">
        <x:v>Participar en programas de vigilancia epidemiológica</x:v>
      </x:c>
      <x:c r="N42" s="112" t="n">
        <x:v>6</x:v>
      </x:c>
      <x:c r="O42" s="106" t="n">
        <x:f>EDATE(C42,N42)</x:f>
        <x:v>45986</x:v>
      </x:c>
      <x:c r="P42" s="89" t="str">
        <x:v>H52.4 Presbicia</x:v>
      </x:c>
      <x:c r="Q42" s="89" t="str">
        <x:v>No</x:v>
      </x:c>
      <x:c r="R42" s="89" t="str"/>
      <x:c r="S42" s="106"/>
      <x:c r="T42" s="89" t="str">
        <x:f>IF(O42&lt;Instructivo!$B$4,"Vencido",IF(O42&lt;=Instructivo!$B$4+30,"Próximo a vencer","Vigente"))</x:f>
        <x:v>Vencido</x:v>
      </x:c>
      <x:c r="U42" s="89" t="str">
        <x:v>Líder SST</x:v>
      </x:c>
      <x:c r="V42" s="90" t="str">
        <x:v>Caso priorizado por restricciones activas</x:v>
      </x:c>
    </x:row>
    <x:row r="43">
      <x:c r="A43" s="88" t="n">
        <x:v>2025</x:v>
      </x:c>
      <x:c r="B43" s="89" t="str">
        <x:v>EMO-2025-0042</x:v>
      </x:c>
      <x:c r="C43" s="106" t="n">
        <x:v>45795</x:v>
      </x:c>
      <x:c r="D43" s="89" t="str">
        <x:v>Periódico</x:v>
      </x:c>
      <x:c r="E43" s="89" t="str">
        <x:v>999689889</x:v>
      </x:c>
      <x:c r="F43" s="89" t="str">
        <x:v>Álvaro Carlos Ramírez Martínez</x:v>
      </x:c>
      <x:c r="G43" s="89" t="str">
        <x:v>Coordinador de operaciones</x:v>
      </x:c>
      <x:c r="H43" s="89" t="str">
        <x:v>Girón</x:v>
      </x:c>
      <x:c r="I43" s="89" t="str">
        <x:v>Operaciones</x:v>
      </x:c>
      <x:c r="J43" s="89" t="str">
        <x:v>Salud Integral Ocupacional</x:v>
      </x:c>
      <x:c r="K43" s="89" t="str">
        <x:v>Apto</x:v>
      </x:c>
      <x:c r="L43" s="89" t="str"/>
      <x:c r="M43" s="89" t="str">
        <x:v>Continuar controles periódicos anuales</x:v>
      </x:c>
      <x:c r="N43" s="112" t="n">
        <x:v>12</x:v>
      </x:c>
      <x:c r="O43" s="106" t="n">
        <x:f>EDATE(C43,N43)</x:f>
        <x:v>46160</x:v>
      </x:c>
      <x:c r="P43" s="89" t="str">
        <x:v>M75.1 Lesión de hombro</x:v>
      </x:c>
      <x:c r="Q43" s="89" t="str">
        <x:v>No</x:v>
      </x:c>
      <x:c r="R43" s="89" t="str"/>
      <x:c r="S43" s="106"/>
      <x:c r="T43" s="89" t="str">
        <x:f>IF(O43&lt;Instructivo!$B$4,"Vencido",IF(O43&lt;=Instructivo!$B$4+30,"Próximo a vencer","Vigente"))</x:f>
        <x:v>Vencido</x:v>
      </x:c>
      <x:c r="U43" s="89" t="str">
        <x:v>Coordinador de Talento Humano</x:v>
      </x:c>
      <x:c r="V43" s="90" t="str">
        <x:v>Pendiente firma de concepto médico</x:v>
      </x:c>
    </x:row>
    <x:row r="44">
      <x:c r="A44" s="88" t="n">
        <x:v>2025</x:v>
      </x:c>
      <x:c r="B44" s="89" t="str">
        <x:v>EMO-2025-0043</x:v>
      </x:c>
      <x:c r="C44" s="106" t="n">
        <x:v>45962</x:v>
      </x:c>
      <x:c r="D44" s="89" t="str">
        <x:v>Ingreso</x:v>
      </x:c>
      <x:c r="E44" s="89" t="str">
        <x:v>915394880</x:v>
      </x:c>
      <x:c r="F44" s="89" t="str">
        <x:v>Miguel Tatiana Cárdenas Moreno</x:v>
      </x:c>
      <x:c r="G44" s="89" t="str">
        <x:v>Operador de medios tecnológicos</x:v>
      </x:c>
      <x:c r="H44" s="89" t="str">
        <x:v>Valledupar</x:v>
      </x:c>
      <x:c r="I44" s="89" t="str">
        <x:v>Medios Tecnológicos</x:v>
      </x:c>
      <x:c r="J44" s="89" t="str">
        <x:v>Colmédica Ocupacional</x:v>
      </x:c>
      <x:c r="K44" s="89" t="str">
        <x:v>Apto</x:v>
      </x:c>
      <x:c r="L44" s="89" t="str"/>
      <x:c r="M44" s="89" t="str">
        <x:v>Uso permanente de EPP</x:v>
      </x:c>
      <x:c r="N44" s="112" t="n">
        <x:v>12</x:v>
      </x:c>
      <x:c r="O44" s="106" t="n">
        <x:f>EDATE(C44,N44)</x:f>
        <x:v>46327</x:v>
      </x:c>
      <x:c r="P44" s="89" t="str">
        <x:v>H52.4 Presbicia</x:v>
      </x:c>
      <x:c r="Q44" s="89" t="str">
        <x:v>No</x:v>
      </x:c>
      <x:c r="R44" s="89" t="str"/>
      <x:c r="S44" s="106"/>
      <x:c r="T44" s="89" t="str">
        <x:f>IF(O44&lt;Instructivo!$B$4,"Vencido",IF(O44&lt;=Instructivo!$B$4+30,"Próximo a vencer","Vigente"))</x:f>
        <x:v>Vigente</x:v>
      </x:c>
      <x:c r="U44" s="89" t="str">
        <x:v>Analista SST</x:v>
      </x:c>
      <x:c r="V44" s="90" t="str">
        <x:v>Registro completo y soportado en historia ocupacional</x:v>
      </x:c>
    </x:row>
    <x:row r="45">
      <x:c r="A45" s="88" t="n">
        <x:v>2025</x:v>
      </x:c>
      <x:c r="B45" s="89" t="str">
        <x:v>EMO-2025-0044</x:v>
      </x:c>
      <x:c r="C45" s="106" t="n">
        <x:v>45748</x:v>
      </x:c>
      <x:c r="D45" s="89" t="str">
        <x:v>Periódico</x:v>
      </x:c>
      <x:c r="E45" s="89" t="str">
        <x:v>652651601</x:v>
      </x:c>
      <x:c r="F45" s="89" t="str">
        <x:v>Yulieth Ana Martínez Cárdenas</x:v>
      </x:c>
      <x:c r="G45" s="89" t="str">
        <x:v>Operador de medios tecnológicos</x:v>
      </x:c>
      <x:c r="H45" s="89" t="str">
        <x:v>Cúcuta</x:v>
      </x:c>
      <x:c r="I45" s="89" t="str">
        <x:v>Medios Tecnológicos</x:v>
      </x:c>
      <x:c r="J45" s="89" t="str">
        <x:v>Salud Integral Ocupacional</x:v>
      </x:c>
      <x:c r="K45" s="89" t="str">
        <x:v>Apto</x:v>
      </x:c>
      <x:c r="L45" s="89" t="str"/>
      <x:c r="M45" s="89" t="str">
        <x:v>Continuar controles periódicos anuales</x:v>
      </x:c>
      <x:c r="N45" s="112" t="n">
        <x:v>12</x:v>
      </x:c>
      <x:c r="O45" s="106" t="n">
        <x:f>EDATE(C45,N45)</x:f>
        <x:v>46113</x:v>
      </x:c>
      <x:c r="P45" s="89" t="str">
        <x:v>G56.0 Síndrome túnel carpiano</x:v>
      </x:c>
      <x:c r="Q45" s="89" t="str">
        <x:v>Sí</x:v>
      </x:c>
      <x:c r="R45" s="89" t="str">
        <x:v>Cardiometabólico</x:v>
      </x:c>
      <x:c r="S45" s="106" t="n">
        <x:v>45808</x:v>
      </x:c>
      <x:c r="T45" s="89" t="str">
        <x:f>IF(O45&lt;Instructivo!$B$4,"Vencido",IF(O45&lt;=Instructivo!$B$4+30,"Próximo a vencer","Vigente"))</x:f>
        <x:v>Vencido</x:v>
      </x:c>
      <x:c r="U45" s="89" t="str">
        <x:v>Líder SST</x:v>
      </x:c>
      <x:c r="V45" s="90" t="str">
        <x:v>Registro completo y soportado en historia ocupacional</x:v>
      </x:c>
    </x:row>
    <x:row r="46">
      <x:c r="A46" s="88" t="n">
        <x:v>2025</x:v>
      </x:c>
      <x:c r="B46" s="89" t="str">
        <x:v>EMO-2025-0045</x:v>
      </x:c>
      <x:c r="C46" s="106" t="n">
        <x:v>45762</x:v>
      </x:c>
      <x:c r="D46" s="89" t="str">
        <x:v>Reintegro</x:v>
      </x:c>
      <x:c r="E46" s="89" t="str">
        <x:v>446407373</x:v>
      </x:c>
      <x:c r="F46" s="89" t="str">
        <x:v>Kevin Luis Torres Cárdenas</x:v>
      </x:c>
      <x:c r="G46" s="89" t="str">
        <x:v>Operador de medios tecnológicos</x:v>
      </x:c>
      <x:c r="H46" s="89" t="str">
        <x:v>Cúcuta</x:v>
      </x:c>
      <x:c r="I46" s="89" t="str">
        <x:v>Medios Tecnológicos</x:v>
      </x:c>
      <x:c r="J46" s="89" t="str">
        <x:v>Centro Médico Laboral Andino</x:v>
      </x:c>
      <x:c r="K46" s="89" t="str">
        <x:v>Apto con restricciones</x:v>
      </x:c>
      <x:c r="L46" s="89" t="str">
        <x:v>Restricción para trabajo prolongado de pie</x:v>
      </x:c>
      <x:c r="M46" s="89" t="str">
        <x:v>Reubicación o ajuste razonable del puesto</x:v>
      </x:c>
      <x:c r="N46" s="112" t="n">
        <x:v>6</x:v>
      </x:c>
      <x:c r="O46" s="106" t="n">
        <x:f>EDATE(C46,N46)</x:f>
        <x:v>45945</x:v>
      </x:c>
      <x:c r="P46" s="89" t="str">
        <x:v>H52.4 Presbicia</x:v>
      </x:c>
      <x:c r="Q46" s="89" t="str">
        <x:v>Sí</x:v>
      </x:c>
      <x:c r="R46" s="89" t="str">
        <x:v>Optometría</x:v>
      </x:c>
      <x:c r="S46" s="106" t="n">
        <x:v>45822</x:v>
      </x:c>
      <x:c r="T46" s="89" t="str">
        <x:f>IF(O46&lt;Instructivo!$B$4,"Vencido",IF(O46&lt;=Instructivo!$B$4+30,"Próximo a vencer","Vigente"))</x:f>
        <x:v>Vencido</x:v>
      </x:c>
      <x:c r="U46" s="89" t="str">
        <x:v>Líder SST</x:v>
      </x:c>
      <x:c r="V46" s="90" t="str">
        <x:v>Registro completo y soportado en historia ocupacional</x:v>
      </x:c>
    </x:row>
    <x:row r="47">
      <x:c r="A47" s="88" t="n">
        <x:v>2025</x:v>
      </x:c>
      <x:c r="B47" s="89" t="str">
        <x:v>EMO-2025-0046</x:v>
      </x:c>
      <x:c r="C47" s="106" t="n">
        <x:v>45696</x:v>
      </x:c>
      <x:c r="D47" s="89" t="str">
        <x:v>Post-incapacidad</x:v>
      </x:c>
      <x:c r="E47" s="89" t="str">
        <x:v>169333700</x:v>
      </x:c>
      <x:c r="F47" s="89" t="str">
        <x:v>José Yulieth Ramírez Rojas</x:v>
      </x:c>
      <x:c r="G47" s="89" t="str">
        <x:v>Operador de medios tecnológicos</x:v>
      </x:c>
      <x:c r="H47" s="89" t="str">
        <x:v>Cúcuta</x:v>
      </x:c>
      <x:c r="I47" s="89" t="str">
        <x:v>Medios Tecnológicos</x:v>
      </x:c>
      <x:c r="J47" s="89" t="str">
        <x:v>Colmédica Ocupacional</x:v>
      </x:c>
      <x:c r="K47" s="89" t="str">
        <x:v>Apto</x:v>
      </x:c>
      <x:c r="L47" s="89" t="str"/>
      <x:c r="M47" s="89" t="str">
        <x:v>Participar en programas de vigilancia epidemiológica</x:v>
      </x:c>
      <x:c r="N47" s="112" t="n">
        <x:v>6</x:v>
      </x:c>
      <x:c r="O47" s="106" t="n">
        <x:f>EDATE(C47,N47)</x:f>
        <x:v>45877</x:v>
      </x:c>
      <x:c r="P47" s="89" t="str">
        <x:v>R51 Cefalea</x:v>
      </x:c>
      <x:c r="Q47" s="89" t="str">
        <x:v>No</x:v>
      </x:c>
      <x:c r="R47" s="89" t="str"/>
      <x:c r="S47" s="106"/>
      <x:c r="T47" s="89" t="str">
        <x:f>IF(O47&lt;Instructivo!$B$4,"Vencido",IF(O47&lt;=Instructivo!$B$4+30,"Próximo a vencer","Vigente"))</x:f>
        <x:v>Vencido</x:v>
      </x:c>
      <x:c r="U47" s="89" t="str">
        <x:v>Analista SST</x:v>
      </x:c>
      <x:c r="V47" s="90" t="str">
        <x:v>Se recomienda seguimiento por comité SST</x:v>
      </x:c>
    </x:row>
    <x:row r="48">
      <x:c r="A48" s="88" t="n">
        <x:v>2025</x:v>
      </x:c>
      <x:c r="B48" s="89" t="str">
        <x:v>EMO-2025-0047</x:v>
      </x:c>
      <x:c r="C48" s="106" t="n">
        <x:v>45882</x:v>
      </x:c>
      <x:c r="D48" s="89" t="str">
        <x:v>Periódico</x:v>
      </x:c>
      <x:c r="E48" s="89" t="str">
        <x:v>939874152</x:v>
      </x:c>
      <x:c r="F48" s="89" t="str">
        <x:v>Juan Luisa Díaz Martínez</x:v>
      </x:c>
      <x:c r="G48" s="89" t="str">
        <x:v>Técnico de mantenimiento</x:v>
      </x:c>
      <x:c r="H48" s="89" t="str">
        <x:v>Pamplona</x:v>
      </x:c>
      <x:c r="I48" s="89" t="str">
        <x:v>Infraestructura</x:v>
      </x:c>
      <x:c r="J48" s="89" t="str">
        <x:v>Salud Integral Ocupacional</x:v>
      </x:c>
      <x:c r="K48" s="89" t="str">
        <x:v>Apto con restricciones</x:v>
      </x:c>
      <x:c r="L48" s="89" t="str">
        <x:v>Control visual y corrección óptica permanente</x:v>
      </x:c>
      <x:c r="M48" s="89" t="str">
        <x:v>Capacitación ergonómica y seguimiento SST</x:v>
      </x:c>
      <x:c r="N48" s="112" t="n">
        <x:v>12</x:v>
      </x:c>
      <x:c r="O48" s="106" t="n">
        <x:f>EDATE(C48,N48)</x:f>
        <x:v>46247</x:v>
      </x:c>
      <x:c r="P48" s="89" t="str">
        <x:v>R51 Cefalea</x:v>
      </x:c>
      <x:c r="Q48" s="89" t="str">
        <x:v>Sí</x:v>
      </x:c>
      <x:c r="R48" s="89" t="str">
        <x:v>Ergonomía</x:v>
      </x:c>
      <x:c r="S48" s="106" t="n">
        <x:v>46002</x:v>
      </x:c>
      <x:c r="T48" s="89" t="str">
        <x:f>IF(O48&lt;Instructivo!$B$4,"Vencido",IF(O48&lt;=Instructivo!$B$4+30,"Próximo a vencer","Vigente"))</x:f>
        <x:v>Vigente</x:v>
      </x:c>
      <x:c r="U48" s="89" t="str">
        <x:v>Analista SST</x:v>
      </x:c>
      <x:c r="V48" s="90" t="str">
        <x:v>Caso priorizado por restricciones activas</x:v>
      </x:c>
    </x:row>
    <x:row r="49">
      <x:c r="A49" s="88" t="n">
        <x:v>2025</x:v>
      </x:c>
      <x:c r="B49" s="89" t="str">
        <x:v>EMO-2025-0048</x:v>
      </x:c>
      <x:c r="C49" s="106" t="n">
        <x:v>45852</x:v>
      </x:c>
      <x:c r="D49" s="89" t="str">
        <x:v>Post-incapacidad</x:v>
      </x:c>
      <x:c r="E49" s="89" t="str">
        <x:v>133211291</x:v>
      </x:c>
      <x:c r="F49" s="89" t="str">
        <x:v>Juan Diego Ramírez Parra</x:v>
      </x:c>
      <x:c r="G49" s="89" t="str">
        <x:v>Vigilante</x:v>
      </x:c>
      <x:c r="H49" s="89" t="str">
        <x:v>Cúcuta</x:v>
      </x:c>
      <x:c r="I49" s="89" t="str">
        <x:v>Operaciones</x:v>
      </x:c>
      <x:c r="J49" s="89" t="str">
        <x:v>IPS Ocupasalud SAS</x:v>
      </x:c>
      <x:c r="K49" s="89" t="str">
        <x:v>Apto</x:v>
      </x:c>
      <x:c r="L49" s="89" t="str"/>
      <x:c r="M49" s="89" t="str">
        <x:v>Uso permanente de EPP</x:v>
      </x:c>
      <x:c r="N49" s="112" t="n">
        <x:v>6</x:v>
      </x:c>
      <x:c r="O49" s="106" t="n">
        <x:f>EDATE(C49,N49)</x:f>
        <x:v>46036</x:v>
      </x:c>
      <x:c r="P49" s="89" t="str">
        <x:v>M75.1 Lesión de hombro</x:v>
      </x:c>
      <x:c r="Q49" s="89" t="str">
        <x:v>No</x:v>
      </x:c>
      <x:c r="R49" s="89" t="str"/>
      <x:c r="S49" s="106"/>
      <x:c r="T49" s="89" t="str">
        <x:f>IF(O49&lt;Instructivo!$B$4,"Vencido",IF(O49&lt;=Instructivo!$B$4+30,"Próximo a vencer","Vigente"))</x:f>
        <x:v>Vencido</x:v>
      </x:c>
      <x:c r="U49" s="89" t="str">
        <x:v>Líder SST</x:v>
      </x:c>
      <x:c r="V49" s="90" t="str">
        <x:v>Requiere revisión de puesto de trabajo</x:v>
      </x:c>
    </x:row>
    <x:row r="50">
      <x:c r="A50" s="88" t="n">
        <x:v>2025</x:v>
      </x:c>
      <x:c r="B50" s="89" t="str">
        <x:v>EMO-2025-0049</x:v>
      </x:c>
      <x:c r="C50" s="106" t="n">
        <x:v>45972</x:v>
      </x:c>
      <x:c r="D50" s="89" t="str">
        <x:v>Periódico</x:v>
      </x:c>
      <x:c r="E50" s="89" t="str">
        <x:v>561669324</x:v>
      </x:c>
      <x:c r="F50" s="89" t="str">
        <x:v>Diego Camilo Ramírez Martínez</x:v>
      </x:c>
      <x:c r="G50" s="89" t="str">
        <x:v>Vigilante</x:v>
      </x:c>
      <x:c r="H50" s="89" t="str">
        <x:v>Ocaña</x:v>
      </x:c>
      <x:c r="I50" s="89" t="str">
        <x:v>Operaciones</x:v>
      </x:c>
      <x:c r="J50" s="89" t="str">
        <x:v>Colmédica Ocupacional</x:v>
      </x:c>
      <x:c r="K50" s="89" t="str">
        <x:v>Apto</x:v>
      </x:c>
      <x:c r="L50" s="89" t="str"/>
      <x:c r="M50" s="89" t="str">
        <x:v>Continuar controles periódicos anuales</x:v>
      </x:c>
      <x:c r="N50" s="112" t="n">
        <x:v>12</x:v>
      </x:c>
      <x:c r="O50" s="106" t="n">
        <x:f>EDATE(C50,N50)</x:f>
        <x:v>46337</x:v>
      </x:c>
      <x:c r="P50" s="89" t="str">
        <x:v>M54.5 Lumbalgia</x:v>
      </x:c>
      <x:c r="Q50" s="89" t="str">
        <x:v>No</x:v>
      </x:c>
      <x:c r="R50" s="89" t="str"/>
      <x:c r="S50" s="106"/>
      <x:c r="T50" s="89" t="str">
        <x:f>IF(O50&lt;Instructivo!$B$4,"Vencido",IF(O50&lt;=Instructivo!$B$4+30,"Próximo a vencer","Vigente"))</x:f>
        <x:v>Vigente</x:v>
      </x:c>
      <x:c r="U50" s="89" t="str">
        <x:v>Analista SST</x:v>
      </x:c>
      <x:c r="V50" s="90" t="str">
        <x:v>Pendiente firma de concepto médico</x:v>
      </x:c>
    </x:row>
    <x:row r="51">
      <x:c r="A51" s="88" t="n">
        <x:v>2025</x:v>
      </x:c>
      <x:c r="B51" s="89" t="str">
        <x:v>EMO-2025-0050</x:v>
      </x:c>
      <x:c r="C51" s="106" t="n">
        <x:v>45744</x:v>
      </x:c>
      <x:c r="D51" s="89" t="str">
        <x:v>Post-exposición</x:v>
      </x:c>
      <x:c r="E51" s="89" t="str">
        <x:v>122561176</x:v>
      </x:c>
      <x:c r="F51" s="89" t="str">
        <x:v>José Kevin Suárez Ramírez</x:v>
      </x:c>
      <x:c r="G51" s="89" t="str">
        <x:v>Supervisor de puesto</x:v>
      </x:c>
      <x:c r="H51" s="89" t="str">
        <x:v>Barrancabermeja</x:v>
      </x:c>
      <x:c r="I51" s="89" t="str">
        <x:v>Operaciones</x:v>
      </x:c>
      <x:c r="J51" s="89" t="str">
        <x:v>Colmédica Ocupacional</x:v>
      </x:c>
      <x:c r="K51" s="89" t="str">
        <x:v>Apto</x:v>
      </x:c>
      <x:c r="L51" s="89" t="str"/>
      <x:c r="M51" s="89" t="str">
        <x:v>Continuar controles periódicos anuales</x:v>
      </x:c>
      <x:c r="N51" s="112" t="n">
        <x:v>12</x:v>
      </x:c>
      <x:c r="O51" s="106" t="n">
        <x:f>EDATE(C51,N51)</x:f>
        <x:v>46109</x:v>
      </x:c>
      <x:c r="P51" s="89" t="str">
        <x:v>G56.0 Síndrome túnel carpiano</x:v>
      </x:c>
      <x:c r="Q51" s="89" t="str">
        <x:v>No</x:v>
      </x:c>
      <x:c r="R51" s="89" t="str"/>
      <x:c r="S51" s="106"/>
      <x:c r="T51" s="89" t="str">
        <x:f>IF(O51&lt;Instructivo!$B$4,"Vencido",IF(O51&lt;=Instructivo!$B$4+30,"Próximo a vencer","Vigente"))</x:f>
        <x:v>Vencido</x:v>
      </x:c>
      <x:c r="U51" s="89" t="str">
        <x:v>Líder SST</x:v>
      </x:c>
      <x:c r="V51" s="90" t="str">
        <x:v>Requiere revisión de puesto de trabajo</x:v>
      </x:c>
    </x:row>
    <x:row r="52">
      <x:c r="A52" s="88" t="n">
        <x:v>2025</x:v>
      </x:c>
      <x:c r="B52" s="89" t="str">
        <x:v>EMO-2025-0051</x:v>
      </x:c>
      <x:c r="C52" s="106" t="n">
        <x:v>45693</x:v>
      </x:c>
      <x:c r="D52" s="89" t="str">
        <x:v>Periódico</x:v>
      </x:c>
      <x:c r="E52" s="89" t="str">
        <x:v>464934149</x:v>
      </x:c>
      <x:c r="F52" s="89" t="str">
        <x:v>Julián Felipe Parra Rodríguez</x:v>
      </x:c>
      <x:c r="G52" s="89" t="str">
        <x:v>Vigilante</x:v>
      </x:c>
      <x:c r="H52" s="89" t="str">
        <x:v>Cúcuta</x:v>
      </x:c>
      <x:c r="I52" s="89" t="str">
        <x:v>Operaciones</x:v>
      </x:c>
      <x:c r="J52" s="89" t="str">
        <x:v>IPS Prevencionar</x:v>
      </x:c>
      <x:c r="K52" s="89" t="str">
        <x:v>Apto</x:v>
      </x:c>
      <x:c r="L52" s="89" t="str"/>
      <x:c r="M52" s="89" t="str">
        <x:v>Continuar controles periódicos anuales</x:v>
      </x:c>
      <x:c r="N52" s="112" t="n">
        <x:v>12</x:v>
      </x:c>
      <x:c r="O52" s="106" t="n">
        <x:f>EDATE(C52,N52)</x:f>
        <x:v>46058</x:v>
      </x:c>
      <x:c r="P52" s="89" t="str">
        <x:v>G56.0 Síndrome túnel carpiano</x:v>
      </x:c>
      <x:c r="Q52" s="89" t="str">
        <x:v>No</x:v>
      </x:c>
      <x:c r="R52" s="89" t="str"/>
      <x:c r="S52" s="106"/>
      <x:c r="T52" s="89" t="str">
        <x:f>IF(O52&lt;Instructivo!$B$4,"Vencido",IF(O52&lt;=Instructivo!$B$4+30,"Próximo a vencer","Vigente"))</x:f>
        <x:v>Vencido</x:v>
      </x:c>
      <x:c r="U52" s="89" t="str">
        <x:v>Médico Ocupacional</x:v>
      </x:c>
      <x:c r="V52" s="90" t="str">
        <x:v>Registro completo y soportado en historia ocupacional</x:v>
      </x:c>
    </x:row>
    <x:row r="53">
      <x:c r="A53" s="88" t="n">
        <x:v>2025</x:v>
      </x:c>
      <x:c r="B53" s="89" t="str">
        <x:v>EMO-2025-0052</x:v>
      </x:c>
      <x:c r="C53" s="106" t="n">
        <x:v>45911</x:v>
      </x:c>
      <x:c r="D53" s="89" t="str">
        <x:v>Post-incapacidad</x:v>
      </x:c>
      <x:c r="E53" s="89" t="str">
        <x:v>534415796</x:v>
      </x:c>
      <x:c r="F53" s="89" t="str">
        <x:v>Luisa Ana Torres Castro</x:v>
      </x:c>
      <x:c r="G53" s="89" t="str">
        <x:v>Vigilante</x:v>
      </x:c>
      <x:c r="H53" s="89" t="str">
        <x:v>Cúcuta</x:v>
      </x:c>
      <x:c r="I53" s="89" t="str">
        <x:v>Operaciones</x:v>
      </x:c>
      <x:c r="J53" s="89" t="str">
        <x:v>Centro Médico Laboral Andino</x:v>
      </x:c>
      <x:c r="K53" s="89" t="str">
        <x:v>Apto con restricciones</x:v>
      </x:c>
      <x:c r="L53" s="89" t="str">
        <x:v>Restricción para trabajo prolongado de pie</x:v>
      </x:c>
      <x:c r="M53" s="89" t="str">
        <x:v>Control por optometría/medicina general</x:v>
      </x:c>
      <x:c r="N53" s="112" t="n">
        <x:v>6</x:v>
      </x:c>
      <x:c r="O53" s="106" t="n">
        <x:f>EDATE(C53,N53)</x:f>
        <x:v>46092</x:v>
      </x:c>
      <x:c r="P53" s="89" t="str">
        <x:v>H52.4 Presbicia</x:v>
      </x:c>
      <x:c r="Q53" s="89" t="str">
        <x:v>Sí</x:v>
      </x:c>
      <x:c r="R53" s="89" t="str">
        <x:v>Medicina laboral</x:v>
      </x:c>
      <x:c r="S53" s="106" t="n">
        <x:v>46001</x:v>
      </x:c>
      <x:c r="T53" s="89" t="str">
        <x:f>IF(O53&lt;Instructivo!$B$4,"Vencido",IF(O53&lt;=Instructivo!$B$4+30,"Próximo a vencer","Vigente"))</x:f>
        <x:v>Vencido</x:v>
      </x:c>
      <x:c r="U53" s="89" t="str">
        <x:v>Médico Ocupacional</x:v>
      </x:c>
      <x:c r="V53" s="90" t="str">
        <x:v>Caso priorizado por restricciones activas</x:v>
      </x:c>
    </x:row>
    <x:row r="54">
      <x:c r="A54" s="88" t="n">
        <x:v>2025</x:v>
      </x:c>
      <x:c r="B54" s="89" t="str">
        <x:v>EMO-2025-0053</x:v>
      </x:c>
      <x:c r="C54" s="106" t="n">
        <x:v>45676</x:v>
      </x:c>
      <x:c r="D54" s="89" t="str">
        <x:v>Periódico</x:v>
      </x:c>
      <x:c r="E54" s="89" t="str">
        <x:v>771009594</x:v>
      </x:c>
      <x:c r="F54" s="89" t="str">
        <x:v>Paola Felipe Castro Pérez</x:v>
      </x:c>
      <x:c r="G54" s="89" t="str">
        <x:v>Vigilante</x:v>
      </x:c>
      <x:c r="H54" s="89" t="str">
        <x:v>Cúcuta</x:v>
      </x:c>
      <x:c r="I54" s="89" t="str">
        <x:v>Operaciones</x:v>
      </x:c>
      <x:c r="J54" s="89" t="str">
        <x:v>IPS Ocupasalud SAS</x:v>
      </x:c>
      <x:c r="K54" s="89" t="str">
        <x:v>Apto</x:v>
      </x:c>
      <x:c r="L54" s="89" t="str"/>
      <x:c r="M54" s="89" t="str">
        <x:v>Uso permanente de EPP</x:v>
      </x:c>
      <x:c r="N54" s="112" t="n">
        <x:v>12</x:v>
      </x:c>
      <x:c r="O54" s="106" t="n">
        <x:f>EDATE(C54,N54)</x:f>
        <x:v>46041</x:v>
      </x:c>
      <x:c r="P54" s="89" t="str">
        <x:v>R51 Cefalea</x:v>
      </x:c>
      <x:c r="Q54" s="89" t="str">
        <x:v>No</x:v>
      </x:c>
      <x:c r="R54" s="89" t="str"/>
      <x:c r="S54" s="106"/>
      <x:c r="T54" s="89" t="str">
        <x:f>IF(O54&lt;Instructivo!$B$4,"Vencido",IF(O54&lt;=Instructivo!$B$4+30,"Próximo a vencer","Vigente"))</x:f>
        <x:v>Vencido</x:v>
      </x:c>
      <x:c r="U54" s="89" t="str">
        <x:v>Analista SST</x:v>
      </x:c>
      <x:c r="V54" s="90" t="str">
        <x:v>Registro completo y soportado en historia ocupacional</x:v>
      </x:c>
    </x:row>
    <x:row r="55">
      <x:c r="A55" s="88" t="n">
        <x:v>2025</x:v>
      </x:c>
      <x:c r="B55" s="89" t="str">
        <x:v>EMO-2025-0054</x:v>
      </x:c>
      <x:c r="C55" s="106" t="n">
        <x:v>45697</x:v>
      </x:c>
      <x:c r="D55" s="89" t="str">
        <x:v>Ingreso</x:v>
      </x:c>
      <x:c r="E55" s="89" t="str">
        <x:v>971899411</x:v>
      </x:c>
      <x:c r="F55" s="89" t="str">
        <x:v>Jhon Jhon Díaz Rodríguez</x:v>
      </x:c>
      <x:c r="G55" s="89" t="str">
        <x:v>Supervisor motorizado</x:v>
      </x:c>
      <x:c r="H55" s="89" t="str">
        <x:v>Pamplona</x:v>
      </x:c>
      <x:c r="I55" s="89" t="str">
        <x:v>Operaciones</x:v>
      </x:c>
      <x:c r="J55" s="89" t="str">
        <x:v>IPS Prevencionar</x:v>
      </x:c>
      <x:c r="K55" s="89" t="str">
        <x:v>Apto</x:v>
      </x:c>
      <x:c r="L55" s="89" t="str"/>
      <x:c r="M55" s="89" t="str">
        <x:v>Continuar controles periódicos anuales</x:v>
      </x:c>
      <x:c r="N55" s="112" t="n">
        <x:v>12</x:v>
      </x:c>
      <x:c r="O55" s="106" t="n">
        <x:f>EDATE(C55,N55)</x:f>
        <x:v>46062</x:v>
      </x:c>
      <x:c r="P55" s="89" t="str">
        <x:v>Z00.0 Examen general</x:v>
      </x:c>
      <x:c r="Q55" s="89" t="str">
        <x:v>No</x:v>
      </x:c>
      <x:c r="R55" s="89" t="str"/>
      <x:c r="S55" s="106"/>
      <x:c r="T55" s="89" t="str">
        <x:f>IF(O55&lt;Instructivo!$B$4,"Vencido",IF(O55&lt;=Instructivo!$B$4+30,"Próximo a vencer","Vigente"))</x:f>
        <x:v>Vencido</x:v>
      </x:c>
      <x:c r="U55" s="89" t="str">
        <x:v>Médico Ocupacional</x:v>
      </x:c>
      <x:c r="V55" s="90" t="str">
        <x:v>Caso priorizado por restricciones activas</x:v>
      </x:c>
    </x:row>
    <x:row r="56">
      <x:c r="A56" s="88" t="n">
        <x:v>2025</x:v>
      </x:c>
      <x:c r="B56" s="89" t="str">
        <x:v>EMO-2025-0055</x:v>
      </x:c>
      <x:c r="C56" s="106" t="n">
        <x:v>45881</x:v>
      </x:c>
      <x:c r="D56" s="89" t="str">
        <x:v>Periódico</x:v>
      </x:c>
      <x:c r="E56" s="89" t="str">
        <x:v>534415796</x:v>
      </x:c>
      <x:c r="F56" s="89" t="str">
        <x:v>Luisa Ana Torres Castro</x:v>
      </x:c>
      <x:c r="G56" s="89" t="str">
        <x:v>Vigilante</x:v>
      </x:c>
      <x:c r="H56" s="89" t="str">
        <x:v>Cúcuta</x:v>
      </x:c>
      <x:c r="I56" s="89" t="str">
        <x:v>Operaciones</x:v>
      </x:c>
      <x:c r="J56" s="89" t="str">
        <x:v>IPS Prevencionar</x:v>
      </x:c>
      <x:c r="K56" s="89" t="str">
        <x:v>Apto</x:v>
      </x:c>
      <x:c r="L56" s="89" t="str"/>
      <x:c r="M56" s="89" t="str">
        <x:v>Continuar controles periódicos anuales</x:v>
      </x:c>
      <x:c r="N56" s="112" t="n">
        <x:v>12</x:v>
      </x:c>
      <x:c r="O56" s="106" t="n">
        <x:f>EDATE(C56,N56)</x:f>
        <x:v>46246</x:v>
      </x:c>
      <x:c r="P56" s="89" t="str">
        <x:v>E66.9 Obesidad</x:v>
      </x:c>
      <x:c r="Q56" s="89" t="str">
        <x:v>No</x:v>
      </x:c>
      <x:c r="R56" s="89" t="str"/>
      <x:c r="S56" s="106"/>
      <x:c r="T56" s="89" t="str">
        <x:f>IF(O56&lt;Instructivo!$B$4,"Vencido",IF(O56&lt;=Instructivo!$B$4+30,"Próximo a vencer","Vigente"))</x:f>
        <x:v>Vigente</x:v>
      </x:c>
      <x:c r="U56" s="89" t="str">
        <x:v>Coordinador de Talento Humano</x:v>
      </x:c>
      <x:c r="V56" s="90" t="str">
        <x:v>Pendiente firma de concepto médico</x:v>
      </x:c>
    </x:row>
    <x:row r="57">
      <x:c r="A57" s="88" t="n">
        <x:v>2025</x:v>
      </x:c>
      <x:c r="B57" s="89" t="str">
        <x:v>EMO-2025-0056</x:v>
      </x:c>
      <x:c r="C57" s="106" t="n">
        <x:v>45684</x:v>
      </x:c>
      <x:c r="D57" s="89" t="str">
        <x:v>Periódico</x:v>
      </x:c>
      <x:c r="E57" s="89" t="str">
        <x:v>544761823</x:v>
      </x:c>
      <x:c r="F57" s="89" t="str">
        <x:v>Ana Luis Gómez Pérez</x:v>
      </x:c>
      <x:c r="G57" s="89" t="str">
        <x:v>Vigilante</x:v>
      </x:c>
      <x:c r="H57" s="89" t="str">
        <x:v>Pamplona</x:v>
      </x:c>
      <x:c r="I57" s="89" t="str">
        <x:v>Operaciones</x:v>
      </x:c>
      <x:c r="J57" s="89" t="str">
        <x:v>IPS Ocupasalud SAS</x:v>
      </x:c>
      <x:c r="K57" s="89" t="str">
        <x:v>Apto</x:v>
      </x:c>
      <x:c r="L57" s="89" t="str"/>
      <x:c r="M57" s="89" t="str">
        <x:v>Participar en programas de vigilancia epidemiológica</x:v>
      </x:c>
      <x:c r="N57" s="112" t="n">
        <x:v>12</x:v>
      </x:c>
      <x:c r="O57" s="106" t="n">
        <x:f>EDATE(C57,N57)</x:f>
        <x:v>46049</x:v>
      </x:c>
      <x:c r="P57" s="89" t="str">
        <x:v>M75.1 Lesión de hombro</x:v>
      </x:c>
      <x:c r="Q57" s="89" t="str">
        <x:v>No</x:v>
      </x:c>
      <x:c r="R57" s="89" t="str"/>
      <x:c r="S57" s="106"/>
      <x:c r="T57" s="89" t="str">
        <x:f>IF(O57&lt;Instructivo!$B$4,"Vencido",IF(O57&lt;=Instructivo!$B$4+30,"Próximo a vencer","Vigente"))</x:f>
        <x:v>Vencido</x:v>
      </x:c>
      <x:c r="U57" s="89" t="str">
        <x:v>Líder SST</x:v>
      </x:c>
      <x:c r="V57" s="90" t="str">
        <x:v>Se recomienda seguimiento por comité SST</x:v>
      </x:c>
    </x:row>
    <x:row r="58">
      <x:c r="A58" s="88" t="n">
        <x:v>2025</x:v>
      </x:c>
      <x:c r="B58" s="89" t="str">
        <x:v>EMO-2025-0057</x:v>
      </x:c>
      <x:c r="C58" s="106" t="n">
        <x:v>45979</x:v>
      </x:c>
      <x:c r="D58" s="89" t="str">
        <x:v>Post-incapacidad</x:v>
      </x:c>
      <x:c r="E58" s="89" t="str">
        <x:v>458072684</x:v>
      </x:c>
      <x:c r="F58" s="89" t="str">
        <x:v>Julián Luis Castro Pérez</x:v>
      </x:c>
      <x:c r="G58" s="89" t="str">
        <x:v>Auxiliar administrativo</x:v>
      </x:c>
      <x:c r="H58" s="89" t="str">
        <x:v>Bogotá</x:v>
      </x:c>
      <x:c r="I58" s="89" t="str">
        <x:v>Administrativa</x:v>
      </x:c>
      <x:c r="J58" s="89" t="str">
        <x:v>Colmédica Ocupacional</x:v>
      </x:c>
      <x:c r="K58" s="89" t="str">
        <x:v>Apto</x:v>
      </x:c>
      <x:c r="L58" s="89" t="str"/>
      <x:c r="M58" s="89" t="str">
        <x:v>Mantener estilos de vida saludable</x:v>
      </x:c>
      <x:c r="N58" s="112" t="n">
        <x:v>6</x:v>
      </x:c>
      <x:c r="O58" s="106" t="n">
        <x:f>EDATE(C58,N58)</x:f>
        <x:v>46160</x:v>
      </x:c>
      <x:c r="P58" s="89" t="str">
        <x:v>M54.5 Lumbalgia</x:v>
      </x:c>
      <x:c r="Q58" s="89" t="str">
        <x:v>Sí</x:v>
      </x:c>
      <x:c r="R58" s="89" t="str">
        <x:v>Ergonomía</x:v>
      </x:c>
      <x:c r="S58" s="106" t="n">
        <x:v>46039</x:v>
      </x:c>
      <x:c r="T58" s="89" t="str">
        <x:f>IF(O58&lt;Instructivo!$B$4,"Vencido",IF(O58&lt;=Instructivo!$B$4+30,"Próximo a vencer","Vigente"))</x:f>
        <x:v>Vencido</x:v>
      </x:c>
      <x:c r="U58" s="89" t="str">
        <x:v>Médico Ocupacional</x:v>
      </x:c>
      <x:c r="V58" s="90" t="str">
        <x:v>Requiere revisión de puesto de trabajo</x:v>
      </x:c>
    </x:row>
    <x:row r="59">
      <x:c r="A59" s="88" t="n">
        <x:v>2025</x:v>
      </x:c>
      <x:c r="B59" s="89" t="str">
        <x:v>EMO-2025-0058</x:v>
      </x:c>
      <x:c r="C59" s="106" t="n">
        <x:v>45862</x:v>
      </x:c>
      <x:c r="D59" s="89" t="str">
        <x:v>Periódico</x:v>
      </x:c>
      <x:c r="E59" s="89" t="str">
        <x:v>662642635</x:v>
      </x:c>
      <x:c r="F59" s="89" t="str">
        <x:v>Carlos Ana Pérez Rodríguez</x:v>
      </x:c>
      <x:c r="G59" s="89" t="str">
        <x:v>Conductor</x:v>
      </x:c>
      <x:c r="H59" s="89" t="str">
        <x:v>Ábrego</x:v>
      </x:c>
      <x:c r="I59" s="89" t="str">
        <x:v>Logística</x:v>
      </x:c>
      <x:c r="J59" s="89" t="str">
        <x:v>Colmédica Ocupacional</x:v>
      </x:c>
      <x:c r="K59" s="89" t="str">
        <x:v>Apto</x:v>
      </x:c>
      <x:c r="L59" s="89" t="str"/>
      <x:c r="M59" s="89" t="str">
        <x:v>Uso permanente de EPP</x:v>
      </x:c>
      <x:c r="N59" s="112" t="n">
        <x:v>12</x:v>
      </x:c>
      <x:c r="O59" s="106" t="n">
        <x:f>EDATE(C59,N59)</x:f>
        <x:v>46227</x:v>
      </x:c>
      <x:c r="P59" s="89" t="str">
        <x:v>M75.1 Lesión de hombro</x:v>
      </x:c>
      <x:c r="Q59" s="89" t="str">
        <x:v>Sí</x:v>
      </x:c>
      <x:c r="R59" s="89" t="str">
        <x:v>Cardiometabólico</x:v>
      </x:c>
      <x:c r="S59" s="106" t="n">
        <x:v>45952</x:v>
      </x:c>
      <x:c r="T59" s="89" t="str">
        <x:f>IF(O59&lt;Instructivo!$B$4,"Vencido",IF(O59&lt;=Instructivo!$B$4+30,"Próximo a vencer","Vigente"))</x:f>
        <x:v>Vigente</x:v>
      </x:c>
      <x:c r="U59" s="89" t="str">
        <x:v>Coordinador de Talento Humano</x:v>
      </x:c>
      <x:c r="V59" s="90" t="str">
        <x:v>Pendiente firma de concepto médico</x:v>
      </x:c>
    </x:row>
    <x:row r="60">
      <x:c r="A60" s="88" t="n">
        <x:v>2025</x:v>
      </x:c>
      <x:c r="B60" s="89" t="str">
        <x:v>EMO-2025-0059</x:v>
      </x:c>
      <x:c r="C60" s="106" t="n">
        <x:v>45793</x:v>
      </x:c>
      <x:c r="D60" s="89" t="str">
        <x:v>Periódico</x:v>
      </x:c>
      <x:c r="E60" s="89" t="str">
        <x:v>623592974</x:v>
      </x:c>
      <x:c r="F60" s="89" t="str">
        <x:v>Kevin Miguel Hernández Moreno</x:v>
      </x:c>
      <x:c r="G60" s="89" t="str">
        <x:v>Supervisor motorizado</x:v>
      </x:c>
      <x:c r="H60" s="89" t="str">
        <x:v>Cúcuta</x:v>
      </x:c>
      <x:c r="I60" s="89" t="str">
        <x:v>Operaciones</x:v>
      </x:c>
      <x:c r="J60" s="89" t="str">
        <x:v>Salud Integral Ocupacional</x:v>
      </x:c>
      <x:c r="K60" s="89" t="str">
        <x:v>Apto</x:v>
      </x:c>
      <x:c r="L60" s="89" t="str"/>
      <x:c r="M60" s="89" t="str">
        <x:v>Uso permanente de EPP</x:v>
      </x:c>
      <x:c r="N60" s="112" t="n">
        <x:v>12</x:v>
      </x:c>
      <x:c r="O60" s="106" t="n">
        <x:f>EDATE(C60,N60)</x:f>
        <x:v>46158</x:v>
      </x:c>
      <x:c r="P60" s="89" t="str">
        <x:v>Z00.0 Examen general</x:v>
      </x:c>
      <x:c r="Q60" s="89" t="str">
        <x:v>No</x:v>
      </x:c>
      <x:c r="R60" s="89" t="str"/>
      <x:c r="S60" s="106"/>
      <x:c r="T60" s="89" t="str">
        <x:f>IF(O60&lt;Instructivo!$B$4,"Vencido",IF(O60&lt;=Instructivo!$B$4+30,"Próximo a vencer","Vigente"))</x:f>
        <x:v>Vencido</x:v>
      </x:c>
      <x:c r="U60" s="89" t="str">
        <x:v>Analista SST</x:v>
      </x:c>
      <x:c r="V60" s="90" t="str">
        <x:v>Se recomienda seguimiento por comité SST</x:v>
      </x:c>
    </x:row>
    <x:row r="61">
      <x:c r="A61" s="88" t="n">
        <x:v>2025</x:v>
      </x:c>
      <x:c r="B61" s="89" t="str">
        <x:v>EMO-2025-0060</x:v>
      </x:c>
      <x:c r="C61" s="106" t="n">
        <x:v>45835</x:v>
      </x:c>
      <x:c r="D61" s="89" t="str">
        <x:v>Ingreso</x:v>
      </x:c>
      <x:c r="E61" s="89" t="str">
        <x:v>181527021</x:v>
      </x:c>
      <x:c r="F61" s="89" t="str">
        <x:v>Felipe Luis Ramírez Torres</x:v>
      </x:c>
      <x:c r="G61" s="89" t="str">
        <x:v>Vigilante</x:v>
      </x:c>
      <x:c r="H61" s="89" t="str">
        <x:v>Arauca</x:v>
      </x:c>
      <x:c r="I61" s="89" t="str">
        <x:v>Operaciones</x:v>
      </x:c>
      <x:c r="J61" s="89" t="str">
        <x:v>Salud Integral Ocupacional</x:v>
      </x:c>
      <x:c r="K61" s="89" t="str">
        <x:v>Apto con restricciones</x:v>
      </x:c>
      <x:c r="L61" s="89" t="str">
        <x:v>Control visual y corrección óptica permanente</x:v>
      </x:c>
      <x:c r="M61" s="89" t="str">
        <x:v>Reubicación o ajuste razonable del puesto</x:v>
      </x:c>
      <x:c r="N61" s="112" t="n">
        <x:v>12</x:v>
      </x:c>
      <x:c r="O61" s="106" t="n">
        <x:f>EDATE(C61,N61)</x:f>
        <x:v>46200</x:v>
      </x:c>
      <x:c r="P61" s="89" t="str">
        <x:v>M75.1 Lesión de hombro</x:v>
      </x:c>
      <x:c r="Q61" s="89" t="str">
        <x:v>Sí</x:v>
      </x:c>
      <x:c r="R61" s="89" t="str">
        <x:v>Cardiometabólico</x:v>
      </x:c>
      <x:c r="S61" s="106" t="n">
        <x:v>45895</x:v>
      </x:c>
      <x:c r="T61" s="89" t="str">
        <x:f>IF(O61&lt;Instructivo!$B$4,"Vencido",IF(O61&lt;=Instructivo!$B$4+30,"Próximo a vencer","Vigente"))</x:f>
        <x:v>Próximo a vencer</x:v>
      </x:c>
      <x:c r="U61" s="89" t="str">
        <x:v>Médico Ocupacional</x:v>
      </x:c>
      <x:c r="V61" s="90" t="str">
        <x:v>Sin novedades adicionales</x:v>
      </x:c>
    </x:row>
    <x:row r="62">
      <x:c r="A62" s="88" t="n">
        <x:v>2025</x:v>
      </x:c>
      <x:c r="B62" s="89" t="str">
        <x:v>EMO-2025-0061</x:v>
      </x:c>
      <x:c r="C62" s="106" t="n">
        <x:v>45902</x:v>
      </x:c>
      <x:c r="D62" s="89" t="str">
        <x:v>Post-incapacidad</x:v>
      </x:c>
      <x:c r="E62" s="89" t="str">
        <x:v>562666893</x:v>
      </x:c>
      <x:c r="F62" s="89" t="str">
        <x:v>Luisa Diego Rojas Gómez</x:v>
      </x:c>
      <x:c r="G62" s="89" t="str">
        <x:v>Conductor</x:v>
      </x:c>
      <x:c r="H62" s="89" t="str">
        <x:v>Ocaña</x:v>
      </x:c>
      <x:c r="I62" s="89" t="str">
        <x:v>Logística</x:v>
      </x:c>
      <x:c r="J62" s="89" t="str">
        <x:v>IPS Ocupasalud SAS</x:v>
      </x:c>
      <x:c r="K62" s="89" t="str">
        <x:v>Apto</x:v>
      </x:c>
      <x:c r="L62" s="89" t="str"/>
      <x:c r="M62" s="89" t="str">
        <x:v>Participar en programas de vigilancia epidemiológica</x:v>
      </x:c>
      <x:c r="N62" s="112" t="n">
        <x:v>6</x:v>
      </x:c>
      <x:c r="O62" s="106" t="n">
        <x:f>EDATE(C62,N62)</x:f>
        <x:v>46083</x:v>
      </x:c>
      <x:c r="P62" s="89" t="str">
        <x:v>H52.4 Presbicia</x:v>
      </x:c>
      <x:c r="Q62" s="89" t="str">
        <x:v>No</x:v>
      </x:c>
      <x:c r="R62" s="89" t="str"/>
      <x:c r="S62" s="106"/>
      <x:c r="T62" s="89" t="str">
        <x:f>IF(O62&lt;Instructivo!$B$4,"Vencido",IF(O62&lt;=Instructivo!$B$4+30,"Próximo a vencer","Vigente"))</x:f>
        <x:v>Vencido</x:v>
      </x:c>
      <x:c r="U62" s="89" t="str">
        <x:v>Líder SST</x:v>
      </x:c>
      <x:c r="V62" s="90" t="str">
        <x:v>Requiere revisión de puesto de trabajo</x:v>
      </x:c>
    </x:row>
    <x:row r="63">
      <x:c r="A63" s="88" t="n">
        <x:v>2025</x:v>
      </x:c>
      <x:c r="B63" s="89" t="str">
        <x:v>EMO-2025-0062</x:v>
      </x:c>
      <x:c r="C63" s="106" t="n">
        <x:v>45744</x:v>
      </x:c>
      <x:c r="D63" s="89" t="str">
        <x:v>Ingreso</x:v>
      </x:c>
      <x:c r="E63" s="89" t="str">
        <x:v>248741810</x:v>
      </x:c>
      <x:c r="F63" s="89" t="str">
        <x:v>Andrés Ana López Castro</x:v>
      </x:c>
      <x:c r="G63" s="89" t="str">
        <x:v>Técnico de mantenimiento</x:v>
      </x:c>
      <x:c r="H63" s="89" t="str">
        <x:v>Ábrego</x:v>
      </x:c>
      <x:c r="I63" s="89" t="str">
        <x:v>Infraestructura</x:v>
      </x:c>
      <x:c r="J63" s="89" t="str">
        <x:v>IPS Prevencionar</x:v>
      </x:c>
      <x:c r="K63" s="89" t="str">
        <x:v>No apto</x:v>
      </x:c>
      <x:c r="L63" s="89" t="str">
        <x:v>Pendiente concepto especialista</x:v>
      </x:c>
      <x:c r="M63" s="89" t="str">
        <x:v>Definir reubicación temporal</x:v>
      </x:c>
      <x:c r="N63" s="112" t="n">
        <x:v>12</x:v>
      </x:c>
      <x:c r="O63" s="106" t="n">
        <x:f>EDATE(C63,N63)</x:f>
        <x:v>46109</x:v>
      </x:c>
      <x:c r="P63" s="89" t="str">
        <x:v>I10 Hipertensión esencial</x:v>
      </x:c>
      <x:c r="Q63" s="89" t="str">
        <x:v>Sí</x:v>
      </x:c>
      <x:c r="R63" s="89" t="str">
        <x:v>Medicina laboral</x:v>
      </x:c>
      <x:c r="S63" s="106" t="n">
        <x:v>45834</x:v>
      </x:c>
      <x:c r="T63" s="89" t="str">
        <x:f>IF(O63&lt;Instructivo!$B$4,"Vencido",IF(O63&lt;=Instructivo!$B$4+30,"Próximo a vencer","Vigente"))</x:f>
        <x:v>Vencido</x:v>
      </x:c>
      <x:c r="U63" s="89" t="str">
        <x:v>Analista SST</x:v>
      </x:c>
      <x:c r="V63" s="90" t="str">
        <x:v>Registro completo y soportado en historia ocupacional</x:v>
      </x:c>
    </x:row>
    <x:row r="64">
      <x:c r="A64" s="88" t="n">
        <x:v>2025</x:v>
      </x:c>
      <x:c r="B64" s="89" t="str">
        <x:v>EMO-2025-0063</x:v>
      </x:c>
      <x:c r="C64" s="106" t="n">
        <x:v>45693</x:v>
      </x:c>
      <x:c r="D64" s="89" t="str">
        <x:v>Periódico</x:v>
      </x:c>
      <x:c r="E64" s="89" t="str">
        <x:v>852829622</x:v>
      </x:c>
      <x:c r="F64" s="89" t="str">
        <x:v>Álvaro María Ramírez Gómez</x:v>
      </x:c>
      <x:c r="G64" s="89" t="str">
        <x:v>Vigilante</x:v>
      </x:c>
      <x:c r="H64" s="89" t="str">
        <x:v>Bogotá</x:v>
      </x:c>
      <x:c r="I64" s="89" t="str">
        <x:v>Operaciones</x:v>
      </x:c>
      <x:c r="J64" s="89" t="str">
        <x:v>Salud Integral Ocupacional</x:v>
      </x:c>
      <x:c r="K64" s="89" t="str">
        <x:v>Apto</x:v>
      </x:c>
      <x:c r="L64" s="89" t="str"/>
      <x:c r="M64" s="89" t="str">
        <x:v>Participar en programas de vigilancia epidemiológica</x:v>
      </x:c>
      <x:c r="N64" s="112" t="n">
        <x:v>12</x:v>
      </x:c>
      <x:c r="O64" s="106" t="n">
        <x:f>EDATE(C64,N64)</x:f>
        <x:v>46058</x:v>
      </x:c>
      <x:c r="P64" s="89" t="str">
        <x:v>G56.0 Síndrome túnel carpiano</x:v>
      </x:c>
      <x:c r="Q64" s="89" t="str">
        <x:v>No</x:v>
      </x:c>
      <x:c r="R64" s="89" t="str"/>
      <x:c r="S64" s="106"/>
      <x:c r="T64" s="89" t="str">
        <x:f>IF(O64&lt;Instructivo!$B$4,"Vencido",IF(O64&lt;=Instructivo!$B$4+30,"Próximo a vencer","Vigente"))</x:f>
        <x:v>Vencido</x:v>
      </x:c>
      <x:c r="U64" s="89" t="str">
        <x:v>Líder SST</x:v>
      </x:c>
      <x:c r="V64" s="90" t="str">
        <x:v>Se recomienda seguimiento por comité SST</x:v>
      </x:c>
    </x:row>
    <x:row r="65">
      <x:c r="A65" s="88" t="n">
        <x:v>2025</x:v>
      </x:c>
      <x:c r="B65" s="89" t="str">
        <x:v>EMO-2025-0064</x:v>
      </x:c>
      <x:c r="C65" s="106" t="n">
        <x:v>45873</x:v>
      </x:c>
      <x:c r="D65" s="89" t="str">
        <x:v>Periódico</x:v>
      </x:c>
      <x:c r="E65" s="89" t="str">
        <x:v>702126310</x:v>
      </x:c>
      <x:c r="F65" s="89" t="str">
        <x:v>Luis Luis Rodríguez Moreno</x:v>
      </x:c>
      <x:c r="G65" s="89" t="str">
        <x:v>Vigilante</x:v>
      </x:c>
      <x:c r="H65" s="89" t="str">
        <x:v>Cúcuta</x:v>
      </x:c>
      <x:c r="I65" s="89" t="str">
        <x:v>Operaciones</x:v>
      </x:c>
      <x:c r="J65" s="89" t="str">
        <x:v>Salud Integral Ocupacional</x:v>
      </x:c>
      <x:c r="K65" s="89" t="str">
        <x:v>Apto</x:v>
      </x:c>
      <x:c r="L65" s="89" t="str"/>
      <x:c r="M65" s="89" t="str">
        <x:v>Mantener estilos de vida saludable</x:v>
      </x:c>
      <x:c r="N65" s="112" t="n">
        <x:v>12</x:v>
      </x:c>
      <x:c r="O65" s="106" t="n">
        <x:f>EDATE(C65,N65)</x:f>
        <x:v>46238</x:v>
      </x:c>
      <x:c r="P65" s="89" t="str">
        <x:v>M54.5 Lumbalgia</x:v>
      </x:c>
      <x:c r="Q65" s="89" t="str">
        <x:v>No</x:v>
      </x:c>
      <x:c r="R65" s="89" t="str"/>
      <x:c r="S65" s="106"/>
      <x:c r="T65" s="89" t="str">
        <x:f>IF(O65&lt;Instructivo!$B$4,"Vencido",IF(O65&lt;=Instructivo!$B$4+30,"Próximo a vencer","Vigente"))</x:f>
        <x:v>Vigente</x:v>
      </x:c>
      <x:c r="U65" s="89" t="str">
        <x:v>Líder SST</x:v>
      </x:c>
      <x:c r="V65" s="90" t="str">
        <x:v>Caso priorizado por restricciones activas</x:v>
      </x:c>
    </x:row>
    <x:row r="66">
      <x:c r="A66" s="88" t="n">
        <x:v>2025</x:v>
      </x:c>
      <x:c r="B66" s="89" t="str">
        <x:v>EMO-2025-0065</x:v>
      </x:c>
      <x:c r="C66" s="106" t="n">
        <x:v>45805</x:v>
      </x:c>
      <x:c r="D66" s="89" t="str">
        <x:v>Periódico</x:v>
      </x:c>
      <x:c r="E66" s="89" t="str">
        <x:v>998031780</x:v>
      </x:c>
      <x:c r="F66" s="89" t="str">
        <x:v>Diana Tatiana López Moreno</x:v>
      </x:c>
      <x:c r="G66" s="89" t="str">
        <x:v>Operador de medios tecnológicos</x:v>
      </x:c>
      <x:c r="H66" s="89" t="str">
        <x:v>Arauca</x:v>
      </x:c>
      <x:c r="I66" s="89" t="str">
        <x:v>Medios Tecnológicos</x:v>
      </x:c>
      <x:c r="J66" s="89" t="str">
        <x:v>IPS Prevencionar</x:v>
      </x:c>
      <x:c r="K66" s="89" t="str">
        <x:v>Apto con restricciones</x:v>
      </x:c>
      <x:c r="L66" s="89" t="str">
        <x:v>Restricción para trabajo prolongado de pie</x:v>
      </x:c>
      <x:c r="M66" s="89" t="str">
        <x:v>Control por optometría/medicina general</x:v>
      </x:c>
      <x:c r="N66" s="112" t="n">
        <x:v>12</x:v>
      </x:c>
      <x:c r="O66" s="106" t="n">
        <x:f>EDATE(C66,N66)</x:f>
        <x:v>46170</x:v>
      </x:c>
      <x:c r="P66" s="89" t="str">
        <x:v>G56.0 Síndrome túnel carpiano</x:v>
      </x:c>
      <x:c r="Q66" s="89" t="str">
        <x:v>Sí</x:v>
      </x:c>
      <x:c r="R66" s="89" t="str">
        <x:v>Optometría</x:v>
      </x:c>
      <x:c r="S66" s="106" t="n">
        <x:v>45895</x:v>
      </x:c>
      <x:c r="T66" s="89" t="str">
        <x:f>IF(O66&lt;Instructivo!$B$4,"Vencido",IF(O66&lt;=Instructivo!$B$4+30,"Próximo a vencer","Vigente"))</x:f>
        <x:v>Vencido</x:v>
      </x:c>
      <x:c r="U66" s="89" t="str">
        <x:v>Líder SST</x:v>
      </x:c>
      <x:c r="V66" s="90" t="str">
        <x:v>Requiere revisión de puesto de trabajo</x:v>
      </x:c>
    </x:row>
    <x:row r="67">
      <x:c r="A67" s="88" t="n">
        <x:v>2025</x:v>
      </x:c>
      <x:c r="B67" s="89" t="str">
        <x:v>EMO-2025-0066</x:v>
      </x:c>
      <x:c r="C67" s="106" t="n">
        <x:v>45732</x:v>
      </x:c>
      <x:c r="D67" s="89" t="str">
        <x:v>Periódico</x:v>
      </x:c>
      <x:c r="E67" s="89" t="str">
        <x:v>915394880</x:v>
      </x:c>
      <x:c r="F67" s="89" t="str">
        <x:v>Miguel Tatiana Cárdenas Moreno</x:v>
      </x:c>
      <x:c r="G67" s="89" t="str">
        <x:v>Operador de medios tecnológicos</x:v>
      </x:c>
      <x:c r="H67" s="89" t="str">
        <x:v>Valledupar</x:v>
      </x:c>
      <x:c r="I67" s="89" t="str">
        <x:v>Medios Tecnológicos</x:v>
      </x:c>
      <x:c r="J67" s="89" t="str">
        <x:v>IPS Ocupasalud SAS</x:v>
      </x:c>
      <x:c r="K67" s="89" t="str">
        <x:v>Apto</x:v>
      </x:c>
      <x:c r="L67" s="89" t="str"/>
      <x:c r="M67" s="89" t="str">
        <x:v>Participar en programas de vigilancia epidemiológica</x:v>
      </x:c>
      <x:c r="N67" s="112" t="n">
        <x:v>12</x:v>
      </x:c>
      <x:c r="O67" s="106" t="n">
        <x:f>EDATE(C67,N67)</x:f>
        <x:v>46097</x:v>
      </x:c>
      <x:c r="P67" s="89" t="str">
        <x:v>G56.0 Síndrome túnel carpiano</x:v>
      </x:c>
      <x:c r="Q67" s="89" t="str">
        <x:v>Sí</x:v>
      </x:c>
      <x:c r="R67" s="89" t="str">
        <x:v>Optometría</x:v>
      </x:c>
      <x:c r="S67" s="106" t="n">
        <x:v>45852</x:v>
      </x:c>
      <x:c r="T67" s="89" t="str">
        <x:f>IF(O67&lt;Instructivo!$B$4,"Vencido",IF(O67&lt;=Instructivo!$B$4+30,"Próximo a vencer","Vigente"))</x:f>
        <x:v>Vencido</x:v>
      </x:c>
      <x:c r="U67" s="89" t="str">
        <x:v>Coordinador de Talento Humano</x:v>
      </x:c>
      <x:c r="V67" s="90" t="str">
        <x:v>Pendiente firma de concepto médico</x:v>
      </x:c>
    </x:row>
    <x:row r="68">
      <x:c r="A68" s="88" t="n">
        <x:v>2025</x:v>
      </x:c>
      <x:c r="B68" s="89" t="str">
        <x:v>EMO-2025-0067</x:v>
      </x:c>
      <x:c r="C68" s="106" t="n">
        <x:v>45814</x:v>
      </x:c>
      <x:c r="D68" s="89" t="str">
        <x:v>Ingreso</x:v>
      </x:c>
      <x:c r="E68" s="89" t="str">
        <x:v>165235884</x:v>
      </x:c>
      <x:c r="F68" s="89" t="str">
        <x:v>Wilson Andrés Rodríguez Suárez</x:v>
      </x:c>
      <x:c r="G68" s="89" t="str">
        <x:v>Vigilante</x:v>
      </x:c>
      <x:c r="H68" s="89" t="str">
        <x:v>Girón</x:v>
      </x:c>
      <x:c r="I68" s="89" t="str">
        <x:v>Operaciones</x:v>
      </x:c>
      <x:c r="J68" s="89" t="str">
        <x:v>IPS Ocupasalud SAS</x:v>
      </x:c>
      <x:c r="K68" s="89" t="str">
        <x:v>Apto</x:v>
      </x:c>
      <x:c r="L68" s="89" t="str"/>
      <x:c r="M68" s="89" t="str">
        <x:v>Participar en programas de vigilancia epidemiológica</x:v>
      </x:c>
      <x:c r="N68" s="112" t="n">
        <x:v>12</x:v>
      </x:c>
      <x:c r="O68" s="106" t="n">
        <x:f>EDATE(C68,N68)</x:f>
        <x:v>46179</x:v>
      </x:c>
      <x:c r="P68" s="89" t="str">
        <x:v>I10 Hipertensión esencial</x:v>
      </x:c>
      <x:c r="Q68" s="89" t="str">
        <x:v>No</x:v>
      </x:c>
      <x:c r="R68" s="89" t="str"/>
      <x:c r="S68" s="106"/>
      <x:c r="T68" s="89" t="str">
        <x:f>IF(O68&lt;Instructivo!$B$4,"Vencido",IF(O68&lt;=Instructivo!$B$4+30,"Próximo a vencer","Vigente"))</x:f>
        <x:v>Próximo a vencer</x:v>
      </x:c>
      <x:c r="U68" s="89" t="str">
        <x:v>Analista SST</x:v>
      </x:c>
      <x:c r="V68" s="90" t="str">
        <x:v>Requiere revisión de puesto de trabajo</x:v>
      </x:c>
    </x:row>
    <x:row r="69">
      <x:c r="A69" s="88" t="n">
        <x:v>2025</x:v>
      </x:c>
      <x:c r="B69" s="89" t="str">
        <x:v>EMO-2025-0068</x:v>
      </x:c>
      <x:c r="C69" s="106" t="n">
        <x:v>45885</x:v>
      </x:c>
      <x:c r="D69" s="89" t="str">
        <x:v>Post-exposición</x:v>
      </x:c>
      <x:c r="E69" s="89" t="str">
        <x:v>544761823</x:v>
      </x:c>
      <x:c r="F69" s="89" t="str">
        <x:v>Ana Luis Gómez Pérez</x:v>
      </x:c>
      <x:c r="G69" s="89" t="str">
        <x:v>Vigilante</x:v>
      </x:c>
      <x:c r="H69" s="89" t="str">
        <x:v>Pamplona</x:v>
      </x:c>
      <x:c r="I69" s="89" t="str">
        <x:v>Operaciones</x:v>
      </x:c>
      <x:c r="J69" s="89" t="str">
        <x:v>IPS Ocupasalud SAS</x:v>
      </x:c>
      <x:c r="K69" s="89" t="str">
        <x:v>Apto con restricciones</x:v>
      </x:c>
      <x:c r="L69" s="89" t="str">
        <x:v>Restricción para trabajo prolongado de pie</x:v>
      </x:c>
      <x:c r="M69" s="89" t="str">
        <x:v>Capacitación ergonómica y seguimiento SST</x:v>
      </x:c>
      <x:c r="N69" s="112" t="n">
        <x:v>12</x:v>
      </x:c>
      <x:c r="O69" s="106" t="n">
        <x:f>EDATE(C69,N69)</x:f>
        <x:v>46250</x:v>
      </x:c>
      <x:c r="P69" s="89" t="str">
        <x:v>I10 Hipertensión esencial</x:v>
      </x:c>
      <x:c r="Q69" s="89" t="str">
        <x:v>Sí</x:v>
      </x:c>
      <x:c r="R69" s="89" t="str">
        <x:v>Fisioterapia</x:v>
      </x:c>
      <x:c r="S69" s="106" t="n">
        <x:v>45975</x:v>
      </x:c>
      <x:c r="T69" s="89" t="str">
        <x:f>IF(O69&lt;Instructivo!$B$4,"Vencido",IF(O69&lt;=Instructivo!$B$4+30,"Próximo a vencer","Vigente"))</x:f>
        <x:v>Vigente</x:v>
      </x:c>
      <x:c r="U69" s="89" t="str">
        <x:v>Médico Ocupacional</x:v>
      </x:c>
      <x:c r="V69" s="90" t="str">
        <x:v>Caso priorizado por restricciones activas</x:v>
      </x:c>
    </x:row>
    <x:row r="70">
      <x:c r="A70" s="88" t="n">
        <x:v>2025</x:v>
      </x:c>
      <x:c r="B70" s="89" t="str">
        <x:v>EMO-2025-0069</x:v>
      </x:c>
      <x:c r="C70" s="106" t="n">
        <x:v>45867</x:v>
      </x:c>
      <x:c r="D70" s="89" t="str">
        <x:v>Reintegro</x:v>
      </x:c>
      <x:c r="E70" s="89" t="str">
        <x:v>158315831</x:v>
      </x:c>
      <x:c r="F70" s="89" t="str">
        <x:v>Juan María Sánchez Rojas</x:v>
      </x:c>
      <x:c r="G70" s="89" t="str">
        <x:v>Vigilante</x:v>
      </x:c>
      <x:c r="H70" s="89" t="str">
        <x:v>Ocaña</x:v>
      </x:c>
      <x:c r="I70" s="89" t="str">
        <x:v>Operaciones</x:v>
      </x:c>
      <x:c r="J70" s="89" t="str">
        <x:v>IPS Ocupasalud SAS</x:v>
      </x:c>
      <x:c r="K70" s="89" t="str">
        <x:v>Apto con restricciones</x:v>
      </x:c>
      <x:c r="L70" s="89" t="str">
        <x:v>No exposición prolongada a ruido alto sin doble protección</x:v>
      </x:c>
      <x:c r="M70" s="89" t="str">
        <x:v>Capacitación ergonómica y seguimiento SST</x:v>
      </x:c>
      <x:c r="N70" s="112" t="n">
        <x:v>6</x:v>
      </x:c>
      <x:c r="O70" s="106" t="n">
        <x:f>EDATE(C70,N70)</x:f>
        <x:v>46051</x:v>
      </x:c>
      <x:c r="P70" s="89" t="str">
        <x:v>E66.9 Obesidad</x:v>
      </x:c>
      <x:c r="Q70" s="89" t="str">
        <x:v>Sí</x:v>
      </x:c>
      <x:c r="R70" s="89" t="str">
        <x:v>Medicina laboral</x:v>
      </x:c>
      <x:c r="S70" s="106" t="n">
        <x:v>45987</x:v>
      </x:c>
      <x:c r="T70" s="89" t="str">
        <x:f>IF(O70&lt;Instructivo!$B$4,"Vencido",IF(O70&lt;=Instructivo!$B$4+30,"Próximo a vencer","Vigente"))</x:f>
        <x:v>Vencido</x:v>
      </x:c>
      <x:c r="U70" s="89" t="str">
        <x:v>Médico Ocupacional</x:v>
      </x:c>
      <x:c r="V70" s="90" t="str">
        <x:v>Pendiente firma de concepto médico</x:v>
      </x:c>
    </x:row>
    <x:row r="71">
      <x:c r="A71" s="88" t="n">
        <x:v>2025</x:v>
      </x:c>
      <x:c r="B71" s="89" t="str">
        <x:v>EMO-2025-0070</x:v>
      </x:c>
      <x:c r="C71" s="106" t="n">
        <x:v>45927</x:v>
      </x:c>
      <x:c r="D71" s="89" t="str">
        <x:v>Periódico</x:v>
      </x:c>
      <x:c r="E71" s="89" t="str">
        <x:v>773641282</x:v>
      </x:c>
      <x:c r="F71" s="89" t="str">
        <x:v>Carlos María Rodríguez Hernández</x:v>
      </x:c>
      <x:c r="G71" s="89" t="str">
        <x:v>Supervisor de puesto</x:v>
      </x:c>
      <x:c r="H71" s="89" t="str">
        <x:v>Cúcuta</x:v>
      </x:c>
      <x:c r="I71" s="89" t="str">
        <x:v>Operaciones</x:v>
      </x:c>
      <x:c r="J71" s="89" t="str">
        <x:v>Centro Médico Laboral Andino</x:v>
      </x:c>
      <x:c r="K71" s="89" t="str">
        <x:v>Apto con restricciones</x:v>
      </x:c>
      <x:c r="L71" s="89" t="str">
        <x:v>Evitar levantamiento de cargas mayores a 15 kg</x:v>
      </x:c>
      <x:c r="M71" s="89" t="str">
        <x:v>Reubicación o ajuste razonable del puesto</x:v>
      </x:c>
      <x:c r="N71" s="112" t="n">
        <x:v>12</x:v>
      </x:c>
      <x:c r="O71" s="106" t="n">
        <x:f>EDATE(C71,N71)</x:f>
        <x:v>46292</x:v>
      </x:c>
      <x:c r="P71" s="89" t="str">
        <x:v>Z00.0 Examen general</x:v>
      </x:c>
      <x:c r="Q71" s="89" t="str">
        <x:v>Sí</x:v>
      </x:c>
      <x:c r="R71" s="89" t="str">
        <x:v>Ergonomía</x:v>
      </x:c>
      <x:c r="S71" s="106" t="n">
        <x:v>45987</x:v>
      </x:c>
      <x:c r="T71" s="89" t="str">
        <x:f>IF(O71&lt;Instructivo!$B$4,"Vencido",IF(O71&lt;=Instructivo!$B$4+30,"Próximo a vencer","Vigente"))</x:f>
        <x:v>Vigente</x:v>
      </x:c>
      <x:c r="U71" s="89" t="str">
        <x:v>Médico Ocupacional</x:v>
      </x:c>
      <x:c r="V71" s="90" t="str">
        <x:v>Registro completo y soportado en historia ocupacional</x:v>
      </x:c>
    </x:row>
    <x:row r="72">
      <x:c r="A72" s="88" t="n">
        <x:v>2025</x:v>
      </x:c>
      <x:c r="B72" s="89" t="str">
        <x:v>EMO-2025-0071</x:v>
      </x:c>
      <x:c r="C72" s="106" t="n">
        <x:v>45760</x:v>
      </x:c>
      <x:c r="D72" s="89" t="str">
        <x:v>Reintegro</x:v>
      </x:c>
      <x:c r="E72" s="89" t="str">
        <x:v>285443951</x:v>
      </x:c>
      <x:c r="F72" s="89" t="str">
        <x:v>Jhon Kevin Torres Moreno</x:v>
      </x:c>
      <x:c r="G72" s="89" t="str">
        <x:v>Escolta</x:v>
      </x:c>
      <x:c r="H72" s="89" t="str">
        <x:v>Ábrego</x:v>
      </x:c>
      <x:c r="I72" s="89" t="str">
        <x:v>Escoltas</x:v>
      </x:c>
      <x:c r="J72" s="89" t="str">
        <x:v>IPS Ocupasalud SAS</x:v>
      </x:c>
      <x:c r="K72" s="89" t="str">
        <x:v>Apto</x:v>
      </x:c>
      <x:c r="L72" s="89" t="str"/>
      <x:c r="M72" s="89" t="str">
        <x:v>Participar en programas de vigilancia epidemiológica</x:v>
      </x:c>
      <x:c r="N72" s="112" t="n">
        <x:v>6</x:v>
      </x:c>
      <x:c r="O72" s="106" t="n">
        <x:f>EDATE(C72,N72)</x:f>
        <x:v>45943</x:v>
      </x:c>
      <x:c r="P72" s="89" t="str">
        <x:v>Z00.0 Examen general</x:v>
      </x:c>
      <x:c r="Q72" s="89" t="str">
        <x:v>No</x:v>
      </x:c>
      <x:c r="R72" s="89" t="str"/>
      <x:c r="S72" s="106"/>
      <x:c r="T72" s="89" t="str">
        <x:f>IF(O72&lt;Instructivo!$B$4,"Vencido",IF(O72&lt;=Instructivo!$B$4+30,"Próximo a vencer","Vigente"))</x:f>
        <x:v>Vencido</x:v>
      </x:c>
      <x:c r="U72" s="89" t="str">
        <x:v>Analista SST</x:v>
      </x:c>
      <x:c r="V72" s="90" t="str">
        <x:v>Requiere revisión de puesto de trabajo</x:v>
      </x:c>
    </x:row>
    <x:row r="73">
      <x:c r="A73" s="88" t="n">
        <x:v>2025</x:v>
      </x:c>
      <x:c r="B73" s="89" t="str">
        <x:v>EMO-2025-0072</x:v>
      </x:c>
      <x:c r="C73" s="106" t="n">
        <x:v>45887</x:v>
      </x:c>
      <x:c r="D73" s="89" t="str">
        <x:v>Periódico</x:v>
      </x:c>
      <x:c r="E73" s="89" t="str">
        <x:v>165235884</x:v>
      </x:c>
      <x:c r="F73" s="89" t="str">
        <x:v>Wilson Andrés Rodríguez Suárez</x:v>
      </x:c>
      <x:c r="G73" s="89" t="str">
        <x:v>Vigilante</x:v>
      </x:c>
      <x:c r="H73" s="89" t="str">
        <x:v>Girón</x:v>
      </x:c>
      <x:c r="I73" s="89" t="str">
        <x:v>Operaciones</x:v>
      </x:c>
      <x:c r="J73" s="89" t="str">
        <x:v>Colmédica Ocupacional</x:v>
      </x:c>
      <x:c r="K73" s="89" t="str">
        <x:v>Apto</x:v>
      </x:c>
      <x:c r="L73" s="89" t="str"/>
      <x:c r="M73" s="89" t="str">
        <x:v>Participar en programas de vigilancia epidemiológica</x:v>
      </x:c>
      <x:c r="N73" s="112" t="n">
        <x:v>12</x:v>
      </x:c>
      <x:c r="O73" s="106" t="n">
        <x:f>EDATE(C73,N73)</x:f>
        <x:v>46252</x:v>
      </x:c>
      <x:c r="P73" s="89" t="str">
        <x:v>H52.4 Presbicia</x:v>
      </x:c>
      <x:c r="Q73" s="89" t="str">
        <x:v>No</x:v>
      </x:c>
      <x:c r="R73" s="89" t="str"/>
      <x:c r="S73" s="106"/>
      <x:c r="T73" s="89" t="str">
        <x:f>IF(O73&lt;Instructivo!$B$4,"Vencido",IF(O73&lt;=Instructivo!$B$4+30,"Próximo a vencer","Vigente"))</x:f>
        <x:v>Vigente</x:v>
      </x:c>
      <x:c r="U73" s="89" t="str">
        <x:v>Coordinador de Talento Humano</x:v>
      </x:c>
      <x:c r="V73" s="90" t="str">
        <x:v>Se recomienda seguimiento por comité SST</x:v>
      </x:c>
    </x:row>
    <x:row r="74">
      <x:c r="A74" s="88" t="n">
        <x:v>2025</x:v>
      </x:c>
      <x:c r="B74" s="89" t="str">
        <x:v>EMO-2025-0073</x:v>
      </x:c>
      <x:c r="C74" s="106" t="n">
        <x:v>45856</x:v>
      </x:c>
      <x:c r="D74" s="89" t="str">
        <x:v>Periódico</x:v>
      </x:c>
      <x:c r="E74" s="89" t="str">
        <x:v>854860684</x:v>
      </x:c>
      <x:c r="F74" s="89" t="str">
        <x:v>Diana Kevin Pérez Rodríguez</x:v>
      </x:c>
      <x:c r="G74" s="89" t="str">
        <x:v>Vigilante</x:v>
      </x:c>
      <x:c r="H74" s="89" t="str">
        <x:v>Bogotá</x:v>
      </x:c>
      <x:c r="I74" s="89" t="str">
        <x:v>Operaciones</x:v>
      </x:c>
      <x:c r="J74" s="89" t="str">
        <x:v>Centro Médico Laboral Andino</x:v>
      </x:c>
      <x:c r="K74" s="89" t="str">
        <x:v>Apto</x:v>
      </x:c>
      <x:c r="L74" s="89" t="str"/>
      <x:c r="M74" s="89" t="str">
        <x:v>Mantener estilos de vida saludable</x:v>
      </x:c>
      <x:c r="N74" s="112" t="n">
        <x:v>12</x:v>
      </x:c>
      <x:c r="O74" s="106" t="n">
        <x:f>EDATE(C74,N74)</x:f>
        <x:v>46221</x:v>
      </x:c>
      <x:c r="P74" s="89" t="str">
        <x:v>I10 Hipertensión esencial</x:v>
      </x:c>
      <x:c r="Q74" s="89" t="str">
        <x:v>No</x:v>
      </x:c>
      <x:c r="R74" s="89" t="str"/>
      <x:c r="S74" s="106"/>
      <x:c r="T74" s="89" t="str">
        <x:f>IF(O74&lt;Instructivo!$B$4,"Vencido",IF(O74&lt;=Instructivo!$B$4+30,"Próximo a vencer","Vigente"))</x:f>
        <x:v>Vigente</x:v>
      </x:c>
      <x:c r="U74" s="89" t="str">
        <x:v>Coordinador de Talento Humano</x:v>
      </x:c>
      <x:c r="V74" s="90" t="str">
        <x:v>Requiere revisión de puesto de trabajo</x:v>
      </x:c>
    </x:row>
    <x:row r="75">
      <x:c r="A75" s="88" t="n">
        <x:v>2025</x:v>
      </x:c>
      <x:c r="B75" s="89" t="str">
        <x:v>EMO-2025-0074</x:v>
      </x:c>
      <x:c r="C75" s="106" t="n">
        <x:v>46008</x:v>
      </x:c>
      <x:c r="D75" s="89" t="str">
        <x:v>Periódico</x:v>
      </x:c>
      <x:c r="E75" s="89" t="str">
        <x:v>487752972</x:v>
      </x:c>
      <x:c r="F75" s="89" t="str">
        <x:v>Julián María Castro Cárdenas</x:v>
      </x:c>
      <x:c r="G75" s="89" t="str">
        <x:v>Supervisor de puesto</x:v>
      </x:c>
      <x:c r="H75" s="89" t="str">
        <x:v>Cúcuta</x:v>
      </x:c>
      <x:c r="I75" s="89" t="str">
        <x:v>Operaciones</x:v>
      </x:c>
      <x:c r="J75" s="89" t="str">
        <x:v>IPS Ocupasalud SAS</x:v>
      </x:c>
      <x:c r="K75" s="89" t="str">
        <x:v>Apto</x:v>
      </x:c>
      <x:c r="L75" s="89" t="str"/>
      <x:c r="M75" s="89" t="str">
        <x:v>Mantener estilos de vida saludable</x:v>
      </x:c>
      <x:c r="N75" s="112" t="n">
        <x:v>12</x:v>
      </x:c>
      <x:c r="O75" s="106" t="n">
        <x:f>EDATE(C75,N75)</x:f>
        <x:v>46373</x:v>
      </x:c>
      <x:c r="P75" s="89" t="str">
        <x:v>I10 Hipertensión esencial</x:v>
      </x:c>
      <x:c r="Q75" s="89" t="str">
        <x:v>No</x:v>
      </x:c>
      <x:c r="R75" s="89" t="str"/>
      <x:c r="S75" s="106"/>
      <x:c r="T75" s="89" t="str">
        <x:f>IF(O75&lt;Instructivo!$B$4,"Vencido",IF(O75&lt;=Instructivo!$B$4+30,"Próximo a vencer","Vigente"))</x:f>
        <x:v>Vigente</x:v>
      </x:c>
      <x:c r="U75" s="89" t="str">
        <x:v>Coordinador de Talento Humano</x:v>
      </x:c>
      <x:c r="V75" s="90" t="str">
        <x:v>Caso priorizado por restricciones activas</x:v>
      </x:c>
    </x:row>
    <x:row r="76">
      <x:c r="A76" s="88" t="n">
        <x:v>2025</x:v>
      </x:c>
      <x:c r="B76" s="89" t="str">
        <x:v>EMO-2025-0075</x:v>
      </x:c>
      <x:c r="C76" s="106" t="n">
        <x:v>45815</x:v>
      </x:c>
      <x:c r="D76" s="89" t="str">
        <x:v>Post-incapacidad</x:v>
      </x:c>
      <x:c r="E76" s="89" t="str">
        <x:v>282101965</x:v>
      </x:c>
      <x:c r="F76" s="89" t="str">
        <x:v>Jhon Julián Parra Suárez</x:v>
      </x:c>
      <x:c r="G76" s="89" t="str">
        <x:v>Vigilante</x:v>
      </x:c>
      <x:c r="H76" s="89" t="str">
        <x:v>Pamplona</x:v>
      </x:c>
      <x:c r="I76" s="89" t="str">
        <x:v>Operaciones</x:v>
      </x:c>
      <x:c r="J76" s="89" t="str">
        <x:v>Colmédica Ocupacional</x:v>
      </x:c>
      <x:c r="K76" s="89" t="str">
        <x:v>Apto</x:v>
      </x:c>
      <x:c r="L76" s="89" t="str"/>
      <x:c r="M76" s="89" t="str">
        <x:v>Uso permanente de EPP</x:v>
      </x:c>
      <x:c r="N76" s="112" t="n">
        <x:v>6</x:v>
      </x:c>
      <x:c r="O76" s="106" t="n">
        <x:f>EDATE(C76,N76)</x:f>
        <x:v>45998</x:v>
      </x:c>
      <x:c r="P76" s="89" t="str">
        <x:v>G56.0 Síndrome túnel carpiano</x:v>
      </x:c>
      <x:c r="Q76" s="89" t="str">
        <x:v>No</x:v>
      </x:c>
      <x:c r="R76" s="89" t="str"/>
      <x:c r="S76" s="106"/>
      <x:c r="T76" s="89" t="str">
        <x:f>IF(O76&lt;Instructivo!$B$4,"Vencido",IF(O76&lt;=Instructivo!$B$4+30,"Próximo a vencer","Vigente"))</x:f>
        <x:v>Vencido</x:v>
      </x:c>
      <x:c r="U76" s="89" t="str">
        <x:v>Coordinador de Talento Humano</x:v>
      </x:c>
      <x:c r="V76" s="90" t="str">
        <x:v>Sin novedades adicionales</x:v>
      </x:c>
    </x:row>
    <x:row r="77">
      <x:c r="A77" s="88" t="n">
        <x:v>2025</x:v>
      </x:c>
      <x:c r="B77" s="89" t="str">
        <x:v>EMO-2025-0076</x:v>
      </x:c>
      <x:c r="C77" s="106" t="n">
        <x:v>46005</x:v>
      </x:c>
      <x:c r="D77" s="89" t="str">
        <x:v>Periódico</x:v>
      </x:c>
      <x:c r="E77" s="89" t="str">
        <x:v>526266630</x:v>
      </x:c>
      <x:c r="F77" s="89" t="str">
        <x:v>Luisa Andrés Díaz Díaz</x:v>
      </x:c>
      <x:c r="G77" s="89" t="str">
        <x:v>Conductor</x:v>
      </x:c>
      <x:c r="H77" s="89" t="str">
        <x:v>Arauca</x:v>
      </x:c>
      <x:c r="I77" s="89" t="str">
        <x:v>Logística</x:v>
      </x:c>
      <x:c r="J77" s="89" t="str">
        <x:v>Salud Integral Ocupacional</x:v>
      </x:c>
      <x:c r="K77" s="89" t="str">
        <x:v>Apto</x:v>
      </x:c>
      <x:c r="L77" s="89" t="str"/>
      <x:c r="M77" s="89" t="str">
        <x:v>Participar en programas de vigilancia epidemiológica</x:v>
      </x:c>
      <x:c r="N77" s="112" t="n">
        <x:v>12</x:v>
      </x:c>
      <x:c r="O77" s="106" t="n">
        <x:f>EDATE(C77,N77)</x:f>
        <x:v>46370</x:v>
      </x:c>
      <x:c r="P77" s="89" t="str">
        <x:v>R51 Cefalea</x:v>
      </x:c>
      <x:c r="Q77" s="89" t="str">
        <x:v>No</x:v>
      </x:c>
      <x:c r="R77" s="89" t="str"/>
      <x:c r="S77" s="106"/>
      <x:c r="T77" s="89" t="str">
        <x:f>IF(O77&lt;Instructivo!$B$4,"Vencido",IF(O77&lt;=Instructivo!$B$4+30,"Próximo a vencer","Vigente"))</x:f>
        <x:v>Vigente</x:v>
      </x:c>
      <x:c r="U77" s="89" t="str">
        <x:v>Coordinador de Talento Humano</x:v>
      </x:c>
      <x:c r="V77" s="90" t="str">
        <x:v>Registro completo y soportado en historia ocupacional</x:v>
      </x:c>
    </x:row>
    <x:row r="78">
      <x:c r="A78" s="88" t="n">
        <x:v>2025</x:v>
      </x:c>
      <x:c r="B78" s="89" t="str">
        <x:v>EMO-2025-0077</x:v>
      </x:c>
      <x:c r="C78" s="106" t="n">
        <x:v>45905</x:v>
      </x:c>
      <x:c r="D78" s="89" t="str">
        <x:v>Periódico</x:v>
      </x:c>
      <x:c r="E78" s="89" t="str">
        <x:v>544761823</x:v>
      </x:c>
      <x:c r="F78" s="89" t="str">
        <x:v>Ana Luis Gómez Pérez</x:v>
      </x:c>
      <x:c r="G78" s="89" t="str">
        <x:v>Vigilante</x:v>
      </x:c>
      <x:c r="H78" s="89" t="str">
        <x:v>Pamplona</x:v>
      </x:c>
      <x:c r="I78" s="89" t="str">
        <x:v>Operaciones</x:v>
      </x:c>
      <x:c r="J78" s="89" t="str">
        <x:v>Colmédica Ocupacional</x:v>
      </x:c>
      <x:c r="K78" s="89" t="str">
        <x:v>Apto</x:v>
      </x:c>
      <x:c r="L78" s="89" t="str"/>
      <x:c r="M78" s="89" t="str">
        <x:v>Uso permanente de EPP</x:v>
      </x:c>
      <x:c r="N78" s="112" t="n">
        <x:v>12</x:v>
      </x:c>
      <x:c r="O78" s="106" t="n">
        <x:f>EDATE(C78,N78)</x:f>
        <x:v>46270</x:v>
      </x:c>
      <x:c r="P78" s="89" t="str">
        <x:v>E66.9 Obesidad</x:v>
      </x:c>
      <x:c r="Q78" s="89" t="str">
        <x:v>No</x:v>
      </x:c>
      <x:c r="R78" s="89" t="str"/>
      <x:c r="S78" s="106"/>
      <x:c r="T78" s="89" t="str">
        <x:f>IF(O78&lt;Instructivo!$B$4,"Vencido",IF(O78&lt;=Instructivo!$B$4+30,"Próximo a vencer","Vigente"))</x:f>
        <x:v>Vigente</x:v>
      </x:c>
      <x:c r="U78" s="89" t="str">
        <x:v>Analista SST</x:v>
      </x:c>
      <x:c r="V78" s="90" t="str">
        <x:v>Se recomienda seguimiento por comité SST</x:v>
      </x:c>
    </x:row>
    <x:row r="79">
      <x:c r="A79" s="88" t="n">
        <x:v>2025</x:v>
      </x:c>
      <x:c r="B79" s="89" t="str">
        <x:v>EMO-2025-0078</x:v>
      </x:c>
      <x:c r="C79" s="106" t="n">
        <x:v>45782</x:v>
      </x:c>
      <x:c r="D79" s="89" t="str">
        <x:v>Periódico</x:v>
      </x:c>
      <x:c r="E79" s="89" t="str">
        <x:v>222229110</x:v>
      </x:c>
      <x:c r="F79" s="89" t="str">
        <x:v>Laura Camilo Torres López</x:v>
      </x:c>
      <x:c r="G79" s="89" t="str">
        <x:v>Técnico de mantenimiento</x:v>
      </x:c>
      <x:c r="H79" s="89" t="str">
        <x:v>Ábrego</x:v>
      </x:c>
      <x:c r="I79" s="89" t="str">
        <x:v>Infraestructura</x:v>
      </x:c>
      <x:c r="J79" s="89" t="str">
        <x:v>Centro Médico Laboral Andino</x:v>
      </x:c>
      <x:c r="K79" s="89" t="str">
        <x:v>Apto con restricciones</x:v>
      </x:c>
      <x:c r="L79" s="89" t="str">
        <x:v>No exposición prolongada a ruido alto sin doble protección</x:v>
      </x:c>
      <x:c r="M79" s="89" t="str">
        <x:v>Control por optometría/medicina general</x:v>
      </x:c>
      <x:c r="N79" s="112" t="n">
        <x:v>12</x:v>
      </x:c>
      <x:c r="O79" s="106" t="n">
        <x:f>EDATE(C79,N79)</x:f>
        <x:v>46147</x:v>
      </x:c>
      <x:c r="P79" s="89" t="str">
        <x:v>Z00.0 Examen general</x:v>
      </x:c>
      <x:c r="Q79" s="89" t="str">
        <x:v>Sí</x:v>
      </x:c>
      <x:c r="R79" s="89" t="str">
        <x:v>Fisioterapia</x:v>
      </x:c>
      <x:c r="S79" s="106" t="n">
        <x:v>45872</x:v>
      </x:c>
      <x:c r="T79" s="89" t="str">
        <x:f>IF(O79&lt;Instructivo!$B$4,"Vencido",IF(O79&lt;=Instructivo!$B$4+30,"Próximo a vencer","Vigente"))</x:f>
        <x:v>Vencido</x:v>
      </x:c>
      <x:c r="U79" s="89" t="str">
        <x:v>Médico Ocupacional</x:v>
      </x:c>
      <x:c r="V79" s="90" t="str">
        <x:v>Requiere revisión de puesto de trabajo</x:v>
      </x:c>
    </x:row>
    <x:row r="80">
      <x:c r="A80" s="88" t="n">
        <x:v>2025</x:v>
      </x:c>
      <x:c r="B80" s="89" t="str">
        <x:v>EMO-2025-0079</x:v>
      </x:c>
      <x:c r="C80" s="106" t="n">
        <x:v>45873</x:v>
      </x:c>
      <x:c r="D80" s="89" t="str">
        <x:v>Periódico</x:v>
      </x:c>
      <x:c r="E80" s="89" t="str">
        <x:v>458072684</x:v>
      </x:c>
      <x:c r="F80" s="89" t="str">
        <x:v>Julián Luis Castro Pérez</x:v>
      </x:c>
      <x:c r="G80" s="89" t="str">
        <x:v>Auxiliar administrativo</x:v>
      </x:c>
      <x:c r="H80" s="89" t="str">
        <x:v>Bogotá</x:v>
      </x:c>
      <x:c r="I80" s="89" t="str">
        <x:v>Administrativa</x:v>
      </x:c>
      <x:c r="J80" s="89" t="str">
        <x:v>Centro Médico Laboral Andino</x:v>
      </x:c>
      <x:c r="K80" s="89" t="str">
        <x:v>Apto</x:v>
      </x:c>
      <x:c r="L80" s="89" t="str"/>
      <x:c r="M80" s="89" t="str">
        <x:v>Continuar controles periódicos anuales</x:v>
      </x:c>
      <x:c r="N80" s="112" t="n">
        <x:v>12</x:v>
      </x:c>
      <x:c r="O80" s="106" t="n">
        <x:f>EDATE(C80,N80)</x:f>
        <x:v>46238</x:v>
      </x:c>
      <x:c r="P80" s="89" t="str">
        <x:v>R51 Cefalea</x:v>
      </x:c>
      <x:c r="Q80" s="89" t="str">
        <x:v>No</x:v>
      </x:c>
      <x:c r="R80" s="89" t="str"/>
      <x:c r="S80" s="106"/>
      <x:c r="T80" s="89" t="str">
        <x:f>IF(O80&lt;Instructivo!$B$4,"Vencido",IF(O80&lt;=Instructivo!$B$4+30,"Próximo a vencer","Vigente"))</x:f>
        <x:v>Vigente</x:v>
      </x:c>
      <x:c r="U80" s="89" t="str">
        <x:v>Analista SST</x:v>
      </x:c>
      <x:c r="V80" s="90" t="str">
        <x:v>Caso priorizado por restricciones activas</x:v>
      </x:c>
    </x:row>
    <x:row r="81">
      <x:c r="A81" s="88" t="n">
        <x:v>2025</x:v>
      </x:c>
      <x:c r="B81" s="89" t="str">
        <x:v>EMO-2025-0080</x:v>
      </x:c>
      <x:c r="C81" s="106" t="n">
        <x:v>45902</x:v>
      </x:c>
      <x:c r="D81" s="89" t="str">
        <x:v>Periódico</x:v>
      </x:c>
      <x:c r="E81" s="89" t="str">
        <x:v>563204724</x:v>
      </x:c>
      <x:c r="F81" s="89" t="str">
        <x:v>Luis José Parra Moreno</x:v>
      </x:c>
      <x:c r="G81" s="89" t="str">
        <x:v>Vigilante</x:v>
      </x:c>
      <x:c r="H81" s="89" t="str">
        <x:v>Cúcuta</x:v>
      </x:c>
      <x:c r="I81" s="89" t="str">
        <x:v>Operaciones</x:v>
      </x:c>
      <x:c r="J81" s="89" t="str">
        <x:v>Centro Médico Laboral Andino</x:v>
      </x:c>
      <x:c r="K81" s="89" t="str">
        <x:v>Apto con restricciones</x:v>
      </x:c>
      <x:c r="L81" s="89" t="str">
        <x:v>Restricción para trabajo prolongado de pie</x:v>
      </x:c>
      <x:c r="M81" s="89" t="str">
        <x:v>Capacitación ergonómica y seguimiento SST</x:v>
      </x:c>
      <x:c r="N81" s="112" t="n">
        <x:v>12</x:v>
      </x:c>
      <x:c r="O81" s="106" t="n">
        <x:f>EDATE(C81,N81)</x:f>
        <x:v>46267</x:v>
      </x:c>
      <x:c r="P81" s="89" t="str">
        <x:v>E66.9 Obesidad</x:v>
      </x:c>
      <x:c r="Q81" s="89" t="str">
        <x:v>Sí</x:v>
      </x:c>
      <x:c r="R81" s="89" t="str">
        <x:v>Ergonomía</x:v>
      </x:c>
      <x:c r="S81" s="106" t="n">
        <x:v>46022</x:v>
      </x:c>
      <x:c r="T81" s="89" t="str">
        <x:f>IF(O81&lt;Instructivo!$B$4,"Vencido",IF(O81&lt;=Instructivo!$B$4+30,"Próximo a vencer","Vigente"))</x:f>
        <x:v>Vigente</x:v>
      </x:c>
      <x:c r="U81" s="89" t="str">
        <x:v>Líder SST</x:v>
      </x:c>
      <x:c r="V81" s="90" t="str">
        <x:v>Caso priorizado por restricciones activas</x:v>
      </x:c>
    </x:row>
    <x:row r="82">
      <x:c r="A82" s="88" t="n">
        <x:v>2025</x:v>
      </x:c>
      <x:c r="B82" s="89" t="str">
        <x:v>EMO-2025-0081</x:v>
      </x:c>
      <x:c r="C82" s="106" t="n">
        <x:v>45791</x:v>
      </x:c>
      <x:c r="D82" s="89" t="str">
        <x:v>Ingreso</x:v>
      </x:c>
      <x:c r="E82" s="89" t="str">
        <x:v>156338112</x:v>
      </x:c>
      <x:c r="F82" s="89" t="str">
        <x:v>Tatiana Wilson Suárez Suárez</x:v>
      </x:c>
      <x:c r="G82" s="89" t="str">
        <x:v>Coordinador de operaciones</x:v>
      </x:c>
      <x:c r="H82" s="89" t="str">
        <x:v>Pamplona</x:v>
      </x:c>
      <x:c r="I82" s="89" t="str">
        <x:v>Operaciones</x:v>
      </x:c>
      <x:c r="J82" s="89" t="str">
        <x:v>IPS Ocupasalud SAS</x:v>
      </x:c>
      <x:c r="K82" s="89" t="str">
        <x:v>Apto</x:v>
      </x:c>
      <x:c r="L82" s="89" t="str"/>
      <x:c r="M82" s="89" t="str">
        <x:v>Mantener estilos de vida saludable</x:v>
      </x:c>
      <x:c r="N82" s="112" t="n">
        <x:v>12</x:v>
      </x:c>
      <x:c r="O82" s="106" t="n">
        <x:f>EDATE(C82,N82)</x:f>
        <x:v>46156</x:v>
      </x:c>
      <x:c r="P82" s="89" t="str">
        <x:v>I10 Hipertensión esencial</x:v>
      </x:c>
      <x:c r="Q82" s="89" t="str">
        <x:v>No</x:v>
      </x:c>
      <x:c r="R82" s="89" t="str"/>
      <x:c r="S82" s="106"/>
      <x:c r="T82" s="89" t="str">
        <x:f>IF(O82&lt;Instructivo!$B$4,"Vencido",IF(O82&lt;=Instructivo!$B$4+30,"Próximo a vencer","Vigente"))</x:f>
        <x:v>Vencido</x:v>
      </x:c>
      <x:c r="U82" s="89" t="str">
        <x:v>Coordinador de Talento Humano</x:v>
      </x:c>
      <x:c r="V82" s="90" t="str">
        <x:v>Se recomienda seguimiento por comité SST</x:v>
      </x:c>
    </x:row>
    <x:row r="83">
      <x:c r="A83" s="88" t="n">
        <x:v>2025</x:v>
      </x:c>
      <x:c r="B83" s="89" t="str">
        <x:v>EMO-2025-0082</x:v>
      </x:c>
      <x:c r="C83" s="106" t="n">
        <x:v>45816</x:v>
      </x:c>
      <x:c r="D83" s="89" t="str">
        <x:v>Periódico</x:v>
      </x:c>
      <x:c r="E83" s="89" t="str">
        <x:v>326049101</x:v>
      </x:c>
      <x:c r="F83" s="89" t="str">
        <x:v>Brayan Laura Pérez Díaz</x:v>
      </x:c>
      <x:c r="G83" s="89" t="str">
        <x:v>Vigilante</x:v>
      </x:c>
      <x:c r="H83" s="89" t="str">
        <x:v>Barrancabermeja</x:v>
      </x:c>
      <x:c r="I83" s="89" t="str">
        <x:v>Operaciones</x:v>
      </x:c>
      <x:c r="J83" s="89" t="str">
        <x:v>Colmédica Ocupacional</x:v>
      </x:c>
      <x:c r="K83" s="89" t="str">
        <x:v>Apto</x:v>
      </x:c>
      <x:c r="L83" s="89" t="str"/>
      <x:c r="M83" s="89" t="str">
        <x:v>Uso permanente de EPP</x:v>
      </x:c>
      <x:c r="N83" s="112" t="n">
        <x:v>12</x:v>
      </x:c>
      <x:c r="O83" s="106" t="n">
        <x:f>EDATE(C83,N83)</x:f>
        <x:v>46181</x:v>
      </x:c>
      <x:c r="P83" s="89" t="str">
        <x:v>G56.0 Síndrome túnel carpiano</x:v>
      </x:c>
      <x:c r="Q83" s="89" t="str">
        <x:v>No</x:v>
      </x:c>
      <x:c r="R83" s="89" t="str"/>
      <x:c r="S83" s="106"/>
      <x:c r="T83" s="89" t="str">
        <x:f>IF(O83&lt;Instructivo!$B$4,"Vencido",IF(O83&lt;=Instructivo!$B$4+30,"Próximo a vencer","Vigente"))</x:f>
        <x:v>Próximo a vencer</x:v>
      </x:c>
      <x:c r="U83" s="89" t="str">
        <x:v>Líder SST</x:v>
      </x:c>
      <x:c r="V83" s="90" t="str">
        <x:v>Caso priorizado por restricciones activas</x:v>
      </x:c>
    </x:row>
    <x:row r="84">
      <x:c r="A84" s="88" t="n">
        <x:v>2025</x:v>
      </x:c>
      <x:c r="B84" s="89" t="str">
        <x:v>EMO-2025-0083</x:v>
      </x:c>
      <x:c r="C84" s="106" t="n">
        <x:v>45983</x:v>
      </x:c>
      <x:c r="D84" s="89" t="str">
        <x:v>Ingreso</x:v>
      </x:c>
      <x:c r="E84" s="89" t="str">
        <x:v>156338112</x:v>
      </x:c>
      <x:c r="F84" s="89" t="str">
        <x:v>Tatiana Wilson Suárez Suárez</x:v>
      </x:c>
      <x:c r="G84" s="89" t="str">
        <x:v>Coordinador de operaciones</x:v>
      </x:c>
      <x:c r="H84" s="89" t="str">
        <x:v>Pamplona</x:v>
      </x:c>
      <x:c r="I84" s="89" t="str">
        <x:v>Operaciones</x:v>
      </x:c>
      <x:c r="J84" s="89" t="str">
        <x:v>Salud Integral Ocupacional</x:v>
      </x:c>
      <x:c r="K84" s="89" t="str">
        <x:v>Apto</x:v>
      </x:c>
      <x:c r="L84" s="89" t="str"/>
      <x:c r="M84" s="89" t="str">
        <x:v>Continuar controles periódicos anuales</x:v>
      </x:c>
      <x:c r="N84" s="112" t="n">
        <x:v>12</x:v>
      </x:c>
      <x:c r="O84" s="106" t="n">
        <x:f>EDATE(C84,N84)</x:f>
        <x:v>46348</x:v>
      </x:c>
      <x:c r="P84" s="89" t="str">
        <x:v>M54.5 Lumbalgia</x:v>
      </x:c>
      <x:c r="Q84" s="89" t="str">
        <x:v>No</x:v>
      </x:c>
      <x:c r="R84" s="89" t="str"/>
      <x:c r="S84" s="106"/>
      <x:c r="T84" s="89" t="str">
        <x:f>IF(O84&lt;Instructivo!$B$4,"Vencido",IF(O84&lt;=Instructivo!$B$4+30,"Próximo a vencer","Vigente"))</x:f>
        <x:v>Vigente</x:v>
      </x:c>
      <x:c r="U84" s="89" t="str">
        <x:v>Médico Ocupacional</x:v>
      </x:c>
      <x:c r="V84" s="90" t="str">
        <x:v>Pendiente firma de concepto médico</x:v>
      </x:c>
    </x:row>
    <x:row r="85">
      <x:c r="A85" s="88" t="n">
        <x:v>2025</x:v>
      </x:c>
      <x:c r="B85" s="89" t="str">
        <x:v>EMO-2025-0084</x:v>
      </x:c>
      <x:c r="C85" s="106" t="n">
        <x:v>45686</x:v>
      </x:c>
      <x:c r="D85" s="89" t="str">
        <x:v>Periódico</x:v>
      </x:c>
      <x:c r="E85" s="89" t="str">
        <x:v>423294774</x:v>
      </x:c>
      <x:c r="F85" s="89" t="str">
        <x:v>Ana Andrés Gómez Díaz</x:v>
      </x:c>
      <x:c r="G85" s="89" t="str">
        <x:v>Vigilante</x:v>
      </x:c>
      <x:c r="H85" s="89" t="str">
        <x:v>Tibú</x:v>
      </x:c>
      <x:c r="I85" s="89" t="str">
        <x:v>Operaciones</x:v>
      </x:c>
      <x:c r="J85" s="89" t="str">
        <x:v>Salud Integral Ocupacional</x:v>
      </x:c>
      <x:c r="K85" s="89" t="str">
        <x:v>Apto con restricciones</x:v>
      </x:c>
      <x:c r="L85" s="89" t="str">
        <x:v>Pausas activas cada 2 horas</x:v>
      </x:c>
      <x:c r="M85" s="89" t="str">
        <x:v>Reubicación o ajuste razonable del puesto</x:v>
      </x:c>
      <x:c r="N85" s="112" t="n">
        <x:v>12</x:v>
      </x:c>
      <x:c r="O85" s="106" t="n">
        <x:f>EDATE(C85,N85)</x:f>
        <x:v>46051</x:v>
      </x:c>
      <x:c r="P85" s="89" t="str">
        <x:v>G56.0 Síndrome túnel carpiano</x:v>
      </x:c>
      <x:c r="Q85" s="89" t="str">
        <x:v>Sí</x:v>
      </x:c>
      <x:c r="R85" s="89" t="str">
        <x:v>Ergonomía</x:v>
      </x:c>
      <x:c r="S85" s="106" t="n">
        <x:v>45776</x:v>
      </x:c>
      <x:c r="T85" s="89" t="str">
        <x:f>IF(O85&lt;Instructivo!$B$4,"Vencido",IF(O85&lt;=Instructivo!$B$4+30,"Próximo a vencer","Vigente"))</x:f>
        <x:v>Vencido</x:v>
      </x:c>
      <x:c r="U85" s="89" t="str">
        <x:v>Analista SST</x:v>
      </x:c>
      <x:c r="V85" s="90" t="str">
        <x:v>Sin novedades adicionales</x:v>
      </x:c>
    </x:row>
    <x:row r="86">
      <x:c r="A86" s="88" t="n">
        <x:v>2025</x:v>
      </x:c>
      <x:c r="B86" s="89" t="str">
        <x:v>EMO-2025-0085</x:v>
      </x:c>
      <x:c r="C86" s="106" t="n">
        <x:v>45751</x:v>
      </x:c>
      <x:c r="D86" s="89" t="str">
        <x:v>Post-incapacidad</x:v>
      </x:c>
      <x:c r="E86" s="89" t="str">
        <x:v>195074336</x:v>
      </x:c>
      <x:c r="F86" s="89" t="str">
        <x:v>Andrés Karen Díaz Martínez</x:v>
      </x:c>
      <x:c r="G86" s="89" t="str">
        <x:v>Operador de medios tecnológicos</x:v>
      </x:c>
      <x:c r="H86" s="89" t="str">
        <x:v>Tibú</x:v>
      </x:c>
      <x:c r="I86" s="89" t="str">
        <x:v>Medios Tecnológicos</x:v>
      </x:c>
      <x:c r="J86" s="89" t="str">
        <x:v>Colmédica Ocupacional</x:v>
      </x:c>
      <x:c r="K86" s="89" t="str">
        <x:v>Apto</x:v>
      </x:c>
      <x:c r="L86" s="89" t="str"/>
      <x:c r="M86" s="89" t="str">
        <x:v>Participar en programas de vigilancia epidemiológica</x:v>
      </x:c>
      <x:c r="N86" s="112" t="n">
        <x:v>6</x:v>
      </x:c>
      <x:c r="O86" s="106" t="n">
        <x:f>EDATE(C86,N86)</x:f>
        <x:v>45934</x:v>
      </x:c>
      <x:c r="P86" s="89" t="str">
        <x:v>Z00.0 Examen general</x:v>
      </x:c>
      <x:c r="Q86" s="89" t="str">
        <x:v>No</x:v>
      </x:c>
      <x:c r="R86" s="89" t="str"/>
      <x:c r="S86" s="106"/>
      <x:c r="T86" s="89" t="str">
        <x:f>IF(O86&lt;Instructivo!$B$4,"Vencido",IF(O86&lt;=Instructivo!$B$4+30,"Próximo a vencer","Vigente"))</x:f>
        <x:v>Vencido</x:v>
      </x:c>
      <x:c r="U86" s="89" t="str">
        <x:v>Líder SST</x:v>
      </x:c>
      <x:c r="V86" s="90" t="str">
        <x:v>Pendiente firma de concepto médico</x:v>
      </x:c>
    </x:row>
    <x:row r="87">
      <x:c r="A87" s="91" t="n">
        <x:v>2025</x:v>
      </x:c>
      <x:c r="B87" s="92" t="str">
        <x:v>EMO-2025-0086</x:v>
      </x:c>
      <x:c r="C87" s="107" t="n">
        <x:v>45745</x:v>
      </x:c>
      <x:c r="D87" s="92" t="str">
        <x:v>Periódico</x:v>
      </x:c>
      <x:c r="E87" s="92" t="str">
        <x:v>447970771</x:v>
      </x:c>
      <x:c r="F87" s="92" t="str">
        <x:v>Wilson Wilson Ramírez Cárdenas</x:v>
      </x:c>
      <x:c r="G87" s="92" t="str">
        <x:v>Vigilante</x:v>
      </x:c>
      <x:c r="H87" s="92" t="str">
        <x:v>Valledupar</x:v>
      </x:c>
      <x:c r="I87" s="92" t="str">
        <x:v>Operaciones</x:v>
      </x:c>
      <x:c r="J87" s="92" t="str">
        <x:v>Centro Médico Laboral Andino</x:v>
      </x:c>
      <x:c r="K87" s="92" t="str">
        <x:v>Apto</x:v>
      </x:c>
      <x:c r="L87" s="92" t="str"/>
      <x:c r="M87" s="92" t="str">
        <x:v>Mantener estilos de vida saludable</x:v>
      </x:c>
      <x:c r="N87" s="113" t="n">
        <x:v>12</x:v>
      </x:c>
      <x:c r="O87" s="107" t="n">
        <x:f>EDATE(C87,N87)</x:f>
        <x:v>46110</x:v>
      </x:c>
      <x:c r="P87" s="92" t="str">
        <x:v>M75.1 Lesión de hombro</x:v>
      </x:c>
      <x:c r="Q87" s="92" t="str">
        <x:v>No</x:v>
      </x:c>
      <x:c r="R87" s="92" t="str"/>
      <x:c r="S87" s="107"/>
      <x:c r="T87" s="92" t="str">
        <x:f>IF(O87&lt;Instructivo!$B$4,"Vencido",IF(O87&lt;=Instructivo!$B$4+30,"Próximo a vencer","Vigente"))</x:f>
        <x:v>Vencido</x:v>
      </x:c>
      <x:c r="U87" s="92" t="str">
        <x:v>Médico Ocupacional</x:v>
      </x:c>
      <x:c r="V87" s="93" t="str">
        <x:v>Registro completo y soportado en historia ocupacional</x:v>
      </x:c>
    </x:row>
  </x:sheetData>
  <x:conditionalFormatting sqref="T2:T87">
    <x:cfRule type="expression" dxfId="10" priority="1">
      <x:formula>T2="Vigente"</x:formula>
    </x:cfRule>
    <x:cfRule type="expression" dxfId="11" priority="2">
      <x:formula>T2="Próximo a vencer"</x:formula>
    </x:cfRule>
    <x:cfRule type="expression" dxfId="12" priority="3">
      <x:formula>T2="Vencido"</x:formula>
    </x:cfRule>
  </x:conditionalFormatting>
  <x:conditionalFormatting sqref="K2:K87">
    <x:cfRule type="expression" dxfId="13" priority="4">
      <x:formula>K2="No apto"</x:formula>
    </x:cfRule>
    <x:cfRule type="expression" dxfId="14" priority="5">
      <x:formula>K2="Apto con restricciones"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c86e681227442c6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2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30" hidden="0" customWidth="1"/>
    <x:col min="13" max="13" width="30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28" hidden="0" customWidth="1"/>
  </x:cols>
  <x:sheetData>
    <x:row r="1">
      <x:c r="A1" s="76" t="str">
        <x:v>Año</x:v>
      </x:c>
      <x:c r="B1" s="76" t="str">
        <x:v>ID Registro</x:v>
      </x:c>
      <x:c r="C1" s="76" t="str">
        <x:v>Fecha realización</x:v>
      </x:c>
      <x:c r="D1" s="76" t="str">
        <x:v>Tipo de examen</x:v>
      </x:c>
      <x:c r="E1" s="76" t="str">
        <x:v>Identificación</x:v>
      </x:c>
      <x:c r="F1" s="76" t="str">
        <x:v>Nombre completo</x:v>
      </x:c>
      <x:c r="G1" s="76" t="str">
        <x:v>Cargo</x:v>
      </x:c>
      <x:c r="H1" s="76" t="str">
        <x:v>Sede</x:v>
      </x:c>
      <x:c r="I1" s="76" t="str">
        <x:v>Área / Proceso</x:v>
      </x:c>
      <x:c r="J1" s="76" t="str">
        <x:v>Proveedor / IPS</x:v>
      </x:c>
      <x:c r="K1" s="76" t="str">
        <x:v>Resultado</x:v>
      </x:c>
      <x:c r="L1" s="76" t="str">
        <x:v>Restricciones</x:v>
      </x:c>
      <x:c r="M1" s="76" t="str">
        <x:v>Recomendaciones</x:v>
      </x:c>
      <x:c r="N1" s="76" t="str">
        <x:v>Periodicidad (meses)</x:v>
      </x:c>
      <x:c r="O1" s="76" t="str">
        <x:v>Fecha vencimiento próximo examen</x:v>
      </x:c>
      <x:c r="P1" s="76" t="str">
        <x:v>Diagnóstico general</x:v>
      </x:c>
      <x:c r="Q1" s="76" t="str">
        <x:v>¿Requiere seguimiento especial?</x:v>
      </x:c>
      <x:c r="R1" s="76" t="str">
        <x:v>Tipo de seguimiento</x:v>
      </x:c>
      <x:c r="S1" s="76" t="str">
        <x:v>Fecha próximo seguimiento</x:v>
      </x:c>
      <x:c r="T1" s="76" t="str">
        <x:v>Estado</x:v>
      </x:c>
      <x:c r="U1" s="76" t="str">
        <x:v>Responsable de gestión</x:v>
      </x:c>
      <x:c r="V1" s="76" t="str">
        <x:v>Observaciones</x:v>
      </x:c>
    </x:row>
    <x:row r="2">
      <x:c r="A2" s="85" t="n">
        <x:v>2026</x:v>
      </x:c>
      <x:c r="B2" s="86" t="str">
        <x:v>EMO-2026-0001</x:v>
      </x:c>
      <x:c r="C2" s="105" t="n">
        <x:v>46146</x:v>
      </x:c>
      <x:c r="D2" s="86" t="str">
        <x:v>Periódico</x:v>
      </x:c>
      <x:c r="E2" s="86" t="str">
        <x:v>192000560</x:v>
      </x:c>
      <x:c r="F2" s="86" t="str">
        <x:v>Miguel Carolina Díaz Díaz</x:v>
      </x:c>
      <x:c r="G2" s="86" t="str">
        <x:v>Auxiliar administrativo</x:v>
      </x:c>
      <x:c r="H2" s="86" t="str">
        <x:v>Ocaña</x:v>
      </x:c>
      <x:c r="I2" s="86" t="str">
        <x:v>Administrativa</x:v>
      </x:c>
      <x:c r="J2" s="86" t="str">
        <x:v>Colmédica Ocupacional</x:v>
      </x:c>
      <x:c r="K2" s="86" t="str">
        <x:v>Apto</x:v>
      </x:c>
      <x:c r="L2" s="86" t="str"/>
      <x:c r="M2" s="86" t="str">
        <x:v>Continuar controles periódicos anuales</x:v>
      </x:c>
      <x:c r="N2" s="111" t="n">
        <x:v>12</x:v>
      </x:c>
      <x:c r="O2" s="105" t="n">
        <x:f>EDATE(C2,N2)</x:f>
        <x:v>46511</x:v>
      </x:c>
      <x:c r="P2" s="86" t="str">
        <x:v>Z00.0 Examen general</x:v>
      </x:c>
      <x:c r="Q2" s="86" t="str">
        <x:v>No</x:v>
      </x:c>
      <x:c r="R2" s="86" t="str"/>
      <x:c r="S2" s="105"/>
      <x:c r="T2" s="86" t="str">
        <x:f>IF(O2&lt;Instructivo!$B$4,"Vencido",IF(O2&lt;=Instructivo!$B$4+30,"Próximo a vencer","Vigente"))</x:f>
        <x:v>Vigente</x:v>
      </x:c>
      <x:c r="U2" s="86" t="str">
        <x:v>Coordinador de Talento Humano</x:v>
      </x:c>
      <x:c r="V2" s="87" t="str">
        <x:v>Requiere revisión de puesto de trabajo</x:v>
      </x:c>
    </x:row>
    <x:row r="3">
      <x:c r="A3" s="88" t="n">
        <x:v>2026</x:v>
      </x:c>
      <x:c r="B3" s="89" t="str">
        <x:v>EMO-2026-0002</x:v>
      </x:c>
      <x:c r="C3" s="106" t="n">
        <x:v>46025</x:v>
      </x:c>
      <x:c r="D3" s="89" t="str">
        <x:v>Periódico</x:v>
      </x:c>
      <x:c r="E3" s="89" t="str">
        <x:v>423294774</x:v>
      </x:c>
      <x:c r="F3" s="89" t="str">
        <x:v>Ana Andrés Gómez Díaz</x:v>
      </x:c>
      <x:c r="G3" s="89" t="str">
        <x:v>Vigilante</x:v>
      </x:c>
      <x:c r="H3" s="89" t="str">
        <x:v>Tibú</x:v>
      </x:c>
      <x:c r="I3" s="89" t="str">
        <x:v>Operaciones</x:v>
      </x:c>
      <x:c r="J3" s="89" t="str">
        <x:v>Colmédica Ocupacional</x:v>
      </x:c>
      <x:c r="K3" s="89" t="str">
        <x:v>Apto</x:v>
      </x:c>
      <x:c r="L3" s="89" t="str"/>
      <x:c r="M3" s="89" t="str">
        <x:v>Mantener estilos de vida saludable</x:v>
      </x:c>
      <x:c r="N3" s="112" t="n">
        <x:v>12</x:v>
      </x:c>
      <x:c r="O3" s="106" t="n">
        <x:f>EDATE(C3,N3)</x:f>
        <x:v>46390</x:v>
      </x:c>
      <x:c r="P3" s="89" t="str">
        <x:v>H52.4 Presbicia</x:v>
      </x:c>
      <x:c r="Q3" s="89" t="str">
        <x:v>No</x:v>
      </x:c>
      <x:c r="R3" s="89" t="str"/>
      <x:c r="S3" s="106"/>
      <x:c r="T3" s="89" t="str">
        <x:f>IF(O3&lt;Instructivo!$B$4,"Vencido",IF(O3&lt;=Instructivo!$B$4+30,"Próximo a vencer","Vigente"))</x:f>
        <x:v>Vigente</x:v>
      </x:c>
      <x:c r="U3" s="89" t="str">
        <x:v>Líder SST</x:v>
      </x:c>
      <x:c r="V3" s="90" t="str">
        <x:v>Se recomienda seguimiento por comité SST</x:v>
      </x:c>
    </x:row>
    <x:row r="4">
      <x:c r="A4" s="88" t="n">
        <x:v>2026</x:v>
      </x:c>
      <x:c r="B4" s="89" t="str">
        <x:v>EMO-2026-0003</x:v>
      </x:c>
      <x:c r="C4" s="106" t="n">
        <x:v>46102</x:v>
      </x:c>
      <x:c r="D4" s="89" t="str">
        <x:v>Periódico</x:v>
      </x:c>
      <x:c r="E4" s="89" t="str">
        <x:v>858194570</x:v>
      </x:c>
      <x:c r="F4" s="89" t="str">
        <x:v>José Diana Gómez Martínez</x:v>
      </x:c>
      <x:c r="G4" s="89" t="str">
        <x:v>Vigilante</x:v>
      </x:c>
      <x:c r="H4" s="89" t="str">
        <x:v>Pamplona</x:v>
      </x:c>
      <x:c r="I4" s="89" t="str">
        <x:v>Operaciones</x:v>
      </x:c>
      <x:c r="J4" s="89" t="str">
        <x:v>IPS Prevencionar</x:v>
      </x:c>
      <x:c r="K4" s="89" t="str">
        <x:v>Apto</x:v>
      </x:c>
      <x:c r="L4" s="89" t="str"/>
      <x:c r="M4" s="89" t="str">
        <x:v>Continuar controles periódicos anuales</x:v>
      </x:c>
      <x:c r="N4" s="112" t="n">
        <x:v>12</x:v>
      </x:c>
      <x:c r="O4" s="106" t="n">
        <x:f>EDATE(C4,N4)</x:f>
        <x:v>46467</x:v>
      </x:c>
      <x:c r="P4" s="89" t="str">
        <x:v>R51 Cefalea</x:v>
      </x:c>
      <x:c r="Q4" s="89" t="str">
        <x:v>No</x:v>
      </x:c>
      <x:c r="R4" s="89" t="str"/>
      <x:c r="S4" s="106"/>
      <x:c r="T4" s="89" t="str">
        <x:f>IF(O4&lt;Instructivo!$B$4,"Vencido",IF(O4&lt;=Instructivo!$B$4+30,"Próximo a vencer","Vigente"))</x:f>
        <x:v>Vigente</x:v>
      </x:c>
      <x:c r="U4" s="89" t="str">
        <x:v>Médico Ocupacional</x:v>
      </x:c>
      <x:c r="V4" s="90" t="str">
        <x:v>Se recomienda seguimiento por comité SST</x:v>
      </x:c>
    </x:row>
    <x:row r="5">
      <x:c r="A5" s="88" t="n">
        <x:v>2026</x:v>
      </x:c>
      <x:c r="B5" s="89" t="str">
        <x:v>EMO-2026-0004</x:v>
      </x:c>
      <x:c r="C5" s="106" t="n">
        <x:v>46149</x:v>
      </x:c>
      <x:c r="D5" s="89" t="str">
        <x:v>Periódico</x:v>
      </x:c>
      <x:c r="E5" s="89" t="str">
        <x:v>773641282</x:v>
      </x:c>
      <x:c r="F5" s="89" t="str">
        <x:v>Carlos María Rodríguez Hernández</x:v>
      </x:c>
      <x:c r="G5" s="89" t="str">
        <x:v>Supervisor de puesto</x:v>
      </x:c>
      <x:c r="H5" s="89" t="str">
        <x:v>Cúcuta</x:v>
      </x:c>
      <x:c r="I5" s="89" t="str">
        <x:v>Operaciones</x:v>
      </x:c>
      <x:c r="J5" s="89" t="str">
        <x:v>IPS Ocupasalud SAS</x:v>
      </x:c>
      <x:c r="K5" s="89" t="str">
        <x:v>Apto</x:v>
      </x:c>
      <x:c r="L5" s="89" t="str"/>
      <x:c r="M5" s="89" t="str">
        <x:v>Mantener estilos de vida saludable</x:v>
      </x:c>
      <x:c r="N5" s="112" t="n">
        <x:v>12</x:v>
      </x:c>
      <x:c r="O5" s="106" t="n">
        <x:f>EDATE(C5,N5)</x:f>
        <x:v>46514</x:v>
      </x:c>
      <x:c r="P5" s="89" t="str">
        <x:v>I10 Hipertensión esencial</x:v>
      </x:c>
      <x:c r="Q5" s="89" t="str">
        <x:v>No</x:v>
      </x:c>
      <x:c r="R5" s="89" t="str"/>
      <x:c r="S5" s="106"/>
      <x:c r="T5" s="89" t="str">
        <x:f>IF(O5&lt;Instructivo!$B$4,"Vencido",IF(O5&lt;=Instructivo!$B$4+30,"Próximo a vencer","Vigente"))</x:f>
        <x:v>Vigente</x:v>
      </x:c>
      <x:c r="U5" s="89" t="str">
        <x:v>Analista SST</x:v>
      </x:c>
      <x:c r="V5" s="90" t="str">
        <x:v>Sin novedades adicionales</x:v>
      </x:c>
    </x:row>
    <x:row r="6">
      <x:c r="A6" s="88" t="n">
        <x:v>2026</x:v>
      </x:c>
      <x:c r="B6" s="89" t="str">
        <x:v>EMO-2026-0005</x:v>
      </x:c>
      <x:c r="C6" s="106" t="n">
        <x:v>46029</x:v>
      </x:c>
      <x:c r="D6" s="89" t="str">
        <x:v>Periódico</x:v>
      </x:c>
      <x:c r="E6" s="89" t="str">
        <x:v>792022698</x:v>
      </x:c>
      <x:c r="F6" s="89" t="str">
        <x:v>Tatiana Felipe Gómez Gómez</x:v>
      </x:c>
      <x:c r="G6" s="89" t="str">
        <x:v>Supervisor motorizado</x:v>
      </x:c>
      <x:c r="H6" s="89" t="str">
        <x:v>Valledupar</x:v>
      </x:c>
      <x:c r="I6" s="89" t="str">
        <x:v>Operaciones</x:v>
      </x:c>
      <x:c r="J6" s="89" t="str">
        <x:v>IPS Ocupasalud SAS</x:v>
      </x:c>
      <x:c r="K6" s="89" t="str">
        <x:v>Apto</x:v>
      </x:c>
      <x:c r="L6" s="89" t="str"/>
      <x:c r="M6" s="89" t="str">
        <x:v>Mantener estilos de vida saludable</x:v>
      </x:c>
      <x:c r="N6" s="112" t="n">
        <x:v>12</x:v>
      </x:c>
      <x:c r="O6" s="106" t="n">
        <x:f>EDATE(C6,N6)</x:f>
        <x:v>46394</x:v>
      </x:c>
      <x:c r="P6" s="89" t="str">
        <x:v>M75.1 Lesión de hombro</x:v>
      </x:c>
      <x:c r="Q6" s="89" t="str">
        <x:v>No</x:v>
      </x:c>
      <x:c r="R6" s="89" t="str"/>
      <x:c r="S6" s="106"/>
      <x:c r="T6" s="89" t="str">
        <x:f>IF(O6&lt;Instructivo!$B$4,"Vencido",IF(O6&lt;=Instructivo!$B$4+30,"Próximo a vencer","Vigente"))</x:f>
        <x:v>Vigente</x:v>
      </x:c>
      <x:c r="U6" s="89" t="str">
        <x:v>Coordinador de Talento Humano</x:v>
      </x:c>
      <x:c r="V6" s="90" t="str">
        <x:v>Requiere revisión de puesto de trabajo</x:v>
      </x:c>
    </x:row>
    <x:row r="7">
      <x:c r="A7" s="88" t="n">
        <x:v>2026</x:v>
      </x:c>
      <x:c r="B7" s="89" t="str">
        <x:v>EMO-2026-0006</x:v>
      </x:c>
      <x:c r="C7" s="106" t="n">
        <x:v>46176</x:v>
      </x:c>
      <x:c r="D7" s="89" t="str">
        <x:v>Periódico</x:v>
      </x:c>
      <x:c r="E7" s="89" t="str">
        <x:v>563204724</x:v>
      </x:c>
      <x:c r="F7" s="89" t="str">
        <x:v>Luis José Parra Moreno</x:v>
      </x:c>
      <x:c r="G7" s="89" t="str">
        <x:v>Vigilante</x:v>
      </x:c>
      <x:c r="H7" s="89" t="str">
        <x:v>Cúcuta</x:v>
      </x:c>
      <x:c r="I7" s="89" t="str">
        <x:v>Operaciones</x:v>
      </x:c>
      <x:c r="J7" s="89" t="str">
        <x:v>IPS Prevencionar</x:v>
      </x:c>
      <x:c r="K7" s="89" t="str">
        <x:v>No apto</x:v>
      </x:c>
      <x:c r="L7" s="89" t="str">
        <x:v>Requiere reubicación temporal</x:v>
      </x:c>
      <x:c r="M7" s="89" t="str">
        <x:v>Remisión a especialista y reevaluación</x:v>
      </x:c>
      <x:c r="N7" s="112" t="n">
        <x:v>12</x:v>
      </x:c>
      <x:c r="O7" s="106" t="n">
        <x:f>EDATE(C7,N7)</x:f>
        <x:v>46541</x:v>
      </x:c>
      <x:c r="P7" s="89" t="str">
        <x:v>G56.0 Síndrome túnel carpiano</x:v>
      </x:c>
      <x:c r="Q7" s="89" t="str">
        <x:v>Sí</x:v>
      </x:c>
      <x:c r="R7" s="89" t="str">
        <x:v>Medicina laboral</x:v>
      </x:c>
      <x:c r="S7" s="106" t="n">
        <x:v>46296</x:v>
      </x:c>
      <x:c r="T7" s="89" t="str">
        <x:f>IF(O7&lt;Instructivo!$B$4,"Vencido",IF(O7&lt;=Instructivo!$B$4+30,"Próximo a vencer","Vigente"))</x:f>
        <x:v>Vigente</x:v>
      </x:c>
      <x:c r="U7" s="89" t="str">
        <x:v>Médico Ocupacional</x:v>
      </x:c>
      <x:c r="V7" s="90" t="str">
        <x:v>Registro completo y soportado en historia ocupacional</x:v>
      </x:c>
    </x:row>
    <x:row r="8">
      <x:c r="A8" s="88" t="n">
        <x:v>2026</x:v>
      </x:c>
      <x:c r="B8" s="89" t="str">
        <x:v>EMO-2026-0007</x:v>
      </x:c>
      <x:c r="C8" s="106" t="n">
        <x:v>46145</x:v>
      </x:c>
      <x:c r="D8" s="89" t="str">
        <x:v>Periódico</x:v>
      </x:c>
      <x:c r="E8" s="89" t="str">
        <x:v>107550190</x:v>
      </x:c>
      <x:c r="F8" s="89" t="str">
        <x:v>Julián Carolina Cárdenas Díaz</x:v>
      </x:c>
      <x:c r="G8" s="89" t="str">
        <x:v>Vigilante</x:v>
      </x:c>
      <x:c r="H8" s="89" t="str">
        <x:v>Ocaña</x:v>
      </x:c>
      <x:c r="I8" s="89" t="str">
        <x:v>Operaciones</x:v>
      </x:c>
      <x:c r="J8" s="89" t="str">
        <x:v>IPS Ocupasalud SAS</x:v>
      </x:c>
      <x:c r="K8" s="89" t="str">
        <x:v>Apto</x:v>
      </x:c>
      <x:c r="L8" s="89" t="str"/>
      <x:c r="M8" s="89" t="str">
        <x:v>Mantener estilos de vida saludable</x:v>
      </x:c>
      <x:c r="N8" s="112" t="n">
        <x:v>12</x:v>
      </x:c>
      <x:c r="O8" s="106" t="n">
        <x:f>EDATE(C8,N8)</x:f>
        <x:v>46510</x:v>
      </x:c>
      <x:c r="P8" s="89" t="str">
        <x:v>E66.9 Obesidad</x:v>
      </x:c>
      <x:c r="Q8" s="89" t="str">
        <x:v>No</x:v>
      </x:c>
      <x:c r="R8" s="89" t="str"/>
      <x:c r="S8" s="106"/>
      <x:c r="T8" s="89" t="str">
        <x:f>IF(O8&lt;Instructivo!$B$4,"Vencido",IF(O8&lt;=Instructivo!$B$4+30,"Próximo a vencer","Vigente"))</x:f>
        <x:v>Vigente</x:v>
      </x:c>
      <x:c r="U8" s="89" t="str">
        <x:v>Médico Ocupacional</x:v>
      </x:c>
      <x:c r="V8" s="90" t="str">
        <x:v>Requiere revisión de puesto de trabajo</x:v>
      </x:c>
    </x:row>
    <x:row r="9">
      <x:c r="A9" s="88" t="n">
        <x:v>2026</x:v>
      </x:c>
      <x:c r="B9" s="89" t="str">
        <x:v>EMO-2026-0008</x:v>
      </x:c>
      <x:c r="C9" s="106" t="n">
        <x:v>46093</x:v>
      </x:c>
      <x:c r="D9" s="89" t="str">
        <x:v>Periódico</x:v>
      </x:c>
      <x:c r="E9" s="89" t="str">
        <x:v>268930103</x:v>
      </x:c>
      <x:c r="F9" s="89" t="str">
        <x:v>Kevin Carolina Castro Moreno</x:v>
      </x:c>
      <x:c r="G9" s="89" t="str">
        <x:v>Vigilante</x:v>
      </x:c>
      <x:c r="H9" s="89" t="str">
        <x:v>Cúcuta</x:v>
      </x:c>
      <x:c r="I9" s="89" t="str">
        <x:v>Operaciones</x:v>
      </x:c>
      <x:c r="J9" s="89" t="str">
        <x:v>Salud Integral Ocupacional</x:v>
      </x:c>
      <x:c r="K9" s="89" t="str">
        <x:v>Apto</x:v>
      </x:c>
      <x:c r="L9" s="89" t="str"/>
      <x:c r="M9" s="89" t="str">
        <x:v>Mantener estilos de vida saludable</x:v>
      </x:c>
      <x:c r="N9" s="112" t="n">
        <x:v>12</x:v>
      </x:c>
      <x:c r="O9" s="106" t="n">
        <x:f>EDATE(C9,N9)</x:f>
        <x:v>46458</x:v>
      </x:c>
      <x:c r="P9" s="89" t="str">
        <x:v>M54.5 Lumbalgia</x:v>
      </x:c>
      <x:c r="Q9" s="89" t="str">
        <x:v>No</x:v>
      </x:c>
      <x:c r="R9" s="89" t="str"/>
      <x:c r="S9" s="106"/>
      <x:c r="T9" s="89" t="str">
        <x:f>IF(O9&lt;Instructivo!$B$4,"Vencido",IF(O9&lt;=Instructivo!$B$4+30,"Próximo a vencer","Vigente"))</x:f>
        <x:v>Vigente</x:v>
      </x:c>
      <x:c r="U9" s="89" t="str">
        <x:v>Coordinador de Talento Humano</x:v>
      </x:c>
      <x:c r="V9" s="90" t="str">
        <x:v>Registro completo y soportado en historia ocupacional</x:v>
      </x:c>
    </x:row>
    <x:row r="10">
      <x:c r="A10" s="88" t="n">
        <x:v>2026</x:v>
      </x:c>
      <x:c r="B10" s="89" t="str">
        <x:v>EMO-2026-0009</x:v>
      </x:c>
      <x:c r="C10" s="106" t="n">
        <x:v>46151</x:v>
      </x:c>
      <x:c r="D10" s="89" t="str">
        <x:v>Periódico</x:v>
      </x:c>
      <x:c r="E10" s="89" t="str">
        <x:v>662642635</x:v>
      </x:c>
      <x:c r="F10" s="89" t="str">
        <x:v>Carlos Ana Pérez Rodríguez</x:v>
      </x:c>
      <x:c r="G10" s="89" t="str">
        <x:v>Conductor</x:v>
      </x:c>
      <x:c r="H10" s="89" t="str">
        <x:v>Ábrego</x:v>
      </x:c>
      <x:c r="I10" s="89" t="str">
        <x:v>Logística</x:v>
      </x:c>
      <x:c r="J10" s="89" t="str">
        <x:v>Centro Médico Laboral Andino</x:v>
      </x:c>
      <x:c r="K10" s="89" t="str">
        <x:v>Apto</x:v>
      </x:c>
      <x:c r="L10" s="89" t="str"/>
      <x:c r="M10" s="89" t="str">
        <x:v>Mantener estilos de vida saludable</x:v>
      </x:c>
      <x:c r="N10" s="112" t="n">
        <x:v>12</x:v>
      </x:c>
      <x:c r="O10" s="106" t="n">
        <x:f>EDATE(C10,N10)</x:f>
        <x:v>46516</x:v>
      </x:c>
      <x:c r="P10" s="89" t="str">
        <x:v>R51 Cefalea</x:v>
      </x:c>
      <x:c r="Q10" s="89" t="str">
        <x:v>No</x:v>
      </x:c>
      <x:c r="R10" s="89" t="str"/>
      <x:c r="S10" s="106"/>
      <x:c r="T10" s="89" t="str">
        <x:f>IF(O10&lt;Instructivo!$B$4,"Vencido",IF(O10&lt;=Instructivo!$B$4+30,"Próximo a vencer","Vigente"))</x:f>
        <x:v>Vigente</x:v>
      </x:c>
      <x:c r="U10" s="89" t="str">
        <x:v>Médico Ocupacional</x:v>
      </x:c>
      <x:c r="V10" s="90" t="str">
        <x:v>Caso priorizado por restricciones activas</x:v>
      </x:c>
    </x:row>
    <x:row r="11">
      <x:c r="A11" s="88" t="n">
        <x:v>2026</x:v>
      </x:c>
      <x:c r="B11" s="89" t="str">
        <x:v>EMO-2026-0010</x:v>
      </x:c>
      <x:c r="C11" s="106" t="n">
        <x:v>46164</x:v>
      </x:c>
      <x:c r="D11" s="89" t="str">
        <x:v>Ingreso</x:v>
      </x:c>
      <x:c r="E11" s="89" t="str">
        <x:v>458072684</x:v>
      </x:c>
      <x:c r="F11" s="89" t="str">
        <x:v>Julián Luis Castro Pérez</x:v>
      </x:c>
      <x:c r="G11" s="89" t="str">
        <x:v>Auxiliar administrativo</x:v>
      </x:c>
      <x:c r="H11" s="89" t="str">
        <x:v>Bogotá</x:v>
      </x:c>
      <x:c r="I11" s="89" t="str">
        <x:v>Administrativa</x:v>
      </x:c>
      <x:c r="J11" s="89" t="str">
        <x:v>Colmédica Ocupacional</x:v>
      </x:c>
      <x:c r="K11" s="89" t="str">
        <x:v>Apto</x:v>
      </x:c>
      <x:c r="L11" s="89" t="str"/>
      <x:c r="M11" s="89" t="str">
        <x:v>Mantener estilos de vida saludable</x:v>
      </x:c>
      <x:c r="N11" s="112" t="n">
        <x:v>12</x:v>
      </x:c>
      <x:c r="O11" s="106" t="n">
        <x:f>EDATE(C11,N11)</x:f>
        <x:v>46529</x:v>
      </x:c>
      <x:c r="P11" s="89" t="str">
        <x:v>I10 Hipertensión esencial</x:v>
      </x:c>
      <x:c r="Q11" s="89" t="str">
        <x:v>No</x:v>
      </x:c>
      <x:c r="R11" s="89" t="str"/>
      <x:c r="S11" s="106"/>
      <x:c r="T11" s="89" t="str">
        <x:f>IF(O11&lt;Instructivo!$B$4,"Vencido",IF(O11&lt;=Instructivo!$B$4+30,"Próximo a vencer","Vigente"))</x:f>
        <x:v>Vigente</x:v>
      </x:c>
      <x:c r="U11" s="89" t="str">
        <x:v>Líder SST</x:v>
      </x:c>
      <x:c r="V11" s="90" t="str">
        <x:v>Sin novedades adicionales</x:v>
      </x:c>
    </x:row>
    <x:row r="12">
      <x:c r="A12" s="88" t="n">
        <x:v>2026</x:v>
      </x:c>
      <x:c r="B12" s="89" t="str">
        <x:v>EMO-2026-0011</x:v>
      </x:c>
      <x:c r="C12" s="106" t="n">
        <x:v>46052</x:v>
      </x:c>
      <x:c r="D12" s="89" t="str">
        <x:v>Periódico</x:v>
      </x:c>
      <x:c r="E12" s="89" t="str">
        <x:v>103678638</x:v>
      </x:c>
      <x:c r="F12" s="89" t="str">
        <x:v>Karen Sergio Parra Torres</x:v>
      </x:c>
      <x:c r="G12" s="89" t="str">
        <x:v>Vigilante</x:v>
      </x:c>
      <x:c r="H12" s="89" t="str">
        <x:v>Cúcuta</x:v>
      </x:c>
      <x:c r="I12" s="89" t="str">
        <x:v>Operaciones</x:v>
      </x:c>
      <x:c r="J12" s="89" t="str">
        <x:v>IPS Ocupasalud SAS</x:v>
      </x:c>
      <x:c r="K12" s="89" t="str">
        <x:v>Apto con restricciones</x:v>
      </x:c>
      <x:c r="L12" s="89" t="str">
        <x:v>Control visual y corrección óptica permanente</x:v>
      </x:c>
      <x:c r="M12" s="89" t="str">
        <x:v>Reubicación o ajuste razonable del puesto</x:v>
      </x:c>
      <x:c r="N12" s="112" t="n">
        <x:v>12</x:v>
      </x:c>
      <x:c r="O12" s="106" t="n">
        <x:f>EDATE(C12,N12)</x:f>
        <x:v>46417</x:v>
      </x:c>
      <x:c r="P12" s="89" t="str">
        <x:v>E66.9 Obesidad</x:v>
      </x:c>
      <x:c r="Q12" s="89" t="str">
        <x:v>Sí</x:v>
      </x:c>
      <x:c r="R12" s="89" t="str">
        <x:v>Medicina laboral</x:v>
      </x:c>
      <x:c r="S12" s="106" t="n">
        <x:v>46172</x:v>
      </x:c>
      <x:c r="T12" s="89" t="str">
        <x:f>IF(O12&lt;Instructivo!$B$4,"Vencido",IF(O12&lt;=Instructivo!$B$4+30,"Próximo a vencer","Vigente"))</x:f>
        <x:v>Vigente</x:v>
      </x:c>
      <x:c r="U12" s="89" t="str">
        <x:v>Analista SST</x:v>
      </x:c>
      <x:c r="V12" s="90" t="str">
        <x:v>Registro completo y soportado en historia ocupacional</x:v>
      </x:c>
    </x:row>
    <x:row r="13">
      <x:c r="A13" s="88" t="n">
        <x:v>2026</x:v>
      </x:c>
      <x:c r="B13" s="89" t="str">
        <x:v>EMO-2026-0012</x:v>
      </x:c>
      <x:c r="C13" s="106" t="n">
        <x:v>46099</x:v>
      </x:c>
      <x:c r="D13" s="89" t="str">
        <x:v>Post-exposición</x:v>
      </x:c>
      <x:c r="E13" s="89" t="str">
        <x:v>869526867</x:v>
      </x:c>
      <x:c r="F13" s="89" t="str">
        <x:v>Tatiana Jhon Rodríguez Torres</x:v>
      </x:c>
      <x:c r="G13" s="89" t="str">
        <x:v>Vigilante</x:v>
      </x:c>
      <x:c r="H13" s="89" t="str">
        <x:v>Tibú</x:v>
      </x:c>
      <x:c r="I13" s="89" t="str">
        <x:v>Operaciones</x:v>
      </x:c>
      <x:c r="J13" s="89" t="str">
        <x:v>Colmédica Ocupacional</x:v>
      </x:c>
      <x:c r="K13" s="89" t="str">
        <x:v>Apto</x:v>
      </x:c>
      <x:c r="L13" s="89" t="str"/>
      <x:c r="M13" s="89" t="str">
        <x:v>Continuar controles periódicos anuales</x:v>
      </x:c>
      <x:c r="N13" s="112" t="n">
        <x:v>12</x:v>
      </x:c>
      <x:c r="O13" s="106" t="n">
        <x:f>EDATE(C13,N13)</x:f>
        <x:v>46464</x:v>
      </x:c>
      <x:c r="P13" s="89" t="str">
        <x:v>R51 Cefalea</x:v>
      </x:c>
      <x:c r="Q13" s="89" t="str">
        <x:v>Sí</x:v>
      </x:c>
      <x:c r="R13" s="89" t="str">
        <x:v>Ergonomía</x:v>
      </x:c>
      <x:c r="S13" s="106" t="n">
        <x:v>46159</x:v>
      </x:c>
      <x:c r="T13" s="89" t="str">
        <x:f>IF(O13&lt;Instructivo!$B$4,"Vencido",IF(O13&lt;=Instructivo!$B$4+30,"Próximo a vencer","Vigente"))</x:f>
        <x:v>Vigente</x:v>
      </x:c>
      <x:c r="U13" s="89" t="str">
        <x:v>Médico Ocupacional</x:v>
      </x:c>
      <x:c r="V13" s="90" t="str">
        <x:v>Se recomienda seguimiento por comité SST</x:v>
      </x:c>
    </x:row>
    <x:row r="14">
      <x:c r="A14" s="88" t="n">
        <x:v>2026</x:v>
      </x:c>
      <x:c r="B14" s="89" t="str">
        <x:v>EMO-2026-0013</x:v>
      </x:c>
      <x:c r="C14" s="106" t="n">
        <x:v>46035</x:v>
      </x:c>
      <x:c r="D14" s="89" t="str">
        <x:v>Ingreso</x:v>
      </x:c>
      <x:c r="E14" s="89" t="str">
        <x:v>662642635</x:v>
      </x:c>
      <x:c r="F14" s="89" t="str">
        <x:v>Carlos Ana Pérez Rodríguez</x:v>
      </x:c>
      <x:c r="G14" s="89" t="str">
        <x:v>Conductor</x:v>
      </x:c>
      <x:c r="H14" s="89" t="str">
        <x:v>Ábrego</x:v>
      </x:c>
      <x:c r="I14" s="89" t="str">
        <x:v>Logística</x:v>
      </x:c>
      <x:c r="J14" s="89" t="str">
        <x:v>Colmédica Ocupacional</x:v>
      </x:c>
      <x:c r="K14" s="89" t="str">
        <x:v>Apto</x:v>
      </x:c>
      <x:c r="L14" s="89" t="str"/>
      <x:c r="M14" s="89" t="str">
        <x:v>Mantener estilos de vida saludable</x:v>
      </x:c>
      <x:c r="N14" s="112" t="n">
        <x:v>12</x:v>
      </x:c>
      <x:c r="O14" s="106" t="n">
        <x:f>EDATE(C14,N14)</x:f>
        <x:v>46400</x:v>
      </x:c>
      <x:c r="P14" s="89" t="str">
        <x:v>R51 Cefalea</x:v>
      </x:c>
      <x:c r="Q14" s="89" t="str">
        <x:v>No</x:v>
      </x:c>
      <x:c r="R14" s="89" t="str"/>
      <x:c r="S14" s="106"/>
      <x:c r="T14" s="89" t="str">
        <x:f>IF(O14&lt;Instructivo!$B$4,"Vencido",IF(O14&lt;=Instructivo!$B$4+30,"Próximo a vencer","Vigente"))</x:f>
        <x:v>Vigente</x:v>
      </x:c>
      <x:c r="U14" s="89" t="str">
        <x:v>Médico Ocupacional</x:v>
      </x:c>
      <x:c r="V14" s="90" t="str">
        <x:v>Pendiente firma de concepto médico</x:v>
      </x:c>
    </x:row>
    <x:row r="15">
      <x:c r="A15" s="88" t="n">
        <x:v>2026</x:v>
      </x:c>
      <x:c r="B15" s="89" t="str">
        <x:v>EMO-2026-0014</x:v>
      </x:c>
      <x:c r="C15" s="106" t="n">
        <x:v>46047</x:v>
      </x:c>
      <x:c r="D15" s="89" t="str">
        <x:v>Periódico</x:v>
      </x:c>
      <x:c r="E15" s="89" t="str">
        <x:v>702126310</x:v>
      </x:c>
      <x:c r="F15" s="89" t="str">
        <x:v>Luis Luis Rodríguez Moreno</x:v>
      </x:c>
      <x:c r="G15" s="89" t="str">
        <x:v>Vigilante</x:v>
      </x:c>
      <x:c r="H15" s="89" t="str">
        <x:v>Cúcuta</x:v>
      </x:c>
      <x:c r="I15" s="89" t="str">
        <x:v>Operaciones</x:v>
      </x:c>
      <x:c r="J15" s="89" t="str">
        <x:v>IPS Prevencionar</x:v>
      </x:c>
      <x:c r="K15" s="89" t="str">
        <x:v>Apto</x:v>
      </x:c>
      <x:c r="L15" s="89" t="str"/>
      <x:c r="M15" s="89" t="str">
        <x:v>Uso permanente de EPP</x:v>
      </x:c>
      <x:c r="N15" s="112" t="n">
        <x:v>12</x:v>
      </x:c>
      <x:c r="O15" s="106" t="n">
        <x:f>EDATE(C15,N15)</x:f>
        <x:v>46412</x:v>
      </x:c>
      <x:c r="P15" s="89" t="str">
        <x:v>G56.0 Síndrome túnel carpiano</x:v>
      </x:c>
      <x:c r="Q15" s="89" t="str">
        <x:v>No</x:v>
      </x:c>
      <x:c r="R15" s="89" t="str"/>
      <x:c r="S15" s="106"/>
      <x:c r="T15" s="89" t="str">
        <x:f>IF(O15&lt;Instructivo!$B$4,"Vencido",IF(O15&lt;=Instructivo!$B$4+30,"Próximo a vencer","Vigente"))</x:f>
        <x:v>Vigente</x:v>
      </x:c>
      <x:c r="U15" s="89" t="str">
        <x:v>Coordinador de Talento Humano</x:v>
      </x:c>
      <x:c r="V15" s="90" t="str">
        <x:v>Sin novedades adicionales</x:v>
      </x:c>
    </x:row>
    <x:row r="16">
      <x:c r="A16" s="88" t="n">
        <x:v>2026</x:v>
      </x:c>
      <x:c r="B16" s="89" t="str">
        <x:v>EMO-2026-0015</x:v>
      </x:c>
      <x:c r="C16" s="106" t="n">
        <x:v>46146</x:v>
      </x:c>
      <x:c r="D16" s="89" t="str">
        <x:v>Periódico</x:v>
      </x:c>
      <x:c r="E16" s="89" t="str">
        <x:v>858194570</x:v>
      </x:c>
      <x:c r="F16" s="89" t="str">
        <x:v>José Diana Gómez Martínez</x:v>
      </x:c>
      <x:c r="G16" s="89" t="str">
        <x:v>Vigilante</x:v>
      </x:c>
      <x:c r="H16" s="89" t="str">
        <x:v>Pamplona</x:v>
      </x:c>
      <x:c r="I16" s="89" t="str">
        <x:v>Operaciones</x:v>
      </x:c>
      <x:c r="J16" s="89" t="str">
        <x:v>IPS Ocupasalud SAS</x:v>
      </x:c>
      <x:c r="K16" s="89" t="str">
        <x:v>Apto con restricciones</x:v>
      </x:c>
      <x:c r="L16" s="89" t="str">
        <x:v>Pausas activas cada 2 horas</x:v>
      </x:c>
      <x:c r="M16" s="89" t="str">
        <x:v>Seguimiento por medicina laboral en 3 meses</x:v>
      </x:c>
      <x:c r="N16" s="112" t="n">
        <x:v>12</x:v>
      </x:c>
      <x:c r="O16" s="106" t="n">
        <x:f>EDATE(C16,N16)</x:f>
        <x:v>46511</x:v>
      </x:c>
      <x:c r="P16" s="89" t="str">
        <x:v>H52.4 Presbicia</x:v>
      </x:c>
      <x:c r="Q16" s="89" t="str">
        <x:v>Sí</x:v>
      </x:c>
      <x:c r="R16" s="89" t="str">
        <x:v>Ergonomía</x:v>
      </x:c>
      <x:c r="S16" s="106" t="n">
        <x:v>46266</x:v>
      </x:c>
      <x:c r="T16" s="89" t="str">
        <x:f>IF(O16&lt;Instructivo!$B$4,"Vencido",IF(O16&lt;=Instructivo!$B$4+30,"Próximo a vencer","Vigente"))</x:f>
        <x:v>Vigente</x:v>
      </x:c>
      <x:c r="U16" s="89" t="str">
        <x:v>Líder SST</x:v>
      </x:c>
      <x:c r="V16" s="90" t="str">
        <x:v>Requiere revisión de puesto de trabajo</x:v>
      </x:c>
    </x:row>
    <x:row r="17">
      <x:c r="A17" s="88" t="n">
        <x:v>2026</x:v>
      </x:c>
      <x:c r="B17" s="89" t="str">
        <x:v>EMO-2026-0016</x:v>
      </x:c>
      <x:c r="C17" s="106" t="n">
        <x:v>46147</x:v>
      </x:c>
      <x:c r="D17" s="89" t="str">
        <x:v>Reintegro</x:v>
      </x:c>
      <x:c r="E17" s="89" t="str">
        <x:v>831348050</x:v>
      </x:c>
      <x:c r="F17" s="89" t="str">
        <x:v>Yulieth Luisa Torres Gómez</x:v>
      </x:c>
      <x:c r="G17" s="89" t="str">
        <x:v>Operador de medios tecnológicos</x:v>
      </x:c>
      <x:c r="H17" s="89" t="str">
        <x:v>Tibú</x:v>
      </x:c>
      <x:c r="I17" s="89" t="str">
        <x:v>Medios Tecnológicos</x:v>
      </x:c>
      <x:c r="J17" s="89" t="str">
        <x:v>Salud Integral Ocupacional</x:v>
      </x:c>
      <x:c r="K17" s="89" t="str">
        <x:v>Apto con restricciones</x:v>
      </x:c>
      <x:c r="L17" s="89" t="str">
        <x:v>Control visual y corrección óptica permanente</x:v>
      </x:c>
      <x:c r="M17" s="89" t="str">
        <x:v>Reubicación o ajuste razonable del puesto</x:v>
      </x:c>
      <x:c r="N17" s="112" t="n">
        <x:v>6</x:v>
      </x:c>
      <x:c r="O17" s="106" t="n">
        <x:f>EDATE(C17,N17)</x:f>
        <x:v>46331</x:v>
      </x:c>
      <x:c r="P17" s="89" t="str">
        <x:v>Z00.0 Examen general</x:v>
      </x:c>
      <x:c r="Q17" s="89" t="str">
        <x:v>Sí</x:v>
      </x:c>
      <x:c r="R17" s="89" t="str">
        <x:v>Cardiometabólico</x:v>
      </x:c>
      <x:c r="S17" s="106" t="n">
        <x:v>46237</x:v>
      </x:c>
      <x:c r="T17" s="89" t="str">
        <x:f>IF(O17&lt;Instructivo!$B$4,"Vencido",IF(O17&lt;=Instructivo!$B$4+30,"Próximo a vencer","Vigente"))</x:f>
        <x:v>Vigente</x:v>
      </x:c>
      <x:c r="U17" s="89" t="str">
        <x:v>Analista SST</x:v>
      </x:c>
      <x:c r="V17" s="90" t="str">
        <x:v>Se recomienda seguimiento por comité SST</x:v>
      </x:c>
    </x:row>
    <x:row r="18">
      <x:c r="A18" s="88" t="n">
        <x:v>2026</x:v>
      </x:c>
      <x:c r="B18" s="89" t="str">
        <x:v>EMO-2026-0017</x:v>
      </x:c>
      <x:c r="C18" s="106" t="n">
        <x:v>46052</x:v>
      </x:c>
      <x:c r="D18" s="89" t="str">
        <x:v>Reintegro</x:v>
      </x:c>
      <x:c r="E18" s="89" t="str">
        <x:v>292255409</x:v>
      </x:c>
      <x:c r="F18" s="89" t="str">
        <x:v>Wilson Carolina Torres Parra</x:v>
      </x:c>
      <x:c r="G18" s="89" t="str">
        <x:v>Escolta</x:v>
      </x:c>
      <x:c r="H18" s="89" t="str">
        <x:v>Arauca</x:v>
      </x:c>
      <x:c r="I18" s="89" t="str">
        <x:v>Escoltas</x:v>
      </x:c>
      <x:c r="J18" s="89" t="str">
        <x:v>Colmédica Ocupacional</x:v>
      </x:c>
      <x:c r="K18" s="89" t="str">
        <x:v>Apto con restricciones</x:v>
      </x:c>
      <x:c r="L18" s="89" t="str">
        <x:v>Control visual y corrección óptica permanente</x:v>
      </x:c>
      <x:c r="M18" s="89" t="str">
        <x:v>Seguimiento por medicina laboral en 3 meses</x:v>
      </x:c>
      <x:c r="N18" s="112" t="n">
        <x:v>6</x:v>
      </x:c>
      <x:c r="O18" s="106" t="n">
        <x:f>EDATE(C18,N18)</x:f>
        <x:v>46233</x:v>
      </x:c>
      <x:c r="P18" s="89" t="str">
        <x:v>Z00.0 Examen general</x:v>
      </x:c>
      <x:c r="Q18" s="89" t="str">
        <x:v>Sí</x:v>
      </x:c>
      <x:c r="R18" s="89" t="str">
        <x:v>Medicina laboral</x:v>
      </x:c>
      <x:c r="S18" s="106" t="n">
        <x:v>46142</x:v>
      </x:c>
      <x:c r="T18" s="89" t="str">
        <x:f>IF(O18&lt;Instructivo!$B$4,"Vencido",IF(O18&lt;=Instructivo!$B$4+30,"Próximo a vencer","Vigente"))</x:f>
        <x:v>Vigente</x:v>
      </x:c>
      <x:c r="U18" s="89" t="str">
        <x:v>Analista SST</x:v>
      </x:c>
      <x:c r="V18" s="90" t="str">
        <x:v>Requiere revisión de puesto de trabajo</x:v>
      </x:c>
    </x:row>
    <x:row r="19">
      <x:c r="A19" s="88" t="n">
        <x:v>2026</x:v>
      </x:c>
      <x:c r="B19" s="89" t="str">
        <x:v>EMO-2026-0018</x:v>
      </x:c>
      <x:c r="C19" s="106" t="n">
        <x:v>46048</x:v>
      </x:c>
      <x:c r="D19" s="89" t="str">
        <x:v>Periódico</x:v>
      </x:c>
      <x:c r="E19" s="89" t="str">
        <x:v>436709938</x:v>
      </x:c>
      <x:c r="F19" s="89" t="str">
        <x:v>Julián Paola Torres Pérez</x:v>
      </x:c>
      <x:c r="G19" s="89" t="str">
        <x:v>Vigilante</x:v>
      </x:c>
      <x:c r="H19" s="89" t="str">
        <x:v>Girón</x:v>
      </x:c>
      <x:c r="I19" s="89" t="str">
        <x:v>Operaciones</x:v>
      </x:c>
      <x:c r="J19" s="89" t="str">
        <x:v>IPS Prevencionar</x:v>
      </x:c>
      <x:c r="K19" s="89" t="str">
        <x:v>Apto</x:v>
      </x:c>
      <x:c r="L19" s="89" t="str"/>
      <x:c r="M19" s="89" t="str">
        <x:v>Mantener estilos de vida saludable</x:v>
      </x:c>
      <x:c r="N19" s="112" t="n">
        <x:v>12</x:v>
      </x:c>
      <x:c r="O19" s="106" t="n">
        <x:f>EDATE(C19,N19)</x:f>
        <x:v>46413</x:v>
      </x:c>
      <x:c r="P19" s="89" t="str">
        <x:v>H52.4 Presbicia</x:v>
      </x:c>
      <x:c r="Q19" s="89" t="str">
        <x:v>No</x:v>
      </x:c>
      <x:c r="R19" s="89" t="str"/>
      <x:c r="S19" s="106"/>
      <x:c r="T19" s="89" t="str">
        <x:f>IF(O19&lt;Instructivo!$B$4,"Vencido",IF(O19&lt;=Instructivo!$B$4+30,"Próximo a vencer","Vigente"))</x:f>
        <x:v>Vigente</x:v>
      </x:c>
      <x:c r="U19" s="89" t="str">
        <x:v>Líder SST</x:v>
      </x:c>
      <x:c r="V19" s="90" t="str">
        <x:v>Requiere revisión de puesto de trabajo</x:v>
      </x:c>
    </x:row>
    <x:row r="20">
      <x:c r="A20" s="88" t="n">
        <x:v>2026</x:v>
      </x:c>
      <x:c r="B20" s="89" t="str">
        <x:v>EMO-2026-0019</x:v>
      </x:c>
      <x:c r="C20" s="106" t="n">
        <x:v>46064</x:v>
      </x:c>
      <x:c r="D20" s="89" t="str">
        <x:v>Periódico</x:v>
      </x:c>
      <x:c r="E20" s="89" t="str">
        <x:v>814335942</x:v>
      </x:c>
      <x:c r="F20" s="89" t="str">
        <x:v>Karen Ana Moreno Ramírez</x:v>
      </x:c>
      <x:c r="G20" s="89" t="str">
        <x:v>Escolta</x:v>
      </x:c>
      <x:c r="H20" s="89" t="str">
        <x:v>Ocaña</x:v>
      </x:c>
      <x:c r="I20" s="89" t="str">
        <x:v>Escoltas</x:v>
      </x:c>
      <x:c r="J20" s="89" t="str">
        <x:v>IPS Ocupasalud SAS</x:v>
      </x:c>
      <x:c r="K20" s="89" t="str">
        <x:v>Apto</x:v>
      </x:c>
      <x:c r="L20" s="89" t="str"/>
      <x:c r="M20" s="89" t="str">
        <x:v>Participar en programas de vigilancia epidemiológica</x:v>
      </x:c>
      <x:c r="N20" s="112" t="n">
        <x:v>12</x:v>
      </x:c>
      <x:c r="O20" s="106" t="n">
        <x:f>EDATE(C20,N20)</x:f>
        <x:v>46429</x:v>
      </x:c>
      <x:c r="P20" s="89" t="str">
        <x:v>G56.0 Síndrome túnel carpiano</x:v>
      </x:c>
      <x:c r="Q20" s="89" t="str">
        <x:v>No</x:v>
      </x:c>
      <x:c r="R20" s="89" t="str"/>
      <x:c r="S20" s="106"/>
      <x:c r="T20" s="89" t="str">
        <x:f>IF(O20&lt;Instructivo!$B$4,"Vencido",IF(O20&lt;=Instructivo!$B$4+30,"Próximo a vencer","Vigente"))</x:f>
        <x:v>Vigente</x:v>
      </x:c>
      <x:c r="U20" s="89" t="str">
        <x:v>Coordinador de Talento Humano</x:v>
      </x:c>
      <x:c r="V20" s="90" t="str">
        <x:v>Pendiente firma de concepto médico</x:v>
      </x:c>
    </x:row>
    <x:row r="21">
      <x:c r="A21" s="88" t="n">
        <x:v>2026</x:v>
      </x:c>
      <x:c r="B21" s="89" t="str">
        <x:v>EMO-2026-0020</x:v>
      </x:c>
      <x:c r="C21" s="106" t="n">
        <x:v>46095</x:v>
      </x:c>
      <x:c r="D21" s="89" t="str">
        <x:v>Periódico</x:v>
      </x:c>
      <x:c r="E21" s="89" t="str">
        <x:v>702221854</x:v>
      </x:c>
      <x:c r="F21" s="89" t="str">
        <x:v>Álvaro Sergio Sánchez Suárez</x:v>
      </x:c>
      <x:c r="G21" s="89" t="str">
        <x:v>Vigilante</x:v>
      </x:c>
      <x:c r="H21" s="89" t="str">
        <x:v>Girón</x:v>
      </x:c>
      <x:c r="I21" s="89" t="str">
        <x:v>Operaciones</x:v>
      </x:c>
      <x:c r="J21" s="89" t="str">
        <x:v>IPS Prevencionar</x:v>
      </x:c>
      <x:c r="K21" s="89" t="str">
        <x:v>Apto</x:v>
      </x:c>
      <x:c r="L21" s="89" t="str"/>
      <x:c r="M21" s="89" t="str">
        <x:v>Mantener estilos de vida saludable</x:v>
      </x:c>
      <x:c r="N21" s="112" t="n">
        <x:v>12</x:v>
      </x:c>
      <x:c r="O21" s="106" t="n">
        <x:f>EDATE(C21,N21)</x:f>
        <x:v>46460</x:v>
      </x:c>
      <x:c r="P21" s="89" t="str">
        <x:v>I10 Hipertensión esencial</x:v>
      </x:c>
      <x:c r="Q21" s="89" t="str">
        <x:v>No</x:v>
      </x:c>
      <x:c r="R21" s="89" t="str"/>
      <x:c r="S21" s="106"/>
      <x:c r="T21" s="89" t="str">
        <x:f>IF(O21&lt;Instructivo!$B$4,"Vencido",IF(O21&lt;=Instructivo!$B$4+30,"Próximo a vencer","Vigente"))</x:f>
        <x:v>Vigente</x:v>
      </x:c>
      <x:c r="U21" s="89" t="str">
        <x:v>Líder SST</x:v>
      </x:c>
      <x:c r="V21" s="90" t="str">
        <x:v>Sin novedades adicionales</x:v>
      </x:c>
    </x:row>
    <x:row r="22">
      <x:c r="A22" s="88" t="n">
        <x:v>2026</x:v>
      </x:c>
      <x:c r="B22" s="89" t="str">
        <x:v>EMO-2026-0021</x:v>
      </x:c>
      <x:c r="C22" s="106" t="n">
        <x:v>46170</x:v>
      </x:c>
      <x:c r="D22" s="89" t="str">
        <x:v>Periódico</x:v>
      </x:c>
      <x:c r="E22" s="89" t="str">
        <x:v>539518424</x:v>
      </x:c>
      <x:c r="F22" s="89" t="str">
        <x:v>Julián Juan Díaz Díaz</x:v>
      </x:c>
      <x:c r="G22" s="89" t="str">
        <x:v>Auxiliar administrativo</x:v>
      </x:c>
      <x:c r="H22" s="89" t="str">
        <x:v>Medellín</x:v>
      </x:c>
      <x:c r="I22" s="89" t="str">
        <x:v>Administrativa</x:v>
      </x:c>
      <x:c r="J22" s="89" t="str">
        <x:v>IPS Prevencionar</x:v>
      </x:c>
      <x:c r="K22" s="89" t="str">
        <x:v>Apto</x:v>
      </x:c>
      <x:c r="L22" s="89" t="str"/>
      <x:c r="M22" s="89" t="str">
        <x:v>Participar en programas de vigilancia epidemiológica</x:v>
      </x:c>
      <x:c r="N22" s="112" t="n">
        <x:v>12</x:v>
      </x:c>
      <x:c r="O22" s="106" t="n">
        <x:f>EDATE(C22,N22)</x:f>
        <x:v>46535</x:v>
      </x:c>
      <x:c r="P22" s="89" t="str">
        <x:v>Z00.0 Examen general</x:v>
      </x:c>
      <x:c r="Q22" s="89" t="str">
        <x:v>No</x:v>
      </x:c>
      <x:c r="R22" s="89" t="str"/>
      <x:c r="S22" s="106"/>
      <x:c r="T22" s="89" t="str">
        <x:f>IF(O22&lt;Instructivo!$B$4,"Vencido",IF(O22&lt;=Instructivo!$B$4+30,"Próximo a vencer","Vigente"))</x:f>
        <x:v>Vigente</x:v>
      </x:c>
      <x:c r="U22" s="89" t="str">
        <x:v>Líder SST</x:v>
      </x:c>
      <x:c r="V22" s="90" t="str">
        <x:v>Registro completo y soportado en historia ocupacional</x:v>
      </x:c>
    </x:row>
    <x:row r="23">
      <x:c r="A23" s="88" t="n">
        <x:v>2026</x:v>
      </x:c>
      <x:c r="B23" s="89" t="str">
        <x:v>EMO-2026-0022</x:v>
      </x:c>
      <x:c r="C23" s="106" t="n">
        <x:v>46166</x:v>
      </x:c>
      <x:c r="D23" s="89" t="str">
        <x:v>Periódico</x:v>
      </x:c>
      <x:c r="E23" s="89" t="str">
        <x:v>192000560</x:v>
      </x:c>
      <x:c r="F23" s="89" t="str">
        <x:v>Miguel Carolina Díaz Díaz</x:v>
      </x:c>
      <x:c r="G23" s="89" t="str">
        <x:v>Auxiliar administrativo</x:v>
      </x:c>
      <x:c r="H23" s="89" t="str">
        <x:v>Ocaña</x:v>
      </x:c>
      <x:c r="I23" s="89" t="str">
        <x:v>Administrativa</x:v>
      </x:c>
      <x:c r="J23" s="89" t="str">
        <x:v>Colmédica Ocupacional</x:v>
      </x:c>
      <x:c r="K23" s="89" t="str">
        <x:v>Apto</x:v>
      </x:c>
      <x:c r="L23" s="89" t="str"/>
      <x:c r="M23" s="89" t="str">
        <x:v>Continuar controles periódicos anuales</x:v>
      </x:c>
      <x:c r="N23" s="112" t="n">
        <x:v>12</x:v>
      </x:c>
      <x:c r="O23" s="106" t="n">
        <x:f>EDATE(C23,N23)</x:f>
        <x:v>46531</x:v>
      </x:c>
      <x:c r="P23" s="89" t="str">
        <x:v>I10 Hipertensión esencial</x:v>
      </x:c>
      <x:c r="Q23" s="89" t="str">
        <x:v>No</x:v>
      </x:c>
      <x:c r="R23" s="89" t="str"/>
      <x:c r="S23" s="106"/>
      <x:c r="T23" s="89" t="str">
        <x:f>IF(O23&lt;Instructivo!$B$4,"Vencido",IF(O23&lt;=Instructivo!$B$4+30,"Próximo a vencer","Vigente"))</x:f>
        <x:v>Vigente</x:v>
      </x:c>
      <x:c r="U23" s="89" t="str">
        <x:v>Médico Ocupacional</x:v>
      </x:c>
      <x:c r="V23" s="90" t="str">
        <x:v>Caso priorizado por restricciones activas</x:v>
      </x:c>
    </x:row>
    <x:row r="24">
      <x:c r="A24" s="88" t="n">
        <x:v>2026</x:v>
      </x:c>
      <x:c r="B24" s="89" t="str">
        <x:v>EMO-2026-0023</x:v>
      </x:c>
      <x:c r="C24" s="106" t="n">
        <x:v>46037</x:v>
      </x:c>
      <x:c r="D24" s="89" t="str">
        <x:v>Periódico</x:v>
      </x:c>
      <x:c r="E24" s="89" t="str">
        <x:v>407818732</x:v>
      </x:c>
      <x:c r="F24" s="89" t="str">
        <x:v>Wilson Laura Ramírez Castro</x:v>
      </x:c>
      <x:c r="G24" s="89" t="str">
        <x:v>Vigilante</x:v>
      </x:c>
      <x:c r="H24" s="89" t="str">
        <x:v>Arauca</x:v>
      </x:c>
      <x:c r="I24" s="89" t="str">
        <x:v>Operaciones</x:v>
      </x:c>
      <x:c r="J24" s="89" t="str">
        <x:v>IPS Prevencionar</x:v>
      </x:c>
      <x:c r="K24" s="89" t="str">
        <x:v>Apto con restricciones</x:v>
      </x:c>
      <x:c r="L24" s="89" t="str">
        <x:v>Control visual y corrección óptica permanente</x:v>
      </x:c>
      <x:c r="M24" s="89" t="str">
        <x:v>Capacitación ergonómica y seguimiento SST</x:v>
      </x:c>
      <x:c r="N24" s="112" t="n">
        <x:v>12</x:v>
      </x:c>
      <x:c r="O24" s="106" t="n">
        <x:f>EDATE(C24,N24)</x:f>
        <x:v>46402</x:v>
      </x:c>
      <x:c r="P24" s="89" t="str">
        <x:v>R51 Cefalea</x:v>
      </x:c>
      <x:c r="Q24" s="89" t="str">
        <x:v>Sí</x:v>
      </x:c>
      <x:c r="R24" s="89" t="str">
        <x:v>Cardiometabólico</x:v>
      </x:c>
      <x:c r="S24" s="106" t="n">
        <x:v>46157</x:v>
      </x:c>
      <x:c r="T24" s="89" t="str">
        <x:f>IF(O24&lt;Instructivo!$B$4,"Vencido",IF(O24&lt;=Instructivo!$B$4+30,"Próximo a vencer","Vigente"))</x:f>
        <x:v>Vigente</x:v>
      </x:c>
      <x:c r="U24" s="89" t="str">
        <x:v>Médico Ocupacional</x:v>
      </x:c>
      <x:c r="V24" s="90" t="str">
        <x:v>Caso priorizado por restricciones activas</x:v>
      </x:c>
    </x:row>
    <x:row r="25">
      <x:c r="A25" s="88" t="n">
        <x:v>2026</x:v>
      </x:c>
      <x:c r="B25" s="89" t="str">
        <x:v>EMO-2026-0024</x:v>
      </x:c>
      <x:c r="C25" s="106" t="n">
        <x:v>46080</x:v>
      </x:c>
      <x:c r="D25" s="89" t="str">
        <x:v>Ingreso</x:v>
      </x:c>
      <x:c r="E25" s="89" t="str">
        <x:v>662642635</x:v>
      </x:c>
      <x:c r="F25" s="89" t="str">
        <x:v>Carlos Ana Pérez Rodríguez</x:v>
      </x:c>
      <x:c r="G25" s="89" t="str">
        <x:v>Conductor</x:v>
      </x:c>
      <x:c r="H25" s="89" t="str">
        <x:v>Ábrego</x:v>
      </x:c>
      <x:c r="I25" s="89" t="str">
        <x:v>Logística</x:v>
      </x:c>
      <x:c r="J25" s="89" t="str">
        <x:v>Salud Integral Ocupacional</x:v>
      </x:c>
      <x:c r="K25" s="89" t="str">
        <x:v>Apto</x:v>
      </x:c>
      <x:c r="L25" s="89" t="str"/>
      <x:c r="M25" s="89" t="str">
        <x:v>Uso permanente de EPP</x:v>
      </x:c>
      <x:c r="N25" s="112" t="n">
        <x:v>12</x:v>
      </x:c>
      <x:c r="O25" s="106" t="n">
        <x:f>EDATE(C25,N25)</x:f>
        <x:v>46445</x:v>
      </x:c>
      <x:c r="P25" s="89" t="str">
        <x:v>R51 Cefalea</x:v>
      </x:c>
      <x:c r="Q25" s="89" t="str">
        <x:v>No</x:v>
      </x:c>
      <x:c r="R25" s="89" t="str"/>
      <x:c r="S25" s="106"/>
      <x:c r="T25" s="89" t="str">
        <x:f>IF(O25&lt;Instructivo!$B$4,"Vencido",IF(O25&lt;=Instructivo!$B$4+30,"Próximo a vencer","Vigente"))</x:f>
        <x:v>Vigente</x:v>
      </x:c>
      <x:c r="U25" s="89" t="str">
        <x:v>Líder SST</x:v>
      </x:c>
      <x:c r="V25" s="90" t="str">
        <x:v>Se recomienda seguimiento por comité SST</x:v>
      </x:c>
    </x:row>
    <x:row r="26">
      <x:c r="A26" s="88" t="n">
        <x:v>2026</x:v>
      </x:c>
      <x:c r="B26" s="89" t="str">
        <x:v>EMO-2026-0025</x:v>
      </x:c>
      <x:c r="C26" s="106" t="n">
        <x:v>46150</x:v>
      </x:c>
      <x:c r="D26" s="89" t="str">
        <x:v>Post-incapacidad</x:v>
      </x:c>
      <x:c r="E26" s="89" t="str">
        <x:v>826279418</x:v>
      </x:c>
      <x:c r="F26" s="89" t="str">
        <x:v>Camilo Ana Castro Suárez</x:v>
      </x:c>
      <x:c r="G26" s="89" t="str">
        <x:v>Vigilante</x:v>
      </x:c>
      <x:c r="H26" s="89" t="str">
        <x:v>Ábrego</x:v>
      </x:c>
      <x:c r="I26" s="89" t="str">
        <x:v>Operaciones</x:v>
      </x:c>
      <x:c r="J26" s="89" t="str">
        <x:v>IPS Ocupasalud SAS</x:v>
      </x:c>
      <x:c r="K26" s="89" t="str">
        <x:v>Apto</x:v>
      </x:c>
      <x:c r="L26" s="89" t="str"/>
      <x:c r="M26" s="89" t="str">
        <x:v>Participar en programas de vigilancia epidemiológica</x:v>
      </x:c>
      <x:c r="N26" s="112" t="n">
        <x:v>6</x:v>
      </x:c>
      <x:c r="O26" s="106" t="n">
        <x:f>EDATE(C26,N26)</x:f>
        <x:v>46334</x:v>
      </x:c>
      <x:c r="P26" s="89" t="str">
        <x:v>M75.1 Lesión de hombro</x:v>
      </x:c>
      <x:c r="Q26" s="89" t="str">
        <x:v>Sí</x:v>
      </x:c>
      <x:c r="R26" s="89" t="str">
        <x:v>Cardiometabólico</x:v>
      </x:c>
      <x:c r="S26" s="106" t="n">
        <x:v>46210</x:v>
      </x:c>
      <x:c r="T26" s="89" t="str">
        <x:f>IF(O26&lt;Instructivo!$B$4,"Vencido",IF(O26&lt;=Instructivo!$B$4+30,"Próximo a vencer","Vigente"))</x:f>
        <x:v>Vigente</x:v>
      </x:c>
      <x:c r="U26" s="89" t="str">
        <x:v>Analista SST</x:v>
      </x:c>
      <x:c r="V26" s="90" t="str">
        <x:v>Pendiente firma de concepto médico</x:v>
      </x:c>
    </x:row>
    <x:row r="27">
      <x:c r="A27" s="88" t="n">
        <x:v>2026</x:v>
      </x:c>
      <x:c r="B27" s="89" t="str">
        <x:v>EMO-2026-0026</x:v>
      </x:c>
      <x:c r="C27" s="106" t="n">
        <x:v>46072</x:v>
      </x:c>
      <x:c r="D27" s="89" t="str">
        <x:v>Post-incapacidad</x:v>
      </x:c>
      <x:c r="E27" s="89" t="str">
        <x:v>539518424</x:v>
      </x:c>
      <x:c r="F27" s="89" t="str">
        <x:v>Julián Juan Díaz Díaz</x:v>
      </x:c>
      <x:c r="G27" s="89" t="str">
        <x:v>Auxiliar administrativo</x:v>
      </x:c>
      <x:c r="H27" s="89" t="str">
        <x:v>Medellín</x:v>
      </x:c>
      <x:c r="I27" s="89" t="str">
        <x:v>Administrativa</x:v>
      </x:c>
      <x:c r="J27" s="89" t="str">
        <x:v>Salud Integral Ocupacional</x:v>
      </x:c>
      <x:c r="K27" s="89" t="str">
        <x:v>Apto</x:v>
      </x:c>
      <x:c r="L27" s="89" t="str"/>
      <x:c r="M27" s="89" t="str">
        <x:v>Continuar controles periódicos anuales</x:v>
      </x:c>
      <x:c r="N27" s="112" t="n">
        <x:v>6</x:v>
      </x:c>
      <x:c r="O27" s="106" t="n">
        <x:f>EDATE(C27,N27)</x:f>
        <x:v>46253</x:v>
      </x:c>
      <x:c r="P27" s="89" t="str">
        <x:v>M54.5 Lumbalgia</x:v>
      </x:c>
      <x:c r="Q27" s="89" t="str">
        <x:v>No</x:v>
      </x:c>
      <x:c r="R27" s="89" t="str"/>
      <x:c r="S27" s="106"/>
      <x:c r="T27" s="89" t="str">
        <x:f>IF(O27&lt;Instructivo!$B$4,"Vencido",IF(O27&lt;=Instructivo!$B$4+30,"Próximo a vencer","Vigente"))</x:f>
        <x:v>Vigente</x:v>
      </x:c>
      <x:c r="U27" s="89" t="str">
        <x:v>Médico Ocupacional</x:v>
      </x:c>
      <x:c r="V27" s="90" t="str">
        <x:v>Registro completo y soportado en historia ocupacional</x:v>
      </x:c>
    </x:row>
    <x:row r="28">
      <x:c r="A28" s="88" t="n">
        <x:v>2026</x:v>
      </x:c>
      <x:c r="B28" s="89" t="str">
        <x:v>EMO-2026-0027</x:v>
      </x:c>
      <x:c r="C28" s="106" t="n">
        <x:v>46153</x:v>
      </x:c>
      <x:c r="D28" s="89" t="str">
        <x:v>Periódico</x:v>
      </x:c>
      <x:c r="E28" s="89" t="str">
        <x:v>539518424</x:v>
      </x:c>
      <x:c r="F28" s="89" t="str">
        <x:v>Julián Juan Díaz Díaz</x:v>
      </x:c>
      <x:c r="G28" s="89" t="str">
        <x:v>Auxiliar administrativo</x:v>
      </x:c>
      <x:c r="H28" s="89" t="str">
        <x:v>Medellín</x:v>
      </x:c>
      <x:c r="I28" s="89" t="str">
        <x:v>Administrativa</x:v>
      </x:c>
      <x:c r="J28" s="89" t="str">
        <x:v>IPS Prevencionar</x:v>
      </x:c>
      <x:c r="K28" s="89" t="str">
        <x:v>Apto</x:v>
      </x:c>
      <x:c r="L28" s="89" t="str"/>
      <x:c r="M28" s="89" t="str">
        <x:v>Participar en programas de vigilancia epidemiológica</x:v>
      </x:c>
      <x:c r="N28" s="112" t="n">
        <x:v>12</x:v>
      </x:c>
      <x:c r="O28" s="106" t="n">
        <x:f>EDATE(C28,N28)</x:f>
        <x:v>46518</x:v>
      </x:c>
      <x:c r="P28" s="89" t="str">
        <x:v>G56.0 Síndrome túnel carpiano</x:v>
      </x:c>
      <x:c r="Q28" s="89" t="str">
        <x:v>Sí</x:v>
      </x:c>
      <x:c r="R28" s="89" t="str">
        <x:v>Fisioterapia</x:v>
      </x:c>
      <x:c r="S28" s="106" t="n">
        <x:v>46213</x:v>
      </x:c>
      <x:c r="T28" s="89" t="str">
        <x:f>IF(O28&lt;Instructivo!$B$4,"Vencido",IF(O28&lt;=Instructivo!$B$4+30,"Próximo a vencer","Vigente"))</x:f>
        <x:v>Vigente</x:v>
      </x:c>
      <x:c r="U28" s="89" t="str">
        <x:v>Analista SST</x:v>
      </x:c>
      <x:c r="V28" s="90" t="str">
        <x:v>Caso priorizado por restricciones activas</x:v>
      </x:c>
    </x:row>
    <x:row r="29">
      <x:c r="A29" s="88" t="n">
        <x:v>2026</x:v>
      </x:c>
      <x:c r="B29" s="89" t="str">
        <x:v>EMO-2026-0028</x:v>
      </x:c>
      <x:c r="C29" s="106" t="n">
        <x:v>46056</x:v>
      </x:c>
      <x:c r="D29" s="89" t="str">
        <x:v>Ingreso</x:v>
      </x:c>
      <x:c r="E29" s="89" t="str">
        <x:v>264442778</x:v>
      </x:c>
      <x:c r="F29" s="89" t="str">
        <x:v>Luis Yulieth Sánchez Sánchez</x:v>
      </x:c>
      <x:c r="G29" s="89" t="str">
        <x:v>Vigilante</x:v>
      </x:c>
      <x:c r="H29" s="89" t="str">
        <x:v>Medellín</x:v>
      </x:c>
      <x:c r="I29" s="89" t="str">
        <x:v>Operaciones</x:v>
      </x:c>
      <x:c r="J29" s="89" t="str">
        <x:v>IPS Prevencionar</x:v>
      </x:c>
      <x:c r="K29" s="89" t="str">
        <x:v>Apto</x:v>
      </x:c>
      <x:c r="L29" s="89" t="str"/>
      <x:c r="M29" s="89" t="str">
        <x:v>Uso permanente de EPP</x:v>
      </x:c>
      <x:c r="N29" s="112" t="n">
        <x:v>12</x:v>
      </x:c>
      <x:c r="O29" s="106" t="n">
        <x:f>EDATE(C29,N29)</x:f>
        <x:v>46421</x:v>
      </x:c>
      <x:c r="P29" s="89" t="str">
        <x:v>I10 Hipertensión esencial</x:v>
      </x:c>
      <x:c r="Q29" s="89" t="str">
        <x:v>No</x:v>
      </x:c>
      <x:c r="R29" s="89" t="str"/>
      <x:c r="S29" s="106"/>
      <x:c r="T29" s="89" t="str">
        <x:f>IF(O29&lt;Instructivo!$B$4,"Vencido",IF(O29&lt;=Instructivo!$B$4+30,"Próximo a vencer","Vigente"))</x:f>
        <x:v>Vigente</x:v>
      </x:c>
      <x:c r="U29" s="89" t="str">
        <x:v>Coordinador de Talento Humano</x:v>
      </x:c>
      <x:c r="V29" s="90" t="str">
        <x:v>Sin novedades adicionales</x:v>
      </x:c>
    </x:row>
    <x:row r="30">
      <x:c r="A30" s="88" t="n">
        <x:v>2026</x:v>
      </x:c>
      <x:c r="B30" s="89" t="str">
        <x:v>EMO-2026-0029</x:v>
      </x:c>
      <x:c r="C30" s="106" t="n">
        <x:v>46099</x:v>
      </x:c>
      <x:c r="D30" s="89" t="str">
        <x:v>Reintegro</x:v>
      </x:c>
      <x:c r="E30" s="89" t="str">
        <x:v>468617381</x:v>
      </x:c>
      <x:c r="F30" s="89" t="str">
        <x:v>Luis Luisa Ramírez Torres</x:v>
      </x:c>
      <x:c r="G30" s="89" t="str">
        <x:v>Vigilante</x:v>
      </x:c>
      <x:c r="H30" s="89" t="str">
        <x:v>Tibú</x:v>
      </x:c>
      <x:c r="I30" s="89" t="str">
        <x:v>Operaciones</x:v>
      </x:c>
      <x:c r="J30" s="89" t="str">
        <x:v>Salud Integral Ocupacional</x:v>
      </x:c>
      <x:c r="K30" s="89" t="str">
        <x:v>Apto</x:v>
      </x:c>
      <x:c r="L30" s="89" t="str"/>
      <x:c r="M30" s="89" t="str">
        <x:v>Mantener estilos de vida saludable</x:v>
      </x:c>
      <x:c r="N30" s="112" t="n">
        <x:v>6</x:v>
      </x:c>
      <x:c r="O30" s="106" t="n">
        <x:f>EDATE(C30,N30)</x:f>
        <x:v>46283</x:v>
      </x:c>
      <x:c r="P30" s="89" t="str">
        <x:v>E66.9 Obesidad</x:v>
      </x:c>
      <x:c r="Q30" s="89" t="str">
        <x:v>No</x:v>
      </x:c>
      <x:c r="R30" s="89" t="str"/>
      <x:c r="S30" s="106"/>
      <x:c r="T30" s="89" t="str">
        <x:f>IF(O30&lt;Instructivo!$B$4,"Vencido",IF(O30&lt;=Instructivo!$B$4+30,"Próximo a vencer","Vigente"))</x:f>
        <x:v>Vigente</x:v>
      </x:c>
      <x:c r="U30" s="89" t="str">
        <x:v>Coordinador de Talento Humano</x:v>
      </x:c>
      <x:c r="V30" s="90" t="str">
        <x:v>Caso priorizado por restricciones activas</x:v>
      </x:c>
    </x:row>
    <x:row r="31">
      <x:c r="A31" s="88" t="n">
        <x:v>2026</x:v>
      </x:c>
      <x:c r="B31" s="89" t="str">
        <x:v>EMO-2026-0030</x:v>
      </x:c>
      <x:c r="C31" s="106" t="n">
        <x:v>46075</x:v>
      </x:c>
      <x:c r="D31" s="89" t="str">
        <x:v>Periódico</x:v>
      </x:c>
      <x:c r="E31" s="89" t="str">
        <x:v>234922880</x:v>
      </x:c>
      <x:c r="F31" s="89" t="str">
        <x:v>Wilson Juan Parra Ramírez</x:v>
      </x:c>
      <x:c r="G31" s="89" t="str">
        <x:v>Conductor</x:v>
      </x:c>
      <x:c r="H31" s="89" t="str">
        <x:v>Arauca</x:v>
      </x:c>
      <x:c r="I31" s="89" t="str">
        <x:v>Logística</x:v>
      </x:c>
      <x:c r="J31" s="89" t="str">
        <x:v>Centro Médico Laboral Andino</x:v>
      </x:c>
      <x:c r="K31" s="89" t="str">
        <x:v>Apto</x:v>
      </x:c>
      <x:c r="L31" s="89" t="str"/>
      <x:c r="M31" s="89" t="str">
        <x:v>Uso permanente de EPP</x:v>
      </x:c>
      <x:c r="N31" s="112" t="n">
        <x:v>12</x:v>
      </x:c>
      <x:c r="O31" s="106" t="n">
        <x:f>EDATE(C31,N31)</x:f>
        <x:v>46440</x:v>
      </x:c>
      <x:c r="P31" s="89" t="str">
        <x:v>H52.4 Presbicia</x:v>
      </x:c>
      <x:c r="Q31" s="89" t="str">
        <x:v>No</x:v>
      </x:c>
      <x:c r="R31" s="89" t="str"/>
      <x:c r="S31" s="106"/>
      <x:c r="T31" s="89" t="str">
        <x:f>IF(O31&lt;Instructivo!$B$4,"Vencido",IF(O31&lt;=Instructivo!$B$4+30,"Próximo a vencer","Vigente"))</x:f>
        <x:v>Vigente</x:v>
      </x:c>
      <x:c r="U31" s="89" t="str">
        <x:v>Coordinador de Talento Humano</x:v>
      </x:c>
      <x:c r="V31" s="90" t="str">
        <x:v>Requiere revisión de puesto de trabajo</x:v>
      </x:c>
    </x:row>
    <x:row r="32">
      <x:c r="A32" s="88" t="n">
        <x:v>2026</x:v>
      </x:c>
      <x:c r="B32" s="89" t="str">
        <x:v>EMO-2026-0031</x:v>
      </x:c>
      <x:c r="C32" s="106" t="n">
        <x:v>46167</x:v>
      </x:c>
      <x:c r="D32" s="89" t="str">
        <x:v>Periódico</x:v>
      </x:c>
      <x:c r="E32" s="89" t="str">
        <x:v>662642635</x:v>
      </x:c>
      <x:c r="F32" s="89" t="str">
        <x:v>Carlos Ana Pérez Rodríguez</x:v>
      </x:c>
      <x:c r="G32" s="89" t="str">
        <x:v>Conductor</x:v>
      </x:c>
      <x:c r="H32" s="89" t="str">
        <x:v>Ábrego</x:v>
      </x:c>
      <x:c r="I32" s="89" t="str">
        <x:v>Logística</x:v>
      </x:c>
      <x:c r="J32" s="89" t="str">
        <x:v>Colmédica Ocupacional</x:v>
      </x:c>
      <x:c r="K32" s="89" t="str">
        <x:v>Apto</x:v>
      </x:c>
      <x:c r="L32" s="89" t="str"/>
      <x:c r="M32" s="89" t="str">
        <x:v>Participar en programas de vigilancia epidemiológica</x:v>
      </x:c>
      <x:c r="N32" s="112" t="n">
        <x:v>12</x:v>
      </x:c>
      <x:c r="O32" s="106" t="n">
        <x:f>EDATE(C32,N32)</x:f>
        <x:v>46532</x:v>
      </x:c>
      <x:c r="P32" s="89" t="str">
        <x:v>M75.1 Lesión de hombro</x:v>
      </x:c>
      <x:c r="Q32" s="89" t="str">
        <x:v>No</x:v>
      </x:c>
      <x:c r="R32" s="89" t="str"/>
      <x:c r="S32" s="106"/>
      <x:c r="T32" s="89" t="str">
        <x:f>IF(O32&lt;Instructivo!$B$4,"Vencido",IF(O32&lt;=Instructivo!$B$4+30,"Próximo a vencer","Vigente"))</x:f>
        <x:v>Vigente</x:v>
      </x:c>
      <x:c r="U32" s="89" t="str">
        <x:v>Líder SST</x:v>
      </x:c>
      <x:c r="V32" s="90" t="str">
        <x:v>Caso priorizado por restricciones activas</x:v>
      </x:c>
    </x:row>
    <x:row r="33">
      <x:c r="A33" s="88" t="n">
        <x:v>2026</x:v>
      </x:c>
      <x:c r="B33" s="89" t="str">
        <x:v>EMO-2026-0032</x:v>
      </x:c>
      <x:c r="C33" s="106" t="n">
        <x:v>46121</x:v>
      </x:c>
      <x:c r="D33" s="89" t="str">
        <x:v>Ingreso</x:v>
      </x:c>
      <x:c r="E33" s="89" t="str">
        <x:v>471368085</x:v>
      </x:c>
      <x:c r="F33" s="89" t="str">
        <x:v>Luisa Brayan Torres Pérez</x:v>
      </x:c>
      <x:c r="G33" s="89" t="str">
        <x:v>Técnico de mantenimiento</x:v>
      </x:c>
      <x:c r="H33" s="89" t="str">
        <x:v>Valledupar</x:v>
      </x:c>
      <x:c r="I33" s="89" t="str">
        <x:v>Infraestructura</x:v>
      </x:c>
      <x:c r="J33" s="89" t="str">
        <x:v>Colmédica Ocupacional</x:v>
      </x:c>
      <x:c r="K33" s="89" t="str">
        <x:v>Apto</x:v>
      </x:c>
      <x:c r="L33" s="89" t="str"/>
      <x:c r="M33" s="89" t="str">
        <x:v>Continuar controles periódicos anuales</x:v>
      </x:c>
      <x:c r="N33" s="112" t="n">
        <x:v>12</x:v>
      </x:c>
      <x:c r="O33" s="106" t="n">
        <x:f>EDATE(C33,N33)</x:f>
        <x:v>46486</x:v>
      </x:c>
      <x:c r="P33" s="89" t="str">
        <x:v>E66.9 Obesidad</x:v>
      </x:c>
      <x:c r="Q33" s="89" t="str">
        <x:v>No</x:v>
      </x:c>
      <x:c r="R33" s="89" t="str"/>
      <x:c r="S33" s="106"/>
      <x:c r="T33" s="89" t="str">
        <x:f>IF(O33&lt;Instructivo!$B$4,"Vencido",IF(O33&lt;=Instructivo!$B$4+30,"Próximo a vencer","Vigente"))</x:f>
        <x:v>Vigente</x:v>
      </x:c>
      <x:c r="U33" s="89" t="str">
        <x:v>Analista SST</x:v>
      </x:c>
      <x:c r="V33" s="90" t="str">
        <x:v>Pendiente firma de concepto médico</x:v>
      </x:c>
    </x:row>
    <x:row r="34">
      <x:c r="A34" s="88" t="n">
        <x:v>2026</x:v>
      </x:c>
      <x:c r="B34" s="89" t="str">
        <x:v>EMO-2026-0033</x:v>
      </x:c>
      <x:c r="C34" s="106" t="n">
        <x:v>46099</x:v>
      </x:c>
      <x:c r="D34" s="89" t="str">
        <x:v>Periódico</x:v>
      </x:c>
      <x:c r="E34" s="89" t="str">
        <x:v>421192619</x:v>
      </x:c>
      <x:c r="F34" s="89" t="str">
        <x:v>Luisa Tatiana Martínez Torres</x:v>
      </x:c>
      <x:c r="G34" s="89" t="str">
        <x:v>Supervisor de puesto</x:v>
      </x:c>
      <x:c r="H34" s="89" t="str">
        <x:v>Tibú</x:v>
      </x:c>
      <x:c r="I34" s="89" t="str">
        <x:v>Operaciones</x:v>
      </x:c>
      <x:c r="J34" s="89" t="str">
        <x:v>IPS Ocupasalud SAS</x:v>
      </x:c>
      <x:c r="K34" s="89" t="str">
        <x:v>Apto</x:v>
      </x:c>
      <x:c r="L34" s="89" t="str"/>
      <x:c r="M34" s="89" t="str">
        <x:v>Continuar controles periódicos anuales</x:v>
      </x:c>
      <x:c r="N34" s="112" t="n">
        <x:v>12</x:v>
      </x:c>
      <x:c r="O34" s="106" t="n">
        <x:f>EDATE(C34,N34)</x:f>
        <x:v>46464</x:v>
      </x:c>
      <x:c r="P34" s="89" t="str">
        <x:v>I10 Hipertensión esencial</x:v>
      </x:c>
      <x:c r="Q34" s="89" t="str">
        <x:v>No</x:v>
      </x:c>
      <x:c r="R34" s="89" t="str"/>
      <x:c r="S34" s="106"/>
      <x:c r="T34" s="89" t="str">
        <x:f>IF(O34&lt;Instructivo!$B$4,"Vencido",IF(O34&lt;=Instructivo!$B$4+30,"Próximo a vencer","Vigente"))</x:f>
        <x:v>Vigente</x:v>
      </x:c>
      <x:c r="U34" s="89" t="str">
        <x:v>Médico Ocupacional</x:v>
      </x:c>
      <x:c r="V34" s="90" t="str">
        <x:v>Sin novedades adicionales</x:v>
      </x:c>
    </x:row>
    <x:row r="35">
      <x:c r="A35" s="88" t="n">
        <x:v>2026</x:v>
      </x:c>
      <x:c r="B35" s="89" t="str">
        <x:v>EMO-2026-0034</x:v>
      </x:c>
      <x:c r="C35" s="106" t="n">
        <x:v>46097</x:v>
      </x:c>
      <x:c r="D35" s="89" t="str">
        <x:v>Periódico</x:v>
      </x:c>
      <x:c r="E35" s="89" t="str">
        <x:v>966207974</x:v>
      </x:c>
      <x:c r="F35" s="89" t="str">
        <x:v>Kevin Carolina Sánchez López</x:v>
      </x:c>
      <x:c r="G35" s="89" t="str">
        <x:v>Operador de medios tecnológicos</x:v>
      </x:c>
      <x:c r="H35" s="89" t="str">
        <x:v>Cúcuta</x:v>
      </x:c>
      <x:c r="I35" s="89" t="str">
        <x:v>Medios Tecnológicos</x:v>
      </x:c>
      <x:c r="J35" s="89" t="str">
        <x:v>IPS Prevencionar</x:v>
      </x:c>
      <x:c r="K35" s="89" t="str">
        <x:v>Apto</x:v>
      </x:c>
      <x:c r="L35" s="89" t="str"/>
      <x:c r="M35" s="89" t="str">
        <x:v>Continuar controles periódicos anuales</x:v>
      </x:c>
      <x:c r="N35" s="112" t="n">
        <x:v>12</x:v>
      </x:c>
      <x:c r="O35" s="106" t="n">
        <x:f>EDATE(C35,N35)</x:f>
        <x:v>46462</x:v>
      </x:c>
      <x:c r="P35" s="89" t="str">
        <x:v>R51 Cefalea</x:v>
      </x:c>
      <x:c r="Q35" s="89" t="str">
        <x:v>No</x:v>
      </x:c>
      <x:c r="R35" s="89" t="str"/>
      <x:c r="S35" s="106"/>
      <x:c r="T35" s="89" t="str">
        <x:f>IF(O35&lt;Instructivo!$B$4,"Vencido",IF(O35&lt;=Instructivo!$B$4+30,"Próximo a vencer","Vigente"))</x:f>
        <x:v>Vigente</x:v>
      </x:c>
      <x:c r="U35" s="89" t="str">
        <x:v>Líder SST</x:v>
      </x:c>
      <x:c r="V35" s="90" t="str">
        <x:v>Sin novedades adicionales</x:v>
      </x:c>
    </x:row>
    <x:row r="36">
      <x:c r="A36" s="88" t="n">
        <x:v>2026</x:v>
      </x:c>
      <x:c r="B36" s="89" t="str">
        <x:v>EMO-2026-0035</x:v>
      </x:c>
      <x:c r="C36" s="106" t="n">
        <x:v>46075</x:v>
      </x:c>
      <x:c r="D36" s="89" t="str">
        <x:v>Periódico</x:v>
      </x:c>
      <x:c r="E36" s="89" t="str">
        <x:v>103678638</x:v>
      </x:c>
      <x:c r="F36" s="89" t="str">
        <x:v>Karen Sergio Parra Torres</x:v>
      </x:c>
      <x:c r="G36" s="89" t="str">
        <x:v>Vigilante</x:v>
      </x:c>
      <x:c r="H36" s="89" t="str">
        <x:v>Cúcuta</x:v>
      </x:c>
      <x:c r="I36" s="89" t="str">
        <x:v>Operaciones</x:v>
      </x:c>
      <x:c r="J36" s="89" t="str">
        <x:v>Colmédica Ocupacional</x:v>
      </x:c>
      <x:c r="K36" s="89" t="str">
        <x:v>Apto</x:v>
      </x:c>
      <x:c r="L36" s="89" t="str"/>
      <x:c r="M36" s="89" t="str">
        <x:v>Participar en programas de vigilancia epidemiológica</x:v>
      </x:c>
      <x:c r="N36" s="112" t="n">
        <x:v>12</x:v>
      </x:c>
      <x:c r="O36" s="106" t="n">
        <x:f>EDATE(C36,N36)</x:f>
        <x:v>46440</x:v>
      </x:c>
      <x:c r="P36" s="89" t="str">
        <x:v>I10 Hipertensión esencial</x:v>
      </x:c>
      <x:c r="Q36" s="89" t="str">
        <x:v>No</x:v>
      </x:c>
      <x:c r="R36" s="89" t="str"/>
      <x:c r="S36" s="106"/>
      <x:c r="T36" s="89" t="str">
        <x:f>IF(O36&lt;Instructivo!$B$4,"Vencido",IF(O36&lt;=Instructivo!$B$4+30,"Próximo a vencer","Vigente"))</x:f>
        <x:v>Vigente</x:v>
      </x:c>
      <x:c r="U36" s="89" t="str">
        <x:v>Analista SST</x:v>
      </x:c>
      <x:c r="V36" s="90" t="str">
        <x:v>Requiere revisión de puesto de trabajo</x:v>
      </x:c>
    </x:row>
    <x:row r="37">
      <x:c r="A37" s="88" t="n">
        <x:v>2026</x:v>
      </x:c>
      <x:c r="B37" s="89" t="str">
        <x:v>EMO-2026-0036</x:v>
      </x:c>
      <x:c r="C37" s="106" t="n">
        <x:v>46043</x:v>
      </x:c>
      <x:c r="D37" s="89" t="str">
        <x:v>Periódico</x:v>
      </x:c>
      <x:c r="E37" s="89" t="str">
        <x:v>458072684</x:v>
      </x:c>
      <x:c r="F37" s="89" t="str">
        <x:v>Julián Luis Castro Pérez</x:v>
      </x:c>
      <x:c r="G37" s="89" t="str">
        <x:v>Auxiliar administrativo</x:v>
      </x:c>
      <x:c r="H37" s="89" t="str">
        <x:v>Bogotá</x:v>
      </x:c>
      <x:c r="I37" s="89" t="str">
        <x:v>Administrativa</x:v>
      </x:c>
      <x:c r="J37" s="89" t="str">
        <x:v>IPS Prevencionar</x:v>
      </x:c>
      <x:c r="K37" s="89" t="str">
        <x:v>Apto</x:v>
      </x:c>
      <x:c r="L37" s="89" t="str"/>
      <x:c r="M37" s="89" t="str">
        <x:v>Mantener estilos de vida saludable</x:v>
      </x:c>
      <x:c r="N37" s="112" t="n">
        <x:v>12</x:v>
      </x:c>
      <x:c r="O37" s="106" t="n">
        <x:f>EDATE(C37,N37)</x:f>
        <x:v>46408</x:v>
      </x:c>
      <x:c r="P37" s="89" t="str">
        <x:v>Z00.0 Examen general</x:v>
      </x:c>
      <x:c r="Q37" s="89" t="str">
        <x:v>No</x:v>
      </x:c>
      <x:c r="R37" s="89" t="str"/>
      <x:c r="S37" s="106"/>
      <x:c r="T37" s="89" t="str">
        <x:f>IF(O37&lt;Instructivo!$B$4,"Vencido",IF(O37&lt;=Instructivo!$B$4+30,"Próximo a vencer","Vigente"))</x:f>
        <x:v>Vigente</x:v>
      </x:c>
      <x:c r="U37" s="89" t="str">
        <x:v>Médico Ocupacional</x:v>
      </x:c>
      <x:c r="V37" s="90" t="str">
        <x:v>Registro completo y soportado en historia ocupacional</x:v>
      </x:c>
    </x:row>
    <x:row r="38">
      <x:c r="A38" s="88" t="n">
        <x:v>2026</x:v>
      </x:c>
      <x:c r="B38" s="89" t="str">
        <x:v>EMO-2026-0037</x:v>
      </x:c>
      <x:c r="C38" s="106" t="n">
        <x:v>46057</x:v>
      </x:c>
      <x:c r="D38" s="89" t="str">
        <x:v>Periódico</x:v>
      </x:c>
      <x:c r="E38" s="89" t="str">
        <x:v>634700025</x:v>
      </x:c>
      <x:c r="F38" s="89" t="str">
        <x:v>Wilson Kevin Torres Moreno</x:v>
      </x:c>
      <x:c r="G38" s="89" t="str">
        <x:v>Conductor</x:v>
      </x:c>
      <x:c r="H38" s="89" t="str">
        <x:v>Girón</x:v>
      </x:c>
      <x:c r="I38" s="89" t="str">
        <x:v>Logística</x:v>
      </x:c>
      <x:c r="J38" s="89" t="str">
        <x:v>IPS Ocupasalud SAS</x:v>
      </x:c>
      <x:c r="K38" s="89" t="str">
        <x:v>Apto</x:v>
      </x:c>
      <x:c r="L38" s="89" t="str"/>
      <x:c r="M38" s="89" t="str">
        <x:v>Uso permanente de EPP</x:v>
      </x:c>
      <x:c r="N38" s="112" t="n">
        <x:v>12</x:v>
      </x:c>
      <x:c r="O38" s="106" t="n">
        <x:f>EDATE(C38,N38)</x:f>
        <x:v>46422</x:v>
      </x:c>
      <x:c r="P38" s="89" t="str">
        <x:v>H52.4 Presbicia</x:v>
      </x:c>
      <x:c r="Q38" s="89" t="str">
        <x:v>Sí</x:v>
      </x:c>
      <x:c r="R38" s="89" t="str">
        <x:v>Psicosocial</x:v>
      </x:c>
      <x:c r="S38" s="106" t="n">
        <x:v>46177</x:v>
      </x:c>
      <x:c r="T38" s="89" t="str">
        <x:f>IF(O38&lt;Instructivo!$B$4,"Vencido",IF(O38&lt;=Instructivo!$B$4+30,"Próximo a vencer","Vigente"))</x:f>
        <x:v>Vigente</x:v>
      </x:c>
      <x:c r="U38" s="89" t="str">
        <x:v>Coordinador de Talento Humano</x:v>
      </x:c>
      <x:c r="V38" s="90" t="str">
        <x:v>Pendiente firma de concepto médico</x:v>
      </x:c>
    </x:row>
    <x:row r="39">
      <x:c r="A39" s="88" t="n">
        <x:v>2026</x:v>
      </x:c>
      <x:c r="B39" s="89" t="str">
        <x:v>EMO-2026-0038</x:v>
      </x:c>
      <x:c r="C39" s="106" t="n">
        <x:v>46101</x:v>
      </x:c>
      <x:c r="D39" s="89" t="str">
        <x:v>Ingreso</x:v>
      </x:c>
      <x:c r="E39" s="89" t="str">
        <x:v>852829622</x:v>
      </x:c>
      <x:c r="F39" s="89" t="str">
        <x:v>Álvaro María Ramírez Gómez</x:v>
      </x:c>
      <x:c r="G39" s="89" t="str">
        <x:v>Vigilante</x:v>
      </x:c>
      <x:c r="H39" s="89" t="str">
        <x:v>Bogotá</x:v>
      </x:c>
      <x:c r="I39" s="89" t="str">
        <x:v>Operaciones</x:v>
      </x:c>
      <x:c r="J39" s="89" t="str">
        <x:v>Centro Médico Laboral Andino</x:v>
      </x:c>
      <x:c r="K39" s="89" t="str">
        <x:v>Apto</x:v>
      </x:c>
      <x:c r="L39" s="89" t="str"/>
      <x:c r="M39" s="89" t="str">
        <x:v>Uso permanente de EPP</x:v>
      </x:c>
      <x:c r="N39" s="112" t="n">
        <x:v>12</x:v>
      </x:c>
      <x:c r="O39" s="106" t="n">
        <x:f>EDATE(C39,N39)</x:f>
        <x:v>46466</x:v>
      </x:c>
      <x:c r="P39" s="89" t="str">
        <x:v>H52.4 Presbicia</x:v>
      </x:c>
      <x:c r="Q39" s="89" t="str">
        <x:v>Sí</x:v>
      </x:c>
      <x:c r="R39" s="89" t="str">
        <x:v>Fisioterapia</x:v>
      </x:c>
      <x:c r="S39" s="106" t="n">
        <x:v>46191</x:v>
      </x:c>
      <x:c r="T39" s="89" t="str">
        <x:f>IF(O39&lt;Instructivo!$B$4,"Vencido",IF(O39&lt;=Instructivo!$B$4+30,"Próximo a vencer","Vigente"))</x:f>
        <x:v>Vigente</x:v>
      </x:c>
      <x:c r="U39" s="89" t="str">
        <x:v>Líder SST</x:v>
      </x:c>
      <x:c r="V39" s="90" t="str">
        <x:v>Caso priorizado por restricciones activas</x:v>
      </x:c>
    </x:row>
    <x:row r="40">
      <x:c r="A40" s="88" t="n">
        <x:v>2026</x:v>
      </x:c>
      <x:c r="B40" s="89" t="str">
        <x:v>EMO-2026-0039</x:v>
      </x:c>
      <x:c r="C40" s="106" t="n">
        <x:v>46163</x:v>
      </x:c>
      <x:c r="D40" s="89" t="str">
        <x:v>Ingreso</x:v>
      </x:c>
      <x:c r="E40" s="89" t="str">
        <x:v>585040453</x:v>
      </x:c>
      <x:c r="F40" s="89" t="str">
        <x:v>Wilson Diana López Ramírez</x:v>
      </x:c>
      <x:c r="G40" s="89" t="str">
        <x:v>Escolta</x:v>
      </x:c>
      <x:c r="H40" s="89" t="str">
        <x:v>Girón</x:v>
      </x:c>
      <x:c r="I40" s="89" t="str">
        <x:v>Escoltas</x:v>
      </x:c>
      <x:c r="J40" s="89" t="str">
        <x:v>Colmédica Ocupacional</x:v>
      </x:c>
      <x:c r="K40" s="89" t="str">
        <x:v>Apto</x:v>
      </x:c>
      <x:c r="L40" s="89" t="str"/>
      <x:c r="M40" s="89" t="str">
        <x:v>Continuar controles periódicos anuales</x:v>
      </x:c>
      <x:c r="N40" s="112" t="n">
        <x:v>12</x:v>
      </x:c>
      <x:c r="O40" s="106" t="n">
        <x:f>EDATE(C40,N40)</x:f>
        <x:v>46528</x:v>
      </x:c>
      <x:c r="P40" s="89" t="str">
        <x:v>R51 Cefalea</x:v>
      </x:c>
      <x:c r="Q40" s="89" t="str">
        <x:v>No</x:v>
      </x:c>
      <x:c r="R40" s="89" t="str"/>
      <x:c r="S40" s="106"/>
      <x:c r="T40" s="89" t="str">
        <x:f>IF(O40&lt;Instructivo!$B$4,"Vencido",IF(O40&lt;=Instructivo!$B$4+30,"Próximo a vencer","Vigente"))</x:f>
        <x:v>Vigente</x:v>
      </x:c>
      <x:c r="U40" s="89" t="str">
        <x:v>Coordinador de Talento Humano</x:v>
      </x:c>
      <x:c r="V40" s="90" t="str">
        <x:v>Pendiente firma de concepto médico</x:v>
      </x:c>
    </x:row>
    <x:row r="41">
      <x:c r="A41" s="88" t="n">
        <x:v>2026</x:v>
      </x:c>
      <x:c r="B41" s="89" t="str">
        <x:v>EMO-2026-0040</x:v>
      </x:c>
      <x:c r="C41" s="106" t="n">
        <x:v>46159</x:v>
      </x:c>
      <x:c r="D41" s="89" t="str">
        <x:v>Periódico</x:v>
      </x:c>
      <x:c r="E41" s="89" t="str">
        <x:v>458072684</x:v>
      </x:c>
      <x:c r="F41" s="89" t="str">
        <x:v>Julián Luis Castro Pérez</x:v>
      </x:c>
      <x:c r="G41" s="89" t="str">
        <x:v>Auxiliar administrativo</x:v>
      </x:c>
      <x:c r="H41" s="89" t="str">
        <x:v>Bogotá</x:v>
      </x:c>
      <x:c r="I41" s="89" t="str">
        <x:v>Administrativa</x:v>
      </x:c>
      <x:c r="J41" s="89" t="str">
        <x:v>Salud Integral Ocupacional</x:v>
      </x:c>
      <x:c r="K41" s="89" t="str">
        <x:v>Apto</x:v>
      </x:c>
      <x:c r="L41" s="89" t="str"/>
      <x:c r="M41" s="89" t="str">
        <x:v>Continuar controles periódicos anuales</x:v>
      </x:c>
      <x:c r="N41" s="112" t="n">
        <x:v>12</x:v>
      </x:c>
      <x:c r="O41" s="106" t="n">
        <x:f>EDATE(C41,N41)</x:f>
        <x:v>46524</x:v>
      </x:c>
      <x:c r="P41" s="89" t="str">
        <x:v>I10 Hipertensión esencial</x:v>
      </x:c>
      <x:c r="Q41" s="89" t="str">
        <x:v>Sí</x:v>
      </x:c>
      <x:c r="R41" s="89" t="str">
        <x:v>Optometría</x:v>
      </x:c>
      <x:c r="S41" s="106" t="n">
        <x:v>46249</x:v>
      </x:c>
      <x:c r="T41" s="89" t="str">
        <x:f>IF(O41&lt;Instructivo!$B$4,"Vencido",IF(O41&lt;=Instructivo!$B$4+30,"Próximo a vencer","Vigente"))</x:f>
        <x:v>Vigente</x:v>
      </x:c>
      <x:c r="U41" s="89" t="str">
        <x:v>Líder SST</x:v>
      </x:c>
      <x:c r="V41" s="90" t="str">
        <x:v>Pendiente firma de concepto médico</x:v>
      </x:c>
    </x:row>
    <x:row r="42">
      <x:c r="A42" s="88" t="n">
        <x:v>2026</x:v>
      </x:c>
      <x:c r="B42" s="89" t="str">
        <x:v>EMO-2026-0041</x:v>
      </x:c>
      <x:c r="C42" s="106" t="n">
        <x:v>46053</x:v>
      </x:c>
      <x:c r="D42" s="89" t="str">
        <x:v>Periódico</x:v>
      </x:c>
      <x:c r="E42" s="89" t="str">
        <x:v>639224219</x:v>
      </x:c>
      <x:c r="F42" s="89" t="str">
        <x:v>Andrés Sergio Rojas Cárdenas</x:v>
      </x:c>
      <x:c r="G42" s="89" t="str">
        <x:v>Vigilante</x:v>
      </x:c>
      <x:c r="H42" s="89" t="str">
        <x:v>Bogotá</x:v>
      </x:c>
      <x:c r="I42" s="89" t="str">
        <x:v>Operaciones</x:v>
      </x:c>
      <x:c r="J42" s="89" t="str">
        <x:v>Salud Integral Ocupacional</x:v>
      </x:c>
      <x:c r="K42" s="89" t="str">
        <x:v>Apto</x:v>
      </x:c>
      <x:c r="L42" s="89" t="str"/>
      <x:c r="M42" s="89" t="str">
        <x:v>Uso permanente de EPP</x:v>
      </x:c>
      <x:c r="N42" s="112" t="n">
        <x:v>12</x:v>
      </x:c>
      <x:c r="O42" s="106" t="n">
        <x:f>EDATE(C42,N42)</x:f>
        <x:v>46418</x:v>
      </x:c>
      <x:c r="P42" s="89" t="str">
        <x:v>G56.0 Síndrome túnel carpiano</x:v>
      </x:c>
      <x:c r="Q42" s="89" t="str">
        <x:v>Sí</x:v>
      </x:c>
      <x:c r="R42" s="89" t="str">
        <x:v>Cardiometabólico</x:v>
      </x:c>
      <x:c r="S42" s="106" t="n">
        <x:v>46143</x:v>
      </x:c>
      <x:c r="T42" s="89" t="str">
        <x:f>IF(O42&lt;Instructivo!$B$4,"Vencido",IF(O42&lt;=Instructivo!$B$4+30,"Próximo a vencer","Vigente"))</x:f>
        <x:v>Vigente</x:v>
      </x:c>
      <x:c r="U42" s="89" t="str">
        <x:v>Médico Ocupacional</x:v>
      </x:c>
      <x:c r="V42" s="90" t="str">
        <x:v>Caso priorizado por restricciones activas</x:v>
      </x:c>
    </x:row>
    <x:row r="43">
      <x:c r="A43" s="91" t="n">
        <x:v>2026</x:v>
      </x:c>
      <x:c r="B43" s="92" t="str">
        <x:v>EMO-2026-0042</x:v>
      </x:c>
      <x:c r="C43" s="107" t="n">
        <x:v>46073</x:v>
      </x:c>
      <x:c r="D43" s="92" t="str">
        <x:v>Periódico</x:v>
      </x:c>
      <x:c r="E43" s="92" t="str">
        <x:v>826279418</x:v>
      </x:c>
      <x:c r="F43" s="92" t="str">
        <x:v>Camilo Ana Castro Suárez</x:v>
      </x:c>
      <x:c r="G43" s="92" t="str">
        <x:v>Vigilante</x:v>
      </x:c>
      <x:c r="H43" s="92" t="str">
        <x:v>Ábrego</x:v>
      </x:c>
      <x:c r="I43" s="92" t="str">
        <x:v>Operaciones</x:v>
      </x:c>
      <x:c r="J43" s="92" t="str">
        <x:v>Salud Integral Ocupacional</x:v>
      </x:c>
      <x:c r="K43" s="92" t="str">
        <x:v>Apto</x:v>
      </x:c>
      <x:c r="L43" s="92" t="str"/>
      <x:c r="M43" s="92" t="str">
        <x:v>Continuar controles periódicos anuales</x:v>
      </x:c>
      <x:c r="N43" s="113" t="n">
        <x:v>12</x:v>
      </x:c>
      <x:c r="O43" s="107" t="n">
        <x:f>EDATE(C43,N43)</x:f>
        <x:v>46438</x:v>
      </x:c>
      <x:c r="P43" s="92" t="str">
        <x:v>Z00.0 Examen general</x:v>
      </x:c>
      <x:c r="Q43" s="92" t="str">
        <x:v>No</x:v>
      </x:c>
      <x:c r="R43" s="92" t="str"/>
      <x:c r="S43" s="107"/>
      <x:c r="T43" s="92" t="str">
        <x:f>IF(O43&lt;Instructivo!$B$4,"Vencido",IF(O43&lt;=Instructivo!$B$4+30,"Próximo a vencer","Vigente"))</x:f>
        <x:v>Vigente</x:v>
      </x:c>
      <x:c r="U43" s="92" t="str">
        <x:v>Líder SST</x:v>
      </x:c>
      <x:c r="V43" s="93" t="str">
        <x:v>Pendiente firma de concepto médico</x:v>
      </x:c>
    </x:row>
  </x:sheetData>
  <x:conditionalFormatting sqref="T2:T43">
    <x:cfRule type="expression" dxfId="15" priority="1">
      <x:formula>T2="Vigente"</x:formula>
    </x:cfRule>
    <x:cfRule type="expression" dxfId="16" priority="2">
      <x:formula>T2="Próximo a vencer"</x:formula>
    </x:cfRule>
    <x:cfRule type="expression" dxfId="17" priority="3">
      <x:formula>T2="Vencido"</x:formula>
    </x:cfRule>
  </x:conditionalFormatting>
  <x:conditionalFormatting sqref="K2:K43">
    <x:cfRule type="expression" dxfId="18" priority="4">
      <x:formula>K2="No apto"</x:formula>
    </x:cfRule>
    <x:cfRule type="expression" dxfId="19" priority="5">
      <x:formula>K2="Apto con restricciones"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48dbe29bb5f42e7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2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30" hidden="0" customWidth="1"/>
    <x:col min="13" max="13" width="30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28" hidden="0" customWidth="1"/>
  </x:cols>
  <x:sheetData>
    <x:row r="1">
      <x:c r="A1" s="76" t="str">
        <x:v>Año</x:v>
      </x:c>
      <x:c r="B1" s="76" t="str">
        <x:v>ID Registro</x:v>
      </x:c>
      <x:c r="C1" s="76" t="str">
        <x:v>Fecha realización</x:v>
      </x:c>
      <x:c r="D1" s="76" t="str">
        <x:v>Tipo de examen</x:v>
      </x:c>
      <x:c r="E1" s="76" t="str">
        <x:v>Identificación</x:v>
      </x:c>
      <x:c r="F1" s="76" t="str">
        <x:v>Nombre completo</x:v>
      </x:c>
      <x:c r="G1" s="76" t="str">
        <x:v>Cargo</x:v>
      </x:c>
      <x:c r="H1" s="76" t="str">
        <x:v>Sede</x:v>
      </x:c>
      <x:c r="I1" s="76" t="str">
        <x:v>Área / Proceso</x:v>
      </x:c>
      <x:c r="J1" s="76" t="str">
        <x:v>Proveedor / IPS</x:v>
      </x:c>
      <x:c r="K1" s="76" t="str">
        <x:v>Resultado</x:v>
      </x:c>
      <x:c r="L1" s="76" t="str">
        <x:v>Restricciones</x:v>
      </x:c>
      <x:c r="M1" s="76" t="str">
        <x:v>Recomendaciones</x:v>
      </x:c>
      <x:c r="N1" s="76" t="str">
        <x:v>Periodicidad (meses)</x:v>
      </x:c>
      <x:c r="O1" s="76" t="str">
        <x:v>Fecha vencimiento próximo examen</x:v>
      </x:c>
      <x:c r="P1" s="76" t="str">
        <x:v>Diagnóstico general</x:v>
      </x:c>
      <x:c r="Q1" s="76" t="str">
        <x:v>¿Requiere seguimiento especial?</x:v>
      </x:c>
      <x:c r="R1" s="76" t="str">
        <x:v>Tipo de seguimiento</x:v>
      </x:c>
      <x:c r="S1" s="76" t="str">
        <x:v>Fecha próximo seguimiento</x:v>
      </x:c>
      <x:c r="T1" s="76" t="str">
        <x:v>Estado</x:v>
      </x:c>
      <x:c r="U1" s="76" t="str">
        <x:v>Responsable de gestión</x:v>
      </x:c>
      <x:c r="V1" s="76" t="str">
        <x:v>Observaciones</x:v>
      </x:c>
    </x:row>
    <x:row r="2">
      <x:c r="A2" s="85" t="n">
        <x:v>2023</x:v>
      </x:c>
      <x:c r="B2" s="86" t="str">
        <x:v>EMO-2023-0001</x:v>
      </x:c>
      <x:c r="C2" s="105" t="n">
        <x:v>45212</x:v>
      </x:c>
      <x:c r="D2" s="86" t="str">
        <x:v>Post-incapacidad</x:v>
      </x:c>
      <x:c r="E2" s="86" t="str">
        <x:v>165235884</x:v>
      </x:c>
      <x:c r="F2" s="86" t="str">
        <x:v>Wilson Andrés Rodríguez Suárez</x:v>
      </x:c>
      <x:c r="G2" s="86" t="str">
        <x:v>Vigilante</x:v>
      </x:c>
      <x:c r="H2" s="86" t="str">
        <x:v>Girón</x:v>
      </x:c>
      <x:c r="I2" s="86" t="str">
        <x:v>Operaciones</x:v>
      </x:c>
      <x:c r="J2" s="86" t="str">
        <x:v>Colmédica Ocupacional</x:v>
      </x:c>
      <x:c r="K2" s="86" t="str">
        <x:v>Apto</x:v>
      </x:c>
      <x:c r="L2" s="86" t="str"/>
      <x:c r="M2" s="86" t="str">
        <x:v>Uso permanente de EPP</x:v>
      </x:c>
      <x:c r="N2" s="111" t="n">
        <x:v>6</x:v>
      </x:c>
      <x:c r="O2" s="105" t="n">
        <x:f>EDATE(C2,N2)</x:f>
        <x:v>45395</x:v>
      </x:c>
      <x:c r="P2" s="86" t="str">
        <x:v>M75.1 Lesión de hombro</x:v>
      </x:c>
      <x:c r="Q2" s="86" t="str">
        <x:v>No</x:v>
      </x:c>
      <x:c r="R2" s="86" t="str"/>
      <x:c r="S2" s="105"/>
      <x:c r="T2" s="86" t="str">
        <x:f>IF(O2&lt;Instructivo!$B$4,"Vencido",IF(O2&lt;=Instructivo!$B$4+30,"Próximo a vencer","Vigente"))</x:f>
        <x:v>Vencido</x:v>
      </x:c>
      <x:c r="U2" s="86" t="str">
        <x:v>Líder SST</x:v>
      </x:c>
      <x:c r="V2" s="87" t="str">
        <x:v>Sin novedades adicionales</x:v>
      </x:c>
    </x:row>
    <x:row r="3">
      <x:c r="A3" s="88" t="n">
        <x:v>2023</x:v>
      </x:c>
      <x:c r="B3" s="89" t="str">
        <x:v>EMO-2023-0002</x:v>
      </x:c>
      <x:c r="C3" s="106" t="n">
        <x:v>45108</x:v>
      </x:c>
      <x:c r="D3" s="89" t="str">
        <x:v>Periódico</x:v>
      </x:c>
      <x:c r="E3" s="89" t="str">
        <x:v>601454696</x:v>
      </x:c>
      <x:c r="F3" s="89" t="str">
        <x:v>Luis Ana Moreno López</x:v>
      </x:c>
      <x:c r="G3" s="89" t="str">
        <x:v>Supervisor motorizado</x:v>
      </x:c>
      <x:c r="H3" s="89" t="str">
        <x:v>Medellín</x:v>
      </x:c>
      <x:c r="I3" s="89" t="str">
        <x:v>Operaciones</x:v>
      </x:c>
      <x:c r="J3" s="89" t="str">
        <x:v>Centro Médico Laboral Andino</x:v>
      </x:c>
      <x:c r="K3" s="89" t="str">
        <x:v>Apto</x:v>
      </x:c>
      <x:c r="L3" s="89" t="str"/>
      <x:c r="M3" s="89" t="str">
        <x:v>Mantener estilos de vida saludable</x:v>
      </x:c>
      <x:c r="N3" s="112" t="n">
        <x:v>12</x:v>
      </x:c>
      <x:c r="O3" s="106" t="n">
        <x:f>EDATE(C3,N3)</x:f>
        <x:v>45474</x:v>
      </x:c>
      <x:c r="P3" s="89" t="str">
        <x:v>M54.5 Lumbalgia</x:v>
      </x:c>
      <x:c r="Q3" s="89" t="str">
        <x:v>No</x:v>
      </x:c>
      <x:c r="R3" s="89" t="str"/>
      <x:c r="S3" s="106"/>
      <x:c r="T3" s="89" t="str">
        <x:f>IF(O3&lt;Instructivo!$B$4,"Vencido",IF(O3&lt;=Instructivo!$B$4+30,"Próximo a vencer","Vigente"))</x:f>
        <x:v>Vencido</x:v>
      </x:c>
      <x:c r="U3" s="89" t="str">
        <x:v>Coordinador de Talento Humano</x:v>
      </x:c>
      <x:c r="V3" s="90" t="str">
        <x:v>Sin novedades adicionales</x:v>
      </x:c>
    </x:row>
    <x:row r="4">
      <x:c r="A4" s="88" t="n">
        <x:v>2023</x:v>
      </x:c>
      <x:c r="B4" s="89" t="str">
        <x:v>EMO-2023-0003</x:v>
      </x:c>
      <x:c r="C4" s="106" t="n">
        <x:v>45070</x:v>
      </x:c>
      <x:c r="D4" s="89" t="str">
        <x:v>Periódico</x:v>
      </x:c>
      <x:c r="E4" s="89" t="str">
        <x:v>696069909</x:v>
      </x:c>
      <x:c r="F4" s="89" t="str">
        <x:v>Ana Sergio Martínez López</x:v>
      </x:c>
      <x:c r="G4" s="89" t="str">
        <x:v>Escolta</x:v>
      </x:c>
      <x:c r="H4" s="89" t="str">
        <x:v>Cúcuta</x:v>
      </x:c>
      <x:c r="I4" s="89" t="str">
        <x:v>Escoltas</x:v>
      </x:c>
      <x:c r="J4" s="89" t="str">
        <x:v>Salud Integral Ocupacional</x:v>
      </x:c>
      <x:c r="K4" s="89" t="str">
        <x:v>Apto</x:v>
      </x:c>
      <x:c r="L4" s="89" t="str"/>
      <x:c r="M4" s="89" t="str">
        <x:v>Participar en programas de vigilancia epidemiológica</x:v>
      </x:c>
      <x:c r="N4" s="112" t="n">
        <x:v>12</x:v>
      </x:c>
      <x:c r="O4" s="106" t="n">
        <x:f>EDATE(C4,N4)</x:f>
        <x:v>45436</x:v>
      </x:c>
      <x:c r="P4" s="89" t="str">
        <x:v>Z00.0 Examen general</x:v>
      </x:c>
      <x:c r="Q4" s="89" t="str">
        <x:v>No</x:v>
      </x:c>
      <x:c r="R4" s="89" t="str"/>
      <x:c r="S4" s="106"/>
      <x:c r="T4" s="89" t="str">
        <x:f>IF(O4&lt;Instructivo!$B$4,"Vencido",IF(O4&lt;=Instructivo!$B$4+30,"Próximo a vencer","Vigente"))</x:f>
        <x:v>Vencido</x:v>
      </x:c>
      <x:c r="U4" s="89" t="str">
        <x:v>Coordinador de Talento Humano</x:v>
      </x:c>
      <x:c r="V4" s="90" t="str">
        <x:v>Caso priorizado por restricciones activas</x:v>
      </x:c>
    </x:row>
    <x:row r="5">
      <x:c r="A5" s="88" t="n">
        <x:v>2023</x:v>
      </x:c>
      <x:c r="B5" s="89" t="str">
        <x:v>EMO-2023-0004</x:v>
      </x:c>
      <x:c r="C5" s="106" t="n">
        <x:v>45086</x:v>
      </x:c>
      <x:c r="D5" s="89" t="str">
        <x:v>Ingreso</x:v>
      </x:c>
      <x:c r="E5" s="89" t="str">
        <x:v>204905582</x:v>
      </x:c>
      <x:c r="F5" s="89" t="str">
        <x:v>Andrés Brayan Torres Cárdenas</x:v>
      </x:c>
      <x:c r="G5" s="89" t="str">
        <x:v>Operador de medios tecnológicos</x:v>
      </x:c>
      <x:c r="H5" s="89" t="str">
        <x:v>Arauca</x:v>
      </x:c>
      <x:c r="I5" s="89" t="str">
        <x:v>Medios Tecnológicos</x:v>
      </x:c>
      <x:c r="J5" s="89" t="str">
        <x:v>IPS Prevencionar</x:v>
      </x:c>
      <x:c r="K5" s="89" t="str">
        <x:v>Apto con restricciones</x:v>
      </x:c>
      <x:c r="L5" s="89" t="str">
        <x:v>Restricción para trabajo prolongado de pie</x:v>
      </x:c>
      <x:c r="M5" s="89" t="str">
        <x:v>Seguimiento por medicina laboral en 3 meses</x:v>
      </x:c>
      <x:c r="N5" s="112" t="n">
        <x:v>12</x:v>
      </x:c>
      <x:c r="O5" s="106" t="n">
        <x:f>EDATE(C5,N5)</x:f>
        <x:v>45452</x:v>
      </x:c>
      <x:c r="P5" s="89" t="str">
        <x:v>M54.5 Lumbalgia</x:v>
      </x:c>
      <x:c r="Q5" s="89" t="str">
        <x:v>Sí</x:v>
      </x:c>
      <x:c r="R5" s="89" t="str">
        <x:v>Ergonomía</x:v>
      </x:c>
      <x:c r="S5" s="106" t="n">
        <x:v>45146</x:v>
      </x:c>
      <x:c r="T5" s="89" t="str">
        <x:f>IF(O5&lt;Instructivo!$B$4,"Vencido",IF(O5&lt;=Instructivo!$B$4+30,"Próximo a vencer","Vigente"))</x:f>
        <x:v>Vencido</x:v>
      </x:c>
      <x:c r="U5" s="89" t="str">
        <x:v>Analista SST</x:v>
      </x:c>
      <x:c r="V5" s="90" t="str">
        <x:v>Caso priorizado por restricciones activas</x:v>
      </x:c>
    </x:row>
    <x:row r="6">
      <x:c r="A6" s="88" t="n">
        <x:v>2023</x:v>
      </x:c>
      <x:c r="B6" s="89" t="str">
        <x:v>EMO-2023-0005</x:v>
      </x:c>
      <x:c r="C6" s="106" t="n">
        <x:v>45199</x:v>
      </x:c>
      <x:c r="D6" s="89" t="str">
        <x:v>Ingreso</x:v>
      </x:c>
      <x:c r="E6" s="89" t="str">
        <x:v>204905582</x:v>
      </x:c>
      <x:c r="F6" s="89" t="str">
        <x:v>Andrés Brayan Torres Cárdenas</x:v>
      </x:c>
      <x:c r="G6" s="89" t="str">
        <x:v>Operador de medios tecnológicos</x:v>
      </x:c>
      <x:c r="H6" s="89" t="str">
        <x:v>Arauca</x:v>
      </x:c>
      <x:c r="I6" s="89" t="str">
        <x:v>Medios Tecnológicos</x:v>
      </x:c>
      <x:c r="J6" s="89" t="str">
        <x:v>Colmédica Ocupacional</x:v>
      </x:c>
      <x:c r="K6" s="89" t="str">
        <x:v>Apto</x:v>
      </x:c>
      <x:c r="L6" s="89" t="str"/>
      <x:c r="M6" s="89" t="str">
        <x:v>Participar en programas de vigilancia epidemiológica</x:v>
      </x:c>
      <x:c r="N6" s="112" t="n">
        <x:v>12</x:v>
      </x:c>
      <x:c r="O6" s="106" t="n">
        <x:f>EDATE(C6,N6)</x:f>
        <x:v>45565</x:v>
      </x:c>
      <x:c r="P6" s="89" t="str">
        <x:v>E66.9 Obesidad</x:v>
      </x:c>
      <x:c r="Q6" s="89" t="str">
        <x:v>No</x:v>
      </x:c>
      <x:c r="R6" s="89" t="str"/>
      <x:c r="S6" s="106"/>
      <x:c r="T6" s="89" t="str">
        <x:f>IF(O6&lt;Instructivo!$B$4,"Vencido",IF(O6&lt;=Instructivo!$B$4+30,"Próximo a vencer","Vigente"))</x:f>
        <x:v>Vencido</x:v>
      </x:c>
      <x:c r="U6" s="89" t="str">
        <x:v>Coordinador de Talento Humano</x:v>
      </x:c>
      <x:c r="V6" s="90" t="str">
        <x:v>Pendiente firma de concepto médico</x:v>
      </x:c>
    </x:row>
    <x:row r="7">
      <x:c r="A7" s="88" t="n">
        <x:v>2023</x:v>
      </x:c>
      <x:c r="B7" s="89" t="str">
        <x:v>EMO-2023-0006</x:v>
      </x:c>
      <x:c r="C7" s="106" t="n">
        <x:v>44954</x:v>
      </x:c>
      <x:c r="D7" s="89" t="str">
        <x:v>Periódico</x:v>
      </x:c>
      <x:c r="E7" s="89" t="str">
        <x:v>887847048</x:v>
      </x:c>
      <x:c r="F7" s="89" t="str">
        <x:v>Julián Carlos Rojas Sánchez</x:v>
      </x:c>
      <x:c r="G7" s="89" t="str">
        <x:v>Auxiliar administrativo</x:v>
      </x:c>
      <x:c r="H7" s="89" t="str">
        <x:v>Ocaña</x:v>
      </x:c>
      <x:c r="I7" s="89" t="str">
        <x:v>Administrativa</x:v>
      </x:c>
      <x:c r="J7" s="89" t="str">
        <x:v>IPS Prevencionar</x:v>
      </x:c>
      <x:c r="K7" s="89" t="str">
        <x:v>Apto</x:v>
      </x:c>
      <x:c r="L7" s="89" t="str"/>
      <x:c r="M7" s="89" t="str">
        <x:v>Continuar controles periódicos anuales</x:v>
      </x:c>
      <x:c r="N7" s="112" t="n">
        <x:v>12</x:v>
      </x:c>
      <x:c r="O7" s="106" t="n">
        <x:f>EDATE(C7,N7)</x:f>
        <x:v>45319</x:v>
      </x:c>
      <x:c r="P7" s="89" t="str">
        <x:v>M75.1 Lesión de hombro</x:v>
      </x:c>
      <x:c r="Q7" s="89" t="str">
        <x:v>No</x:v>
      </x:c>
      <x:c r="R7" s="89" t="str"/>
      <x:c r="S7" s="106"/>
      <x:c r="T7" s="89" t="str">
        <x:f>IF(O7&lt;Instructivo!$B$4,"Vencido",IF(O7&lt;=Instructivo!$B$4+30,"Próximo a vencer","Vigente"))</x:f>
        <x:v>Vencido</x:v>
      </x:c>
      <x:c r="U7" s="89" t="str">
        <x:v>Médico Ocupacional</x:v>
      </x:c>
      <x:c r="V7" s="90" t="str">
        <x:v>Se recomienda seguimiento por comité SST</x:v>
      </x:c>
    </x:row>
    <x:row r="8">
      <x:c r="A8" s="88" t="n">
        <x:v>2023</x:v>
      </x:c>
      <x:c r="B8" s="89" t="str">
        <x:v>EMO-2023-0007</x:v>
      </x:c>
      <x:c r="C8" s="106" t="n">
        <x:v>45067</x:v>
      </x:c>
      <x:c r="D8" s="89" t="str">
        <x:v>Periódico</x:v>
      </x:c>
      <x:c r="E8" s="89" t="str">
        <x:v>282101965</x:v>
      </x:c>
      <x:c r="F8" s="89" t="str">
        <x:v>Jhon Julián Parra Suárez</x:v>
      </x:c>
      <x:c r="G8" s="89" t="str">
        <x:v>Vigilante</x:v>
      </x:c>
      <x:c r="H8" s="89" t="str">
        <x:v>Pamplona</x:v>
      </x:c>
      <x:c r="I8" s="89" t="str">
        <x:v>Operaciones</x:v>
      </x:c>
      <x:c r="J8" s="89" t="str">
        <x:v>Colmédica Ocupacional</x:v>
      </x:c>
      <x:c r="K8" s="89" t="str">
        <x:v>Apto</x:v>
      </x:c>
      <x:c r="L8" s="89" t="str"/>
      <x:c r="M8" s="89" t="str">
        <x:v>Continuar controles periódicos anuales</x:v>
      </x:c>
      <x:c r="N8" s="112" t="n">
        <x:v>12</x:v>
      </x:c>
      <x:c r="O8" s="106" t="n">
        <x:f>EDATE(C8,N8)</x:f>
        <x:v>45433</x:v>
      </x:c>
      <x:c r="P8" s="89" t="str">
        <x:v>G56.0 Síndrome túnel carpiano</x:v>
      </x:c>
      <x:c r="Q8" s="89" t="str">
        <x:v>No</x:v>
      </x:c>
      <x:c r="R8" s="89" t="str"/>
      <x:c r="S8" s="106"/>
      <x:c r="T8" s="89" t="str">
        <x:f>IF(O8&lt;Instructivo!$B$4,"Vencido",IF(O8&lt;=Instructivo!$B$4+30,"Próximo a vencer","Vigente"))</x:f>
        <x:v>Vencido</x:v>
      </x:c>
      <x:c r="U8" s="89" t="str">
        <x:v>Coordinador de Talento Humano</x:v>
      </x:c>
      <x:c r="V8" s="90" t="str">
        <x:v>Registro completo y soportado en historia ocupacional</x:v>
      </x:c>
    </x:row>
    <x:row r="9">
      <x:c r="A9" s="88" t="n">
        <x:v>2023</x:v>
      </x:c>
      <x:c r="B9" s="89" t="str">
        <x:v>EMO-2023-0008</x:v>
      </x:c>
      <x:c r="C9" s="106" t="n">
        <x:v>45234</x:v>
      </x:c>
      <x:c r="D9" s="89" t="str">
        <x:v>Ingreso</x:v>
      </x:c>
      <x:c r="E9" s="89" t="str">
        <x:v>826279418</x:v>
      </x:c>
      <x:c r="F9" s="89" t="str">
        <x:v>Camilo Ana Castro Suárez</x:v>
      </x:c>
      <x:c r="G9" s="89" t="str">
        <x:v>Vigilante</x:v>
      </x:c>
      <x:c r="H9" s="89" t="str">
        <x:v>Ábrego</x:v>
      </x:c>
      <x:c r="I9" s="89" t="str">
        <x:v>Operaciones</x:v>
      </x:c>
      <x:c r="J9" s="89" t="str">
        <x:v>Centro Médico Laboral Andino</x:v>
      </x:c>
      <x:c r="K9" s="89" t="str">
        <x:v>Apto</x:v>
      </x:c>
      <x:c r="L9" s="89" t="str"/>
      <x:c r="M9" s="89" t="str">
        <x:v>Mantener estilos de vida saludable</x:v>
      </x:c>
      <x:c r="N9" s="112" t="n">
        <x:v>12</x:v>
      </x:c>
      <x:c r="O9" s="106" t="n">
        <x:f>EDATE(C9,N9)</x:f>
        <x:v>45600</x:v>
      </x:c>
      <x:c r="P9" s="89" t="str">
        <x:v>E66.9 Obesidad</x:v>
      </x:c>
      <x:c r="Q9" s="89" t="str">
        <x:v>No</x:v>
      </x:c>
      <x:c r="R9" s="89" t="str"/>
      <x:c r="S9" s="106"/>
      <x:c r="T9" s="89" t="str">
        <x:f>IF(O9&lt;Instructivo!$B$4,"Vencido",IF(O9&lt;=Instructivo!$B$4+30,"Próximo a vencer","Vigente"))</x:f>
        <x:v>Vencido</x:v>
      </x:c>
      <x:c r="U9" s="89" t="str">
        <x:v>Coordinador de Talento Humano</x:v>
      </x:c>
      <x:c r="V9" s="90" t="str">
        <x:v>Pendiente firma de concepto médico</x:v>
      </x:c>
    </x:row>
    <x:row r="10">
      <x:c r="A10" s="88" t="n">
        <x:v>2023</x:v>
      </x:c>
      <x:c r="B10" s="89" t="str">
        <x:v>EMO-2023-0009</x:v>
      </x:c>
      <x:c r="C10" s="106" t="n">
        <x:v>45182</x:v>
      </x:c>
      <x:c r="D10" s="89" t="str">
        <x:v>Ingreso</x:v>
      </x:c>
      <x:c r="E10" s="89" t="str">
        <x:v>765531230</x:v>
      </x:c>
      <x:c r="F10" s="89" t="str">
        <x:v>Paola Carolina Castro Cárdenas</x:v>
      </x:c>
      <x:c r="G10" s="89" t="str">
        <x:v>Vigilante</x:v>
      </x:c>
      <x:c r="H10" s="89" t="str">
        <x:v>Ocaña</x:v>
      </x:c>
      <x:c r="I10" s="89" t="str">
        <x:v>Operaciones</x:v>
      </x:c>
      <x:c r="J10" s="89" t="str">
        <x:v>Centro Médico Laboral Andino</x:v>
      </x:c>
      <x:c r="K10" s="89" t="str">
        <x:v>Apto con restricciones</x:v>
      </x:c>
      <x:c r="L10" s="89" t="str">
        <x:v>Pausas activas cada 2 horas</x:v>
      </x:c>
      <x:c r="M10" s="89" t="str">
        <x:v>Reubicación o ajuste razonable del puesto</x:v>
      </x:c>
      <x:c r="N10" s="112" t="n">
        <x:v>12</x:v>
      </x:c>
      <x:c r="O10" s="106" t="n">
        <x:f>EDATE(C10,N10)</x:f>
        <x:v>45548</x:v>
      </x:c>
      <x:c r="P10" s="89" t="str">
        <x:v>R51 Cefalea</x:v>
      </x:c>
      <x:c r="Q10" s="89" t="str">
        <x:v>Sí</x:v>
      </x:c>
      <x:c r="R10" s="89" t="str">
        <x:v>Psicosocial</x:v>
      </x:c>
      <x:c r="S10" s="106" t="n">
        <x:v>45302</x:v>
      </x:c>
      <x:c r="T10" s="89" t="str">
        <x:f>IF(O10&lt;Instructivo!$B$4,"Vencido",IF(O10&lt;=Instructivo!$B$4+30,"Próximo a vencer","Vigente"))</x:f>
        <x:v>Vencido</x:v>
      </x:c>
      <x:c r="U10" s="89" t="str">
        <x:v>Líder SST</x:v>
      </x:c>
      <x:c r="V10" s="90" t="str">
        <x:v>Requiere revisión de puesto de trabajo</x:v>
      </x:c>
    </x:row>
    <x:row r="11">
      <x:c r="A11" s="88" t="n">
        <x:v>2023</x:v>
      </x:c>
      <x:c r="B11" s="89" t="str">
        <x:v>EMO-2023-0010</x:v>
      </x:c>
      <x:c r="C11" s="106" t="n">
        <x:v>44949</x:v>
      </x:c>
      <x:c r="D11" s="89" t="str">
        <x:v>Post-incapacidad</x:v>
      </x:c>
      <x:c r="E11" s="89" t="str">
        <x:v>468617381</x:v>
      </x:c>
      <x:c r="F11" s="89" t="str">
        <x:v>Luis Luisa Ramírez Torres</x:v>
      </x:c>
      <x:c r="G11" s="89" t="str">
        <x:v>Vigilante</x:v>
      </x:c>
      <x:c r="H11" s="89" t="str">
        <x:v>Tibú</x:v>
      </x:c>
      <x:c r="I11" s="89" t="str">
        <x:v>Operaciones</x:v>
      </x:c>
      <x:c r="J11" s="89" t="str">
        <x:v>Salud Integral Ocupacional</x:v>
      </x:c>
      <x:c r="K11" s="89" t="str">
        <x:v>Apto</x:v>
      </x:c>
      <x:c r="L11" s="89" t="str"/>
      <x:c r="M11" s="89" t="str">
        <x:v>Participar en programas de vigilancia epidemiológica</x:v>
      </x:c>
      <x:c r="N11" s="112" t="n">
        <x:v>6</x:v>
      </x:c>
      <x:c r="O11" s="106" t="n">
        <x:f>EDATE(C11,N11)</x:f>
        <x:v>45130</x:v>
      </x:c>
      <x:c r="P11" s="89" t="str">
        <x:v>M75.1 Lesión de hombro</x:v>
      </x:c>
      <x:c r="Q11" s="89" t="str">
        <x:v>No</x:v>
      </x:c>
      <x:c r="R11" s="89" t="str"/>
      <x:c r="S11" s="106"/>
      <x:c r="T11" s="89" t="str">
        <x:f>IF(O11&lt;Instructivo!$B$4,"Vencido",IF(O11&lt;=Instructivo!$B$4+30,"Próximo a vencer","Vigente"))</x:f>
        <x:v>Vencido</x:v>
      </x:c>
      <x:c r="U11" s="89" t="str">
        <x:v>Médico Ocupacional</x:v>
      </x:c>
      <x:c r="V11" s="90" t="str">
        <x:v>Se recomienda seguimiento por comité SST</x:v>
      </x:c>
    </x:row>
    <x:row r="12">
      <x:c r="A12" s="88" t="n">
        <x:v>2023</x:v>
      </x:c>
      <x:c r="B12" s="89" t="str">
        <x:v>EMO-2023-0011</x:v>
      </x:c>
      <x:c r="C12" s="106" t="n">
        <x:v>45135</x:v>
      </x:c>
      <x:c r="D12" s="89" t="str">
        <x:v>Periódico</x:v>
      </x:c>
      <x:c r="E12" s="89" t="str">
        <x:v>831348050</x:v>
      </x:c>
      <x:c r="F12" s="89" t="str">
        <x:v>Yulieth Luisa Torres Gómez</x:v>
      </x:c>
      <x:c r="G12" s="89" t="str">
        <x:v>Operador de medios tecnológicos</x:v>
      </x:c>
      <x:c r="H12" s="89" t="str">
        <x:v>Tibú</x:v>
      </x:c>
      <x:c r="I12" s="89" t="str">
        <x:v>Medios Tecnológicos</x:v>
      </x:c>
      <x:c r="J12" s="89" t="str">
        <x:v>IPS Prevencionar</x:v>
      </x:c>
      <x:c r="K12" s="89" t="str">
        <x:v>Apto</x:v>
      </x:c>
      <x:c r="L12" s="89" t="str"/>
      <x:c r="M12" s="89" t="str">
        <x:v>Uso permanente de EPP</x:v>
      </x:c>
      <x:c r="N12" s="112" t="n">
        <x:v>12</x:v>
      </x:c>
      <x:c r="O12" s="106" t="n">
        <x:f>EDATE(C12,N12)</x:f>
        <x:v>45501</x:v>
      </x:c>
      <x:c r="P12" s="89" t="str">
        <x:v>R51 Cefalea</x:v>
      </x:c>
      <x:c r="Q12" s="89" t="str">
        <x:v>No</x:v>
      </x:c>
      <x:c r="R12" s="89" t="str"/>
      <x:c r="S12" s="106"/>
      <x:c r="T12" s="89" t="str">
        <x:f>IF(O12&lt;Instructivo!$B$4,"Vencido",IF(O12&lt;=Instructivo!$B$4+30,"Próximo a vencer","Vigente"))</x:f>
        <x:v>Vencido</x:v>
      </x:c>
      <x:c r="U12" s="89" t="str">
        <x:v>Líder SST</x:v>
      </x:c>
      <x:c r="V12" s="90" t="str">
        <x:v>Caso priorizado por restricciones activas</x:v>
      </x:c>
    </x:row>
    <x:row r="13">
      <x:c r="A13" s="88" t="n">
        <x:v>2023</x:v>
      </x:c>
      <x:c r="B13" s="89" t="str">
        <x:v>EMO-2023-0012</x:v>
      </x:c>
      <x:c r="C13" s="106" t="n">
        <x:v>45052</x:v>
      </x:c>
      <x:c r="D13" s="89" t="str">
        <x:v>Post-incapacidad</x:v>
      </x:c>
      <x:c r="E13" s="89" t="str">
        <x:v>899363326</x:v>
      </x:c>
      <x:c r="F13" s="89" t="str">
        <x:v>Ana Álvaro Gómez Sánchez</x:v>
      </x:c>
      <x:c r="G13" s="89" t="str">
        <x:v>Supervisor de puesto</x:v>
      </x:c>
      <x:c r="H13" s="89" t="str">
        <x:v>Barrancabermeja</x:v>
      </x:c>
      <x:c r="I13" s="89" t="str">
        <x:v>Operaciones</x:v>
      </x:c>
      <x:c r="J13" s="89" t="str">
        <x:v>Colmédica Ocupacional</x:v>
      </x:c>
      <x:c r="K13" s="89" t="str">
        <x:v>Apto</x:v>
      </x:c>
      <x:c r="L13" s="89" t="str"/>
      <x:c r="M13" s="89" t="str">
        <x:v>Participar en programas de vigilancia epidemiológica</x:v>
      </x:c>
      <x:c r="N13" s="112" t="n">
        <x:v>6</x:v>
      </x:c>
      <x:c r="O13" s="106" t="n">
        <x:f>EDATE(C13,N13)</x:f>
        <x:v>45236</x:v>
      </x:c>
      <x:c r="P13" s="89" t="str">
        <x:v>R51 Cefalea</x:v>
      </x:c>
      <x:c r="Q13" s="89" t="str">
        <x:v>No</x:v>
      </x:c>
      <x:c r="R13" s="89" t="str"/>
      <x:c r="S13" s="106"/>
      <x:c r="T13" s="89" t="str">
        <x:f>IF(O13&lt;Instructivo!$B$4,"Vencido",IF(O13&lt;=Instructivo!$B$4+30,"Próximo a vencer","Vigente"))</x:f>
        <x:v>Vencido</x:v>
      </x:c>
      <x:c r="U13" s="89" t="str">
        <x:v>Analista SST</x:v>
      </x:c>
      <x:c r="V13" s="90" t="str">
        <x:v>Sin novedades adicionales</x:v>
      </x:c>
    </x:row>
    <x:row r="14">
      <x:c r="A14" s="88" t="n">
        <x:v>2023</x:v>
      </x:c>
      <x:c r="B14" s="89" t="str">
        <x:v>EMO-2023-0013</x:v>
      </x:c>
      <x:c r="C14" s="106" t="n">
        <x:v>44967</x:v>
      </x:c>
      <x:c r="D14" s="89" t="str">
        <x:v>Periódico</x:v>
      </x:c>
      <x:c r="E14" s="89" t="str">
        <x:v>887358385</x:v>
      </x:c>
      <x:c r="F14" s="89" t="str">
        <x:v>Felipe Juan Castro Parra</x:v>
      </x:c>
      <x:c r="G14" s="89" t="str">
        <x:v>Supervisor de puesto</x:v>
      </x:c>
      <x:c r="H14" s="89" t="str">
        <x:v>Cúcuta</x:v>
      </x:c>
      <x:c r="I14" s="89" t="str">
        <x:v>Operaciones</x:v>
      </x:c>
      <x:c r="J14" s="89" t="str">
        <x:v>Colmédica Ocupacional</x:v>
      </x:c>
      <x:c r="K14" s="89" t="str">
        <x:v>Apto</x:v>
      </x:c>
      <x:c r="L14" s="89" t="str"/>
      <x:c r="M14" s="89" t="str">
        <x:v>Continuar controles periódicos anuales</x:v>
      </x:c>
      <x:c r="N14" s="112" t="n">
        <x:v>12</x:v>
      </x:c>
      <x:c r="O14" s="106" t="n">
        <x:f>EDATE(C14,N14)</x:f>
        <x:v>45332</x:v>
      </x:c>
      <x:c r="P14" s="89" t="str">
        <x:v>R51 Cefalea</x:v>
      </x:c>
      <x:c r="Q14" s="89" t="str">
        <x:v>No</x:v>
      </x:c>
      <x:c r="R14" s="89" t="str"/>
      <x:c r="S14" s="106"/>
      <x:c r="T14" s="89" t="str">
        <x:f>IF(O14&lt;Instructivo!$B$4,"Vencido",IF(O14&lt;=Instructivo!$B$4+30,"Próximo a vencer","Vigente"))</x:f>
        <x:v>Vencido</x:v>
      </x:c>
      <x:c r="U14" s="89" t="str">
        <x:v>Analista SST</x:v>
      </x:c>
      <x:c r="V14" s="90" t="str">
        <x:v>Pendiente firma de concepto médico</x:v>
      </x:c>
    </x:row>
    <x:row r="15">
      <x:c r="A15" s="88" t="n">
        <x:v>2023</x:v>
      </x:c>
      <x:c r="B15" s="89" t="str">
        <x:v>EMO-2023-0014</x:v>
      </x:c>
      <x:c r="C15" s="106" t="n">
        <x:v>45059</x:v>
      </x:c>
      <x:c r="D15" s="89" t="str">
        <x:v>Ingreso</x:v>
      </x:c>
      <x:c r="E15" s="89" t="str">
        <x:v>966207974</x:v>
      </x:c>
      <x:c r="F15" s="89" t="str">
        <x:v>Kevin Carolina Sánchez López</x:v>
      </x:c>
      <x:c r="G15" s="89" t="str">
        <x:v>Operador de medios tecnológicos</x:v>
      </x:c>
      <x:c r="H15" s="89" t="str">
        <x:v>Cúcuta</x:v>
      </x:c>
      <x:c r="I15" s="89" t="str">
        <x:v>Medios Tecnológicos</x:v>
      </x:c>
      <x:c r="J15" s="89" t="str">
        <x:v>IPS Ocupasalud SAS</x:v>
      </x:c>
      <x:c r="K15" s="89" t="str">
        <x:v>Apto</x:v>
      </x:c>
      <x:c r="L15" s="89" t="str"/>
      <x:c r="M15" s="89" t="str">
        <x:v>Mantener estilos de vida saludable</x:v>
      </x:c>
      <x:c r="N15" s="112" t="n">
        <x:v>12</x:v>
      </x:c>
      <x:c r="O15" s="106" t="n">
        <x:f>EDATE(C15,N15)</x:f>
        <x:v>45425</x:v>
      </x:c>
      <x:c r="P15" s="89" t="str">
        <x:v>H52.4 Presbicia</x:v>
      </x:c>
      <x:c r="Q15" s="89" t="str">
        <x:v>No</x:v>
      </x:c>
      <x:c r="R15" s="89" t="str"/>
      <x:c r="S15" s="106"/>
      <x:c r="T15" s="89" t="str">
        <x:f>IF(O15&lt;Instructivo!$B$4,"Vencido",IF(O15&lt;=Instructivo!$B$4+30,"Próximo a vencer","Vigente"))</x:f>
        <x:v>Vencido</x:v>
      </x:c>
      <x:c r="U15" s="89" t="str">
        <x:v>Médico Ocupacional</x:v>
      </x:c>
      <x:c r="V15" s="90" t="str">
        <x:v>Requiere revisión de puesto de trabajo</x:v>
      </x:c>
    </x:row>
    <x:row r="16">
      <x:c r="A16" s="88" t="n">
        <x:v>2023</x:v>
      </x:c>
      <x:c r="B16" s="89" t="str">
        <x:v>EMO-2023-0015</x:v>
      </x:c>
      <x:c r="C16" s="106" t="n">
        <x:v>45224</x:v>
      </x:c>
      <x:c r="D16" s="89" t="str">
        <x:v>Periódico</x:v>
      </x:c>
      <x:c r="E16" s="89" t="str">
        <x:v>949214801</x:v>
      </x:c>
      <x:c r="F16" s="89" t="str">
        <x:v>Jhon Álvaro Castro Rojas</x:v>
      </x:c>
      <x:c r="G16" s="89" t="str">
        <x:v>Supervisor motorizado</x:v>
      </x:c>
      <x:c r="H16" s="89" t="str">
        <x:v>Barrancabermeja</x:v>
      </x:c>
      <x:c r="I16" s="89" t="str">
        <x:v>Operaciones</x:v>
      </x:c>
      <x:c r="J16" s="89" t="str">
        <x:v>Colmédica Ocupacional</x:v>
      </x:c>
      <x:c r="K16" s="89" t="str">
        <x:v>Apto</x:v>
      </x:c>
      <x:c r="L16" s="89" t="str"/>
      <x:c r="M16" s="89" t="str">
        <x:v>Uso permanente de EPP</x:v>
      </x:c>
      <x:c r="N16" s="112" t="n">
        <x:v>12</x:v>
      </x:c>
      <x:c r="O16" s="106" t="n">
        <x:f>EDATE(C16,N16)</x:f>
        <x:v>45590</x:v>
      </x:c>
      <x:c r="P16" s="89" t="str">
        <x:v>H52.4 Presbicia</x:v>
      </x:c>
      <x:c r="Q16" s="89" t="str">
        <x:v>No</x:v>
      </x:c>
      <x:c r="R16" s="89" t="str"/>
      <x:c r="S16" s="106"/>
      <x:c r="T16" s="89" t="str">
        <x:f>IF(O16&lt;Instructivo!$B$4,"Vencido",IF(O16&lt;=Instructivo!$B$4+30,"Próximo a vencer","Vigente"))</x:f>
        <x:v>Vencido</x:v>
      </x:c>
      <x:c r="U16" s="89" t="str">
        <x:v>Médico Ocupacional</x:v>
      </x:c>
      <x:c r="V16" s="90" t="str">
        <x:v>Requiere revisión de puesto de trabajo</x:v>
      </x:c>
    </x:row>
    <x:row r="17">
      <x:c r="A17" s="88" t="n">
        <x:v>2023</x:v>
      </x:c>
      <x:c r="B17" s="89" t="str">
        <x:v>EMO-2023-0016</x:v>
      </x:c>
      <x:c r="C17" s="106" t="n">
        <x:v>45251</x:v>
      </x:c>
      <x:c r="D17" s="89" t="str">
        <x:v>Periódico</x:v>
      </x:c>
      <x:c r="E17" s="89" t="str">
        <x:v>742785277</x:v>
      </x:c>
      <x:c r="F17" s="89" t="str">
        <x:v>Ana José Sánchez López</x:v>
      </x:c>
      <x:c r="G17" s="89" t="str">
        <x:v>Operador de medios tecnológicos</x:v>
      </x:c>
      <x:c r="H17" s="89" t="str">
        <x:v>Ocaña</x:v>
      </x:c>
      <x:c r="I17" s="89" t="str">
        <x:v>Medios Tecnológicos</x:v>
      </x:c>
      <x:c r="J17" s="89" t="str">
        <x:v>Salud Integral Ocupacional</x:v>
      </x:c>
      <x:c r="K17" s="89" t="str">
        <x:v>Apto</x:v>
      </x:c>
      <x:c r="L17" s="89" t="str"/>
      <x:c r="M17" s="89" t="str">
        <x:v>Uso permanente de EPP</x:v>
      </x:c>
      <x:c r="N17" s="112" t="n">
        <x:v>12</x:v>
      </x:c>
      <x:c r="O17" s="106" t="n">
        <x:f>EDATE(C17,N17)</x:f>
        <x:v>45617</x:v>
      </x:c>
      <x:c r="P17" s="89" t="str">
        <x:v>M54.5 Lumbalgia</x:v>
      </x:c>
      <x:c r="Q17" s="89" t="str">
        <x:v>No</x:v>
      </x:c>
      <x:c r="R17" s="89" t="str"/>
      <x:c r="S17" s="106"/>
      <x:c r="T17" s="89" t="str">
        <x:f>IF(O17&lt;Instructivo!$B$4,"Vencido",IF(O17&lt;=Instructivo!$B$4+30,"Próximo a vencer","Vigente"))</x:f>
        <x:v>Vencido</x:v>
      </x:c>
      <x:c r="U17" s="89" t="str">
        <x:v>Coordinador de Talento Humano</x:v>
      </x:c>
      <x:c r="V17" s="90" t="str">
        <x:v>Se recomienda seguimiento por comité SST</x:v>
      </x:c>
    </x:row>
    <x:row r="18">
      <x:c r="A18" s="88" t="n">
        <x:v>2023</x:v>
      </x:c>
      <x:c r="B18" s="89" t="str">
        <x:v>EMO-2023-0017</x:v>
      </x:c>
      <x:c r="C18" s="106" t="n">
        <x:v>44957</x:v>
      </x:c>
      <x:c r="D18" s="89" t="str">
        <x:v>Periódico</x:v>
      </x:c>
      <x:c r="E18" s="89" t="str">
        <x:v>949214801</x:v>
      </x:c>
      <x:c r="F18" s="89" t="str">
        <x:v>Jhon Álvaro Castro Rojas</x:v>
      </x:c>
      <x:c r="G18" s="89" t="str">
        <x:v>Supervisor motorizado</x:v>
      </x:c>
      <x:c r="H18" s="89" t="str">
        <x:v>Barrancabermeja</x:v>
      </x:c>
      <x:c r="I18" s="89" t="str">
        <x:v>Operaciones</x:v>
      </x:c>
      <x:c r="J18" s="89" t="str">
        <x:v>Salud Integral Ocupacional</x:v>
      </x:c>
      <x:c r="K18" s="89" t="str">
        <x:v>Apto</x:v>
      </x:c>
      <x:c r="L18" s="89" t="str"/>
      <x:c r="M18" s="89" t="str">
        <x:v>Uso permanente de EPP</x:v>
      </x:c>
      <x:c r="N18" s="112" t="n">
        <x:v>12</x:v>
      </x:c>
      <x:c r="O18" s="106" t="n">
        <x:f>EDATE(C18,N18)</x:f>
        <x:v>45322</x:v>
      </x:c>
      <x:c r="P18" s="89" t="str">
        <x:v>M75.1 Lesión de hombro</x:v>
      </x:c>
      <x:c r="Q18" s="89" t="str">
        <x:v>Sí</x:v>
      </x:c>
      <x:c r="R18" s="89" t="str">
        <x:v>Medicina laboral</x:v>
      </x:c>
      <x:c r="S18" s="106" t="n">
        <x:v>45077</x:v>
      </x:c>
      <x:c r="T18" s="89" t="str">
        <x:f>IF(O18&lt;Instructivo!$B$4,"Vencido",IF(O18&lt;=Instructivo!$B$4+30,"Próximo a vencer","Vigente"))</x:f>
        <x:v>Vencido</x:v>
      </x:c>
      <x:c r="U18" s="89" t="str">
        <x:v>Médico Ocupacional</x:v>
      </x:c>
      <x:c r="V18" s="90" t="str">
        <x:v>Caso priorizado por restricciones activas</x:v>
      </x:c>
    </x:row>
    <x:row r="19">
      <x:c r="A19" s="88" t="n">
        <x:v>2023</x:v>
      </x:c>
      <x:c r="B19" s="89" t="str">
        <x:v>EMO-2023-0018</x:v>
      </x:c>
      <x:c r="C19" s="106" t="n">
        <x:v>44949</x:v>
      </x:c>
      <x:c r="D19" s="89" t="str">
        <x:v>Periódico</x:v>
      </x:c>
      <x:c r="E19" s="89" t="str">
        <x:v>264442778</x:v>
      </x:c>
      <x:c r="F19" s="89" t="str">
        <x:v>Luis Yulieth Sánchez Sánchez</x:v>
      </x:c>
      <x:c r="G19" s="89" t="str">
        <x:v>Vigilante</x:v>
      </x:c>
      <x:c r="H19" s="89" t="str">
        <x:v>Medellín</x:v>
      </x:c>
      <x:c r="I19" s="89" t="str">
        <x:v>Operaciones</x:v>
      </x:c>
      <x:c r="J19" s="89" t="str">
        <x:v>Salud Integral Ocupacional</x:v>
      </x:c>
      <x:c r="K19" s="89" t="str">
        <x:v>Apto</x:v>
      </x:c>
      <x:c r="L19" s="89" t="str"/>
      <x:c r="M19" s="89" t="str">
        <x:v>Mantener estilos de vida saludable</x:v>
      </x:c>
      <x:c r="N19" s="112" t="n">
        <x:v>12</x:v>
      </x:c>
      <x:c r="O19" s="106" t="n">
        <x:f>EDATE(C19,N19)</x:f>
        <x:v>45314</x:v>
      </x:c>
      <x:c r="P19" s="89" t="str">
        <x:v>H52.4 Presbicia</x:v>
      </x:c>
      <x:c r="Q19" s="89" t="str">
        <x:v>No</x:v>
      </x:c>
      <x:c r="R19" s="89" t="str"/>
      <x:c r="S19" s="106"/>
      <x:c r="T19" s="89" t="str">
        <x:f>IF(O19&lt;Instructivo!$B$4,"Vencido",IF(O19&lt;=Instructivo!$B$4+30,"Próximo a vencer","Vigente"))</x:f>
        <x:v>Vencido</x:v>
      </x:c>
      <x:c r="U19" s="89" t="str">
        <x:v>Líder SST</x:v>
      </x:c>
      <x:c r="V19" s="90" t="str">
        <x:v>Sin novedades adicionales</x:v>
      </x:c>
    </x:row>
    <x:row r="20">
      <x:c r="A20" s="88" t="n">
        <x:v>2023</x:v>
      </x:c>
      <x:c r="B20" s="89" t="str">
        <x:v>EMO-2023-0019</x:v>
      </x:c>
      <x:c r="C20" s="106" t="n">
        <x:v>45103</x:v>
      </x:c>
      <x:c r="D20" s="89" t="str">
        <x:v>Ingreso</x:v>
      </x:c>
      <x:c r="E20" s="89" t="str">
        <x:v>447970771</x:v>
      </x:c>
      <x:c r="F20" s="89" t="str">
        <x:v>Wilson Wilson Ramírez Cárdenas</x:v>
      </x:c>
      <x:c r="G20" s="89" t="str">
        <x:v>Vigilante</x:v>
      </x:c>
      <x:c r="H20" s="89" t="str">
        <x:v>Valledupar</x:v>
      </x:c>
      <x:c r="I20" s="89" t="str">
        <x:v>Operaciones</x:v>
      </x:c>
      <x:c r="J20" s="89" t="str">
        <x:v>IPS Prevencionar</x:v>
      </x:c>
      <x:c r="K20" s="89" t="str">
        <x:v>No apto</x:v>
      </x:c>
      <x:c r="L20" s="89" t="str">
        <x:v>Requiere reubicación temporal</x:v>
      </x:c>
      <x:c r="M20" s="89" t="str">
        <x:v>Definir reubicación temporal</x:v>
      </x:c>
      <x:c r="N20" s="112" t="n">
        <x:v>12</x:v>
      </x:c>
      <x:c r="O20" s="106" t="n">
        <x:f>EDATE(C20,N20)</x:f>
        <x:v>45469</x:v>
      </x:c>
      <x:c r="P20" s="89" t="str">
        <x:v>G56.0 Síndrome túnel carpiano</x:v>
      </x:c>
      <x:c r="Q20" s="89" t="str">
        <x:v>Sí</x:v>
      </x:c>
      <x:c r="R20" s="89" t="str">
        <x:v>Medicina laboral</x:v>
      </x:c>
      <x:c r="S20" s="106" t="n">
        <x:v>45163</x:v>
      </x:c>
      <x:c r="T20" s="89" t="str">
        <x:f>IF(O20&lt;Instructivo!$B$4,"Vencido",IF(O20&lt;=Instructivo!$B$4+30,"Próximo a vencer","Vigente"))</x:f>
        <x:v>Vencido</x:v>
      </x:c>
      <x:c r="U20" s="89" t="str">
        <x:v>Analista SST</x:v>
      </x:c>
      <x:c r="V20" s="90" t="str">
        <x:v>Requiere revisión de puesto de trabajo</x:v>
      </x:c>
    </x:row>
    <x:row r="21">
      <x:c r="A21" s="88" t="n">
        <x:v>2023</x:v>
      </x:c>
      <x:c r="B21" s="89" t="str">
        <x:v>EMO-2023-0020</x:v>
      </x:c>
      <x:c r="C21" s="106" t="n">
        <x:v>45072</x:v>
      </x:c>
      <x:c r="D21" s="89" t="str">
        <x:v>Periódico</x:v>
      </x:c>
      <x:c r="E21" s="89" t="str">
        <x:v>783123709</x:v>
      </x:c>
      <x:c r="F21" s="89" t="str">
        <x:v>Julián Carlos Gómez Díaz</x:v>
      </x:c>
      <x:c r="G21" s="89" t="str">
        <x:v>Vigilante</x:v>
      </x:c>
      <x:c r="H21" s="89" t="str">
        <x:v>Bogotá</x:v>
      </x:c>
      <x:c r="I21" s="89" t="str">
        <x:v>Operaciones</x:v>
      </x:c>
      <x:c r="J21" s="89" t="str">
        <x:v>Colmédica Ocupacional</x:v>
      </x:c>
      <x:c r="K21" s="89" t="str">
        <x:v>Apto</x:v>
      </x:c>
      <x:c r="L21" s="89" t="str"/>
      <x:c r="M21" s="89" t="str">
        <x:v>Uso permanente de EPP</x:v>
      </x:c>
      <x:c r="N21" s="112" t="n">
        <x:v>12</x:v>
      </x:c>
      <x:c r="O21" s="106" t="n">
        <x:f>EDATE(C21,N21)</x:f>
        <x:v>45438</x:v>
      </x:c>
      <x:c r="P21" s="89" t="str">
        <x:v>M54.5 Lumbalgia</x:v>
      </x:c>
      <x:c r="Q21" s="89" t="str">
        <x:v>No</x:v>
      </x:c>
      <x:c r="R21" s="89" t="str"/>
      <x:c r="S21" s="106"/>
      <x:c r="T21" s="89" t="str">
        <x:f>IF(O21&lt;Instructivo!$B$4,"Vencido",IF(O21&lt;=Instructivo!$B$4+30,"Próximo a vencer","Vigente"))</x:f>
        <x:v>Vencido</x:v>
      </x:c>
      <x:c r="U21" s="89" t="str">
        <x:v>Coordinador de Talento Humano</x:v>
      </x:c>
      <x:c r="V21" s="90" t="str">
        <x:v>Registro completo y soportado en historia ocupacional</x:v>
      </x:c>
    </x:row>
    <x:row r="22">
      <x:c r="A22" s="88" t="n">
        <x:v>2023</x:v>
      </x:c>
      <x:c r="B22" s="89" t="str">
        <x:v>EMO-2023-0021</x:v>
      </x:c>
      <x:c r="C22" s="106" t="n">
        <x:v>45125</x:v>
      </x:c>
      <x:c r="D22" s="89" t="str">
        <x:v>Periódico</x:v>
      </x:c>
      <x:c r="E22" s="89" t="str">
        <x:v>181527021</x:v>
      </x:c>
      <x:c r="F22" s="89" t="str">
        <x:v>Felipe Luis Ramírez Torres</x:v>
      </x:c>
      <x:c r="G22" s="89" t="str">
        <x:v>Vigilante</x:v>
      </x:c>
      <x:c r="H22" s="89" t="str">
        <x:v>Arauca</x:v>
      </x:c>
      <x:c r="I22" s="89" t="str">
        <x:v>Operaciones</x:v>
      </x:c>
      <x:c r="J22" s="89" t="str">
        <x:v>Centro Médico Laboral Andino</x:v>
      </x:c>
      <x:c r="K22" s="89" t="str">
        <x:v>Apto</x:v>
      </x:c>
      <x:c r="L22" s="89" t="str"/>
      <x:c r="M22" s="89" t="str">
        <x:v>Mantener estilos de vida saludable</x:v>
      </x:c>
      <x:c r="N22" s="112" t="n">
        <x:v>12</x:v>
      </x:c>
      <x:c r="O22" s="106" t="n">
        <x:f>EDATE(C22,N22)</x:f>
        <x:v>45491</x:v>
      </x:c>
      <x:c r="P22" s="89" t="str">
        <x:v>R51 Cefalea</x:v>
      </x:c>
      <x:c r="Q22" s="89" t="str">
        <x:v>No</x:v>
      </x:c>
      <x:c r="R22" s="89" t="str"/>
      <x:c r="S22" s="106"/>
      <x:c r="T22" s="89" t="str">
        <x:f>IF(O22&lt;Instructivo!$B$4,"Vencido",IF(O22&lt;=Instructivo!$B$4+30,"Próximo a vencer","Vigente"))</x:f>
        <x:v>Vencido</x:v>
      </x:c>
      <x:c r="U22" s="89" t="str">
        <x:v>Coordinador de Talento Humano</x:v>
      </x:c>
      <x:c r="V22" s="90" t="str">
        <x:v>Caso priorizado por restricciones activas</x:v>
      </x:c>
    </x:row>
    <x:row r="23">
      <x:c r="A23" s="88" t="n">
        <x:v>2023</x:v>
      </x:c>
      <x:c r="B23" s="89" t="str">
        <x:v>EMO-2023-0022</x:v>
      </x:c>
      <x:c r="C23" s="106" t="n">
        <x:v>44971</x:v>
      </x:c>
      <x:c r="D23" s="89" t="str">
        <x:v>Ingreso</x:v>
      </x:c>
      <x:c r="E23" s="89" t="str">
        <x:v>107853787</x:v>
      </x:c>
      <x:c r="F23" s="89" t="str">
        <x:v>Álvaro Karen Castro Díaz</x:v>
      </x:c>
      <x:c r="G23" s="89" t="str">
        <x:v>Vigilante</x:v>
      </x:c>
      <x:c r="H23" s="89" t="str">
        <x:v>Cúcuta</x:v>
      </x:c>
      <x:c r="I23" s="89" t="str">
        <x:v>Operaciones</x:v>
      </x:c>
      <x:c r="J23" s="89" t="str">
        <x:v>Centro Médico Laboral Andino</x:v>
      </x:c>
      <x:c r="K23" s="89" t="str">
        <x:v>Apto</x:v>
      </x:c>
      <x:c r="L23" s="89" t="str"/>
      <x:c r="M23" s="89" t="str">
        <x:v>Participar en programas de vigilancia epidemiológica</x:v>
      </x:c>
      <x:c r="N23" s="112" t="n">
        <x:v>12</x:v>
      </x:c>
      <x:c r="O23" s="106" t="n">
        <x:f>EDATE(C23,N23)</x:f>
        <x:v>45336</x:v>
      </x:c>
      <x:c r="P23" s="89" t="str">
        <x:v>M54.5 Lumbalgia</x:v>
      </x:c>
      <x:c r="Q23" s="89" t="str">
        <x:v>No</x:v>
      </x:c>
      <x:c r="R23" s="89" t="str"/>
      <x:c r="S23" s="106"/>
      <x:c r="T23" s="89" t="str">
        <x:f>IF(O23&lt;Instructivo!$B$4,"Vencido",IF(O23&lt;=Instructivo!$B$4+30,"Próximo a vencer","Vigente"))</x:f>
        <x:v>Vencido</x:v>
      </x:c>
      <x:c r="U23" s="89" t="str">
        <x:v>Médico Ocupacional</x:v>
      </x:c>
      <x:c r="V23" s="90" t="str">
        <x:v>Se recomienda seguimiento por comité SST</x:v>
      </x:c>
    </x:row>
    <x:row r="24">
      <x:c r="A24" s="88" t="n">
        <x:v>2023</x:v>
      </x:c>
      <x:c r="B24" s="89" t="str">
        <x:v>EMO-2023-0023</x:v>
      </x:c>
      <x:c r="C24" s="106" t="n">
        <x:v>45113</x:v>
      </x:c>
      <x:c r="D24" s="89" t="str">
        <x:v>Periódico</x:v>
      </x:c>
      <x:c r="E24" s="89" t="str">
        <x:v>421157662</x:v>
      </x:c>
      <x:c r="F24" s="89" t="str">
        <x:v>Carolina Álvaro Díaz Hernández</x:v>
      </x:c>
      <x:c r="G24" s="89" t="str">
        <x:v>Vigilante</x:v>
      </x:c>
      <x:c r="H24" s="89" t="str">
        <x:v>Cúcuta</x:v>
      </x:c>
      <x:c r="I24" s="89" t="str">
        <x:v>Operaciones</x:v>
      </x:c>
      <x:c r="J24" s="89" t="str">
        <x:v>Centro Médico Laboral Andino</x:v>
      </x:c>
      <x:c r="K24" s="89" t="str">
        <x:v>Apto</x:v>
      </x:c>
      <x:c r="L24" s="89" t="str"/>
      <x:c r="M24" s="89" t="str">
        <x:v>Mantener estilos de vida saludable</x:v>
      </x:c>
      <x:c r="N24" s="112" t="n">
        <x:v>12</x:v>
      </x:c>
      <x:c r="O24" s="106" t="n">
        <x:f>EDATE(C24,N24)</x:f>
        <x:v>45479</x:v>
      </x:c>
      <x:c r="P24" s="89" t="str">
        <x:v>I10 Hipertensión esencial</x:v>
      </x:c>
      <x:c r="Q24" s="89" t="str">
        <x:v>No</x:v>
      </x:c>
      <x:c r="R24" s="89" t="str"/>
      <x:c r="S24" s="106"/>
      <x:c r="T24" s="89" t="str">
        <x:f>IF(O24&lt;Instructivo!$B$4,"Vencido",IF(O24&lt;=Instructivo!$B$4+30,"Próximo a vencer","Vigente"))</x:f>
        <x:v>Vencido</x:v>
      </x:c>
      <x:c r="U24" s="89" t="str">
        <x:v>Analista SST</x:v>
      </x:c>
      <x:c r="V24" s="90" t="str">
        <x:v>Sin novedades adicionales</x:v>
      </x:c>
    </x:row>
    <x:row r="25">
      <x:c r="A25" s="88" t="n">
        <x:v>2023</x:v>
      </x:c>
      <x:c r="B25" s="89" t="str">
        <x:v>EMO-2023-0024</x:v>
      </x:c>
      <x:c r="C25" s="106" t="n">
        <x:v>44979</x:v>
      </x:c>
      <x:c r="D25" s="89" t="str">
        <x:v>Ingreso</x:v>
      </x:c>
      <x:c r="E25" s="89" t="str">
        <x:v>417199635</x:v>
      </x:c>
      <x:c r="F25" s="89" t="str">
        <x:v>José Miguel Cárdenas Díaz</x:v>
      </x:c>
      <x:c r="G25" s="89" t="str">
        <x:v>Auxiliar administrativo</x:v>
      </x:c>
      <x:c r="H25" s="89" t="str">
        <x:v>Arauca</x:v>
      </x:c>
      <x:c r="I25" s="89" t="str">
        <x:v>Administrativa</x:v>
      </x:c>
      <x:c r="J25" s="89" t="str">
        <x:v>Centro Médico Laboral Andino</x:v>
      </x:c>
      <x:c r="K25" s="89" t="str">
        <x:v>Apto</x:v>
      </x:c>
      <x:c r="L25" s="89" t="str"/>
      <x:c r="M25" s="89" t="str">
        <x:v>Continuar controles periódicos anuales</x:v>
      </x:c>
      <x:c r="N25" s="112" t="n">
        <x:v>12</x:v>
      </x:c>
      <x:c r="O25" s="106" t="n">
        <x:f>EDATE(C25,N25)</x:f>
        <x:v>45344</x:v>
      </x:c>
      <x:c r="P25" s="89" t="str">
        <x:v>M75.1 Lesión de hombro</x:v>
      </x:c>
      <x:c r="Q25" s="89" t="str">
        <x:v>No</x:v>
      </x:c>
      <x:c r="R25" s="89" t="str"/>
      <x:c r="S25" s="106"/>
      <x:c r="T25" s="89" t="str">
        <x:f>IF(O25&lt;Instructivo!$B$4,"Vencido",IF(O25&lt;=Instructivo!$B$4+30,"Próximo a vencer","Vigente"))</x:f>
        <x:v>Vencido</x:v>
      </x:c>
      <x:c r="U25" s="89" t="str">
        <x:v>Analista SST</x:v>
      </x:c>
      <x:c r="V25" s="90" t="str">
        <x:v>Caso priorizado por restricciones activas</x:v>
      </x:c>
    </x:row>
    <x:row r="26">
      <x:c r="A26" s="88" t="n">
        <x:v>2023</x:v>
      </x:c>
      <x:c r="B26" s="89" t="str">
        <x:v>EMO-2023-0025</x:v>
      </x:c>
      <x:c r="C26" s="106" t="n">
        <x:v>45247</x:v>
      </x:c>
      <x:c r="D26" s="89" t="str">
        <x:v>Ingreso</x:v>
      </x:c>
      <x:c r="E26" s="89" t="str">
        <x:v>242795765</x:v>
      </x:c>
      <x:c r="F26" s="89" t="str">
        <x:v>Tatiana Laura López Torres</x:v>
      </x:c>
      <x:c r="G26" s="89" t="str">
        <x:v>Vigilante</x:v>
      </x:c>
      <x:c r="H26" s="89" t="str">
        <x:v>Barrancabermeja</x:v>
      </x:c>
      <x:c r="I26" s="89" t="str">
        <x:v>Operaciones</x:v>
      </x:c>
      <x:c r="J26" s="89" t="str">
        <x:v>Centro Médico Laboral Andino</x:v>
      </x:c>
      <x:c r="K26" s="89" t="str">
        <x:v>Apto con restricciones</x:v>
      </x:c>
      <x:c r="L26" s="89" t="str">
        <x:v>Pausas activas cada 2 horas</x:v>
      </x:c>
      <x:c r="M26" s="89" t="str">
        <x:v>Control por optometría/medicina general</x:v>
      </x:c>
      <x:c r="N26" s="112" t="n">
        <x:v>12</x:v>
      </x:c>
      <x:c r="O26" s="106" t="n">
        <x:f>EDATE(C26,N26)</x:f>
        <x:v>45613</x:v>
      </x:c>
      <x:c r="P26" s="89" t="str">
        <x:v>G56.0 Síndrome túnel carpiano</x:v>
      </x:c>
      <x:c r="Q26" s="89" t="str">
        <x:v>Sí</x:v>
      </x:c>
      <x:c r="R26" s="89" t="str">
        <x:v>Medicina laboral</x:v>
      </x:c>
      <x:c r="S26" s="106" t="n">
        <x:v>45337</x:v>
      </x:c>
      <x:c r="T26" s="89" t="str">
        <x:f>IF(O26&lt;Instructivo!$B$4,"Vencido",IF(O26&lt;=Instructivo!$B$4+30,"Próximo a vencer","Vigente"))</x:f>
        <x:v>Vencido</x:v>
      </x:c>
      <x:c r="U26" s="89" t="str">
        <x:v>Coordinador de Talento Humano</x:v>
      </x:c>
      <x:c r="V26" s="90" t="str">
        <x:v>Se recomienda seguimiento por comité SST</x:v>
      </x:c>
    </x:row>
    <x:row r="27">
      <x:c r="A27" s="88" t="n">
        <x:v>2023</x:v>
      </x:c>
      <x:c r="B27" s="89" t="str">
        <x:v>EMO-2023-0026</x:v>
      </x:c>
      <x:c r="C27" s="106" t="n">
        <x:v>45050</x:v>
      </x:c>
      <x:c r="D27" s="89" t="str">
        <x:v>Ingreso</x:v>
      </x:c>
      <x:c r="E27" s="89" t="str">
        <x:v>248741810</x:v>
      </x:c>
      <x:c r="F27" s="89" t="str">
        <x:v>Andrés Ana López Castro</x:v>
      </x:c>
      <x:c r="G27" s="89" t="str">
        <x:v>Técnico de mantenimiento</x:v>
      </x:c>
      <x:c r="H27" s="89" t="str">
        <x:v>Ábrego</x:v>
      </x:c>
      <x:c r="I27" s="89" t="str">
        <x:v>Infraestructura</x:v>
      </x:c>
      <x:c r="J27" s="89" t="str">
        <x:v>Colmédica Ocupacional</x:v>
      </x:c>
      <x:c r="K27" s="89" t="str">
        <x:v>Apto</x:v>
      </x:c>
      <x:c r="L27" s="89" t="str"/>
      <x:c r="M27" s="89" t="str">
        <x:v>Participar en programas de vigilancia epidemiológica</x:v>
      </x:c>
      <x:c r="N27" s="112" t="n">
        <x:v>12</x:v>
      </x:c>
      <x:c r="O27" s="106" t="n">
        <x:f>EDATE(C27,N27)</x:f>
        <x:v>45416</x:v>
      </x:c>
      <x:c r="P27" s="89" t="str">
        <x:v>G56.0 Síndrome túnel carpiano</x:v>
      </x:c>
      <x:c r="Q27" s="89" t="str">
        <x:v>No</x:v>
      </x:c>
      <x:c r="R27" s="89" t="str"/>
      <x:c r="S27" s="106"/>
      <x:c r="T27" s="89" t="str">
        <x:f>IF(O27&lt;Instructivo!$B$4,"Vencido",IF(O27&lt;=Instructivo!$B$4+30,"Próximo a vencer","Vigente"))</x:f>
        <x:v>Vencido</x:v>
      </x:c>
      <x:c r="U27" s="89" t="str">
        <x:v>Médico Ocupacional</x:v>
      </x:c>
      <x:c r="V27" s="90" t="str">
        <x:v>Pendiente firma de concepto médico</x:v>
      </x:c>
    </x:row>
    <x:row r="28">
      <x:c r="A28" s="88" t="n">
        <x:v>2023</x:v>
      </x:c>
      <x:c r="B28" s="89" t="str">
        <x:v>EMO-2023-0027</x:v>
      </x:c>
      <x:c r="C28" s="106" t="n">
        <x:v>45185</x:v>
      </x:c>
      <x:c r="D28" s="89" t="str">
        <x:v>Periódico</x:v>
      </x:c>
      <x:c r="E28" s="89" t="str">
        <x:v>957783308</x:v>
      </x:c>
      <x:c r="F28" s="89" t="str">
        <x:v>Tatiana Miguel Cárdenas López</x:v>
      </x:c>
      <x:c r="G28" s="89" t="str">
        <x:v>Vigilante</x:v>
      </x:c>
      <x:c r="H28" s="89" t="str">
        <x:v>Pamplona</x:v>
      </x:c>
      <x:c r="I28" s="89" t="str">
        <x:v>Operaciones</x:v>
      </x:c>
      <x:c r="J28" s="89" t="str">
        <x:v>Centro Médico Laboral Andino</x:v>
      </x:c>
      <x:c r="K28" s="89" t="str">
        <x:v>Apto</x:v>
      </x:c>
      <x:c r="L28" s="89" t="str"/>
      <x:c r="M28" s="89" t="str">
        <x:v>Mantener estilos de vida saludable</x:v>
      </x:c>
      <x:c r="N28" s="112" t="n">
        <x:v>12</x:v>
      </x:c>
      <x:c r="O28" s="106" t="n">
        <x:f>EDATE(C28,N28)</x:f>
        <x:v>45551</x:v>
      </x:c>
      <x:c r="P28" s="89" t="str">
        <x:v>E66.9 Obesidad</x:v>
      </x:c>
      <x:c r="Q28" s="89" t="str">
        <x:v>No</x:v>
      </x:c>
      <x:c r="R28" s="89" t="str"/>
      <x:c r="S28" s="106"/>
      <x:c r="T28" s="89" t="str">
        <x:f>IF(O28&lt;Instructivo!$B$4,"Vencido",IF(O28&lt;=Instructivo!$B$4+30,"Próximo a vencer","Vigente"))</x:f>
        <x:v>Vencido</x:v>
      </x:c>
      <x:c r="U28" s="89" t="str">
        <x:v>Líder SST</x:v>
      </x:c>
      <x:c r="V28" s="90" t="str">
        <x:v>Caso priorizado por restricciones activas</x:v>
      </x:c>
    </x:row>
    <x:row r="29">
      <x:c r="A29" s="88" t="n">
        <x:v>2023</x:v>
      </x:c>
      <x:c r="B29" s="89" t="str">
        <x:v>EMO-2023-0028</x:v>
      </x:c>
      <x:c r="C29" s="106" t="n">
        <x:v>45211</x:v>
      </x:c>
      <x:c r="D29" s="89" t="str">
        <x:v>Post-incapacidad</x:v>
      </x:c>
      <x:c r="E29" s="89" t="str">
        <x:v>292255409</x:v>
      </x:c>
      <x:c r="F29" s="89" t="str">
        <x:v>Wilson Carolina Torres Parra</x:v>
      </x:c>
      <x:c r="G29" s="89" t="str">
        <x:v>Escolta</x:v>
      </x:c>
      <x:c r="H29" s="89" t="str">
        <x:v>Arauca</x:v>
      </x:c>
      <x:c r="I29" s="89" t="str">
        <x:v>Escoltas</x:v>
      </x:c>
      <x:c r="J29" s="89" t="str">
        <x:v>Colmédica Ocupacional</x:v>
      </x:c>
      <x:c r="K29" s="89" t="str">
        <x:v>Apto con restricciones</x:v>
      </x:c>
      <x:c r="L29" s="89" t="str">
        <x:v>No exposición prolongada a ruido alto sin doble protección</x:v>
      </x:c>
      <x:c r="M29" s="89" t="str">
        <x:v>Seguimiento por medicina laboral en 3 meses</x:v>
      </x:c>
      <x:c r="N29" s="112" t="n">
        <x:v>6</x:v>
      </x:c>
      <x:c r="O29" s="106" t="n">
        <x:f>EDATE(C29,N29)</x:f>
        <x:v>45394</x:v>
      </x:c>
      <x:c r="P29" s="89" t="str">
        <x:v>G56.0 Síndrome túnel carpiano</x:v>
      </x:c>
      <x:c r="Q29" s="89" t="str">
        <x:v>Sí</x:v>
      </x:c>
      <x:c r="R29" s="89" t="str">
        <x:v>Optometría</x:v>
      </x:c>
      <x:c r="S29" s="106" t="n">
        <x:v>45271</x:v>
      </x:c>
      <x:c r="T29" s="89" t="str">
        <x:f>IF(O29&lt;Instructivo!$B$4,"Vencido",IF(O29&lt;=Instructivo!$B$4+30,"Próximo a vencer","Vigente"))</x:f>
        <x:v>Vencido</x:v>
      </x:c>
      <x:c r="U29" s="89" t="str">
        <x:v>Analista SST</x:v>
      </x:c>
      <x:c r="V29" s="90" t="str">
        <x:v>Pendiente firma de concepto médico</x:v>
      </x:c>
    </x:row>
    <x:row r="30">
      <x:c r="A30" s="88" t="n">
        <x:v>2023</x:v>
      </x:c>
      <x:c r="B30" s="89" t="str">
        <x:v>EMO-2023-0029</x:v>
      </x:c>
      <x:c r="C30" s="106" t="n">
        <x:v>45041</x:v>
      </x:c>
      <x:c r="D30" s="89" t="str">
        <x:v>Ingreso</x:v>
      </x:c>
      <x:c r="E30" s="89" t="str">
        <x:v>899363326</x:v>
      </x:c>
      <x:c r="F30" s="89" t="str">
        <x:v>Ana Álvaro Gómez Sánchez</x:v>
      </x:c>
      <x:c r="G30" s="89" t="str">
        <x:v>Supervisor de puesto</x:v>
      </x:c>
      <x:c r="H30" s="89" t="str">
        <x:v>Barrancabermeja</x:v>
      </x:c>
      <x:c r="I30" s="89" t="str">
        <x:v>Operaciones</x:v>
      </x:c>
      <x:c r="J30" s="89" t="str">
        <x:v>Salud Integral Ocupacional</x:v>
      </x:c>
      <x:c r="K30" s="89" t="str">
        <x:v>Apto con restricciones</x:v>
      </x:c>
      <x:c r="L30" s="89" t="str">
        <x:v>Restricción para trabajo prolongado de pie</x:v>
      </x:c>
      <x:c r="M30" s="89" t="str">
        <x:v>Seguimiento por medicina laboral en 3 meses</x:v>
      </x:c>
      <x:c r="N30" s="112" t="n">
        <x:v>12</x:v>
      </x:c>
      <x:c r="O30" s="106" t="n">
        <x:f>EDATE(C30,N30)</x:f>
        <x:v>45407</x:v>
      </x:c>
      <x:c r="P30" s="89" t="str">
        <x:v>R51 Cefalea</x:v>
      </x:c>
      <x:c r="Q30" s="89" t="str">
        <x:v>Sí</x:v>
      </x:c>
      <x:c r="R30" s="89" t="str">
        <x:v>Psicosocial</x:v>
      </x:c>
      <x:c r="S30" s="106" t="n">
        <x:v>45101</x:v>
      </x:c>
      <x:c r="T30" s="89" t="str">
        <x:f>IF(O30&lt;Instructivo!$B$4,"Vencido",IF(O30&lt;=Instructivo!$B$4+30,"Próximo a vencer","Vigente"))</x:f>
        <x:v>Vencido</x:v>
      </x:c>
      <x:c r="U30" s="89" t="str">
        <x:v>Analista SST</x:v>
      </x:c>
      <x:c r="V30" s="90" t="str">
        <x:v>Sin novedades adicionales</x:v>
      </x:c>
    </x:row>
    <x:row r="31">
      <x:c r="A31" s="88" t="n">
        <x:v>2023</x:v>
      </x:c>
      <x:c r="B31" s="89" t="str">
        <x:v>EMO-2023-0030</x:v>
      </x:c>
      <x:c r="C31" s="106" t="n">
        <x:v>45119</x:v>
      </x:c>
      <x:c r="D31" s="89" t="str">
        <x:v>Post-exposición</x:v>
      </x:c>
      <x:c r="E31" s="89" t="str">
        <x:v>858194570</x:v>
      </x:c>
      <x:c r="F31" s="89" t="str">
        <x:v>José Diana Gómez Martínez</x:v>
      </x:c>
      <x:c r="G31" s="89" t="str">
        <x:v>Vigilante</x:v>
      </x:c>
      <x:c r="H31" s="89" t="str">
        <x:v>Pamplona</x:v>
      </x:c>
      <x:c r="I31" s="89" t="str">
        <x:v>Operaciones</x:v>
      </x:c>
      <x:c r="J31" s="89" t="str">
        <x:v>Colmédica Ocupacional</x:v>
      </x:c>
      <x:c r="K31" s="89" t="str">
        <x:v>Apto</x:v>
      </x:c>
      <x:c r="L31" s="89" t="str"/>
      <x:c r="M31" s="89" t="str">
        <x:v>Uso permanente de EPP</x:v>
      </x:c>
      <x:c r="N31" s="112" t="n">
        <x:v>12</x:v>
      </x:c>
      <x:c r="O31" s="106" t="n">
        <x:f>EDATE(C31,N31)</x:f>
        <x:v>45485</x:v>
      </x:c>
      <x:c r="P31" s="89" t="str">
        <x:v>H52.4 Presbicia</x:v>
      </x:c>
      <x:c r="Q31" s="89" t="str">
        <x:v>No</x:v>
      </x:c>
      <x:c r="R31" s="89" t="str"/>
      <x:c r="S31" s="106"/>
      <x:c r="T31" s="89" t="str">
        <x:f>IF(O31&lt;Instructivo!$B$4,"Vencido",IF(O31&lt;=Instructivo!$B$4+30,"Próximo a vencer","Vigente"))</x:f>
        <x:v>Vencido</x:v>
      </x:c>
      <x:c r="U31" s="89" t="str">
        <x:v>Analista SST</x:v>
      </x:c>
      <x:c r="V31" s="90" t="str">
        <x:v>Requiere revisión de puesto de trabajo</x:v>
      </x:c>
    </x:row>
    <x:row r="32">
      <x:c r="A32" s="88" t="n">
        <x:v>2023</x:v>
      </x:c>
      <x:c r="B32" s="89" t="str">
        <x:v>EMO-2023-0031</x:v>
      </x:c>
      <x:c r="C32" s="106" t="n">
        <x:v>45169</x:v>
      </x:c>
      <x:c r="D32" s="89" t="str">
        <x:v>Periódico</x:v>
      </x:c>
      <x:c r="E32" s="89" t="str">
        <x:v>413741438</x:v>
      </x:c>
      <x:c r="F32" s="89" t="str">
        <x:v>Álvaro Brayan Torres Ramírez</x:v>
      </x:c>
      <x:c r="G32" s="89" t="str">
        <x:v>Vigilante</x:v>
      </x:c>
      <x:c r="H32" s="89" t="str">
        <x:v>Bogotá</x:v>
      </x:c>
      <x:c r="I32" s="89" t="str">
        <x:v>Operaciones</x:v>
      </x:c>
      <x:c r="J32" s="89" t="str">
        <x:v>IPS Prevencionar</x:v>
      </x:c>
      <x:c r="K32" s="89" t="str">
        <x:v>Apto</x:v>
      </x:c>
      <x:c r="L32" s="89" t="str"/>
      <x:c r="M32" s="89" t="str">
        <x:v>Mantener estilos de vida saludable</x:v>
      </x:c>
      <x:c r="N32" s="112" t="n">
        <x:v>12</x:v>
      </x:c>
      <x:c r="O32" s="106" t="n">
        <x:f>EDATE(C32,N32)</x:f>
        <x:v>45535</x:v>
      </x:c>
      <x:c r="P32" s="89" t="str">
        <x:v>Z00.0 Examen general</x:v>
      </x:c>
      <x:c r="Q32" s="89" t="str">
        <x:v>No</x:v>
      </x:c>
      <x:c r="R32" s="89" t="str"/>
      <x:c r="S32" s="106"/>
      <x:c r="T32" s="89" t="str">
        <x:f>IF(O32&lt;Instructivo!$B$4,"Vencido",IF(O32&lt;=Instructivo!$B$4+30,"Próximo a vencer","Vigente"))</x:f>
        <x:v>Vencido</x:v>
      </x:c>
      <x:c r="U32" s="89" t="str">
        <x:v>Líder SST</x:v>
      </x:c>
      <x:c r="V32" s="90" t="str">
        <x:v>Sin novedades adicionales</x:v>
      </x:c>
    </x:row>
    <x:row r="33">
      <x:c r="A33" s="88" t="n">
        <x:v>2023</x:v>
      </x:c>
      <x:c r="B33" s="89" t="str">
        <x:v>EMO-2023-0032</x:v>
      </x:c>
      <x:c r="C33" s="106" t="n">
        <x:v>45004</x:v>
      </x:c>
      <x:c r="D33" s="89" t="str">
        <x:v>Periódico</x:v>
      </x:c>
      <x:c r="E33" s="89" t="str">
        <x:v>532714803</x:v>
      </x:c>
      <x:c r="F33" s="89" t="str">
        <x:v>Luis Brayan Martínez Rojas</x:v>
      </x:c>
      <x:c r="G33" s="89" t="str">
        <x:v>Conductor</x:v>
      </x:c>
      <x:c r="H33" s="89" t="str">
        <x:v>Medellín</x:v>
      </x:c>
      <x:c r="I33" s="89" t="str">
        <x:v>Logística</x:v>
      </x:c>
      <x:c r="J33" s="89" t="str">
        <x:v>IPS Ocupasalud SAS</x:v>
      </x:c>
      <x:c r="K33" s="89" t="str">
        <x:v>Apto</x:v>
      </x:c>
      <x:c r="L33" s="89" t="str"/>
      <x:c r="M33" s="89" t="str">
        <x:v>Participar en programas de vigilancia epidemiológica</x:v>
      </x:c>
      <x:c r="N33" s="112" t="n">
        <x:v>12</x:v>
      </x:c>
      <x:c r="O33" s="106" t="n">
        <x:f>EDATE(C33,N33)</x:f>
        <x:v>45370</x:v>
      </x:c>
      <x:c r="P33" s="89" t="str">
        <x:v>Z00.0 Examen general</x:v>
      </x:c>
      <x:c r="Q33" s="89" t="str">
        <x:v>Sí</x:v>
      </x:c>
      <x:c r="R33" s="89" t="str">
        <x:v>Optometría</x:v>
      </x:c>
      <x:c r="S33" s="106" t="n">
        <x:v>45064</x:v>
      </x:c>
      <x:c r="T33" s="89" t="str">
        <x:f>IF(O33&lt;Instructivo!$B$4,"Vencido",IF(O33&lt;=Instructivo!$B$4+30,"Próximo a vencer","Vigente"))</x:f>
        <x:v>Vencido</x:v>
      </x:c>
      <x:c r="U33" s="89" t="str">
        <x:v>Analista SST</x:v>
      </x:c>
      <x:c r="V33" s="90" t="str">
        <x:v>Se recomienda seguimiento por comité SST</x:v>
      </x:c>
    </x:row>
    <x:row r="34">
      <x:c r="A34" s="88" t="n">
        <x:v>2023</x:v>
      </x:c>
      <x:c r="B34" s="89" t="str">
        <x:v>EMO-2023-0033</x:v>
      </x:c>
      <x:c r="C34" s="106" t="n">
        <x:v>45246</x:v>
      </x:c>
      <x:c r="D34" s="89" t="str">
        <x:v>Periódico</x:v>
      </x:c>
      <x:c r="E34" s="89" t="str">
        <x:v>768419378</x:v>
      </x:c>
      <x:c r="F34" s="89" t="str">
        <x:v>Julián Miguel Moreno Castro</x:v>
      </x:c>
      <x:c r="G34" s="89" t="str">
        <x:v>Vigilante</x:v>
      </x:c>
      <x:c r="H34" s="89" t="str">
        <x:v>Pamplona</x:v>
      </x:c>
      <x:c r="I34" s="89" t="str">
        <x:v>Operaciones</x:v>
      </x:c>
      <x:c r="J34" s="89" t="str">
        <x:v>Salud Integral Ocupacional</x:v>
      </x:c>
      <x:c r="K34" s="89" t="str">
        <x:v>Apto</x:v>
      </x:c>
      <x:c r="L34" s="89" t="str"/>
      <x:c r="M34" s="89" t="str">
        <x:v>Continuar controles periódicos anuales</x:v>
      </x:c>
      <x:c r="N34" s="112" t="n">
        <x:v>12</x:v>
      </x:c>
      <x:c r="O34" s="106" t="n">
        <x:f>EDATE(C34,N34)</x:f>
        <x:v>45612</x:v>
      </x:c>
      <x:c r="P34" s="89" t="str">
        <x:v>Z00.0 Examen general</x:v>
      </x:c>
      <x:c r="Q34" s="89" t="str">
        <x:v>No</x:v>
      </x:c>
      <x:c r="R34" s="89" t="str"/>
      <x:c r="S34" s="106"/>
      <x:c r="T34" s="89" t="str">
        <x:f>IF(O34&lt;Instructivo!$B$4,"Vencido",IF(O34&lt;=Instructivo!$B$4+30,"Próximo a vencer","Vigente"))</x:f>
        <x:v>Vencido</x:v>
      </x:c>
      <x:c r="U34" s="89" t="str">
        <x:v>Analista SST</x:v>
      </x:c>
      <x:c r="V34" s="90" t="str">
        <x:v>Sin novedades adicionales</x:v>
      </x:c>
    </x:row>
    <x:row r="35">
      <x:c r="A35" s="88" t="n">
        <x:v>2023</x:v>
      </x:c>
      <x:c r="B35" s="89" t="str">
        <x:v>EMO-2023-0034</x:v>
      </x:c>
      <x:c r="C35" s="106" t="n">
        <x:v>44928</x:v>
      </x:c>
      <x:c r="D35" s="89" t="str">
        <x:v>Periódico</x:v>
      </x:c>
      <x:c r="E35" s="89" t="str">
        <x:v>849770838</x:v>
      </x:c>
      <x:c r="F35" s="89" t="str">
        <x:v>Felipe Julián Sánchez Parra</x:v>
      </x:c>
      <x:c r="G35" s="89" t="str">
        <x:v>Vigilante</x:v>
      </x:c>
      <x:c r="H35" s="89" t="str">
        <x:v>Cúcuta</x:v>
      </x:c>
      <x:c r="I35" s="89" t="str">
        <x:v>Operaciones</x:v>
      </x:c>
      <x:c r="J35" s="89" t="str">
        <x:v>IPS Ocupasalud SAS</x:v>
      </x:c>
      <x:c r="K35" s="89" t="str">
        <x:v>Apto</x:v>
      </x:c>
      <x:c r="L35" s="89" t="str"/>
      <x:c r="M35" s="89" t="str">
        <x:v>Mantener estilos de vida saludable</x:v>
      </x:c>
      <x:c r="N35" s="112" t="n">
        <x:v>12</x:v>
      </x:c>
      <x:c r="O35" s="106" t="n">
        <x:f>EDATE(C35,N35)</x:f>
        <x:v>45293</x:v>
      </x:c>
      <x:c r="P35" s="89" t="str">
        <x:v>R51 Cefalea</x:v>
      </x:c>
      <x:c r="Q35" s="89" t="str">
        <x:v>No</x:v>
      </x:c>
      <x:c r="R35" s="89" t="str"/>
      <x:c r="S35" s="106"/>
      <x:c r="T35" s="89" t="str">
        <x:f>IF(O35&lt;Instructivo!$B$4,"Vencido",IF(O35&lt;=Instructivo!$B$4+30,"Próximo a vencer","Vigente"))</x:f>
        <x:v>Vencido</x:v>
      </x:c>
      <x:c r="U35" s="89" t="str">
        <x:v>Líder SST</x:v>
      </x:c>
      <x:c r="V35" s="90" t="str">
        <x:v>Pendiente firma de concepto médico</x:v>
      </x:c>
    </x:row>
    <x:row r="36">
      <x:c r="A36" s="88" t="n">
        <x:v>2023</x:v>
      </x:c>
      <x:c r="B36" s="89" t="str">
        <x:v>EMO-2023-0035</x:v>
      </x:c>
      <x:c r="C36" s="106" t="n">
        <x:v>45187</x:v>
      </x:c>
      <x:c r="D36" s="89" t="str">
        <x:v>Periódico</x:v>
      </x:c>
      <x:c r="E36" s="89" t="str">
        <x:v>169333700</x:v>
      </x:c>
      <x:c r="F36" s="89" t="str">
        <x:v>José Yulieth Ramírez Rojas</x:v>
      </x:c>
      <x:c r="G36" s="89" t="str">
        <x:v>Operador de medios tecnológicos</x:v>
      </x:c>
      <x:c r="H36" s="89" t="str">
        <x:v>Cúcuta</x:v>
      </x:c>
      <x:c r="I36" s="89" t="str">
        <x:v>Medios Tecnológicos</x:v>
      </x:c>
      <x:c r="J36" s="89" t="str">
        <x:v>IPS Prevencionar</x:v>
      </x:c>
      <x:c r="K36" s="89" t="str">
        <x:v>Apto</x:v>
      </x:c>
      <x:c r="L36" s="89" t="str"/>
      <x:c r="M36" s="89" t="str">
        <x:v>Participar en programas de vigilancia epidemiológica</x:v>
      </x:c>
      <x:c r="N36" s="112" t="n">
        <x:v>12</x:v>
      </x:c>
      <x:c r="O36" s="106" t="n">
        <x:f>EDATE(C36,N36)</x:f>
        <x:v>45553</x:v>
      </x:c>
      <x:c r="P36" s="89" t="str">
        <x:v>R51 Cefalea</x:v>
      </x:c>
      <x:c r="Q36" s="89" t="str">
        <x:v>No</x:v>
      </x:c>
      <x:c r="R36" s="89" t="str"/>
      <x:c r="S36" s="106"/>
      <x:c r="T36" s="89" t="str">
        <x:f>IF(O36&lt;Instructivo!$B$4,"Vencido",IF(O36&lt;=Instructivo!$B$4+30,"Próximo a vencer","Vigente"))</x:f>
        <x:v>Vencido</x:v>
      </x:c>
      <x:c r="U36" s="89" t="str">
        <x:v>Coordinador de Talento Humano</x:v>
      </x:c>
      <x:c r="V36" s="90" t="str">
        <x:v>Registro completo y soportado en historia ocupacional</x:v>
      </x:c>
    </x:row>
    <x:row r="37">
      <x:c r="A37" s="88" t="n">
        <x:v>2023</x:v>
      </x:c>
      <x:c r="B37" s="89" t="str">
        <x:v>EMO-2023-0036</x:v>
      </x:c>
      <x:c r="C37" s="106" t="n">
        <x:v>44962</x:v>
      </x:c>
      <x:c r="D37" s="89" t="str">
        <x:v>Periódico</x:v>
      </x:c>
      <x:c r="E37" s="89" t="str">
        <x:v>532714803</x:v>
      </x:c>
      <x:c r="F37" s="89" t="str">
        <x:v>Luis Brayan Martínez Rojas</x:v>
      </x:c>
      <x:c r="G37" s="89" t="str">
        <x:v>Conductor</x:v>
      </x:c>
      <x:c r="H37" s="89" t="str">
        <x:v>Medellín</x:v>
      </x:c>
      <x:c r="I37" s="89" t="str">
        <x:v>Logística</x:v>
      </x:c>
      <x:c r="J37" s="89" t="str">
        <x:v>Colmédica Ocupacional</x:v>
      </x:c>
      <x:c r="K37" s="89" t="str">
        <x:v>Apto</x:v>
      </x:c>
      <x:c r="L37" s="89" t="str"/>
      <x:c r="M37" s="89" t="str">
        <x:v>Continuar controles periódicos anuales</x:v>
      </x:c>
      <x:c r="N37" s="112" t="n">
        <x:v>12</x:v>
      </x:c>
      <x:c r="O37" s="106" t="n">
        <x:f>EDATE(C37,N37)</x:f>
        <x:v>45327</x:v>
      </x:c>
      <x:c r="P37" s="89" t="str">
        <x:v>H52.4 Presbicia</x:v>
      </x:c>
      <x:c r="Q37" s="89" t="str">
        <x:v>No</x:v>
      </x:c>
      <x:c r="R37" s="89" t="str"/>
      <x:c r="S37" s="106"/>
      <x:c r="T37" s="89" t="str">
        <x:f>IF(O37&lt;Instructivo!$B$4,"Vencido",IF(O37&lt;=Instructivo!$B$4+30,"Próximo a vencer","Vigente"))</x:f>
        <x:v>Vencido</x:v>
      </x:c>
      <x:c r="U37" s="89" t="str">
        <x:v>Líder SST</x:v>
      </x:c>
      <x:c r="V37" s="90" t="str">
        <x:v>Requiere revisión de puesto de trabajo</x:v>
      </x:c>
    </x:row>
    <x:row r="38">
      <x:c r="A38" s="88" t="n">
        <x:v>2023</x:v>
      </x:c>
      <x:c r="B38" s="89" t="str">
        <x:v>EMO-2023-0037</x:v>
      </x:c>
      <x:c r="C38" s="106" t="n">
        <x:v>45257</x:v>
      </x:c>
      <x:c r="D38" s="89" t="str">
        <x:v>Periódico</x:v>
      </x:c>
      <x:c r="E38" s="89" t="str">
        <x:v>424867786</x:v>
      </x:c>
      <x:c r="F38" s="89" t="str">
        <x:v>Andrés Tatiana Sánchez Parra</x:v>
      </x:c>
      <x:c r="G38" s="89" t="str">
        <x:v>Vigilante</x:v>
      </x:c>
      <x:c r="H38" s="89" t="str">
        <x:v>Cúcuta</x:v>
      </x:c>
      <x:c r="I38" s="89" t="str">
        <x:v>Operaciones</x:v>
      </x:c>
      <x:c r="J38" s="89" t="str">
        <x:v>Centro Médico Laboral Andino</x:v>
      </x:c>
      <x:c r="K38" s="89" t="str">
        <x:v>Apto</x:v>
      </x:c>
      <x:c r="L38" s="89" t="str"/>
      <x:c r="M38" s="89" t="str">
        <x:v>Participar en programas de vigilancia epidemiológica</x:v>
      </x:c>
      <x:c r="N38" s="112" t="n">
        <x:v>12</x:v>
      </x:c>
      <x:c r="O38" s="106" t="n">
        <x:f>EDATE(C38,N38)</x:f>
        <x:v>45623</x:v>
      </x:c>
      <x:c r="P38" s="89" t="str">
        <x:v>H52.4 Presbicia</x:v>
      </x:c>
      <x:c r="Q38" s="89" t="str">
        <x:v>No</x:v>
      </x:c>
      <x:c r="R38" s="89" t="str"/>
      <x:c r="S38" s="106"/>
      <x:c r="T38" s="89" t="str">
        <x:f>IF(O38&lt;Instructivo!$B$4,"Vencido",IF(O38&lt;=Instructivo!$B$4+30,"Próximo a vencer","Vigente"))</x:f>
        <x:v>Vencido</x:v>
      </x:c>
      <x:c r="U38" s="89" t="str">
        <x:v>Líder SST</x:v>
      </x:c>
      <x:c r="V38" s="90" t="str">
        <x:v>Sin novedades adicionales</x:v>
      </x:c>
    </x:row>
    <x:row r="39">
      <x:c r="A39" s="88" t="n">
        <x:v>2023</x:v>
      </x:c>
      <x:c r="B39" s="89" t="str">
        <x:v>EMO-2023-0038</x:v>
      </x:c>
      <x:c r="C39" s="106" t="n">
        <x:v>45031</x:v>
      </x:c>
      <x:c r="D39" s="89" t="str">
        <x:v>Ingreso</x:v>
      </x:c>
      <x:c r="E39" s="89" t="str">
        <x:v>539518424</x:v>
      </x:c>
      <x:c r="F39" s="89" t="str">
        <x:v>Julián Juan Díaz Díaz</x:v>
      </x:c>
      <x:c r="G39" s="89" t="str">
        <x:v>Auxiliar administrativo</x:v>
      </x:c>
      <x:c r="H39" s="89" t="str">
        <x:v>Medellín</x:v>
      </x:c>
      <x:c r="I39" s="89" t="str">
        <x:v>Administrativa</x:v>
      </x:c>
      <x:c r="J39" s="89" t="str">
        <x:v>Colmédica Ocupacional</x:v>
      </x:c>
      <x:c r="K39" s="89" t="str">
        <x:v>Apto</x:v>
      </x:c>
      <x:c r="L39" s="89" t="str"/>
      <x:c r="M39" s="89" t="str">
        <x:v>Mantener estilos de vida saludable</x:v>
      </x:c>
      <x:c r="N39" s="112" t="n">
        <x:v>12</x:v>
      </x:c>
      <x:c r="O39" s="106" t="n">
        <x:f>EDATE(C39,N39)</x:f>
        <x:v>45397</x:v>
      </x:c>
      <x:c r="P39" s="89" t="str">
        <x:v>M75.1 Lesión de hombro</x:v>
      </x:c>
      <x:c r="Q39" s="89" t="str">
        <x:v>No</x:v>
      </x:c>
      <x:c r="R39" s="89" t="str"/>
      <x:c r="S39" s="106"/>
      <x:c r="T39" s="89" t="str">
        <x:f>IF(O39&lt;Instructivo!$B$4,"Vencido",IF(O39&lt;=Instructivo!$B$4+30,"Próximo a vencer","Vigente"))</x:f>
        <x:v>Vencido</x:v>
      </x:c>
      <x:c r="U39" s="89" t="str">
        <x:v>Médico Ocupacional</x:v>
      </x:c>
      <x:c r="V39" s="90" t="str">
        <x:v>Se recomienda seguimiento por comité SST</x:v>
      </x:c>
    </x:row>
    <x:row r="40">
      <x:c r="A40" s="88" t="n">
        <x:v>2023</x:v>
      </x:c>
      <x:c r="B40" s="89" t="str">
        <x:v>EMO-2023-0039</x:v>
      </x:c>
      <x:c r="C40" s="106" t="n">
        <x:v>45259</x:v>
      </x:c>
      <x:c r="D40" s="89" t="str">
        <x:v>Ingreso</x:v>
      </x:c>
      <x:c r="E40" s="89" t="str">
        <x:v>959910914</x:v>
      </x:c>
      <x:c r="F40" s="89" t="str">
        <x:v>Laura Paola Parra Cárdenas</x:v>
      </x:c>
      <x:c r="G40" s="89" t="str">
        <x:v>Coordinador de operaciones</x:v>
      </x:c>
      <x:c r="H40" s="89" t="str">
        <x:v>Arauca</x:v>
      </x:c>
      <x:c r="I40" s="89" t="str">
        <x:v>Operaciones</x:v>
      </x:c>
      <x:c r="J40" s="89" t="str">
        <x:v>Colmédica Ocupacional</x:v>
      </x:c>
      <x:c r="K40" s="89" t="str">
        <x:v>Apto</x:v>
      </x:c>
      <x:c r="L40" s="89" t="str"/>
      <x:c r="M40" s="89" t="str">
        <x:v>Uso permanente de EPP</x:v>
      </x:c>
      <x:c r="N40" s="112" t="n">
        <x:v>12</x:v>
      </x:c>
      <x:c r="O40" s="106" t="n">
        <x:f>EDATE(C40,N40)</x:f>
        <x:v>45625</x:v>
      </x:c>
      <x:c r="P40" s="89" t="str">
        <x:v>E66.9 Obesidad</x:v>
      </x:c>
      <x:c r="Q40" s="89" t="str">
        <x:v>No</x:v>
      </x:c>
      <x:c r="R40" s="89" t="str"/>
      <x:c r="S40" s="106"/>
      <x:c r="T40" s="89" t="str">
        <x:f>IF(O40&lt;Instructivo!$B$4,"Vencido",IF(O40&lt;=Instructivo!$B$4+30,"Próximo a vencer","Vigente"))</x:f>
        <x:v>Vencido</x:v>
      </x:c>
      <x:c r="U40" s="89" t="str">
        <x:v>Líder SST</x:v>
      </x:c>
      <x:c r="V40" s="90" t="str">
        <x:v>Registro completo y soportado en historia ocupacional</x:v>
      </x:c>
    </x:row>
    <x:row r="41">
      <x:c r="A41" s="88" t="n">
        <x:v>2023</x:v>
      </x:c>
      <x:c r="B41" s="89" t="str">
        <x:v>EMO-2023-0040</x:v>
      </x:c>
      <x:c r="C41" s="106" t="n">
        <x:v>45132</x:v>
      </x:c>
      <x:c r="D41" s="89" t="str">
        <x:v>Periódico</x:v>
      </x:c>
      <x:c r="E41" s="89" t="str">
        <x:v>722721135</x:v>
      </x:c>
      <x:c r="F41" s="89" t="str">
        <x:v>Juan Diana Díaz Castro</x:v>
      </x:c>
      <x:c r="G41" s="89" t="str">
        <x:v>Vigilante</x:v>
      </x:c>
      <x:c r="H41" s="89" t="str">
        <x:v>Girón</x:v>
      </x:c>
      <x:c r="I41" s="89" t="str">
        <x:v>Operaciones</x:v>
      </x:c>
      <x:c r="J41" s="89" t="str">
        <x:v>IPS Prevencionar</x:v>
      </x:c>
      <x:c r="K41" s="89" t="str">
        <x:v>Apto con restricciones</x:v>
      </x:c>
      <x:c r="L41" s="89" t="str">
        <x:v>Control visual y corrección óptica permanente</x:v>
      </x:c>
      <x:c r="M41" s="89" t="str">
        <x:v>Capacitación ergonómica y seguimiento SST</x:v>
      </x:c>
      <x:c r="N41" s="112" t="n">
        <x:v>12</x:v>
      </x:c>
      <x:c r="O41" s="106" t="n">
        <x:f>EDATE(C41,N41)</x:f>
        <x:v>45498</x:v>
      </x:c>
      <x:c r="P41" s="89" t="str">
        <x:v>R51 Cefalea</x:v>
      </x:c>
      <x:c r="Q41" s="89" t="str">
        <x:v>Sí</x:v>
      </x:c>
      <x:c r="R41" s="89" t="str">
        <x:v>Ergonomía</x:v>
      </x:c>
      <x:c r="S41" s="106" t="n">
        <x:v>45222</x:v>
      </x:c>
      <x:c r="T41" s="89" t="str">
        <x:f>IF(O41&lt;Instructivo!$B$4,"Vencido",IF(O41&lt;=Instructivo!$B$4+30,"Próximo a vencer","Vigente"))</x:f>
        <x:v>Vencido</x:v>
      </x:c>
      <x:c r="U41" s="89" t="str">
        <x:v>Coordinador de Talento Humano</x:v>
      </x:c>
      <x:c r="V41" s="90" t="str">
        <x:v>Requiere revisión de puesto de trabajo</x:v>
      </x:c>
    </x:row>
    <x:row r="42">
      <x:c r="A42" s="88" t="n">
        <x:v>2023</x:v>
      </x:c>
      <x:c r="B42" s="89" t="str">
        <x:v>EMO-2023-0041</x:v>
      </x:c>
      <x:c r="C42" s="106" t="n">
        <x:v>44968</x:v>
      </x:c>
      <x:c r="D42" s="89" t="str">
        <x:v>Periódico</x:v>
      </x:c>
      <x:c r="E42" s="89" t="str">
        <x:v>644553384</x:v>
      </x:c>
      <x:c r="F42" s="89" t="str">
        <x:v>Laura Yulieth Sánchez Díaz</x:v>
      </x:c>
      <x:c r="G42" s="89" t="str">
        <x:v>Auxiliar administrativo</x:v>
      </x:c>
      <x:c r="H42" s="89" t="str">
        <x:v>Ocaña</x:v>
      </x:c>
      <x:c r="I42" s="89" t="str">
        <x:v>Administrativa</x:v>
      </x:c>
      <x:c r="J42" s="89" t="str">
        <x:v>IPS Ocupasalud SAS</x:v>
      </x:c>
      <x:c r="K42" s="89" t="str">
        <x:v>Apto</x:v>
      </x:c>
      <x:c r="L42" s="89" t="str"/>
      <x:c r="M42" s="89" t="str">
        <x:v>Mantener estilos de vida saludable</x:v>
      </x:c>
      <x:c r="N42" s="112" t="n">
        <x:v>12</x:v>
      </x:c>
      <x:c r="O42" s="106" t="n">
        <x:f>EDATE(C42,N42)</x:f>
        <x:v>45333</x:v>
      </x:c>
      <x:c r="P42" s="89" t="str">
        <x:v>M54.5 Lumbalgia</x:v>
      </x:c>
      <x:c r="Q42" s="89" t="str">
        <x:v>No</x:v>
      </x:c>
      <x:c r="R42" s="89" t="str"/>
      <x:c r="S42" s="106"/>
      <x:c r="T42" s="89" t="str">
        <x:f>IF(O42&lt;Instructivo!$B$4,"Vencido",IF(O42&lt;=Instructivo!$B$4+30,"Próximo a vencer","Vigente"))</x:f>
        <x:v>Vencido</x:v>
      </x:c>
      <x:c r="U42" s="89" t="str">
        <x:v>Coordinador de Talento Humano</x:v>
      </x:c>
      <x:c r="V42" s="90" t="str">
        <x:v>Se recomienda seguimiento por comité SST</x:v>
      </x:c>
    </x:row>
    <x:row r="43">
      <x:c r="A43" s="88" t="n">
        <x:v>2023</x:v>
      </x:c>
      <x:c r="B43" s="89" t="str">
        <x:v>EMO-2023-0042</x:v>
      </x:c>
      <x:c r="C43" s="106" t="n">
        <x:v>45236</x:v>
      </x:c>
      <x:c r="D43" s="89" t="str">
        <x:v>Periódico</x:v>
      </x:c>
      <x:c r="E43" s="89" t="str">
        <x:v>458072684</x:v>
      </x:c>
      <x:c r="F43" s="89" t="str">
        <x:v>Julián Luis Castro Pérez</x:v>
      </x:c>
      <x:c r="G43" s="89" t="str">
        <x:v>Auxiliar administrativo</x:v>
      </x:c>
      <x:c r="H43" s="89" t="str">
        <x:v>Bogotá</x:v>
      </x:c>
      <x:c r="I43" s="89" t="str">
        <x:v>Administrativa</x:v>
      </x:c>
      <x:c r="J43" s="89" t="str">
        <x:v>IPS Prevencionar</x:v>
      </x:c>
      <x:c r="K43" s="89" t="str">
        <x:v>Apto</x:v>
      </x:c>
      <x:c r="L43" s="89" t="str"/>
      <x:c r="M43" s="89" t="str">
        <x:v>Mantener estilos de vida saludable</x:v>
      </x:c>
      <x:c r="N43" s="112" t="n">
        <x:v>12</x:v>
      </x:c>
      <x:c r="O43" s="106" t="n">
        <x:f>EDATE(C43,N43)</x:f>
        <x:v>45602</x:v>
      </x:c>
      <x:c r="P43" s="89" t="str">
        <x:v>Z00.0 Examen general</x:v>
      </x:c>
      <x:c r="Q43" s="89" t="str">
        <x:v>No</x:v>
      </x:c>
      <x:c r="R43" s="89" t="str"/>
      <x:c r="S43" s="106"/>
      <x:c r="T43" s="89" t="str">
        <x:f>IF(O43&lt;Instructivo!$B$4,"Vencido",IF(O43&lt;=Instructivo!$B$4+30,"Próximo a vencer","Vigente"))</x:f>
        <x:v>Vencido</x:v>
      </x:c>
      <x:c r="U43" s="89" t="str">
        <x:v>Coordinador de Talento Humano</x:v>
      </x:c>
      <x:c r="V43" s="90" t="str">
        <x:v>Se recomienda seguimiento por comité SST</x:v>
      </x:c>
    </x:row>
    <x:row r="44">
      <x:c r="A44" s="88" t="n">
        <x:v>2023</x:v>
      </x:c>
      <x:c r="B44" s="89" t="str">
        <x:v>EMO-2023-0043</x:v>
      </x:c>
      <x:c r="C44" s="106" t="n">
        <x:v>45068</x:v>
      </x:c>
      <x:c r="D44" s="89" t="str">
        <x:v>Post-exposición</x:v>
      </x:c>
      <x:c r="E44" s="89" t="str">
        <x:v>804607488</x:v>
      </x:c>
      <x:c r="F44" s="89" t="str">
        <x:v>Sergio Álvaro Ramírez Moreno</x:v>
      </x:c>
      <x:c r="G44" s="89" t="str">
        <x:v>Escolta</x:v>
      </x:c>
      <x:c r="H44" s="89" t="str">
        <x:v>Barrancabermeja</x:v>
      </x:c>
      <x:c r="I44" s="89" t="str">
        <x:v>Escoltas</x:v>
      </x:c>
      <x:c r="J44" s="89" t="str">
        <x:v>Salud Integral Ocupacional</x:v>
      </x:c>
      <x:c r="K44" s="89" t="str">
        <x:v>Apto</x:v>
      </x:c>
      <x:c r="L44" s="89" t="str"/>
      <x:c r="M44" s="89" t="str">
        <x:v>Continuar controles periódicos anuales</x:v>
      </x:c>
      <x:c r="N44" s="112" t="n">
        <x:v>12</x:v>
      </x:c>
      <x:c r="O44" s="106" t="n">
        <x:f>EDATE(C44,N44)</x:f>
        <x:v>45434</x:v>
      </x:c>
      <x:c r="P44" s="89" t="str">
        <x:v>H52.4 Presbicia</x:v>
      </x:c>
      <x:c r="Q44" s="89" t="str">
        <x:v>Sí</x:v>
      </x:c>
      <x:c r="R44" s="89" t="str">
        <x:v>Fisioterapia</x:v>
      </x:c>
      <x:c r="S44" s="106" t="n">
        <x:v>45158</x:v>
      </x:c>
      <x:c r="T44" s="89" t="str">
        <x:f>IF(O44&lt;Instructivo!$B$4,"Vencido",IF(O44&lt;=Instructivo!$B$4+30,"Próximo a vencer","Vigente"))</x:f>
        <x:v>Vencido</x:v>
      </x:c>
      <x:c r="U44" s="89" t="str">
        <x:v>Líder SST</x:v>
      </x:c>
      <x:c r="V44" s="90" t="str">
        <x:v>Se recomienda seguimiento por comité SST</x:v>
      </x:c>
    </x:row>
    <x:row r="45">
      <x:c r="A45" s="88" t="n">
        <x:v>2023</x:v>
      </x:c>
      <x:c r="B45" s="89" t="str">
        <x:v>EMO-2023-0044</x:v>
      </x:c>
      <x:c r="C45" s="106" t="n">
        <x:v>45275</x:v>
      </x:c>
      <x:c r="D45" s="89" t="str">
        <x:v>Post-incapacidad</x:v>
      </x:c>
      <x:c r="E45" s="89" t="str">
        <x:v>849770838</x:v>
      </x:c>
      <x:c r="F45" s="89" t="str">
        <x:v>Felipe Julián Sánchez Parra</x:v>
      </x:c>
      <x:c r="G45" s="89" t="str">
        <x:v>Vigilante</x:v>
      </x:c>
      <x:c r="H45" s="89" t="str">
        <x:v>Cúcuta</x:v>
      </x:c>
      <x:c r="I45" s="89" t="str">
        <x:v>Operaciones</x:v>
      </x:c>
      <x:c r="J45" s="89" t="str">
        <x:v>Colmédica Ocupacional</x:v>
      </x:c>
      <x:c r="K45" s="89" t="str">
        <x:v>Apto con restricciones</x:v>
      </x:c>
      <x:c r="L45" s="89" t="str">
        <x:v>Evitar levantamiento de cargas mayores a 15 kg</x:v>
      </x:c>
      <x:c r="M45" s="89" t="str">
        <x:v>Reubicación o ajuste razonable del puesto</x:v>
      </x:c>
      <x:c r="N45" s="112" t="n">
        <x:v>6</x:v>
      </x:c>
      <x:c r="O45" s="106" t="n">
        <x:f>EDATE(C45,N45)</x:f>
        <x:v>45458</x:v>
      </x:c>
      <x:c r="P45" s="89" t="str">
        <x:v>R51 Cefalea</x:v>
      </x:c>
      <x:c r="Q45" s="89" t="str">
        <x:v>Sí</x:v>
      </x:c>
      <x:c r="R45" s="89" t="str">
        <x:v>Medicina laboral</x:v>
      </x:c>
      <x:c r="S45" s="106" t="n">
        <x:v>45335</x:v>
      </x:c>
      <x:c r="T45" s="89" t="str">
        <x:f>IF(O45&lt;Instructivo!$B$4,"Vencido",IF(O45&lt;=Instructivo!$B$4+30,"Próximo a vencer","Vigente"))</x:f>
        <x:v>Vencido</x:v>
      </x:c>
      <x:c r="U45" s="89" t="str">
        <x:v>Médico Ocupacional</x:v>
      </x:c>
      <x:c r="V45" s="90" t="str">
        <x:v>Requiere revisión de puesto de trabajo</x:v>
      </x:c>
    </x:row>
    <x:row r="46">
      <x:c r="A46" s="88" t="n">
        <x:v>2023</x:v>
      </x:c>
      <x:c r="B46" s="89" t="str">
        <x:v>EMO-2023-0045</x:v>
      </x:c>
      <x:c r="C46" s="106" t="n">
        <x:v>45006</x:v>
      </x:c>
      <x:c r="D46" s="89" t="str">
        <x:v>Ingreso</x:v>
      </x:c>
      <x:c r="E46" s="89" t="str">
        <x:v>887847048</x:v>
      </x:c>
      <x:c r="F46" s="89" t="str">
        <x:v>Julián Carlos Rojas Sánchez</x:v>
      </x:c>
      <x:c r="G46" s="89" t="str">
        <x:v>Auxiliar administrativo</x:v>
      </x:c>
      <x:c r="H46" s="89" t="str">
        <x:v>Ocaña</x:v>
      </x:c>
      <x:c r="I46" s="89" t="str">
        <x:v>Administrativa</x:v>
      </x:c>
      <x:c r="J46" s="89" t="str">
        <x:v>Salud Integral Ocupacional</x:v>
      </x:c>
      <x:c r="K46" s="89" t="str">
        <x:v>Apto</x:v>
      </x:c>
      <x:c r="L46" s="89" t="str"/>
      <x:c r="M46" s="89" t="str">
        <x:v>Uso permanente de EPP</x:v>
      </x:c>
      <x:c r="N46" s="112" t="n">
        <x:v>12</x:v>
      </x:c>
      <x:c r="O46" s="106" t="n">
        <x:f>EDATE(C46,N46)</x:f>
        <x:v>45372</x:v>
      </x:c>
      <x:c r="P46" s="89" t="str">
        <x:v>H52.4 Presbicia</x:v>
      </x:c>
      <x:c r="Q46" s="89" t="str">
        <x:v>No</x:v>
      </x:c>
      <x:c r="R46" s="89" t="str"/>
      <x:c r="S46" s="106"/>
      <x:c r="T46" s="89" t="str">
        <x:f>IF(O46&lt;Instructivo!$B$4,"Vencido",IF(O46&lt;=Instructivo!$B$4+30,"Próximo a vencer","Vigente"))</x:f>
        <x:v>Vencido</x:v>
      </x:c>
      <x:c r="U46" s="89" t="str">
        <x:v>Coordinador de Talento Humano</x:v>
      </x:c>
      <x:c r="V46" s="90" t="str">
        <x:v>Registro completo y soportado en historia ocupacional</x:v>
      </x:c>
    </x:row>
    <x:row r="47">
      <x:c r="A47" s="88" t="n">
        <x:v>2023</x:v>
      </x:c>
      <x:c r="B47" s="89" t="str">
        <x:v>EMO-2023-0046</x:v>
      </x:c>
      <x:c r="C47" s="106" t="n">
        <x:v>45070</x:v>
      </x:c>
      <x:c r="D47" s="89" t="str">
        <x:v>Periódico</x:v>
      </x:c>
      <x:c r="E47" s="89" t="str">
        <x:v>468617381</x:v>
      </x:c>
      <x:c r="F47" s="89" t="str">
        <x:v>Luis Luisa Ramírez Torres</x:v>
      </x:c>
      <x:c r="G47" s="89" t="str">
        <x:v>Vigilante</x:v>
      </x:c>
      <x:c r="H47" s="89" t="str">
        <x:v>Tibú</x:v>
      </x:c>
      <x:c r="I47" s="89" t="str">
        <x:v>Operaciones</x:v>
      </x:c>
      <x:c r="J47" s="89" t="str">
        <x:v>IPS Prevencionar</x:v>
      </x:c>
      <x:c r="K47" s="89" t="str">
        <x:v>Apto</x:v>
      </x:c>
      <x:c r="L47" s="89" t="str"/>
      <x:c r="M47" s="89" t="str">
        <x:v>Continuar controles periódicos anuales</x:v>
      </x:c>
      <x:c r="N47" s="112" t="n">
        <x:v>12</x:v>
      </x:c>
      <x:c r="O47" s="106" t="n">
        <x:f>EDATE(C47,N47)</x:f>
        <x:v>45436</x:v>
      </x:c>
      <x:c r="P47" s="89" t="str">
        <x:v>M54.5 Lumbalgia</x:v>
      </x:c>
      <x:c r="Q47" s="89" t="str">
        <x:v>Sí</x:v>
      </x:c>
      <x:c r="R47" s="89" t="str">
        <x:v>Ergonomía</x:v>
      </x:c>
      <x:c r="S47" s="106" t="n">
        <x:v>45160</x:v>
      </x:c>
      <x:c r="T47" s="89" t="str">
        <x:f>IF(O47&lt;Instructivo!$B$4,"Vencido",IF(O47&lt;=Instructivo!$B$4+30,"Próximo a vencer","Vigente"))</x:f>
        <x:v>Vencido</x:v>
      </x:c>
      <x:c r="U47" s="89" t="str">
        <x:v>Coordinador de Talento Humano</x:v>
      </x:c>
      <x:c r="V47" s="90" t="str">
        <x:v>Caso priorizado por restricciones activas</x:v>
      </x:c>
    </x:row>
    <x:row r="48">
      <x:c r="A48" s="88" t="n">
        <x:v>2023</x:v>
      </x:c>
      <x:c r="B48" s="89" t="str">
        <x:v>EMO-2023-0047</x:v>
      </x:c>
      <x:c r="C48" s="106" t="n">
        <x:v>45037</x:v>
      </x:c>
      <x:c r="D48" s="89" t="str">
        <x:v>Periódico</x:v>
      </x:c>
      <x:c r="E48" s="89" t="str">
        <x:v>915652512</x:v>
      </x:c>
      <x:c r="F48" s="89" t="str">
        <x:v>Yulieth Yulieth Castro Ramírez</x:v>
      </x:c>
      <x:c r="G48" s="89" t="str">
        <x:v>Operador de medios tecnológicos</x:v>
      </x:c>
      <x:c r="H48" s="89" t="str">
        <x:v>Barrancabermeja</x:v>
      </x:c>
      <x:c r="I48" s="89" t="str">
        <x:v>Medios Tecnológicos</x:v>
      </x:c>
      <x:c r="J48" s="89" t="str">
        <x:v>IPS Ocupasalud SAS</x:v>
      </x:c>
      <x:c r="K48" s="89" t="str">
        <x:v>No apto</x:v>
      </x:c>
      <x:c r="L48" s="89" t="str">
        <x:v>No apto para trabajo en turnos nocturnos</x:v>
      </x:c>
      <x:c r="M48" s="89" t="str">
        <x:v>Seguimiento semanal por SST y TH</x:v>
      </x:c>
      <x:c r="N48" s="112" t="n">
        <x:v>12</x:v>
      </x:c>
      <x:c r="O48" s="106" t="n">
        <x:f>EDATE(C48,N48)</x:f>
        <x:v>45403</x:v>
      </x:c>
      <x:c r="P48" s="89" t="str">
        <x:v>G56.0 Síndrome túnel carpiano</x:v>
      </x:c>
      <x:c r="Q48" s="89" t="str">
        <x:v>Sí</x:v>
      </x:c>
      <x:c r="R48" s="89" t="str">
        <x:v>Ergonomía</x:v>
      </x:c>
      <x:c r="S48" s="106" t="n">
        <x:v>45097</x:v>
      </x:c>
      <x:c r="T48" s="89" t="str">
        <x:f>IF(O48&lt;Instructivo!$B$4,"Vencido",IF(O48&lt;=Instructivo!$B$4+30,"Próximo a vencer","Vigente"))</x:f>
        <x:v>Vencido</x:v>
      </x:c>
      <x:c r="U48" s="89" t="str">
        <x:v>Analista SST</x:v>
      </x:c>
      <x:c r="V48" s="90" t="str">
        <x:v>Pendiente firma de concepto médico</x:v>
      </x:c>
    </x:row>
    <x:row r="49">
      <x:c r="A49" s="88" t="n">
        <x:v>2023</x:v>
      </x:c>
      <x:c r="B49" s="89" t="str">
        <x:v>EMO-2023-0048</x:v>
      </x:c>
      <x:c r="C49" s="106" t="n">
        <x:v>45277</x:v>
      </x:c>
      <x:c r="D49" s="89" t="str">
        <x:v>Post-exposición</x:v>
      </x:c>
      <x:c r="E49" s="89" t="str">
        <x:v>403657144</x:v>
      </x:c>
      <x:c r="F49" s="89" t="str">
        <x:v>José Laura Pérez Moreno</x:v>
      </x:c>
      <x:c r="G49" s="89" t="str">
        <x:v>Escolta</x:v>
      </x:c>
      <x:c r="H49" s="89" t="str">
        <x:v>Cúcuta</x:v>
      </x:c>
      <x:c r="I49" s="89" t="str">
        <x:v>Escoltas</x:v>
      </x:c>
      <x:c r="J49" s="89" t="str">
        <x:v>Salud Integral Ocupacional</x:v>
      </x:c>
      <x:c r="K49" s="89" t="str">
        <x:v>No apto</x:v>
      </x:c>
      <x:c r="L49" s="89" t="str">
        <x:v>No apto para trabajo en turnos nocturnos</x:v>
      </x:c>
      <x:c r="M49" s="89" t="str">
        <x:v>No asignar tareas críticas hasta concepto médico</x:v>
      </x:c>
      <x:c r="N49" s="112" t="n">
        <x:v>12</x:v>
      </x:c>
      <x:c r="O49" s="106" t="n">
        <x:f>EDATE(C49,N49)</x:f>
        <x:v>45643</x:v>
      </x:c>
      <x:c r="P49" s="89" t="str">
        <x:v>E66.9 Obesidad</x:v>
      </x:c>
      <x:c r="Q49" s="89" t="str">
        <x:v>Sí</x:v>
      </x:c>
      <x:c r="R49" s="89" t="str">
        <x:v>Fisioterapia</x:v>
      </x:c>
      <x:c r="S49" s="106" t="n">
        <x:v>45337</x:v>
      </x:c>
      <x:c r="T49" s="89" t="str">
        <x:f>IF(O49&lt;Instructivo!$B$4,"Vencido",IF(O49&lt;=Instructivo!$B$4+30,"Próximo a vencer","Vigente"))</x:f>
        <x:v>Vencido</x:v>
      </x:c>
      <x:c r="U49" s="89" t="str">
        <x:v>Coordinador de Talento Humano</x:v>
      </x:c>
      <x:c r="V49" s="90" t="str">
        <x:v>Caso priorizado por restricciones activas</x:v>
      </x:c>
    </x:row>
    <x:row r="50">
      <x:c r="A50" s="88" t="n">
        <x:v>2023</x:v>
      </x:c>
      <x:c r="B50" s="89" t="str">
        <x:v>EMO-2023-0049</x:v>
      </x:c>
      <x:c r="C50" s="106" t="n">
        <x:v>45254</x:v>
      </x:c>
      <x:c r="D50" s="89" t="str">
        <x:v>Periódico</x:v>
      </x:c>
      <x:c r="E50" s="89" t="str">
        <x:v>939874152</x:v>
      </x:c>
      <x:c r="F50" s="89" t="str">
        <x:v>Juan Luisa Díaz Martínez</x:v>
      </x:c>
      <x:c r="G50" s="89" t="str">
        <x:v>Técnico de mantenimiento</x:v>
      </x:c>
      <x:c r="H50" s="89" t="str">
        <x:v>Pamplona</x:v>
      </x:c>
      <x:c r="I50" s="89" t="str">
        <x:v>Infraestructura</x:v>
      </x:c>
      <x:c r="J50" s="89" t="str">
        <x:v>Centro Médico Laboral Andino</x:v>
      </x:c>
      <x:c r="K50" s="89" t="str">
        <x:v>Apto</x:v>
      </x:c>
      <x:c r="L50" s="89" t="str"/>
      <x:c r="M50" s="89" t="str">
        <x:v>Uso permanente de EPP</x:v>
      </x:c>
      <x:c r="N50" s="112" t="n">
        <x:v>12</x:v>
      </x:c>
      <x:c r="O50" s="106" t="n">
        <x:f>EDATE(C50,N50)</x:f>
        <x:v>45620</x:v>
      </x:c>
      <x:c r="P50" s="89" t="str">
        <x:v>H52.4 Presbicia</x:v>
      </x:c>
      <x:c r="Q50" s="89" t="str">
        <x:v>No</x:v>
      </x:c>
      <x:c r="R50" s="89" t="str"/>
      <x:c r="S50" s="106"/>
      <x:c r="T50" s="89" t="str">
        <x:f>IF(O50&lt;Instructivo!$B$4,"Vencido",IF(O50&lt;=Instructivo!$B$4+30,"Próximo a vencer","Vigente"))</x:f>
        <x:v>Vencido</x:v>
      </x:c>
      <x:c r="U50" s="89" t="str">
        <x:v>Analista SST</x:v>
      </x:c>
      <x:c r="V50" s="90" t="str">
        <x:v>Registro completo y soportado en historia ocupacional</x:v>
      </x:c>
    </x:row>
    <x:row r="51">
      <x:c r="A51" s="88" t="n">
        <x:v>2023</x:v>
      </x:c>
      <x:c r="B51" s="89" t="str">
        <x:v>EMO-2023-0050</x:v>
      </x:c>
      <x:c r="C51" s="106" t="n">
        <x:v>45211</x:v>
      </x:c>
      <x:c r="D51" s="89" t="str">
        <x:v>Ingreso</x:v>
      </x:c>
      <x:c r="E51" s="89" t="str">
        <x:v>652651601</x:v>
      </x:c>
      <x:c r="F51" s="89" t="str">
        <x:v>Yulieth Ana Martínez Cárdenas</x:v>
      </x:c>
      <x:c r="G51" s="89" t="str">
        <x:v>Operador de medios tecnológicos</x:v>
      </x:c>
      <x:c r="H51" s="89" t="str">
        <x:v>Cúcuta</x:v>
      </x:c>
      <x:c r="I51" s="89" t="str">
        <x:v>Medios Tecnológicos</x:v>
      </x:c>
      <x:c r="J51" s="89" t="str">
        <x:v>Centro Médico Laboral Andino</x:v>
      </x:c>
      <x:c r="K51" s="89" t="str">
        <x:v>Apto</x:v>
      </x:c>
      <x:c r="L51" s="89" t="str"/>
      <x:c r="M51" s="89" t="str">
        <x:v>Participar en programas de vigilancia epidemiológica</x:v>
      </x:c>
      <x:c r="N51" s="112" t="n">
        <x:v>12</x:v>
      </x:c>
      <x:c r="O51" s="106" t="n">
        <x:f>EDATE(C51,N51)</x:f>
        <x:v>45577</x:v>
      </x:c>
      <x:c r="P51" s="89" t="str">
        <x:v>M54.5 Lumbalgia</x:v>
      </x:c>
      <x:c r="Q51" s="89" t="str">
        <x:v>No</x:v>
      </x:c>
      <x:c r="R51" s="89" t="str"/>
      <x:c r="S51" s="106"/>
      <x:c r="T51" s="89" t="str">
        <x:f>IF(O51&lt;Instructivo!$B$4,"Vencido",IF(O51&lt;=Instructivo!$B$4+30,"Próximo a vencer","Vigente"))</x:f>
        <x:v>Vencido</x:v>
      </x:c>
      <x:c r="U51" s="89" t="str">
        <x:v>Líder SST</x:v>
      </x:c>
      <x:c r="V51" s="90" t="str">
        <x:v>Caso priorizado por restricciones activas</x:v>
      </x:c>
    </x:row>
    <x:row r="52">
      <x:c r="A52" s="88" t="n">
        <x:v>2023</x:v>
      </x:c>
      <x:c r="B52" s="89" t="str">
        <x:v>EMO-2023-0051</x:v>
      </x:c>
      <x:c r="C52" s="106" t="n">
        <x:v>45173</x:v>
      </x:c>
      <x:c r="D52" s="89" t="str">
        <x:v>Periódico</x:v>
      </x:c>
      <x:c r="E52" s="89" t="str">
        <x:v>492813596</x:v>
      </x:c>
      <x:c r="F52" s="89" t="str">
        <x:v>Diana Juan Díaz Suárez</x:v>
      </x:c>
      <x:c r="G52" s="89" t="str">
        <x:v>Vigilante</x:v>
      </x:c>
      <x:c r="H52" s="89" t="str">
        <x:v>Ocaña</x:v>
      </x:c>
      <x:c r="I52" s="89" t="str">
        <x:v>Operaciones</x:v>
      </x:c>
      <x:c r="J52" s="89" t="str">
        <x:v>Centro Médico Laboral Andino</x:v>
      </x:c>
      <x:c r="K52" s="89" t="str">
        <x:v>Apto</x:v>
      </x:c>
      <x:c r="L52" s="89" t="str"/>
      <x:c r="M52" s="89" t="str">
        <x:v>Participar en programas de vigilancia epidemiológica</x:v>
      </x:c>
      <x:c r="N52" s="112" t="n">
        <x:v>12</x:v>
      </x:c>
      <x:c r="O52" s="106" t="n">
        <x:f>EDATE(C52,N52)</x:f>
        <x:v>45539</x:v>
      </x:c>
      <x:c r="P52" s="89" t="str">
        <x:v>R51 Cefalea</x:v>
      </x:c>
      <x:c r="Q52" s="89" t="str">
        <x:v>No</x:v>
      </x:c>
      <x:c r="R52" s="89" t="str"/>
      <x:c r="S52" s="106"/>
      <x:c r="T52" s="89" t="str">
        <x:f>IF(O52&lt;Instructivo!$B$4,"Vencido",IF(O52&lt;=Instructivo!$B$4+30,"Próximo a vencer","Vigente"))</x:f>
        <x:v>Vencido</x:v>
      </x:c>
      <x:c r="U52" s="89" t="str">
        <x:v>Líder SST</x:v>
      </x:c>
      <x:c r="V52" s="90" t="str">
        <x:v>Registro completo y soportado en historia ocupacional</x:v>
      </x:c>
    </x:row>
    <x:row r="53">
      <x:c r="A53" s="88" t="n">
        <x:v>2023</x:v>
      </x:c>
      <x:c r="B53" s="89" t="str">
        <x:v>EMO-2023-0052</x:v>
      </x:c>
      <x:c r="C53" s="106" t="n">
        <x:v>45192</x:v>
      </x:c>
      <x:c r="D53" s="89" t="str">
        <x:v>Periódico</x:v>
      </x:c>
      <x:c r="E53" s="89" t="str">
        <x:v>447970771</x:v>
      </x:c>
      <x:c r="F53" s="89" t="str">
        <x:v>Wilson Wilson Ramírez Cárdenas</x:v>
      </x:c>
      <x:c r="G53" s="89" t="str">
        <x:v>Vigilante</x:v>
      </x:c>
      <x:c r="H53" s="89" t="str">
        <x:v>Valledupar</x:v>
      </x:c>
      <x:c r="I53" s="89" t="str">
        <x:v>Operaciones</x:v>
      </x:c>
      <x:c r="J53" s="89" t="str">
        <x:v>IPS Prevencionar</x:v>
      </x:c>
      <x:c r="K53" s="89" t="str">
        <x:v>Apto</x:v>
      </x:c>
      <x:c r="L53" s="89" t="str"/>
      <x:c r="M53" s="89" t="str">
        <x:v>Mantener estilos de vida saludable</x:v>
      </x:c>
      <x:c r="N53" s="112" t="n">
        <x:v>12</x:v>
      </x:c>
      <x:c r="O53" s="106" t="n">
        <x:f>EDATE(C53,N53)</x:f>
        <x:v>45558</x:v>
      </x:c>
      <x:c r="P53" s="89" t="str">
        <x:v>Z00.0 Examen general</x:v>
      </x:c>
      <x:c r="Q53" s="89" t="str">
        <x:v>No</x:v>
      </x:c>
      <x:c r="R53" s="89" t="str"/>
      <x:c r="S53" s="106"/>
      <x:c r="T53" s="89" t="str">
        <x:f>IF(O53&lt;Instructivo!$B$4,"Vencido",IF(O53&lt;=Instructivo!$B$4+30,"Próximo a vencer","Vigente"))</x:f>
        <x:v>Vencido</x:v>
      </x:c>
      <x:c r="U53" s="89" t="str">
        <x:v>Líder SST</x:v>
      </x:c>
      <x:c r="V53" s="90" t="str">
        <x:v>Pendiente firma de concepto médico</x:v>
      </x:c>
    </x:row>
    <x:row r="54">
      <x:c r="A54" s="88" t="n">
        <x:v>2023</x:v>
      </x:c>
      <x:c r="B54" s="89" t="str">
        <x:v>EMO-2023-0053</x:v>
      </x:c>
      <x:c r="C54" s="106" t="n">
        <x:v>45012</x:v>
      </x:c>
      <x:c r="D54" s="89" t="str">
        <x:v>Ingreso</x:v>
      </x:c>
      <x:c r="E54" s="89" t="str">
        <x:v>599106886</x:v>
      </x:c>
      <x:c r="F54" s="89" t="str">
        <x:v>Andrés Kevin Suárez Rojas</x:v>
      </x:c>
      <x:c r="G54" s="89" t="str">
        <x:v>Vigilante</x:v>
      </x:c>
      <x:c r="H54" s="89" t="str">
        <x:v>Valledupar</x:v>
      </x:c>
      <x:c r="I54" s="89" t="str">
        <x:v>Operaciones</x:v>
      </x:c>
      <x:c r="J54" s="89" t="str">
        <x:v>Colmédica Ocupacional</x:v>
      </x:c>
      <x:c r="K54" s="89" t="str">
        <x:v>Apto</x:v>
      </x:c>
      <x:c r="L54" s="89" t="str"/>
      <x:c r="M54" s="89" t="str">
        <x:v>Mantener estilos de vida saludable</x:v>
      </x:c>
      <x:c r="N54" s="112" t="n">
        <x:v>12</x:v>
      </x:c>
      <x:c r="O54" s="106" t="n">
        <x:f>EDATE(C54,N54)</x:f>
        <x:v>45378</x:v>
      </x:c>
      <x:c r="P54" s="89" t="str">
        <x:v>M54.5 Lumbalgia</x:v>
      </x:c>
      <x:c r="Q54" s="89" t="str">
        <x:v>No</x:v>
      </x:c>
      <x:c r="R54" s="89" t="str"/>
      <x:c r="S54" s="106"/>
      <x:c r="T54" s="89" t="str">
        <x:f>IF(O54&lt;Instructivo!$B$4,"Vencido",IF(O54&lt;=Instructivo!$B$4+30,"Próximo a vencer","Vigente"))</x:f>
        <x:v>Vencido</x:v>
      </x:c>
      <x:c r="U54" s="89" t="str">
        <x:v>Coordinador de Talento Humano</x:v>
      </x:c>
      <x:c r="V54" s="90" t="str">
        <x:v>Caso priorizado por restricciones activas</x:v>
      </x:c>
    </x:row>
    <x:row r="55">
      <x:c r="A55" s="88" t="n">
        <x:v>2023</x:v>
      </x:c>
      <x:c r="B55" s="89" t="str">
        <x:v>EMO-2023-0054</x:v>
      </x:c>
      <x:c r="C55" s="106" t="n">
        <x:v>45210</x:v>
      </x:c>
      <x:c r="D55" s="89" t="str">
        <x:v>Periódico</x:v>
      </x:c>
      <x:c r="E55" s="89" t="str">
        <x:v>394740036</x:v>
      </x:c>
      <x:c r="F55" s="89" t="str">
        <x:v>Juan Luisa Sánchez Suárez</x:v>
      </x:c>
      <x:c r="G55" s="89" t="str">
        <x:v>Auxiliar administrativo</x:v>
      </x:c>
      <x:c r="H55" s="89" t="str">
        <x:v>Barrancabermeja</x:v>
      </x:c>
      <x:c r="I55" s="89" t="str">
        <x:v>Administrativa</x:v>
      </x:c>
      <x:c r="J55" s="89" t="str">
        <x:v>Salud Integral Ocupacional</x:v>
      </x:c>
      <x:c r="K55" s="89" t="str">
        <x:v>Apto</x:v>
      </x:c>
      <x:c r="L55" s="89" t="str"/>
      <x:c r="M55" s="89" t="str">
        <x:v>Uso permanente de EPP</x:v>
      </x:c>
      <x:c r="N55" s="112" t="n">
        <x:v>12</x:v>
      </x:c>
      <x:c r="O55" s="106" t="n">
        <x:f>EDATE(C55,N55)</x:f>
        <x:v>45576</x:v>
      </x:c>
      <x:c r="P55" s="89" t="str">
        <x:v>H52.4 Presbicia</x:v>
      </x:c>
      <x:c r="Q55" s="89" t="str">
        <x:v>No</x:v>
      </x:c>
      <x:c r="R55" s="89" t="str"/>
      <x:c r="S55" s="106"/>
      <x:c r="T55" s="89" t="str">
        <x:f>IF(O55&lt;Instructivo!$B$4,"Vencido",IF(O55&lt;=Instructivo!$B$4+30,"Próximo a vencer","Vigente"))</x:f>
        <x:v>Vencido</x:v>
      </x:c>
      <x:c r="U55" s="89" t="str">
        <x:v>Analista SST</x:v>
      </x:c>
      <x:c r="V55" s="90" t="str">
        <x:v>Registro completo y soportado en historia ocupacional</x:v>
      </x:c>
    </x:row>
    <x:row r="56">
      <x:c r="A56" s="88" t="n">
        <x:v>2023</x:v>
      </x:c>
      <x:c r="B56" s="89" t="str">
        <x:v>EMO-2023-0055</x:v>
      </x:c>
      <x:c r="C56" s="106" t="n">
        <x:v>45237</x:v>
      </x:c>
      <x:c r="D56" s="89" t="str">
        <x:v>Periódico</x:v>
      </x:c>
      <x:c r="E56" s="89" t="str">
        <x:v>162548511</x:v>
      </x:c>
      <x:c r="F56" s="89" t="str">
        <x:v>Ana Sergio Torres Gómez</x:v>
      </x:c>
      <x:c r="G56" s="89" t="str">
        <x:v>Analista SST</x:v>
      </x:c>
      <x:c r="H56" s="89" t="str">
        <x:v>Cúcuta</x:v>
      </x:c>
      <x:c r="I56" s="89" t="str">
        <x:v>SST</x:v>
      </x:c>
      <x:c r="J56" s="89" t="str">
        <x:v>IPS Ocupasalud SAS</x:v>
      </x:c>
      <x:c r="K56" s="89" t="str">
        <x:v>Apto</x:v>
      </x:c>
      <x:c r="L56" s="89" t="str"/>
      <x:c r="M56" s="89" t="str">
        <x:v>Continuar controles periódicos anuales</x:v>
      </x:c>
      <x:c r="N56" s="112" t="n">
        <x:v>12</x:v>
      </x:c>
      <x:c r="O56" s="106" t="n">
        <x:f>EDATE(C56,N56)</x:f>
        <x:v>45603</x:v>
      </x:c>
      <x:c r="P56" s="89" t="str">
        <x:v>Z00.0 Examen general</x:v>
      </x:c>
      <x:c r="Q56" s="89" t="str">
        <x:v>No</x:v>
      </x:c>
      <x:c r="R56" s="89" t="str"/>
      <x:c r="S56" s="106"/>
      <x:c r="T56" s="89" t="str">
        <x:f>IF(O56&lt;Instructivo!$B$4,"Vencido",IF(O56&lt;=Instructivo!$B$4+30,"Próximo a vencer","Vigente"))</x:f>
        <x:v>Vencido</x:v>
      </x:c>
      <x:c r="U56" s="89" t="str">
        <x:v>Coordinador de Talento Humano</x:v>
      </x:c>
      <x:c r="V56" s="90" t="str">
        <x:v>Registro completo y soportado en historia ocupacional</x:v>
      </x:c>
    </x:row>
    <x:row r="57">
      <x:c r="A57" s="88" t="n">
        <x:v>2023</x:v>
      </x:c>
      <x:c r="B57" s="89" t="str">
        <x:v>EMO-2023-0056</x:v>
      </x:c>
      <x:c r="C57" s="106" t="n">
        <x:v>45141</x:v>
      </x:c>
      <x:c r="D57" s="89" t="str">
        <x:v>Periódico</x:v>
      </x:c>
      <x:c r="E57" s="89" t="str">
        <x:v>508321474</x:v>
      </x:c>
      <x:c r="F57" s="89" t="str">
        <x:v>Paola María Martínez Suárez</x:v>
      </x:c>
      <x:c r="G57" s="89" t="str">
        <x:v>Vigilante</x:v>
      </x:c>
      <x:c r="H57" s="89" t="str">
        <x:v>Ábrego</x:v>
      </x:c>
      <x:c r="I57" s="89" t="str">
        <x:v>Operaciones</x:v>
      </x:c>
      <x:c r="J57" s="89" t="str">
        <x:v>Salud Integral Ocupacional</x:v>
      </x:c>
      <x:c r="K57" s="89" t="str">
        <x:v>Apto</x:v>
      </x:c>
      <x:c r="L57" s="89" t="str"/>
      <x:c r="M57" s="89" t="str">
        <x:v>Continuar controles periódicos anuales</x:v>
      </x:c>
      <x:c r="N57" s="112" t="n">
        <x:v>12</x:v>
      </x:c>
      <x:c r="O57" s="106" t="n">
        <x:f>EDATE(C57,N57)</x:f>
        <x:v>45507</x:v>
      </x:c>
      <x:c r="P57" s="89" t="str">
        <x:v>E66.9 Obesidad</x:v>
      </x:c>
      <x:c r="Q57" s="89" t="str">
        <x:v>No</x:v>
      </x:c>
      <x:c r="R57" s="89" t="str"/>
      <x:c r="S57" s="106"/>
      <x:c r="T57" s="89" t="str">
        <x:f>IF(O57&lt;Instructivo!$B$4,"Vencido",IF(O57&lt;=Instructivo!$B$4+30,"Próximo a vencer","Vigente"))</x:f>
        <x:v>Vencido</x:v>
      </x:c>
      <x:c r="U57" s="89" t="str">
        <x:v>Coordinador de Talento Humano</x:v>
      </x:c>
      <x:c r="V57" s="90" t="str">
        <x:v>Requiere revisión de puesto de trabajo</x:v>
      </x:c>
    </x:row>
    <x:row r="58">
      <x:c r="A58" s="88" t="n">
        <x:v>2023</x:v>
      </x:c>
      <x:c r="B58" s="89" t="str">
        <x:v>EMO-2023-0057</x:v>
      </x:c>
      <x:c r="C58" s="106" t="n">
        <x:v>45278</x:v>
      </x:c>
      <x:c r="D58" s="89" t="str">
        <x:v>Ingreso</x:v>
      </x:c>
      <x:c r="E58" s="89" t="str">
        <x:v>292255409</x:v>
      </x:c>
      <x:c r="F58" s="89" t="str">
        <x:v>Wilson Carolina Torres Parra</x:v>
      </x:c>
      <x:c r="G58" s="89" t="str">
        <x:v>Escolta</x:v>
      </x:c>
      <x:c r="H58" s="89" t="str">
        <x:v>Arauca</x:v>
      </x:c>
      <x:c r="I58" s="89" t="str">
        <x:v>Escoltas</x:v>
      </x:c>
      <x:c r="J58" s="89" t="str">
        <x:v>IPS Prevencionar</x:v>
      </x:c>
      <x:c r="K58" s="89" t="str">
        <x:v>Apto</x:v>
      </x:c>
      <x:c r="L58" s="89" t="str"/>
      <x:c r="M58" s="89" t="str">
        <x:v>Participar en programas de vigilancia epidemiológica</x:v>
      </x:c>
      <x:c r="N58" s="112" t="n">
        <x:v>12</x:v>
      </x:c>
      <x:c r="O58" s="106" t="n">
        <x:f>EDATE(C58,N58)</x:f>
        <x:v>45644</x:v>
      </x:c>
      <x:c r="P58" s="89" t="str">
        <x:v>G56.0 Síndrome túnel carpiano</x:v>
      </x:c>
      <x:c r="Q58" s="89" t="str">
        <x:v>Sí</x:v>
      </x:c>
      <x:c r="R58" s="89" t="str">
        <x:v>Medicina laboral</x:v>
      </x:c>
      <x:c r="S58" s="106" t="n">
        <x:v>45338</x:v>
      </x:c>
      <x:c r="T58" s="89" t="str">
        <x:f>IF(O58&lt;Instructivo!$B$4,"Vencido",IF(O58&lt;=Instructivo!$B$4+30,"Próximo a vencer","Vigente"))</x:f>
        <x:v>Vencido</x:v>
      </x:c>
      <x:c r="U58" s="89" t="str">
        <x:v>Médico Ocupacional</x:v>
      </x:c>
      <x:c r="V58" s="90" t="str">
        <x:v>Sin novedades adicionales</x:v>
      </x:c>
    </x:row>
    <x:row r="59">
      <x:c r="A59" s="88" t="n">
        <x:v>2023</x:v>
      </x:c>
      <x:c r="B59" s="89" t="str">
        <x:v>EMO-2023-0058</x:v>
      </x:c>
      <x:c r="C59" s="106" t="n">
        <x:v>45001</x:v>
      </x:c>
      <x:c r="D59" s="89" t="str">
        <x:v>Periódico</x:v>
      </x:c>
      <x:c r="E59" s="89" t="str">
        <x:v>433995870</x:v>
      </x:c>
      <x:c r="F59" s="89" t="str">
        <x:v>Diana Julián Gómez Martínez</x:v>
      </x:c>
      <x:c r="G59" s="89" t="str">
        <x:v>Vigilante</x:v>
      </x:c>
      <x:c r="H59" s="89" t="str">
        <x:v>Valledupar</x:v>
      </x:c>
      <x:c r="I59" s="89" t="str">
        <x:v>Operaciones</x:v>
      </x:c>
      <x:c r="J59" s="89" t="str">
        <x:v>IPS Prevencionar</x:v>
      </x:c>
      <x:c r="K59" s="89" t="str">
        <x:v>Apto</x:v>
      </x:c>
      <x:c r="L59" s="89" t="str"/>
      <x:c r="M59" s="89" t="str">
        <x:v>Uso permanente de EPP</x:v>
      </x:c>
      <x:c r="N59" s="112" t="n">
        <x:v>12</x:v>
      </x:c>
      <x:c r="O59" s="106" t="n">
        <x:f>EDATE(C59,N59)</x:f>
        <x:v>45367</x:v>
      </x:c>
      <x:c r="P59" s="89" t="str">
        <x:v>H52.4 Presbicia</x:v>
      </x:c>
      <x:c r="Q59" s="89" t="str">
        <x:v>No</x:v>
      </x:c>
      <x:c r="R59" s="89" t="str"/>
      <x:c r="S59" s="106"/>
      <x:c r="T59" s="89" t="str">
        <x:f>IF(O59&lt;Instructivo!$B$4,"Vencido",IF(O59&lt;=Instructivo!$B$4+30,"Próximo a vencer","Vigente"))</x:f>
        <x:v>Vencido</x:v>
      </x:c>
      <x:c r="U59" s="89" t="str">
        <x:v>Coordinador de Talento Humano</x:v>
      </x:c>
      <x:c r="V59" s="90" t="str">
        <x:v>Se recomienda seguimiento por comité SST</x:v>
      </x:c>
    </x:row>
    <x:row r="60">
      <x:c r="A60" s="88" t="n">
        <x:v>2023</x:v>
      </x:c>
      <x:c r="B60" s="89" t="str">
        <x:v>EMO-2023-0059</x:v>
      </x:c>
      <x:c r="C60" s="106" t="n">
        <x:v>45091</x:v>
      </x:c>
      <x:c r="D60" s="89" t="str">
        <x:v>Periódico</x:v>
      </x:c>
      <x:c r="E60" s="89" t="str">
        <x:v>856018975</x:v>
      </x:c>
      <x:c r="F60" s="89" t="str">
        <x:v>Ana Sergio Torres Cárdenas</x:v>
      </x:c>
      <x:c r="G60" s="89" t="str">
        <x:v>Conductor</x:v>
      </x:c>
      <x:c r="H60" s="89" t="str">
        <x:v>Medellín</x:v>
      </x:c>
      <x:c r="I60" s="89" t="str">
        <x:v>Logística</x:v>
      </x:c>
      <x:c r="J60" s="89" t="str">
        <x:v>Centro Médico Laboral Andino</x:v>
      </x:c>
      <x:c r="K60" s="89" t="str">
        <x:v>Apto</x:v>
      </x:c>
      <x:c r="L60" s="89" t="str"/>
      <x:c r="M60" s="89" t="str">
        <x:v>Continuar controles periódicos anuales</x:v>
      </x:c>
      <x:c r="N60" s="112" t="n">
        <x:v>12</x:v>
      </x:c>
      <x:c r="O60" s="106" t="n">
        <x:f>EDATE(C60,N60)</x:f>
        <x:v>45457</x:v>
      </x:c>
      <x:c r="P60" s="89" t="str">
        <x:v>M54.5 Lumbalgia</x:v>
      </x:c>
      <x:c r="Q60" s="89" t="str">
        <x:v>No</x:v>
      </x:c>
      <x:c r="R60" s="89" t="str"/>
      <x:c r="S60" s="106"/>
      <x:c r="T60" s="89" t="str">
        <x:f>IF(O60&lt;Instructivo!$B$4,"Vencido",IF(O60&lt;=Instructivo!$B$4+30,"Próximo a vencer","Vigente"))</x:f>
        <x:v>Vencido</x:v>
      </x:c>
      <x:c r="U60" s="89" t="str">
        <x:v>Líder SST</x:v>
      </x:c>
      <x:c r="V60" s="90" t="str">
        <x:v>Pendiente firma de concepto médico</x:v>
      </x:c>
    </x:row>
    <x:row r="61">
      <x:c r="A61" s="88" t="n">
        <x:v>2023</x:v>
      </x:c>
      <x:c r="B61" s="89" t="str">
        <x:v>EMO-2023-0060</x:v>
      </x:c>
      <x:c r="C61" s="106" t="n">
        <x:v>45243</x:v>
      </x:c>
      <x:c r="D61" s="89" t="str">
        <x:v>Reintegro</x:v>
      </x:c>
      <x:c r="E61" s="89" t="str">
        <x:v>437360307</x:v>
      </x:c>
      <x:c r="F61" s="89" t="str">
        <x:v>Felipe Camilo Cárdenas Parra</x:v>
      </x:c>
      <x:c r="G61" s="89" t="str">
        <x:v>Vigilante</x:v>
      </x:c>
      <x:c r="H61" s="89" t="str">
        <x:v>Barrancabermeja</x:v>
      </x:c>
      <x:c r="I61" s="89" t="str">
        <x:v>Operaciones</x:v>
      </x:c>
      <x:c r="J61" s="89" t="str">
        <x:v>Colmédica Ocupacional</x:v>
      </x:c>
      <x:c r="K61" s="89" t="str">
        <x:v>Apto</x:v>
      </x:c>
      <x:c r="L61" s="89" t="str"/>
      <x:c r="M61" s="89" t="str">
        <x:v>Mantener estilos de vida saludable</x:v>
      </x:c>
      <x:c r="N61" s="112" t="n">
        <x:v>6</x:v>
      </x:c>
      <x:c r="O61" s="106" t="n">
        <x:f>EDATE(C61,N61)</x:f>
        <x:v>45425</x:v>
      </x:c>
      <x:c r="P61" s="89" t="str">
        <x:v>I10 Hipertensión esencial</x:v>
      </x:c>
      <x:c r="Q61" s="89" t="str">
        <x:v>No</x:v>
      </x:c>
      <x:c r="R61" s="89" t="str"/>
      <x:c r="S61" s="106"/>
      <x:c r="T61" s="89" t="str">
        <x:f>IF(O61&lt;Instructivo!$B$4,"Vencido",IF(O61&lt;=Instructivo!$B$4+30,"Próximo a vencer","Vigente"))</x:f>
        <x:v>Vencido</x:v>
      </x:c>
      <x:c r="U61" s="89" t="str">
        <x:v>Analista SST</x:v>
      </x:c>
      <x:c r="V61" s="90" t="str">
        <x:v>Caso priorizado por restricciones activas</x:v>
      </x:c>
    </x:row>
    <x:row r="62">
      <x:c r="A62" s="88" t="n">
        <x:v>2023</x:v>
      </x:c>
      <x:c r="B62" s="89" t="str">
        <x:v>EMO-2023-0061</x:v>
      </x:c>
      <x:c r="C62" s="106" t="n">
        <x:v>45167</x:v>
      </x:c>
      <x:c r="D62" s="89" t="str">
        <x:v>Post-exposición</x:v>
      </x:c>
      <x:c r="E62" s="89" t="str">
        <x:v>131771600</x:v>
      </x:c>
      <x:c r="F62" s="89" t="str">
        <x:v>Felipe Carolina Gómez Díaz</x:v>
      </x:c>
      <x:c r="G62" s="89" t="str">
        <x:v>Vigilante</x:v>
      </x:c>
      <x:c r="H62" s="89" t="str">
        <x:v>Ocaña</x:v>
      </x:c>
      <x:c r="I62" s="89" t="str">
        <x:v>Operaciones</x:v>
      </x:c>
      <x:c r="J62" s="89" t="str">
        <x:v>IPS Prevencionar</x:v>
      </x:c>
      <x:c r="K62" s="89" t="str">
        <x:v>Apto</x:v>
      </x:c>
      <x:c r="L62" s="89" t="str"/>
      <x:c r="M62" s="89" t="str">
        <x:v>Uso permanente de EPP</x:v>
      </x:c>
      <x:c r="N62" s="112" t="n">
        <x:v>12</x:v>
      </x:c>
      <x:c r="O62" s="106" t="n">
        <x:f>EDATE(C62,N62)</x:f>
        <x:v>45533</x:v>
      </x:c>
      <x:c r="P62" s="89" t="str">
        <x:v>G56.0 Síndrome túnel carpiano</x:v>
      </x:c>
      <x:c r="Q62" s="89" t="str">
        <x:v>No</x:v>
      </x:c>
      <x:c r="R62" s="89" t="str"/>
      <x:c r="S62" s="106"/>
      <x:c r="T62" s="89" t="str">
        <x:f>IF(O62&lt;Instructivo!$B$4,"Vencido",IF(O62&lt;=Instructivo!$B$4+30,"Próximo a vencer","Vigente"))</x:f>
        <x:v>Vencido</x:v>
      </x:c>
      <x:c r="U62" s="89" t="str">
        <x:v>Analista SST</x:v>
      </x:c>
      <x:c r="V62" s="90" t="str">
        <x:v>Registro completo y soportado en historia ocupacional</x:v>
      </x:c>
    </x:row>
    <x:row r="63">
      <x:c r="A63" s="88" t="n">
        <x:v>2023</x:v>
      </x:c>
      <x:c r="B63" s="89" t="str">
        <x:v>EMO-2023-0062</x:v>
      </x:c>
      <x:c r="C63" s="106" t="n">
        <x:v>44952</x:v>
      </x:c>
      <x:c r="D63" s="89" t="str">
        <x:v>Periódico</x:v>
      </x:c>
      <x:c r="E63" s="89" t="str">
        <x:v>526266630</x:v>
      </x:c>
      <x:c r="F63" s="89" t="str">
        <x:v>Luisa Andrés Díaz Díaz</x:v>
      </x:c>
      <x:c r="G63" s="89" t="str">
        <x:v>Conductor</x:v>
      </x:c>
      <x:c r="H63" s="89" t="str">
        <x:v>Arauca</x:v>
      </x:c>
      <x:c r="I63" s="89" t="str">
        <x:v>Logística</x:v>
      </x:c>
      <x:c r="J63" s="89" t="str">
        <x:v>IPS Prevencionar</x:v>
      </x:c>
      <x:c r="K63" s="89" t="str">
        <x:v>Apto</x:v>
      </x:c>
      <x:c r="L63" s="89" t="str"/>
      <x:c r="M63" s="89" t="str">
        <x:v>Participar en programas de vigilancia epidemiológica</x:v>
      </x:c>
      <x:c r="N63" s="112" t="n">
        <x:v>12</x:v>
      </x:c>
      <x:c r="O63" s="106" t="n">
        <x:f>EDATE(C63,N63)</x:f>
        <x:v>45317</x:v>
      </x:c>
      <x:c r="P63" s="89" t="str">
        <x:v>E66.9 Obesidad</x:v>
      </x:c>
      <x:c r="Q63" s="89" t="str">
        <x:v>No</x:v>
      </x:c>
      <x:c r="R63" s="89" t="str"/>
      <x:c r="S63" s="106"/>
      <x:c r="T63" s="89" t="str">
        <x:f>IF(O63&lt;Instructivo!$B$4,"Vencido",IF(O63&lt;=Instructivo!$B$4+30,"Próximo a vencer","Vigente"))</x:f>
        <x:v>Vencido</x:v>
      </x:c>
      <x:c r="U63" s="89" t="str">
        <x:v>Líder SST</x:v>
      </x:c>
      <x:c r="V63" s="90" t="str">
        <x:v>Requiere revisión de puesto de trabajo</x:v>
      </x:c>
    </x:row>
    <x:row r="64">
      <x:c r="A64" s="88" t="n">
        <x:v>2023</x:v>
      </x:c>
      <x:c r="B64" s="89" t="str">
        <x:v>EMO-2023-0063</x:v>
      </x:c>
      <x:c r="C64" s="106" t="n">
        <x:v>45063</x:v>
      </x:c>
      <x:c r="D64" s="89" t="str">
        <x:v>Periódico</x:v>
      </x:c>
      <x:c r="E64" s="89" t="str">
        <x:v>222016911</x:v>
      </x:c>
      <x:c r="F64" s="89" t="str">
        <x:v>Brayan Tatiana Parra Martínez</x:v>
      </x:c>
      <x:c r="G64" s="89" t="str">
        <x:v>Técnico de mantenimiento</x:v>
      </x:c>
      <x:c r="H64" s="89" t="str">
        <x:v>Cúcuta</x:v>
      </x:c>
      <x:c r="I64" s="89" t="str">
        <x:v>Infraestructura</x:v>
      </x:c>
      <x:c r="J64" s="89" t="str">
        <x:v>Salud Integral Ocupacional</x:v>
      </x:c>
      <x:c r="K64" s="89" t="str">
        <x:v>Apto con restricciones</x:v>
      </x:c>
      <x:c r="L64" s="89" t="str">
        <x:v>Control visual y corrección óptica permanente</x:v>
      </x:c>
      <x:c r="M64" s="89" t="str">
        <x:v>Capacitación ergonómica y seguimiento SST</x:v>
      </x:c>
      <x:c r="N64" s="112" t="n">
        <x:v>12</x:v>
      </x:c>
      <x:c r="O64" s="106" t="n">
        <x:f>EDATE(C64,N64)</x:f>
        <x:v>45429</x:v>
      </x:c>
      <x:c r="P64" s="89" t="str">
        <x:v>I10 Hipertensión esencial</x:v>
      </x:c>
      <x:c r="Q64" s="89" t="str">
        <x:v>Sí</x:v>
      </x:c>
      <x:c r="R64" s="89" t="str">
        <x:v>Medicina laboral</x:v>
      </x:c>
      <x:c r="S64" s="106" t="n">
        <x:v>45153</x:v>
      </x:c>
      <x:c r="T64" s="89" t="str">
        <x:f>IF(O64&lt;Instructivo!$B$4,"Vencido",IF(O64&lt;=Instructivo!$B$4+30,"Próximo a vencer","Vigente"))</x:f>
        <x:v>Vencido</x:v>
      </x:c>
      <x:c r="U64" s="89" t="str">
        <x:v>Coordinador de Talento Humano</x:v>
      </x:c>
      <x:c r="V64" s="90" t="str">
        <x:v>Registro completo y soportado en historia ocupacional</x:v>
      </x:c>
    </x:row>
    <x:row r="65">
      <x:c r="A65" s="88" t="n">
        <x:v>2023</x:v>
      </x:c>
      <x:c r="B65" s="89" t="str">
        <x:v>EMO-2023-0064</x:v>
      </x:c>
      <x:c r="C65" s="106" t="n">
        <x:v>45125</x:v>
      </x:c>
      <x:c r="D65" s="89" t="str">
        <x:v>Periódico</x:v>
      </x:c>
      <x:c r="E65" s="89" t="str">
        <x:v>234922880</x:v>
      </x:c>
      <x:c r="F65" s="89" t="str">
        <x:v>Wilson Juan Parra Ramírez</x:v>
      </x:c>
      <x:c r="G65" s="89" t="str">
        <x:v>Conductor</x:v>
      </x:c>
      <x:c r="H65" s="89" t="str">
        <x:v>Arauca</x:v>
      </x:c>
      <x:c r="I65" s="89" t="str">
        <x:v>Logística</x:v>
      </x:c>
      <x:c r="J65" s="89" t="str">
        <x:v>Salud Integral Ocupacional</x:v>
      </x:c>
      <x:c r="K65" s="89" t="str">
        <x:v>Apto</x:v>
      </x:c>
      <x:c r="L65" s="89" t="str"/>
      <x:c r="M65" s="89" t="str">
        <x:v>Uso permanente de EPP</x:v>
      </x:c>
      <x:c r="N65" s="112" t="n">
        <x:v>12</x:v>
      </x:c>
      <x:c r="O65" s="106" t="n">
        <x:f>EDATE(C65,N65)</x:f>
        <x:v>45491</x:v>
      </x:c>
      <x:c r="P65" s="89" t="str">
        <x:v>M54.5 Lumbalgia</x:v>
      </x:c>
      <x:c r="Q65" s="89" t="str">
        <x:v>No</x:v>
      </x:c>
      <x:c r="R65" s="89" t="str"/>
      <x:c r="S65" s="106"/>
      <x:c r="T65" s="89" t="str">
        <x:f>IF(O65&lt;Instructivo!$B$4,"Vencido",IF(O65&lt;=Instructivo!$B$4+30,"Próximo a vencer","Vigente"))</x:f>
        <x:v>Vencido</x:v>
      </x:c>
      <x:c r="U65" s="89" t="str">
        <x:v>Analista SST</x:v>
      </x:c>
      <x:c r="V65" s="90" t="str">
        <x:v>Caso priorizado por restricciones activas</x:v>
      </x:c>
    </x:row>
    <x:row r="66">
      <x:c r="A66" s="88" t="n">
        <x:v>2023</x:v>
      </x:c>
      <x:c r="B66" s="89" t="str">
        <x:v>EMO-2023-0065</x:v>
      </x:c>
      <x:c r="C66" s="106" t="n">
        <x:v>45101</x:v>
      </x:c>
      <x:c r="D66" s="89" t="str">
        <x:v>Periódico</x:v>
      </x:c>
      <x:c r="E66" s="89" t="str">
        <x:v>181527021</x:v>
      </x:c>
      <x:c r="F66" s="89" t="str">
        <x:v>Felipe Luis Ramírez Torres</x:v>
      </x:c>
      <x:c r="G66" s="89" t="str">
        <x:v>Vigilante</x:v>
      </x:c>
      <x:c r="H66" s="89" t="str">
        <x:v>Arauca</x:v>
      </x:c>
      <x:c r="I66" s="89" t="str">
        <x:v>Operaciones</x:v>
      </x:c>
      <x:c r="J66" s="89" t="str">
        <x:v>Salud Integral Ocupacional</x:v>
      </x:c>
      <x:c r="K66" s="89" t="str">
        <x:v>Apto</x:v>
      </x:c>
      <x:c r="L66" s="89" t="str"/>
      <x:c r="M66" s="89" t="str">
        <x:v>Uso permanente de EPP</x:v>
      </x:c>
      <x:c r="N66" s="112" t="n">
        <x:v>12</x:v>
      </x:c>
      <x:c r="O66" s="106" t="n">
        <x:f>EDATE(C66,N66)</x:f>
        <x:v>45467</x:v>
      </x:c>
      <x:c r="P66" s="89" t="str">
        <x:v>M75.1 Lesión de hombro</x:v>
      </x:c>
      <x:c r="Q66" s="89" t="str">
        <x:v>No</x:v>
      </x:c>
      <x:c r="R66" s="89" t="str"/>
      <x:c r="S66" s="106"/>
      <x:c r="T66" s="89" t="str">
        <x:f>IF(O66&lt;Instructivo!$B$4,"Vencido",IF(O66&lt;=Instructivo!$B$4+30,"Próximo a vencer","Vigente"))</x:f>
        <x:v>Vencido</x:v>
      </x:c>
      <x:c r="U66" s="89" t="str">
        <x:v>Líder SST</x:v>
      </x:c>
      <x:c r="V66" s="90" t="str">
        <x:v>Pendiente firma de concepto médico</x:v>
      </x:c>
    </x:row>
    <x:row r="67">
      <x:c r="A67" s="88" t="n">
        <x:v>2023</x:v>
      </x:c>
      <x:c r="B67" s="89" t="str">
        <x:v>EMO-2023-0066</x:v>
      </x:c>
      <x:c r="C67" s="106" t="n">
        <x:v>45098</x:v>
      </x:c>
      <x:c r="D67" s="89" t="str">
        <x:v>Ingreso</x:v>
      </x:c>
      <x:c r="E67" s="89" t="str">
        <x:v>826279418</x:v>
      </x:c>
      <x:c r="F67" s="89" t="str">
        <x:v>Camilo Ana Castro Suárez</x:v>
      </x:c>
      <x:c r="G67" s="89" t="str">
        <x:v>Vigilante</x:v>
      </x:c>
      <x:c r="H67" s="89" t="str">
        <x:v>Ábrego</x:v>
      </x:c>
      <x:c r="I67" s="89" t="str">
        <x:v>Operaciones</x:v>
      </x:c>
      <x:c r="J67" s="89" t="str">
        <x:v>Centro Médico Laboral Andino</x:v>
      </x:c>
      <x:c r="K67" s="89" t="str">
        <x:v>Apto con restricciones</x:v>
      </x:c>
      <x:c r="L67" s="89" t="str">
        <x:v>No exposición prolongada a ruido alto sin doble protección</x:v>
      </x:c>
      <x:c r="M67" s="89" t="str">
        <x:v>Control por optometría/medicina general</x:v>
      </x:c>
      <x:c r="N67" s="112" t="n">
        <x:v>12</x:v>
      </x:c>
      <x:c r="O67" s="106" t="n">
        <x:f>EDATE(C67,N67)</x:f>
        <x:v>45464</x:v>
      </x:c>
      <x:c r="P67" s="89" t="str">
        <x:v>R51 Cefalea</x:v>
      </x:c>
      <x:c r="Q67" s="89" t="str">
        <x:v>Sí</x:v>
      </x:c>
      <x:c r="R67" s="89" t="str">
        <x:v>Ergonomía</x:v>
      </x:c>
      <x:c r="S67" s="106" t="n">
        <x:v>45218</x:v>
      </x:c>
      <x:c r="T67" s="89" t="str">
        <x:f>IF(O67&lt;Instructivo!$B$4,"Vencido",IF(O67&lt;=Instructivo!$B$4+30,"Próximo a vencer","Vigente"))</x:f>
        <x:v>Vencido</x:v>
      </x:c>
      <x:c r="U67" s="89" t="str">
        <x:v>Coordinador de Talento Humano</x:v>
      </x:c>
      <x:c r="V67" s="90" t="str">
        <x:v>Caso priorizado por restricciones activas</x:v>
      </x:c>
    </x:row>
    <x:row r="68">
      <x:c r="A68" s="88" t="n">
        <x:v>2023</x:v>
      </x:c>
      <x:c r="B68" s="89" t="str">
        <x:v>EMO-2023-0067</x:v>
      </x:c>
      <x:c r="C68" s="106" t="n">
        <x:v>45243</x:v>
      </x:c>
      <x:c r="D68" s="89" t="str">
        <x:v>Periódico</x:v>
      </x:c>
      <x:c r="E68" s="89" t="str">
        <x:v>242795765</x:v>
      </x:c>
      <x:c r="F68" s="89" t="str">
        <x:v>Tatiana Laura López Torres</x:v>
      </x:c>
      <x:c r="G68" s="89" t="str">
        <x:v>Vigilante</x:v>
      </x:c>
      <x:c r="H68" s="89" t="str">
        <x:v>Barrancabermeja</x:v>
      </x:c>
      <x:c r="I68" s="89" t="str">
        <x:v>Operaciones</x:v>
      </x:c>
      <x:c r="J68" s="89" t="str">
        <x:v>IPS Prevencionar</x:v>
      </x:c>
      <x:c r="K68" s="89" t="str">
        <x:v>Apto con restricciones</x:v>
      </x:c>
      <x:c r="L68" s="89" t="str">
        <x:v>Restricción para trabajo prolongado de pie</x:v>
      </x:c>
      <x:c r="M68" s="89" t="str">
        <x:v>Capacitación ergonómica y seguimiento SST</x:v>
      </x:c>
      <x:c r="N68" s="112" t="n">
        <x:v>12</x:v>
      </x:c>
      <x:c r="O68" s="106" t="n">
        <x:f>EDATE(C68,N68)</x:f>
        <x:v>45609</x:v>
      </x:c>
      <x:c r="P68" s="89" t="str">
        <x:v>E66.9 Obesidad</x:v>
      </x:c>
      <x:c r="Q68" s="89" t="str">
        <x:v>Sí</x:v>
      </x:c>
      <x:c r="R68" s="89" t="str">
        <x:v>Cardiometabólico</x:v>
      </x:c>
      <x:c r="S68" s="106" t="n">
        <x:v>45363</x:v>
      </x:c>
      <x:c r="T68" s="89" t="str">
        <x:f>IF(O68&lt;Instructivo!$B$4,"Vencido",IF(O68&lt;=Instructivo!$B$4+30,"Próximo a vencer","Vigente"))</x:f>
        <x:v>Vencido</x:v>
      </x:c>
      <x:c r="U68" s="89" t="str">
        <x:v>Médico Ocupacional</x:v>
      </x:c>
      <x:c r="V68" s="90" t="str">
        <x:v>Caso priorizado por restricciones activas</x:v>
      </x:c>
    </x:row>
    <x:row r="69">
      <x:c r="A69" s="88" t="n">
        <x:v>2023</x:v>
      </x:c>
      <x:c r="B69" s="89" t="str">
        <x:v>EMO-2023-0068</x:v>
      </x:c>
      <x:c r="C69" s="106" t="n">
        <x:v>45272</x:v>
      </x:c>
      <x:c r="D69" s="89" t="str">
        <x:v>Periódico</x:v>
      </x:c>
      <x:c r="E69" s="89" t="str">
        <x:v>532714803</x:v>
      </x:c>
      <x:c r="F69" s="89" t="str">
        <x:v>Luis Brayan Martínez Rojas</x:v>
      </x:c>
      <x:c r="G69" s="89" t="str">
        <x:v>Conductor</x:v>
      </x:c>
      <x:c r="H69" s="89" t="str">
        <x:v>Medellín</x:v>
      </x:c>
      <x:c r="I69" s="89" t="str">
        <x:v>Logística</x:v>
      </x:c>
      <x:c r="J69" s="89" t="str">
        <x:v>IPS Ocupasalud SAS</x:v>
      </x:c>
      <x:c r="K69" s="89" t="str">
        <x:v>Apto</x:v>
      </x:c>
      <x:c r="L69" s="89" t="str"/>
      <x:c r="M69" s="89" t="str">
        <x:v>Participar en programas de vigilancia epidemiológica</x:v>
      </x:c>
      <x:c r="N69" s="112" t="n">
        <x:v>12</x:v>
      </x:c>
      <x:c r="O69" s="106" t="n">
        <x:f>EDATE(C69,N69)</x:f>
        <x:v>45638</x:v>
      </x:c>
      <x:c r="P69" s="89" t="str">
        <x:v>G56.0 Síndrome túnel carpiano</x:v>
      </x:c>
      <x:c r="Q69" s="89" t="str">
        <x:v>No</x:v>
      </x:c>
      <x:c r="R69" s="89" t="str"/>
      <x:c r="S69" s="106"/>
      <x:c r="T69" s="89" t="str">
        <x:f>IF(O69&lt;Instructivo!$B$4,"Vencido",IF(O69&lt;=Instructivo!$B$4+30,"Próximo a vencer","Vigente"))</x:f>
        <x:v>Vencido</x:v>
      </x:c>
      <x:c r="U69" s="89" t="str">
        <x:v>Coordinador de Talento Humano</x:v>
      </x:c>
      <x:c r="V69" s="90" t="str">
        <x:v>Requiere revisión de puesto de trabajo</x:v>
      </x:c>
    </x:row>
    <x:row r="70">
      <x:c r="A70" s="88" t="n">
        <x:v>2023</x:v>
      </x:c>
      <x:c r="B70" s="89" t="str">
        <x:v>EMO-2023-0069</x:v>
      </x:c>
      <x:c r="C70" s="106" t="n">
        <x:v>44954</x:v>
      </x:c>
      <x:c r="D70" s="89" t="str">
        <x:v>Periódico</x:v>
      </x:c>
      <x:c r="E70" s="89" t="str">
        <x:v>264442778</x:v>
      </x:c>
      <x:c r="F70" s="89" t="str">
        <x:v>Luis Yulieth Sánchez Sánchez</x:v>
      </x:c>
      <x:c r="G70" s="89" t="str">
        <x:v>Vigilante</x:v>
      </x:c>
      <x:c r="H70" s="89" t="str">
        <x:v>Medellín</x:v>
      </x:c>
      <x:c r="I70" s="89" t="str">
        <x:v>Operaciones</x:v>
      </x:c>
      <x:c r="J70" s="89" t="str">
        <x:v>Salud Integral Ocupacional</x:v>
      </x:c>
      <x:c r="K70" s="89" t="str">
        <x:v>Apto</x:v>
      </x:c>
      <x:c r="L70" s="89" t="str"/>
      <x:c r="M70" s="89" t="str">
        <x:v>Mantener estilos de vida saludable</x:v>
      </x:c>
      <x:c r="N70" s="112" t="n">
        <x:v>12</x:v>
      </x:c>
      <x:c r="O70" s="106" t="n">
        <x:f>EDATE(C70,N70)</x:f>
        <x:v>45319</x:v>
      </x:c>
      <x:c r="P70" s="89" t="str">
        <x:v>M75.1 Lesión de hombro</x:v>
      </x:c>
      <x:c r="Q70" s="89" t="str">
        <x:v>No</x:v>
      </x:c>
      <x:c r="R70" s="89" t="str"/>
      <x:c r="S70" s="106"/>
      <x:c r="T70" s="89" t="str">
        <x:f>IF(O70&lt;Instructivo!$B$4,"Vencido",IF(O70&lt;=Instructivo!$B$4+30,"Próximo a vencer","Vigente"))</x:f>
        <x:v>Vencido</x:v>
      </x:c>
      <x:c r="U70" s="89" t="str">
        <x:v>Analista SST</x:v>
      </x:c>
      <x:c r="V70" s="90" t="str">
        <x:v>Requiere revisión de puesto de trabajo</x:v>
      </x:c>
    </x:row>
    <x:row r="71">
      <x:c r="A71" s="88" t="n">
        <x:v>2023</x:v>
      </x:c>
      <x:c r="B71" s="89" t="str">
        <x:v>EMO-2023-0070</x:v>
      </x:c>
      <x:c r="C71" s="106" t="n">
        <x:v>44984</x:v>
      </x:c>
      <x:c r="D71" s="89" t="str">
        <x:v>Ingreso</x:v>
      </x:c>
      <x:c r="E71" s="89" t="str">
        <x:v>931093026</x:v>
      </x:c>
      <x:c r="F71" s="89" t="str">
        <x:v>Yulieth Yulieth Martínez Moreno</x:v>
      </x:c>
      <x:c r="G71" s="89" t="str">
        <x:v>Vigilante</x:v>
      </x:c>
      <x:c r="H71" s="89" t="str">
        <x:v>Cúcuta</x:v>
      </x:c>
      <x:c r="I71" s="89" t="str">
        <x:v>Operaciones</x:v>
      </x:c>
      <x:c r="J71" s="89" t="str">
        <x:v>IPS Prevencionar</x:v>
      </x:c>
      <x:c r="K71" s="89" t="str">
        <x:v>Apto</x:v>
      </x:c>
      <x:c r="L71" s="89" t="str"/>
      <x:c r="M71" s="89" t="str">
        <x:v>Participar en programas de vigilancia epidemiológica</x:v>
      </x:c>
      <x:c r="N71" s="112" t="n">
        <x:v>12</x:v>
      </x:c>
      <x:c r="O71" s="106" t="n">
        <x:f>EDATE(C71,N71)</x:f>
        <x:v>45349</x:v>
      </x:c>
      <x:c r="P71" s="89" t="str">
        <x:v>I10 Hipertensión esencial</x:v>
      </x:c>
      <x:c r="Q71" s="89" t="str">
        <x:v>No</x:v>
      </x:c>
      <x:c r="R71" s="89" t="str"/>
      <x:c r="S71" s="106"/>
      <x:c r="T71" s="89" t="str">
        <x:f>IF(O71&lt;Instructivo!$B$4,"Vencido",IF(O71&lt;=Instructivo!$B$4+30,"Próximo a vencer","Vigente"))</x:f>
        <x:v>Vencido</x:v>
      </x:c>
      <x:c r="U71" s="89" t="str">
        <x:v>Médico Ocupacional</x:v>
      </x:c>
      <x:c r="V71" s="90" t="str">
        <x:v>Pendiente firma de concepto médico</x:v>
      </x:c>
    </x:row>
    <x:row r="72">
      <x:c r="A72" s="88" t="n">
        <x:v>2023</x:v>
      </x:c>
      <x:c r="B72" s="89" t="str">
        <x:v>EMO-2023-0071</x:v>
      </x:c>
      <x:c r="C72" s="106" t="n">
        <x:v>45169</x:v>
      </x:c>
      <x:c r="D72" s="89" t="str">
        <x:v>Periódico</x:v>
      </x:c>
      <x:c r="E72" s="89" t="str">
        <x:v>419911492</x:v>
      </x:c>
      <x:c r="F72" s="89" t="str">
        <x:v>Sergio Diana Hernández Hernández</x:v>
      </x:c>
      <x:c r="G72" s="89" t="str">
        <x:v>Vigilante</x:v>
      </x:c>
      <x:c r="H72" s="89" t="str">
        <x:v>Cúcuta</x:v>
      </x:c>
      <x:c r="I72" s="89" t="str">
        <x:v>Operaciones</x:v>
      </x:c>
      <x:c r="J72" s="89" t="str">
        <x:v>Colmédica Ocupacional</x:v>
      </x:c>
      <x:c r="K72" s="89" t="str">
        <x:v>Apto con restricciones</x:v>
      </x:c>
      <x:c r="L72" s="89" t="str">
        <x:v>Evitar levantamiento de cargas mayores a 15 kg</x:v>
      </x:c>
      <x:c r="M72" s="89" t="str">
        <x:v>Reubicación o ajuste razonable del puesto</x:v>
      </x:c>
      <x:c r="N72" s="112" t="n">
        <x:v>12</x:v>
      </x:c>
      <x:c r="O72" s="106" t="n">
        <x:f>EDATE(C72,N72)</x:f>
        <x:v>45535</x:v>
      </x:c>
      <x:c r="P72" s="89" t="str">
        <x:v>G56.0 Síndrome túnel carpiano</x:v>
      </x:c>
      <x:c r="Q72" s="89" t="str">
        <x:v>Sí</x:v>
      </x:c>
      <x:c r="R72" s="89" t="str">
        <x:v>Cardiometabólico</x:v>
      </x:c>
      <x:c r="S72" s="106" t="n">
        <x:v>45229</x:v>
      </x:c>
      <x:c r="T72" s="89" t="str">
        <x:f>IF(O72&lt;Instructivo!$B$4,"Vencido",IF(O72&lt;=Instructivo!$B$4+30,"Próximo a vencer","Vigente"))</x:f>
        <x:v>Vencido</x:v>
      </x:c>
      <x:c r="U72" s="89" t="str">
        <x:v>Médico Ocupacional</x:v>
      </x:c>
      <x:c r="V72" s="90" t="str">
        <x:v>Caso priorizado por restricciones activas</x:v>
      </x:c>
    </x:row>
    <x:row r="73">
      <x:c r="A73" s="88" t="n">
        <x:v>2023</x:v>
      </x:c>
      <x:c r="B73" s="89" t="str">
        <x:v>EMO-2023-0072</x:v>
      </x:c>
      <x:c r="C73" s="106" t="n">
        <x:v>45163</x:v>
      </x:c>
      <x:c r="D73" s="89" t="str">
        <x:v>Reintegro</x:v>
      </x:c>
      <x:c r="E73" s="89" t="str">
        <x:v>195074336</x:v>
      </x:c>
      <x:c r="F73" s="89" t="str">
        <x:v>Andrés Karen Díaz Martínez</x:v>
      </x:c>
      <x:c r="G73" s="89" t="str">
        <x:v>Operador de medios tecnológicos</x:v>
      </x:c>
      <x:c r="H73" s="89" t="str">
        <x:v>Tibú</x:v>
      </x:c>
      <x:c r="I73" s="89" t="str">
        <x:v>Medios Tecnológicos</x:v>
      </x:c>
      <x:c r="J73" s="89" t="str">
        <x:v>Colmédica Ocupacional</x:v>
      </x:c>
      <x:c r="K73" s="89" t="str">
        <x:v>Apto con restricciones</x:v>
      </x:c>
      <x:c r="L73" s="89" t="str">
        <x:v>Restricción para trabajo prolongado de pie</x:v>
      </x:c>
      <x:c r="M73" s="89" t="str">
        <x:v>Capacitación ergonómica y seguimiento SST</x:v>
      </x:c>
      <x:c r="N73" s="112" t="n">
        <x:v>6</x:v>
      </x:c>
      <x:c r="O73" s="106" t="n">
        <x:f>EDATE(C73,N73)</x:f>
        <x:v>45347</x:v>
      </x:c>
      <x:c r="P73" s="89" t="str">
        <x:v>G56.0 Síndrome túnel carpiano</x:v>
      </x:c>
      <x:c r="Q73" s="89" t="str">
        <x:v>Sí</x:v>
      </x:c>
      <x:c r="R73" s="89" t="str">
        <x:v>Fisioterapia</x:v>
      </x:c>
      <x:c r="S73" s="106" t="n">
        <x:v>45283</x:v>
      </x:c>
      <x:c r="T73" s="89" t="str">
        <x:f>IF(O73&lt;Instructivo!$B$4,"Vencido",IF(O73&lt;=Instructivo!$B$4+30,"Próximo a vencer","Vigente"))</x:f>
        <x:v>Vencido</x:v>
      </x:c>
      <x:c r="U73" s="89" t="str">
        <x:v>Analista SST</x:v>
      </x:c>
      <x:c r="V73" s="90" t="str">
        <x:v>Requiere revisión de puesto de trabajo</x:v>
      </x:c>
    </x:row>
    <x:row r="74">
      <x:c r="A74" s="88" t="n">
        <x:v>2024</x:v>
      </x:c>
      <x:c r="B74" s="89" t="str">
        <x:v>EMO-2024-0001</x:v>
      </x:c>
      <x:c r="C74" s="106" t="n">
        <x:v>45445</x:v>
      </x:c>
      <x:c r="D74" s="89" t="str">
        <x:v>Periódico</x:v>
      </x:c>
      <x:c r="E74" s="89" t="str">
        <x:v>999689889</x:v>
      </x:c>
      <x:c r="F74" s="89" t="str">
        <x:v>Álvaro Carlos Ramírez Martínez</x:v>
      </x:c>
      <x:c r="G74" s="89" t="str">
        <x:v>Coordinador de operaciones</x:v>
      </x:c>
      <x:c r="H74" s="89" t="str">
        <x:v>Girón</x:v>
      </x:c>
      <x:c r="I74" s="89" t="str">
        <x:v>Operaciones</x:v>
      </x:c>
      <x:c r="J74" s="89" t="str">
        <x:v>Centro Médico Laboral Andino</x:v>
      </x:c>
      <x:c r="K74" s="89" t="str">
        <x:v>Apto</x:v>
      </x:c>
      <x:c r="L74" s="89" t="str"/>
      <x:c r="M74" s="89" t="str">
        <x:v>Uso permanente de EPP</x:v>
      </x:c>
      <x:c r="N74" s="112" t="n">
        <x:v>12</x:v>
      </x:c>
      <x:c r="O74" s="106" t="n">
        <x:f>EDATE(C74,N74)</x:f>
        <x:v>45810</x:v>
      </x:c>
      <x:c r="P74" s="89" t="str">
        <x:v>G56.0 Síndrome túnel carpiano</x:v>
      </x:c>
      <x:c r="Q74" s="89" t="str">
        <x:v>No</x:v>
      </x:c>
      <x:c r="R74" s="89" t="str"/>
      <x:c r="S74" s="106"/>
      <x:c r="T74" s="89" t="str">
        <x:f>IF(O74&lt;Instructivo!$B$4,"Vencido",IF(O74&lt;=Instructivo!$B$4+30,"Próximo a vencer","Vigente"))</x:f>
        <x:v>Vencido</x:v>
      </x:c>
      <x:c r="U74" s="89" t="str">
        <x:v>Coordinador de Talento Humano</x:v>
      </x:c>
      <x:c r="V74" s="90" t="str">
        <x:v>Requiere revisión de puesto de trabajo</x:v>
      </x:c>
    </x:row>
    <x:row r="75">
      <x:c r="A75" s="88" t="n">
        <x:v>2024</x:v>
      </x:c>
      <x:c r="B75" s="89" t="str">
        <x:v>EMO-2024-0002</x:v>
      </x:c>
      <x:c r="C75" s="106" t="n">
        <x:v>45433</x:v>
      </x:c>
      <x:c r="D75" s="89" t="str">
        <x:v>Periódico</x:v>
      </x:c>
      <x:c r="E75" s="89" t="str">
        <x:v>662672884</x:v>
      </x:c>
      <x:c r="F75" s="89" t="str">
        <x:v>María Álvaro Pérez López</x:v>
      </x:c>
      <x:c r="G75" s="89" t="str">
        <x:v>Auxiliar administrativo</x:v>
      </x:c>
      <x:c r="H75" s="89" t="str">
        <x:v>Ocaña</x:v>
      </x:c>
      <x:c r="I75" s="89" t="str">
        <x:v>Administrativa</x:v>
      </x:c>
      <x:c r="J75" s="89" t="str">
        <x:v>Colmédica Ocupacional</x:v>
      </x:c>
      <x:c r="K75" s="89" t="str">
        <x:v>Apto</x:v>
      </x:c>
      <x:c r="L75" s="89" t="str"/>
      <x:c r="M75" s="89" t="str">
        <x:v>Participar en programas de vigilancia epidemiológica</x:v>
      </x:c>
      <x:c r="N75" s="112" t="n">
        <x:v>12</x:v>
      </x:c>
      <x:c r="O75" s="106" t="n">
        <x:f>EDATE(C75,N75)</x:f>
        <x:v>45798</x:v>
      </x:c>
      <x:c r="P75" s="89" t="str">
        <x:v>H52.4 Presbicia</x:v>
      </x:c>
      <x:c r="Q75" s="89" t="str">
        <x:v>No</x:v>
      </x:c>
      <x:c r="R75" s="89" t="str"/>
      <x:c r="S75" s="106"/>
      <x:c r="T75" s="89" t="str">
        <x:f>IF(O75&lt;Instructivo!$B$4,"Vencido",IF(O75&lt;=Instructivo!$B$4+30,"Próximo a vencer","Vigente"))</x:f>
        <x:v>Vencido</x:v>
      </x:c>
      <x:c r="U75" s="89" t="str">
        <x:v>Coordinador de Talento Humano</x:v>
      </x:c>
      <x:c r="V75" s="90" t="str">
        <x:v>Sin novedades adicionales</x:v>
      </x:c>
    </x:row>
    <x:row r="76">
      <x:c r="A76" s="88" t="n">
        <x:v>2024</x:v>
      </x:c>
      <x:c r="B76" s="89" t="str">
        <x:v>EMO-2024-0003</x:v>
      </x:c>
      <x:c r="C76" s="106" t="n">
        <x:v>45333</x:v>
      </x:c>
      <x:c r="D76" s="89" t="str">
        <x:v>Periódico</x:v>
      </x:c>
      <x:c r="E76" s="89" t="str">
        <x:v>174842788</x:v>
      </x:c>
      <x:c r="F76" s="89" t="str">
        <x:v>Carlos Carolina Parra Suárez</x:v>
      </x:c>
      <x:c r="G76" s="89" t="str">
        <x:v>Auxiliar administrativo</x:v>
      </x:c>
      <x:c r="H76" s="89" t="str">
        <x:v>Barrancabermeja</x:v>
      </x:c>
      <x:c r="I76" s="89" t="str">
        <x:v>Administrativa</x:v>
      </x:c>
      <x:c r="J76" s="89" t="str">
        <x:v>IPS Prevencionar</x:v>
      </x:c>
      <x:c r="K76" s="89" t="str">
        <x:v>Apto</x:v>
      </x:c>
      <x:c r="L76" s="89" t="str"/>
      <x:c r="M76" s="89" t="str">
        <x:v>Participar en programas de vigilancia epidemiológica</x:v>
      </x:c>
      <x:c r="N76" s="112" t="n">
        <x:v>12</x:v>
      </x:c>
      <x:c r="O76" s="106" t="n">
        <x:f>EDATE(C76,N76)</x:f>
        <x:v>45699</x:v>
      </x:c>
      <x:c r="P76" s="89" t="str">
        <x:v>I10 Hipertensión esencial</x:v>
      </x:c>
      <x:c r="Q76" s="89" t="str">
        <x:v>No</x:v>
      </x:c>
      <x:c r="R76" s="89" t="str"/>
      <x:c r="S76" s="106"/>
      <x:c r="T76" s="89" t="str">
        <x:f>IF(O76&lt;Instructivo!$B$4,"Vencido",IF(O76&lt;=Instructivo!$B$4+30,"Próximo a vencer","Vigente"))</x:f>
        <x:v>Vencido</x:v>
      </x:c>
      <x:c r="U76" s="89" t="str">
        <x:v>Analista SST</x:v>
      </x:c>
      <x:c r="V76" s="90" t="str">
        <x:v>Requiere revisión de puesto de trabajo</x:v>
      </x:c>
    </x:row>
    <x:row r="77">
      <x:c r="A77" s="88" t="n">
        <x:v>2024</x:v>
      </x:c>
      <x:c r="B77" s="89" t="str">
        <x:v>EMO-2024-0004</x:v>
      </x:c>
      <x:c r="C77" s="106" t="n">
        <x:v>45580</x:v>
      </x:c>
      <x:c r="D77" s="89" t="str">
        <x:v>Periódico</x:v>
      </x:c>
      <x:c r="E77" s="89" t="str">
        <x:v>797138070</x:v>
      </x:c>
      <x:c r="F77" s="89" t="str">
        <x:v>María María Torres Hernández</x:v>
      </x:c>
      <x:c r="G77" s="89" t="str">
        <x:v>Vigilante</x:v>
      </x:c>
      <x:c r="H77" s="89" t="str">
        <x:v>Barrancabermeja</x:v>
      </x:c>
      <x:c r="I77" s="89" t="str">
        <x:v>Operaciones</x:v>
      </x:c>
      <x:c r="J77" s="89" t="str">
        <x:v>Centro Médico Laboral Andino</x:v>
      </x:c>
      <x:c r="K77" s="89" t="str">
        <x:v>Apto</x:v>
      </x:c>
      <x:c r="L77" s="89" t="str"/>
      <x:c r="M77" s="89" t="str">
        <x:v>Mantener estilos de vida saludable</x:v>
      </x:c>
      <x:c r="N77" s="112" t="n">
        <x:v>12</x:v>
      </x:c>
      <x:c r="O77" s="106" t="n">
        <x:f>EDATE(C77,N77)</x:f>
        <x:v>45945</x:v>
      </x:c>
      <x:c r="P77" s="89" t="str">
        <x:v>Z00.0 Examen general</x:v>
      </x:c>
      <x:c r="Q77" s="89" t="str">
        <x:v>Sí</x:v>
      </x:c>
      <x:c r="R77" s="89" t="str">
        <x:v>Fisioterapia</x:v>
      </x:c>
      <x:c r="S77" s="106" t="n">
        <x:v>45700</x:v>
      </x:c>
      <x:c r="T77" s="89" t="str">
        <x:f>IF(O77&lt;Instructivo!$B$4,"Vencido",IF(O77&lt;=Instructivo!$B$4+30,"Próximo a vencer","Vigente"))</x:f>
        <x:v>Vencido</x:v>
      </x:c>
      <x:c r="U77" s="89" t="str">
        <x:v>Analista SST</x:v>
      </x:c>
      <x:c r="V77" s="90" t="str">
        <x:v>Pendiente firma de concepto médico</x:v>
      </x:c>
    </x:row>
    <x:row r="78">
      <x:c r="A78" s="88" t="n">
        <x:v>2024</x:v>
      </x:c>
      <x:c r="B78" s="89" t="str">
        <x:v>EMO-2024-0005</x:v>
      </x:c>
      <x:c r="C78" s="106" t="n">
        <x:v>45504</x:v>
      </x:c>
      <x:c r="D78" s="89" t="str">
        <x:v>Ingreso</x:v>
      </x:c>
      <x:c r="E78" s="89" t="str">
        <x:v>312422633</x:v>
      </x:c>
      <x:c r="F78" s="89" t="str">
        <x:v>José María Parra Rodríguez</x:v>
      </x:c>
      <x:c r="G78" s="89" t="str">
        <x:v>Coordinador de operaciones</x:v>
      </x:c>
      <x:c r="H78" s="89" t="str">
        <x:v>Medellín</x:v>
      </x:c>
      <x:c r="I78" s="89" t="str">
        <x:v>Operaciones</x:v>
      </x:c>
      <x:c r="J78" s="89" t="str">
        <x:v>Centro Médico Laboral Andino</x:v>
      </x:c>
      <x:c r="K78" s="89" t="str">
        <x:v>Apto</x:v>
      </x:c>
      <x:c r="L78" s="89" t="str"/>
      <x:c r="M78" s="89" t="str">
        <x:v>Participar en programas de vigilancia epidemiológica</x:v>
      </x:c>
      <x:c r="N78" s="112" t="n">
        <x:v>12</x:v>
      </x:c>
      <x:c r="O78" s="106" t="n">
        <x:f>EDATE(C78,N78)</x:f>
        <x:v>45869</x:v>
      </x:c>
      <x:c r="P78" s="89" t="str">
        <x:v>M75.1 Lesión de hombro</x:v>
      </x:c>
      <x:c r="Q78" s="89" t="str">
        <x:v>Sí</x:v>
      </x:c>
      <x:c r="R78" s="89" t="str">
        <x:v>Ergonomía</x:v>
      </x:c>
      <x:c r="S78" s="106" t="n">
        <x:v>45564</x:v>
      </x:c>
      <x:c r="T78" s="89" t="str">
        <x:f>IF(O78&lt;Instructivo!$B$4,"Vencido",IF(O78&lt;=Instructivo!$B$4+30,"Próximo a vencer","Vigente"))</x:f>
        <x:v>Vencido</x:v>
      </x:c>
      <x:c r="U78" s="89" t="str">
        <x:v>Médico Ocupacional</x:v>
      </x:c>
      <x:c r="V78" s="90" t="str">
        <x:v>Caso priorizado por restricciones activas</x:v>
      </x:c>
    </x:row>
    <x:row r="79">
      <x:c r="A79" s="88" t="n">
        <x:v>2024</x:v>
      </x:c>
      <x:c r="B79" s="89" t="str">
        <x:v>EMO-2024-0006</x:v>
      </x:c>
      <x:c r="C79" s="106" t="n">
        <x:v>45440</x:v>
      </x:c>
      <x:c r="D79" s="89" t="str">
        <x:v>Periódico</x:v>
      </x:c>
      <x:c r="E79" s="89" t="str">
        <x:v>662672884</x:v>
      </x:c>
      <x:c r="F79" s="89" t="str">
        <x:v>María Álvaro Pérez López</x:v>
      </x:c>
      <x:c r="G79" s="89" t="str">
        <x:v>Auxiliar administrativo</x:v>
      </x:c>
      <x:c r="H79" s="89" t="str">
        <x:v>Ocaña</x:v>
      </x:c>
      <x:c r="I79" s="89" t="str">
        <x:v>Administrativa</x:v>
      </x:c>
      <x:c r="J79" s="89" t="str">
        <x:v>Salud Integral Ocupacional</x:v>
      </x:c>
      <x:c r="K79" s="89" t="str">
        <x:v>Apto</x:v>
      </x:c>
      <x:c r="L79" s="89" t="str"/>
      <x:c r="M79" s="89" t="str">
        <x:v>Continuar controles periódicos anuales</x:v>
      </x:c>
      <x:c r="N79" s="112" t="n">
        <x:v>12</x:v>
      </x:c>
      <x:c r="O79" s="106" t="n">
        <x:f>EDATE(C79,N79)</x:f>
        <x:v>45805</x:v>
      </x:c>
      <x:c r="P79" s="89" t="str">
        <x:v>I10 Hipertensión esencial</x:v>
      </x:c>
      <x:c r="Q79" s="89" t="str">
        <x:v>No</x:v>
      </x:c>
      <x:c r="R79" s="89" t="str"/>
      <x:c r="S79" s="106"/>
      <x:c r="T79" s="89" t="str">
        <x:f>IF(O79&lt;Instructivo!$B$4,"Vencido",IF(O79&lt;=Instructivo!$B$4+30,"Próximo a vencer","Vigente"))</x:f>
        <x:v>Vencido</x:v>
      </x:c>
      <x:c r="U79" s="89" t="str">
        <x:v>Líder SST</x:v>
      </x:c>
      <x:c r="V79" s="90" t="str">
        <x:v>Registro completo y soportado en historia ocupacional</x:v>
      </x:c>
    </x:row>
    <x:row r="80">
      <x:c r="A80" s="88" t="n">
        <x:v>2024</x:v>
      </x:c>
      <x:c r="B80" s="89" t="str">
        <x:v>EMO-2024-0007</x:v>
      </x:c>
      <x:c r="C80" s="106" t="n">
        <x:v>45383</x:v>
      </x:c>
      <x:c r="D80" s="89" t="str">
        <x:v>Periódico</x:v>
      </x:c>
      <x:c r="E80" s="89" t="str">
        <x:v>915394880</x:v>
      </x:c>
      <x:c r="F80" s="89" t="str">
        <x:v>Miguel Tatiana Cárdenas Moreno</x:v>
      </x:c>
      <x:c r="G80" s="89" t="str">
        <x:v>Operador de medios tecnológicos</x:v>
      </x:c>
      <x:c r="H80" s="89" t="str">
        <x:v>Valledupar</x:v>
      </x:c>
      <x:c r="I80" s="89" t="str">
        <x:v>Medios Tecnológicos</x:v>
      </x:c>
      <x:c r="J80" s="89" t="str">
        <x:v>Colmédica Ocupacional</x:v>
      </x:c>
      <x:c r="K80" s="89" t="str">
        <x:v>Apto con restricciones</x:v>
      </x:c>
      <x:c r="L80" s="89" t="str">
        <x:v>Evitar levantamiento de cargas mayores a 15 kg</x:v>
      </x:c>
      <x:c r="M80" s="89" t="str">
        <x:v>Control por optometría/medicina general</x:v>
      </x:c>
      <x:c r="N80" s="112" t="n">
        <x:v>12</x:v>
      </x:c>
      <x:c r="O80" s="106" t="n">
        <x:f>EDATE(C80,N80)</x:f>
        <x:v>45748</x:v>
      </x:c>
      <x:c r="P80" s="89" t="str">
        <x:v>Z00.0 Examen general</x:v>
      </x:c>
      <x:c r="Q80" s="89" t="str">
        <x:v>Sí</x:v>
      </x:c>
      <x:c r="R80" s="89" t="str">
        <x:v>Psicosocial</x:v>
      </x:c>
      <x:c r="S80" s="106" t="n">
        <x:v>45443</x:v>
      </x:c>
      <x:c r="T80" s="89" t="str">
        <x:f>IF(O80&lt;Instructivo!$B$4,"Vencido",IF(O80&lt;=Instructivo!$B$4+30,"Próximo a vencer","Vigente"))</x:f>
        <x:v>Vencido</x:v>
      </x:c>
      <x:c r="U80" s="89" t="str">
        <x:v>Líder SST</x:v>
      </x:c>
      <x:c r="V80" s="90" t="str">
        <x:v>Requiere revisión de puesto de trabajo</x:v>
      </x:c>
    </x:row>
    <x:row r="81">
      <x:c r="A81" s="88" t="n">
        <x:v>2024</x:v>
      </x:c>
      <x:c r="B81" s="89" t="str">
        <x:v>EMO-2024-0008</x:v>
      </x:c>
      <x:c r="C81" s="106" t="n">
        <x:v>45347</x:v>
      </x:c>
      <x:c r="D81" s="89" t="str">
        <x:v>Periódico</x:v>
      </x:c>
      <x:c r="E81" s="89" t="str">
        <x:v>544761823</x:v>
      </x:c>
      <x:c r="F81" s="89" t="str">
        <x:v>Ana Luis Gómez Pérez</x:v>
      </x:c>
      <x:c r="G81" s="89" t="str">
        <x:v>Vigilante</x:v>
      </x:c>
      <x:c r="H81" s="89" t="str">
        <x:v>Pamplona</x:v>
      </x:c>
      <x:c r="I81" s="89" t="str">
        <x:v>Operaciones</x:v>
      </x:c>
      <x:c r="J81" s="89" t="str">
        <x:v>Salud Integral Ocupacional</x:v>
      </x:c>
      <x:c r="K81" s="89" t="str">
        <x:v>Apto con restricciones</x:v>
      </x:c>
      <x:c r="L81" s="89" t="str">
        <x:v>Restricción para trabajo prolongado de pie</x:v>
      </x:c>
      <x:c r="M81" s="89" t="str">
        <x:v>Capacitación ergonómica y seguimiento SST</x:v>
      </x:c>
      <x:c r="N81" s="112" t="n">
        <x:v>12</x:v>
      </x:c>
      <x:c r="O81" s="106" t="n">
        <x:f>EDATE(C81,N81)</x:f>
        <x:v>45713</x:v>
      </x:c>
      <x:c r="P81" s="89" t="str">
        <x:v>G56.0 Síndrome túnel carpiano</x:v>
      </x:c>
      <x:c r="Q81" s="89" t="str">
        <x:v>Sí</x:v>
      </x:c>
      <x:c r="R81" s="89" t="str">
        <x:v>Psicosocial</x:v>
      </x:c>
      <x:c r="S81" s="106" t="n">
        <x:v>45467</x:v>
      </x:c>
      <x:c r="T81" s="89" t="str">
        <x:f>IF(O81&lt;Instructivo!$B$4,"Vencido",IF(O81&lt;=Instructivo!$B$4+30,"Próximo a vencer","Vigente"))</x:f>
        <x:v>Vencido</x:v>
      </x:c>
      <x:c r="U81" s="89" t="str">
        <x:v>Analista SST</x:v>
      </x:c>
      <x:c r="V81" s="90" t="str">
        <x:v>Caso priorizado por restricciones activas</x:v>
      </x:c>
    </x:row>
    <x:row r="82">
      <x:c r="A82" s="88" t="n">
        <x:v>2024</x:v>
      </x:c>
      <x:c r="B82" s="89" t="str">
        <x:v>EMO-2024-0009</x:v>
      </x:c>
      <x:c r="C82" s="106" t="n">
        <x:v>45391</x:v>
      </x:c>
      <x:c r="D82" s="89" t="str">
        <x:v>Periódico</x:v>
      </x:c>
      <x:c r="E82" s="89" t="str">
        <x:v>585040453</x:v>
      </x:c>
      <x:c r="F82" s="89" t="str">
        <x:v>Wilson Diana López Ramírez</x:v>
      </x:c>
      <x:c r="G82" s="89" t="str">
        <x:v>Escolta</x:v>
      </x:c>
      <x:c r="H82" s="89" t="str">
        <x:v>Girón</x:v>
      </x:c>
      <x:c r="I82" s="89" t="str">
        <x:v>Escoltas</x:v>
      </x:c>
      <x:c r="J82" s="89" t="str">
        <x:v>Colmédica Ocupacional</x:v>
      </x:c>
      <x:c r="K82" s="89" t="str">
        <x:v>Apto con restricciones</x:v>
      </x:c>
      <x:c r="L82" s="89" t="str">
        <x:v>Restricción para trabajo prolongado de pie</x:v>
      </x:c>
      <x:c r="M82" s="89" t="str">
        <x:v>Reubicación o ajuste razonable del puesto</x:v>
      </x:c>
      <x:c r="N82" s="112" t="n">
        <x:v>12</x:v>
      </x:c>
      <x:c r="O82" s="106" t="n">
        <x:f>EDATE(C82,N82)</x:f>
        <x:v>45756</x:v>
      </x:c>
      <x:c r="P82" s="89" t="str">
        <x:v>H52.4 Presbicia</x:v>
      </x:c>
      <x:c r="Q82" s="89" t="str">
        <x:v>Sí</x:v>
      </x:c>
      <x:c r="R82" s="89" t="str">
        <x:v>Fisioterapia</x:v>
      </x:c>
      <x:c r="S82" s="106" t="n">
        <x:v>45481</x:v>
      </x:c>
      <x:c r="T82" s="89" t="str">
        <x:f>IF(O82&lt;Instructivo!$B$4,"Vencido",IF(O82&lt;=Instructivo!$B$4+30,"Próximo a vencer","Vigente"))</x:f>
        <x:v>Vencido</x:v>
      </x:c>
      <x:c r="U82" s="89" t="str">
        <x:v>Líder SST</x:v>
      </x:c>
      <x:c r="V82" s="90" t="str">
        <x:v>Requiere revisión de puesto de trabajo</x:v>
      </x:c>
    </x:row>
    <x:row r="83">
      <x:c r="A83" s="88" t="n">
        <x:v>2024</x:v>
      </x:c>
      <x:c r="B83" s="89" t="str">
        <x:v>EMO-2024-0010</x:v>
      </x:c>
      <x:c r="C83" s="106" t="n">
        <x:v>45583</x:v>
      </x:c>
      <x:c r="D83" s="89" t="str">
        <x:v>Periódico</x:v>
      </x:c>
      <x:c r="E83" s="89" t="str">
        <x:v>436709938</x:v>
      </x:c>
      <x:c r="F83" s="89" t="str">
        <x:v>Julián Paola Torres Pérez</x:v>
      </x:c>
      <x:c r="G83" s="89" t="str">
        <x:v>Vigilante</x:v>
      </x:c>
      <x:c r="H83" s="89" t="str">
        <x:v>Girón</x:v>
      </x:c>
      <x:c r="I83" s="89" t="str">
        <x:v>Operaciones</x:v>
      </x:c>
      <x:c r="J83" s="89" t="str">
        <x:v>IPS Prevencionar</x:v>
      </x:c>
      <x:c r="K83" s="89" t="str">
        <x:v>Apto</x:v>
      </x:c>
      <x:c r="L83" s="89" t="str"/>
      <x:c r="M83" s="89" t="str">
        <x:v>Mantener estilos de vida saludable</x:v>
      </x:c>
      <x:c r="N83" s="112" t="n">
        <x:v>12</x:v>
      </x:c>
      <x:c r="O83" s="106" t="n">
        <x:f>EDATE(C83,N83)</x:f>
        <x:v>45948</x:v>
      </x:c>
      <x:c r="P83" s="89" t="str">
        <x:v>M75.1 Lesión de hombro</x:v>
      </x:c>
      <x:c r="Q83" s="89" t="str">
        <x:v>No</x:v>
      </x:c>
      <x:c r="R83" s="89" t="str"/>
      <x:c r="S83" s="106"/>
      <x:c r="T83" s="89" t="str">
        <x:f>IF(O83&lt;Instructivo!$B$4,"Vencido",IF(O83&lt;=Instructivo!$B$4+30,"Próximo a vencer","Vigente"))</x:f>
        <x:v>Vencido</x:v>
      </x:c>
      <x:c r="U83" s="89" t="str">
        <x:v>Coordinador de Talento Humano</x:v>
      </x:c>
      <x:c r="V83" s="90" t="str">
        <x:v>Requiere revisión de puesto de trabajo</x:v>
      </x:c>
    </x:row>
    <x:row r="84">
      <x:c r="A84" s="88" t="n">
        <x:v>2024</x:v>
      </x:c>
      <x:c r="B84" s="89" t="str">
        <x:v>EMO-2024-0011</x:v>
      </x:c>
      <x:c r="C84" s="106" t="n">
        <x:v>45341</x:v>
      </x:c>
      <x:c r="D84" s="89" t="str">
        <x:v>Periódico</x:v>
      </x:c>
      <x:c r="E84" s="89" t="str">
        <x:v>578350099</x:v>
      </x:c>
      <x:c r="F84" s="89" t="str">
        <x:v>María Álvaro Martínez Ramírez</x:v>
      </x:c>
      <x:c r="G84" s="89" t="str">
        <x:v>Operador de medios tecnológicos</x:v>
      </x:c>
      <x:c r="H84" s="89" t="str">
        <x:v>Cúcuta</x:v>
      </x:c>
      <x:c r="I84" s="89" t="str">
        <x:v>Medios Tecnológicos</x:v>
      </x:c>
      <x:c r="J84" s="89" t="str">
        <x:v>IPS Ocupasalud SAS</x:v>
      </x:c>
      <x:c r="K84" s="89" t="str">
        <x:v>Apto</x:v>
      </x:c>
      <x:c r="L84" s="89" t="str"/>
      <x:c r="M84" s="89" t="str">
        <x:v>Mantener estilos de vida saludable</x:v>
      </x:c>
      <x:c r="N84" s="112" t="n">
        <x:v>12</x:v>
      </x:c>
      <x:c r="O84" s="106" t="n">
        <x:f>EDATE(C84,N84)</x:f>
        <x:v>45707</x:v>
      </x:c>
      <x:c r="P84" s="89" t="str">
        <x:v>E66.9 Obesidad</x:v>
      </x:c>
      <x:c r="Q84" s="89" t="str">
        <x:v>No</x:v>
      </x:c>
      <x:c r="R84" s="89" t="str"/>
      <x:c r="S84" s="106"/>
      <x:c r="T84" s="89" t="str">
        <x:f>IF(O84&lt;Instructivo!$B$4,"Vencido",IF(O84&lt;=Instructivo!$B$4+30,"Próximo a vencer","Vigente"))</x:f>
        <x:v>Vencido</x:v>
      </x:c>
      <x:c r="U84" s="89" t="str">
        <x:v>Médico Ocupacional</x:v>
      </x:c>
      <x:c r="V84" s="90" t="str">
        <x:v>Pendiente firma de concepto médico</x:v>
      </x:c>
    </x:row>
    <x:row r="85">
      <x:c r="A85" s="88" t="n">
        <x:v>2024</x:v>
      </x:c>
      <x:c r="B85" s="89" t="str">
        <x:v>EMO-2024-0012</x:v>
      </x:c>
      <x:c r="C85" s="106" t="n">
        <x:v>45429</x:v>
      </x:c>
      <x:c r="D85" s="89" t="str">
        <x:v>Periódico</x:v>
      </x:c>
      <x:c r="E85" s="89" t="str">
        <x:v>966207974</x:v>
      </x:c>
      <x:c r="F85" s="89" t="str">
        <x:v>Kevin Carolina Sánchez López</x:v>
      </x:c>
      <x:c r="G85" s="89" t="str">
        <x:v>Operador de medios tecnológicos</x:v>
      </x:c>
      <x:c r="H85" s="89" t="str">
        <x:v>Cúcuta</x:v>
      </x:c>
      <x:c r="I85" s="89" t="str">
        <x:v>Medios Tecnológicos</x:v>
      </x:c>
      <x:c r="J85" s="89" t="str">
        <x:v>Centro Médico Laboral Andino</x:v>
      </x:c>
      <x:c r="K85" s="89" t="str">
        <x:v>Apto con restricciones</x:v>
      </x:c>
      <x:c r="L85" s="89" t="str">
        <x:v>Restricción para trabajo prolongado de pie</x:v>
      </x:c>
      <x:c r="M85" s="89" t="str">
        <x:v>Seguimiento por medicina laboral en 3 meses</x:v>
      </x:c>
      <x:c r="N85" s="112" t="n">
        <x:v>12</x:v>
      </x:c>
      <x:c r="O85" s="106" t="n">
        <x:f>EDATE(C85,N85)</x:f>
        <x:v>45794</x:v>
      </x:c>
      <x:c r="P85" s="89" t="str">
        <x:v>Z00.0 Examen general</x:v>
      </x:c>
      <x:c r="Q85" s="89" t="str">
        <x:v>Sí</x:v>
      </x:c>
      <x:c r="R85" s="89" t="str">
        <x:v>Optometría</x:v>
      </x:c>
      <x:c r="S85" s="106" t="n">
        <x:v>45549</x:v>
      </x:c>
      <x:c r="T85" s="89" t="str">
        <x:f>IF(O85&lt;Instructivo!$B$4,"Vencido",IF(O85&lt;=Instructivo!$B$4+30,"Próximo a vencer","Vigente"))</x:f>
        <x:v>Vencido</x:v>
      </x:c>
      <x:c r="U85" s="89" t="str">
        <x:v>Líder SST</x:v>
      </x:c>
      <x:c r="V85" s="90" t="str">
        <x:v>Se recomienda seguimiento por comité SST</x:v>
      </x:c>
    </x:row>
    <x:row r="86">
      <x:c r="A86" s="88" t="n">
        <x:v>2024</x:v>
      </x:c>
      <x:c r="B86" s="89" t="str">
        <x:v>EMO-2024-0013</x:v>
      </x:c>
      <x:c r="C86" s="106" t="n">
        <x:v>45500</x:v>
      </x:c>
      <x:c r="D86" s="89" t="str">
        <x:v>Periódico</x:v>
      </x:c>
      <x:c r="E86" s="89" t="str">
        <x:v>588639414</x:v>
      </x:c>
      <x:c r="F86" s="89" t="str">
        <x:v>Felipe Camilo Ramírez Suárez</x:v>
      </x:c>
      <x:c r="G86" s="89" t="str">
        <x:v>Operador de medios tecnológicos</x:v>
      </x:c>
      <x:c r="H86" s="89" t="str">
        <x:v>Cúcuta</x:v>
      </x:c>
      <x:c r="I86" s="89" t="str">
        <x:v>Medios Tecnológicos</x:v>
      </x:c>
      <x:c r="J86" s="89" t="str">
        <x:v>Colmédica Ocupacional</x:v>
      </x:c>
      <x:c r="K86" s="89" t="str">
        <x:v>Apto</x:v>
      </x:c>
      <x:c r="L86" s="89" t="str"/>
      <x:c r="M86" s="89" t="str">
        <x:v>Uso permanente de EPP</x:v>
      </x:c>
      <x:c r="N86" s="112" t="n">
        <x:v>12</x:v>
      </x:c>
      <x:c r="O86" s="106" t="n">
        <x:f>EDATE(C86,N86)</x:f>
        <x:v>45865</x:v>
      </x:c>
      <x:c r="P86" s="89" t="str">
        <x:v>R51 Cefalea</x:v>
      </x:c>
      <x:c r="Q86" s="89" t="str">
        <x:v>No</x:v>
      </x:c>
      <x:c r="R86" s="89" t="str"/>
      <x:c r="S86" s="106"/>
      <x:c r="T86" s="89" t="str">
        <x:f>IF(O86&lt;Instructivo!$B$4,"Vencido",IF(O86&lt;=Instructivo!$B$4+30,"Próximo a vencer","Vigente"))</x:f>
        <x:v>Vencido</x:v>
      </x:c>
      <x:c r="U86" s="89" t="str">
        <x:v>Analista SST</x:v>
      </x:c>
      <x:c r="V86" s="90" t="str">
        <x:v>Requiere revisión de puesto de trabajo</x:v>
      </x:c>
    </x:row>
    <x:row r="87">
      <x:c r="A87" s="88" t="n">
        <x:v>2024</x:v>
      </x:c>
      <x:c r="B87" s="89" t="str">
        <x:v>EMO-2024-0014</x:v>
      </x:c>
      <x:c r="C87" s="106" t="n">
        <x:v>45537</x:v>
      </x:c>
      <x:c r="D87" s="89" t="str">
        <x:v>Reintegro</x:v>
      </x:c>
      <x:c r="E87" s="89" t="str">
        <x:v>995960271</x:v>
      </x:c>
      <x:c r="F87" s="89" t="str">
        <x:v>Laura Jhon Sánchez Moreno</x:v>
      </x:c>
      <x:c r="G87" s="89" t="str">
        <x:v>Vigilante</x:v>
      </x:c>
      <x:c r="H87" s="89" t="str">
        <x:v>Arauca</x:v>
      </x:c>
      <x:c r="I87" s="89" t="str">
        <x:v>Operaciones</x:v>
      </x:c>
      <x:c r="J87" s="89" t="str">
        <x:v>IPS Prevencionar</x:v>
      </x:c>
      <x:c r="K87" s="89" t="str">
        <x:v>Apto</x:v>
      </x:c>
      <x:c r="L87" s="89" t="str"/>
      <x:c r="M87" s="89" t="str">
        <x:v>Uso permanente de EPP</x:v>
      </x:c>
      <x:c r="N87" s="112" t="n">
        <x:v>6</x:v>
      </x:c>
      <x:c r="O87" s="106" t="n">
        <x:f>EDATE(C87,N87)</x:f>
        <x:v>45718</x:v>
      </x:c>
      <x:c r="P87" s="89" t="str">
        <x:v>I10 Hipertensión esencial</x:v>
      </x:c>
      <x:c r="Q87" s="89" t="str">
        <x:v>No</x:v>
      </x:c>
      <x:c r="R87" s="89" t="str"/>
      <x:c r="S87" s="106"/>
      <x:c r="T87" s="89" t="str">
        <x:f>IF(O87&lt;Instructivo!$B$4,"Vencido",IF(O87&lt;=Instructivo!$B$4+30,"Próximo a vencer","Vigente"))</x:f>
        <x:v>Vencido</x:v>
      </x:c>
      <x:c r="U87" s="89" t="str">
        <x:v>Analista SST</x:v>
      </x:c>
      <x:c r="V87" s="90" t="str">
        <x:v>Caso priorizado por restricciones activas</x:v>
      </x:c>
    </x:row>
    <x:row r="88">
      <x:c r="A88" s="88" t="n">
        <x:v>2024</x:v>
      </x:c>
      <x:c r="B88" s="89" t="str">
        <x:v>EMO-2024-0015</x:v>
      </x:c>
      <x:c r="C88" s="106" t="n">
        <x:v>45334</x:v>
      </x:c>
      <x:c r="D88" s="89" t="str">
        <x:v>Post-incapacidad</x:v>
      </x:c>
      <x:c r="E88" s="89" t="str">
        <x:v>852829622</x:v>
      </x:c>
      <x:c r="F88" s="89" t="str">
        <x:v>Álvaro María Ramírez Gómez</x:v>
      </x:c>
      <x:c r="G88" s="89" t="str">
        <x:v>Vigilante</x:v>
      </x:c>
      <x:c r="H88" s="89" t="str">
        <x:v>Bogotá</x:v>
      </x:c>
      <x:c r="I88" s="89" t="str">
        <x:v>Operaciones</x:v>
      </x:c>
      <x:c r="J88" s="89" t="str">
        <x:v>Salud Integral Ocupacional</x:v>
      </x:c>
      <x:c r="K88" s="89" t="str">
        <x:v>Apto</x:v>
      </x:c>
      <x:c r="L88" s="89" t="str"/>
      <x:c r="M88" s="89" t="str">
        <x:v>Uso permanente de EPP</x:v>
      </x:c>
      <x:c r="N88" s="112" t="n">
        <x:v>6</x:v>
      </x:c>
      <x:c r="O88" s="106" t="n">
        <x:f>EDATE(C88,N88)</x:f>
        <x:v>45516</x:v>
      </x:c>
      <x:c r="P88" s="89" t="str">
        <x:v>I10 Hipertensión esencial</x:v>
      </x:c>
      <x:c r="Q88" s="89" t="str">
        <x:v>Sí</x:v>
      </x:c>
      <x:c r="R88" s="89" t="str">
        <x:v>Cardiometabólico</x:v>
      </x:c>
      <x:c r="S88" s="106" t="n">
        <x:v>45394</x:v>
      </x:c>
      <x:c r="T88" s="89" t="str">
        <x:f>IF(O88&lt;Instructivo!$B$4,"Vencido",IF(O88&lt;=Instructivo!$B$4+30,"Próximo a vencer","Vigente"))</x:f>
        <x:v>Vencido</x:v>
      </x:c>
      <x:c r="U88" s="89" t="str">
        <x:v>Analista SST</x:v>
      </x:c>
      <x:c r="V88" s="90" t="str">
        <x:v>Registro completo y soportado en historia ocupacional</x:v>
      </x:c>
    </x:row>
    <x:row r="89">
      <x:c r="A89" s="88" t="n">
        <x:v>2024</x:v>
      </x:c>
      <x:c r="B89" s="89" t="str">
        <x:v>EMO-2024-0016</x:v>
      </x:c>
      <x:c r="C89" s="106" t="n">
        <x:v>45559</x:v>
      </x:c>
      <x:c r="D89" s="89" t="str">
        <x:v>Periódico</x:v>
      </x:c>
      <x:c r="E89" s="89" t="str">
        <x:v>534415796</x:v>
      </x:c>
      <x:c r="F89" s="89" t="str">
        <x:v>Luisa Ana Torres Castro</x:v>
      </x:c>
      <x:c r="G89" s="89" t="str">
        <x:v>Vigilante</x:v>
      </x:c>
      <x:c r="H89" s="89" t="str">
        <x:v>Cúcuta</x:v>
      </x:c>
      <x:c r="I89" s="89" t="str">
        <x:v>Operaciones</x:v>
      </x:c>
      <x:c r="J89" s="89" t="str">
        <x:v>IPS Ocupasalud SAS</x:v>
      </x:c>
      <x:c r="K89" s="89" t="str">
        <x:v>Apto</x:v>
      </x:c>
      <x:c r="L89" s="89" t="str"/>
      <x:c r="M89" s="89" t="str">
        <x:v>Mantener estilos de vida saludable</x:v>
      </x:c>
      <x:c r="N89" s="112" t="n">
        <x:v>12</x:v>
      </x:c>
      <x:c r="O89" s="106" t="n">
        <x:f>EDATE(C89,N89)</x:f>
        <x:v>45924</x:v>
      </x:c>
      <x:c r="P89" s="89" t="str">
        <x:v>G56.0 Síndrome túnel carpiano</x:v>
      </x:c>
      <x:c r="Q89" s="89" t="str">
        <x:v>No</x:v>
      </x:c>
      <x:c r="R89" s="89" t="str"/>
      <x:c r="S89" s="106"/>
      <x:c r="T89" s="89" t="str">
        <x:f>IF(O89&lt;Instructivo!$B$4,"Vencido",IF(O89&lt;=Instructivo!$B$4+30,"Próximo a vencer","Vigente"))</x:f>
        <x:v>Vencido</x:v>
      </x:c>
      <x:c r="U89" s="89" t="str">
        <x:v>Líder SST</x:v>
      </x:c>
      <x:c r="V89" s="90" t="str">
        <x:v>Sin novedades adicionales</x:v>
      </x:c>
    </x:row>
    <x:row r="90">
      <x:c r="A90" s="88" t="n">
        <x:v>2024</x:v>
      </x:c>
      <x:c r="B90" s="89" t="str">
        <x:v>EMO-2024-0017</x:v>
      </x:c>
      <x:c r="C90" s="106" t="n">
        <x:v>45505</x:v>
      </x:c>
      <x:c r="D90" s="89" t="str">
        <x:v>Ingreso</x:v>
      </x:c>
      <x:c r="E90" s="89" t="str">
        <x:v>869526867</x:v>
      </x:c>
      <x:c r="F90" s="89" t="str">
        <x:v>Tatiana Jhon Rodríguez Torres</x:v>
      </x:c>
      <x:c r="G90" s="89" t="str">
        <x:v>Vigilante</x:v>
      </x:c>
      <x:c r="H90" s="89" t="str">
        <x:v>Tibú</x:v>
      </x:c>
      <x:c r="I90" s="89" t="str">
        <x:v>Operaciones</x:v>
      </x:c>
      <x:c r="J90" s="89" t="str">
        <x:v>Colmédica Ocupacional</x:v>
      </x:c>
      <x:c r="K90" s="89" t="str">
        <x:v>Apto</x:v>
      </x:c>
      <x:c r="L90" s="89" t="str"/>
      <x:c r="M90" s="89" t="str">
        <x:v>Continuar controles periódicos anuales</x:v>
      </x:c>
      <x:c r="N90" s="112" t="n">
        <x:v>12</x:v>
      </x:c>
      <x:c r="O90" s="106" t="n">
        <x:f>EDATE(C90,N90)</x:f>
        <x:v>45870</x:v>
      </x:c>
      <x:c r="P90" s="89" t="str">
        <x:v>Z00.0 Examen general</x:v>
      </x:c>
      <x:c r="Q90" s="89" t="str">
        <x:v>No</x:v>
      </x:c>
      <x:c r="R90" s="89" t="str"/>
      <x:c r="S90" s="106"/>
      <x:c r="T90" s="89" t="str">
        <x:f>IF(O90&lt;Instructivo!$B$4,"Vencido",IF(O90&lt;=Instructivo!$B$4+30,"Próximo a vencer","Vigente"))</x:f>
        <x:v>Vencido</x:v>
      </x:c>
      <x:c r="U90" s="89" t="str">
        <x:v>Médico Ocupacional</x:v>
      </x:c>
      <x:c r="V90" s="90" t="str">
        <x:v>Requiere revisión de puesto de trabajo</x:v>
      </x:c>
    </x:row>
    <x:row r="91">
      <x:c r="A91" s="88" t="n">
        <x:v>2024</x:v>
      </x:c>
      <x:c r="B91" s="89" t="str">
        <x:v>EMO-2024-0018</x:v>
      </x:c>
      <x:c r="C91" s="106" t="n">
        <x:v>45404</x:v>
      </x:c>
      <x:c r="D91" s="89" t="str">
        <x:v>Post-incapacidad</x:v>
      </x:c>
      <x:c r="E91" s="89" t="str">
        <x:v>748159521</x:v>
      </x:c>
      <x:c r="F91" s="89" t="str">
        <x:v>Laura Álvaro Hernández Castro</x:v>
      </x:c>
      <x:c r="G91" s="89" t="str">
        <x:v>Operador de medios tecnológicos</x:v>
      </x:c>
      <x:c r="H91" s="89" t="str">
        <x:v>Ocaña</x:v>
      </x:c>
      <x:c r="I91" s="89" t="str">
        <x:v>Medios Tecnológicos</x:v>
      </x:c>
      <x:c r="J91" s="89" t="str">
        <x:v>IPS Ocupasalud SAS</x:v>
      </x:c>
      <x:c r="K91" s="89" t="str">
        <x:v>Apto</x:v>
      </x:c>
      <x:c r="L91" s="89" t="str"/>
      <x:c r="M91" s="89" t="str">
        <x:v>Continuar controles periódicos anuales</x:v>
      </x:c>
      <x:c r="N91" s="112" t="n">
        <x:v>6</x:v>
      </x:c>
      <x:c r="O91" s="106" t="n">
        <x:f>EDATE(C91,N91)</x:f>
        <x:v>45587</x:v>
      </x:c>
      <x:c r="P91" s="89" t="str">
        <x:v>Z00.0 Examen general</x:v>
      </x:c>
      <x:c r="Q91" s="89" t="str">
        <x:v>No</x:v>
      </x:c>
      <x:c r="R91" s="89" t="str"/>
      <x:c r="S91" s="106"/>
      <x:c r="T91" s="89" t="str">
        <x:f>IF(O91&lt;Instructivo!$B$4,"Vencido",IF(O91&lt;=Instructivo!$B$4+30,"Próximo a vencer","Vigente"))</x:f>
        <x:v>Vencido</x:v>
      </x:c>
      <x:c r="U91" s="89" t="str">
        <x:v>Líder SST</x:v>
      </x:c>
      <x:c r="V91" s="90" t="str">
        <x:v>Requiere revisión de puesto de trabajo</x:v>
      </x:c>
    </x:row>
    <x:row r="92">
      <x:c r="A92" s="88" t="n">
        <x:v>2024</x:v>
      </x:c>
      <x:c r="B92" s="89" t="str">
        <x:v>EMO-2024-0019</x:v>
      </x:c>
      <x:c r="C92" s="106" t="n">
        <x:v>45502</x:v>
      </x:c>
      <x:c r="D92" s="89" t="str">
        <x:v>Ingreso</x:v>
      </x:c>
      <x:c r="E92" s="89" t="str">
        <x:v>156338112</x:v>
      </x:c>
      <x:c r="F92" s="89" t="str">
        <x:v>Tatiana Wilson Suárez Suárez</x:v>
      </x:c>
      <x:c r="G92" s="89" t="str">
        <x:v>Coordinador de operaciones</x:v>
      </x:c>
      <x:c r="H92" s="89" t="str">
        <x:v>Pamplona</x:v>
      </x:c>
      <x:c r="I92" s="89" t="str">
        <x:v>Operaciones</x:v>
      </x:c>
      <x:c r="J92" s="89" t="str">
        <x:v>IPS Prevencionar</x:v>
      </x:c>
      <x:c r="K92" s="89" t="str">
        <x:v>Apto</x:v>
      </x:c>
      <x:c r="L92" s="89" t="str"/>
      <x:c r="M92" s="89" t="str">
        <x:v>Mantener estilos de vida saludable</x:v>
      </x:c>
      <x:c r="N92" s="112" t="n">
        <x:v>12</x:v>
      </x:c>
      <x:c r="O92" s="106" t="n">
        <x:f>EDATE(C92,N92)</x:f>
        <x:v>45867</x:v>
      </x:c>
      <x:c r="P92" s="89" t="str">
        <x:v>R51 Cefalea</x:v>
      </x:c>
      <x:c r="Q92" s="89" t="str">
        <x:v>No</x:v>
      </x:c>
      <x:c r="R92" s="89" t="str"/>
      <x:c r="S92" s="106"/>
      <x:c r="T92" s="89" t="str">
        <x:f>IF(O92&lt;Instructivo!$B$4,"Vencido",IF(O92&lt;=Instructivo!$B$4+30,"Próximo a vencer","Vigente"))</x:f>
        <x:v>Vencido</x:v>
      </x:c>
      <x:c r="U92" s="89" t="str">
        <x:v>Médico Ocupacional</x:v>
      </x:c>
      <x:c r="V92" s="90" t="str">
        <x:v>Requiere revisión de puesto de trabajo</x:v>
      </x:c>
    </x:row>
    <x:row r="93">
      <x:c r="A93" s="88" t="n">
        <x:v>2024</x:v>
      </x:c>
      <x:c r="B93" s="89" t="str">
        <x:v>EMO-2024-0020</x:v>
      </x:c>
      <x:c r="C93" s="106" t="n">
        <x:v>45486</x:v>
      </x:c>
      <x:c r="D93" s="89" t="str">
        <x:v>Post-incapacidad</x:v>
      </x:c>
      <x:c r="E93" s="89" t="str">
        <x:v>248741810</x:v>
      </x:c>
      <x:c r="F93" s="89" t="str">
        <x:v>Andrés Ana López Castro</x:v>
      </x:c>
      <x:c r="G93" s="89" t="str">
        <x:v>Técnico de mantenimiento</x:v>
      </x:c>
      <x:c r="H93" s="89" t="str">
        <x:v>Ábrego</x:v>
      </x:c>
      <x:c r="I93" s="89" t="str">
        <x:v>Infraestructura</x:v>
      </x:c>
      <x:c r="J93" s="89" t="str">
        <x:v>IPS Ocupasalud SAS</x:v>
      </x:c>
      <x:c r="K93" s="89" t="str">
        <x:v>Apto</x:v>
      </x:c>
      <x:c r="L93" s="89" t="str"/>
      <x:c r="M93" s="89" t="str">
        <x:v>Mantener estilos de vida saludable</x:v>
      </x:c>
      <x:c r="N93" s="112" t="n">
        <x:v>6</x:v>
      </x:c>
      <x:c r="O93" s="106" t="n">
        <x:f>EDATE(C93,N93)</x:f>
        <x:v>45670</x:v>
      </x:c>
      <x:c r="P93" s="89" t="str">
        <x:v>H52.4 Presbicia</x:v>
      </x:c>
      <x:c r="Q93" s="89" t="str">
        <x:v>No</x:v>
      </x:c>
      <x:c r="R93" s="89" t="str"/>
      <x:c r="S93" s="106"/>
      <x:c r="T93" s="89" t="str">
        <x:f>IF(O93&lt;Instructivo!$B$4,"Vencido",IF(O93&lt;=Instructivo!$B$4+30,"Próximo a vencer","Vigente"))</x:f>
        <x:v>Vencido</x:v>
      </x:c>
      <x:c r="U93" s="89" t="str">
        <x:v>Médico Ocupacional</x:v>
      </x:c>
      <x:c r="V93" s="90" t="str">
        <x:v>Se recomienda seguimiento por comité SST</x:v>
      </x:c>
    </x:row>
    <x:row r="94">
      <x:c r="A94" s="88" t="n">
        <x:v>2024</x:v>
      </x:c>
      <x:c r="B94" s="89" t="str">
        <x:v>EMO-2024-0021</x:v>
      </x:c>
      <x:c r="C94" s="106" t="n">
        <x:v>45407</x:v>
      </x:c>
      <x:c r="D94" s="89" t="str">
        <x:v>Ingreso</x:v>
      </x:c>
      <x:c r="E94" s="89" t="str">
        <x:v>423294774</x:v>
      </x:c>
      <x:c r="F94" s="89" t="str">
        <x:v>Ana Andrés Gómez Díaz</x:v>
      </x:c>
      <x:c r="G94" s="89" t="str">
        <x:v>Vigilante</x:v>
      </x:c>
      <x:c r="H94" s="89" t="str">
        <x:v>Tibú</x:v>
      </x:c>
      <x:c r="I94" s="89" t="str">
        <x:v>Operaciones</x:v>
      </x:c>
      <x:c r="J94" s="89" t="str">
        <x:v>Salud Integral Ocupacional</x:v>
      </x:c>
      <x:c r="K94" s="89" t="str">
        <x:v>Apto con restricciones</x:v>
      </x:c>
      <x:c r="L94" s="89" t="str">
        <x:v>Evitar levantamiento de cargas mayores a 15 kg</x:v>
      </x:c>
      <x:c r="M94" s="89" t="str">
        <x:v>Capacitación ergonómica y seguimiento SST</x:v>
      </x:c>
      <x:c r="N94" s="112" t="n">
        <x:v>12</x:v>
      </x:c>
      <x:c r="O94" s="106" t="n">
        <x:f>EDATE(C94,N94)</x:f>
        <x:v>45772</x:v>
      </x:c>
      <x:c r="P94" s="89" t="str">
        <x:v>M75.1 Lesión de hombro</x:v>
      </x:c>
      <x:c r="Q94" s="89" t="str">
        <x:v>Sí</x:v>
      </x:c>
      <x:c r="R94" s="89" t="str">
        <x:v>Psicosocial</x:v>
      </x:c>
      <x:c r="S94" s="106" t="n">
        <x:v>45527</x:v>
      </x:c>
      <x:c r="T94" s="89" t="str">
        <x:f>IF(O94&lt;Instructivo!$B$4,"Vencido",IF(O94&lt;=Instructivo!$B$4+30,"Próximo a vencer","Vigente"))</x:f>
        <x:v>Vencido</x:v>
      </x:c>
      <x:c r="U94" s="89" t="str">
        <x:v>Médico Ocupacional</x:v>
      </x:c>
      <x:c r="V94" s="90" t="str">
        <x:v>Requiere revisión de puesto de trabajo</x:v>
      </x:c>
    </x:row>
    <x:row r="95">
      <x:c r="A95" s="88" t="n">
        <x:v>2024</x:v>
      </x:c>
      <x:c r="B95" s="89" t="str">
        <x:v>EMO-2024-0022</x:v>
      </x:c>
      <x:c r="C95" s="106" t="n">
        <x:v>45470</x:v>
      </x:c>
      <x:c r="D95" s="89" t="str">
        <x:v>Periódico</x:v>
      </x:c>
      <x:c r="E95" s="89" t="str">
        <x:v>846406444</x:v>
      </x:c>
      <x:c r="F95" s="89" t="str">
        <x:v>Álvaro Álvaro Cárdenas Sánchez</x:v>
      </x:c>
      <x:c r="G95" s="89" t="str">
        <x:v>Vigilante</x:v>
      </x:c>
      <x:c r="H95" s="89" t="str">
        <x:v>Girón</x:v>
      </x:c>
      <x:c r="I95" s="89" t="str">
        <x:v>Operaciones</x:v>
      </x:c>
      <x:c r="J95" s="89" t="str">
        <x:v>IPS Ocupasalud SAS</x:v>
      </x:c>
      <x:c r="K95" s="89" t="str">
        <x:v>Apto</x:v>
      </x:c>
      <x:c r="L95" s="89" t="str"/>
      <x:c r="M95" s="89" t="str">
        <x:v>Mantener estilos de vida saludable</x:v>
      </x:c>
      <x:c r="N95" s="112" t="n">
        <x:v>12</x:v>
      </x:c>
      <x:c r="O95" s="106" t="n">
        <x:f>EDATE(C95,N95)</x:f>
        <x:v>45835</x:v>
      </x:c>
      <x:c r="P95" s="89" t="str">
        <x:v>Z00.0 Examen general</x:v>
      </x:c>
      <x:c r="Q95" s="89" t="str">
        <x:v>No</x:v>
      </x:c>
      <x:c r="R95" s="89" t="str"/>
      <x:c r="S95" s="106"/>
      <x:c r="T95" s="89" t="str">
        <x:f>IF(O95&lt;Instructivo!$B$4,"Vencido",IF(O95&lt;=Instructivo!$B$4+30,"Próximo a vencer","Vigente"))</x:f>
        <x:v>Vencido</x:v>
      </x:c>
      <x:c r="U95" s="89" t="str">
        <x:v>Médico Ocupacional</x:v>
      </x:c>
      <x:c r="V95" s="90" t="str">
        <x:v>Requiere revisión de puesto de trabajo</x:v>
      </x:c>
    </x:row>
    <x:row r="96">
      <x:c r="A96" s="88" t="n">
        <x:v>2024</x:v>
      </x:c>
      <x:c r="B96" s="89" t="str">
        <x:v>EMO-2024-0023</x:v>
      </x:c>
      <x:c r="C96" s="106" t="n">
        <x:v>45301</x:v>
      </x:c>
      <x:c r="D96" s="89" t="str">
        <x:v>Periódico</x:v>
      </x:c>
      <x:c r="E96" s="89" t="str">
        <x:v>804607488</x:v>
      </x:c>
      <x:c r="F96" s="89" t="str">
        <x:v>Sergio Álvaro Ramírez Moreno</x:v>
      </x:c>
      <x:c r="G96" s="89" t="str">
        <x:v>Escolta</x:v>
      </x:c>
      <x:c r="H96" s="89" t="str">
        <x:v>Barrancabermeja</x:v>
      </x:c>
      <x:c r="I96" s="89" t="str">
        <x:v>Escoltas</x:v>
      </x:c>
      <x:c r="J96" s="89" t="str">
        <x:v>IPS Ocupasalud SAS</x:v>
      </x:c>
      <x:c r="K96" s="89" t="str">
        <x:v>Apto</x:v>
      </x:c>
      <x:c r="L96" s="89" t="str"/>
      <x:c r="M96" s="89" t="str">
        <x:v>Continuar controles periódicos anuales</x:v>
      </x:c>
      <x:c r="N96" s="112" t="n">
        <x:v>12</x:v>
      </x:c>
      <x:c r="O96" s="106" t="n">
        <x:f>EDATE(C96,N96)</x:f>
        <x:v>45667</x:v>
      </x:c>
      <x:c r="P96" s="89" t="str">
        <x:v>I10 Hipertensión esencial</x:v>
      </x:c>
      <x:c r="Q96" s="89" t="str">
        <x:v>Sí</x:v>
      </x:c>
      <x:c r="R96" s="89" t="str">
        <x:v>Medicina laboral</x:v>
      </x:c>
      <x:c r="S96" s="106" t="n">
        <x:v>45391</x:v>
      </x:c>
      <x:c r="T96" s="89" t="str">
        <x:f>IF(O96&lt;Instructivo!$B$4,"Vencido",IF(O96&lt;=Instructivo!$B$4+30,"Próximo a vencer","Vigente"))</x:f>
        <x:v>Vencido</x:v>
      </x:c>
      <x:c r="U96" s="89" t="str">
        <x:v>Líder SST</x:v>
      </x:c>
      <x:c r="V96" s="90" t="str">
        <x:v>Caso priorizado por restricciones activas</x:v>
      </x:c>
    </x:row>
    <x:row r="97">
      <x:c r="A97" s="88" t="n">
        <x:v>2024</x:v>
      </x:c>
      <x:c r="B97" s="89" t="str">
        <x:v>EMO-2024-0024</x:v>
      </x:c>
      <x:c r="C97" s="106" t="n">
        <x:v>45569</x:v>
      </x:c>
      <x:c r="D97" s="89" t="str">
        <x:v>Periódico</x:v>
      </x:c>
      <x:c r="E97" s="89" t="str">
        <x:v>944318855</x:v>
      </x:c>
      <x:c r="F97" s="89" t="str">
        <x:v>Sergio Andrés Ramírez López</x:v>
      </x:c>
      <x:c r="G97" s="89" t="str">
        <x:v>Escolta</x:v>
      </x:c>
      <x:c r="H97" s="89" t="str">
        <x:v>Ábrego</x:v>
      </x:c>
      <x:c r="I97" s="89" t="str">
        <x:v>Escoltas</x:v>
      </x:c>
      <x:c r="J97" s="89" t="str">
        <x:v>Centro Médico Laboral Andino</x:v>
      </x:c>
      <x:c r="K97" s="89" t="str">
        <x:v>Apto</x:v>
      </x:c>
      <x:c r="L97" s="89" t="str"/>
      <x:c r="M97" s="89" t="str">
        <x:v>Continuar controles periódicos anuales</x:v>
      </x:c>
      <x:c r="N97" s="112" t="n">
        <x:v>12</x:v>
      </x:c>
      <x:c r="O97" s="106" t="n">
        <x:f>EDATE(C97,N97)</x:f>
        <x:v>45934</x:v>
      </x:c>
      <x:c r="P97" s="89" t="str">
        <x:v>R51 Cefalea</x:v>
      </x:c>
      <x:c r="Q97" s="89" t="str">
        <x:v>No</x:v>
      </x:c>
      <x:c r="R97" s="89" t="str"/>
      <x:c r="S97" s="106"/>
      <x:c r="T97" s="89" t="str">
        <x:f>IF(O97&lt;Instructivo!$B$4,"Vencido",IF(O97&lt;=Instructivo!$B$4+30,"Próximo a vencer","Vigente"))</x:f>
        <x:v>Vencido</x:v>
      </x:c>
      <x:c r="U97" s="89" t="str">
        <x:v>Coordinador de Talento Humano</x:v>
      </x:c>
      <x:c r="V97" s="90" t="str">
        <x:v>Se recomienda seguimiento por comité SST</x:v>
      </x:c>
    </x:row>
    <x:row r="98">
      <x:c r="A98" s="88" t="n">
        <x:v>2024</x:v>
      </x:c>
      <x:c r="B98" s="89" t="str">
        <x:v>EMO-2024-0025</x:v>
      </x:c>
      <x:c r="C98" s="106" t="n">
        <x:v>45366</x:v>
      </x:c>
      <x:c r="D98" s="89" t="str">
        <x:v>Periódico</x:v>
      </x:c>
      <x:c r="E98" s="89" t="str">
        <x:v>966207974</x:v>
      </x:c>
      <x:c r="F98" s="89" t="str">
        <x:v>Kevin Carolina Sánchez López</x:v>
      </x:c>
      <x:c r="G98" s="89" t="str">
        <x:v>Operador de medios tecnológicos</x:v>
      </x:c>
      <x:c r="H98" s="89" t="str">
        <x:v>Cúcuta</x:v>
      </x:c>
      <x:c r="I98" s="89" t="str">
        <x:v>Medios Tecnológicos</x:v>
      </x:c>
      <x:c r="J98" s="89" t="str">
        <x:v>Salud Integral Ocupacional</x:v>
      </x:c>
      <x:c r="K98" s="89" t="str">
        <x:v>No apto</x:v>
      </x:c>
      <x:c r="L98" s="89" t="str">
        <x:v>Pendiente concepto especialista</x:v>
      </x:c>
      <x:c r="M98" s="89" t="str">
        <x:v>Seguimiento semanal por SST y TH</x:v>
      </x:c>
      <x:c r="N98" s="112" t="n">
        <x:v>12</x:v>
      </x:c>
      <x:c r="O98" s="106" t="n">
        <x:f>EDATE(C98,N98)</x:f>
        <x:v>45731</x:v>
      </x:c>
      <x:c r="P98" s="89" t="str">
        <x:v>H52.4 Presbicia</x:v>
      </x:c>
      <x:c r="Q98" s="89" t="str">
        <x:v>Sí</x:v>
      </x:c>
      <x:c r="R98" s="89" t="str">
        <x:v>Optometría</x:v>
      </x:c>
      <x:c r="S98" s="106" t="n">
        <x:v>45456</x:v>
      </x:c>
      <x:c r="T98" s="89" t="str">
        <x:f>IF(O98&lt;Instructivo!$B$4,"Vencido",IF(O98&lt;=Instructivo!$B$4+30,"Próximo a vencer","Vigente"))</x:f>
        <x:v>Vencido</x:v>
      </x:c>
      <x:c r="U98" s="89" t="str">
        <x:v>Médico Ocupacional</x:v>
      </x:c>
      <x:c r="V98" s="90" t="str">
        <x:v>Registro completo y soportado en historia ocupacional</x:v>
      </x:c>
    </x:row>
    <x:row r="99">
      <x:c r="A99" s="88" t="n">
        <x:v>2024</x:v>
      </x:c>
      <x:c r="B99" s="89" t="str">
        <x:v>EMO-2024-0026</x:v>
      </x:c>
      <x:c r="C99" s="106" t="n">
        <x:v>45469</x:v>
      </x:c>
      <x:c r="D99" s="89" t="str">
        <x:v>Periódico</x:v>
      </x:c>
      <x:c r="E99" s="89" t="str">
        <x:v>696069909</x:v>
      </x:c>
      <x:c r="F99" s="89" t="str">
        <x:v>Ana Sergio Martínez López</x:v>
      </x:c>
      <x:c r="G99" s="89" t="str">
        <x:v>Escolta</x:v>
      </x:c>
      <x:c r="H99" s="89" t="str">
        <x:v>Cúcuta</x:v>
      </x:c>
      <x:c r="I99" s="89" t="str">
        <x:v>Escoltas</x:v>
      </x:c>
      <x:c r="J99" s="89" t="str">
        <x:v>Centro Médico Laboral Andino</x:v>
      </x:c>
      <x:c r="K99" s="89" t="str">
        <x:v>Apto con restricciones</x:v>
      </x:c>
      <x:c r="L99" s="89" t="str">
        <x:v>Control visual y corrección óptica permanente</x:v>
      </x:c>
      <x:c r="M99" s="89" t="str">
        <x:v>Capacitación ergonómica y seguimiento SST</x:v>
      </x:c>
      <x:c r="N99" s="112" t="n">
        <x:v>12</x:v>
      </x:c>
      <x:c r="O99" s="106" t="n">
        <x:f>EDATE(C99,N99)</x:f>
        <x:v>45834</x:v>
      </x:c>
      <x:c r="P99" s="89" t="str">
        <x:v>E66.9 Obesidad</x:v>
      </x:c>
      <x:c r="Q99" s="89" t="str">
        <x:v>Sí</x:v>
      </x:c>
      <x:c r="R99" s="89" t="str">
        <x:v>Fisioterapia</x:v>
      </x:c>
      <x:c r="S99" s="106" t="n">
        <x:v>45559</x:v>
      </x:c>
      <x:c r="T99" s="89" t="str">
        <x:f>IF(O99&lt;Instructivo!$B$4,"Vencido",IF(O99&lt;=Instructivo!$B$4+30,"Próximo a vencer","Vigente"))</x:f>
        <x:v>Vencido</x:v>
      </x:c>
      <x:c r="U99" s="89" t="str">
        <x:v>Médico Ocupacional</x:v>
      </x:c>
      <x:c r="V99" s="90" t="str">
        <x:v>Sin novedades adicionales</x:v>
      </x:c>
    </x:row>
    <x:row r="100">
      <x:c r="A100" s="88" t="n">
        <x:v>2024</x:v>
      </x:c>
      <x:c r="B100" s="89" t="str">
        <x:v>EMO-2024-0027</x:v>
      </x:c>
      <x:c r="C100" s="106" t="n">
        <x:v>45535</x:v>
      </x:c>
      <x:c r="D100" s="89" t="str">
        <x:v>Periódico</x:v>
      </x:c>
      <x:c r="E100" s="89" t="str">
        <x:v>623592974</x:v>
      </x:c>
      <x:c r="F100" s="89" t="str">
        <x:v>Kevin Miguel Hernández Moreno</x:v>
      </x:c>
      <x:c r="G100" s="89" t="str">
        <x:v>Supervisor motorizado</x:v>
      </x:c>
      <x:c r="H100" s="89" t="str">
        <x:v>Cúcuta</x:v>
      </x:c>
      <x:c r="I100" s="89" t="str">
        <x:v>Operaciones</x:v>
      </x:c>
      <x:c r="J100" s="89" t="str">
        <x:v>Centro Médico Laboral Andino</x:v>
      </x:c>
      <x:c r="K100" s="89" t="str">
        <x:v>Apto</x:v>
      </x:c>
      <x:c r="L100" s="89" t="str"/>
      <x:c r="M100" s="89" t="str">
        <x:v>Mantener estilos de vida saludable</x:v>
      </x:c>
      <x:c r="N100" s="112" t="n">
        <x:v>12</x:v>
      </x:c>
      <x:c r="O100" s="106" t="n">
        <x:f>EDATE(C100,N100)</x:f>
        <x:v>45900</x:v>
      </x:c>
      <x:c r="P100" s="89" t="str">
        <x:v>G56.0 Síndrome túnel carpiano</x:v>
      </x:c>
      <x:c r="Q100" s="89" t="str">
        <x:v>No</x:v>
      </x:c>
      <x:c r="R100" s="89" t="str"/>
      <x:c r="S100" s="106"/>
      <x:c r="T100" s="89" t="str">
        <x:f>IF(O100&lt;Instructivo!$B$4,"Vencido",IF(O100&lt;=Instructivo!$B$4+30,"Próximo a vencer","Vigente"))</x:f>
        <x:v>Vencido</x:v>
      </x:c>
      <x:c r="U100" s="89" t="str">
        <x:v>Líder SST</x:v>
      </x:c>
      <x:c r="V100" s="90" t="str">
        <x:v>Requiere revisión de puesto de trabajo</x:v>
      </x:c>
    </x:row>
    <x:row r="101">
      <x:c r="A101" s="88" t="n">
        <x:v>2024</x:v>
      </x:c>
      <x:c r="B101" s="89" t="str">
        <x:v>EMO-2024-0028</x:v>
      </x:c>
      <x:c r="C101" s="106" t="n">
        <x:v>45506</x:v>
      </x:c>
      <x:c r="D101" s="89" t="str">
        <x:v>Periódico</x:v>
      </x:c>
      <x:c r="E101" s="89" t="str">
        <x:v>732948178</x:v>
      </x:c>
      <x:c r="F101" s="89" t="str">
        <x:v>Andrés Kevin López Suárez</x:v>
      </x:c>
      <x:c r="G101" s="89" t="str">
        <x:v>Vigilante</x:v>
      </x:c>
      <x:c r="H101" s="89" t="str">
        <x:v>Girón</x:v>
      </x:c>
      <x:c r="I101" s="89" t="str">
        <x:v>Operaciones</x:v>
      </x:c>
      <x:c r="J101" s="89" t="str">
        <x:v>Centro Médico Laboral Andino</x:v>
      </x:c>
      <x:c r="K101" s="89" t="str">
        <x:v>Apto</x:v>
      </x:c>
      <x:c r="L101" s="89" t="str"/>
      <x:c r="M101" s="89" t="str">
        <x:v>Mantener estilos de vida saludable</x:v>
      </x:c>
      <x:c r="N101" s="112" t="n">
        <x:v>12</x:v>
      </x:c>
      <x:c r="O101" s="106" t="n">
        <x:f>EDATE(C101,N101)</x:f>
        <x:v>45871</x:v>
      </x:c>
      <x:c r="P101" s="89" t="str">
        <x:v>R51 Cefalea</x:v>
      </x:c>
      <x:c r="Q101" s="89" t="str">
        <x:v>No</x:v>
      </x:c>
      <x:c r="R101" s="89" t="str"/>
      <x:c r="S101" s="106"/>
      <x:c r="T101" s="89" t="str">
        <x:f>IF(O101&lt;Instructivo!$B$4,"Vencido",IF(O101&lt;=Instructivo!$B$4+30,"Próximo a vencer","Vigente"))</x:f>
        <x:v>Vencido</x:v>
      </x:c>
      <x:c r="U101" s="89" t="str">
        <x:v>Líder SST</x:v>
      </x:c>
      <x:c r="V101" s="90" t="str">
        <x:v>Se recomienda seguimiento por comité SST</x:v>
      </x:c>
    </x:row>
    <x:row r="102">
      <x:c r="A102" s="88" t="n">
        <x:v>2024</x:v>
      </x:c>
      <x:c r="B102" s="89" t="str">
        <x:v>EMO-2024-0029</x:v>
      </x:c>
      <x:c r="C102" s="106" t="n">
        <x:v>45340</x:v>
      </x:c>
      <x:c r="D102" s="89" t="str">
        <x:v>Post-incapacidad</x:v>
      </x:c>
      <x:c r="E102" s="89" t="str">
        <x:v>447970771</x:v>
      </x:c>
      <x:c r="F102" s="89" t="str">
        <x:v>Wilson Wilson Ramírez Cárdenas</x:v>
      </x:c>
      <x:c r="G102" s="89" t="str">
        <x:v>Vigilante</x:v>
      </x:c>
      <x:c r="H102" s="89" t="str">
        <x:v>Valledupar</x:v>
      </x:c>
      <x:c r="I102" s="89" t="str">
        <x:v>Operaciones</x:v>
      </x:c>
      <x:c r="J102" s="89" t="str">
        <x:v>Salud Integral Ocupacional</x:v>
      </x:c>
      <x:c r="K102" s="89" t="str">
        <x:v>Apto</x:v>
      </x:c>
      <x:c r="L102" s="89" t="str"/>
      <x:c r="M102" s="89" t="str">
        <x:v>Mantener estilos de vida saludable</x:v>
      </x:c>
      <x:c r="N102" s="112" t="n">
        <x:v>6</x:v>
      </x:c>
      <x:c r="O102" s="106" t="n">
        <x:f>EDATE(C102,N102)</x:f>
        <x:v>45522</x:v>
      </x:c>
      <x:c r="P102" s="89" t="str">
        <x:v>Z00.0 Examen general</x:v>
      </x:c>
      <x:c r="Q102" s="89" t="str">
        <x:v>Sí</x:v>
      </x:c>
      <x:c r="R102" s="89" t="str">
        <x:v>Psicosocial</x:v>
      </x:c>
      <x:c r="S102" s="106" t="n">
        <x:v>45460</x:v>
      </x:c>
      <x:c r="T102" s="89" t="str">
        <x:f>IF(O102&lt;Instructivo!$B$4,"Vencido",IF(O102&lt;=Instructivo!$B$4+30,"Próximo a vencer","Vigente"))</x:f>
        <x:v>Vencido</x:v>
      </x:c>
      <x:c r="U102" s="89" t="str">
        <x:v>Líder SST</x:v>
      </x:c>
      <x:c r="V102" s="90" t="str">
        <x:v>Caso priorizado por restricciones activas</x:v>
      </x:c>
    </x:row>
    <x:row r="103">
      <x:c r="A103" s="88" t="n">
        <x:v>2024</x:v>
      </x:c>
      <x:c r="B103" s="89" t="str">
        <x:v>EMO-2024-0030</x:v>
      </x:c>
      <x:c r="C103" s="106" t="n">
        <x:v>45593</x:v>
      </x:c>
      <x:c r="D103" s="89" t="str">
        <x:v>Post-incapacidad</x:v>
      </x:c>
      <x:c r="E103" s="89" t="str">
        <x:v>527907400</x:v>
      </x:c>
      <x:c r="F103" s="89" t="str">
        <x:v>Carolina Luisa Ramírez Torres</x:v>
      </x:c>
      <x:c r="G103" s="89" t="str">
        <x:v>Operador de medios tecnológicos</x:v>
      </x:c>
      <x:c r="H103" s="89" t="str">
        <x:v>Cúcuta</x:v>
      </x:c>
      <x:c r="I103" s="89" t="str">
        <x:v>Medios Tecnológicos</x:v>
      </x:c>
      <x:c r="J103" s="89" t="str">
        <x:v>Colmédica Ocupacional</x:v>
      </x:c>
      <x:c r="K103" s="89" t="str">
        <x:v>Apto</x:v>
      </x:c>
      <x:c r="L103" s="89" t="str"/>
      <x:c r="M103" s="89" t="str">
        <x:v>Mantener estilos de vida saludable</x:v>
      </x:c>
      <x:c r="N103" s="112" t="n">
        <x:v>6</x:v>
      </x:c>
      <x:c r="O103" s="106" t="n">
        <x:f>EDATE(C103,N103)</x:f>
        <x:v>45775</x:v>
      </x:c>
      <x:c r="P103" s="89" t="str">
        <x:v>Z00.0 Examen general</x:v>
      </x:c>
      <x:c r="Q103" s="89" t="str">
        <x:v>No</x:v>
      </x:c>
      <x:c r="R103" s="89" t="str"/>
      <x:c r="S103" s="106"/>
      <x:c r="T103" s="89" t="str">
        <x:f>IF(O103&lt;Instructivo!$B$4,"Vencido",IF(O103&lt;=Instructivo!$B$4+30,"Próximo a vencer","Vigente"))</x:f>
        <x:v>Vencido</x:v>
      </x:c>
      <x:c r="U103" s="89" t="str">
        <x:v>Analista SST</x:v>
      </x:c>
      <x:c r="V103" s="90" t="str">
        <x:v>Se recomienda seguimiento por comité SST</x:v>
      </x:c>
    </x:row>
    <x:row r="104">
      <x:c r="A104" s="88" t="n">
        <x:v>2024</x:v>
      </x:c>
      <x:c r="B104" s="89" t="str">
        <x:v>EMO-2024-0031</x:v>
      </x:c>
      <x:c r="C104" s="106" t="n">
        <x:v>45353</x:v>
      </x:c>
      <x:c r="D104" s="89" t="str">
        <x:v>Reintegro</x:v>
      </x:c>
      <x:c r="E104" s="89" t="str">
        <x:v>527907400</x:v>
      </x:c>
      <x:c r="F104" s="89" t="str">
        <x:v>Carolina Luisa Ramírez Torres</x:v>
      </x:c>
      <x:c r="G104" s="89" t="str">
        <x:v>Operador de medios tecnológicos</x:v>
      </x:c>
      <x:c r="H104" s="89" t="str">
        <x:v>Cúcuta</x:v>
      </x:c>
      <x:c r="I104" s="89" t="str">
        <x:v>Medios Tecnológicos</x:v>
      </x:c>
      <x:c r="J104" s="89" t="str">
        <x:v>Salud Integral Ocupacional</x:v>
      </x:c>
      <x:c r="K104" s="89" t="str">
        <x:v>Apto</x:v>
      </x:c>
      <x:c r="L104" s="89" t="str"/>
      <x:c r="M104" s="89" t="str">
        <x:v>Participar en programas de vigilancia epidemiológica</x:v>
      </x:c>
      <x:c r="N104" s="112" t="n">
        <x:v>6</x:v>
      </x:c>
      <x:c r="O104" s="106" t="n">
        <x:f>EDATE(C104,N104)</x:f>
        <x:v>45537</x:v>
      </x:c>
      <x:c r="P104" s="89" t="str">
        <x:v>I10 Hipertensión esencial</x:v>
      </x:c>
      <x:c r="Q104" s="89" t="str">
        <x:v>No</x:v>
      </x:c>
      <x:c r="R104" s="89" t="str"/>
      <x:c r="S104" s="106"/>
      <x:c r="T104" s="89" t="str">
        <x:f>IF(O104&lt;Instructivo!$B$4,"Vencido",IF(O104&lt;=Instructivo!$B$4+30,"Próximo a vencer","Vigente"))</x:f>
        <x:v>Vencido</x:v>
      </x:c>
      <x:c r="U104" s="89" t="str">
        <x:v>Médico Ocupacional</x:v>
      </x:c>
      <x:c r="V104" s="90" t="str">
        <x:v>Requiere revisión de puesto de trabajo</x:v>
      </x:c>
    </x:row>
    <x:row r="105">
      <x:c r="A105" s="88" t="n">
        <x:v>2024</x:v>
      </x:c>
      <x:c r="B105" s="89" t="str">
        <x:v>EMO-2024-0032</x:v>
      </x:c>
      <x:c r="C105" s="106" t="n">
        <x:v>45437</x:v>
      </x:c>
      <x:c r="D105" s="89" t="str">
        <x:v>Periódico</x:v>
      </x:c>
      <x:c r="E105" s="89" t="str">
        <x:v>702221854</x:v>
      </x:c>
      <x:c r="F105" s="89" t="str">
        <x:v>Álvaro Sergio Sánchez Suárez</x:v>
      </x:c>
      <x:c r="G105" s="89" t="str">
        <x:v>Vigilante</x:v>
      </x:c>
      <x:c r="H105" s="89" t="str">
        <x:v>Girón</x:v>
      </x:c>
      <x:c r="I105" s="89" t="str">
        <x:v>Operaciones</x:v>
      </x:c>
      <x:c r="J105" s="89" t="str">
        <x:v>Salud Integral Ocupacional</x:v>
      </x:c>
      <x:c r="K105" s="89" t="str">
        <x:v>Apto</x:v>
      </x:c>
      <x:c r="L105" s="89" t="str"/>
      <x:c r="M105" s="89" t="str">
        <x:v>Uso permanente de EPP</x:v>
      </x:c>
      <x:c r="N105" s="112" t="n">
        <x:v>12</x:v>
      </x:c>
      <x:c r="O105" s="106" t="n">
        <x:f>EDATE(C105,N105)</x:f>
        <x:v>45802</x:v>
      </x:c>
      <x:c r="P105" s="89" t="str">
        <x:v>G56.0 Síndrome túnel carpiano</x:v>
      </x:c>
      <x:c r="Q105" s="89" t="str">
        <x:v>No</x:v>
      </x:c>
      <x:c r="R105" s="89" t="str"/>
      <x:c r="S105" s="106"/>
      <x:c r="T105" s="89" t="str">
        <x:f>IF(O105&lt;Instructivo!$B$4,"Vencido",IF(O105&lt;=Instructivo!$B$4+30,"Próximo a vencer","Vigente"))</x:f>
        <x:v>Vencido</x:v>
      </x:c>
      <x:c r="U105" s="89" t="str">
        <x:v>Médico Ocupacional</x:v>
      </x:c>
      <x:c r="V105" s="90" t="str">
        <x:v>Se recomienda seguimiento por comité SST</x:v>
      </x:c>
    </x:row>
    <x:row r="106">
      <x:c r="A106" s="88" t="n">
        <x:v>2024</x:v>
      </x:c>
      <x:c r="B106" s="89" t="str">
        <x:v>EMO-2024-0033</x:v>
      </x:c>
      <x:c r="C106" s="106" t="n">
        <x:v>45533</x:v>
      </x:c>
      <x:c r="D106" s="89" t="str">
        <x:v>Post-incapacidad</x:v>
      </x:c>
      <x:c r="E106" s="89" t="str">
        <x:v>268930103</x:v>
      </x:c>
      <x:c r="F106" s="89" t="str">
        <x:v>Kevin Carolina Castro Moreno</x:v>
      </x:c>
      <x:c r="G106" s="89" t="str">
        <x:v>Vigilante</x:v>
      </x:c>
      <x:c r="H106" s="89" t="str">
        <x:v>Cúcuta</x:v>
      </x:c>
      <x:c r="I106" s="89" t="str">
        <x:v>Operaciones</x:v>
      </x:c>
      <x:c r="J106" s="89" t="str">
        <x:v>IPS Ocupasalud SAS</x:v>
      </x:c>
      <x:c r="K106" s="89" t="str">
        <x:v>Apto con restricciones</x:v>
      </x:c>
      <x:c r="L106" s="89" t="str">
        <x:v>Restricción para trabajo prolongado de pie</x:v>
      </x:c>
      <x:c r="M106" s="89" t="str">
        <x:v>Reubicación o ajuste razonable del puesto</x:v>
      </x:c>
      <x:c r="N106" s="112" t="n">
        <x:v>6</x:v>
      </x:c>
      <x:c r="O106" s="106" t="n">
        <x:f>EDATE(C106,N106)</x:f>
        <x:v>45716</x:v>
      </x:c>
      <x:c r="P106" s="89" t="str">
        <x:v>I10 Hipertensión esencial</x:v>
      </x:c>
      <x:c r="Q106" s="89" t="str">
        <x:v>Sí</x:v>
      </x:c>
      <x:c r="R106" s="89" t="str">
        <x:v>Optometría</x:v>
      </x:c>
      <x:c r="S106" s="106" t="n">
        <x:v>45623</x:v>
      </x:c>
      <x:c r="T106" s="89" t="str">
        <x:f>IF(O106&lt;Instructivo!$B$4,"Vencido",IF(O106&lt;=Instructivo!$B$4+30,"Próximo a vencer","Vigente"))</x:f>
        <x:v>Vencido</x:v>
      </x:c>
      <x:c r="U106" s="89" t="str">
        <x:v>Analista SST</x:v>
      </x:c>
      <x:c r="V106" s="90" t="str">
        <x:v>Sin novedades adicionales</x:v>
      </x:c>
    </x:row>
    <x:row r="107">
      <x:c r="A107" s="88" t="n">
        <x:v>2024</x:v>
      </x:c>
      <x:c r="B107" s="89" t="str">
        <x:v>EMO-2024-0034</x:v>
      </x:c>
      <x:c r="C107" s="106" t="n">
        <x:v>45592</x:v>
      </x:c>
      <x:c r="D107" s="89" t="str">
        <x:v>Periódico</x:v>
      </x:c>
      <x:c r="E107" s="89" t="str">
        <x:v>532714803</x:v>
      </x:c>
      <x:c r="F107" s="89" t="str">
        <x:v>Luis Brayan Martínez Rojas</x:v>
      </x:c>
      <x:c r="G107" s="89" t="str">
        <x:v>Conductor</x:v>
      </x:c>
      <x:c r="H107" s="89" t="str">
        <x:v>Medellín</x:v>
      </x:c>
      <x:c r="I107" s="89" t="str">
        <x:v>Logística</x:v>
      </x:c>
      <x:c r="J107" s="89" t="str">
        <x:v>Colmédica Ocupacional</x:v>
      </x:c>
      <x:c r="K107" s="89" t="str">
        <x:v>Apto</x:v>
      </x:c>
      <x:c r="L107" s="89" t="str"/>
      <x:c r="M107" s="89" t="str">
        <x:v>Participar en programas de vigilancia epidemiológica</x:v>
      </x:c>
      <x:c r="N107" s="112" t="n">
        <x:v>12</x:v>
      </x:c>
      <x:c r="O107" s="106" t="n">
        <x:f>EDATE(C107,N107)</x:f>
        <x:v>45957</x:v>
      </x:c>
      <x:c r="P107" s="89" t="str">
        <x:v>I10 Hipertensión esencial</x:v>
      </x:c>
      <x:c r="Q107" s="89" t="str">
        <x:v>No</x:v>
      </x:c>
      <x:c r="R107" s="89" t="str"/>
      <x:c r="S107" s="106"/>
      <x:c r="T107" s="89" t="str">
        <x:f>IF(O107&lt;Instructivo!$B$4,"Vencido",IF(O107&lt;=Instructivo!$B$4+30,"Próximo a vencer","Vigente"))</x:f>
        <x:v>Vencido</x:v>
      </x:c>
      <x:c r="U107" s="89" t="str">
        <x:v>Médico Ocupacional</x:v>
      </x:c>
      <x:c r="V107" s="90" t="str">
        <x:v>Pendiente firma de concepto médico</x:v>
      </x:c>
    </x:row>
    <x:row r="108">
      <x:c r="A108" s="88" t="n">
        <x:v>2024</x:v>
      </x:c>
      <x:c r="B108" s="89" t="str">
        <x:v>EMO-2024-0035</x:v>
      </x:c>
      <x:c r="C108" s="106" t="n">
        <x:v>45548</x:v>
      </x:c>
      <x:c r="D108" s="89" t="str">
        <x:v>Post-incapacidad</x:v>
      </x:c>
      <x:c r="E108" s="89" t="str">
        <x:v>887847048</x:v>
      </x:c>
      <x:c r="F108" s="89" t="str">
        <x:v>Julián Carlos Rojas Sánchez</x:v>
      </x:c>
      <x:c r="G108" s="89" t="str">
        <x:v>Auxiliar administrativo</x:v>
      </x:c>
      <x:c r="H108" s="89" t="str">
        <x:v>Ocaña</x:v>
      </x:c>
      <x:c r="I108" s="89" t="str">
        <x:v>Administrativa</x:v>
      </x:c>
      <x:c r="J108" s="89" t="str">
        <x:v>IPS Prevencionar</x:v>
      </x:c>
      <x:c r="K108" s="89" t="str">
        <x:v>Apto</x:v>
      </x:c>
      <x:c r="L108" s="89" t="str"/>
      <x:c r="M108" s="89" t="str">
        <x:v>Uso permanente de EPP</x:v>
      </x:c>
      <x:c r="N108" s="112" t="n">
        <x:v>6</x:v>
      </x:c>
      <x:c r="O108" s="106" t="n">
        <x:f>EDATE(C108,N108)</x:f>
        <x:v>45729</x:v>
      </x:c>
      <x:c r="P108" s="89" t="str">
        <x:v>G56.0 Síndrome túnel carpiano</x:v>
      </x:c>
      <x:c r="Q108" s="89" t="str">
        <x:v>No</x:v>
      </x:c>
      <x:c r="R108" s="89" t="str"/>
      <x:c r="S108" s="106"/>
      <x:c r="T108" s="89" t="str">
        <x:f>IF(O108&lt;Instructivo!$B$4,"Vencido",IF(O108&lt;=Instructivo!$B$4+30,"Próximo a vencer","Vigente"))</x:f>
        <x:v>Vencido</x:v>
      </x:c>
      <x:c r="U108" s="89" t="str">
        <x:v>Analista SST</x:v>
      </x:c>
      <x:c r="V108" s="90" t="str">
        <x:v>Sin novedades adicionales</x:v>
      </x:c>
    </x:row>
    <x:row r="109">
      <x:c r="A109" s="88" t="n">
        <x:v>2024</x:v>
      </x:c>
      <x:c r="B109" s="89" t="str">
        <x:v>EMO-2024-0036</x:v>
      </x:c>
      <x:c r="C109" s="106" t="n">
        <x:v>45572</x:v>
      </x:c>
      <x:c r="D109" s="89" t="str">
        <x:v>Ingreso</x:v>
      </x:c>
      <x:c r="E109" s="89" t="str">
        <x:v>424867786</x:v>
      </x:c>
      <x:c r="F109" s="89" t="str">
        <x:v>Andrés Tatiana Sánchez Parra</x:v>
      </x:c>
      <x:c r="G109" s="89" t="str">
        <x:v>Vigilante</x:v>
      </x:c>
      <x:c r="H109" s="89" t="str">
        <x:v>Cúcuta</x:v>
      </x:c>
      <x:c r="I109" s="89" t="str">
        <x:v>Operaciones</x:v>
      </x:c>
      <x:c r="J109" s="89" t="str">
        <x:v>IPS Ocupasalud SAS</x:v>
      </x:c>
      <x:c r="K109" s="89" t="str">
        <x:v>Apto</x:v>
      </x:c>
      <x:c r="L109" s="89" t="str"/>
      <x:c r="M109" s="89" t="str">
        <x:v>Continuar controles periódicos anuales</x:v>
      </x:c>
      <x:c r="N109" s="112" t="n">
        <x:v>12</x:v>
      </x:c>
      <x:c r="O109" s="106" t="n">
        <x:f>EDATE(C109,N109)</x:f>
        <x:v>45937</x:v>
      </x:c>
      <x:c r="P109" s="89" t="str">
        <x:v>Z00.0 Examen general</x:v>
      </x:c>
      <x:c r="Q109" s="89" t="str">
        <x:v>No</x:v>
      </x:c>
      <x:c r="R109" s="89" t="str"/>
      <x:c r="S109" s="106"/>
      <x:c r="T109" s="89" t="str">
        <x:f>IF(O109&lt;Instructivo!$B$4,"Vencido",IF(O109&lt;=Instructivo!$B$4+30,"Próximo a vencer","Vigente"))</x:f>
        <x:v>Vencido</x:v>
      </x:c>
      <x:c r="U109" s="89" t="str">
        <x:v>Médico Ocupacional</x:v>
      </x:c>
      <x:c r="V109" s="90" t="str">
        <x:v>Registro completo y soportado en historia ocupacional</x:v>
      </x:c>
    </x:row>
    <x:row r="110">
      <x:c r="A110" s="88" t="n">
        <x:v>2024</x:v>
      </x:c>
      <x:c r="B110" s="89" t="str">
        <x:v>EMO-2024-0037</x:v>
      </x:c>
      <x:c r="C110" s="106" t="n">
        <x:v>45411</x:v>
      </x:c>
      <x:c r="D110" s="89" t="str">
        <x:v>Post-incapacidad</x:v>
      </x:c>
      <x:c r="E110" s="89" t="str">
        <x:v>407774229</x:v>
      </x:c>
      <x:c r="F110" s="89" t="str">
        <x:v>Andrés Diana Ramírez Gómez</x:v>
      </x:c>
      <x:c r="G110" s="89" t="str">
        <x:v>Vigilante</x:v>
      </x:c>
      <x:c r="H110" s="89" t="str">
        <x:v>Arauca</x:v>
      </x:c>
      <x:c r="I110" s="89" t="str">
        <x:v>Operaciones</x:v>
      </x:c>
      <x:c r="J110" s="89" t="str">
        <x:v>IPS Ocupasalud SAS</x:v>
      </x:c>
      <x:c r="K110" s="89" t="str">
        <x:v>Apto</x:v>
      </x:c>
      <x:c r="L110" s="89" t="str"/>
      <x:c r="M110" s="89" t="str">
        <x:v>Mantener estilos de vida saludable</x:v>
      </x:c>
      <x:c r="N110" s="112" t="n">
        <x:v>6</x:v>
      </x:c>
      <x:c r="O110" s="106" t="n">
        <x:f>EDATE(C110,N110)</x:f>
        <x:v>45594</x:v>
      </x:c>
      <x:c r="P110" s="89" t="str">
        <x:v>G56.0 Síndrome túnel carpiano</x:v>
      </x:c>
      <x:c r="Q110" s="89" t="str">
        <x:v>Sí</x:v>
      </x:c>
      <x:c r="R110" s="89" t="str">
        <x:v>Cardiometabólico</x:v>
      </x:c>
      <x:c r="S110" s="106" t="n">
        <x:v>45501</x:v>
      </x:c>
      <x:c r="T110" s="89" t="str">
        <x:f>IF(O110&lt;Instructivo!$B$4,"Vencido",IF(O110&lt;=Instructivo!$B$4+30,"Próximo a vencer","Vigente"))</x:f>
        <x:v>Vencido</x:v>
      </x:c>
      <x:c r="U110" s="89" t="str">
        <x:v>Médico Ocupacional</x:v>
      </x:c>
      <x:c r="V110" s="90" t="str">
        <x:v>Se recomienda seguimiento por comité SST</x:v>
      </x:c>
    </x:row>
    <x:row r="111">
      <x:c r="A111" s="88" t="n">
        <x:v>2024</x:v>
      </x:c>
      <x:c r="B111" s="89" t="str">
        <x:v>EMO-2024-0038</x:v>
      </x:c>
      <x:c r="C111" s="106" t="n">
        <x:v>45575</x:v>
      </x:c>
      <x:c r="D111" s="89" t="str">
        <x:v>Ingreso</x:v>
      </x:c>
      <x:c r="E111" s="89" t="str">
        <x:v>532714803</x:v>
      </x:c>
      <x:c r="F111" s="89" t="str">
        <x:v>Luis Brayan Martínez Rojas</x:v>
      </x:c>
      <x:c r="G111" s="89" t="str">
        <x:v>Conductor</x:v>
      </x:c>
      <x:c r="H111" s="89" t="str">
        <x:v>Medellín</x:v>
      </x:c>
      <x:c r="I111" s="89" t="str">
        <x:v>Logística</x:v>
      </x:c>
      <x:c r="J111" s="89" t="str">
        <x:v>Salud Integral Ocupacional</x:v>
      </x:c>
      <x:c r="K111" s="89" t="str">
        <x:v>Apto</x:v>
      </x:c>
      <x:c r="L111" s="89" t="str"/>
      <x:c r="M111" s="89" t="str">
        <x:v>Continuar controles periódicos anuales</x:v>
      </x:c>
      <x:c r="N111" s="112" t="n">
        <x:v>12</x:v>
      </x:c>
      <x:c r="O111" s="106" t="n">
        <x:f>EDATE(C111,N111)</x:f>
        <x:v>45940</x:v>
      </x:c>
      <x:c r="P111" s="89" t="str">
        <x:v>E66.9 Obesidad</x:v>
      </x:c>
      <x:c r="Q111" s="89" t="str">
        <x:v>No</x:v>
      </x:c>
      <x:c r="R111" s="89" t="str"/>
      <x:c r="S111" s="106"/>
      <x:c r="T111" s="89" t="str">
        <x:f>IF(O111&lt;Instructivo!$B$4,"Vencido",IF(O111&lt;=Instructivo!$B$4+30,"Próximo a vencer","Vigente"))</x:f>
        <x:v>Vencido</x:v>
      </x:c>
      <x:c r="U111" s="89" t="str">
        <x:v>Líder SST</x:v>
      </x:c>
      <x:c r="V111" s="90" t="str">
        <x:v>Se recomienda seguimiento por comité SST</x:v>
      </x:c>
    </x:row>
    <x:row r="112">
      <x:c r="A112" s="88" t="n">
        <x:v>2024</x:v>
      </x:c>
      <x:c r="B112" s="89" t="str">
        <x:v>EMO-2024-0039</x:v>
      </x:c>
      <x:c r="C112" s="106" t="n">
        <x:v>45638</x:v>
      </x:c>
      <x:c r="D112" s="89" t="str">
        <x:v>Post-incapacidad</x:v>
      </x:c>
      <x:c r="E112" s="89" t="str">
        <x:v>419911492</x:v>
      </x:c>
      <x:c r="F112" s="89" t="str">
        <x:v>Sergio Diana Hernández Hernández</x:v>
      </x:c>
      <x:c r="G112" s="89" t="str">
        <x:v>Vigilante</x:v>
      </x:c>
      <x:c r="H112" s="89" t="str">
        <x:v>Cúcuta</x:v>
      </x:c>
      <x:c r="I112" s="89" t="str">
        <x:v>Operaciones</x:v>
      </x:c>
      <x:c r="J112" s="89" t="str">
        <x:v>Centro Médico Laboral Andino</x:v>
      </x:c>
      <x:c r="K112" s="89" t="str">
        <x:v>Apto</x:v>
      </x:c>
      <x:c r="L112" s="89" t="str"/>
      <x:c r="M112" s="89" t="str">
        <x:v>Mantener estilos de vida saludable</x:v>
      </x:c>
      <x:c r="N112" s="112" t="n">
        <x:v>6</x:v>
      </x:c>
      <x:c r="O112" s="106" t="n">
        <x:f>EDATE(C112,N112)</x:f>
        <x:v>45820</x:v>
      </x:c>
      <x:c r="P112" s="89" t="str">
        <x:v>I10 Hipertensión esencial</x:v>
      </x:c>
      <x:c r="Q112" s="89" t="str">
        <x:v>Sí</x:v>
      </x:c>
      <x:c r="R112" s="89" t="str">
        <x:v>Medicina laboral</x:v>
      </x:c>
      <x:c r="S112" s="106" t="n">
        <x:v>45758</x:v>
      </x:c>
      <x:c r="T112" s="89" t="str">
        <x:f>IF(O112&lt;Instructivo!$B$4,"Vencido",IF(O112&lt;=Instructivo!$B$4+30,"Próximo a vencer","Vigente"))</x:f>
        <x:v>Vencido</x:v>
      </x:c>
      <x:c r="U112" s="89" t="str">
        <x:v>Coordinador de Talento Humano</x:v>
      </x:c>
      <x:c r="V112" s="90" t="str">
        <x:v>Pendiente firma de concepto médico</x:v>
      </x:c>
    </x:row>
    <x:row r="113">
      <x:c r="A113" s="88" t="n">
        <x:v>2024</x:v>
      </x:c>
      <x:c r="B113" s="89" t="str">
        <x:v>EMO-2024-0040</x:v>
      </x:c>
      <x:c r="C113" s="106" t="n">
        <x:v>45496</x:v>
      </x:c>
      <x:c r="D113" s="89" t="str">
        <x:v>Periódico</x:v>
      </x:c>
      <x:c r="E113" s="89" t="str">
        <x:v>424867786</x:v>
      </x:c>
      <x:c r="F113" s="89" t="str">
        <x:v>Andrés Tatiana Sánchez Parra</x:v>
      </x:c>
      <x:c r="G113" s="89" t="str">
        <x:v>Vigilante</x:v>
      </x:c>
      <x:c r="H113" s="89" t="str">
        <x:v>Cúcuta</x:v>
      </x:c>
      <x:c r="I113" s="89" t="str">
        <x:v>Operaciones</x:v>
      </x:c>
      <x:c r="J113" s="89" t="str">
        <x:v>Centro Médico Laboral Andino</x:v>
      </x:c>
      <x:c r="K113" s="89" t="str">
        <x:v>Apto</x:v>
      </x:c>
      <x:c r="L113" s="89" t="str"/>
      <x:c r="M113" s="89" t="str">
        <x:v>Participar en programas de vigilancia epidemiológica</x:v>
      </x:c>
      <x:c r="N113" s="112" t="n">
        <x:v>12</x:v>
      </x:c>
      <x:c r="O113" s="106" t="n">
        <x:f>EDATE(C113,N113)</x:f>
        <x:v>45861</x:v>
      </x:c>
      <x:c r="P113" s="89" t="str">
        <x:v>E66.9 Obesidad</x:v>
      </x:c>
      <x:c r="Q113" s="89" t="str">
        <x:v>No</x:v>
      </x:c>
      <x:c r="R113" s="89" t="str"/>
      <x:c r="S113" s="106"/>
      <x:c r="T113" s="89" t="str">
        <x:f>IF(O113&lt;Instructivo!$B$4,"Vencido",IF(O113&lt;=Instructivo!$B$4+30,"Próximo a vencer","Vigente"))</x:f>
        <x:v>Vencido</x:v>
      </x:c>
      <x:c r="U113" s="89" t="str">
        <x:v>Líder SST</x:v>
      </x:c>
      <x:c r="V113" s="90" t="str">
        <x:v>Pendiente firma de concepto médico</x:v>
      </x:c>
    </x:row>
    <x:row r="114">
      <x:c r="A114" s="88" t="n">
        <x:v>2024</x:v>
      </x:c>
      <x:c r="B114" s="89" t="str">
        <x:v>EMO-2024-0041</x:v>
      </x:c>
      <x:c r="C114" s="106" t="n">
        <x:v>45487</x:v>
      </x:c>
      <x:c r="D114" s="89" t="str">
        <x:v>Ingreso</x:v>
      </x:c>
      <x:c r="E114" s="89" t="str">
        <x:v>576960453</x:v>
      </x:c>
      <x:c r="F114" s="89" t="str">
        <x:v>Camilo Luisa Torres Rodríguez</x:v>
      </x:c>
      <x:c r="G114" s="89" t="str">
        <x:v>Vigilante</x:v>
      </x:c>
      <x:c r="H114" s="89" t="str">
        <x:v>Valledupar</x:v>
      </x:c>
      <x:c r="I114" s="89" t="str">
        <x:v>Operaciones</x:v>
      </x:c>
      <x:c r="J114" s="89" t="str">
        <x:v>IPS Ocupasalud SAS</x:v>
      </x:c>
      <x:c r="K114" s="89" t="str">
        <x:v>Apto</x:v>
      </x:c>
      <x:c r="L114" s="89" t="str"/>
      <x:c r="M114" s="89" t="str">
        <x:v>Participar en programas de vigilancia epidemiológica</x:v>
      </x:c>
      <x:c r="N114" s="112" t="n">
        <x:v>12</x:v>
      </x:c>
      <x:c r="O114" s="106" t="n">
        <x:f>EDATE(C114,N114)</x:f>
        <x:v>45852</x:v>
      </x:c>
      <x:c r="P114" s="89" t="str">
        <x:v>G56.0 Síndrome túnel carpiano</x:v>
      </x:c>
      <x:c r="Q114" s="89" t="str">
        <x:v>Sí</x:v>
      </x:c>
      <x:c r="R114" s="89" t="str">
        <x:v>Medicina laboral</x:v>
      </x:c>
      <x:c r="S114" s="106" t="n">
        <x:v>45607</x:v>
      </x:c>
      <x:c r="T114" s="89" t="str">
        <x:f>IF(O114&lt;Instructivo!$B$4,"Vencido",IF(O114&lt;=Instructivo!$B$4+30,"Próximo a vencer","Vigente"))</x:f>
        <x:v>Vencido</x:v>
      </x:c>
      <x:c r="U114" s="89" t="str">
        <x:v>Médico Ocupacional</x:v>
      </x:c>
      <x:c r="V114" s="90" t="str">
        <x:v>Pendiente firma de concepto médico</x:v>
      </x:c>
    </x:row>
    <x:row r="115">
      <x:c r="A115" s="88" t="n">
        <x:v>2024</x:v>
      </x:c>
      <x:c r="B115" s="89" t="str">
        <x:v>EMO-2024-0042</x:v>
      </x:c>
      <x:c r="C115" s="106" t="n">
        <x:v>45341</x:v>
      </x:c>
      <x:c r="D115" s="89" t="str">
        <x:v>Periódico</x:v>
      </x:c>
      <x:c r="E115" s="89" t="str">
        <x:v>446407373</x:v>
      </x:c>
      <x:c r="F115" s="89" t="str">
        <x:v>Kevin Luis Torres Cárdenas</x:v>
      </x:c>
      <x:c r="G115" s="89" t="str">
        <x:v>Operador de medios tecnológicos</x:v>
      </x:c>
      <x:c r="H115" s="89" t="str">
        <x:v>Cúcuta</x:v>
      </x:c>
      <x:c r="I115" s="89" t="str">
        <x:v>Medios Tecnológicos</x:v>
      </x:c>
      <x:c r="J115" s="89" t="str">
        <x:v>IPS Prevencionar</x:v>
      </x:c>
      <x:c r="K115" s="89" t="str">
        <x:v>Apto con restricciones</x:v>
      </x:c>
      <x:c r="L115" s="89" t="str">
        <x:v>Evitar levantamiento de cargas mayores a 15 kg</x:v>
      </x:c>
      <x:c r="M115" s="89" t="str">
        <x:v>Reubicación o ajuste razonable del puesto</x:v>
      </x:c>
      <x:c r="N115" s="112" t="n">
        <x:v>12</x:v>
      </x:c>
      <x:c r="O115" s="106" t="n">
        <x:f>EDATE(C115,N115)</x:f>
        <x:v>45707</x:v>
      </x:c>
      <x:c r="P115" s="89" t="str">
        <x:v>E66.9 Obesidad</x:v>
      </x:c>
      <x:c r="Q115" s="89" t="str">
        <x:v>Sí</x:v>
      </x:c>
      <x:c r="R115" s="89" t="str">
        <x:v>Ergonomía</x:v>
      </x:c>
      <x:c r="S115" s="106" t="n">
        <x:v>45461</x:v>
      </x:c>
      <x:c r="T115" s="89" t="str">
        <x:f>IF(O115&lt;Instructivo!$B$4,"Vencido",IF(O115&lt;=Instructivo!$B$4+30,"Próximo a vencer","Vigente"))</x:f>
        <x:v>Vencido</x:v>
      </x:c>
      <x:c r="U115" s="89" t="str">
        <x:v>Líder SST</x:v>
      </x:c>
      <x:c r="V115" s="90" t="str">
        <x:v>Caso priorizado por restricciones activas</x:v>
      </x:c>
    </x:row>
    <x:row r="116">
      <x:c r="A116" s="88" t="n">
        <x:v>2024</x:v>
      </x:c>
      <x:c r="B116" s="89" t="str">
        <x:v>EMO-2024-0043</x:v>
      </x:c>
      <x:c r="C116" s="106" t="n">
        <x:v>45436</x:v>
      </x:c>
      <x:c r="D116" s="89" t="str">
        <x:v>Periódico</x:v>
      </x:c>
      <x:c r="E116" s="89" t="str">
        <x:v>495017343</x:v>
      </x:c>
      <x:c r="F116" s="89" t="str">
        <x:v>Carlos Kevin Rodríguez Rodríguez</x:v>
      </x:c>
      <x:c r="G116" s="89" t="str">
        <x:v>Vigilante</x:v>
      </x:c>
      <x:c r="H116" s="89" t="str">
        <x:v>Bogotá</x:v>
      </x:c>
      <x:c r="I116" s="89" t="str">
        <x:v>Operaciones</x:v>
      </x:c>
      <x:c r="J116" s="89" t="str">
        <x:v>Centro Médico Laboral Andino</x:v>
      </x:c>
      <x:c r="K116" s="89" t="str">
        <x:v>Apto con restricciones</x:v>
      </x:c>
      <x:c r="L116" s="89" t="str">
        <x:v>No exposición prolongada a ruido alto sin doble protección</x:v>
      </x:c>
      <x:c r="M116" s="89" t="str">
        <x:v>Seguimiento por medicina laboral en 3 meses</x:v>
      </x:c>
      <x:c r="N116" s="112" t="n">
        <x:v>12</x:v>
      </x:c>
      <x:c r="O116" s="106" t="n">
        <x:f>EDATE(C116,N116)</x:f>
        <x:v>45801</x:v>
      </x:c>
      <x:c r="P116" s="89" t="str">
        <x:v>H52.4 Presbicia</x:v>
      </x:c>
      <x:c r="Q116" s="89" t="str">
        <x:v>Sí</x:v>
      </x:c>
      <x:c r="R116" s="89" t="str">
        <x:v>Ergonomía</x:v>
      </x:c>
      <x:c r="S116" s="106" t="n">
        <x:v>45526</x:v>
      </x:c>
      <x:c r="T116" s="89" t="str">
        <x:f>IF(O116&lt;Instructivo!$B$4,"Vencido",IF(O116&lt;=Instructivo!$B$4+30,"Próximo a vencer","Vigente"))</x:f>
        <x:v>Vencido</x:v>
      </x:c>
      <x:c r="U116" s="89" t="str">
        <x:v>Médico Ocupacional</x:v>
      </x:c>
      <x:c r="V116" s="90" t="str">
        <x:v>Registro completo y soportado en historia ocupacional</x:v>
      </x:c>
    </x:row>
    <x:row r="117">
      <x:c r="A117" s="88" t="n">
        <x:v>2024</x:v>
      </x:c>
      <x:c r="B117" s="89" t="str">
        <x:v>EMO-2024-0044</x:v>
      </x:c>
      <x:c r="C117" s="106" t="n">
        <x:v>45581</x:v>
      </x:c>
      <x:c r="D117" s="89" t="str">
        <x:v>Periódico</x:v>
      </x:c>
      <x:c r="E117" s="89" t="str">
        <x:v>495017343</x:v>
      </x:c>
      <x:c r="F117" s="89" t="str">
        <x:v>Carlos Kevin Rodríguez Rodríguez</x:v>
      </x:c>
      <x:c r="G117" s="89" t="str">
        <x:v>Vigilante</x:v>
      </x:c>
      <x:c r="H117" s="89" t="str">
        <x:v>Bogotá</x:v>
      </x:c>
      <x:c r="I117" s="89" t="str">
        <x:v>Operaciones</x:v>
      </x:c>
      <x:c r="J117" s="89" t="str">
        <x:v>Colmédica Ocupacional</x:v>
      </x:c>
      <x:c r="K117" s="89" t="str">
        <x:v>Apto</x:v>
      </x:c>
      <x:c r="L117" s="89" t="str"/>
      <x:c r="M117" s="89" t="str">
        <x:v>Participar en programas de vigilancia epidemiológica</x:v>
      </x:c>
      <x:c r="N117" s="112" t="n">
        <x:v>12</x:v>
      </x:c>
      <x:c r="O117" s="106" t="n">
        <x:f>EDATE(C117,N117)</x:f>
        <x:v>45946</x:v>
      </x:c>
      <x:c r="P117" s="89" t="str">
        <x:v>M75.1 Lesión de hombro</x:v>
      </x:c>
      <x:c r="Q117" s="89" t="str">
        <x:v>No</x:v>
      </x:c>
      <x:c r="R117" s="89" t="str"/>
      <x:c r="S117" s="106"/>
      <x:c r="T117" s="89" t="str">
        <x:f>IF(O117&lt;Instructivo!$B$4,"Vencido",IF(O117&lt;=Instructivo!$B$4+30,"Próximo a vencer","Vigente"))</x:f>
        <x:v>Vencido</x:v>
      </x:c>
      <x:c r="U117" s="89" t="str">
        <x:v>Analista SST</x:v>
      </x:c>
      <x:c r="V117" s="90" t="str">
        <x:v>Caso priorizado por restricciones activas</x:v>
      </x:c>
    </x:row>
    <x:row r="118">
      <x:c r="A118" s="88" t="n">
        <x:v>2024</x:v>
      </x:c>
      <x:c r="B118" s="89" t="str">
        <x:v>EMO-2024-0045</x:v>
      </x:c>
      <x:c r="C118" s="106" t="n">
        <x:v>45470</x:v>
      </x:c>
      <x:c r="D118" s="89" t="str">
        <x:v>Periódico</x:v>
      </x:c>
      <x:c r="E118" s="89" t="str">
        <x:v>783109911</x:v>
      </x:c>
      <x:c r="F118" s="89" t="str">
        <x:v>Jhon Luisa Castro Hernández</x:v>
      </x:c>
      <x:c r="G118" s="89" t="str">
        <x:v>Coordinador de operaciones</x:v>
      </x:c>
      <x:c r="H118" s="89" t="str">
        <x:v>Barrancabermeja</x:v>
      </x:c>
      <x:c r="I118" s="89" t="str">
        <x:v>Operaciones</x:v>
      </x:c>
      <x:c r="J118" s="89" t="str">
        <x:v>Colmédica Ocupacional</x:v>
      </x:c>
      <x:c r="K118" s="89" t="str">
        <x:v>Apto</x:v>
      </x:c>
      <x:c r="L118" s="89" t="str"/>
      <x:c r="M118" s="89" t="str">
        <x:v>Participar en programas de vigilancia epidemiológica</x:v>
      </x:c>
      <x:c r="N118" s="112" t="n">
        <x:v>12</x:v>
      </x:c>
      <x:c r="O118" s="106" t="n">
        <x:f>EDATE(C118,N118)</x:f>
        <x:v>45835</x:v>
      </x:c>
      <x:c r="P118" s="89" t="str">
        <x:v>M75.1 Lesión de hombro</x:v>
      </x:c>
      <x:c r="Q118" s="89" t="str">
        <x:v>No</x:v>
      </x:c>
      <x:c r="R118" s="89" t="str"/>
      <x:c r="S118" s="106"/>
      <x:c r="T118" s="89" t="str">
        <x:f>IF(O118&lt;Instructivo!$B$4,"Vencido",IF(O118&lt;=Instructivo!$B$4+30,"Próximo a vencer","Vigente"))</x:f>
        <x:v>Vencido</x:v>
      </x:c>
      <x:c r="U118" s="89" t="str">
        <x:v>Coordinador de Talento Humano</x:v>
      </x:c>
      <x:c r="V118" s="90" t="str">
        <x:v>Registro completo y soportado en historia ocupacional</x:v>
      </x:c>
    </x:row>
    <x:row r="119">
      <x:c r="A119" s="88" t="n">
        <x:v>2024</x:v>
      </x:c>
      <x:c r="B119" s="89" t="str">
        <x:v>EMO-2024-0046</x:v>
      </x:c>
      <x:c r="C119" s="106" t="n">
        <x:v>45523</x:v>
      </x:c>
      <x:c r="D119" s="89" t="str">
        <x:v>Periódico</x:v>
      </x:c>
      <x:c r="E119" s="89" t="str">
        <x:v>204905582</x:v>
      </x:c>
      <x:c r="F119" s="89" t="str">
        <x:v>Andrés Brayan Torres Cárdenas</x:v>
      </x:c>
      <x:c r="G119" s="89" t="str">
        <x:v>Operador de medios tecnológicos</x:v>
      </x:c>
      <x:c r="H119" s="89" t="str">
        <x:v>Arauca</x:v>
      </x:c>
      <x:c r="I119" s="89" t="str">
        <x:v>Medios Tecnológicos</x:v>
      </x:c>
      <x:c r="J119" s="89" t="str">
        <x:v>IPS Prevencionar</x:v>
      </x:c>
      <x:c r="K119" s="89" t="str">
        <x:v>Apto</x:v>
      </x:c>
      <x:c r="L119" s="89" t="str"/>
      <x:c r="M119" s="89" t="str">
        <x:v>Uso permanente de EPP</x:v>
      </x:c>
      <x:c r="N119" s="112" t="n">
        <x:v>12</x:v>
      </x:c>
      <x:c r="O119" s="106" t="n">
        <x:f>EDATE(C119,N119)</x:f>
        <x:v>45888</x:v>
      </x:c>
      <x:c r="P119" s="89" t="str">
        <x:v>H52.4 Presbicia</x:v>
      </x:c>
      <x:c r="Q119" s="89" t="str">
        <x:v>No</x:v>
      </x:c>
      <x:c r="R119" s="89" t="str"/>
      <x:c r="S119" s="106"/>
      <x:c r="T119" s="89" t="str">
        <x:f>IF(O119&lt;Instructivo!$B$4,"Vencido",IF(O119&lt;=Instructivo!$B$4+30,"Próximo a vencer","Vigente"))</x:f>
        <x:v>Vencido</x:v>
      </x:c>
      <x:c r="U119" s="89" t="str">
        <x:v>Médico Ocupacional</x:v>
      </x:c>
      <x:c r="V119" s="90" t="str">
        <x:v>Sin novedades adicionales</x:v>
      </x:c>
    </x:row>
    <x:row r="120">
      <x:c r="A120" s="88" t="n">
        <x:v>2024</x:v>
      </x:c>
      <x:c r="B120" s="89" t="str">
        <x:v>EMO-2024-0047</x:v>
      </x:c>
      <x:c r="C120" s="106" t="n">
        <x:v>45444</x:v>
      </x:c>
      <x:c r="D120" s="89" t="str">
        <x:v>Periódico</x:v>
      </x:c>
      <x:c r="E120" s="89" t="str">
        <x:v>644553384</x:v>
      </x:c>
      <x:c r="F120" s="89" t="str">
        <x:v>Laura Yulieth Sánchez Díaz</x:v>
      </x:c>
      <x:c r="G120" s="89" t="str">
        <x:v>Auxiliar administrativo</x:v>
      </x:c>
      <x:c r="H120" s="89" t="str">
        <x:v>Ocaña</x:v>
      </x:c>
      <x:c r="I120" s="89" t="str">
        <x:v>Administrativa</x:v>
      </x:c>
      <x:c r="J120" s="89" t="str">
        <x:v>Centro Médico Laboral Andino</x:v>
      </x:c>
      <x:c r="K120" s="89" t="str">
        <x:v>Apto con restricciones</x:v>
      </x:c>
      <x:c r="L120" s="89" t="str">
        <x:v>Evitar levantamiento de cargas mayores a 15 kg</x:v>
      </x:c>
      <x:c r="M120" s="89" t="str">
        <x:v>Seguimiento por medicina laboral en 3 meses</x:v>
      </x:c>
      <x:c r="N120" s="112" t="n">
        <x:v>12</x:v>
      </x:c>
      <x:c r="O120" s="106" t="n">
        <x:f>EDATE(C120,N120)</x:f>
        <x:v>45809</x:v>
      </x:c>
      <x:c r="P120" s="89" t="str">
        <x:v>M75.1 Lesión de hombro</x:v>
      </x:c>
      <x:c r="Q120" s="89" t="str">
        <x:v>Sí</x:v>
      </x:c>
      <x:c r="R120" s="89" t="str">
        <x:v>Optometría</x:v>
      </x:c>
      <x:c r="S120" s="106" t="n">
        <x:v>45504</x:v>
      </x:c>
      <x:c r="T120" s="89" t="str">
        <x:f>IF(O120&lt;Instructivo!$B$4,"Vencido",IF(O120&lt;=Instructivo!$B$4+30,"Próximo a vencer","Vigente"))</x:f>
        <x:v>Vencido</x:v>
      </x:c>
      <x:c r="U120" s="89" t="str">
        <x:v>Coordinador de Talento Humano</x:v>
      </x:c>
      <x:c r="V120" s="90" t="str">
        <x:v>Sin novedades adicionales</x:v>
      </x:c>
    </x:row>
    <x:row r="121">
      <x:c r="A121" s="88" t="n">
        <x:v>2024</x:v>
      </x:c>
      <x:c r="B121" s="89" t="str">
        <x:v>EMO-2024-0048</x:v>
      </x:c>
      <x:c r="C121" s="106" t="n">
        <x:v>45295</x:v>
      </x:c>
      <x:c r="D121" s="89" t="str">
        <x:v>Ingreso</x:v>
      </x:c>
      <x:c r="E121" s="89" t="str">
        <x:v>775747930</x:v>
      </x:c>
      <x:c r="F121" s="89" t="str">
        <x:v>Andrés Camilo Díaz Ramírez</x:v>
      </x:c>
      <x:c r="G121" s="89" t="str">
        <x:v>Técnico de mantenimiento</x:v>
      </x:c>
      <x:c r="H121" s="89" t="str">
        <x:v>Ocaña</x:v>
      </x:c>
      <x:c r="I121" s="89" t="str">
        <x:v>Infraestructura</x:v>
      </x:c>
      <x:c r="J121" s="89" t="str">
        <x:v>IPS Ocupasalud SAS</x:v>
      </x:c>
      <x:c r="K121" s="89" t="str">
        <x:v>Apto con restricciones</x:v>
      </x:c>
      <x:c r="L121" s="89" t="str">
        <x:v>Control visual y corrección óptica permanente</x:v>
      </x:c>
      <x:c r="M121" s="89" t="str">
        <x:v>Capacitación ergonómica y seguimiento SST</x:v>
      </x:c>
      <x:c r="N121" s="112" t="n">
        <x:v>12</x:v>
      </x:c>
      <x:c r="O121" s="106" t="n">
        <x:f>EDATE(C121,N121)</x:f>
        <x:v>45661</x:v>
      </x:c>
      <x:c r="P121" s="89" t="str">
        <x:v>H52.4 Presbicia</x:v>
      </x:c>
      <x:c r="Q121" s="89" t="str">
        <x:v>Sí</x:v>
      </x:c>
      <x:c r="R121" s="89" t="str">
        <x:v>Optometría</x:v>
      </x:c>
      <x:c r="S121" s="106" t="n">
        <x:v>45355</x:v>
      </x:c>
      <x:c r="T121" s="89" t="str">
        <x:f>IF(O121&lt;Instructivo!$B$4,"Vencido",IF(O121&lt;=Instructivo!$B$4+30,"Próximo a vencer","Vigente"))</x:f>
        <x:v>Vencido</x:v>
      </x:c>
      <x:c r="U121" s="89" t="str">
        <x:v>Médico Ocupacional</x:v>
      </x:c>
      <x:c r="V121" s="90" t="str">
        <x:v>Pendiente firma de concepto médico</x:v>
      </x:c>
    </x:row>
    <x:row r="122">
      <x:c r="A122" s="88" t="n">
        <x:v>2024</x:v>
      </x:c>
      <x:c r="B122" s="89" t="str">
        <x:v>EMO-2024-0049</x:v>
      </x:c>
      <x:c r="C122" s="106" t="n">
        <x:v>45555</x:v>
      </x:c>
      <x:c r="D122" s="89" t="str">
        <x:v>Periódico</x:v>
      </x:c>
      <x:c r="E122" s="89" t="str">
        <x:v>248741810</x:v>
      </x:c>
      <x:c r="F122" s="89" t="str">
        <x:v>Andrés Ana López Castro</x:v>
      </x:c>
      <x:c r="G122" s="89" t="str">
        <x:v>Técnico de mantenimiento</x:v>
      </x:c>
      <x:c r="H122" s="89" t="str">
        <x:v>Ábrego</x:v>
      </x:c>
      <x:c r="I122" s="89" t="str">
        <x:v>Infraestructura</x:v>
      </x:c>
      <x:c r="J122" s="89" t="str">
        <x:v>Salud Integral Ocupacional</x:v>
      </x:c>
      <x:c r="K122" s="89" t="str">
        <x:v>Apto</x:v>
      </x:c>
      <x:c r="L122" s="89" t="str"/>
      <x:c r="M122" s="89" t="str">
        <x:v>Continuar controles periódicos anuales</x:v>
      </x:c>
      <x:c r="N122" s="112" t="n">
        <x:v>12</x:v>
      </x:c>
      <x:c r="O122" s="106" t="n">
        <x:f>EDATE(C122,N122)</x:f>
        <x:v>45920</x:v>
      </x:c>
      <x:c r="P122" s="89" t="str">
        <x:v>R51 Cefalea</x:v>
      </x:c>
      <x:c r="Q122" s="89" t="str">
        <x:v>Sí</x:v>
      </x:c>
      <x:c r="R122" s="89" t="str">
        <x:v>Cardiometabólico</x:v>
      </x:c>
      <x:c r="S122" s="106" t="n">
        <x:v>45615</x:v>
      </x:c>
      <x:c r="T122" s="89" t="str">
        <x:f>IF(O122&lt;Instructivo!$B$4,"Vencido",IF(O122&lt;=Instructivo!$B$4+30,"Próximo a vencer","Vigente"))</x:f>
        <x:v>Vencido</x:v>
      </x:c>
      <x:c r="U122" s="89" t="str">
        <x:v>Médico Ocupacional</x:v>
      </x:c>
      <x:c r="V122" s="90" t="str">
        <x:v>Caso priorizado por restricciones activas</x:v>
      </x:c>
    </x:row>
    <x:row r="123">
      <x:c r="A123" s="88" t="n">
        <x:v>2024</x:v>
      </x:c>
      <x:c r="B123" s="89" t="str">
        <x:v>EMO-2024-0050</x:v>
      </x:c>
      <x:c r="C123" s="106" t="n">
        <x:v>45491</x:v>
      </x:c>
      <x:c r="D123" s="89" t="str">
        <x:v>Periódico</x:v>
      </x:c>
      <x:c r="E123" s="89" t="str">
        <x:v>103678638</x:v>
      </x:c>
      <x:c r="F123" s="89" t="str">
        <x:v>Karen Sergio Parra Torres</x:v>
      </x:c>
      <x:c r="G123" s="89" t="str">
        <x:v>Vigilante</x:v>
      </x:c>
      <x:c r="H123" s="89" t="str">
        <x:v>Cúcuta</x:v>
      </x:c>
      <x:c r="I123" s="89" t="str">
        <x:v>Operaciones</x:v>
      </x:c>
      <x:c r="J123" s="89" t="str">
        <x:v>IPS Prevencionar</x:v>
      </x:c>
      <x:c r="K123" s="89" t="str">
        <x:v>Apto con restricciones</x:v>
      </x:c>
      <x:c r="L123" s="89" t="str">
        <x:v>No exposición prolongada a ruido alto sin doble protección</x:v>
      </x:c>
      <x:c r="M123" s="89" t="str">
        <x:v>Reubicación o ajuste razonable del puesto</x:v>
      </x:c>
      <x:c r="N123" s="112" t="n">
        <x:v>12</x:v>
      </x:c>
      <x:c r="O123" s="106" t="n">
        <x:f>EDATE(C123,N123)</x:f>
        <x:v>45856</x:v>
      </x:c>
      <x:c r="P123" s="89" t="str">
        <x:v>H52.4 Presbicia</x:v>
      </x:c>
      <x:c r="Q123" s="89" t="str">
        <x:v>Sí</x:v>
      </x:c>
      <x:c r="R123" s="89" t="str">
        <x:v>Cardiometabólico</x:v>
      </x:c>
      <x:c r="S123" s="106" t="n">
        <x:v>45611</x:v>
      </x:c>
      <x:c r="T123" s="89" t="str">
        <x:f>IF(O123&lt;Instructivo!$B$4,"Vencido",IF(O123&lt;=Instructivo!$B$4+30,"Próximo a vencer","Vigente"))</x:f>
        <x:v>Vencido</x:v>
      </x:c>
      <x:c r="U123" s="89" t="str">
        <x:v>Analista SST</x:v>
      </x:c>
      <x:c r="V123" s="90" t="str">
        <x:v>Pendiente firma de concepto médico</x:v>
      </x:c>
    </x:row>
    <x:row r="124">
      <x:c r="A124" s="88" t="n">
        <x:v>2024</x:v>
      </x:c>
      <x:c r="B124" s="89" t="str">
        <x:v>EMO-2024-0051</x:v>
      </x:c>
      <x:c r="C124" s="106" t="n">
        <x:v>45545</x:v>
      </x:c>
      <x:c r="D124" s="89" t="str">
        <x:v>Periódico</x:v>
      </x:c>
      <x:c r="E124" s="89" t="str">
        <x:v>983563646</x:v>
      </x:c>
      <x:c r="F124" s="89" t="str">
        <x:v>Karen Camilo Rodríguez Moreno</x:v>
      </x:c>
      <x:c r="G124" s="89" t="str">
        <x:v>Vigilante</x:v>
      </x:c>
      <x:c r="H124" s="89" t="str">
        <x:v>Ocaña</x:v>
      </x:c>
      <x:c r="I124" s="89" t="str">
        <x:v>Operaciones</x:v>
      </x:c>
      <x:c r="J124" s="89" t="str">
        <x:v>Colmédica Ocupacional</x:v>
      </x:c>
      <x:c r="K124" s="89" t="str">
        <x:v>Apto</x:v>
      </x:c>
      <x:c r="L124" s="89" t="str"/>
      <x:c r="M124" s="89" t="str">
        <x:v>Mantener estilos de vida saludable</x:v>
      </x:c>
      <x:c r="N124" s="112" t="n">
        <x:v>12</x:v>
      </x:c>
      <x:c r="O124" s="106" t="n">
        <x:f>EDATE(C124,N124)</x:f>
        <x:v>45910</x:v>
      </x:c>
      <x:c r="P124" s="89" t="str">
        <x:v>G56.0 Síndrome túnel carpiano</x:v>
      </x:c>
      <x:c r="Q124" s="89" t="str">
        <x:v>No</x:v>
      </x:c>
      <x:c r="R124" s="89" t="str"/>
      <x:c r="S124" s="106"/>
      <x:c r="T124" s="89" t="str">
        <x:f>IF(O124&lt;Instructivo!$B$4,"Vencido",IF(O124&lt;=Instructivo!$B$4+30,"Próximo a vencer","Vigente"))</x:f>
        <x:v>Vencido</x:v>
      </x:c>
      <x:c r="U124" s="89" t="str">
        <x:v>Líder SST</x:v>
      </x:c>
      <x:c r="V124" s="90" t="str">
        <x:v>Sin novedades adicionales</x:v>
      </x:c>
    </x:row>
    <x:row r="125">
      <x:c r="A125" s="88" t="n">
        <x:v>2024</x:v>
      </x:c>
      <x:c r="B125" s="89" t="str">
        <x:v>EMO-2024-0052</x:v>
      </x:c>
      <x:c r="C125" s="106" t="n">
        <x:v>45419</x:v>
      </x:c>
      <x:c r="D125" s="89" t="str">
        <x:v>Periódico</x:v>
      </x:c>
      <x:c r="E125" s="89" t="str">
        <x:v>775747930</x:v>
      </x:c>
      <x:c r="F125" s="89" t="str">
        <x:v>Andrés Camilo Díaz Ramírez</x:v>
      </x:c>
      <x:c r="G125" s="89" t="str">
        <x:v>Técnico de mantenimiento</x:v>
      </x:c>
      <x:c r="H125" s="89" t="str">
        <x:v>Ocaña</x:v>
      </x:c>
      <x:c r="I125" s="89" t="str">
        <x:v>Infraestructura</x:v>
      </x:c>
      <x:c r="J125" s="89" t="str">
        <x:v>Colmédica Ocupacional</x:v>
      </x:c>
      <x:c r="K125" s="89" t="str">
        <x:v>Apto con restricciones</x:v>
      </x:c>
      <x:c r="L125" s="89" t="str">
        <x:v>Control visual y corrección óptica permanente</x:v>
      </x:c>
      <x:c r="M125" s="89" t="str">
        <x:v>Reubicación o ajuste razonable del puesto</x:v>
      </x:c>
      <x:c r="N125" s="112" t="n">
        <x:v>12</x:v>
      </x:c>
      <x:c r="O125" s="106" t="n">
        <x:f>EDATE(C125,N125)</x:f>
        <x:v>45784</x:v>
      </x:c>
      <x:c r="P125" s="89" t="str">
        <x:v>Z00.0 Examen general</x:v>
      </x:c>
      <x:c r="Q125" s="89" t="str">
        <x:v>Sí</x:v>
      </x:c>
      <x:c r="R125" s="89" t="str">
        <x:v>Psicosocial</x:v>
      </x:c>
      <x:c r="S125" s="106" t="n">
        <x:v>45479</x:v>
      </x:c>
      <x:c r="T125" s="89" t="str">
        <x:f>IF(O125&lt;Instructivo!$B$4,"Vencido",IF(O125&lt;=Instructivo!$B$4+30,"Próximo a vencer","Vigente"))</x:f>
        <x:v>Vencido</x:v>
      </x:c>
      <x:c r="U125" s="89" t="str">
        <x:v>Médico Ocupacional</x:v>
      </x:c>
      <x:c r="V125" s="90" t="str">
        <x:v>Pendiente firma de concepto médico</x:v>
      </x:c>
    </x:row>
    <x:row r="126">
      <x:c r="A126" s="88" t="n">
        <x:v>2024</x:v>
      </x:c>
      <x:c r="B126" s="89" t="str">
        <x:v>EMO-2024-0053</x:v>
      </x:c>
      <x:c r="C126" s="106" t="n">
        <x:v>45487</x:v>
      </x:c>
      <x:c r="D126" s="89" t="str">
        <x:v>Post-incapacidad</x:v>
      </x:c>
      <x:c r="E126" s="89" t="str">
        <x:v>887358385</x:v>
      </x:c>
      <x:c r="F126" s="89" t="str">
        <x:v>Felipe Juan Castro Parra</x:v>
      </x:c>
      <x:c r="G126" s="89" t="str">
        <x:v>Supervisor de puesto</x:v>
      </x:c>
      <x:c r="H126" s="89" t="str">
        <x:v>Cúcuta</x:v>
      </x:c>
      <x:c r="I126" s="89" t="str">
        <x:v>Operaciones</x:v>
      </x:c>
      <x:c r="J126" s="89" t="str">
        <x:v>Salud Integral Ocupacional</x:v>
      </x:c>
      <x:c r="K126" s="89" t="str">
        <x:v>Apto con restricciones</x:v>
      </x:c>
      <x:c r="L126" s="89" t="str">
        <x:v>Restricción para trabajo prolongado de pie</x:v>
      </x:c>
      <x:c r="M126" s="89" t="str">
        <x:v>Control por optometría/medicina general</x:v>
      </x:c>
      <x:c r="N126" s="112" t="n">
        <x:v>6</x:v>
      </x:c>
      <x:c r="O126" s="106" t="n">
        <x:f>EDATE(C126,N126)</x:f>
        <x:v>45671</x:v>
      </x:c>
      <x:c r="P126" s="89" t="str">
        <x:v>H52.4 Presbicia</x:v>
      </x:c>
      <x:c r="Q126" s="89" t="str">
        <x:v>Sí</x:v>
      </x:c>
      <x:c r="R126" s="89" t="str">
        <x:v>Optometría</x:v>
      </x:c>
      <x:c r="S126" s="106" t="n">
        <x:v>45577</x:v>
      </x:c>
      <x:c r="T126" s="89" t="str">
        <x:f>IF(O126&lt;Instructivo!$B$4,"Vencido",IF(O126&lt;=Instructivo!$B$4+30,"Próximo a vencer","Vigente"))</x:f>
        <x:v>Vencido</x:v>
      </x:c>
      <x:c r="U126" s="89" t="str">
        <x:v>Coordinador de Talento Humano</x:v>
      </x:c>
      <x:c r="V126" s="90" t="str">
        <x:v>Requiere revisión de puesto de trabajo</x:v>
      </x:c>
    </x:row>
    <x:row r="127">
      <x:c r="A127" s="88" t="n">
        <x:v>2024</x:v>
      </x:c>
      <x:c r="B127" s="89" t="str">
        <x:v>EMO-2024-0054</x:v>
      </x:c>
      <x:c r="C127" s="106" t="n">
        <x:v>45395</x:v>
      </x:c>
      <x:c r="D127" s="89" t="str">
        <x:v>Periódico</x:v>
      </x:c>
      <x:c r="E127" s="89" t="str">
        <x:v>639224219</x:v>
      </x:c>
      <x:c r="F127" s="89" t="str">
        <x:v>Andrés Sergio Rojas Cárdenas</x:v>
      </x:c>
      <x:c r="G127" s="89" t="str">
        <x:v>Vigilante</x:v>
      </x:c>
      <x:c r="H127" s="89" t="str">
        <x:v>Bogotá</x:v>
      </x:c>
      <x:c r="I127" s="89" t="str">
        <x:v>Operaciones</x:v>
      </x:c>
      <x:c r="J127" s="89" t="str">
        <x:v>Colmédica Ocupacional</x:v>
      </x:c>
      <x:c r="K127" s="89" t="str">
        <x:v>Apto</x:v>
      </x:c>
      <x:c r="L127" s="89" t="str"/>
      <x:c r="M127" s="89" t="str">
        <x:v>Mantener estilos de vida saludable</x:v>
      </x:c>
      <x:c r="N127" s="112" t="n">
        <x:v>12</x:v>
      </x:c>
      <x:c r="O127" s="106" t="n">
        <x:f>EDATE(C127,N127)</x:f>
        <x:v>45760</x:v>
      </x:c>
      <x:c r="P127" s="89" t="str">
        <x:v>G56.0 Síndrome túnel carpiano</x:v>
      </x:c>
      <x:c r="Q127" s="89" t="str">
        <x:v>No</x:v>
      </x:c>
      <x:c r="R127" s="89" t="str"/>
      <x:c r="S127" s="106"/>
      <x:c r="T127" s="89" t="str">
        <x:f>IF(O127&lt;Instructivo!$B$4,"Vencido",IF(O127&lt;=Instructivo!$B$4+30,"Próximo a vencer","Vigente"))</x:f>
        <x:v>Vencido</x:v>
      </x:c>
      <x:c r="U127" s="89" t="str">
        <x:v>Analista SST</x:v>
      </x:c>
      <x:c r="V127" s="90" t="str">
        <x:v>Se recomienda seguimiento por comité SST</x:v>
      </x:c>
    </x:row>
    <x:row r="128">
      <x:c r="A128" s="88" t="n">
        <x:v>2024</x:v>
      </x:c>
      <x:c r="B128" s="89" t="str">
        <x:v>EMO-2024-0055</x:v>
      </x:c>
      <x:c r="C128" s="106" t="n">
        <x:v>45494</x:v>
      </x:c>
      <x:c r="D128" s="89" t="str">
        <x:v>Periódico</x:v>
      </x:c>
      <x:c r="E128" s="89" t="str">
        <x:v>765531230</x:v>
      </x:c>
      <x:c r="F128" s="89" t="str">
        <x:v>Paola Carolina Castro Cárdenas</x:v>
      </x:c>
      <x:c r="G128" s="89" t="str">
        <x:v>Vigilante</x:v>
      </x:c>
      <x:c r="H128" s="89" t="str">
        <x:v>Ocaña</x:v>
      </x:c>
      <x:c r="I128" s="89" t="str">
        <x:v>Operaciones</x:v>
      </x:c>
      <x:c r="J128" s="89" t="str">
        <x:v>Centro Médico Laboral Andino</x:v>
      </x:c>
      <x:c r="K128" s="89" t="str">
        <x:v>Apto</x:v>
      </x:c>
      <x:c r="L128" s="89" t="str"/>
      <x:c r="M128" s="89" t="str">
        <x:v>Mantener estilos de vida saludable</x:v>
      </x:c>
      <x:c r="N128" s="112" t="n">
        <x:v>12</x:v>
      </x:c>
      <x:c r="O128" s="106" t="n">
        <x:f>EDATE(C128,N128)</x:f>
        <x:v>45859</x:v>
      </x:c>
      <x:c r="P128" s="89" t="str">
        <x:v>Z00.0 Examen general</x:v>
      </x:c>
      <x:c r="Q128" s="89" t="str">
        <x:v>No</x:v>
      </x:c>
      <x:c r="R128" s="89" t="str"/>
      <x:c r="S128" s="106"/>
      <x:c r="T128" s="89" t="str">
        <x:f>IF(O128&lt;Instructivo!$B$4,"Vencido",IF(O128&lt;=Instructivo!$B$4+30,"Próximo a vencer","Vigente"))</x:f>
        <x:v>Vencido</x:v>
      </x:c>
      <x:c r="U128" s="89" t="str">
        <x:v>Médico Ocupacional</x:v>
      </x:c>
      <x:c r="V128" s="90" t="str">
        <x:v>Caso priorizado por restricciones activas</x:v>
      </x:c>
    </x:row>
    <x:row r="129">
      <x:c r="A129" s="88" t="n">
        <x:v>2024</x:v>
      </x:c>
      <x:c r="B129" s="89" t="str">
        <x:v>EMO-2024-0056</x:v>
      </x:c>
      <x:c r="C129" s="106" t="n">
        <x:v>45442</x:v>
      </x:c>
      <x:c r="D129" s="89" t="str">
        <x:v>Periódico</x:v>
      </x:c>
      <x:c r="E129" s="89" t="str">
        <x:v>508321474</x:v>
      </x:c>
      <x:c r="F129" s="89" t="str">
        <x:v>Paola María Martínez Suárez</x:v>
      </x:c>
      <x:c r="G129" s="89" t="str">
        <x:v>Vigilante</x:v>
      </x:c>
      <x:c r="H129" s="89" t="str">
        <x:v>Ábrego</x:v>
      </x:c>
      <x:c r="I129" s="89" t="str">
        <x:v>Operaciones</x:v>
      </x:c>
      <x:c r="J129" s="89" t="str">
        <x:v>Colmédica Ocupacional</x:v>
      </x:c>
      <x:c r="K129" s="89" t="str">
        <x:v>Apto con restricciones</x:v>
      </x:c>
      <x:c r="L129" s="89" t="str">
        <x:v>Evitar levantamiento de cargas mayores a 15 kg</x:v>
      </x:c>
      <x:c r="M129" s="89" t="str">
        <x:v>Control por optometría/medicina general</x:v>
      </x:c>
      <x:c r="N129" s="112" t="n">
        <x:v>12</x:v>
      </x:c>
      <x:c r="O129" s="106" t="n">
        <x:f>EDATE(C129,N129)</x:f>
        <x:v>45807</x:v>
      </x:c>
      <x:c r="P129" s="89" t="str">
        <x:v>I10 Hipertensión esencial</x:v>
      </x:c>
      <x:c r="Q129" s="89" t="str">
        <x:v>Sí</x:v>
      </x:c>
      <x:c r="R129" s="89" t="str">
        <x:v>Fisioterapia</x:v>
      </x:c>
      <x:c r="S129" s="106" t="n">
        <x:v>45532</x:v>
      </x:c>
      <x:c r="T129" s="89" t="str">
        <x:f>IF(O129&lt;Instructivo!$B$4,"Vencido",IF(O129&lt;=Instructivo!$B$4+30,"Próximo a vencer","Vigente"))</x:f>
        <x:v>Vencido</x:v>
      </x:c>
      <x:c r="U129" s="89" t="str">
        <x:v>Coordinador de Talento Humano</x:v>
      </x:c>
      <x:c r="V129" s="90" t="str">
        <x:v>Pendiente firma de concepto médico</x:v>
      </x:c>
    </x:row>
    <x:row r="130">
      <x:c r="A130" s="88" t="n">
        <x:v>2024</x:v>
      </x:c>
      <x:c r="B130" s="89" t="str">
        <x:v>EMO-2024-0057</x:v>
      </x:c>
      <x:c r="C130" s="106" t="n">
        <x:v>45486</x:v>
      </x:c>
      <x:c r="D130" s="89" t="str">
        <x:v>Periódico</x:v>
      </x:c>
      <x:c r="E130" s="89" t="str">
        <x:v>417199635</x:v>
      </x:c>
      <x:c r="F130" s="89" t="str">
        <x:v>José Miguel Cárdenas Díaz</x:v>
      </x:c>
      <x:c r="G130" s="89" t="str">
        <x:v>Auxiliar administrativo</x:v>
      </x:c>
      <x:c r="H130" s="89" t="str">
        <x:v>Arauca</x:v>
      </x:c>
      <x:c r="I130" s="89" t="str">
        <x:v>Administrativa</x:v>
      </x:c>
      <x:c r="J130" s="89" t="str">
        <x:v>Salud Integral Ocupacional</x:v>
      </x:c>
      <x:c r="K130" s="89" t="str">
        <x:v>Apto</x:v>
      </x:c>
      <x:c r="L130" s="89" t="str"/>
      <x:c r="M130" s="89" t="str">
        <x:v>Participar en programas de vigilancia epidemiológica</x:v>
      </x:c>
      <x:c r="N130" s="112" t="n">
        <x:v>12</x:v>
      </x:c>
      <x:c r="O130" s="106" t="n">
        <x:f>EDATE(C130,N130)</x:f>
        <x:v>45851</x:v>
      </x:c>
      <x:c r="P130" s="89" t="str">
        <x:v>M75.1 Lesión de hombro</x:v>
      </x:c>
      <x:c r="Q130" s="89" t="str">
        <x:v>No</x:v>
      </x:c>
      <x:c r="R130" s="89" t="str"/>
      <x:c r="S130" s="106"/>
      <x:c r="T130" s="89" t="str">
        <x:f>IF(O130&lt;Instructivo!$B$4,"Vencido",IF(O130&lt;=Instructivo!$B$4+30,"Próximo a vencer","Vigente"))</x:f>
        <x:v>Vencido</x:v>
      </x:c>
      <x:c r="U130" s="89" t="str">
        <x:v>Líder SST</x:v>
      </x:c>
      <x:c r="V130" s="90" t="str">
        <x:v>Caso priorizado por restricciones activas</x:v>
      </x:c>
    </x:row>
    <x:row r="131">
      <x:c r="A131" s="88" t="n">
        <x:v>2024</x:v>
      </x:c>
      <x:c r="B131" s="89" t="str">
        <x:v>EMO-2024-0058</x:v>
      </x:c>
      <x:c r="C131" s="106" t="n">
        <x:v>45567</x:v>
      </x:c>
      <x:c r="D131" s="89" t="str">
        <x:v>Periódico</x:v>
      </x:c>
      <x:c r="E131" s="89" t="str">
        <x:v>775747930</x:v>
      </x:c>
      <x:c r="F131" s="89" t="str">
        <x:v>Andrés Camilo Díaz Ramírez</x:v>
      </x:c>
      <x:c r="G131" s="89" t="str">
        <x:v>Técnico de mantenimiento</x:v>
      </x:c>
      <x:c r="H131" s="89" t="str">
        <x:v>Ocaña</x:v>
      </x:c>
      <x:c r="I131" s="89" t="str">
        <x:v>Infraestructura</x:v>
      </x:c>
      <x:c r="J131" s="89" t="str">
        <x:v>Colmédica Ocupacional</x:v>
      </x:c>
      <x:c r="K131" s="89" t="str">
        <x:v>Apto</x:v>
      </x:c>
      <x:c r="L131" s="89" t="str"/>
      <x:c r="M131" s="89" t="str">
        <x:v>Continuar controles periódicos anuales</x:v>
      </x:c>
      <x:c r="N131" s="112" t="n">
        <x:v>12</x:v>
      </x:c>
      <x:c r="O131" s="106" t="n">
        <x:f>EDATE(C131,N131)</x:f>
        <x:v>45932</x:v>
      </x:c>
      <x:c r="P131" s="89" t="str">
        <x:v>H52.4 Presbicia</x:v>
      </x:c>
      <x:c r="Q131" s="89" t="str">
        <x:v>Sí</x:v>
      </x:c>
      <x:c r="R131" s="89" t="str">
        <x:v>Ergonomía</x:v>
      </x:c>
      <x:c r="S131" s="106" t="n">
        <x:v>45687</x:v>
      </x:c>
      <x:c r="T131" s="89" t="str">
        <x:f>IF(O131&lt;Instructivo!$B$4,"Vencido",IF(O131&lt;=Instructivo!$B$4+30,"Próximo a vencer","Vigente"))</x:f>
        <x:v>Vencido</x:v>
      </x:c>
      <x:c r="U131" s="89" t="str">
        <x:v>Líder SST</x:v>
      </x:c>
      <x:c r="V131" s="90" t="str">
        <x:v>Requiere revisión de puesto de trabajo</x:v>
      </x:c>
    </x:row>
    <x:row r="132">
      <x:c r="A132" s="88" t="n">
        <x:v>2024</x:v>
      </x:c>
      <x:c r="B132" s="89" t="str">
        <x:v>EMO-2024-0059</x:v>
      </x:c>
      <x:c r="C132" s="106" t="n">
        <x:v>45639</x:v>
      </x:c>
      <x:c r="D132" s="89" t="str">
        <x:v>Post-exposición</x:v>
      </x:c>
      <x:c r="E132" s="89" t="str">
        <x:v>998031780</x:v>
      </x:c>
      <x:c r="F132" s="89" t="str">
        <x:v>Diana Tatiana López Moreno</x:v>
      </x:c>
      <x:c r="G132" s="89" t="str">
        <x:v>Operador de medios tecnológicos</x:v>
      </x:c>
      <x:c r="H132" s="89" t="str">
        <x:v>Arauca</x:v>
      </x:c>
      <x:c r="I132" s="89" t="str">
        <x:v>Medios Tecnológicos</x:v>
      </x:c>
      <x:c r="J132" s="89" t="str">
        <x:v>IPS Ocupasalud SAS</x:v>
      </x:c>
      <x:c r="K132" s="89" t="str">
        <x:v>Apto</x:v>
      </x:c>
      <x:c r="L132" s="89" t="str"/>
      <x:c r="M132" s="89" t="str">
        <x:v>Uso permanente de EPP</x:v>
      </x:c>
      <x:c r="N132" s="112" t="n">
        <x:v>12</x:v>
      </x:c>
      <x:c r="O132" s="106" t="n">
        <x:f>EDATE(C132,N132)</x:f>
        <x:v>46004</x:v>
      </x:c>
      <x:c r="P132" s="89" t="str">
        <x:v>Z00.0 Examen general</x:v>
      </x:c>
      <x:c r="Q132" s="89" t="str">
        <x:v>No</x:v>
      </x:c>
      <x:c r="R132" s="89" t="str"/>
      <x:c r="S132" s="106"/>
      <x:c r="T132" s="89" t="str">
        <x:f>IF(O132&lt;Instructivo!$B$4,"Vencido",IF(O132&lt;=Instructivo!$B$4+30,"Próximo a vencer","Vigente"))</x:f>
        <x:v>Vencido</x:v>
      </x:c>
      <x:c r="U132" s="89" t="str">
        <x:v>Líder SST</x:v>
      </x:c>
      <x:c r="V132" s="90" t="str">
        <x:v>Sin novedades adicionales</x:v>
      </x:c>
    </x:row>
    <x:row r="133">
      <x:c r="A133" s="88" t="n">
        <x:v>2024</x:v>
      </x:c>
      <x:c r="B133" s="89" t="str">
        <x:v>EMO-2024-0060</x:v>
      </x:c>
      <x:c r="C133" s="106" t="n">
        <x:v>45558</x:v>
      </x:c>
      <x:c r="D133" s="89" t="str">
        <x:v>Periódico</x:v>
      </x:c>
      <x:c r="E133" s="89" t="str">
        <x:v>915652512</x:v>
      </x:c>
      <x:c r="F133" s="89" t="str">
        <x:v>Yulieth Yulieth Castro Ramírez</x:v>
      </x:c>
      <x:c r="G133" s="89" t="str">
        <x:v>Operador de medios tecnológicos</x:v>
      </x:c>
      <x:c r="H133" s="89" t="str">
        <x:v>Barrancabermeja</x:v>
      </x:c>
      <x:c r="I133" s="89" t="str">
        <x:v>Medios Tecnológicos</x:v>
      </x:c>
      <x:c r="J133" s="89" t="str">
        <x:v>IPS Prevencionar</x:v>
      </x:c>
      <x:c r="K133" s="89" t="str">
        <x:v>Apto</x:v>
      </x:c>
      <x:c r="L133" s="89" t="str"/>
      <x:c r="M133" s="89" t="str">
        <x:v>Mantener estilos de vida saludable</x:v>
      </x:c>
      <x:c r="N133" s="112" t="n">
        <x:v>12</x:v>
      </x:c>
      <x:c r="O133" s="106" t="n">
        <x:f>EDATE(C133,N133)</x:f>
        <x:v>45923</x:v>
      </x:c>
      <x:c r="P133" s="89" t="str">
        <x:v>H52.4 Presbicia</x:v>
      </x:c>
      <x:c r="Q133" s="89" t="str">
        <x:v>No</x:v>
      </x:c>
      <x:c r="R133" s="89" t="str"/>
      <x:c r="S133" s="106"/>
      <x:c r="T133" s="89" t="str">
        <x:f>IF(O133&lt;Instructivo!$B$4,"Vencido",IF(O133&lt;=Instructivo!$B$4+30,"Próximo a vencer","Vigente"))</x:f>
        <x:v>Vencido</x:v>
      </x:c>
      <x:c r="U133" s="89" t="str">
        <x:v>Coordinador de Talento Humano</x:v>
      </x:c>
      <x:c r="V133" s="90" t="str">
        <x:v>Sin novedades adicionales</x:v>
      </x:c>
    </x:row>
    <x:row r="134">
      <x:c r="A134" s="88" t="n">
        <x:v>2024</x:v>
      </x:c>
      <x:c r="B134" s="89" t="str">
        <x:v>EMO-2024-0061</x:v>
      </x:c>
      <x:c r="C134" s="106" t="n">
        <x:v>45444</x:v>
      </x:c>
      <x:c r="D134" s="89" t="str">
        <x:v>Periódico</x:v>
      </x:c>
      <x:c r="E134" s="89" t="str">
        <x:v>897067228</x:v>
      </x:c>
      <x:c r="F134" s="89" t="str">
        <x:v>Diana Camilo Rodríguez Gómez</x:v>
      </x:c>
      <x:c r="G134" s="89" t="str">
        <x:v>Auxiliar administrativo</x:v>
      </x:c>
      <x:c r="H134" s="89" t="str">
        <x:v>Arauca</x:v>
      </x:c>
      <x:c r="I134" s="89" t="str">
        <x:v>Administrativa</x:v>
      </x:c>
      <x:c r="J134" s="89" t="str">
        <x:v>Colmédica Ocupacional</x:v>
      </x:c>
      <x:c r="K134" s="89" t="str">
        <x:v>Apto</x:v>
      </x:c>
      <x:c r="L134" s="89" t="str"/>
      <x:c r="M134" s="89" t="str">
        <x:v>Continuar controles periódicos anuales</x:v>
      </x:c>
      <x:c r="N134" s="112" t="n">
        <x:v>12</x:v>
      </x:c>
      <x:c r="O134" s="106" t="n">
        <x:f>EDATE(C134,N134)</x:f>
        <x:v>45809</x:v>
      </x:c>
      <x:c r="P134" s="89" t="str">
        <x:v>R51 Cefalea</x:v>
      </x:c>
      <x:c r="Q134" s="89" t="str">
        <x:v>Sí</x:v>
      </x:c>
      <x:c r="R134" s="89" t="str">
        <x:v>Fisioterapia</x:v>
      </x:c>
      <x:c r="S134" s="106" t="n">
        <x:v>45504</x:v>
      </x:c>
      <x:c r="T134" s="89" t="str">
        <x:f>IF(O134&lt;Instructivo!$B$4,"Vencido",IF(O134&lt;=Instructivo!$B$4+30,"Próximo a vencer","Vigente"))</x:f>
        <x:v>Vencido</x:v>
      </x:c>
      <x:c r="U134" s="89" t="str">
        <x:v>Médico Ocupacional</x:v>
      </x:c>
      <x:c r="V134" s="90" t="str">
        <x:v>Se recomienda seguimiento por comité SST</x:v>
      </x:c>
    </x:row>
    <x:row r="135">
      <x:c r="A135" s="88" t="n">
        <x:v>2024</x:v>
      </x:c>
      <x:c r="B135" s="89" t="str">
        <x:v>EMO-2024-0062</x:v>
      </x:c>
      <x:c r="C135" s="106" t="n">
        <x:v>45471</x:v>
      </x:c>
      <x:c r="D135" s="89" t="str">
        <x:v>Periódico</x:v>
      </x:c>
      <x:c r="E135" s="89" t="str">
        <x:v>433995870</x:v>
      </x:c>
      <x:c r="F135" s="89" t="str">
        <x:v>Diana Julián Gómez Martínez</x:v>
      </x:c>
      <x:c r="G135" s="89" t="str">
        <x:v>Vigilante</x:v>
      </x:c>
      <x:c r="H135" s="89" t="str">
        <x:v>Valledupar</x:v>
      </x:c>
      <x:c r="I135" s="89" t="str">
        <x:v>Operaciones</x:v>
      </x:c>
      <x:c r="J135" s="89" t="str">
        <x:v>Colmédica Ocupacional</x:v>
      </x:c>
      <x:c r="K135" s="89" t="str">
        <x:v>Apto</x:v>
      </x:c>
      <x:c r="L135" s="89" t="str"/>
      <x:c r="M135" s="89" t="str">
        <x:v>Participar en programas de vigilancia epidemiológica</x:v>
      </x:c>
      <x:c r="N135" s="112" t="n">
        <x:v>12</x:v>
      </x:c>
      <x:c r="O135" s="106" t="n">
        <x:f>EDATE(C135,N135)</x:f>
        <x:v>45836</x:v>
      </x:c>
      <x:c r="P135" s="89" t="str">
        <x:v>M54.5 Lumbalgia</x:v>
      </x:c>
      <x:c r="Q135" s="89" t="str">
        <x:v>No</x:v>
      </x:c>
      <x:c r="R135" s="89" t="str"/>
      <x:c r="S135" s="106"/>
      <x:c r="T135" s="89" t="str">
        <x:f>IF(O135&lt;Instructivo!$B$4,"Vencido",IF(O135&lt;=Instructivo!$B$4+30,"Próximo a vencer","Vigente"))</x:f>
        <x:v>Vencido</x:v>
      </x:c>
      <x:c r="U135" s="89" t="str">
        <x:v>Coordinador de Talento Humano</x:v>
      </x:c>
      <x:c r="V135" s="90" t="str">
        <x:v>Sin novedades adicionales</x:v>
      </x:c>
    </x:row>
    <x:row r="136">
      <x:c r="A136" s="88" t="n">
        <x:v>2024</x:v>
      </x:c>
      <x:c r="B136" s="89" t="str">
        <x:v>EMO-2024-0063</x:v>
      </x:c>
      <x:c r="C136" s="106" t="n">
        <x:v>45351</x:v>
      </x:c>
      <x:c r="D136" s="89" t="str">
        <x:v>Post-incapacidad</x:v>
      </x:c>
      <x:c r="E136" s="89" t="str">
        <x:v>826279418</x:v>
      </x:c>
      <x:c r="F136" s="89" t="str">
        <x:v>Camilo Ana Castro Suárez</x:v>
      </x:c>
      <x:c r="G136" s="89" t="str">
        <x:v>Vigilante</x:v>
      </x:c>
      <x:c r="H136" s="89" t="str">
        <x:v>Ábrego</x:v>
      </x:c>
      <x:c r="I136" s="89" t="str">
        <x:v>Operaciones</x:v>
      </x:c>
      <x:c r="J136" s="89" t="str">
        <x:v>Centro Médico Laboral Andino</x:v>
      </x:c>
      <x:c r="K136" s="89" t="str">
        <x:v>Apto</x:v>
      </x:c>
      <x:c r="L136" s="89" t="str"/>
      <x:c r="M136" s="89" t="str">
        <x:v>Uso permanente de EPP</x:v>
      </x:c>
      <x:c r="N136" s="112" t="n">
        <x:v>6</x:v>
      </x:c>
      <x:c r="O136" s="106" t="n">
        <x:f>EDATE(C136,N136)</x:f>
        <x:v>45533</x:v>
      </x:c>
      <x:c r="P136" s="89" t="str">
        <x:v>I10 Hipertensión esencial</x:v>
      </x:c>
      <x:c r="Q136" s="89" t="str">
        <x:v>No</x:v>
      </x:c>
      <x:c r="R136" s="89" t="str"/>
      <x:c r="S136" s="106"/>
      <x:c r="T136" s="89" t="str">
        <x:f>IF(O136&lt;Instructivo!$B$4,"Vencido",IF(O136&lt;=Instructivo!$B$4+30,"Próximo a vencer","Vigente"))</x:f>
        <x:v>Vencido</x:v>
      </x:c>
      <x:c r="U136" s="89" t="str">
        <x:v>Analista SST</x:v>
      </x:c>
      <x:c r="V136" s="90" t="str">
        <x:v>Requiere revisión de puesto de trabajo</x:v>
      </x:c>
    </x:row>
    <x:row r="137">
      <x:c r="A137" s="88" t="n">
        <x:v>2024</x:v>
      </x:c>
      <x:c r="B137" s="89" t="str">
        <x:v>EMO-2024-0064</x:v>
      </x:c>
      <x:c r="C137" s="106" t="n">
        <x:v>45579</x:v>
      </x:c>
      <x:c r="D137" s="89" t="str">
        <x:v>Ingreso</x:v>
      </x:c>
      <x:c r="E137" s="89" t="str">
        <x:v>234922880</x:v>
      </x:c>
      <x:c r="F137" s="89" t="str">
        <x:v>Wilson Juan Parra Ramírez</x:v>
      </x:c>
      <x:c r="G137" s="89" t="str">
        <x:v>Conductor</x:v>
      </x:c>
      <x:c r="H137" s="89" t="str">
        <x:v>Arauca</x:v>
      </x:c>
      <x:c r="I137" s="89" t="str">
        <x:v>Logística</x:v>
      </x:c>
      <x:c r="J137" s="89" t="str">
        <x:v>Centro Médico Laboral Andino</x:v>
      </x:c>
      <x:c r="K137" s="89" t="str">
        <x:v>Apto</x:v>
      </x:c>
      <x:c r="L137" s="89" t="str"/>
      <x:c r="M137" s="89" t="str">
        <x:v>Participar en programas de vigilancia epidemiológica</x:v>
      </x:c>
      <x:c r="N137" s="112" t="n">
        <x:v>12</x:v>
      </x:c>
      <x:c r="O137" s="106" t="n">
        <x:f>EDATE(C137,N137)</x:f>
        <x:v>45944</x:v>
      </x:c>
      <x:c r="P137" s="89" t="str">
        <x:v>H52.4 Presbicia</x:v>
      </x:c>
      <x:c r="Q137" s="89" t="str">
        <x:v>No</x:v>
      </x:c>
      <x:c r="R137" s="89" t="str"/>
      <x:c r="S137" s="106"/>
      <x:c r="T137" s="89" t="str">
        <x:f>IF(O137&lt;Instructivo!$B$4,"Vencido",IF(O137&lt;=Instructivo!$B$4+30,"Próximo a vencer","Vigente"))</x:f>
        <x:v>Vencido</x:v>
      </x:c>
      <x:c r="U137" s="89" t="str">
        <x:v>Médico Ocupacional</x:v>
      </x:c>
      <x:c r="V137" s="90" t="str">
        <x:v>Sin novedades adicionales</x:v>
      </x:c>
    </x:row>
    <x:row r="138">
      <x:c r="A138" s="88" t="n">
        <x:v>2024</x:v>
      </x:c>
      <x:c r="B138" s="89" t="str">
        <x:v>EMO-2024-0065</x:v>
      </x:c>
      <x:c r="C138" s="106" t="n">
        <x:v>45607</x:v>
      </x:c>
      <x:c r="D138" s="89" t="str">
        <x:v>Ingreso</x:v>
      </x:c>
      <x:c r="E138" s="89" t="str">
        <x:v>468617381</x:v>
      </x:c>
      <x:c r="F138" s="89" t="str">
        <x:v>Luis Luisa Ramírez Torres</x:v>
      </x:c>
      <x:c r="G138" s="89" t="str">
        <x:v>Vigilante</x:v>
      </x:c>
      <x:c r="H138" s="89" t="str">
        <x:v>Tibú</x:v>
      </x:c>
      <x:c r="I138" s="89" t="str">
        <x:v>Operaciones</x:v>
      </x:c>
      <x:c r="J138" s="89" t="str">
        <x:v>Centro Médico Laboral Andino</x:v>
      </x:c>
      <x:c r="K138" s="89" t="str">
        <x:v>Apto con restricciones</x:v>
      </x:c>
      <x:c r="L138" s="89" t="str">
        <x:v>Control visual y corrección óptica permanente</x:v>
      </x:c>
      <x:c r="M138" s="89" t="str">
        <x:v>Control por optometría/medicina general</x:v>
      </x:c>
      <x:c r="N138" s="112" t="n">
        <x:v>12</x:v>
      </x:c>
      <x:c r="O138" s="106" t="n">
        <x:f>EDATE(C138,N138)</x:f>
        <x:v>45972</x:v>
      </x:c>
      <x:c r="P138" s="89" t="str">
        <x:v>I10 Hipertensión esencial</x:v>
      </x:c>
      <x:c r="Q138" s="89" t="str">
        <x:v>Sí</x:v>
      </x:c>
      <x:c r="R138" s="89" t="str">
        <x:v>Psicosocial</x:v>
      </x:c>
      <x:c r="S138" s="106" t="n">
        <x:v>45667</x:v>
      </x:c>
      <x:c r="T138" s="89" t="str">
        <x:f>IF(O138&lt;Instructivo!$B$4,"Vencido",IF(O138&lt;=Instructivo!$B$4+30,"Próximo a vencer","Vigente"))</x:f>
        <x:v>Vencido</x:v>
      </x:c>
      <x:c r="U138" s="89" t="str">
        <x:v>Coordinador de Talento Humano</x:v>
      </x:c>
      <x:c r="V138" s="90" t="str">
        <x:v>Requiere revisión de puesto de trabajo</x:v>
      </x:c>
    </x:row>
    <x:row r="139">
      <x:c r="A139" s="88" t="n">
        <x:v>2024</x:v>
      </x:c>
      <x:c r="B139" s="89" t="str">
        <x:v>EMO-2024-0066</x:v>
      </x:c>
      <x:c r="C139" s="106" t="n">
        <x:v>45567</x:v>
      </x:c>
      <x:c r="D139" s="89" t="str">
        <x:v>Periódico</x:v>
      </x:c>
      <x:c r="E139" s="89" t="str">
        <x:v>478294150</x:v>
      </x:c>
      <x:c r="F139" s="89" t="str">
        <x:v>Miguel Álvaro Pérez Torres</x:v>
      </x:c>
      <x:c r="G139" s="89" t="str">
        <x:v>Vigilante</x:v>
      </x:c>
      <x:c r="H139" s="89" t="str">
        <x:v>Pamplona</x:v>
      </x:c>
      <x:c r="I139" s="89" t="str">
        <x:v>Operaciones</x:v>
      </x:c>
      <x:c r="J139" s="89" t="str">
        <x:v>Colmédica Ocupacional</x:v>
      </x:c>
      <x:c r="K139" s="89" t="str">
        <x:v>Apto</x:v>
      </x:c>
      <x:c r="L139" s="89" t="str"/>
      <x:c r="M139" s="89" t="str">
        <x:v>Uso permanente de EPP</x:v>
      </x:c>
      <x:c r="N139" s="112" t="n">
        <x:v>12</x:v>
      </x:c>
      <x:c r="O139" s="106" t="n">
        <x:f>EDATE(C139,N139)</x:f>
        <x:v>45932</x:v>
      </x:c>
      <x:c r="P139" s="89" t="str">
        <x:v>G56.0 Síndrome túnel carpiano</x:v>
      </x:c>
      <x:c r="Q139" s="89" t="str">
        <x:v>No</x:v>
      </x:c>
      <x:c r="R139" s="89" t="str"/>
      <x:c r="S139" s="106"/>
      <x:c r="T139" s="89" t="str">
        <x:f>IF(O139&lt;Instructivo!$B$4,"Vencido",IF(O139&lt;=Instructivo!$B$4+30,"Próximo a vencer","Vigente"))</x:f>
        <x:v>Vencido</x:v>
      </x:c>
      <x:c r="U139" s="89" t="str">
        <x:v>Coordinador de Talento Humano</x:v>
      </x:c>
      <x:c r="V139" s="90" t="str">
        <x:v>Registro completo y soportado en historia ocupacional</x:v>
      </x:c>
    </x:row>
    <x:row r="140">
      <x:c r="A140" s="88" t="n">
        <x:v>2024</x:v>
      </x:c>
      <x:c r="B140" s="89" t="str">
        <x:v>EMO-2024-0067</x:v>
      </x:c>
      <x:c r="C140" s="106" t="n">
        <x:v>45493</x:v>
      </x:c>
      <x:c r="D140" s="89" t="str">
        <x:v>Periódico</x:v>
      </x:c>
      <x:c r="E140" s="89" t="str">
        <x:v>852829622</x:v>
      </x:c>
      <x:c r="F140" s="89" t="str">
        <x:v>Álvaro María Ramírez Gómez</x:v>
      </x:c>
      <x:c r="G140" s="89" t="str">
        <x:v>Vigilante</x:v>
      </x:c>
      <x:c r="H140" s="89" t="str">
        <x:v>Bogotá</x:v>
      </x:c>
      <x:c r="I140" s="89" t="str">
        <x:v>Operaciones</x:v>
      </x:c>
      <x:c r="J140" s="89" t="str">
        <x:v>Salud Integral Ocupacional</x:v>
      </x:c>
      <x:c r="K140" s="89" t="str">
        <x:v>Apto</x:v>
      </x:c>
      <x:c r="L140" s="89" t="str"/>
      <x:c r="M140" s="89" t="str">
        <x:v>Uso permanente de EPP</x:v>
      </x:c>
      <x:c r="N140" s="112" t="n">
        <x:v>12</x:v>
      </x:c>
      <x:c r="O140" s="106" t="n">
        <x:f>EDATE(C140,N140)</x:f>
        <x:v>45858</x:v>
      </x:c>
      <x:c r="P140" s="89" t="str">
        <x:v>H52.4 Presbicia</x:v>
      </x:c>
      <x:c r="Q140" s="89" t="str">
        <x:v>No</x:v>
      </x:c>
      <x:c r="R140" s="89" t="str"/>
      <x:c r="S140" s="106"/>
      <x:c r="T140" s="89" t="str">
        <x:f>IF(O140&lt;Instructivo!$B$4,"Vencido",IF(O140&lt;=Instructivo!$B$4+30,"Próximo a vencer","Vigente"))</x:f>
        <x:v>Vencido</x:v>
      </x:c>
      <x:c r="U140" s="89" t="str">
        <x:v>Coordinador de Talento Humano</x:v>
      </x:c>
      <x:c r="V140" s="90" t="str">
        <x:v>Sin novedades adicionales</x:v>
      </x:c>
    </x:row>
    <x:row r="141">
      <x:c r="A141" s="88" t="n">
        <x:v>2024</x:v>
      </x:c>
      <x:c r="B141" s="89" t="str">
        <x:v>EMO-2024-0068</x:v>
      </x:c>
      <x:c r="C141" s="106" t="n">
        <x:v>45637</x:v>
      </x:c>
      <x:c r="D141" s="89" t="str">
        <x:v>Periódico</x:v>
      </x:c>
      <x:c r="E141" s="89" t="str">
        <x:v>804607488</x:v>
      </x:c>
      <x:c r="F141" s="89" t="str">
        <x:v>Sergio Álvaro Ramírez Moreno</x:v>
      </x:c>
      <x:c r="G141" s="89" t="str">
        <x:v>Escolta</x:v>
      </x:c>
      <x:c r="H141" s="89" t="str">
        <x:v>Barrancabermeja</x:v>
      </x:c>
      <x:c r="I141" s="89" t="str">
        <x:v>Escoltas</x:v>
      </x:c>
      <x:c r="J141" s="89" t="str">
        <x:v>Centro Médico Laboral Andino</x:v>
      </x:c>
      <x:c r="K141" s="89" t="str">
        <x:v>Apto</x:v>
      </x:c>
      <x:c r="L141" s="89" t="str"/>
      <x:c r="M141" s="89" t="str">
        <x:v>Continuar controles periódicos anuales</x:v>
      </x:c>
      <x:c r="N141" s="112" t="n">
        <x:v>12</x:v>
      </x:c>
      <x:c r="O141" s="106" t="n">
        <x:f>EDATE(C141,N141)</x:f>
        <x:v>46002</x:v>
      </x:c>
      <x:c r="P141" s="89" t="str">
        <x:v>R51 Cefalea</x:v>
      </x:c>
      <x:c r="Q141" s="89" t="str">
        <x:v>No</x:v>
      </x:c>
      <x:c r="R141" s="89" t="str"/>
      <x:c r="S141" s="106"/>
      <x:c r="T141" s="89" t="str">
        <x:f>IF(O141&lt;Instructivo!$B$4,"Vencido",IF(O141&lt;=Instructivo!$B$4+30,"Próximo a vencer","Vigente"))</x:f>
        <x:v>Vencido</x:v>
      </x:c>
      <x:c r="U141" s="89" t="str">
        <x:v>Analista SST</x:v>
      </x:c>
      <x:c r="V141" s="90" t="str">
        <x:v>Registro completo y soportado en historia ocupacional</x:v>
      </x:c>
    </x:row>
    <x:row r="142">
      <x:c r="A142" s="88" t="n">
        <x:v>2024</x:v>
      </x:c>
      <x:c r="B142" s="89" t="str">
        <x:v>EMO-2024-0069</x:v>
      </x:c>
      <x:c r="C142" s="106" t="n">
        <x:v>45598</x:v>
      </x:c>
      <x:c r="D142" s="89" t="str">
        <x:v>Periódico</x:v>
      </x:c>
      <x:c r="E142" s="89" t="str">
        <x:v>421157662</x:v>
      </x:c>
      <x:c r="F142" s="89" t="str">
        <x:v>Carolina Álvaro Díaz Hernández</x:v>
      </x:c>
      <x:c r="G142" s="89" t="str">
        <x:v>Vigilante</x:v>
      </x:c>
      <x:c r="H142" s="89" t="str">
        <x:v>Cúcuta</x:v>
      </x:c>
      <x:c r="I142" s="89" t="str">
        <x:v>Operaciones</x:v>
      </x:c>
      <x:c r="J142" s="89" t="str">
        <x:v>Salud Integral Ocupacional</x:v>
      </x:c>
      <x:c r="K142" s="89" t="str">
        <x:v>Apto</x:v>
      </x:c>
      <x:c r="L142" s="89" t="str"/>
      <x:c r="M142" s="89" t="str">
        <x:v>Participar en programas de vigilancia epidemiológica</x:v>
      </x:c>
      <x:c r="N142" s="112" t="n">
        <x:v>12</x:v>
      </x:c>
      <x:c r="O142" s="106" t="n">
        <x:f>EDATE(C142,N142)</x:f>
        <x:v>45963</x:v>
      </x:c>
      <x:c r="P142" s="89" t="str">
        <x:v>H52.4 Presbicia</x:v>
      </x:c>
      <x:c r="Q142" s="89" t="str">
        <x:v>No</x:v>
      </x:c>
      <x:c r="R142" s="89" t="str"/>
      <x:c r="S142" s="106"/>
      <x:c r="T142" s="89" t="str">
        <x:f>IF(O142&lt;Instructivo!$B$4,"Vencido",IF(O142&lt;=Instructivo!$B$4+30,"Próximo a vencer","Vigente"))</x:f>
        <x:v>Vencido</x:v>
      </x:c>
      <x:c r="U142" s="89" t="str">
        <x:v>Analista SST</x:v>
      </x:c>
      <x:c r="V142" s="90" t="str">
        <x:v>Sin novedades adicionales</x:v>
      </x:c>
    </x:row>
    <x:row r="143">
      <x:c r="A143" s="88" t="n">
        <x:v>2024</x:v>
      </x:c>
      <x:c r="B143" s="89" t="str">
        <x:v>EMO-2024-0070</x:v>
      </x:c>
      <x:c r="C143" s="106" t="n">
        <x:v>45388</x:v>
      </x:c>
      <x:c r="D143" s="89" t="str">
        <x:v>Periódico</x:v>
      </x:c>
      <x:c r="E143" s="89" t="str">
        <x:v>721602286</x:v>
      </x:c>
      <x:c r="F143" s="89" t="str">
        <x:v>Paola Luis Ramírez Díaz</x:v>
      </x:c>
      <x:c r="G143" s="89" t="str">
        <x:v>Auxiliar administrativo</x:v>
      </x:c>
      <x:c r="H143" s="89" t="str">
        <x:v>Pamplona</x:v>
      </x:c>
      <x:c r="I143" s="89" t="str">
        <x:v>Administrativa</x:v>
      </x:c>
      <x:c r="J143" s="89" t="str">
        <x:v>IPS Ocupasalud SAS</x:v>
      </x:c>
      <x:c r="K143" s="89" t="str">
        <x:v>Apto</x:v>
      </x:c>
      <x:c r="L143" s="89" t="str"/>
      <x:c r="M143" s="89" t="str">
        <x:v>Participar en programas de vigilancia epidemiológica</x:v>
      </x:c>
      <x:c r="N143" s="112" t="n">
        <x:v>12</x:v>
      </x:c>
      <x:c r="O143" s="106" t="n">
        <x:f>EDATE(C143,N143)</x:f>
        <x:v>45753</x:v>
      </x:c>
      <x:c r="P143" s="89" t="str">
        <x:v>G56.0 Síndrome túnel carpiano</x:v>
      </x:c>
      <x:c r="Q143" s="89" t="str">
        <x:v>No</x:v>
      </x:c>
      <x:c r="R143" s="89" t="str"/>
      <x:c r="S143" s="106"/>
      <x:c r="T143" s="89" t="str">
        <x:f>IF(O143&lt;Instructivo!$B$4,"Vencido",IF(O143&lt;=Instructivo!$B$4+30,"Próximo a vencer","Vigente"))</x:f>
        <x:v>Vencido</x:v>
      </x:c>
      <x:c r="U143" s="89" t="str">
        <x:v>Analista SST</x:v>
      </x:c>
      <x:c r="V143" s="90" t="str">
        <x:v>Se recomienda seguimiento por comité SST</x:v>
      </x:c>
    </x:row>
    <x:row r="144">
      <x:c r="A144" s="88" t="n">
        <x:v>2024</x:v>
      </x:c>
      <x:c r="B144" s="89" t="str">
        <x:v>EMO-2024-0071</x:v>
      </x:c>
      <x:c r="C144" s="106" t="n">
        <x:v>45580</x:v>
      </x:c>
      <x:c r="D144" s="89" t="str">
        <x:v>Post-incapacidad</x:v>
      </x:c>
      <x:c r="E144" s="89" t="str">
        <x:v>581649691</x:v>
      </x:c>
      <x:c r="F144" s="89" t="str">
        <x:v>Wilson Kevin Sánchez Cárdenas</x:v>
      </x:c>
      <x:c r="G144" s="89" t="str">
        <x:v>Operador de medios tecnológicos</x:v>
      </x:c>
      <x:c r="H144" s="89" t="str">
        <x:v>Ocaña</x:v>
      </x:c>
      <x:c r="I144" s="89" t="str">
        <x:v>Medios Tecnológicos</x:v>
      </x:c>
      <x:c r="J144" s="89" t="str">
        <x:v>IPS Prevencionar</x:v>
      </x:c>
      <x:c r="K144" s="89" t="str">
        <x:v>Apto</x:v>
      </x:c>
      <x:c r="L144" s="89" t="str"/>
      <x:c r="M144" s="89" t="str">
        <x:v>Participar en programas de vigilancia epidemiológica</x:v>
      </x:c>
      <x:c r="N144" s="112" t="n">
        <x:v>6</x:v>
      </x:c>
      <x:c r="O144" s="106" t="n">
        <x:f>EDATE(C144,N144)</x:f>
        <x:v>45762</x:v>
      </x:c>
      <x:c r="P144" s="89" t="str">
        <x:v>G56.0 Síndrome túnel carpiano</x:v>
      </x:c>
      <x:c r="Q144" s="89" t="str">
        <x:v>No</x:v>
      </x:c>
      <x:c r="R144" s="89" t="str"/>
      <x:c r="S144" s="106"/>
      <x:c r="T144" s="89" t="str">
        <x:f>IF(O144&lt;Instructivo!$B$4,"Vencido",IF(O144&lt;=Instructivo!$B$4+30,"Próximo a vencer","Vigente"))</x:f>
        <x:v>Vencido</x:v>
      </x:c>
      <x:c r="U144" s="89" t="str">
        <x:v>Médico Ocupacional</x:v>
      </x:c>
      <x:c r="V144" s="90" t="str">
        <x:v>Sin novedades adicionales</x:v>
      </x:c>
    </x:row>
    <x:row r="145">
      <x:c r="A145" s="88" t="n">
        <x:v>2024</x:v>
      </x:c>
      <x:c r="B145" s="89" t="str">
        <x:v>EMO-2024-0072</x:v>
      </x:c>
      <x:c r="C145" s="106" t="n">
        <x:v>45308</x:v>
      </x:c>
      <x:c r="D145" s="89" t="str">
        <x:v>Ingreso</x:v>
      </x:c>
      <x:c r="E145" s="89" t="str">
        <x:v>534415796</x:v>
      </x:c>
      <x:c r="F145" s="89" t="str">
        <x:v>Luisa Ana Torres Castro</x:v>
      </x:c>
      <x:c r="G145" s="89" t="str">
        <x:v>Vigilante</x:v>
      </x:c>
      <x:c r="H145" s="89" t="str">
        <x:v>Cúcuta</x:v>
      </x:c>
      <x:c r="I145" s="89" t="str">
        <x:v>Operaciones</x:v>
      </x:c>
      <x:c r="J145" s="89" t="str">
        <x:v>Salud Integral Ocupacional</x:v>
      </x:c>
      <x:c r="K145" s="89" t="str">
        <x:v>Apto con restricciones</x:v>
      </x:c>
      <x:c r="L145" s="89" t="str">
        <x:v>Pausas activas cada 2 horas</x:v>
      </x:c>
      <x:c r="M145" s="89" t="str">
        <x:v>Capacitación ergonómica y seguimiento SST</x:v>
      </x:c>
      <x:c r="N145" s="112" t="n">
        <x:v>12</x:v>
      </x:c>
      <x:c r="O145" s="106" t="n">
        <x:f>EDATE(C145,N145)</x:f>
        <x:v>45674</x:v>
      </x:c>
      <x:c r="P145" s="89" t="str">
        <x:v>E66.9 Obesidad</x:v>
      </x:c>
      <x:c r="Q145" s="89" t="str">
        <x:v>Sí</x:v>
      </x:c>
      <x:c r="R145" s="89" t="str">
        <x:v>Medicina laboral</x:v>
      </x:c>
      <x:c r="S145" s="106" t="n">
        <x:v>45398</x:v>
      </x:c>
      <x:c r="T145" s="89" t="str">
        <x:f>IF(O145&lt;Instructivo!$B$4,"Vencido",IF(O145&lt;=Instructivo!$B$4+30,"Próximo a vencer","Vigente"))</x:f>
        <x:v>Vencido</x:v>
      </x:c>
      <x:c r="U145" s="89" t="str">
        <x:v>Analista SST</x:v>
      </x:c>
      <x:c r="V145" s="90" t="str">
        <x:v>Pendiente firma de concepto médico</x:v>
      </x:c>
    </x:row>
    <x:row r="146">
      <x:c r="A146" s="88" t="n">
        <x:v>2024</x:v>
      </x:c>
      <x:c r="B146" s="89" t="str">
        <x:v>EMO-2024-0073</x:v>
      </x:c>
      <x:c r="C146" s="106" t="n">
        <x:v>45546</x:v>
      </x:c>
      <x:c r="D146" s="89" t="str">
        <x:v>Periódico</x:v>
      </x:c>
      <x:c r="E146" s="89" t="str">
        <x:v>539518424</x:v>
      </x:c>
      <x:c r="F146" s="89" t="str">
        <x:v>Julián Juan Díaz Díaz</x:v>
      </x:c>
      <x:c r="G146" s="89" t="str">
        <x:v>Auxiliar administrativo</x:v>
      </x:c>
      <x:c r="H146" s="89" t="str">
        <x:v>Medellín</x:v>
      </x:c>
      <x:c r="I146" s="89" t="str">
        <x:v>Administrativa</x:v>
      </x:c>
      <x:c r="J146" s="89" t="str">
        <x:v>Salud Integral Ocupacional</x:v>
      </x:c>
      <x:c r="K146" s="89" t="str">
        <x:v>Apto</x:v>
      </x:c>
      <x:c r="L146" s="89" t="str"/>
      <x:c r="M146" s="89" t="str">
        <x:v>Continuar controles periódicos anuales</x:v>
      </x:c>
      <x:c r="N146" s="112" t="n">
        <x:v>12</x:v>
      </x:c>
      <x:c r="O146" s="106" t="n">
        <x:f>EDATE(C146,N146)</x:f>
        <x:v>45911</x:v>
      </x:c>
      <x:c r="P146" s="89" t="str">
        <x:v>R51 Cefalea</x:v>
      </x:c>
      <x:c r="Q146" s="89" t="str">
        <x:v>No</x:v>
      </x:c>
      <x:c r="R146" s="89" t="str"/>
      <x:c r="S146" s="106"/>
      <x:c r="T146" s="89" t="str">
        <x:f>IF(O146&lt;Instructivo!$B$4,"Vencido",IF(O146&lt;=Instructivo!$B$4+30,"Próximo a vencer","Vigente"))</x:f>
        <x:v>Vencido</x:v>
      </x:c>
      <x:c r="U146" s="89" t="str">
        <x:v>Líder SST</x:v>
      </x:c>
      <x:c r="V146" s="90" t="str">
        <x:v>Se recomienda seguimiento por comité SST</x:v>
      </x:c>
    </x:row>
    <x:row r="147">
      <x:c r="A147" s="88" t="n">
        <x:v>2024</x:v>
      </x:c>
      <x:c r="B147" s="89" t="str">
        <x:v>EMO-2024-0074</x:v>
      </x:c>
      <x:c r="C147" s="106" t="n">
        <x:v>45510</x:v>
      </x:c>
      <x:c r="D147" s="89" t="str">
        <x:v>Periódico</x:v>
      </x:c>
      <x:c r="E147" s="89" t="str">
        <x:v>468350368</x:v>
      </x:c>
      <x:c r="F147" s="89" t="str">
        <x:v>Karen Wilson Martínez Pérez</x:v>
      </x:c>
      <x:c r="G147" s="89" t="str">
        <x:v>Vigilante</x:v>
      </x:c>
      <x:c r="H147" s="89" t="str">
        <x:v>Pamplona</x:v>
      </x:c>
      <x:c r="I147" s="89" t="str">
        <x:v>Operaciones</x:v>
      </x:c>
      <x:c r="J147" s="89" t="str">
        <x:v>IPS Prevencionar</x:v>
      </x:c>
      <x:c r="K147" s="89" t="str">
        <x:v>Apto</x:v>
      </x:c>
      <x:c r="L147" s="89" t="str"/>
      <x:c r="M147" s="89" t="str">
        <x:v>Mantener estilos de vida saludable</x:v>
      </x:c>
      <x:c r="N147" s="112" t="n">
        <x:v>12</x:v>
      </x:c>
      <x:c r="O147" s="106" t="n">
        <x:f>EDATE(C147,N147)</x:f>
        <x:v>45875</x:v>
      </x:c>
      <x:c r="P147" s="89" t="str">
        <x:v>E66.9 Obesidad</x:v>
      </x:c>
      <x:c r="Q147" s="89" t="str">
        <x:v>No</x:v>
      </x:c>
      <x:c r="R147" s="89" t="str"/>
      <x:c r="S147" s="106"/>
      <x:c r="T147" s="89" t="str">
        <x:f>IF(O147&lt;Instructivo!$B$4,"Vencido",IF(O147&lt;=Instructivo!$B$4+30,"Próximo a vencer","Vigente"))</x:f>
        <x:v>Vencido</x:v>
      </x:c>
      <x:c r="U147" s="89" t="str">
        <x:v>Coordinador de Talento Humano</x:v>
      </x:c>
      <x:c r="V147" s="90" t="str">
        <x:v>Registro completo y soportado en historia ocupacional</x:v>
      </x:c>
    </x:row>
    <x:row r="148">
      <x:c r="A148" s="88" t="n">
        <x:v>2024</x:v>
      </x:c>
      <x:c r="B148" s="89" t="str">
        <x:v>EMO-2024-0075</x:v>
      </x:c>
      <x:c r="C148" s="106" t="n">
        <x:v>45353</x:v>
      </x:c>
      <x:c r="D148" s="89" t="str">
        <x:v>Periódico</x:v>
      </x:c>
      <x:c r="E148" s="89" t="str">
        <x:v>578350099</x:v>
      </x:c>
      <x:c r="F148" s="89" t="str">
        <x:v>María Álvaro Martínez Ramírez</x:v>
      </x:c>
      <x:c r="G148" s="89" t="str">
        <x:v>Operador de medios tecnológicos</x:v>
      </x:c>
      <x:c r="H148" s="89" t="str">
        <x:v>Cúcuta</x:v>
      </x:c>
      <x:c r="I148" s="89" t="str">
        <x:v>Medios Tecnológicos</x:v>
      </x:c>
      <x:c r="J148" s="89" t="str">
        <x:v>Salud Integral Ocupacional</x:v>
      </x:c>
      <x:c r="K148" s="89" t="str">
        <x:v>Apto</x:v>
      </x:c>
      <x:c r="L148" s="89" t="str"/>
      <x:c r="M148" s="89" t="str">
        <x:v>Mantener estilos de vida saludable</x:v>
      </x:c>
      <x:c r="N148" s="112" t="n">
        <x:v>12</x:v>
      </x:c>
      <x:c r="O148" s="106" t="n">
        <x:f>EDATE(C148,N148)</x:f>
        <x:v>45718</x:v>
      </x:c>
      <x:c r="P148" s="89" t="str">
        <x:v>R51 Cefalea</x:v>
      </x:c>
      <x:c r="Q148" s="89" t="str">
        <x:v>No</x:v>
      </x:c>
      <x:c r="R148" s="89" t="str"/>
      <x:c r="S148" s="106"/>
      <x:c r="T148" s="89" t="str">
        <x:f>IF(O148&lt;Instructivo!$B$4,"Vencido",IF(O148&lt;=Instructivo!$B$4+30,"Próximo a vencer","Vigente"))</x:f>
        <x:v>Vencido</x:v>
      </x:c>
      <x:c r="U148" s="89" t="str">
        <x:v>Médico Ocupacional</x:v>
      </x:c>
      <x:c r="V148" s="90" t="str">
        <x:v>Requiere revisión de puesto de trabajo</x:v>
      </x:c>
    </x:row>
    <x:row r="149">
      <x:c r="A149" s="88" t="n">
        <x:v>2024</x:v>
      </x:c>
      <x:c r="B149" s="89" t="str">
        <x:v>EMO-2024-0076</x:v>
      </x:c>
      <x:c r="C149" s="106" t="n">
        <x:v>45398</x:v>
      </x:c>
      <x:c r="D149" s="89" t="str">
        <x:v>Periódico</x:v>
      </x:c>
      <x:c r="E149" s="89" t="str">
        <x:v>534415796</x:v>
      </x:c>
      <x:c r="F149" s="89" t="str">
        <x:v>Luisa Ana Torres Castro</x:v>
      </x:c>
      <x:c r="G149" s="89" t="str">
        <x:v>Vigilante</x:v>
      </x:c>
      <x:c r="H149" s="89" t="str">
        <x:v>Cúcuta</x:v>
      </x:c>
      <x:c r="I149" s="89" t="str">
        <x:v>Operaciones</x:v>
      </x:c>
      <x:c r="J149" s="89" t="str">
        <x:v>Salud Integral Ocupacional</x:v>
      </x:c>
      <x:c r="K149" s="89" t="str">
        <x:v>Apto con restricciones</x:v>
      </x:c>
      <x:c r="L149" s="89" t="str">
        <x:v>Evitar levantamiento de cargas mayores a 15 kg</x:v>
      </x:c>
      <x:c r="M149" s="89" t="str">
        <x:v>Capacitación ergonómica y seguimiento SST</x:v>
      </x:c>
      <x:c r="N149" s="112" t="n">
        <x:v>12</x:v>
      </x:c>
      <x:c r="O149" s="106" t="n">
        <x:f>EDATE(C149,N149)</x:f>
        <x:v>45763</x:v>
      </x:c>
      <x:c r="P149" s="89" t="str">
        <x:v>H52.4 Presbicia</x:v>
      </x:c>
      <x:c r="Q149" s="89" t="str">
        <x:v>Sí</x:v>
      </x:c>
      <x:c r="R149" s="89" t="str">
        <x:v>Cardiometabólico</x:v>
      </x:c>
      <x:c r="S149" s="106" t="n">
        <x:v>45488</x:v>
      </x:c>
      <x:c r="T149" s="89" t="str">
        <x:f>IF(O149&lt;Instructivo!$B$4,"Vencido",IF(O149&lt;=Instructivo!$B$4+30,"Próximo a vencer","Vigente"))</x:f>
        <x:v>Vencido</x:v>
      </x:c>
      <x:c r="U149" s="89" t="str">
        <x:v>Coordinador de Talento Humano</x:v>
      </x:c>
      <x:c r="V149" s="90" t="str">
        <x:v>Caso priorizado por restricciones activas</x:v>
      </x:c>
    </x:row>
    <x:row r="150">
      <x:c r="A150" s="88" t="n">
        <x:v>2024</x:v>
      </x:c>
      <x:c r="B150" s="89" t="str">
        <x:v>EMO-2024-0077</x:v>
      </x:c>
      <x:c r="C150" s="106" t="n">
        <x:v>45429</x:v>
      </x:c>
      <x:c r="D150" s="89" t="str">
        <x:v>Periódico</x:v>
      </x:c>
      <x:c r="E150" s="89" t="str">
        <x:v>437360307</x:v>
      </x:c>
      <x:c r="F150" s="89" t="str">
        <x:v>Felipe Camilo Cárdenas Parra</x:v>
      </x:c>
      <x:c r="G150" s="89" t="str">
        <x:v>Vigilante</x:v>
      </x:c>
      <x:c r="H150" s="89" t="str">
        <x:v>Barrancabermeja</x:v>
      </x:c>
      <x:c r="I150" s="89" t="str">
        <x:v>Operaciones</x:v>
      </x:c>
      <x:c r="J150" s="89" t="str">
        <x:v>Colmédica Ocupacional</x:v>
      </x:c>
      <x:c r="K150" s="89" t="str">
        <x:v>Apto con restricciones</x:v>
      </x:c>
      <x:c r="L150" s="89" t="str">
        <x:v>No exposición prolongada a ruido alto sin doble protección</x:v>
      </x:c>
      <x:c r="M150" s="89" t="str">
        <x:v>Seguimiento por medicina laboral en 3 meses</x:v>
      </x:c>
      <x:c r="N150" s="112" t="n">
        <x:v>12</x:v>
      </x:c>
      <x:c r="O150" s="106" t="n">
        <x:f>EDATE(C150,N150)</x:f>
        <x:v>45794</x:v>
      </x:c>
      <x:c r="P150" s="89" t="str">
        <x:v>H52.4 Presbicia</x:v>
      </x:c>
      <x:c r="Q150" s="89" t="str">
        <x:v>Sí</x:v>
      </x:c>
      <x:c r="R150" s="89" t="str">
        <x:v>Ergonomía</x:v>
      </x:c>
      <x:c r="S150" s="106" t="n">
        <x:v>45519</x:v>
      </x:c>
      <x:c r="T150" s="89" t="str">
        <x:f>IF(O150&lt;Instructivo!$B$4,"Vencido",IF(O150&lt;=Instructivo!$B$4+30,"Próximo a vencer","Vigente"))</x:f>
        <x:v>Vencido</x:v>
      </x:c>
      <x:c r="U150" s="89" t="str">
        <x:v>Analista SST</x:v>
      </x:c>
      <x:c r="V150" s="90" t="str">
        <x:v>Registro completo y soportado en historia ocupacional</x:v>
      </x:c>
    </x:row>
    <x:row r="151">
      <x:c r="A151" s="88" t="n">
        <x:v>2024</x:v>
      </x:c>
      <x:c r="B151" s="89" t="str">
        <x:v>EMO-2024-0078</x:v>
      </x:c>
      <x:c r="C151" s="106" t="n">
        <x:v>45457</x:v>
      </x:c>
      <x:c r="D151" s="89" t="str">
        <x:v>Ingreso</x:v>
      </x:c>
      <x:c r="E151" s="89" t="str">
        <x:v>999689889</x:v>
      </x:c>
      <x:c r="F151" s="89" t="str">
        <x:v>Álvaro Carlos Ramírez Martínez</x:v>
      </x:c>
      <x:c r="G151" s="89" t="str">
        <x:v>Coordinador de operaciones</x:v>
      </x:c>
      <x:c r="H151" s="89" t="str">
        <x:v>Girón</x:v>
      </x:c>
      <x:c r="I151" s="89" t="str">
        <x:v>Operaciones</x:v>
      </x:c>
      <x:c r="J151" s="89" t="str">
        <x:v>Colmédica Ocupacional</x:v>
      </x:c>
      <x:c r="K151" s="89" t="str">
        <x:v>Apto con restricciones</x:v>
      </x:c>
      <x:c r="L151" s="89" t="str">
        <x:v>Control visual y corrección óptica permanente</x:v>
      </x:c>
      <x:c r="M151" s="89" t="str">
        <x:v>Control por optometría/medicina general</x:v>
      </x:c>
      <x:c r="N151" s="112" t="n">
        <x:v>12</x:v>
      </x:c>
      <x:c r="O151" s="106" t="n">
        <x:f>EDATE(C151,N151)</x:f>
        <x:v>45822</x:v>
      </x:c>
      <x:c r="P151" s="89" t="str">
        <x:v>M75.1 Lesión de hombro</x:v>
      </x:c>
      <x:c r="Q151" s="89" t="str">
        <x:v>Sí</x:v>
      </x:c>
      <x:c r="R151" s="89" t="str">
        <x:v>Ergonomía</x:v>
      </x:c>
      <x:c r="S151" s="106" t="n">
        <x:v>45577</x:v>
      </x:c>
      <x:c r="T151" s="89" t="str">
        <x:f>IF(O151&lt;Instructivo!$B$4,"Vencido",IF(O151&lt;=Instructivo!$B$4+30,"Próximo a vencer","Vigente"))</x:f>
        <x:v>Vencido</x:v>
      </x:c>
      <x:c r="U151" s="89" t="str">
        <x:v>Médico Ocupacional</x:v>
      </x:c>
      <x:c r="V151" s="90" t="str">
        <x:v>Requiere revisión de puesto de trabajo</x:v>
      </x:c>
    </x:row>
    <x:row r="152">
      <x:c r="A152" s="88" t="n">
        <x:v>2025</x:v>
      </x:c>
      <x:c r="B152" s="89" t="str">
        <x:v>EMO-2025-0001</x:v>
      </x:c>
      <x:c r="C152" s="106" t="n">
        <x:v>45706</x:v>
      </x:c>
      <x:c r="D152" s="89" t="str">
        <x:v>Ingreso</x:v>
      </x:c>
      <x:c r="E152" s="89" t="str">
        <x:v>447970771</x:v>
      </x:c>
      <x:c r="F152" s="89" t="str">
        <x:v>Wilson Wilson Ramírez Cárdenas</x:v>
      </x:c>
      <x:c r="G152" s="89" t="str">
        <x:v>Vigilante</x:v>
      </x:c>
      <x:c r="H152" s="89" t="str">
        <x:v>Valledupar</x:v>
      </x:c>
      <x:c r="I152" s="89" t="str">
        <x:v>Operaciones</x:v>
      </x:c>
      <x:c r="J152" s="89" t="str">
        <x:v>IPS Prevencionar</x:v>
      </x:c>
      <x:c r="K152" s="89" t="str">
        <x:v>Apto</x:v>
      </x:c>
      <x:c r="L152" s="89" t="str"/>
      <x:c r="M152" s="89" t="str">
        <x:v>Uso permanente de EPP</x:v>
      </x:c>
      <x:c r="N152" s="112" t="n">
        <x:v>12</x:v>
      </x:c>
      <x:c r="O152" s="106" t="n">
        <x:f>EDATE(C152,N152)</x:f>
        <x:v>46071</x:v>
      </x:c>
      <x:c r="P152" s="89" t="str">
        <x:v>G56.0 Síndrome túnel carpiano</x:v>
      </x:c>
      <x:c r="Q152" s="89" t="str">
        <x:v>No</x:v>
      </x:c>
      <x:c r="R152" s="89" t="str"/>
      <x:c r="S152" s="106"/>
      <x:c r="T152" s="89" t="str">
        <x:f>IF(O152&lt;Instructivo!$B$4,"Vencido",IF(O152&lt;=Instructivo!$B$4+30,"Próximo a vencer","Vigente"))</x:f>
        <x:v>Vencido</x:v>
      </x:c>
      <x:c r="U152" s="89" t="str">
        <x:v>Coordinador de Talento Humano</x:v>
      </x:c>
      <x:c r="V152" s="90" t="str">
        <x:v>Se recomienda seguimiento por comité SST</x:v>
      </x:c>
    </x:row>
    <x:row r="153">
      <x:c r="A153" s="88" t="n">
        <x:v>2025</x:v>
      </x:c>
      <x:c r="B153" s="89" t="str">
        <x:v>EMO-2025-0002</x:v>
      </x:c>
      <x:c r="C153" s="106" t="n">
        <x:v>45706</x:v>
      </x:c>
      <x:c r="D153" s="89" t="str">
        <x:v>Ingreso</x:v>
      </x:c>
      <x:c r="E153" s="89" t="str">
        <x:v>264442778</x:v>
      </x:c>
      <x:c r="F153" s="89" t="str">
        <x:v>Luis Yulieth Sánchez Sánchez</x:v>
      </x:c>
      <x:c r="G153" s="89" t="str">
        <x:v>Vigilante</x:v>
      </x:c>
      <x:c r="H153" s="89" t="str">
        <x:v>Medellín</x:v>
      </x:c>
      <x:c r="I153" s="89" t="str">
        <x:v>Operaciones</x:v>
      </x:c>
      <x:c r="J153" s="89" t="str">
        <x:v>Centro Médico Laboral Andino</x:v>
      </x:c>
      <x:c r="K153" s="89" t="str">
        <x:v>Apto con restricciones</x:v>
      </x:c>
      <x:c r="L153" s="89" t="str">
        <x:v>Control visual y corrección óptica permanente</x:v>
      </x:c>
      <x:c r="M153" s="89" t="str">
        <x:v>Capacitación ergonómica y seguimiento SST</x:v>
      </x:c>
      <x:c r="N153" s="112" t="n">
        <x:v>12</x:v>
      </x:c>
      <x:c r="O153" s="106" t="n">
        <x:f>EDATE(C153,N153)</x:f>
        <x:v>46071</x:v>
      </x:c>
      <x:c r="P153" s="89" t="str">
        <x:v>M75.1 Lesión de hombro</x:v>
      </x:c>
      <x:c r="Q153" s="89" t="str">
        <x:v>Sí</x:v>
      </x:c>
      <x:c r="R153" s="89" t="str">
        <x:v>Medicina laboral</x:v>
      </x:c>
      <x:c r="S153" s="106" t="n">
        <x:v>45826</x:v>
      </x:c>
      <x:c r="T153" s="89" t="str">
        <x:f>IF(O153&lt;Instructivo!$B$4,"Vencido",IF(O153&lt;=Instructivo!$B$4+30,"Próximo a vencer","Vigente"))</x:f>
        <x:v>Vencido</x:v>
      </x:c>
      <x:c r="U153" s="89" t="str">
        <x:v>Analista SST</x:v>
      </x:c>
      <x:c r="V153" s="90" t="str">
        <x:v>Sin novedades adicionales</x:v>
      </x:c>
    </x:row>
    <x:row r="154">
      <x:c r="A154" s="88" t="n">
        <x:v>2025</x:v>
      </x:c>
      <x:c r="B154" s="89" t="str">
        <x:v>EMO-2025-0003</x:v>
      </x:c>
      <x:c r="C154" s="106" t="n">
        <x:v>45804</x:v>
      </x:c>
      <x:c r="D154" s="89" t="str">
        <x:v>Periódico</x:v>
      </x:c>
      <x:c r="E154" s="89" t="str">
        <x:v>652651601</x:v>
      </x:c>
      <x:c r="F154" s="89" t="str">
        <x:v>Yulieth Ana Martínez Cárdenas</x:v>
      </x:c>
      <x:c r="G154" s="89" t="str">
        <x:v>Operador de medios tecnológicos</x:v>
      </x:c>
      <x:c r="H154" s="89" t="str">
        <x:v>Cúcuta</x:v>
      </x:c>
      <x:c r="I154" s="89" t="str">
        <x:v>Medios Tecnológicos</x:v>
      </x:c>
      <x:c r="J154" s="89" t="str">
        <x:v>Colmédica Ocupacional</x:v>
      </x:c>
      <x:c r="K154" s="89" t="str">
        <x:v>Apto</x:v>
      </x:c>
      <x:c r="L154" s="89" t="str"/>
      <x:c r="M154" s="89" t="str">
        <x:v>Mantener estilos de vida saludable</x:v>
      </x:c>
      <x:c r="N154" s="112" t="n">
        <x:v>12</x:v>
      </x:c>
      <x:c r="O154" s="106" t="n">
        <x:f>EDATE(C154,N154)</x:f>
        <x:v>46169</x:v>
      </x:c>
      <x:c r="P154" s="89" t="str">
        <x:v>Z00.0 Examen general</x:v>
      </x:c>
      <x:c r="Q154" s="89" t="str">
        <x:v>No</x:v>
      </x:c>
      <x:c r="R154" s="89" t="str"/>
      <x:c r="S154" s="106"/>
      <x:c r="T154" s="89" t="str">
        <x:f>IF(O154&lt;Instructivo!$B$4,"Vencido",IF(O154&lt;=Instructivo!$B$4+30,"Próximo a vencer","Vigente"))</x:f>
        <x:v>Vencido</x:v>
      </x:c>
      <x:c r="U154" s="89" t="str">
        <x:v>Líder SST</x:v>
      </x:c>
      <x:c r="V154" s="90" t="str">
        <x:v>Sin novedades adicionales</x:v>
      </x:c>
    </x:row>
    <x:row r="155">
      <x:c r="A155" s="88" t="n">
        <x:v>2025</x:v>
      </x:c>
      <x:c r="B155" s="89" t="str">
        <x:v>EMO-2025-0004</x:v>
      </x:c>
      <x:c r="C155" s="106" t="n">
        <x:v>45894</x:v>
      </x:c>
      <x:c r="D155" s="89" t="str">
        <x:v>Periódico</x:v>
      </x:c>
      <x:c r="E155" s="89" t="str">
        <x:v>268930103</x:v>
      </x:c>
      <x:c r="F155" s="89" t="str">
        <x:v>Kevin Carolina Castro Moreno</x:v>
      </x:c>
      <x:c r="G155" s="89" t="str">
        <x:v>Vigilante</x:v>
      </x:c>
      <x:c r="H155" s="89" t="str">
        <x:v>Cúcuta</x:v>
      </x:c>
      <x:c r="I155" s="89" t="str">
        <x:v>Operaciones</x:v>
      </x:c>
      <x:c r="J155" s="89" t="str">
        <x:v>IPS Prevencionar</x:v>
      </x:c>
      <x:c r="K155" s="89" t="str">
        <x:v>Apto</x:v>
      </x:c>
      <x:c r="L155" s="89" t="str"/>
      <x:c r="M155" s="89" t="str">
        <x:v>Mantener estilos de vida saludable</x:v>
      </x:c>
      <x:c r="N155" s="112" t="n">
        <x:v>12</x:v>
      </x:c>
      <x:c r="O155" s="106" t="n">
        <x:f>EDATE(C155,N155)</x:f>
        <x:v>46259</x:v>
      </x:c>
      <x:c r="P155" s="89" t="str">
        <x:v>I10 Hipertensión esencial</x:v>
      </x:c>
      <x:c r="Q155" s="89" t="str">
        <x:v>No</x:v>
      </x:c>
      <x:c r="R155" s="89" t="str"/>
      <x:c r="S155" s="106"/>
      <x:c r="T155" s="89" t="str">
        <x:f>IF(O155&lt;Instructivo!$B$4,"Vencido",IF(O155&lt;=Instructivo!$B$4+30,"Próximo a vencer","Vigente"))</x:f>
        <x:v>Vigente</x:v>
      </x:c>
      <x:c r="U155" s="89" t="str">
        <x:v>Analista SST</x:v>
      </x:c>
      <x:c r="V155" s="90" t="str">
        <x:v>Registro completo y soportado en historia ocupacional</x:v>
      </x:c>
    </x:row>
    <x:row r="156">
      <x:c r="A156" s="88" t="n">
        <x:v>2025</x:v>
      </x:c>
      <x:c r="B156" s="89" t="str">
        <x:v>EMO-2025-0005</x:v>
      </x:c>
      <x:c r="C156" s="106" t="n">
        <x:v>45799</x:v>
      </x:c>
      <x:c r="D156" s="89" t="str">
        <x:v>Ingreso</x:v>
      </x:c>
      <x:c r="E156" s="89" t="str">
        <x:v>123556551</x:v>
      </x:c>
      <x:c r="F156" s="89" t="str">
        <x:v>Kevin Jhon Castro Martínez</x:v>
      </x:c>
      <x:c r="G156" s="89" t="str">
        <x:v>Vigilante</x:v>
      </x:c>
      <x:c r="H156" s="89" t="str">
        <x:v>Valledupar</x:v>
      </x:c>
      <x:c r="I156" s="89" t="str">
        <x:v>Operaciones</x:v>
      </x:c>
      <x:c r="J156" s="89" t="str">
        <x:v>Centro Médico Laboral Andino</x:v>
      </x:c>
      <x:c r="K156" s="89" t="str">
        <x:v>Apto</x:v>
      </x:c>
      <x:c r="L156" s="89" t="str"/>
      <x:c r="M156" s="89" t="str">
        <x:v>Uso permanente de EPP</x:v>
      </x:c>
      <x:c r="N156" s="112" t="n">
        <x:v>12</x:v>
      </x:c>
      <x:c r="O156" s="106" t="n">
        <x:f>EDATE(C156,N156)</x:f>
        <x:v>46164</x:v>
      </x:c>
      <x:c r="P156" s="89" t="str">
        <x:v>Z00.0 Examen general</x:v>
      </x:c>
      <x:c r="Q156" s="89" t="str">
        <x:v>No</x:v>
      </x:c>
      <x:c r="R156" s="89" t="str"/>
      <x:c r="S156" s="106"/>
      <x:c r="T156" s="89" t="str">
        <x:f>IF(O156&lt;Instructivo!$B$4,"Vencido",IF(O156&lt;=Instructivo!$B$4+30,"Próximo a vencer","Vigente"))</x:f>
        <x:v>Vencido</x:v>
      </x:c>
      <x:c r="U156" s="89" t="str">
        <x:v>Médico Ocupacional</x:v>
      </x:c>
      <x:c r="V156" s="90" t="str">
        <x:v>Se recomienda seguimiento por comité SST</x:v>
      </x:c>
    </x:row>
    <x:row r="157">
      <x:c r="A157" s="88" t="n">
        <x:v>2025</x:v>
      </x:c>
      <x:c r="B157" s="89" t="str">
        <x:v>EMO-2025-0006</x:v>
      </x:c>
      <x:c r="C157" s="106" t="n">
        <x:v>45778</x:v>
      </x:c>
      <x:c r="D157" s="89" t="str">
        <x:v>Periódico</x:v>
      </x:c>
      <x:c r="E157" s="89" t="str">
        <x:v>995299055</x:v>
      </x:c>
      <x:c r="F157" s="89" t="str">
        <x:v>Yulieth Diego Hernández Martínez</x:v>
      </x:c>
      <x:c r="G157" s="89" t="str">
        <x:v>Vigilante</x:v>
      </x:c>
      <x:c r="H157" s="89" t="str">
        <x:v>Tibú</x:v>
      </x:c>
      <x:c r="I157" s="89" t="str">
        <x:v>Operaciones</x:v>
      </x:c>
      <x:c r="J157" s="89" t="str">
        <x:v>Centro Médico Laboral Andino</x:v>
      </x:c>
      <x:c r="K157" s="89" t="str">
        <x:v>Apto</x:v>
      </x:c>
      <x:c r="L157" s="89" t="str"/>
      <x:c r="M157" s="89" t="str">
        <x:v>Continuar controles periódicos anuales</x:v>
      </x:c>
      <x:c r="N157" s="112" t="n">
        <x:v>12</x:v>
      </x:c>
      <x:c r="O157" s="106" t="n">
        <x:f>EDATE(C157,N157)</x:f>
        <x:v>46143</x:v>
      </x:c>
      <x:c r="P157" s="89" t="str">
        <x:v>G56.0 Síndrome túnel carpiano</x:v>
      </x:c>
      <x:c r="Q157" s="89" t="str">
        <x:v>No</x:v>
      </x:c>
      <x:c r="R157" s="89" t="str"/>
      <x:c r="S157" s="106"/>
      <x:c r="T157" s="89" t="str">
        <x:f>IF(O157&lt;Instructivo!$B$4,"Vencido",IF(O157&lt;=Instructivo!$B$4+30,"Próximo a vencer","Vigente"))</x:f>
        <x:v>Vencido</x:v>
      </x:c>
      <x:c r="U157" s="89" t="str">
        <x:v>Líder SST</x:v>
      </x:c>
      <x:c r="V157" s="90" t="str">
        <x:v>Registro completo y soportado en historia ocupacional</x:v>
      </x:c>
    </x:row>
    <x:row r="158">
      <x:c r="A158" s="88" t="n">
        <x:v>2025</x:v>
      </x:c>
      <x:c r="B158" s="89" t="str">
        <x:v>EMO-2025-0007</x:v>
      </x:c>
      <x:c r="C158" s="106" t="n">
        <x:v>45924</x:v>
      </x:c>
      <x:c r="D158" s="89" t="str">
        <x:v>Periódico</x:v>
      </x:c>
      <x:c r="E158" s="89" t="str">
        <x:v>792022698</x:v>
      </x:c>
      <x:c r="F158" s="89" t="str">
        <x:v>Tatiana Felipe Gómez Gómez</x:v>
      </x:c>
      <x:c r="G158" s="89" t="str">
        <x:v>Supervisor motorizado</x:v>
      </x:c>
      <x:c r="H158" s="89" t="str">
        <x:v>Valledupar</x:v>
      </x:c>
      <x:c r="I158" s="89" t="str">
        <x:v>Operaciones</x:v>
      </x:c>
      <x:c r="J158" s="89" t="str">
        <x:v>Centro Médico Laboral Andino</x:v>
      </x:c>
      <x:c r="K158" s="89" t="str">
        <x:v>Apto</x:v>
      </x:c>
      <x:c r="L158" s="89" t="str"/>
      <x:c r="M158" s="89" t="str">
        <x:v>Continuar controles periódicos anuales</x:v>
      </x:c>
      <x:c r="N158" s="112" t="n">
        <x:v>12</x:v>
      </x:c>
      <x:c r="O158" s="106" t="n">
        <x:f>EDATE(C158,N158)</x:f>
        <x:v>46289</x:v>
      </x:c>
      <x:c r="P158" s="89" t="str">
        <x:v>G56.0 Síndrome túnel carpiano</x:v>
      </x:c>
      <x:c r="Q158" s="89" t="str">
        <x:v>Sí</x:v>
      </x:c>
      <x:c r="R158" s="89" t="str">
        <x:v>Optometría</x:v>
      </x:c>
      <x:c r="S158" s="106" t="n">
        <x:v>45984</x:v>
      </x:c>
      <x:c r="T158" s="89" t="str">
        <x:f>IF(O158&lt;Instructivo!$B$4,"Vencido",IF(O158&lt;=Instructivo!$B$4+30,"Próximo a vencer","Vigente"))</x:f>
        <x:v>Vigente</x:v>
      </x:c>
      <x:c r="U158" s="89" t="str">
        <x:v>Líder SST</x:v>
      </x:c>
      <x:c r="V158" s="90" t="str">
        <x:v>Sin novedades adicionales</x:v>
      </x:c>
    </x:row>
    <x:row r="159">
      <x:c r="A159" s="88" t="n">
        <x:v>2025</x:v>
      </x:c>
      <x:c r="B159" s="89" t="str">
        <x:v>EMO-2025-0008</x:v>
      </x:c>
      <x:c r="C159" s="106" t="n">
        <x:v>45711</x:v>
      </x:c>
      <x:c r="D159" s="89" t="str">
        <x:v>Periódico</x:v>
      </x:c>
      <x:c r="E159" s="89" t="str">
        <x:v>846406444</x:v>
      </x:c>
      <x:c r="F159" s="89" t="str">
        <x:v>Álvaro Álvaro Cárdenas Sánchez</x:v>
      </x:c>
      <x:c r="G159" s="89" t="str">
        <x:v>Vigilante</x:v>
      </x:c>
      <x:c r="H159" s="89" t="str">
        <x:v>Girón</x:v>
      </x:c>
      <x:c r="I159" s="89" t="str">
        <x:v>Operaciones</x:v>
      </x:c>
      <x:c r="J159" s="89" t="str">
        <x:v>IPS Prevencionar</x:v>
      </x:c>
      <x:c r="K159" s="89" t="str">
        <x:v>Apto</x:v>
      </x:c>
      <x:c r="L159" s="89" t="str"/>
      <x:c r="M159" s="89" t="str">
        <x:v>Uso permanente de EPP</x:v>
      </x:c>
      <x:c r="N159" s="112" t="n">
        <x:v>12</x:v>
      </x:c>
      <x:c r="O159" s="106" t="n">
        <x:f>EDATE(C159,N159)</x:f>
        <x:v>46076</x:v>
      </x:c>
      <x:c r="P159" s="89" t="str">
        <x:v>H52.4 Presbicia</x:v>
      </x:c>
      <x:c r="Q159" s="89" t="str">
        <x:v>No</x:v>
      </x:c>
      <x:c r="R159" s="89" t="str"/>
      <x:c r="S159" s="106"/>
      <x:c r="T159" s="89" t="str">
        <x:f>IF(O159&lt;Instructivo!$B$4,"Vencido",IF(O159&lt;=Instructivo!$B$4+30,"Próximo a vencer","Vigente"))</x:f>
        <x:v>Vencido</x:v>
      </x:c>
      <x:c r="U159" s="89" t="str">
        <x:v>Analista SST</x:v>
      </x:c>
      <x:c r="V159" s="90" t="str">
        <x:v>Pendiente firma de concepto médico</x:v>
      </x:c>
    </x:row>
    <x:row r="160">
      <x:c r="A160" s="88" t="n">
        <x:v>2025</x:v>
      </x:c>
      <x:c r="B160" s="89" t="str">
        <x:v>EMO-2025-0009</x:v>
      </x:c>
      <x:c r="C160" s="106" t="n">
        <x:v>45663</x:v>
      </x:c>
      <x:c r="D160" s="89" t="str">
        <x:v>Periódico</x:v>
      </x:c>
      <x:c r="E160" s="89" t="str">
        <x:v>742785277</x:v>
      </x:c>
      <x:c r="F160" s="89" t="str">
        <x:v>Ana José Sánchez López</x:v>
      </x:c>
      <x:c r="G160" s="89" t="str">
        <x:v>Operador de medios tecnológicos</x:v>
      </x:c>
      <x:c r="H160" s="89" t="str">
        <x:v>Ocaña</x:v>
      </x:c>
      <x:c r="I160" s="89" t="str">
        <x:v>Medios Tecnológicos</x:v>
      </x:c>
      <x:c r="J160" s="89" t="str">
        <x:v>Centro Médico Laboral Andino</x:v>
      </x:c>
      <x:c r="K160" s="89" t="str">
        <x:v>Apto</x:v>
      </x:c>
      <x:c r="L160" s="89" t="str"/>
      <x:c r="M160" s="89" t="str">
        <x:v>Mantener estilos de vida saludable</x:v>
      </x:c>
      <x:c r="N160" s="112" t="n">
        <x:v>12</x:v>
      </x:c>
      <x:c r="O160" s="106" t="n">
        <x:f>EDATE(C160,N160)</x:f>
        <x:v>46028</x:v>
      </x:c>
      <x:c r="P160" s="89" t="str">
        <x:v>H52.4 Presbicia</x:v>
      </x:c>
      <x:c r="Q160" s="89" t="str">
        <x:v>No</x:v>
      </x:c>
      <x:c r="R160" s="89" t="str"/>
      <x:c r="S160" s="106"/>
      <x:c r="T160" s="89" t="str">
        <x:f>IF(O160&lt;Instructivo!$B$4,"Vencido",IF(O160&lt;=Instructivo!$B$4+30,"Próximo a vencer","Vigente"))</x:f>
        <x:v>Vencido</x:v>
      </x:c>
      <x:c r="U160" s="89" t="str">
        <x:v>Médico Ocupacional</x:v>
      </x:c>
      <x:c r="V160" s="90" t="str">
        <x:v>Requiere revisión de puesto de trabajo</x:v>
      </x:c>
    </x:row>
    <x:row r="161">
      <x:c r="A161" s="88" t="n">
        <x:v>2025</x:v>
      </x:c>
      <x:c r="B161" s="89" t="str">
        <x:v>EMO-2025-0010</x:v>
      </x:c>
      <x:c r="C161" s="106" t="n">
        <x:v>45770</x:v>
      </x:c>
      <x:c r="D161" s="89" t="str">
        <x:v>Periódico</x:v>
      </x:c>
      <x:c r="E161" s="89" t="str">
        <x:v>804607488</x:v>
      </x:c>
      <x:c r="F161" s="89" t="str">
        <x:v>Sergio Álvaro Ramírez Moreno</x:v>
      </x:c>
      <x:c r="G161" s="89" t="str">
        <x:v>Escolta</x:v>
      </x:c>
      <x:c r="H161" s="89" t="str">
        <x:v>Barrancabermeja</x:v>
      </x:c>
      <x:c r="I161" s="89" t="str">
        <x:v>Escoltas</x:v>
      </x:c>
      <x:c r="J161" s="89" t="str">
        <x:v>Salud Integral Ocupacional</x:v>
      </x:c>
      <x:c r="K161" s="89" t="str">
        <x:v>Apto</x:v>
      </x:c>
      <x:c r="L161" s="89" t="str"/>
      <x:c r="M161" s="89" t="str">
        <x:v>Continuar controles periódicos anuales</x:v>
      </x:c>
      <x:c r="N161" s="112" t="n">
        <x:v>12</x:v>
      </x:c>
      <x:c r="O161" s="106" t="n">
        <x:f>EDATE(C161,N161)</x:f>
        <x:v>46135</x:v>
      </x:c>
      <x:c r="P161" s="89" t="str">
        <x:v>M75.1 Lesión de hombro</x:v>
      </x:c>
      <x:c r="Q161" s="89" t="str">
        <x:v>No</x:v>
      </x:c>
      <x:c r="R161" s="89" t="str"/>
      <x:c r="S161" s="106"/>
      <x:c r="T161" s="89" t="str">
        <x:f>IF(O161&lt;Instructivo!$B$4,"Vencido",IF(O161&lt;=Instructivo!$B$4+30,"Próximo a vencer","Vigente"))</x:f>
        <x:v>Vencido</x:v>
      </x:c>
      <x:c r="U161" s="89" t="str">
        <x:v>Coordinador de Talento Humano</x:v>
      </x:c>
      <x:c r="V161" s="90" t="str">
        <x:v>Registro completo y soportado en historia ocupacional</x:v>
      </x:c>
    </x:row>
    <x:row r="162">
      <x:c r="A162" s="88" t="n">
        <x:v>2025</x:v>
      </x:c>
      <x:c r="B162" s="89" t="str">
        <x:v>EMO-2025-0011</x:v>
      </x:c>
      <x:c r="C162" s="106" t="n">
        <x:v>45730</x:v>
      </x:c>
      <x:c r="D162" s="89" t="str">
        <x:v>Periódico</x:v>
      </x:c>
      <x:c r="E162" s="89" t="str">
        <x:v>467718473</x:v>
      </x:c>
      <x:c r="F162" s="89" t="str">
        <x:v>Yulieth Laura Gómez Cárdenas</x:v>
      </x:c>
      <x:c r="G162" s="89" t="str">
        <x:v>Operador de medios tecnológicos</x:v>
      </x:c>
      <x:c r="H162" s="89" t="str">
        <x:v>Cúcuta</x:v>
      </x:c>
      <x:c r="I162" s="89" t="str">
        <x:v>Medios Tecnológicos</x:v>
      </x:c>
      <x:c r="J162" s="89" t="str">
        <x:v>Salud Integral Ocupacional</x:v>
      </x:c>
      <x:c r="K162" s="89" t="str">
        <x:v>Apto</x:v>
      </x:c>
      <x:c r="L162" s="89" t="str"/>
      <x:c r="M162" s="89" t="str">
        <x:v>Continuar controles periódicos anuales</x:v>
      </x:c>
      <x:c r="N162" s="112" t="n">
        <x:v>12</x:v>
      </x:c>
      <x:c r="O162" s="106" t="n">
        <x:f>EDATE(C162,N162)</x:f>
        <x:v>46095</x:v>
      </x:c>
      <x:c r="P162" s="89" t="str">
        <x:v>E66.9 Obesidad</x:v>
      </x:c>
      <x:c r="Q162" s="89" t="str">
        <x:v>No</x:v>
      </x:c>
      <x:c r="R162" s="89" t="str"/>
      <x:c r="S162" s="106"/>
      <x:c r="T162" s="89" t="str">
        <x:f>IF(O162&lt;Instructivo!$B$4,"Vencido",IF(O162&lt;=Instructivo!$B$4+30,"Próximo a vencer","Vigente"))</x:f>
        <x:v>Vencido</x:v>
      </x:c>
      <x:c r="U162" s="89" t="str">
        <x:v>Líder SST</x:v>
      </x:c>
      <x:c r="V162" s="90" t="str">
        <x:v>Caso priorizado por restricciones activas</x:v>
      </x:c>
    </x:row>
    <x:row r="163">
      <x:c r="A163" s="88" t="n">
        <x:v>2025</x:v>
      </x:c>
      <x:c r="B163" s="89" t="str">
        <x:v>EMO-2025-0012</x:v>
      </x:c>
      <x:c r="C163" s="106" t="n">
        <x:v>45969</x:v>
      </x:c>
      <x:c r="D163" s="89" t="str">
        <x:v>Periódico</x:v>
      </x:c>
      <x:c r="E163" s="89" t="str">
        <x:v>123556551</x:v>
      </x:c>
      <x:c r="F163" s="89" t="str">
        <x:v>Kevin Jhon Castro Martínez</x:v>
      </x:c>
      <x:c r="G163" s="89" t="str">
        <x:v>Vigilante</x:v>
      </x:c>
      <x:c r="H163" s="89" t="str">
        <x:v>Valledupar</x:v>
      </x:c>
      <x:c r="I163" s="89" t="str">
        <x:v>Operaciones</x:v>
      </x:c>
      <x:c r="J163" s="89" t="str">
        <x:v>Centro Médico Laboral Andino</x:v>
      </x:c>
      <x:c r="K163" s="89" t="str">
        <x:v>Apto</x:v>
      </x:c>
      <x:c r="L163" s="89" t="str"/>
      <x:c r="M163" s="89" t="str">
        <x:v>Participar en programas de vigilancia epidemiológica</x:v>
      </x:c>
      <x:c r="N163" s="112" t="n">
        <x:v>12</x:v>
      </x:c>
      <x:c r="O163" s="106" t="n">
        <x:f>EDATE(C163,N163)</x:f>
        <x:v>46334</x:v>
      </x:c>
      <x:c r="P163" s="89" t="str">
        <x:v>G56.0 Síndrome túnel carpiano</x:v>
      </x:c>
      <x:c r="Q163" s="89" t="str">
        <x:v>No</x:v>
      </x:c>
      <x:c r="R163" s="89" t="str"/>
      <x:c r="S163" s="106"/>
      <x:c r="T163" s="89" t="str">
        <x:f>IF(O163&lt;Instructivo!$B$4,"Vencido",IF(O163&lt;=Instructivo!$B$4+30,"Próximo a vencer","Vigente"))</x:f>
        <x:v>Vigente</x:v>
      </x:c>
      <x:c r="U163" s="89" t="str">
        <x:v>Médico Ocupacional</x:v>
      </x:c>
      <x:c r="V163" s="90" t="str">
        <x:v>Registro completo y soportado en historia ocupacional</x:v>
      </x:c>
    </x:row>
    <x:row r="164">
      <x:c r="A164" s="88" t="n">
        <x:v>2025</x:v>
      </x:c>
      <x:c r="B164" s="89" t="str">
        <x:v>EMO-2025-0013</x:v>
      </x:c>
      <x:c r="C164" s="106" t="n">
        <x:v>45985</x:v>
      </x:c>
      <x:c r="D164" s="89" t="str">
        <x:v>Periódico</x:v>
      </x:c>
      <x:c r="E164" s="89" t="str">
        <x:v>673351868</x:v>
      </x:c>
      <x:c r="F164" s="89" t="str">
        <x:v>Sergio Miguel Torres Cárdenas</x:v>
      </x:c>
      <x:c r="G164" s="89" t="str">
        <x:v>Vigilante</x:v>
      </x:c>
      <x:c r="H164" s="89" t="str">
        <x:v>Cúcuta</x:v>
      </x:c>
      <x:c r="I164" s="89" t="str">
        <x:v>Operaciones</x:v>
      </x:c>
      <x:c r="J164" s="89" t="str">
        <x:v>Centro Médico Laboral Andino</x:v>
      </x:c>
      <x:c r="K164" s="89" t="str">
        <x:v>Apto</x:v>
      </x:c>
      <x:c r="L164" s="89" t="str"/>
      <x:c r="M164" s="89" t="str">
        <x:v>Continuar controles periódicos anuales</x:v>
      </x:c>
      <x:c r="N164" s="112" t="n">
        <x:v>12</x:v>
      </x:c>
      <x:c r="O164" s="106" t="n">
        <x:f>EDATE(C164,N164)</x:f>
        <x:v>46350</x:v>
      </x:c>
      <x:c r="P164" s="89" t="str">
        <x:v>M75.1 Lesión de hombro</x:v>
      </x:c>
      <x:c r="Q164" s="89" t="str">
        <x:v>No</x:v>
      </x:c>
      <x:c r="R164" s="89" t="str"/>
      <x:c r="S164" s="106"/>
      <x:c r="T164" s="89" t="str">
        <x:f>IF(O164&lt;Instructivo!$B$4,"Vencido",IF(O164&lt;=Instructivo!$B$4+30,"Próximo a vencer","Vigente"))</x:f>
        <x:v>Vigente</x:v>
      </x:c>
      <x:c r="U164" s="89" t="str">
        <x:v>Médico Ocupacional</x:v>
      </x:c>
      <x:c r="V164" s="90" t="str">
        <x:v>Se recomienda seguimiento por comité SST</x:v>
      </x:c>
    </x:row>
    <x:row r="165">
      <x:c r="A165" s="88" t="n">
        <x:v>2025</x:v>
      </x:c>
      <x:c r="B165" s="89" t="str">
        <x:v>EMO-2025-0014</x:v>
      </x:c>
      <x:c r="C165" s="106" t="n">
        <x:v>45747</x:v>
      </x:c>
      <x:c r="D165" s="89" t="str">
        <x:v>Periódico</x:v>
      </x:c>
      <x:c r="E165" s="89" t="str">
        <x:v>783123709</x:v>
      </x:c>
      <x:c r="F165" s="89" t="str">
        <x:v>Julián Carlos Gómez Díaz</x:v>
      </x:c>
      <x:c r="G165" s="89" t="str">
        <x:v>Vigilante</x:v>
      </x:c>
      <x:c r="H165" s="89" t="str">
        <x:v>Bogotá</x:v>
      </x:c>
      <x:c r="I165" s="89" t="str">
        <x:v>Operaciones</x:v>
      </x:c>
      <x:c r="J165" s="89" t="str">
        <x:v>Colmédica Ocupacional</x:v>
      </x:c>
      <x:c r="K165" s="89" t="str">
        <x:v>Apto con restricciones</x:v>
      </x:c>
      <x:c r="L165" s="89" t="str">
        <x:v>Evitar levantamiento de cargas mayores a 15 kg</x:v>
      </x:c>
      <x:c r="M165" s="89" t="str">
        <x:v>Seguimiento por medicina laboral en 3 meses</x:v>
      </x:c>
      <x:c r="N165" s="112" t="n">
        <x:v>12</x:v>
      </x:c>
      <x:c r="O165" s="106" t="n">
        <x:f>EDATE(C165,N165)</x:f>
        <x:v>46112</x:v>
      </x:c>
      <x:c r="P165" s="89" t="str">
        <x:v>I10 Hipertensión esencial</x:v>
      </x:c>
      <x:c r="Q165" s="89" t="str">
        <x:v>Sí</x:v>
      </x:c>
      <x:c r="R165" s="89" t="str">
        <x:v>Cardiometabólico</x:v>
      </x:c>
      <x:c r="S165" s="106" t="n">
        <x:v>45807</x:v>
      </x:c>
      <x:c r="T165" s="89" t="str">
        <x:f>IF(O165&lt;Instructivo!$B$4,"Vencido",IF(O165&lt;=Instructivo!$B$4+30,"Próximo a vencer","Vigente"))</x:f>
        <x:v>Vencido</x:v>
      </x:c>
      <x:c r="U165" s="89" t="str">
        <x:v>Líder SST</x:v>
      </x:c>
      <x:c r="V165" s="90" t="str">
        <x:v>Registro completo y soportado en historia ocupacional</x:v>
      </x:c>
    </x:row>
    <x:row r="166">
      <x:c r="A166" s="88" t="n">
        <x:v>2025</x:v>
      </x:c>
      <x:c r="B166" s="89" t="str">
        <x:v>EMO-2025-0015</x:v>
      </x:c>
      <x:c r="C166" s="106" t="n">
        <x:v>45862</x:v>
      </x:c>
      <x:c r="D166" s="89" t="str">
        <x:v>Reintegro</x:v>
      </x:c>
      <x:c r="E166" s="89" t="str">
        <x:v>421192619</x:v>
      </x:c>
      <x:c r="F166" s="89" t="str">
        <x:v>Luisa Tatiana Martínez Torres</x:v>
      </x:c>
      <x:c r="G166" s="89" t="str">
        <x:v>Supervisor de puesto</x:v>
      </x:c>
      <x:c r="H166" s="89" t="str">
        <x:v>Tibú</x:v>
      </x:c>
      <x:c r="I166" s="89" t="str">
        <x:v>Operaciones</x:v>
      </x:c>
      <x:c r="J166" s="89" t="str">
        <x:v>IPS Ocupasalud SAS</x:v>
      </x:c>
      <x:c r="K166" s="89" t="str">
        <x:v>Apto</x:v>
      </x:c>
      <x:c r="L166" s="89" t="str"/>
      <x:c r="M166" s="89" t="str">
        <x:v>Participar en programas de vigilancia epidemiológica</x:v>
      </x:c>
      <x:c r="N166" s="112" t="n">
        <x:v>6</x:v>
      </x:c>
      <x:c r="O166" s="106" t="n">
        <x:f>EDATE(C166,N166)</x:f>
        <x:v>46046</x:v>
      </x:c>
      <x:c r="P166" s="89" t="str">
        <x:v>H52.4 Presbicia</x:v>
      </x:c>
      <x:c r="Q166" s="89" t="str">
        <x:v>No</x:v>
      </x:c>
      <x:c r="R166" s="89" t="str"/>
      <x:c r="S166" s="106"/>
      <x:c r="T166" s="89" t="str">
        <x:f>IF(O166&lt;Instructivo!$B$4,"Vencido",IF(O166&lt;=Instructivo!$B$4+30,"Próximo a vencer","Vigente"))</x:f>
        <x:v>Vencido</x:v>
      </x:c>
      <x:c r="U166" s="89" t="str">
        <x:v>Coordinador de Talento Humano</x:v>
      </x:c>
      <x:c r="V166" s="90" t="str">
        <x:v>Sin novedades adicionales</x:v>
      </x:c>
    </x:row>
    <x:row r="167">
      <x:c r="A167" s="88" t="n">
        <x:v>2025</x:v>
      </x:c>
      <x:c r="B167" s="89" t="str">
        <x:v>EMO-2025-0016</x:v>
      </x:c>
      <x:c r="C167" s="106" t="n">
        <x:v>45920</x:v>
      </x:c>
      <x:c r="D167" s="89" t="str">
        <x:v>Periódico</x:v>
      </x:c>
      <x:c r="E167" s="89" t="str">
        <x:v>644553384</x:v>
      </x:c>
      <x:c r="F167" s="89" t="str">
        <x:v>Laura Yulieth Sánchez Díaz</x:v>
      </x:c>
      <x:c r="G167" s="89" t="str">
        <x:v>Auxiliar administrativo</x:v>
      </x:c>
      <x:c r="H167" s="89" t="str">
        <x:v>Ocaña</x:v>
      </x:c>
      <x:c r="I167" s="89" t="str">
        <x:v>Administrativa</x:v>
      </x:c>
      <x:c r="J167" s="89" t="str">
        <x:v>IPS Ocupasalud SAS</x:v>
      </x:c>
      <x:c r="K167" s="89" t="str">
        <x:v>Apto con restricciones</x:v>
      </x:c>
      <x:c r="L167" s="89" t="str">
        <x:v>Pausas activas cada 2 horas</x:v>
      </x:c>
      <x:c r="M167" s="89" t="str">
        <x:v>Capacitación ergonómica y seguimiento SST</x:v>
      </x:c>
      <x:c r="N167" s="112" t="n">
        <x:v>12</x:v>
      </x:c>
      <x:c r="O167" s="106" t="n">
        <x:f>EDATE(C167,N167)</x:f>
        <x:v>46285</x:v>
      </x:c>
      <x:c r="P167" s="89" t="str">
        <x:v>E66.9 Obesidad</x:v>
      </x:c>
      <x:c r="Q167" s="89" t="str">
        <x:v>Sí</x:v>
      </x:c>
      <x:c r="R167" s="89" t="str">
        <x:v>Psicosocial</x:v>
      </x:c>
      <x:c r="S167" s="106" t="n">
        <x:v>46040</x:v>
      </x:c>
      <x:c r="T167" s="89" t="str">
        <x:f>IF(O167&lt;Instructivo!$B$4,"Vencido",IF(O167&lt;=Instructivo!$B$4+30,"Próximo a vencer","Vigente"))</x:f>
        <x:v>Vigente</x:v>
      </x:c>
      <x:c r="U167" s="89" t="str">
        <x:v>Médico Ocupacional</x:v>
      </x:c>
      <x:c r="V167" s="90" t="str">
        <x:v>Requiere revisión de puesto de trabajo</x:v>
      </x:c>
    </x:row>
    <x:row r="168">
      <x:c r="A168" s="88" t="n">
        <x:v>2025</x:v>
      </x:c>
      <x:c r="B168" s="89" t="str">
        <x:v>EMO-2025-0017</x:v>
      </x:c>
      <x:c r="C168" s="106" t="n">
        <x:v>45703</x:v>
      </x:c>
      <x:c r="D168" s="89" t="str">
        <x:v>Ingreso</x:v>
      </x:c>
      <x:c r="E168" s="89" t="str">
        <x:v>702221854</x:v>
      </x:c>
      <x:c r="F168" s="89" t="str">
        <x:v>Álvaro Sergio Sánchez Suárez</x:v>
      </x:c>
      <x:c r="G168" s="89" t="str">
        <x:v>Vigilante</x:v>
      </x:c>
      <x:c r="H168" s="89" t="str">
        <x:v>Girón</x:v>
      </x:c>
      <x:c r="I168" s="89" t="str">
        <x:v>Operaciones</x:v>
      </x:c>
      <x:c r="J168" s="89" t="str">
        <x:v>Colmédica Ocupacional</x:v>
      </x:c>
      <x:c r="K168" s="89" t="str">
        <x:v>Apto con restricciones</x:v>
      </x:c>
      <x:c r="L168" s="89" t="str">
        <x:v>Evitar levantamiento de cargas mayores a 15 kg</x:v>
      </x:c>
      <x:c r="M168" s="89" t="str">
        <x:v>Control por optometría/medicina general</x:v>
      </x:c>
      <x:c r="N168" s="112" t="n">
        <x:v>12</x:v>
      </x:c>
      <x:c r="O168" s="106" t="n">
        <x:f>EDATE(C168,N168)</x:f>
        <x:v>46068</x:v>
      </x:c>
      <x:c r="P168" s="89" t="str">
        <x:v>H52.4 Presbicia</x:v>
      </x:c>
      <x:c r="Q168" s="89" t="str">
        <x:v>Sí</x:v>
      </x:c>
      <x:c r="R168" s="89" t="str">
        <x:v>Cardiometabólico</x:v>
      </x:c>
      <x:c r="S168" s="106" t="n">
        <x:v>45823</x:v>
      </x:c>
      <x:c r="T168" s="89" t="str">
        <x:f>IF(O168&lt;Instructivo!$B$4,"Vencido",IF(O168&lt;=Instructivo!$B$4+30,"Próximo a vencer","Vigente"))</x:f>
        <x:v>Vencido</x:v>
      </x:c>
      <x:c r="U168" s="89" t="str">
        <x:v>Líder SST</x:v>
      </x:c>
      <x:c r="V168" s="90" t="str">
        <x:v>Registro completo y soportado en historia ocupacional</x:v>
      </x:c>
    </x:row>
    <x:row r="169">
      <x:c r="A169" s="88" t="n">
        <x:v>2025</x:v>
      </x:c>
      <x:c r="B169" s="89" t="str">
        <x:v>EMO-2025-0018</x:v>
      </x:c>
      <x:c r="C169" s="106" t="n">
        <x:v>45664</x:v>
      </x:c>
      <x:c r="D169" s="89" t="str">
        <x:v>Periódico</x:v>
      </x:c>
      <x:c r="E169" s="89" t="str">
        <x:v>103678638</x:v>
      </x:c>
      <x:c r="F169" s="89" t="str">
        <x:v>Karen Sergio Parra Torres</x:v>
      </x:c>
      <x:c r="G169" s="89" t="str">
        <x:v>Vigilante</x:v>
      </x:c>
      <x:c r="H169" s="89" t="str">
        <x:v>Cúcuta</x:v>
      </x:c>
      <x:c r="I169" s="89" t="str">
        <x:v>Operaciones</x:v>
      </x:c>
      <x:c r="J169" s="89" t="str">
        <x:v>Colmédica Ocupacional</x:v>
      </x:c>
      <x:c r="K169" s="89" t="str">
        <x:v>Apto</x:v>
      </x:c>
      <x:c r="L169" s="89" t="str"/>
      <x:c r="M169" s="89" t="str">
        <x:v>Uso permanente de EPP</x:v>
      </x:c>
      <x:c r="N169" s="112" t="n">
        <x:v>12</x:v>
      </x:c>
      <x:c r="O169" s="106" t="n">
        <x:f>EDATE(C169,N169)</x:f>
        <x:v>46029</x:v>
      </x:c>
      <x:c r="P169" s="89" t="str">
        <x:v>H52.4 Presbicia</x:v>
      </x:c>
      <x:c r="Q169" s="89" t="str">
        <x:v>No</x:v>
      </x:c>
      <x:c r="R169" s="89" t="str"/>
      <x:c r="S169" s="106"/>
      <x:c r="T169" s="89" t="str">
        <x:f>IF(O169&lt;Instructivo!$B$4,"Vencido",IF(O169&lt;=Instructivo!$B$4+30,"Próximo a vencer","Vigente"))</x:f>
        <x:v>Vencido</x:v>
      </x:c>
      <x:c r="U169" s="89" t="str">
        <x:v>Coordinador de Talento Humano</x:v>
      </x:c>
      <x:c r="V169" s="90" t="str">
        <x:v>Requiere revisión de puesto de trabajo</x:v>
      </x:c>
    </x:row>
    <x:row r="170">
      <x:c r="A170" s="88" t="n">
        <x:v>2025</x:v>
      </x:c>
      <x:c r="B170" s="89" t="str">
        <x:v>EMO-2025-0019</x:v>
      </x:c>
      <x:c r="C170" s="106" t="n">
        <x:v>45796</x:v>
      </x:c>
      <x:c r="D170" s="89" t="str">
        <x:v>Periódico</x:v>
      </x:c>
      <x:c r="E170" s="89" t="str">
        <x:v>819164991</x:v>
      </x:c>
      <x:c r="F170" s="89" t="str">
        <x:v>Jhon Camilo Díaz Sánchez</x:v>
      </x:c>
      <x:c r="G170" s="89" t="str">
        <x:v>Conductor</x:v>
      </x:c>
      <x:c r="H170" s="89" t="str">
        <x:v>Pamplona</x:v>
      </x:c>
      <x:c r="I170" s="89" t="str">
        <x:v>Logística</x:v>
      </x:c>
      <x:c r="J170" s="89" t="str">
        <x:v>Salud Integral Ocupacional</x:v>
      </x:c>
      <x:c r="K170" s="89" t="str">
        <x:v>Apto con restricciones</x:v>
      </x:c>
      <x:c r="L170" s="89" t="str">
        <x:v>Evitar levantamiento de cargas mayores a 15 kg</x:v>
      </x:c>
      <x:c r="M170" s="89" t="str">
        <x:v>Seguimiento por medicina laboral en 3 meses</x:v>
      </x:c>
      <x:c r="N170" s="112" t="n">
        <x:v>12</x:v>
      </x:c>
      <x:c r="O170" s="106" t="n">
        <x:f>EDATE(C170,N170)</x:f>
        <x:v>46161</x:v>
      </x:c>
      <x:c r="P170" s="89" t="str">
        <x:v>M54.5 Lumbalgia</x:v>
      </x:c>
      <x:c r="Q170" s="89" t="str">
        <x:v>Sí</x:v>
      </x:c>
      <x:c r="R170" s="89" t="str">
        <x:v>Optometría</x:v>
      </x:c>
      <x:c r="S170" s="106" t="n">
        <x:v>45886</x:v>
      </x:c>
      <x:c r="T170" s="89" t="str">
        <x:f>IF(O170&lt;Instructivo!$B$4,"Vencido",IF(O170&lt;=Instructivo!$B$4+30,"Próximo a vencer","Vigente"))</x:f>
        <x:v>Vencido</x:v>
      </x:c>
      <x:c r="U170" s="89" t="str">
        <x:v>Coordinador de Talento Humano</x:v>
      </x:c>
      <x:c r="V170" s="90" t="str">
        <x:v>Se recomienda seguimiento por comité SST</x:v>
      </x:c>
    </x:row>
    <x:row r="171">
      <x:c r="A171" s="88" t="n">
        <x:v>2025</x:v>
      </x:c>
      <x:c r="B171" s="89" t="str">
        <x:v>EMO-2025-0020</x:v>
      </x:c>
      <x:c r="C171" s="106" t="n">
        <x:v>45913</x:v>
      </x:c>
      <x:c r="D171" s="89" t="str">
        <x:v>Periódico</x:v>
      </x:c>
      <x:c r="E171" s="89" t="str">
        <x:v>258628891</x:v>
      </x:c>
      <x:c r="F171" s="89" t="str">
        <x:v>Luis Luisa Sánchez Pérez</x:v>
      </x:c>
      <x:c r="G171" s="89" t="str">
        <x:v>Vigilante</x:v>
      </x:c>
      <x:c r="H171" s="89" t="str">
        <x:v>Cúcuta</x:v>
      </x:c>
      <x:c r="I171" s="89" t="str">
        <x:v>Operaciones</x:v>
      </x:c>
      <x:c r="J171" s="89" t="str">
        <x:v>Centro Médico Laboral Andino</x:v>
      </x:c>
      <x:c r="K171" s="89" t="str">
        <x:v>Apto</x:v>
      </x:c>
      <x:c r="L171" s="89" t="str"/>
      <x:c r="M171" s="89" t="str">
        <x:v>Uso permanente de EPP</x:v>
      </x:c>
      <x:c r="N171" s="112" t="n">
        <x:v>12</x:v>
      </x:c>
      <x:c r="O171" s="106" t="n">
        <x:f>EDATE(C171,N171)</x:f>
        <x:v>46278</x:v>
      </x:c>
      <x:c r="P171" s="89" t="str">
        <x:v>E66.9 Obesidad</x:v>
      </x:c>
      <x:c r="Q171" s="89" t="str">
        <x:v>Sí</x:v>
      </x:c>
      <x:c r="R171" s="89" t="str">
        <x:v>Cardiometabólico</x:v>
      </x:c>
      <x:c r="S171" s="106" t="n">
        <x:v>45973</x:v>
      </x:c>
      <x:c r="T171" s="89" t="str">
        <x:f>IF(O171&lt;Instructivo!$B$4,"Vencido",IF(O171&lt;=Instructivo!$B$4+30,"Próximo a vencer","Vigente"))</x:f>
        <x:v>Vigente</x:v>
      </x:c>
      <x:c r="U171" s="89" t="str">
        <x:v>Líder SST</x:v>
      </x:c>
      <x:c r="V171" s="90" t="str">
        <x:v>Se recomienda seguimiento por comité SST</x:v>
      </x:c>
    </x:row>
    <x:row r="172">
      <x:c r="A172" s="88" t="n">
        <x:v>2025</x:v>
      </x:c>
      <x:c r="B172" s="89" t="str">
        <x:v>EMO-2025-0021</x:v>
      </x:c>
      <x:c r="C172" s="106" t="n">
        <x:v>45718</x:v>
      </x:c>
      <x:c r="D172" s="89" t="str">
        <x:v>Periódico</x:v>
      </x:c>
      <x:c r="E172" s="89" t="str">
        <x:v>562666893</x:v>
      </x:c>
      <x:c r="F172" s="89" t="str">
        <x:v>Luisa Diego Rojas Gómez</x:v>
      </x:c>
      <x:c r="G172" s="89" t="str">
        <x:v>Conductor</x:v>
      </x:c>
      <x:c r="H172" s="89" t="str">
        <x:v>Ocaña</x:v>
      </x:c>
      <x:c r="I172" s="89" t="str">
        <x:v>Logística</x:v>
      </x:c>
      <x:c r="J172" s="89" t="str">
        <x:v>IPS Prevencionar</x:v>
      </x:c>
      <x:c r="K172" s="89" t="str">
        <x:v>Apto</x:v>
      </x:c>
      <x:c r="L172" s="89" t="str"/>
      <x:c r="M172" s="89" t="str">
        <x:v>Continuar controles periódicos anuales</x:v>
      </x:c>
      <x:c r="N172" s="112" t="n">
        <x:v>12</x:v>
      </x:c>
      <x:c r="O172" s="106" t="n">
        <x:f>EDATE(C172,N172)</x:f>
        <x:v>46083</x:v>
      </x:c>
      <x:c r="P172" s="89" t="str">
        <x:v>R51 Cefalea</x:v>
      </x:c>
      <x:c r="Q172" s="89" t="str">
        <x:v>Sí</x:v>
      </x:c>
      <x:c r="R172" s="89" t="str">
        <x:v>Medicina laboral</x:v>
      </x:c>
      <x:c r="S172" s="106" t="n">
        <x:v>45778</x:v>
      </x:c>
      <x:c r="T172" s="89" t="str">
        <x:f>IF(O172&lt;Instructivo!$B$4,"Vencido",IF(O172&lt;=Instructivo!$B$4+30,"Próximo a vencer","Vigente"))</x:f>
        <x:v>Vencido</x:v>
      </x:c>
      <x:c r="U172" s="89" t="str">
        <x:v>Médico Ocupacional</x:v>
      </x:c>
      <x:c r="V172" s="90" t="str">
        <x:v>Registro completo y soportado en historia ocupacional</x:v>
      </x:c>
    </x:row>
    <x:row r="173">
      <x:c r="A173" s="88" t="n">
        <x:v>2025</x:v>
      </x:c>
      <x:c r="B173" s="89" t="str">
        <x:v>EMO-2025-0022</x:v>
      </x:c>
      <x:c r="C173" s="106" t="n">
        <x:v>45677</x:v>
      </x:c>
      <x:c r="D173" s="89" t="str">
        <x:v>Ingreso</x:v>
      </x:c>
      <x:c r="E173" s="89" t="str">
        <x:v>222229110</x:v>
      </x:c>
      <x:c r="F173" s="89" t="str">
        <x:v>Laura Camilo Torres López</x:v>
      </x:c>
      <x:c r="G173" s="89" t="str">
        <x:v>Técnico de mantenimiento</x:v>
      </x:c>
      <x:c r="H173" s="89" t="str">
        <x:v>Ábrego</x:v>
      </x:c>
      <x:c r="I173" s="89" t="str">
        <x:v>Infraestructura</x:v>
      </x:c>
      <x:c r="J173" s="89" t="str">
        <x:v>IPS Prevencionar</x:v>
      </x:c>
      <x:c r="K173" s="89" t="str">
        <x:v>Apto</x:v>
      </x:c>
      <x:c r="L173" s="89" t="str"/>
      <x:c r="M173" s="89" t="str">
        <x:v>Participar en programas de vigilancia epidemiológica</x:v>
      </x:c>
      <x:c r="N173" s="112" t="n">
        <x:v>12</x:v>
      </x:c>
      <x:c r="O173" s="106" t="n">
        <x:f>EDATE(C173,N173)</x:f>
        <x:v>46042</x:v>
      </x:c>
      <x:c r="P173" s="89" t="str">
        <x:v>R51 Cefalea</x:v>
      </x:c>
      <x:c r="Q173" s="89" t="str">
        <x:v>No</x:v>
      </x:c>
      <x:c r="R173" s="89" t="str"/>
      <x:c r="S173" s="106"/>
      <x:c r="T173" s="89" t="str">
        <x:f>IF(O173&lt;Instructivo!$B$4,"Vencido",IF(O173&lt;=Instructivo!$B$4+30,"Próximo a vencer","Vigente"))</x:f>
        <x:v>Vencido</x:v>
      </x:c>
      <x:c r="U173" s="89" t="str">
        <x:v>Coordinador de Talento Humano</x:v>
      </x:c>
      <x:c r="V173" s="90" t="str">
        <x:v>Pendiente firma de concepto médico</x:v>
      </x:c>
    </x:row>
    <x:row r="174">
      <x:c r="A174" s="88" t="n">
        <x:v>2025</x:v>
      </x:c>
      <x:c r="B174" s="89" t="str">
        <x:v>EMO-2025-0023</x:v>
      </x:c>
      <x:c r="C174" s="106" t="n">
        <x:v>45720</x:v>
      </x:c>
      <x:c r="D174" s="89" t="str">
        <x:v>Periódico</x:v>
      </x:c>
      <x:c r="E174" s="89" t="str">
        <x:v>495017343</x:v>
      </x:c>
      <x:c r="F174" s="89" t="str">
        <x:v>Carlos Kevin Rodríguez Rodríguez</x:v>
      </x:c>
      <x:c r="G174" s="89" t="str">
        <x:v>Vigilante</x:v>
      </x:c>
      <x:c r="H174" s="89" t="str">
        <x:v>Bogotá</x:v>
      </x:c>
      <x:c r="I174" s="89" t="str">
        <x:v>Operaciones</x:v>
      </x:c>
      <x:c r="J174" s="89" t="str">
        <x:v>IPS Ocupasalud SAS</x:v>
      </x:c>
      <x:c r="K174" s="89" t="str">
        <x:v>Apto</x:v>
      </x:c>
      <x:c r="L174" s="89" t="str"/>
      <x:c r="M174" s="89" t="str">
        <x:v>Continuar controles periódicos anuales</x:v>
      </x:c>
      <x:c r="N174" s="112" t="n">
        <x:v>12</x:v>
      </x:c>
      <x:c r="O174" s="106" t="n">
        <x:f>EDATE(C174,N174)</x:f>
        <x:v>46085</x:v>
      </x:c>
      <x:c r="P174" s="89" t="str">
        <x:v>M75.1 Lesión de hombro</x:v>
      </x:c>
      <x:c r="Q174" s="89" t="str">
        <x:v>No</x:v>
      </x:c>
      <x:c r="R174" s="89" t="str"/>
      <x:c r="S174" s="106"/>
      <x:c r="T174" s="89" t="str">
        <x:f>IF(O174&lt;Instructivo!$B$4,"Vencido",IF(O174&lt;=Instructivo!$B$4+30,"Próximo a vencer","Vigente"))</x:f>
        <x:v>Vencido</x:v>
      </x:c>
      <x:c r="U174" s="89" t="str">
        <x:v>Líder SST</x:v>
      </x:c>
      <x:c r="V174" s="90" t="str">
        <x:v>Caso priorizado por restricciones activas</x:v>
      </x:c>
    </x:row>
    <x:row r="175">
      <x:c r="A175" s="88" t="n">
        <x:v>2025</x:v>
      </x:c>
      <x:c r="B175" s="89" t="str">
        <x:v>EMO-2025-0024</x:v>
      </x:c>
      <x:c r="C175" s="106" t="n">
        <x:v>45818</x:v>
      </x:c>
      <x:c r="D175" s="89" t="str">
        <x:v>Post-incapacidad</x:v>
      </x:c>
      <x:c r="E175" s="89" t="str">
        <x:v>588639414</x:v>
      </x:c>
      <x:c r="F175" s="89" t="str">
        <x:v>Felipe Camilo Ramírez Suárez</x:v>
      </x:c>
      <x:c r="G175" s="89" t="str">
        <x:v>Operador de medios tecnológicos</x:v>
      </x:c>
      <x:c r="H175" s="89" t="str">
        <x:v>Cúcuta</x:v>
      </x:c>
      <x:c r="I175" s="89" t="str">
        <x:v>Medios Tecnológicos</x:v>
      </x:c>
      <x:c r="J175" s="89" t="str">
        <x:v>Colmédica Ocupacional</x:v>
      </x:c>
      <x:c r="K175" s="89" t="str">
        <x:v>Apto</x:v>
      </x:c>
      <x:c r="L175" s="89" t="str"/>
      <x:c r="M175" s="89" t="str">
        <x:v>Participar en programas de vigilancia epidemiológica</x:v>
      </x:c>
      <x:c r="N175" s="112" t="n">
        <x:v>6</x:v>
      </x:c>
      <x:c r="O175" s="106" t="n">
        <x:f>EDATE(C175,N175)</x:f>
        <x:v>46001</x:v>
      </x:c>
      <x:c r="P175" s="89" t="str">
        <x:v>I10 Hipertensión esencial</x:v>
      </x:c>
      <x:c r="Q175" s="89" t="str">
        <x:v>Sí</x:v>
      </x:c>
      <x:c r="R175" s="89" t="str">
        <x:v>Ergonomía</x:v>
      </x:c>
      <x:c r="S175" s="106" t="n">
        <x:v>45908</x:v>
      </x:c>
      <x:c r="T175" s="89" t="str">
        <x:f>IF(O175&lt;Instructivo!$B$4,"Vencido",IF(O175&lt;=Instructivo!$B$4+30,"Próximo a vencer","Vigente"))</x:f>
        <x:v>Vencido</x:v>
      </x:c>
      <x:c r="U175" s="89" t="str">
        <x:v>Médico Ocupacional</x:v>
      </x:c>
      <x:c r="V175" s="90" t="str">
        <x:v>Caso priorizado por restricciones activas</x:v>
      </x:c>
    </x:row>
    <x:row r="176">
      <x:c r="A176" s="88" t="n">
        <x:v>2025</x:v>
      </x:c>
      <x:c r="B176" s="89" t="str">
        <x:v>EMO-2025-0025</x:v>
      </x:c>
      <x:c r="C176" s="106" t="n">
        <x:v>45911</x:v>
      </x:c>
      <x:c r="D176" s="89" t="str">
        <x:v>Periódico</x:v>
      </x:c>
      <x:c r="E176" s="89" t="str">
        <x:v>722721135</x:v>
      </x:c>
      <x:c r="F176" s="89" t="str">
        <x:v>Juan Diana Díaz Castro</x:v>
      </x:c>
      <x:c r="G176" s="89" t="str">
        <x:v>Vigilante</x:v>
      </x:c>
      <x:c r="H176" s="89" t="str">
        <x:v>Girón</x:v>
      </x:c>
      <x:c r="I176" s="89" t="str">
        <x:v>Operaciones</x:v>
      </x:c>
      <x:c r="J176" s="89" t="str">
        <x:v>IPS Ocupasalud SAS</x:v>
      </x:c>
      <x:c r="K176" s="89" t="str">
        <x:v>No apto</x:v>
      </x:c>
      <x:c r="L176" s="89" t="str">
        <x:v>Pendiente concepto especialista</x:v>
      </x:c>
      <x:c r="M176" s="89" t="str">
        <x:v>Definir reubicación temporal</x:v>
      </x:c>
      <x:c r="N176" s="112" t="n">
        <x:v>12</x:v>
      </x:c>
      <x:c r="O176" s="106" t="n">
        <x:f>EDATE(C176,N176)</x:f>
        <x:v>46276</x:v>
      </x:c>
      <x:c r="P176" s="89" t="str">
        <x:v>I10 Hipertensión esencial</x:v>
      </x:c>
      <x:c r="Q176" s="89" t="str">
        <x:v>Sí</x:v>
      </x:c>
      <x:c r="R176" s="89" t="str">
        <x:v>Ergonomía</x:v>
      </x:c>
      <x:c r="S176" s="106" t="n">
        <x:v>45971</x:v>
      </x:c>
      <x:c r="T176" s="89" t="str">
        <x:f>IF(O176&lt;Instructivo!$B$4,"Vencido",IF(O176&lt;=Instructivo!$B$4+30,"Próximo a vencer","Vigente"))</x:f>
        <x:v>Vigente</x:v>
      </x:c>
      <x:c r="U176" s="89" t="str">
        <x:v>Coordinador de Talento Humano</x:v>
      </x:c>
      <x:c r="V176" s="90" t="str">
        <x:v>Sin novedades adicionales</x:v>
      </x:c>
    </x:row>
    <x:row r="177">
      <x:c r="A177" s="88" t="n">
        <x:v>2025</x:v>
      </x:c>
      <x:c r="B177" s="89" t="str">
        <x:v>EMO-2025-0026</x:v>
      </x:c>
      <x:c r="C177" s="106" t="n">
        <x:v>45659</x:v>
      </x:c>
      <x:c r="D177" s="89" t="str">
        <x:v>Reintegro</x:v>
      </x:c>
      <x:c r="E177" s="89" t="str">
        <x:v>814335942</x:v>
      </x:c>
      <x:c r="F177" s="89" t="str">
        <x:v>Karen Ana Moreno Ramírez</x:v>
      </x:c>
      <x:c r="G177" s="89" t="str">
        <x:v>Escolta</x:v>
      </x:c>
      <x:c r="H177" s="89" t="str">
        <x:v>Ocaña</x:v>
      </x:c>
      <x:c r="I177" s="89" t="str">
        <x:v>Escoltas</x:v>
      </x:c>
      <x:c r="J177" s="89" t="str">
        <x:v>Centro Médico Laboral Andino</x:v>
      </x:c>
      <x:c r="K177" s="89" t="str">
        <x:v>Apto con restricciones</x:v>
      </x:c>
      <x:c r="L177" s="89" t="str">
        <x:v>Control visual y corrección óptica permanente</x:v>
      </x:c>
      <x:c r="M177" s="89" t="str">
        <x:v>Capacitación ergonómica y seguimiento SST</x:v>
      </x:c>
      <x:c r="N177" s="112" t="n">
        <x:v>6</x:v>
      </x:c>
      <x:c r="O177" s="106" t="n">
        <x:f>EDATE(C177,N177)</x:f>
        <x:v>45840</x:v>
      </x:c>
      <x:c r="P177" s="89" t="str">
        <x:v>M75.1 Lesión de hombro</x:v>
      </x:c>
      <x:c r="Q177" s="89" t="str">
        <x:v>Sí</x:v>
      </x:c>
      <x:c r="R177" s="89" t="str">
        <x:v>Medicina laboral</x:v>
      </x:c>
      <x:c r="S177" s="106" t="n">
        <x:v>45719</x:v>
      </x:c>
      <x:c r="T177" s="89" t="str">
        <x:f>IF(O177&lt;Instructivo!$B$4,"Vencido",IF(O177&lt;=Instructivo!$B$4+30,"Próximo a vencer","Vigente"))</x:f>
        <x:v>Vencido</x:v>
      </x:c>
      <x:c r="U177" s="89" t="str">
        <x:v>Médico Ocupacional</x:v>
      </x:c>
      <x:c r="V177" s="90" t="str">
        <x:v>Caso priorizado por restricciones activas</x:v>
      </x:c>
    </x:row>
    <x:row r="178">
      <x:c r="A178" s="88" t="n">
        <x:v>2025</x:v>
      </x:c>
      <x:c r="B178" s="89" t="str">
        <x:v>EMO-2025-0027</x:v>
      </x:c>
      <x:c r="C178" s="106" t="n">
        <x:v>45731</x:v>
      </x:c>
      <x:c r="D178" s="89" t="str">
        <x:v>Post-exposición</x:v>
      </x:c>
      <x:c r="E178" s="89" t="str">
        <x:v>421192619</x:v>
      </x:c>
      <x:c r="F178" s="89" t="str">
        <x:v>Luisa Tatiana Martínez Torres</x:v>
      </x:c>
      <x:c r="G178" s="89" t="str">
        <x:v>Supervisor de puesto</x:v>
      </x:c>
      <x:c r="H178" s="89" t="str">
        <x:v>Tibú</x:v>
      </x:c>
      <x:c r="I178" s="89" t="str">
        <x:v>Operaciones</x:v>
      </x:c>
      <x:c r="J178" s="89" t="str">
        <x:v>Colmédica Ocupacional</x:v>
      </x:c>
      <x:c r="K178" s="89" t="str">
        <x:v>Apto</x:v>
      </x:c>
      <x:c r="L178" s="89" t="str"/>
      <x:c r="M178" s="89" t="str">
        <x:v>Continuar controles periódicos anuales</x:v>
      </x:c>
      <x:c r="N178" s="112" t="n">
        <x:v>12</x:v>
      </x:c>
      <x:c r="O178" s="106" t="n">
        <x:f>EDATE(C178,N178)</x:f>
        <x:v>46096</x:v>
      </x:c>
      <x:c r="P178" s="89" t="str">
        <x:v>G56.0 Síndrome túnel carpiano</x:v>
      </x:c>
      <x:c r="Q178" s="89" t="str">
        <x:v>Sí</x:v>
      </x:c>
      <x:c r="R178" s="89" t="str">
        <x:v>Ergonomía</x:v>
      </x:c>
      <x:c r="S178" s="106" t="n">
        <x:v>45851</x:v>
      </x:c>
      <x:c r="T178" s="89" t="str">
        <x:f>IF(O178&lt;Instructivo!$B$4,"Vencido",IF(O178&lt;=Instructivo!$B$4+30,"Próximo a vencer","Vigente"))</x:f>
        <x:v>Vencido</x:v>
      </x:c>
      <x:c r="U178" s="89" t="str">
        <x:v>Líder SST</x:v>
      </x:c>
      <x:c r="V178" s="90" t="str">
        <x:v>Sin novedades adicionales</x:v>
      </x:c>
    </x:row>
    <x:row r="179">
      <x:c r="A179" s="88" t="n">
        <x:v>2025</x:v>
      </x:c>
      <x:c r="B179" s="89" t="str">
        <x:v>EMO-2025-0028</x:v>
      </x:c>
      <x:c r="C179" s="106" t="n">
        <x:v>45727</x:v>
      </x:c>
      <x:c r="D179" s="89" t="str">
        <x:v>Ingreso</x:v>
      </x:c>
      <x:c r="E179" s="89" t="str">
        <x:v>264442778</x:v>
      </x:c>
      <x:c r="F179" s="89" t="str">
        <x:v>Luis Yulieth Sánchez Sánchez</x:v>
      </x:c>
      <x:c r="G179" s="89" t="str">
        <x:v>Vigilante</x:v>
      </x:c>
      <x:c r="H179" s="89" t="str">
        <x:v>Medellín</x:v>
      </x:c>
      <x:c r="I179" s="89" t="str">
        <x:v>Operaciones</x:v>
      </x:c>
      <x:c r="J179" s="89" t="str">
        <x:v>Centro Médico Laboral Andino</x:v>
      </x:c>
      <x:c r="K179" s="89" t="str">
        <x:v>Apto</x:v>
      </x:c>
      <x:c r="L179" s="89" t="str"/>
      <x:c r="M179" s="89" t="str">
        <x:v>Participar en programas de vigilancia epidemiológica</x:v>
      </x:c>
      <x:c r="N179" s="112" t="n">
        <x:v>12</x:v>
      </x:c>
      <x:c r="O179" s="106" t="n">
        <x:f>EDATE(C179,N179)</x:f>
        <x:v>46092</x:v>
      </x:c>
      <x:c r="P179" s="89" t="str">
        <x:v>I10 Hipertensión esencial</x:v>
      </x:c>
      <x:c r="Q179" s="89" t="str">
        <x:v>Sí</x:v>
      </x:c>
      <x:c r="R179" s="89" t="str">
        <x:v>Cardiometabólico</x:v>
      </x:c>
      <x:c r="S179" s="106" t="n">
        <x:v>45787</x:v>
      </x:c>
      <x:c r="T179" s="89" t="str">
        <x:f>IF(O179&lt;Instructivo!$B$4,"Vencido",IF(O179&lt;=Instructivo!$B$4+30,"Próximo a vencer","Vigente"))</x:f>
        <x:v>Vencido</x:v>
      </x:c>
      <x:c r="U179" s="89" t="str">
        <x:v>Coordinador de Talento Humano</x:v>
      </x:c>
      <x:c r="V179" s="90" t="str">
        <x:v>Sin novedades adicionales</x:v>
      </x:c>
    </x:row>
    <x:row r="180">
      <x:c r="A180" s="88" t="n">
        <x:v>2025</x:v>
      </x:c>
      <x:c r="B180" s="89" t="str">
        <x:v>EMO-2025-0029</x:v>
      </x:c>
      <x:c r="C180" s="106" t="n">
        <x:v>45860</x:v>
      </x:c>
      <x:c r="D180" s="89" t="str">
        <x:v>Post-incapacidad</x:v>
      </x:c>
      <x:c r="E180" s="89" t="str">
        <x:v>915652512</x:v>
      </x:c>
      <x:c r="F180" s="89" t="str">
        <x:v>Yulieth Yulieth Castro Ramírez</x:v>
      </x:c>
      <x:c r="G180" s="89" t="str">
        <x:v>Operador de medios tecnológicos</x:v>
      </x:c>
      <x:c r="H180" s="89" t="str">
        <x:v>Barrancabermeja</x:v>
      </x:c>
      <x:c r="I180" s="89" t="str">
        <x:v>Medios Tecnológicos</x:v>
      </x:c>
      <x:c r="J180" s="89" t="str">
        <x:v>Centro Médico Laboral Andino</x:v>
      </x:c>
      <x:c r="K180" s="89" t="str">
        <x:v>Apto</x:v>
      </x:c>
      <x:c r="L180" s="89" t="str"/>
      <x:c r="M180" s="89" t="str">
        <x:v>Uso permanente de EPP</x:v>
      </x:c>
      <x:c r="N180" s="112" t="n">
        <x:v>6</x:v>
      </x:c>
      <x:c r="O180" s="106" t="n">
        <x:f>EDATE(C180,N180)</x:f>
        <x:v>46044</x:v>
      </x:c>
      <x:c r="P180" s="89" t="str">
        <x:v>M54.5 Lumbalgia</x:v>
      </x:c>
      <x:c r="Q180" s="89" t="str">
        <x:v>No</x:v>
      </x:c>
      <x:c r="R180" s="89" t="str"/>
      <x:c r="S180" s="106"/>
      <x:c r="T180" s="89" t="str">
        <x:f>IF(O180&lt;Instructivo!$B$4,"Vencido",IF(O180&lt;=Instructivo!$B$4+30,"Próximo a vencer","Vigente"))</x:f>
        <x:v>Vencido</x:v>
      </x:c>
      <x:c r="U180" s="89" t="str">
        <x:v>Analista SST</x:v>
      </x:c>
      <x:c r="V180" s="90" t="str">
        <x:v>Se recomienda seguimiento por comité SST</x:v>
      </x:c>
    </x:row>
    <x:row r="181">
      <x:c r="A181" s="88" t="n">
        <x:v>2025</x:v>
      </x:c>
      <x:c r="B181" s="89" t="str">
        <x:v>EMO-2025-0030</x:v>
      </x:c>
      <x:c r="C181" s="106" t="n">
        <x:v>45958</x:v>
      </x:c>
      <x:c r="D181" s="89" t="str">
        <x:v>Periódico</x:v>
      </x:c>
      <x:c r="E181" s="89" t="str">
        <x:v>773641282</x:v>
      </x:c>
      <x:c r="F181" s="89" t="str">
        <x:v>Carlos María Rodríguez Hernández</x:v>
      </x:c>
      <x:c r="G181" s="89" t="str">
        <x:v>Supervisor de puesto</x:v>
      </x:c>
      <x:c r="H181" s="89" t="str">
        <x:v>Cúcuta</x:v>
      </x:c>
      <x:c r="I181" s="89" t="str">
        <x:v>Operaciones</x:v>
      </x:c>
      <x:c r="J181" s="89" t="str">
        <x:v>Colmédica Ocupacional</x:v>
      </x:c>
      <x:c r="K181" s="89" t="str">
        <x:v>Apto</x:v>
      </x:c>
      <x:c r="L181" s="89" t="str"/>
      <x:c r="M181" s="89" t="str">
        <x:v>Continuar controles periódicos anuales</x:v>
      </x:c>
      <x:c r="N181" s="112" t="n">
        <x:v>12</x:v>
      </x:c>
      <x:c r="O181" s="106" t="n">
        <x:f>EDATE(C181,N181)</x:f>
        <x:v>46323</x:v>
      </x:c>
      <x:c r="P181" s="89" t="str">
        <x:v>M75.1 Lesión de hombro</x:v>
      </x:c>
      <x:c r="Q181" s="89" t="str">
        <x:v>No</x:v>
      </x:c>
      <x:c r="R181" s="89" t="str"/>
      <x:c r="S181" s="106"/>
      <x:c r="T181" s="89" t="str">
        <x:f>IF(O181&lt;Instructivo!$B$4,"Vencido",IF(O181&lt;=Instructivo!$B$4+30,"Próximo a vencer","Vigente"))</x:f>
        <x:v>Vigente</x:v>
      </x:c>
      <x:c r="U181" s="89" t="str">
        <x:v>Líder SST</x:v>
      </x:c>
      <x:c r="V181" s="90" t="str">
        <x:v>Sin novedades adicionales</x:v>
      </x:c>
    </x:row>
    <x:row r="182">
      <x:c r="A182" s="88" t="n">
        <x:v>2025</x:v>
      </x:c>
      <x:c r="B182" s="89" t="str">
        <x:v>EMO-2025-0031</x:v>
      </x:c>
      <x:c r="C182" s="106" t="n">
        <x:v>45765</x:v>
      </x:c>
      <x:c r="D182" s="89" t="str">
        <x:v>Periódico</x:v>
      </x:c>
      <x:c r="E182" s="89" t="str">
        <x:v>797138070</x:v>
      </x:c>
      <x:c r="F182" s="89" t="str">
        <x:v>María María Torres Hernández</x:v>
      </x:c>
      <x:c r="G182" s="89" t="str">
        <x:v>Vigilante</x:v>
      </x:c>
      <x:c r="H182" s="89" t="str">
        <x:v>Barrancabermeja</x:v>
      </x:c>
      <x:c r="I182" s="89" t="str">
        <x:v>Operaciones</x:v>
      </x:c>
      <x:c r="J182" s="89" t="str">
        <x:v>IPS Ocupasalud SAS</x:v>
      </x:c>
      <x:c r="K182" s="89" t="str">
        <x:v>Apto</x:v>
      </x:c>
      <x:c r="L182" s="89" t="str"/>
      <x:c r="M182" s="89" t="str">
        <x:v>Participar en programas de vigilancia epidemiológica</x:v>
      </x:c>
      <x:c r="N182" s="112" t="n">
        <x:v>12</x:v>
      </x:c>
      <x:c r="O182" s="106" t="n">
        <x:f>EDATE(C182,N182)</x:f>
        <x:v>46130</x:v>
      </x:c>
      <x:c r="P182" s="89" t="str">
        <x:v>H52.4 Presbicia</x:v>
      </x:c>
      <x:c r="Q182" s="89" t="str">
        <x:v>No</x:v>
      </x:c>
      <x:c r="R182" s="89" t="str"/>
      <x:c r="S182" s="106"/>
      <x:c r="T182" s="89" t="str">
        <x:f>IF(O182&lt;Instructivo!$B$4,"Vencido",IF(O182&lt;=Instructivo!$B$4+30,"Próximo a vencer","Vigente"))</x:f>
        <x:v>Vencido</x:v>
      </x:c>
      <x:c r="U182" s="89" t="str">
        <x:v>Coordinador de Talento Humano</x:v>
      </x:c>
      <x:c r="V182" s="90" t="str">
        <x:v>Registro completo y soportado en historia ocupacional</x:v>
      </x:c>
    </x:row>
    <x:row r="183">
      <x:c r="A183" s="88" t="n">
        <x:v>2025</x:v>
      </x:c>
      <x:c r="B183" s="89" t="str">
        <x:v>EMO-2025-0032</x:v>
      </x:c>
      <x:c r="C183" s="106" t="n">
        <x:v>45826</x:v>
      </x:c>
      <x:c r="D183" s="89" t="str">
        <x:v>Ingreso</x:v>
      </x:c>
      <x:c r="E183" s="89" t="str">
        <x:v>642811298</x:v>
      </x:c>
      <x:c r="F183" s="89" t="str">
        <x:v>Wilson Karen Cárdenas Rodríguez</x:v>
      </x:c>
      <x:c r="G183" s="89" t="str">
        <x:v>Auxiliar administrativo</x:v>
      </x:c>
      <x:c r="H183" s="89" t="str">
        <x:v>Ábrego</x:v>
      </x:c>
      <x:c r="I183" s="89" t="str">
        <x:v>Administrativa</x:v>
      </x:c>
      <x:c r="J183" s="89" t="str">
        <x:v>Salud Integral Ocupacional</x:v>
      </x:c>
      <x:c r="K183" s="89" t="str">
        <x:v>Apto</x:v>
      </x:c>
      <x:c r="L183" s="89" t="str"/>
      <x:c r="M183" s="89" t="str">
        <x:v>Mantener estilos de vida saludable</x:v>
      </x:c>
      <x:c r="N183" s="112" t="n">
        <x:v>12</x:v>
      </x:c>
      <x:c r="O183" s="106" t="n">
        <x:f>EDATE(C183,N183)</x:f>
        <x:v>46191</x:v>
      </x:c>
      <x:c r="P183" s="89" t="str">
        <x:v>Z00.0 Examen general</x:v>
      </x:c>
      <x:c r="Q183" s="89" t="str">
        <x:v>No</x:v>
      </x:c>
      <x:c r="R183" s="89" t="str"/>
      <x:c r="S183" s="106"/>
      <x:c r="T183" s="89" t="str">
        <x:f>IF(O183&lt;Instructivo!$B$4,"Vencido",IF(O183&lt;=Instructivo!$B$4+30,"Próximo a vencer","Vigente"))</x:f>
        <x:v>Próximo a vencer</x:v>
      </x:c>
      <x:c r="U183" s="89" t="str">
        <x:v>Coordinador de Talento Humano</x:v>
      </x:c>
      <x:c r="V183" s="90" t="str">
        <x:v>Sin novedades adicionales</x:v>
      </x:c>
    </x:row>
    <x:row r="184">
      <x:c r="A184" s="88" t="n">
        <x:v>2025</x:v>
      </x:c>
      <x:c r="B184" s="89" t="str">
        <x:v>EMO-2025-0033</x:v>
      </x:c>
      <x:c r="C184" s="106" t="n">
        <x:v>45748</x:v>
      </x:c>
      <x:c r="D184" s="89" t="str">
        <x:v>Post-incapacidad</x:v>
      </x:c>
      <x:c r="E184" s="89" t="str">
        <x:v>915652512</x:v>
      </x:c>
      <x:c r="F184" s="89" t="str">
        <x:v>Yulieth Yulieth Castro Ramírez</x:v>
      </x:c>
      <x:c r="G184" s="89" t="str">
        <x:v>Operador de medios tecnológicos</x:v>
      </x:c>
      <x:c r="H184" s="89" t="str">
        <x:v>Barrancabermeja</x:v>
      </x:c>
      <x:c r="I184" s="89" t="str">
        <x:v>Medios Tecnológicos</x:v>
      </x:c>
      <x:c r="J184" s="89" t="str">
        <x:v>Salud Integral Ocupacional</x:v>
      </x:c>
      <x:c r="K184" s="89" t="str">
        <x:v>Apto</x:v>
      </x:c>
      <x:c r="L184" s="89" t="str"/>
      <x:c r="M184" s="89" t="str">
        <x:v>Participar en programas de vigilancia epidemiológica</x:v>
      </x:c>
      <x:c r="N184" s="112" t="n">
        <x:v>6</x:v>
      </x:c>
      <x:c r="O184" s="106" t="n">
        <x:f>EDATE(C184,N184)</x:f>
        <x:v>45931</x:v>
      </x:c>
      <x:c r="P184" s="89" t="str">
        <x:v>I10 Hipertensión esencial</x:v>
      </x:c>
      <x:c r="Q184" s="89" t="str">
        <x:v>No</x:v>
      </x:c>
      <x:c r="R184" s="89" t="str"/>
      <x:c r="S184" s="106"/>
      <x:c r="T184" s="89" t="str">
        <x:f>IF(O184&lt;Instructivo!$B$4,"Vencido",IF(O184&lt;=Instructivo!$B$4+30,"Próximo a vencer","Vigente"))</x:f>
        <x:v>Vencido</x:v>
      </x:c>
      <x:c r="U184" s="89" t="str">
        <x:v>Líder SST</x:v>
      </x:c>
      <x:c r="V184" s="90" t="str">
        <x:v>Caso priorizado por restricciones activas</x:v>
      </x:c>
    </x:row>
    <x:row r="185">
      <x:c r="A185" s="88" t="n">
        <x:v>2025</x:v>
      </x:c>
      <x:c r="B185" s="89" t="str">
        <x:v>EMO-2025-0034</x:v>
      </x:c>
      <x:c r="C185" s="106" t="n">
        <x:v>45730</x:v>
      </x:c>
      <x:c r="D185" s="89" t="str">
        <x:v>Ingreso</x:v>
      </x:c>
      <x:c r="E185" s="89" t="str">
        <x:v>949214801</x:v>
      </x:c>
      <x:c r="F185" s="89" t="str">
        <x:v>Jhon Álvaro Castro Rojas</x:v>
      </x:c>
      <x:c r="G185" s="89" t="str">
        <x:v>Supervisor motorizado</x:v>
      </x:c>
      <x:c r="H185" s="89" t="str">
        <x:v>Barrancabermeja</x:v>
      </x:c>
      <x:c r="I185" s="89" t="str">
        <x:v>Operaciones</x:v>
      </x:c>
      <x:c r="J185" s="89" t="str">
        <x:v>Centro Médico Laboral Andino</x:v>
      </x:c>
      <x:c r="K185" s="89" t="str">
        <x:v>Apto</x:v>
      </x:c>
      <x:c r="L185" s="89" t="str"/>
      <x:c r="M185" s="89" t="str">
        <x:v>Continuar controles periódicos anuales</x:v>
      </x:c>
      <x:c r="N185" s="112" t="n">
        <x:v>12</x:v>
      </x:c>
      <x:c r="O185" s="106" t="n">
        <x:f>EDATE(C185,N185)</x:f>
        <x:v>46095</x:v>
      </x:c>
      <x:c r="P185" s="89" t="str">
        <x:v>I10 Hipertensión esencial</x:v>
      </x:c>
      <x:c r="Q185" s="89" t="str">
        <x:v>No</x:v>
      </x:c>
      <x:c r="R185" s="89" t="str"/>
      <x:c r="S185" s="106"/>
      <x:c r="T185" s="89" t="str">
        <x:f>IF(O185&lt;Instructivo!$B$4,"Vencido",IF(O185&lt;=Instructivo!$B$4+30,"Próximo a vencer","Vigente"))</x:f>
        <x:v>Vencido</x:v>
      </x:c>
      <x:c r="U185" s="89" t="str">
        <x:v>Médico Ocupacional</x:v>
      </x:c>
      <x:c r="V185" s="90" t="str">
        <x:v>Pendiente firma de concepto médico</x:v>
      </x:c>
    </x:row>
    <x:row r="186">
      <x:c r="A186" s="88" t="n">
        <x:v>2025</x:v>
      </x:c>
      <x:c r="B186" s="89" t="str">
        <x:v>EMO-2025-0035</x:v>
      </x:c>
      <x:c r="C186" s="106" t="n">
        <x:v>45989</x:v>
      </x:c>
      <x:c r="D186" s="89" t="str">
        <x:v>Periódico</x:v>
      </x:c>
      <x:c r="E186" s="89" t="str">
        <x:v>165235884</x:v>
      </x:c>
      <x:c r="F186" s="89" t="str">
        <x:v>Wilson Andrés Rodríguez Suárez</x:v>
      </x:c>
      <x:c r="G186" s="89" t="str">
        <x:v>Vigilante</x:v>
      </x:c>
      <x:c r="H186" s="89" t="str">
        <x:v>Girón</x:v>
      </x:c>
      <x:c r="I186" s="89" t="str">
        <x:v>Operaciones</x:v>
      </x:c>
      <x:c r="J186" s="89" t="str">
        <x:v>IPS Ocupasalud SAS</x:v>
      </x:c>
      <x:c r="K186" s="89" t="str">
        <x:v>Apto</x:v>
      </x:c>
      <x:c r="L186" s="89" t="str"/>
      <x:c r="M186" s="89" t="str">
        <x:v>Uso permanente de EPP</x:v>
      </x:c>
      <x:c r="N186" s="112" t="n">
        <x:v>12</x:v>
      </x:c>
      <x:c r="O186" s="106" t="n">
        <x:f>EDATE(C186,N186)</x:f>
        <x:v>46354</x:v>
      </x:c>
      <x:c r="P186" s="89" t="str">
        <x:v>M54.5 Lumbalgia</x:v>
      </x:c>
      <x:c r="Q186" s="89" t="str">
        <x:v>No</x:v>
      </x:c>
      <x:c r="R186" s="89" t="str"/>
      <x:c r="S186" s="106"/>
      <x:c r="T186" s="89" t="str">
        <x:f>IF(O186&lt;Instructivo!$B$4,"Vencido",IF(O186&lt;=Instructivo!$B$4+30,"Próximo a vencer","Vigente"))</x:f>
        <x:v>Vigente</x:v>
      </x:c>
      <x:c r="U186" s="89" t="str">
        <x:v>Analista SST</x:v>
      </x:c>
      <x:c r="V186" s="90" t="str">
        <x:v>Registro completo y soportado en historia ocupacional</x:v>
      </x:c>
    </x:row>
    <x:row r="187">
      <x:c r="A187" s="88" t="n">
        <x:v>2025</x:v>
      </x:c>
      <x:c r="B187" s="89" t="str">
        <x:v>EMO-2025-0036</x:v>
      </x:c>
      <x:c r="C187" s="106" t="n">
        <x:v>45706</x:v>
      </x:c>
      <x:c r="D187" s="89" t="str">
        <x:v>Post-incapacidad</x:v>
      </x:c>
      <x:c r="E187" s="89" t="str">
        <x:v>403657144</x:v>
      </x:c>
      <x:c r="F187" s="89" t="str">
        <x:v>José Laura Pérez Moreno</x:v>
      </x:c>
      <x:c r="G187" s="89" t="str">
        <x:v>Escolta</x:v>
      </x:c>
      <x:c r="H187" s="89" t="str">
        <x:v>Cúcuta</x:v>
      </x:c>
      <x:c r="I187" s="89" t="str">
        <x:v>Escoltas</x:v>
      </x:c>
      <x:c r="J187" s="89" t="str">
        <x:v>Centro Médico Laboral Andino</x:v>
      </x:c>
      <x:c r="K187" s="89" t="str">
        <x:v>Apto con restricciones</x:v>
      </x:c>
      <x:c r="L187" s="89" t="str">
        <x:v>Restricción para trabajo prolongado de pie</x:v>
      </x:c>
      <x:c r="M187" s="89" t="str">
        <x:v>Seguimiento por medicina laboral en 3 meses</x:v>
      </x:c>
      <x:c r="N187" s="112" t="n">
        <x:v>6</x:v>
      </x:c>
      <x:c r="O187" s="106" t="n">
        <x:f>EDATE(C187,N187)</x:f>
        <x:v>45887</x:v>
      </x:c>
      <x:c r="P187" s="89" t="str">
        <x:v>M75.1 Lesión de hombro</x:v>
      </x:c>
      <x:c r="Q187" s="89" t="str">
        <x:v>Sí</x:v>
      </x:c>
      <x:c r="R187" s="89" t="str">
        <x:v>Medicina laboral</x:v>
      </x:c>
      <x:c r="S187" s="106" t="n">
        <x:v>45796</x:v>
      </x:c>
      <x:c r="T187" s="89" t="str">
        <x:f>IF(O187&lt;Instructivo!$B$4,"Vencido",IF(O187&lt;=Instructivo!$B$4+30,"Próximo a vencer","Vigente"))</x:f>
        <x:v>Vencido</x:v>
      </x:c>
      <x:c r="U187" s="89" t="str">
        <x:v>Médico Ocupacional</x:v>
      </x:c>
      <x:c r="V187" s="90" t="str">
        <x:v>Registro completo y soportado en historia ocupacional</x:v>
      </x:c>
    </x:row>
    <x:row r="188">
      <x:c r="A188" s="88" t="n">
        <x:v>2025</x:v>
      </x:c>
      <x:c r="B188" s="89" t="str">
        <x:v>EMO-2025-0037</x:v>
      </x:c>
      <x:c r="C188" s="106" t="n">
        <x:v>46008</x:v>
      </x:c>
      <x:c r="D188" s="89" t="str">
        <x:v>Ingreso</x:v>
      </x:c>
      <x:c r="E188" s="89" t="str">
        <x:v>131771600</x:v>
      </x:c>
      <x:c r="F188" s="89" t="str">
        <x:v>Felipe Carolina Gómez Díaz</x:v>
      </x:c>
      <x:c r="G188" s="89" t="str">
        <x:v>Vigilante</x:v>
      </x:c>
      <x:c r="H188" s="89" t="str">
        <x:v>Ocaña</x:v>
      </x:c>
      <x:c r="I188" s="89" t="str">
        <x:v>Operaciones</x:v>
      </x:c>
      <x:c r="J188" s="89" t="str">
        <x:v>Colmédica Ocupacional</x:v>
      </x:c>
      <x:c r="K188" s="89" t="str">
        <x:v>Apto</x:v>
      </x:c>
      <x:c r="L188" s="89" t="str"/>
      <x:c r="M188" s="89" t="str">
        <x:v>Uso permanente de EPP</x:v>
      </x:c>
      <x:c r="N188" s="112" t="n">
        <x:v>12</x:v>
      </x:c>
      <x:c r="O188" s="106" t="n">
        <x:f>EDATE(C188,N188)</x:f>
        <x:v>46373</x:v>
      </x:c>
      <x:c r="P188" s="89" t="str">
        <x:v>E66.9 Obesidad</x:v>
      </x:c>
      <x:c r="Q188" s="89" t="str">
        <x:v>No</x:v>
      </x:c>
      <x:c r="R188" s="89" t="str"/>
      <x:c r="S188" s="106"/>
      <x:c r="T188" s="89" t="str">
        <x:f>IF(O188&lt;Instructivo!$B$4,"Vencido",IF(O188&lt;=Instructivo!$B$4+30,"Próximo a vencer","Vigente"))</x:f>
        <x:v>Vigente</x:v>
      </x:c>
      <x:c r="U188" s="89" t="str">
        <x:v>Médico Ocupacional</x:v>
      </x:c>
      <x:c r="V188" s="90" t="str">
        <x:v>Pendiente firma de concepto médico</x:v>
      </x:c>
    </x:row>
    <x:row r="189">
      <x:c r="A189" s="88" t="n">
        <x:v>2025</x:v>
      </x:c>
      <x:c r="B189" s="89" t="str">
        <x:v>EMO-2025-0038</x:v>
      </x:c>
      <x:c r="C189" s="106" t="n">
        <x:v>45976</x:v>
      </x:c>
      <x:c r="D189" s="89" t="str">
        <x:v>Ingreso</x:v>
      </x:c>
      <x:c r="E189" s="89" t="str">
        <x:v>222229110</x:v>
      </x:c>
      <x:c r="F189" s="89" t="str">
        <x:v>Laura Camilo Torres López</x:v>
      </x:c>
      <x:c r="G189" s="89" t="str">
        <x:v>Técnico de mantenimiento</x:v>
      </x:c>
      <x:c r="H189" s="89" t="str">
        <x:v>Ábrego</x:v>
      </x:c>
      <x:c r="I189" s="89" t="str">
        <x:v>Infraestructura</x:v>
      </x:c>
      <x:c r="J189" s="89" t="str">
        <x:v>IPS Prevencionar</x:v>
      </x:c>
      <x:c r="K189" s="89" t="str">
        <x:v>Apto</x:v>
      </x:c>
      <x:c r="L189" s="89" t="str"/>
      <x:c r="M189" s="89" t="str">
        <x:v>Uso permanente de EPP</x:v>
      </x:c>
      <x:c r="N189" s="112" t="n">
        <x:v>12</x:v>
      </x:c>
      <x:c r="O189" s="106" t="n">
        <x:f>EDATE(C189,N189)</x:f>
        <x:v>46341</x:v>
      </x:c>
      <x:c r="P189" s="89" t="str">
        <x:v>Z00.0 Examen general</x:v>
      </x:c>
      <x:c r="Q189" s="89" t="str">
        <x:v>No</x:v>
      </x:c>
      <x:c r="R189" s="89" t="str"/>
      <x:c r="S189" s="106"/>
      <x:c r="T189" s="89" t="str">
        <x:f>IF(O189&lt;Instructivo!$B$4,"Vencido",IF(O189&lt;=Instructivo!$B$4+30,"Próximo a vencer","Vigente"))</x:f>
        <x:v>Vigente</x:v>
      </x:c>
      <x:c r="U189" s="89" t="str">
        <x:v>Líder SST</x:v>
      </x:c>
      <x:c r="V189" s="90" t="str">
        <x:v>Caso priorizado por restricciones activas</x:v>
      </x:c>
    </x:row>
    <x:row r="190">
      <x:c r="A190" s="88" t="n">
        <x:v>2025</x:v>
      </x:c>
      <x:c r="B190" s="89" t="str">
        <x:v>EMO-2025-0039</x:v>
      </x:c>
      <x:c r="C190" s="106" t="n">
        <x:v>45873</x:v>
      </x:c>
      <x:c r="D190" s="89" t="str">
        <x:v>Periódico</x:v>
      </x:c>
      <x:c r="E190" s="89" t="str">
        <x:v>634700025</x:v>
      </x:c>
      <x:c r="F190" s="89" t="str">
        <x:v>Wilson Kevin Torres Moreno</x:v>
      </x:c>
      <x:c r="G190" s="89" t="str">
        <x:v>Conductor</x:v>
      </x:c>
      <x:c r="H190" s="89" t="str">
        <x:v>Girón</x:v>
      </x:c>
      <x:c r="I190" s="89" t="str">
        <x:v>Logística</x:v>
      </x:c>
      <x:c r="J190" s="89" t="str">
        <x:v>IPS Ocupasalud SAS</x:v>
      </x:c>
      <x:c r="K190" s="89" t="str">
        <x:v>Apto</x:v>
      </x:c>
      <x:c r="L190" s="89" t="str"/>
      <x:c r="M190" s="89" t="str">
        <x:v>Mantener estilos de vida saludable</x:v>
      </x:c>
      <x:c r="N190" s="112" t="n">
        <x:v>12</x:v>
      </x:c>
      <x:c r="O190" s="106" t="n">
        <x:f>EDATE(C190,N190)</x:f>
        <x:v>46238</x:v>
      </x:c>
      <x:c r="P190" s="89" t="str">
        <x:v>M75.1 Lesión de hombro</x:v>
      </x:c>
      <x:c r="Q190" s="89" t="str">
        <x:v>No</x:v>
      </x:c>
      <x:c r="R190" s="89" t="str"/>
      <x:c r="S190" s="106"/>
      <x:c r="T190" s="89" t="str">
        <x:f>IF(O190&lt;Instructivo!$B$4,"Vencido",IF(O190&lt;=Instructivo!$B$4+30,"Próximo a vencer","Vigente"))</x:f>
        <x:v>Vigente</x:v>
      </x:c>
      <x:c r="U190" s="89" t="str">
        <x:v>Coordinador de Talento Humano</x:v>
      </x:c>
      <x:c r="V190" s="90" t="str">
        <x:v>Caso priorizado por restricciones activas</x:v>
      </x:c>
    </x:row>
    <x:row r="191">
      <x:c r="A191" s="88" t="n">
        <x:v>2025</x:v>
      </x:c>
      <x:c r="B191" s="89" t="str">
        <x:v>EMO-2025-0040</x:v>
      </x:c>
      <x:c r="C191" s="106" t="n">
        <x:v>45907</x:v>
      </x:c>
      <x:c r="D191" s="89" t="str">
        <x:v>Periódico</x:v>
      </x:c>
      <x:c r="E191" s="89" t="str">
        <x:v>662672884</x:v>
      </x:c>
      <x:c r="F191" s="89" t="str">
        <x:v>María Álvaro Pérez López</x:v>
      </x:c>
      <x:c r="G191" s="89" t="str">
        <x:v>Auxiliar administrativo</x:v>
      </x:c>
      <x:c r="H191" s="89" t="str">
        <x:v>Ocaña</x:v>
      </x:c>
      <x:c r="I191" s="89" t="str">
        <x:v>Administrativa</x:v>
      </x:c>
      <x:c r="J191" s="89" t="str">
        <x:v>IPS Ocupasalud SAS</x:v>
      </x:c>
      <x:c r="K191" s="89" t="str">
        <x:v>Apto</x:v>
      </x:c>
      <x:c r="L191" s="89" t="str"/>
      <x:c r="M191" s="89" t="str">
        <x:v>Uso permanente de EPP</x:v>
      </x:c>
      <x:c r="N191" s="112" t="n">
        <x:v>12</x:v>
      </x:c>
      <x:c r="O191" s="106" t="n">
        <x:f>EDATE(C191,N191)</x:f>
        <x:v>46272</x:v>
      </x:c>
      <x:c r="P191" s="89" t="str">
        <x:v>R51 Cefalea</x:v>
      </x:c>
      <x:c r="Q191" s="89" t="str">
        <x:v>No</x:v>
      </x:c>
      <x:c r="R191" s="89" t="str"/>
      <x:c r="S191" s="106"/>
      <x:c r="T191" s="89" t="str">
        <x:f>IF(O191&lt;Instructivo!$B$4,"Vencido",IF(O191&lt;=Instructivo!$B$4+30,"Próximo a vencer","Vigente"))</x:f>
        <x:v>Vigente</x:v>
      </x:c>
      <x:c r="U191" s="89" t="str">
        <x:v>Analista SST</x:v>
      </x:c>
      <x:c r="V191" s="90" t="str">
        <x:v>Pendiente firma de concepto médico</x:v>
      </x:c>
    </x:row>
    <x:row r="192">
      <x:c r="A192" s="88" t="n">
        <x:v>2025</x:v>
      </x:c>
      <x:c r="B192" s="89" t="str">
        <x:v>EMO-2025-0041</x:v>
      </x:c>
      <x:c r="C192" s="106" t="n">
        <x:v>45802</x:v>
      </x:c>
      <x:c r="D192" s="89" t="str">
        <x:v>Post-incapacidad</x:v>
      </x:c>
      <x:c r="E192" s="89" t="str">
        <x:v>204905582</x:v>
      </x:c>
      <x:c r="F192" s="89" t="str">
        <x:v>Andrés Brayan Torres Cárdenas</x:v>
      </x:c>
      <x:c r="G192" s="89" t="str">
        <x:v>Operador de medios tecnológicos</x:v>
      </x:c>
      <x:c r="H192" s="89" t="str">
        <x:v>Arauca</x:v>
      </x:c>
      <x:c r="I192" s="89" t="str">
        <x:v>Medios Tecnológicos</x:v>
      </x:c>
      <x:c r="J192" s="89" t="str">
        <x:v>Centro Médico Laboral Andino</x:v>
      </x:c>
      <x:c r="K192" s="89" t="str">
        <x:v>Apto</x:v>
      </x:c>
      <x:c r="L192" s="89" t="str"/>
      <x:c r="M192" s="89" t="str">
        <x:v>Participar en programas de vigilancia epidemiológica</x:v>
      </x:c>
      <x:c r="N192" s="112" t="n">
        <x:v>6</x:v>
      </x:c>
      <x:c r="O192" s="106" t="n">
        <x:f>EDATE(C192,N192)</x:f>
        <x:v>45986</x:v>
      </x:c>
      <x:c r="P192" s="89" t="str">
        <x:v>H52.4 Presbicia</x:v>
      </x:c>
      <x:c r="Q192" s="89" t="str">
        <x:v>No</x:v>
      </x:c>
      <x:c r="R192" s="89" t="str"/>
      <x:c r="S192" s="106"/>
      <x:c r="T192" s="89" t="str">
        <x:f>IF(O192&lt;Instructivo!$B$4,"Vencido",IF(O192&lt;=Instructivo!$B$4+30,"Próximo a vencer","Vigente"))</x:f>
        <x:v>Vencido</x:v>
      </x:c>
      <x:c r="U192" s="89" t="str">
        <x:v>Líder SST</x:v>
      </x:c>
      <x:c r="V192" s="90" t="str">
        <x:v>Caso priorizado por restricciones activas</x:v>
      </x:c>
    </x:row>
    <x:row r="193">
      <x:c r="A193" s="88" t="n">
        <x:v>2025</x:v>
      </x:c>
      <x:c r="B193" s="89" t="str">
        <x:v>EMO-2025-0042</x:v>
      </x:c>
      <x:c r="C193" s="106" t="n">
        <x:v>45795</x:v>
      </x:c>
      <x:c r="D193" s="89" t="str">
        <x:v>Periódico</x:v>
      </x:c>
      <x:c r="E193" s="89" t="str">
        <x:v>999689889</x:v>
      </x:c>
      <x:c r="F193" s="89" t="str">
        <x:v>Álvaro Carlos Ramírez Martínez</x:v>
      </x:c>
      <x:c r="G193" s="89" t="str">
        <x:v>Coordinador de operaciones</x:v>
      </x:c>
      <x:c r="H193" s="89" t="str">
        <x:v>Girón</x:v>
      </x:c>
      <x:c r="I193" s="89" t="str">
        <x:v>Operaciones</x:v>
      </x:c>
      <x:c r="J193" s="89" t="str">
        <x:v>Salud Integral Ocupacional</x:v>
      </x:c>
      <x:c r="K193" s="89" t="str">
        <x:v>Apto</x:v>
      </x:c>
      <x:c r="L193" s="89" t="str"/>
      <x:c r="M193" s="89" t="str">
        <x:v>Continuar controles periódicos anuales</x:v>
      </x:c>
      <x:c r="N193" s="112" t="n">
        <x:v>12</x:v>
      </x:c>
      <x:c r="O193" s="106" t="n">
        <x:f>EDATE(C193,N193)</x:f>
        <x:v>46160</x:v>
      </x:c>
      <x:c r="P193" s="89" t="str">
        <x:v>M75.1 Lesión de hombro</x:v>
      </x:c>
      <x:c r="Q193" s="89" t="str">
        <x:v>No</x:v>
      </x:c>
      <x:c r="R193" s="89" t="str"/>
      <x:c r="S193" s="106"/>
      <x:c r="T193" s="89" t="str">
        <x:f>IF(O193&lt;Instructivo!$B$4,"Vencido",IF(O193&lt;=Instructivo!$B$4+30,"Próximo a vencer","Vigente"))</x:f>
        <x:v>Vencido</x:v>
      </x:c>
      <x:c r="U193" s="89" t="str">
        <x:v>Coordinador de Talento Humano</x:v>
      </x:c>
      <x:c r="V193" s="90" t="str">
        <x:v>Pendiente firma de concepto médico</x:v>
      </x:c>
    </x:row>
    <x:row r="194">
      <x:c r="A194" s="88" t="n">
        <x:v>2025</x:v>
      </x:c>
      <x:c r="B194" s="89" t="str">
        <x:v>EMO-2025-0043</x:v>
      </x:c>
      <x:c r="C194" s="106" t="n">
        <x:v>45962</x:v>
      </x:c>
      <x:c r="D194" s="89" t="str">
        <x:v>Ingreso</x:v>
      </x:c>
      <x:c r="E194" s="89" t="str">
        <x:v>915394880</x:v>
      </x:c>
      <x:c r="F194" s="89" t="str">
        <x:v>Miguel Tatiana Cárdenas Moreno</x:v>
      </x:c>
      <x:c r="G194" s="89" t="str">
        <x:v>Operador de medios tecnológicos</x:v>
      </x:c>
      <x:c r="H194" s="89" t="str">
        <x:v>Valledupar</x:v>
      </x:c>
      <x:c r="I194" s="89" t="str">
        <x:v>Medios Tecnológicos</x:v>
      </x:c>
      <x:c r="J194" s="89" t="str">
        <x:v>Colmédica Ocupacional</x:v>
      </x:c>
      <x:c r="K194" s="89" t="str">
        <x:v>Apto</x:v>
      </x:c>
      <x:c r="L194" s="89" t="str"/>
      <x:c r="M194" s="89" t="str">
        <x:v>Uso permanente de EPP</x:v>
      </x:c>
      <x:c r="N194" s="112" t="n">
        <x:v>12</x:v>
      </x:c>
      <x:c r="O194" s="106" t="n">
        <x:f>EDATE(C194,N194)</x:f>
        <x:v>46327</x:v>
      </x:c>
      <x:c r="P194" s="89" t="str">
        <x:v>H52.4 Presbicia</x:v>
      </x:c>
      <x:c r="Q194" s="89" t="str">
        <x:v>No</x:v>
      </x:c>
      <x:c r="R194" s="89" t="str"/>
      <x:c r="S194" s="106"/>
      <x:c r="T194" s="89" t="str">
        <x:f>IF(O194&lt;Instructivo!$B$4,"Vencido",IF(O194&lt;=Instructivo!$B$4+30,"Próximo a vencer","Vigente"))</x:f>
        <x:v>Vigente</x:v>
      </x:c>
      <x:c r="U194" s="89" t="str">
        <x:v>Analista SST</x:v>
      </x:c>
      <x:c r="V194" s="90" t="str">
        <x:v>Registro completo y soportado en historia ocupacional</x:v>
      </x:c>
    </x:row>
    <x:row r="195">
      <x:c r="A195" s="88" t="n">
        <x:v>2025</x:v>
      </x:c>
      <x:c r="B195" s="89" t="str">
        <x:v>EMO-2025-0044</x:v>
      </x:c>
      <x:c r="C195" s="106" t="n">
        <x:v>45748</x:v>
      </x:c>
      <x:c r="D195" s="89" t="str">
        <x:v>Periódico</x:v>
      </x:c>
      <x:c r="E195" s="89" t="str">
        <x:v>652651601</x:v>
      </x:c>
      <x:c r="F195" s="89" t="str">
        <x:v>Yulieth Ana Martínez Cárdenas</x:v>
      </x:c>
      <x:c r="G195" s="89" t="str">
        <x:v>Operador de medios tecnológicos</x:v>
      </x:c>
      <x:c r="H195" s="89" t="str">
        <x:v>Cúcuta</x:v>
      </x:c>
      <x:c r="I195" s="89" t="str">
        <x:v>Medios Tecnológicos</x:v>
      </x:c>
      <x:c r="J195" s="89" t="str">
        <x:v>Salud Integral Ocupacional</x:v>
      </x:c>
      <x:c r="K195" s="89" t="str">
        <x:v>Apto</x:v>
      </x:c>
      <x:c r="L195" s="89" t="str"/>
      <x:c r="M195" s="89" t="str">
        <x:v>Continuar controles periódicos anuales</x:v>
      </x:c>
      <x:c r="N195" s="112" t="n">
        <x:v>12</x:v>
      </x:c>
      <x:c r="O195" s="106" t="n">
        <x:f>EDATE(C195,N195)</x:f>
        <x:v>46113</x:v>
      </x:c>
      <x:c r="P195" s="89" t="str">
        <x:v>G56.0 Síndrome túnel carpiano</x:v>
      </x:c>
      <x:c r="Q195" s="89" t="str">
        <x:v>Sí</x:v>
      </x:c>
      <x:c r="R195" s="89" t="str">
        <x:v>Cardiometabólico</x:v>
      </x:c>
      <x:c r="S195" s="106" t="n">
        <x:v>45808</x:v>
      </x:c>
      <x:c r="T195" s="89" t="str">
        <x:f>IF(O195&lt;Instructivo!$B$4,"Vencido",IF(O195&lt;=Instructivo!$B$4+30,"Próximo a vencer","Vigente"))</x:f>
        <x:v>Vencido</x:v>
      </x:c>
      <x:c r="U195" s="89" t="str">
        <x:v>Líder SST</x:v>
      </x:c>
      <x:c r="V195" s="90" t="str">
        <x:v>Registro completo y soportado en historia ocupacional</x:v>
      </x:c>
    </x:row>
    <x:row r="196">
      <x:c r="A196" s="88" t="n">
        <x:v>2025</x:v>
      </x:c>
      <x:c r="B196" s="89" t="str">
        <x:v>EMO-2025-0045</x:v>
      </x:c>
      <x:c r="C196" s="106" t="n">
        <x:v>45762</x:v>
      </x:c>
      <x:c r="D196" s="89" t="str">
        <x:v>Reintegro</x:v>
      </x:c>
      <x:c r="E196" s="89" t="str">
        <x:v>446407373</x:v>
      </x:c>
      <x:c r="F196" s="89" t="str">
        <x:v>Kevin Luis Torres Cárdenas</x:v>
      </x:c>
      <x:c r="G196" s="89" t="str">
        <x:v>Operador de medios tecnológicos</x:v>
      </x:c>
      <x:c r="H196" s="89" t="str">
        <x:v>Cúcuta</x:v>
      </x:c>
      <x:c r="I196" s="89" t="str">
        <x:v>Medios Tecnológicos</x:v>
      </x:c>
      <x:c r="J196" s="89" t="str">
        <x:v>Centro Médico Laboral Andino</x:v>
      </x:c>
      <x:c r="K196" s="89" t="str">
        <x:v>Apto con restricciones</x:v>
      </x:c>
      <x:c r="L196" s="89" t="str">
        <x:v>Restricción para trabajo prolongado de pie</x:v>
      </x:c>
      <x:c r="M196" s="89" t="str">
        <x:v>Reubicación o ajuste razonable del puesto</x:v>
      </x:c>
      <x:c r="N196" s="112" t="n">
        <x:v>6</x:v>
      </x:c>
      <x:c r="O196" s="106" t="n">
        <x:f>EDATE(C196,N196)</x:f>
        <x:v>45945</x:v>
      </x:c>
      <x:c r="P196" s="89" t="str">
        <x:v>H52.4 Presbicia</x:v>
      </x:c>
      <x:c r="Q196" s="89" t="str">
        <x:v>Sí</x:v>
      </x:c>
      <x:c r="R196" s="89" t="str">
        <x:v>Optometría</x:v>
      </x:c>
      <x:c r="S196" s="106" t="n">
        <x:v>45822</x:v>
      </x:c>
      <x:c r="T196" s="89" t="str">
        <x:f>IF(O196&lt;Instructivo!$B$4,"Vencido",IF(O196&lt;=Instructivo!$B$4+30,"Próximo a vencer","Vigente"))</x:f>
        <x:v>Vencido</x:v>
      </x:c>
      <x:c r="U196" s="89" t="str">
        <x:v>Líder SST</x:v>
      </x:c>
      <x:c r="V196" s="90" t="str">
        <x:v>Registro completo y soportado en historia ocupacional</x:v>
      </x:c>
    </x:row>
    <x:row r="197">
      <x:c r="A197" s="88" t="n">
        <x:v>2025</x:v>
      </x:c>
      <x:c r="B197" s="89" t="str">
        <x:v>EMO-2025-0046</x:v>
      </x:c>
      <x:c r="C197" s="106" t="n">
        <x:v>45696</x:v>
      </x:c>
      <x:c r="D197" s="89" t="str">
        <x:v>Post-incapacidad</x:v>
      </x:c>
      <x:c r="E197" s="89" t="str">
        <x:v>169333700</x:v>
      </x:c>
      <x:c r="F197" s="89" t="str">
        <x:v>José Yulieth Ramírez Rojas</x:v>
      </x:c>
      <x:c r="G197" s="89" t="str">
        <x:v>Operador de medios tecnológicos</x:v>
      </x:c>
      <x:c r="H197" s="89" t="str">
        <x:v>Cúcuta</x:v>
      </x:c>
      <x:c r="I197" s="89" t="str">
        <x:v>Medios Tecnológicos</x:v>
      </x:c>
      <x:c r="J197" s="89" t="str">
        <x:v>Colmédica Ocupacional</x:v>
      </x:c>
      <x:c r="K197" s="89" t="str">
        <x:v>Apto</x:v>
      </x:c>
      <x:c r="L197" s="89" t="str"/>
      <x:c r="M197" s="89" t="str">
        <x:v>Participar en programas de vigilancia epidemiológica</x:v>
      </x:c>
      <x:c r="N197" s="112" t="n">
        <x:v>6</x:v>
      </x:c>
      <x:c r="O197" s="106" t="n">
        <x:f>EDATE(C197,N197)</x:f>
        <x:v>45877</x:v>
      </x:c>
      <x:c r="P197" s="89" t="str">
        <x:v>R51 Cefalea</x:v>
      </x:c>
      <x:c r="Q197" s="89" t="str">
        <x:v>No</x:v>
      </x:c>
      <x:c r="R197" s="89" t="str"/>
      <x:c r="S197" s="106"/>
      <x:c r="T197" s="89" t="str">
        <x:f>IF(O197&lt;Instructivo!$B$4,"Vencido",IF(O197&lt;=Instructivo!$B$4+30,"Próximo a vencer","Vigente"))</x:f>
        <x:v>Vencido</x:v>
      </x:c>
      <x:c r="U197" s="89" t="str">
        <x:v>Analista SST</x:v>
      </x:c>
      <x:c r="V197" s="90" t="str">
        <x:v>Se recomienda seguimiento por comité SST</x:v>
      </x:c>
    </x:row>
    <x:row r="198">
      <x:c r="A198" s="88" t="n">
        <x:v>2025</x:v>
      </x:c>
      <x:c r="B198" s="89" t="str">
        <x:v>EMO-2025-0047</x:v>
      </x:c>
      <x:c r="C198" s="106" t="n">
        <x:v>45882</x:v>
      </x:c>
      <x:c r="D198" s="89" t="str">
        <x:v>Periódico</x:v>
      </x:c>
      <x:c r="E198" s="89" t="str">
        <x:v>939874152</x:v>
      </x:c>
      <x:c r="F198" s="89" t="str">
        <x:v>Juan Luisa Díaz Martínez</x:v>
      </x:c>
      <x:c r="G198" s="89" t="str">
        <x:v>Técnico de mantenimiento</x:v>
      </x:c>
      <x:c r="H198" s="89" t="str">
        <x:v>Pamplona</x:v>
      </x:c>
      <x:c r="I198" s="89" t="str">
        <x:v>Infraestructura</x:v>
      </x:c>
      <x:c r="J198" s="89" t="str">
        <x:v>Salud Integral Ocupacional</x:v>
      </x:c>
      <x:c r="K198" s="89" t="str">
        <x:v>Apto con restricciones</x:v>
      </x:c>
      <x:c r="L198" s="89" t="str">
        <x:v>Control visual y corrección óptica permanente</x:v>
      </x:c>
      <x:c r="M198" s="89" t="str">
        <x:v>Capacitación ergonómica y seguimiento SST</x:v>
      </x:c>
      <x:c r="N198" s="112" t="n">
        <x:v>12</x:v>
      </x:c>
      <x:c r="O198" s="106" t="n">
        <x:f>EDATE(C198,N198)</x:f>
        <x:v>46247</x:v>
      </x:c>
      <x:c r="P198" s="89" t="str">
        <x:v>R51 Cefalea</x:v>
      </x:c>
      <x:c r="Q198" s="89" t="str">
        <x:v>Sí</x:v>
      </x:c>
      <x:c r="R198" s="89" t="str">
        <x:v>Ergonomía</x:v>
      </x:c>
      <x:c r="S198" s="106" t="n">
        <x:v>46002</x:v>
      </x:c>
      <x:c r="T198" s="89" t="str">
        <x:f>IF(O198&lt;Instructivo!$B$4,"Vencido",IF(O198&lt;=Instructivo!$B$4+30,"Próximo a vencer","Vigente"))</x:f>
        <x:v>Vigente</x:v>
      </x:c>
      <x:c r="U198" s="89" t="str">
        <x:v>Analista SST</x:v>
      </x:c>
      <x:c r="V198" s="90" t="str">
        <x:v>Caso priorizado por restricciones activas</x:v>
      </x:c>
    </x:row>
    <x:row r="199">
      <x:c r="A199" s="88" t="n">
        <x:v>2025</x:v>
      </x:c>
      <x:c r="B199" s="89" t="str">
        <x:v>EMO-2025-0048</x:v>
      </x:c>
      <x:c r="C199" s="106" t="n">
        <x:v>45852</x:v>
      </x:c>
      <x:c r="D199" s="89" t="str">
        <x:v>Post-incapacidad</x:v>
      </x:c>
      <x:c r="E199" s="89" t="str">
        <x:v>133211291</x:v>
      </x:c>
      <x:c r="F199" s="89" t="str">
        <x:v>Juan Diego Ramírez Parra</x:v>
      </x:c>
      <x:c r="G199" s="89" t="str">
        <x:v>Vigilante</x:v>
      </x:c>
      <x:c r="H199" s="89" t="str">
        <x:v>Cúcuta</x:v>
      </x:c>
      <x:c r="I199" s="89" t="str">
        <x:v>Operaciones</x:v>
      </x:c>
      <x:c r="J199" s="89" t="str">
        <x:v>IPS Ocupasalud SAS</x:v>
      </x:c>
      <x:c r="K199" s="89" t="str">
        <x:v>Apto</x:v>
      </x:c>
      <x:c r="L199" s="89" t="str"/>
      <x:c r="M199" s="89" t="str">
        <x:v>Uso permanente de EPP</x:v>
      </x:c>
      <x:c r="N199" s="112" t="n">
        <x:v>6</x:v>
      </x:c>
      <x:c r="O199" s="106" t="n">
        <x:f>EDATE(C199,N199)</x:f>
        <x:v>46036</x:v>
      </x:c>
      <x:c r="P199" s="89" t="str">
        <x:v>M75.1 Lesión de hombro</x:v>
      </x:c>
      <x:c r="Q199" s="89" t="str">
        <x:v>No</x:v>
      </x:c>
      <x:c r="R199" s="89" t="str"/>
      <x:c r="S199" s="106"/>
      <x:c r="T199" s="89" t="str">
        <x:f>IF(O199&lt;Instructivo!$B$4,"Vencido",IF(O199&lt;=Instructivo!$B$4+30,"Próximo a vencer","Vigente"))</x:f>
        <x:v>Vencido</x:v>
      </x:c>
      <x:c r="U199" s="89" t="str">
        <x:v>Líder SST</x:v>
      </x:c>
      <x:c r="V199" s="90" t="str">
        <x:v>Requiere revisión de puesto de trabajo</x:v>
      </x:c>
    </x:row>
    <x:row r="200">
      <x:c r="A200" s="88" t="n">
        <x:v>2025</x:v>
      </x:c>
      <x:c r="B200" s="89" t="str">
        <x:v>EMO-2025-0049</x:v>
      </x:c>
      <x:c r="C200" s="106" t="n">
        <x:v>45972</x:v>
      </x:c>
      <x:c r="D200" s="89" t="str">
        <x:v>Periódico</x:v>
      </x:c>
      <x:c r="E200" s="89" t="str">
        <x:v>561669324</x:v>
      </x:c>
      <x:c r="F200" s="89" t="str">
        <x:v>Diego Camilo Ramírez Martínez</x:v>
      </x:c>
      <x:c r="G200" s="89" t="str">
        <x:v>Vigilante</x:v>
      </x:c>
      <x:c r="H200" s="89" t="str">
        <x:v>Ocaña</x:v>
      </x:c>
      <x:c r="I200" s="89" t="str">
        <x:v>Operaciones</x:v>
      </x:c>
      <x:c r="J200" s="89" t="str">
        <x:v>Colmédica Ocupacional</x:v>
      </x:c>
      <x:c r="K200" s="89" t="str">
        <x:v>Apto</x:v>
      </x:c>
      <x:c r="L200" s="89" t="str"/>
      <x:c r="M200" s="89" t="str">
        <x:v>Continuar controles periódicos anuales</x:v>
      </x:c>
      <x:c r="N200" s="112" t="n">
        <x:v>12</x:v>
      </x:c>
      <x:c r="O200" s="106" t="n">
        <x:f>EDATE(C200,N200)</x:f>
        <x:v>46337</x:v>
      </x:c>
      <x:c r="P200" s="89" t="str">
        <x:v>M54.5 Lumbalgia</x:v>
      </x:c>
      <x:c r="Q200" s="89" t="str">
        <x:v>No</x:v>
      </x:c>
      <x:c r="R200" s="89" t="str"/>
      <x:c r="S200" s="106"/>
      <x:c r="T200" s="89" t="str">
        <x:f>IF(O200&lt;Instructivo!$B$4,"Vencido",IF(O200&lt;=Instructivo!$B$4+30,"Próximo a vencer","Vigente"))</x:f>
        <x:v>Vigente</x:v>
      </x:c>
      <x:c r="U200" s="89" t="str">
        <x:v>Analista SST</x:v>
      </x:c>
      <x:c r="V200" s="90" t="str">
        <x:v>Pendiente firma de concepto médico</x:v>
      </x:c>
    </x:row>
    <x:row r="201">
      <x:c r="A201" s="88" t="n">
        <x:v>2025</x:v>
      </x:c>
      <x:c r="B201" s="89" t="str">
        <x:v>EMO-2025-0050</x:v>
      </x:c>
      <x:c r="C201" s="106" t="n">
        <x:v>45744</x:v>
      </x:c>
      <x:c r="D201" s="89" t="str">
        <x:v>Post-exposición</x:v>
      </x:c>
      <x:c r="E201" s="89" t="str">
        <x:v>122561176</x:v>
      </x:c>
      <x:c r="F201" s="89" t="str">
        <x:v>José Kevin Suárez Ramírez</x:v>
      </x:c>
      <x:c r="G201" s="89" t="str">
        <x:v>Supervisor de puesto</x:v>
      </x:c>
      <x:c r="H201" s="89" t="str">
        <x:v>Barrancabermeja</x:v>
      </x:c>
      <x:c r="I201" s="89" t="str">
        <x:v>Operaciones</x:v>
      </x:c>
      <x:c r="J201" s="89" t="str">
        <x:v>Colmédica Ocupacional</x:v>
      </x:c>
      <x:c r="K201" s="89" t="str">
        <x:v>Apto</x:v>
      </x:c>
      <x:c r="L201" s="89" t="str"/>
      <x:c r="M201" s="89" t="str">
        <x:v>Continuar controles periódicos anuales</x:v>
      </x:c>
      <x:c r="N201" s="112" t="n">
        <x:v>12</x:v>
      </x:c>
      <x:c r="O201" s="106" t="n">
        <x:f>EDATE(C201,N201)</x:f>
        <x:v>46109</x:v>
      </x:c>
      <x:c r="P201" s="89" t="str">
        <x:v>G56.0 Síndrome túnel carpiano</x:v>
      </x:c>
      <x:c r="Q201" s="89" t="str">
        <x:v>No</x:v>
      </x:c>
      <x:c r="R201" s="89" t="str"/>
      <x:c r="S201" s="106"/>
      <x:c r="T201" s="89" t="str">
        <x:f>IF(O201&lt;Instructivo!$B$4,"Vencido",IF(O201&lt;=Instructivo!$B$4+30,"Próximo a vencer","Vigente"))</x:f>
        <x:v>Vencido</x:v>
      </x:c>
      <x:c r="U201" s="89" t="str">
        <x:v>Líder SST</x:v>
      </x:c>
      <x:c r="V201" s="90" t="str">
        <x:v>Requiere revisión de puesto de trabajo</x:v>
      </x:c>
    </x:row>
    <x:row r="202">
      <x:c r="A202" s="88" t="n">
        <x:v>2025</x:v>
      </x:c>
      <x:c r="B202" s="89" t="str">
        <x:v>EMO-2025-0051</x:v>
      </x:c>
      <x:c r="C202" s="106" t="n">
        <x:v>45693</x:v>
      </x:c>
      <x:c r="D202" s="89" t="str">
        <x:v>Periódico</x:v>
      </x:c>
      <x:c r="E202" s="89" t="str">
        <x:v>464934149</x:v>
      </x:c>
      <x:c r="F202" s="89" t="str">
        <x:v>Julián Felipe Parra Rodríguez</x:v>
      </x:c>
      <x:c r="G202" s="89" t="str">
        <x:v>Vigilante</x:v>
      </x:c>
      <x:c r="H202" s="89" t="str">
        <x:v>Cúcuta</x:v>
      </x:c>
      <x:c r="I202" s="89" t="str">
        <x:v>Operaciones</x:v>
      </x:c>
      <x:c r="J202" s="89" t="str">
        <x:v>IPS Prevencionar</x:v>
      </x:c>
      <x:c r="K202" s="89" t="str">
        <x:v>Apto</x:v>
      </x:c>
      <x:c r="L202" s="89" t="str"/>
      <x:c r="M202" s="89" t="str">
        <x:v>Continuar controles periódicos anuales</x:v>
      </x:c>
      <x:c r="N202" s="112" t="n">
        <x:v>12</x:v>
      </x:c>
      <x:c r="O202" s="106" t="n">
        <x:f>EDATE(C202,N202)</x:f>
        <x:v>46058</x:v>
      </x:c>
      <x:c r="P202" s="89" t="str">
        <x:v>G56.0 Síndrome túnel carpiano</x:v>
      </x:c>
      <x:c r="Q202" s="89" t="str">
        <x:v>No</x:v>
      </x:c>
      <x:c r="R202" s="89" t="str"/>
      <x:c r="S202" s="106"/>
      <x:c r="T202" s="89" t="str">
        <x:f>IF(O202&lt;Instructivo!$B$4,"Vencido",IF(O202&lt;=Instructivo!$B$4+30,"Próximo a vencer","Vigente"))</x:f>
        <x:v>Vencido</x:v>
      </x:c>
      <x:c r="U202" s="89" t="str">
        <x:v>Médico Ocupacional</x:v>
      </x:c>
      <x:c r="V202" s="90" t="str">
        <x:v>Registro completo y soportado en historia ocupacional</x:v>
      </x:c>
    </x:row>
    <x:row r="203">
      <x:c r="A203" s="88" t="n">
        <x:v>2025</x:v>
      </x:c>
      <x:c r="B203" s="89" t="str">
        <x:v>EMO-2025-0052</x:v>
      </x:c>
      <x:c r="C203" s="106" t="n">
        <x:v>45911</x:v>
      </x:c>
      <x:c r="D203" s="89" t="str">
        <x:v>Post-incapacidad</x:v>
      </x:c>
      <x:c r="E203" s="89" t="str">
        <x:v>534415796</x:v>
      </x:c>
      <x:c r="F203" s="89" t="str">
        <x:v>Luisa Ana Torres Castro</x:v>
      </x:c>
      <x:c r="G203" s="89" t="str">
        <x:v>Vigilante</x:v>
      </x:c>
      <x:c r="H203" s="89" t="str">
        <x:v>Cúcuta</x:v>
      </x:c>
      <x:c r="I203" s="89" t="str">
        <x:v>Operaciones</x:v>
      </x:c>
      <x:c r="J203" s="89" t="str">
        <x:v>Centro Médico Laboral Andino</x:v>
      </x:c>
      <x:c r="K203" s="89" t="str">
        <x:v>Apto con restricciones</x:v>
      </x:c>
      <x:c r="L203" s="89" t="str">
        <x:v>Restricción para trabajo prolongado de pie</x:v>
      </x:c>
      <x:c r="M203" s="89" t="str">
        <x:v>Control por optometría/medicina general</x:v>
      </x:c>
      <x:c r="N203" s="112" t="n">
        <x:v>6</x:v>
      </x:c>
      <x:c r="O203" s="106" t="n">
        <x:f>EDATE(C203,N203)</x:f>
        <x:v>46092</x:v>
      </x:c>
      <x:c r="P203" s="89" t="str">
        <x:v>H52.4 Presbicia</x:v>
      </x:c>
      <x:c r="Q203" s="89" t="str">
        <x:v>Sí</x:v>
      </x:c>
      <x:c r="R203" s="89" t="str">
        <x:v>Medicina laboral</x:v>
      </x:c>
      <x:c r="S203" s="106" t="n">
        <x:v>46001</x:v>
      </x:c>
      <x:c r="T203" s="89" t="str">
        <x:f>IF(O203&lt;Instructivo!$B$4,"Vencido",IF(O203&lt;=Instructivo!$B$4+30,"Próximo a vencer","Vigente"))</x:f>
        <x:v>Vencido</x:v>
      </x:c>
      <x:c r="U203" s="89" t="str">
        <x:v>Médico Ocupacional</x:v>
      </x:c>
      <x:c r="V203" s="90" t="str">
        <x:v>Caso priorizado por restricciones activas</x:v>
      </x:c>
    </x:row>
    <x:row r="204">
      <x:c r="A204" s="88" t="n">
        <x:v>2025</x:v>
      </x:c>
      <x:c r="B204" s="89" t="str">
        <x:v>EMO-2025-0053</x:v>
      </x:c>
      <x:c r="C204" s="106" t="n">
        <x:v>45676</x:v>
      </x:c>
      <x:c r="D204" s="89" t="str">
        <x:v>Periódico</x:v>
      </x:c>
      <x:c r="E204" s="89" t="str">
        <x:v>771009594</x:v>
      </x:c>
      <x:c r="F204" s="89" t="str">
        <x:v>Paola Felipe Castro Pérez</x:v>
      </x:c>
      <x:c r="G204" s="89" t="str">
        <x:v>Vigilante</x:v>
      </x:c>
      <x:c r="H204" s="89" t="str">
        <x:v>Cúcuta</x:v>
      </x:c>
      <x:c r="I204" s="89" t="str">
        <x:v>Operaciones</x:v>
      </x:c>
      <x:c r="J204" s="89" t="str">
        <x:v>IPS Ocupasalud SAS</x:v>
      </x:c>
      <x:c r="K204" s="89" t="str">
        <x:v>Apto</x:v>
      </x:c>
      <x:c r="L204" s="89" t="str"/>
      <x:c r="M204" s="89" t="str">
        <x:v>Uso permanente de EPP</x:v>
      </x:c>
      <x:c r="N204" s="112" t="n">
        <x:v>12</x:v>
      </x:c>
      <x:c r="O204" s="106" t="n">
        <x:f>EDATE(C204,N204)</x:f>
        <x:v>46041</x:v>
      </x:c>
      <x:c r="P204" s="89" t="str">
        <x:v>R51 Cefalea</x:v>
      </x:c>
      <x:c r="Q204" s="89" t="str">
        <x:v>No</x:v>
      </x:c>
      <x:c r="R204" s="89" t="str"/>
      <x:c r="S204" s="106"/>
      <x:c r="T204" s="89" t="str">
        <x:f>IF(O204&lt;Instructivo!$B$4,"Vencido",IF(O204&lt;=Instructivo!$B$4+30,"Próximo a vencer","Vigente"))</x:f>
        <x:v>Vencido</x:v>
      </x:c>
      <x:c r="U204" s="89" t="str">
        <x:v>Analista SST</x:v>
      </x:c>
      <x:c r="V204" s="90" t="str">
        <x:v>Registro completo y soportado en historia ocupacional</x:v>
      </x:c>
    </x:row>
    <x:row r="205">
      <x:c r="A205" s="88" t="n">
        <x:v>2025</x:v>
      </x:c>
      <x:c r="B205" s="89" t="str">
        <x:v>EMO-2025-0054</x:v>
      </x:c>
      <x:c r="C205" s="106" t="n">
        <x:v>45697</x:v>
      </x:c>
      <x:c r="D205" s="89" t="str">
        <x:v>Ingreso</x:v>
      </x:c>
      <x:c r="E205" s="89" t="str">
        <x:v>971899411</x:v>
      </x:c>
      <x:c r="F205" s="89" t="str">
        <x:v>Jhon Jhon Díaz Rodríguez</x:v>
      </x:c>
      <x:c r="G205" s="89" t="str">
        <x:v>Supervisor motorizado</x:v>
      </x:c>
      <x:c r="H205" s="89" t="str">
        <x:v>Pamplona</x:v>
      </x:c>
      <x:c r="I205" s="89" t="str">
        <x:v>Operaciones</x:v>
      </x:c>
      <x:c r="J205" s="89" t="str">
        <x:v>IPS Prevencionar</x:v>
      </x:c>
      <x:c r="K205" s="89" t="str">
        <x:v>Apto</x:v>
      </x:c>
      <x:c r="L205" s="89" t="str"/>
      <x:c r="M205" s="89" t="str">
        <x:v>Continuar controles periódicos anuales</x:v>
      </x:c>
      <x:c r="N205" s="112" t="n">
        <x:v>12</x:v>
      </x:c>
      <x:c r="O205" s="106" t="n">
        <x:f>EDATE(C205,N205)</x:f>
        <x:v>46062</x:v>
      </x:c>
      <x:c r="P205" s="89" t="str">
        <x:v>Z00.0 Examen general</x:v>
      </x:c>
      <x:c r="Q205" s="89" t="str">
        <x:v>No</x:v>
      </x:c>
      <x:c r="R205" s="89" t="str"/>
      <x:c r="S205" s="106"/>
      <x:c r="T205" s="89" t="str">
        <x:f>IF(O205&lt;Instructivo!$B$4,"Vencido",IF(O205&lt;=Instructivo!$B$4+30,"Próximo a vencer","Vigente"))</x:f>
        <x:v>Vencido</x:v>
      </x:c>
      <x:c r="U205" s="89" t="str">
        <x:v>Médico Ocupacional</x:v>
      </x:c>
      <x:c r="V205" s="90" t="str">
        <x:v>Caso priorizado por restricciones activas</x:v>
      </x:c>
    </x:row>
    <x:row r="206">
      <x:c r="A206" s="88" t="n">
        <x:v>2025</x:v>
      </x:c>
      <x:c r="B206" s="89" t="str">
        <x:v>EMO-2025-0055</x:v>
      </x:c>
      <x:c r="C206" s="106" t="n">
        <x:v>45881</x:v>
      </x:c>
      <x:c r="D206" s="89" t="str">
        <x:v>Periódico</x:v>
      </x:c>
      <x:c r="E206" s="89" t="str">
        <x:v>534415796</x:v>
      </x:c>
      <x:c r="F206" s="89" t="str">
        <x:v>Luisa Ana Torres Castro</x:v>
      </x:c>
      <x:c r="G206" s="89" t="str">
        <x:v>Vigilante</x:v>
      </x:c>
      <x:c r="H206" s="89" t="str">
        <x:v>Cúcuta</x:v>
      </x:c>
      <x:c r="I206" s="89" t="str">
        <x:v>Operaciones</x:v>
      </x:c>
      <x:c r="J206" s="89" t="str">
        <x:v>IPS Prevencionar</x:v>
      </x:c>
      <x:c r="K206" s="89" t="str">
        <x:v>Apto</x:v>
      </x:c>
      <x:c r="L206" s="89" t="str"/>
      <x:c r="M206" s="89" t="str">
        <x:v>Continuar controles periódicos anuales</x:v>
      </x:c>
      <x:c r="N206" s="112" t="n">
        <x:v>12</x:v>
      </x:c>
      <x:c r="O206" s="106" t="n">
        <x:f>EDATE(C206,N206)</x:f>
        <x:v>46246</x:v>
      </x:c>
      <x:c r="P206" s="89" t="str">
        <x:v>E66.9 Obesidad</x:v>
      </x:c>
      <x:c r="Q206" s="89" t="str">
        <x:v>No</x:v>
      </x:c>
      <x:c r="R206" s="89" t="str"/>
      <x:c r="S206" s="106"/>
      <x:c r="T206" s="89" t="str">
        <x:f>IF(O206&lt;Instructivo!$B$4,"Vencido",IF(O206&lt;=Instructivo!$B$4+30,"Próximo a vencer","Vigente"))</x:f>
        <x:v>Vigente</x:v>
      </x:c>
      <x:c r="U206" s="89" t="str">
        <x:v>Coordinador de Talento Humano</x:v>
      </x:c>
      <x:c r="V206" s="90" t="str">
        <x:v>Pendiente firma de concepto médico</x:v>
      </x:c>
    </x:row>
    <x:row r="207">
      <x:c r="A207" s="88" t="n">
        <x:v>2025</x:v>
      </x:c>
      <x:c r="B207" s="89" t="str">
        <x:v>EMO-2025-0056</x:v>
      </x:c>
      <x:c r="C207" s="106" t="n">
        <x:v>45684</x:v>
      </x:c>
      <x:c r="D207" s="89" t="str">
        <x:v>Periódico</x:v>
      </x:c>
      <x:c r="E207" s="89" t="str">
        <x:v>544761823</x:v>
      </x:c>
      <x:c r="F207" s="89" t="str">
        <x:v>Ana Luis Gómez Pérez</x:v>
      </x:c>
      <x:c r="G207" s="89" t="str">
        <x:v>Vigilante</x:v>
      </x:c>
      <x:c r="H207" s="89" t="str">
        <x:v>Pamplona</x:v>
      </x:c>
      <x:c r="I207" s="89" t="str">
        <x:v>Operaciones</x:v>
      </x:c>
      <x:c r="J207" s="89" t="str">
        <x:v>IPS Ocupasalud SAS</x:v>
      </x:c>
      <x:c r="K207" s="89" t="str">
        <x:v>Apto</x:v>
      </x:c>
      <x:c r="L207" s="89" t="str"/>
      <x:c r="M207" s="89" t="str">
        <x:v>Participar en programas de vigilancia epidemiológica</x:v>
      </x:c>
      <x:c r="N207" s="112" t="n">
        <x:v>12</x:v>
      </x:c>
      <x:c r="O207" s="106" t="n">
        <x:f>EDATE(C207,N207)</x:f>
        <x:v>46049</x:v>
      </x:c>
      <x:c r="P207" s="89" t="str">
        <x:v>M75.1 Lesión de hombro</x:v>
      </x:c>
      <x:c r="Q207" s="89" t="str">
        <x:v>No</x:v>
      </x:c>
      <x:c r="R207" s="89" t="str"/>
      <x:c r="S207" s="106"/>
      <x:c r="T207" s="89" t="str">
        <x:f>IF(O207&lt;Instructivo!$B$4,"Vencido",IF(O207&lt;=Instructivo!$B$4+30,"Próximo a vencer","Vigente"))</x:f>
        <x:v>Vencido</x:v>
      </x:c>
      <x:c r="U207" s="89" t="str">
        <x:v>Líder SST</x:v>
      </x:c>
      <x:c r="V207" s="90" t="str">
        <x:v>Se recomienda seguimiento por comité SST</x:v>
      </x:c>
    </x:row>
    <x:row r="208">
      <x:c r="A208" s="88" t="n">
        <x:v>2025</x:v>
      </x:c>
      <x:c r="B208" s="89" t="str">
        <x:v>EMO-2025-0057</x:v>
      </x:c>
      <x:c r="C208" s="106" t="n">
        <x:v>45979</x:v>
      </x:c>
      <x:c r="D208" s="89" t="str">
        <x:v>Post-incapacidad</x:v>
      </x:c>
      <x:c r="E208" s="89" t="str">
        <x:v>458072684</x:v>
      </x:c>
      <x:c r="F208" s="89" t="str">
        <x:v>Julián Luis Castro Pérez</x:v>
      </x:c>
      <x:c r="G208" s="89" t="str">
        <x:v>Auxiliar administrativo</x:v>
      </x:c>
      <x:c r="H208" s="89" t="str">
        <x:v>Bogotá</x:v>
      </x:c>
      <x:c r="I208" s="89" t="str">
        <x:v>Administrativa</x:v>
      </x:c>
      <x:c r="J208" s="89" t="str">
        <x:v>Colmédica Ocupacional</x:v>
      </x:c>
      <x:c r="K208" s="89" t="str">
        <x:v>Apto</x:v>
      </x:c>
      <x:c r="L208" s="89" t="str"/>
      <x:c r="M208" s="89" t="str">
        <x:v>Mantener estilos de vida saludable</x:v>
      </x:c>
      <x:c r="N208" s="112" t="n">
        <x:v>6</x:v>
      </x:c>
      <x:c r="O208" s="106" t="n">
        <x:f>EDATE(C208,N208)</x:f>
        <x:v>46160</x:v>
      </x:c>
      <x:c r="P208" s="89" t="str">
        <x:v>M54.5 Lumbalgia</x:v>
      </x:c>
      <x:c r="Q208" s="89" t="str">
        <x:v>Sí</x:v>
      </x:c>
      <x:c r="R208" s="89" t="str">
        <x:v>Ergonomía</x:v>
      </x:c>
      <x:c r="S208" s="106" t="n">
        <x:v>46039</x:v>
      </x:c>
      <x:c r="T208" s="89" t="str">
        <x:f>IF(O208&lt;Instructivo!$B$4,"Vencido",IF(O208&lt;=Instructivo!$B$4+30,"Próximo a vencer","Vigente"))</x:f>
        <x:v>Vencido</x:v>
      </x:c>
      <x:c r="U208" s="89" t="str">
        <x:v>Médico Ocupacional</x:v>
      </x:c>
      <x:c r="V208" s="90" t="str">
        <x:v>Requiere revisión de puesto de trabajo</x:v>
      </x:c>
    </x:row>
    <x:row r="209">
      <x:c r="A209" s="88" t="n">
        <x:v>2025</x:v>
      </x:c>
      <x:c r="B209" s="89" t="str">
        <x:v>EMO-2025-0058</x:v>
      </x:c>
      <x:c r="C209" s="106" t="n">
        <x:v>45862</x:v>
      </x:c>
      <x:c r="D209" s="89" t="str">
        <x:v>Periódico</x:v>
      </x:c>
      <x:c r="E209" s="89" t="str">
        <x:v>662642635</x:v>
      </x:c>
      <x:c r="F209" s="89" t="str">
        <x:v>Carlos Ana Pérez Rodríguez</x:v>
      </x:c>
      <x:c r="G209" s="89" t="str">
        <x:v>Conductor</x:v>
      </x:c>
      <x:c r="H209" s="89" t="str">
        <x:v>Ábrego</x:v>
      </x:c>
      <x:c r="I209" s="89" t="str">
        <x:v>Logística</x:v>
      </x:c>
      <x:c r="J209" s="89" t="str">
        <x:v>Colmédica Ocupacional</x:v>
      </x:c>
      <x:c r="K209" s="89" t="str">
        <x:v>Apto</x:v>
      </x:c>
      <x:c r="L209" s="89" t="str"/>
      <x:c r="M209" s="89" t="str">
        <x:v>Uso permanente de EPP</x:v>
      </x:c>
      <x:c r="N209" s="112" t="n">
        <x:v>12</x:v>
      </x:c>
      <x:c r="O209" s="106" t="n">
        <x:f>EDATE(C209,N209)</x:f>
        <x:v>46227</x:v>
      </x:c>
      <x:c r="P209" s="89" t="str">
        <x:v>M75.1 Lesión de hombro</x:v>
      </x:c>
      <x:c r="Q209" s="89" t="str">
        <x:v>Sí</x:v>
      </x:c>
      <x:c r="R209" s="89" t="str">
        <x:v>Cardiometabólico</x:v>
      </x:c>
      <x:c r="S209" s="106" t="n">
        <x:v>45952</x:v>
      </x:c>
      <x:c r="T209" s="89" t="str">
        <x:f>IF(O209&lt;Instructivo!$B$4,"Vencido",IF(O209&lt;=Instructivo!$B$4+30,"Próximo a vencer","Vigente"))</x:f>
        <x:v>Vigente</x:v>
      </x:c>
      <x:c r="U209" s="89" t="str">
        <x:v>Coordinador de Talento Humano</x:v>
      </x:c>
      <x:c r="V209" s="90" t="str">
        <x:v>Pendiente firma de concepto médico</x:v>
      </x:c>
    </x:row>
    <x:row r="210">
      <x:c r="A210" s="88" t="n">
        <x:v>2025</x:v>
      </x:c>
      <x:c r="B210" s="89" t="str">
        <x:v>EMO-2025-0059</x:v>
      </x:c>
      <x:c r="C210" s="106" t="n">
        <x:v>45793</x:v>
      </x:c>
      <x:c r="D210" s="89" t="str">
        <x:v>Periódico</x:v>
      </x:c>
      <x:c r="E210" s="89" t="str">
        <x:v>623592974</x:v>
      </x:c>
      <x:c r="F210" s="89" t="str">
        <x:v>Kevin Miguel Hernández Moreno</x:v>
      </x:c>
      <x:c r="G210" s="89" t="str">
        <x:v>Supervisor motorizado</x:v>
      </x:c>
      <x:c r="H210" s="89" t="str">
        <x:v>Cúcuta</x:v>
      </x:c>
      <x:c r="I210" s="89" t="str">
        <x:v>Operaciones</x:v>
      </x:c>
      <x:c r="J210" s="89" t="str">
        <x:v>Salud Integral Ocupacional</x:v>
      </x:c>
      <x:c r="K210" s="89" t="str">
        <x:v>Apto</x:v>
      </x:c>
      <x:c r="L210" s="89" t="str"/>
      <x:c r="M210" s="89" t="str">
        <x:v>Uso permanente de EPP</x:v>
      </x:c>
      <x:c r="N210" s="112" t="n">
        <x:v>12</x:v>
      </x:c>
      <x:c r="O210" s="106" t="n">
        <x:f>EDATE(C210,N210)</x:f>
        <x:v>46158</x:v>
      </x:c>
      <x:c r="P210" s="89" t="str">
        <x:v>Z00.0 Examen general</x:v>
      </x:c>
      <x:c r="Q210" s="89" t="str">
        <x:v>No</x:v>
      </x:c>
      <x:c r="R210" s="89" t="str"/>
      <x:c r="S210" s="106"/>
      <x:c r="T210" s="89" t="str">
        <x:f>IF(O210&lt;Instructivo!$B$4,"Vencido",IF(O210&lt;=Instructivo!$B$4+30,"Próximo a vencer","Vigente"))</x:f>
        <x:v>Vencido</x:v>
      </x:c>
      <x:c r="U210" s="89" t="str">
        <x:v>Analista SST</x:v>
      </x:c>
      <x:c r="V210" s="90" t="str">
        <x:v>Se recomienda seguimiento por comité SST</x:v>
      </x:c>
    </x:row>
    <x:row r="211">
      <x:c r="A211" s="88" t="n">
        <x:v>2025</x:v>
      </x:c>
      <x:c r="B211" s="89" t="str">
        <x:v>EMO-2025-0060</x:v>
      </x:c>
      <x:c r="C211" s="106" t="n">
        <x:v>45835</x:v>
      </x:c>
      <x:c r="D211" s="89" t="str">
        <x:v>Ingreso</x:v>
      </x:c>
      <x:c r="E211" s="89" t="str">
        <x:v>181527021</x:v>
      </x:c>
      <x:c r="F211" s="89" t="str">
        <x:v>Felipe Luis Ramírez Torres</x:v>
      </x:c>
      <x:c r="G211" s="89" t="str">
        <x:v>Vigilante</x:v>
      </x:c>
      <x:c r="H211" s="89" t="str">
        <x:v>Arauca</x:v>
      </x:c>
      <x:c r="I211" s="89" t="str">
        <x:v>Operaciones</x:v>
      </x:c>
      <x:c r="J211" s="89" t="str">
        <x:v>Salud Integral Ocupacional</x:v>
      </x:c>
      <x:c r="K211" s="89" t="str">
        <x:v>Apto con restricciones</x:v>
      </x:c>
      <x:c r="L211" s="89" t="str">
        <x:v>Control visual y corrección óptica permanente</x:v>
      </x:c>
      <x:c r="M211" s="89" t="str">
        <x:v>Reubicación o ajuste razonable del puesto</x:v>
      </x:c>
      <x:c r="N211" s="112" t="n">
        <x:v>12</x:v>
      </x:c>
      <x:c r="O211" s="106" t="n">
        <x:f>EDATE(C211,N211)</x:f>
        <x:v>46200</x:v>
      </x:c>
      <x:c r="P211" s="89" t="str">
        <x:v>M75.1 Lesión de hombro</x:v>
      </x:c>
      <x:c r="Q211" s="89" t="str">
        <x:v>Sí</x:v>
      </x:c>
      <x:c r="R211" s="89" t="str">
        <x:v>Cardiometabólico</x:v>
      </x:c>
      <x:c r="S211" s="106" t="n">
        <x:v>45895</x:v>
      </x:c>
      <x:c r="T211" s="89" t="str">
        <x:f>IF(O211&lt;Instructivo!$B$4,"Vencido",IF(O211&lt;=Instructivo!$B$4+30,"Próximo a vencer","Vigente"))</x:f>
        <x:v>Próximo a vencer</x:v>
      </x:c>
      <x:c r="U211" s="89" t="str">
        <x:v>Médico Ocupacional</x:v>
      </x:c>
      <x:c r="V211" s="90" t="str">
        <x:v>Sin novedades adicionales</x:v>
      </x:c>
    </x:row>
    <x:row r="212">
      <x:c r="A212" s="88" t="n">
        <x:v>2025</x:v>
      </x:c>
      <x:c r="B212" s="89" t="str">
        <x:v>EMO-2025-0061</x:v>
      </x:c>
      <x:c r="C212" s="106" t="n">
        <x:v>45902</x:v>
      </x:c>
      <x:c r="D212" s="89" t="str">
        <x:v>Post-incapacidad</x:v>
      </x:c>
      <x:c r="E212" s="89" t="str">
        <x:v>562666893</x:v>
      </x:c>
      <x:c r="F212" s="89" t="str">
        <x:v>Luisa Diego Rojas Gómez</x:v>
      </x:c>
      <x:c r="G212" s="89" t="str">
        <x:v>Conductor</x:v>
      </x:c>
      <x:c r="H212" s="89" t="str">
        <x:v>Ocaña</x:v>
      </x:c>
      <x:c r="I212" s="89" t="str">
        <x:v>Logística</x:v>
      </x:c>
      <x:c r="J212" s="89" t="str">
        <x:v>IPS Ocupasalud SAS</x:v>
      </x:c>
      <x:c r="K212" s="89" t="str">
        <x:v>Apto</x:v>
      </x:c>
      <x:c r="L212" s="89" t="str"/>
      <x:c r="M212" s="89" t="str">
        <x:v>Participar en programas de vigilancia epidemiológica</x:v>
      </x:c>
      <x:c r="N212" s="112" t="n">
        <x:v>6</x:v>
      </x:c>
      <x:c r="O212" s="106" t="n">
        <x:f>EDATE(C212,N212)</x:f>
        <x:v>46083</x:v>
      </x:c>
      <x:c r="P212" s="89" t="str">
        <x:v>H52.4 Presbicia</x:v>
      </x:c>
      <x:c r="Q212" s="89" t="str">
        <x:v>No</x:v>
      </x:c>
      <x:c r="R212" s="89" t="str"/>
      <x:c r="S212" s="106"/>
      <x:c r="T212" s="89" t="str">
        <x:f>IF(O212&lt;Instructivo!$B$4,"Vencido",IF(O212&lt;=Instructivo!$B$4+30,"Próximo a vencer","Vigente"))</x:f>
        <x:v>Vencido</x:v>
      </x:c>
      <x:c r="U212" s="89" t="str">
        <x:v>Líder SST</x:v>
      </x:c>
      <x:c r="V212" s="90" t="str">
        <x:v>Requiere revisión de puesto de trabajo</x:v>
      </x:c>
    </x:row>
    <x:row r="213">
      <x:c r="A213" s="88" t="n">
        <x:v>2025</x:v>
      </x:c>
      <x:c r="B213" s="89" t="str">
        <x:v>EMO-2025-0062</x:v>
      </x:c>
      <x:c r="C213" s="106" t="n">
        <x:v>45744</x:v>
      </x:c>
      <x:c r="D213" s="89" t="str">
        <x:v>Ingreso</x:v>
      </x:c>
      <x:c r="E213" s="89" t="str">
        <x:v>248741810</x:v>
      </x:c>
      <x:c r="F213" s="89" t="str">
        <x:v>Andrés Ana López Castro</x:v>
      </x:c>
      <x:c r="G213" s="89" t="str">
        <x:v>Técnico de mantenimiento</x:v>
      </x:c>
      <x:c r="H213" s="89" t="str">
        <x:v>Ábrego</x:v>
      </x:c>
      <x:c r="I213" s="89" t="str">
        <x:v>Infraestructura</x:v>
      </x:c>
      <x:c r="J213" s="89" t="str">
        <x:v>IPS Prevencionar</x:v>
      </x:c>
      <x:c r="K213" s="89" t="str">
        <x:v>No apto</x:v>
      </x:c>
      <x:c r="L213" s="89" t="str">
        <x:v>Pendiente concepto especialista</x:v>
      </x:c>
      <x:c r="M213" s="89" t="str">
        <x:v>Definir reubicación temporal</x:v>
      </x:c>
      <x:c r="N213" s="112" t="n">
        <x:v>12</x:v>
      </x:c>
      <x:c r="O213" s="106" t="n">
        <x:f>EDATE(C213,N213)</x:f>
        <x:v>46109</x:v>
      </x:c>
      <x:c r="P213" s="89" t="str">
        <x:v>I10 Hipertensión esencial</x:v>
      </x:c>
      <x:c r="Q213" s="89" t="str">
        <x:v>Sí</x:v>
      </x:c>
      <x:c r="R213" s="89" t="str">
        <x:v>Medicina laboral</x:v>
      </x:c>
      <x:c r="S213" s="106" t="n">
        <x:v>45834</x:v>
      </x:c>
      <x:c r="T213" s="89" t="str">
        <x:f>IF(O213&lt;Instructivo!$B$4,"Vencido",IF(O213&lt;=Instructivo!$B$4+30,"Próximo a vencer","Vigente"))</x:f>
        <x:v>Vencido</x:v>
      </x:c>
      <x:c r="U213" s="89" t="str">
        <x:v>Analista SST</x:v>
      </x:c>
      <x:c r="V213" s="90" t="str">
        <x:v>Registro completo y soportado en historia ocupacional</x:v>
      </x:c>
    </x:row>
    <x:row r="214">
      <x:c r="A214" s="88" t="n">
        <x:v>2025</x:v>
      </x:c>
      <x:c r="B214" s="89" t="str">
        <x:v>EMO-2025-0063</x:v>
      </x:c>
      <x:c r="C214" s="106" t="n">
        <x:v>45693</x:v>
      </x:c>
      <x:c r="D214" s="89" t="str">
        <x:v>Periódico</x:v>
      </x:c>
      <x:c r="E214" s="89" t="str">
        <x:v>852829622</x:v>
      </x:c>
      <x:c r="F214" s="89" t="str">
        <x:v>Álvaro María Ramírez Gómez</x:v>
      </x:c>
      <x:c r="G214" s="89" t="str">
        <x:v>Vigilante</x:v>
      </x:c>
      <x:c r="H214" s="89" t="str">
        <x:v>Bogotá</x:v>
      </x:c>
      <x:c r="I214" s="89" t="str">
        <x:v>Operaciones</x:v>
      </x:c>
      <x:c r="J214" s="89" t="str">
        <x:v>Salud Integral Ocupacional</x:v>
      </x:c>
      <x:c r="K214" s="89" t="str">
        <x:v>Apto</x:v>
      </x:c>
      <x:c r="L214" s="89" t="str"/>
      <x:c r="M214" s="89" t="str">
        <x:v>Participar en programas de vigilancia epidemiológica</x:v>
      </x:c>
      <x:c r="N214" s="112" t="n">
        <x:v>12</x:v>
      </x:c>
      <x:c r="O214" s="106" t="n">
        <x:f>EDATE(C214,N214)</x:f>
        <x:v>46058</x:v>
      </x:c>
      <x:c r="P214" s="89" t="str">
        <x:v>G56.0 Síndrome túnel carpiano</x:v>
      </x:c>
      <x:c r="Q214" s="89" t="str">
        <x:v>No</x:v>
      </x:c>
      <x:c r="R214" s="89" t="str"/>
      <x:c r="S214" s="106"/>
      <x:c r="T214" s="89" t="str">
        <x:f>IF(O214&lt;Instructivo!$B$4,"Vencido",IF(O214&lt;=Instructivo!$B$4+30,"Próximo a vencer","Vigente"))</x:f>
        <x:v>Vencido</x:v>
      </x:c>
      <x:c r="U214" s="89" t="str">
        <x:v>Líder SST</x:v>
      </x:c>
      <x:c r="V214" s="90" t="str">
        <x:v>Se recomienda seguimiento por comité SST</x:v>
      </x:c>
    </x:row>
    <x:row r="215">
      <x:c r="A215" s="88" t="n">
        <x:v>2025</x:v>
      </x:c>
      <x:c r="B215" s="89" t="str">
        <x:v>EMO-2025-0064</x:v>
      </x:c>
      <x:c r="C215" s="106" t="n">
        <x:v>45873</x:v>
      </x:c>
      <x:c r="D215" s="89" t="str">
        <x:v>Periódico</x:v>
      </x:c>
      <x:c r="E215" s="89" t="str">
        <x:v>702126310</x:v>
      </x:c>
      <x:c r="F215" s="89" t="str">
        <x:v>Luis Luis Rodríguez Moreno</x:v>
      </x:c>
      <x:c r="G215" s="89" t="str">
        <x:v>Vigilante</x:v>
      </x:c>
      <x:c r="H215" s="89" t="str">
        <x:v>Cúcuta</x:v>
      </x:c>
      <x:c r="I215" s="89" t="str">
        <x:v>Operaciones</x:v>
      </x:c>
      <x:c r="J215" s="89" t="str">
        <x:v>Salud Integral Ocupacional</x:v>
      </x:c>
      <x:c r="K215" s="89" t="str">
        <x:v>Apto</x:v>
      </x:c>
      <x:c r="L215" s="89" t="str"/>
      <x:c r="M215" s="89" t="str">
        <x:v>Mantener estilos de vida saludable</x:v>
      </x:c>
      <x:c r="N215" s="112" t="n">
        <x:v>12</x:v>
      </x:c>
      <x:c r="O215" s="106" t="n">
        <x:f>EDATE(C215,N215)</x:f>
        <x:v>46238</x:v>
      </x:c>
      <x:c r="P215" s="89" t="str">
        <x:v>M54.5 Lumbalgia</x:v>
      </x:c>
      <x:c r="Q215" s="89" t="str">
        <x:v>No</x:v>
      </x:c>
      <x:c r="R215" s="89" t="str"/>
      <x:c r="S215" s="106"/>
      <x:c r="T215" s="89" t="str">
        <x:f>IF(O215&lt;Instructivo!$B$4,"Vencido",IF(O215&lt;=Instructivo!$B$4+30,"Próximo a vencer","Vigente"))</x:f>
        <x:v>Vigente</x:v>
      </x:c>
      <x:c r="U215" s="89" t="str">
        <x:v>Líder SST</x:v>
      </x:c>
      <x:c r="V215" s="90" t="str">
        <x:v>Caso priorizado por restricciones activas</x:v>
      </x:c>
    </x:row>
    <x:row r="216">
      <x:c r="A216" s="88" t="n">
        <x:v>2025</x:v>
      </x:c>
      <x:c r="B216" s="89" t="str">
        <x:v>EMO-2025-0065</x:v>
      </x:c>
      <x:c r="C216" s="106" t="n">
        <x:v>45805</x:v>
      </x:c>
      <x:c r="D216" s="89" t="str">
        <x:v>Periódico</x:v>
      </x:c>
      <x:c r="E216" s="89" t="str">
        <x:v>998031780</x:v>
      </x:c>
      <x:c r="F216" s="89" t="str">
        <x:v>Diana Tatiana López Moreno</x:v>
      </x:c>
      <x:c r="G216" s="89" t="str">
        <x:v>Operador de medios tecnológicos</x:v>
      </x:c>
      <x:c r="H216" s="89" t="str">
        <x:v>Arauca</x:v>
      </x:c>
      <x:c r="I216" s="89" t="str">
        <x:v>Medios Tecnológicos</x:v>
      </x:c>
      <x:c r="J216" s="89" t="str">
        <x:v>IPS Prevencionar</x:v>
      </x:c>
      <x:c r="K216" s="89" t="str">
        <x:v>Apto con restricciones</x:v>
      </x:c>
      <x:c r="L216" s="89" t="str">
        <x:v>Restricción para trabajo prolongado de pie</x:v>
      </x:c>
      <x:c r="M216" s="89" t="str">
        <x:v>Control por optometría/medicina general</x:v>
      </x:c>
      <x:c r="N216" s="112" t="n">
        <x:v>12</x:v>
      </x:c>
      <x:c r="O216" s="106" t="n">
        <x:f>EDATE(C216,N216)</x:f>
        <x:v>46170</x:v>
      </x:c>
      <x:c r="P216" s="89" t="str">
        <x:v>G56.0 Síndrome túnel carpiano</x:v>
      </x:c>
      <x:c r="Q216" s="89" t="str">
        <x:v>Sí</x:v>
      </x:c>
      <x:c r="R216" s="89" t="str">
        <x:v>Optometría</x:v>
      </x:c>
      <x:c r="S216" s="106" t="n">
        <x:v>45895</x:v>
      </x:c>
      <x:c r="T216" s="89" t="str">
        <x:f>IF(O216&lt;Instructivo!$B$4,"Vencido",IF(O216&lt;=Instructivo!$B$4+30,"Próximo a vencer","Vigente"))</x:f>
        <x:v>Vencido</x:v>
      </x:c>
      <x:c r="U216" s="89" t="str">
        <x:v>Líder SST</x:v>
      </x:c>
      <x:c r="V216" s="90" t="str">
        <x:v>Requiere revisión de puesto de trabajo</x:v>
      </x:c>
    </x:row>
    <x:row r="217">
      <x:c r="A217" s="88" t="n">
        <x:v>2025</x:v>
      </x:c>
      <x:c r="B217" s="89" t="str">
        <x:v>EMO-2025-0066</x:v>
      </x:c>
      <x:c r="C217" s="106" t="n">
        <x:v>45732</x:v>
      </x:c>
      <x:c r="D217" s="89" t="str">
        <x:v>Periódico</x:v>
      </x:c>
      <x:c r="E217" s="89" t="str">
        <x:v>915394880</x:v>
      </x:c>
      <x:c r="F217" s="89" t="str">
        <x:v>Miguel Tatiana Cárdenas Moreno</x:v>
      </x:c>
      <x:c r="G217" s="89" t="str">
        <x:v>Operador de medios tecnológicos</x:v>
      </x:c>
      <x:c r="H217" s="89" t="str">
        <x:v>Valledupar</x:v>
      </x:c>
      <x:c r="I217" s="89" t="str">
        <x:v>Medios Tecnológicos</x:v>
      </x:c>
      <x:c r="J217" s="89" t="str">
        <x:v>IPS Ocupasalud SAS</x:v>
      </x:c>
      <x:c r="K217" s="89" t="str">
        <x:v>Apto</x:v>
      </x:c>
      <x:c r="L217" s="89" t="str"/>
      <x:c r="M217" s="89" t="str">
        <x:v>Participar en programas de vigilancia epidemiológica</x:v>
      </x:c>
      <x:c r="N217" s="112" t="n">
        <x:v>12</x:v>
      </x:c>
      <x:c r="O217" s="106" t="n">
        <x:f>EDATE(C217,N217)</x:f>
        <x:v>46097</x:v>
      </x:c>
      <x:c r="P217" s="89" t="str">
        <x:v>G56.0 Síndrome túnel carpiano</x:v>
      </x:c>
      <x:c r="Q217" s="89" t="str">
        <x:v>Sí</x:v>
      </x:c>
      <x:c r="R217" s="89" t="str">
        <x:v>Optometría</x:v>
      </x:c>
      <x:c r="S217" s="106" t="n">
        <x:v>45852</x:v>
      </x:c>
      <x:c r="T217" s="89" t="str">
        <x:f>IF(O217&lt;Instructivo!$B$4,"Vencido",IF(O217&lt;=Instructivo!$B$4+30,"Próximo a vencer","Vigente"))</x:f>
        <x:v>Vencido</x:v>
      </x:c>
      <x:c r="U217" s="89" t="str">
        <x:v>Coordinador de Talento Humano</x:v>
      </x:c>
      <x:c r="V217" s="90" t="str">
        <x:v>Pendiente firma de concepto médico</x:v>
      </x:c>
    </x:row>
    <x:row r="218">
      <x:c r="A218" s="88" t="n">
        <x:v>2025</x:v>
      </x:c>
      <x:c r="B218" s="89" t="str">
        <x:v>EMO-2025-0067</x:v>
      </x:c>
      <x:c r="C218" s="106" t="n">
        <x:v>45814</x:v>
      </x:c>
      <x:c r="D218" s="89" t="str">
        <x:v>Ingreso</x:v>
      </x:c>
      <x:c r="E218" s="89" t="str">
        <x:v>165235884</x:v>
      </x:c>
      <x:c r="F218" s="89" t="str">
        <x:v>Wilson Andrés Rodríguez Suárez</x:v>
      </x:c>
      <x:c r="G218" s="89" t="str">
        <x:v>Vigilante</x:v>
      </x:c>
      <x:c r="H218" s="89" t="str">
        <x:v>Girón</x:v>
      </x:c>
      <x:c r="I218" s="89" t="str">
        <x:v>Operaciones</x:v>
      </x:c>
      <x:c r="J218" s="89" t="str">
        <x:v>IPS Ocupasalud SAS</x:v>
      </x:c>
      <x:c r="K218" s="89" t="str">
        <x:v>Apto</x:v>
      </x:c>
      <x:c r="L218" s="89" t="str"/>
      <x:c r="M218" s="89" t="str">
        <x:v>Participar en programas de vigilancia epidemiológica</x:v>
      </x:c>
      <x:c r="N218" s="112" t="n">
        <x:v>12</x:v>
      </x:c>
      <x:c r="O218" s="106" t="n">
        <x:f>EDATE(C218,N218)</x:f>
        <x:v>46179</x:v>
      </x:c>
      <x:c r="P218" s="89" t="str">
        <x:v>I10 Hipertensión esencial</x:v>
      </x:c>
      <x:c r="Q218" s="89" t="str">
        <x:v>No</x:v>
      </x:c>
      <x:c r="R218" s="89" t="str"/>
      <x:c r="S218" s="106"/>
      <x:c r="T218" s="89" t="str">
        <x:f>IF(O218&lt;Instructivo!$B$4,"Vencido",IF(O218&lt;=Instructivo!$B$4+30,"Próximo a vencer","Vigente"))</x:f>
        <x:v>Próximo a vencer</x:v>
      </x:c>
      <x:c r="U218" s="89" t="str">
        <x:v>Analista SST</x:v>
      </x:c>
      <x:c r="V218" s="90" t="str">
        <x:v>Requiere revisión de puesto de trabajo</x:v>
      </x:c>
    </x:row>
    <x:row r="219">
      <x:c r="A219" s="88" t="n">
        <x:v>2025</x:v>
      </x:c>
      <x:c r="B219" s="89" t="str">
        <x:v>EMO-2025-0068</x:v>
      </x:c>
      <x:c r="C219" s="106" t="n">
        <x:v>45885</x:v>
      </x:c>
      <x:c r="D219" s="89" t="str">
        <x:v>Post-exposición</x:v>
      </x:c>
      <x:c r="E219" s="89" t="str">
        <x:v>544761823</x:v>
      </x:c>
      <x:c r="F219" s="89" t="str">
        <x:v>Ana Luis Gómez Pérez</x:v>
      </x:c>
      <x:c r="G219" s="89" t="str">
        <x:v>Vigilante</x:v>
      </x:c>
      <x:c r="H219" s="89" t="str">
        <x:v>Pamplona</x:v>
      </x:c>
      <x:c r="I219" s="89" t="str">
        <x:v>Operaciones</x:v>
      </x:c>
      <x:c r="J219" s="89" t="str">
        <x:v>IPS Ocupasalud SAS</x:v>
      </x:c>
      <x:c r="K219" s="89" t="str">
        <x:v>Apto con restricciones</x:v>
      </x:c>
      <x:c r="L219" s="89" t="str">
        <x:v>Restricción para trabajo prolongado de pie</x:v>
      </x:c>
      <x:c r="M219" s="89" t="str">
        <x:v>Capacitación ergonómica y seguimiento SST</x:v>
      </x:c>
      <x:c r="N219" s="112" t="n">
        <x:v>12</x:v>
      </x:c>
      <x:c r="O219" s="106" t="n">
        <x:f>EDATE(C219,N219)</x:f>
        <x:v>46250</x:v>
      </x:c>
      <x:c r="P219" s="89" t="str">
        <x:v>I10 Hipertensión esencial</x:v>
      </x:c>
      <x:c r="Q219" s="89" t="str">
        <x:v>Sí</x:v>
      </x:c>
      <x:c r="R219" s="89" t="str">
        <x:v>Fisioterapia</x:v>
      </x:c>
      <x:c r="S219" s="106" t="n">
        <x:v>45975</x:v>
      </x:c>
      <x:c r="T219" s="89" t="str">
        <x:f>IF(O219&lt;Instructivo!$B$4,"Vencido",IF(O219&lt;=Instructivo!$B$4+30,"Próximo a vencer","Vigente"))</x:f>
        <x:v>Vigente</x:v>
      </x:c>
      <x:c r="U219" s="89" t="str">
        <x:v>Médico Ocupacional</x:v>
      </x:c>
      <x:c r="V219" s="90" t="str">
        <x:v>Caso priorizado por restricciones activas</x:v>
      </x:c>
    </x:row>
    <x:row r="220">
      <x:c r="A220" s="88" t="n">
        <x:v>2025</x:v>
      </x:c>
      <x:c r="B220" s="89" t="str">
        <x:v>EMO-2025-0069</x:v>
      </x:c>
      <x:c r="C220" s="106" t="n">
        <x:v>45867</x:v>
      </x:c>
      <x:c r="D220" s="89" t="str">
        <x:v>Reintegro</x:v>
      </x:c>
      <x:c r="E220" s="89" t="str">
        <x:v>158315831</x:v>
      </x:c>
      <x:c r="F220" s="89" t="str">
        <x:v>Juan María Sánchez Rojas</x:v>
      </x:c>
      <x:c r="G220" s="89" t="str">
        <x:v>Vigilante</x:v>
      </x:c>
      <x:c r="H220" s="89" t="str">
        <x:v>Ocaña</x:v>
      </x:c>
      <x:c r="I220" s="89" t="str">
        <x:v>Operaciones</x:v>
      </x:c>
      <x:c r="J220" s="89" t="str">
        <x:v>IPS Ocupasalud SAS</x:v>
      </x:c>
      <x:c r="K220" s="89" t="str">
        <x:v>Apto con restricciones</x:v>
      </x:c>
      <x:c r="L220" s="89" t="str">
        <x:v>No exposición prolongada a ruido alto sin doble protección</x:v>
      </x:c>
      <x:c r="M220" s="89" t="str">
        <x:v>Capacitación ergonómica y seguimiento SST</x:v>
      </x:c>
      <x:c r="N220" s="112" t="n">
        <x:v>6</x:v>
      </x:c>
      <x:c r="O220" s="106" t="n">
        <x:f>EDATE(C220,N220)</x:f>
        <x:v>46051</x:v>
      </x:c>
      <x:c r="P220" s="89" t="str">
        <x:v>E66.9 Obesidad</x:v>
      </x:c>
      <x:c r="Q220" s="89" t="str">
        <x:v>Sí</x:v>
      </x:c>
      <x:c r="R220" s="89" t="str">
        <x:v>Medicina laboral</x:v>
      </x:c>
      <x:c r="S220" s="106" t="n">
        <x:v>45987</x:v>
      </x:c>
      <x:c r="T220" s="89" t="str">
        <x:f>IF(O220&lt;Instructivo!$B$4,"Vencido",IF(O220&lt;=Instructivo!$B$4+30,"Próximo a vencer","Vigente"))</x:f>
        <x:v>Vencido</x:v>
      </x:c>
      <x:c r="U220" s="89" t="str">
        <x:v>Médico Ocupacional</x:v>
      </x:c>
      <x:c r="V220" s="90" t="str">
        <x:v>Pendiente firma de concepto médico</x:v>
      </x:c>
    </x:row>
    <x:row r="221">
      <x:c r="A221" s="88" t="n">
        <x:v>2025</x:v>
      </x:c>
      <x:c r="B221" s="89" t="str">
        <x:v>EMO-2025-0070</x:v>
      </x:c>
      <x:c r="C221" s="106" t="n">
        <x:v>45927</x:v>
      </x:c>
      <x:c r="D221" s="89" t="str">
        <x:v>Periódico</x:v>
      </x:c>
      <x:c r="E221" s="89" t="str">
        <x:v>773641282</x:v>
      </x:c>
      <x:c r="F221" s="89" t="str">
        <x:v>Carlos María Rodríguez Hernández</x:v>
      </x:c>
      <x:c r="G221" s="89" t="str">
        <x:v>Supervisor de puesto</x:v>
      </x:c>
      <x:c r="H221" s="89" t="str">
        <x:v>Cúcuta</x:v>
      </x:c>
      <x:c r="I221" s="89" t="str">
        <x:v>Operaciones</x:v>
      </x:c>
      <x:c r="J221" s="89" t="str">
        <x:v>Centro Médico Laboral Andino</x:v>
      </x:c>
      <x:c r="K221" s="89" t="str">
        <x:v>Apto con restricciones</x:v>
      </x:c>
      <x:c r="L221" s="89" t="str">
        <x:v>Evitar levantamiento de cargas mayores a 15 kg</x:v>
      </x:c>
      <x:c r="M221" s="89" t="str">
        <x:v>Reubicación o ajuste razonable del puesto</x:v>
      </x:c>
      <x:c r="N221" s="112" t="n">
        <x:v>12</x:v>
      </x:c>
      <x:c r="O221" s="106" t="n">
        <x:f>EDATE(C221,N221)</x:f>
        <x:v>46292</x:v>
      </x:c>
      <x:c r="P221" s="89" t="str">
        <x:v>Z00.0 Examen general</x:v>
      </x:c>
      <x:c r="Q221" s="89" t="str">
        <x:v>Sí</x:v>
      </x:c>
      <x:c r="R221" s="89" t="str">
        <x:v>Ergonomía</x:v>
      </x:c>
      <x:c r="S221" s="106" t="n">
        <x:v>45987</x:v>
      </x:c>
      <x:c r="T221" s="89" t="str">
        <x:f>IF(O221&lt;Instructivo!$B$4,"Vencido",IF(O221&lt;=Instructivo!$B$4+30,"Próximo a vencer","Vigente"))</x:f>
        <x:v>Vigente</x:v>
      </x:c>
      <x:c r="U221" s="89" t="str">
        <x:v>Médico Ocupacional</x:v>
      </x:c>
      <x:c r="V221" s="90" t="str">
        <x:v>Registro completo y soportado en historia ocupacional</x:v>
      </x:c>
    </x:row>
    <x:row r="222">
      <x:c r="A222" s="88" t="n">
        <x:v>2025</x:v>
      </x:c>
      <x:c r="B222" s="89" t="str">
        <x:v>EMO-2025-0071</x:v>
      </x:c>
      <x:c r="C222" s="106" t="n">
        <x:v>45760</x:v>
      </x:c>
      <x:c r="D222" s="89" t="str">
        <x:v>Reintegro</x:v>
      </x:c>
      <x:c r="E222" s="89" t="str">
        <x:v>285443951</x:v>
      </x:c>
      <x:c r="F222" s="89" t="str">
        <x:v>Jhon Kevin Torres Moreno</x:v>
      </x:c>
      <x:c r="G222" s="89" t="str">
        <x:v>Escolta</x:v>
      </x:c>
      <x:c r="H222" s="89" t="str">
        <x:v>Ábrego</x:v>
      </x:c>
      <x:c r="I222" s="89" t="str">
        <x:v>Escoltas</x:v>
      </x:c>
      <x:c r="J222" s="89" t="str">
        <x:v>IPS Ocupasalud SAS</x:v>
      </x:c>
      <x:c r="K222" s="89" t="str">
        <x:v>Apto</x:v>
      </x:c>
      <x:c r="L222" s="89" t="str"/>
      <x:c r="M222" s="89" t="str">
        <x:v>Participar en programas de vigilancia epidemiológica</x:v>
      </x:c>
      <x:c r="N222" s="112" t="n">
        <x:v>6</x:v>
      </x:c>
      <x:c r="O222" s="106" t="n">
        <x:f>EDATE(C222,N222)</x:f>
        <x:v>45943</x:v>
      </x:c>
      <x:c r="P222" s="89" t="str">
        <x:v>Z00.0 Examen general</x:v>
      </x:c>
      <x:c r="Q222" s="89" t="str">
        <x:v>No</x:v>
      </x:c>
      <x:c r="R222" s="89" t="str"/>
      <x:c r="S222" s="106"/>
      <x:c r="T222" s="89" t="str">
        <x:f>IF(O222&lt;Instructivo!$B$4,"Vencido",IF(O222&lt;=Instructivo!$B$4+30,"Próximo a vencer","Vigente"))</x:f>
        <x:v>Vencido</x:v>
      </x:c>
      <x:c r="U222" s="89" t="str">
        <x:v>Analista SST</x:v>
      </x:c>
      <x:c r="V222" s="90" t="str">
        <x:v>Requiere revisión de puesto de trabajo</x:v>
      </x:c>
    </x:row>
    <x:row r="223">
      <x:c r="A223" s="88" t="n">
        <x:v>2025</x:v>
      </x:c>
      <x:c r="B223" s="89" t="str">
        <x:v>EMO-2025-0072</x:v>
      </x:c>
      <x:c r="C223" s="106" t="n">
        <x:v>45887</x:v>
      </x:c>
      <x:c r="D223" s="89" t="str">
        <x:v>Periódico</x:v>
      </x:c>
      <x:c r="E223" s="89" t="str">
        <x:v>165235884</x:v>
      </x:c>
      <x:c r="F223" s="89" t="str">
        <x:v>Wilson Andrés Rodríguez Suárez</x:v>
      </x:c>
      <x:c r="G223" s="89" t="str">
        <x:v>Vigilante</x:v>
      </x:c>
      <x:c r="H223" s="89" t="str">
        <x:v>Girón</x:v>
      </x:c>
      <x:c r="I223" s="89" t="str">
        <x:v>Operaciones</x:v>
      </x:c>
      <x:c r="J223" s="89" t="str">
        <x:v>Colmédica Ocupacional</x:v>
      </x:c>
      <x:c r="K223" s="89" t="str">
        <x:v>Apto</x:v>
      </x:c>
      <x:c r="L223" s="89" t="str"/>
      <x:c r="M223" s="89" t="str">
        <x:v>Participar en programas de vigilancia epidemiológica</x:v>
      </x:c>
      <x:c r="N223" s="112" t="n">
        <x:v>12</x:v>
      </x:c>
      <x:c r="O223" s="106" t="n">
        <x:f>EDATE(C223,N223)</x:f>
        <x:v>46252</x:v>
      </x:c>
      <x:c r="P223" s="89" t="str">
        <x:v>H52.4 Presbicia</x:v>
      </x:c>
      <x:c r="Q223" s="89" t="str">
        <x:v>No</x:v>
      </x:c>
      <x:c r="R223" s="89" t="str"/>
      <x:c r="S223" s="106"/>
      <x:c r="T223" s="89" t="str">
        <x:f>IF(O223&lt;Instructivo!$B$4,"Vencido",IF(O223&lt;=Instructivo!$B$4+30,"Próximo a vencer","Vigente"))</x:f>
        <x:v>Vigente</x:v>
      </x:c>
      <x:c r="U223" s="89" t="str">
        <x:v>Coordinador de Talento Humano</x:v>
      </x:c>
      <x:c r="V223" s="90" t="str">
        <x:v>Se recomienda seguimiento por comité SST</x:v>
      </x:c>
    </x:row>
    <x:row r="224">
      <x:c r="A224" s="88" t="n">
        <x:v>2025</x:v>
      </x:c>
      <x:c r="B224" s="89" t="str">
        <x:v>EMO-2025-0073</x:v>
      </x:c>
      <x:c r="C224" s="106" t="n">
        <x:v>45856</x:v>
      </x:c>
      <x:c r="D224" s="89" t="str">
        <x:v>Periódico</x:v>
      </x:c>
      <x:c r="E224" s="89" t="str">
        <x:v>854860684</x:v>
      </x:c>
      <x:c r="F224" s="89" t="str">
        <x:v>Diana Kevin Pérez Rodríguez</x:v>
      </x:c>
      <x:c r="G224" s="89" t="str">
        <x:v>Vigilante</x:v>
      </x:c>
      <x:c r="H224" s="89" t="str">
        <x:v>Bogotá</x:v>
      </x:c>
      <x:c r="I224" s="89" t="str">
        <x:v>Operaciones</x:v>
      </x:c>
      <x:c r="J224" s="89" t="str">
        <x:v>Centro Médico Laboral Andino</x:v>
      </x:c>
      <x:c r="K224" s="89" t="str">
        <x:v>Apto</x:v>
      </x:c>
      <x:c r="L224" s="89" t="str"/>
      <x:c r="M224" s="89" t="str">
        <x:v>Mantener estilos de vida saludable</x:v>
      </x:c>
      <x:c r="N224" s="112" t="n">
        <x:v>12</x:v>
      </x:c>
      <x:c r="O224" s="106" t="n">
        <x:f>EDATE(C224,N224)</x:f>
        <x:v>46221</x:v>
      </x:c>
      <x:c r="P224" s="89" t="str">
        <x:v>I10 Hipertensión esencial</x:v>
      </x:c>
      <x:c r="Q224" s="89" t="str">
        <x:v>No</x:v>
      </x:c>
      <x:c r="R224" s="89" t="str"/>
      <x:c r="S224" s="106"/>
      <x:c r="T224" s="89" t="str">
        <x:f>IF(O224&lt;Instructivo!$B$4,"Vencido",IF(O224&lt;=Instructivo!$B$4+30,"Próximo a vencer","Vigente"))</x:f>
        <x:v>Vigente</x:v>
      </x:c>
      <x:c r="U224" s="89" t="str">
        <x:v>Coordinador de Talento Humano</x:v>
      </x:c>
      <x:c r="V224" s="90" t="str">
        <x:v>Requiere revisión de puesto de trabajo</x:v>
      </x:c>
    </x:row>
    <x:row r="225">
      <x:c r="A225" s="88" t="n">
        <x:v>2025</x:v>
      </x:c>
      <x:c r="B225" s="89" t="str">
        <x:v>EMO-2025-0074</x:v>
      </x:c>
      <x:c r="C225" s="106" t="n">
        <x:v>46008</x:v>
      </x:c>
      <x:c r="D225" s="89" t="str">
        <x:v>Periódico</x:v>
      </x:c>
      <x:c r="E225" s="89" t="str">
        <x:v>487752972</x:v>
      </x:c>
      <x:c r="F225" s="89" t="str">
        <x:v>Julián María Castro Cárdenas</x:v>
      </x:c>
      <x:c r="G225" s="89" t="str">
        <x:v>Supervisor de puesto</x:v>
      </x:c>
      <x:c r="H225" s="89" t="str">
        <x:v>Cúcuta</x:v>
      </x:c>
      <x:c r="I225" s="89" t="str">
        <x:v>Operaciones</x:v>
      </x:c>
      <x:c r="J225" s="89" t="str">
        <x:v>IPS Ocupasalud SAS</x:v>
      </x:c>
      <x:c r="K225" s="89" t="str">
        <x:v>Apto</x:v>
      </x:c>
      <x:c r="L225" s="89" t="str"/>
      <x:c r="M225" s="89" t="str">
        <x:v>Mantener estilos de vida saludable</x:v>
      </x:c>
      <x:c r="N225" s="112" t="n">
        <x:v>12</x:v>
      </x:c>
      <x:c r="O225" s="106" t="n">
        <x:f>EDATE(C225,N225)</x:f>
        <x:v>46373</x:v>
      </x:c>
      <x:c r="P225" s="89" t="str">
        <x:v>I10 Hipertensión esencial</x:v>
      </x:c>
      <x:c r="Q225" s="89" t="str">
        <x:v>No</x:v>
      </x:c>
      <x:c r="R225" s="89" t="str"/>
      <x:c r="S225" s="106"/>
      <x:c r="T225" s="89" t="str">
        <x:f>IF(O225&lt;Instructivo!$B$4,"Vencido",IF(O225&lt;=Instructivo!$B$4+30,"Próximo a vencer","Vigente"))</x:f>
        <x:v>Vigente</x:v>
      </x:c>
      <x:c r="U225" s="89" t="str">
        <x:v>Coordinador de Talento Humano</x:v>
      </x:c>
      <x:c r="V225" s="90" t="str">
        <x:v>Caso priorizado por restricciones activas</x:v>
      </x:c>
    </x:row>
    <x:row r="226">
      <x:c r="A226" s="88" t="n">
        <x:v>2025</x:v>
      </x:c>
      <x:c r="B226" s="89" t="str">
        <x:v>EMO-2025-0075</x:v>
      </x:c>
      <x:c r="C226" s="106" t="n">
        <x:v>45815</x:v>
      </x:c>
      <x:c r="D226" s="89" t="str">
        <x:v>Post-incapacidad</x:v>
      </x:c>
      <x:c r="E226" s="89" t="str">
        <x:v>282101965</x:v>
      </x:c>
      <x:c r="F226" s="89" t="str">
        <x:v>Jhon Julián Parra Suárez</x:v>
      </x:c>
      <x:c r="G226" s="89" t="str">
        <x:v>Vigilante</x:v>
      </x:c>
      <x:c r="H226" s="89" t="str">
        <x:v>Pamplona</x:v>
      </x:c>
      <x:c r="I226" s="89" t="str">
        <x:v>Operaciones</x:v>
      </x:c>
      <x:c r="J226" s="89" t="str">
        <x:v>Colmédica Ocupacional</x:v>
      </x:c>
      <x:c r="K226" s="89" t="str">
        <x:v>Apto</x:v>
      </x:c>
      <x:c r="L226" s="89" t="str"/>
      <x:c r="M226" s="89" t="str">
        <x:v>Uso permanente de EPP</x:v>
      </x:c>
      <x:c r="N226" s="112" t="n">
        <x:v>6</x:v>
      </x:c>
      <x:c r="O226" s="106" t="n">
        <x:f>EDATE(C226,N226)</x:f>
        <x:v>45998</x:v>
      </x:c>
      <x:c r="P226" s="89" t="str">
        <x:v>G56.0 Síndrome túnel carpiano</x:v>
      </x:c>
      <x:c r="Q226" s="89" t="str">
        <x:v>No</x:v>
      </x:c>
      <x:c r="R226" s="89" t="str"/>
      <x:c r="S226" s="106"/>
      <x:c r="T226" s="89" t="str">
        <x:f>IF(O226&lt;Instructivo!$B$4,"Vencido",IF(O226&lt;=Instructivo!$B$4+30,"Próximo a vencer","Vigente"))</x:f>
        <x:v>Vencido</x:v>
      </x:c>
      <x:c r="U226" s="89" t="str">
        <x:v>Coordinador de Talento Humano</x:v>
      </x:c>
      <x:c r="V226" s="90" t="str">
        <x:v>Sin novedades adicionales</x:v>
      </x:c>
    </x:row>
    <x:row r="227">
      <x:c r="A227" s="88" t="n">
        <x:v>2025</x:v>
      </x:c>
      <x:c r="B227" s="89" t="str">
        <x:v>EMO-2025-0076</x:v>
      </x:c>
      <x:c r="C227" s="106" t="n">
        <x:v>46005</x:v>
      </x:c>
      <x:c r="D227" s="89" t="str">
        <x:v>Periódico</x:v>
      </x:c>
      <x:c r="E227" s="89" t="str">
        <x:v>526266630</x:v>
      </x:c>
      <x:c r="F227" s="89" t="str">
        <x:v>Luisa Andrés Díaz Díaz</x:v>
      </x:c>
      <x:c r="G227" s="89" t="str">
        <x:v>Conductor</x:v>
      </x:c>
      <x:c r="H227" s="89" t="str">
        <x:v>Arauca</x:v>
      </x:c>
      <x:c r="I227" s="89" t="str">
        <x:v>Logística</x:v>
      </x:c>
      <x:c r="J227" s="89" t="str">
        <x:v>Salud Integral Ocupacional</x:v>
      </x:c>
      <x:c r="K227" s="89" t="str">
        <x:v>Apto</x:v>
      </x:c>
      <x:c r="L227" s="89" t="str"/>
      <x:c r="M227" s="89" t="str">
        <x:v>Participar en programas de vigilancia epidemiológica</x:v>
      </x:c>
      <x:c r="N227" s="112" t="n">
        <x:v>12</x:v>
      </x:c>
      <x:c r="O227" s="106" t="n">
        <x:f>EDATE(C227,N227)</x:f>
        <x:v>46370</x:v>
      </x:c>
      <x:c r="P227" s="89" t="str">
        <x:v>R51 Cefalea</x:v>
      </x:c>
      <x:c r="Q227" s="89" t="str">
        <x:v>No</x:v>
      </x:c>
      <x:c r="R227" s="89" t="str"/>
      <x:c r="S227" s="106"/>
      <x:c r="T227" s="89" t="str">
        <x:f>IF(O227&lt;Instructivo!$B$4,"Vencido",IF(O227&lt;=Instructivo!$B$4+30,"Próximo a vencer","Vigente"))</x:f>
        <x:v>Vigente</x:v>
      </x:c>
      <x:c r="U227" s="89" t="str">
        <x:v>Coordinador de Talento Humano</x:v>
      </x:c>
      <x:c r="V227" s="90" t="str">
        <x:v>Registro completo y soportado en historia ocupacional</x:v>
      </x:c>
    </x:row>
    <x:row r="228">
      <x:c r="A228" s="88" t="n">
        <x:v>2025</x:v>
      </x:c>
      <x:c r="B228" s="89" t="str">
        <x:v>EMO-2025-0077</x:v>
      </x:c>
      <x:c r="C228" s="106" t="n">
        <x:v>45905</x:v>
      </x:c>
      <x:c r="D228" s="89" t="str">
        <x:v>Periódico</x:v>
      </x:c>
      <x:c r="E228" s="89" t="str">
        <x:v>544761823</x:v>
      </x:c>
      <x:c r="F228" s="89" t="str">
        <x:v>Ana Luis Gómez Pérez</x:v>
      </x:c>
      <x:c r="G228" s="89" t="str">
        <x:v>Vigilante</x:v>
      </x:c>
      <x:c r="H228" s="89" t="str">
        <x:v>Pamplona</x:v>
      </x:c>
      <x:c r="I228" s="89" t="str">
        <x:v>Operaciones</x:v>
      </x:c>
      <x:c r="J228" s="89" t="str">
        <x:v>Colmédica Ocupacional</x:v>
      </x:c>
      <x:c r="K228" s="89" t="str">
        <x:v>Apto</x:v>
      </x:c>
      <x:c r="L228" s="89" t="str"/>
      <x:c r="M228" s="89" t="str">
        <x:v>Uso permanente de EPP</x:v>
      </x:c>
      <x:c r="N228" s="112" t="n">
        <x:v>12</x:v>
      </x:c>
      <x:c r="O228" s="106" t="n">
        <x:f>EDATE(C228,N228)</x:f>
        <x:v>46270</x:v>
      </x:c>
      <x:c r="P228" s="89" t="str">
        <x:v>E66.9 Obesidad</x:v>
      </x:c>
      <x:c r="Q228" s="89" t="str">
        <x:v>No</x:v>
      </x:c>
      <x:c r="R228" s="89" t="str"/>
      <x:c r="S228" s="106"/>
      <x:c r="T228" s="89" t="str">
        <x:f>IF(O228&lt;Instructivo!$B$4,"Vencido",IF(O228&lt;=Instructivo!$B$4+30,"Próximo a vencer","Vigente"))</x:f>
        <x:v>Vigente</x:v>
      </x:c>
      <x:c r="U228" s="89" t="str">
        <x:v>Analista SST</x:v>
      </x:c>
      <x:c r="V228" s="90" t="str">
        <x:v>Se recomienda seguimiento por comité SST</x:v>
      </x:c>
    </x:row>
    <x:row r="229">
      <x:c r="A229" s="88" t="n">
        <x:v>2025</x:v>
      </x:c>
      <x:c r="B229" s="89" t="str">
        <x:v>EMO-2025-0078</x:v>
      </x:c>
      <x:c r="C229" s="106" t="n">
        <x:v>45782</x:v>
      </x:c>
      <x:c r="D229" s="89" t="str">
        <x:v>Periódico</x:v>
      </x:c>
      <x:c r="E229" s="89" t="str">
        <x:v>222229110</x:v>
      </x:c>
      <x:c r="F229" s="89" t="str">
        <x:v>Laura Camilo Torres López</x:v>
      </x:c>
      <x:c r="G229" s="89" t="str">
        <x:v>Técnico de mantenimiento</x:v>
      </x:c>
      <x:c r="H229" s="89" t="str">
        <x:v>Ábrego</x:v>
      </x:c>
      <x:c r="I229" s="89" t="str">
        <x:v>Infraestructura</x:v>
      </x:c>
      <x:c r="J229" s="89" t="str">
        <x:v>Centro Médico Laboral Andino</x:v>
      </x:c>
      <x:c r="K229" s="89" t="str">
        <x:v>Apto con restricciones</x:v>
      </x:c>
      <x:c r="L229" s="89" t="str">
        <x:v>No exposición prolongada a ruido alto sin doble protección</x:v>
      </x:c>
      <x:c r="M229" s="89" t="str">
        <x:v>Control por optometría/medicina general</x:v>
      </x:c>
      <x:c r="N229" s="112" t="n">
        <x:v>12</x:v>
      </x:c>
      <x:c r="O229" s="106" t="n">
        <x:f>EDATE(C229,N229)</x:f>
        <x:v>46147</x:v>
      </x:c>
      <x:c r="P229" s="89" t="str">
        <x:v>Z00.0 Examen general</x:v>
      </x:c>
      <x:c r="Q229" s="89" t="str">
        <x:v>Sí</x:v>
      </x:c>
      <x:c r="R229" s="89" t="str">
        <x:v>Fisioterapia</x:v>
      </x:c>
      <x:c r="S229" s="106" t="n">
        <x:v>45872</x:v>
      </x:c>
      <x:c r="T229" s="89" t="str">
        <x:f>IF(O229&lt;Instructivo!$B$4,"Vencido",IF(O229&lt;=Instructivo!$B$4+30,"Próximo a vencer","Vigente"))</x:f>
        <x:v>Vencido</x:v>
      </x:c>
      <x:c r="U229" s="89" t="str">
        <x:v>Médico Ocupacional</x:v>
      </x:c>
      <x:c r="V229" s="90" t="str">
        <x:v>Requiere revisión de puesto de trabajo</x:v>
      </x:c>
    </x:row>
    <x:row r="230">
      <x:c r="A230" s="88" t="n">
        <x:v>2025</x:v>
      </x:c>
      <x:c r="B230" s="89" t="str">
        <x:v>EMO-2025-0079</x:v>
      </x:c>
      <x:c r="C230" s="106" t="n">
        <x:v>45873</x:v>
      </x:c>
      <x:c r="D230" s="89" t="str">
        <x:v>Periódico</x:v>
      </x:c>
      <x:c r="E230" s="89" t="str">
        <x:v>458072684</x:v>
      </x:c>
      <x:c r="F230" s="89" t="str">
        <x:v>Julián Luis Castro Pérez</x:v>
      </x:c>
      <x:c r="G230" s="89" t="str">
        <x:v>Auxiliar administrativo</x:v>
      </x:c>
      <x:c r="H230" s="89" t="str">
        <x:v>Bogotá</x:v>
      </x:c>
      <x:c r="I230" s="89" t="str">
        <x:v>Administrativa</x:v>
      </x:c>
      <x:c r="J230" s="89" t="str">
        <x:v>Centro Médico Laboral Andino</x:v>
      </x:c>
      <x:c r="K230" s="89" t="str">
        <x:v>Apto</x:v>
      </x:c>
      <x:c r="L230" s="89" t="str"/>
      <x:c r="M230" s="89" t="str">
        <x:v>Continuar controles periódicos anuales</x:v>
      </x:c>
      <x:c r="N230" s="112" t="n">
        <x:v>12</x:v>
      </x:c>
      <x:c r="O230" s="106" t="n">
        <x:f>EDATE(C230,N230)</x:f>
        <x:v>46238</x:v>
      </x:c>
      <x:c r="P230" s="89" t="str">
        <x:v>R51 Cefalea</x:v>
      </x:c>
      <x:c r="Q230" s="89" t="str">
        <x:v>No</x:v>
      </x:c>
      <x:c r="R230" s="89" t="str"/>
      <x:c r="S230" s="106"/>
      <x:c r="T230" s="89" t="str">
        <x:f>IF(O230&lt;Instructivo!$B$4,"Vencido",IF(O230&lt;=Instructivo!$B$4+30,"Próximo a vencer","Vigente"))</x:f>
        <x:v>Vigente</x:v>
      </x:c>
      <x:c r="U230" s="89" t="str">
        <x:v>Analista SST</x:v>
      </x:c>
      <x:c r="V230" s="90" t="str">
        <x:v>Caso priorizado por restricciones activas</x:v>
      </x:c>
    </x:row>
    <x:row r="231">
      <x:c r="A231" s="88" t="n">
        <x:v>2025</x:v>
      </x:c>
      <x:c r="B231" s="89" t="str">
        <x:v>EMO-2025-0080</x:v>
      </x:c>
      <x:c r="C231" s="106" t="n">
        <x:v>45902</x:v>
      </x:c>
      <x:c r="D231" s="89" t="str">
        <x:v>Periódico</x:v>
      </x:c>
      <x:c r="E231" s="89" t="str">
        <x:v>563204724</x:v>
      </x:c>
      <x:c r="F231" s="89" t="str">
        <x:v>Luis José Parra Moreno</x:v>
      </x:c>
      <x:c r="G231" s="89" t="str">
        <x:v>Vigilante</x:v>
      </x:c>
      <x:c r="H231" s="89" t="str">
        <x:v>Cúcuta</x:v>
      </x:c>
      <x:c r="I231" s="89" t="str">
        <x:v>Operaciones</x:v>
      </x:c>
      <x:c r="J231" s="89" t="str">
        <x:v>Centro Médico Laboral Andino</x:v>
      </x:c>
      <x:c r="K231" s="89" t="str">
        <x:v>Apto con restricciones</x:v>
      </x:c>
      <x:c r="L231" s="89" t="str">
        <x:v>Restricción para trabajo prolongado de pie</x:v>
      </x:c>
      <x:c r="M231" s="89" t="str">
        <x:v>Capacitación ergonómica y seguimiento SST</x:v>
      </x:c>
      <x:c r="N231" s="112" t="n">
        <x:v>12</x:v>
      </x:c>
      <x:c r="O231" s="106" t="n">
        <x:f>EDATE(C231,N231)</x:f>
        <x:v>46267</x:v>
      </x:c>
      <x:c r="P231" s="89" t="str">
        <x:v>E66.9 Obesidad</x:v>
      </x:c>
      <x:c r="Q231" s="89" t="str">
        <x:v>Sí</x:v>
      </x:c>
      <x:c r="R231" s="89" t="str">
        <x:v>Ergonomía</x:v>
      </x:c>
      <x:c r="S231" s="106" t="n">
        <x:v>46022</x:v>
      </x:c>
      <x:c r="T231" s="89" t="str">
        <x:f>IF(O231&lt;Instructivo!$B$4,"Vencido",IF(O231&lt;=Instructivo!$B$4+30,"Próximo a vencer","Vigente"))</x:f>
        <x:v>Vigente</x:v>
      </x:c>
      <x:c r="U231" s="89" t="str">
        <x:v>Líder SST</x:v>
      </x:c>
      <x:c r="V231" s="90" t="str">
        <x:v>Caso priorizado por restricciones activas</x:v>
      </x:c>
    </x:row>
    <x:row r="232">
      <x:c r="A232" s="88" t="n">
        <x:v>2025</x:v>
      </x:c>
      <x:c r="B232" s="89" t="str">
        <x:v>EMO-2025-0081</x:v>
      </x:c>
      <x:c r="C232" s="106" t="n">
        <x:v>45791</x:v>
      </x:c>
      <x:c r="D232" s="89" t="str">
        <x:v>Ingreso</x:v>
      </x:c>
      <x:c r="E232" s="89" t="str">
        <x:v>156338112</x:v>
      </x:c>
      <x:c r="F232" s="89" t="str">
        <x:v>Tatiana Wilson Suárez Suárez</x:v>
      </x:c>
      <x:c r="G232" s="89" t="str">
        <x:v>Coordinador de operaciones</x:v>
      </x:c>
      <x:c r="H232" s="89" t="str">
        <x:v>Pamplona</x:v>
      </x:c>
      <x:c r="I232" s="89" t="str">
        <x:v>Operaciones</x:v>
      </x:c>
      <x:c r="J232" s="89" t="str">
        <x:v>IPS Ocupasalud SAS</x:v>
      </x:c>
      <x:c r="K232" s="89" t="str">
        <x:v>Apto</x:v>
      </x:c>
      <x:c r="L232" s="89" t="str"/>
      <x:c r="M232" s="89" t="str">
        <x:v>Mantener estilos de vida saludable</x:v>
      </x:c>
      <x:c r="N232" s="112" t="n">
        <x:v>12</x:v>
      </x:c>
      <x:c r="O232" s="106" t="n">
        <x:f>EDATE(C232,N232)</x:f>
        <x:v>46156</x:v>
      </x:c>
      <x:c r="P232" s="89" t="str">
        <x:v>I10 Hipertensión esencial</x:v>
      </x:c>
      <x:c r="Q232" s="89" t="str">
        <x:v>No</x:v>
      </x:c>
      <x:c r="R232" s="89" t="str"/>
      <x:c r="S232" s="106"/>
      <x:c r="T232" s="89" t="str">
        <x:f>IF(O232&lt;Instructivo!$B$4,"Vencido",IF(O232&lt;=Instructivo!$B$4+30,"Próximo a vencer","Vigente"))</x:f>
        <x:v>Vencido</x:v>
      </x:c>
      <x:c r="U232" s="89" t="str">
        <x:v>Coordinador de Talento Humano</x:v>
      </x:c>
      <x:c r="V232" s="90" t="str">
        <x:v>Se recomienda seguimiento por comité SST</x:v>
      </x:c>
    </x:row>
    <x:row r="233">
      <x:c r="A233" s="88" t="n">
        <x:v>2025</x:v>
      </x:c>
      <x:c r="B233" s="89" t="str">
        <x:v>EMO-2025-0082</x:v>
      </x:c>
      <x:c r="C233" s="106" t="n">
        <x:v>45816</x:v>
      </x:c>
      <x:c r="D233" s="89" t="str">
        <x:v>Periódico</x:v>
      </x:c>
      <x:c r="E233" s="89" t="str">
        <x:v>326049101</x:v>
      </x:c>
      <x:c r="F233" s="89" t="str">
        <x:v>Brayan Laura Pérez Díaz</x:v>
      </x:c>
      <x:c r="G233" s="89" t="str">
        <x:v>Vigilante</x:v>
      </x:c>
      <x:c r="H233" s="89" t="str">
        <x:v>Barrancabermeja</x:v>
      </x:c>
      <x:c r="I233" s="89" t="str">
        <x:v>Operaciones</x:v>
      </x:c>
      <x:c r="J233" s="89" t="str">
        <x:v>Colmédica Ocupacional</x:v>
      </x:c>
      <x:c r="K233" s="89" t="str">
        <x:v>Apto</x:v>
      </x:c>
      <x:c r="L233" s="89" t="str"/>
      <x:c r="M233" s="89" t="str">
        <x:v>Uso permanente de EPP</x:v>
      </x:c>
      <x:c r="N233" s="112" t="n">
        <x:v>12</x:v>
      </x:c>
      <x:c r="O233" s="106" t="n">
        <x:f>EDATE(C233,N233)</x:f>
        <x:v>46181</x:v>
      </x:c>
      <x:c r="P233" s="89" t="str">
        <x:v>G56.0 Síndrome túnel carpiano</x:v>
      </x:c>
      <x:c r="Q233" s="89" t="str">
        <x:v>No</x:v>
      </x:c>
      <x:c r="R233" s="89" t="str"/>
      <x:c r="S233" s="106"/>
      <x:c r="T233" s="89" t="str">
        <x:f>IF(O233&lt;Instructivo!$B$4,"Vencido",IF(O233&lt;=Instructivo!$B$4+30,"Próximo a vencer","Vigente"))</x:f>
        <x:v>Próximo a vencer</x:v>
      </x:c>
      <x:c r="U233" s="89" t="str">
        <x:v>Líder SST</x:v>
      </x:c>
      <x:c r="V233" s="90" t="str">
        <x:v>Caso priorizado por restricciones activas</x:v>
      </x:c>
    </x:row>
    <x:row r="234">
      <x:c r="A234" s="88" t="n">
        <x:v>2025</x:v>
      </x:c>
      <x:c r="B234" s="89" t="str">
        <x:v>EMO-2025-0083</x:v>
      </x:c>
      <x:c r="C234" s="106" t="n">
        <x:v>45983</x:v>
      </x:c>
      <x:c r="D234" s="89" t="str">
        <x:v>Ingreso</x:v>
      </x:c>
      <x:c r="E234" s="89" t="str">
        <x:v>156338112</x:v>
      </x:c>
      <x:c r="F234" s="89" t="str">
        <x:v>Tatiana Wilson Suárez Suárez</x:v>
      </x:c>
      <x:c r="G234" s="89" t="str">
        <x:v>Coordinador de operaciones</x:v>
      </x:c>
      <x:c r="H234" s="89" t="str">
        <x:v>Pamplona</x:v>
      </x:c>
      <x:c r="I234" s="89" t="str">
        <x:v>Operaciones</x:v>
      </x:c>
      <x:c r="J234" s="89" t="str">
        <x:v>Salud Integral Ocupacional</x:v>
      </x:c>
      <x:c r="K234" s="89" t="str">
        <x:v>Apto</x:v>
      </x:c>
      <x:c r="L234" s="89" t="str"/>
      <x:c r="M234" s="89" t="str">
        <x:v>Continuar controles periódicos anuales</x:v>
      </x:c>
      <x:c r="N234" s="112" t="n">
        <x:v>12</x:v>
      </x:c>
      <x:c r="O234" s="106" t="n">
        <x:f>EDATE(C234,N234)</x:f>
        <x:v>46348</x:v>
      </x:c>
      <x:c r="P234" s="89" t="str">
        <x:v>M54.5 Lumbalgia</x:v>
      </x:c>
      <x:c r="Q234" s="89" t="str">
        <x:v>No</x:v>
      </x:c>
      <x:c r="R234" s="89" t="str"/>
      <x:c r="S234" s="106"/>
      <x:c r="T234" s="89" t="str">
        <x:f>IF(O234&lt;Instructivo!$B$4,"Vencido",IF(O234&lt;=Instructivo!$B$4+30,"Próximo a vencer","Vigente"))</x:f>
        <x:v>Vigente</x:v>
      </x:c>
      <x:c r="U234" s="89" t="str">
        <x:v>Médico Ocupacional</x:v>
      </x:c>
      <x:c r="V234" s="90" t="str">
        <x:v>Pendiente firma de concepto médico</x:v>
      </x:c>
    </x:row>
    <x:row r="235">
      <x:c r="A235" s="88" t="n">
        <x:v>2025</x:v>
      </x:c>
      <x:c r="B235" s="89" t="str">
        <x:v>EMO-2025-0084</x:v>
      </x:c>
      <x:c r="C235" s="106" t="n">
        <x:v>45686</x:v>
      </x:c>
      <x:c r="D235" s="89" t="str">
        <x:v>Periódico</x:v>
      </x:c>
      <x:c r="E235" s="89" t="str">
        <x:v>423294774</x:v>
      </x:c>
      <x:c r="F235" s="89" t="str">
        <x:v>Ana Andrés Gómez Díaz</x:v>
      </x:c>
      <x:c r="G235" s="89" t="str">
        <x:v>Vigilante</x:v>
      </x:c>
      <x:c r="H235" s="89" t="str">
        <x:v>Tibú</x:v>
      </x:c>
      <x:c r="I235" s="89" t="str">
        <x:v>Operaciones</x:v>
      </x:c>
      <x:c r="J235" s="89" t="str">
        <x:v>Salud Integral Ocupacional</x:v>
      </x:c>
      <x:c r="K235" s="89" t="str">
        <x:v>Apto con restricciones</x:v>
      </x:c>
      <x:c r="L235" s="89" t="str">
        <x:v>Pausas activas cada 2 horas</x:v>
      </x:c>
      <x:c r="M235" s="89" t="str">
        <x:v>Reubicación o ajuste razonable del puesto</x:v>
      </x:c>
      <x:c r="N235" s="112" t="n">
        <x:v>12</x:v>
      </x:c>
      <x:c r="O235" s="106" t="n">
        <x:f>EDATE(C235,N235)</x:f>
        <x:v>46051</x:v>
      </x:c>
      <x:c r="P235" s="89" t="str">
        <x:v>G56.0 Síndrome túnel carpiano</x:v>
      </x:c>
      <x:c r="Q235" s="89" t="str">
        <x:v>Sí</x:v>
      </x:c>
      <x:c r="R235" s="89" t="str">
        <x:v>Ergonomía</x:v>
      </x:c>
      <x:c r="S235" s="106" t="n">
        <x:v>45776</x:v>
      </x:c>
      <x:c r="T235" s="89" t="str">
        <x:f>IF(O235&lt;Instructivo!$B$4,"Vencido",IF(O235&lt;=Instructivo!$B$4+30,"Próximo a vencer","Vigente"))</x:f>
        <x:v>Vencido</x:v>
      </x:c>
      <x:c r="U235" s="89" t="str">
        <x:v>Analista SST</x:v>
      </x:c>
      <x:c r="V235" s="90" t="str">
        <x:v>Sin novedades adicionales</x:v>
      </x:c>
    </x:row>
    <x:row r="236">
      <x:c r="A236" s="88" t="n">
        <x:v>2025</x:v>
      </x:c>
      <x:c r="B236" s="89" t="str">
        <x:v>EMO-2025-0085</x:v>
      </x:c>
      <x:c r="C236" s="106" t="n">
        <x:v>45751</x:v>
      </x:c>
      <x:c r="D236" s="89" t="str">
        <x:v>Post-incapacidad</x:v>
      </x:c>
      <x:c r="E236" s="89" t="str">
        <x:v>195074336</x:v>
      </x:c>
      <x:c r="F236" s="89" t="str">
        <x:v>Andrés Karen Díaz Martínez</x:v>
      </x:c>
      <x:c r="G236" s="89" t="str">
        <x:v>Operador de medios tecnológicos</x:v>
      </x:c>
      <x:c r="H236" s="89" t="str">
        <x:v>Tibú</x:v>
      </x:c>
      <x:c r="I236" s="89" t="str">
        <x:v>Medios Tecnológicos</x:v>
      </x:c>
      <x:c r="J236" s="89" t="str">
        <x:v>Colmédica Ocupacional</x:v>
      </x:c>
      <x:c r="K236" s="89" t="str">
        <x:v>Apto</x:v>
      </x:c>
      <x:c r="L236" s="89" t="str"/>
      <x:c r="M236" s="89" t="str">
        <x:v>Participar en programas de vigilancia epidemiológica</x:v>
      </x:c>
      <x:c r="N236" s="112" t="n">
        <x:v>6</x:v>
      </x:c>
      <x:c r="O236" s="106" t="n">
        <x:f>EDATE(C236,N236)</x:f>
        <x:v>45934</x:v>
      </x:c>
      <x:c r="P236" s="89" t="str">
        <x:v>Z00.0 Examen general</x:v>
      </x:c>
      <x:c r="Q236" s="89" t="str">
        <x:v>No</x:v>
      </x:c>
      <x:c r="R236" s="89" t="str"/>
      <x:c r="S236" s="106"/>
      <x:c r="T236" s="89" t="str">
        <x:f>IF(O236&lt;Instructivo!$B$4,"Vencido",IF(O236&lt;=Instructivo!$B$4+30,"Próximo a vencer","Vigente"))</x:f>
        <x:v>Vencido</x:v>
      </x:c>
      <x:c r="U236" s="89" t="str">
        <x:v>Líder SST</x:v>
      </x:c>
      <x:c r="V236" s="90" t="str">
        <x:v>Pendiente firma de concepto médico</x:v>
      </x:c>
    </x:row>
    <x:row r="237">
      <x:c r="A237" s="88" t="n">
        <x:v>2025</x:v>
      </x:c>
      <x:c r="B237" s="89" t="str">
        <x:v>EMO-2025-0086</x:v>
      </x:c>
      <x:c r="C237" s="106" t="n">
        <x:v>45745</x:v>
      </x:c>
      <x:c r="D237" s="89" t="str">
        <x:v>Periódico</x:v>
      </x:c>
      <x:c r="E237" s="89" t="str">
        <x:v>447970771</x:v>
      </x:c>
      <x:c r="F237" s="89" t="str">
        <x:v>Wilson Wilson Ramírez Cárdenas</x:v>
      </x:c>
      <x:c r="G237" s="89" t="str">
        <x:v>Vigilante</x:v>
      </x:c>
      <x:c r="H237" s="89" t="str">
        <x:v>Valledupar</x:v>
      </x:c>
      <x:c r="I237" s="89" t="str">
        <x:v>Operaciones</x:v>
      </x:c>
      <x:c r="J237" s="89" t="str">
        <x:v>Centro Médico Laboral Andino</x:v>
      </x:c>
      <x:c r="K237" s="89" t="str">
        <x:v>Apto</x:v>
      </x:c>
      <x:c r="L237" s="89" t="str"/>
      <x:c r="M237" s="89" t="str">
        <x:v>Mantener estilos de vida saludable</x:v>
      </x:c>
      <x:c r="N237" s="112" t="n">
        <x:v>12</x:v>
      </x:c>
      <x:c r="O237" s="106" t="n">
        <x:f>EDATE(C237,N237)</x:f>
        <x:v>46110</x:v>
      </x:c>
      <x:c r="P237" s="89" t="str">
        <x:v>M75.1 Lesión de hombro</x:v>
      </x:c>
      <x:c r="Q237" s="89" t="str">
        <x:v>No</x:v>
      </x:c>
      <x:c r="R237" s="89" t="str"/>
      <x:c r="S237" s="106"/>
      <x:c r="T237" s="89" t="str">
        <x:f>IF(O237&lt;Instructivo!$B$4,"Vencido",IF(O237&lt;=Instructivo!$B$4+30,"Próximo a vencer","Vigente"))</x:f>
        <x:v>Vencido</x:v>
      </x:c>
      <x:c r="U237" s="89" t="str">
        <x:v>Médico Ocupacional</x:v>
      </x:c>
      <x:c r="V237" s="90" t="str">
        <x:v>Registro completo y soportado en historia ocupacional</x:v>
      </x:c>
    </x:row>
    <x:row r="238">
      <x:c r="A238" s="88" t="n">
        <x:v>2026</x:v>
      </x:c>
      <x:c r="B238" s="89" t="str">
        <x:v>EMO-2026-0001</x:v>
      </x:c>
      <x:c r="C238" s="106" t="n">
        <x:v>46146</x:v>
      </x:c>
      <x:c r="D238" s="89" t="str">
        <x:v>Periódico</x:v>
      </x:c>
      <x:c r="E238" s="89" t="str">
        <x:v>192000560</x:v>
      </x:c>
      <x:c r="F238" s="89" t="str">
        <x:v>Miguel Carolina Díaz Díaz</x:v>
      </x:c>
      <x:c r="G238" s="89" t="str">
        <x:v>Auxiliar administrativo</x:v>
      </x:c>
      <x:c r="H238" s="89" t="str">
        <x:v>Ocaña</x:v>
      </x:c>
      <x:c r="I238" s="89" t="str">
        <x:v>Administrativa</x:v>
      </x:c>
      <x:c r="J238" s="89" t="str">
        <x:v>Colmédica Ocupacional</x:v>
      </x:c>
      <x:c r="K238" s="89" t="str">
        <x:v>Apto</x:v>
      </x:c>
      <x:c r="L238" s="89" t="str"/>
      <x:c r="M238" s="89" t="str">
        <x:v>Continuar controles periódicos anuales</x:v>
      </x:c>
      <x:c r="N238" s="112" t="n">
        <x:v>12</x:v>
      </x:c>
      <x:c r="O238" s="106" t="n">
        <x:f>EDATE(C238,N238)</x:f>
        <x:v>46511</x:v>
      </x:c>
      <x:c r="P238" s="89" t="str">
        <x:v>Z00.0 Examen general</x:v>
      </x:c>
      <x:c r="Q238" s="89" t="str">
        <x:v>No</x:v>
      </x:c>
      <x:c r="R238" s="89" t="str"/>
      <x:c r="S238" s="106"/>
      <x:c r="T238" s="89" t="str">
        <x:f>IF(O238&lt;Instructivo!$B$4,"Vencido",IF(O238&lt;=Instructivo!$B$4+30,"Próximo a vencer","Vigente"))</x:f>
        <x:v>Vigente</x:v>
      </x:c>
      <x:c r="U238" s="89" t="str">
        <x:v>Coordinador de Talento Humano</x:v>
      </x:c>
      <x:c r="V238" s="90" t="str">
        <x:v>Requiere revisión de puesto de trabajo</x:v>
      </x:c>
    </x:row>
    <x:row r="239">
      <x:c r="A239" s="88" t="n">
        <x:v>2026</x:v>
      </x:c>
      <x:c r="B239" s="89" t="str">
        <x:v>EMO-2026-0002</x:v>
      </x:c>
      <x:c r="C239" s="106" t="n">
        <x:v>46025</x:v>
      </x:c>
      <x:c r="D239" s="89" t="str">
        <x:v>Periódico</x:v>
      </x:c>
      <x:c r="E239" s="89" t="str">
        <x:v>423294774</x:v>
      </x:c>
      <x:c r="F239" s="89" t="str">
        <x:v>Ana Andrés Gómez Díaz</x:v>
      </x:c>
      <x:c r="G239" s="89" t="str">
        <x:v>Vigilante</x:v>
      </x:c>
      <x:c r="H239" s="89" t="str">
        <x:v>Tibú</x:v>
      </x:c>
      <x:c r="I239" s="89" t="str">
        <x:v>Operaciones</x:v>
      </x:c>
      <x:c r="J239" s="89" t="str">
        <x:v>Colmédica Ocupacional</x:v>
      </x:c>
      <x:c r="K239" s="89" t="str">
        <x:v>Apto</x:v>
      </x:c>
      <x:c r="L239" s="89" t="str"/>
      <x:c r="M239" s="89" t="str">
        <x:v>Mantener estilos de vida saludable</x:v>
      </x:c>
      <x:c r="N239" s="112" t="n">
        <x:v>12</x:v>
      </x:c>
      <x:c r="O239" s="106" t="n">
        <x:f>EDATE(C239,N239)</x:f>
        <x:v>46390</x:v>
      </x:c>
      <x:c r="P239" s="89" t="str">
        <x:v>H52.4 Presbicia</x:v>
      </x:c>
      <x:c r="Q239" s="89" t="str">
        <x:v>No</x:v>
      </x:c>
      <x:c r="R239" s="89" t="str"/>
      <x:c r="S239" s="106"/>
      <x:c r="T239" s="89" t="str">
        <x:f>IF(O239&lt;Instructivo!$B$4,"Vencido",IF(O239&lt;=Instructivo!$B$4+30,"Próximo a vencer","Vigente"))</x:f>
        <x:v>Vigente</x:v>
      </x:c>
      <x:c r="U239" s="89" t="str">
        <x:v>Líder SST</x:v>
      </x:c>
      <x:c r="V239" s="90" t="str">
        <x:v>Se recomienda seguimiento por comité SST</x:v>
      </x:c>
    </x:row>
    <x:row r="240">
      <x:c r="A240" s="88" t="n">
        <x:v>2026</x:v>
      </x:c>
      <x:c r="B240" s="89" t="str">
        <x:v>EMO-2026-0003</x:v>
      </x:c>
      <x:c r="C240" s="106" t="n">
        <x:v>46102</x:v>
      </x:c>
      <x:c r="D240" s="89" t="str">
        <x:v>Periódico</x:v>
      </x:c>
      <x:c r="E240" s="89" t="str">
        <x:v>858194570</x:v>
      </x:c>
      <x:c r="F240" s="89" t="str">
        <x:v>José Diana Gómez Martínez</x:v>
      </x:c>
      <x:c r="G240" s="89" t="str">
        <x:v>Vigilante</x:v>
      </x:c>
      <x:c r="H240" s="89" t="str">
        <x:v>Pamplona</x:v>
      </x:c>
      <x:c r="I240" s="89" t="str">
        <x:v>Operaciones</x:v>
      </x:c>
      <x:c r="J240" s="89" t="str">
        <x:v>IPS Prevencionar</x:v>
      </x:c>
      <x:c r="K240" s="89" t="str">
        <x:v>Apto</x:v>
      </x:c>
      <x:c r="L240" s="89" t="str"/>
      <x:c r="M240" s="89" t="str">
        <x:v>Continuar controles periódicos anuales</x:v>
      </x:c>
      <x:c r="N240" s="112" t="n">
        <x:v>12</x:v>
      </x:c>
      <x:c r="O240" s="106" t="n">
        <x:f>EDATE(C240,N240)</x:f>
        <x:v>46467</x:v>
      </x:c>
      <x:c r="P240" s="89" t="str">
        <x:v>R51 Cefalea</x:v>
      </x:c>
      <x:c r="Q240" s="89" t="str">
        <x:v>No</x:v>
      </x:c>
      <x:c r="R240" s="89" t="str"/>
      <x:c r="S240" s="106"/>
      <x:c r="T240" s="89" t="str">
        <x:f>IF(O240&lt;Instructivo!$B$4,"Vencido",IF(O240&lt;=Instructivo!$B$4+30,"Próximo a vencer","Vigente"))</x:f>
        <x:v>Vigente</x:v>
      </x:c>
      <x:c r="U240" s="89" t="str">
        <x:v>Médico Ocupacional</x:v>
      </x:c>
      <x:c r="V240" s="90" t="str">
        <x:v>Se recomienda seguimiento por comité SST</x:v>
      </x:c>
    </x:row>
    <x:row r="241">
      <x:c r="A241" s="88" t="n">
        <x:v>2026</x:v>
      </x:c>
      <x:c r="B241" s="89" t="str">
        <x:v>EMO-2026-0004</x:v>
      </x:c>
      <x:c r="C241" s="106" t="n">
        <x:v>46149</x:v>
      </x:c>
      <x:c r="D241" s="89" t="str">
        <x:v>Periódico</x:v>
      </x:c>
      <x:c r="E241" s="89" t="str">
        <x:v>773641282</x:v>
      </x:c>
      <x:c r="F241" s="89" t="str">
        <x:v>Carlos María Rodríguez Hernández</x:v>
      </x:c>
      <x:c r="G241" s="89" t="str">
        <x:v>Supervisor de puesto</x:v>
      </x:c>
      <x:c r="H241" s="89" t="str">
        <x:v>Cúcuta</x:v>
      </x:c>
      <x:c r="I241" s="89" t="str">
        <x:v>Operaciones</x:v>
      </x:c>
      <x:c r="J241" s="89" t="str">
        <x:v>IPS Ocupasalud SAS</x:v>
      </x:c>
      <x:c r="K241" s="89" t="str">
        <x:v>Apto</x:v>
      </x:c>
      <x:c r="L241" s="89" t="str"/>
      <x:c r="M241" s="89" t="str">
        <x:v>Mantener estilos de vida saludable</x:v>
      </x:c>
      <x:c r="N241" s="112" t="n">
        <x:v>12</x:v>
      </x:c>
      <x:c r="O241" s="106" t="n">
        <x:f>EDATE(C241,N241)</x:f>
        <x:v>46514</x:v>
      </x:c>
      <x:c r="P241" s="89" t="str">
        <x:v>I10 Hipertensión esencial</x:v>
      </x:c>
      <x:c r="Q241" s="89" t="str">
        <x:v>No</x:v>
      </x:c>
      <x:c r="R241" s="89" t="str"/>
      <x:c r="S241" s="106"/>
      <x:c r="T241" s="89" t="str">
        <x:f>IF(O241&lt;Instructivo!$B$4,"Vencido",IF(O241&lt;=Instructivo!$B$4+30,"Próximo a vencer","Vigente"))</x:f>
        <x:v>Vigente</x:v>
      </x:c>
      <x:c r="U241" s="89" t="str">
        <x:v>Analista SST</x:v>
      </x:c>
      <x:c r="V241" s="90" t="str">
        <x:v>Sin novedades adicionales</x:v>
      </x:c>
    </x:row>
    <x:row r="242">
      <x:c r="A242" s="88" t="n">
        <x:v>2026</x:v>
      </x:c>
      <x:c r="B242" s="89" t="str">
        <x:v>EMO-2026-0005</x:v>
      </x:c>
      <x:c r="C242" s="106" t="n">
        <x:v>46029</x:v>
      </x:c>
      <x:c r="D242" s="89" t="str">
        <x:v>Periódico</x:v>
      </x:c>
      <x:c r="E242" s="89" t="str">
        <x:v>792022698</x:v>
      </x:c>
      <x:c r="F242" s="89" t="str">
        <x:v>Tatiana Felipe Gómez Gómez</x:v>
      </x:c>
      <x:c r="G242" s="89" t="str">
        <x:v>Supervisor motorizado</x:v>
      </x:c>
      <x:c r="H242" s="89" t="str">
        <x:v>Valledupar</x:v>
      </x:c>
      <x:c r="I242" s="89" t="str">
        <x:v>Operaciones</x:v>
      </x:c>
      <x:c r="J242" s="89" t="str">
        <x:v>IPS Ocupasalud SAS</x:v>
      </x:c>
      <x:c r="K242" s="89" t="str">
        <x:v>Apto</x:v>
      </x:c>
      <x:c r="L242" s="89" t="str"/>
      <x:c r="M242" s="89" t="str">
        <x:v>Mantener estilos de vida saludable</x:v>
      </x:c>
      <x:c r="N242" s="112" t="n">
        <x:v>12</x:v>
      </x:c>
      <x:c r="O242" s="106" t="n">
        <x:f>EDATE(C242,N242)</x:f>
        <x:v>46394</x:v>
      </x:c>
      <x:c r="P242" s="89" t="str">
        <x:v>M75.1 Lesión de hombro</x:v>
      </x:c>
      <x:c r="Q242" s="89" t="str">
        <x:v>No</x:v>
      </x:c>
      <x:c r="R242" s="89" t="str"/>
      <x:c r="S242" s="106"/>
      <x:c r="T242" s="89" t="str">
        <x:f>IF(O242&lt;Instructivo!$B$4,"Vencido",IF(O242&lt;=Instructivo!$B$4+30,"Próximo a vencer","Vigente"))</x:f>
        <x:v>Vigente</x:v>
      </x:c>
      <x:c r="U242" s="89" t="str">
        <x:v>Coordinador de Talento Humano</x:v>
      </x:c>
      <x:c r="V242" s="90" t="str">
        <x:v>Requiere revisión de puesto de trabajo</x:v>
      </x:c>
    </x:row>
    <x:row r="243">
      <x:c r="A243" s="88" t="n">
        <x:v>2026</x:v>
      </x:c>
      <x:c r="B243" s="89" t="str">
        <x:v>EMO-2026-0006</x:v>
      </x:c>
      <x:c r="C243" s="106" t="n">
        <x:v>46176</x:v>
      </x:c>
      <x:c r="D243" s="89" t="str">
        <x:v>Periódico</x:v>
      </x:c>
      <x:c r="E243" s="89" t="str">
        <x:v>563204724</x:v>
      </x:c>
      <x:c r="F243" s="89" t="str">
        <x:v>Luis José Parra Moreno</x:v>
      </x:c>
      <x:c r="G243" s="89" t="str">
        <x:v>Vigilante</x:v>
      </x:c>
      <x:c r="H243" s="89" t="str">
        <x:v>Cúcuta</x:v>
      </x:c>
      <x:c r="I243" s="89" t="str">
        <x:v>Operaciones</x:v>
      </x:c>
      <x:c r="J243" s="89" t="str">
        <x:v>IPS Prevencionar</x:v>
      </x:c>
      <x:c r="K243" s="89" t="str">
        <x:v>No apto</x:v>
      </x:c>
      <x:c r="L243" s="89" t="str">
        <x:v>Requiere reubicación temporal</x:v>
      </x:c>
      <x:c r="M243" s="89" t="str">
        <x:v>Remisión a especialista y reevaluación</x:v>
      </x:c>
      <x:c r="N243" s="112" t="n">
        <x:v>12</x:v>
      </x:c>
      <x:c r="O243" s="106" t="n">
        <x:f>EDATE(C243,N243)</x:f>
        <x:v>46541</x:v>
      </x:c>
      <x:c r="P243" s="89" t="str">
        <x:v>G56.0 Síndrome túnel carpiano</x:v>
      </x:c>
      <x:c r="Q243" s="89" t="str">
        <x:v>Sí</x:v>
      </x:c>
      <x:c r="R243" s="89" t="str">
        <x:v>Medicina laboral</x:v>
      </x:c>
      <x:c r="S243" s="106" t="n">
        <x:v>46296</x:v>
      </x:c>
      <x:c r="T243" s="89" t="str">
        <x:f>IF(O243&lt;Instructivo!$B$4,"Vencido",IF(O243&lt;=Instructivo!$B$4+30,"Próximo a vencer","Vigente"))</x:f>
        <x:v>Vigente</x:v>
      </x:c>
      <x:c r="U243" s="89" t="str">
        <x:v>Médico Ocupacional</x:v>
      </x:c>
      <x:c r="V243" s="90" t="str">
        <x:v>Registro completo y soportado en historia ocupacional</x:v>
      </x:c>
    </x:row>
    <x:row r="244">
      <x:c r="A244" s="88" t="n">
        <x:v>2026</x:v>
      </x:c>
      <x:c r="B244" s="89" t="str">
        <x:v>EMO-2026-0007</x:v>
      </x:c>
      <x:c r="C244" s="106" t="n">
        <x:v>46145</x:v>
      </x:c>
      <x:c r="D244" s="89" t="str">
        <x:v>Periódico</x:v>
      </x:c>
      <x:c r="E244" s="89" t="str">
        <x:v>107550190</x:v>
      </x:c>
      <x:c r="F244" s="89" t="str">
        <x:v>Julián Carolina Cárdenas Díaz</x:v>
      </x:c>
      <x:c r="G244" s="89" t="str">
        <x:v>Vigilante</x:v>
      </x:c>
      <x:c r="H244" s="89" t="str">
        <x:v>Ocaña</x:v>
      </x:c>
      <x:c r="I244" s="89" t="str">
        <x:v>Operaciones</x:v>
      </x:c>
      <x:c r="J244" s="89" t="str">
        <x:v>IPS Ocupasalud SAS</x:v>
      </x:c>
      <x:c r="K244" s="89" t="str">
        <x:v>Apto</x:v>
      </x:c>
      <x:c r="L244" s="89" t="str"/>
      <x:c r="M244" s="89" t="str">
        <x:v>Mantener estilos de vida saludable</x:v>
      </x:c>
      <x:c r="N244" s="112" t="n">
        <x:v>12</x:v>
      </x:c>
      <x:c r="O244" s="106" t="n">
        <x:f>EDATE(C244,N244)</x:f>
        <x:v>46510</x:v>
      </x:c>
      <x:c r="P244" s="89" t="str">
        <x:v>E66.9 Obesidad</x:v>
      </x:c>
      <x:c r="Q244" s="89" t="str">
        <x:v>No</x:v>
      </x:c>
      <x:c r="R244" s="89" t="str"/>
      <x:c r="S244" s="106"/>
      <x:c r="T244" s="89" t="str">
        <x:f>IF(O244&lt;Instructivo!$B$4,"Vencido",IF(O244&lt;=Instructivo!$B$4+30,"Próximo a vencer","Vigente"))</x:f>
        <x:v>Vigente</x:v>
      </x:c>
      <x:c r="U244" s="89" t="str">
        <x:v>Médico Ocupacional</x:v>
      </x:c>
      <x:c r="V244" s="90" t="str">
        <x:v>Requiere revisión de puesto de trabajo</x:v>
      </x:c>
    </x:row>
    <x:row r="245">
      <x:c r="A245" s="88" t="n">
        <x:v>2026</x:v>
      </x:c>
      <x:c r="B245" s="89" t="str">
        <x:v>EMO-2026-0008</x:v>
      </x:c>
      <x:c r="C245" s="106" t="n">
        <x:v>46093</x:v>
      </x:c>
      <x:c r="D245" s="89" t="str">
        <x:v>Periódico</x:v>
      </x:c>
      <x:c r="E245" s="89" t="str">
        <x:v>268930103</x:v>
      </x:c>
      <x:c r="F245" s="89" t="str">
        <x:v>Kevin Carolina Castro Moreno</x:v>
      </x:c>
      <x:c r="G245" s="89" t="str">
        <x:v>Vigilante</x:v>
      </x:c>
      <x:c r="H245" s="89" t="str">
        <x:v>Cúcuta</x:v>
      </x:c>
      <x:c r="I245" s="89" t="str">
        <x:v>Operaciones</x:v>
      </x:c>
      <x:c r="J245" s="89" t="str">
        <x:v>Salud Integral Ocupacional</x:v>
      </x:c>
      <x:c r="K245" s="89" t="str">
        <x:v>Apto</x:v>
      </x:c>
      <x:c r="L245" s="89" t="str"/>
      <x:c r="M245" s="89" t="str">
        <x:v>Mantener estilos de vida saludable</x:v>
      </x:c>
      <x:c r="N245" s="112" t="n">
        <x:v>12</x:v>
      </x:c>
      <x:c r="O245" s="106" t="n">
        <x:f>EDATE(C245,N245)</x:f>
        <x:v>46458</x:v>
      </x:c>
      <x:c r="P245" s="89" t="str">
        <x:v>M54.5 Lumbalgia</x:v>
      </x:c>
      <x:c r="Q245" s="89" t="str">
        <x:v>No</x:v>
      </x:c>
      <x:c r="R245" s="89" t="str"/>
      <x:c r="S245" s="106"/>
      <x:c r="T245" s="89" t="str">
        <x:f>IF(O245&lt;Instructivo!$B$4,"Vencido",IF(O245&lt;=Instructivo!$B$4+30,"Próximo a vencer","Vigente"))</x:f>
        <x:v>Vigente</x:v>
      </x:c>
      <x:c r="U245" s="89" t="str">
        <x:v>Coordinador de Talento Humano</x:v>
      </x:c>
      <x:c r="V245" s="90" t="str">
        <x:v>Registro completo y soportado en historia ocupacional</x:v>
      </x:c>
    </x:row>
    <x:row r="246">
      <x:c r="A246" s="88" t="n">
        <x:v>2026</x:v>
      </x:c>
      <x:c r="B246" s="89" t="str">
        <x:v>EMO-2026-0009</x:v>
      </x:c>
      <x:c r="C246" s="106" t="n">
        <x:v>46151</x:v>
      </x:c>
      <x:c r="D246" s="89" t="str">
        <x:v>Periódico</x:v>
      </x:c>
      <x:c r="E246" s="89" t="str">
        <x:v>662642635</x:v>
      </x:c>
      <x:c r="F246" s="89" t="str">
        <x:v>Carlos Ana Pérez Rodríguez</x:v>
      </x:c>
      <x:c r="G246" s="89" t="str">
        <x:v>Conductor</x:v>
      </x:c>
      <x:c r="H246" s="89" t="str">
        <x:v>Ábrego</x:v>
      </x:c>
      <x:c r="I246" s="89" t="str">
        <x:v>Logística</x:v>
      </x:c>
      <x:c r="J246" s="89" t="str">
        <x:v>Centro Médico Laboral Andino</x:v>
      </x:c>
      <x:c r="K246" s="89" t="str">
        <x:v>Apto</x:v>
      </x:c>
      <x:c r="L246" s="89" t="str"/>
      <x:c r="M246" s="89" t="str">
        <x:v>Mantener estilos de vida saludable</x:v>
      </x:c>
      <x:c r="N246" s="112" t="n">
        <x:v>12</x:v>
      </x:c>
      <x:c r="O246" s="106" t="n">
        <x:f>EDATE(C246,N246)</x:f>
        <x:v>46516</x:v>
      </x:c>
      <x:c r="P246" s="89" t="str">
        <x:v>R51 Cefalea</x:v>
      </x:c>
      <x:c r="Q246" s="89" t="str">
        <x:v>No</x:v>
      </x:c>
      <x:c r="R246" s="89" t="str"/>
      <x:c r="S246" s="106"/>
      <x:c r="T246" s="89" t="str">
        <x:f>IF(O246&lt;Instructivo!$B$4,"Vencido",IF(O246&lt;=Instructivo!$B$4+30,"Próximo a vencer","Vigente"))</x:f>
        <x:v>Vigente</x:v>
      </x:c>
      <x:c r="U246" s="89" t="str">
        <x:v>Médico Ocupacional</x:v>
      </x:c>
      <x:c r="V246" s="90" t="str">
        <x:v>Caso priorizado por restricciones activas</x:v>
      </x:c>
    </x:row>
    <x:row r="247">
      <x:c r="A247" s="88" t="n">
        <x:v>2026</x:v>
      </x:c>
      <x:c r="B247" s="89" t="str">
        <x:v>EMO-2026-0010</x:v>
      </x:c>
      <x:c r="C247" s="106" t="n">
        <x:v>46164</x:v>
      </x:c>
      <x:c r="D247" s="89" t="str">
        <x:v>Ingreso</x:v>
      </x:c>
      <x:c r="E247" s="89" t="str">
        <x:v>458072684</x:v>
      </x:c>
      <x:c r="F247" s="89" t="str">
        <x:v>Julián Luis Castro Pérez</x:v>
      </x:c>
      <x:c r="G247" s="89" t="str">
        <x:v>Auxiliar administrativo</x:v>
      </x:c>
      <x:c r="H247" s="89" t="str">
        <x:v>Bogotá</x:v>
      </x:c>
      <x:c r="I247" s="89" t="str">
        <x:v>Administrativa</x:v>
      </x:c>
      <x:c r="J247" s="89" t="str">
        <x:v>Colmédica Ocupacional</x:v>
      </x:c>
      <x:c r="K247" s="89" t="str">
        <x:v>Apto</x:v>
      </x:c>
      <x:c r="L247" s="89" t="str"/>
      <x:c r="M247" s="89" t="str">
        <x:v>Mantener estilos de vida saludable</x:v>
      </x:c>
      <x:c r="N247" s="112" t="n">
        <x:v>12</x:v>
      </x:c>
      <x:c r="O247" s="106" t="n">
        <x:f>EDATE(C247,N247)</x:f>
        <x:v>46529</x:v>
      </x:c>
      <x:c r="P247" s="89" t="str">
        <x:v>I10 Hipertensión esencial</x:v>
      </x:c>
      <x:c r="Q247" s="89" t="str">
        <x:v>No</x:v>
      </x:c>
      <x:c r="R247" s="89" t="str"/>
      <x:c r="S247" s="106"/>
      <x:c r="T247" s="89" t="str">
        <x:f>IF(O247&lt;Instructivo!$B$4,"Vencido",IF(O247&lt;=Instructivo!$B$4+30,"Próximo a vencer","Vigente"))</x:f>
        <x:v>Vigente</x:v>
      </x:c>
      <x:c r="U247" s="89" t="str">
        <x:v>Líder SST</x:v>
      </x:c>
      <x:c r="V247" s="90" t="str">
        <x:v>Sin novedades adicionales</x:v>
      </x:c>
    </x:row>
    <x:row r="248">
      <x:c r="A248" s="88" t="n">
        <x:v>2026</x:v>
      </x:c>
      <x:c r="B248" s="89" t="str">
        <x:v>EMO-2026-0011</x:v>
      </x:c>
      <x:c r="C248" s="106" t="n">
        <x:v>46052</x:v>
      </x:c>
      <x:c r="D248" s="89" t="str">
        <x:v>Periódico</x:v>
      </x:c>
      <x:c r="E248" s="89" t="str">
        <x:v>103678638</x:v>
      </x:c>
      <x:c r="F248" s="89" t="str">
        <x:v>Karen Sergio Parra Torres</x:v>
      </x:c>
      <x:c r="G248" s="89" t="str">
        <x:v>Vigilante</x:v>
      </x:c>
      <x:c r="H248" s="89" t="str">
        <x:v>Cúcuta</x:v>
      </x:c>
      <x:c r="I248" s="89" t="str">
        <x:v>Operaciones</x:v>
      </x:c>
      <x:c r="J248" s="89" t="str">
        <x:v>IPS Ocupasalud SAS</x:v>
      </x:c>
      <x:c r="K248" s="89" t="str">
        <x:v>Apto con restricciones</x:v>
      </x:c>
      <x:c r="L248" s="89" t="str">
        <x:v>Control visual y corrección óptica permanente</x:v>
      </x:c>
      <x:c r="M248" s="89" t="str">
        <x:v>Reubicación o ajuste razonable del puesto</x:v>
      </x:c>
      <x:c r="N248" s="112" t="n">
        <x:v>12</x:v>
      </x:c>
      <x:c r="O248" s="106" t="n">
        <x:f>EDATE(C248,N248)</x:f>
        <x:v>46417</x:v>
      </x:c>
      <x:c r="P248" s="89" t="str">
        <x:v>E66.9 Obesidad</x:v>
      </x:c>
      <x:c r="Q248" s="89" t="str">
        <x:v>Sí</x:v>
      </x:c>
      <x:c r="R248" s="89" t="str">
        <x:v>Medicina laboral</x:v>
      </x:c>
      <x:c r="S248" s="106" t="n">
        <x:v>46172</x:v>
      </x:c>
      <x:c r="T248" s="89" t="str">
        <x:f>IF(O248&lt;Instructivo!$B$4,"Vencido",IF(O248&lt;=Instructivo!$B$4+30,"Próximo a vencer","Vigente"))</x:f>
        <x:v>Vigente</x:v>
      </x:c>
      <x:c r="U248" s="89" t="str">
        <x:v>Analista SST</x:v>
      </x:c>
      <x:c r="V248" s="90" t="str">
        <x:v>Registro completo y soportado en historia ocupacional</x:v>
      </x:c>
    </x:row>
    <x:row r="249">
      <x:c r="A249" s="88" t="n">
        <x:v>2026</x:v>
      </x:c>
      <x:c r="B249" s="89" t="str">
        <x:v>EMO-2026-0012</x:v>
      </x:c>
      <x:c r="C249" s="106" t="n">
        <x:v>46099</x:v>
      </x:c>
      <x:c r="D249" s="89" t="str">
        <x:v>Post-exposición</x:v>
      </x:c>
      <x:c r="E249" s="89" t="str">
        <x:v>869526867</x:v>
      </x:c>
      <x:c r="F249" s="89" t="str">
        <x:v>Tatiana Jhon Rodríguez Torres</x:v>
      </x:c>
      <x:c r="G249" s="89" t="str">
        <x:v>Vigilante</x:v>
      </x:c>
      <x:c r="H249" s="89" t="str">
        <x:v>Tibú</x:v>
      </x:c>
      <x:c r="I249" s="89" t="str">
        <x:v>Operaciones</x:v>
      </x:c>
      <x:c r="J249" s="89" t="str">
        <x:v>Colmédica Ocupacional</x:v>
      </x:c>
      <x:c r="K249" s="89" t="str">
        <x:v>Apto</x:v>
      </x:c>
      <x:c r="L249" s="89" t="str"/>
      <x:c r="M249" s="89" t="str">
        <x:v>Continuar controles periódicos anuales</x:v>
      </x:c>
      <x:c r="N249" s="112" t="n">
        <x:v>12</x:v>
      </x:c>
      <x:c r="O249" s="106" t="n">
        <x:f>EDATE(C249,N249)</x:f>
        <x:v>46464</x:v>
      </x:c>
      <x:c r="P249" s="89" t="str">
        <x:v>R51 Cefalea</x:v>
      </x:c>
      <x:c r="Q249" s="89" t="str">
        <x:v>Sí</x:v>
      </x:c>
      <x:c r="R249" s="89" t="str">
        <x:v>Ergonomía</x:v>
      </x:c>
      <x:c r="S249" s="106" t="n">
        <x:v>46159</x:v>
      </x:c>
      <x:c r="T249" s="89" t="str">
        <x:f>IF(O249&lt;Instructivo!$B$4,"Vencido",IF(O249&lt;=Instructivo!$B$4+30,"Próximo a vencer","Vigente"))</x:f>
        <x:v>Vigente</x:v>
      </x:c>
      <x:c r="U249" s="89" t="str">
        <x:v>Médico Ocupacional</x:v>
      </x:c>
      <x:c r="V249" s="90" t="str">
        <x:v>Se recomienda seguimiento por comité SST</x:v>
      </x:c>
    </x:row>
    <x:row r="250">
      <x:c r="A250" s="88" t="n">
        <x:v>2026</x:v>
      </x:c>
      <x:c r="B250" s="89" t="str">
        <x:v>EMO-2026-0013</x:v>
      </x:c>
      <x:c r="C250" s="106" t="n">
        <x:v>46035</x:v>
      </x:c>
      <x:c r="D250" s="89" t="str">
        <x:v>Ingreso</x:v>
      </x:c>
      <x:c r="E250" s="89" t="str">
        <x:v>662642635</x:v>
      </x:c>
      <x:c r="F250" s="89" t="str">
        <x:v>Carlos Ana Pérez Rodríguez</x:v>
      </x:c>
      <x:c r="G250" s="89" t="str">
        <x:v>Conductor</x:v>
      </x:c>
      <x:c r="H250" s="89" t="str">
        <x:v>Ábrego</x:v>
      </x:c>
      <x:c r="I250" s="89" t="str">
        <x:v>Logística</x:v>
      </x:c>
      <x:c r="J250" s="89" t="str">
        <x:v>Colmédica Ocupacional</x:v>
      </x:c>
      <x:c r="K250" s="89" t="str">
        <x:v>Apto</x:v>
      </x:c>
      <x:c r="L250" s="89" t="str"/>
      <x:c r="M250" s="89" t="str">
        <x:v>Mantener estilos de vida saludable</x:v>
      </x:c>
      <x:c r="N250" s="112" t="n">
        <x:v>12</x:v>
      </x:c>
      <x:c r="O250" s="106" t="n">
        <x:f>EDATE(C250,N250)</x:f>
        <x:v>46400</x:v>
      </x:c>
      <x:c r="P250" s="89" t="str">
        <x:v>R51 Cefalea</x:v>
      </x:c>
      <x:c r="Q250" s="89" t="str">
        <x:v>No</x:v>
      </x:c>
      <x:c r="R250" s="89" t="str"/>
      <x:c r="S250" s="106"/>
      <x:c r="T250" s="89" t="str">
        <x:f>IF(O250&lt;Instructivo!$B$4,"Vencido",IF(O250&lt;=Instructivo!$B$4+30,"Próximo a vencer","Vigente"))</x:f>
        <x:v>Vigente</x:v>
      </x:c>
      <x:c r="U250" s="89" t="str">
        <x:v>Médico Ocupacional</x:v>
      </x:c>
      <x:c r="V250" s="90" t="str">
        <x:v>Pendiente firma de concepto médico</x:v>
      </x:c>
    </x:row>
    <x:row r="251">
      <x:c r="A251" s="88" t="n">
        <x:v>2026</x:v>
      </x:c>
      <x:c r="B251" s="89" t="str">
        <x:v>EMO-2026-0014</x:v>
      </x:c>
      <x:c r="C251" s="106" t="n">
        <x:v>46047</x:v>
      </x:c>
      <x:c r="D251" s="89" t="str">
        <x:v>Periódico</x:v>
      </x:c>
      <x:c r="E251" s="89" t="str">
        <x:v>702126310</x:v>
      </x:c>
      <x:c r="F251" s="89" t="str">
        <x:v>Luis Luis Rodríguez Moreno</x:v>
      </x:c>
      <x:c r="G251" s="89" t="str">
        <x:v>Vigilante</x:v>
      </x:c>
      <x:c r="H251" s="89" t="str">
        <x:v>Cúcuta</x:v>
      </x:c>
      <x:c r="I251" s="89" t="str">
        <x:v>Operaciones</x:v>
      </x:c>
      <x:c r="J251" s="89" t="str">
        <x:v>IPS Prevencionar</x:v>
      </x:c>
      <x:c r="K251" s="89" t="str">
        <x:v>Apto</x:v>
      </x:c>
      <x:c r="L251" s="89" t="str"/>
      <x:c r="M251" s="89" t="str">
        <x:v>Uso permanente de EPP</x:v>
      </x:c>
      <x:c r="N251" s="112" t="n">
        <x:v>12</x:v>
      </x:c>
      <x:c r="O251" s="106" t="n">
        <x:f>EDATE(C251,N251)</x:f>
        <x:v>46412</x:v>
      </x:c>
      <x:c r="P251" s="89" t="str">
        <x:v>G56.0 Síndrome túnel carpiano</x:v>
      </x:c>
      <x:c r="Q251" s="89" t="str">
        <x:v>No</x:v>
      </x:c>
      <x:c r="R251" s="89" t="str"/>
      <x:c r="S251" s="106"/>
      <x:c r="T251" s="89" t="str">
        <x:f>IF(O251&lt;Instructivo!$B$4,"Vencido",IF(O251&lt;=Instructivo!$B$4+30,"Próximo a vencer","Vigente"))</x:f>
        <x:v>Vigente</x:v>
      </x:c>
      <x:c r="U251" s="89" t="str">
        <x:v>Coordinador de Talento Humano</x:v>
      </x:c>
      <x:c r="V251" s="90" t="str">
        <x:v>Sin novedades adicionales</x:v>
      </x:c>
    </x:row>
    <x:row r="252">
      <x:c r="A252" s="88" t="n">
        <x:v>2026</x:v>
      </x:c>
      <x:c r="B252" s="89" t="str">
        <x:v>EMO-2026-0015</x:v>
      </x:c>
      <x:c r="C252" s="106" t="n">
        <x:v>46146</x:v>
      </x:c>
      <x:c r="D252" s="89" t="str">
        <x:v>Periódico</x:v>
      </x:c>
      <x:c r="E252" s="89" t="str">
        <x:v>858194570</x:v>
      </x:c>
      <x:c r="F252" s="89" t="str">
        <x:v>José Diana Gómez Martínez</x:v>
      </x:c>
      <x:c r="G252" s="89" t="str">
        <x:v>Vigilante</x:v>
      </x:c>
      <x:c r="H252" s="89" t="str">
        <x:v>Pamplona</x:v>
      </x:c>
      <x:c r="I252" s="89" t="str">
        <x:v>Operaciones</x:v>
      </x:c>
      <x:c r="J252" s="89" t="str">
        <x:v>IPS Ocupasalud SAS</x:v>
      </x:c>
      <x:c r="K252" s="89" t="str">
        <x:v>Apto con restricciones</x:v>
      </x:c>
      <x:c r="L252" s="89" t="str">
        <x:v>Pausas activas cada 2 horas</x:v>
      </x:c>
      <x:c r="M252" s="89" t="str">
        <x:v>Seguimiento por medicina laboral en 3 meses</x:v>
      </x:c>
      <x:c r="N252" s="112" t="n">
        <x:v>12</x:v>
      </x:c>
      <x:c r="O252" s="106" t="n">
        <x:f>EDATE(C252,N252)</x:f>
        <x:v>46511</x:v>
      </x:c>
      <x:c r="P252" s="89" t="str">
        <x:v>H52.4 Presbicia</x:v>
      </x:c>
      <x:c r="Q252" s="89" t="str">
        <x:v>Sí</x:v>
      </x:c>
      <x:c r="R252" s="89" t="str">
        <x:v>Ergonomía</x:v>
      </x:c>
      <x:c r="S252" s="106" t="n">
        <x:v>46266</x:v>
      </x:c>
      <x:c r="T252" s="89" t="str">
        <x:f>IF(O252&lt;Instructivo!$B$4,"Vencido",IF(O252&lt;=Instructivo!$B$4+30,"Próximo a vencer","Vigente"))</x:f>
        <x:v>Vigente</x:v>
      </x:c>
      <x:c r="U252" s="89" t="str">
        <x:v>Líder SST</x:v>
      </x:c>
      <x:c r="V252" s="90" t="str">
        <x:v>Requiere revisión de puesto de trabajo</x:v>
      </x:c>
    </x:row>
    <x:row r="253">
      <x:c r="A253" s="88" t="n">
        <x:v>2026</x:v>
      </x:c>
      <x:c r="B253" s="89" t="str">
        <x:v>EMO-2026-0016</x:v>
      </x:c>
      <x:c r="C253" s="106" t="n">
        <x:v>46147</x:v>
      </x:c>
      <x:c r="D253" s="89" t="str">
        <x:v>Reintegro</x:v>
      </x:c>
      <x:c r="E253" s="89" t="str">
        <x:v>831348050</x:v>
      </x:c>
      <x:c r="F253" s="89" t="str">
        <x:v>Yulieth Luisa Torres Gómez</x:v>
      </x:c>
      <x:c r="G253" s="89" t="str">
        <x:v>Operador de medios tecnológicos</x:v>
      </x:c>
      <x:c r="H253" s="89" t="str">
        <x:v>Tibú</x:v>
      </x:c>
      <x:c r="I253" s="89" t="str">
        <x:v>Medios Tecnológicos</x:v>
      </x:c>
      <x:c r="J253" s="89" t="str">
        <x:v>Salud Integral Ocupacional</x:v>
      </x:c>
      <x:c r="K253" s="89" t="str">
        <x:v>Apto con restricciones</x:v>
      </x:c>
      <x:c r="L253" s="89" t="str">
        <x:v>Control visual y corrección óptica permanente</x:v>
      </x:c>
      <x:c r="M253" s="89" t="str">
        <x:v>Reubicación o ajuste razonable del puesto</x:v>
      </x:c>
      <x:c r="N253" s="112" t="n">
        <x:v>6</x:v>
      </x:c>
      <x:c r="O253" s="106" t="n">
        <x:f>EDATE(C253,N253)</x:f>
        <x:v>46331</x:v>
      </x:c>
      <x:c r="P253" s="89" t="str">
        <x:v>Z00.0 Examen general</x:v>
      </x:c>
      <x:c r="Q253" s="89" t="str">
        <x:v>Sí</x:v>
      </x:c>
      <x:c r="R253" s="89" t="str">
        <x:v>Cardiometabólico</x:v>
      </x:c>
      <x:c r="S253" s="106" t="n">
        <x:v>46237</x:v>
      </x:c>
      <x:c r="T253" s="89" t="str">
        <x:f>IF(O253&lt;Instructivo!$B$4,"Vencido",IF(O253&lt;=Instructivo!$B$4+30,"Próximo a vencer","Vigente"))</x:f>
        <x:v>Vigente</x:v>
      </x:c>
      <x:c r="U253" s="89" t="str">
        <x:v>Analista SST</x:v>
      </x:c>
      <x:c r="V253" s="90" t="str">
        <x:v>Se recomienda seguimiento por comité SST</x:v>
      </x:c>
    </x:row>
    <x:row r="254">
      <x:c r="A254" s="88" t="n">
        <x:v>2026</x:v>
      </x:c>
      <x:c r="B254" s="89" t="str">
        <x:v>EMO-2026-0017</x:v>
      </x:c>
      <x:c r="C254" s="106" t="n">
        <x:v>46052</x:v>
      </x:c>
      <x:c r="D254" s="89" t="str">
        <x:v>Reintegro</x:v>
      </x:c>
      <x:c r="E254" s="89" t="str">
        <x:v>292255409</x:v>
      </x:c>
      <x:c r="F254" s="89" t="str">
        <x:v>Wilson Carolina Torres Parra</x:v>
      </x:c>
      <x:c r="G254" s="89" t="str">
        <x:v>Escolta</x:v>
      </x:c>
      <x:c r="H254" s="89" t="str">
        <x:v>Arauca</x:v>
      </x:c>
      <x:c r="I254" s="89" t="str">
        <x:v>Escoltas</x:v>
      </x:c>
      <x:c r="J254" s="89" t="str">
        <x:v>Colmédica Ocupacional</x:v>
      </x:c>
      <x:c r="K254" s="89" t="str">
        <x:v>Apto con restricciones</x:v>
      </x:c>
      <x:c r="L254" s="89" t="str">
        <x:v>Control visual y corrección óptica permanente</x:v>
      </x:c>
      <x:c r="M254" s="89" t="str">
        <x:v>Seguimiento por medicina laboral en 3 meses</x:v>
      </x:c>
      <x:c r="N254" s="112" t="n">
        <x:v>6</x:v>
      </x:c>
      <x:c r="O254" s="106" t="n">
        <x:f>EDATE(C254,N254)</x:f>
        <x:v>46233</x:v>
      </x:c>
      <x:c r="P254" s="89" t="str">
        <x:v>Z00.0 Examen general</x:v>
      </x:c>
      <x:c r="Q254" s="89" t="str">
        <x:v>Sí</x:v>
      </x:c>
      <x:c r="R254" s="89" t="str">
        <x:v>Medicina laboral</x:v>
      </x:c>
      <x:c r="S254" s="106" t="n">
        <x:v>46142</x:v>
      </x:c>
      <x:c r="T254" s="89" t="str">
        <x:f>IF(O254&lt;Instructivo!$B$4,"Vencido",IF(O254&lt;=Instructivo!$B$4+30,"Próximo a vencer","Vigente"))</x:f>
        <x:v>Vigente</x:v>
      </x:c>
      <x:c r="U254" s="89" t="str">
        <x:v>Analista SST</x:v>
      </x:c>
      <x:c r="V254" s="90" t="str">
        <x:v>Requiere revisión de puesto de trabajo</x:v>
      </x:c>
    </x:row>
    <x:row r="255">
      <x:c r="A255" s="88" t="n">
        <x:v>2026</x:v>
      </x:c>
      <x:c r="B255" s="89" t="str">
        <x:v>EMO-2026-0018</x:v>
      </x:c>
      <x:c r="C255" s="106" t="n">
        <x:v>46048</x:v>
      </x:c>
      <x:c r="D255" s="89" t="str">
        <x:v>Periódico</x:v>
      </x:c>
      <x:c r="E255" s="89" t="str">
        <x:v>436709938</x:v>
      </x:c>
      <x:c r="F255" s="89" t="str">
        <x:v>Julián Paola Torres Pérez</x:v>
      </x:c>
      <x:c r="G255" s="89" t="str">
        <x:v>Vigilante</x:v>
      </x:c>
      <x:c r="H255" s="89" t="str">
        <x:v>Girón</x:v>
      </x:c>
      <x:c r="I255" s="89" t="str">
        <x:v>Operaciones</x:v>
      </x:c>
      <x:c r="J255" s="89" t="str">
        <x:v>IPS Prevencionar</x:v>
      </x:c>
      <x:c r="K255" s="89" t="str">
        <x:v>Apto</x:v>
      </x:c>
      <x:c r="L255" s="89" t="str"/>
      <x:c r="M255" s="89" t="str">
        <x:v>Mantener estilos de vida saludable</x:v>
      </x:c>
      <x:c r="N255" s="112" t="n">
        <x:v>12</x:v>
      </x:c>
      <x:c r="O255" s="106" t="n">
        <x:f>EDATE(C255,N255)</x:f>
        <x:v>46413</x:v>
      </x:c>
      <x:c r="P255" s="89" t="str">
        <x:v>H52.4 Presbicia</x:v>
      </x:c>
      <x:c r="Q255" s="89" t="str">
        <x:v>No</x:v>
      </x:c>
      <x:c r="R255" s="89" t="str"/>
      <x:c r="S255" s="106"/>
      <x:c r="T255" s="89" t="str">
        <x:f>IF(O255&lt;Instructivo!$B$4,"Vencido",IF(O255&lt;=Instructivo!$B$4+30,"Próximo a vencer","Vigente"))</x:f>
        <x:v>Vigente</x:v>
      </x:c>
      <x:c r="U255" s="89" t="str">
        <x:v>Líder SST</x:v>
      </x:c>
      <x:c r="V255" s="90" t="str">
        <x:v>Requiere revisión de puesto de trabajo</x:v>
      </x:c>
    </x:row>
    <x:row r="256">
      <x:c r="A256" s="88" t="n">
        <x:v>2026</x:v>
      </x:c>
      <x:c r="B256" s="89" t="str">
        <x:v>EMO-2026-0019</x:v>
      </x:c>
      <x:c r="C256" s="106" t="n">
        <x:v>46064</x:v>
      </x:c>
      <x:c r="D256" s="89" t="str">
        <x:v>Periódico</x:v>
      </x:c>
      <x:c r="E256" s="89" t="str">
        <x:v>814335942</x:v>
      </x:c>
      <x:c r="F256" s="89" t="str">
        <x:v>Karen Ana Moreno Ramírez</x:v>
      </x:c>
      <x:c r="G256" s="89" t="str">
        <x:v>Escolta</x:v>
      </x:c>
      <x:c r="H256" s="89" t="str">
        <x:v>Ocaña</x:v>
      </x:c>
      <x:c r="I256" s="89" t="str">
        <x:v>Escoltas</x:v>
      </x:c>
      <x:c r="J256" s="89" t="str">
        <x:v>IPS Ocupasalud SAS</x:v>
      </x:c>
      <x:c r="K256" s="89" t="str">
        <x:v>Apto</x:v>
      </x:c>
      <x:c r="L256" s="89" t="str"/>
      <x:c r="M256" s="89" t="str">
        <x:v>Participar en programas de vigilancia epidemiológica</x:v>
      </x:c>
      <x:c r="N256" s="112" t="n">
        <x:v>12</x:v>
      </x:c>
      <x:c r="O256" s="106" t="n">
        <x:f>EDATE(C256,N256)</x:f>
        <x:v>46429</x:v>
      </x:c>
      <x:c r="P256" s="89" t="str">
        <x:v>G56.0 Síndrome túnel carpiano</x:v>
      </x:c>
      <x:c r="Q256" s="89" t="str">
        <x:v>No</x:v>
      </x:c>
      <x:c r="R256" s="89" t="str"/>
      <x:c r="S256" s="106"/>
      <x:c r="T256" s="89" t="str">
        <x:f>IF(O256&lt;Instructivo!$B$4,"Vencido",IF(O256&lt;=Instructivo!$B$4+30,"Próximo a vencer","Vigente"))</x:f>
        <x:v>Vigente</x:v>
      </x:c>
      <x:c r="U256" s="89" t="str">
        <x:v>Coordinador de Talento Humano</x:v>
      </x:c>
      <x:c r="V256" s="90" t="str">
        <x:v>Pendiente firma de concepto médico</x:v>
      </x:c>
    </x:row>
    <x:row r="257">
      <x:c r="A257" s="88" t="n">
        <x:v>2026</x:v>
      </x:c>
      <x:c r="B257" s="89" t="str">
        <x:v>EMO-2026-0020</x:v>
      </x:c>
      <x:c r="C257" s="106" t="n">
        <x:v>46095</x:v>
      </x:c>
      <x:c r="D257" s="89" t="str">
        <x:v>Periódico</x:v>
      </x:c>
      <x:c r="E257" s="89" t="str">
        <x:v>702221854</x:v>
      </x:c>
      <x:c r="F257" s="89" t="str">
        <x:v>Álvaro Sergio Sánchez Suárez</x:v>
      </x:c>
      <x:c r="G257" s="89" t="str">
        <x:v>Vigilante</x:v>
      </x:c>
      <x:c r="H257" s="89" t="str">
        <x:v>Girón</x:v>
      </x:c>
      <x:c r="I257" s="89" t="str">
        <x:v>Operaciones</x:v>
      </x:c>
      <x:c r="J257" s="89" t="str">
        <x:v>IPS Prevencionar</x:v>
      </x:c>
      <x:c r="K257" s="89" t="str">
        <x:v>Apto</x:v>
      </x:c>
      <x:c r="L257" s="89" t="str"/>
      <x:c r="M257" s="89" t="str">
        <x:v>Mantener estilos de vida saludable</x:v>
      </x:c>
      <x:c r="N257" s="112" t="n">
        <x:v>12</x:v>
      </x:c>
      <x:c r="O257" s="106" t="n">
        <x:f>EDATE(C257,N257)</x:f>
        <x:v>46460</x:v>
      </x:c>
      <x:c r="P257" s="89" t="str">
        <x:v>I10 Hipertensión esencial</x:v>
      </x:c>
      <x:c r="Q257" s="89" t="str">
        <x:v>No</x:v>
      </x:c>
      <x:c r="R257" s="89" t="str"/>
      <x:c r="S257" s="106"/>
      <x:c r="T257" s="89" t="str">
        <x:f>IF(O257&lt;Instructivo!$B$4,"Vencido",IF(O257&lt;=Instructivo!$B$4+30,"Próximo a vencer","Vigente"))</x:f>
        <x:v>Vigente</x:v>
      </x:c>
      <x:c r="U257" s="89" t="str">
        <x:v>Líder SST</x:v>
      </x:c>
      <x:c r="V257" s="90" t="str">
        <x:v>Sin novedades adicionales</x:v>
      </x:c>
    </x:row>
    <x:row r="258">
      <x:c r="A258" s="88" t="n">
        <x:v>2026</x:v>
      </x:c>
      <x:c r="B258" s="89" t="str">
        <x:v>EMO-2026-0021</x:v>
      </x:c>
      <x:c r="C258" s="106" t="n">
        <x:v>46170</x:v>
      </x:c>
      <x:c r="D258" s="89" t="str">
        <x:v>Periódico</x:v>
      </x:c>
      <x:c r="E258" s="89" t="str">
        <x:v>539518424</x:v>
      </x:c>
      <x:c r="F258" s="89" t="str">
        <x:v>Julián Juan Díaz Díaz</x:v>
      </x:c>
      <x:c r="G258" s="89" t="str">
        <x:v>Auxiliar administrativo</x:v>
      </x:c>
      <x:c r="H258" s="89" t="str">
        <x:v>Medellín</x:v>
      </x:c>
      <x:c r="I258" s="89" t="str">
        <x:v>Administrativa</x:v>
      </x:c>
      <x:c r="J258" s="89" t="str">
        <x:v>IPS Prevencionar</x:v>
      </x:c>
      <x:c r="K258" s="89" t="str">
        <x:v>Apto</x:v>
      </x:c>
      <x:c r="L258" s="89" t="str"/>
      <x:c r="M258" s="89" t="str">
        <x:v>Participar en programas de vigilancia epidemiológica</x:v>
      </x:c>
      <x:c r="N258" s="112" t="n">
        <x:v>12</x:v>
      </x:c>
      <x:c r="O258" s="106" t="n">
        <x:f>EDATE(C258,N258)</x:f>
        <x:v>46535</x:v>
      </x:c>
      <x:c r="P258" s="89" t="str">
        <x:v>Z00.0 Examen general</x:v>
      </x:c>
      <x:c r="Q258" s="89" t="str">
        <x:v>No</x:v>
      </x:c>
      <x:c r="R258" s="89" t="str"/>
      <x:c r="S258" s="106"/>
      <x:c r="T258" s="89" t="str">
        <x:f>IF(O258&lt;Instructivo!$B$4,"Vencido",IF(O258&lt;=Instructivo!$B$4+30,"Próximo a vencer","Vigente"))</x:f>
        <x:v>Vigente</x:v>
      </x:c>
      <x:c r="U258" s="89" t="str">
        <x:v>Líder SST</x:v>
      </x:c>
      <x:c r="V258" s="90" t="str">
        <x:v>Registro completo y soportado en historia ocupacional</x:v>
      </x:c>
    </x:row>
    <x:row r="259">
      <x:c r="A259" s="88" t="n">
        <x:v>2026</x:v>
      </x:c>
      <x:c r="B259" s="89" t="str">
        <x:v>EMO-2026-0022</x:v>
      </x:c>
      <x:c r="C259" s="106" t="n">
        <x:v>46166</x:v>
      </x:c>
      <x:c r="D259" s="89" t="str">
        <x:v>Periódico</x:v>
      </x:c>
      <x:c r="E259" s="89" t="str">
        <x:v>192000560</x:v>
      </x:c>
      <x:c r="F259" s="89" t="str">
        <x:v>Miguel Carolina Díaz Díaz</x:v>
      </x:c>
      <x:c r="G259" s="89" t="str">
        <x:v>Auxiliar administrativo</x:v>
      </x:c>
      <x:c r="H259" s="89" t="str">
        <x:v>Ocaña</x:v>
      </x:c>
      <x:c r="I259" s="89" t="str">
        <x:v>Administrativa</x:v>
      </x:c>
      <x:c r="J259" s="89" t="str">
        <x:v>Colmédica Ocupacional</x:v>
      </x:c>
      <x:c r="K259" s="89" t="str">
        <x:v>Apto</x:v>
      </x:c>
      <x:c r="L259" s="89" t="str"/>
      <x:c r="M259" s="89" t="str">
        <x:v>Continuar controles periódicos anuales</x:v>
      </x:c>
      <x:c r="N259" s="112" t="n">
        <x:v>12</x:v>
      </x:c>
      <x:c r="O259" s="106" t="n">
        <x:f>EDATE(C259,N259)</x:f>
        <x:v>46531</x:v>
      </x:c>
      <x:c r="P259" s="89" t="str">
        <x:v>I10 Hipertensión esencial</x:v>
      </x:c>
      <x:c r="Q259" s="89" t="str">
        <x:v>No</x:v>
      </x:c>
      <x:c r="R259" s="89" t="str"/>
      <x:c r="S259" s="106"/>
      <x:c r="T259" s="89" t="str">
        <x:f>IF(O259&lt;Instructivo!$B$4,"Vencido",IF(O259&lt;=Instructivo!$B$4+30,"Próximo a vencer","Vigente"))</x:f>
        <x:v>Vigente</x:v>
      </x:c>
      <x:c r="U259" s="89" t="str">
        <x:v>Médico Ocupacional</x:v>
      </x:c>
      <x:c r="V259" s="90" t="str">
        <x:v>Caso priorizado por restricciones activas</x:v>
      </x:c>
    </x:row>
    <x:row r="260">
      <x:c r="A260" s="88" t="n">
        <x:v>2026</x:v>
      </x:c>
      <x:c r="B260" s="89" t="str">
        <x:v>EMO-2026-0023</x:v>
      </x:c>
      <x:c r="C260" s="106" t="n">
        <x:v>46037</x:v>
      </x:c>
      <x:c r="D260" s="89" t="str">
        <x:v>Periódico</x:v>
      </x:c>
      <x:c r="E260" s="89" t="str">
        <x:v>407818732</x:v>
      </x:c>
      <x:c r="F260" s="89" t="str">
        <x:v>Wilson Laura Ramírez Castro</x:v>
      </x:c>
      <x:c r="G260" s="89" t="str">
        <x:v>Vigilante</x:v>
      </x:c>
      <x:c r="H260" s="89" t="str">
        <x:v>Arauca</x:v>
      </x:c>
      <x:c r="I260" s="89" t="str">
        <x:v>Operaciones</x:v>
      </x:c>
      <x:c r="J260" s="89" t="str">
        <x:v>IPS Prevencionar</x:v>
      </x:c>
      <x:c r="K260" s="89" t="str">
        <x:v>Apto con restricciones</x:v>
      </x:c>
      <x:c r="L260" s="89" t="str">
        <x:v>Control visual y corrección óptica permanente</x:v>
      </x:c>
      <x:c r="M260" s="89" t="str">
        <x:v>Capacitación ergonómica y seguimiento SST</x:v>
      </x:c>
      <x:c r="N260" s="112" t="n">
        <x:v>12</x:v>
      </x:c>
      <x:c r="O260" s="106" t="n">
        <x:f>EDATE(C260,N260)</x:f>
        <x:v>46402</x:v>
      </x:c>
      <x:c r="P260" s="89" t="str">
        <x:v>R51 Cefalea</x:v>
      </x:c>
      <x:c r="Q260" s="89" t="str">
        <x:v>Sí</x:v>
      </x:c>
      <x:c r="R260" s="89" t="str">
        <x:v>Cardiometabólico</x:v>
      </x:c>
      <x:c r="S260" s="106" t="n">
        <x:v>46157</x:v>
      </x:c>
      <x:c r="T260" s="89" t="str">
        <x:f>IF(O260&lt;Instructivo!$B$4,"Vencido",IF(O260&lt;=Instructivo!$B$4+30,"Próximo a vencer","Vigente"))</x:f>
        <x:v>Vigente</x:v>
      </x:c>
      <x:c r="U260" s="89" t="str">
        <x:v>Médico Ocupacional</x:v>
      </x:c>
      <x:c r="V260" s="90" t="str">
        <x:v>Caso priorizado por restricciones activas</x:v>
      </x:c>
    </x:row>
    <x:row r="261">
      <x:c r="A261" s="88" t="n">
        <x:v>2026</x:v>
      </x:c>
      <x:c r="B261" s="89" t="str">
        <x:v>EMO-2026-0024</x:v>
      </x:c>
      <x:c r="C261" s="106" t="n">
        <x:v>46080</x:v>
      </x:c>
      <x:c r="D261" s="89" t="str">
        <x:v>Ingreso</x:v>
      </x:c>
      <x:c r="E261" s="89" t="str">
        <x:v>662642635</x:v>
      </x:c>
      <x:c r="F261" s="89" t="str">
        <x:v>Carlos Ana Pérez Rodríguez</x:v>
      </x:c>
      <x:c r="G261" s="89" t="str">
        <x:v>Conductor</x:v>
      </x:c>
      <x:c r="H261" s="89" t="str">
        <x:v>Ábrego</x:v>
      </x:c>
      <x:c r="I261" s="89" t="str">
        <x:v>Logística</x:v>
      </x:c>
      <x:c r="J261" s="89" t="str">
        <x:v>Salud Integral Ocupacional</x:v>
      </x:c>
      <x:c r="K261" s="89" t="str">
        <x:v>Apto</x:v>
      </x:c>
      <x:c r="L261" s="89" t="str"/>
      <x:c r="M261" s="89" t="str">
        <x:v>Uso permanente de EPP</x:v>
      </x:c>
      <x:c r="N261" s="112" t="n">
        <x:v>12</x:v>
      </x:c>
      <x:c r="O261" s="106" t="n">
        <x:f>EDATE(C261,N261)</x:f>
        <x:v>46445</x:v>
      </x:c>
      <x:c r="P261" s="89" t="str">
        <x:v>R51 Cefalea</x:v>
      </x:c>
      <x:c r="Q261" s="89" t="str">
        <x:v>No</x:v>
      </x:c>
      <x:c r="R261" s="89" t="str"/>
      <x:c r="S261" s="106"/>
      <x:c r="T261" s="89" t="str">
        <x:f>IF(O261&lt;Instructivo!$B$4,"Vencido",IF(O261&lt;=Instructivo!$B$4+30,"Próximo a vencer","Vigente"))</x:f>
        <x:v>Vigente</x:v>
      </x:c>
      <x:c r="U261" s="89" t="str">
        <x:v>Líder SST</x:v>
      </x:c>
      <x:c r="V261" s="90" t="str">
        <x:v>Se recomienda seguimiento por comité SST</x:v>
      </x:c>
    </x:row>
    <x:row r="262">
      <x:c r="A262" s="88" t="n">
        <x:v>2026</x:v>
      </x:c>
      <x:c r="B262" s="89" t="str">
        <x:v>EMO-2026-0025</x:v>
      </x:c>
      <x:c r="C262" s="106" t="n">
        <x:v>46150</x:v>
      </x:c>
      <x:c r="D262" s="89" t="str">
        <x:v>Post-incapacidad</x:v>
      </x:c>
      <x:c r="E262" s="89" t="str">
        <x:v>826279418</x:v>
      </x:c>
      <x:c r="F262" s="89" t="str">
        <x:v>Camilo Ana Castro Suárez</x:v>
      </x:c>
      <x:c r="G262" s="89" t="str">
        <x:v>Vigilante</x:v>
      </x:c>
      <x:c r="H262" s="89" t="str">
        <x:v>Ábrego</x:v>
      </x:c>
      <x:c r="I262" s="89" t="str">
        <x:v>Operaciones</x:v>
      </x:c>
      <x:c r="J262" s="89" t="str">
        <x:v>IPS Ocupasalud SAS</x:v>
      </x:c>
      <x:c r="K262" s="89" t="str">
        <x:v>Apto</x:v>
      </x:c>
      <x:c r="L262" s="89" t="str"/>
      <x:c r="M262" s="89" t="str">
        <x:v>Participar en programas de vigilancia epidemiológica</x:v>
      </x:c>
      <x:c r="N262" s="112" t="n">
        <x:v>6</x:v>
      </x:c>
      <x:c r="O262" s="106" t="n">
        <x:f>EDATE(C262,N262)</x:f>
        <x:v>46334</x:v>
      </x:c>
      <x:c r="P262" s="89" t="str">
        <x:v>M75.1 Lesión de hombro</x:v>
      </x:c>
      <x:c r="Q262" s="89" t="str">
        <x:v>Sí</x:v>
      </x:c>
      <x:c r="R262" s="89" t="str">
        <x:v>Cardiometabólico</x:v>
      </x:c>
      <x:c r="S262" s="106" t="n">
        <x:v>46210</x:v>
      </x:c>
      <x:c r="T262" s="89" t="str">
        <x:f>IF(O262&lt;Instructivo!$B$4,"Vencido",IF(O262&lt;=Instructivo!$B$4+30,"Próximo a vencer","Vigente"))</x:f>
        <x:v>Vigente</x:v>
      </x:c>
      <x:c r="U262" s="89" t="str">
        <x:v>Analista SST</x:v>
      </x:c>
      <x:c r="V262" s="90" t="str">
        <x:v>Pendiente firma de concepto médico</x:v>
      </x:c>
    </x:row>
    <x:row r="263">
      <x:c r="A263" s="88" t="n">
        <x:v>2026</x:v>
      </x:c>
      <x:c r="B263" s="89" t="str">
        <x:v>EMO-2026-0026</x:v>
      </x:c>
      <x:c r="C263" s="106" t="n">
        <x:v>46072</x:v>
      </x:c>
      <x:c r="D263" s="89" t="str">
        <x:v>Post-incapacidad</x:v>
      </x:c>
      <x:c r="E263" s="89" t="str">
        <x:v>539518424</x:v>
      </x:c>
      <x:c r="F263" s="89" t="str">
        <x:v>Julián Juan Díaz Díaz</x:v>
      </x:c>
      <x:c r="G263" s="89" t="str">
        <x:v>Auxiliar administrativo</x:v>
      </x:c>
      <x:c r="H263" s="89" t="str">
        <x:v>Medellín</x:v>
      </x:c>
      <x:c r="I263" s="89" t="str">
        <x:v>Administrativa</x:v>
      </x:c>
      <x:c r="J263" s="89" t="str">
        <x:v>Salud Integral Ocupacional</x:v>
      </x:c>
      <x:c r="K263" s="89" t="str">
        <x:v>Apto</x:v>
      </x:c>
      <x:c r="L263" s="89" t="str"/>
      <x:c r="M263" s="89" t="str">
        <x:v>Continuar controles periódicos anuales</x:v>
      </x:c>
      <x:c r="N263" s="112" t="n">
        <x:v>6</x:v>
      </x:c>
      <x:c r="O263" s="106" t="n">
        <x:f>EDATE(C263,N263)</x:f>
        <x:v>46253</x:v>
      </x:c>
      <x:c r="P263" s="89" t="str">
        <x:v>M54.5 Lumbalgia</x:v>
      </x:c>
      <x:c r="Q263" s="89" t="str">
        <x:v>No</x:v>
      </x:c>
      <x:c r="R263" s="89" t="str"/>
      <x:c r="S263" s="106"/>
      <x:c r="T263" s="89" t="str">
        <x:f>IF(O263&lt;Instructivo!$B$4,"Vencido",IF(O263&lt;=Instructivo!$B$4+30,"Próximo a vencer","Vigente"))</x:f>
        <x:v>Vigente</x:v>
      </x:c>
      <x:c r="U263" s="89" t="str">
        <x:v>Médico Ocupacional</x:v>
      </x:c>
      <x:c r="V263" s="90" t="str">
        <x:v>Registro completo y soportado en historia ocupacional</x:v>
      </x:c>
    </x:row>
    <x:row r="264">
      <x:c r="A264" s="88" t="n">
        <x:v>2026</x:v>
      </x:c>
      <x:c r="B264" s="89" t="str">
        <x:v>EMO-2026-0027</x:v>
      </x:c>
      <x:c r="C264" s="106" t="n">
        <x:v>46153</x:v>
      </x:c>
      <x:c r="D264" s="89" t="str">
        <x:v>Periódico</x:v>
      </x:c>
      <x:c r="E264" s="89" t="str">
        <x:v>539518424</x:v>
      </x:c>
      <x:c r="F264" s="89" t="str">
        <x:v>Julián Juan Díaz Díaz</x:v>
      </x:c>
      <x:c r="G264" s="89" t="str">
        <x:v>Auxiliar administrativo</x:v>
      </x:c>
      <x:c r="H264" s="89" t="str">
        <x:v>Medellín</x:v>
      </x:c>
      <x:c r="I264" s="89" t="str">
        <x:v>Administrativa</x:v>
      </x:c>
      <x:c r="J264" s="89" t="str">
        <x:v>IPS Prevencionar</x:v>
      </x:c>
      <x:c r="K264" s="89" t="str">
        <x:v>Apto</x:v>
      </x:c>
      <x:c r="L264" s="89" t="str"/>
      <x:c r="M264" s="89" t="str">
        <x:v>Participar en programas de vigilancia epidemiológica</x:v>
      </x:c>
      <x:c r="N264" s="112" t="n">
        <x:v>12</x:v>
      </x:c>
      <x:c r="O264" s="106" t="n">
        <x:f>EDATE(C264,N264)</x:f>
        <x:v>46518</x:v>
      </x:c>
      <x:c r="P264" s="89" t="str">
        <x:v>G56.0 Síndrome túnel carpiano</x:v>
      </x:c>
      <x:c r="Q264" s="89" t="str">
        <x:v>Sí</x:v>
      </x:c>
      <x:c r="R264" s="89" t="str">
        <x:v>Fisioterapia</x:v>
      </x:c>
      <x:c r="S264" s="106" t="n">
        <x:v>46213</x:v>
      </x:c>
      <x:c r="T264" s="89" t="str">
        <x:f>IF(O264&lt;Instructivo!$B$4,"Vencido",IF(O264&lt;=Instructivo!$B$4+30,"Próximo a vencer","Vigente"))</x:f>
        <x:v>Vigente</x:v>
      </x:c>
      <x:c r="U264" s="89" t="str">
        <x:v>Analista SST</x:v>
      </x:c>
      <x:c r="V264" s="90" t="str">
        <x:v>Caso priorizado por restricciones activas</x:v>
      </x:c>
    </x:row>
    <x:row r="265">
      <x:c r="A265" s="88" t="n">
        <x:v>2026</x:v>
      </x:c>
      <x:c r="B265" s="89" t="str">
        <x:v>EMO-2026-0028</x:v>
      </x:c>
      <x:c r="C265" s="106" t="n">
        <x:v>46056</x:v>
      </x:c>
      <x:c r="D265" s="89" t="str">
        <x:v>Ingreso</x:v>
      </x:c>
      <x:c r="E265" s="89" t="str">
        <x:v>264442778</x:v>
      </x:c>
      <x:c r="F265" s="89" t="str">
        <x:v>Luis Yulieth Sánchez Sánchez</x:v>
      </x:c>
      <x:c r="G265" s="89" t="str">
        <x:v>Vigilante</x:v>
      </x:c>
      <x:c r="H265" s="89" t="str">
        <x:v>Medellín</x:v>
      </x:c>
      <x:c r="I265" s="89" t="str">
        <x:v>Operaciones</x:v>
      </x:c>
      <x:c r="J265" s="89" t="str">
        <x:v>IPS Prevencionar</x:v>
      </x:c>
      <x:c r="K265" s="89" t="str">
        <x:v>Apto</x:v>
      </x:c>
      <x:c r="L265" s="89" t="str"/>
      <x:c r="M265" s="89" t="str">
        <x:v>Uso permanente de EPP</x:v>
      </x:c>
      <x:c r="N265" s="112" t="n">
        <x:v>12</x:v>
      </x:c>
      <x:c r="O265" s="106" t="n">
        <x:f>EDATE(C265,N265)</x:f>
        <x:v>46421</x:v>
      </x:c>
      <x:c r="P265" s="89" t="str">
        <x:v>I10 Hipertensión esencial</x:v>
      </x:c>
      <x:c r="Q265" s="89" t="str">
        <x:v>No</x:v>
      </x:c>
      <x:c r="R265" s="89" t="str"/>
      <x:c r="S265" s="106"/>
      <x:c r="T265" s="89" t="str">
        <x:f>IF(O265&lt;Instructivo!$B$4,"Vencido",IF(O265&lt;=Instructivo!$B$4+30,"Próximo a vencer","Vigente"))</x:f>
        <x:v>Vigente</x:v>
      </x:c>
      <x:c r="U265" s="89" t="str">
        <x:v>Coordinador de Talento Humano</x:v>
      </x:c>
      <x:c r="V265" s="90" t="str">
        <x:v>Sin novedades adicionales</x:v>
      </x:c>
    </x:row>
    <x:row r="266">
      <x:c r="A266" s="88" t="n">
        <x:v>2026</x:v>
      </x:c>
      <x:c r="B266" s="89" t="str">
        <x:v>EMO-2026-0029</x:v>
      </x:c>
      <x:c r="C266" s="106" t="n">
        <x:v>46099</x:v>
      </x:c>
      <x:c r="D266" s="89" t="str">
        <x:v>Reintegro</x:v>
      </x:c>
      <x:c r="E266" s="89" t="str">
        <x:v>468617381</x:v>
      </x:c>
      <x:c r="F266" s="89" t="str">
        <x:v>Luis Luisa Ramírez Torres</x:v>
      </x:c>
      <x:c r="G266" s="89" t="str">
        <x:v>Vigilante</x:v>
      </x:c>
      <x:c r="H266" s="89" t="str">
        <x:v>Tibú</x:v>
      </x:c>
      <x:c r="I266" s="89" t="str">
        <x:v>Operaciones</x:v>
      </x:c>
      <x:c r="J266" s="89" t="str">
        <x:v>Salud Integral Ocupacional</x:v>
      </x:c>
      <x:c r="K266" s="89" t="str">
        <x:v>Apto</x:v>
      </x:c>
      <x:c r="L266" s="89" t="str"/>
      <x:c r="M266" s="89" t="str">
        <x:v>Mantener estilos de vida saludable</x:v>
      </x:c>
      <x:c r="N266" s="112" t="n">
        <x:v>6</x:v>
      </x:c>
      <x:c r="O266" s="106" t="n">
        <x:f>EDATE(C266,N266)</x:f>
        <x:v>46283</x:v>
      </x:c>
      <x:c r="P266" s="89" t="str">
        <x:v>E66.9 Obesidad</x:v>
      </x:c>
      <x:c r="Q266" s="89" t="str">
        <x:v>No</x:v>
      </x:c>
      <x:c r="R266" s="89" t="str"/>
      <x:c r="S266" s="106"/>
      <x:c r="T266" s="89" t="str">
        <x:f>IF(O266&lt;Instructivo!$B$4,"Vencido",IF(O266&lt;=Instructivo!$B$4+30,"Próximo a vencer","Vigente"))</x:f>
        <x:v>Vigente</x:v>
      </x:c>
      <x:c r="U266" s="89" t="str">
        <x:v>Coordinador de Talento Humano</x:v>
      </x:c>
      <x:c r="V266" s="90" t="str">
        <x:v>Caso priorizado por restricciones activas</x:v>
      </x:c>
    </x:row>
    <x:row r="267">
      <x:c r="A267" s="88" t="n">
        <x:v>2026</x:v>
      </x:c>
      <x:c r="B267" s="89" t="str">
        <x:v>EMO-2026-0030</x:v>
      </x:c>
      <x:c r="C267" s="106" t="n">
        <x:v>46075</x:v>
      </x:c>
      <x:c r="D267" s="89" t="str">
        <x:v>Periódico</x:v>
      </x:c>
      <x:c r="E267" s="89" t="str">
        <x:v>234922880</x:v>
      </x:c>
      <x:c r="F267" s="89" t="str">
        <x:v>Wilson Juan Parra Ramírez</x:v>
      </x:c>
      <x:c r="G267" s="89" t="str">
        <x:v>Conductor</x:v>
      </x:c>
      <x:c r="H267" s="89" t="str">
        <x:v>Arauca</x:v>
      </x:c>
      <x:c r="I267" s="89" t="str">
        <x:v>Logística</x:v>
      </x:c>
      <x:c r="J267" s="89" t="str">
        <x:v>Centro Médico Laboral Andino</x:v>
      </x:c>
      <x:c r="K267" s="89" t="str">
        <x:v>Apto</x:v>
      </x:c>
      <x:c r="L267" s="89" t="str"/>
      <x:c r="M267" s="89" t="str">
        <x:v>Uso permanente de EPP</x:v>
      </x:c>
      <x:c r="N267" s="112" t="n">
        <x:v>12</x:v>
      </x:c>
      <x:c r="O267" s="106" t="n">
        <x:f>EDATE(C267,N267)</x:f>
        <x:v>46440</x:v>
      </x:c>
      <x:c r="P267" s="89" t="str">
        <x:v>H52.4 Presbicia</x:v>
      </x:c>
      <x:c r="Q267" s="89" t="str">
        <x:v>No</x:v>
      </x:c>
      <x:c r="R267" s="89" t="str"/>
      <x:c r="S267" s="106"/>
      <x:c r="T267" s="89" t="str">
        <x:f>IF(O267&lt;Instructivo!$B$4,"Vencido",IF(O267&lt;=Instructivo!$B$4+30,"Próximo a vencer","Vigente"))</x:f>
        <x:v>Vigente</x:v>
      </x:c>
      <x:c r="U267" s="89" t="str">
        <x:v>Coordinador de Talento Humano</x:v>
      </x:c>
      <x:c r="V267" s="90" t="str">
        <x:v>Requiere revisión de puesto de trabajo</x:v>
      </x:c>
    </x:row>
    <x:row r="268">
      <x:c r="A268" s="88" t="n">
        <x:v>2026</x:v>
      </x:c>
      <x:c r="B268" s="89" t="str">
        <x:v>EMO-2026-0031</x:v>
      </x:c>
      <x:c r="C268" s="106" t="n">
        <x:v>46167</x:v>
      </x:c>
      <x:c r="D268" s="89" t="str">
        <x:v>Periódico</x:v>
      </x:c>
      <x:c r="E268" s="89" t="str">
        <x:v>662642635</x:v>
      </x:c>
      <x:c r="F268" s="89" t="str">
        <x:v>Carlos Ana Pérez Rodríguez</x:v>
      </x:c>
      <x:c r="G268" s="89" t="str">
        <x:v>Conductor</x:v>
      </x:c>
      <x:c r="H268" s="89" t="str">
        <x:v>Ábrego</x:v>
      </x:c>
      <x:c r="I268" s="89" t="str">
        <x:v>Logística</x:v>
      </x:c>
      <x:c r="J268" s="89" t="str">
        <x:v>Colmédica Ocupacional</x:v>
      </x:c>
      <x:c r="K268" s="89" t="str">
        <x:v>Apto</x:v>
      </x:c>
      <x:c r="L268" s="89" t="str"/>
      <x:c r="M268" s="89" t="str">
        <x:v>Participar en programas de vigilancia epidemiológica</x:v>
      </x:c>
      <x:c r="N268" s="112" t="n">
        <x:v>12</x:v>
      </x:c>
      <x:c r="O268" s="106" t="n">
        <x:f>EDATE(C268,N268)</x:f>
        <x:v>46532</x:v>
      </x:c>
      <x:c r="P268" s="89" t="str">
        <x:v>M75.1 Lesión de hombro</x:v>
      </x:c>
      <x:c r="Q268" s="89" t="str">
        <x:v>No</x:v>
      </x:c>
      <x:c r="R268" s="89" t="str"/>
      <x:c r="S268" s="106"/>
      <x:c r="T268" s="89" t="str">
        <x:f>IF(O268&lt;Instructivo!$B$4,"Vencido",IF(O268&lt;=Instructivo!$B$4+30,"Próximo a vencer","Vigente"))</x:f>
        <x:v>Vigente</x:v>
      </x:c>
      <x:c r="U268" s="89" t="str">
        <x:v>Líder SST</x:v>
      </x:c>
      <x:c r="V268" s="90" t="str">
        <x:v>Caso priorizado por restricciones activas</x:v>
      </x:c>
    </x:row>
    <x:row r="269">
      <x:c r="A269" s="88" t="n">
        <x:v>2026</x:v>
      </x:c>
      <x:c r="B269" s="89" t="str">
        <x:v>EMO-2026-0032</x:v>
      </x:c>
      <x:c r="C269" s="106" t="n">
        <x:v>46121</x:v>
      </x:c>
      <x:c r="D269" s="89" t="str">
        <x:v>Ingreso</x:v>
      </x:c>
      <x:c r="E269" s="89" t="str">
        <x:v>471368085</x:v>
      </x:c>
      <x:c r="F269" s="89" t="str">
        <x:v>Luisa Brayan Torres Pérez</x:v>
      </x:c>
      <x:c r="G269" s="89" t="str">
        <x:v>Técnico de mantenimiento</x:v>
      </x:c>
      <x:c r="H269" s="89" t="str">
        <x:v>Valledupar</x:v>
      </x:c>
      <x:c r="I269" s="89" t="str">
        <x:v>Infraestructura</x:v>
      </x:c>
      <x:c r="J269" s="89" t="str">
        <x:v>Colmédica Ocupacional</x:v>
      </x:c>
      <x:c r="K269" s="89" t="str">
        <x:v>Apto</x:v>
      </x:c>
      <x:c r="L269" s="89" t="str"/>
      <x:c r="M269" s="89" t="str">
        <x:v>Continuar controles periódicos anuales</x:v>
      </x:c>
      <x:c r="N269" s="112" t="n">
        <x:v>12</x:v>
      </x:c>
      <x:c r="O269" s="106" t="n">
        <x:f>EDATE(C269,N269)</x:f>
        <x:v>46486</x:v>
      </x:c>
      <x:c r="P269" s="89" t="str">
        <x:v>E66.9 Obesidad</x:v>
      </x:c>
      <x:c r="Q269" s="89" t="str">
        <x:v>No</x:v>
      </x:c>
      <x:c r="R269" s="89" t="str"/>
      <x:c r="S269" s="106"/>
      <x:c r="T269" s="89" t="str">
        <x:f>IF(O269&lt;Instructivo!$B$4,"Vencido",IF(O269&lt;=Instructivo!$B$4+30,"Próximo a vencer","Vigente"))</x:f>
        <x:v>Vigente</x:v>
      </x:c>
      <x:c r="U269" s="89" t="str">
        <x:v>Analista SST</x:v>
      </x:c>
      <x:c r="V269" s="90" t="str">
        <x:v>Pendiente firma de concepto médico</x:v>
      </x:c>
    </x:row>
    <x:row r="270">
      <x:c r="A270" s="88" t="n">
        <x:v>2026</x:v>
      </x:c>
      <x:c r="B270" s="89" t="str">
        <x:v>EMO-2026-0033</x:v>
      </x:c>
      <x:c r="C270" s="106" t="n">
        <x:v>46099</x:v>
      </x:c>
      <x:c r="D270" s="89" t="str">
        <x:v>Periódico</x:v>
      </x:c>
      <x:c r="E270" s="89" t="str">
        <x:v>421192619</x:v>
      </x:c>
      <x:c r="F270" s="89" t="str">
        <x:v>Luisa Tatiana Martínez Torres</x:v>
      </x:c>
      <x:c r="G270" s="89" t="str">
        <x:v>Supervisor de puesto</x:v>
      </x:c>
      <x:c r="H270" s="89" t="str">
        <x:v>Tibú</x:v>
      </x:c>
      <x:c r="I270" s="89" t="str">
        <x:v>Operaciones</x:v>
      </x:c>
      <x:c r="J270" s="89" t="str">
        <x:v>IPS Ocupasalud SAS</x:v>
      </x:c>
      <x:c r="K270" s="89" t="str">
        <x:v>Apto</x:v>
      </x:c>
      <x:c r="L270" s="89" t="str"/>
      <x:c r="M270" s="89" t="str">
        <x:v>Continuar controles periódicos anuales</x:v>
      </x:c>
      <x:c r="N270" s="112" t="n">
        <x:v>12</x:v>
      </x:c>
      <x:c r="O270" s="106" t="n">
        <x:f>EDATE(C270,N270)</x:f>
        <x:v>46464</x:v>
      </x:c>
      <x:c r="P270" s="89" t="str">
        <x:v>I10 Hipertensión esencial</x:v>
      </x:c>
      <x:c r="Q270" s="89" t="str">
        <x:v>No</x:v>
      </x:c>
      <x:c r="R270" s="89" t="str"/>
      <x:c r="S270" s="106"/>
      <x:c r="T270" s="89" t="str">
        <x:f>IF(O270&lt;Instructivo!$B$4,"Vencido",IF(O270&lt;=Instructivo!$B$4+30,"Próximo a vencer","Vigente"))</x:f>
        <x:v>Vigente</x:v>
      </x:c>
      <x:c r="U270" s="89" t="str">
        <x:v>Médico Ocupacional</x:v>
      </x:c>
      <x:c r="V270" s="90" t="str">
        <x:v>Sin novedades adicionales</x:v>
      </x:c>
    </x:row>
    <x:row r="271">
      <x:c r="A271" s="88" t="n">
        <x:v>2026</x:v>
      </x:c>
      <x:c r="B271" s="89" t="str">
        <x:v>EMO-2026-0034</x:v>
      </x:c>
      <x:c r="C271" s="106" t="n">
        <x:v>46097</x:v>
      </x:c>
      <x:c r="D271" s="89" t="str">
        <x:v>Periódico</x:v>
      </x:c>
      <x:c r="E271" s="89" t="str">
        <x:v>966207974</x:v>
      </x:c>
      <x:c r="F271" s="89" t="str">
        <x:v>Kevin Carolina Sánchez López</x:v>
      </x:c>
      <x:c r="G271" s="89" t="str">
        <x:v>Operador de medios tecnológicos</x:v>
      </x:c>
      <x:c r="H271" s="89" t="str">
        <x:v>Cúcuta</x:v>
      </x:c>
      <x:c r="I271" s="89" t="str">
        <x:v>Medios Tecnológicos</x:v>
      </x:c>
      <x:c r="J271" s="89" t="str">
        <x:v>IPS Prevencionar</x:v>
      </x:c>
      <x:c r="K271" s="89" t="str">
        <x:v>Apto</x:v>
      </x:c>
      <x:c r="L271" s="89" t="str"/>
      <x:c r="M271" s="89" t="str">
        <x:v>Continuar controles periódicos anuales</x:v>
      </x:c>
      <x:c r="N271" s="112" t="n">
        <x:v>12</x:v>
      </x:c>
      <x:c r="O271" s="106" t="n">
        <x:f>EDATE(C271,N271)</x:f>
        <x:v>46462</x:v>
      </x:c>
      <x:c r="P271" s="89" t="str">
        <x:v>R51 Cefalea</x:v>
      </x:c>
      <x:c r="Q271" s="89" t="str">
        <x:v>No</x:v>
      </x:c>
      <x:c r="R271" s="89" t="str"/>
      <x:c r="S271" s="106"/>
      <x:c r="T271" s="89" t="str">
        <x:f>IF(O271&lt;Instructivo!$B$4,"Vencido",IF(O271&lt;=Instructivo!$B$4+30,"Próximo a vencer","Vigente"))</x:f>
        <x:v>Vigente</x:v>
      </x:c>
      <x:c r="U271" s="89" t="str">
        <x:v>Líder SST</x:v>
      </x:c>
      <x:c r="V271" s="90" t="str">
        <x:v>Sin novedades adicionales</x:v>
      </x:c>
    </x:row>
    <x:row r="272">
      <x:c r="A272" s="88" t="n">
        <x:v>2026</x:v>
      </x:c>
      <x:c r="B272" s="89" t="str">
        <x:v>EMO-2026-0035</x:v>
      </x:c>
      <x:c r="C272" s="106" t="n">
        <x:v>46075</x:v>
      </x:c>
      <x:c r="D272" s="89" t="str">
        <x:v>Periódico</x:v>
      </x:c>
      <x:c r="E272" s="89" t="str">
        <x:v>103678638</x:v>
      </x:c>
      <x:c r="F272" s="89" t="str">
        <x:v>Karen Sergio Parra Torres</x:v>
      </x:c>
      <x:c r="G272" s="89" t="str">
        <x:v>Vigilante</x:v>
      </x:c>
      <x:c r="H272" s="89" t="str">
        <x:v>Cúcuta</x:v>
      </x:c>
      <x:c r="I272" s="89" t="str">
        <x:v>Operaciones</x:v>
      </x:c>
      <x:c r="J272" s="89" t="str">
        <x:v>Colmédica Ocupacional</x:v>
      </x:c>
      <x:c r="K272" s="89" t="str">
        <x:v>Apto</x:v>
      </x:c>
      <x:c r="L272" s="89" t="str"/>
      <x:c r="M272" s="89" t="str">
        <x:v>Participar en programas de vigilancia epidemiológica</x:v>
      </x:c>
      <x:c r="N272" s="112" t="n">
        <x:v>12</x:v>
      </x:c>
      <x:c r="O272" s="106" t="n">
        <x:f>EDATE(C272,N272)</x:f>
        <x:v>46440</x:v>
      </x:c>
      <x:c r="P272" s="89" t="str">
        <x:v>I10 Hipertensión esencial</x:v>
      </x:c>
      <x:c r="Q272" s="89" t="str">
        <x:v>No</x:v>
      </x:c>
      <x:c r="R272" s="89" t="str"/>
      <x:c r="S272" s="106"/>
      <x:c r="T272" s="89" t="str">
        <x:f>IF(O272&lt;Instructivo!$B$4,"Vencido",IF(O272&lt;=Instructivo!$B$4+30,"Próximo a vencer","Vigente"))</x:f>
        <x:v>Vigente</x:v>
      </x:c>
      <x:c r="U272" s="89" t="str">
        <x:v>Analista SST</x:v>
      </x:c>
      <x:c r="V272" s="90" t="str">
        <x:v>Requiere revisión de puesto de trabajo</x:v>
      </x:c>
    </x:row>
    <x:row r="273">
      <x:c r="A273" s="88" t="n">
        <x:v>2026</x:v>
      </x:c>
      <x:c r="B273" s="89" t="str">
        <x:v>EMO-2026-0036</x:v>
      </x:c>
      <x:c r="C273" s="106" t="n">
        <x:v>46043</x:v>
      </x:c>
      <x:c r="D273" s="89" t="str">
        <x:v>Periódico</x:v>
      </x:c>
      <x:c r="E273" s="89" t="str">
        <x:v>458072684</x:v>
      </x:c>
      <x:c r="F273" s="89" t="str">
        <x:v>Julián Luis Castro Pérez</x:v>
      </x:c>
      <x:c r="G273" s="89" t="str">
        <x:v>Auxiliar administrativo</x:v>
      </x:c>
      <x:c r="H273" s="89" t="str">
        <x:v>Bogotá</x:v>
      </x:c>
      <x:c r="I273" s="89" t="str">
        <x:v>Administrativa</x:v>
      </x:c>
      <x:c r="J273" s="89" t="str">
        <x:v>IPS Prevencionar</x:v>
      </x:c>
      <x:c r="K273" s="89" t="str">
        <x:v>Apto</x:v>
      </x:c>
      <x:c r="L273" s="89" t="str"/>
      <x:c r="M273" s="89" t="str">
        <x:v>Mantener estilos de vida saludable</x:v>
      </x:c>
      <x:c r="N273" s="112" t="n">
        <x:v>12</x:v>
      </x:c>
      <x:c r="O273" s="106" t="n">
        <x:f>EDATE(C273,N273)</x:f>
        <x:v>46408</x:v>
      </x:c>
      <x:c r="P273" s="89" t="str">
        <x:v>Z00.0 Examen general</x:v>
      </x:c>
      <x:c r="Q273" s="89" t="str">
        <x:v>No</x:v>
      </x:c>
      <x:c r="R273" s="89" t="str"/>
      <x:c r="S273" s="106"/>
      <x:c r="T273" s="89" t="str">
        <x:f>IF(O273&lt;Instructivo!$B$4,"Vencido",IF(O273&lt;=Instructivo!$B$4+30,"Próximo a vencer","Vigente"))</x:f>
        <x:v>Vigente</x:v>
      </x:c>
      <x:c r="U273" s="89" t="str">
        <x:v>Médico Ocupacional</x:v>
      </x:c>
      <x:c r="V273" s="90" t="str">
        <x:v>Registro completo y soportado en historia ocupacional</x:v>
      </x:c>
    </x:row>
    <x:row r="274">
      <x:c r="A274" s="88" t="n">
        <x:v>2026</x:v>
      </x:c>
      <x:c r="B274" s="89" t="str">
        <x:v>EMO-2026-0037</x:v>
      </x:c>
      <x:c r="C274" s="106" t="n">
        <x:v>46057</x:v>
      </x:c>
      <x:c r="D274" s="89" t="str">
        <x:v>Periódico</x:v>
      </x:c>
      <x:c r="E274" s="89" t="str">
        <x:v>634700025</x:v>
      </x:c>
      <x:c r="F274" s="89" t="str">
        <x:v>Wilson Kevin Torres Moreno</x:v>
      </x:c>
      <x:c r="G274" s="89" t="str">
        <x:v>Conductor</x:v>
      </x:c>
      <x:c r="H274" s="89" t="str">
        <x:v>Girón</x:v>
      </x:c>
      <x:c r="I274" s="89" t="str">
        <x:v>Logística</x:v>
      </x:c>
      <x:c r="J274" s="89" t="str">
        <x:v>IPS Ocupasalud SAS</x:v>
      </x:c>
      <x:c r="K274" s="89" t="str">
        <x:v>Apto</x:v>
      </x:c>
      <x:c r="L274" s="89" t="str"/>
      <x:c r="M274" s="89" t="str">
        <x:v>Uso permanente de EPP</x:v>
      </x:c>
      <x:c r="N274" s="112" t="n">
        <x:v>12</x:v>
      </x:c>
      <x:c r="O274" s="106" t="n">
        <x:f>EDATE(C274,N274)</x:f>
        <x:v>46422</x:v>
      </x:c>
      <x:c r="P274" s="89" t="str">
        <x:v>H52.4 Presbicia</x:v>
      </x:c>
      <x:c r="Q274" s="89" t="str">
        <x:v>Sí</x:v>
      </x:c>
      <x:c r="R274" s="89" t="str">
        <x:v>Psicosocial</x:v>
      </x:c>
      <x:c r="S274" s="106" t="n">
        <x:v>46177</x:v>
      </x:c>
      <x:c r="T274" s="89" t="str">
        <x:f>IF(O274&lt;Instructivo!$B$4,"Vencido",IF(O274&lt;=Instructivo!$B$4+30,"Próximo a vencer","Vigente"))</x:f>
        <x:v>Vigente</x:v>
      </x:c>
      <x:c r="U274" s="89" t="str">
        <x:v>Coordinador de Talento Humano</x:v>
      </x:c>
      <x:c r="V274" s="90" t="str">
        <x:v>Pendiente firma de concepto médico</x:v>
      </x:c>
    </x:row>
    <x:row r="275">
      <x:c r="A275" s="88" t="n">
        <x:v>2026</x:v>
      </x:c>
      <x:c r="B275" s="89" t="str">
        <x:v>EMO-2026-0038</x:v>
      </x:c>
      <x:c r="C275" s="106" t="n">
        <x:v>46101</x:v>
      </x:c>
      <x:c r="D275" s="89" t="str">
        <x:v>Ingreso</x:v>
      </x:c>
      <x:c r="E275" s="89" t="str">
        <x:v>852829622</x:v>
      </x:c>
      <x:c r="F275" s="89" t="str">
        <x:v>Álvaro María Ramírez Gómez</x:v>
      </x:c>
      <x:c r="G275" s="89" t="str">
        <x:v>Vigilante</x:v>
      </x:c>
      <x:c r="H275" s="89" t="str">
        <x:v>Bogotá</x:v>
      </x:c>
      <x:c r="I275" s="89" t="str">
        <x:v>Operaciones</x:v>
      </x:c>
      <x:c r="J275" s="89" t="str">
        <x:v>Centro Médico Laboral Andino</x:v>
      </x:c>
      <x:c r="K275" s="89" t="str">
        <x:v>Apto</x:v>
      </x:c>
      <x:c r="L275" s="89" t="str"/>
      <x:c r="M275" s="89" t="str">
        <x:v>Uso permanente de EPP</x:v>
      </x:c>
      <x:c r="N275" s="112" t="n">
        <x:v>12</x:v>
      </x:c>
      <x:c r="O275" s="106" t="n">
        <x:f>EDATE(C275,N275)</x:f>
        <x:v>46466</x:v>
      </x:c>
      <x:c r="P275" s="89" t="str">
        <x:v>H52.4 Presbicia</x:v>
      </x:c>
      <x:c r="Q275" s="89" t="str">
        <x:v>Sí</x:v>
      </x:c>
      <x:c r="R275" s="89" t="str">
        <x:v>Fisioterapia</x:v>
      </x:c>
      <x:c r="S275" s="106" t="n">
        <x:v>46191</x:v>
      </x:c>
      <x:c r="T275" s="89" t="str">
        <x:f>IF(O275&lt;Instructivo!$B$4,"Vencido",IF(O275&lt;=Instructivo!$B$4+30,"Próximo a vencer","Vigente"))</x:f>
        <x:v>Vigente</x:v>
      </x:c>
      <x:c r="U275" s="89" t="str">
        <x:v>Líder SST</x:v>
      </x:c>
      <x:c r="V275" s="90" t="str">
        <x:v>Caso priorizado por restricciones activas</x:v>
      </x:c>
    </x:row>
    <x:row r="276">
      <x:c r="A276" s="88" t="n">
        <x:v>2026</x:v>
      </x:c>
      <x:c r="B276" s="89" t="str">
        <x:v>EMO-2026-0039</x:v>
      </x:c>
      <x:c r="C276" s="106" t="n">
        <x:v>46163</x:v>
      </x:c>
      <x:c r="D276" s="89" t="str">
        <x:v>Ingreso</x:v>
      </x:c>
      <x:c r="E276" s="89" t="str">
        <x:v>585040453</x:v>
      </x:c>
      <x:c r="F276" s="89" t="str">
        <x:v>Wilson Diana López Ramírez</x:v>
      </x:c>
      <x:c r="G276" s="89" t="str">
        <x:v>Escolta</x:v>
      </x:c>
      <x:c r="H276" s="89" t="str">
        <x:v>Girón</x:v>
      </x:c>
      <x:c r="I276" s="89" t="str">
        <x:v>Escoltas</x:v>
      </x:c>
      <x:c r="J276" s="89" t="str">
        <x:v>Colmédica Ocupacional</x:v>
      </x:c>
      <x:c r="K276" s="89" t="str">
        <x:v>Apto</x:v>
      </x:c>
      <x:c r="L276" s="89" t="str"/>
      <x:c r="M276" s="89" t="str">
        <x:v>Continuar controles periódicos anuales</x:v>
      </x:c>
      <x:c r="N276" s="112" t="n">
        <x:v>12</x:v>
      </x:c>
      <x:c r="O276" s="106" t="n">
        <x:f>EDATE(C276,N276)</x:f>
        <x:v>46528</x:v>
      </x:c>
      <x:c r="P276" s="89" t="str">
        <x:v>R51 Cefalea</x:v>
      </x:c>
      <x:c r="Q276" s="89" t="str">
        <x:v>No</x:v>
      </x:c>
      <x:c r="R276" s="89" t="str"/>
      <x:c r="S276" s="106"/>
      <x:c r="T276" s="89" t="str">
        <x:f>IF(O276&lt;Instructivo!$B$4,"Vencido",IF(O276&lt;=Instructivo!$B$4+30,"Próximo a vencer","Vigente"))</x:f>
        <x:v>Vigente</x:v>
      </x:c>
      <x:c r="U276" s="89" t="str">
        <x:v>Coordinador de Talento Humano</x:v>
      </x:c>
      <x:c r="V276" s="90" t="str">
        <x:v>Pendiente firma de concepto médico</x:v>
      </x:c>
    </x:row>
    <x:row r="277">
      <x:c r="A277" s="88" t="n">
        <x:v>2026</x:v>
      </x:c>
      <x:c r="B277" s="89" t="str">
        <x:v>EMO-2026-0040</x:v>
      </x:c>
      <x:c r="C277" s="106" t="n">
        <x:v>46159</x:v>
      </x:c>
      <x:c r="D277" s="89" t="str">
        <x:v>Periódico</x:v>
      </x:c>
      <x:c r="E277" s="89" t="str">
        <x:v>458072684</x:v>
      </x:c>
      <x:c r="F277" s="89" t="str">
        <x:v>Julián Luis Castro Pérez</x:v>
      </x:c>
      <x:c r="G277" s="89" t="str">
        <x:v>Auxiliar administrativo</x:v>
      </x:c>
      <x:c r="H277" s="89" t="str">
        <x:v>Bogotá</x:v>
      </x:c>
      <x:c r="I277" s="89" t="str">
        <x:v>Administrativa</x:v>
      </x:c>
      <x:c r="J277" s="89" t="str">
        <x:v>Salud Integral Ocupacional</x:v>
      </x:c>
      <x:c r="K277" s="89" t="str">
        <x:v>Apto</x:v>
      </x:c>
      <x:c r="L277" s="89" t="str"/>
      <x:c r="M277" s="89" t="str">
        <x:v>Continuar controles periódicos anuales</x:v>
      </x:c>
      <x:c r="N277" s="112" t="n">
        <x:v>12</x:v>
      </x:c>
      <x:c r="O277" s="106" t="n">
        <x:f>EDATE(C277,N277)</x:f>
        <x:v>46524</x:v>
      </x:c>
      <x:c r="P277" s="89" t="str">
        <x:v>I10 Hipertensión esencial</x:v>
      </x:c>
      <x:c r="Q277" s="89" t="str">
        <x:v>Sí</x:v>
      </x:c>
      <x:c r="R277" s="89" t="str">
        <x:v>Optometría</x:v>
      </x:c>
      <x:c r="S277" s="106" t="n">
        <x:v>46249</x:v>
      </x:c>
      <x:c r="T277" s="89" t="str">
        <x:f>IF(O277&lt;Instructivo!$B$4,"Vencido",IF(O277&lt;=Instructivo!$B$4+30,"Próximo a vencer","Vigente"))</x:f>
        <x:v>Vigente</x:v>
      </x:c>
      <x:c r="U277" s="89" t="str">
        <x:v>Líder SST</x:v>
      </x:c>
      <x:c r="V277" s="90" t="str">
        <x:v>Pendiente firma de concepto médico</x:v>
      </x:c>
    </x:row>
    <x:row r="278">
      <x:c r="A278" s="88" t="n">
        <x:v>2026</x:v>
      </x:c>
      <x:c r="B278" s="89" t="str">
        <x:v>EMO-2026-0041</x:v>
      </x:c>
      <x:c r="C278" s="106" t="n">
        <x:v>46053</x:v>
      </x:c>
      <x:c r="D278" s="89" t="str">
        <x:v>Periódico</x:v>
      </x:c>
      <x:c r="E278" s="89" t="str">
        <x:v>639224219</x:v>
      </x:c>
      <x:c r="F278" s="89" t="str">
        <x:v>Andrés Sergio Rojas Cárdenas</x:v>
      </x:c>
      <x:c r="G278" s="89" t="str">
        <x:v>Vigilante</x:v>
      </x:c>
      <x:c r="H278" s="89" t="str">
        <x:v>Bogotá</x:v>
      </x:c>
      <x:c r="I278" s="89" t="str">
        <x:v>Operaciones</x:v>
      </x:c>
      <x:c r="J278" s="89" t="str">
        <x:v>Salud Integral Ocupacional</x:v>
      </x:c>
      <x:c r="K278" s="89" t="str">
        <x:v>Apto</x:v>
      </x:c>
      <x:c r="L278" s="89" t="str"/>
      <x:c r="M278" s="89" t="str">
        <x:v>Uso permanente de EPP</x:v>
      </x:c>
      <x:c r="N278" s="112" t="n">
        <x:v>12</x:v>
      </x:c>
      <x:c r="O278" s="106" t="n">
        <x:f>EDATE(C278,N278)</x:f>
        <x:v>46418</x:v>
      </x:c>
      <x:c r="P278" s="89" t="str">
        <x:v>G56.0 Síndrome túnel carpiano</x:v>
      </x:c>
      <x:c r="Q278" s="89" t="str">
        <x:v>Sí</x:v>
      </x:c>
      <x:c r="R278" s="89" t="str">
        <x:v>Cardiometabólico</x:v>
      </x:c>
      <x:c r="S278" s="106" t="n">
        <x:v>46143</x:v>
      </x:c>
      <x:c r="T278" s="89" t="str">
        <x:f>IF(O278&lt;Instructivo!$B$4,"Vencido",IF(O278&lt;=Instructivo!$B$4+30,"Próximo a vencer","Vigente"))</x:f>
        <x:v>Vigente</x:v>
      </x:c>
      <x:c r="U278" s="89" t="str">
        <x:v>Médico Ocupacional</x:v>
      </x:c>
      <x:c r="V278" s="90" t="str">
        <x:v>Caso priorizado por restricciones activas</x:v>
      </x:c>
    </x:row>
    <x:row r="279">
      <x:c r="A279" s="91" t="n">
        <x:v>2026</x:v>
      </x:c>
      <x:c r="B279" s="92" t="str">
        <x:v>EMO-2026-0042</x:v>
      </x:c>
      <x:c r="C279" s="107" t="n">
        <x:v>46073</x:v>
      </x:c>
      <x:c r="D279" s="92" t="str">
        <x:v>Periódico</x:v>
      </x:c>
      <x:c r="E279" s="92" t="str">
        <x:v>826279418</x:v>
      </x:c>
      <x:c r="F279" s="92" t="str">
        <x:v>Camilo Ana Castro Suárez</x:v>
      </x:c>
      <x:c r="G279" s="92" t="str">
        <x:v>Vigilante</x:v>
      </x:c>
      <x:c r="H279" s="92" t="str">
        <x:v>Ábrego</x:v>
      </x:c>
      <x:c r="I279" s="92" t="str">
        <x:v>Operaciones</x:v>
      </x:c>
      <x:c r="J279" s="92" t="str">
        <x:v>Salud Integral Ocupacional</x:v>
      </x:c>
      <x:c r="K279" s="92" t="str">
        <x:v>Apto</x:v>
      </x:c>
      <x:c r="L279" s="92" t="str"/>
      <x:c r="M279" s="92" t="str">
        <x:v>Continuar controles periódicos anuales</x:v>
      </x:c>
      <x:c r="N279" s="113" t="n">
        <x:v>12</x:v>
      </x:c>
      <x:c r="O279" s="107" t="n">
        <x:f>EDATE(C279,N279)</x:f>
        <x:v>46438</x:v>
      </x:c>
      <x:c r="P279" s="92" t="str">
        <x:v>Z00.0 Examen general</x:v>
      </x:c>
      <x:c r="Q279" s="92" t="str">
        <x:v>No</x:v>
      </x:c>
      <x:c r="R279" s="92" t="str"/>
      <x:c r="S279" s="107"/>
      <x:c r="T279" s="92" t="str">
        <x:f>IF(O279&lt;Instructivo!$B$4,"Vencido",IF(O279&lt;=Instructivo!$B$4+30,"Próximo a vencer","Vigente"))</x:f>
        <x:v>Vigente</x:v>
      </x:c>
      <x:c r="U279" s="92" t="str">
        <x:v>Líder SST</x:v>
      </x:c>
      <x:c r="V279" s="93" t="str">
        <x:v>Pendiente firma de concepto médico</x:v>
      </x:c>
    </x:row>
  </x:sheetData>
  <x:conditionalFormatting sqref="T2:T279">
    <x:cfRule type="expression" dxfId="20" priority="1">
      <x:formula>T2="Vigente"</x:formula>
    </x:cfRule>
    <x:cfRule type="expression" dxfId="21" priority="2">
      <x:formula>T2="Próximo a vencer"</x:formula>
    </x:cfRule>
    <x:cfRule type="expression" dxfId="22" priority="3">
      <x:formula>T2="Vencido"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11b426321c846a6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>
      <x:c r="A1" s="38" t="str">
        <x:v>Resumen anual de exámenes médicos ocupacionales</x:v>
      </x:c>
      <x:c r="B1" s="39"/>
      <x:c r="C1" s="39"/>
      <x:c r="D1" s="39"/>
      <x:c r="E1" s="39"/>
      <x:c r="F1" s="39"/>
      <x:c r="G1" s="39"/>
      <x:c r="H1" s="39"/>
      <x:c r="I1" s="39"/>
      <x:c r="J1" s="39"/>
      <x:c r="K1" s="39"/>
      <x:c r="L1" s="39"/>
      <x:c r="M1" s="39"/>
      <x:c r="N1" s="39"/>
      <x:c r="O1" s="39"/>
      <x:c r="P1" s="39"/>
      <x:c r="Q1" s="39"/>
      <x:c r="R1" s="39"/>
      <x:c r="S1" s="39"/>
      <x:c r="T1" s="39"/>
      <x:c r="U1" s="39"/>
      <x:c r="V1" s="39"/>
    </x:row>
    <x:row r="2">
      <x:c r="A2" s="39"/>
      <x:c r="B2" s="39"/>
      <x:c r="C2" s="39"/>
      <x:c r="D2" s="39"/>
      <x:c r="E2" s="39"/>
      <x:c r="F2" s="39"/>
      <x:c r="G2" s="39"/>
      <x:c r="H2" s="39"/>
      <x:c r="I2" s="39"/>
      <x:c r="J2" s="39"/>
      <x:c r="K2" s="39"/>
      <x:c r="L2" s="39"/>
      <x:c r="M2" s="39"/>
      <x:c r="N2" s="39"/>
      <x:c r="O2" s="39"/>
      <x:c r="P2" s="39"/>
      <x:c r="Q2" s="39"/>
      <x:c r="R2" s="39"/>
      <x:c r="S2" s="39"/>
      <x:c r="T2" s="39"/>
      <x:c r="U2" s="39"/>
      <x:c r="V2" s="39"/>
    </x:row>
    <x:row r="3">
      <x:c r="A3" s="20" t="str">
        <x:v>Año</x:v>
      </x:c>
      <x:c r="B3" s="117" t="str">
        <x:v>Total exámenes</x:v>
      </x:c>
      <x:c r="C3" s="117" t="str">
        <x:v>Apto</x:v>
      </x:c>
      <x:c r="D3" s="117" t="str">
        <x:v>Apto con restricciones</x:v>
      </x:c>
      <x:c r="E3" s="117" t="str">
        <x:v>No apto</x:v>
      </x:c>
      <x:c r="F3" s="117" t="str">
        <x:v>Con seguimiento</x:v>
      </x:c>
      <x:c r="G3" s="117" t="str">
        <x:v>Vigente</x:v>
      </x:c>
      <x:c r="H3" s="117" t="str">
        <x:v>Próximo a vencer</x:v>
      </x:c>
      <x:c r="I3" s="117" t="str">
        <x:v>Vencido</x:v>
      </x:c>
      <x:c r="J3" s="117" t="str">
        <x:v>% Apto</x:v>
      </x:c>
      <x:c r="K3" s="21" t="str">
        <x:v>% Cobertura seguimiento</x:v>
      </x:c>
      <x:c r="L3" s="39"/>
      <x:c r="M3" s="39"/>
      <x:c r="N3" s="39"/>
      <x:c r="O3" s="39"/>
      <x:c r="P3" s="39"/>
      <x:c r="Q3" s="39"/>
      <x:c r="R3" s="39"/>
      <x:c r="S3" s="39"/>
      <x:c r="T3" s="39"/>
      <x:c r="U3" s="39"/>
      <x:c r="V3" s="39"/>
    </x:row>
    <x:row r="4">
      <x:c r="A4" s="40" t="n">
        <x:v>2023</x:v>
      </x:c>
      <x:c r="B4" s="209" t="n">
        <x:f>COUNTIF(Consolidado!$A:$A,A4)</x:f>
        <x:v>72</x:v>
      </x:c>
      <x:c r="C4" s="209" t="n">
        <x:f>COUNTIFS(Consolidado!$A:$A,A4,Consolidado!$K:$K,"Apto")</x:f>
        <x:v>57</x:v>
      </x:c>
      <x:c r="D4" s="209" t="n">
        <x:f>COUNTIFS(Consolidado!$A:$A,A4,Consolidado!$K:$K,"Apto con restricciones")</x:f>
        <x:v>12</x:v>
      </x:c>
      <x:c r="E4" s="209" t="n">
        <x:f>COUNTIFS(Consolidado!$A:$A,A4,Consolidado!$K:$K,"No apto")</x:f>
        <x:v>3</x:v>
      </x:c>
      <x:c r="F4" s="209" t="n">
        <x:f>COUNTIFS(Consolidado!$A:$A,A4,Consolidado!$Q:$Q,"Sí")</x:f>
        <x:v>20</x:v>
      </x:c>
      <x:c r="G4" s="209" t="n">
        <x:f>COUNTIFS(Consolidado!$A:$A,A4,Consolidado!$T:$T,"Vigente")</x:f>
        <x:v>0</x:v>
      </x:c>
      <x:c r="H4" s="209" t="n">
        <x:f>COUNTIFS(Consolidado!$A:$A,A4,Consolidado!$T:$T,"Próximo a vencer")</x:f>
        <x:v>0</x:v>
      </x:c>
      <x:c r="I4" s="209" t="n">
        <x:f>COUNTIFS(Consolidado!$A:$A,A4,Consolidado!$T:$T,"Vencido")</x:f>
        <x:v>72</x:v>
      </x:c>
      <x:c r="J4" s="210" t="n">
        <x:f>IF(B4=0,0,C4/B4)</x:f>
        <x:v>0.7916666666666666</x:v>
      </x:c>
      <x:c r="K4" s="211" t="n">
        <x:f>IF(B4=0,0,F4/B4)</x:f>
        <x:v>0.2777777777777778</x:v>
      </x:c>
      <x:c r="L4" s="39"/>
      <x:c r="M4" s="39"/>
      <x:c r="N4" s="39"/>
      <x:c r="O4" s="39"/>
      <x:c r="P4" s="39"/>
      <x:c r="Q4" s="39"/>
      <x:c r="R4" s="39"/>
      <x:c r="S4" s="39"/>
      <x:c r="T4" s="39"/>
      <x:c r="U4" s="39"/>
      <x:c r="V4" s="39"/>
    </x:row>
    <x:row r="5">
      <x:c r="A5" s="40" t="n">
        <x:v>2024</x:v>
      </x:c>
      <x:c r="B5" s="209" t="n">
        <x:f>COUNTIF(Consolidado!$A:$A,A5)</x:f>
        <x:v>78</x:v>
      </x:c>
      <x:c r="C5" s="209" t="n">
        <x:f>COUNTIFS(Consolidado!$A:$A,A5,Consolidado!$K:$K,"Apto")</x:f>
        <x:v>57</x:v>
      </x:c>
      <x:c r="D5" s="209" t="n">
        <x:f>COUNTIFS(Consolidado!$A:$A,A5,Consolidado!$K:$K,"Apto con restricciones")</x:f>
        <x:v>20</x:v>
      </x:c>
      <x:c r="E5" s="209" t="n">
        <x:f>COUNTIFS(Consolidado!$A:$A,A5,Consolidado!$K:$K,"No apto")</x:f>
        <x:v>1</x:v>
      </x:c>
      <x:c r="F5" s="209" t="n">
        <x:f>COUNTIFS(Consolidado!$A:$A,A5,Consolidado!$Q:$Q,"Sí")</x:f>
        <x:v>32</x:v>
      </x:c>
      <x:c r="G5" s="209" t="n">
        <x:f>COUNTIFS(Consolidado!$A:$A,A5,Consolidado!$T:$T,"Vigente")</x:f>
        <x:v>0</x:v>
      </x:c>
      <x:c r="H5" s="209" t="n">
        <x:f>COUNTIFS(Consolidado!$A:$A,A5,Consolidado!$T:$T,"Próximo a vencer")</x:f>
        <x:v>0</x:v>
      </x:c>
      <x:c r="I5" s="209" t="n">
        <x:f>COUNTIFS(Consolidado!$A:$A,A5,Consolidado!$T:$T,"Vencido")</x:f>
        <x:v>78</x:v>
      </x:c>
      <x:c r="J5" s="210" t="n">
        <x:f>IF(B5=0,0,C5/B5)</x:f>
        <x:v>0.7307692307692307</x:v>
      </x:c>
      <x:c r="K5" s="211" t="n">
        <x:f>IF(B5=0,0,F5/B5)</x:f>
        <x:v>0.41025641025641024</x:v>
      </x:c>
      <x:c r="L5" s="39"/>
      <x:c r="M5" s="39"/>
      <x:c r="N5" s="39"/>
      <x:c r="O5" s="39"/>
      <x:c r="P5" s="39"/>
      <x:c r="Q5" s="39"/>
      <x:c r="R5" s="39"/>
      <x:c r="S5" s="39"/>
      <x:c r="T5" s="39"/>
      <x:c r="U5" s="39"/>
      <x:c r="V5" s="39"/>
    </x:row>
    <x:row r="6">
      <x:c r="A6" s="40" t="n">
        <x:v>2025</x:v>
      </x:c>
      <x:c r="B6" s="209" t="n">
        <x:f>COUNTIF(Consolidado!$A:$A,A6)</x:f>
        <x:v>86</x:v>
      </x:c>
      <x:c r="C6" s="209" t="n">
        <x:f>COUNTIFS(Consolidado!$A:$A,A6,Consolidado!$K:$K,"Apto")</x:f>
        <x:v>66</x:v>
      </x:c>
      <x:c r="D6" s="209" t="n">
        <x:f>COUNTIFS(Consolidado!$A:$A,A6,Consolidado!$K:$K,"Apto con restricciones")</x:f>
        <x:v>18</x:v>
      </x:c>
      <x:c r="E6" s="209" t="n">
        <x:f>COUNTIFS(Consolidado!$A:$A,A6,Consolidado!$K:$K,"No apto")</x:f>
        <x:v>2</x:v>
      </x:c>
      <x:c r="F6" s="209" t="n">
        <x:f>COUNTIFS(Consolidado!$A:$A,A6,Consolidado!$Q:$Q,"Sí")</x:f>
        <x:v>30</x:v>
      </x:c>
      <x:c r="G6" s="209" t="n">
        <x:f>COUNTIFS(Consolidado!$A:$A,A6,Consolidado!$T:$T,"Vigente")</x:f>
        <x:v>29</x:v>
      </x:c>
      <x:c r="H6" s="209" t="n">
        <x:f>COUNTIFS(Consolidado!$A:$A,A6,Consolidado!$T:$T,"Próximo a vencer")</x:f>
        <x:v>4</x:v>
      </x:c>
      <x:c r="I6" s="209" t="n">
        <x:f>COUNTIFS(Consolidado!$A:$A,A6,Consolidado!$T:$T,"Vencido")</x:f>
        <x:v>53</x:v>
      </x:c>
      <x:c r="J6" s="210" t="n">
        <x:f>IF(B6=0,0,C6/B6)</x:f>
        <x:v>0.7674418604651163</x:v>
      </x:c>
      <x:c r="K6" s="211" t="n">
        <x:f>IF(B6=0,0,F6/B6)</x:f>
        <x:v>0.3488372093023256</x:v>
      </x:c>
      <x:c r="L6" s="39"/>
      <x:c r="M6" s="39"/>
      <x:c r="N6" s="39"/>
      <x:c r="O6" s="39"/>
      <x:c r="P6" s="39"/>
      <x:c r="Q6" s="39"/>
      <x:c r="R6" s="39"/>
      <x:c r="S6" s="39"/>
      <x:c r="T6" s="39"/>
      <x:c r="U6" s="39"/>
      <x:c r="V6" s="39"/>
    </x:row>
    <x:row r="7">
      <x:c r="A7" s="43" t="n">
        <x:v>2026</x:v>
      </x:c>
      <x:c r="B7" s="212" t="n">
        <x:f>COUNTIF(Consolidado!$A:$A,A7)</x:f>
        <x:v>42</x:v>
      </x:c>
      <x:c r="C7" s="212" t="n">
        <x:f>COUNTIFS(Consolidado!$A:$A,A7,Consolidado!$K:$K,"Apto")</x:f>
        <x:v>36</x:v>
      </x:c>
      <x:c r="D7" s="212" t="n">
        <x:f>COUNTIFS(Consolidado!$A:$A,A7,Consolidado!$K:$K,"Apto con restricciones")</x:f>
        <x:v>5</x:v>
      </x:c>
      <x:c r="E7" s="212" t="n">
        <x:f>COUNTIFS(Consolidado!$A:$A,A7,Consolidado!$K:$K,"No apto")</x:f>
        <x:v>1</x:v>
      </x:c>
      <x:c r="F7" s="212" t="n">
        <x:f>COUNTIFS(Consolidado!$A:$A,A7,Consolidado!$Q:$Q,"Sí")</x:f>
        <x:v>13</x:v>
      </x:c>
      <x:c r="G7" s="212" t="n">
        <x:f>COUNTIFS(Consolidado!$A:$A,A7,Consolidado!$T:$T,"Vigente")</x:f>
        <x:v>42</x:v>
      </x:c>
      <x:c r="H7" s="212" t="n">
        <x:f>COUNTIFS(Consolidado!$A:$A,A7,Consolidado!$T:$T,"Próximo a vencer")</x:f>
        <x:v>0</x:v>
      </x:c>
      <x:c r="I7" s="212" t="n">
        <x:f>COUNTIFS(Consolidado!$A:$A,A7,Consolidado!$T:$T,"Vencido")</x:f>
        <x:v>0</x:v>
      </x:c>
      <x:c r="J7" s="213" t="n">
        <x:f>IF(B7=0,0,C7/B7)</x:f>
        <x:v>0.8571428571428571</x:v>
      </x:c>
      <x:c r="K7" s="214" t="n">
        <x:f>IF(B7=0,0,F7/B7)</x:f>
        <x:v>0.30952380952380953</x:v>
      </x:c>
      <x:c r="L7" s="39"/>
      <x:c r="M7" s="39"/>
      <x:c r="N7" s="39"/>
      <x:c r="O7" s="39"/>
      <x:c r="P7" s="39"/>
      <x:c r="Q7" s="39"/>
      <x:c r="R7" s="39"/>
      <x:c r="S7" s="39"/>
      <x:c r="T7" s="39"/>
      <x:c r="U7" s="39"/>
      <x:c r="V7" s="39"/>
    </x:row>
    <x:row r="8">
      <x:c r="A8" s="39"/>
      <x:c r="B8" s="39"/>
      <x:c r="C8" s="39"/>
      <x:c r="D8" s="39"/>
      <x:c r="E8" s="39"/>
      <x:c r="F8" s="39"/>
      <x:c r="G8" s="39"/>
      <x:c r="H8" s="39"/>
      <x:c r="I8" s="39"/>
      <x:c r="J8" s="39"/>
      <x:c r="K8" s="39"/>
      <x:c r="L8" s="39"/>
      <x:c r="M8" s="39"/>
      <x:c r="N8" s="39"/>
      <x:c r="O8" s="39"/>
      <x:c r="P8" s="39"/>
      <x:c r="Q8" s="39"/>
      <x:c r="R8" s="39"/>
      <x:c r="S8" s="39"/>
      <x:c r="T8" s="39"/>
      <x:c r="U8" s="39"/>
      <x:c r="V8" s="39"/>
    </x:row>
    <x:row r="9">
      <x:c r="A9" s="39"/>
      <x:c r="B9" s="39"/>
      <x:c r="C9" s="39"/>
      <x:c r="D9" s="39"/>
      <x:c r="E9" s="39"/>
      <x:c r="F9" s="39"/>
      <x:c r="G9" s="39"/>
      <x:c r="H9" s="39"/>
      <x:c r="I9" s="39"/>
      <x:c r="J9" s="39"/>
      <x:c r="K9" s="39"/>
      <x:c r="L9" s="39"/>
      <x:c r="M9" s="39"/>
      <x:c r="N9" s="39"/>
      <x:c r="O9" s="39"/>
      <x:c r="P9" s="39"/>
      <x:c r="Q9" s="39"/>
      <x:c r="R9" s="39"/>
      <x:c r="S9" s="39"/>
      <x:c r="T9" s="39"/>
      <x:c r="U9" s="39"/>
      <x:c r="V9" s="39"/>
    </x:row>
    <x:row r="10">
      <x:c r="A10" s="39"/>
      <x:c r="B10" s="39"/>
      <x:c r="C10" s="39"/>
      <x:c r="D10" s="39"/>
      <x:c r="E10" s="39"/>
      <x:c r="F10" s="39"/>
      <x:c r="G10" s="39"/>
      <x:c r="H10" s="39"/>
      <x:c r="I10" s="39"/>
      <x:c r="J10" s="39"/>
      <x:c r="K10" s="39"/>
      <x:c r="L10" s="39"/>
      <x:c r="M10" s="39"/>
      <x:c r="N10" s="39"/>
      <x:c r="O10" s="39"/>
      <x:c r="P10" s="39"/>
      <x:c r="Q10" s="39"/>
      <x:c r="R10" s="39"/>
      <x:c r="S10" s="39"/>
      <x:c r="T10" s="39"/>
      <x:c r="U10" s="39"/>
      <x:c r="V10" s="39"/>
    </x:row>
    <x:row r="11">
      <x:c r="A11" s="39"/>
      <x:c r="B11" s="39"/>
      <x:c r="C11" s="39"/>
      <x:c r="D11" s="39"/>
      <x:c r="E11" s="39"/>
      <x:c r="F11" s="39"/>
      <x:c r="G11" s="39"/>
      <x:c r="H11" s="39"/>
      <x:c r="I11" s="39"/>
      <x:c r="J11" s="39"/>
      <x:c r="K11" s="39"/>
      <x:c r="L11" s="39"/>
      <x:c r="M11" s="39"/>
      <x:c r="N11" s="39"/>
      <x:c r="O11" s="39"/>
      <x:c r="P11" s="39"/>
      <x:c r="Q11" s="39"/>
      <x:c r="R11" s="39"/>
      <x:c r="S11" s="39"/>
      <x:c r="T11" s="39"/>
      <x:c r="U11" s="39"/>
      <x:c r="V11" s="39"/>
    </x:row>
    <x:row r="12">
      <x:c r="A12" s="39"/>
      <x:c r="B12" s="39"/>
      <x:c r="C12" s="39"/>
      <x:c r="D12" s="39"/>
      <x:c r="E12" s="39"/>
      <x:c r="F12" s="39"/>
      <x:c r="G12" s="39"/>
      <x:c r="H12" s="39"/>
      <x:c r="I12" s="39"/>
      <x:c r="J12" s="39"/>
      <x:c r="K12" s="39"/>
      <x:c r="L12" s="39"/>
      <x:c r="M12" s="39"/>
      <x:c r="N12" s="39"/>
      <x:c r="O12" s="39"/>
      <x:c r="P12" s="39"/>
      <x:c r="Q12" s="39"/>
      <x:c r="R12" s="39"/>
      <x:c r="S12" s="39"/>
      <x:c r="T12" s="39"/>
      <x:c r="U12" s="39"/>
      <x:c r="V12" s="39"/>
    </x:row>
    <x:row r="13">
      <x:c r="A13" s="39"/>
      <x:c r="B13" s="39"/>
      <x:c r="C13" s="39"/>
      <x:c r="D13" s="39"/>
      <x:c r="E13" s="39"/>
      <x:c r="F13" s="39"/>
      <x:c r="G13" s="39"/>
      <x:c r="H13" s="39"/>
      <x:c r="I13" s="39"/>
      <x:c r="J13" s="39"/>
      <x:c r="K13" s="39"/>
      <x:c r="L13" s="39"/>
      <x:c r="M13" s="39"/>
      <x:c r="N13" s="39"/>
      <x:c r="O13" s="39"/>
      <x:c r="P13" s="39"/>
      <x:c r="Q13" s="39"/>
      <x:c r="R13" s="39"/>
      <x:c r="S13" s="39"/>
      <x:c r="T13" s="39"/>
      <x:c r="U13" s="39"/>
      <x:c r="V13" s="39"/>
    </x:row>
    <x:row r="14">
      <x:c r="A14" s="39"/>
      <x:c r="B14" s="39"/>
      <x:c r="C14" s="39"/>
      <x:c r="D14" s="39"/>
      <x:c r="E14" s="39"/>
      <x:c r="F14" s="39"/>
      <x:c r="G14" s="39"/>
      <x:c r="H14" s="39"/>
      <x:c r="I14" s="39"/>
      <x:c r="J14" s="39"/>
      <x:c r="K14" s="39"/>
      <x:c r="L14" s="39"/>
      <x:c r="M14" s="39"/>
      <x:c r="N14" s="39"/>
      <x:c r="O14" s="39"/>
      <x:c r="P14" s="39"/>
      <x:c r="Q14" s="39"/>
      <x:c r="R14" s="39"/>
      <x:c r="S14" s="39"/>
      <x:c r="T14" s="39"/>
      <x:c r="U14" s="39"/>
      <x:c r="V14" s="39"/>
    </x:row>
    <x:row r="15">
      <x:c r="A15" s="39"/>
      <x:c r="B15" s="39"/>
      <x:c r="C15" s="39"/>
      <x:c r="D15" s="39"/>
      <x:c r="E15" s="39"/>
      <x:c r="F15" s="39"/>
      <x:c r="G15" s="39"/>
      <x:c r="H15" s="39"/>
      <x:c r="I15" s="39"/>
      <x:c r="J15" s="39"/>
      <x:c r="K15" s="39"/>
      <x:c r="L15" s="39"/>
      <x:c r="M15" s="39"/>
      <x:c r="N15" s="39"/>
      <x:c r="O15" s="39"/>
      <x:c r="P15" s="39"/>
      <x:c r="Q15" s="39"/>
      <x:c r="R15" s="39"/>
      <x:c r="S15" s="39"/>
      <x:c r="T15" s="39"/>
      <x:c r="U15" s="39"/>
      <x:c r="V15" s="39"/>
    </x:row>
    <x:row r="16">
      <x:c r="A16" s="39"/>
      <x:c r="B16" s="39"/>
      <x:c r="C16" s="39"/>
      <x:c r="D16" s="39"/>
      <x:c r="E16" s="39"/>
      <x:c r="F16" s="39"/>
      <x:c r="G16" s="39"/>
      <x:c r="H16" s="39"/>
      <x:c r="I16" s="39"/>
      <x:c r="J16" s="39"/>
      <x:c r="K16" s="39"/>
      <x:c r="L16" s="39"/>
      <x:c r="M16" s="39"/>
      <x:c r="N16" s="39"/>
      <x:c r="O16" s="39"/>
      <x:c r="P16" s="39"/>
      <x:c r="Q16" s="39"/>
      <x:c r="R16" s="39"/>
      <x:c r="S16" s="39"/>
      <x:c r="T16" s="39"/>
      <x:c r="U16" s="39"/>
      <x:c r="V16" s="39"/>
    </x:row>
    <x:row r="17">
      <x:c r="A17" s="39"/>
      <x:c r="B17" s="39"/>
      <x:c r="C17" s="39"/>
      <x:c r="D17" s="39"/>
      <x:c r="E17" s="39"/>
      <x:c r="F17" s="39"/>
      <x:c r="G17" s="39"/>
      <x:c r="H17" s="39"/>
      <x:c r="I17" s="39"/>
      <x:c r="J17" s="39"/>
      <x:c r="K17" s="39"/>
      <x:c r="L17" s="39"/>
      <x:c r="M17" s="39"/>
      <x:c r="N17" s="39"/>
      <x:c r="O17" s="39"/>
      <x:c r="P17" s="39"/>
      <x:c r="Q17" s="39"/>
      <x:c r="R17" s="39"/>
      <x:c r="S17" s="39"/>
      <x:c r="T17" s="39"/>
      <x:c r="U17" s="39"/>
      <x:c r="V17" s="39"/>
    </x:row>
    <x:row r="18">
      <x:c r="A18" s="39"/>
      <x:c r="B18" s="39"/>
      <x:c r="C18" s="39"/>
      <x:c r="D18" s="39"/>
      <x:c r="E18" s="39"/>
      <x:c r="F18" s="39"/>
      <x:c r="G18" s="39"/>
      <x:c r="H18" s="39"/>
      <x:c r="I18" s="39"/>
      <x:c r="J18" s="39"/>
      <x:c r="K18" s="39"/>
      <x:c r="L18" s="39"/>
      <x:c r="M18" s="39"/>
      <x:c r="N18" s="39"/>
      <x:c r="O18" s="39"/>
      <x:c r="P18" s="39"/>
      <x:c r="Q18" s="39"/>
      <x:c r="R18" s="39"/>
      <x:c r="S18" s="39"/>
      <x:c r="T18" s="39"/>
      <x:c r="U18" s="39"/>
      <x:c r="V18" s="39"/>
    </x:row>
    <x:row r="19">
      <x:c r="A19" s="39"/>
      <x:c r="B19" s="39"/>
      <x:c r="C19" s="39"/>
      <x:c r="D19" s="39"/>
      <x:c r="E19" s="39"/>
      <x:c r="F19" s="39"/>
      <x:c r="G19" s="39"/>
      <x:c r="H19" s="39"/>
      <x:c r="I19" s="39"/>
      <x:c r="J19" s="39"/>
      <x:c r="K19" s="39"/>
      <x:c r="L19" s="39"/>
      <x:c r="M19" s="39"/>
      <x:c r="N19" s="39"/>
      <x:c r="O19" s="39"/>
      <x:c r="P19" s="39"/>
      <x:c r="Q19" s="39"/>
      <x:c r="R19" s="39"/>
      <x:c r="S19" s="39"/>
      <x:c r="T19" s="39"/>
      <x:c r="U19" s="39"/>
      <x:c r="V19" s="39"/>
    </x:row>
    <x:row r="20">
      <x:c r="A20" s="39"/>
      <x:c r="B20" s="39"/>
      <x:c r="C20" s="39"/>
      <x:c r="D20" s="39"/>
      <x:c r="E20" s="39"/>
      <x:c r="F20" s="39"/>
      <x:c r="G20" s="39"/>
      <x:c r="H20" s="39"/>
      <x:c r="I20" s="39"/>
      <x:c r="J20" s="39"/>
      <x:c r="K20" s="39"/>
      <x:c r="L20" s="39"/>
      <x:c r="M20" s="39"/>
      <x:c r="N20" s="39"/>
      <x:c r="O20" s="39"/>
      <x:c r="P20" s="39"/>
      <x:c r="Q20" s="39"/>
      <x:c r="R20" s="39"/>
      <x:c r="S20" s="39"/>
      <x:c r="T20" s="39"/>
      <x:c r="U20" s="39"/>
      <x:c r="V20" s="39"/>
    </x:row>
    <x:row r="21">
      <x:c r="A21" s="39"/>
      <x:c r="B21" s="39"/>
      <x:c r="C21" s="39"/>
      <x:c r="D21" s="39"/>
      <x:c r="E21" s="39"/>
      <x:c r="F21" s="39"/>
      <x:c r="G21" s="39"/>
      <x:c r="H21" s="39"/>
      <x:c r="I21" s="39"/>
      <x:c r="J21" s="39"/>
      <x:c r="K21" s="39"/>
      <x:c r="L21" s="39"/>
      <x:c r="M21" s="39"/>
      <x:c r="N21" s="39"/>
      <x:c r="O21" s="39"/>
      <x:c r="P21" s="39"/>
      <x:c r="Q21" s="39"/>
      <x:c r="R21" s="39"/>
      <x:c r="S21" s="39"/>
      <x:c r="T21" s="39"/>
      <x:c r="U21" s="39"/>
      <x:c r="V21" s="39"/>
    </x:row>
    <x:row r="22">
      <x:c r="A22" s="39"/>
      <x:c r="B22" s="39"/>
      <x:c r="C22" s="39"/>
      <x:c r="D22" s="39"/>
      <x:c r="E22" s="39"/>
      <x:c r="F22" s="39"/>
      <x:c r="G22" s="39"/>
      <x:c r="H22" s="39"/>
      <x:c r="I22" s="39"/>
      <x:c r="J22" s="39"/>
      <x:c r="K22" s="39"/>
      <x:c r="L22" s="39"/>
      <x:c r="M22" s="39"/>
      <x:c r="N22" s="39"/>
      <x:c r="O22" s="39"/>
      <x:c r="P22" s="39"/>
      <x:c r="Q22" s="39"/>
      <x:c r="R22" s="39"/>
      <x:c r="S22" s="39"/>
      <x:c r="T22" s="39"/>
      <x:c r="U22" s="39"/>
      <x:c r="V22" s="39"/>
    </x:row>
    <x:row r="23">
      <x:c r="A23" s="39"/>
      <x:c r="B23" s="39"/>
      <x:c r="C23" s="39"/>
      <x:c r="D23" s="39"/>
      <x:c r="E23" s="39"/>
      <x:c r="F23" s="39"/>
      <x:c r="G23" s="39"/>
      <x:c r="H23" s="39"/>
      <x:c r="I23" s="39"/>
      <x:c r="J23" s="39"/>
      <x:c r="K23" s="39"/>
      <x:c r="L23" s="39"/>
      <x:c r="M23" s="39"/>
      <x:c r="N23" s="39"/>
      <x:c r="O23" s="39"/>
      <x:c r="P23" s="39"/>
      <x:c r="Q23" s="39"/>
      <x:c r="R23" s="39"/>
      <x:c r="S23" s="39"/>
      <x:c r="T23" s="39"/>
      <x:c r="U23" s="39"/>
      <x:c r="V23" s="39"/>
    </x:row>
    <x:row r="24">
      <x:c r="A24" s="39"/>
      <x:c r="B24" s="39"/>
      <x:c r="C24" s="39"/>
      <x:c r="D24" s="39"/>
      <x:c r="E24" s="39"/>
      <x:c r="F24" s="39"/>
      <x:c r="G24" s="39"/>
      <x:c r="H24" s="39"/>
      <x:c r="I24" s="39"/>
      <x:c r="J24" s="39"/>
      <x:c r="K24" s="39"/>
      <x:c r="L24" s="39"/>
      <x:c r="M24" s="39"/>
      <x:c r="N24" s="39"/>
      <x:c r="O24" s="39"/>
      <x:c r="P24" s="39"/>
      <x:c r="Q24" s="39"/>
      <x:c r="R24" s="39"/>
      <x:c r="S24" s="39"/>
      <x:c r="T24" s="39"/>
      <x:c r="U24" s="39"/>
      <x:c r="V24" s="39"/>
    </x:row>
    <x:row r="25">
      <x:c r="A25" s="39"/>
      <x:c r="B25" s="39"/>
      <x:c r="C25" s="39"/>
      <x:c r="D25" s="39"/>
      <x:c r="E25" s="39"/>
      <x:c r="F25" s="39"/>
      <x:c r="G25" s="39"/>
      <x:c r="H25" s="39"/>
      <x:c r="I25" s="39"/>
      <x:c r="J25" s="39"/>
      <x:c r="K25" s="39"/>
      <x:c r="L25" s="39"/>
      <x:c r="M25" s="39"/>
      <x:c r="N25" s="39"/>
      <x:c r="O25" s="39"/>
      <x:c r="P25" s="39"/>
      <x:c r="Q25" s="39"/>
      <x:c r="R25" s="39"/>
      <x:c r="S25" s="39"/>
      <x:c r="T25" s="39"/>
      <x:c r="U25" s="39"/>
      <x:c r="V25" s="39"/>
    </x:row>
    <x:row r="26">
      <x:c r="A26" s="39"/>
      <x:c r="B26" s="39"/>
      <x:c r="C26" s="39"/>
      <x:c r="D26" s="39"/>
      <x:c r="E26" s="39"/>
      <x:c r="F26" s="39"/>
      <x:c r="G26" s="39"/>
      <x:c r="H26" s="39"/>
      <x:c r="I26" s="39"/>
      <x:c r="J26" s="39"/>
      <x:c r="K26" s="39"/>
      <x:c r="L26" s="39"/>
      <x:c r="M26" s="39"/>
      <x:c r="N26" s="39"/>
      <x:c r="O26" s="39"/>
      <x:c r="P26" s="39"/>
      <x:c r="Q26" s="39"/>
      <x:c r="R26" s="39"/>
      <x:c r="S26" s="39"/>
      <x:c r="T26" s="39"/>
      <x:c r="U26" s="39"/>
      <x:c r="V26" s="39"/>
    </x:row>
    <x:row r="27">
      <x:c r="A27" s="39"/>
      <x:c r="B27" s="39"/>
      <x:c r="C27" s="39"/>
      <x:c r="D27" s="39"/>
      <x:c r="E27" s="39"/>
      <x:c r="F27" s="39"/>
      <x:c r="G27" s="39"/>
      <x:c r="H27" s="39"/>
      <x:c r="I27" s="39"/>
      <x:c r="J27" s="39"/>
      <x:c r="K27" s="39"/>
      <x:c r="L27" s="39"/>
      <x:c r="M27" s="39"/>
      <x:c r="N27" s="39"/>
      <x:c r="O27" s="39"/>
      <x:c r="P27" s="39"/>
      <x:c r="Q27" s="39"/>
      <x:c r="R27" s="39"/>
      <x:c r="S27" s="39"/>
      <x:c r="T27" s="39"/>
      <x:c r="U27" s="39"/>
      <x:c r="V27" s="39"/>
    </x:row>
    <x:row r="28">
      <x:c r="A28" s="39"/>
      <x:c r="B28" s="39"/>
      <x:c r="C28" s="39"/>
      <x:c r="D28" s="39"/>
      <x:c r="E28" s="39"/>
      <x:c r="F28" s="39"/>
      <x:c r="G28" s="39"/>
      <x:c r="H28" s="39"/>
      <x:c r="I28" s="39"/>
      <x:c r="J28" s="39"/>
      <x:c r="K28" s="39"/>
      <x:c r="L28" s="39"/>
      <x:c r="M28" s="39"/>
      <x:c r="N28" s="39"/>
      <x:c r="O28" s="39"/>
      <x:c r="P28" s="39"/>
      <x:c r="Q28" s="39"/>
      <x:c r="R28" s="39"/>
      <x:c r="S28" s="39"/>
      <x:c r="T28" s="39"/>
      <x:c r="U28" s="39"/>
      <x:c r="V28" s="39"/>
    </x:row>
    <x:row r="29">
      <x:c r="A29" s="39"/>
      <x:c r="B29" s="39"/>
      <x:c r="C29" s="39"/>
      <x:c r="D29" s="39"/>
      <x:c r="E29" s="39"/>
      <x:c r="F29" s="39"/>
      <x:c r="G29" s="39"/>
      <x:c r="H29" s="39"/>
      <x:c r="I29" s="39"/>
      <x:c r="J29" s="39"/>
      <x:c r="K29" s="39"/>
      <x:c r="L29" s="39"/>
      <x:c r="M29" s="39"/>
      <x:c r="N29" s="39"/>
      <x:c r="O29" s="39"/>
      <x:c r="P29" s="39"/>
      <x:c r="Q29" s="39"/>
      <x:c r="R29" s="39"/>
      <x:c r="S29" s="39"/>
      <x:c r="T29" s="39"/>
      <x:c r="U29" s="39"/>
      <x:c r="V29" s="39"/>
    </x:row>
    <x:row r="30">
      <x:c r="A30" s="39"/>
      <x:c r="B30" s="39"/>
      <x:c r="C30" s="39"/>
      <x:c r="D30" s="39"/>
      <x:c r="E30" s="39"/>
      <x:c r="F30" s="39"/>
      <x:c r="G30" s="39"/>
      <x:c r="H30" s="39"/>
      <x:c r="I30" s="39"/>
      <x:c r="J30" s="39"/>
      <x:c r="K30" s="39"/>
      <x:c r="L30" s="39"/>
      <x:c r="M30" s="39"/>
      <x:c r="N30" s="39"/>
      <x:c r="O30" s="39"/>
      <x:c r="P30" s="39"/>
      <x:c r="Q30" s="39"/>
      <x:c r="R30" s="39"/>
      <x:c r="S30" s="39"/>
      <x:c r="T30" s="39"/>
      <x:c r="U30" s="39"/>
      <x:c r="V30" s="39"/>
    </x:row>
    <x:row r="31">
      <x:c r="A31" s="39"/>
      <x:c r="B31" s="39"/>
      <x:c r="C31" s="39"/>
      <x:c r="D31" s="39"/>
      <x:c r="E31" s="39"/>
      <x:c r="F31" s="39"/>
      <x:c r="G31" s="39"/>
      <x:c r="H31" s="39"/>
      <x:c r="I31" s="39"/>
      <x:c r="J31" s="39"/>
      <x:c r="K31" s="39"/>
      <x:c r="L31" s="39"/>
      <x:c r="M31" s="39"/>
      <x:c r="N31" s="39"/>
      <x:c r="O31" s="39"/>
      <x:c r="P31" s="39"/>
      <x:c r="Q31" s="39"/>
      <x:c r="R31" s="39"/>
      <x:c r="S31" s="39"/>
      <x:c r="T31" s="39"/>
      <x:c r="U31" s="39"/>
      <x:c r="V31" s="39"/>
    </x:row>
    <x:row r="32">
      <x:c r="A32" s="39"/>
      <x:c r="B32" s="39"/>
      <x:c r="C32" s="39"/>
      <x:c r="D32" s="39"/>
      <x:c r="E32" s="39"/>
      <x:c r="F32" s="39"/>
      <x:c r="G32" s="39"/>
      <x:c r="H32" s="39"/>
      <x:c r="I32" s="39"/>
      <x:c r="J32" s="39"/>
      <x:c r="K32" s="39"/>
      <x:c r="L32" s="39"/>
      <x:c r="M32" s="39"/>
      <x:c r="N32" s="39"/>
      <x:c r="O32" s="39"/>
      <x:c r="P32" s="39"/>
      <x:c r="Q32" s="39"/>
      <x:c r="R32" s="39"/>
      <x:c r="S32" s="39"/>
      <x:c r="T32" s="39"/>
      <x:c r="U32" s="39"/>
      <x:c r="V32" s="39"/>
    </x:row>
    <x:row r="33">
      <x:c r="A33" s="39"/>
      <x:c r="B33" s="39"/>
      <x:c r="C33" s="39"/>
      <x:c r="D33" s="39"/>
      <x:c r="E33" s="39"/>
      <x:c r="F33" s="39"/>
      <x:c r="G33" s="39"/>
      <x:c r="H33" s="39"/>
      <x:c r="I33" s="39"/>
      <x:c r="J33" s="39"/>
      <x:c r="K33" s="39"/>
      <x:c r="L33" s="39"/>
      <x:c r="M33" s="39"/>
      <x:c r="N33" s="39"/>
      <x:c r="O33" s="39"/>
      <x:c r="P33" s="39"/>
      <x:c r="Q33" s="39"/>
      <x:c r="R33" s="39"/>
      <x:c r="S33" s="39"/>
      <x:c r="T33" s="39"/>
      <x:c r="U33" s="39"/>
      <x:c r="V33" s="39"/>
    </x:row>
    <x:row r="34">
      <x:c r="A34" s="39"/>
      <x:c r="B34" s="39"/>
      <x:c r="C34" s="39"/>
      <x:c r="D34" s="39"/>
      <x:c r="E34" s="39"/>
      <x:c r="F34" s="39"/>
      <x:c r="G34" s="39"/>
      <x:c r="H34" s="39"/>
      <x:c r="I34" s="39"/>
      <x:c r="J34" s="39"/>
      <x:c r="K34" s="39"/>
      <x:c r="L34" s="39"/>
      <x:c r="M34" s="39"/>
      <x:c r="N34" s="39"/>
      <x:c r="O34" s="39"/>
      <x:c r="P34" s="39"/>
      <x:c r="Q34" s="39"/>
      <x:c r="R34" s="39"/>
      <x:c r="S34" s="39"/>
      <x:c r="T34" s="39"/>
      <x:c r="U34" s="39"/>
      <x:c r="V34" s="39"/>
    </x:row>
    <x:row r="35">
      <x:c r="A35" s="39"/>
      <x:c r="B35" s="39"/>
      <x:c r="C35" s="39"/>
      <x:c r="D35" s="39"/>
      <x:c r="E35" s="39"/>
      <x:c r="F35" s="39"/>
      <x:c r="G35" s="39"/>
      <x:c r="H35" s="39"/>
      <x:c r="I35" s="39"/>
      <x:c r="J35" s="39"/>
      <x:c r="K35" s="39"/>
      <x:c r="L35" s="39"/>
      <x:c r="M35" s="39"/>
      <x:c r="N35" s="39"/>
      <x:c r="O35" s="39"/>
      <x:c r="P35" s="39"/>
      <x:c r="Q35" s="39"/>
      <x:c r="R35" s="39"/>
      <x:c r="S35" s="39"/>
      <x:c r="T35" s="39"/>
      <x:c r="U35" s="39"/>
      <x:c r="V35" s="39"/>
    </x:row>
    <x:row r="36">
      <x:c r="A36" s="39"/>
      <x:c r="B36" s="39"/>
      <x:c r="C36" s="39"/>
      <x:c r="D36" s="39"/>
      <x:c r="E36" s="39"/>
      <x:c r="F36" s="39"/>
      <x:c r="G36" s="39"/>
      <x:c r="H36" s="39"/>
      <x:c r="I36" s="39"/>
      <x:c r="J36" s="39"/>
      <x:c r="K36" s="39"/>
      <x:c r="L36" s="39"/>
      <x:c r="M36" s="39"/>
      <x:c r="N36" s="39"/>
      <x:c r="O36" s="39"/>
      <x:c r="P36" s="39"/>
      <x:c r="Q36" s="39"/>
      <x:c r="R36" s="39"/>
      <x:c r="S36" s="39"/>
      <x:c r="T36" s="39"/>
      <x:c r="U36" s="39"/>
      <x:c r="V36" s="39"/>
    </x:row>
    <x:row r="37">
      <x:c r="A37" s="39"/>
      <x:c r="B37" s="39"/>
      <x:c r="C37" s="39"/>
      <x:c r="D37" s="39"/>
      <x:c r="E37" s="39"/>
      <x:c r="F37" s="39"/>
      <x:c r="G37" s="39"/>
      <x:c r="H37" s="39"/>
      <x:c r="I37" s="39"/>
      <x:c r="J37" s="39"/>
      <x:c r="K37" s="39"/>
      <x:c r="L37" s="39"/>
      <x:c r="M37" s="39"/>
      <x:c r="N37" s="39"/>
      <x:c r="O37" s="39"/>
      <x:c r="P37" s="39"/>
      <x:c r="Q37" s="39"/>
      <x:c r="R37" s="39"/>
      <x:c r="S37" s="39"/>
      <x:c r="T37" s="39"/>
      <x:c r="U37" s="39"/>
      <x:c r="V37" s="39"/>
    </x:row>
    <x:row r="38">
      <x:c r="A38" s="39"/>
      <x:c r="B38" s="39"/>
      <x:c r="C38" s="39"/>
      <x:c r="D38" s="39"/>
      <x:c r="E38" s="39"/>
      <x:c r="F38" s="39"/>
      <x:c r="G38" s="39"/>
      <x:c r="H38" s="39"/>
      <x:c r="I38" s="39"/>
      <x:c r="J38" s="39"/>
      <x:c r="K38" s="39"/>
      <x:c r="L38" s="39"/>
      <x:c r="M38" s="39"/>
      <x:c r="N38" s="39"/>
      <x:c r="O38" s="39"/>
      <x:c r="P38" s="39"/>
      <x:c r="Q38" s="39"/>
      <x:c r="R38" s="39"/>
      <x:c r="S38" s="39"/>
      <x:c r="T38" s="39"/>
      <x:c r="U38" s="39"/>
      <x:c r="V38" s="39"/>
    </x:row>
    <x:row r="39">
      <x:c r="A39" s="39"/>
      <x:c r="B39" s="39"/>
      <x:c r="C39" s="39"/>
      <x:c r="D39" s="39"/>
      <x:c r="E39" s="39"/>
      <x:c r="F39" s="39"/>
      <x:c r="G39" s="39"/>
      <x:c r="H39" s="39"/>
      <x:c r="I39" s="39"/>
      <x:c r="J39" s="39"/>
      <x:c r="K39" s="39"/>
      <x:c r="L39" s="39"/>
      <x:c r="M39" s="39"/>
      <x:c r="N39" s="39"/>
      <x:c r="O39" s="39"/>
      <x:c r="P39" s="39"/>
      <x:c r="Q39" s="39"/>
      <x:c r="R39" s="39"/>
      <x:c r="S39" s="39"/>
      <x:c r="T39" s="39"/>
      <x:c r="U39" s="39"/>
      <x:c r="V39" s="39"/>
    </x:row>
    <x:row r="40">
      <x:c r="A40" s="39"/>
      <x:c r="B40" s="39"/>
      <x:c r="C40" s="39"/>
      <x:c r="D40" s="39"/>
      <x:c r="E40" s="39"/>
      <x:c r="F40" s="39"/>
      <x:c r="G40" s="39"/>
      <x:c r="H40" s="39"/>
      <x:c r="I40" s="39"/>
      <x:c r="J40" s="39"/>
      <x:c r="K40" s="39"/>
      <x:c r="L40" s="39"/>
      <x:c r="M40" s="39"/>
      <x:c r="N40" s="39"/>
      <x:c r="O40" s="39"/>
      <x:c r="P40" s="39"/>
      <x:c r="Q40" s="39"/>
      <x:c r="R40" s="39"/>
      <x:c r="S40" s="39"/>
      <x:c r="T40" s="39"/>
      <x:c r="U40" s="39"/>
      <x:c r="V40" s="39"/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5d789e32052f47ff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>
      <x:c r="A1" s="38" t="str">
        <x:v>Resumen por sede (consolidado 2023-2026)</x:v>
      </x:c>
      <x:c r="B1" s="39"/>
      <x:c r="C1" s="39"/>
      <x:c r="D1" s="39"/>
      <x:c r="E1" s="39"/>
      <x:c r="F1" s="39"/>
      <x:c r="G1" s="39"/>
      <x:c r="H1" s="39"/>
      <x:c r="I1" s="39"/>
      <x:c r="J1" s="39"/>
      <x:c r="K1" s="39"/>
      <x:c r="L1" s="39"/>
      <x:c r="M1" s="39"/>
      <x:c r="N1" s="39"/>
      <x:c r="O1" s="39"/>
      <x:c r="P1" s="39"/>
      <x:c r="Q1" s="39"/>
      <x:c r="R1" s="39"/>
      <x:c r="S1" s="39"/>
      <x:c r="T1" s="39"/>
      <x:c r="U1" s="39"/>
      <x:c r="V1" s="39"/>
    </x:row>
    <x:row r="2">
      <x:c r="A2" s="39"/>
      <x:c r="B2" s="39"/>
      <x:c r="C2" s="39"/>
      <x:c r="D2" s="39"/>
      <x:c r="E2" s="39"/>
      <x:c r="F2" s="39"/>
      <x:c r="G2" s="39"/>
      <x:c r="H2" s="39"/>
      <x:c r="I2" s="39"/>
      <x:c r="J2" s="39"/>
      <x:c r="K2" s="39"/>
      <x:c r="L2" s="39"/>
      <x:c r="M2" s="39"/>
      <x:c r="N2" s="39"/>
      <x:c r="O2" s="39"/>
      <x:c r="P2" s="39"/>
      <x:c r="Q2" s="39"/>
      <x:c r="R2" s="39"/>
      <x:c r="S2" s="39"/>
      <x:c r="T2" s="39"/>
      <x:c r="U2" s="39"/>
      <x:c r="V2" s="39"/>
    </x:row>
    <x:row r="3">
      <x:c r="A3" s="20" t="str">
        <x:v>Sede</x:v>
      </x:c>
      <x:c r="B3" s="117" t="str">
        <x:v>Total exámenes</x:v>
      </x:c>
      <x:c r="C3" s="117" t="str">
        <x:v>Apto</x:v>
      </x:c>
      <x:c r="D3" s="117" t="str">
        <x:v>Restricciones</x:v>
      </x:c>
      <x:c r="E3" s="117" t="str">
        <x:v>No apto</x:v>
      </x:c>
      <x:c r="F3" s="117" t="str">
        <x:v>Seguimiento</x:v>
      </x:c>
      <x:c r="G3" s="21" t="str">
        <x:v>Vencidos</x:v>
      </x:c>
      <x:c r="H3" s="39"/>
      <x:c r="I3" s="39"/>
      <x:c r="J3" s="39"/>
      <x:c r="K3" s="39"/>
      <x:c r="L3" s="39"/>
      <x:c r="M3" s="39"/>
      <x:c r="N3" s="39"/>
      <x:c r="O3" s="39"/>
      <x:c r="P3" s="39"/>
      <x:c r="Q3" s="39"/>
      <x:c r="R3" s="39"/>
      <x:c r="S3" s="39"/>
      <x:c r="T3" s="39"/>
      <x:c r="U3" s="39"/>
      <x:c r="V3" s="39"/>
    </x:row>
    <x:row r="4">
      <x:c r="A4" s="40" t="str">
        <x:v>Cúcuta</x:v>
      </x:c>
      <x:c r="B4" s="39" t="n">
        <x:f>COUNTIF(Consolidado!$H:$H,A4)</x:f>
        <x:v>64</x:v>
      </x:c>
      <x:c r="C4" s="39" t="n">
        <x:f>COUNTIFS(Consolidado!$H:$H,A4,Consolidado!$K:$K,"Apto")</x:f>
        <x:v>44</x:v>
      </x:c>
      <x:c r="D4" s="39" t="n">
        <x:f>COUNTIFS(Consolidado!$H:$H,A4,Consolidado!$K:$K,"Apto con restricciones")</x:f>
        <x:v>17</x:v>
      </x:c>
      <x:c r="E4" s="39" t="n">
        <x:f>COUNTIFS(Consolidado!$H:$H,A4,Consolidado!$K:$K,"No apto")</x:f>
        <x:v>3</x:v>
      </x:c>
      <x:c r="F4" s="39" t="n">
        <x:f>COUNTIFS(Consolidado!$H:$H,A4,Consolidado!$Q:$Q,"Sí")</x:f>
        <x:v>24</x:v>
      </x:c>
      <x:c r="G4" s="42" t="n">
        <x:f>COUNTIFS(Consolidado!$H:$H,A4,Consolidado!$T:$T,"Vencido")</x:f>
        <x:v>48</x:v>
      </x:c>
      <x:c r="H4" s="39"/>
      <x:c r="I4" s="39"/>
      <x:c r="J4" s="39"/>
      <x:c r="K4" s="39"/>
      <x:c r="L4" s="39"/>
      <x:c r="M4" s="39"/>
      <x:c r="N4" s="39"/>
      <x:c r="O4" s="39"/>
      <x:c r="P4" s="39"/>
      <x:c r="Q4" s="39"/>
      <x:c r="R4" s="39"/>
      <x:c r="S4" s="39"/>
      <x:c r="T4" s="39"/>
      <x:c r="U4" s="39"/>
      <x:c r="V4" s="39"/>
    </x:row>
    <x:row r="5">
      <x:c r="A5" s="40" t="str">
        <x:v>Barrancabermeja</x:v>
      </x:c>
      <x:c r="B5" s="39" t="n">
        <x:f>COUNTIF(Consolidado!$H:$H,A5)</x:f>
        <x:v>24</x:v>
      </x:c>
      <x:c r="C5" s="39" t="n">
        <x:f>COUNTIFS(Consolidado!$H:$H,A5,Consolidado!$K:$K,"Apto")</x:f>
        <x:v>19</x:v>
      </x:c>
      <x:c r="D5" s="39" t="n">
        <x:f>COUNTIFS(Consolidado!$H:$H,A5,Consolidado!$K:$K,"Apto con restricciones")</x:f>
        <x:v>4</x:v>
      </x:c>
      <x:c r="E5" s="39" t="n">
        <x:f>COUNTIFS(Consolidado!$H:$H,A5,Consolidado!$K:$K,"No apto")</x:f>
        <x:v>1</x:v>
      </x:c>
      <x:c r="F5" s="39" t="n">
        <x:f>COUNTIFS(Consolidado!$H:$H,A5,Consolidado!$Q:$Q,"Sí")</x:f>
        <x:v>9</x:v>
      </x:c>
      <x:c r="G5" s="42" t="n">
        <x:f>COUNTIFS(Consolidado!$H:$H,A5,Consolidado!$T:$T,"Vencido")</x:f>
        <x:v>23</x:v>
      </x:c>
      <x:c r="H5" s="39"/>
      <x:c r="I5" s="39"/>
      <x:c r="J5" s="39"/>
      <x:c r="K5" s="39"/>
      <x:c r="L5" s="39"/>
      <x:c r="M5" s="39"/>
      <x:c r="N5" s="39"/>
      <x:c r="O5" s="39"/>
      <x:c r="P5" s="39"/>
      <x:c r="Q5" s="39"/>
      <x:c r="R5" s="39"/>
      <x:c r="S5" s="39"/>
      <x:c r="T5" s="39"/>
      <x:c r="U5" s="39"/>
      <x:c r="V5" s="39"/>
    </x:row>
    <x:row r="6">
      <x:c r="A6" s="40" t="str">
        <x:v>Ocaña</x:v>
      </x:c>
      <x:c r="B6" s="39" t="n">
        <x:f>COUNTIF(Consolidado!$H:$H,A6)</x:f>
        <x:v>31</x:v>
      </x:c>
      <x:c r="C6" s="39" t="n">
        <x:f>COUNTIFS(Consolidado!$H:$H,A6,Consolidado!$K:$K,"Apto")</x:f>
        <x:v>24</x:v>
      </x:c>
      <x:c r="D6" s="39" t="n">
        <x:f>COUNTIFS(Consolidado!$H:$H,A6,Consolidado!$K:$K,"Apto con restricciones")</x:f>
        <x:v>7</x:v>
      </x:c>
      <x:c r="E6" s="39" t="n">
        <x:f>COUNTIFS(Consolidado!$H:$H,A6,Consolidado!$K:$K,"No apto")</x:f>
        <x:v>0</x:v>
      </x:c>
      <x:c r="F6" s="39" t="n">
        <x:f>COUNTIFS(Consolidado!$H:$H,A6,Consolidado!$Q:$Q,"Sí")</x:f>
        <x:v>9</x:v>
      </x:c>
      <x:c r="G6" s="42" t="n">
        <x:f>COUNTIFS(Consolidado!$H:$H,A6,Consolidado!$T:$T,"Vencido")</x:f>
        <x:v>23</x:v>
      </x:c>
      <x:c r="H6" s="39"/>
      <x:c r="I6" s="39"/>
      <x:c r="J6" s="39"/>
      <x:c r="K6" s="39"/>
      <x:c r="L6" s="39"/>
      <x:c r="M6" s="39"/>
      <x:c r="N6" s="39"/>
      <x:c r="O6" s="39"/>
      <x:c r="P6" s="39"/>
      <x:c r="Q6" s="39"/>
      <x:c r="R6" s="39"/>
      <x:c r="S6" s="39"/>
      <x:c r="T6" s="39"/>
      <x:c r="U6" s="39"/>
      <x:c r="V6" s="39"/>
    </x:row>
    <x:row r="7">
      <x:c r="A7" s="40" t="str">
        <x:v>Girón</x:v>
      </x:c>
      <x:c r="B7" s="39" t="n">
        <x:f>COUNTIF(Consolidado!$H:$H,A7)</x:f>
        <x:v>21</x:v>
      </x:c>
      <x:c r="C7" s="39" t="n">
        <x:f>COUNTIFS(Consolidado!$H:$H,A7,Consolidado!$K:$K,"Apto")</x:f>
        <x:v>16</x:v>
      </x:c>
      <x:c r="D7" s="39" t="n">
        <x:f>COUNTIFS(Consolidado!$H:$H,A7,Consolidado!$K:$K,"Apto con restricciones")</x:f>
        <x:v>4</x:v>
      </x:c>
      <x:c r="E7" s="39" t="n">
        <x:f>COUNTIFS(Consolidado!$H:$H,A7,Consolidado!$K:$K,"No apto")</x:f>
        <x:v>1</x:v>
      </x:c>
      <x:c r="F7" s="39" t="n">
        <x:f>COUNTIFS(Consolidado!$H:$H,A7,Consolidado!$Q:$Q,"Sí")</x:f>
        <x:v>6</x:v>
      </x:c>
      <x:c r="G7" s="42" t="n">
        <x:f>COUNTIFS(Consolidado!$H:$H,A7,Consolidado!$T:$T,"Vencido")</x:f>
        <x:v>12</x:v>
      </x:c>
      <x:c r="H7" s="39"/>
      <x:c r="I7" s="39"/>
      <x:c r="J7" s="39"/>
      <x:c r="K7" s="39"/>
      <x:c r="L7" s="39"/>
      <x:c r="M7" s="39"/>
      <x:c r="N7" s="39"/>
      <x:c r="O7" s="39"/>
      <x:c r="P7" s="39"/>
      <x:c r="Q7" s="39"/>
      <x:c r="R7" s="39"/>
      <x:c r="S7" s="39"/>
      <x:c r="T7" s="39"/>
      <x:c r="U7" s="39"/>
      <x:c r="V7" s="39"/>
    </x:row>
    <x:row r="8">
      <x:c r="A8" s="40" t="str">
        <x:v>Valledupar</x:v>
      </x:c>
      <x:c r="B8" s="39" t="n">
        <x:f>COUNTIF(Consolidado!$H:$H,A8)</x:f>
        <x:v>17</x:v>
      </x:c>
      <x:c r="C8" s="39" t="n">
        <x:f>COUNTIFS(Consolidado!$H:$H,A8,Consolidado!$K:$K,"Apto")</x:f>
        <x:v>15</x:v>
      </x:c>
      <x:c r="D8" s="39" t="n">
        <x:f>COUNTIFS(Consolidado!$H:$H,A8,Consolidado!$K:$K,"Apto con restricciones")</x:f>
        <x:v>1</x:v>
      </x:c>
      <x:c r="E8" s="39" t="n">
        <x:f>COUNTIFS(Consolidado!$H:$H,A8,Consolidado!$K:$K,"No apto")</x:f>
        <x:v>1</x:v>
      </x:c>
      <x:c r="F8" s="39" t="n">
        <x:f>COUNTIFS(Consolidado!$H:$H,A8,Consolidado!$Q:$Q,"Sí")</x:f>
        <x:v>6</x:v>
      </x:c>
      <x:c r="G8" s="42" t="n">
        <x:f>COUNTIFS(Consolidado!$H:$H,A8,Consolidado!$T:$T,"Vencido")</x:f>
        <x:v>12</x:v>
      </x:c>
      <x:c r="H8" s="39"/>
      <x:c r="I8" s="39"/>
      <x:c r="J8" s="39"/>
      <x:c r="K8" s="39"/>
      <x:c r="L8" s="39"/>
      <x:c r="M8" s="39"/>
      <x:c r="N8" s="39"/>
      <x:c r="O8" s="39"/>
      <x:c r="P8" s="39"/>
      <x:c r="Q8" s="39"/>
      <x:c r="R8" s="39"/>
      <x:c r="S8" s="39"/>
      <x:c r="T8" s="39"/>
      <x:c r="U8" s="39"/>
      <x:c r="V8" s="39"/>
    </x:row>
    <x:row r="9">
      <x:c r="A9" s="40" t="str">
        <x:v>Arauca</x:v>
      </x:c>
      <x:c r="B9" s="39" t="n">
        <x:f>COUNTIF(Consolidado!$H:$H,A9)</x:f>
        <x:v>24</x:v>
      </x:c>
      <x:c r="C9" s="39" t="n">
        <x:f>COUNTIFS(Consolidado!$H:$H,A9,Consolidado!$K:$K,"Apto")</x:f>
        <x:v>18</x:v>
      </x:c>
      <x:c r="D9" s="39" t="n">
        <x:f>COUNTIFS(Consolidado!$H:$H,A9,Consolidado!$K:$K,"Apto con restricciones")</x:f>
        <x:v>6</x:v>
      </x:c>
      <x:c r="E9" s="39" t="n">
        <x:f>COUNTIFS(Consolidado!$H:$H,A9,Consolidado!$K:$K,"No apto")</x:f>
        <x:v>0</x:v>
      </x:c>
      <x:c r="F9" s="39" t="n">
        <x:f>COUNTIFS(Consolidado!$H:$H,A9,Consolidado!$Q:$Q,"Sí")</x:f>
        <x:v>9</x:v>
      </x:c>
      <x:c r="G9" s="42" t="n">
        <x:f>COUNTIFS(Consolidado!$H:$H,A9,Consolidado!$T:$T,"Vencido")</x:f>
        <x:v>19</x:v>
      </x:c>
      <x:c r="H9" s="39"/>
      <x:c r="I9" s="39"/>
      <x:c r="J9" s="39"/>
      <x:c r="K9" s="39"/>
      <x:c r="L9" s="39"/>
      <x:c r="M9" s="39"/>
      <x:c r="N9" s="39"/>
      <x:c r="O9" s="39"/>
      <x:c r="P9" s="39"/>
      <x:c r="Q9" s="39"/>
      <x:c r="R9" s="39"/>
      <x:c r="S9" s="39"/>
      <x:c r="T9" s="39"/>
      <x:c r="U9" s="39"/>
      <x:c r="V9" s="39"/>
    </x:row>
    <x:row r="10">
      <x:c r="A10" s="40" t="str">
        <x:v>Bogotá</x:v>
      </x:c>
      <x:c r="B10" s="39" t="n">
        <x:f>COUNTIF(Consolidado!$H:$H,A10)</x:f>
        <x:v>19</x:v>
      </x:c>
      <x:c r="C10" s="39" t="n">
        <x:f>COUNTIFS(Consolidado!$H:$H,A10,Consolidado!$K:$K,"Apto")</x:f>
        <x:v>17</x:v>
      </x:c>
      <x:c r="D10" s="39" t="n">
        <x:f>COUNTIFS(Consolidado!$H:$H,A10,Consolidado!$K:$K,"Apto con restricciones")</x:f>
        <x:v>2</x:v>
      </x:c>
      <x:c r="E10" s="39" t="n">
        <x:f>COUNTIFS(Consolidado!$H:$H,A10,Consolidado!$K:$K,"No apto")</x:f>
        <x:v>0</x:v>
      </x:c>
      <x:c r="F10" s="39" t="n">
        <x:f>COUNTIFS(Consolidado!$H:$H,A10,Consolidado!$Q:$Q,"Sí")</x:f>
        <x:v>7</x:v>
      </x:c>
      <x:c r="G10" s="42" t="n">
        <x:f>COUNTIFS(Consolidado!$H:$H,A10,Consolidado!$T:$T,"Vencido")</x:f>
        <x:v>12</x:v>
      </x:c>
      <x:c r="H10" s="39"/>
      <x:c r="I10" s="39"/>
      <x:c r="J10" s="39"/>
      <x:c r="K10" s="39"/>
      <x:c r="L10" s="39"/>
      <x:c r="M10" s="39"/>
      <x:c r="N10" s="39"/>
      <x:c r="O10" s="39"/>
      <x:c r="P10" s="39"/>
      <x:c r="Q10" s="39"/>
      <x:c r="R10" s="39"/>
      <x:c r="S10" s="39"/>
      <x:c r="T10" s="39"/>
      <x:c r="U10" s="39"/>
      <x:c r="V10" s="39"/>
    </x:row>
    <x:row r="11">
      <x:c r="A11" s="40" t="str">
        <x:v>Tibú</x:v>
      </x:c>
      <x:c r="B11" s="39" t="n">
        <x:f>COUNTIF(Consolidado!$H:$H,A11)</x:f>
        <x:v>17</x:v>
      </x:c>
      <x:c r="C11" s="39" t="n">
        <x:f>COUNTIFS(Consolidado!$H:$H,A11,Consolidado!$K:$K,"Apto")</x:f>
        <x:v>12</x:v>
      </x:c>
      <x:c r="D11" s="39" t="n">
        <x:f>COUNTIFS(Consolidado!$H:$H,A11,Consolidado!$K:$K,"Apto con restricciones")</x:f>
        <x:v>5</x:v>
      </x:c>
      <x:c r="E11" s="39" t="n">
        <x:f>COUNTIFS(Consolidado!$H:$H,A11,Consolidado!$K:$K,"No apto")</x:f>
        <x:v>0</x:v>
      </x:c>
      <x:c r="F11" s="39" t="n">
        <x:f>COUNTIFS(Consolidado!$H:$H,A11,Consolidado!$Q:$Q,"Sí")</x:f>
        <x:v>8</x:v>
      </x:c>
      <x:c r="G11" s="42" t="n">
        <x:f>COUNTIFS(Consolidado!$H:$H,A11,Consolidado!$T:$T,"Vencido")</x:f>
        <x:v>12</x:v>
      </x:c>
      <x:c r="H11" s="39"/>
      <x:c r="I11" s="39"/>
      <x:c r="J11" s="39"/>
      <x:c r="K11" s="39"/>
      <x:c r="L11" s="39"/>
      <x:c r="M11" s="39"/>
      <x:c r="N11" s="39"/>
      <x:c r="O11" s="39"/>
      <x:c r="P11" s="39"/>
      <x:c r="Q11" s="39"/>
      <x:c r="R11" s="39"/>
      <x:c r="S11" s="39"/>
      <x:c r="T11" s="39"/>
      <x:c r="U11" s="39"/>
      <x:c r="V11" s="39"/>
    </x:row>
    <x:row r="12">
      <x:c r="A12" s="40" t="str">
        <x:v>Medellín</x:v>
      </x:c>
      <x:c r="B12" s="39" t="n">
        <x:f>COUNTIF(Consolidado!$H:$H,A12)</x:f>
        <x:v>18</x:v>
      </x:c>
      <x:c r="C12" s="39" t="n">
        <x:f>COUNTIFS(Consolidado!$H:$H,A12,Consolidado!$K:$K,"Apto")</x:f>
        <x:v>17</x:v>
      </x:c>
      <x:c r="D12" s="39" t="n">
        <x:f>COUNTIFS(Consolidado!$H:$H,A12,Consolidado!$K:$K,"Apto con restricciones")</x:f>
        <x:v>1</x:v>
      </x:c>
      <x:c r="E12" s="39" t="n">
        <x:f>COUNTIFS(Consolidado!$H:$H,A12,Consolidado!$K:$K,"No apto")</x:f>
        <x:v>0</x:v>
      </x:c>
      <x:c r="F12" s="39" t="n">
        <x:f>COUNTIFS(Consolidado!$H:$H,A12,Consolidado!$Q:$Q,"Sí")</x:f>
        <x:v>5</x:v>
      </x:c>
      <x:c r="G12" s="42" t="n">
        <x:f>COUNTIFS(Consolidado!$H:$H,A12,Consolidado!$T:$T,"Vencido")</x:f>
        <x:v>14</x:v>
      </x:c>
      <x:c r="H12" s="39"/>
      <x:c r="I12" s="39"/>
      <x:c r="J12" s="39"/>
      <x:c r="K12" s="39"/>
      <x:c r="L12" s="39"/>
      <x:c r="M12" s="39"/>
      <x:c r="N12" s="39"/>
      <x:c r="O12" s="39"/>
      <x:c r="P12" s="39"/>
      <x:c r="Q12" s="39"/>
      <x:c r="R12" s="39"/>
      <x:c r="S12" s="39"/>
      <x:c r="T12" s="39"/>
      <x:c r="U12" s="39"/>
      <x:c r="V12" s="39"/>
    </x:row>
    <x:row r="13">
      <x:c r="A13" s="40" t="str">
        <x:v>Ábrego</x:v>
      </x:c>
      <x:c r="B13" s="39" t="n">
        <x:f>COUNTIF(Consolidado!$H:$H,A13)</x:f>
        <x:v>22</x:v>
      </x:c>
      <x:c r="C13" s="39" t="n">
        <x:f>COUNTIFS(Consolidado!$H:$H,A13,Consolidado!$K:$K,"Apto")</x:f>
        <x:v>18</x:v>
      </x:c>
      <x:c r="D13" s="39" t="n">
        <x:f>COUNTIFS(Consolidado!$H:$H,A13,Consolidado!$K:$K,"Apto con restricciones")</x:f>
        <x:v>3</x:v>
      </x:c>
      <x:c r="E13" s="39" t="n">
        <x:f>COUNTIFS(Consolidado!$H:$H,A13,Consolidado!$K:$K,"No apto")</x:f>
        <x:v>1</x:v>
      </x:c>
      <x:c r="F13" s="39" t="n">
        <x:f>COUNTIFS(Consolidado!$H:$H,A13,Consolidado!$Q:$Q,"Sí")</x:f>
        <x:v>7</x:v>
      </x:c>
      <x:c r="G13" s="42" t="n">
        <x:f>COUNTIFS(Consolidado!$H:$H,A13,Consolidado!$T:$T,"Vencido")</x:f>
        <x:v>13</x:v>
      </x:c>
      <x:c r="H13" s="39"/>
      <x:c r="I13" s="39"/>
      <x:c r="J13" s="39"/>
      <x:c r="K13" s="39"/>
      <x:c r="L13" s="39"/>
      <x:c r="M13" s="39"/>
      <x:c r="N13" s="39"/>
      <x:c r="O13" s="39"/>
      <x:c r="P13" s="39"/>
      <x:c r="Q13" s="39"/>
      <x:c r="R13" s="39"/>
      <x:c r="S13" s="39"/>
      <x:c r="T13" s="39"/>
      <x:c r="U13" s="39"/>
      <x:c r="V13" s="39"/>
    </x:row>
    <x:row r="14">
      <x:c r="A14" s="43" t="str">
        <x:v>Pamplona</x:v>
      </x:c>
      <x:c r="B14" s="221" t="n">
        <x:f>COUNTIF(Consolidado!$H:$H,A14)</x:f>
        <x:v>21</x:v>
      </x:c>
      <x:c r="C14" s="221" t="n">
        <x:f>COUNTIFS(Consolidado!$H:$H,A14,Consolidado!$K:$K,"Apto")</x:f>
        <x:v>16</x:v>
      </x:c>
      <x:c r="D14" s="221" t="n">
        <x:f>COUNTIFS(Consolidado!$H:$H,A14,Consolidado!$K:$K,"Apto con restricciones")</x:f>
        <x:v>5</x:v>
      </x:c>
      <x:c r="E14" s="221" t="n">
        <x:f>COUNTIFS(Consolidado!$H:$H,A14,Consolidado!$K:$K,"No apto")</x:f>
        <x:v>0</x:v>
      </x:c>
      <x:c r="F14" s="221" t="n">
        <x:f>COUNTIFS(Consolidado!$H:$H,A14,Consolidado!$Q:$Q,"Sí")</x:f>
        <x:v>5</x:v>
      </x:c>
      <x:c r="G14" s="44" t="n">
        <x:f>COUNTIFS(Consolidado!$H:$H,A14,Consolidado!$T:$T,"Vencido")</x:f>
        <x:v>15</x:v>
      </x:c>
      <x:c r="H14" s="39"/>
      <x:c r="I14" s="39"/>
      <x:c r="J14" s="39"/>
      <x:c r="K14" s="39"/>
      <x:c r="L14" s="39"/>
      <x:c r="M14" s="39"/>
      <x:c r="N14" s="39"/>
      <x:c r="O14" s="39"/>
      <x:c r="P14" s="39"/>
      <x:c r="Q14" s="39"/>
      <x:c r="R14" s="39"/>
      <x:c r="S14" s="39"/>
      <x:c r="T14" s="39"/>
      <x:c r="U14" s="39"/>
      <x:c r="V14" s="39"/>
    </x:row>
    <x:row r="15">
      <x:c r="A15" s="39"/>
      <x:c r="B15" s="39"/>
      <x:c r="C15" s="39"/>
      <x:c r="D15" s="39"/>
      <x:c r="E15" s="39"/>
      <x:c r="F15" s="39"/>
      <x:c r="G15" s="39"/>
      <x:c r="H15" s="39"/>
      <x:c r="I15" s="39"/>
      <x:c r="J15" s="39"/>
      <x:c r="K15" s="39"/>
      <x:c r="L15" s="39"/>
      <x:c r="M15" s="39"/>
      <x:c r="N15" s="39"/>
      <x:c r="O15" s="39"/>
      <x:c r="P15" s="39"/>
      <x:c r="Q15" s="39"/>
      <x:c r="R15" s="39"/>
      <x:c r="S15" s="39"/>
      <x:c r="T15" s="39"/>
      <x:c r="U15" s="39"/>
      <x:c r="V15" s="39"/>
    </x:row>
    <x:row r="16">
      <x:c r="A16" s="39"/>
      <x:c r="B16" s="39"/>
      <x:c r="C16" s="39"/>
      <x:c r="D16" s="39"/>
      <x:c r="E16" s="39"/>
      <x:c r="F16" s="39"/>
      <x:c r="G16" s="39"/>
      <x:c r="H16" s="39"/>
      <x:c r="I16" s="39"/>
      <x:c r="J16" s="39"/>
      <x:c r="K16" s="39"/>
      <x:c r="L16" s="39"/>
      <x:c r="M16" s="39"/>
      <x:c r="N16" s="39"/>
      <x:c r="O16" s="39"/>
      <x:c r="P16" s="39"/>
      <x:c r="Q16" s="39"/>
      <x:c r="R16" s="39"/>
      <x:c r="S16" s="39"/>
      <x:c r="T16" s="39"/>
      <x:c r="U16" s="39"/>
      <x:c r="V16" s="39"/>
    </x:row>
    <x:row r="17">
      <x:c r="A17" s="39"/>
      <x:c r="B17" s="39"/>
      <x:c r="C17" s="39"/>
      <x:c r="D17" s="39"/>
      <x:c r="E17" s="39"/>
      <x:c r="F17" s="39"/>
      <x:c r="G17" s="39"/>
      <x:c r="H17" s="39"/>
      <x:c r="I17" s="39"/>
      <x:c r="J17" s="39"/>
      <x:c r="K17" s="39"/>
      <x:c r="L17" s="39"/>
      <x:c r="M17" s="39"/>
      <x:c r="N17" s="39"/>
      <x:c r="O17" s="39"/>
      <x:c r="P17" s="39"/>
      <x:c r="Q17" s="39"/>
      <x:c r="R17" s="39"/>
      <x:c r="S17" s="39"/>
      <x:c r="T17" s="39"/>
      <x:c r="U17" s="39"/>
      <x:c r="V17" s="39"/>
    </x:row>
    <x:row r="18">
      <x:c r="A18" s="39"/>
      <x:c r="B18" s="39"/>
      <x:c r="C18" s="39"/>
      <x:c r="D18" s="39"/>
      <x:c r="E18" s="39"/>
      <x:c r="F18" s="39"/>
      <x:c r="G18" s="39"/>
      <x:c r="H18" s="39"/>
      <x:c r="I18" s="39"/>
      <x:c r="J18" s="39"/>
      <x:c r="K18" s="39"/>
      <x:c r="L18" s="39"/>
      <x:c r="M18" s="39"/>
      <x:c r="N18" s="39"/>
      <x:c r="O18" s="39"/>
      <x:c r="P18" s="39"/>
      <x:c r="Q18" s="39"/>
      <x:c r="R18" s="39"/>
      <x:c r="S18" s="39"/>
      <x:c r="T18" s="39"/>
      <x:c r="U18" s="39"/>
      <x:c r="V18" s="39"/>
    </x:row>
    <x:row r="19">
      <x:c r="A19" s="39"/>
      <x:c r="B19" s="39"/>
      <x:c r="C19" s="39"/>
      <x:c r="D19" s="39"/>
      <x:c r="E19" s="39"/>
      <x:c r="F19" s="39"/>
      <x:c r="G19" s="39"/>
      <x:c r="H19" s="39"/>
      <x:c r="I19" s="39"/>
      <x:c r="J19" s="39"/>
      <x:c r="K19" s="39"/>
      <x:c r="L19" s="39"/>
      <x:c r="M19" s="39"/>
      <x:c r="N19" s="39"/>
      <x:c r="O19" s="39"/>
      <x:c r="P19" s="39"/>
      <x:c r="Q19" s="39"/>
      <x:c r="R19" s="39"/>
      <x:c r="S19" s="39"/>
      <x:c r="T19" s="39"/>
      <x:c r="U19" s="39"/>
      <x:c r="V19" s="39"/>
    </x:row>
    <x:row r="20">
      <x:c r="A20" s="39"/>
      <x:c r="B20" s="39"/>
      <x:c r="C20" s="39"/>
      <x:c r="D20" s="39"/>
      <x:c r="E20" s="39"/>
      <x:c r="F20" s="39"/>
      <x:c r="G20" s="39"/>
      <x:c r="H20" s="39"/>
      <x:c r="I20" s="39"/>
      <x:c r="J20" s="39"/>
      <x:c r="K20" s="39"/>
      <x:c r="L20" s="39"/>
      <x:c r="M20" s="39"/>
      <x:c r="N20" s="39"/>
      <x:c r="O20" s="39"/>
      <x:c r="P20" s="39"/>
      <x:c r="Q20" s="39"/>
      <x:c r="R20" s="39"/>
      <x:c r="S20" s="39"/>
      <x:c r="T20" s="39"/>
      <x:c r="U20" s="39"/>
      <x:c r="V20" s="39"/>
    </x:row>
    <x:row r="21">
      <x:c r="A21" s="39"/>
      <x:c r="B21" s="39"/>
      <x:c r="C21" s="39"/>
      <x:c r="D21" s="39"/>
      <x:c r="E21" s="39"/>
      <x:c r="F21" s="39"/>
      <x:c r="G21" s="39"/>
      <x:c r="H21" s="39"/>
      <x:c r="I21" s="39"/>
      <x:c r="J21" s="39"/>
      <x:c r="K21" s="39"/>
      <x:c r="L21" s="39"/>
      <x:c r="M21" s="39"/>
      <x:c r="N21" s="39"/>
      <x:c r="O21" s="39"/>
      <x:c r="P21" s="39"/>
      <x:c r="Q21" s="39"/>
      <x:c r="R21" s="39"/>
      <x:c r="S21" s="39"/>
      <x:c r="T21" s="39"/>
      <x:c r="U21" s="39"/>
      <x:c r="V21" s="39"/>
    </x:row>
    <x:row r="22">
      <x:c r="A22" s="39"/>
      <x:c r="B22" s="39"/>
      <x:c r="C22" s="39"/>
      <x:c r="D22" s="39"/>
      <x:c r="E22" s="39"/>
      <x:c r="F22" s="39"/>
      <x:c r="G22" s="39"/>
      <x:c r="H22" s="39"/>
      <x:c r="I22" s="39"/>
      <x:c r="J22" s="39"/>
      <x:c r="K22" s="39"/>
      <x:c r="L22" s="39"/>
      <x:c r="M22" s="39"/>
      <x:c r="N22" s="39"/>
      <x:c r="O22" s="39"/>
      <x:c r="P22" s="39"/>
      <x:c r="Q22" s="39"/>
      <x:c r="R22" s="39"/>
      <x:c r="S22" s="39"/>
      <x:c r="T22" s="39"/>
      <x:c r="U22" s="39"/>
      <x:c r="V22" s="39"/>
    </x:row>
    <x:row r="23">
      <x:c r="A23" s="39"/>
      <x:c r="B23" s="39"/>
      <x:c r="C23" s="39"/>
      <x:c r="D23" s="39"/>
      <x:c r="E23" s="39"/>
      <x:c r="F23" s="39"/>
      <x:c r="G23" s="39"/>
      <x:c r="H23" s="39"/>
      <x:c r="I23" s="39"/>
      <x:c r="J23" s="39"/>
      <x:c r="K23" s="39"/>
      <x:c r="L23" s="39"/>
      <x:c r="M23" s="39"/>
      <x:c r="N23" s="39"/>
      <x:c r="O23" s="39"/>
      <x:c r="P23" s="39"/>
      <x:c r="Q23" s="39"/>
      <x:c r="R23" s="39"/>
      <x:c r="S23" s="39"/>
      <x:c r="T23" s="39"/>
      <x:c r="U23" s="39"/>
      <x:c r="V23" s="39"/>
    </x:row>
    <x:row r="24">
      <x:c r="A24" s="39"/>
      <x:c r="B24" s="39"/>
      <x:c r="C24" s="39"/>
      <x:c r="D24" s="39"/>
      <x:c r="E24" s="39"/>
      <x:c r="F24" s="39"/>
      <x:c r="G24" s="39"/>
      <x:c r="H24" s="39"/>
      <x:c r="I24" s="39"/>
      <x:c r="J24" s="39"/>
      <x:c r="K24" s="39"/>
      <x:c r="L24" s="39"/>
      <x:c r="M24" s="39"/>
      <x:c r="N24" s="39"/>
      <x:c r="O24" s="39"/>
      <x:c r="P24" s="39"/>
      <x:c r="Q24" s="39"/>
      <x:c r="R24" s="39"/>
      <x:c r="S24" s="39"/>
      <x:c r="T24" s="39"/>
      <x:c r="U24" s="39"/>
      <x:c r="V24" s="39"/>
    </x:row>
    <x:row r="25">
      <x:c r="A25" s="39"/>
      <x:c r="B25" s="39"/>
      <x:c r="C25" s="39"/>
      <x:c r="D25" s="39"/>
      <x:c r="E25" s="39"/>
      <x:c r="F25" s="39"/>
      <x:c r="G25" s="39"/>
      <x:c r="H25" s="39"/>
      <x:c r="I25" s="39"/>
      <x:c r="J25" s="39"/>
      <x:c r="K25" s="39"/>
      <x:c r="L25" s="39"/>
      <x:c r="M25" s="39"/>
      <x:c r="N25" s="39"/>
      <x:c r="O25" s="39"/>
      <x:c r="P25" s="39"/>
      <x:c r="Q25" s="39"/>
      <x:c r="R25" s="39"/>
      <x:c r="S25" s="39"/>
      <x:c r="T25" s="39"/>
      <x:c r="U25" s="39"/>
      <x:c r="V25" s="39"/>
    </x:row>
    <x:row r="26">
      <x:c r="A26" s="39"/>
      <x:c r="B26" s="39"/>
      <x:c r="C26" s="39"/>
      <x:c r="D26" s="39"/>
      <x:c r="E26" s="39"/>
      <x:c r="F26" s="39"/>
      <x:c r="G26" s="39"/>
      <x:c r="H26" s="39"/>
      <x:c r="I26" s="39"/>
      <x:c r="J26" s="39"/>
      <x:c r="K26" s="39"/>
      <x:c r="L26" s="39"/>
      <x:c r="M26" s="39"/>
      <x:c r="N26" s="39"/>
      <x:c r="O26" s="39"/>
      <x:c r="P26" s="39"/>
      <x:c r="Q26" s="39"/>
      <x:c r="R26" s="39"/>
      <x:c r="S26" s="39"/>
      <x:c r="T26" s="39"/>
      <x:c r="U26" s="39"/>
      <x:c r="V26" s="39"/>
    </x:row>
    <x:row r="27">
      <x:c r="A27" s="39"/>
      <x:c r="B27" s="39"/>
      <x:c r="C27" s="39"/>
      <x:c r="D27" s="39"/>
      <x:c r="E27" s="39"/>
      <x:c r="F27" s="39"/>
      <x:c r="G27" s="39"/>
      <x:c r="H27" s="39"/>
      <x:c r="I27" s="39"/>
      <x:c r="J27" s="39"/>
      <x:c r="K27" s="39"/>
      <x:c r="L27" s="39"/>
      <x:c r="M27" s="39"/>
      <x:c r="N27" s="39"/>
      <x:c r="O27" s="39"/>
      <x:c r="P27" s="39"/>
      <x:c r="Q27" s="39"/>
      <x:c r="R27" s="39"/>
      <x:c r="S27" s="39"/>
      <x:c r="T27" s="39"/>
      <x:c r="U27" s="39"/>
      <x:c r="V27" s="39"/>
    </x:row>
    <x:row r="28">
      <x:c r="A28" s="39"/>
      <x:c r="B28" s="39"/>
      <x:c r="C28" s="39"/>
      <x:c r="D28" s="39"/>
      <x:c r="E28" s="39"/>
      <x:c r="F28" s="39"/>
      <x:c r="G28" s="39"/>
      <x:c r="H28" s="39"/>
      <x:c r="I28" s="39"/>
      <x:c r="J28" s="39"/>
      <x:c r="K28" s="39"/>
      <x:c r="L28" s="39"/>
      <x:c r="M28" s="39"/>
      <x:c r="N28" s="39"/>
      <x:c r="O28" s="39"/>
      <x:c r="P28" s="39"/>
      <x:c r="Q28" s="39"/>
      <x:c r="R28" s="39"/>
      <x:c r="S28" s="39"/>
      <x:c r="T28" s="39"/>
      <x:c r="U28" s="39"/>
      <x:c r="V28" s="39"/>
    </x:row>
    <x:row r="29">
      <x:c r="A29" s="39"/>
      <x:c r="B29" s="39"/>
      <x:c r="C29" s="39"/>
      <x:c r="D29" s="39"/>
      <x:c r="E29" s="39"/>
      <x:c r="F29" s="39"/>
      <x:c r="G29" s="39"/>
      <x:c r="H29" s="39"/>
      <x:c r="I29" s="39"/>
      <x:c r="J29" s="39"/>
      <x:c r="K29" s="39"/>
      <x:c r="L29" s="39"/>
      <x:c r="M29" s="39"/>
      <x:c r="N29" s="39"/>
      <x:c r="O29" s="39"/>
      <x:c r="P29" s="39"/>
      <x:c r="Q29" s="39"/>
      <x:c r="R29" s="39"/>
      <x:c r="S29" s="39"/>
      <x:c r="T29" s="39"/>
      <x:c r="U29" s="39"/>
      <x:c r="V29" s="39"/>
    </x:row>
    <x:row r="30">
      <x:c r="A30" s="39"/>
      <x:c r="B30" s="39"/>
      <x:c r="C30" s="39"/>
      <x:c r="D30" s="39"/>
      <x:c r="E30" s="39"/>
      <x:c r="F30" s="39"/>
      <x:c r="G30" s="39"/>
      <x:c r="H30" s="39"/>
      <x:c r="I30" s="39"/>
      <x:c r="J30" s="39"/>
      <x:c r="K30" s="39"/>
      <x:c r="L30" s="39"/>
      <x:c r="M30" s="39"/>
      <x:c r="N30" s="39"/>
      <x:c r="O30" s="39"/>
      <x:c r="P30" s="39"/>
      <x:c r="Q30" s="39"/>
      <x:c r="R30" s="39"/>
      <x:c r="S30" s="39"/>
      <x:c r="T30" s="39"/>
      <x:c r="U30" s="39"/>
      <x:c r="V30" s="39"/>
    </x:row>
    <x:row r="31">
      <x:c r="A31" s="39"/>
      <x:c r="B31" s="39"/>
      <x:c r="C31" s="39"/>
      <x:c r="D31" s="39"/>
      <x:c r="E31" s="39"/>
      <x:c r="F31" s="39"/>
      <x:c r="G31" s="39"/>
      <x:c r="H31" s="39"/>
      <x:c r="I31" s="39"/>
      <x:c r="J31" s="39"/>
      <x:c r="K31" s="39"/>
      <x:c r="L31" s="39"/>
      <x:c r="M31" s="39"/>
      <x:c r="N31" s="39"/>
      <x:c r="O31" s="39"/>
      <x:c r="P31" s="39"/>
      <x:c r="Q31" s="39"/>
      <x:c r="R31" s="39"/>
      <x:c r="S31" s="39"/>
      <x:c r="T31" s="39"/>
      <x:c r="U31" s="39"/>
      <x:c r="V31" s="39"/>
    </x:row>
    <x:row r="32">
      <x:c r="A32" s="39"/>
      <x:c r="B32" s="39"/>
      <x:c r="C32" s="39"/>
      <x:c r="D32" s="39"/>
      <x:c r="E32" s="39"/>
      <x:c r="F32" s="39"/>
      <x:c r="G32" s="39"/>
      <x:c r="H32" s="39"/>
      <x:c r="I32" s="39"/>
      <x:c r="J32" s="39"/>
      <x:c r="K32" s="39"/>
      <x:c r="L32" s="39"/>
      <x:c r="M32" s="39"/>
      <x:c r="N32" s="39"/>
      <x:c r="O32" s="39"/>
      <x:c r="P32" s="39"/>
      <x:c r="Q32" s="39"/>
      <x:c r="R32" s="39"/>
      <x:c r="S32" s="39"/>
      <x:c r="T32" s="39"/>
      <x:c r="U32" s="39"/>
      <x:c r="V32" s="39"/>
    </x:row>
    <x:row r="33">
      <x:c r="A33" s="39"/>
      <x:c r="B33" s="39"/>
      <x:c r="C33" s="39"/>
      <x:c r="D33" s="39"/>
      <x:c r="E33" s="39"/>
      <x:c r="F33" s="39"/>
      <x:c r="G33" s="39"/>
      <x:c r="H33" s="39"/>
      <x:c r="I33" s="39"/>
      <x:c r="J33" s="39"/>
      <x:c r="K33" s="39"/>
      <x:c r="L33" s="39"/>
      <x:c r="M33" s="39"/>
      <x:c r="N33" s="39"/>
      <x:c r="O33" s="39"/>
      <x:c r="P33" s="39"/>
      <x:c r="Q33" s="39"/>
      <x:c r="R33" s="39"/>
      <x:c r="S33" s="39"/>
      <x:c r="T33" s="39"/>
      <x:c r="U33" s="39"/>
      <x:c r="V33" s="39"/>
    </x:row>
    <x:row r="34">
      <x:c r="A34" s="39"/>
      <x:c r="B34" s="39"/>
      <x:c r="C34" s="39"/>
      <x:c r="D34" s="39"/>
      <x:c r="E34" s="39"/>
      <x:c r="F34" s="39"/>
      <x:c r="G34" s="39"/>
      <x:c r="H34" s="39"/>
      <x:c r="I34" s="39"/>
      <x:c r="J34" s="39"/>
      <x:c r="K34" s="39"/>
      <x:c r="L34" s="39"/>
      <x:c r="M34" s="39"/>
      <x:c r="N34" s="39"/>
      <x:c r="O34" s="39"/>
      <x:c r="P34" s="39"/>
      <x:c r="Q34" s="39"/>
      <x:c r="R34" s="39"/>
      <x:c r="S34" s="39"/>
      <x:c r="T34" s="39"/>
      <x:c r="U34" s="39"/>
      <x:c r="V34" s="39"/>
    </x:row>
    <x:row r="35">
      <x:c r="A35" s="39"/>
      <x:c r="B35" s="39"/>
      <x:c r="C35" s="39"/>
      <x:c r="D35" s="39"/>
      <x:c r="E35" s="39"/>
      <x:c r="F35" s="39"/>
      <x:c r="G35" s="39"/>
      <x:c r="H35" s="39"/>
      <x:c r="I35" s="39"/>
      <x:c r="J35" s="39"/>
      <x:c r="K35" s="39"/>
      <x:c r="L35" s="39"/>
      <x:c r="M35" s="39"/>
      <x:c r="N35" s="39"/>
      <x:c r="O35" s="39"/>
      <x:c r="P35" s="39"/>
      <x:c r="Q35" s="39"/>
      <x:c r="R35" s="39"/>
      <x:c r="S35" s="39"/>
      <x:c r="T35" s="39"/>
      <x:c r="U35" s="39"/>
      <x:c r="V35" s="39"/>
    </x:row>
    <x:row r="36">
      <x:c r="A36" s="39"/>
      <x:c r="B36" s="39"/>
      <x:c r="C36" s="39"/>
      <x:c r="D36" s="39"/>
      <x:c r="E36" s="39"/>
      <x:c r="F36" s="39"/>
      <x:c r="G36" s="39"/>
      <x:c r="H36" s="39"/>
      <x:c r="I36" s="39"/>
      <x:c r="J36" s="39"/>
      <x:c r="K36" s="39"/>
      <x:c r="L36" s="39"/>
      <x:c r="M36" s="39"/>
      <x:c r="N36" s="39"/>
      <x:c r="O36" s="39"/>
      <x:c r="P36" s="39"/>
      <x:c r="Q36" s="39"/>
      <x:c r="R36" s="39"/>
      <x:c r="S36" s="39"/>
      <x:c r="T36" s="39"/>
      <x:c r="U36" s="39"/>
      <x:c r="V36" s="39"/>
    </x:row>
    <x:row r="37">
      <x:c r="A37" s="39"/>
      <x:c r="B37" s="39"/>
      <x:c r="C37" s="39"/>
      <x:c r="D37" s="39"/>
      <x:c r="E37" s="39"/>
      <x:c r="F37" s="39"/>
      <x:c r="G37" s="39"/>
      <x:c r="H37" s="39"/>
      <x:c r="I37" s="39"/>
      <x:c r="J37" s="39"/>
      <x:c r="K37" s="39"/>
      <x:c r="L37" s="39"/>
      <x:c r="M37" s="39"/>
      <x:c r="N37" s="39"/>
      <x:c r="O37" s="39"/>
      <x:c r="P37" s="39"/>
      <x:c r="Q37" s="39"/>
      <x:c r="R37" s="39"/>
      <x:c r="S37" s="39"/>
      <x:c r="T37" s="39"/>
      <x:c r="U37" s="39"/>
      <x:c r="V37" s="39"/>
    </x:row>
    <x:row r="38">
      <x:c r="A38" s="39"/>
      <x:c r="B38" s="39"/>
      <x:c r="C38" s="39"/>
      <x:c r="D38" s="39"/>
      <x:c r="E38" s="39"/>
      <x:c r="F38" s="39"/>
      <x:c r="G38" s="39"/>
      <x:c r="H38" s="39"/>
      <x:c r="I38" s="39"/>
      <x:c r="J38" s="39"/>
      <x:c r="K38" s="39"/>
      <x:c r="L38" s="39"/>
      <x:c r="M38" s="39"/>
      <x:c r="N38" s="39"/>
      <x:c r="O38" s="39"/>
      <x:c r="P38" s="39"/>
      <x:c r="Q38" s="39"/>
      <x:c r="R38" s="39"/>
      <x:c r="S38" s="39"/>
      <x:c r="T38" s="39"/>
      <x:c r="U38" s="39"/>
      <x:c r="V38" s="39"/>
    </x:row>
    <x:row r="39">
      <x:c r="A39" s="39"/>
      <x:c r="B39" s="39"/>
      <x:c r="C39" s="39"/>
      <x:c r="D39" s="39"/>
      <x:c r="E39" s="39"/>
      <x:c r="F39" s="39"/>
      <x:c r="G39" s="39"/>
      <x:c r="H39" s="39"/>
      <x:c r="I39" s="39"/>
      <x:c r="J39" s="39"/>
      <x:c r="K39" s="39"/>
      <x:c r="L39" s="39"/>
      <x:c r="M39" s="39"/>
      <x:c r="N39" s="39"/>
      <x:c r="O39" s="39"/>
      <x:c r="P39" s="39"/>
      <x:c r="Q39" s="39"/>
      <x:c r="R39" s="39"/>
      <x:c r="S39" s="39"/>
      <x:c r="T39" s="39"/>
      <x:c r="U39" s="39"/>
      <x:c r="V39" s="39"/>
    </x:row>
    <x:row r="40">
      <x:c r="A40" s="39"/>
      <x:c r="B40" s="39"/>
      <x:c r="C40" s="39"/>
      <x:c r="D40" s="39"/>
      <x:c r="E40" s="39"/>
      <x:c r="F40" s="39"/>
      <x:c r="G40" s="39"/>
      <x:c r="H40" s="39"/>
      <x:c r="I40" s="39"/>
      <x:c r="J40" s="39"/>
      <x:c r="K40" s="39"/>
      <x:c r="L40" s="39"/>
      <x:c r="M40" s="39"/>
      <x:c r="N40" s="39"/>
      <x:c r="O40" s="39"/>
      <x:c r="P40" s="39"/>
      <x:c r="Q40" s="39"/>
      <x:c r="R40" s="39"/>
      <x:c r="S40" s="39"/>
      <x:c r="T40" s="39"/>
      <x:c r="U40" s="39"/>
      <x:c r="V40" s="39"/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b9bc51cbdc6a4a40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</x:cols>
  <x:sheetData>
    <x:row r="1" ht="28" customHeight="1">
      <x:c r="A1" s="38" t="str">
        <x:v>Dashboard — Seguimiento Exámenes Médicos Ocupacionales</x:v>
      </x:c>
      <x:c r="B1" s="39"/>
      <x:c r="C1" s="39"/>
      <x:c r="D1" s="39"/>
      <x:c r="E1" s="39"/>
      <x:c r="F1" s="39"/>
      <x:c r="G1" s="39"/>
      <x:c r="H1" s="39"/>
      <x:c r="I1" s="39"/>
      <x:c r="J1" s="39"/>
      <x:c r="K1" s="39"/>
      <x:c r="L1" s="39"/>
      <x:c r="M1" s="39"/>
      <x:c r="N1" s="39"/>
      <x:c r="O1" s="39"/>
      <x:c r="P1" s="39"/>
      <x:c r="Q1" s="39"/>
      <x:c r="R1" s="39"/>
      <x:c r="S1" s="39"/>
      <x:c r="T1" s="39"/>
      <x:c r="U1" s="39"/>
      <x:c r="V1" s="39"/>
    </x:row>
    <x:row r="2">
      <x:c r="A2" s="39"/>
      <x:c r="B2" s="39"/>
      <x:c r="C2" s="39"/>
      <x:c r="D2" s="39"/>
      <x:c r="E2" s="39"/>
      <x:c r="F2" s="39"/>
      <x:c r="G2" s="39"/>
      <x:c r="H2" s="39"/>
      <x:c r="I2" s="39"/>
      <x:c r="J2" s="20" t="str">
        <x:v>Año</x:v>
      </x:c>
      <x:c r="K2" s="117" t="str">
        <x:v>Total exámenes</x:v>
      </x:c>
      <x:c r="L2" s="117" t="str">
        <x:v>Vigentes</x:v>
      </x:c>
      <x:c r="M2" s="21" t="str">
        <x:v>Vencidos</x:v>
      </x:c>
      <x:c r="N2" s="39"/>
      <x:c r="O2" s="39"/>
      <x:c r="P2" s="39"/>
      <x:c r="Q2" s="39"/>
      <x:c r="R2" s="39"/>
      <x:c r="S2" s="39"/>
      <x:c r="T2" s="39"/>
      <x:c r="U2" s="39"/>
      <x:c r="V2" s="39"/>
    </x:row>
    <x:row r="3">
      <x:c r="A3" s="14" t="str">
        <x:v>Fecha de corte</x:v>
      </x:c>
      <x:c r="B3" s="131" t="n">
        <x:v>46177</x:v>
      </x:c>
      <x:c r="C3" s="39"/>
      <x:c r="D3" s="39"/>
      <x:c r="E3" s="39"/>
      <x:c r="F3" s="39"/>
      <x:c r="G3" s="39"/>
      <x:c r="H3" s="39"/>
      <x:c r="I3" s="39"/>
      <x:c r="J3" s="40" t="n">
        <x:v>2023</x:v>
      </x:c>
      <x:c r="K3" s="39" t="n">
        <x:f>XLOOKUP(J3,Resumen_Anual!A4:A7,Resumen_Anual!B4:B7)</x:f>
        <x:v>72</x:v>
      </x:c>
      <x:c r="L3" s="39" t="n">
        <x:f>XLOOKUP(J3,Resumen_Anual!A4:A7,Resumen_Anual!G4:G7)</x:f>
        <x:v>0</x:v>
      </x:c>
      <x:c r="M3" s="42" t="n">
        <x:f>XLOOKUP(J3,Resumen_Anual!A4:A7,Resumen_Anual!I4:I7)</x:f>
        <x:v>72</x:v>
      </x:c>
      <x:c r="N3" s="39"/>
      <x:c r="O3" s="39"/>
      <x:c r="P3" s="39"/>
      <x:c r="Q3" s="39"/>
      <x:c r="R3" s="39"/>
      <x:c r="S3" s="39"/>
      <x:c r="T3" s="39"/>
      <x:c r="U3" s="39"/>
      <x:c r="V3" s="39"/>
    </x:row>
    <x:row r="4">
      <x:c r="A4" s="39"/>
      <x:c r="B4" s="39"/>
      <x:c r="C4" s="39"/>
      <x:c r="D4" s="39"/>
      <x:c r="E4" s="39"/>
      <x:c r="F4" s="39"/>
      <x:c r="G4" s="39"/>
      <x:c r="H4" s="39"/>
      <x:c r="I4" s="39"/>
      <x:c r="J4" s="40" t="n">
        <x:v>2024</x:v>
      </x:c>
      <x:c r="K4" s="39" t="n">
        <x:f>XLOOKUP(J4,Resumen_Anual!A4:A7,Resumen_Anual!B4:B7)</x:f>
        <x:v>78</x:v>
      </x:c>
      <x:c r="L4" s="39" t="n">
        <x:f>XLOOKUP(J4,Resumen_Anual!A4:A7,Resumen_Anual!G4:G7)</x:f>
        <x:v>0</x:v>
      </x:c>
      <x:c r="M4" s="42" t="n">
        <x:f>XLOOKUP(J4,Resumen_Anual!A4:A7,Resumen_Anual!I4:I7)</x:f>
        <x:v>78</x:v>
      </x:c>
      <x:c r="N4" s="39"/>
      <x:c r="O4" s="39"/>
      <x:c r="P4" s="39"/>
      <x:c r="Q4" s="39"/>
      <x:c r="R4" s="39"/>
      <x:c r="S4" s="39"/>
      <x:c r="T4" s="39"/>
      <x:c r="U4" s="39"/>
      <x:c r="V4" s="39"/>
    </x:row>
    <x:row r="5">
      <x:c r="A5" s="223" t="str">
        <x:v>Total exámenes</x:v>
      </x:c>
      <x:c r="B5" s="46"/>
      <x:c r="C5" s="39"/>
      <x:c r="D5" s="224" t="str">
        <x:v>Vigentes</x:v>
      </x:c>
      <x:c r="E5" s="46"/>
      <x:c r="F5" s="39"/>
      <x:c r="G5" s="225" t="str">
        <x:v>Próx. a vencer</x:v>
      </x:c>
      <x:c r="H5" s="46"/>
      <x:c r="I5" s="39"/>
      <x:c r="J5" s="40" t="n">
        <x:v>2025</x:v>
      </x:c>
      <x:c r="K5" s="39" t="n">
        <x:f>XLOOKUP(J5,Resumen_Anual!A4:A7,Resumen_Anual!B4:B7)</x:f>
        <x:v>86</x:v>
      </x:c>
      <x:c r="L5" s="39" t="n">
        <x:f>XLOOKUP(J5,Resumen_Anual!A4:A7,Resumen_Anual!G4:G7)</x:f>
        <x:v>29</x:v>
      </x:c>
      <x:c r="M5" s="42" t="n">
        <x:f>XLOOKUP(J5,Resumen_Anual!A4:A7,Resumen_Anual!I4:I7)</x:f>
        <x:v>53</x:v>
      </x:c>
      <x:c r="N5" s="39"/>
      <x:c r="O5" s="39"/>
      <x:c r="P5" s="39"/>
      <x:c r="Q5" s="39"/>
      <x:c r="R5" s="39"/>
      <x:c r="S5" s="39"/>
      <x:c r="T5" s="39"/>
      <x:c r="U5" s="39"/>
      <x:c r="V5" s="39"/>
    </x:row>
    <x:row r="6">
      <x:c r="A6" s="226" t="n">
        <x:f>COUNTA(Consolidado!B:B)-1</x:f>
        <x:v>278</x:v>
      </x:c>
      <x:c r="B6" s="44"/>
      <x:c r="C6" s="39"/>
      <x:c r="D6" s="226" t="n">
        <x:f>COUNTIF(Consolidado!T:T,"Vigente")</x:f>
        <x:v>71</x:v>
      </x:c>
      <x:c r="E6" s="44"/>
      <x:c r="F6" s="39"/>
      <x:c r="G6" s="226" t="n">
        <x:f>COUNTIF(Consolidado!T:T,"Próximo a vencer")</x:f>
        <x:v>4</x:v>
      </x:c>
      <x:c r="H6" s="44"/>
      <x:c r="I6" s="39"/>
      <x:c r="J6" s="43" t="n">
        <x:v>2026</x:v>
      </x:c>
      <x:c r="K6" s="221" t="n">
        <x:f>XLOOKUP(J6,Resumen_Anual!A4:A7,Resumen_Anual!B4:B7)</x:f>
        <x:v>42</x:v>
      </x:c>
      <x:c r="L6" s="221" t="n">
        <x:f>XLOOKUP(J6,Resumen_Anual!A4:A7,Resumen_Anual!G4:G7)</x:f>
        <x:v>42</x:v>
      </x:c>
      <x:c r="M6" s="44" t="n">
        <x:f>XLOOKUP(J6,Resumen_Anual!A4:A7,Resumen_Anual!I4:I7)</x:f>
        <x:v>0</x:v>
      </x:c>
      <x:c r="N6" s="39"/>
      <x:c r="O6" s="39"/>
      <x:c r="P6" s="39"/>
      <x:c r="Q6" s="39"/>
      <x:c r="R6" s="39"/>
      <x:c r="S6" s="39"/>
      <x:c r="T6" s="39"/>
      <x:c r="U6" s="39"/>
      <x:c r="V6" s="39"/>
    </x:row>
    <x:row r="7">
      <x:c r="A7" s="39"/>
      <x:c r="B7" s="39"/>
      <x:c r="C7" s="39"/>
      <x:c r="D7" s="39"/>
      <x:c r="E7" s="39"/>
      <x:c r="F7" s="39"/>
      <x:c r="G7" s="39"/>
      <x:c r="H7" s="39"/>
      <x:c r="I7" s="39"/>
      <x:c r="J7" s="39"/>
      <x:c r="K7" s="39"/>
      <x:c r="L7" s="39"/>
      <x:c r="M7" s="39"/>
      <x:c r="N7" s="39"/>
      <x:c r="O7" s="39"/>
      <x:c r="P7" s="39"/>
      <x:c r="Q7" s="39"/>
      <x:c r="R7" s="39"/>
      <x:c r="S7" s="39"/>
      <x:c r="T7" s="39"/>
      <x:c r="U7" s="39"/>
      <x:c r="V7" s="39"/>
    </x:row>
    <x:row r="8">
      <x:c r="A8" s="227" t="str">
        <x:v>Vencidos</x:v>
      </x:c>
      <x:c r="B8" s="46"/>
      <x:c r="C8" s="39"/>
      <x:c r="D8" s="228" t="str">
        <x:v>Apto</x:v>
      </x:c>
      <x:c r="E8" s="46"/>
      <x:c r="F8" s="39"/>
      <x:c r="G8" s="229" t="str">
        <x:v>Con restricciones</x:v>
      </x:c>
      <x:c r="H8" s="46"/>
      <x:c r="I8" s="39"/>
      <x:c r="J8" s="39"/>
      <x:c r="K8" s="39"/>
      <x:c r="L8" s="39"/>
      <x:c r="M8" s="39"/>
      <x:c r="N8" s="39"/>
      <x:c r="O8" s="39"/>
      <x:c r="P8" s="39"/>
      <x:c r="Q8" s="39"/>
      <x:c r="R8" s="39"/>
      <x:c r="S8" s="39"/>
      <x:c r="T8" s="39"/>
      <x:c r="U8" s="39"/>
      <x:c r="V8" s="39"/>
    </x:row>
    <x:row r="9">
      <x:c r="A9" s="226" t="n">
        <x:f>COUNTIF(Consolidado!T:T,"Vencido")</x:f>
        <x:v>203</x:v>
      </x:c>
      <x:c r="B9" s="44"/>
      <x:c r="C9" s="39"/>
      <x:c r="D9" s="226" t="n">
        <x:f>COUNTIF(Consolidado!K:K,"Apto")</x:f>
        <x:v>216</x:v>
      </x:c>
      <x:c r="E9" s="44"/>
      <x:c r="F9" s="39"/>
      <x:c r="G9" s="226" t="n">
        <x:f>COUNTIF(Consolidado!K:K,"Apto con restricciones")</x:f>
        <x:v>55</x:v>
      </x:c>
      <x:c r="H9" s="44"/>
      <x:c r="I9" s="39"/>
      <x:c r="J9" s="20" t="str">
        <x:v>Resultado</x:v>
      </x:c>
      <x:c r="K9" s="21" t="str">
        <x:v>Cantidad</x:v>
      </x:c>
      <x:c r="L9" s="39"/>
      <x:c r="M9" s="39"/>
      <x:c r="N9" s="39"/>
      <x:c r="O9" s="39"/>
      <x:c r="P9" s="39"/>
      <x:c r="Q9" s="39"/>
      <x:c r="R9" s="39"/>
      <x:c r="S9" s="39"/>
      <x:c r="T9" s="39"/>
      <x:c r="U9" s="39"/>
      <x:c r="V9" s="39"/>
    </x:row>
    <x:row r="10">
      <x:c r="A10" s="39"/>
      <x:c r="B10" s="39"/>
      <x:c r="C10" s="39"/>
      <x:c r="D10" s="39"/>
      <x:c r="E10" s="39"/>
      <x:c r="F10" s="39"/>
      <x:c r="G10" s="39"/>
      <x:c r="H10" s="39"/>
      <x:c r="I10" s="39"/>
      <x:c r="J10" s="40" t="str">
        <x:v>Apto</x:v>
      </x:c>
      <x:c r="K10" s="42" t="n">
        <x:f>COUNTIF(Consolidado!K:K,J10)</x:f>
        <x:v>216</x:v>
      </x:c>
      <x:c r="L10" s="39"/>
      <x:c r="M10" s="39"/>
      <x:c r="N10" s="39"/>
      <x:c r="O10" s="39"/>
      <x:c r="P10" s="39"/>
      <x:c r="Q10" s="39"/>
      <x:c r="R10" s="39"/>
      <x:c r="S10" s="39"/>
      <x:c r="T10" s="39"/>
      <x:c r="U10" s="39"/>
      <x:c r="V10" s="39"/>
    </x:row>
    <x:row r="11">
      <x:c r="A11" s="14" t="str">
        <x:v>Indicadores por sede</x:v>
      </x:c>
      <x:c r="B11" s="39"/>
      <x:c r="C11" s="39"/>
      <x:c r="D11" s="39"/>
      <x:c r="E11" s="39"/>
      <x:c r="F11" s="39"/>
      <x:c r="G11" s="39"/>
      <x:c r="H11" s="39"/>
      <x:c r="I11" s="39"/>
      <x:c r="J11" s="40" t="str">
        <x:v>Apto con restricciones</x:v>
      </x:c>
      <x:c r="K11" s="42" t="n">
        <x:f>COUNTIF(Consolidado!K:K,J11)</x:f>
        <x:v>55</x:v>
      </x:c>
      <x:c r="L11" s="39"/>
      <x:c r="M11" s="39"/>
      <x:c r="N11" s="39"/>
      <x:c r="O11" s="39"/>
      <x:c r="P11" s="39"/>
      <x:c r="Q11" s="39"/>
      <x:c r="R11" s="39"/>
      <x:c r="S11" s="39"/>
      <x:c r="T11" s="39"/>
      <x:c r="U11" s="39"/>
      <x:c r="V11" s="39"/>
    </x:row>
    <x:row r="12">
      <x:c r="A12" s="20" t="str">
        <x:v>Sede</x:v>
      </x:c>
      <x:c r="B12" s="117" t="str">
        <x:v>Total</x:v>
      </x:c>
      <x:c r="C12" s="117" t="str">
        <x:v>Apto</x:v>
      </x:c>
      <x:c r="D12" s="117" t="str">
        <x:v>Restricciones</x:v>
      </x:c>
      <x:c r="E12" s="117" t="str">
        <x:v>Seguimiento</x:v>
      </x:c>
      <x:c r="F12" s="21" t="str">
        <x:v>Vencidos</x:v>
      </x:c>
      <x:c r="G12" s="39"/>
      <x:c r="H12" s="39"/>
      <x:c r="I12" s="39"/>
      <x:c r="J12" s="43" t="str">
        <x:v>No apto</x:v>
      </x:c>
      <x:c r="K12" s="44" t="n">
        <x:f>COUNTIF(Consolidado!K:K,J12)</x:f>
        <x:v>7</x:v>
      </x:c>
      <x:c r="L12" s="39"/>
      <x:c r="M12" s="39"/>
      <x:c r="N12" s="39"/>
      <x:c r="O12" s="39"/>
      <x:c r="P12" s="39"/>
      <x:c r="Q12" s="39"/>
      <x:c r="R12" s="39"/>
      <x:c r="S12" s="39"/>
      <x:c r="T12" s="39"/>
      <x:c r="U12" s="39"/>
      <x:c r="V12" s="39"/>
    </x:row>
    <x:row r="13">
      <x:c r="A13" s="40" t="str">
        <x:f>Resumen_Sedes!A4</x:f>
        <x:v>Cúcuta</x:v>
      </x:c>
      <x:c r="B13" s="39" t="n">
        <x:f>Resumen_Sedes!B4</x:f>
        <x:v>64</x:v>
      </x:c>
      <x:c r="C13" s="39" t="n">
        <x:f>Resumen_Sedes!C4</x:f>
        <x:v>44</x:v>
      </x:c>
      <x:c r="D13" s="39" t="n">
        <x:f>Resumen_Sedes!D4</x:f>
        <x:v>17</x:v>
      </x:c>
      <x:c r="E13" s="39" t="n">
        <x:f>Resumen_Sedes!F4</x:f>
        <x:v>24</x:v>
      </x:c>
      <x:c r="F13" s="42" t="n">
        <x:f>Resumen_Sedes!G4</x:f>
        <x:v>48</x:v>
      </x:c>
      <x:c r="G13" s="39"/>
      <x:c r="H13" s="39"/>
      <x:c r="I13" s="39"/>
      <x:c r="J13" s="39"/>
      <x:c r="K13" s="39"/>
      <x:c r="L13" s="39"/>
      <x:c r="M13" s="39"/>
      <x:c r="N13" s="39"/>
      <x:c r="O13" s="39"/>
      <x:c r="P13" s="39"/>
      <x:c r="Q13" s="39"/>
      <x:c r="R13" s="39"/>
      <x:c r="S13" s="39"/>
      <x:c r="T13" s="39"/>
      <x:c r="U13" s="39"/>
      <x:c r="V13" s="39"/>
    </x:row>
    <x:row r="14">
      <x:c r="A14" s="40" t="str">
        <x:f>Resumen_Sedes!A5</x:f>
        <x:v>Barrancabermeja</x:v>
      </x:c>
      <x:c r="B14" s="39" t="n">
        <x:f>Resumen_Sedes!B5</x:f>
        <x:v>24</x:v>
      </x:c>
      <x:c r="C14" s="39" t="n">
        <x:f>Resumen_Sedes!C5</x:f>
        <x:v>19</x:v>
      </x:c>
      <x:c r="D14" s="39" t="n">
        <x:f>Resumen_Sedes!D5</x:f>
        <x:v>4</x:v>
      </x:c>
      <x:c r="E14" s="39" t="n">
        <x:f>Resumen_Sedes!F5</x:f>
        <x:v>9</x:v>
      </x:c>
      <x:c r="F14" s="42" t="n">
        <x:f>Resumen_Sedes!G5</x:f>
        <x:v>23</x:v>
      </x:c>
      <x:c r="G14" s="39"/>
      <x:c r="H14" s="39"/>
      <x:c r="I14" s="39"/>
      <x:c r="J14" s="39"/>
      <x:c r="K14" s="39"/>
      <x:c r="L14" s="39"/>
      <x:c r="M14" s="39"/>
      <x:c r="N14" s="39"/>
      <x:c r="O14" s="39"/>
      <x:c r="P14" s="39"/>
      <x:c r="Q14" s="39"/>
      <x:c r="R14" s="39"/>
      <x:c r="S14" s="39"/>
      <x:c r="T14" s="39"/>
      <x:c r="U14" s="39"/>
      <x:c r="V14" s="39"/>
    </x:row>
    <x:row r="15">
      <x:c r="A15" s="40" t="str">
        <x:f>Resumen_Sedes!A6</x:f>
        <x:v>Ocaña</x:v>
      </x:c>
      <x:c r="B15" s="39" t="n">
        <x:f>Resumen_Sedes!B6</x:f>
        <x:v>31</x:v>
      </x:c>
      <x:c r="C15" s="39" t="n">
        <x:f>Resumen_Sedes!C6</x:f>
        <x:v>24</x:v>
      </x:c>
      <x:c r="D15" s="39" t="n">
        <x:f>Resumen_Sedes!D6</x:f>
        <x:v>7</x:v>
      </x:c>
      <x:c r="E15" s="39" t="n">
        <x:f>Resumen_Sedes!F6</x:f>
        <x:v>9</x:v>
      </x:c>
      <x:c r="F15" s="42" t="n">
        <x:f>Resumen_Sedes!G6</x:f>
        <x:v>23</x:v>
      </x:c>
      <x:c r="G15" s="39"/>
      <x:c r="H15" s="39"/>
      <x:c r="I15" s="39"/>
      <x:c r="J15" s="39"/>
      <x:c r="K15" s="39"/>
      <x:c r="L15" s="39"/>
      <x:c r="M15" s="39"/>
      <x:c r="N15" s="39"/>
      <x:c r="O15" s="39"/>
      <x:c r="P15" s="39"/>
      <x:c r="Q15" s="39"/>
      <x:c r="R15" s="39"/>
      <x:c r="S15" s="39"/>
      <x:c r="T15" s="39"/>
      <x:c r="U15" s="39"/>
      <x:c r="V15" s="39"/>
    </x:row>
    <x:row r="16">
      <x:c r="A16" s="40" t="str">
        <x:f>Resumen_Sedes!A7</x:f>
        <x:v>Girón</x:v>
      </x:c>
      <x:c r="B16" s="39" t="n">
        <x:f>Resumen_Sedes!B7</x:f>
        <x:v>21</x:v>
      </x:c>
      <x:c r="C16" s="39" t="n">
        <x:f>Resumen_Sedes!C7</x:f>
        <x:v>16</x:v>
      </x:c>
      <x:c r="D16" s="39" t="n">
        <x:f>Resumen_Sedes!D7</x:f>
        <x:v>4</x:v>
      </x:c>
      <x:c r="E16" s="39" t="n">
        <x:f>Resumen_Sedes!F7</x:f>
        <x:v>6</x:v>
      </x:c>
      <x:c r="F16" s="42" t="n">
        <x:f>Resumen_Sedes!G7</x:f>
        <x:v>12</x:v>
      </x:c>
      <x:c r="G16" s="39"/>
      <x:c r="H16" s="39"/>
      <x:c r="I16" s="39"/>
      <x:c r="J16" s="39"/>
      <x:c r="K16" s="39"/>
      <x:c r="L16" s="39"/>
      <x:c r="M16" s="39"/>
      <x:c r="N16" s="39"/>
      <x:c r="O16" s="39"/>
      <x:c r="P16" s="39"/>
      <x:c r="Q16" s="39"/>
      <x:c r="R16" s="39"/>
      <x:c r="S16" s="39"/>
      <x:c r="T16" s="39"/>
      <x:c r="U16" s="39"/>
      <x:c r="V16" s="39"/>
    </x:row>
    <x:row r="17">
      <x:c r="A17" s="43" t="str">
        <x:f>Resumen_Sedes!A8</x:f>
        <x:v>Valledupar</x:v>
      </x:c>
      <x:c r="B17" s="221" t="n">
        <x:f>Resumen_Sedes!B8</x:f>
        <x:v>17</x:v>
      </x:c>
      <x:c r="C17" s="221" t="n">
        <x:f>Resumen_Sedes!C8</x:f>
        <x:v>15</x:v>
      </x:c>
      <x:c r="D17" s="221" t="n">
        <x:f>Resumen_Sedes!D8</x:f>
        <x:v>1</x:v>
      </x:c>
      <x:c r="E17" s="221" t="n">
        <x:f>Resumen_Sedes!F8</x:f>
        <x:v>6</x:v>
      </x:c>
      <x:c r="F17" s="44" t="n">
        <x:f>Resumen_Sedes!G8</x:f>
        <x:v>12</x:v>
      </x:c>
      <x:c r="G17" s="39"/>
      <x:c r="H17" s="39"/>
      <x:c r="I17" s="39"/>
      <x:c r="J17" s="39"/>
      <x:c r="K17" s="39"/>
      <x:c r="L17" s="39"/>
      <x:c r="M17" s="39"/>
      <x:c r="N17" s="39"/>
      <x:c r="O17" s="39"/>
      <x:c r="P17" s="39"/>
      <x:c r="Q17" s="39"/>
      <x:c r="R17" s="39"/>
      <x:c r="S17" s="39"/>
      <x:c r="T17" s="39"/>
      <x:c r="U17" s="39"/>
      <x:c r="V17" s="39"/>
    </x:row>
    <x:row r="18">
      <x:c r="A18" s="39"/>
      <x:c r="B18" s="39"/>
      <x:c r="C18" s="39"/>
      <x:c r="D18" s="39"/>
      <x:c r="E18" s="39"/>
      <x:c r="F18" s="39"/>
      <x:c r="G18" s="39"/>
      <x:c r="H18" s="39"/>
      <x:c r="I18" s="39"/>
      <x:c r="J18" s="39"/>
      <x:c r="K18" s="39"/>
      <x:c r="L18" s="39"/>
      <x:c r="M18" s="39"/>
      <x:c r="N18" s="39"/>
      <x:c r="O18" s="39"/>
      <x:c r="P18" s="39"/>
      <x:c r="Q18" s="39"/>
      <x:c r="R18" s="39"/>
      <x:c r="S18" s="39"/>
      <x:c r="T18" s="39"/>
      <x:c r="U18" s="39"/>
      <x:c r="V18" s="39"/>
    </x:row>
    <x:row r="19">
      <x:c r="A19" s="39"/>
      <x:c r="B19" s="39"/>
      <x:c r="C19" s="39"/>
      <x:c r="D19" s="39"/>
      <x:c r="E19" s="39"/>
      <x:c r="F19" s="39"/>
      <x:c r="G19" s="39"/>
      <x:c r="H19" s="39"/>
      <x:c r="I19" s="39"/>
      <x:c r="J19" s="39"/>
      <x:c r="K19" s="39"/>
      <x:c r="L19" s="39"/>
      <x:c r="M19" s="39"/>
      <x:c r="N19" s="39"/>
      <x:c r="O19" s="39"/>
      <x:c r="P19" s="39"/>
      <x:c r="Q19" s="39"/>
      <x:c r="R19" s="39"/>
      <x:c r="S19" s="39"/>
      <x:c r="T19" s="39"/>
      <x:c r="U19" s="39"/>
      <x:c r="V19" s="39"/>
    </x:row>
    <x:row r="20">
      <x:c r="A20" s="39"/>
      <x:c r="B20" s="39"/>
      <x:c r="C20" s="39"/>
      <x:c r="D20" s="39"/>
      <x:c r="E20" s="39"/>
      <x:c r="F20" s="39"/>
      <x:c r="G20" s="39"/>
      <x:c r="H20" s="39"/>
      <x:c r="I20" s="39"/>
      <x:c r="J20" s="39"/>
      <x:c r="K20" s="39"/>
      <x:c r="L20" s="39"/>
      <x:c r="M20" s="39"/>
      <x:c r="N20" s="39"/>
      <x:c r="O20" s="39"/>
      <x:c r="P20" s="39"/>
      <x:c r="Q20" s="39"/>
      <x:c r="R20" s="39"/>
      <x:c r="S20" s="39"/>
      <x:c r="T20" s="39"/>
      <x:c r="U20" s="39"/>
      <x:c r="V20" s="39"/>
    </x:row>
    <x:row r="21">
      <x:c r="A21" s="39"/>
      <x:c r="B21" s="39"/>
      <x:c r="C21" s="39"/>
      <x:c r="D21" s="39"/>
      <x:c r="E21" s="39"/>
      <x:c r="F21" s="39"/>
      <x:c r="G21" s="39"/>
      <x:c r="H21" s="39"/>
      <x:c r="I21" s="39"/>
      <x:c r="J21" s="39"/>
      <x:c r="K21" s="39"/>
      <x:c r="L21" s="39"/>
      <x:c r="M21" s="39"/>
      <x:c r="N21" s="39"/>
      <x:c r="O21" s="39"/>
      <x:c r="P21" s="39"/>
      <x:c r="Q21" s="39"/>
      <x:c r="R21" s="39"/>
      <x:c r="S21" s="39"/>
      <x:c r="T21" s="39"/>
      <x:c r="U21" s="39"/>
      <x:c r="V21" s="39"/>
    </x:row>
    <x:row r="22">
      <x:c r="A22" s="39"/>
      <x:c r="B22" s="39"/>
      <x:c r="C22" s="39"/>
      <x:c r="D22" s="39"/>
      <x:c r="E22" s="39"/>
      <x:c r="F22" s="39"/>
      <x:c r="G22" s="39"/>
      <x:c r="H22" s="39"/>
      <x:c r="I22" s="39"/>
      <x:c r="J22" s="39"/>
      <x:c r="K22" s="39"/>
      <x:c r="L22" s="39"/>
      <x:c r="M22" s="39"/>
      <x:c r="N22" s="39"/>
      <x:c r="O22" s="39"/>
      <x:c r="P22" s="39"/>
      <x:c r="Q22" s="39"/>
      <x:c r="R22" s="39"/>
      <x:c r="S22" s="39"/>
      <x:c r="T22" s="39"/>
      <x:c r="U22" s="39"/>
      <x:c r="V22" s="39"/>
    </x:row>
    <x:row r="23">
      <x:c r="A23" s="39"/>
      <x:c r="B23" s="39"/>
      <x:c r="C23" s="39"/>
      <x:c r="D23" s="39"/>
      <x:c r="E23" s="39"/>
      <x:c r="F23" s="39"/>
      <x:c r="G23" s="39"/>
      <x:c r="H23" s="39"/>
      <x:c r="I23" s="39"/>
      <x:c r="J23" s="39"/>
      <x:c r="K23" s="39"/>
      <x:c r="L23" s="39"/>
      <x:c r="M23" s="39"/>
      <x:c r="N23" s="39"/>
      <x:c r="O23" s="39"/>
      <x:c r="P23" s="39"/>
      <x:c r="Q23" s="39"/>
      <x:c r="R23" s="39"/>
      <x:c r="S23" s="39"/>
      <x:c r="T23" s="39"/>
      <x:c r="U23" s="39"/>
      <x:c r="V23" s="39"/>
    </x:row>
    <x:row r="24">
      <x:c r="A24" s="39"/>
      <x:c r="B24" s="39"/>
      <x:c r="C24" s="39"/>
      <x:c r="D24" s="39"/>
      <x:c r="E24" s="39"/>
      <x:c r="F24" s="39"/>
      <x:c r="G24" s="39"/>
      <x:c r="H24" s="39"/>
      <x:c r="I24" s="39"/>
      <x:c r="J24" s="39"/>
      <x:c r="K24" s="39"/>
      <x:c r="L24" s="39"/>
      <x:c r="M24" s="39"/>
      <x:c r="N24" s="39"/>
      <x:c r="O24" s="39"/>
      <x:c r="P24" s="39"/>
      <x:c r="Q24" s="39"/>
      <x:c r="R24" s="39"/>
      <x:c r="S24" s="39"/>
      <x:c r="T24" s="39"/>
      <x:c r="U24" s="39"/>
      <x:c r="V24" s="39"/>
    </x:row>
    <x:row r="25">
      <x:c r="A25" s="39"/>
      <x:c r="B25" s="39"/>
      <x:c r="C25" s="39"/>
      <x:c r="D25" s="39"/>
      <x:c r="E25" s="39"/>
      <x:c r="F25" s="39"/>
      <x:c r="G25" s="39"/>
      <x:c r="H25" s="39"/>
      <x:c r="I25" s="39"/>
      <x:c r="J25" s="39"/>
      <x:c r="K25" s="39"/>
      <x:c r="L25" s="39"/>
      <x:c r="M25" s="39"/>
      <x:c r="N25" s="39"/>
      <x:c r="O25" s="39"/>
      <x:c r="P25" s="39"/>
      <x:c r="Q25" s="39"/>
      <x:c r="R25" s="39"/>
      <x:c r="S25" s="39"/>
      <x:c r="T25" s="39"/>
      <x:c r="U25" s="39"/>
      <x:c r="V25" s="39"/>
    </x:row>
    <x:row r="26">
      <x:c r="A26" s="39"/>
      <x:c r="B26" s="39"/>
      <x:c r="C26" s="39"/>
      <x:c r="D26" s="39"/>
      <x:c r="E26" s="39"/>
      <x:c r="F26" s="39"/>
      <x:c r="G26" s="39"/>
      <x:c r="H26" s="39"/>
      <x:c r="I26" s="39"/>
      <x:c r="J26" s="39"/>
      <x:c r="K26" s="39"/>
      <x:c r="L26" s="39"/>
      <x:c r="M26" s="39"/>
      <x:c r="N26" s="39"/>
      <x:c r="O26" s="39"/>
      <x:c r="P26" s="39"/>
      <x:c r="Q26" s="39"/>
      <x:c r="R26" s="39"/>
      <x:c r="S26" s="39"/>
      <x:c r="T26" s="39"/>
      <x:c r="U26" s="39"/>
      <x:c r="V26" s="39"/>
    </x:row>
    <x:row r="27">
      <x:c r="A27" s="39"/>
      <x:c r="B27" s="39"/>
      <x:c r="C27" s="39"/>
      <x:c r="D27" s="39"/>
      <x:c r="E27" s="39"/>
      <x:c r="F27" s="39"/>
      <x:c r="G27" s="39"/>
      <x:c r="H27" s="39"/>
      <x:c r="I27" s="39"/>
      <x:c r="J27" s="39"/>
      <x:c r="K27" s="39"/>
      <x:c r="L27" s="39"/>
      <x:c r="M27" s="39"/>
      <x:c r="N27" s="39"/>
      <x:c r="O27" s="39"/>
      <x:c r="P27" s="39"/>
      <x:c r="Q27" s="39"/>
      <x:c r="R27" s="39"/>
      <x:c r="S27" s="39"/>
      <x:c r="T27" s="39"/>
      <x:c r="U27" s="39"/>
      <x:c r="V27" s="39"/>
    </x:row>
    <x:row r="28">
      <x:c r="A28" s="39"/>
      <x:c r="B28" s="39"/>
      <x:c r="C28" s="39"/>
      <x:c r="D28" s="39"/>
      <x:c r="E28" s="39"/>
      <x:c r="F28" s="39"/>
      <x:c r="G28" s="39"/>
      <x:c r="H28" s="39"/>
      <x:c r="I28" s="39"/>
      <x:c r="J28" s="39"/>
      <x:c r="K28" s="39"/>
      <x:c r="L28" s="39"/>
      <x:c r="M28" s="39"/>
      <x:c r="N28" s="39"/>
      <x:c r="O28" s="39"/>
      <x:c r="P28" s="39"/>
      <x:c r="Q28" s="39"/>
      <x:c r="R28" s="39"/>
      <x:c r="S28" s="39"/>
      <x:c r="T28" s="39"/>
      <x:c r="U28" s="39"/>
      <x:c r="V28" s="39"/>
    </x:row>
    <x:row r="29">
      <x:c r="A29" s="39"/>
      <x:c r="B29" s="39"/>
      <x:c r="C29" s="39"/>
      <x:c r="D29" s="39"/>
      <x:c r="E29" s="39"/>
      <x:c r="F29" s="39"/>
      <x:c r="G29" s="39"/>
      <x:c r="H29" s="39"/>
      <x:c r="I29" s="39"/>
      <x:c r="J29" s="39"/>
      <x:c r="K29" s="39"/>
      <x:c r="L29" s="39"/>
      <x:c r="M29" s="39"/>
      <x:c r="N29" s="39"/>
      <x:c r="O29" s="39"/>
      <x:c r="P29" s="39"/>
      <x:c r="Q29" s="39"/>
      <x:c r="R29" s="39"/>
      <x:c r="S29" s="39"/>
      <x:c r="T29" s="39"/>
      <x:c r="U29" s="39"/>
      <x:c r="V29" s="39"/>
    </x:row>
    <x:row r="30">
      <x:c r="A30" s="39"/>
      <x:c r="B30" s="39"/>
      <x:c r="C30" s="39"/>
      <x:c r="D30" s="39"/>
      <x:c r="E30" s="39"/>
      <x:c r="F30" s="39"/>
      <x:c r="G30" s="39"/>
      <x:c r="H30" s="39"/>
      <x:c r="I30" s="39"/>
      <x:c r="J30" s="39"/>
      <x:c r="K30" s="39"/>
      <x:c r="L30" s="39"/>
      <x:c r="M30" s="39"/>
      <x:c r="N30" s="39"/>
      <x:c r="O30" s="39"/>
      <x:c r="P30" s="39"/>
      <x:c r="Q30" s="39"/>
      <x:c r="R30" s="39"/>
      <x:c r="S30" s="39"/>
      <x:c r="T30" s="39"/>
      <x:c r="U30" s="39"/>
      <x:c r="V30" s="39"/>
    </x:row>
    <x:row r="31">
      <x:c r="A31" s="39"/>
      <x:c r="B31" s="39"/>
      <x:c r="C31" s="39"/>
      <x:c r="D31" s="39"/>
      <x:c r="E31" s="39"/>
      <x:c r="F31" s="39"/>
      <x:c r="G31" s="39"/>
      <x:c r="H31" s="39"/>
      <x:c r="I31" s="39"/>
      <x:c r="J31" s="39"/>
      <x:c r="K31" s="39"/>
      <x:c r="L31" s="39"/>
      <x:c r="M31" s="39"/>
      <x:c r="N31" s="39"/>
      <x:c r="O31" s="39"/>
      <x:c r="P31" s="39"/>
      <x:c r="Q31" s="39"/>
      <x:c r="R31" s="39"/>
      <x:c r="S31" s="39"/>
      <x:c r="T31" s="39"/>
      <x:c r="U31" s="39"/>
      <x:c r="V31" s="39"/>
    </x:row>
    <x:row r="32">
      <x:c r="A32" s="39"/>
      <x:c r="B32" s="39"/>
      <x:c r="C32" s="39"/>
      <x:c r="D32" s="39"/>
      <x:c r="E32" s="39"/>
      <x:c r="F32" s="39"/>
      <x:c r="G32" s="39"/>
      <x:c r="H32" s="39"/>
      <x:c r="I32" s="39"/>
      <x:c r="J32" s="39"/>
      <x:c r="K32" s="39"/>
      <x:c r="L32" s="39"/>
      <x:c r="M32" s="39"/>
      <x:c r="N32" s="39"/>
      <x:c r="O32" s="39"/>
      <x:c r="P32" s="39"/>
      <x:c r="Q32" s="39"/>
      <x:c r="R32" s="39"/>
      <x:c r="S32" s="39"/>
      <x:c r="T32" s="39"/>
      <x:c r="U32" s="39"/>
      <x:c r="V32" s="39"/>
    </x:row>
    <x:row r="33">
      <x:c r="A33" s="39"/>
      <x:c r="B33" s="39"/>
      <x:c r="C33" s="39"/>
      <x:c r="D33" s="39"/>
      <x:c r="E33" s="39"/>
      <x:c r="F33" s="39"/>
      <x:c r="G33" s="39"/>
      <x:c r="H33" s="39"/>
      <x:c r="I33" s="39"/>
      <x:c r="J33" s="39"/>
      <x:c r="K33" s="39"/>
      <x:c r="L33" s="39"/>
      <x:c r="M33" s="39"/>
      <x:c r="N33" s="39"/>
      <x:c r="O33" s="39"/>
      <x:c r="P33" s="39"/>
      <x:c r="Q33" s="39"/>
      <x:c r="R33" s="39"/>
      <x:c r="S33" s="39"/>
      <x:c r="T33" s="39"/>
      <x:c r="U33" s="39"/>
      <x:c r="V33" s="39"/>
    </x:row>
    <x:row r="34">
      <x:c r="A34" s="39"/>
      <x:c r="B34" s="39"/>
      <x:c r="C34" s="39"/>
      <x:c r="D34" s="39"/>
      <x:c r="E34" s="39"/>
      <x:c r="F34" s="39"/>
      <x:c r="G34" s="39"/>
      <x:c r="H34" s="39"/>
      <x:c r="I34" s="39"/>
      <x:c r="J34" s="39"/>
      <x:c r="K34" s="39"/>
      <x:c r="L34" s="39"/>
      <x:c r="M34" s="39"/>
      <x:c r="N34" s="39"/>
      <x:c r="O34" s="39"/>
      <x:c r="P34" s="39"/>
      <x:c r="Q34" s="39"/>
      <x:c r="R34" s="39"/>
      <x:c r="S34" s="39"/>
      <x:c r="T34" s="39"/>
      <x:c r="U34" s="39"/>
      <x:c r="V34" s="39"/>
    </x:row>
    <x:row r="35">
      <x:c r="A35" s="39"/>
      <x:c r="B35" s="39"/>
      <x:c r="C35" s="39"/>
      <x:c r="D35" s="39"/>
      <x:c r="E35" s="39"/>
      <x:c r="F35" s="39"/>
      <x:c r="G35" s="39"/>
      <x:c r="H35" s="39"/>
      <x:c r="I35" s="39"/>
      <x:c r="J35" s="39"/>
      <x:c r="K35" s="39"/>
      <x:c r="L35" s="39"/>
      <x:c r="M35" s="39"/>
      <x:c r="N35" s="39"/>
      <x:c r="O35" s="39"/>
      <x:c r="P35" s="39"/>
      <x:c r="Q35" s="39"/>
      <x:c r="R35" s="39"/>
      <x:c r="S35" s="39"/>
      <x:c r="T35" s="39"/>
      <x:c r="U35" s="39"/>
      <x:c r="V35" s="39"/>
    </x:row>
    <x:row r="36">
      <x:c r="A36" s="39"/>
      <x:c r="B36" s="39"/>
      <x:c r="C36" s="39"/>
      <x:c r="D36" s="39"/>
      <x:c r="E36" s="39"/>
      <x:c r="F36" s="39"/>
      <x:c r="G36" s="39"/>
      <x:c r="H36" s="39"/>
      <x:c r="I36" s="39"/>
      <x:c r="J36" s="39"/>
      <x:c r="K36" s="39"/>
      <x:c r="L36" s="39"/>
      <x:c r="M36" s="39"/>
      <x:c r="N36" s="39"/>
      <x:c r="O36" s="39"/>
      <x:c r="P36" s="39"/>
      <x:c r="Q36" s="39"/>
      <x:c r="R36" s="39"/>
      <x:c r="S36" s="39"/>
      <x:c r="T36" s="39"/>
      <x:c r="U36" s="39"/>
      <x:c r="V36" s="39"/>
    </x:row>
    <x:row r="37">
      <x:c r="A37" s="39"/>
      <x:c r="B37" s="39"/>
      <x:c r="C37" s="39"/>
      <x:c r="D37" s="39"/>
      <x:c r="E37" s="39"/>
      <x:c r="F37" s="39"/>
      <x:c r="G37" s="39"/>
      <x:c r="H37" s="39"/>
      <x:c r="I37" s="39"/>
      <x:c r="J37" s="39"/>
      <x:c r="K37" s="39"/>
      <x:c r="L37" s="39"/>
      <x:c r="M37" s="39"/>
      <x:c r="N37" s="39"/>
      <x:c r="O37" s="39"/>
      <x:c r="P37" s="39"/>
      <x:c r="Q37" s="39"/>
      <x:c r="R37" s="39"/>
      <x:c r="S37" s="39"/>
      <x:c r="T37" s="39"/>
      <x:c r="U37" s="39"/>
      <x:c r="V37" s="39"/>
    </x:row>
    <x:row r="38">
      <x:c r="A38" s="39"/>
      <x:c r="B38" s="39"/>
      <x:c r="C38" s="39"/>
      <x:c r="D38" s="39"/>
      <x:c r="E38" s="39"/>
      <x:c r="F38" s="39"/>
      <x:c r="G38" s="39"/>
      <x:c r="H38" s="39"/>
      <x:c r="I38" s="39"/>
      <x:c r="J38" s="39"/>
      <x:c r="K38" s="39"/>
      <x:c r="L38" s="39"/>
      <x:c r="M38" s="39"/>
      <x:c r="N38" s="39"/>
      <x:c r="O38" s="39"/>
      <x:c r="P38" s="39"/>
      <x:c r="Q38" s="39"/>
      <x:c r="R38" s="39"/>
      <x:c r="S38" s="39"/>
      <x:c r="T38" s="39"/>
      <x:c r="U38" s="39"/>
      <x:c r="V38" s="39"/>
    </x:row>
    <x:row r="39">
      <x:c r="A39" s="39"/>
      <x:c r="B39" s="39"/>
      <x:c r="C39" s="39"/>
      <x:c r="D39" s="39"/>
      <x:c r="E39" s="39"/>
      <x:c r="F39" s="39"/>
      <x:c r="G39" s="39"/>
      <x:c r="H39" s="39"/>
      <x:c r="I39" s="39"/>
      <x:c r="J39" s="39"/>
      <x:c r="K39" s="39"/>
      <x:c r="L39" s="39"/>
      <x:c r="M39" s="39"/>
      <x:c r="N39" s="39"/>
      <x:c r="O39" s="39"/>
      <x:c r="P39" s="39"/>
      <x:c r="Q39" s="39"/>
      <x:c r="R39" s="39"/>
      <x:c r="S39" s="39"/>
      <x:c r="T39" s="39"/>
      <x:c r="U39" s="39"/>
      <x:c r="V39" s="39"/>
    </x:row>
    <x:row r="40">
      <x:c r="A40" s="39"/>
      <x:c r="B40" s="39"/>
      <x:c r="C40" s="39"/>
      <x:c r="D40" s="39"/>
      <x:c r="E40" s="39"/>
      <x:c r="F40" s="39"/>
      <x:c r="G40" s="39"/>
      <x:c r="H40" s="39"/>
      <x:c r="I40" s="39"/>
      <x:c r="J40" s="39"/>
      <x:c r="K40" s="39"/>
      <x:c r="L40" s="39"/>
      <x:c r="M40" s="39"/>
      <x:c r="N40" s="39"/>
      <x:c r="O40" s="39"/>
      <x:c r="P40" s="39"/>
      <x:c r="Q40" s="39"/>
      <x:c r="R40" s="39"/>
      <x:c r="S40" s="39"/>
      <x:c r="T40" s="39"/>
      <x:c r="U40" s="39"/>
      <x:c r="V40" s="39"/>
    </x:row>
  </x:sheetData>
  <x:mergeCells>
    <x:mergeCell ref="A1:J1"/>
    <x:mergeCell ref="A5:B5"/>
    <x:mergeCell ref="A6:B6"/>
    <x:mergeCell ref="D5:E5"/>
    <x:mergeCell ref="D6:E6"/>
    <x:mergeCell ref="G5:H5"/>
    <x:mergeCell ref="G6:H6"/>
    <x:mergeCell ref="A8:B8"/>
    <x:mergeCell ref="A9:B9"/>
    <x:mergeCell ref="D8:E8"/>
    <x:mergeCell ref="D9:E9"/>
    <x:mergeCell ref="G8:H8"/>
    <x:mergeCell ref="G9:H9"/>
    <x:mergeCell ref="A11:F11"/>
  </x:mergeCells>
  <x:pageMargins left="0.7" right="0.7" top="0.75" bottom="0.75" header="0.3" footer="0.3"/>
  <x:drawing xmlns:r="http://schemas.openxmlformats.org/officeDocument/2006/relationships" r:id="R30e3e1badfdc4802"/>
</x:worksheet>
</file>