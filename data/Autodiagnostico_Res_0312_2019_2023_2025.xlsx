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74044fb1b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d75b978db2454075"/>
    <x:sheet xmlns:r="http://schemas.openxmlformats.org/officeDocument/2006/relationships" name="Catalogos" sheetId="2" r:id="Rcf98729fec9347cf"/>
    <x:sheet xmlns:r="http://schemas.openxmlformats.org/officeDocument/2006/relationships" name="Plantilla_Editable" sheetId="3" r:id="R53e27f6d32b84d40"/>
    <x:sheet xmlns:r="http://schemas.openxmlformats.org/officeDocument/2006/relationships" name="Auto_2023" sheetId="4" r:id="R9d9c81c34c3e47ff"/>
    <x:sheet xmlns:r="http://schemas.openxmlformats.org/officeDocument/2006/relationships" name="Auto_2024" sheetId="5" r:id="Rc4d9062168af481e"/>
    <x:sheet xmlns:r="http://schemas.openxmlformats.org/officeDocument/2006/relationships" name="Auto_2025" sheetId="6" r:id="Rc9e5479f7fc845da"/>
    <x:sheet xmlns:r="http://schemas.openxmlformats.org/officeDocument/2006/relationships" name="Resumen_Comparativo" sheetId="7" r:id="R6304a1455f1a47ad"/>
    <x:sheet xmlns:r="http://schemas.openxmlformats.org/officeDocument/2006/relationships" name="Dashboard" sheetId="8" r:id="Rd98367e578a4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yyyy-mm-dd"/>
  </x:numFmts>
  <x:fonts count="9">
    <x:font>
      <x:sz val="11"/>
      <x:name val="Carlito"/>
    </x:font>
    <x:font>
      <x:b/>
      <x:sz val="14"/>
      <x:color rgb="FFFFFF"/>
      <x:name val="Carlito"/>
    </x:font>
    <x:font>
      <x:i/>
      <x:sz val="11"/>
      <x:color rgb="0F172A"/>
      <x:name val="Carlito"/>
    </x:font>
    <x:font>
      <x:b/>
      <x:sz val="11"/>
      <x:color rgb="0F172A"/>
      <x:name val="Carlito"/>
    </x:font>
    <x:font>
      <x:i/>
      <x:sz val="11"/>
      <x:color rgb="7C2D12"/>
      <x:name val="Carlito"/>
    </x:font>
    <x:font>
      <x:b/>
      <x:sz val="10"/>
      <x:color rgb="FFFFFF"/>
      <x:name val="Carlito"/>
    </x:font>
    <x:font>
      <x:i/>
      <x:sz val="11"/>
      <x:name val="Carlito"/>
    </x:font>
    <x:font>
      <x:b/>
      <x:sz val="12"/>
      <x:color rgb="0F172A"/>
      <x:name val="Carlito"/>
    </x:font>
    <x:font>
      <x:b/>
      <x:sz val="11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B5E7A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200" fontId="7" fillId="6" borderId="0" xfId="0" applyNumberFormat="1" applyFont="1" applyFill="1" applyBorder="1" applyAlignment="1">
      <x:alignment horizontal="center"/>
    </x:xf>
    <x:xf numFmtId="200" fontId="7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7">
    <x:dxf>
      <x:font>
        <x:b/>
        <x:color rgb="9F1239"/>
      </x:font>
      <x:fill>
        <x:patternFill patternType="solid">
          <x:bgColor rgb="FDE2E1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ill>
        <x:patternFill patternType="solid">
          <x:bgColor rgb="FCE8E6"/>
        </x:patternFill>
      </x:fill>
    </x:dxf>
    <x:dxf>
      <x:font>
        <x:b/>
        <x:color rgb="B91C1C"/>
      </x:font>
      <x:fill>
        <x:patternFill patternType="solid">
          <x:bgColor rgb="FCE8E6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ont>
        <x:b/>
        <x:color rgb="166534"/>
      </x:font>
      <x:fill>
        <x:patternFill patternType="solid">
          <x:bgColor rgb="E2F0D9"/>
        </x:patternFill>
      </x:fill>
    </x:dxf>
    <x:dxf>
      <x:font>
        <x:b/>
        <x:color rgb="9F1239"/>
      </x:font>
      <x:fill>
        <x:patternFill patternType="solid">
          <x:bgColor rgb="FDE2E1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ill>
        <x:patternFill patternType="solid">
          <x:bgColor rgb="FCE8E6"/>
        </x:patternFill>
      </x:fill>
    </x:dxf>
    <x:dxf>
      <x:font>
        <x:b/>
        <x:color rgb="B91C1C"/>
      </x:font>
      <x:fill>
        <x:patternFill patternType="solid">
          <x:bgColor rgb="FCE8E6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ont>
        <x:b/>
        <x:color rgb="166534"/>
      </x:font>
      <x:fill>
        <x:patternFill patternType="solid">
          <x:bgColor rgb="E2F0D9"/>
        </x:patternFill>
      </x:fill>
    </x:dxf>
    <x:dxf>
      <x:font>
        <x:b/>
        <x:color rgb="9F1239"/>
      </x:font>
      <x:fill>
        <x:patternFill patternType="solid">
          <x:bgColor rgb="FDE2E1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ill>
        <x:patternFill patternType="solid">
          <x:bgColor rgb="FCE8E6"/>
        </x:patternFill>
      </x:fill>
    </x:dxf>
    <x:dxf>
      <x:font>
        <x:b/>
        <x:color rgb="B91C1C"/>
      </x:font>
      <x:fill>
        <x:patternFill patternType="solid">
          <x:bgColor rgb="FCE8E6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ont>
        <x:b/>
        <x:color rgb="166534"/>
      </x:font>
      <x:fill>
        <x:patternFill patternType="solid">
          <x:bgColor rgb="E2F0D9"/>
        </x:patternFill>
      </x:fill>
    </x:dxf>
    <x:dxf>
      <x:font>
        <x:b/>
        <x:color rgb="9F1239"/>
      </x:font>
      <x:fill>
        <x:patternFill patternType="solid">
          <x:bgColor rgb="FDE2E1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ill>
        <x:patternFill patternType="solid">
          <x:bgColor rgb="FCE8E6"/>
        </x:patternFill>
      </x:fill>
    </x:dxf>
    <x:dxf>
      <x:font>
        <x:b/>
        <x:color rgb="B91C1C"/>
      </x:font>
      <x:fill>
        <x:patternFill patternType="solid">
          <x:bgColor rgb="FCE8E6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ont>
        <x:b/>
        <x:color rgb="166534"/>
      </x:font>
      <x:fill>
        <x:patternFill patternType="solid">
          <x:bgColor rgb="E2F0D9"/>
        </x:patternFill>
      </x:fill>
    </x:dxf>
    <x:dxf>
      <x:font>
        <x:b/>
        <x:color rgb="166534"/>
      </x:font>
      <x:fill>
        <x:patternFill patternType="solid">
          <x:bgColor rgb="E2F0D9"/>
        </x:patternFill>
      </x:fill>
    </x:dxf>
    <x:dxf>
      <x:font>
        <x:b/>
        <x:color rgb="92400E"/>
      </x:font>
      <x:fill>
        <x:patternFill patternType="solid">
          <x:bgColor rgb="FFF4CC"/>
        </x:patternFill>
      </x:fill>
    </x:dxf>
    <x:dxf>
      <x:font>
        <x:b/>
        <x:color rgb="166534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329ce7c934bdd" /><Relationship Type="http://schemas.openxmlformats.org/officeDocument/2006/relationships/theme" Target="/xl/theme/theme1.xml" Id="Rce0e3c9963f442ab" /><Relationship Type="http://schemas.openxmlformats.org/officeDocument/2006/relationships/sharedStrings" Target="/xl/sharedStrings.xml" Id="Rbcc2a0880db0450a" /><Relationship Type="http://schemas.openxmlformats.org/officeDocument/2006/relationships/worksheet" Target="/xl/worksheets/sheet1.xml" Id="Rd75b978db2454075" /><Relationship Type="http://schemas.openxmlformats.org/officeDocument/2006/relationships/worksheet" Target="/xl/worksheets/sheet2.xml" Id="Rcf98729fec9347cf" /><Relationship Type="http://schemas.openxmlformats.org/officeDocument/2006/relationships/worksheet" Target="/xl/worksheets/sheet3.xml" Id="R53e27f6d32b84d40" /><Relationship Type="http://schemas.openxmlformats.org/officeDocument/2006/relationships/worksheet" Target="/xl/worksheets/sheet4.xml" Id="R9d9c81c34c3e47ff" /><Relationship Type="http://schemas.openxmlformats.org/officeDocument/2006/relationships/worksheet" Target="/xl/worksheets/sheet5.xml" Id="Rc4d9062168af481e" /><Relationship Type="http://schemas.openxmlformats.org/officeDocument/2006/relationships/worksheet" Target="/xl/worksheets/sheet6.xml" Id="Rc9e5479f7fc845da" /><Relationship Type="http://schemas.openxmlformats.org/officeDocument/2006/relationships/worksheet" Target="/xl/worksheets/sheet7.xml" Id="R6304a1455f1a47ad" /><Relationship Type="http://schemas.openxmlformats.org/officeDocument/2006/relationships/worksheet" Target="/xl/worksheets/sheet8.xml" Id="Rd98367e578a44b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9609d1c482450f" /><Relationship Type="http://schemas.openxmlformats.org/officeDocument/2006/relationships/chart" Target="/xl/drawings/charts/chart2.xml" Id="Race2aa44131d43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% cumplimiento por año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% cumplimiento</c:v>
          </c:tx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'Dashboard'!$B$10:$B$12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Puntaje por ciclo PHVA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Ref>
              <c:f>'Dashboard'!$I$9:$I$13</c:f>
              <c:strCache>
                <c:ptCount val="0"/>
              </c:strCache>
            </c:strRef>
          </c:cat>
          <c:val>
            <c:numRef>
              <c:f>'Dashboard'!$J$9:$J$13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cat>
            <c:strRef>
              <c:f>'Dashboard'!$I$9:$I$13</c:f>
              <c:strCache>
                <c:ptCount val="0"/>
              </c:strCache>
            </c:strRef>
          </c:cat>
          <c:val>
            <c:numRef>
              <c:f>'Dashboard'!$K$9:$K$13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cat>
            <c:strRef>
              <c:f>'Dashboard'!$I$9:$I$13</c:f>
              <c:strCache>
                <c:ptCount val="0"/>
              </c:strCache>
            </c:strRef>
          </c:cat>
          <c:val>
            <c:numRef>
              <c:f>'Dashboard'!$L$9:$L$13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9609d1c482450f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e2aa44131d43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b8a1178727f499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5" t="str">
        <x:v>AUTODIAGNÓSTICO SG-SST - RESOLUCIÓN 0312 DE 2019 (60 ESTÁNDARES)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Formato integral para evaluación anual, seguimiento comparativo y toma de decisiones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1. Objetivo</x:v>
      </x:c>
      <x:c r="B4" s="23" t="str">
        <x:v>Facilitar la aplicación del autodiagnóstico de Estándares Mínimos del SG-SST conforme a la Resolución 0312 de 2019, incluyendo captura de información, calificación anual, resumen comparativo y tablero ejecutivo.</x:v>
      </x:c>
    </x:row>
    <x:row r="5">
      <x:c r="A5" s="18" t="str">
        <x:v>2. Estructura del archivo</x:v>
      </x:c>
      <x:c r="B5" s="23" t="str">
        <x:v>Instructivo: guía de uso y fuentes. | Catálogos: listas para validaciones. | Plantilla_Editable: formato base reutilizable. | Auto_2023, Auto_2024, Auto_2025: evaluaciones simuladas. | Resumen_Comparativo: consolidado por año y ciclo PHVA. | Dashboard: visual ejecutivo.</x:v>
      </x:c>
    </x:row>
    <x:row r="6">
      <x:c r="A6" s="18" t="str">
        <x:v>3. Escala de calificación</x:v>
      </x:c>
      <x:c r="B6" s="23" t="str">
        <x:v>Cumple: obtiene el 100% de la ponderación del estándar. | No cumple: obtiene 0 puntos y requiere plan de mejora. | Nivel de valoración sugerido: Crítico &lt; 60%, Moderadamente aceptable 60% - 85%, Aceptable &gt; 85%.</x:v>
      </x:c>
    </x:row>
    <x:row r="7">
      <x:c r="A7" s="18" t="str">
        <x:v>4. Cómo diligenciar</x:v>
      </x:c>
      <x:c r="B7" s="23" t="str">
        <x:v>Actualice los datos de identificación de la empresa, sede, responsable y fecha de evaluación. Revise cada estándar, describa la evidencia, seleccione la calificación y documente el plan de mejora si aplica.</x:v>
      </x:c>
    </x:row>
    <x:row r="8">
      <x:c r="A8" s="18" t="str">
        <x:v>5. Campos clave</x:v>
      </x:c>
      <x:c r="B8" s="23" t="str">
        <x:v>Ponderación: valor del estándar dentro del total de 100 puntos. | Puntaje obtenido: fórmula automática según la calificación. | Plan de mejora requerido: se activa cuando el estándar no cumple. | Fecha compromiso: fecha prevista para el cierre de la mejora.</x:v>
      </x:c>
    </x:row>
    <x:row r="9">
      <x:c r="A9" s="18" t="str">
        <x:v>6. Recomendaciones de uso</x:v>
      </x:c>
      <x:c r="B9" s="23" t="str">
        <x:v>No modifique encabezados, fórmulas ni estructuras de tablas. Use listas desplegables en calificación y responsables. Conserve soportes documentales y use este archivo como fuente para Looker Studio o Power BI.</x:v>
      </x:c>
    </x:row>
    <x:row r="10">
      <x:c r="A10" s="18" t="str">
        <x:v>7. Interpretación gerencial</x:v>
      </x:c>
      <x:c r="B10" s="23" t="str">
        <x:v>El resultado anual permite visualizar el nivel global de cumplimiento, los ciclos PHVA con mayor rezago y los estándares que requieren intervención prioritaria.</x:v>
      </x:c>
    </x:row>
    <x:row r="11">
      <x:c r="A11" s="18" t="str">
        <x:v>8. Fuentes normativas</x:v>
      </x:c>
      <x:c r="B11" s="23" t="str">
        <x:v>Resolución 0312 de 2019: https://www.mintrabajo.gov.co/documents/20147/59995826/Resolucion+0312-2019-Estandares-minimos-del-SG-SST.pdf | Decreto 1072 de 2015: https://www.funcionpublica.gov.co/eva/gestornormativo/norma.php?i=72173</x:v>
      </x:c>
    </x:row>
    <x:row r="13">
      <x:c r="A13" s="28" t="str">
        <x:v>Sugerencia: utilice la hoja 'Plantilla_Editable' para nuevos periodos y mantenga una copia independiente por año de evaluación.</x:v>
      </x:c>
      <x:c r="B13" s="28"/>
      <x:c r="C13" s="28"/>
      <x:c r="D13" s="28"/>
      <x:c r="E13" s="28"/>
      <x:c r="F13" s="28"/>
      <x:c r="G13" s="28"/>
      <x:c r="H13" s="28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3" max="3" width="30" hidden="0" customWidth="1"/>
    <x:col min="5" max="5" width="18" hidden="0" customWidth="1"/>
    <x:col min="2" max="2" width="4" hidden="0" customWidth="1"/>
    <x:col min="4" max="4" width="4" hidden="0" customWidth="1"/>
    <x:col min="6" max="6" width="4" hidden="0" customWidth="1"/>
  </x:cols>
  <x:sheetData>
    <x:row r="1">
      <x:c r="A1" s="5" t="str">
        <x:v>CATÁLOGOS Y LISTAS DE VALIDACIÓN</x:v>
      </x:c>
      <x:c r="B1" s="5"/>
      <x:c r="C1" s="5"/>
      <x:c r="D1" s="5"/>
      <x:c r="E1" s="5"/>
      <x:c r="F1" s="5"/>
    </x:row>
    <x:row r="3">
      <x:c r="A3" s="36" t="str">
        <x:v>Calificación</x:v>
      </x:c>
      <x:c r="C3" s="36" t="str">
        <x:v>Nivel de valoración</x:v>
      </x:c>
      <x:c r="E3" s="36" t="str">
        <x:v>Ciclo PHVA</x:v>
      </x:c>
    </x:row>
    <x:row r="4">
      <x:c r="A4" s="22" t="str">
        <x:v>Cumple</x:v>
      </x:c>
      <x:c r="C4" s="22" t="str">
        <x:v>Crítico</x:v>
      </x:c>
      <x:c r="E4" s="22" t="str">
        <x:v>Planear</x:v>
      </x:c>
    </x:row>
    <x:row r="5">
      <x:c r="A5" s="22" t="str">
        <x:v>No cumple</x:v>
      </x:c>
      <x:c r="C5" s="22" t="str">
        <x:v>Moderadamente aceptable</x:v>
      </x:c>
      <x:c r="E5" s="22" t="str">
        <x:v>Hacer</x:v>
      </x:c>
    </x:row>
    <x:row r="6">
      <x:c r="C6" s="22" t="str">
        <x:v>Aceptable</x:v>
      </x:c>
      <x:c r="E6" s="22" t="str">
        <x:v>Verificar</x:v>
      </x:c>
    </x:row>
    <x:row r="7">
      <x:c r="E7" s="22" t="str">
        <x:v>Actuar</x:v>
      </x:c>
    </x:row>
    <x:row r="8">
      <x:c r="A8" s="36" t="str">
        <x:v>Responsables de verificación</x:v>
      </x:c>
      <x:c r="C8" s="36" t="str">
        <x:v>Modo de verificación</x:v>
      </x:c>
      <x:c r="E8" s="36" t="str">
        <x:v>Años sugeridos</x:v>
      </x:c>
    </x:row>
    <x:row r="9">
      <x:c r="A9" s="22" t="str">
        <x:v>Líder SST</x:v>
      </x:c>
      <x:c r="C9" s="22" t="str">
        <x:v>Revisión documental</x:v>
      </x:c>
      <x:c r="E9" s="22" t="n">
        <x:v>2023</x:v>
      </x:c>
    </x:row>
    <x:row r="10">
      <x:c r="A10" s="22" t="str">
        <x:v>Consultor SST</x:v>
      </x:c>
      <x:c r="C10" s="22" t="str">
        <x:v>Entrevista</x:v>
      </x:c>
      <x:c r="E10" s="22" t="n">
        <x:v>2024</x:v>
      </x:c>
    </x:row>
    <x:row r="11">
      <x:c r="A11" s="22" t="str">
        <x:v>COPASST</x:v>
      </x:c>
      <x:c r="C11" s="22" t="str">
        <x:v>Inspección</x:v>
      </x:c>
      <x:c r="E11" s="22" t="n">
        <x:v>2025</x:v>
      </x:c>
    </x:row>
    <x:row r="12">
      <x:c r="A12" s="22" t="str">
        <x:v>Alta Dirección</x:v>
      </x:c>
      <x:c r="C12" s="22" t="str">
        <x:v>Observación</x:v>
      </x:c>
      <x:c r="E12" s="22" t="n">
        <x:v>2026</x:v>
      </x:c>
    </x:row>
    <x:row r="13">
      <x:c r="A13" s="22" t="str">
        <x:v>Talento Humano</x:v>
      </x:c>
      <x:c r="C13" s="22" t="str">
        <x:v>Registro fotográfico</x:v>
      </x:c>
    </x:row>
    <x:row r="14">
      <x:c r="A14" s="22" t="str">
        <x:v>Coordinador Operativo</x:v>
      </x:c>
      <x:c r="C14" s="22" t="str">
        <x:v>Acta / evidencia</x:v>
      </x:c>
    </x:row>
    <x:row r="15">
      <x:c r="A15" s="22" t="str">
        <x:v>Auditor Interno</x:v>
      </x:c>
      <x:c r="C15" s="22" t="str">
        <x:v>Informe / indicador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34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34" hidden="0" customWidth="1"/>
    <x:col min="10" max="10" width="20" hidden="0" customWidth="1"/>
    <x:col min="11" max="11" width="16" hidden="0" customWidth="1"/>
    <x:col min="12" max="12" width="40" hidden="0" customWidth="1"/>
    <x:col min="13" max="13" width="14" hidden="0" customWidth="1"/>
    <x:col min="14" max="14" width="16" hidden="0" customWidth="1"/>
    <x:col min="15" max="15" width="28" hidden="0" customWidth="1"/>
    <x:col min="16" max="16" width="10" hidden="0" customWidth="1"/>
    <x:col min="17" max="17" width="22" hidden="0" customWidth="1"/>
    <x:col min="18" max="18" width="22" hidden="0" customWidth="1"/>
  </x:cols>
  <x:sheetData>
    <x:row r="1">
      <x:c r="A1" s="5" t="str">
        <x:v>AUTODIAGNÓSTICO SG-SST - RESOLUCIÓN 0312 DE 2019 (PLANTILLA)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 ht="26.399999618530273" hidden="0" customHeight="1">
      <x:c r="A3" s="76" t="str">
        <x:v>Empresa</x:v>
      </x:c>
      <x:c r="B3" s="43" t="str">
        <x:v>IMA COMPANY SAS</x:v>
      </x:c>
      <x:c r="C3" s="76" t="str">
        <x:v>Sede / alcance</x:v>
      </x:c>
      <x:c r="D3" s="43" t="str">
        <x:v>Consolidado empresarial</x:v>
      </x:c>
      <x:c r="E3" s="76" t="str">
        <x:v>Año evaluación</x:v>
      </x:c>
      <x:c r="F3" s="43" t="str"/>
      <x:c r="G3" s="76" t="str">
        <x:v>Fecha evaluación</x:v>
      </x:c>
      <x:c r="H3" s="74"/>
      <x:c r="I3" s="76" t="str">
        <x:v>Responsable</x:v>
      </x:c>
      <x:c r="J3" s="43" t="str">
        <x:v>Consultor SST</x:v>
      </x:c>
    </x:row>
    <x:row r="4" ht="118.80000305175781" hidden="0" customHeight="1">
      <x:c r="A4" s="76" t="str">
        <x:v>Objetivo</x:v>
      </x:c>
      <x:c r="B4" s="43" t="str">
        <x:v>Evaluar el cumplimiento de los 60 estándares mínimos del SG-SST y priorizar acciones de mejora para cierre de brechas.</x:v>
      </x:c>
      <x:c r="C4" s="76" t="str">
        <x:v>Nivel</x:v>
      </x:c>
      <x:c r="D4" s="43" t="str"/>
      <x:c r="E4" s="76" t="str">
        <x:v>Puntaje total</x:v>
      </x:c>
      <x:c r="F4" s="43" t="n">
        <x:f>SUM(G9:G68)</x:f>
        <x:v>0</x:v>
      </x:c>
      <x:c r="G4" s="76" t="str">
        <x:v>% cumplimiento</x:v>
      </x:c>
      <x:c r="H4" s="46" t="n">
        <x:f>F4/100</x:f>
        <x:v>0</x:v>
      </x:c>
      <x:c r="I4" s="76" t="str">
        <x:v>Valoración</x:v>
      </x:c>
      <x:c r="J4" s="43" t="str">
        <x:f>IF(H4&lt;0.6,"Crítico",IF(H4&lt;=0.85,"Moderadamente aceptable","Aceptable"))</x:f>
        <x:v>Crítico</x:v>
      </x:c>
    </x:row>
    <x:row r="8" ht="24" hidden="0" customHeight="1">
      <x:c r="A8" s="36" t="str">
        <x:v>N°</x:v>
      </x:c>
      <x:c r="B8" s="36" t="str">
        <x:v>Ciclo PHVA</x:v>
      </x:c>
      <x:c r="C8" s="36" t="str">
        <x:v>Estándar</x:v>
      </x:c>
      <x:c r="D8" s="36" t="str">
        <x:v>Descripción / criterio de evaluación</x:v>
      </x:c>
      <x:c r="E8" s="36" t="str">
        <x:v>Ponderación (%)</x:v>
      </x:c>
      <x:c r="F8" s="36" t="str">
        <x:v>Calificación</x:v>
      </x:c>
      <x:c r="G8" s="36" t="str">
        <x:v>Puntaje obtenido</x:v>
      </x:c>
      <x:c r="H8" s="36" t="str">
        <x:v>Modo de verificación</x:v>
      </x:c>
      <x:c r="I8" s="36" t="str">
        <x:v>Evidencia disponible</x:v>
      </x:c>
      <x:c r="J8" s="36" t="str">
        <x:v>Responsable de verificación</x:v>
      </x:c>
      <x:c r="K8" s="36" t="str">
        <x:v>Plan de mejora requerido</x:v>
      </x:c>
      <x:c r="L8" s="36" t="str">
        <x:v>Acción de mejora</x:v>
      </x:c>
      <x:c r="M8" s="36" t="str">
        <x:v>Fecha compromiso</x:v>
      </x:c>
      <x:c r="N8" s="36" t="str">
        <x:v>Estado mejora</x:v>
      </x:c>
      <x:c r="O8" s="36" t="str">
        <x:v>Observaciones</x:v>
      </x:c>
      <x:c r="P8" s="36" t="str">
        <x:v>Año</x:v>
      </x:c>
      <x:c r="Q8" s="36" t="str">
        <x:v>Empresa</x:v>
      </x:c>
      <x:c r="R8" s="36" t="str">
        <x:v>Sede</x:v>
      </x:c>
    </x:row>
    <x:row r="9" ht="39.599998474121094" hidden="0" customHeight="1">
      <x:c r="A9" s="22" t="n">
        <x:v>1</x:v>
      </x:c>
      <x:c r="B9" s="22" t="str">
        <x:v>Planear</x:v>
      </x:c>
      <x:c r="C9" s="22" t="str">
        <x:v>Asignación de recursos para el SG-SST</x:v>
      </x:c>
      <x:c r="D9" s="22" t="str">
        <x:v>Verificar la existencia, implementación y evidencia objetiva de 'asignación de recursos para el sg-sst' conforme a la Resolución 0312 de 2019.</x:v>
      </x:c>
      <x:c r="E9" s="52" t="n">
        <x:v>1.5</x:v>
      </x:c>
      <x:c r="F9" s="22" t="str"/>
      <x:c r="G9" s="52" t="n">
        <x:f>IF(F9="Cumple",E9,0)</x:f>
        <x:v>0</x:v>
      </x:c>
      <x:c r="H9" s="22" t="str"/>
      <x:c r="I9" s="22" t="str"/>
      <x:c r="J9" s="22" t="str"/>
      <x:c r="K9" s="22" t="str"/>
      <x:c r="L9" s="22" t="str"/>
      <x:c r="M9" s="53"/>
      <x:c r="N9" s="22" t="str"/>
      <x:c r="O9" s="22" t="str"/>
      <x:c r="P9" s="22" t="str"/>
      <x:c r="Q9" s="22" t="str">
        <x:v>IMA COMPANY SAS</x:v>
      </x:c>
      <x:c r="R9" s="22" t="str">
        <x:v>Consolidado empresarial</x:v>
      </x:c>
    </x:row>
    <x:row r="10" ht="39.599998474121094" hidden="0" customHeight="1">
      <x:c r="A10" s="22" t="n">
        <x:v>2</x:v>
      </x:c>
      <x:c r="B10" s="22" t="str">
        <x:v>Planear</x:v>
      </x:c>
      <x:c r="C10" s="22" t="str">
        <x:v>Definición y comunicación de la política de SST</x:v>
      </x:c>
      <x:c r="D10" s="22" t="str">
        <x:v>Verificar la existencia, implementación y evidencia objetiva de 'definición y comunicación de la política de sst' conforme a la Resolución 0312 de 2019.</x:v>
      </x:c>
      <x:c r="E10" s="52" t="n">
        <x:v>1.5</x:v>
      </x:c>
      <x:c r="F10" s="22" t="str"/>
      <x:c r="G10" s="52" t="n">
        <x:f>IF(F10="Cumple",E10,0)</x:f>
        <x:v>0</x:v>
      </x:c>
      <x:c r="H10" s="22" t="str"/>
      <x:c r="I10" s="22" t="str"/>
      <x:c r="J10" s="22" t="str"/>
      <x:c r="K10" s="22" t="str"/>
      <x:c r="L10" s="22" t="str"/>
      <x:c r="M10" s="53"/>
      <x:c r="N10" s="22" t="str"/>
      <x:c r="O10" s="22" t="str"/>
      <x:c r="P10" s="22" t="str"/>
      <x:c r="Q10" s="22" t="str">
        <x:v>IMA COMPANY SAS</x:v>
      </x:c>
      <x:c r="R10" s="22" t="str">
        <x:v>Consolidado empresarial</x:v>
      </x:c>
    </x:row>
    <x:row r="11" ht="39.599998474121094" hidden="0" customHeight="1">
      <x:c r="A11" s="22" t="n">
        <x:v>3</x:v>
      </x:c>
      <x:c r="B11" s="22" t="str">
        <x:v>Planear</x:v>
      </x:c>
      <x:c r="C11" s="22" t="str">
        <x:v>Definición de objetivos del SG-SST</x:v>
      </x:c>
      <x:c r="D11" s="22" t="str">
        <x:v>Verificar la existencia, implementación y evidencia objetiva de 'definición de objetivos del sg-sst' conforme a la Resolución 0312 de 2019.</x:v>
      </x:c>
      <x:c r="E11" s="52" t="n">
        <x:v>1.5</x:v>
      </x:c>
      <x:c r="F11" s="22" t="str"/>
      <x:c r="G11" s="52" t="n">
        <x:f>IF(F11="Cumple",E11,0)</x:f>
        <x:v>0</x:v>
      </x:c>
      <x:c r="H11" s="22" t="str"/>
      <x:c r="I11" s="22" t="str"/>
      <x:c r="J11" s="22" t="str"/>
      <x:c r="K11" s="22" t="str"/>
      <x:c r="L11" s="22" t="str"/>
      <x:c r="M11" s="53"/>
      <x:c r="N11" s="22" t="str"/>
      <x:c r="O11" s="22" t="str"/>
      <x:c r="P11" s="22" t="str"/>
      <x:c r="Q11" s="22" t="str">
        <x:v>IMA COMPANY SAS</x:v>
      </x:c>
      <x:c r="R11" s="22" t="str">
        <x:v>Consolidado empresarial</x:v>
      </x:c>
    </x:row>
    <x:row r="12" ht="39.599998474121094" hidden="0" customHeight="1">
      <x:c r="A12" s="22" t="n">
        <x:v>4</x:v>
      </x:c>
      <x:c r="B12" s="22" t="str">
        <x:v>Planear</x:v>
      </x:c>
      <x:c r="C12" s="22" t="str">
        <x:v>Evaluación inicial del SG-SST</x:v>
      </x:c>
      <x:c r="D12" s="22" t="str">
        <x:v>Verificar la existencia, implementación y evidencia objetiva de 'evaluación inicial del sg-sst' conforme a la Resolución 0312 de 2019.</x:v>
      </x:c>
      <x:c r="E12" s="52" t="n">
        <x:v>1.5</x:v>
      </x:c>
      <x:c r="F12" s="22" t="str"/>
      <x:c r="G12" s="52" t="n">
        <x:f>IF(F12="Cumple",E12,0)</x:f>
        <x:v>0</x:v>
      </x:c>
      <x:c r="H12" s="22" t="str"/>
      <x:c r="I12" s="22" t="str"/>
      <x:c r="J12" s="22" t="str"/>
      <x:c r="K12" s="22" t="str"/>
      <x:c r="L12" s="22" t="str"/>
      <x:c r="M12" s="53"/>
      <x:c r="N12" s="22" t="str"/>
      <x:c r="O12" s="22" t="str"/>
      <x:c r="P12" s="22" t="str"/>
      <x:c r="Q12" s="22" t="str">
        <x:v>IMA COMPANY SAS</x:v>
      </x:c>
      <x:c r="R12" s="22" t="str">
        <x:v>Consolidado empresarial</x:v>
      </x:c>
    </x:row>
    <x:row r="13" ht="39.599998474121094" hidden="0" customHeight="1">
      <x:c r="A13" s="22" t="n">
        <x:v>5</x:v>
      </x:c>
      <x:c r="B13" s="22" t="str">
        <x:v>Planear</x:v>
      </x:c>
      <x:c r="C13" s="22" t="str">
        <x:v>Plan anual de trabajo del SG-SST</x:v>
      </x:c>
      <x:c r="D13" s="22" t="str">
        <x:v>Verificar la existencia, implementación y evidencia objetiva de 'plan anual de trabajo del sg-sst' conforme a la Resolución 0312 de 2019.</x:v>
      </x:c>
      <x:c r="E13" s="52" t="n">
        <x:v>1.5</x:v>
      </x:c>
      <x:c r="F13" s="22" t="str"/>
      <x:c r="G13" s="52" t="n">
        <x:f>IF(F13="Cumple",E13,0)</x:f>
        <x:v>0</x:v>
      </x:c>
      <x:c r="H13" s="22" t="str"/>
      <x:c r="I13" s="22" t="str"/>
      <x:c r="J13" s="22" t="str"/>
      <x:c r="K13" s="22" t="str"/>
      <x:c r="L13" s="22" t="str"/>
      <x:c r="M13" s="53"/>
      <x:c r="N13" s="22" t="str"/>
      <x:c r="O13" s="22" t="str"/>
      <x:c r="P13" s="22" t="str"/>
      <x:c r="Q13" s="22" t="str">
        <x:v>IMA COMPANY SAS</x:v>
      </x:c>
      <x:c r="R13" s="22" t="str">
        <x:v>Consolidado empresarial</x:v>
      </x:c>
    </x:row>
    <x:row r="14" ht="39.599998474121094" hidden="0" customHeight="1">
      <x:c r="A14" s="22" t="n">
        <x:v>6</x:v>
      </x:c>
      <x:c r="B14" s="22" t="str">
        <x:v>Planear</x:v>
      </x:c>
      <x:c r="C14" s="22" t="str">
        <x:v>Identificación de requisitos legales aplicables</x:v>
      </x:c>
      <x:c r="D14" s="22" t="str">
        <x:v>Verificar la existencia, implementación y evidencia objetiva de 'identificación de requisitos legales aplicables' conforme a la Resolución 0312 de 2019.</x:v>
      </x:c>
      <x:c r="E14" s="52" t="n">
        <x:v>1.5</x:v>
      </x:c>
      <x:c r="F14" s="22" t="str"/>
      <x:c r="G14" s="52" t="n">
        <x:f>IF(F14="Cumple",E14,0)</x:f>
        <x:v>0</x:v>
      </x:c>
      <x:c r="H14" s="22" t="str"/>
      <x:c r="I14" s="22" t="str"/>
      <x:c r="J14" s="22" t="str"/>
      <x:c r="K14" s="22" t="str"/>
      <x:c r="L14" s="22" t="str"/>
      <x:c r="M14" s="53"/>
      <x:c r="N14" s="22" t="str"/>
      <x:c r="O14" s="22" t="str"/>
      <x:c r="P14" s="22" t="str"/>
      <x:c r="Q14" s="22" t="str">
        <x:v>IMA COMPANY SAS</x:v>
      </x:c>
      <x:c r="R14" s="22" t="str">
        <x:v>Consolidado empresarial</x:v>
      </x:c>
    </x:row>
    <x:row r="15" ht="39.599998474121094" hidden="0" customHeight="1">
      <x:c r="A15" s="22" t="n">
        <x:v>7</x:v>
      </x:c>
      <x:c r="B15" s="22" t="str">
        <x:v>Planear</x:v>
      </x:c>
      <x:c r="C15" s="22" t="str">
        <x:v>Rendición de cuentas en SST</x:v>
      </x:c>
      <x:c r="D15" s="22" t="str">
        <x:v>Verificar la existencia, implementación y evidencia objetiva de 'rendición de cuentas en sst' conforme a la Resolución 0312 de 2019.</x:v>
      </x:c>
      <x:c r="E15" s="52" t="n">
        <x:v>1.5</x:v>
      </x:c>
      <x:c r="F15" s="22" t="str"/>
      <x:c r="G15" s="52" t="n">
        <x:f>IF(F15="Cumple",E15,0)</x:f>
        <x:v>0</x:v>
      </x:c>
      <x:c r="H15" s="22" t="str"/>
      <x:c r="I15" s="22" t="str"/>
      <x:c r="J15" s="22" t="str"/>
      <x:c r="K15" s="22" t="str"/>
      <x:c r="L15" s="22" t="str"/>
      <x:c r="M15" s="53"/>
      <x:c r="N15" s="22" t="str"/>
      <x:c r="O15" s="22" t="str"/>
      <x:c r="P15" s="22" t="str"/>
      <x:c r="Q15" s="22" t="str">
        <x:v>IMA COMPANY SAS</x:v>
      </x:c>
      <x:c r="R15" s="22" t="str">
        <x:v>Consolidado empresarial</x:v>
      </x:c>
    </x:row>
    <x:row r="16" ht="39.599998474121094" hidden="0" customHeight="1">
      <x:c r="A16" s="22" t="n">
        <x:v>8</x:v>
      </x:c>
      <x:c r="B16" s="22" t="str">
        <x:v>Planear</x:v>
      </x:c>
      <x:c r="C16" s="22" t="str">
        <x:v>Roles, responsabilidades y autoridad en SST</x:v>
      </x:c>
      <x:c r="D16" s="22" t="str">
        <x:v>Verificar la existencia, implementación y evidencia objetiva de 'roles, responsabilidades y autoridad en sst' conforme a la Resolución 0312 de 2019.</x:v>
      </x:c>
      <x:c r="E16" s="52" t="n">
        <x:v>1.5</x:v>
      </x:c>
      <x:c r="F16" s="22" t="str"/>
      <x:c r="G16" s="52" t="n">
        <x:f>IF(F16="Cumple",E16,0)</x:f>
        <x:v>0</x:v>
      </x:c>
      <x:c r="H16" s="22" t="str"/>
      <x:c r="I16" s="22" t="str"/>
      <x:c r="J16" s="22" t="str"/>
      <x:c r="K16" s="22" t="str"/>
      <x:c r="L16" s="22" t="str"/>
      <x:c r="M16" s="53"/>
      <x:c r="N16" s="22" t="str"/>
      <x:c r="O16" s="22" t="str"/>
      <x:c r="P16" s="22" t="str"/>
      <x:c r="Q16" s="22" t="str">
        <x:v>IMA COMPANY SAS</x:v>
      </x:c>
      <x:c r="R16" s="22" t="str">
        <x:v>Consolidado empresarial</x:v>
      </x:c>
    </x:row>
    <x:row r="17" ht="39.599998474121094" hidden="0" customHeight="1">
      <x:c r="A17" s="22" t="n">
        <x:v>9</x:v>
      </x:c>
      <x:c r="B17" s="22" t="str">
        <x:v>Planear</x:v>
      </x:c>
      <x:c r="C17" s="22" t="str">
        <x:v>Conservación y control documental del SG-SST</x:v>
      </x:c>
      <x:c r="D17" s="22" t="str">
        <x:v>Verificar la existencia, implementación y evidencia objetiva de 'conservación y control documental del sg-sst' conforme a la Resolución 0312 de 2019.</x:v>
      </x:c>
      <x:c r="E17" s="52" t="n">
        <x:v>1.5</x:v>
      </x:c>
      <x:c r="F17" s="22" t="str"/>
      <x:c r="G17" s="52" t="n">
        <x:f>IF(F17="Cumple",E17,0)</x:f>
        <x:v>0</x:v>
      </x:c>
      <x:c r="H17" s="22" t="str"/>
      <x:c r="I17" s="22" t="str"/>
      <x:c r="J17" s="22" t="str"/>
      <x:c r="K17" s="22" t="str"/>
      <x:c r="L17" s="22" t="str"/>
      <x:c r="M17" s="53"/>
      <x:c r="N17" s="22" t="str"/>
      <x:c r="O17" s="22" t="str"/>
      <x:c r="P17" s="22" t="str"/>
      <x:c r="Q17" s="22" t="str">
        <x:v>IMA COMPANY SAS</x:v>
      </x:c>
      <x:c r="R17" s="22" t="str">
        <x:v>Consolidado empresarial</x:v>
      </x:c>
    </x:row>
    <x:row r="18" ht="39.599998474121094" hidden="0" customHeight="1">
      <x:c r="A18" s="22" t="n">
        <x:v>10</x:v>
      </x:c>
      <x:c r="B18" s="22" t="str">
        <x:v>Planear</x:v>
      </x:c>
      <x:c r="C18" s="22" t="str">
        <x:v>Perfil sociodemográfico y caracterización de trabajadores</x:v>
      </x:c>
      <x:c r="D18" s="22" t="str">
        <x:v>Verificar la existencia, implementación y evidencia objetiva de 'perfil sociodemográfico y caracterización de trabajadores' conforme a la Resolución 0312 de 2019.</x:v>
      </x:c>
      <x:c r="E18" s="52" t="n">
        <x:v>1.5</x:v>
      </x:c>
      <x:c r="F18" s="22" t="str"/>
      <x:c r="G18" s="52" t="n">
        <x:f>IF(F18="Cumple",E18,0)</x:f>
        <x:v>0</x:v>
      </x:c>
      <x:c r="H18" s="22" t="str"/>
      <x:c r="I18" s="22" t="str"/>
      <x:c r="J18" s="22" t="str"/>
      <x:c r="K18" s="22" t="str"/>
      <x:c r="L18" s="22" t="str"/>
      <x:c r="M18" s="53"/>
      <x:c r="N18" s="22" t="str"/>
      <x:c r="O18" s="22" t="str"/>
      <x:c r="P18" s="22" t="str"/>
      <x:c r="Q18" s="22" t="str">
        <x:v>IMA COMPANY SAS</x:v>
      </x:c>
      <x:c r="R18" s="22" t="str">
        <x:v>Consolidado empresarial</x:v>
      </x:c>
    </x:row>
    <x:row r="19" ht="39.599998474121094" hidden="0" customHeight="1">
      <x:c r="A19" s="22" t="n">
        <x:v>11</x:v>
      </x:c>
      <x:c r="B19" s="22" t="str">
        <x:v>Planear</x:v>
      </x:c>
      <x:c r="C19" s="22" t="str">
        <x:v>Identificación de peligros y evaluación de riesgos inicial</x:v>
      </x:c>
      <x:c r="D19" s="22" t="str">
        <x:v>Verificar la existencia, implementación y evidencia objetiva de 'identificación de peligros y evaluación de riesgos inicial' conforme a la Resolución 0312 de 2019.</x:v>
      </x:c>
      <x:c r="E19" s="52" t="n">
        <x:v>2</x:v>
      </x:c>
      <x:c r="F19" s="22" t="str"/>
      <x:c r="G19" s="52" t="n">
        <x:f>IF(F19="Cumple",E19,0)</x:f>
        <x:v>0</x:v>
      </x:c>
      <x:c r="H19" s="22" t="str"/>
      <x:c r="I19" s="22" t="str"/>
      <x:c r="J19" s="22" t="str"/>
      <x:c r="K19" s="22" t="str"/>
      <x:c r="L19" s="22" t="str"/>
      <x:c r="M19" s="53"/>
      <x:c r="N19" s="22" t="str"/>
      <x:c r="O19" s="22" t="str"/>
      <x:c r="P19" s="22" t="str"/>
      <x:c r="Q19" s="22" t="str">
        <x:v>IMA COMPANY SAS</x:v>
      </x:c>
      <x:c r="R19" s="22" t="str">
        <x:v>Consolidado empresarial</x:v>
      </x:c>
    </x:row>
    <x:row r="20" ht="39.599998474121094" hidden="0" customHeight="1">
      <x:c r="A20" s="22" t="n">
        <x:v>12</x:v>
      </x:c>
      <x:c r="B20" s="22" t="str">
        <x:v>Planear</x:v>
      </x:c>
      <x:c r="C20" s="22" t="str">
        <x:v>Priorización de intervenciones y controles</x:v>
      </x:c>
      <x:c r="D20" s="22" t="str">
        <x:v>Verificar la existencia, implementación y evidencia objetiva de 'priorización de intervenciones y controles' conforme a la Resolución 0312 de 2019.</x:v>
      </x:c>
      <x:c r="E20" s="52" t="n">
        <x:v>2</x:v>
      </x:c>
      <x:c r="F20" s="22" t="str"/>
      <x:c r="G20" s="52" t="n">
        <x:f>IF(F20="Cumple",E20,0)</x:f>
        <x:v>0</x:v>
      </x:c>
      <x:c r="H20" s="22" t="str"/>
      <x:c r="I20" s="22" t="str"/>
      <x:c r="J20" s="22" t="str"/>
      <x:c r="K20" s="22" t="str"/>
      <x:c r="L20" s="22" t="str"/>
      <x:c r="M20" s="53"/>
      <x:c r="N20" s="22" t="str"/>
      <x:c r="O20" s="22" t="str"/>
      <x:c r="P20" s="22" t="str"/>
      <x:c r="Q20" s="22" t="str">
        <x:v>IMA COMPANY SAS</x:v>
      </x:c>
      <x:c r="R20" s="22" t="str">
        <x:v>Consolidado empresarial</x:v>
      </x:c>
    </x:row>
    <x:row r="21" ht="39.599998474121094" hidden="0" customHeight="1">
      <x:c r="A21" s="22" t="n">
        <x:v>13</x:v>
      </x:c>
      <x:c r="B21" s="22" t="str">
        <x:v>Planear</x:v>
      </x:c>
      <x:c r="C21" s="22" t="str">
        <x:v>Planificación de indicadores del SG-SST</x:v>
      </x:c>
      <x:c r="D21" s="22" t="str">
        <x:v>Verificar la existencia, implementación y evidencia objetiva de 'planificación de indicadores del sg-sst' conforme a la Resolución 0312 de 2019.</x:v>
      </x:c>
      <x:c r="E21" s="52" t="n">
        <x:v>2</x:v>
      </x:c>
      <x:c r="F21" s="22" t="str"/>
      <x:c r="G21" s="52" t="n">
        <x:f>IF(F21="Cumple",E21,0)</x:f>
        <x:v>0</x:v>
      </x:c>
      <x:c r="H21" s="22" t="str"/>
      <x:c r="I21" s="22" t="str"/>
      <x:c r="J21" s="22" t="str"/>
      <x:c r="K21" s="22" t="str"/>
      <x:c r="L21" s="22" t="str"/>
      <x:c r="M21" s="53"/>
      <x:c r="N21" s="22" t="str"/>
      <x:c r="O21" s="22" t="str"/>
      <x:c r="P21" s="22" t="str"/>
      <x:c r="Q21" s="22" t="str">
        <x:v>IMA COMPANY SAS</x:v>
      </x:c>
      <x:c r="R21" s="22" t="str">
        <x:v>Consolidado empresarial</x:v>
      </x:c>
    </x:row>
    <x:row r="22" ht="39.599998474121094" hidden="0" customHeight="1">
      <x:c r="A22" s="22" t="n">
        <x:v>14</x:v>
      </x:c>
      <x:c r="B22" s="22" t="str">
        <x:v>Planear</x:v>
      </x:c>
      <x:c r="C22" s="22" t="str">
        <x:v>Plan de capacitación, inducción y reinducción</x:v>
      </x:c>
      <x:c r="D22" s="22" t="str">
        <x:v>Verificar la existencia, implementación y evidencia objetiva de 'plan de capacitación, inducción y reinducción' conforme a la Resolución 0312 de 2019.</x:v>
      </x:c>
      <x:c r="E22" s="52" t="n">
        <x:v>2</x:v>
      </x:c>
      <x:c r="F22" s="22" t="str"/>
      <x:c r="G22" s="52" t="n">
        <x:f>IF(F22="Cumple",E22,0)</x:f>
        <x:v>0</x:v>
      </x:c>
      <x:c r="H22" s="22" t="str"/>
      <x:c r="I22" s="22" t="str"/>
      <x:c r="J22" s="22" t="str"/>
      <x:c r="K22" s="22" t="str"/>
      <x:c r="L22" s="22" t="str"/>
      <x:c r="M22" s="53"/>
      <x:c r="N22" s="22" t="str"/>
      <x:c r="O22" s="22" t="str"/>
      <x:c r="P22" s="22" t="str"/>
      <x:c r="Q22" s="22" t="str">
        <x:v>IMA COMPANY SAS</x:v>
      </x:c>
      <x:c r="R22" s="22" t="str">
        <x:v>Consolidado empresarial</x:v>
      </x:c>
    </x:row>
    <x:row r="23" ht="39.599998474121094" hidden="0" customHeight="1">
      <x:c r="A23" s="22" t="n">
        <x:v>15</x:v>
      </x:c>
      <x:c r="B23" s="22" t="str">
        <x:v>Planear</x:v>
      </x:c>
      <x:c r="C23" s="22" t="str">
        <x:v>Plan de prevención, preparación y respuesta ante emergencias</x:v>
      </x:c>
      <x:c r="D23" s="22" t="str">
        <x:v>Verificar la existencia, implementación y evidencia objetiva de 'plan de prevención, preparación y respuesta ante emergencias' conforme a la Resolución 0312 de 2019.</x:v>
      </x:c>
      <x:c r="E23" s="52" t="n">
        <x:v>2</x:v>
      </x:c>
      <x:c r="F23" s="22" t="str"/>
      <x:c r="G23" s="52" t="n">
        <x:f>IF(F23="Cumple",E23,0)</x:f>
        <x:v>0</x:v>
      </x:c>
      <x:c r="H23" s="22" t="str"/>
      <x:c r="I23" s="22" t="str"/>
      <x:c r="J23" s="22" t="str"/>
      <x:c r="K23" s="22" t="str"/>
      <x:c r="L23" s="22" t="str"/>
      <x:c r="M23" s="53"/>
      <x:c r="N23" s="22" t="str"/>
      <x:c r="O23" s="22" t="str"/>
      <x:c r="P23" s="22" t="str"/>
      <x:c r="Q23" s="22" t="str">
        <x:v>IMA COMPANY SAS</x:v>
      </x:c>
      <x:c r="R23" s="22" t="str">
        <x:v>Consolidado empresarial</x:v>
      </x:c>
    </x:row>
    <x:row r="24" ht="39.599998474121094" hidden="0" customHeight="1">
      <x:c r="A24" s="22" t="n">
        <x:v>16</x:v>
      </x:c>
      <x:c r="B24" s="22" t="str">
        <x:v>Hacer</x:v>
      </x:c>
      <x:c r="C24" s="22" t="str">
        <x:v>Afiliación y cobertura al Sistema General de Riesgos Laborales</x:v>
      </x:c>
      <x:c r="D24" s="22" t="str">
        <x:v>Verificar la existencia, implementación y evidencia objetiva de 'afiliación y cobertura al sistema general de riesgos laborales' conforme a la Resolución 0312 de 2019.</x:v>
      </x:c>
      <x:c r="E24" s="52" t="n">
        <x:v>1.5</x:v>
      </x:c>
      <x:c r="F24" s="22" t="str"/>
      <x:c r="G24" s="52" t="n">
        <x:f>IF(F24="Cumple",E24,0)</x:f>
        <x:v>0</x:v>
      </x:c>
      <x:c r="H24" s="22" t="str"/>
      <x:c r="I24" s="22" t="str"/>
      <x:c r="J24" s="22" t="str"/>
      <x:c r="K24" s="22" t="str"/>
      <x:c r="L24" s="22" t="str"/>
      <x:c r="M24" s="53"/>
      <x:c r="N24" s="22" t="str"/>
      <x:c r="O24" s="22" t="str"/>
      <x:c r="P24" s="22" t="str"/>
      <x:c r="Q24" s="22" t="str">
        <x:v>IMA COMPANY SAS</x:v>
      </x:c>
      <x:c r="R24" s="22" t="str">
        <x:v>Consolidado empresarial</x:v>
      </x:c>
    </x:row>
    <x:row r="25" ht="39.599998474121094" hidden="0" customHeight="1">
      <x:c r="A25" s="22" t="n">
        <x:v>17</x:v>
      </x:c>
      <x:c r="B25" s="22" t="str">
        <x:v>Hacer</x:v>
      </x:c>
      <x:c r="C25" s="22" t="str">
        <x:v>Conformación y funcionamiento del COPASST</x:v>
      </x:c>
      <x:c r="D25" s="22" t="str">
        <x:v>Verificar la existencia, implementación y evidencia objetiva de 'conformación y funcionamiento del copasst' conforme a la Resolución 0312 de 2019.</x:v>
      </x:c>
      <x:c r="E25" s="52" t="n">
        <x:v>1.5</x:v>
      </x:c>
      <x:c r="F25" s="22" t="str"/>
      <x:c r="G25" s="52" t="n">
        <x:f>IF(F25="Cumple",E25,0)</x:f>
        <x:v>0</x:v>
      </x:c>
      <x:c r="H25" s="22" t="str"/>
      <x:c r="I25" s="22" t="str"/>
      <x:c r="J25" s="22" t="str"/>
      <x:c r="K25" s="22" t="str"/>
      <x:c r="L25" s="22" t="str"/>
      <x:c r="M25" s="53"/>
      <x:c r="N25" s="22" t="str"/>
      <x:c r="O25" s="22" t="str"/>
      <x:c r="P25" s="22" t="str"/>
      <x:c r="Q25" s="22" t="str">
        <x:v>IMA COMPANY SAS</x:v>
      </x:c>
      <x:c r="R25" s="22" t="str">
        <x:v>Consolidado empresarial</x:v>
      </x:c>
    </x:row>
    <x:row r="26" ht="39.599998474121094" hidden="0" customHeight="1">
      <x:c r="A26" s="22" t="n">
        <x:v>18</x:v>
      </x:c>
      <x:c r="B26" s="22" t="str">
        <x:v>Hacer</x:v>
      </x:c>
      <x:c r="C26" s="22" t="str">
        <x:v>Conformación y funcionamiento del Comité de Convivencia Laboral</x:v>
      </x:c>
      <x:c r="D26" s="22" t="str">
        <x:v>Verificar la existencia, implementación y evidencia objetiva de 'conformación y funcionamiento del comité de convivencia laboral' conforme a la Resolución 0312 de 2019.</x:v>
      </x:c>
      <x:c r="E26" s="52" t="n">
        <x:v>1.5</x:v>
      </x:c>
      <x:c r="F26" s="22" t="str"/>
      <x:c r="G26" s="52" t="n">
        <x:f>IF(F26="Cumple",E26,0)</x:f>
        <x:v>0</x:v>
      </x:c>
      <x:c r="H26" s="22" t="str"/>
      <x:c r="I26" s="22" t="str"/>
      <x:c r="J26" s="22" t="str"/>
      <x:c r="K26" s="22" t="str"/>
      <x:c r="L26" s="22" t="str"/>
      <x:c r="M26" s="53"/>
      <x:c r="N26" s="22" t="str"/>
      <x:c r="O26" s="22" t="str"/>
      <x:c r="P26" s="22" t="str"/>
      <x:c r="Q26" s="22" t="str">
        <x:v>IMA COMPANY SAS</x:v>
      </x:c>
      <x:c r="R26" s="22" t="str">
        <x:v>Consolidado empresarial</x:v>
      </x:c>
    </x:row>
    <x:row r="27" ht="39.599998474121094" hidden="0" customHeight="1">
      <x:c r="A27" s="22" t="n">
        <x:v>19</x:v>
      </x:c>
      <x:c r="B27" s="22" t="str">
        <x:v>Hacer</x:v>
      </x:c>
      <x:c r="C27" s="22" t="str">
        <x:v>Programa de capacitación en SST ejecutado</x:v>
      </x:c>
      <x:c r="D27" s="22" t="str">
        <x:v>Verificar la existencia, implementación y evidencia objetiva de 'programa de capacitación en sst ejecutado' conforme a la Resolución 0312 de 2019.</x:v>
      </x:c>
      <x:c r="E27" s="52" t="n">
        <x:v>1.5</x:v>
      </x:c>
      <x:c r="F27" s="22" t="str"/>
      <x:c r="G27" s="52" t="n">
        <x:f>IF(F27="Cumple",E27,0)</x:f>
        <x:v>0</x:v>
      </x:c>
      <x:c r="H27" s="22" t="str"/>
      <x:c r="I27" s="22" t="str"/>
      <x:c r="J27" s="22" t="str"/>
      <x:c r="K27" s="22" t="str"/>
      <x:c r="L27" s="22" t="str"/>
      <x:c r="M27" s="53"/>
      <x:c r="N27" s="22" t="str"/>
      <x:c r="O27" s="22" t="str"/>
      <x:c r="P27" s="22" t="str"/>
      <x:c r="Q27" s="22" t="str">
        <x:v>IMA COMPANY SAS</x:v>
      </x:c>
      <x:c r="R27" s="22" t="str">
        <x:v>Consolidado empresarial</x:v>
      </x:c>
    </x:row>
    <x:row r="28" ht="39.599998474121094" hidden="0" customHeight="1">
      <x:c r="A28" s="22" t="n">
        <x:v>20</x:v>
      </x:c>
      <x:c r="B28" s="22" t="str">
        <x:v>Hacer</x:v>
      </x:c>
      <x:c r="C28" s="22" t="str">
        <x:v>Inducción y reinducción en SST</x:v>
      </x:c>
      <x:c r="D28" s="22" t="str">
        <x:v>Verificar la existencia, implementación y evidencia objetiva de 'inducción y reinducción en sst' conforme a la Resolución 0312 de 2019.</x:v>
      </x:c>
      <x:c r="E28" s="52" t="n">
        <x:v>1.5</x:v>
      </x:c>
      <x:c r="F28" s="22" t="str"/>
      <x:c r="G28" s="52" t="n">
        <x:f>IF(F28="Cumple",E28,0)</x:f>
        <x:v>0</x:v>
      </x:c>
      <x:c r="H28" s="22" t="str"/>
      <x:c r="I28" s="22" t="str"/>
      <x:c r="J28" s="22" t="str"/>
      <x:c r="K28" s="22" t="str"/>
      <x:c r="L28" s="22" t="str"/>
      <x:c r="M28" s="53"/>
      <x:c r="N28" s="22" t="str"/>
      <x:c r="O28" s="22" t="str"/>
      <x:c r="P28" s="22" t="str"/>
      <x:c r="Q28" s="22" t="str">
        <x:v>IMA COMPANY SAS</x:v>
      </x:c>
      <x:c r="R28" s="22" t="str">
        <x:v>Consolidado empresarial</x:v>
      </x:c>
    </x:row>
    <x:row r="29" ht="39.599998474121094" hidden="0" customHeight="1">
      <x:c r="A29" s="22" t="n">
        <x:v>21</x:v>
      </x:c>
      <x:c r="B29" s="22" t="str">
        <x:v>Hacer</x:v>
      </x:c>
      <x:c r="C29" s="22" t="str">
        <x:v>Entrega, reposición y control de EPP</x:v>
      </x:c>
      <x:c r="D29" s="22" t="str">
        <x:v>Verificar la existencia, implementación y evidencia objetiva de 'entrega, reposición y control de epp' conforme a la Resolución 0312 de 2019.</x:v>
      </x:c>
      <x:c r="E29" s="52" t="n">
        <x:v>1.5</x:v>
      </x:c>
      <x:c r="F29" s="22" t="str"/>
      <x:c r="G29" s="52" t="n">
        <x:f>IF(F29="Cumple",E29,0)</x:f>
        <x:v>0</x:v>
      </x:c>
      <x:c r="H29" s="22" t="str"/>
      <x:c r="I29" s="22" t="str"/>
      <x:c r="J29" s="22" t="str"/>
      <x:c r="K29" s="22" t="str"/>
      <x:c r="L29" s="22" t="str"/>
      <x:c r="M29" s="53"/>
      <x:c r="N29" s="22" t="str"/>
      <x:c r="O29" s="22" t="str"/>
      <x:c r="P29" s="22" t="str"/>
      <x:c r="Q29" s="22" t="str">
        <x:v>IMA COMPANY SAS</x:v>
      </x:c>
      <x:c r="R29" s="22" t="str">
        <x:v>Consolidado empresarial</x:v>
      </x:c>
    </x:row>
    <x:row r="30" ht="39.599998474121094" hidden="0" customHeight="1">
      <x:c r="A30" s="22" t="n">
        <x:v>22</x:v>
      </x:c>
      <x:c r="B30" s="22" t="str">
        <x:v>Hacer</x:v>
      </x:c>
      <x:c r="C30" s="22" t="str">
        <x:v>Inspecciones planeadas de seguridad</x:v>
      </x:c>
      <x:c r="D30" s="22" t="str">
        <x:v>Verificar la existencia, implementación y evidencia objetiva de 'inspecciones planeadas de seguridad' conforme a la Resolución 0312 de 2019.</x:v>
      </x:c>
      <x:c r="E30" s="52" t="n">
        <x:v>1.5</x:v>
      </x:c>
      <x:c r="F30" s="22" t="str"/>
      <x:c r="G30" s="52" t="n">
        <x:f>IF(F30="Cumple",E30,0)</x:f>
        <x:v>0</x:v>
      </x:c>
      <x:c r="H30" s="22" t="str"/>
      <x:c r="I30" s="22" t="str"/>
      <x:c r="J30" s="22" t="str"/>
      <x:c r="K30" s="22" t="str"/>
      <x:c r="L30" s="22" t="str"/>
      <x:c r="M30" s="53"/>
      <x:c r="N30" s="22" t="str"/>
      <x:c r="O30" s="22" t="str"/>
      <x:c r="P30" s="22" t="str"/>
      <x:c r="Q30" s="22" t="str">
        <x:v>IMA COMPANY SAS</x:v>
      </x:c>
      <x:c r="R30" s="22" t="str">
        <x:v>Consolidado empresarial</x:v>
      </x:c>
    </x:row>
    <x:row r="31" ht="39.599998474121094" hidden="0" customHeight="1">
      <x:c r="A31" s="22" t="n">
        <x:v>23</x:v>
      </x:c>
      <x:c r="B31" s="22" t="str">
        <x:v>Hacer</x:v>
      </x:c>
      <x:c r="C31" s="22" t="str">
        <x:v>Mantenimiento preventivo de equipos e instalaciones</x:v>
      </x:c>
      <x:c r="D31" s="22" t="str">
        <x:v>Verificar la existencia, implementación y evidencia objetiva de 'mantenimiento preventivo de equipos e instalaciones' conforme a la Resolución 0312 de 2019.</x:v>
      </x:c>
      <x:c r="E31" s="52" t="n">
        <x:v>1.5</x:v>
      </x:c>
      <x:c r="F31" s="22" t="str"/>
      <x:c r="G31" s="52" t="n">
        <x:f>IF(F31="Cumple",E31,0)</x:f>
        <x:v>0</x:v>
      </x:c>
      <x:c r="H31" s="22" t="str"/>
      <x:c r="I31" s="22" t="str"/>
      <x:c r="J31" s="22" t="str"/>
      <x:c r="K31" s="22" t="str"/>
      <x:c r="L31" s="22" t="str"/>
      <x:c r="M31" s="53"/>
      <x:c r="N31" s="22" t="str"/>
      <x:c r="O31" s="22" t="str"/>
      <x:c r="P31" s="22" t="str"/>
      <x:c r="Q31" s="22" t="str">
        <x:v>IMA COMPANY SAS</x:v>
      </x:c>
      <x:c r="R31" s="22" t="str">
        <x:v>Consolidado empresarial</x:v>
      </x:c>
    </x:row>
    <x:row r="32" ht="39.599998474121094" hidden="0" customHeight="1">
      <x:c r="A32" s="22" t="n">
        <x:v>24</x:v>
      </x:c>
      <x:c r="B32" s="22" t="str">
        <x:v>Hacer</x:v>
      </x:c>
      <x:c r="C32" s="22" t="str">
        <x:v>Gestión de contratistas y proveedores en SST</x:v>
      </x:c>
      <x:c r="D32" s="22" t="str">
        <x:v>Verificar la existencia, implementación y evidencia objetiva de 'gestión de contratistas y proveedores en sst' conforme a la Resolución 0312 de 2019.</x:v>
      </x:c>
      <x:c r="E32" s="52" t="n">
        <x:v>1.5</x:v>
      </x:c>
      <x:c r="F32" s="22" t="str"/>
      <x:c r="G32" s="52" t="n">
        <x:f>IF(F32="Cumple",E32,0)</x:f>
        <x:v>0</x:v>
      </x:c>
      <x:c r="H32" s="22" t="str"/>
      <x:c r="I32" s="22" t="str"/>
      <x:c r="J32" s="22" t="str"/>
      <x:c r="K32" s="22" t="str"/>
      <x:c r="L32" s="22" t="str"/>
      <x:c r="M32" s="53"/>
      <x:c r="N32" s="22" t="str"/>
      <x:c r="O32" s="22" t="str"/>
      <x:c r="P32" s="22" t="str"/>
      <x:c r="Q32" s="22" t="str">
        <x:v>IMA COMPANY SAS</x:v>
      </x:c>
      <x:c r="R32" s="22" t="str">
        <x:v>Consolidado empresarial</x:v>
      </x:c>
    </x:row>
    <x:row r="33" ht="26.399999618530273" hidden="0" customHeight="1">
      <x:c r="A33" s="22" t="n">
        <x:v>25</x:v>
      </x:c>
      <x:c r="B33" s="22" t="str">
        <x:v>Hacer</x:v>
      </x:c>
      <x:c r="C33" s="22" t="str">
        <x:v>Gestión del cambio</x:v>
      </x:c>
      <x:c r="D33" s="22" t="str">
        <x:v>Verificar la existencia, implementación y evidencia objetiva de 'gestión del cambio' conforme a la Resolución 0312 de 2019.</x:v>
      </x:c>
      <x:c r="E33" s="52" t="n">
        <x:v>1.5</x:v>
      </x:c>
      <x:c r="F33" s="22" t="str"/>
      <x:c r="G33" s="52" t="n">
        <x:f>IF(F33="Cumple",E33,0)</x:f>
        <x:v>0</x:v>
      </x:c>
      <x:c r="H33" s="22" t="str"/>
      <x:c r="I33" s="22" t="str"/>
      <x:c r="J33" s="22" t="str"/>
      <x:c r="K33" s="22" t="str"/>
      <x:c r="L33" s="22" t="str"/>
      <x:c r="M33" s="53"/>
      <x:c r="N33" s="22" t="str"/>
      <x:c r="O33" s="22" t="str"/>
      <x:c r="P33" s="22" t="str"/>
      <x:c r="Q33" s="22" t="str">
        <x:v>IMA COMPANY SAS</x:v>
      </x:c>
      <x:c r="R33" s="22" t="str">
        <x:v>Consolidado empresarial</x:v>
      </x:c>
    </x:row>
    <x:row r="34" ht="39.599998474121094" hidden="0" customHeight="1">
      <x:c r="A34" s="22" t="n">
        <x:v>26</x:v>
      </x:c>
      <x:c r="B34" s="22" t="str">
        <x:v>Hacer</x:v>
      </x:c>
      <x:c r="C34" s="22" t="str">
        <x:v>Exámenes médicos ocupacionales de ingreso</x:v>
      </x:c>
      <x:c r="D34" s="22" t="str">
        <x:v>Verificar la existencia, implementación y evidencia objetiva de 'exámenes médicos ocupacionales de ingreso' conforme a la Resolución 0312 de 2019.</x:v>
      </x:c>
      <x:c r="E34" s="52" t="n">
        <x:v>1.5</x:v>
      </x:c>
      <x:c r="F34" s="22" t="str"/>
      <x:c r="G34" s="52" t="n">
        <x:f>IF(F34="Cumple",E34,0)</x:f>
        <x:v>0</x:v>
      </x:c>
      <x:c r="H34" s="22" t="str"/>
      <x:c r="I34" s="22" t="str"/>
      <x:c r="J34" s="22" t="str"/>
      <x:c r="K34" s="22" t="str"/>
      <x:c r="L34" s="22" t="str"/>
      <x:c r="M34" s="53"/>
      <x:c r="N34" s="22" t="str"/>
      <x:c r="O34" s="22" t="str"/>
      <x:c r="P34" s="22" t="str"/>
      <x:c r="Q34" s="22" t="str">
        <x:v>IMA COMPANY SAS</x:v>
      </x:c>
      <x:c r="R34" s="22" t="str">
        <x:v>Consolidado empresarial</x:v>
      </x:c>
    </x:row>
    <x:row r="35" ht="39.599998474121094" hidden="0" customHeight="1">
      <x:c r="A35" s="22" t="n">
        <x:v>27</x:v>
      </x:c>
      <x:c r="B35" s="22" t="str">
        <x:v>Hacer</x:v>
      </x:c>
      <x:c r="C35" s="22" t="str">
        <x:v>Exámenes médicos periódicos</x:v>
      </x:c>
      <x:c r="D35" s="22" t="str">
        <x:v>Verificar la existencia, implementación y evidencia objetiva de 'exámenes médicos periódicos' conforme a la Resolución 0312 de 2019.</x:v>
      </x:c>
      <x:c r="E35" s="52" t="n">
        <x:v>1.5</x:v>
      </x:c>
      <x:c r="F35" s="22" t="str"/>
      <x:c r="G35" s="52" t="n">
        <x:f>IF(F35="Cumple",E35,0)</x:f>
        <x:v>0</x:v>
      </x:c>
      <x:c r="H35" s="22" t="str"/>
      <x:c r="I35" s="22" t="str"/>
      <x:c r="J35" s="22" t="str"/>
      <x:c r="K35" s="22" t="str"/>
      <x:c r="L35" s="22" t="str"/>
      <x:c r="M35" s="53"/>
      <x:c r="N35" s="22" t="str"/>
      <x:c r="O35" s="22" t="str"/>
      <x:c r="P35" s="22" t="str"/>
      <x:c r="Q35" s="22" t="str">
        <x:v>IMA COMPANY SAS</x:v>
      </x:c>
      <x:c r="R35" s="22" t="str">
        <x:v>Consolidado empresarial</x:v>
      </x:c>
    </x:row>
    <x:row r="36" ht="39.599998474121094" hidden="0" customHeight="1">
      <x:c r="A36" s="22" t="n">
        <x:v>28</x:v>
      </x:c>
      <x:c r="B36" s="22" t="str">
        <x:v>Hacer</x:v>
      </x:c>
      <x:c r="C36" s="22" t="str">
        <x:v>Exámenes de retiro y post incapacidad</x:v>
      </x:c>
      <x:c r="D36" s="22" t="str">
        <x:v>Verificar la existencia, implementación y evidencia objetiva de 'exámenes de retiro y post incapacidad' conforme a la Resolución 0312 de 2019.</x:v>
      </x:c>
      <x:c r="E36" s="52" t="n">
        <x:v>1.5</x:v>
      </x:c>
      <x:c r="F36" s="22" t="str"/>
      <x:c r="G36" s="52" t="n">
        <x:f>IF(F36="Cumple",E36,0)</x:f>
        <x:v>0</x:v>
      </x:c>
      <x:c r="H36" s="22" t="str"/>
      <x:c r="I36" s="22" t="str"/>
      <x:c r="J36" s="22" t="str"/>
      <x:c r="K36" s="22" t="str"/>
      <x:c r="L36" s="22" t="str"/>
      <x:c r="M36" s="53"/>
      <x:c r="N36" s="22" t="str"/>
      <x:c r="O36" s="22" t="str"/>
      <x:c r="P36" s="22" t="str"/>
      <x:c r="Q36" s="22" t="str">
        <x:v>IMA COMPANY SAS</x:v>
      </x:c>
      <x:c r="R36" s="22" t="str">
        <x:v>Consolidado empresarial</x:v>
      </x:c>
    </x:row>
    <x:row r="37" ht="39.599998474121094" hidden="0" customHeight="1">
      <x:c r="A37" s="22" t="n">
        <x:v>29</x:v>
      </x:c>
      <x:c r="B37" s="22" t="str">
        <x:v>Hacer</x:v>
      </x:c>
      <x:c r="C37" s="22" t="str">
        <x:v>Reporte e investigación de accidentes de trabajo</x:v>
      </x:c>
      <x:c r="D37" s="22" t="str">
        <x:v>Verificar la existencia, implementación y evidencia objetiva de 'reporte e investigación de accidentes de trabajo' conforme a la Resolución 0312 de 2019.</x:v>
      </x:c>
      <x:c r="E37" s="52" t="n">
        <x:v>1.5</x:v>
      </x:c>
      <x:c r="F37" s="22" t="str"/>
      <x:c r="G37" s="52" t="n">
        <x:f>IF(F37="Cumple",E37,0)</x:f>
        <x:v>0</x:v>
      </x:c>
      <x:c r="H37" s="22" t="str"/>
      <x:c r="I37" s="22" t="str"/>
      <x:c r="J37" s="22" t="str"/>
      <x:c r="K37" s="22" t="str"/>
      <x:c r="L37" s="22" t="str"/>
      <x:c r="M37" s="53"/>
      <x:c r="N37" s="22" t="str"/>
      <x:c r="O37" s="22" t="str"/>
      <x:c r="P37" s="22" t="str"/>
      <x:c r="Q37" s="22" t="str">
        <x:v>IMA COMPANY SAS</x:v>
      </x:c>
      <x:c r="R37" s="22" t="str">
        <x:v>Consolidado empresarial</x:v>
      </x:c>
    </x:row>
    <x:row r="38" ht="39.599998474121094" hidden="0" customHeight="1">
      <x:c r="A38" s="22" t="n">
        <x:v>30</x:v>
      </x:c>
      <x:c r="B38" s="22" t="str">
        <x:v>Hacer</x:v>
      </x:c>
      <x:c r="C38" s="22" t="str">
        <x:v>Reporte y seguimiento de enfermedades laborales</x:v>
      </x:c>
      <x:c r="D38" s="22" t="str">
        <x:v>Verificar la existencia, implementación y evidencia objetiva de 'reporte y seguimiento de enfermedades laborales' conforme a la Resolución 0312 de 2019.</x:v>
      </x:c>
      <x:c r="E38" s="52" t="n">
        <x:v>1.5</x:v>
      </x:c>
      <x:c r="F38" s="22" t="str"/>
      <x:c r="G38" s="52" t="n">
        <x:f>IF(F38="Cumple",E38,0)</x:f>
        <x:v>0</x:v>
      </x:c>
      <x:c r="H38" s="22" t="str"/>
      <x:c r="I38" s="22" t="str"/>
      <x:c r="J38" s="22" t="str"/>
      <x:c r="K38" s="22" t="str"/>
      <x:c r="L38" s="22" t="str"/>
      <x:c r="M38" s="53"/>
      <x:c r="N38" s="22" t="str"/>
      <x:c r="O38" s="22" t="str"/>
      <x:c r="P38" s="22" t="str"/>
      <x:c r="Q38" s="22" t="str">
        <x:v>IMA COMPANY SAS</x:v>
      </x:c>
      <x:c r="R38" s="22" t="str">
        <x:v>Consolidado empresarial</x:v>
      </x:c>
    </x:row>
    <x:row r="39" ht="39.599998474121094" hidden="0" customHeight="1">
      <x:c r="A39" s="22" t="n">
        <x:v>31</x:v>
      </x:c>
      <x:c r="B39" s="22" t="str">
        <x:v>Hacer</x:v>
      </x:c>
      <x:c r="C39" s="22" t="str">
        <x:v>Gestión de ausentismo laboral</x:v>
      </x:c>
      <x:c r="D39" s="22" t="str">
        <x:v>Verificar la existencia, implementación y evidencia objetiva de 'gestión de ausentismo laboral' conforme a la Resolución 0312 de 2019.</x:v>
      </x:c>
      <x:c r="E39" s="52" t="n">
        <x:v>2</x:v>
      </x:c>
      <x:c r="F39" s="22" t="str"/>
      <x:c r="G39" s="52" t="n">
        <x:f>IF(F39="Cumple",E39,0)</x:f>
        <x:v>0</x:v>
      </x:c>
      <x:c r="H39" s="22" t="str"/>
      <x:c r="I39" s="22" t="str"/>
      <x:c r="J39" s="22" t="str"/>
      <x:c r="K39" s="22" t="str"/>
      <x:c r="L39" s="22" t="str"/>
      <x:c r="M39" s="53"/>
      <x:c r="N39" s="22" t="str"/>
      <x:c r="O39" s="22" t="str"/>
      <x:c r="P39" s="22" t="str"/>
      <x:c r="Q39" s="22" t="str">
        <x:v>IMA COMPANY SAS</x:v>
      </x:c>
      <x:c r="R39" s="22" t="str">
        <x:v>Consolidado empresarial</x:v>
      </x:c>
    </x:row>
    <x:row r="40" ht="39.599998474121094" hidden="0" customHeight="1">
      <x:c r="A40" s="22" t="n">
        <x:v>32</x:v>
      </x:c>
      <x:c r="B40" s="22" t="str">
        <x:v>Hacer</x:v>
      </x:c>
      <x:c r="C40" s="22" t="str">
        <x:v>Vigilancia epidemiológica</x:v>
      </x:c>
      <x:c r="D40" s="22" t="str">
        <x:v>Verificar la existencia, implementación y evidencia objetiva de 'vigilancia epidemiológica' conforme a la Resolución 0312 de 2019.</x:v>
      </x:c>
      <x:c r="E40" s="52" t="n">
        <x:v>2</x:v>
      </x:c>
      <x:c r="F40" s="22" t="str"/>
      <x:c r="G40" s="52" t="n">
        <x:f>IF(F40="Cumple",E40,0)</x:f>
        <x:v>0</x:v>
      </x:c>
      <x:c r="H40" s="22" t="str"/>
      <x:c r="I40" s="22" t="str"/>
      <x:c r="J40" s="22" t="str"/>
      <x:c r="K40" s="22" t="str"/>
      <x:c r="L40" s="22" t="str"/>
      <x:c r="M40" s="53"/>
      <x:c r="N40" s="22" t="str"/>
      <x:c r="O40" s="22" t="str"/>
      <x:c r="P40" s="22" t="str"/>
      <x:c r="Q40" s="22" t="str">
        <x:v>IMA COMPANY SAS</x:v>
      </x:c>
      <x:c r="R40" s="22" t="str">
        <x:v>Consolidado empresarial</x:v>
      </x:c>
    </x:row>
    <x:row r="41" ht="39.599998474121094" hidden="0" customHeight="1">
      <x:c r="A41" s="22" t="n">
        <x:v>33</x:v>
      </x:c>
      <x:c r="B41" s="22" t="str">
        <x:v>Hacer</x:v>
      </x:c>
      <x:c r="C41" s="22" t="str">
        <x:v>Mediciones higiénicas y controles ambientales</x:v>
      </x:c>
      <x:c r="D41" s="22" t="str">
        <x:v>Verificar la existencia, implementación y evidencia objetiva de 'mediciones higiénicas y controles ambientales' conforme a la Resolución 0312 de 2019.</x:v>
      </x:c>
      <x:c r="E41" s="52" t="n">
        <x:v>2</x:v>
      </x:c>
      <x:c r="F41" s="22" t="str"/>
      <x:c r="G41" s="52" t="n">
        <x:f>IF(F41="Cumple",E41,0)</x:f>
        <x:v>0</x:v>
      </x:c>
      <x:c r="H41" s="22" t="str"/>
      <x:c r="I41" s="22" t="str"/>
      <x:c r="J41" s="22" t="str"/>
      <x:c r="K41" s="22" t="str"/>
      <x:c r="L41" s="22" t="str"/>
      <x:c r="M41" s="53"/>
      <x:c r="N41" s="22" t="str"/>
      <x:c r="O41" s="22" t="str"/>
      <x:c r="P41" s="22" t="str"/>
      <x:c r="Q41" s="22" t="str">
        <x:v>IMA COMPANY SAS</x:v>
      </x:c>
      <x:c r="R41" s="22" t="str">
        <x:v>Consolidado empresarial</x:v>
      </x:c>
    </x:row>
    <x:row r="42" ht="39.599998474121094" hidden="0" customHeight="1">
      <x:c r="A42" s="22" t="n">
        <x:v>34</x:v>
      </x:c>
      <x:c r="B42" s="22" t="str">
        <x:v>Hacer</x:v>
      </x:c>
      <x:c r="C42" s="22" t="str">
        <x:v>Señalización y demarcación de áreas</x:v>
      </x:c>
      <x:c r="D42" s="22" t="str">
        <x:v>Verificar la existencia, implementación y evidencia objetiva de 'señalización y demarcación de áreas' conforme a la Resolución 0312 de 2019.</x:v>
      </x:c>
      <x:c r="E42" s="52" t="n">
        <x:v>2</x:v>
      </x:c>
      <x:c r="F42" s="22" t="str"/>
      <x:c r="G42" s="52" t="n">
        <x:f>IF(F42="Cumple",E42,0)</x:f>
        <x:v>0</x:v>
      </x:c>
      <x:c r="H42" s="22" t="str"/>
      <x:c r="I42" s="22" t="str"/>
      <x:c r="J42" s="22" t="str"/>
      <x:c r="K42" s="22" t="str"/>
      <x:c r="L42" s="22" t="str"/>
      <x:c r="M42" s="53"/>
      <x:c r="N42" s="22" t="str"/>
      <x:c r="O42" s="22" t="str"/>
      <x:c r="P42" s="22" t="str"/>
      <x:c r="Q42" s="22" t="str">
        <x:v>IMA COMPANY SAS</x:v>
      </x:c>
      <x:c r="R42" s="22" t="str">
        <x:v>Consolidado empresarial</x:v>
      </x:c>
    </x:row>
    <x:row r="43" ht="39.599998474121094" hidden="0" customHeight="1">
      <x:c r="A43" s="22" t="n">
        <x:v>35</x:v>
      </x:c>
      <x:c r="B43" s="22" t="str">
        <x:v>Hacer</x:v>
      </x:c>
      <x:c r="C43" s="22" t="str">
        <x:v>Plan de emergencias implementado</x:v>
      </x:c>
      <x:c r="D43" s="22" t="str">
        <x:v>Verificar la existencia, implementación y evidencia objetiva de 'plan de emergencias implementado' conforme a la Resolución 0312 de 2019.</x:v>
      </x:c>
      <x:c r="E43" s="52" t="n">
        <x:v>2</x:v>
      </x:c>
      <x:c r="F43" s="22" t="str"/>
      <x:c r="G43" s="52" t="n">
        <x:f>IF(F43="Cumple",E43,0)</x:f>
        <x:v>0</x:v>
      </x:c>
      <x:c r="H43" s="22" t="str"/>
      <x:c r="I43" s="22" t="str"/>
      <x:c r="J43" s="22" t="str"/>
      <x:c r="K43" s="22" t="str"/>
      <x:c r="L43" s="22" t="str"/>
      <x:c r="M43" s="53"/>
      <x:c r="N43" s="22" t="str"/>
      <x:c r="O43" s="22" t="str"/>
      <x:c r="P43" s="22" t="str"/>
      <x:c r="Q43" s="22" t="str">
        <x:v>IMA COMPANY SAS</x:v>
      </x:c>
      <x:c r="R43" s="22" t="str">
        <x:v>Consolidado empresarial</x:v>
      </x:c>
    </x:row>
    <x:row r="44" ht="39.599998474121094" hidden="0" customHeight="1">
      <x:c r="A44" s="22" t="n">
        <x:v>36</x:v>
      </x:c>
      <x:c r="B44" s="22" t="str">
        <x:v>Hacer</x:v>
      </x:c>
      <x:c r="C44" s="22" t="str">
        <x:v>Brigada de emergencias conformada y entrenada</x:v>
      </x:c>
      <x:c r="D44" s="22" t="str">
        <x:v>Verificar la existencia, implementación y evidencia objetiva de 'brigada de emergencias conformada y entrenada' conforme a la Resolución 0312 de 2019.</x:v>
      </x:c>
      <x:c r="E44" s="52" t="n">
        <x:v>2</x:v>
      </x:c>
      <x:c r="F44" s="22" t="str"/>
      <x:c r="G44" s="52" t="n">
        <x:f>IF(F44="Cumple",E44,0)</x:f>
        <x:v>0</x:v>
      </x:c>
      <x:c r="H44" s="22" t="str"/>
      <x:c r="I44" s="22" t="str"/>
      <x:c r="J44" s="22" t="str"/>
      <x:c r="K44" s="22" t="str"/>
      <x:c r="L44" s="22" t="str"/>
      <x:c r="M44" s="53"/>
      <x:c r="N44" s="22" t="str"/>
      <x:c r="O44" s="22" t="str"/>
      <x:c r="P44" s="22" t="str"/>
      <x:c r="Q44" s="22" t="str">
        <x:v>IMA COMPANY SAS</x:v>
      </x:c>
      <x:c r="R44" s="22" t="str">
        <x:v>Consolidado empresarial</x:v>
      </x:c>
    </x:row>
    <x:row r="45" ht="39.599998474121094" hidden="0" customHeight="1">
      <x:c r="A45" s="22" t="n">
        <x:v>37</x:v>
      </x:c>
      <x:c r="B45" s="22" t="str">
        <x:v>Hacer</x:v>
      </x:c>
      <x:c r="C45" s="22" t="str">
        <x:v>Simulacros de evacuación y respuesta</x:v>
      </x:c>
      <x:c r="D45" s="22" t="str">
        <x:v>Verificar la existencia, implementación y evidencia objetiva de 'simulacros de evacuación y respuesta' conforme a la Resolución 0312 de 2019.</x:v>
      </x:c>
      <x:c r="E45" s="52" t="n">
        <x:v>2</x:v>
      </x:c>
      <x:c r="F45" s="22" t="str"/>
      <x:c r="G45" s="52" t="n">
        <x:f>IF(F45="Cumple",E45,0)</x:f>
        <x:v>0</x:v>
      </x:c>
      <x:c r="H45" s="22" t="str"/>
      <x:c r="I45" s="22" t="str"/>
      <x:c r="J45" s="22" t="str"/>
      <x:c r="K45" s="22" t="str"/>
      <x:c r="L45" s="22" t="str"/>
      <x:c r="M45" s="53"/>
      <x:c r="N45" s="22" t="str"/>
      <x:c r="O45" s="22" t="str"/>
      <x:c r="P45" s="22" t="str"/>
      <x:c r="Q45" s="22" t="str">
        <x:v>IMA COMPANY SAS</x:v>
      </x:c>
      <x:c r="R45" s="22" t="str">
        <x:v>Consolidado empresarial</x:v>
      </x:c>
    </x:row>
    <x:row r="46" ht="39.599998474121094" hidden="0" customHeight="1">
      <x:c r="A46" s="22" t="n">
        <x:v>38</x:v>
      </x:c>
      <x:c r="B46" s="22" t="str">
        <x:v>Hacer</x:v>
      </x:c>
      <x:c r="C46" s="22" t="str">
        <x:v>Programa de estilos de vida y entornos saludables</x:v>
      </x:c>
      <x:c r="D46" s="22" t="str">
        <x:v>Verificar la existencia, implementación y evidencia objetiva de 'programa de estilos de vida y entornos saludables' conforme a la Resolución 0312 de 2019.</x:v>
      </x:c>
      <x:c r="E46" s="52" t="n">
        <x:v>2</x:v>
      </x:c>
      <x:c r="F46" s="22" t="str"/>
      <x:c r="G46" s="52" t="n">
        <x:f>IF(F46="Cumple",E46,0)</x:f>
        <x:v>0</x:v>
      </x:c>
      <x:c r="H46" s="22" t="str"/>
      <x:c r="I46" s="22" t="str"/>
      <x:c r="J46" s="22" t="str"/>
      <x:c r="K46" s="22" t="str"/>
      <x:c r="L46" s="22" t="str"/>
      <x:c r="M46" s="53"/>
      <x:c r="N46" s="22" t="str"/>
      <x:c r="O46" s="22" t="str"/>
      <x:c r="P46" s="22" t="str"/>
      <x:c r="Q46" s="22" t="str">
        <x:v>IMA COMPANY SAS</x:v>
      </x:c>
      <x:c r="R46" s="22" t="str">
        <x:v>Consolidado empresarial</x:v>
      </x:c>
    </x:row>
    <x:row r="47" ht="39.599998474121094" hidden="0" customHeight="1">
      <x:c r="A47" s="22" t="n">
        <x:v>39</x:v>
      </x:c>
      <x:c r="B47" s="22" t="str">
        <x:v>Hacer</x:v>
      </x:c>
      <x:c r="C47" s="22" t="str">
        <x:v>Participación y consulta de trabajadores</x:v>
      </x:c>
      <x:c r="D47" s="22" t="str">
        <x:v>Verificar la existencia, implementación y evidencia objetiva de 'participación y consulta de trabajadores' conforme a la Resolución 0312 de 2019.</x:v>
      </x:c>
      <x:c r="E47" s="52" t="n">
        <x:v>2</x:v>
      </x:c>
      <x:c r="F47" s="22" t="str"/>
      <x:c r="G47" s="52" t="n">
        <x:f>IF(F47="Cumple",E47,0)</x:f>
        <x:v>0</x:v>
      </x:c>
      <x:c r="H47" s="22" t="str"/>
      <x:c r="I47" s="22" t="str"/>
      <x:c r="J47" s="22" t="str"/>
      <x:c r="K47" s="22" t="str"/>
      <x:c r="L47" s="22" t="str"/>
      <x:c r="M47" s="53"/>
      <x:c r="N47" s="22" t="str"/>
      <x:c r="O47" s="22" t="str"/>
      <x:c r="P47" s="22" t="str"/>
      <x:c r="Q47" s="22" t="str">
        <x:v>IMA COMPANY SAS</x:v>
      </x:c>
      <x:c r="R47" s="22" t="str">
        <x:v>Consolidado empresarial</x:v>
      </x:c>
    </x:row>
    <x:row r="48" ht="39.599998474121094" hidden="0" customHeight="1">
      <x:c r="A48" s="22" t="n">
        <x:v>40</x:v>
      </x:c>
      <x:c r="B48" s="22" t="str">
        <x:v>Hacer</x:v>
      </x:c>
      <x:c r="C48" s="22" t="str">
        <x:v>Comunicación interna y externa en SST</x:v>
      </x:c>
      <x:c r="D48" s="22" t="str">
        <x:v>Verificar la existencia, implementación y evidencia objetiva de 'comunicación interna y externa en sst' conforme a la Resolución 0312 de 2019.</x:v>
      </x:c>
      <x:c r="E48" s="52" t="n">
        <x:v>2</x:v>
      </x:c>
      <x:c r="F48" s="22" t="str"/>
      <x:c r="G48" s="52" t="n">
        <x:f>IF(F48="Cumple",E48,0)</x:f>
        <x:v>0</x:v>
      </x:c>
      <x:c r="H48" s="22" t="str"/>
      <x:c r="I48" s="22" t="str"/>
      <x:c r="J48" s="22" t="str"/>
      <x:c r="K48" s="22" t="str"/>
      <x:c r="L48" s="22" t="str"/>
      <x:c r="M48" s="53"/>
      <x:c r="N48" s="22" t="str"/>
      <x:c r="O48" s="22" t="str"/>
      <x:c r="P48" s="22" t="str"/>
      <x:c r="Q48" s="22" t="str">
        <x:v>IMA COMPANY SAS</x:v>
      </x:c>
      <x:c r="R48" s="22" t="str">
        <x:v>Consolidado empresarial</x:v>
      </x:c>
    </x:row>
    <x:row r="49" ht="39.599998474121094" hidden="0" customHeight="1">
      <x:c r="A49" s="22" t="n">
        <x:v>41</x:v>
      </x:c>
      <x:c r="B49" s="22" t="str">
        <x:v>Verificar</x:v>
      </x:c>
      <x:c r="C49" s="22" t="str">
        <x:v>Seguimiento al cumplimiento del plan anual</x:v>
      </x:c>
      <x:c r="D49" s="22" t="str">
        <x:v>Verificar la existencia, implementación y evidencia objetiva de 'seguimiento al cumplimiento del plan anual' conforme a la Resolución 0312 de 2019.</x:v>
      </x:c>
      <x:c r="E49" s="52" t="n">
        <x:v>1.5</x:v>
      </x:c>
      <x:c r="F49" s="22" t="str"/>
      <x:c r="G49" s="52" t="n">
        <x:f>IF(F49="Cumple",E49,0)</x:f>
        <x:v>0</x:v>
      </x:c>
      <x:c r="H49" s="22" t="str"/>
      <x:c r="I49" s="22" t="str"/>
      <x:c r="J49" s="22" t="str"/>
      <x:c r="K49" s="22" t="str"/>
      <x:c r="L49" s="22" t="str"/>
      <x:c r="M49" s="53"/>
      <x:c r="N49" s="22" t="str"/>
      <x:c r="O49" s="22" t="str"/>
      <x:c r="P49" s="22" t="str"/>
      <x:c r="Q49" s="22" t="str">
        <x:v>IMA COMPANY SAS</x:v>
      </x:c>
      <x:c r="R49" s="22" t="str">
        <x:v>Consolidado empresarial</x:v>
      </x:c>
    </x:row>
    <x:row r="50" ht="39.599998474121094" hidden="0" customHeight="1">
      <x:c r="A50" s="22" t="n">
        <x:v>42</x:v>
      </x:c>
      <x:c r="B50" s="22" t="str">
        <x:v>Verificar</x:v>
      </x:c>
      <x:c r="C50" s="22" t="str">
        <x:v>Seguimiento a indicadores del SG-SST</x:v>
      </x:c>
      <x:c r="D50" s="22" t="str">
        <x:v>Verificar la existencia, implementación y evidencia objetiva de 'seguimiento a indicadores del sg-sst' conforme a la Resolución 0312 de 2019.</x:v>
      </x:c>
      <x:c r="E50" s="52" t="n">
        <x:v>1.5</x:v>
      </x:c>
      <x:c r="F50" s="22" t="str"/>
      <x:c r="G50" s="52" t="n">
        <x:f>IF(F50="Cumple",E50,0)</x:f>
        <x:v>0</x:v>
      </x:c>
      <x:c r="H50" s="22" t="str"/>
      <x:c r="I50" s="22" t="str"/>
      <x:c r="J50" s="22" t="str"/>
      <x:c r="K50" s="22" t="str"/>
      <x:c r="L50" s="22" t="str"/>
      <x:c r="M50" s="53"/>
      <x:c r="N50" s="22" t="str"/>
      <x:c r="O50" s="22" t="str"/>
      <x:c r="P50" s="22" t="str"/>
      <x:c r="Q50" s="22" t="str">
        <x:v>IMA COMPANY SAS</x:v>
      </x:c>
      <x:c r="R50" s="22" t="str">
        <x:v>Consolidado empresarial</x:v>
      </x:c>
    </x:row>
    <x:row r="51" ht="39.599998474121094" hidden="0" customHeight="1">
      <x:c r="A51" s="22" t="n">
        <x:v>43</x:v>
      </x:c>
      <x:c r="B51" s="22" t="str">
        <x:v>Verificar</x:v>
      </x:c>
      <x:c r="C51" s="22" t="str">
        <x:v>Auditoría interna del SG-SST</x:v>
      </x:c>
      <x:c r="D51" s="22" t="str">
        <x:v>Verificar la existencia, implementación y evidencia objetiva de 'auditoría interna del sg-sst' conforme a la Resolución 0312 de 2019.</x:v>
      </x:c>
      <x:c r="E51" s="52" t="n">
        <x:v>1.5</x:v>
      </x:c>
      <x:c r="F51" s="22" t="str"/>
      <x:c r="G51" s="52" t="n">
        <x:f>IF(F51="Cumple",E51,0)</x:f>
        <x:v>0</x:v>
      </x:c>
      <x:c r="H51" s="22" t="str"/>
      <x:c r="I51" s="22" t="str"/>
      <x:c r="J51" s="22" t="str"/>
      <x:c r="K51" s="22" t="str"/>
      <x:c r="L51" s="22" t="str"/>
      <x:c r="M51" s="53"/>
      <x:c r="N51" s="22" t="str"/>
      <x:c r="O51" s="22" t="str"/>
      <x:c r="P51" s="22" t="str"/>
      <x:c r="Q51" s="22" t="str">
        <x:v>IMA COMPANY SAS</x:v>
      </x:c>
      <x:c r="R51" s="22" t="str">
        <x:v>Consolidado empresarial</x:v>
      </x:c>
    </x:row>
    <x:row r="52" ht="39.599998474121094" hidden="0" customHeight="1">
      <x:c r="A52" s="22" t="n">
        <x:v>44</x:v>
      </x:c>
      <x:c r="B52" s="22" t="str">
        <x:v>Verificar</x:v>
      </x:c>
      <x:c r="C52" s="22" t="str">
        <x:v>Revisión de cumplimiento legal</x:v>
      </x:c>
      <x:c r="D52" s="22" t="str">
        <x:v>Verificar la existencia, implementación y evidencia objetiva de 'revisión de cumplimiento legal' conforme a la Resolución 0312 de 2019.</x:v>
      </x:c>
      <x:c r="E52" s="52" t="n">
        <x:v>1.5</x:v>
      </x:c>
      <x:c r="F52" s="22" t="str"/>
      <x:c r="G52" s="52" t="n">
        <x:f>IF(F52="Cumple",E52,0)</x:f>
        <x:v>0</x:v>
      </x:c>
      <x:c r="H52" s="22" t="str"/>
      <x:c r="I52" s="22" t="str"/>
      <x:c r="J52" s="22" t="str"/>
      <x:c r="K52" s="22" t="str"/>
      <x:c r="L52" s="22" t="str"/>
      <x:c r="M52" s="53"/>
      <x:c r="N52" s="22" t="str"/>
      <x:c r="O52" s="22" t="str"/>
      <x:c r="P52" s="22" t="str"/>
      <x:c r="Q52" s="22" t="str">
        <x:v>IMA COMPANY SAS</x:v>
      </x:c>
      <x:c r="R52" s="22" t="str">
        <x:v>Consolidado empresarial</x:v>
      </x:c>
    </x:row>
    <x:row r="53" ht="39.599998474121094" hidden="0" customHeight="1">
      <x:c r="A53" s="22" t="n">
        <x:v>45</x:v>
      </x:c>
      <x:c r="B53" s="22" t="str">
        <x:v>Verificar</x:v>
      </x:c>
      <x:c r="C53" s="22" t="str">
        <x:v>Verificación de controles operacionales</x:v>
      </x:c>
      <x:c r="D53" s="22" t="str">
        <x:v>Verificar la existencia, implementación y evidencia objetiva de 'verificación de controles operacionales' conforme a la Resolución 0312 de 2019.</x:v>
      </x:c>
      <x:c r="E53" s="52" t="n">
        <x:v>1.5</x:v>
      </x:c>
      <x:c r="F53" s="22" t="str"/>
      <x:c r="G53" s="52" t="n">
        <x:f>IF(F53="Cumple",E53,0)</x:f>
        <x:v>0</x:v>
      </x:c>
      <x:c r="H53" s="22" t="str"/>
      <x:c r="I53" s="22" t="str"/>
      <x:c r="J53" s="22" t="str"/>
      <x:c r="K53" s="22" t="str"/>
      <x:c r="L53" s="22" t="str"/>
      <x:c r="M53" s="53"/>
      <x:c r="N53" s="22" t="str"/>
      <x:c r="O53" s="22" t="str"/>
      <x:c r="P53" s="22" t="str"/>
      <x:c r="Q53" s="22" t="str">
        <x:v>IMA COMPANY SAS</x:v>
      </x:c>
      <x:c r="R53" s="22" t="str">
        <x:v>Consolidado empresarial</x:v>
      </x:c>
    </x:row>
    <x:row r="54" ht="39.599998474121094" hidden="0" customHeight="1">
      <x:c r="A54" s="22" t="n">
        <x:v>46</x:v>
      </x:c>
      <x:c r="B54" s="22" t="str">
        <x:v>Verificar</x:v>
      </x:c>
      <x:c r="C54" s="22" t="str">
        <x:v>Seguimiento a capacitación y competencia</x:v>
      </x:c>
      <x:c r="D54" s="22" t="str">
        <x:v>Verificar la existencia, implementación y evidencia objetiva de 'seguimiento a capacitación y competencia' conforme a la Resolución 0312 de 2019.</x:v>
      </x:c>
      <x:c r="E54" s="52" t="n">
        <x:v>2</x:v>
      </x:c>
      <x:c r="F54" s="22" t="str"/>
      <x:c r="G54" s="52" t="n">
        <x:f>IF(F54="Cumple",E54,0)</x:f>
        <x:v>0</x:v>
      </x:c>
      <x:c r="H54" s="22" t="str"/>
      <x:c r="I54" s="22" t="str"/>
      <x:c r="J54" s="22" t="str"/>
      <x:c r="K54" s="22" t="str"/>
      <x:c r="L54" s="22" t="str"/>
      <x:c r="M54" s="53"/>
      <x:c r="N54" s="22" t="str"/>
      <x:c r="O54" s="22" t="str"/>
      <x:c r="P54" s="22" t="str"/>
      <x:c r="Q54" s="22" t="str">
        <x:v>IMA COMPANY SAS</x:v>
      </x:c>
      <x:c r="R54" s="22" t="str">
        <x:v>Consolidado empresarial</x:v>
      </x:c>
    </x:row>
    <x:row r="55" ht="39.599998474121094" hidden="0" customHeight="1">
      <x:c r="A55" s="22" t="n">
        <x:v>47</x:v>
      </x:c>
      <x:c r="B55" s="22" t="str">
        <x:v>Verificar</x:v>
      </x:c>
      <x:c r="C55" s="22" t="str">
        <x:v>Seguimiento a accidentalidad y enfermedad laboral</x:v>
      </x:c>
      <x:c r="D55" s="22" t="str">
        <x:v>Verificar la existencia, implementación y evidencia objetiva de 'seguimiento a accidentalidad y enfermedad laboral' conforme a la Resolución 0312 de 2019.</x:v>
      </x:c>
      <x:c r="E55" s="52" t="n">
        <x:v>2</x:v>
      </x:c>
      <x:c r="F55" s="22" t="str"/>
      <x:c r="G55" s="52" t="n">
        <x:f>IF(F55="Cumple",E55,0)</x:f>
        <x:v>0</x:v>
      </x:c>
      <x:c r="H55" s="22" t="str"/>
      <x:c r="I55" s="22" t="str"/>
      <x:c r="J55" s="22" t="str"/>
      <x:c r="K55" s="22" t="str"/>
      <x:c r="L55" s="22" t="str"/>
      <x:c r="M55" s="53"/>
      <x:c r="N55" s="22" t="str"/>
      <x:c r="O55" s="22" t="str"/>
      <x:c r="P55" s="22" t="str"/>
      <x:c r="Q55" s="22" t="str">
        <x:v>IMA COMPANY SAS</x:v>
      </x:c>
      <x:c r="R55" s="22" t="str">
        <x:v>Consolidado empresarial</x:v>
      </x:c>
    </x:row>
    <x:row r="56" ht="39.599998474121094" hidden="0" customHeight="1">
      <x:c r="A56" s="22" t="n">
        <x:v>48</x:v>
      </x:c>
      <x:c r="B56" s="22" t="str">
        <x:v>Verificar</x:v>
      </x:c>
      <x:c r="C56" s="22" t="str">
        <x:v>Seguimiento a inspecciones y hallazgos</x:v>
      </x:c>
      <x:c r="D56" s="22" t="str">
        <x:v>Verificar la existencia, implementación y evidencia objetiva de 'seguimiento a inspecciones y hallazgos' conforme a la Resolución 0312 de 2019.</x:v>
      </x:c>
      <x:c r="E56" s="52" t="n">
        <x:v>2</x:v>
      </x:c>
      <x:c r="F56" s="22" t="str"/>
      <x:c r="G56" s="52" t="n">
        <x:f>IF(F56="Cumple",E56,0)</x:f>
        <x:v>0</x:v>
      </x:c>
      <x:c r="H56" s="22" t="str"/>
      <x:c r="I56" s="22" t="str"/>
      <x:c r="J56" s="22" t="str"/>
      <x:c r="K56" s="22" t="str"/>
      <x:c r="L56" s="22" t="str"/>
      <x:c r="M56" s="53"/>
      <x:c r="N56" s="22" t="str"/>
      <x:c r="O56" s="22" t="str"/>
      <x:c r="P56" s="22" t="str"/>
      <x:c r="Q56" s="22" t="str">
        <x:v>IMA COMPANY SAS</x:v>
      </x:c>
      <x:c r="R56" s="22" t="str">
        <x:v>Consolidado empresarial</x:v>
      </x:c>
    </x:row>
    <x:row r="57" ht="39.599998474121094" hidden="0" customHeight="1">
      <x:c r="A57" s="22" t="n">
        <x:v>49</x:v>
      </x:c>
      <x:c r="B57" s="22" t="str">
        <x:v>Verificar</x:v>
      </x:c>
      <x:c r="C57" s="22" t="str">
        <x:v>Evaluación de eficacia de acciones implementadas</x:v>
      </x:c>
      <x:c r="D57" s="22" t="str">
        <x:v>Verificar la existencia, implementación y evidencia objetiva de 'evaluación de eficacia de acciones implementadas' conforme a la Resolución 0312 de 2019.</x:v>
      </x:c>
      <x:c r="E57" s="52" t="n">
        <x:v>2</x:v>
      </x:c>
      <x:c r="F57" s="22" t="str"/>
      <x:c r="G57" s="52" t="n">
        <x:f>IF(F57="Cumple",E57,0)</x:f>
        <x:v>0</x:v>
      </x:c>
      <x:c r="H57" s="22" t="str"/>
      <x:c r="I57" s="22" t="str"/>
      <x:c r="J57" s="22" t="str"/>
      <x:c r="K57" s="22" t="str"/>
      <x:c r="L57" s="22" t="str"/>
      <x:c r="M57" s="53"/>
      <x:c r="N57" s="22" t="str"/>
      <x:c r="O57" s="22" t="str"/>
      <x:c r="P57" s="22" t="str"/>
      <x:c r="Q57" s="22" t="str">
        <x:v>IMA COMPANY SAS</x:v>
      </x:c>
      <x:c r="R57" s="22" t="str">
        <x:v>Consolidado empresarial</x:v>
      </x:c>
    </x:row>
    <x:row r="58" ht="39.599998474121094" hidden="0" customHeight="1">
      <x:c r="A58" s="22" t="n">
        <x:v>50</x:v>
      </x:c>
      <x:c r="B58" s="22" t="str">
        <x:v>Verificar</x:v>
      </x:c>
      <x:c r="C58" s="22" t="str">
        <x:v>Revisión por la dirección del SG-SST</x:v>
      </x:c>
      <x:c r="D58" s="22" t="str">
        <x:v>Verificar la existencia, implementación y evidencia objetiva de 'revisión por la dirección del sg-sst' conforme a la Resolución 0312 de 2019.</x:v>
      </x:c>
      <x:c r="E58" s="52" t="n">
        <x:v>2</x:v>
      </x:c>
      <x:c r="F58" s="22" t="str"/>
      <x:c r="G58" s="52" t="n">
        <x:f>IF(F58="Cumple",E58,0)</x:f>
        <x:v>0</x:v>
      </x:c>
      <x:c r="H58" s="22" t="str"/>
      <x:c r="I58" s="22" t="str"/>
      <x:c r="J58" s="22" t="str"/>
      <x:c r="K58" s="22" t="str"/>
      <x:c r="L58" s="22" t="str"/>
      <x:c r="M58" s="53"/>
      <x:c r="N58" s="22" t="str"/>
      <x:c r="O58" s="22" t="str"/>
      <x:c r="P58" s="22" t="str"/>
      <x:c r="Q58" s="22" t="str">
        <x:v>IMA COMPANY SAS</x:v>
      </x:c>
      <x:c r="R58" s="22" t="str">
        <x:v>Consolidado empresarial</x:v>
      </x:c>
    </x:row>
    <x:row r="59" ht="39.599998474121094" hidden="0" customHeight="1">
      <x:c r="A59" s="22" t="n">
        <x:v>51</x:v>
      </x:c>
      <x:c r="B59" s="22" t="str">
        <x:v>Actuar</x:v>
      </x:c>
      <x:c r="C59" s="22" t="str">
        <x:v>Tratamiento de no conformidades</x:v>
      </x:c>
      <x:c r="D59" s="22" t="str">
        <x:v>Verificar la existencia, implementación y evidencia objetiva de 'tratamiento de no conformidades' conforme a la Resolución 0312 de 2019.</x:v>
      </x:c>
      <x:c r="E59" s="52" t="n">
        <x:v>1.5</x:v>
      </x:c>
      <x:c r="F59" s="22" t="str"/>
      <x:c r="G59" s="52" t="n">
        <x:f>IF(F59="Cumple",E59,0)</x:f>
        <x:v>0</x:v>
      </x:c>
      <x:c r="H59" s="22" t="str"/>
      <x:c r="I59" s="22" t="str"/>
      <x:c r="J59" s="22" t="str"/>
      <x:c r="K59" s="22" t="str"/>
      <x:c r="L59" s="22" t="str"/>
      <x:c r="M59" s="53"/>
      <x:c r="N59" s="22" t="str"/>
      <x:c r="O59" s="22" t="str"/>
      <x:c r="P59" s="22" t="str"/>
      <x:c r="Q59" s="22" t="str">
        <x:v>IMA COMPANY SAS</x:v>
      </x:c>
      <x:c r="R59" s="22" t="str">
        <x:v>Consolidado empresarial</x:v>
      </x:c>
    </x:row>
    <x:row r="60" ht="39.599998474121094" hidden="0" customHeight="1">
      <x:c r="A60" s="22" t="n">
        <x:v>52</x:v>
      </x:c>
      <x:c r="B60" s="22" t="str">
        <x:v>Actuar</x:v>
      </x:c>
      <x:c r="C60" s="22" t="str">
        <x:v>Acciones correctivas derivadas de auditorías</x:v>
      </x:c>
      <x:c r="D60" s="22" t="str">
        <x:v>Verificar la existencia, implementación y evidencia objetiva de 'acciones correctivas derivadas de auditorías' conforme a la Resolución 0312 de 2019.</x:v>
      </x:c>
      <x:c r="E60" s="52" t="n">
        <x:v>1.5</x:v>
      </x:c>
      <x:c r="F60" s="22" t="str"/>
      <x:c r="G60" s="52" t="n">
        <x:f>IF(F60="Cumple",E60,0)</x:f>
        <x:v>0</x:v>
      </x:c>
      <x:c r="H60" s="22" t="str"/>
      <x:c r="I60" s="22" t="str"/>
      <x:c r="J60" s="22" t="str"/>
      <x:c r="K60" s="22" t="str"/>
      <x:c r="L60" s="22" t="str"/>
      <x:c r="M60" s="53"/>
      <x:c r="N60" s="22" t="str"/>
      <x:c r="O60" s="22" t="str"/>
      <x:c r="P60" s="22" t="str"/>
      <x:c r="Q60" s="22" t="str">
        <x:v>IMA COMPANY SAS</x:v>
      </x:c>
      <x:c r="R60" s="22" t="str">
        <x:v>Consolidado empresarial</x:v>
      </x:c>
    </x:row>
    <x:row r="61" ht="39.599998474121094" hidden="0" customHeight="1">
      <x:c r="A61" s="22" t="n">
        <x:v>53</x:v>
      </x:c>
      <x:c r="B61" s="22" t="str">
        <x:v>Actuar</x:v>
      </x:c>
      <x:c r="C61" s="22" t="str">
        <x:v>Acciones preventivas derivadas de análisis de riesgos</x:v>
      </x:c>
      <x:c r="D61" s="22" t="str">
        <x:v>Verificar la existencia, implementación y evidencia objetiva de 'acciones preventivas derivadas de análisis de riesgos' conforme a la Resolución 0312 de 2019.</x:v>
      </x:c>
      <x:c r="E61" s="52" t="n">
        <x:v>1.5</x:v>
      </x:c>
      <x:c r="F61" s="22" t="str"/>
      <x:c r="G61" s="52" t="n">
        <x:f>IF(F61="Cumple",E61,0)</x:f>
        <x:v>0</x:v>
      </x:c>
      <x:c r="H61" s="22" t="str"/>
      <x:c r="I61" s="22" t="str"/>
      <x:c r="J61" s="22" t="str"/>
      <x:c r="K61" s="22" t="str"/>
      <x:c r="L61" s="22" t="str"/>
      <x:c r="M61" s="53"/>
      <x:c r="N61" s="22" t="str"/>
      <x:c r="O61" s="22" t="str"/>
      <x:c r="P61" s="22" t="str"/>
      <x:c r="Q61" s="22" t="str">
        <x:v>IMA COMPANY SAS</x:v>
      </x:c>
      <x:c r="R61" s="22" t="str">
        <x:v>Consolidado empresarial</x:v>
      </x:c>
    </x:row>
    <x:row r="62" ht="39.599998474121094" hidden="0" customHeight="1">
      <x:c r="A62" s="22" t="n">
        <x:v>54</x:v>
      </x:c>
      <x:c r="B62" s="22" t="str">
        <x:v>Actuar</x:v>
      </x:c>
      <x:c r="C62" s="22" t="str">
        <x:v>Planes de mejora del SG-SST</x:v>
      </x:c>
      <x:c r="D62" s="22" t="str">
        <x:v>Verificar la existencia, implementación y evidencia objetiva de 'planes de mejora del sg-sst' conforme a la Resolución 0312 de 2019.</x:v>
      </x:c>
      <x:c r="E62" s="52" t="n">
        <x:v>1.5</x:v>
      </x:c>
      <x:c r="F62" s="22" t="str"/>
      <x:c r="G62" s="52" t="n">
        <x:f>IF(F62="Cumple",E62,0)</x:f>
        <x:v>0</x:v>
      </x:c>
      <x:c r="H62" s="22" t="str"/>
      <x:c r="I62" s="22" t="str"/>
      <x:c r="J62" s="22" t="str"/>
      <x:c r="K62" s="22" t="str"/>
      <x:c r="L62" s="22" t="str"/>
      <x:c r="M62" s="53"/>
      <x:c r="N62" s="22" t="str"/>
      <x:c r="O62" s="22" t="str"/>
      <x:c r="P62" s="22" t="str"/>
      <x:c r="Q62" s="22" t="str">
        <x:v>IMA COMPANY SAS</x:v>
      </x:c>
      <x:c r="R62" s="22" t="str">
        <x:v>Consolidado empresarial</x:v>
      </x:c>
    </x:row>
    <x:row r="63" ht="39.599998474121094" hidden="0" customHeight="1">
      <x:c r="A63" s="22" t="n">
        <x:v>55</x:v>
      </x:c>
      <x:c r="B63" s="22" t="str">
        <x:v>Actuar</x:v>
      </x:c>
      <x:c r="C63" s="22" t="str">
        <x:v>Lecciones aprendidas e innovación</x:v>
      </x:c>
      <x:c r="D63" s="22" t="str">
        <x:v>Verificar la existencia, implementación y evidencia objetiva de 'lecciones aprendidas e innovación' conforme a la Resolución 0312 de 2019.</x:v>
      </x:c>
      <x:c r="E63" s="52" t="n">
        <x:v>1.5</x:v>
      </x:c>
      <x:c r="F63" s="22" t="str"/>
      <x:c r="G63" s="52" t="n">
        <x:f>IF(F63="Cumple",E63,0)</x:f>
        <x:v>0</x:v>
      </x:c>
      <x:c r="H63" s="22" t="str"/>
      <x:c r="I63" s="22" t="str"/>
      <x:c r="J63" s="22" t="str"/>
      <x:c r="K63" s="22" t="str"/>
      <x:c r="L63" s="22" t="str"/>
      <x:c r="M63" s="53"/>
      <x:c r="N63" s="22" t="str"/>
      <x:c r="O63" s="22" t="str"/>
      <x:c r="P63" s="22" t="str"/>
      <x:c r="Q63" s="22" t="str">
        <x:v>IMA COMPANY SAS</x:v>
      </x:c>
      <x:c r="R63" s="22" t="str">
        <x:v>Consolidado empresarial</x:v>
      </x:c>
    </x:row>
    <x:row r="64" ht="39.599998474121094" hidden="0" customHeight="1">
      <x:c r="A64" s="22" t="n">
        <x:v>56</x:v>
      </x:c>
      <x:c r="B64" s="22" t="str">
        <x:v>Actuar</x:v>
      </x:c>
      <x:c r="C64" s="22" t="str">
        <x:v>Actualización de la matriz de peligros y riesgos</x:v>
      </x:c>
      <x:c r="D64" s="22" t="str">
        <x:v>Verificar la existencia, implementación y evidencia objetiva de 'actualización de la matriz de peligros y riesgos' conforme a la Resolución 0312 de 2019.</x:v>
      </x:c>
      <x:c r="E64" s="52" t="n">
        <x:v>1.5</x:v>
      </x:c>
      <x:c r="F64" s="22" t="str"/>
      <x:c r="G64" s="52" t="n">
        <x:f>IF(F64="Cumple",E64,0)</x:f>
        <x:v>0</x:v>
      </x:c>
      <x:c r="H64" s="22" t="str"/>
      <x:c r="I64" s="22" t="str"/>
      <x:c r="J64" s="22" t="str"/>
      <x:c r="K64" s="22" t="str"/>
      <x:c r="L64" s="22" t="str"/>
      <x:c r="M64" s="53"/>
      <x:c r="N64" s="22" t="str"/>
      <x:c r="O64" s="22" t="str"/>
      <x:c r="P64" s="22" t="str"/>
      <x:c r="Q64" s="22" t="str">
        <x:v>IMA COMPANY SAS</x:v>
      </x:c>
      <x:c r="R64" s="22" t="str">
        <x:v>Consolidado empresarial</x:v>
      </x:c>
    </x:row>
    <x:row r="65" ht="39.599998474121094" hidden="0" customHeight="1">
      <x:c r="A65" s="22" t="n">
        <x:v>57</x:v>
      </x:c>
      <x:c r="B65" s="22" t="str">
        <x:v>Actuar</x:v>
      </x:c>
      <x:c r="C65" s="22" t="str">
        <x:v>Actualización del plan de trabajo según resultados</x:v>
      </x:c>
      <x:c r="D65" s="22" t="str">
        <x:v>Verificar la existencia, implementación y evidencia objetiva de 'actualización del plan de trabajo según resultados' conforme a la Resolución 0312 de 2019.</x:v>
      </x:c>
      <x:c r="E65" s="52" t="n">
        <x:v>1.5</x:v>
      </x:c>
      <x:c r="F65" s="22" t="str"/>
      <x:c r="G65" s="52" t="n">
        <x:f>IF(F65="Cumple",E65,0)</x:f>
        <x:v>0</x:v>
      </x:c>
      <x:c r="H65" s="22" t="str"/>
      <x:c r="I65" s="22" t="str"/>
      <x:c r="J65" s="22" t="str"/>
      <x:c r="K65" s="22" t="str"/>
      <x:c r="L65" s="22" t="str"/>
      <x:c r="M65" s="53"/>
      <x:c r="N65" s="22" t="str"/>
      <x:c r="O65" s="22" t="str"/>
      <x:c r="P65" s="22" t="str"/>
      <x:c r="Q65" s="22" t="str">
        <x:v>IMA COMPANY SAS</x:v>
      </x:c>
      <x:c r="R65" s="22" t="str">
        <x:v>Consolidado empresarial</x:v>
      </x:c>
    </x:row>
    <x:row r="66" ht="39.599998474121094" hidden="0" customHeight="1">
      <x:c r="A66" s="22" t="n">
        <x:v>58</x:v>
      </x:c>
      <x:c r="B66" s="22" t="str">
        <x:v>Actuar</x:v>
      </x:c>
      <x:c r="C66" s="22" t="str">
        <x:v>Actualización de la matriz legal y requisitos</x:v>
      </x:c>
      <x:c r="D66" s="22" t="str">
        <x:v>Verificar la existencia, implementación y evidencia objetiva de 'actualización de la matriz legal y requisitos' conforme a la Resolución 0312 de 2019.</x:v>
      </x:c>
      <x:c r="E66" s="52" t="n">
        <x:v>1.5</x:v>
      </x:c>
      <x:c r="F66" s="22" t="str"/>
      <x:c r="G66" s="52" t="n">
        <x:f>IF(F66="Cumple",E66,0)</x:f>
        <x:v>0</x:v>
      </x:c>
      <x:c r="H66" s="22" t="str"/>
      <x:c r="I66" s="22" t="str"/>
      <x:c r="J66" s="22" t="str"/>
      <x:c r="K66" s="22" t="str"/>
      <x:c r="L66" s="22" t="str"/>
      <x:c r="M66" s="53"/>
      <x:c r="N66" s="22" t="str"/>
      <x:c r="O66" s="22" t="str"/>
      <x:c r="P66" s="22" t="str"/>
      <x:c r="Q66" s="22" t="str">
        <x:v>IMA COMPANY SAS</x:v>
      </x:c>
      <x:c r="R66" s="22" t="str">
        <x:v>Consolidado empresarial</x:v>
      </x:c>
    </x:row>
    <x:row r="67" ht="39.599998474121094" hidden="0" customHeight="1">
      <x:c r="A67" s="22" t="n">
        <x:v>59</x:v>
      </x:c>
      <x:c r="B67" s="22" t="str">
        <x:v>Actuar</x:v>
      </x:c>
      <x:c r="C67" s="22" t="str">
        <x:v>Mejora de la gestión documental y trazabilidad</x:v>
      </x:c>
      <x:c r="D67" s="22" t="str">
        <x:v>Verificar la existencia, implementación y evidencia objetiva de 'mejora de la gestión documental y trazabilidad' conforme a la Resolución 0312 de 2019.</x:v>
      </x:c>
      <x:c r="E67" s="52" t="n">
        <x:v>1.5</x:v>
      </x:c>
      <x:c r="F67" s="22" t="str"/>
      <x:c r="G67" s="52" t="n">
        <x:f>IF(F67="Cumple",E67,0)</x:f>
        <x:v>0</x:v>
      </x:c>
      <x:c r="H67" s="22" t="str"/>
      <x:c r="I67" s="22" t="str"/>
      <x:c r="J67" s="22" t="str"/>
      <x:c r="K67" s="22" t="str"/>
      <x:c r="L67" s="22" t="str"/>
      <x:c r="M67" s="53"/>
      <x:c r="N67" s="22" t="str"/>
      <x:c r="O67" s="22" t="str"/>
      <x:c r="P67" s="22" t="str"/>
      <x:c r="Q67" s="22" t="str">
        <x:v>IMA COMPANY SAS</x:v>
      </x:c>
      <x:c r="R67" s="22" t="str">
        <x:v>Consolidado empresarial</x:v>
      </x:c>
    </x:row>
    <x:row r="68" ht="39.599998474121094" hidden="0" customHeight="1">
      <x:c r="A68" s="22" t="n">
        <x:v>60</x:v>
      </x:c>
      <x:c r="B68" s="22" t="str">
        <x:v>Actuar</x:v>
      </x:c>
      <x:c r="C68" s="22" t="str">
        <x:v>Seguimiento a compromisos de mejora continua</x:v>
      </x:c>
      <x:c r="D68" s="22" t="str">
        <x:v>Verificar la existencia, implementación y evidencia objetiva de 'seguimiento a compromisos de mejora continua' conforme a la Resolución 0312 de 2019.</x:v>
      </x:c>
      <x:c r="E68" s="52" t="n">
        <x:v>1.5</x:v>
      </x:c>
      <x:c r="F68" s="22" t="str"/>
      <x:c r="G68" s="52" t="n">
        <x:f>IF(F68="Cumple",E68,0)</x:f>
        <x:v>0</x:v>
      </x:c>
      <x:c r="H68" s="22" t="str"/>
      <x:c r="I68" s="22" t="str"/>
      <x:c r="J68" s="22" t="str"/>
      <x:c r="K68" s="22" t="str"/>
      <x:c r="L68" s="22" t="str"/>
      <x:c r="M68" s="53"/>
      <x:c r="N68" s="22" t="str"/>
      <x:c r="O68" s="22" t="str"/>
      <x:c r="P68" s="22" t="str"/>
      <x:c r="Q68" s="22" t="str">
        <x:v>IMA COMPANY SAS</x:v>
      </x:c>
      <x:c r="R68" s="22" t="str">
        <x:v>Consolidado empresarial</x:v>
      </x:c>
    </x:row>
  </x:sheetData>
  <x:mergeCells>
    <x:mergeCell ref="A1:R1"/>
  </x:mergeCells>
  <x:conditionalFormatting sqref="F9:F68">
    <x:cfRule type="expression" dxfId="0" priority="1">
      <x:formula>F9="No cumple"</x:formula>
    </x:cfRule>
  </x:conditionalFormatting>
  <x:conditionalFormatting sqref="K9:K68">
    <x:cfRule type="expression" dxfId="1" priority="2">
      <x:formula>K9="Sí"</x:formula>
    </x:cfRule>
  </x:conditionalFormatting>
  <x:conditionalFormatting sqref="N9:N68">
    <x:cfRule type="expression" dxfId="2" priority="3">
      <x:formula>N9="Abierta"</x:formula>
    </x:cfRule>
  </x:conditionalFormatting>
  <x:conditionalFormatting sqref="H4:H4">
    <x:cfRule type="expression" dxfId="3" priority="4">
      <x:formula>H4&lt;0.6</x:formula>
    </x:cfRule>
    <x:cfRule type="expression" dxfId="4" priority="5">
      <x:formula>AND(H4&gt;=0.6,H4&lt;=0.85)</x:formula>
    </x:cfRule>
    <x:cfRule type="expression" dxfId="5" priority="6">
      <x:formula>H4&gt;0.85</x:formula>
    </x:cfRule>
  </x:conditionalFormatting>
  <x:dataValidations count="6">
    <x:dataValidation type="list" sqref="F9:F68">
      <x:formula1>Catalogos!$A$4:$A$5</x:formula1>
    </x:dataValidation>
    <x:dataValidation type="list" sqref="B9:B68">
      <x:formula1>Catalogos!$E$4:$E$7</x:formula1>
    </x:dataValidation>
    <x:dataValidation type="list" sqref="H9:H68">
      <x:formula1>Catalogos!$C$9:$C$15</x:formula1>
    </x:dataValidation>
    <x:dataValidation type="list" sqref="J9:J68">
      <x:formula1>Catalogos!$A$9:$A$15</x:formula1>
    </x:dataValidation>
    <x:dataValidation type="list" sqref="K9:K68">
      <x:formula1>"Sí,No"</x:formula1>
    </x:dataValidation>
    <x:dataValidation type="list" sqref="N9:N68">
      <x:formula1>"Abierta,En seguimiento,Cerrada"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34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34" hidden="0" customWidth="1"/>
    <x:col min="10" max="10" width="20" hidden="0" customWidth="1"/>
    <x:col min="11" max="11" width="16" hidden="0" customWidth="1"/>
    <x:col min="12" max="12" width="40" hidden="0" customWidth="1"/>
    <x:col min="13" max="13" width="14" hidden="0" customWidth="1"/>
    <x:col min="14" max="14" width="16" hidden="0" customWidth="1"/>
    <x:col min="15" max="15" width="28" hidden="0" customWidth="1"/>
    <x:col min="16" max="16" width="10" hidden="0" customWidth="1"/>
    <x:col min="17" max="17" width="22" hidden="0" customWidth="1"/>
    <x:col min="18" max="18" width="22" hidden="0" customWidth="1"/>
  </x:cols>
  <x:sheetData>
    <x:row r="1">
      <x:c r="A1" s="5" t="str">
        <x:v>AUTODIAGNÓSTICO SG-SST - RESOLUCIÓN 0312 DE 2019 (2023)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 ht="26.399999618530273" hidden="0" customHeight="1">
      <x:c r="A3" s="76" t="str">
        <x:v>Empresa</x:v>
      </x:c>
      <x:c r="B3" s="43" t="str">
        <x:v>IMA COMPANY SAS</x:v>
      </x:c>
      <x:c r="C3" s="76" t="str">
        <x:v>Sede / alcance</x:v>
      </x:c>
      <x:c r="D3" s="43" t="str">
        <x:v>Consolidado empresarial</x:v>
      </x:c>
      <x:c r="E3" s="76" t="str">
        <x:v>Año evaluación</x:v>
      </x:c>
      <x:c r="F3" s="43" t="n">
        <x:v>2023</x:v>
      </x:c>
      <x:c r="G3" s="76" t="str">
        <x:v>Fecha evaluación</x:v>
      </x:c>
      <x:c r="H3" s="74" t="n">
        <x:v>45077</x:v>
      </x:c>
      <x:c r="I3" s="76" t="str">
        <x:v>Responsable</x:v>
      </x:c>
      <x:c r="J3" s="43" t="str">
        <x:v>Consultor SST</x:v>
      </x:c>
    </x:row>
    <x:row r="4" ht="118.80000305175781" hidden="0" customHeight="1">
      <x:c r="A4" s="76" t="str">
        <x:v>Objetivo</x:v>
      </x:c>
      <x:c r="B4" s="43" t="str">
        <x:v>Evaluar el cumplimiento de los 60 estándares mínimos del SG-SST y priorizar acciones de mejora para cierre de brechas.</x:v>
      </x:c>
      <x:c r="C4" s="76" t="str">
        <x:v>Nivel</x:v>
      </x:c>
      <x:c r="D4" s="43" t="str"/>
      <x:c r="E4" s="76" t="str">
        <x:v>Puntaje total</x:v>
      </x:c>
      <x:c r="F4" s="43" t="n">
        <x:f>SUM(G9:G68)</x:f>
        <x:v>96.5</x:v>
      </x:c>
      <x:c r="G4" s="76" t="str">
        <x:v>% cumplimiento</x:v>
      </x:c>
      <x:c r="H4" s="46" t="n">
        <x:f>F4/100</x:f>
        <x:v>0.965</x:v>
      </x:c>
      <x:c r="I4" s="76" t="str">
        <x:v>Valoración</x:v>
      </x:c>
      <x:c r="J4" s="43" t="str">
        <x:f>IF(H4&lt;0.6,"Crítico",IF(H4&lt;=0.85,"Moderadamente aceptable","Aceptable"))</x:f>
        <x:v>Aceptable</x:v>
      </x:c>
    </x:row>
    <x:row r="8" ht="24" hidden="0" customHeight="1">
      <x:c r="A8" s="36" t="str">
        <x:v>N°</x:v>
      </x:c>
      <x:c r="B8" s="36" t="str">
        <x:v>Ciclo PHVA</x:v>
      </x:c>
      <x:c r="C8" s="36" t="str">
        <x:v>Estándar</x:v>
      </x:c>
      <x:c r="D8" s="36" t="str">
        <x:v>Descripción / criterio de evaluación</x:v>
      </x:c>
      <x:c r="E8" s="36" t="str">
        <x:v>Ponderación (%)</x:v>
      </x:c>
      <x:c r="F8" s="36" t="str">
        <x:v>Calificación</x:v>
      </x:c>
      <x:c r="G8" s="36" t="str">
        <x:v>Puntaje obtenido</x:v>
      </x:c>
      <x:c r="H8" s="36" t="str">
        <x:v>Modo de verificación</x:v>
      </x:c>
      <x:c r="I8" s="36" t="str">
        <x:v>Evidencia disponible</x:v>
      </x:c>
      <x:c r="J8" s="36" t="str">
        <x:v>Responsable de verificación</x:v>
      </x:c>
      <x:c r="K8" s="36" t="str">
        <x:v>Plan de mejora requerido</x:v>
      </x:c>
      <x:c r="L8" s="36" t="str">
        <x:v>Acción de mejora</x:v>
      </x:c>
      <x:c r="M8" s="36" t="str">
        <x:v>Fecha compromiso</x:v>
      </x:c>
      <x:c r="N8" s="36" t="str">
        <x:v>Estado mejora</x:v>
      </x:c>
      <x:c r="O8" s="36" t="str">
        <x:v>Observaciones</x:v>
      </x:c>
      <x:c r="P8" s="36" t="str">
        <x:v>Año</x:v>
      </x:c>
      <x:c r="Q8" s="36" t="str">
        <x:v>Empresa</x:v>
      </x:c>
      <x:c r="R8" s="36" t="str">
        <x:v>Sede</x:v>
      </x:c>
    </x:row>
    <x:row r="9" ht="39.599998474121094" hidden="0" customHeight="1">
      <x:c r="A9" s="22" t="n">
        <x:v>1</x:v>
      </x:c>
      <x:c r="B9" s="22" t="str">
        <x:v>Planear</x:v>
      </x:c>
      <x:c r="C9" s="22" t="str">
        <x:v>Asignación de recursos para el SG-SST</x:v>
      </x:c>
      <x:c r="D9" s="22" t="str">
        <x:v>Verificar la existencia, implementación y evidencia objetiva de 'asignación de recursos para el sg-sst' conforme a la Resolución 0312 de 2019.</x:v>
      </x:c>
      <x:c r="E9" s="52" t="n">
        <x:v>1.5</x:v>
      </x:c>
      <x:c r="F9" s="22" t="str">
        <x:v>Cumple</x:v>
      </x:c>
      <x:c r="G9" s="52" t="n">
        <x:f>IF(F9="Cumple",E9,0)</x:f>
        <x:v>1.5</x:v>
      </x:c>
      <x:c r="H9" s="22" t="str">
        <x:v>Revisión documental</x:v>
      </x:c>
      <x:c r="I9" s="22" t="str">
        <x:v>Soporte documental verificado y actualizado</x:v>
      </x:c>
      <x:c r="J9" s="22" t="str">
        <x:v>Consultor SST</x:v>
      </x:c>
      <x:c r="K9" s="22" t="str">
        <x:v>No</x:v>
      </x:c>
      <x:c r="L9" s="22" t="str"/>
      <x:c r="M9" s="53"/>
      <x:c r="N9" s="22" t="str">
        <x:v>Cerrada</x:v>
      </x:c>
      <x:c r="O9" s="22" t="str">
        <x:v>Cumplimiento sostenido</x:v>
      </x:c>
      <x:c r="P9" s="22" t="n">
        <x:v>2023</x:v>
      </x:c>
      <x:c r="Q9" s="22" t="str">
        <x:v>IMA COMPANY SAS</x:v>
      </x:c>
      <x:c r="R9" s="22" t="str">
        <x:v>Consolidado empresarial</x:v>
      </x:c>
    </x:row>
    <x:row r="10" ht="39.599998474121094" hidden="0" customHeight="1">
      <x:c r="A10" s="22" t="n">
        <x:v>2</x:v>
      </x:c>
      <x:c r="B10" s="22" t="str">
        <x:v>Planear</x:v>
      </x:c>
      <x:c r="C10" s="22" t="str">
        <x:v>Definición y comunicación de la política de SST</x:v>
      </x:c>
      <x:c r="D10" s="22" t="str">
        <x:v>Verificar la existencia, implementación y evidencia objetiva de 'definición y comunicación de la política de sst' conforme a la Resolución 0312 de 2019.</x:v>
      </x:c>
      <x:c r="E10" s="52" t="n">
        <x:v>1.5</x:v>
      </x:c>
      <x:c r="F10" s="22" t="str">
        <x:v>Cumple</x:v>
      </x:c>
      <x:c r="G10" s="52" t="n">
        <x:f>IF(F10="Cumple",E10,0)</x:f>
        <x:v>1.5</x:v>
      </x:c>
      <x:c r="H10" s="22" t="str">
        <x:v>Revisión documental</x:v>
      </x:c>
      <x:c r="I10" s="22" t="str">
        <x:v>Soporte documental verificado y actualizado</x:v>
      </x:c>
      <x:c r="J10" s="22" t="str">
        <x:v>COPASST</x:v>
      </x:c>
      <x:c r="K10" s="22" t="str">
        <x:v>No</x:v>
      </x:c>
      <x:c r="L10" s="22" t="str"/>
      <x:c r="M10" s="53"/>
      <x:c r="N10" s="22" t="str">
        <x:v>Cerrada</x:v>
      </x:c>
      <x:c r="O10" s="22" t="str">
        <x:v>Cumplimiento sostenido</x:v>
      </x:c>
      <x:c r="P10" s="22" t="n">
        <x:v>2023</x:v>
      </x:c>
      <x:c r="Q10" s="22" t="str">
        <x:v>IMA COMPANY SAS</x:v>
      </x:c>
      <x:c r="R10" s="22" t="str">
        <x:v>Consolidado empresarial</x:v>
      </x:c>
    </x:row>
    <x:row r="11" ht="39.599998474121094" hidden="0" customHeight="1">
      <x:c r="A11" s="22" t="n">
        <x:v>3</x:v>
      </x:c>
      <x:c r="B11" s="22" t="str">
        <x:v>Planear</x:v>
      </x:c>
      <x:c r="C11" s="22" t="str">
        <x:v>Definición de objetivos del SG-SST</x:v>
      </x:c>
      <x:c r="D11" s="22" t="str">
        <x:v>Verificar la existencia, implementación y evidencia objetiva de 'definición de objetivos del sg-sst' conforme a la Resolución 0312 de 2019.</x:v>
      </x:c>
      <x:c r="E11" s="52" t="n">
        <x:v>1.5</x:v>
      </x:c>
      <x:c r="F11" s="22" t="str">
        <x:v>Cumple</x:v>
      </x:c>
      <x:c r="G11" s="52" t="n">
        <x:f>IF(F11="Cumple",E11,0)</x:f>
        <x:v>1.5</x:v>
      </x:c>
      <x:c r="H11" s="22" t="str">
        <x:v>Revisión documental</x:v>
      </x:c>
      <x:c r="I11" s="22" t="str">
        <x:v>Soporte documental verificado y actualizado</x:v>
      </x:c>
      <x:c r="J11" s="22" t="str">
        <x:v>Alta Dirección</x:v>
      </x:c>
      <x:c r="K11" s="22" t="str">
        <x:v>No</x:v>
      </x:c>
      <x:c r="L11" s="22" t="str"/>
      <x:c r="M11" s="53"/>
      <x:c r="N11" s="22" t="str">
        <x:v>Cerrada</x:v>
      </x:c>
      <x:c r="O11" s="22" t="str">
        <x:v>Cumplimiento sostenido</x:v>
      </x:c>
      <x:c r="P11" s="22" t="n">
        <x:v>2023</x:v>
      </x:c>
      <x:c r="Q11" s="22" t="str">
        <x:v>IMA COMPANY SAS</x:v>
      </x:c>
      <x:c r="R11" s="22" t="str">
        <x:v>Consolidado empresarial</x:v>
      </x:c>
    </x:row>
    <x:row r="12" ht="39.599998474121094" hidden="0" customHeight="1">
      <x:c r="A12" s="22" t="n">
        <x:v>4</x:v>
      </x:c>
      <x:c r="B12" s="22" t="str">
        <x:v>Planear</x:v>
      </x:c>
      <x:c r="C12" s="22" t="str">
        <x:v>Evaluación inicial del SG-SST</x:v>
      </x:c>
      <x:c r="D12" s="22" t="str">
        <x:v>Verificar la existencia, implementación y evidencia objetiva de 'evaluación inicial del sg-sst' conforme a la Resolución 0312 de 2019.</x:v>
      </x:c>
      <x:c r="E12" s="52" t="n">
        <x:v>1.5</x:v>
      </x:c>
      <x:c r="F12" s="22" t="str">
        <x:v>Cumple</x:v>
      </x:c>
      <x:c r="G12" s="52" t="n">
        <x:f>IF(F12="Cumple",E12,0)</x:f>
        <x:v>1.5</x:v>
      </x:c>
      <x:c r="H12" s="22" t="str">
        <x:v>Acta / evidencia</x:v>
      </x:c>
      <x:c r="I12" s="22" t="str">
        <x:v>Soporte documental verificado y actualizado</x:v>
      </x:c>
      <x:c r="J12" s="22" t="str">
        <x:v>Talento Humano</x:v>
      </x:c>
      <x:c r="K12" s="22" t="str">
        <x:v>No</x:v>
      </x:c>
      <x:c r="L12" s="22" t="str"/>
      <x:c r="M12" s="53"/>
      <x:c r="N12" s="22" t="str">
        <x:v>Cerrada</x:v>
      </x:c>
      <x:c r="O12" s="22" t="str">
        <x:v>Cumplimiento sostenido</x:v>
      </x:c>
      <x:c r="P12" s="22" t="n">
        <x:v>2023</x:v>
      </x:c>
      <x:c r="Q12" s="22" t="str">
        <x:v>IMA COMPANY SAS</x:v>
      </x:c>
      <x:c r="R12" s="22" t="str">
        <x:v>Consolidado empresarial</x:v>
      </x:c>
    </x:row>
    <x:row r="13" ht="39.599998474121094" hidden="0" customHeight="1">
      <x:c r="A13" s="22" t="n">
        <x:v>5</x:v>
      </x:c>
      <x:c r="B13" s="22" t="str">
        <x:v>Planear</x:v>
      </x:c>
      <x:c r="C13" s="22" t="str">
        <x:v>Plan anual de trabajo del SG-SST</x:v>
      </x:c>
      <x:c r="D13" s="22" t="str">
        <x:v>Verificar la existencia, implementación y evidencia objetiva de 'plan anual de trabajo del sg-sst' conforme a la Resolución 0312 de 2019.</x:v>
      </x:c>
      <x:c r="E13" s="52" t="n">
        <x:v>1.5</x:v>
      </x:c>
      <x:c r="F13" s="22" t="str">
        <x:v>Cumple</x:v>
      </x:c>
      <x:c r="G13" s="52" t="n">
        <x:f>IF(F13="Cumple",E13,0)</x:f>
        <x:v>1.5</x:v>
      </x:c>
      <x:c r="H13" s="22" t="str">
        <x:v>Revisión documental</x:v>
      </x:c>
      <x:c r="I13" s="22" t="str">
        <x:v>Soporte documental verificado y actualizado</x:v>
      </x:c>
      <x:c r="J13" s="22" t="str">
        <x:v>Líder SST</x:v>
      </x:c>
      <x:c r="K13" s="22" t="str">
        <x:v>No</x:v>
      </x:c>
      <x:c r="L13" s="22" t="str"/>
      <x:c r="M13" s="53"/>
      <x:c r="N13" s="22" t="str">
        <x:v>Cerrada</x:v>
      </x:c>
      <x:c r="O13" s="22" t="str">
        <x:v>Cumplimiento sostenido</x:v>
      </x:c>
      <x:c r="P13" s="22" t="n">
        <x:v>2023</x:v>
      </x:c>
      <x:c r="Q13" s="22" t="str">
        <x:v>IMA COMPANY SAS</x:v>
      </x:c>
      <x:c r="R13" s="22" t="str">
        <x:v>Consolidado empresarial</x:v>
      </x:c>
    </x:row>
    <x:row r="14" ht="39.599998474121094" hidden="0" customHeight="1">
      <x:c r="A14" s="22" t="n">
        <x:v>6</x:v>
      </x:c>
      <x:c r="B14" s="22" t="str">
        <x:v>Planear</x:v>
      </x:c>
      <x:c r="C14" s="22" t="str">
        <x:v>Identificación de requisitos legales aplicables</x:v>
      </x:c>
      <x:c r="D14" s="22" t="str">
        <x:v>Verificar la existencia, implementación y evidencia objetiva de 'identificación de requisitos legales aplicables' conforme a la Resolución 0312 de 2019.</x:v>
      </x:c>
      <x:c r="E14" s="52" t="n">
        <x:v>1.5</x:v>
      </x:c>
      <x:c r="F14" s="22" t="str">
        <x:v>Cumple</x:v>
      </x:c>
      <x:c r="G14" s="52" t="n">
        <x:f>IF(F14="Cumple",E14,0)</x:f>
        <x:v>1.5</x:v>
      </x:c>
      <x:c r="H14" s="22" t="str">
        <x:v>Revisión documental</x:v>
      </x:c>
      <x:c r="I14" s="22" t="str">
        <x:v>Soporte documental verificado y actualizado</x:v>
      </x:c>
      <x:c r="J14" s="22" t="str">
        <x:v>Consultor SST</x:v>
      </x:c>
      <x:c r="K14" s="22" t="str">
        <x:v>No</x:v>
      </x:c>
      <x:c r="L14" s="22" t="str"/>
      <x:c r="M14" s="53"/>
      <x:c r="N14" s="22" t="str">
        <x:v>Cerrada</x:v>
      </x:c>
      <x:c r="O14" s="22" t="str">
        <x:v>Cumplimiento sostenido</x:v>
      </x:c>
      <x:c r="P14" s="22" t="n">
        <x:v>2023</x:v>
      </x:c>
      <x:c r="Q14" s="22" t="str">
        <x:v>IMA COMPANY SAS</x:v>
      </x:c>
      <x:c r="R14" s="22" t="str">
        <x:v>Consolidado empresarial</x:v>
      </x:c>
    </x:row>
    <x:row r="15" ht="39.599998474121094" hidden="0" customHeight="1">
      <x:c r="A15" s="22" t="n">
        <x:v>7</x:v>
      </x:c>
      <x:c r="B15" s="22" t="str">
        <x:v>Planear</x:v>
      </x:c>
      <x:c r="C15" s="22" t="str">
        <x:v>Rendición de cuentas en SST</x:v>
      </x:c>
      <x:c r="D15" s="22" t="str">
        <x:v>Verificar la existencia, implementación y evidencia objetiva de 'rendición de cuentas en sst' conforme a la Resolución 0312 de 2019.</x:v>
      </x:c>
      <x:c r="E15" s="52" t="n">
        <x:v>1.5</x:v>
      </x:c>
      <x:c r="F15" s="22" t="str">
        <x:v>Cumple</x:v>
      </x:c>
      <x:c r="G15" s="52" t="n">
        <x:f>IF(F15="Cumple",E15,0)</x:f>
        <x:v>1.5</x:v>
      </x:c>
      <x:c r="H15" s="22" t="str">
        <x:v>Revisión documental</x:v>
      </x:c>
      <x:c r="I15" s="22" t="str">
        <x:v>Soporte documental verificado y actualizado</x:v>
      </x:c>
      <x:c r="J15" s="22" t="str">
        <x:v>COPASST</x:v>
      </x:c>
      <x:c r="K15" s="22" t="str">
        <x:v>No</x:v>
      </x:c>
      <x:c r="L15" s="22" t="str"/>
      <x:c r="M15" s="53"/>
      <x:c r="N15" s="22" t="str">
        <x:v>Cerrada</x:v>
      </x:c>
      <x:c r="O15" s="22" t="str">
        <x:v>Cumplimiento sostenido</x:v>
      </x:c>
      <x:c r="P15" s="22" t="n">
        <x:v>2023</x:v>
      </x:c>
      <x:c r="Q15" s="22" t="str">
        <x:v>IMA COMPANY SAS</x:v>
      </x:c>
      <x:c r="R15" s="22" t="str">
        <x:v>Consolidado empresarial</x:v>
      </x:c>
    </x:row>
    <x:row r="16" ht="39.599998474121094" hidden="0" customHeight="1">
      <x:c r="A16" s="22" t="n">
        <x:v>8</x:v>
      </x:c>
      <x:c r="B16" s="22" t="str">
        <x:v>Planear</x:v>
      </x:c>
      <x:c r="C16" s="22" t="str">
        <x:v>Roles, responsabilidades y autoridad en SST</x:v>
      </x:c>
      <x:c r="D16" s="22" t="str">
        <x:v>Verificar la existencia, implementación y evidencia objetiva de 'roles, responsabilidades y autoridad en sst' conforme a la Resolución 0312 de 2019.</x:v>
      </x:c>
      <x:c r="E16" s="52" t="n">
        <x:v>1.5</x:v>
      </x:c>
      <x:c r="F16" s="22" t="str">
        <x:v>Cumple</x:v>
      </x:c>
      <x:c r="G16" s="52" t="n">
        <x:f>IF(F16="Cumple",E16,0)</x:f>
        <x:v>1.5</x:v>
      </x:c>
      <x:c r="H16" s="22" t="str">
        <x:v>Acta / evidencia</x:v>
      </x:c>
      <x:c r="I16" s="22" t="str">
        <x:v>Soporte documental verificado y actualizado</x:v>
      </x:c>
      <x:c r="J16" s="22" t="str">
        <x:v>Alta Dirección</x:v>
      </x:c>
      <x:c r="K16" s="22" t="str">
        <x:v>No</x:v>
      </x:c>
      <x:c r="L16" s="22" t="str"/>
      <x:c r="M16" s="53"/>
      <x:c r="N16" s="22" t="str">
        <x:v>Cerrada</x:v>
      </x:c>
      <x:c r="O16" s="22" t="str">
        <x:v>Cumplimiento sostenido</x:v>
      </x:c>
      <x:c r="P16" s="22" t="n">
        <x:v>2023</x:v>
      </x:c>
      <x:c r="Q16" s="22" t="str">
        <x:v>IMA COMPANY SAS</x:v>
      </x:c>
      <x:c r="R16" s="22" t="str">
        <x:v>Consolidado empresarial</x:v>
      </x:c>
    </x:row>
    <x:row r="17" ht="39.599998474121094" hidden="0" customHeight="1">
      <x:c r="A17" s="22" t="n">
        <x:v>9</x:v>
      </x:c>
      <x:c r="B17" s="22" t="str">
        <x:v>Planear</x:v>
      </x:c>
      <x:c r="C17" s="22" t="str">
        <x:v>Conservación y control documental del SG-SST</x:v>
      </x:c>
      <x:c r="D17" s="22" t="str">
        <x:v>Verificar la existencia, implementación y evidencia objetiva de 'conservación y control documental del sg-sst' conforme a la Resolución 0312 de 2019.</x:v>
      </x:c>
      <x:c r="E17" s="52" t="n">
        <x:v>1.5</x:v>
      </x:c>
      <x:c r="F17" s="22" t="str">
        <x:v>Cumple</x:v>
      </x:c>
      <x:c r="G17" s="52" t="n">
        <x:f>IF(F17="Cumple",E17,0)</x:f>
        <x:v>1.5</x:v>
      </x:c>
      <x:c r="H17" s="22" t="str">
        <x:v>Revisión documental</x:v>
      </x:c>
      <x:c r="I17" s="22" t="str">
        <x:v>Soporte documental verificado y actualizado</x:v>
      </x:c>
      <x:c r="J17" s="22" t="str">
        <x:v>Talento Humano</x:v>
      </x:c>
      <x:c r="K17" s="22" t="str">
        <x:v>No</x:v>
      </x:c>
      <x:c r="L17" s="22" t="str"/>
      <x:c r="M17" s="53"/>
      <x:c r="N17" s="22" t="str">
        <x:v>Cerrada</x:v>
      </x:c>
      <x:c r="O17" s="22" t="str">
        <x:v>Cumplimiento sostenido</x:v>
      </x:c>
      <x:c r="P17" s="22" t="n">
        <x:v>2023</x:v>
      </x:c>
      <x:c r="Q17" s="22" t="str">
        <x:v>IMA COMPANY SAS</x:v>
      </x:c>
      <x:c r="R17" s="22" t="str">
        <x:v>Consolidado empresarial</x:v>
      </x:c>
    </x:row>
    <x:row r="18" ht="39.599998474121094" hidden="0" customHeight="1">
      <x:c r="A18" s="22" t="n">
        <x:v>10</x:v>
      </x:c>
      <x:c r="B18" s="22" t="str">
        <x:v>Planear</x:v>
      </x:c>
      <x:c r="C18" s="22" t="str">
        <x:v>Perfil sociodemográfico y caracterización de trabajadores</x:v>
      </x:c>
      <x:c r="D18" s="22" t="str">
        <x:v>Verificar la existencia, implementación y evidencia objetiva de 'perfil sociodemográfico y caracterización de trabajadores' conforme a la Resolución 0312 de 2019.</x:v>
      </x:c>
      <x:c r="E18" s="52" t="n">
        <x:v>1.5</x:v>
      </x:c>
      <x:c r="F18" s="22" t="str">
        <x:v>Cumple</x:v>
      </x:c>
      <x:c r="G18" s="52" t="n">
        <x:f>IF(F18="Cumple",E18,0)</x:f>
        <x:v>1.5</x:v>
      </x:c>
      <x:c r="H18" s="22" t="str">
        <x:v>Revisión documental</x:v>
      </x:c>
      <x:c r="I18" s="22" t="str">
        <x:v>Soporte documental verificado y actualizado</x:v>
      </x:c>
      <x:c r="J18" s="22" t="str">
        <x:v>Líder SST</x:v>
      </x:c>
      <x:c r="K18" s="22" t="str">
        <x:v>No</x:v>
      </x:c>
      <x:c r="L18" s="22" t="str"/>
      <x:c r="M18" s="53"/>
      <x:c r="N18" s="22" t="str">
        <x:v>Cerrada</x:v>
      </x:c>
      <x:c r="O18" s="22" t="str">
        <x:v>Cumplimiento sostenido</x:v>
      </x:c>
      <x:c r="P18" s="22" t="n">
        <x:v>2023</x:v>
      </x:c>
      <x:c r="Q18" s="22" t="str">
        <x:v>IMA COMPANY SAS</x:v>
      </x:c>
      <x:c r="R18" s="22" t="str">
        <x:v>Consolidado empresarial</x:v>
      </x:c>
    </x:row>
    <x:row r="19" ht="39.599998474121094" hidden="0" customHeight="1">
      <x:c r="A19" s="22" t="n">
        <x:v>11</x:v>
      </x:c>
      <x:c r="B19" s="22" t="str">
        <x:v>Planear</x:v>
      </x:c>
      <x:c r="C19" s="22" t="str">
        <x:v>Identificación de peligros y evaluación de riesgos inicial</x:v>
      </x:c>
      <x:c r="D19" s="22" t="str">
        <x:v>Verificar la existencia, implementación y evidencia objetiva de 'identificación de peligros y evaluación de riesgos inicial' conforme a la Resolución 0312 de 2019.</x:v>
      </x:c>
      <x:c r="E19" s="52" t="n">
        <x:v>2</x:v>
      </x:c>
      <x:c r="F19" s="22" t="str">
        <x:v>Cumple</x:v>
      </x:c>
      <x:c r="G19" s="52" t="n">
        <x:f>IF(F19="Cumple",E19,0)</x:f>
        <x:v>2</x:v>
      </x:c>
      <x:c r="H19" s="22" t="str">
        <x:v>Revisión documental</x:v>
      </x:c>
      <x:c r="I19" s="22" t="str">
        <x:v>Soporte documental verificado y actualizado</x:v>
      </x:c>
      <x:c r="J19" s="22" t="str">
        <x:v>Consultor SST</x:v>
      </x:c>
      <x:c r="K19" s="22" t="str">
        <x:v>No</x:v>
      </x:c>
      <x:c r="L19" s="22" t="str"/>
      <x:c r="M19" s="53"/>
      <x:c r="N19" s="22" t="str">
        <x:v>Cerrada</x:v>
      </x:c>
      <x:c r="O19" s="22" t="str">
        <x:v>Cumplimiento sostenido</x:v>
      </x:c>
      <x:c r="P19" s="22" t="n">
        <x:v>2023</x:v>
      </x:c>
      <x:c r="Q19" s="22" t="str">
        <x:v>IMA COMPANY SAS</x:v>
      </x:c>
      <x:c r="R19" s="22" t="str">
        <x:v>Consolidado empresarial</x:v>
      </x:c>
    </x:row>
    <x:row r="20" ht="39.599998474121094" hidden="0" customHeight="1">
      <x:c r="A20" s="22" t="n">
        <x:v>12</x:v>
      </x:c>
      <x:c r="B20" s="22" t="str">
        <x:v>Planear</x:v>
      </x:c>
      <x:c r="C20" s="22" t="str">
        <x:v>Priorización de intervenciones y controles</x:v>
      </x:c>
      <x:c r="D20" s="22" t="str">
        <x:v>Verificar la existencia, implementación y evidencia objetiva de 'priorización de intervenciones y controles' conforme a la Resolución 0312 de 2019.</x:v>
      </x:c>
      <x:c r="E20" s="52" t="n">
        <x:v>2</x:v>
      </x:c>
      <x:c r="F20" s="22" t="str">
        <x:v>Cumple</x:v>
      </x:c>
      <x:c r="G20" s="52" t="n">
        <x:f>IF(F20="Cumple",E20,0)</x:f>
        <x:v>2</x:v>
      </x:c>
      <x:c r="H20" s="22" t="str">
        <x:v>Acta / evidencia</x:v>
      </x:c>
      <x:c r="I20" s="22" t="str">
        <x:v>Soporte documental verificado y actualizado</x:v>
      </x:c>
      <x:c r="J20" s="22" t="str">
        <x:v>COPASST</x:v>
      </x:c>
      <x:c r="K20" s="22" t="str">
        <x:v>No</x:v>
      </x:c>
      <x:c r="L20" s="22" t="str"/>
      <x:c r="M20" s="53"/>
      <x:c r="N20" s="22" t="str">
        <x:v>Cerrada</x:v>
      </x:c>
      <x:c r="O20" s="22" t="str">
        <x:v>Cumplimiento sostenido</x:v>
      </x:c>
      <x:c r="P20" s="22" t="n">
        <x:v>2023</x:v>
      </x:c>
      <x:c r="Q20" s="22" t="str">
        <x:v>IMA COMPANY SAS</x:v>
      </x:c>
      <x:c r="R20" s="22" t="str">
        <x:v>Consolidado empresarial</x:v>
      </x:c>
    </x:row>
    <x:row r="21" ht="39.599998474121094" hidden="0" customHeight="1">
      <x:c r="A21" s="22" t="n">
        <x:v>13</x:v>
      </x:c>
      <x:c r="B21" s="22" t="str">
        <x:v>Planear</x:v>
      </x:c>
      <x:c r="C21" s="22" t="str">
        <x:v>Planificación de indicadores del SG-SST</x:v>
      </x:c>
      <x:c r="D21" s="22" t="str">
        <x:v>Verificar la existencia, implementación y evidencia objetiva de 'planificación de indicadores del sg-sst' conforme a la Resolución 0312 de 2019.</x:v>
      </x:c>
      <x:c r="E21" s="52" t="n">
        <x:v>2</x:v>
      </x:c>
      <x:c r="F21" s="22" t="str">
        <x:v>Cumple</x:v>
      </x:c>
      <x:c r="G21" s="52" t="n">
        <x:f>IF(F21="Cumple",E21,0)</x:f>
        <x:v>2</x:v>
      </x:c>
      <x:c r="H21" s="22" t="str">
        <x:v>Revisión documental</x:v>
      </x:c>
      <x:c r="I21" s="22" t="str">
        <x:v>Soporte documental verificado y actualizado</x:v>
      </x:c>
      <x:c r="J21" s="22" t="str">
        <x:v>Alta Dirección</x:v>
      </x:c>
      <x:c r="K21" s="22" t="str">
        <x:v>No</x:v>
      </x:c>
      <x:c r="L21" s="22" t="str"/>
      <x:c r="M21" s="53"/>
      <x:c r="N21" s="22" t="str">
        <x:v>Cerrada</x:v>
      </x:c>
      <x:c r="O21" s="22" t="str">
        <x:v>Cumplimiento sostenido</x:v>
      </x:c>
      <x:c r="P21" s="22" t="n">
        <x:v>2023</x:v>
      </x:c>
      <x:c r="Q21" s="22" t="str">
        <x:v>IMA COMPANY SAS</x:v>
      </x:c>
      <x:c r="R21" s="22" t="str">
        <x:v>Consolidado empresarial</x:v>
      </x:c>
    </x:row>
    <x:row r="22" ht="39.599998474121094" hidden="0" customHeight="1">
      <x:c r="A22" s="22" t="n">
        <x:v>14</x:v>
      </x:c>
      <x:c r="B22" s="22" t="str">
        <x:v>Planear</x:v>
      </x:c>
      <x:c r="C22" s="22" t="str">
        <x:v>Plan de capacitación, inducción y reinducción</x:v>
      </x:c>
      <x:c r="D22" s="22" t="str">
        <x:v>Verificar la existencia, implementación y evidencia objetiva de 'plan de capacitación, inducción y reinducción' conforme a la Resolución 0312 de 2019.</x:v>
      </x:c>
      <x:c r="E22" s="52" t="n">
        <x:v>2</x:v>
      </x:c>
      <x:c r="F22" s="22" t="str">
        <x:v>Cumple</x:v>
      </x:c>
      <x:c r="G22" s="52" t="n">
        <x:f>IF(F22="Cumple",E22,0)</x:f>
        <x:v>2</x:v>
      </x:c>
      <x:c r="H22" s="22" t="str">
        <x:v>Revisión documental</x:v>
      </x:c>
      <x:c r="I22" s="22" t="str">
        <x:v>Soporte documental verificado y actualizado</x:v>
      </x:c>
      <x:c r="J22" s="22" t="str">
        <x:v>Talento Humano</x:v>
      </x:c>
      <x:c r="K22" s="22" t="str">
        <x:v>No</x:v>
      </x:c>
      <x:c r="L22" s="22" t="str"/>
      <x:c r="M22" s="53"/>
      <x:c r="N22" s="22" t="str">
        <x:v>Cerrada</x:v>
      </x:c>
      <x:c r="O22" s="22" t="str">
        <x:v>Cumplimiento sostenido</x:v>
      </x:c>
      <x:c r="P22" s="22" t="n">
        <x:v>2023</x:v>
      </x:c>
      <x:c r="Q22" s="22" t="str">
        <x:v>IMA COMPANY SAS</x:v>
      </x:c>
      <x:c r="R22" s="22" t="str">
        <x:v>Consolidado empresarial</x:v>
      </x:c>
    </x:row>
    <x:row r="23" ht="39.599998474121094" hidden="0" customHeight="1">
      <x:c r="A23" s="22" t="n">
        <x:v>15</x:v>
      </x:c>
      <x:c r="B23" s="22" t="str">
        <x:v>Planear</x:v>
      </x:c>
      <x:c r="C23" s="22" t="str">
        <x:v>Plan de prevención, preparación y respuesta ante emergencias</x:v>
      </x:c>
      <x:c r="D23" s="22" t="str">
        <x:v>Verificar la existencia, implementación y evidencia objetiva de 'plan de prevención, preparación y respuesta ante emergencias' conforme a la Resolución 0312 de 2019.</x:v>
      </x:c>
      <x:c r="E23" s="52" t="n">
        <x:v>2</x:v>
      </x:c>
      <x:c r="F23" s="22" t="str">
        <x:v>Cumple</x:v>
      </x:c>
      <x:c r="G23" s="52" t="n">
        <x:f>IF(F23="Cumple",E23,0)</x:f>
        <x:v>2</x:v>
      </x:c>
      <x:c r="H23" s="22" t="str">
        <x:v>Revisión documental</x:v>
      </x:c>
      <x:c r="I23" s="22" t="str">
        <x:v>Soporte documental verificado y actualizado</x:v>
      </x:c>
      <x:c r="J23" s="22" t="str">
        <x:v>Líder SST</x:v>
      </x:c>
      <x:c r="K23" s="22" t="str">
        <x:v>No</x:v>
      </x:c>
      <x:c r="L23" s="22" t="str"/>
      <x:c r="M23" s="53"/>
      <x:c r="N23" s="22" t="str">
        <x:v>Cerrada</x:v>
      </x:c>
      <x:c r="O23" s="22" t="str">
        <x:v>Cumplimiento sostenido</x:v>
      </x:c>
      <x:c r="P23" s="22" t="n">
        <x:v>2023</x:v>
      </x:c>
      <x:c r="Q23" s="22" t="str">
        <x:v>IMA COMPANY SAS</x:v>
      </x:c>
      <x:c r="R23" s="22" t="str">
        <x:v>Consolidado empresarial</x:v>
      </x:c>
    </x:row>
    <x:row r="24" ht="39.599998474121094" hidden="0" customHeight="1">
      <x:c r="A24" s="22" t="n">
        <x:v>16</x:v>
      </x:c>
      <x:c r="B24" s="22" t="str">
        <x:v>Hacer</x:v>
      </x:c>
      <x:c r="C24" s="22" t="str">
        <x:v>Afiliación y cobertura al Sistema General de Riesgos Laborales</x:v>
      </x:c>
      <x:c r="D24" s="22" t="str">
        <x:v>Verificar la existencia, implementación y evidencia objetiva de 'afiliación y cobertura al sistema general de riesgos laborales' conforme a la Resolución 0312 de 2019.</x:v>
      </x:c>
      <x:c r="E24" s="52" t="n">
        <x:v>1.5</x:v>
      </x:c>
      <x:c r="F24" s="22" t="str">
        <x:v>Cumple</x:v>
      </x:c>
      <x:c r="G24" s="52" t="n">
        <x:f>IF(F24="Cumple",E24,0)</x:f>
        <x:v>1.5</x:v>
      </x:c>
      <x:c r="H24" s="22" t="str">
        <x:v>Acta / evidencia</x:v>
      </x:c>
      <x:c r="I24" s="22" t="str">
        <x:v>Soporte documental verificado y actualizado</x:v>
      </x:c>
      <x:c r="J24" s="22" t="str">
        <x:v>Consultor SST</x:v>
      </x:c>
      <x:c r="K24" s="22" t="str">
        <x:v>No</x:v>
      </x:c>
      <x:c r="L24" s="22" t="str"/>
      <x:c r="M24" s="53"/>
      <x:c r="N24" s="22" t="str">
        <x:v>Cerrada</x:v>
      </x:c>
      <x:c r="O24" s="22" t="str">
        <x:v>Cumplimiento sostenido</x:v>
      </x:c>
      <x:c r="P24" s="22" t="n">
        <x:v>2023</x:v>
      </x:c>
      <x:c r="Q24" s="22" t="str">
        <x:v>IMA COMPANY SAS</x:v>
      </x:c>
      <x:c r="R24" s="22" t="str">
        <x:v>Consolidado empresarial</x:v>
      </x:c>
    </x:row>
    <x:row r="25" ht="39.599998474121094" hidden="0" customHeight="1">
      <x:c r="A25" s="22" t="n">
        <x:v>17</x:v>
      </x:c>
      <x:c r="B25" s="22" t="str">
        <x:v>Hacer</x:v>
      </x:c>
      <x:c r="C25" s="22" t="str">
        <x:v>Conformación y funcionamiento del COPASST</x:v>
      </x:c>
      <x:c r="D25" s="22" t="str">
        <x:v>Verificar la existencia, implementación y evidencia objetiva de 'conformación y funcionamiento del copasst' conforme a la Resolución 0312 de 2019.</x:v>
      </x:c>
      <x:c r="E25" s="52" t="n">
        <x:v>1.5</x:v>
      </x:c>
      <x:c r="F25" s="22" t="str">
        <x:v>Cumple</x:v>
      </x:c>
      <x:c r="G25" s="52" t="n">
        <x:f>IF(F25="Cumple",E25,0)</x:f>
        <x:v>1.5</x:v>
      </x:c>
      <x:c r="H25" s="22" t="str">
        <x:v>Revisión documental</x:v>
      </x:c>
      <x:c r="I25" s="22" t="str">
        <x:v>Soporte documental verificado y actualizado</x:v>
      </x:c>
      <x:c r="J25" s="22" t="str">
        <x:v>COPASST</x:v>
      </x:c>
      <x:c r="K25" s="22" t="str">
        <x:v>No</x:v>
      </x:c>
      <x:c r="L25" s="22" t="str"/>
      <x:c r="M25" s="53"/>
      <x:c r="N25" s="22" t="str">
        <x:v>Cerrada</x:v>
      </x:c>
      <x:c r="O25" s="22" t="str">
        <x:v>Cumplimiento sostenido</x:v>
      </x:c>
      <x:c r="P25" s="22" t="n">
        <x:v>2023</x:v>
      </x:c>
      <x:c r="Q25" s="22" t="str">
        <x:v>IMA COMPANY SAS</x:v>
      </x:c>
      <x:c r="R25" s="22" t="str">
        <x:v>Consolidado empresarial</x:v>
      </x:c>
    </x:row>
    <x:row r="26" ht="39.599998474121094" hidden="0" customHeight="1">
      <x:c r="A26" s="22" t="n">
        <x:v>18</x:v>
      </x:c>
      <x:c r="B26" s="22" t="str">
        <x:v>Hacer</x:v>
      </x:c>
      <x:c r="C26" s="22" t="str">
        <x:v>Conformación y funcionamiento del Comité de Convivencia Laboral</x:v>
      </x:c>
      <x:c r="D26" s="22" t="str">
        <x:v>Verificar la existencia, implementación y evidencia objetiva de 'conformación y funcionamiento del comité de convivencia laboral' conforme a la Resolución 0312 de 2019.</x:v>
      </x:c>
      <x:c r="E26" s="52" t="n">
        <x:v>1.5</x:v>
      </x:c>
      <x:c r="F26" s="22" t="str">
        <x:v>Cumple</x:v>
      </x:c>
      <x:c r="G26" s="52" t="n">
        <x:f>IF(F26="Cumple",E26,0)</x:f>
        <x:v>1.5</x:v>
      </x:c>
      <x:c r="H26" s="22" t="str">
        <x:v>Revisión documental</x:v>
      </x:c>
      <x:c r="I26" s="22" t="str">
        <x:v>Soporte documental verificado y actualizado</x:v>
      </x:c>
      <x:c r="J26" s="22" t="str">
        <x:v>Alta Dirección</x:v>
      </x:c>
      <x:c r="K26" s="22" t="str">
        <x:v>No</x:v>
      </x:c>
      <x:c r="L26" s="22" t="str"/>
      <x:c r="M26" s="53"/>
      <x:c r="N26" s="22" t="str">
        <x:v>Cerrada</x:v>
      </x:c>
      <x:c r="O26" s="22" t="str">
        <x:v>Cumplimiento sostenido</x:v>
      </x:c>
      <x:c r="P26" s="22" t="n">
        <x:v>2023</x:v>
      </x:c>
      <x:c r="Q26" s="22" t="str">
        <x:v>IMA COMPANY SAS</x:v>
      </x:c>
      <x:c r="R26" s="22" t="str">
        <x:v>Consolidado empresarial</x:v>
      </x:c>
    </x:row>
    <x:row r="27" ht="39.599998474121094" hidden="0" customHeight="1">
      <x:c r="A27" s="22" t="n">
        <x:v>19</x:v>
      </x:c>
      <x:c r="B27" s="22" t="str">
        <x:v>Hacer</x:v>
      </x:c>
      <x:c r="C27" s="22" t="str">
        <x:v>Programa de capacitación en SST ejecutado</x:v>
      </x:c>
      <x:c r="D27" s="22" t="str">
        <x:v>Verificar la existencia, implementación y evidencia objetiva de 'programa de capacitación en sst ejecutado' conforme a la Resolución 0312 de 2019.</x:v>
      </x:c>
      <x:c r="E27" s="52" t="n">
        <x:v>1.5</x:v>
      </x:c>
      <x:c r="F27" s="22" t="str">
        <x:v>Cumple</x:v>
      </x:c>
      <x:c r="G27" s="52" t="n">
        <x:f>IF(F27="Cumple",E27,0)</x:f>
        <x:v>1.5</x:v>
      </x:c>
      <x:c r="H27" s="22" t="str">
        <x:v>Revisión documental</x:v>
      </x:c>
      <x:c r="I27" s="22" t="str">
        <x:v>Soporte documental verificado y actualizado</x:v>
      </x:c>
      <x:c r="J27" s="22" t="str">
        <x:v>Talento Humano</x:v>
      </x:c>
      <x:c r="K27" s="22" t="str">
        <x:v>No</x:v>
      </x:c>
      <x:c r="L27" s="22" t="str"/>
      <x:c r="M27" s="53"/>
      <x:c r="N27" s="22" t="str">
        <x:v>Cerrada</x:v>
      </x:c>
      <x:c r="O27" s="22" t="str">
        <x:v>Cumplimiento sostenido</x:v>
      </x:c>
      <x:c r="P27" s="22" t="n">
        <x:v>2023</x:v>
      </x:c>
      <x:c r="Q27" s="22" t="str">
        <x:v>IMA COMPANY SAS</x:v>
      </x:c>
      <x:c r="R27" s="22" t="str">
        <x:v>Consolidado empresarial</x:v>
      </x:c>
    </x:row>
    <x:row r="28" ht="39.599998474121094" hidden="0" customHeight="1">
      <x:c r="A28" s="22" t="n">
        <x:v>20</x:v>
      </x:c>
      <x:c r="B28" s="22" t="str">
        <x:v>Hacer</x:v>
      </x:c>
      <x:c r="C28" s="22" t="str">
        <x:v>Inducción y reinducción en SST</x:v>
      </x:c>
      <x:c r="D28" s="22" t="str">
        <x:v>Verificar la existencia, implementación y evidencia objetiva de 'inducción y reinducción en sst' conforme a la Resolución 0312 de 2019.</x:v>
      </x:c>
      <x:c r="E28" s="52" t="n">
        <x:v>1.5</x:v>
      </x:c>
      <x:c r="F28" s="22" t="str">
        <x:v>Cumple</x:v>
      </x:c>
      <x:c r="G28" s="52" t="n">
        <x:f>IF(F28="Cumple",E28,0)</x:f>
        <x:v>1.5</x:v>
      </x:c>
      <x:c r="H28" s="22" t="str">
        <x:v>Acta / evidencia</x:v>
      </x:c>
      <x:c r="I28" s="22" t="str">
        <x:v>Soporte documental verificado y actualizado</x:v>
      </x:c>
      <x:c r="J28" s="22" t="str">
        <x:v>Líder SST</x:v>
      </x:c>
      <x:c r="K28" s="22" t="str">
        <x:v>No</x:v>
      </x:c>
      <x:c r="L28" s="22" t="str"/>
      <x:c r="M28" s="53"/>
      <x:c r="N28" s="22" t="str">
        <x:v>Cerrada</x:v>
      </x:c>
      <x:c r="O28" s="22" t="str">
        <x:v>Cumplimiento sostenido</x:v>
      </x:c>
      <x:c r="P28" s="22" t="n">
        <x:v>2023</x:v>
      </x:c>
      <x:c r="Q28" s="22" t="str">
        <x:v>IMA COMPANY SAS</x:v>
      </x:c>
      <x:c r="R28" s="22" t="str">
        <x:v>Consolidado empresarial</x:v>
      </x:c>
    </x:row>
    <x:row r="29" ht="39.599998474121094" hidden="0" customHeight="1">
      <x:c r="A29" s="22" t="n">
        <x:v>21</x:v>
      </x:c>
      <x:c r="B29" s="22" t="str">
        <x:v>Hacer</x:v>
      </x:c>
      <x:c r="C29" s="22" t="str">
        <x:v>Entrega, reposición y control de EPP</x:v>
      </x:c>
      <x:c r="D29" s="22" t="str">
        <x:v>Verificar la existencia, implementación y evidencia objetiva de 'entrega, reposición y control de epp' conforme a la Resolución 0312 de 2019.</x:v>
      </x:c>
      <x:c r="E29" s="52" t="n">
        <x:v>1.5</x:v>
      </x:c>
      <x:c r="F29" s="22" t="str">
        <x:v>Cumple</x:v>
      </x:c>
      <x:c r="G29" s="52" t="n">
        <x:f>IF(F29="Cumple",E29,0)</x:f>
        <x:v>1.5</x:v>
      </x:c>
      <x:c r="H29" s="22" t="str">
        <x:v>Revisión documental</x:v>
      </x:c>
      <x:c r="I29" s="22" t="str">
        <x:v>Soporte documental verificado y actualizado</x:v>
      </x:c>
      <x:c r="J29" s="22" t="str">
        <x:v>Consultor SST</x:v>
      </x:c>
      <x:c r="K29" s="22" t="str">
        <x:v>No</x:v>
      </x:c>
      <x:c r="L29" s="22" t="str"/>
      <x:c r="M29" s="53"/>
      <x:c r="N29" s="22" t="str">
        <x:v>Cerrada</x:v>
      </x:c>
      <x:c r="O29" s="22" t="str">
        <x:v>Cumplimiento sostenido</x:v>
      </x:c>
      <x:c r="P29" s="22" t="n">
        <x:v>2023</x:v>
      </x:c>
      <x:c r="Q29" s="22" t="str">
        <x:v>IMA COMPANY SAS</x:v>
      </x:c>
      <x:c r="R29" s="22" t="str">
        <x:v>Consolidado empresarial</x:v>
      </x:c>
    </x:row>
    <x:row r="30" ht="39.599998474121094" hidden="0" customHeight="1">
      <x:c r="A30" s="22" t="n">
        <x:v>22</x:v>
      </x:c>
      <x:c r="B30" s="22" t="str">
        <x:v>Hacer</x:v>
      </x:c>
      <x:c r="C30" s="22" t="str">
        <x:v>Inspecciones planeadas de seguridad</x:v>
      </x:c>
      <x:c r="D30" s="22" t="str">
        <x:v>Verificar la existencia, implementación y evidencia objetiva de 'inspecciones planeadas de seguridad' conforme a la Resolución 0312 de 2019.</x:v>
      </x:c>
      <x:c r="E30" s="52" t="n">
        <x:v>1.5</x:v>
      </x:c>
      <x:c r="F30" s="22" t="str">
        <x:v>Cumple</x:v>
      </x:c>
      <x:c r="G30" s="52" t="n">
        <x:f>IF(F30="Cumple",E30,0)</x:f>
        <x:v>1.5</x:v>
      </x:c>
      <x:c r="H30" s="22" t="str">
        <x:v>Revisión documental</x:v>
      </x:c>
      <x:c r="I30" s="22" t="str">
        <x:v>Soporte documental verificado y actualizado</x:v>
      </x:c>
      <x:c r="J30" s="22" t="str">
        <x:v>COPASST</x:v>
      </x:c>
      <x:c r="K30" s="22" t="str">
        <x:v>No</x:v>
      </x:c>
      <x:c r="L30" s="22" t="str"/>
      <x:c r="M30" s="53"/>
      <x:c r="N30" s="22" t="str">
        <x:v>Cerrada</x:v>
      </x:c>
      <x:c r="O30" s="22" t="str">
        <x:v>Cumplimiento sostenido</x:v>
      </x:c>
      <x:c r="P30" s="22" t="n">
        <x:v>2023</x:v>
      </x:c>
      <x:c r="Q30" s="22" t="str">
        <x:v>IMA COMPANY SAS</x:v>
      </x:c>
      <x:c r="R30" s="22" t="str">
        <x:v>Consolidado empresarial</x:v>
      </x:c>
    </x:row>
    <x:row r="31" ht="39.599998474121094" hidden="0" customHeight="1">
      <x:c r="A31" s="22" t="n">
        <x:v>23</x:v>
      </x:c>
      <x:c r="B31" s="22" t="str">
        <x:v>Hacer</x:v>
      </x:c>
      <x:c r="C31" s="22" t="str">
        <x:v>Mantenimiento preventivo de equipos e instalaciones</x:v>
      </x:c>
      <x:c r="D31" s="22" t="str">
        <x:v>Verificar la existencia, implementación y evidencia objetiva de 'mantenimiento preventivo de equipos e instalaciones' conforme a la Resolución 0312 de 2019.</x:v>
      </x:c>
      <x:c r="E31" s="52" t="n">
        <x:v>1.5</x:v>
      </x:c>
      <x:c r="F31" s="22" t="str">
        <x:v>Cumple</x:v>
      </x:c>
      <x:c r="G31" s="52" t="n">
        <x:f>IF(F31="Cumple",E31,0)</x:f>
        <x:v>1.5</x:v>
      </x:c>
      <x:c r="H31" s="22" t="str">
        <x:v>Revisión documental</x:v>
      </x:c>
      <x:c r="I31" s="22" t="str">
        <x:v>Soporte documental verificado y actualizado</x:v>
      </x:c>
      <x:c r="J31" s="22" t="str">
        <x:v>Alta Dirección</x:v>
      </x:c>
      <x:c r="K31" s="22" t="str">
        <x:v>No</x:v>
      </x:c>
      <x:c r="L31" s="22" t="str"/>
      <x:c r="M31" s="53"/>
      <x:c r="N31" s="22" t="str">
        <x:v>Cerrada</x:v>
      </x:c>
      <x:c r="O31" s="22" t="str">
        <x:v>Cumplimiento sostenido</x:v>
      </x:c>
      <x:c r="P31" s="22" t="n">
        <x:v>2023</x:v>
      </x:c>
      <x:c r="Q31" s="22" t="str">
        <x:v>IMA COMPANY SAS</x:v>
      </x:c>
      <x:c r="R31" s="22" t="str">
        <x:v>Consolidado empresarial</x:v>
      </x:c>
    </x:row>
    <x:row r="32" ht="39.599998474121094" hidden="0" customHeight="1">
      <x:c r="A32" s="22" t="n">
        <x:v>24</x:v>
      </x:c>
      <x:c r="B32" s="22" t="str">
        <x:v>Hacer</x:v>
      </x:c>
      <x:c r="C32" s="22" t="str">
        <x:v>Gestión de contratistas y proveedores en SST</x:v>
      </x:c>
      <x:c r="D32" s="22" t="str">
        <x:v>Verificar la existencia, implementación y evidencia objetiva de 'gestión de contratistas y proveedores en sst' conforme a la Resolución 0312 de 2019.</x:v>
      </x:c>
      <x:c r="E32" s="52" t="n">
        <x:v>1.5</x:v>
      </x:c>
      <x:c r="F32" s="22" t="str">
        <x:v>Cumple</x:v>
      </x:c>
      <x:c r="G32" s="52" t="n">
        <x:f>IF(F32="Cumple",E32,0)</x:f>
        <x:v>1.5</x:v>
      </x:c>
      <x:c r="H32" s="22" t="str">
        <x:v>Acta / evidencia</x:v>
      </x:c>
      <x:c r="I32" s="22" t="str">
        <x:v>Soporte documental verificado y actualizado</x:v>
      </x:c>
      <x:c r="J32" s="22" t="str">
        <x:v>Talento Humano</x:v>
      </x:c>
      <x:c r="K32" s="22" t="str">
        <x:v>No</x:v>
      </x:c>
      <x:c r="L32" s="22" t="str"/>
      <x:c r="M32" s="53"/>
      <x:c r="N32" s="22" t="str">
        <x:v>Cerrada</x:v>
      </x:c>
      <x:c r="O32" s="22" t="str">
        <x:v>Cumplimiento sostenido</x:v>
      </x:c>
      <x:c r="P32" s="22" t="n">
        <x:v>2023</x:v>
      </x:c>
      <x:c r="Q32" s="22" t="str">
        <x:v>IMA COMPANY SAS</x:v>
      </x:c>
      <x:c r="R32" s="22" t="str">
        <x:v>Consolidado empresarial</x:v>
      </x:c>
    </x:row>
    <x:row r="33" ht="26.399999618530273" hidden="0" customHeight="1">
      <x:c r="A33" s="22" t="n">
        <x:v>25</x:v>
      </x:c>
      <x:c r="B33" s="22" t="str">
        <x:v>Hacer</x:v>
      </x:c>
      <x:c r="C33" s="22" t="str">
        <x:v>Gestión del cambio</x:v>
      </x:c>
      <x:c r="D33" s="22" t="str">
        <x:v>Verificar la existencia, implementación y evidencia objetiva de 'gestión del cambio' conforme a la Resolución 0312 de 2019.</x:v>
      </x:c>
      <x:c r="E33" s="52" t="n">
        <x:v>1.5</x:v>
      </x:c>
      <x:c r="F33" s="22" t="str">
        <x:v>Cumple</x:v>
      </x:c>
      <x:c r="G33" s="52" t="n">
        <x:f>IF(F33="Cumple",E33,0)</x:f>
        <x:v>1.5</x:v>
      </x:c>
      <x:c r="H33" s="22" t="str">
        <x:v>Revisión documental</x:v>
      </x:c>
      <x:c r="I33" s="22" t="str">
        <x:v>Soporte documental verificado y actualizado</x:v>
      </x:c>
      <x:c r="J33" s="22" t="str">
        <x:v>Líder SST</x:v>
      </x:c>
      <x:c r="K33" s="22" t="str">
        <x:v>No</x:v>
      </x:c>
      <x:c r="L33" s="22" t="str"/>
      <x:c r="M33" s="53"/>
      <x:c r="N33" s="22" t="str">
        <x:v>Cerrada</x:v>
      </x:c>
      <x:c r="O33" s="22" t="str">
        <x:v>Cumplimiento sostenido</x:v>
      </x:c>
      <x:c r="P33" s="22" t="n">
        <x:v>2023</x:v>
      </x:c>
      <x:c r="Q33" s="22" t="str">
        <x:v>IMA COMPANY SAS</x:v>
      </x:c>
      <x:c r="R33" s="22" t="str">
        <x:v>Consolidado empresarial</x:v>
      </x:c>
    </x:row>
    <x:row r="34" ht="39.599998474121094" hidden="0" customHeight="1">
      <x:c r="A34" s="22" t="n">
        <x:v>26</x:v>
      </x:c>
      <x:c r="B34" s="22" t="str">
        <x:v>Hacer</x:v>
      </x:c>
      <x:c r="C34" s="22" t="str">
        <x:v>Exámenes médicos ocupacionales de ingreso</x:v>
      </x:c>
      <x:c r="D34" s="22" t="str">
        <x:v>Verificar la existencia, implementación y evidencia objetiva de 'exámenes médicos ocupacionales de ingreso' conforme a la Resolución 0312 de 2019.</x:v>
      </x:c>
      <x:c r="E34" s="52" t="n">
        <x:v>1.5</x:v>
      </x:c>
      <x:c r="F34" s="22" t="str">
        <x:v>Cumple</x:v>
      </x:c>
      <x:c r="G34" s="52" t="n">
        <x:f>IF(F34="Cumple",E34,0)</x:f>
        <x:v>1.5</x:v>
      </x:c>
      <x:c r="H34" s="22" t="str">
        <x:v>Revisión documental</x:v>
      </x:c>
      <x:c r="I34" s="22" t="str">
        <x:v>Soporte documental verificado y actualizado</x:v>
      </x:c>
      <x:c r="J34" s="22" t="str">
        <x:v>Consultor SST</x:v>
      </x:c>
      <x:c r="K34" s="22" t="str">
        <x:v>No</x:v>
      </x:c>
      <x:c r="L34" s="22" t="str"/>
      <x:c r="M34" s="53"/>
      <x:c r="N34" s="22" t="str">
        <x:v>Cerrada</x:v>
      </x:c>
      <x:c r="O34" s="22" t="str">
        <x:v>Cumplimiento sostenido</x:v>
      </x:c>
      <x:c r="P34" s="22" t="n">
        <x:v>2023</x:v>
      </x:c>
      <x:c r="Q34" s="22" t="str">
        <x:v>IMA COMPANY SAS</x:v>
      </x:c>
      <x:c r="R34" s="22" t="str">
        <x:v>Consolidado empresarial</x:v>
      </x:c>
    </x:row>
    <x:row r="35" ht="39.599998474121094" hidden="0" customHeight="1">
      <x:c r="A35" s="22" t="n">
        <x:v>27</x:v>
      </x:c>
      <x:c r="B35" s="22" t="str">
        <x:v>Hacer</x:v>
      </x:c>
      <x:c r="C35" s="22" t="str">
        <x:v>Exámenes médicos periódicos</x:v>
      </x:c>
      <x:c r="D35" s="22" t="str">
        <x:v>Verificar la existencia, implementación y evidencia objetiva de 'exámenes médicos periódicos' conforme a la Resolución 0312 de 2019.</x:v>
      </x:c>
      <x:c r="E35" s="52" t="n">
        <x:v>1.5</x:v>
      </x:c>
      <x:c r="F35" s="22" t="str">
        <x:v>Cumple</x:v>
      </x:c>
      <x:c r="G35" s="52" t="n">
        <x:f>IF(F35="Cumple",E35,0)</x:f>
        <x:v>1.5</x:v>
      </x:c>
      <x:c r="H35" s="22" t="str">
        <x:v>Revisión documental</x:v>
      </x:c>
      <x:c r="I35" s="22" t="str">
        <x:v>Soporte documental verificado y actualizado</x:v>
      </x:c>
      <x:c r="J35" s="22" t="str">
        <x:v>COPASST</x:v>
      </x:c>
      <x:c r="K35" s="22" t="str">
        <x:v>No</x:v>
      </x:c>
      <x:c r="L35" s="22" t="str"/>
      <x:c r="M35" s="53"/>
      <x:c r="N35" s="22" t="str">
        <x:v>Cerrada</x:v>
      </x:c>
      <x:c r="O35" s="22" t="str">
        <x:v>Cumplimiento sostenido</x:v>
      </x:c>
      <x:c r="P35" s="22" t="n">
        <x:v>2023</x:v>
      </x:c>
      <x:c r="Q35" s="22" t="str">
        <x:v>IMA COMPANY SAS</x:v>
      </x:c>
      <x:c r="R35" s="22" t="str">
        <x:v>Consolidado empresarial</x:v>
      </x:c>
    </x:row>
    <x:row r="36" ht="39.599998474121094" hidden="0" customHeight="1">
      <x:c r="A36" s="22" t="n">
        <x:v>28</x:v>
      </x:c>
      <x:c r="B36" s="22" t="str">
        <x:v>Hacer</x:v>
      </x:c>
      <x:c r="C36" s="22" t="str">
        <x:v>Exámenes de retiro y post incapacidad</x:v>
      </x:c>
      <x:c r="D36" s="22" t="str">
        <x:v>Verificar la existencia, implementación y evidencia objetiva de 'exámenes de retiro y post incapacidad' conforme a la Resolución 0312 de 2019.</x:v>
      </x:c>
      <x:c r="E36" s="52" t="n">
        <x:v>1.5</x:v>
      </x:c>
      <x:c r="F36" s="22" t="str">
        <x:v>Cumple</x:v>
      </x:c>
      <x:c r="G36" s="52" t="n">
        <x:f>IF(F36="Cumple",E36,0)</x:f>
        <x:v>1.5</x:v>
      </x:c>
      <x:c r="H36" s="22" t="str">
        <x:v>Acta / evidencia</x:v>
      </x:c>
      <x:c r="I36" s="22" t="str">
        <x:v>Soporte documental verificado y actualizado</x:v>
      </x:c>
      <x:c r="J36" s="22" t="str">
        <x:v>Alta Dirección</x:v>
      </x:c>
      <x:c r="K36" s="22" t="str">
        <x:v>No</x:v>
      </x:c>
      <x:c r="L36" s="22" t="str"/>
      <x:c r="M36" s="53"/>
      <x:c r="N36" s="22" t="str">
        <x:v>Cerrada</x:v>
      </x:c>
      <x:c r="O36" s="22" t="str">
        <x:v>Cumplimiento sostenido</x:v>
      </x:c>
      <x:c r="P36" s="22" t="n">
        <x:v>2023</x:v>
      </x:c>
      <x:c r="Q36" s="22" t="str">
        <x:v>IMA COMPANY SAS</x:v>
      </x:c>
      <x:c r="R36" s="22" t="str">
        <x:v>Consolidado empresarial</x:v>
      </x:c>
    </x:row>
    <x:row r="37" ht="39.599998474121094" hidden="0" customHeight="1">
      <x:c r="A37" s="22" t="n">
        <x:v>29</x:v>
      </x:c>
      <x:c r="B37" s="22" t="str">
        <x:v>Hacer</x:v>
      </x:c>
      <x:c r="C37" s="22" t="str">
        <x:v>Reporte e investigación de accidentes de trabajo</x:v>
      </x:c>
      <x:c r="D37" s="22" t="str">
        <x:v>Verificar la existencia, implementación y evidencia objetiva de 'reporte e investigación de accidentes de trabajo' conforme a la Resolución 0312 de 2019.</x:v>
      </x:c>
      <x:c r="E37" s="52" t="n">
        <x:v>1.5</x:v>
      </x:c>
      <x:c r="F37" s="22" t="str">
        <x:v>Cumple</x:v>
      </x:c>
      <x:c r="G37" s="52" t="n">
        <x:f>IF(F37="Cumple",E37,0)</x:f>
        <x:v>1.5</x:v>
      </x:c>
      <x:c r="H37" s="22" t="str">
        <x:v>Revisión documental</x:v>
      </x:c>
      <x:c r="I37" s="22" t="str">
        <x:v>Soporte documental verificado y actualizado</x:v>
      </x:c>
      <x:c r="J37" s="22" t="str">
        <x:v>Talento Humano</x:v>
      </x:c>
      <x:c r="K37" s="22" t="str">
        <x:v>No</x:v>
      </x:c>
      <x:c r="L37" s="22" t="str"/>
      <x:c r="M37" s="53"/>
      <x:c r="N37" s="22" t="str">
        <x:v>Cerrada</x:v>
      </x:c>
      <x:c r="O37" s="22" t="str">
        <x:v>Cumplimiento sostenido</x:v>
      </x:c>
      <x:c r="P37" s="22" t="n">
        <x:v>2023</x:v>
      </x:c>
      <x:c r="Q37" s="22" t="str">
        <x:v>IMA COMPANY SAS</x:v>
      </x:c>
      <x:c r="R37" s="22" t="str">
        <x:v>Consolidado empresarial</x:v>
      </x:c>
    </x:row>
    <x:row r="38" ht="39.599998474121094" hidden="0" customHeight="1">
      <x:c r="A38" s="22" t="n">
        <x:v>30</x:v>
      </x:c>
      <x:c r="B38" s="22" t="str">
        <x:v>Hacer</x:v>
      </x:c>
      <x:c r="C38" s="22" t="str">
        <x:v>Reporte y seguimiento de enfermedades laborales</x:v>
      </x:c>
      <x:c r="D38" s="22" t="str">
        <x:v>Verificar la existencia, implementación y evidencia objetiva de 'reporte y seguimiento de enfermedades laborales' conforme a la Resolución 0312 de 2019.</x:v>
      </x:c>
      <x:c r="E38" s="52" t="n">
        <x:v>1.5</x:v>
      </x:c>
      <x:c r="F38" s="22" t="str">
        <x:v>Cumple</x:v>
      </x:c>
      <x:c r="G38" s="52" t="n">
        <x:f>IF(F38="Cumple",E38,0)</x:f>
        <x:v>1.5</x:v>
      </x:c>
      <x:c r="H38" s="22" t="str">
        <x:v>Revisión documental</x:v>
      </x:c>
      <x:c r="I38" s="22" t="str">
        <x:v>Soporte documental verificado y actualizado</x:v>
      </x:c>
      <x:c r="J38" s="22" t="str">
        <x:v>Líder SST</x:v>
      </x:c>
      <x:c r="K38" s="22" t="str">
        <x:v>No</x:v>
      </x:c>
      <x:c r="L38" s="22" t="str"/>
      <x:c r="M38" s="53"/>
      <x:c r="N38" s="22" t="str">
        <x:v>Cerrada</x:v>
      </x:c>
      <x:c r="O38" s="22" t="str">
        <x:v>Cumplimiento sostenido</x:v>
      </x:c>
      <x:c r="P38" s="22" t="n">
        <x:v>2023</x:v>
      </x:c>
      <x:c r="Q38" s="22" t="str">
        <x:v>IMA COMPANY SAS</x:v>
      </x:c>
      <x:c r="R38" s="22" t="str">
        <x:v>Consolidado empresarial</x:v>
      </x:c>
    </x:row>
    <x:row r="39" ht="39.599998474121094" hidden="0" customHeight="1">
      <x:c r="A39" s="22" t="n">
        <x:v>31</x:v>
      </x:c>
      <x:c r="B39" s="22" t="str">
        <x:v>Hacer</x:v>
      </x:c>
      <x:c r="C39" s="22" t="str">
        <x:v>Gestión de ausentismo laboral</x:v>
      </x:c>
      <x:c r="D39" s="22" t="str">
        <x:v>Verificar la existencia, implementación y evidencia objetiva de 'gestión de ausentismo laboral' conforme a la Resolución 0312 de 2019.</x:v>
      </x:c>
      <x:c r="E39" s="52" t="n">
        <x:v>2</x:v>
      </x:c>
      <x:c r="F39" s="22" t="str">
        <x:v>Cumple</x:v>
      </x:c>
      <x:c r="G39" s="52" t="n">
        <x:f>IF(F39="Cumple",E39,0)</x:f>
        <x:v>2</x:v>
      </x:c>
      <x:c r="H39" s="22" t="str">
        <x:v>Revisión documental</x:v>
      </x:c>
      <x:c r="I39" s="22" t="str">
        <x:v>Soporte documental verificado y actualizado</x:v>
      </x:c>
      <x:c r="J39" s="22" t="str">
        <x:v>Consultor SST</x:v>
      </x:c>
      <x:c r="K39" s="22" t="str">
        <x:v>No</x:v>
      </x:c>
      <x:c r="L39" s="22" t="str"/>
      <x:c r="M39" s="53"/>
      <x:c r="N39" s="22" t="str">
        <x:v>Cerrada</x:v>
      </x:c>
      <x:c r="O39" s="22" t="str">
        <x:v>Cumplimiento sostenido</x:v>
      </x:c>
      <x:c r="P39" s="22" t="n">
        <x:v>2023</x:v>
      </x:c>
      <x:c r="Q39" s="22" t="str">
        <x:v>IMA COMPANY SAS</x:v>
      </x:c>
      <x:c r="R39" s="22" t="str">
        <x:v>Consolidado empresarial</x:v>
      </x:c>
    </x:row>
    <x:row r="40" ht="39.599998474121094" hidden="0" customHeight="1">
      <x:c r="A40" s="22" t="n">
        <x:v>32</x:v>
      </x:c>
      <x:c r="B40" s="22" t="str">
        <x:v>Hacer</x:v>
      </x:c>
      <x:c r="C40" s="22" t="str">
        <x:v>Vigilancia epidemiológica</x:v>
      </x:c>
      <x:c r="D40" s="22" t="str">
        <x:v>Verificar la existencia, implementación y evidencia objetiva de 'vigilancia epidemiológica' conforme a la Resolución 0312 de 2019.</x:v>
      </x:c>
      <x:c r="E40" s="52" t="n">
        <x:v>2</x:v>
      </x:c>
      <x:c r="F40" s="22" t="str">
        <x:v>Cumple</x:v>
      </x:c>
      <x:c r="G40" s="52" t="n">
        <x:f>IF(F40="Cumple",E40,0)</x:f>
        <x:v>2</x:v>
      </x:c>
      <x:c r="H40" s="22" t="str">
        <x:v>Acta / evidencia</x:v>
      </x:c>
      <x:c r="I40" s="22" t="str">
        <x:v>Soporte documental verificado y actualizado</x:v>
      </x:c>
      <x:c r="J40" s="22" t="str">
        <x:v>COPASST</x:v>
      </x:c>
      <x:c r="K40" s="22" t="str">
        <x:v>No</x:v>
      </x:c>
      <x:c r="L40" s="22" t="str"/>
      <x:c r="M40" s="53"/>
      <x:c r="N40" s="22" t="str">
        <x:v>Cerrada</x:v>
      </x:c>
      <x:c r="O40" s="22" t="str">
        <x:v>Cumplimiento sostenido</x:v>
      </x:c>
      <x:c r="P40" s="22" t="n">
        <x:v>2023</x:v>
      </x:c>
      <x:c r="Q40" s="22" t="str">
        <x:v>IMA COMPANY SAS</x:v>
      </x:c>
      <x:c r="R40" s="22" t="str">
        <x:v>Consolidado empresarial</x:v>
      </x:c>
    </x:row>
    <x:row r="41" ht="39.599998474121094" hidden="0" customHeight="1">
      <x:c r="A41" s="22" t="n">
        <x:v>33</x:v>
      </x:c>
      <x:c r="B41" s="22" t="str">
        <x:v>Hacer</x:v>
      </x:c>
      <x:c r="C41" s="22" t="str">
        <x:v>Mediciones higiénicas y controles ambientales</x:v>
      </x:c>
      <x:c r="D41" s="22" t="str">
        <x:v>Verificar la existencia, implementación y evidencia objetiva de 'mediciones higiénicas y controles ambientales' conforme a la Resolución 0312 de 2019.</x:v>
      </x:c>
      <x:c r="E41" s="52" t="n">
        <x:v>2</x:v>
      </x:c>
      <x:c r="F41" s="22" t="str">
        <x:v>Cumple</x:v>
      </x:c>
      <x:c r="G41" s="52" t="n">
        <x:f>IF(F41="Cumple",E41,0)</x:f>
        <x:v>2</x:v>
      </x:c>
      <x:c r="H41" s="22" t="str">
        <x:v>Revisión documental</x:v>
      </x:c>
      <x:c r="I41" s="22" t="str">
        <x:v>Soporte documental verificado y actualizado</x:v>
      </x:c>
      <x:c r="J41" s="22" t="str">
        <x:v>Alta Dirección</x:v>
      </x:c>
      <x:c r="K41" s="22" t="str">
        <x:v>No</x:v>
      </x:c>
      <x:c r="L41" s="22" t="str"/>
      <x:c r="M41" s="53"/>
      <x:c r="N41" s="22" t="str">
        <x:v>Cerrada</x:v>
      </x:c>
      <x:c r="O41" s="22" t="str">
        <x:v>Cumplimiento sostenido</x:v>
      </x:c>
      <x:c r="P41" s="22" t="n">
        <x:v>2023</x:v>
      </x:c>
      <x:c r="Q41" s="22" t="str">
        <x:v>IMA COMPANY SAS</x:v>
      </x:c>
      <x:c r="R41" s="22" t="str">
        <x:v>Consolidado empresarial</x:v>
      </x:c>
    </x:row>
    <x:row r="42" ht="39.599998474121094" hidden="0" customHeight="1">
      <x:c r="A42" s="22" t="n">
        <x:v>34</x:v>
      </x:c>
      <x:c r="B42" s="22" t="str">
        <x:v>Hacer</x:v>
      </x:c>
      <x:c r="C42" s="22" t="str">
        <x:v>Señalización y demarcación de áreas</x:v>
      </x:c>
      <x:c r="D42" s="22" t="str">
        <x:v>Verificar la existencia, implementación y evidencia objetiva de 'señalización y demarcación de áreas' conforme a la Resolución 0312 de 2019.</x:v>
      </x:c>
      <x:c r="E42" s="52" t="n">
        <x:v>2</x:v>
      </x:c>
      <x:c r="F42" s="22" t="str">
        <x:v>Cumple</x:v>
      </x:c>
      <x:c r="G42" s="52" t="n">
        <x:f>IF(F42="Cumple",E42,0)</x:f>
        <x:v>2</x:v>
      </x:c>
      <x:c r="H42" s="22" t="str">
        <x:v>Revisión documental</x:v>
      </x:c>
      <x:c r="I42" s="22" t="str">
        <x:v>Soporte documental verificado y actualizado</x:v>
      </x:c>
      <x:c r="J42" s="22" t="str">
        <x:v>Talento Humano</x:v>
      </x:c>
      <x:c r="K42" s="22" t="str">
        <x:v>No</x:v>
      </x:c>
      <x:c r="L42" s="22" t="str"/>
      <x:c r="M42" s="53"/>
      <x:c r="N42" s="22" t="str">
        <x:v>Cerrada</x:v>
      </x:c>
      <x:c r="O42" s="22" t="str">
        <x:v>Cumplimiento sostenido</x:v>
      </x:c>
      <x:c r="P42" s="22" t="n">
        <x:v>2023</x:v>
      </x:c>
      <x:c r="Q42" s="22" t="str">
        <x:v>IMA COMPANY SAS</x:v>
      </x:c>
      <x:c r="R42" s="22" t="str">
        <x:v>Consolidado empresarial</x:v>
      </x:c>
    </x:row>
    <x:row r="43" ht="39.599998474121094" hidden="0" customHeight="1">
      <x:c r="A43" s="22" t="n">
        <x:v>35</x:v>
      </x:c>
      <x:c r="B43" s="22" t="str">
        <x:v>Hacer</x:v>
      </x:c>
      <x:c r="C43" s="22" t="str">
        <x:v>Plan de emergencias implementado</x:v>
      </x:c>
      <x:c r="D43" s="22" t="str">
        <x:v>Verificar la existencia, implementación y evidencia objetiva de 'plan de emergencias implementado' conforme a la Resolución 0312 de 2019.</x:v>
      </x:c>
      <x:c r="E43" s="52" t="n">
        <x:v>2</x:v>
      </x:c>
      <x:c r="F43" s="22" t="str">
        <x:v>No cumple</x:v>
      </x:c>
      <x:c r="G43" s="52" t="n">
        <x:f>IF(F43="Cumple",E43,0)</x:f>
        <x:v>0</x:v>
      </x:c>
      <x:c r="H43" s="22" t="str">
        <x:v>Revisión documental</x:v>
      </x:c>
      <x:c r="I43" s="22" t="str">
        <x:v>Pendiente de fortalecer evidencia objetiva</x:v>
      </x:c>
      <x:c r="J43" s="22" t="str">
        <x:v>Líder SST</x:v>
      </x:c>
      <x:c r="K43" s="22" t="str">
        <x:v>Sí</x:v>
      </x:c>
      <x:c r="L43" s="22" t="str">
        <x:v>Implementar plan de acción para cerrar brecha en: plan de emergencias implementado.</x:v>
      </x:c>
      <x:c r="M43" s="53" t="n">
        <x:v>45199</x:v>
      </x:c>
      <x:c r="N43" s="22" t="str">
        <x:v>Abierta</x:v>
      </x:c>
      <x:c r="O43" s="22" t="str">
        <x:v>Requiere seguimiento en comité o revisión por la dirección</x:v>
      </x:c>
      <x:c r="P43" s="22" t="n">
        <x:v>2023</x:v>
      </x:c>
      <x:c r="Q43" s="22" t="str">
        <x:v>IMA COMPANY SAS</x:v>
      </x:c>
      <x:c r="R43" s="22" t="str">
        <x:v>Consolidado empresarial</x:v>
      </x:c>
    </x:row>
    <x:row r="44" ht="39.599998474121094" hidden="0" customHeight="1">
      <x:c r="A44" s="22" t="n">
        <x:v>36</x:v>
      </x:c>
      <x:c r="B44" s="22" t="str">
        <x:v>Hacer</x:v>
      </x:c>
      <x:c r="C44" s="22" t="str">
        <x:v>Brigada de emergencias conformada y entrenada</x:v>
      </x:c>
      <x:c r="D44" s="22" t="str">
        <x:v>Verificar la existencia, implementación y evidencia objetiva de 'brigada de emergencias conformada y entrenada' conforme a la Resolución 0312 de 2019.</x:v>
      </x:c>
      <x:c r="E44" s="52" t="n">
        <x:v>2</x:v>
      </x:c>
      <x:c r="F44" s="22" t="str">
        <x:v>Cumple</x:v>
      </x:c>
      <x:c r="G44" s="52" t="n">
        <x:f>IF(F44="Cumple",E44,0)</x:f>
        <x:v>2</x:v>
      </x:c>
      <x:c r="H44" s="22" t="str">
        <x:v>Acta / evidencia</x:v>
      </x:c>
      <x:c r="I44" s="22" t="str">
        <x:v>Soporte documental verificado y actualizado</x:v>
      </x:c>
      <x:c r="J44" s="22" t="str">
        <x:v>Consultor SST</x:v>
      </x:c>
      <x:c r="K44" s="22" t="str">
        <x:v>No</x:v>
      </x:c>
      <x:c r="L44" s="22" t="str"/>
      <x:c r="M44" s="53"/>
      <x:c r="N44" s="22" t="str">
        <x:v>Cerrada</x:v>
      </x:c>
      <x:c r="O44" s="22" t="str">
        <x:v>Cumplimiento sostenido</x:v>
      </x:c>
      <x:c r="P44" s="22" t="n">
        <x:v>2023</x:v>
      </x:c>
      <x:c r="Q44" s="22" t="str">
        <x:v>IMA COMPANY SAS</x:v>
      </x:c>
      <x:c r="R44" s="22" t="str">
        <x:v>Consolidado empresarial</x:v>
      </x:c>
    </x:row>
    <x:row r="45" ht="39.599998474121094" hidden="0" customHeight="1">
      <x:c r="A45" s="22" t="n">
        <x:v>37</x:v>
      </x:c>
      <x:c r="B45" s="22" t="str">
        <x:v>Hacer</x:v>
      </x:c>
      <x:c r="C45" s="22" t="str">
        <x:v>Simulacros de evacuación y respuesta</x:v>
      </x:c>
      <x:c r="D45" s="22" t="str">
        <x:v>Verificar la existencia, implementación y evidencia objetiva de 'simulacros de evacuación y respuesta' conforme a la Resolución 0312 de 2019.</x:v>
      </x:c>
      <x:c r="E45" s="52" t="n">
        <x:v>2</x:v>
      </x:c>
      <x:c r="F45" s="22" t="str">
        <x:v>Cumple</x:v>
      </x:c>
      <x:c r="G45" s="52" t="n">
        <x:f>IF(F45="Cumple",E45,0)</x:f>
        <x:v>2</x:v>
      </x:c>
      <x:c r="H45" s="22" t="str">
        <x:v>Revisión documental</x:v>
      </x:c>
      <x:c r="I45" s="22" t="str">
        <x:v>Soporte documental verificado y actualizado</x:v>
      </x:c>
      <x:c r="J45" s="22" t="str">
        <x:v>COPASST</x:v>
      </x:c>
      <x:c r="K45" s="22" t="str">
        <x:v>No</x:v>
      </x:c>
      <x:c r="L45" s="22" t="str"/>
      <x:c r="M45" s="53"/>
      <x:c r="N45" s="22" t="str">
        <x:v>Cerrada</x:v>
      </x:c>
      <x:c r="O45" s="22" t="str">
        <x:v>Cumplimiento sostenido</x:v>
      </x:c>
      <x:c r="P45" s="22" t="n">
        <x:v>2023</x:v>
      </x:c>
      <x:c r="Q45" s="22" t="str">
        <x:v>IMA COMPANY SAS</x:v>
      </x:c>
      <x:c r="R45" s="22" t="str">
        <x:v>Consolidado empresarial</x:v>
      </x:c>
    </x:row>
    <x:row r="46" ht="39.599998474121094" hidden="0" customHeight="1">
      <x:c r="A46" s="22" t="n">
        <x:v>38</x:v>
      </x:c>
      <x:c r="B46" s="22" t="str">
        <x:v>Hacer</x:v>
      </x:c>
      <x:c r="C46" s="22" t="str">
        <x:v>Programa de estilos de vida y entornos saludables</x:v>
      </x:c>
      <x:c r="D46" s="22" t="str">
        <x:v>Verificar la existencia, implementación y evidencia objetiva de 'programa de estilos de vida y entornos saludables' conforme a la Resolución 0312 de 2019.</x:v>
      </x:c>
      <x:c r="E46" s="52" t="n">
        <x:v>2</x:v>
      </x:c>
      <x:c r="F46" s="22" t="str">
        <x:v>Cumple</x:v>
      </x:c>
      <x:c r="G46" s="52" t="n">
        <x:f>IF(F46="Cumple",E46,0)</x:f>
        <x:v>2</x:v>
      </x:c>
      <x:c r="H46" s="22" t="str">
        <x:v>Revisión documental</x:v>
      </x:c>
      <x:c r="I46" s="22" t="str">
        <x:v>Soporte documental verificado y actualizado</x:v>
      </x:c>
      <x:c r="J46" s="22" t="str">
        <x:v>Alta Dirección</x:v>
      </x:c>
      <x:c r="K46" s="22" t="str">
        <x:v>No</x:v>
      </x:c>
      <x:c r="L46" s="22" t="str"/>
      <x:c r="M46" s="53"/>
      <x:c r="N46" s="22" t="str">
        <x:v>Cerrada</x:v>
      </x:c>
      <x:c r="O46" s="22" t="str">
        <x:v>Cumplimiento sostenido</x:v>
      </x:c>
      <x:c r="P46" s="22" t="n">
        <x:v>2023</x:v>
      </x:c>
      <x:c r="Q46" s="22" t="str">
        <x:v>IMA COMPANY SAS</x:v>
      </x:c>
      <x:c r="R46" s="22" t="str">
        <x:v>Consolidado empresarial</x:v>
      </x:c>
    </x:row>
    <x:row r="47" ht="39.599998474121094" hidden="0" customHeight="1">
      <x:c r="A47" s="22" t="n">
        <x:v>39</x:v>
      </x:c>
      <x:c r="B47" s="22" t="str">
        <x:v>Hacer</x:v>
      </x:c>
      <x:c r="C47" s="22" t="str">
        <x:v>Participación y consulta de trabajadores</x:v>
      </x:c>
      <x:c r="D47" s="22" t="str">
        <x:v>Verificar la existencia, implementación y evidencia objetiva de 'participación y consulta de trabajadores' conforme a la Resolución 0312 de 2019.</x:v>
      </x:c>
      <x:c r="E47" s="52" t="n">
        <x:v>2</x:v>
      </x:c>
      <x:c r="F47" s="22" t="str">
        <x:v>Cumple</x:v>
      </x:c>
      <x:c r="G47" s="52" t="n">
        <x:f>IF(F47="Cumple",E47,0)</x:f>
        <x:v>2</x:v>
      </x:c>
      <x:c r="H47" s="22" t="str">
        <x:v>Revisión documental</x:v>
      </x:c>
      <x:c r="I47" s="22" t="str">
        <x:v>Soporte documental verificado y actualizado</x:v>
      </x:c>
      <x:c r="J47" s="22" t="str">
        <x:v>Talento Humano</x:v>
      </x:c>
      <x:c r="K47" s="22" t="str">
        <x:v>No</x:v>
      </x:c>
      <x:c r="L47" s="22" t="str"/>
      <x:c r="M47" s="53"/>
      <x:c r="N47" s="22" t="str">
        <x:v>Cerrada</x:v>
      </x:c>
      <x:c r="O47" s="22" t="str">
        <x:v>Cumplimiento sostenido</x:v>
      </x:c>
      <x:c r="P47" s="22" t="n">
        <x:v>2023</x:v>
      </x:c>
      <x:c r="Q47" s="22" t="str">
        <x:v>IMA COMPANY SAS</x:v>
      </x:c>
      <x:c r="R47" s="22" t="str">
        <x:v>Consolidado empresarial</x:v>
      </x:c>
    </x:row>
    <x:row r="48" ht="39.599998474121094" hidden="0" customHeight="1">
      <x:c r="A48" s="22" t="n">
        <x:v>40</x:v>
      </x:c>
      <x:c r="B48" s="22" t="str">
        <x:v>Hacer</x:v>
      </x:c>
      <x:c r="C48" s="22" t="str">
        <x:v>Comunicación interna y externa en SST</x:v>
      </x:c>
      <x:c r="D48" s="22" t="str">
        <x:v>Verificar la existencia, implementación y evidencia objetiva de 'comunicación interna y externa en sst' conforme a la Resolución 0312 de 2019.</x:v>
      </x:c>
      <x:c r="E48" s="52" t="n">
        <x:v>2</x:v>
      </x:c>
      <x:c r="F48" s="22" t="str">
        <x:v>Cumple</x:v>
      </x:c>
      <x:c r="G48" s="52" t="n">
        <x:f>IF(F48="Cumple",E48,0)</x:f>
        <x:v>2</x:v>
      </x:c>
      <x:c r="H48" s="22" t="str">
        <x:v>Acta / evidencia</x:v>
      </x:c>
      <x:c r="I48" s="22" t="str">
        <x:v>Soporte documental verificado y actualizado</x:v>
      </x:c>
      <x:c r="J48" s="22" t="str">
        <x:v>Líder SST</x:v>
      </x:c>
      <x:c r="K48" s="22" t="str">
        <x:v>No</x:v>
      </x:c>
      <x:c r="L48" s="22" t="str"/>
      <x:c r="M48" s="53"/>
      <x:c r="N48" s="22" t="str">
        <x:v>Cerrada</x:v>
      </x:c>
      <x:c r="O48" s="22" t="str">
        <x:v>Cumplimiento sostenido</x:v>
      </x:c>
      <x:c r="P48" s="22" t="n">
        <x:v>2023</x:v>
      </x:c>
      <x:c r="Q48" s="22" t="str">
        <x:v>IMA COMPANY SAS</x:v>
      </x:c>
      <x:c r="R48" s="22" t="str">
        <x:v>Consolidado empresarial</x:v>
      </x:c>
    </x:row>
    <x:row r="49" ht="39.599998474121094" hidden="0" customHeight="1">
      <x:c r="A49" s="22" t="n">
        <x:v>41</x:v>
      </x:c>
      <x:c r="B49" s="22" t="str">
        <x:v>Verificar</x:v>
      </x:c>
      <x:c r="C49" s="22" t="str">
        <x:v>Seguimiento al cumplimiento del plan anual</x:v>
      </x:c>
      <x:c r="D49" s="22" t="str">
        <x:v>Verificar la existencia, implementación y evidencia objetiva de 'seguimiento al cumplimiento del plan anual' conforme a la Resolución 0312 de 2019.</x:v>
      </x:c>
      <x:c r="E49" s="52" t="n">
        <x:v>1.5</x:v>
      </x:c>
      <x:c r="F49" s="22" t="str">
        <x:v>Cumple</x:v>
      </x:c>
      <x:c r="G49" s="52" t="n">
        <x:f>IF(F49="Cumple",E49,0)</x:f>
        <x:v>1.5</x:v>
      </x:c>
      <x:c r="H49" s="22" t="str">
        <x:v>Revisión documental</x:v>
      </x:c>
      <x:c r="I49" s="22" t="str">
        <x:v>Soporte documental verificado y actualizado</x:v>
      </x:c>
      <x:c r="J49" s="22" t="str">
        <x:v>Consultor SST</x:v>
      </x:c>
      <x:c r="K49" s="22" t="str">
        <x:v>No</x:v>
      </x:c>
      <x:c r="L49" s="22" t="str"/>
      <x:c r="M49" s="53"/>
      <x:c r="N49" s="22" t="str">
        <x:v>Cerrada</x:v>
      </x:c>
      <x:c r="O49" s="22" t="str">
        <x:v>Cumplimiento sostenido</x:v>
      </x:c>
      <x:c r="P49" s="22" t="n">
        <x:v>2023</x:v>
      </x:c>
      <x:c r="Q49" s="22" t="str">
        <x:v>IMA COMPANY SAS</x:v>
      </x:c>
      <x:c r="R49" s="22" t="str">
        <x:v>Consolidado empresarial</x:v>
      </x:c>
    </x:row>
    <x:row r="50" ht="39.599998474121094" hidden="0" customHeight="1">
      <x:c r="A50" s="22" t="n">
        <x:v>42</x:v>
      </x:c>
      <x:c r="B50" s="22" t="str">
        <x:v>Verificar</x:v>
      </x:c>
      <x:c r="C50" s="22" t="str">
        <x:v>Seguimiento a indicadores del SG-SST</x:v>
      </x:c>
      <x:c r="D50" s="22" t="str">
        <x:v>Verificar la existencia, implementación y evidencia objetiva de 'seguimiento a indicadores del sg-sst' conforme a la Resolución 0312 de 2019.</x:v>
      </x:c>
      <x:c r="E50" s="52" t="n">
        <x:v>1.5</x:v>
      </x:c>
      <x:c r="F50" s="22" t="str">
        <x:v>Cumple</x:v>
      </x:c>
      <x:c r="G50" s="52" t="n">
        <x:f>IF(F50="Cumple",E50,0)</x:f>
        <x:v>1.5</x:v>
      </x:c>
      <x:c r="H50" s="22" t="str">
        <x:v>Revisión documental</x:v>
      </x:c>
      <x:c r="I50" s="22" t="str">
        <x:v>Soporte documental verificado y actualizado</x:v>
      </x:c>
      <x:c r="J50" s="22" t="str">
        <x:v>COPASST</x:v>
      </x:c>
      <x:c r="K50" s="22" t="str">
        <x:v>No</x:v>
      </x:c>
      <x:c r="L50" s="22" t="str"/>
      <x:c r="M50" s="53"/>
      <x:c r="N50" s="22" t="str">
        <x:v>Cerrada</x:v>
      </x:c>
      <x:c r="O50" s="22" t="str">
        <x:v>Cumplimiento sostenido</x:v>
      </x:c>
      <x:c r="P50" s="22" t="n">
        <x:v>2023</x:v>
      </x:c>
      <x:c r="Q50" s="22" t="str">
        <x:v>IMA COMPANY SAS</x:v>
      </x:c>
      <x:c r="R50" s="22" t="str">
        <x:v>Consolidado empresarial</x:v>
      </x:c>
    </x:row>
    <x:row r="51" ht="39.599998474121094" hidden="0" customHeight="1">
      <x:c r="A51" s="22" t="n">
        <x:v>43</x:v>
      </x:c>
      <x:c r="B51" s="22" t="str">
        <x:v>Verificar</x:v>
      </x:c>
      <x:c r="C51" s="22" t="str">
        <x:v>Auditoría interna del SG-SST</x:v>
      </x:c>
      <x:c r="D51" s="22" t="str">
        <x:v>Verificar la existencia, implementación y evidencia objetiva de 'auditoría interna del sg-sst' conforme a la Resolución 0312 de 2019.</x:v>
      </x:c>
      <x:c r="E51" s="52" t="n">
        <x:v>1.5</x:v>
      </x:c>
      <x:c r="F51" s="22" t="str">
        <x:v>Cumple</x:v>
      </x:c>
      <x:c r="G51" s="52" t="n">
        <x:f>IF(F51="Cumple",E51,0)</x:f>
        <x:v>1.5</x:v>
      </x:c>
      <x:c r="H51" s="22" t="str">
        <x:v>Revisión documental</x:v>
      </x:c>
      <x:c r="I51" s="22" t="str">
        <x:v>Soporte documental verificado y actualizado</x:v>
      </x:c>
      <x:c r="J51" s="22" t="str">
        <x:v>Alta Dirección</x:v>
      </x:c>
      <x:c r="K51" s="22" t="str">
        <x:v>No</x:v>
      </x:c>
      <x:c r="L51" s="22" t="str"/>
      <x:c r="M51" s="53"/>
      <x:c r="N51" s="22" t="str">
        <x:v>Cerrada</x:v>
      </x:c>
      <x:c r="O51" s="22" t="str">
        <x:v>Cumplimiento sostenido</x:v>
      </x:c>
      <x:c r="P51" s="22" t="n">
        <x:v>2023</x:v>
      </x:c>
      <x:c r="Q51" s="22" t="str">
        <x:v>IMA COMPANY SAS</x:v>
      </x:c>
      <x:c r="R51" s="22" t="str">
        <x:v>Consolidado empresarial</x:v>
      </x:c>
    </x:row>
    <x:row r="52" ht="39.599998474121094" hidden="0" customHeight="1">
      <x:c r="A52" s="22" t="n">
        <x:v>44</x:v>
      </x:c>
      <x:c r="B52" s="22" t="str">
        <x:v>Verificar</x:v>
      </x:c>
      <x:c r="C52" s="22" t="str">
        <x:v>Revisión de cumplimiento legal</x:v>
      </x:c>
      <x:c r="D52" s="22" t="str">
        <x:v>Verificar la existencia, implementación y evidencia objetiva de 'revisión de cumplimiento legal' conforme a la Resolución 0312 de 2019.</x:v>
      </x:c>
      <x:c r="E52" s="52" t="n">
        <x:v>1.5</x:v>
      </x:c>
      <x:c r="F52" s="22" t="str">
        <x:v>Cumple</x:v>
      </x:c>
      <x:c r="G52" s="52" t="n">
        <x:f>IF(F52="Cumple",E52,0)</x:f>
        <x:v>1.5</x:v>
      </x:c>
      <x:c r="H52" s="22" t="str">
        <x:v>Acta / evidencia</x:v>
      </x:c>
      <x:c r="I52" s="22" t="str">
        <x:v>Soporte documental verificado y actualizado</x:v>
      </x:c>
      <x:c r="J52" s="22" t="str">
        <x:v>Talento Humano</x:v>
      </x:c>
      <x:c r="K52" s="22" t="str">
        <x:v>No</x:v>
      </x:c>
      <x:c r="L52" s="22" t="str"/>
      <x:c r="M52" s="53"/>
      <x:c r="N52" s="22" t="str">
        <x:v>Cerrada</x:v>
      </x:c>
      <x:c r="O52" s="22" t="str">
        <x:v>Cumplimiento sostenido</x:v>
      </x:c>
      <x:c r="P52" s="22" t="n">
        <x:v>2023</x:v>
      </x:c>
      <x:c r="Q52" s="22" t="str">
        <x:v>IMA COMPANY SAS</x:v>
      </x:c>
      <x:c r="R52" s="22" t="str">
        <x:v>Consolidado empresarial</x:v>
      </x:c>
    </x:row>
    <x:row r="53" ht="39.599998474121094" hidden="0" customHeight="1">
      <x:c r="A53" s="22" t="n">
        <x:v>45</x:v>
      </x:c>
      <x:c r="B53" s="22" t="str">
        <x:v>Verificar</x:v>
      </x:c>
      <x:c r="C53" s="22" t="str">
        <x:v>Verificación de controles operacionales</x:v>
      </x:c>
      <x:c r="D53" s="22" t="str">
        <x:v>Verificar la existencia, implementación y evidencia objetiva de 'verificación de controles operacionales' conforme a la Resolución 0312 de 2019.</x:v>
      </x:c>
      <x:c r="E53" s="52" t="n">
        <x:v>1.5</x:v>
      </x:c>
      <x:c r="F53" s="22" t="str">
        <x:v>Cumple</x:v>
      </x:c>
      <x:c r="G53" s="52" t="n">
        <x:f>IF(F53="Cumple",E53,0)</x:f>
        <x:v>1.5</x:v>
      </x:c>
      <x:c r="H53" s="22" t="str">
        <x:v>Revisión documental</x:v>
      </x:c>
      <x:c r="I53" s="22" t="str">
        <x:v>Soporte documental verificado y actualizado</x:v>
      </x:c>
      <x:c r="J53" s="22" t="str">
        <x:v>Líder SST</x:v>
      </x:c>
      <x:c r="K53" s="22" t="str">
        <x:v>No</x:v>
      </x:c>
      <x:c r="L53" s="22" t="str"/>
      <x:c r="M53" s="53"/>
      <x:c r="N53" s="22" t="str">
        <x:v>Cerrada</x:v>
      </x:c>
      <x:c r="O53" s="22" t="str">
        <x:v>Cumplimiento sostenido</x:v>
      </x:c>
      <x:c r="P53" s="22" t="n">
        <x:v>2023</x:v>
      </x:c>
      <x:c r="Q53" s="22" t="str">
        <x:v>IMA COMPANY SAS</x:v>
      </x:c>
      <x:c r="R53" s="22" t="str">
        <x:v>Consolidado empresarial</x:v>
      </x:c>
    </x:row>
    <x:row r="54" ht="39.599998474121094" hidden="0" customHeight="1">
      <x:c r="A54" s="22" t="n">
        <x:v>46</x:v>
      </x:c>
      <x:c r="B54" s="22" t="str">
        <x:v>Verificar</x:v>
      </x:c>
      <x:c r="C54" s="22" t="str">
        <x:v>Seguimiento a capacitación y competencia</x:v>
      </x:c>
      <x:c r="D54" s="22" t="str">
        <x:v>Verificar la existencia, implementación y evidencia objetiva de 'seguimiento a capacitación y competencia' conforme a la Resolución 0312 de 2019.</x:v>
      </x:c>
      <x:c r="E54" s="52" t="n">
        <x:v>2</x:v>
      </x:c>
      <x:c r="F54" s="22" t="str">
        <x:v>Cumple</x:v>
      </x:c>
      <x:c r="G54" s="52" t="n">
        <x:f>IF(F54="Cumple",E54,0)</x:f>
        <x:v>2</x:v>
      </x:c>
      <x:c r="H54" s="22" t="str">
        <x:v>Revisión documental</x:v>
      </x:c>
      <x:c r="I54" s="22" t="str">
        <x:v>Soporte documental verificado y actualizado</x:v>
      </x:c>
      <x:c r="J54" s="22" t="str">
        <x:v>Consultor SST</x:v>
      </x:c>
      <x:c r="K54" s="22" t="str">
        <x:v>No</x:v>
      </x:c>
      <x:c r="L54" s="22" t="str"/>
      <x:c r="M54" s="53"/>
      <x:c r="N54" s="22" t="str">
        <x:v>Cerrada</x:v>
      </x:c>
      <x:c r="O54" s="22" t="str">
        <x:v>Cumplimiento sostenido</x:v>
      </x:c>
      <x:c r="P54" s="22" t="n">
        <x:v>2023</x:v>
      </x:c>
      <x:c r="Q54" s="22" t="str">
        <x:v>IMA COMPANY SAS</x:v>
      </x:c>
      <x:c r="R54" s="22" t="str">
        <x:v>Consolidado empresarial</x:v>
      </x:c>
    </x:row>
    <x:row r="55" ht="39.599998474121094" hidden="0" customHeight="1">
      <x:c r="A55" s="22" t="n">
        <x:v>47</x:v>
      </x:c>
      <x:c r="B55" s="22" t="str">
        <x:v>Verificar</x:v>
      </x:c>
      <x:c r="C55" s="22" t="str">
        <x:v>Seguimiento a accidentalidad y enfermedad laboral</x:v>
      </x:c>
      <x:c r="D55" s="22" t="str">
        <x:v>Verificar la existencia, implementación y evidencia objetiva de 'seguimiento a accidentalidad y enfermedad laboral' conforme a la Resolución 0312 de 2019.</x:v>
      </x:c>
      <x:c r="E55" s="52" t="n">
        <x:v>2</x:v>
      </x:c>
      <x:c r="F55" s="22" t="str">
        <x:v>Cumple</x:v>
      </x:c>
      <x:c r="G55" s="52" t="n">
        <x:f>IF(F55="Cumple",E55,0)</x:f>
        <x:v>2</x:v>
      </x:c>
      <x:c r="H55" s="22" t="str">
        <x:v>Revisión documental</x:v>
      </x:c>
      <x:c r="I55" s="22" t="str">
        <x:v>Soporte documental verificado y actualizado</x:v>
      </x:c>
      <x:c r="J55" s="22" t="str">
        <x:v>COPASST</x:v>
      </x:c>
      <x:c r="K55" s="22" t="str">
        <x:v>No</x:v>
      </x:c>
      <x:c r="L55" s="22" t="str"/>
      <x:c r="M55" s="53"/>
      <x:c r="N55" s="22" t="str">
        <x:v>Cerrada</x:v>
      </x:c>
      <x:c r="O55" s="22" t="str">
        <x:v>Cumplimiento sostenido</x:v>
      </x:c>
      <x:c r="P55" s="22" t="n">
        <x:v>2023</x:v>
      </x:c>
      <x:c r="Q55" s="22" t="str">
        <x:v>IMA COMPANY SAS</x:v>
      </x:c>
      <x:c r="R55" s="22" t="str">
        <x:v>Consolidado empresarial</x:v>
      </x:c>
    </x:row>
    <x:row r="56" ht="39.599998474121094" hidden="0" customHeight="1">
      <x:c r="A56" s="22" t="n">
        <x:v>48</x:v>
      </x:c>
      <x:c r="B56" s="22" t="str">
        <x:v>Verificar</x:v>
      </x:c>
      <x:c r="C56" s="22" t="str">
        <x:v>Seguimiento a inspecciones y hallazgos</x:v>
      </x:c>
      <x:c r="D56" s="22" t="str">
        <x:v>Verificar la existencia, implementación y evidencia objetiva de 'seguimiento a inspecciones y hallazgos' conforme a la Resolución 0312 de 2019.</x:v>
      </x:c>
      <x:c r="E56" s="52" t="n">
        <x:v>2</x:v>
      </x:c>
      <x:c r="F56" s="22" t="str">
        <x:v>Cumple</x:v>
      </x:c>
      <x:c r="G56" s="52" t="n">
        <x:f>IF(F56="Cumple",E56,0)</x:f>
        <x:v>2</x:v>
      </x:c>
      <x:c r="H56" s="22" t="str">
        <x:v>Acta / evidencia</x:v>
      </x:c>
      <x:c r="I56" s="22" t="str">
        <x:v>Soporte documental verificado y actualizado</x:v>
      </x:c>
      <x:c r="J56" s="22" t="str">
        <x:v>Alta Dirección</x:v>
      </x:c>
      <x:c r="K56" s="22" t="str">
        <x:v>No</x:v>
      </x:c>
      <x:c r="L56" s="22" t="str"/>
      <x:c r="M56" s="53"/>
      <x:c r="N56" s="22" t="str">
        <x:v>Cerrada</x:v>
      </x:c>
      <x:c r="O56" s="22" t="str">
        <x:v>Cumplimiento sostenido</x:v>
      </x:c>
      <x:c r="P56" s="22" t="n">
        <x:v>2023</x:v>
      </x:c>
      <x:c r="Q56" s="22" t="str">
        <x:v>IMA COMPANY SAS</x:v>
      </x:c>
      <x:c r="R56" s="22" t="str">
        <x:v>Consolidado empresarial</x:v>
      </x:c>
    </x:row>
    <x:row r="57" ht="39.599998474121094" hidden="0" customHeight="1">
      <x:c r="A57" s="22" t="n">
        <x:v>49</x:v>
      </x:c>
      <x:c r="B57" s="22" t="str">
        <x:v>Verificar</x:v>
      </x:c>
      <x:c r="C57" s="22" t="str">
        <x:v>Evaluación de eficacia de acciones implementadas</x:v>
      </x:c>
      <x:c r="D57" s="22" t="str">
        <x:v>Verificar la existencia, implementación y evidencia objetiva de 'evaluación de eficacia de acciones implementadas' conforme a la Resolución 0312 de 2019.</x:v>
      </x:c>
      <x:c r="E57" s="52" t="n">
        <x:v>2</x:v>
      </x:c>
      <x:c r="F57" s="22" t="str">
        <x:v>Cumple</x:v>
      </x:c>
      <x:c r="G57" s="52" t="n">
        <x:f>IF(F57="Cumple",E57,0)</x:f>
        <x:v>2</x:v>
      </x:c>
      <x:c r="H57" s="22" t="str">
        <x:v>Revisión documental</x:v>
      </x:c>
      <x:c r="I57" s="22" t="str">
        <x:v>Soporte documental verificado y actualizado</x:v>
      </x:c>
      <x:c r="J57" s="22" t="str">
        <x:v>Talento Humano</x:v>
      </x:c>
      <x:c r="K57" s="22" t="str">
        <x:v>No</x:v>
      </x:c>
      <x:c r="L57" s="22" t="str"/>
      <x:c r="M57" s="53"/>
      <x:c r="N57" s="22" t="str">
        <x:v>Cerrada</x:v>
      </x:c>
      <x:c r="O57" s="22" t="str">
        <x:v>Cumplimiento sostenido</x:v>
      </x:c>
      <x:c r="P57" s="22" t="n">
        <x:v>2023</x:v>
      </x:c>
      <x:c r="Q57" s="22" t="str">
        <x:v>IMA COMPANY SAS</x:v>
      </x:c>
      <x:c r="R57" s="22" t="str">
        <x:v>Consolidado empresarial</x:v>
      </x:c>
    </x:row>
    <x:row r="58" ht="39.599998474121094" hidden="0" customHeight="1">
      <x:c r="A58" s="22" t="n">
        <x:v>50</x:v>
      </x:c>
      <x:c r="B58" s="22" t="str">
        <x:v>Verificar</x:v>
      </x:c>
      <x:c r="C58" s="22" t="str">
        <x:v>Revisión por la dirección del SG-SST</x:v>
      </x:c>
      <x:c r="D58" s="22" t="str">
        <x:v>Verificar la existencia, implementación y evidencia objetiva de 'revisión por la dirección del sg-sst' conforme a la Resolución 0312 de 2019.</x:v>
      </x:c>
      <x:c r="E58" s="52" t="n">
        <x:v>2</x:v>
      </x:c>
      <x:c r="F58" s="22" t="str">
        <x:v>Cumple</x:v>
      </x:c>
      <x:c r="G58" s="52" t="n">
        <x:f>IF(F58="Cumple",E58,0)</x:f>
        <x:v>2</x:v>
      </x:c>
      <x:c r="H58" s="22" t="str">
        <x:v>Revisión documental</x:v>
      </x:c>
      <x:c r="I58" s="22" t="str">
        <x:v>Soporte documental verificado y actualizado</x:v>
      </x:c>
      <x:c r="J58" s="22" t="str">
        <x:v>Líder SST</x:v>
      </x:c>
      <x:c r="K58" s="22" t="str">
        <x:v>No</x:v>
      </x:c>
      <x:c r="L58" s="22" t="str"/>
      <x:c r="M58" s="53"/>
      <x:c r="N58" s="22" t="str">
        <x:v>Cerrada</x:v>
      </x:c>
      <x:c r="O58" s="22" t="str">
        <x:v>Cumplimiento sostenido</x:v>
      </x:c>
      <x:c r="P58" s="22" t="n">
        <x:v>2023</x:v>
      </x:c>
      <x:c r="Q58" s="22" t="str">
        <x:v>IMA COMPANY SAS</x:v>
      </x:c>
      <x:c r="R58" s="22" t="str">
        <x:v>Consolidado empresarial</x:v>
      </x:c>
    </x:row>
    <x:row r="59" ht="39.599998474121094" hidden="0" customHeight="1">
      <x:c r="A59" s="22" t="n">
        <x:v>51</x:v>
      </x:c>
      <x:c r="B59" s="22" t="str">
        <x:v>Actuar</x:v>
      </x:c>
      <x:c r="C59" s="22" t="str">
        <x:v>Tratamiento de no conformidades</x:v>
      </x:c>
      <x:c r="D59" s="22" t="str">
        <x:v>Verificar la existencia, implementación y evidencia objetiva de 'tratamiento de no conformidades' conforme a la Resolución 0312 de 2019.</x:v>
      </x:c>
      <x:c r="E59" s="52" t="n">
        <x:v>1.5</x:v>
      </x:c>
      <x:c r="F59" s="22" t="str">
        <x:v>No cumple</x:v>
      </x:c>
      <x:c r="G59" s="52" t="n">
        <x:f>IF(F59="Cumple",E59,0)</x:f>
        <x:v>0</x:v>
      </x:c>
      <x:c r="H59" s="22" t="str">
        <x:v>Revisión documental</x:v>
      </x:c>
      <x:c r="I59" s="22" t="str">
        <x:v>Pendiente de fortalecer evidencia objetiva</x:v>
      </x:c>
      <x:c r="J59" s="22" t="str">
        <x:v>Consultor SST</x:v>
      </x:c>
      <x:c r="K59" s="22" t="str">
        <x:v>Sí</x:v>
      </x:c>
      <x:c r="L59" s="22" t="str">
        <x:v>Implementar plan de acción para cerrar brecha en: tratamiento de no conformidades.</x:v>
      </x:c>
      <x:c r="M59" s="53" t="n">
        <x:v>45199</x:v>
      </x:c>
      <x:c r="N59" s="22" t="str">
        <x:v>Abierta</x:v>
      </x:c>
      <x:c r="O59" s="22" t="str">
        <x:v>Requiere seguimiento en comité o revisión por la dirección</x:v>
      </x:c>
      <x:c r="P59" s="22" t="n">
        <x:v>2023</x:v>
      </x:c>
      <x:c r="Q59" s="22" t="str">
        <x:v>IMA COMPANY SAS</x:v>
      </x:c>
      <x:c r="R59" s="22" t="str">
        <x:v>Consolidado empresarial</x:v>
      </x:c>
    </x:row>
    <x:row r="60" ht="39.599998474121094" hidden="0" customHeight="1">
      <x:c r="A60" s="22" t="n">
        <x:v>52</x:v>
      </x:c>
      <x:c r="B60" s="22" t="str">
        <x:v>Actuar</x:v>
      </x:c>
      <x:c r="C60" s="22" t="str">
        <x:v>Acciones correctivas derivadas de auditorías</x:v>
      </x:c>
      <x:c r="D60" s="22" t="str">
        <x:v>Verificar la existencia, implementación y evidencia objetiva de 'acciones correctivas derivadas de auditorías' conforme a la Resolución 0312 de 2019.</x:v>
      </x:c>
      <x:c r="E60" s="52" t="n">
        <x:v>1.5</x:v>
      </x:c>
      <x:c r="F60" s="22" t="str">
        <x:v>Cumple</x:v>
      </x:c>
      <x:c r="G60" s="52" t="n">
        <x:f>IF(F60="Cumple",E60,0)</x:f>
        <x:v>1.5</x:v>
      </x:c>
      <x:c r="H60" s="22" t="str">
        <x:v>Acta / evidencia</x:v>
      </x:c>
      <x:c r="I60" s="22" t="str">
        <x:v>Soporte documental verificado y actualizado</x:v>
      </x:c>
      <x:c r="J60" s="22" t="str">
        <x:v>COPASST</x:v>
      </x:c>
      <x:c r="K60" s="22" t="str">
        <x:v>No</x:v>
      </x:c>
      <x:c r="L60" s="22" t="str"/>
      <x:c r="M60" s="53"/>
      <x:c r="N60" s="22" t="str">
        <x:v>Cerrada</x:v>
      </x:c>
      <x:c r="O60" s="22" t="str">
        <x:v>Cumplimiento sostenido</x:v>
      </x:c>
      <x:c r="P60" s="22" t="n">
        <x:v>2023</x:v>
      </x:c>
      <x:c r="Q60" s="22" t="str">
        <x:v>IMA COMPANY SAS</x:v>
      </x:c>
      <x:c r="R60" s="22" t="str">
        <x:v>Consolidado empresarial</x:v>
      </x:c>
    </x:row>
    <x:row r="61" ht="39.599998474121094" hidden="0" customHeight="1">
      <x:c r="A61" s="22" t="n">
        <x:v>53</x:v>
      </x:c>
      <x:c r="B61" s="22" t="str">
        <x:v>Actuar</x:v>
      </x:c>
      <x:c r="C61" s="22" t="str">
        <x:v>Acciones preventivas derivadas de análisis de riesgos</x:v>
      </x:c>
      <x:c r="D61" s="22" t="str">
        <x:v>Verificar la existencia, implementación y evidencia objetiva de 'acciones preventivas derivadas de análisis de riesgos' conforme a la Resolución 0312 de 2019.</x:v>
      </x:c>
      <x:c r="E61" s="52" t="n">
        <x:v>1.5</x:v>
      </x:c>
      <x:c r="F61" s="22" t="str">
        <x:v>Cumple</x:v>
      </x:c>
      <x:c r="G61" s="52" t="n">
        <x:f>IF(F61="Cumple",E61,0)</x:f>
        <x:v>1.5</x:v>
      </x:c>
      <x:c r="H61" s="22" t="str">
        <x:v>Revisión documental</x:v>
      </x:c>
      <x:c r="I61" s="22" t="str">
        <x:v>Soporte documental verificado y actualizado</x:v>
      </x:c>
      <x:c r="J61" s="22" t="str">
        <x:v>Alta Dirección</x:v>
      </x:c>
      <x:c r="K61" s="22" t="str">
        <x:v>No</x:v>
      </x:c>
      <x:c r="L61" s="22" t="str"/>
      <x:c r="M61" s="53"/>
      <x:c r="N61" s="22" t="str">
        <x:v>Cerrada</x:v>
      </x:c>
      <x:c r="O61" s="22" t="str">
        <x:v>Cumplimiento sostenido</x:v>
      </x:c>
      <x:c r="P61" s="22" t="n">
        <x:v>2023</x:v>
      </x:c>
      <x:c r="Q61" s="22" t="str">
        <x:v>IMA COMPANY SAS</x:v>
      </x:c>
      <x:c r="R61" s="22" t="str">
        <x:v>Consolidado empresarial</x:v>
      </x:c>
    </x:row>
    <x:row r="62" ht="39.599998474121094" hidden="0" customHeight="1">
      <x:c r="A62" s="22" t="n">
        <x:v>54</x:v>
      </x:c>
      <x:c r="B62" s="22" t="str">
        <x:v>Actuar</x:v>
      </x:c>
      <x:c r="C62" s="22" t="str">
        <x:v>Planes de mejora del SG-SST</x:v>
      </x:c>
      <x:c r="D62" s="22" t="str">
        <x:v>Verificar la existencia, implementación y evidencia objetiva de 'planes de mejora del sg-sst' conforme a la Resolución 0312 de 2019.</x:v>
      </x:c>
      <x:c r="E62" s="52" t="n">
        <x:v>1.5</x:v>
      </x:c>
      <x:c r="F62" s="22" t="str">
        <x:v>Cumple</x:v>
      </x:c>
      <x:c r="G62" s="52" t="n">
        <x:f>IF(F62="Cumple",E62,0)</x:f>
        <x:v>1.5</x:v>
      </x:c>
      <x:c r="H62" s="22" t="str">
        <x:v>Revisión documental</x:v>
      </x:c>
      <x:c r="I62" s="22" t="str">
        <x:v>Soporte documental verificado y actualizado</x:v>
      </x:c>
      <x:c r="J62" s="22" t="str">
        <x:v>Talento Humano</x:v>
      </x:c>
      <x:c r="K62" s="22" t="str">
        <x:v>No</x:v>
      </x:c>
      <x:c r="L62" s="22" t="str"/>
      <x:c r="M62" s="53"/>
      <x:c r="N62" s="22" t="str">
        <x:v>Cerrada</x:v>
      </x:c>
      <x:c r="O62" s="22" t="str">
        <x:v>Cumplimiento sostenido</x:v>
      </x:c>
      <x:c r="P62" s="22" t="n">
        <x:v>2023</x:v>
      </x:c>
      <x:c r="Q62" s="22" t="str">
        <x:v>IMA COMPANY SAS</x:v>
      </x:c>
      <x:c r="R62" s="22" t="str">
        <x:v>Consolidado empresarial</x:v>
      </x:c>
    </x:row>
    <x:row r="63" ht="39.599998474121094" hidden="0" customHeight="1">
      <x:c r="A63" s="22" t="n">
        <x:v>55</x:v>
      </x:c>
      <x:c r="B63" s="22" t="str">
        <x:v>Actuar</x:v>
      </x:c>
      <x:c r="C63" s="22" t="str">
        <x:v>Lecciones aprendidas e innovación</x:v>
      </x:c>
      <x:c r="D63" s="22" t="str">
        <x:v>Verificar la existencia, implementación y evidencia objetiva de 'lecciones aprendidas e innovación' conforme a la Resolución 0312 de 2019.</x:v>
      </x:c>
      <x:c r="E63" s="52" t="n">
        <x:v>1.5</x:v>
      </x:c>
      <x:c r="F63" s="22" t="str">
        <x:v>Cumple</x:v>
      </x:c>
      <x:c r="G63" s="52" t="n">
        <x:f>IF(F63="Cumple",E63,0)</x:f>
        <x:v>1.5</x:v>
      </x:c>
      <x:c r="H63" s="22" t="str">
        <x:v>Revisión documental</x:v>
      </x:c>
      <x:c r="I63" s="22" t="str">
        <x:v>Soporte documental verificado y actualizado</x:v>
      </x:c>
      <x:c r="J63" s="22" t="str">
        <x:v>Líder SST</x:v>
      </x:c>
      <x:c r="K63" s="22" t="str">
        <x:v>No</x:v>
      </x:c>
      <x:c r="L63" s="22" t="str"/>
      <x:c r="M63" s="53"/>
      <x:c r="N63" s="22" t="str">
        <x:v>Cerrada</x:v>
      </x:c>
      <x:c r="O63" s="22" t="str">
        <x:v>Cumplimiento sostenido</x:v>
      </x:c>
      <x:c r="P63" s="22" t="n">
        <x:v>2023</x:v>
      </x:c>
      <x:c r="Q63" s="22" t="str">
        <x:v>IMA COMPANY SAS</x:v>
      </x:c>
      <x:c r="R63" s="22" t="str">
        <x:v>Consolidado empresarial</x:v>
      </x:c>
    </x:row>
    <x:row r="64" ht="39.599998474121094" hidden="0" customHeight="1">
      <x:c r="A64" s="22" t="n">
        <x:v>56</x:v>
      </x:c>
      <x:c r="B64" s="22" t="str">
        <x:v>Actuar</x:v>
      </x:c>
      <x:c r="C64" s="22" t="str">
        <x:v>Actualización de la matriz de peligros y riesgos</x:v>
      </x:c>
      <x:c r="D64" s="22" t="str">
        <x:v>Verificar la existencia, implementación y evidencia objetiva de 'actualización de la matriz de peligros y riesgos' conforme a la Resolución 0312 de 2019.</x:v>
      </x:c>
      <x:c r="E64" s="52" t="n">
        <x:v>1.5</x:v>
      </x:c>
      <x:c r="F64" s="22" t="str">
        <x:v>Cumple</x:v>
      </x:c>
      <x:c r="G64" s="52" t="n">
        <x:f>IF(F64="Cumple",E64,0)</x:f>
        <x:v>1.5</x:v>
      </x:c>
      <x:c r="H64" s="22" t="str">
        <x:v>Acta / evidencia</x:v>
      </x:c>
      <x:c r="I64" s="22" t="str">
        <x:v>Soporte documental verificado y actualizado</x:v>
      </x:c>
      <x:c r="J64" s="22" t="str">
        <x:v>Consultor SST</x:v>
      </x:c>
      <x:c r="K64" s="22" t="str">
        <x:v>No</x:v>
      </x:c>
      <x:c r="L64" s="22" t="str"/>
      <x:c r="M64" s="53"/>
      <x:c r="N64" s="22" t="str">
        <x:v>Cerrada</x:v>
      </x:c>
      <x:c r="O64" s="22" t="str">
        <x:v>Cumplimiento sostenido</x:v>
      </x:c>
      <x:c r="P64" s="22" t="n">
        <x:v>2023</x:v>
      </x:c>
      <x:c r="Q64" s="22" t="str">
        <x:v>IMA COMPANY SAS</x:v>
      </x:c>
      <x:c r="R64" s="22" t="str">
        <x:v>Consolidado empresarial</x:v>
      </x:c>
    </x:row>
    <x:row r="65" ht="39.599998474121094" hidden="0" customHeight="1">
      <x:c r="A65" s="22" t="n">
        <x:v>57</x:v>
      </x:c>
      <x:c r="B65" s="22" t="str">
        <x:v>Actuar</x:v>
      </x:c>
      <x:c r="C65" s="22" t="str">
        <x:v>Actualización del plan de trabajo según resultados</x:v>
      </x:c>
      <x:c r="D65" s="22" t="str">
        <x:v>Verificar la existencia, implementación y evidencia objetiva de 'actualización del plan de trabajo según resultados' conforme a la Resolución 0312 de 2019.</x:v>
      </x:c>
      <x:c r="E65" s="52" t="n">
        <x:v>1.5</x:v>
      </x:c>
      <x:c r="F65" s="22" t="str">
        <x:v>Cumple</x:v>
      </x:c>
      <x:c r="G65" s="52" t="n">
        <x:f>IF(F65="Cumple",E65,0)</x:f>
        <x:v>1.5</x:v>
      </x:c>
      <x:c r="H65" s="22" t="str">
        <x:v>Revisión documental</x:v>
      </x:c>
      <x:c r="I65" s="22" t="str">
        <x:v>Soporte documental verificado y actualizado</x:v>
      </x:c>
      <x:c r="J65" s="22" t="str">
        <x:v>COPASST</x:v>
      </x:c>
      <x:c r="K65" s="22" t="str">
        <x:v>No</x:v>
      </x:c>
      <x:c r="L65" s="22" t="str"/>
      <x:c r="M65" s="53"/>
      <x:c r="N65" s="22" t="str">
        <x:v>Cerrada</x:v>
      </x:c>
      <x:c r="O65" s="22" t="str">
        <x:v>Cumplimiento sostenido</x:v>
      </x:c>
      <x:c r="P65" s="22" t="n">
        <x:v>2023</x:v>
      </x:c>
      <x:c r="Q65" s="22" t="str">
        <x:v>IMA COMPANY SAS</x:v>
      </x:c>
      <x:c r="R65" s="22" t="str">
        <x:v>Consolidado empresarial</x:v>
      </x:c>
    </x:row>
    <x:row r="66" ht="39.599998474121094" hidden="0" customHeight="1">
      <x:c r="A66" s="22" t="n">
        <x:v>58</x:v>
      </x:c>
      <x:c r="B66" s="22" t="str">
        <x:v>Actuar</x:v>
      </x:c>
      <x:c r="C66" s="22" t="str">
        <x:v>Actualización de la matriz legal y requisitos</x:v>
      </x:c>
      <x:c r="D66" s="22" t="str">
        <x:v>Verificar la existencia, implementación y evidencia objetiva de 'actualización de la matriz legal y requisitos' conforme a la Resolución 0312 de 2019.</x:v>
      </x:c>
      <x:c r="E66" s="52" t="n">
        <x:v>1.5</x:v>
      </x:c>
      <x:c r="F66" s="22" t="str">
        <x:v>Cumple</x:v>
      </x:c>
      <x:c r="G66" s="52" t="n">
        <x:f>IF(F66="Cumple",E66,0)</x:f>
        <x:v>1.5</x:v>
      </x:c>
      <x:c r="H66" s="22" t="str">
        <x:v>Revisión documental</x:v>
      </x:c>
      <x:c r="I66" s="22" t="str">
        <x:v>Soporte documental verificado y actualizado</x:v>
      </x:c>
      <x:c r="J66" s="22" t="str">
        <x:v>Alta Dirección</x:v>
      </x:c>
      <x:c r="K66" s="22" t="str">
        <x:v>No</x:v>
      </x:c>
      <x:c r="L66" s="22" t="str"/>
      <x:c r="M66" s="53"/>
      <x:c r="N66" s="22" t="str">
        <x:v>Cerrada</x:v>
      </x:c>
      <x:c r="O66" s="22" t="str">
        <x:v>Cumplimiento sostenido</x:v>
      </x:c>
      <x:c r="P66" s="22" t="n">
        <x:v>2023</x:v>
      </x:c>
      <x:c r="Q66" s="22" t="str">
        <x:v>IMA COMPANY SAS</x:v>
      </x:c>
      <x:c r="R66" s="22" t="str">
        <x:v>Consolidado empresarial</x:v>
      </x:c>
    </x:row>
    <x:row r="67" ht="39.599998474121094" hidden="0" customHeight="1">
      <x:c r="A67" s="22" t="n">
        <x:v>59</x:v>
      </x:c>
      <x:c r="B67" s="22" t="str">
        <x:v>Actuar</x:v>
      </x:c>
      <x:c r="C67" s="22" t="str">
        <x:v>Mejora de la gestión documental y trazabilidad</x:v>
      </x:c>
      <x:c r="D67" s="22" t="str">
        <x:v>Verificar la existencia, implementación y evidencia objetiva de 'mejora de la gestión documental y trazabilidad' conforme a la Resolución 0312 de 2019.</x:v>
      </x:c>
      <x:c r="E67" s="52" t="n">
        <x:v>1.5</x:v>
      </x:c>
      <x:c r="F67" s="22" t="str">
        <x:v>Cumple</x:v>
      </x:c>
      <x:c r="G67" s="52" t="n">
        <x:f>IF(F67="Cumple",E67,0)</x:f>
        <x:v>1.5</x:v>
      </x:c>
      <x:c r="H67" s="22" t="str">
        <x:v>Revisión documental</x:v>
      </x:c>
      <x:c r="I67" s="22" t="str">
        <x:v>Soporte documental verificado y actualizado</x:v>
      </x:c>
      <x:c r="J67" s="22" t="str">
        <x:v>Talento Humano</x:v>
      </x:c>
      <x:c r="K67" s="22" t="str">
        <x:v>No</x:v>
      </x:c>
      <x:c r="L67" s="22" t="str"/>
      <x:c r="M67" s="53"/>
      <x:c r="N67" s="22" t="str">
        <x:v>Cerrada</x:v>
      </x:c>
      <x:c r="O67" s="22" t="str">
        <x:v>Cumplimiento sostenido</x:v>
      </x:c>
      <x:c r="P67" s="22" t="n">
        <x:v>2023</x:v>
      </x:c>
      <x:c r="Q67" s="22" t="str">
        <x:v>IMA COMPANY SAS</x:v>
      </x:c>
      <x:c r="R67" s="22" t="str">
        <x:v>Consolidado empresarial</x:v>
      </x:c>
    </x:row>
    <x:row r="68" ht="39.599998474121094" hidden="0" customHeight="1">
      <x:c r="A68" s="22" t="n">
        <x:v>60</x:v>
      </x:c>
      <x:c r="B68" s="22" t="str">
        <x:v>Actuar</x:v>
      </x:c>
      <x:c r="C68" s="22" t="str">
        <x:v>Seguimiento a compromisos de mejora continua</x:v>
      </x:c>
      <x:c r="D68" s="22" t="str">
        <x:v>Verificar la existencia, implementación y evidencia objetiva de 'seguimiento a compromisos de mejora continua' conforme a la Resolución 0312 de 2019.</x:v>
      </x:c>
      <x:c r="E68" s="52" t="n">
        <x:v>1.5</x:v>
      </x:c>
      <x:c r="F68" s="22" t="str">
        <x:v>Cumple</x:v>
      </x:c>
      <x:c r="G68" s="52" t="n">
        <x:f>IF(F68="Cumple",E68,0)</x:f>
        <x:v>1.5</x:v>
      </x:c>
      <x:c r="H68" s="22" t="str">
        <x:v>Acta / evidencia</x:v>
      </x:c>
      <x:c r="I68" s="22" t="str">
        <x:v>Soporte documental verificado y actualizado</x:v>
      </x:c>
      <x:c r="J68" s="22" t="str">
        <x:v>Líder SST</x:v>
      </x:c>
      <x:c r="K68" s="22" t="str">
        <x:v>No</x:v>
      </x:c>
      <x:c r="L68" s="22" t="str"/>
      <x:c r="M68" s="53"/>
      <x:c r="N68" s="22" t="str">
        <x:v>Cerrada</x:v>
      </x:c>
      <x:c r="O68" s="22" t="str">
        <x:v>Cumplimiento sostenido</x:v>
      </x:c>
      <x:c r="P68" s="22" t="n">
        <x:v>2023</x:v>
      </x:c>
      <x:c r="Q68" s="22" t="str">
        <x:v>IMA COMPANY SAS</x:v>
      </x:c>
      <x:c r="R68" s="22" t="str">
        <x:v>Consolidado empresarial</x:v>
      </x:c>
    </x:row>
  </x:sheetData>
  <x:mergeCells>
    <x:mergeCell ref="A1:R1"/>
  </x:mergeCells>
  <x:conditionalFormatting sqref="F9:F68">
    <x:cfRule type="expression" dxfId="6" priority="1">
      <x:formula>F9="No cumple"</x:formula>
    </x:cfRule>
  </x:conditionalFormatting>
  <x:conditionalFormatting sqref="K9:K68">
    <x:cfRule type="expression" dxfId="7" priority="2">
      <x:formula>K9="Sí"</x:formula>
    </x:cfRule>
  </x:conditionalFormatting>
  <x:conditionalFormatting sqref="N9:N68">
    <x:cfRule type="expression" dxfId="8" priority="3">
      <x:formula>N9="Abierta"</x:formula>
    </x:cfRule>
  </x:conditionalFormatting>
  <x:conditionalFormatting sqref="H4:H4">
    <x:cfRule type="expression" dxfId="9" priority="4">
      <x:formula>H4&lt;0.6</x:formula>
    </x:cfRule>
    <x:cfRule type="expression" dxfId="10" priority="5">
      <x:formula>AND(H4&gt;=0.6,H4&lt;=0.85)</x:formula>
    </x:cfRule>
    <x:cfRule type="expression" dxfId="11" priority="6">
      <x:formula>H4&gt;0.85</x:formula>
    </x:cfRule>
  </x:conditionalFormatting>
  <x:dataValidations count="6">
    <x:dataValidation type="list" sqref="F9:F68">
      <x:formula1>Catalogos!$A$4:$A$5</x:formula1>
    </x:dataValidation>
    <x:dataValidation type="list" sqref="B9:B68">
      <x:formula1>Catalogos!$E$4:$E$7</x:formula1>
    </x:dataValidation>
    <x:dataValidation type="list" sqref="H9:H68">
      <x:formula1>Catalogos!$C$9:$C$15</x:formula1>
    </x:dataValidation>
    <x:dataValidation type="list" sqref="J9:J68">
      <x:formula1>Catalogos!$A$9:$A$15</x:formula1>
    </x:dataValidation>
    <x:dataValidation type="list" sqref="K9:K68">
      <x:formula1>"Sí,No"</x:formula1>
    </x:dataValidation>
    <x:dataValidation type="list" sqref="N9:N68">
      <x:formula1>"Abierta,En seguimiento,Cerrada"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34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34" hidden="0" customWidth="1"/>
    <x:col min="10" max="10" width="20" hidden="0" customWidth="1"/>
    <x:col min="11" max="11" width="16" hidden="0" customWidth="1"/>
    <x:col min="12" max="12" width="40" hidden="0" customWidth="1"/>
    <x:col min="13" max="13" width="14" hidden="0" customWidth="1"/>
    <x:col min="14" max="14" width="16" hidden="0" customWidth="1"/>
    <x:col min="15" max="15" width="28" hidden="0" customWidth="1"/>
    <x:col min="16" max="16" width="10" hidden="0" customWidth="1"/>
    <x:col min="17" max="17" width="22" hidden="0" customWidth="1"/>
    <x:col min="18" max="18" width="22" hidden="0" customWidth="1"/>
  </x:cols>
  <x:sheetData>
    <x:row r="1">
      <x:c r="A1" s="5" t="str">
        <x:v>AUTODIAGNÓSTICO SG-SST - RESOLUCIÓN 0312 DE 2019 (2024)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 ht="26.399999618530273" hidden="0" customHeight="1">
      <x:c r="A3" s="76" t="str">
        <x:v>Empresa</x:v>
      </x:c>
      <x:c r="B3" s="43" t="str">
        <x:v>IMA COMPANY SAS</x:v>
      </x:c>
      <x:c r="C3" s="76" t="str">
        <x:v>Sede / alcance</x:v>
      </x:c>
      <x:c r="D3" s="43" t="str">
        <x:v>Consolidado empresarial</x:v>
      </x:c>
      <x:c r="E3" s="76" t="str">
        <x:v>Año evaluación</x:v>
      </x:c>
      <x:c r="F3" s="43" t="n">
        <x:v>2024</x:v>
      </x:c>
      <x:c r="G3" s="76" t="str">
        <x:v>Fecha evaluación</x:v>
      </x:c>
      <x:c r="H3" s="74" t="n">
        <x:v>45443</x:v>
      </x:c>
      <x:c r="I3" s="76" t="str">
        <x:v>Responsable</x:v>
      </x:c>
      <x:c r="J3" s="43" t="str">
        <x:v>Consultor SST</x:v>
      </x:c>
    </x:row>
    <x:row r="4" ht="118.80000305175781" hidden="0" customHeight="1">
      <x:c r="A4" s="76" t="str">
        <x:v>Objetivo</x:v>
      </x:c>
      <x:c r="B4" s="43" t="str">
        <x:v>Evaluar el cumplimiento de los 60 estándares mínimos del SG-SST y priorizar acciones de mejora para cierre de brechas.</x:v>
      </x:c>
      <x:c r="C4" s="76" t="str">
        <x:v>Nivel</x:v>
      </x:c>
      <x:c r="D4" s="43" t="str"/>
      <x:c r="E4" s="76" t="str">
        <x:v>Puntaje total</x:v>
      </x:c>
      <x:c r="F4" s="43" t="n">
        <x:f>SUM(G9:G68)</x:f>
        <x:v>97</x:v>
      </x:c>
      <x:c r="G4" s="76" t="str">
        <x:v>% cumplimiento</x:v>
      </x:c>
      <x:c r="H4" s="46" t="n">
        <x:f>F4/100</x:f>
        <x:v>0.97</x:v>
      </x:c>
      <x:c r="I4" s="76" t="str">
        <x:v>Valoración</x:v>
      </x:c>
      <x:c r="J4" s="43" t="str">
        <x:f>IF(H4&lt;0.6,"Crítico",IF(H4&lt;=0.85,"Moderadamente aceptable","Aceptable"))</x:f>
        <x:v>Aceptable</x:v>
      </x:c>
    </x:row>
    <x:row r="8" ht="24" hidden="0" customHeight="1">
      <x:c r="A8" s="36" t="str">
        <x:v>N°</x:v>
      </x:c>
      <x:c r="B8" s="36" t="str">
        <x:v>Ciclo PHVA</x:v>
      </x:c>
      <x:c r="C8" s="36" t="str">
        <x:v>Estándar</x:v>
      </x:c>
      <x:c r="D8" s="36" t="str">
        <x:v>Descripción / criterio de evaluación</x:v>
      </x:c>
      <x:c r="E8" s="36" t="str">
        <x:v>Ponderación (%)</x:v>
      </x:c>
      <x:c r="F8" s="36" t="str">
        <x:v>Calificación</x:v>
      </x:c>
      <x:c r="G8" s="36" t="str">
        <x:v>Puntaje obtenido</x:v>
      </x:c>
      <x:c r="H8" s="36" t="str">
        <x:v>Modo de verificación</x:v>
      </x:c>
      <x:c r="I8" s="36" t="str">
        <x:v>Evidencia disponible</x:v>
      </x:c>
      <x:c r="J8" s="36" t="str">
        <x:v>Responsable de verificación</x:v>
      </x:c>
      <x:c r="K8" s="36" t="str">
        <x:v>Plan de mejora requerido</x:v>
      </x:c>
      <x:c r="L8" s="36" t="str">
        <x:v>Acción de mejora</x:v>
      </x:c>
      <x:c r="M8" s="36" t="str">
        <x:v>Fecha compromiso</x:v>
      </x:c>
      <x:c r="N8" s="36" t="str">
        <x:v>Estado mejora</x:v>
      </x:c>
      <x:c r="O8" s="36" t="str">
        <x:v>Observaciones</x:v>
      </x:c>
      <x:c r="P8" s="36" t="str">
        <x:v>Año</x:v>
      </x:c>
      <x:c r="Q8" s="36" t="str">
        <x:v>Empresa</x:v>
      </x:c>
      <x:c r="R8" s="36" t="str">
        <x:v>Sede</x:v>
      </x:c>
    </x:row>
    <x:row r="9" ht="39.599998474121094" hidden="0" customHeight="1">
      <x:c r="A9" s="22" t="n">
        <x:v>1</x:v>
      </x:c>
      <x:c r="B9" s="22" t="str">
        <x:v>Planear</x:v>
      </x:c>
      <x:c r="C9" s="22" t="str">
        <x:v>Asignación de recursos para el SG-SST</x:v>
      </x:c>
      <x:c r="D9" s="22" t="str">
        <x:v>Verificar la existencia, implementación y evidencia objetiva de 'asignación de recursos para el sg-sst' conforme a la Resolución 0312 de 2019.</x:v>
      </x:c>
      <x:c r="E9" s="52" t="n">
        <x:v>1.5</x:v>
      </x:c>
      <x:c r="F9" s="22" t="str">
        <x:v>Cumple</x:v>
      </x:c>
      <x:c r="G9" s="52" t="n">
        <x:f>IF(F9="Cumple",E9,0)</x:f>
        <x:v>1.5</x:v>
      </x:c>
      <x:c r="H9" s="22" t="str">
        <x:v>Revisión documental</x:v>
      </x:c>
      <x:c r="I9" s="22" t="str">
        <x:v>Soporte documental verificado y actualizado</x:v>
      </x:c>
      <x:c r="J9" s="22" t="str">
        <x:v>Consultor SST</x:v>
      </x:c>
      <x:c r="K9" s="22" t="str">
        <x:v>No</x:v>
      </x:c>
      <x:c r="L9" s="22" t="str"/>
      <x:c r="M9" s="53"/>
      <x:c r="N9" s="22" t="str">
        <x:v>Cerrada</x:v>
      </x:c>
      <x:c r="O9" s="22" t="str">
        <x:v>Cumplimiento sostenido</x:v>
      </x:c>
      <x:c r="P9" s="22" t="n">
        <x:v>2024</x:v>
      </x:c>
      <x:c r="Q9" s="22" t="str">
        <x:v>IMA COMPANY SAS</x:v>
      </x:c>
      <x:c r="R9" s="22" t="str">
        <x:v>Consolidado empresarial</x:v>
      </x:c>
    </x:row>
    <x:row r="10" ht="39.599998474121094" hidden="0" customHeight="1">
      <x:c r="A10" s="22" t="n">
        <x:v>2</x:v>
      </x:c>
      <x:c r="B10" s="22" t="str">
        <x:v>Planear</x:v>
      </x:c>
      <x:c r="C10" s="22" t="str">
        <x:v>Definición y comunicación de la política de SST</x:v>
      </x:c>
      <x:c r="D10" s="22" t="str">
        <x:v>Verificar la existencia, implementación y evidencia objetiva de 'definición y comunicación de la política de sst' conforme a la Resolución 0312 de 2019.</x:v>
      </x:c>
      <x:c r="E10" s="52" t="n">
        <x:v>1.5</x:v>
      </x:c>
      <x:c r="F10" s="22" t="str">
        <x:v>Cumple</x:v>
      </x:c>
      <x:c r="G10" s="52" t="n">
        <x:f>IF(F10="Cumple",E10,0)</x:f>
        <x:v>1.5</x:v>
      </x:c>
      <x:c r="H10" s="22" t="str">
        <x:v>Revisión documental</x:v>
      </x:c>
      <x:c r="I10" s="22" t="str">
        <x:v>Soporte documental verificado y actualizado</x:v>
      </x:c>
      <x:c r="J10" s="22" t="str">
        <x:v>COPASST</x:v>
      </x:c>
      <x:c r="K10" s="22" t="str">
        <x:v>No</x:v>
      </x:c>
      <x:c r="L10" s="22" t="str"/>
      <x:c r="M10" s="53"/>
      <x:c r="N10" s="22" t="str">
        <x:v>Cerrada</x:v>
      </x:c>
      <x:c r="O10" s="22" t="str">
        <x:v>Cumplimiento sostenido</x:v>
      </x:c>
      <x:c r="P10" s="22" t="n">
        <x:v>2024</x:v>
      </x:c>
      <x:c r="Q10" s="22" t="str">
        <x:v>IMA COMPANY SAS</x:v>
      </x:c>
      <x:c r="R10" s="22" t="str">
        <x:v>Consolidado empresarial</x:v>
      </x:c>
    </x:row>
    <x:row r="11" ht="39.599998474121094" hidden="0" customHeight="1">
      <x:c r="A11" s="22" t="n">
        <x:v>3</x:v>
      </x:c>
      <x:c r="B11" s="22" t="str">
        <x:v>Planear</x:v>
      </x:c>
      <x:c r="C11" s="22" t="str">
        <x:v>Definición de objetivos del SG-SST</x:v>
      </x:c>
      <x:c r="D11" s="22" t="str">
        <x:v>Verificar la existencia, implementación y evidencia objetiva de 'definición de objetivos del sg-sst' conforme a la Resolución 0312 de 2019.</x:v>
      </x:c>
      <x:c r="E11" s="52" t="n">
        <x:v>1.5</x:v>
      </x:c>
      <x:c r="F11" s="22" t="str">
        <x:v>Cumple</x:v>
      </x:c>
      <x:c r="G11" s="52" t="n">
        <x:f>IF(F11="Cumple",E11,0)</x:f>
        <x:v>1.5</x:v>
      </x:c>
      <x:c r="H11" s="22" t="str">
        <x:v>Revisión documental</x:v>
      </x:c>
      <x:c r="I11" s="22" t="str">
        <x:v>Soporte documental verificado y actualizado</x:v>
      </x:c>
      <x:c r="J11" s="22" t="str">
        <x:v>Alta Dirección</x:v>
      </x:c>
      <x:c r="K11" s="22" t="str">
        <x:v>No</x:v>
      </x:c>
      <x:c r="L11" s="22" t="str"/>
      <x:c r="M11" s="53"/>
      <x:c r="N11" s="22" t="str">
        <x:v>Cerrada</x:v>
      </x:c>
      <x:c r="O11" s="22" t="str">
        <x:v>Cumplimiento sostenido</x:v>
      </x:c>
      <x:c r="P11" s="22" t="n">
        <x:v>2024</x:v>
      </x:c>
      <x:c r="Q11" s="22" t="str">
        <x:v>IMA COMPANY SAS</x:v>
      </x:c>
      <x:c r="R11" s="22" t="str">
        <x:v>Consolidado empresarial</x:v>
      </x:c>
    </x:row>
    <x:row r="12" ht="39.599998474121094" hidden="0" customHeight="1">
      <x:c r="A12" s="22" t="n">
        <x:v>4</x:v>
      </x:c>
      <x:c r="B12" s="22" t="str">
        <x:v>Planear</x:v>
      </x:c>
      <x:c r="C12" s="22" t="str">
        <x:v>Evaluación inicial del SG-SST</x:v>
      </x:c>
      <x:c r="D12" s="22" t="str">
        <x:v>Verificar la existencia, implementación y evidencia objetiva de 'evaluación inicial del sg-sst' conforme a la Resolución 0312 de 2019.</x:v>
      </x:c>
      <x:c r="E12" s="52" t="n">
        <x:v>1.5</x:v>
      </x:c>
      <x:c r="F12" s="22" t="str">
        <x:v>Cumple</x:v>
      </x:c>
      <x:c r="G12" s="52" t="n">
        <x:f>IF(F12="Cumple",E12,0)</x:f>
        <x:v>1.5</x:v>
      </x:c>
      <x:c r="H12" s="22" t="str">
        <x:v>Acta / evidencia</x:v>
      </x:c>
      <x:c r="I12" s="22" t="str">
        <x:v>Soporte documental verificado y actualizado</x:v>
      </x:c>
      <x:c r="J12" s="22" t="str">
        <x:v>Talento Humano</x:v>
      </x:c>
      <x:c r="K12" s="22" t="str">
        <x:v>No</x:v>
      </x:c>
      <x:c r="L12" s="22" t="str"/>
      <x:c r="M12" s="53"/>
      <x:c r="N12" s="22" t="str">
        <x:v>Cerrada</x:v>
      </x:c>
      <x:c r="O12" s="22" t="str">
        <x:v>Cumplimiento sostenido</x:v>
      </x:c>
      <x:c r="P12" s="22" t="n">
        <x:v>2024</x:v>
      </x:c>
      <x:c r="Q12" s="22" t="str">
        <x:v>IMA COMPANY SAS</x:v>
      </x:c>
      <x:c r="R12" s="22" t="str">
        <x:v>Consolidado empresarial</x:v>
      </x:c>
    </x:row>
    <x:row r="13" ht="39.599998474121094" hidden="0" customHeight="1">
      <x:c r="A13" s="22" t="n">
        <x:v>5</x:v>
      </x:c>
      <x:c r="B13" s="22" t="str">
        <x:v>Planear</x:v>
      </x:c>
      <x:c r="C13" s="22" t="str">
        <x:v>Plan anual de trabajo del SG-SST</x:v>
      </x:c>
      <x:c r="D13" s="22" t="str">
        <x:v>Verificar la existencia, implementación y evidencia objetiva de 'plan anual de trabajo del sg-sst' conforme a la Resolución 0312 de 2019.</x:v>
      </x:c>
      <x:c r="E13" s="52" t="n">
        <x:v>1.5</x:v>
      </x:c>
      <x:c r="F13" s="22" t="str">
        <x:v>Cumple</x:v>
      </x:c>
      <x:c r="G13" s="52" t="n">
        <x:f>IF(F13="Cumple",E13,0)</x:f>
        <x:v>1.5</x:v>
      </x:c>
      <x:c r="H13" s="22" t="str">
        <x:v>Revisión documental</x:v>
      </x:c>
      <x:c r="I13" s="22" t="str">
        <x:v>Soporte documental verificado y actualizado</x:v>
      </x:c>
      <x:c r="J13" s="22" t="str">
        <x:v>Líder SST</x:v>
      </x:c>
      <x:c r="K13" s="22" t="str">
        <x:v>No</x:v>
      </x:c>
      <x:c r="L13" s="22" t="str"/>
      <x:c r="M13" s="53"/>
      <x:c r="N13" s="22" t="str">
        <x:v>Cerrada</x:v>
      </x:c>
      <x:c r="O13" s="22" t="str">
        <x:v>Cumplimiento sostenido</x:v>
      </x:c>
      <x:c r="P13" s="22" t="n">
        <x:v>2024</x:v>
      </x:c>
      <x:c r="Q13" s="22" t="str">
        <x:v>IMA COMPANY SAS</x:v>
      </x:c>
      <x:c r="R13" s="22" t="str">
        <x:v>Consolidado empresarial</x:v>
      </x:c>
    </x:row>
    <x:row r="14" ht="39.599998474121094" hidden="0" customHeight="1">
      <x:c r="A14" s="22" t="n">
        <x:v>6</x:v>
      </x:c>
      <x:c r="B14" s="22" t="str">
        <x:v>Planear</x:v>
      </x:c>
      <x:c r="C14" s="22" t="str">
        <x:v>Identificación de requisitos legales aplicables</x:v>
      </x:c>
      <x:c r="D14" s="22" t="str">
        <x:v>Verificar la existencia, implementación y evidencia objetiva de 'identificación de requisitos legales aplicables' conforme a la Resolución 0312 de 2019.</x:v>
      </x:c>
      <x:c r="E14" s="52" t="n">
        <x:v>1.5</x:v>
      </x:c>
      <x:c r="F14" s="22" t="str">
        <x:v>Cumple</x:v>
      </x:c>
      <x:c r="G14" s="52" t="n">
        <x:f>IF(F14="Cumple",E14,0)</x:f>
        <x:v>1.5</x:v>
      </x:c>
      <x:c r="H14" s="22" t="str">
        <x:v>Revisión documental</x:v>
      </x:c>
      <x:c r="I14" s="22" t="str">
        <x:v>Soporte documental verificado y actualizado</x:v>
      </x:c>
      <x:c r="J14" s="22" t="str">
        <x:v>Consultor SST</x:v>
      </x:c>
      <x:c r="K14" s="22" t="str">
        <x:v>No</x:v>
      </x:c>
      <x:c r="L14" s="22" t="str"/>
      <x:c r="M14" s="53"/>
      <x:c r="N14" s="22" t="str">
        <x:v>Cerrada</x:v>
      </x:c>
      <x:c r="O14" s="22" t="str">
        <x:v>Cumplimiento sostenido</x:v>
      </x:c>
      <x:c r="P14" s="22" t="n">
        <x:v>2024</x:v>
      </x:c>
      <x:c r="Q14" s="22" t="str">
        <x:v>IMA COMPANY SAS</x:v>
      </x:c>
      <x:c r="R14" s="22" t="str">
        <x:v>Consolidado empresarial</x:v>
      </x:c>
    </x:row>
    <x:row r="15" ht="39.599998474121094" hidden="0" customHeight="1">
      <x:c r="A15" s="22" t="n">
        <x:v>7</x:v>
      </x:c>
      <x:c r="B15" s="22" t="str">
        <x:v>Planear</x:v>
      </x:c>
      <x:c r="C15" s="22" t="str">
        <x:v>Rendición de cuentas en SST</x:v>
      </x:c>
      <x:c r="D15" s="22" t="str">
        <x:v>Verificar la existencia, implementación y evidencia objetiva de 'rendición de cuentas en sst' conforme a la Resolución 0312 de 2019.</x:v>
      </x:c>
      <x:c r="E15" s="52" t="n">
        <x:v>1.5</x:v>
      </x:c>
      <x:c r="F15" s="22" t="str">
        <x:v>Cumple</x:v>
      </x:c>
      <x:c r="G15" s="52" t="n">
        <x:f>IF(F15="Cumple",E15,0)</x:f>
        <x:v>1.5</x:v>
      </x:c>
      <x:c r="H15" s="22" t="str">
        <x:v>Revisión documental</x:v>
      </x:c>
      <x:c r="I15" s="22" t="str">
        <x:v>Soporte documental verificado y actualizado</x:v>
      </x:c>
      <x:c r="J15" s="22" t="str">
        <x:v>COPASST</x:v>
      </x:c>
      <x:c r="K15" s="22" t="str">
        <x:v>No</x:v>
      </x:c>
      <x:c r="L15" s="22" t="str"/>
      <x:c r="M15" s="53"/>
      <x:c r="N15" s="22" t="str">
        <x:v>Cerrada</x:v>
      </x:c>
      <x:c r="O15" s="22" t="str">
        <x:v>Cumplimiento sostenido</x:v>
      </x:c>
      <x:c r="P15" s="22" t="n">
        <x:v>2024</x:v>
      </x:c>
      <x:c r="Q15" s="22" t="str">
        <x:v>IMA COMPANY SAS</x:v>
      </x:c>
      <x:c r="R15" s="22" t="str">
        <x:v>Consolidado empresarial</x:v>
      </x:c>
    </x:row>
    <x:row r="16" ht="39.599998474121094" hidden="0" customHeight="1">
      <x:c r="A16" s="22" t="n">
        <x:v>8</x:v>
      </x:c>
      <x:c r="B16" s="22" t="str">
        <x:v>Planear</x:v>
      </x:c>
      <x:c r="C16" s="22" t="str">
        <x:v>Roles, responsabilidades y autoridad en SST</x:v>
      </x:c>
      <x:c r="D16" s="22" t="str">
        <x:v>Verificar la existencia, implementación y evidencia objetiva de 'roles, responsabilidades y autoridad en sst' conforme a la Resolución 0312 de 2019.</x:v>
      </x:c>
      <x:c r="E16" s="52" t="n">
        <x:v>1.5</x:v>
      </x:c>
      <x:c r="F16" s="22" t="str">
        <x:v>Cumple</x:v>
      </x:c>
      <x:c r="G16" s="52" t="n">
        <x:f>IF(F16="Cumple",E16,0)</x:f>
        <x:v>1.5</x:v>
      </x:c>
      <x:c r="H16" s="22" t="str">
        <x:v>Acta / evidencia</x:v>
      </x:c>
      <x:c r="I16" s="22" t="str">
        <x:v>Soporte documental verificado y actualizado</x:v>
      </x:c>
      <x:c r="J16" s="22" t="str">
        <x:v>Alta Dirección</x:v>
      </x:c>
      <x:c r="K16" s="22" t="str">
        <x:v>No</x:v>
      </x:c>
      <x:c r="L16" s="22" t="str"/>
      <x:c r="M16" s="53"/>
      <x:c r="N16" s="22" t="str">
        <x:v>Cerrada</x:v>
      </x:c>
      <x:c r="O16" s="22" t="str">
        <x:v>Cumplimiento sostenido</x:v>
      </x:c>
      <x:c r="P16" s="22" t="n">
        <x:v>2024</x:v>
      </x:c>
      <x:c r="Q16" s="22" t="str">
        <x:v>IMA COMPANY SAS</x:v>
      </x:c>
      <x:c r="R16" s="22" t="str">
        <x:v>Consolidado empresarial</x:v>
      </x:c>
    </x:row>
    <x:row r="17" ht="39.599998474121094" hidden="0" customHeight="1">
      <x:c r="A17" s="22" t="n">
        <x:v>9</x:v>
      </x:c>
      <x:c r="B17" s="22" t="str">
        <x:v>Planear</x:v>
      </x:c>
      <x:c r="C17" s="22" t="str">
        <x:v>Conservación y control documental del SG-SST</x:v>
      </x:c>
      <x:c r="D17" s="22" t="str">
        <x:v>Verificar la existencia, implementación y evidencia objetiva de 'conservación y control documental del sg-sst' conforme a la Resolución 0312 de 2019.</x:v>
      </x:c>
      <x:c r="E17" s="52" t="n">
        <x:v>1.5</x:v>
      </x:c>
      <x:c r="F17" s="22" t="str">
        <x:v>Cumple</x:v>
      </x:c>
      <x:c r="G17" s="52" t="n">
        <x:f>IF(F17="Cumple",E17,0)</x:f>
        <x:v>1.5</x:v>
      </x:c>
      <x:c r="H17" s="22" t="str">
        <x:v>Revisión documental</x:v>
      </x:c>
      <x:c r="I17" s="22" t="str">
        <x:v>Soporte documental verificado y actualizado</x:v>
      </x:c>
      <x:c r="J17" s="22" t="str">
        <x:v>Talento Humano</x:v>
      </x:c>
      <x:c r="K17" s="22" t="str">
        <x:v>No</x:v>
      </x:c>
      <x:c r="L17" s="22" t="str"/>
      <x:c r="M17" s="53"/>
      <x:c r="N17" s="22" t="str">
        <x:v>Cerrada</x:v>
      </x:c>
      <x:c r="O17" s="22" t="str">
        <x:v>Cumplimiento sostenido</x:v>
      </x:c>
      <x:c r="P17" s="22" t="n">
        <x:v>2024</x:v>
      </x:c>
      <x:c r="Q17" s="22" t="str">
        <x:v>IMA COMPANY SAS</x:v>
      </x:c>
      <x:c r="R17" s="22" t="str">
        <x:v>Consolidado empresarial</x:v>
      </x:c>
    </x:row>
    <x:row r="18" ht="39.599998474121094" hidden="0" customHeight="1">
      <x:c r="A18" s="22" t="n">
        <x:v>10</x:v>
      </x:c>
      <x:c r="B18" s="22" t="str">
        <x:v>Planear</x:v>
      </x:c>
      <x:c r="C18" s="22" t="str">
        <x:v>Perfil sociodemográfico y caracterización de trabajadores</x:v>
      </x:c>
      <x:c r="D18" s="22" t="str">
        <x:v>Verificar la existencia, implementación y evidencia objetiva de 'perfil sociodemográfico y caracterización de trabajadores' conforme a la Resolución 0312 de 2019.</x:v>
      </x:c>
      <x:c r="E18" s="52" t="n">
        <x:v>1.5</x:v>
      </x:c>
      <x:c r="F18" s="22" t="str">
        <x:v>Cumple</x:v>
      </x:c>
      <x:c r="G18" s="52" t="n">
        <x:f>IF(F18="Cumple",E18,0)</x:f>
        <x:v>1.5</x:v>
      </x:c>
      <x:c r="H18" s="22" t="str">
        <x:v>Revisión documental</x:v>
      </x:c>
      <x:c r="I18" s="22" t="str">
        <x:v>Soporte documental verificado y actualizado</x:v>
      </x:c>
      <x:c r="J18" s="22" t="str">
        <x:v>Líder SST</x:v>
      </x:c>
      <x:c r="K18" s="22" t="str">
        <x:v>No</x:v>
      </x:c>
      <x:c r="L18" s="22" t="str"/>
      <x:c r="M18" s="53"/>
      <x:c r="N18" s="22" t="str">
        <x:v>Cerrada</x:v>
      </x:c>
      <x:c r="O18" s="22" t="str">
        <x:v>Cumplimiento sostenido</x:v>
      </x:c>
      <x:c r="P18" s="22" t="n">
        <x:v>2024</x:v>
      </x:c>
      <x:c r="Q18" s="22" t="str">
        <x:v>IMA COMPANY SAS</x:v>
      </x:c>
      <x:c r="R18" s="22" t="str">
        <x:v>Consolidado empresarial</x:v>
      </x:c>
    </x:row>
    <x:row r="19" ht="39.599998474121094" hidden="0" customHeight="1">
      <x:c r="A19" s="22" t="n">
        <x:v>11</x:v>
      </x:c>
      <x:c r="B19" s="22" t="str">
        <x:v>Planear</x:v>
      </x:c>
      <x:c r="C19" s="22" t="str">
        <x:v>Identificación de peligros y evaluación de riesgos inicial</x:v>
      </x:c>
      <x:c r="D19" s="22" t="str">
        <x:v>Verificar la existencia, implementación y evidencia objetiva de 'identificación de peligros y evaluación de riesgos inicial' conforme a la Resolución 0312 de 2019.</x:v>
      </x:c>
      <x:c r="E19" s="52" t="n">
        <x:v>2</x:v>
      </x:c>
      <x:c r="F19" s="22" t="str">
        <x:v>Cumple</x:v>
      </x:c>
      <x:c r="G19" s="52" t="n">
        <x:f>IF(F19="Cumple",E19,0)</x:f>
        <x:v>2</x:v>
      </x:c>
      <x:c r="H19" s="22" t="str">
        <x:v>Revisión documental</x:v>
      </x:c>
      <x:c r="I19" s="22" t="str">
        <x:v>Soporte documental verificado y actualizado</x:v>
      </x:c>
      <x:c r="J19" s="22" t="str">
        <x:v>Consultor SST</x:v>
      </x:c>
      <x:c r="K19" s="22" t="str">
        <x:v>No</x:v>
      </x:c>
      <x:c r="L19" s="22" t="str"/>
      <x:c r="M19" s="53"/>
      <x:c r="N19" s="22" t="str">
        <x:v>Cerrada</x:v>
      </x:c>
      <x:c r="O19" s="22" t="str">
        <x:v>Cumplimiento sostenido</x:v>
      </x:c>
      <x:c r="P19" s="22" t="n">
        <x:v>2024</x:v>
      </x:c>
      <x:c r="Q19" s="22" t="str">
        <x:v>IMA COMPANY SAS</x:v>
      </x:c>
      <x:c r="R19" s="22" t="str">
        <x:v>Consolidado empresarial</x:v>
      </x:c>
    </x:row>
    <x:row r="20" ht="39.599998474121094" hidden="0" customHeight="1">
      <x:c r="A20" s="22" t="n">
        <x:v>12</x:v>
      </x:c>
      <x:c r="B20" s="22" t="str">
        <x:v>Planear</x:v>
      </x:c>
      <x:c r="C20" s="22" t="str">
        <x:v>Priorización de intervenciones y controles</x:v>
      </x:c>
      <x:c r="D20" s="22" t="str">
        <x:v>Verificar la existencia, implementación y evidencia objetiva de 'priorización de intervenciones y controles' conforme a la Resolución 0312 de 2019.</x:v>
      </x:c>
      <x:c r="E20" s="52" t="n">
        <x:v>2</x:v>
      </x:c>
      <x:c r="F20" s="22" t="str">
        <x:v>Cumple</x:v>
      </x:c>
      <x:c r="G20" s="52" t="n">
        <x:f>IF(F20="Cumple",E20,0)</x:f>
        <x:v>2</x:v>
      </x:c>
      <x:c r="H20" s="22" t="str">
        <x:v>Acta / evidencia</x:v>
      </x:c>
      <x:c r="I20" s="22" t="str">
        <x:v>Soporte documental verificado y actualizado</x:v>
      </x:c>
      <x:c r="J20" s="22" t="str">
        <x:v>COPASST</x:v>
      </x:c>
      <x:c r="K20" s="22" t="str">
        <x:v>No</x:v>
      </x:c>
      <x:c r="L20" s="22" t="str"/>
      <x:c r="M20" s="53"/>
      <x:c r="N20" s="22" t="str">
        <x:v>Cerrada</x:v>
      </x:c>
      <x:c r="O20" s="22" t="str">
        <x:v>Cumplimiento sostenido</x:v>
      </x:c>
      <x:c r="P20" s="22" t="n">
        <x:v>2024</x:v>
      </x:c>
      <x:c r="Q20" s="22" t="str">
        <x:v>IMA COMPANY SAS</x:v>
      </x:c>
      <x:c r="R20" s="22" t="str">
        <x:v>Consolidado empresarial</x:v>
      </x:c>
    </x:row>
    <x:row r="21" ht="39.599998474121094" hidden="0" customHeight="1">
      <x:c r="A21" s="22" t="n">
        <x:v>13</x:v>
      </x:c>
      <x:c r="B21" s="22" t="str">
        <x:v>Planear</x:v>
      </x:c>
      <x:c r="C21" s="22" t="str">
        <x:v>Planificación de indicadores del SG-SST</x:v>
      </x:c>
      <x:c r="D21" s="22" t="str">
        <x:v>Verificar la existencia, implementación y evidencia objetiva de 'planificación de indicadores del sg-sst' conforme a la Resolución 0312 de 2019.</x:v>
      </x:c>
      <x:c r="E21" s="52" t="n">
        <x:v>2</x:v>
      </x:c>
      <x:c r="F21" s="22" t="str">
        <x:v>Cumple</x:v>
      </x:c>
      <x:c r="G21" s="52" t="n">
        <x:f>IF(F21="Cumple",E21,0)</x:f>
        <x:v>2</x:v>
      </x:c>
      <x:c r="H21" s="22" t="str">
        <x:v>Revisión documental</x:v>
      </x:c>
      <x:c r="I21" s="22" t="str">
        <x:v>Soporte documental verificado y actualizado</x:v>
      </x:c>
      <x:c r="J21" s="22" t="str">
        <x:v>Alta Dirección</x:v>
      </x:c>
      <x:c r="K21" s="22" t="str">
        <x:v>No</x:v>
      </x:c>
      <x:c r="L21" s="22" t="str"/>
      <x:c r="M21" s="53"/>
      <x:c r="N21" s="22" t="str">
        <x:v>Cerrada</x:v>
      </x:c>
      <x:c r="O21" s="22" t="str">
        <x:v>Cumplimiento sostenido</x:v>
      </x:c>
      <x:c r="P21" s="22" t="n">
        <x:v>2024</x:v>
      </x:c>
      <x:c r="Q21" s="22" t="str">
        <x:v>IMA COMPANY SAS</x:v>
      </x:c>
      <x:c r="R21" s="22" t="str">
        <x:v>Consolidado empresarial</x:v>
      </x:c>
    </x:row>
    <x:row r="22" ht="39.599998474121094" hidden="0" customHeight="1">
      <x:c r="A22" s="22" t="n">
        <x:v>14</x:v>
      </x:c>
      <x:c r="B22" s="22" t="str">
        <x:v>Planear</x:v>
      </x:c>
      <x:c r="C22" s="22" t="str">
        <x:v>Plan de capacitación, inducción y reinducción</x:v>
      </x:c>
      <x:c r="D22" s="22" t="str">
        <x:v>Verificar la existencia, implementación y evidencia objetiva de 'plan de capacitación, inducción y reinducción' conforme a la Resolución 0312 de 2019.</x:v>
      </x:c>
      <x:c r="E22" s="52" t="n">
        <x:v>2</x:v>
      </x:c>
      <x:c r="F22" s="22" t="str">
        <x:v>Cumple</x:v>
      </x:c>
      <x:c r="G22" s="52" t="n">
        <x:f>IF(F22="Cumple",E22,0)</x:f>
        <x:v>2</x:v>
      </x:c>
      <x:c r="H22" s="22" t="str">
        <x:v>Revisión documental</x:v>
      </x:c>
      <x:c r="I22" s="22" t="str">
        <x:v>Soporte documental verificado y actualizado</x:v>
      </x:c>
      <x:c r="J22" s="22" t="str">
        <x:v>Talento Humano</x:v>
      </x:c>
      <x:c r="K22" s="22" t="str">
        <x:v>No</x:v>
      </x:c>
      <x:c r="L22" s="22" t="str"/>
      <x:c r="M22" s="53"/>
      <x:c r="N22" s="22" t="str">
        <x:v>Cerrada</x:v>
      </x:c>
      <x:c r="O22" s="22" t="str">
        <x:v>Cumplimiento sostenido</x:v>
      </x:c>
      <x:c r="P22" s="22" t="n">
        <x:v>2024</x:v>
      </x:c>
      <x:c r="Q22" s="22" t="str">
        <x:v>IMA COMPANY SAS</x:v>
      </x:c>
      <x:c r="R22" s="22" t="str">
        <x:v>Consolidado empresarial</x:v>
      </x:c>
    </x:row>
    <x:row r="23" ht="39.599998474121094" hidden="0" customHeight="1">
      <x:c r="A23" s="22" t="n">
        <x:v>15</x:v>
      </x:c>
      <x:c r="B23" s="22" t="str">
        <x:v>Planear</x:v>
      </x:c>
      <x:c r="C23" s="22" t="str">
        <x:v>Plan de prevención, preparación y respuesta ante emergencias</x:v>
      </x:c>
      <x:c r="D23" s="22" t="str">
        <x:v>Verificar la existencia, implementación y evidencia objetiva de 'plan de prevención, preparación y respuesta ante emergencias' conforme a la Resolución 0312 de 2019.</x:v>
      </x:c>
      <x:c r="E23" s="52" t="n">
        <x:v>2</x:v>
      </x:c>
      <x:c r="F23" s="22" t="str">
        <x:v>Cumple</x:v>
      </x:c>
      <x:c r="G23" s="52" t="n">
        <x:f>IF(F23="Cumple",E23,0)</x:f>
        <x:v>2</x:v>
      </x:c>
      <x:c r="H23" s="22" t="str">
        <x:v>Revisión documental</x:v>
      </x:c>
      <x:c r="I23" s="22" t="str">
        <x:v>Soporte documental verificado y actualizado</x:v>
      </x:c>
      <x:c r="J23" s="22" t="str">
        <x:v>Líder SST</x:v>
      </x:c>
      <x:c r="K23" s="22" t="str">
        <x:v>No</x:v>
      </x:c>
      <x:c r="L23" s="22" t="str"/>
      <x:c r="M23" s="53"/>
      <x:c r="N23" s="22" t="str">
        <x:v>Cerrada</x:v>
      </x:c>
      <x:c r="O23" s="22" t="str">
        <x:v>Cumplimiento sostenido</x:v>
      </x:c>
      <x:c r="P23" s="22" t="n">
        <x:v>2024</x:v>
      </x:c>
      <x:c r="Q23" s="22" t="str">
        <x:v>IMA COMPANY SAS</x:v>
      </x:c>
      <x:c r="R23" s="22" t="str">
        <x:v>Consolidado empresarial</x:v>
      </x:c>
    </x:row>
    <x:row r="24" ht="39.599998474121094" hidden="0" customHeight="1">
      <x:c r="A24" s="22" t="n">
        <x:v>16</x:v>
      </x:c>
      <x:c r="B24" s="22" t="str">
        <x:v>Hacer</x:v>
      </x:c>
      <x:c r="C24" s="22" t="str">
        <x:v>Afiliación y cobertura al Sistema General de Riesgos Laborales</x:v>
      </x:c>
      <x:c r="D24" s="22" t="str">
        <x:v>Verificar la existencia, implementación y evidencia objetiva de 'afiliación y cobertura al sistema general de riesgos laborales' conforme a la Resolución 0312 de 2019.</x:v>
      </x:c>
      <x:c r="E24" s="52" t="n">
        <x:v>1.5</x:v>
      </x:c>
      <x:c r="F24" s="22" t="str">
        <x:v>Cumple</x:v>
      </x:c>
      <x:c r="G24" s="52" t="n">
        <x:f>IF(F24="Cumple",E24,0)</x:f>
        <x:v>1.5</x:v>
      </x:c>
      <x:c r="H24" s="22" t="str">
        <x:v>Acta / evidencia</x:v>
      </x:c>
      <x:c r="I24" s="22" t="str">
        <x:v>Soporte documental verificado y actualizado</x:v>
      </x:c>
      <x:c r="J24" s="22" t="str">
        <x:v>Consultor SST</x:v>
      </x:c>
      <x:c r="K24" s="22" t="str">
        <x:v>No</x:v>
      </x:c>
      <x:c r="L24" s="22" t="str"/>
      <x:c r="M24" s="53"/>
      <x:c r="N24" s="22" t="str">
        <x:v>Cerrada</x:v>
      </x:c>
      <x:c r="O24" s="22" t="str">
        <x:v>Cumplimiento sostenido</x:v>
      </x:c>
      <x:c r="P24" s="22" t="n">
        <x:v>2024</x:v>
      </x:c>
      <x:c r="Q24" s="22" t="str">
        <x:v>IMA COMPANY SAS</x:v>
      </x:c>
      <x:c r="R24" s="22" t="str">
        <x:v>Consolidado empresarial</x:v>
      </x:c>
    </x:row>
    <x:row r="25" ht="39.599998474121094" hidden="0" customHeight="1">
      <x:c r="A25" s="22" t="n">
        <x:v>17</x:v>
      </x:c>
      <x:c r="B25" s="22" t="str">
        <x:v>Hacer</x:v>
      </x:c>
      <x:c r="C25" s="22" t="str">
        <x:v>Conformación y funcionamiento del COPASST</x:v>
      </x:c>
      <x:c r="D25" s="22" t="str">
        <x:v>Verificar la existencia, implementación y evidencia objetiva de 'conformación y funcionamiento del copasst' conforme a la Resolución 0312 de 2019.</x:v>
      </x:c>
      <x:c r="E25" s="52" t="n">
        <x:v>1.5</x:v>
      </x:c>
      <x:c r="F25" s="22" t="str">
        <x:v>Cumple</x:v>
      </x:c>
      <x:c r="G25" s="52" t="n">
        <x:f>IF(F25="Cumple",E25,0)</x:f>
        <x:v>1.5</x:v>
      </x:c>
      <x:c r="H25" s="22" t="str">
        <x:v>Revisión documental</x:v>
      </x:c>
      <x:c r="I25" s="22" t="str">
        <x:v>Soporte documental verificado y actualizado</x:v>
      </x:c>
      <x:c r="J25" s="22" t="str">
        <x:v>COPASST</x:v>
      </x:c>
      <x:c r="K25" s="22" t="str">
        <x:v>No</x:v>
      </x:c>
      <x:c r="L25" s="22" t="str"/>
      <x:c r="M25" s="53"/>
      <x:c r="N25" s="22" t="str">
        <x:v>Cerrada</x:v>
      </x:c>
      <x:c r="O25" s="22" t="str">
        <x:v>Cumplimiento sostenido</x:v>
      </x:c>
      <x:c r="P25" s="22" t="n">
        <x:v>2024</x:v>
      </x:c>
      <x:c r="Q25" s="22" t="str">
        <x:v>IMA COMPANY SAS</x:v>
      </x:c>
      <x:c r="R25" s="22" t="str">
        <x:v>Consolidado empresarial</x:v>
      </x:c>
    </x:row>
    <x:row r="26" ht="39.599998474121094" hidden="0" customHeight="1">
      <x:c r="A26" s="22" t="n">
        <x:v>18</x:v>
      </x:c>
      <x:c r="B26" s="22" t="str">
        <x:v>Hacer</x:v>
      </x:c>
      <x:c r="C26" s="22" t="str">
        <x:v>Conformación y funcionamiento del Comité de Convivencia Laboral</x:v>
      </x:c>
      <x:c r="D26" s="22" t="str">
        <x:v>Verificar la existencia, implementación y evidencia objetiva de 'conformación y funcionamiento del comité de convivencia laboral' conforme a la Resolución 0312 de 2019.</x:v>
      </x:c>
      <x:c r="E26" s="52" t="n">
        <x:v>1.5</x:v>
      </x:c>
      <x:c r="F26" s="22" t="str">
        <x:v>Cumple</x:v>
      </x:c>
      <x:c r="G26" s="52" t="n">
        <x:f>IF(F26="Cumple",E26,0)</x:f>
        <x:v>1.5</x:v>
      </x:c>
      <x:c r="H26" s="22" t="str">
        <x:v>Revisión documental</x:v>
      </x:c>
      <x:c r="I26" s="22" t="str">
        <x:v>Soporte documental verificado y actualizado</x:v>
      </x:c>
      <x:c r="J26" s="22" t="str">
        <x:v>Alta Dirección</x:v>
      </x:c>
      <x:c r="K26" s="22" t="str">
        <x:v>No</x:v>
      </x:c>
      <x:c r="L26" s="22" t="str"/>
      <x:c r="M26" s="53"/>
      <x:c r="N26" s="22" t="str">
        <x:v>Cerrada</x:v>
      </x:c>
      <x:c r="O26" s="22" t="str">
        <x:v>Cumplimiento sostenido</x:v>
      </x:c>
      <x:c r="P26" s="22" t="n">
        <x:v>2024</x:v>
      </x:c>
      <x:c r="Q26" s="22" t="str">
        <x:v>IMA COMPANY SAS</x:v>
      </x:c>
      <x:c r="R26" s="22" t="str">
        <x:v>Consolidado empresarial</x:v>
      </x:c>
    </x:row>
    <x:row r="27" ht="39.599998474121094" hidden="0" customHeight="1">
      <x:c r="A27" s="22" t="n">
        <x:v>19</x:v>
      </x:c>
      <x:c r="B27" s="22" t="str">
        <x:v>Hacer</x:v>
      </x:c>
      <x:c r="C27" s="22" t="str">
        <x:v>Programa de capacitación en SST ejecutado</x:v>
      </x:c>
      <x:c r="D27" s="22" t="str">
        <x:v>Verificar la existencia, implementación y evidencia objetiva de 'programa de capacitación en sst ejecutado' conforme a la Resolución 0312 de 2019.</x:v>
      </x:c>
      <x:c r="E27" s="52" t="n">
        <x:v>1.5</x:v>
      </x:c>
      <x:c r="F27" s="22" t="str">
        <x:v>Cumple</x:v>
      </x:c>
      <x:c r="G27" s="52" t="n">
        <x:f>IF(F27="Cumple",E27,0)</x:f>
        <x:v>1.5</x:v>
      </x:c>
      <x:c r="H27" s="22" t="str">
        <x:v>Revisión documental</x:v>
      </x:c>
      <x:c r="I27" s="22" t="str">
        <x:v>Soporte documental verificado y actualizado</x:v>
      </x:c>
      <x:c r="J27" s="22" t="str">
        <x:v>Talento Humano</x:v>
      </x:c>
      <x:c r="K27" s="22" t="str">
        <x:v>No</x:v>
      </x:c>
      <x:c r="L27" s="22" t="str"/>
      <x:c r="M27" s="53"/>
      <x:c r="N27" s="22" t="str">
        <x:v>Cerrada</x:v>
      </x:c>
      <x:c r="O27" s="22" t="str">
        <x:v>Cumplimiento sostenido</x:v>
      </x:c>
      <x:c r="P27" s="22" t="n">
        <x:v>2024</x:v>
      </x:c>
      <x:c r="Q27" s="22" t="str">
        <x:v>IMA COMPANY SAS</x:v>
      </x:c>
      <x:c r="R27" s="22" t="str">
        <x:v>Consolidado empresarial</x:v>
      </x:c>
    </x:row>
    <x:row r="28" ht="39.599998474121094" hidden="0" customHeight="1">
      <x:c r="A28" s="22" t="n">
        <x:v>20</x:v>
      </x:c>
      <x:c r="B28" s="22" t="str">
        <x:v>Hacer</x:v>
      </x:c>
      <x:c r="C28" s="22" t="str">
        <x:v>Inducción y reinducción en SST</x:v>
      </x:c>
      <x:c r="D28" s="22" t="str">
        <x:v>Verificar la existencia, implementación y evidencia objetiva de 'inducción y reinducción en sst' conforme a la Resolución 0312 de 2019.</x:v>
      </x:c>
      <x:c r="E28" s="52" t="n">
        <x:v>1.5</x:v>
      </x:c>
      <x:c r="F28" s="22" t="str">
        <x:v>Cumple</x:v>
      </x:c>
      <x:c r="G28" s="52" t="n">
        <x:f>IF(F28="Cumple",E28,0)</x:f>
        <x:v>1.5</x:v>
      </x:c>
      <x:c r="H28" s="22" t="str">
        <x:v>Acta / evidencia</x:v>
      </x:c>
      <x:c r="I28" s="22" t="str">
        <x:v>Soporte documental verificado y actualizado</x:v>
      </x:c>
      <x:c r="J28" s="22" t="str">
        <x:v>Líder SST</x:v>
      </x:c>
      <x:c r="K28" s="22" t="str">
        <x:v>No</x:v>
      </x:c>
      <x:c r="L28" s="22" t="str"/>
      <x:c r="M28" s="53"/>
      <x:c r="N28" s="22" t="str">
        <x:v>Cerrada</x:v>
      </x:c>
      <x:c r="O28" s="22" t="str">
        <x:v>Cumplimiento sostenido</x:v>
      </x:c>
      <x:c r="P28" s="22" t="n">
        <x:v>2024</x:v>
      </x:c>
      <x:c r="Q28" s="22" t="str">
        <x:v>IMA COMPANY SAS</x:v>
      </x:c>
      <x:c r="R28" s="22" t="str">
        <x:v>Consolidado empresarial</x:v>
      </x:c>
    </x:row>
    <x:row r="29" ht="39.599998474121094" hidden="0" customHeight="1">
      <x:c r="A29" s="22" t="n">
        <x:v>21</x:v>
      </x:c>
      <x:c r="B29" s="22" t="str">
        <x:v>Hacer</x:v>
      </x:c>
      <x:c r="C29" s="22" t="str">
        <x:v>Entrega, reposición y control de EPP</x:v>
      </x:c>
      <x:c r="D29" s="22" t="str">
        <x:v>Verificar la existencia, implementación y evidencia objetiva de 'entrega, reposición y control de epp' conforme a la Resolución 0312 de 2019.</x:v>
      </x:c>
      <x:c r="E29" s="52" t="n">
        <x:v>1.5</x:v>
      </x:c>
      <x:c r="F29" s="22" t="str">
        <x:v>Cumple</x:v>
      </x:c>
      <x:c r="G29" s="52" t="n">
        <x:f>IF(F29="Cumple",E29,0)</x:f>
        <x:v>1.5</x:v>
      </x:c>
      <x:c r="H29" s="22" t="str">
        <x:v>Revisión documental</x:v>
      </x:c>
      <x:c r="I29" s="22" t="str">
        <x:v>Soporte documental verificado y actualizado</x:v>
      </x:c>
      <x:c r="J29" s="22" t="str">
        <x:v>Consultor SST</x:v>
      </x:c>
      <x:c r="K29" s="22" t="str">
        <x:v>No</x:v>
      </x:c>
      <x:c r="L29" s="22" t="str"/>
      <x:c r="M29" s="53"/>
      <x:c r="N29" s="22" t="str">
        <x:v>Cerrada</x:v>
      </x:c>
      <x:c r="O29" s="22" t="str">
        <x:v>Cumplimiento sostenido</x:v>
      </x:c>
      <x:c r="P29" s="22" t="n">
        <x:v>2024</x:v>
      </x:c>
      <x:c r="Q29" s="22" t="str">
        <x:v>IMA COMPANY SAS</x:v>
      </x:c>
      <x:c r="R29" s="22" t="str">
        <x:v>Consolidado empresarial</x:v>
      </x:c>
    </x:row>
    <x:row r="30" ht="39.599998474121094" hidden="0" customHeight="1">
      <x:c r="A30" s="22" t="n">
        <x:v>22</x:v>
      </x:c>
      <x:c r="B30" s="22" t="str">
        <x:v>Hacer</x:v>
      </x:c>
      <x:c r="C30" s="22" t="str">
        <x:v>Inspecciones planeadas de seguridad</x:v>
      </x:c>
      <x:c r="D30" s="22" t="str">
        <x:v>Verificar la existencia, implementación y evidencia objetiva de 'inspecciones planeadas de seguridad' conforme a la Resolución 0312 de 2019.</x:v>
      </x:c>
      <x:c r="E30" s="52" t="n">
        <x:v>1.5</x:v>
      </x:c>
      <x:c r="F30" s="22" t="str">
        <x:v>Cumple</x:v>
      </x:c>
      <x:c r="G30" s="52" t="n">
        <x:f>IF(F30="Cumple",E30,0)</x:f>
        <x:v>1.5</x:v>
      </x:c>
      <x:c r="H30" s="22" t="str">
        <x:v>Revisión documental</x:v>
      </x:c>
      <x:c r="I30" s="22" t="str">
        <x:v>Soporte documental verificado y actualizado</x:v>
      </x:c>
      <x:c r="J30" s="22" t="str">
        <x:v>COPASST</x:v>
      </x:c>
      <x:c r="K30" s="22" t="str">
        <x:v>No</x:v>
      </x:c>
      <x:c r="L30" s="22" t="str"/>
      <x:c r="M30" s="53"/>
      <x:c r="N30" s="22" t="str">
        <x:v>Cerrada</x:v>
      </x:c>
      <x:c r="O30" s="22" t="str">
        <x:v>Cumplimiento sostenido</x:v>
      </x:c>
      <x:c r="P30" s="22" t="n">
        <x:v>2024</x:v>
      </x:c>
      <x:c r="Q30" s="22" t="str">
        <x:v>IMA COMPANY SAS</x:v>
      </x:c>
      <x:c r="R30" s="22" t="str">
        <x:v>Consolidado empresarial</x:v>
      </x:c>
    </x:row>
    <x:row r="31" ht="39.599998474121094" hidden="0" customHeight="1">
      <x:c r="A31" s="22" t="n">
        <x:v>23</x:v>
      </x:c>
      <x:c r="B31" s="22" t="str">
        <x:v>Hacer</x:v>
      </x:c>
      <x:c r="C31" s="22" t="str">
        <x:v>Mantenimiento preventivo de equipos e instalaciones</x:v>
      </x:c>
      <x:c r="D31" s="22" t="str">
        <x:v>Verificar la existencia, implementación y evidencia objetiva de 'mantenimiento preventivo de equipos e instalaciones' conforme a la Resolución 0312 de 2019.</x:v>
      </x:c>
      <x:c r="E31" s="52" t="n">
        <x:v>1.5</x:v>
      </x:c>
      <x:c r="F31" s="22" t="str">
        <x:v>Cumple</x:v>
      </x:c>
      <x:c r="G31" s="52" t="n">
        <x:f>IF(F31="Cumple",E31,0)</x:f>
        <x:v>1.5</x:v>
      </x:c>
      <x:c r="H31" s="22" t="str">
        <x:v>Revisión documental</x:v>
      </x:c>
      <x:c r="I31" s="22" t="str">
        <x:v>Soporte documental verificado y actualizado</x:v>
      </x:c>
      <x:c r="J31" s="22" t="str">
        <x:v>Alta Dirección</x:v>
      </x:c>
      <x:c r="K31" s="22" t="str">
        <x:v>No</x:v>
      </x:c>
      <x:c r="L31" s="22" t="str"/>
      <x:c r="M31" s="53"/>
      <x:c r="N31" s="22" t="str">
        <x:v>Cerrada</x:v>
      </x:c>
      <x:c r="O31" s="22" t="str">
        <x:v>Cumplimiento sostenido</x:v>
      </x:c>
      <x:c r="P31" s="22" t="n">
        <x:v>2024</x:v>
      </x:c>
      <x:c r="Q31" s="22" t="str">
        <x:v>IMA COMPANY SAS</x:v>
      </x:c>
      <x:c r="R31" s="22" t="str">
        <x:v>Consolidado empresarial</x:v>
      </x:c>
    </x:row>
    <x:row r="32" ht="39.599998474121094" hidden="0" customHeight="1">
      <x:c r="A32" s="22" t="n">
        <x:v>24</x:v>
      </x:c>
      <x:c r="B32" s="22" t="str">
        <x:v>Hacer</x:v>
      </x:c>
      <x:c r="C32" s="22" t="str">
        <x:v>Gestión de contratistas y proveedores en SST</x:v>
      </x:c>
      <x:c r="D32" s="22" t="str">
        <x:v>Verificar la existencia, implementación y evidencia objetiva de 'gestión de contratistas y proveedores en sst' conforme a la Resolución 0312 de 2019.</x:v>
      </x:c>
      <x:c r="E32" s="52" t="n">
        <x:v>1.5</x:v>
      </x:c>
      <x:c r="F32" s="22" t="str">
        <x:v>Cumple</x:v>
      </x:c>
      <x:c r="G32" s="52" t="n">
        <x:f>IF(F32="Cumple",E32,0)</x:f>
        <x:v>1.5</x:v>
      </x:c>
      <x:c r="H32" s="22" t="str">
        <x:v>Acta / evidencia</x:v>
      </x:c>
      <x:c r="I32" s="22" t="str">
        <x:v>Soporte documental verificado y actualizado</x:v>
      </x:c>
      <x:c r="J32" s="22" t="str">
        <x:v>Talento Humano</x:v>
      </x:c>
      <x:c r="K32" s="22" t="str">
        <x:v>No</x:v>
      </x:c>
      <x:c r="L32" s="22" t="str"/>
      <x:c r="M32" s="53"/>
      <x:c r="N32" s="22" t="str">
        <x:v>Cerrada</x:v>
      </x:c>
      <x:c r="O32" s="22" t="str">
        <x:v>Cumplimiento sostenido</x:v>
      </x:c>
      <x:c r="P32" s="22" t="n">
        <x:v>2024</x:v>
      </x:c>
      <x:c r="Q32" s="22" t="str">
        <x:v>IMA COMPANY SAS</x:v>
      </x:c>
      <x:c r="R32" s="22" t="str">
        <x:v>Consolidado empresarial</x:v>
      </x:c>
    </x:row>
    <x:row r="33" ht="26.399999618530273" hidden="0" customHeight="1">
      <x:c r="A33" s="22" t="n">
        <x:v>25</x:v>
      </x:c>
      <x:c r="B33" s="22" t="str">
        <x:v>Hacer</x:v>
      </x:c>
      <x:c r="C33" s="22" t="str">
        <x:v>Gestión del cambio</x:v>
      </x:c>
      <x:c r="D33" s="22" t="str">
        <x:v>Verificar la existencia, implementación y evidencia objetiva de 'gestión del cambio' conforme a la Resolución 0312 de 2019.</x:v>
      </x:c>
      <x:c r="E33" s="52" t="n">
        <x:v>1.5</x:v>
      </x:c>
      <x:c r="F33" s="22" t="str">
        <x:v>Cumple</x:v>
      </x:c>
      <x:c r="G33" s="52" t="n">
        <x:f>IF(F33="Cumple",E33,0)</x:f>
        <x:v>1.5</x:v>
      </x:c>
      <x:c r="H33" s="22" t="str">
        <x:v>Revisión documental</x:v>
      </x:c>
      <x:c r="I33" s="22" t="str">
        <x:v>Soporte documental verificado y actualizado</x:v>
      </x:c>
      <x:c r="J33" s="22" t="str">
        <x:v>Líder SST</x:v>
      </x:c>
      <x:c r="K33" s="22" t="str">
        <x:v>No</x:v>
      </x:c>
      <x:c r="L33" s="22" t="str"/>
      <x:c r="M33" s="53"/>
      <x:c r="N33" s="22" t="str">
        <x:v>Cerrada</x:v>
      </x:c>
      <x:c r="O33" s="22" t="str">
        <x:v>Cumplimiento sostenido</x:v>
      </x:c>
      <x:c r="P33" s="22" t="n">
        <x:v>2024</x:v>
      </x:c>
      <x:c r="Q33" s="22" t="str">
        <x:v>IMA COMPANY SAS</x:v>
      </x:c>
      <x:c r="R33" s="22" t="str">
        <x:v>Consolidado empresarial</x:v>
      </x:c>
    </x:row>
    <x:row r="34" ht="39.599998474121094" hidden="0" customHeight="1">
      <x:c r="A34" s="22" t="n">
        <x:v>26</x:v>
      </x:c>
      <x:c r="B34" s="22" t="str">
        <x:v>Hacer</x:v>
      </x:c>
      <x:c r="C34" s="22" t="str">
        <x:v>Exámenes médicos ocupacionales de ingreso</x:v>
      </x:c>
      <x:c r="D34" s="22" t="str">
        <x:v>Verificar la existencia, implementación y evidencia objetiva de 'exámenes médicos ocupacionales de ingreso' conforme a la Resolución 0312 de 2019.</x:v>
      </x:c>
      <x:c r="E34" s="52" t="n">
        <x:v>1.5</x:v>
      </x:c>
      <x:c r="F34" s="22" t="str">
        <x:v>Cumple</x:v>
      </x:c>
      <x:c r="G34" s="52" t="n">
        <x:f>IF(F34="Cumple",E34,0)</x:f>
        <x:v>1.5</x:v>
      </x:c>
      <x:c r="H34" s="22" t="str">
        <x:v>Revisión documental</x:v>
      </x:c>
      <x:c r="I34" s="22" t="str">
        <x:v>Soporte documental verificado y actualizado</x:v>
      </x:c>
      <x:c r="J34" s="22" t="str">
        <x:v>Consultor SST</x:v>
      </x:c>
      <x:c r="K34" s="22" t="str">
        <x:v>No</x:v>
      </x:c>
      <x:c r="L34" s="22" t="str"/>
      <x:c r="M34" s="53"/>
      <x:c r="N34" s="22" t="str">
        <x:v>Cerrada</x:v>
      </x:c>
      <x:c r="O34" s="22" t="str">
        <x:v>Cumplimiento sostenido</x:v>
      </x:c>
      <x:c r="P34" s="22" t="n">
        <x:v>2024</x:v>
      </x:c>
      <x:c r="Q34" s="22" t="str">
        <x:v>IMA COMPANY SAS</x:v>
      </x:c>
      <x:c r="R34" s="22" t="str">
        <x:v>Consolidado empresarial</x:v>
      </x:c>
    </x:row>
    <x:row r="35" ht="39.599998474121094" hidden="0" customHeight="1">
      <x:c r="A35" s="22" t="n">
        <x:v>27</x:v>
      </x:c>
      <x:c r="B35" s="22" t="str">
        <x:v>Hacer</x:v>
      </x:c>
      <x:c r="C35" s="22" t="str">
        <x:v>Exámenes médicos periódicos</x:v>
      </x:c>
      <x:c r="D35" s="22" t="str">
        <x:v>Verificar la existencia, implementación y evidencia objetiva de 'exámenes médicos periódicos' conforme a la Resolución 0312 de 2019.</x:v>
      </x:c>
      <x:c r="E35" s="52" t="n">
        <x:v>1.5</x:v>
      </x:c>
      <x:c r="F35" s="22" t="str">
        <x:v>Cumple</x:v>
      </x:c>
      <x:c r="G35" s="52" t="n">
        <x:f>IF(F35="Cumple",E35,0)</x:f>
        <x:v>1.5</x:v>
      </x:c>
      <x:c r="H35" s="22" t="str">
        <x:v>Revisión documental</x:v>
      </x:c>
      <x:c r="I35" s="22" t="str">
        <x:v>Soporte documental verificado y actualizado</x:v>
      </x:c>
      <x:c r="J35" s="22" t="str">
        <x:v>COPASST</x:v>
      </x:c>
      <x:c r="K35" s="22" t="str">
        <x:v>No</x:v>
      </x:c>
      <x:c r="L35" s="22" t="str"/>
      <x:c r="M35" s="53"/>
      <x:c r="N35" s="22" t="str">
        <x:v>Cerrada</x:v>
      </x:c>
      <x:c r="O35" s="22" t="str">
        <x:v>Cumplimiento sostenido</x:v>
      </x:c>
      <x:c r="P35" s="22" t="n">
        <x:v>2024</x:v>
      </x:c>
      <x:c r="Q35" s="22" t="str">
        <x:v>IMA COMPANY SAS</x:v>
      </x:c>
      <x:c r="R35" s="22" t="str">
        <x:v>Consolidado empresarial</x:v>
      </x:c>
    </x:row>
    <x:row r="36" ht="39.599998474121094" hidden="0" customHeight="1">
      <x:c r="A36" s="22" t="n">
        <x:v>28</x:v>
      </x:c>
      <x:c r="B36" s="22" t="str">
        <x:v>Hacer</x:v>
      </x:c>
      <x:c r="C36" s="22" t="str">
        <x:v>Exámenes de retiro y post incapacidad</x:v>
      </x:c>
      <x:c r="D36" s="22" t="str">
        <x:v>Verificar la existencia, implementación y evidencia objetiva de 'exámenes de retiro y post incapacidad' conforme a la Resolución 0312 de 2019.</x:v>
      </x:c>
      <x:c r="E36" s="52" t="n">
        <x:v>1.5</x:v>
      </x:c>
      <x:c r="F36" s="22" t="str">
        <x:v>Cumple</x:v>
      </x:c>
      <x:c r="G36" s="52" t="n">
        <x:f>IF(F36="Cumple",E36,0)</x:f>
        <x:v>1.5</x:v>
      </x:c>
      <x:c r="H36" s="22" t="str">
        <x:v>Acta / evidencia</x:v>
      </x:c>
      <x:c r="I36" s="22" t="str">
        <x:v>Soporte documental verificado y actualizado</x:v>
      </x:c>
      <x:c r="J36" s="22" t="str">
        <x:v>Alta Dirección</x:v>
      </x:c>
      <x:c r="K36" s="22" t="str">
        <x:v>No</x:v>
      </x:c>
      <x:c r="L36" s="22" t="str"/>
      <x:c r="M36" s="53"/>
      <x:c r="N36" s="22" t="str">
        <x:v>Cerrada</x:v>
      </x:c>
      <x:c r="O36" s="22" t="str">
        <x:v>Cumplimiento sostenido</x:v>
      </x:c>
      <x:c r="P36" s="22" t="n">
        <x:v>2024</x:v>
      </x:c>
      <x:c r="Q36" s="22" t="str">
        <x:v>IMA COMPANY SAS</x:v>
      </x:c>
      <x:c r="R36" s="22" t="str">
        <x:v>Consolidado empresarial</x:v>
      </x:c>
    </x:row>
    <x:row r="37" ht="39.599998474121094" hidden="0" customHeight="1">
      <x:c r="A37" s="22" t="n">
        <x:v>29</x:v>
      </x:c>
      <x:c r="B37" s="22" t="str">
        <x:v>Hacer</x:v>
      </x:c>
      <x:c r="C37" s="22" t="str">
        <x:v>Reporte e investigación de accidentes de trabajo</x:v>
      </x:c>
      <x:c r="D37" s="22" t="str">
        <x:v>Verificar la existencia, implementación y evidencia objetiva de 'reporte e investigación de accidentes de trabajo' conforme a la Resolución 0312 de 2019.</x:v>
      </x:c>
      <x:c r="E37" s="52" t="n">
        <x:v>1.5</x:v>
      </x:c>
      <x:c r="F37" s="22" t="str">
        <x:v>Cumple</x:v>
      </x:c>
      <x:c r="G37" s="52" t="n">
        <x:f>IF(F37="Cumple",E37,0)</x:f>
        <x:v>1.5</x:v>
      </x:c>
      <x:c r="H37" s="22" t="str">
        <x:v>Revisión documental</x:v>
      </x:c>
      <x:c r="I37" s="22" t="str">
        <x:v>Soporte documental verificado y actualizado</x:v>
      </x:c>
      <x:c r="J37" s="22" t="str">
        <x:v>Talento Humano</x:v>
      </x:c>
      <x:c r="K37" s="22" t="str">
        <x:v>No</x:v>
      </x:c>
      <x:c r="L37" s="22" t="str"/>
      <x:c r="M37" s="53"/>
      <x:c r="N37" s="22" t="str">
        <x:v>Cerrada</x:v>
      </x:c>
      <x:c r="O37" s="22" t="str">
        <x:v>Cumplimiento sostenido</x:v>
      </x:c>
      <x:c r="P37" s="22" t="n">
        <x:v>2024</x:v>
      </x:c>
      <x:c r="Q37" s="22" t="str">
        <x:v>IMA COMPANY SAS</x:v>
      </x:c>
      <x:c r="R37" s="22" t="str">
        <x:v>Consolidado empresarial</x:v>
      </x:c>
    </x:row>
    <x:row r="38" ht="39.599998474121094" hidden="0" customHeight="1">
      <x:c r="A38" s="22" t="n">
        <x:v>30</x:v>
      </x:c>
      <x:c r="B38" s="22" t="str">
        <x:v>Hacer</x:v>
      </x:c>
      <x:c r="C38" s="22" t="str">
        <x:v>Reporte y seguimiento de enfermedades laborales</x:v>
      </x:c>
      <x:c r="D38" s="22" t="str">
        <x:v>Verificar la existencia, implementación y evidencia objetiva de 'reporte y seguimiento de enfermedades laborales' conforme a la Resolución 0312 de 2019.</x:v>
      </x:c>
      <x:c r="E38" s="52" t="n">
        <x:v>1.5</x:v>
      </x:c>
      <x:c r="F38" s="22" t="str">
        <x:v>Cumple</x:v>
      </x:c>
      <x:c r="G38" s="52" t="n">
        <x:f>IF(F38="Cumple",E38,0)</x:f>
        <x:v>1.5</x:v>
      </x:c>
      <x:c r="H38" s="22" t="str">
        <x:v>Revisión documental</x:v>
      </x:c>
      <x:c r="I38" s="22" t="str">
        <x:v>Soporte documental verificado y actualizado</x:v>
      </x:c>
      <x:c r="J38" s="22" t="str">
        <x:v>Líder SST</x:v>
      </x:c>
      <x:c r="K38" s="22" t="str">
        <x:v>No</x:v>
      </x:c>
      <x:c r="L38" s="22" t="str"/>
      <x:c r="M38" s="53"/>
      <x:c r="N38" s="22" t="str">
        <x:v>Cerrada</x:v>
      </x:c>
      <x:c r="O38" s="22" t="str">
        <x:v>Cumplimiento sostenido</x:v>
      </x:c>
      <x:c r="P38" s="22" t="n">
        <x:v>2024</x:v>
      </x:c>
      <x:c r="Q38" s="22" t="str">
        <x:v>IMA COMPANY SAS</x:v>
      </x:c>
      <x:c r="R38" s="22" t="str">
        <x:v>Consolidado empresarial</x:v>
      </x:c>
    </x:row>
    <x:row r="39" ht="39.599998474121094" hidden="0" customHeight="1">
      <x:c r="A39" s="22" t="n">
        <x:v>31</x:v>
      </x:c>
      <x:c r="B39" s="22" t="str">
        <x:v>Hacer</x:v>
      </x:c>
      <x:c r="C39" s="22" t="str">
        <x:v>Gestión de ausentismo laboral</x:v>
      </x:c>
      <x:c r="D39" s="22" t="str">
        <x:v>Verificar la existencia, implementación y evidencia objetiva de 'gestión de ausentismo laboral' conforme a la Resolución 0312 de 2019.</x:v>
      </x:c>
      <x:c r="E39" s="52" t="n">
        <x:v>2</x:v>
      </x:c>
      <x:c r="F39" s="22" t="str">
        <x:v>Cumple</x:v>
      </x:c>
      <x:c r="G39" s="52" t="n">
        <x:f>IF(F39="Cumple",E39,0)</x:f>
        <x:v>2</x:v>
      </x:c>
      <x:c r="H39" s="22" t="str">
        <x:v>Revisión documental</x:v>
      </x:c>
      <x:c r="I39" s="22" t="str">
        <x:v>Soporte documental verificado y actualizado</x:v>
      </x:c>
      <x:c r="J39" s="22" t="str">
        <x:v>Consultor SST</x:v>
      </x:c>
      <x:c r="K39" s="22" t="str">
        <x:v>No</x:v>
      </x:c>
      <x:c r="L39" s="22" t="str"/>
      <x:c r="M39" s="53"/>
      <x:c r="N39" s="22" t="str">
        <x:v>Cerrada</x:v>
      </x:c>
      <x:c r="O39" s="22" t="str">
        <x:v>Cumplimiento sostenido</x:v>
      </x:c>
      <x:c r="P39" s="22" t="n">
        <x:v>2024</x:v>
      </x:c>
      <x:c r="Q39" s="22" t="str">
        <x:v>IMA COMPANY SAS</x:v>
      </x:c>
      <x:c r="R39" s="22" t="str">
        <x:v>Consolidado empresarial</x:v>
      </x:c>
    </x:row>
    <x:row r="40" ht="39.599998474121094" hidden="0" customHeight="1">
      <x:c r="A40" s="22" t="n">
        <x:v>32</x:v>
      </x:c>
      <x:c r="B40" s="22" t="str">
        <x:v>Hacer</x:v>
      </x:c>
      <x:c r="C40" s="22" t="str">
        <x:v>Vigilancia epidemiológica</x:v>
      </x:c>
      <x:c r="D40" s="22" t="str">
        <x:v>Verificar la existencia, implementación y evidencia objetiva de 'vigilancia epidemiológica' conforme a la Resolución 0312 de 2019.</x:v>
      </x:c>
      <x:c r="E40" s="52" t="n">
        <x:v>2</x:v>
      </x:c>
      <x:c r="F40" s="22" t="str">
        <x:v>Cumple</x:v>
      </x:c>
      <x:c r="G40" s="52" t="n">
        <x:f>IF(F40="Cumple",E40,0)</x:f>
        <x:v>2</x:v>
      </x:c>
      <x:c r="H40" s="22" t="str">
        <x:v>Acta / evidencia</x:v>
      </x:c>
      <x:c r="I40" s="22" t="str">
        <x:v>Soporte documental verificado y actualizado</x:v>
      </x:c>
      <x:c r="J40" s="22" t="str">
        <x:v>COPASST</x:v>
      </x:c>
      <x:c r="K40" s="22" t="str">
        <x:v>No</x:v>
      </x:c>
      <x:c r="L40" s="22" t="str"/>
      <x:c r="M40" s="53"/>
      <x:c r="N40" s="22" t="str">
        <x:v>Cerrada</x:v>
      </x:c>
      <x:c r="O40" s="22" t="str">
        <x:v>Cumplimiento sostenido</x:v>
      </x:c>
      <x:c r="P40" s="22" t="n">
        <x:v>2024</x:v>
      </x:c>
      <x:c r="Q40" s="22" t="str">
        <x:v>IMA COMPANY SAS</x:v>
      </x:c>
      <x:c r="R40" s="22" t="str">
        <x:v>Consolidado empresarial</x:v>
      </x:c>
    </x:row>
    <x:row r="41" ht="39.599998474121094" hidden="0" customHeight="1">
      <x:c r="A41" s="22" t="n">
        <x:v>33</x:v>
      </x:c>
      <x:c r="B41" s="22" t="str">
        <x:v>Hacer</x:v>
      </x:c>
      <x:c r="C41" s="22" t="str">
        <x:v>Mediciones higiénicas y controles ambientales</x:v>
      </x:c>
      <x:c r="D41" s="22" t="str">
        <x:v>Verificar la existencia, implementación y evidencia objetiva de 'mediciones higiénicas y controles ambientales' conforme a la Resolución 0312 de 2019.</x:v>
      </x:c>
      <x:c r="E41" s="52" t="n">
        <x:v>2</x:v>
      </x:c>
      <x:c r="F41" s="22" t="str">
        <x:v>Cumple</x:v>
      </x:c>
      <x:c r="G41" s="52" t="n">
        <x:f>IF(F41="Cumple",E41,0)</x:f>
        <x:v>2</x:v>
      </x:c>
      <x:c r="H41" s="22" t="str">
        <x:v>Revisión documental</x:v>
      </x:c>
      <x:c r="I41" s="22" t="str">
        <x:v>Soporte documental verificado y actualizado</x:v>
      </x:c>
      <x:c r="J41" s="22" t="str">
        <x:v>Alta Dirección</x:v>
      </x:c>
      <x:c r="K41" s="22" t="str">
        <x:v>No</x:v>
      </x:c>
      <x:c r="L41" s="22" t="str"/>
      <x:c r="M41" s="53"/>
      <x:c r="N41" s="22" t="str">
        <x:v>Cerrada</x:v>
      </x:c>
      <x:c r="O41" s="22" t="str">
        <x:v>Cumplimiento sostenido</x:v>
      </x:c>
      <x:c r="P41" s="22" t="n">
        <x:v>2024</x:v>
      </x:c>
      <x:c r="Q41" s="22" t="str">
        <x:v>IMA COMPANY SAS</x:v>
      </x:c>
      <x:c r="R41" s="22" t="str">
        <x:v>Consolidado empresarial</x:v>
      </x:c>
    </x:row>
    <x:row r="42" ht="39.599998474121094" hidden="0" customHeight="1">
      <x:c r="A42" s="22" t="n">
        <x:v>34</x:v>
      </x:c>
      <x:c r="B42" s="22" t="str">
        <x:v>Hacer</x:v>
      </x:c>
      <x:c r="C42" s="22" t="str">
        <x:v>Señalización y demarcación de áreas</x:v>
      </x:c>
      <x:c r="D42" s="22" t="str">
        <x:v>Verificar la existencia, implementación y evidencia objetiva de 'señalización y demarcación de áreas' conforme a la Resolución 0312 de 2019.</x:v>
      </x:c>
      <x:c r="E42" s="52" t="n">
        <x:v>2</x:v>
      </x:c>
      <x:c r="F42" s="22" t="str">
        <x:v>Cumple</x:v>
      </x:c>
      <x:c r="G42" s="52" t="n">
        <x:f>IF(F42="Cumple",E42,0)</x:f>
        <x:v>2</x:v>
      </x:c>
      <x:c r="H42" s="22" t="str">
        <x:v>Revisión documental</x:v>
      </x:c>
      <x:c r="I42" s="22" t="str">
        <x:v>Soporte documental verificado y actualizado</x:v>
      </x:c>
      <x:c r="J42" s="22" t="str">
        <x:v>Talento Humano</x:v>
      </x:c>
      <x:c r="K42" s="22" t="str">
        <x:v>No</x:v>
      </x:c>
      <x:c r="L42" s="22" t="str"/>
      <x:c r="M42" s="53"/>
      <x:c r="N42" s="22" t="str">
        <x:v>Cerrada</x:v>
      </x:c>
      <x:c r="O42" s="22" t="str">
        <x:v>Cumplimiento sostenido</x:v>
      </x:c>
      <x:c r="P42" s="22" t="n">
        <x:v>2024</x:v>
      </x:c>
      <x:c r="Q42" s="22" t="str">
        <x:v>IMA COMPANY SAS</x:v>
      </x:c>
      <x:c r="R42" s="22" t="str">
        <x:v>Consolidado empresarial</x:v>
      </x:c>
    </x:row>
    <x:row r="43" ht="39.599998474121094" hidden="0" customHeight="1">
      <x:c r="A43" s="22" t="n">
        <x:v>35</x:v>
      </x:c>
      <x:c r="B43" s="22" t="str">
        <x:v>Hacer</x:v>
      </x:c>
      <x:c r="C43" s="22" t="str">
        <x:v>Plan de emergencias implementado</x:v>
      </x:c>
      <x:c r="D43" s="22" t="str">
        <x:v>Verificar la existencia, implementación y evidencia objetiva de 'plan de emergencias implementado' conforme a la Resolución 0312 de 2019.</x:v>
      </x:c>
      <x:c r="E43" s="52" t="n">
        <x:v>2</x:v>
      </x:c>
      <x:c r="F43" s="22" t="str">
        <x:v>Cumple</x:v>
      </x:c>
      <x:c r="G43" s="52" t="n">
        <x:f>IF(F43="Cumple",E43,0)</x:f>
        <x:v>2</x:v>
      </x:c>
      <x:c r="H43" s="22" t="str">
        <x:v>Revisión documental</x:v>
      </x:c>
      <x:c r="I43" s="22" t="str">
        <x:v>Soporte documental verificado y actualizado</x:v>
      </x:c>
      <x:c r="J43" s="22" t="str">
        <x:v>Líder SST</x:v>
      </x:c>
      <x:c r="K43" s="22" t="str">
        <x:v>No</x:v>
      </x:c>
      <x:c r="L43" s="22" t="str"/>
      <x:c r="M43" s="53"/>
      <x:c r="N43" s="22" t="str">
        <x:v>Cerrada</x:v>
      </x:c>
      <x:c r="O43" s="22" t="str">
        <x:v>Cumplimiento sostenido</x:v>
      </x:c>
      <x:c r="P43" s="22" t="n">
        <x:v>2024</x:v>
      </x:c>
      <x:c r="Q43" s="22" t="str">
        <x:v>IMA COMPANY SAS</x:v>
      </x:c>
      <x:c r="R43" s="22" t="str">
        <x:v>Consolidado empresarial</x:v>
      </x:c>
    </x:row>
    <x:row r="44" ht="39.599998474121094" hidden="0" customHeight="1">
      <x:c r="A44" s="22" t="n">
        <x:v>36</x:v>
      </x:c>
      <x:c r="B44" s="22" t="str">
        <x:v>Hacer</x:v>
      </x:c>
      <x:c r="C44" s="22" t="str">
        <x:v>Brigada de emergencias conformada y entrenada</x:v>
      </x:c>
      <x:c r="D44" s="22" t="str">
        <x:v>Verificar la existencia, implementación y evidencia objetiva de 'brigada de emergencias conformada y entrenada' conforme a la Resolución 0312 de 2019.</x:v>
      </x:c>
      <x:c r="E44" s="52" t="n">
        <x:v>2</x:v>
      </x:c>
      <x:c r="F44" s="22" t="str">
        <x:v>Cumple</x:v>
      </x:c>
      <x:c r="G44" s="52" t="n">
        <x:f>IF(F44="Cumple",E44,0)</x:f>
        <x:v>2</x:v>
      </x:c>
      <x:c r="H44" s="22" t="str">
        <x:v>Acta / evidencia</x:v>
      </x:c>
      <x:c r="I44" s="22" t="str">
        <x:v>Soporte documental verificado y actualizado</x:v>
      </x:c>
      <x:c r="J44" s="22" t="str">
        <x:v>Consultor SST</x:v>
      </x:c>
      <x:c r="K44" s="22" t="str">
        <x:v>No</x:v>
      </x:c>
      <x:c r="L44" s="22" t="str"/>
      <x:c r="M44" s="53"/>
      <x:c r="N44" s="22" t="str">
        <x:v>Cerrada</x:v>
      </x:c>
      <x:c r="O44" s="22" t="str">
        <x:v>Cumplimiento sostenido</x:v>
      </x:c>
      <x:c r="P44" s="22" t="n">
        <x:v>2024</x:v>
      </x:c>
      <x:c r="Q44" s="22" t="str">
        <x:v>IMA COMPANY SAS</x:v>
      </x:c>
      <x:c r="R44" s="22" t="str">
        <x:v>Consolidado empresarial</x:v>
      </x:c>
    </x:row>
    <x:row r="45" ht="39.599998474121094" hidden="0" customHeight="1">
      <x:c r="A45" s="22" t="n">
        <x:v>37</x:v>
      </x:c>
      <x:c r="B45" s="22" t="str">
        <x:v>Hacer</x:v>
      </x:c>
      <x:c r="C45" s="22" t="str">
        <x:v>Simulacros de evacuación y respuesta</x:v>
      </x:c>
      <x:c r="D45" s="22" t="str">
        <x:v>Verificar la existencia, implementación y evidencia objetiva de 'simulacros de evacuación y respuesta' conforme a la Resolución 0312 de 2019.</x:v>
      </x:c>
      <x:c r="E45" s="52" t="n">
        <x:v>2</x:v>
      </x:c>
      <x:c r="F45" s="22" t="str">
        <x:v>Cumple</x:v>
      </x:c>
      <x:c r="G45" s="52" t="n">
        <x:f>IF(F45="Cumple",E45,0)</x:f>
        <x:v>2</x:v>
      </x:c>
      <x:c r="H45" s="22" t="str">
        <x:v>Revisión documental</x:v>
      </x:c>
      <x:c r="I45" s="22" t="str">
        <x:v>Soporte documental verificado y actualizado</x:v>
      </x:c>
      <x:c r="J45" s="22" t="str">
        <x:v>COPASST</x:v>
      </x:c>
      <x:c r="K45" s="22" t="str">
        <x:v>No</x:v>
      </x:c>
      <x:c r="L45" s="22" t="str"/>
      <x:c r="M45" s="53"/>
      <x:c r="N45" s="22" t="str">
        <x:v>Cerrada</x:v>
      </x:c>
      <x:c r="O45" s="22" t="str">
        <x:v>Cumplimiento sostenido</x:v>
      </x:c>
      <x:c r="P45" s="22" t="n">
        <x:v>2024</x:v>
      </x:c>
      <x:c r="Q45" s="22" t="str">
        <x:v>IMA COMPANY SAS</x:v>
      </x:c>
      <x:c r="R45" s="22" t="str">
        <x:v>Consolidado empresarial</x:v>
      </x:c>
    </x:row>
    <x:row r="46" ht="39.599998474121094" hidden="0" customHeight="1">
      <x:c r="A46" s="22" t="n">
        <x:v>38</x:v>
      </x:c>
      <x:c r="B46" s="22" t="str">
        <x:v>Hacer</x:v>
      </x:c>
      <x:c r="C46" s="22" t="str">
        <x:v>Programa de estilos de vida y entornos saludables</x:v>
      </x:c>
      <x:c r="D46" s="22" t="str">
        <x:v>Verificar la existencia, implementación y evidencia objetiva de 'programa de estilos de vida y entornos saludables' conforme a la Resolución 0312 de 2019.</x:v>
      </x:c>
      <x:c r="E46" s="52" t="n">
        <x:v>2</x:v>
      </x:c>
      <x:c r="F46" s="22" t="str">
        <x:v>Cumple</x:v>
      </x:c>
      <x:c r="G46" s="52" t="n">
        <x:f>IF(F46="Cumple",E46,0)</x:f>
        <x:v>2</x:v>
      </x:c>
      <x:c r="H46" s="22" t="str">
        <x:v>Revisión documental</x:v>
      </x:c>
      <x:c r="I46" s="22" t="str">
        <x:v>Soporte documental verificado y actualizado</x:v>
      </x:c>
      <x:c r="J46" s="22" t="str">
        <x:v>Alta Dirección</x:v>
      </x:c>
      <x:c r="K46" s="22" t="str">
        <x:v>No</x:v>
      </x:c>
      <x:c r="L46" s="22" t="str"/>
      <x:c r="M46" s="53"/>
      <x:c r="N46" s="22" t="str">
        <x:v>Cerrada</x:v>
      </x:c>
      <x:c r="O46" s="22" t="str">
        <x:v>Cumplimiento sostenido</x:v>
      </x:c>
      <x:c r="P46" s="22" t="n">
        <x:v>2024</x:v>
      </x:c>
      <x:c r="Q46" s="22" t="str">
        <x:v>IMA COMPANY SAS</x:v>
      </x:c>
      <x:c r="R46" s="22" t="str">
        <x:v>Consolidado empresarial</x:v>
      </x:c>
    </x:row>
    <x:row r="47" ht="39.599998474121094" hidden="0" customHeight="1">
      <x:c r="A47" s="22" t="n">
        <x:v>39</x:v>
      </x:c>
      <x:c r="B47" s="22" t="str">
        <x:v>Hacer</x:v>
      </x:c>
      <x:c r="C47" s="22" t="str">
        <x:v>Participación y consulta de trabajadores</x:v>
      </x:c>
      <x:c r="D47" s="22" t="str">
        <x:v>Verificar la existencia, implementación y evidencia objetiva de 'participación y consulta de trabajadores' conforme a la Resolución 0312 de 2019.</x:v>
      </x:c>
      <x:c r="E47" s="52" t="n">
        <x:v>2</x:v>
      </x:c>
      <x:c r="F47" s="22" t="str">
        <x:v>Cumple</x:v>
      </x:c>
      <x:c r="G47" s="52" t="n">
        <x:f>IF(F47="Cumple",E47,0)</x:f>
        <x:v>2</x:v>
      </x:c>
      <x:c r="H47" s="22" t="str">
        <x:v>Revisión documental</x:v>
      </x:c>
      <x:c r="I47" s="22" t="str">
        <x:v>Soporte documental verificado y actualizado</x:v>
      </x:c>
      <x:c r="J47" s="22" t="str">
        <x:v>Talento Humano</x:v>
      </x:c>
      <x:c r="K47" s="22" t="str">
        <x:v>No</x:v>
      </x:c>
      <x:c r="L47" s="22" t="str"/>
      <x:c r="M47" s="53"/>
      <x:c r="N47" s="22" t="str">
        <x:v>Cerrada</x:v>
      </x:c>
      <x:c r="O47" s="22" t="str">
        <x:v>Cumplimiento sostenido</x:v>
      </x:c>
      <x:c r="P47" s="22" t="n">
        <x:v>2024</x:v>
      </x:c>
      <x:c r="Q47" s="22" t="str">
        <x:v>IMA COMPANY SAS</x:v>
      </x:c>
      <x:c r="R47" s="22" t="str">
        <x:v>Consolidado empresarial</x:v>
      </x:c>
    </x:row>
    <x:row r="48" ht="39.599998474121094" hidden="0" customHeight="1">
      <x:c r="A48" s="22" t="n">
        <x:v>40</x:v>
      </x:c>
      <x:c r="B48" s="22" t="str">
        <x:v>Hacer</x:v>
      </x:c>
      <x:c r="C48" s="22" t="str">
        <x:v>Comunicación interna y externa en SST</x:v>
      </x:c>
      <x:c r="D48" s="22" t="str">
        <x:v>Verificar la existencia, implementación y evidencia objetiva de 'comunicación interna y externa en sst' conforme a la Resolución 0312 de 2019.</x:v>
      </x:c>
      <x:c r="E48" s="52" t="n">
        <x:v>2</x:v>
      </x:c>
      <x:c r="F48" s="22" t="str">
        <x:v>Cumple</x:v>
      </x:c>
      <x:c r="G48" s="52" t="n">
        <x:f>IF(F48="Cumple",E48,0)</x:f>
        <x:v>2</x:v>
      </x:c>
      <x:c r="H48" s="22" t="str">
        <x:v>Acta / evidencia</x:v>
      </x:c>
      <x:c r="I48" s="22" t="str">
        <x:v>Soporte documental verificado y actualizado</x:v>
      </x:c>
      <x:c r="J48" s="22" t="str">
        <x:v>Líder SST</x:v>
      </x:c>
      <x:c r="K48" s="22" t="str">
        <x:v>No</x:v>
      </x:c>
      <x:c r="L48" s="22" t="str"/>
      <x:c r="M48" s="53"/>
      <x:c r="N48" s="22" t="str">
        <x:v>Cerrada</x:v>
      </x:c>
      <x:c r="O48" s="22" t="str">
        <x:v>Cumplimiento sostenido</x:v>
      </x:c>
      <x:c r="P48" s="22" t="n">
        <x:v>2024</x:v>
      </x:c>
      <x:c r="Q48" s="22" t="str">
        <x:v>IMA COMPANY SAS</x:v>
      </x:c>
      <x:c r="R48" s="22" t="str">
        <x:v>Consolidado empresarial</x:v>
      </x:c>
    </x:row>
    <x:row r="49" ht="39.599998474121094" hidden="0" customHeight="1">
      <x:c r="A49" s="22" t="n">
        <x:v>41</x:v>
      </x:c>
      <x:c r="B49" s="22" t="str">
        <x:v>Verificar</x:v>
      </x:c>
      <x:c r="C49" s="22" t="str">
        <x:v>Seguimiento al cumplimiento del plan anual</x:v>
      </x:c>
      <x:c r="D49" s="22" t="str">
        <x:v>Verificar la existencia, implementación y evidencia objetiva de 'seguimiento al cumplimiento del plan anual' conforme a la Resolución 0312 de 2019.</x:v>
      </x:c>
      <x:c r="E49" s="52" t="n">
        <x:v>1.5</x:v>
      </x:c>
      <x:c r="F49" s="22" t="str">
        <x:v>Cumple</x:v>
      </x:c>
      <x:c r="G49" s="52" t="n">
        <x:f>IF(F49="Cumple",E49,0)</x:f>
        <x:v>1.5</x:v>
      </x:c>
      <x:c r="H49" s="22" t="str">
        <x:v>Revisión documental</x:v>
      </x:c>
      <x:c r="I49" s="22" t="str">
        <x:v>Soporte documental verificado y actualizado</x:v>
      </x:c>
      <x:c r="J49" s="22" t="str">
        <x:v>Consultor SST</x:v>
      </x:c>
      <x:c r="K49" s="22" t="str">
        <x:v>No</x:v>
      </x:c>
      <x:c r="L49" s="22" t="str"/>
      <x:c r="M49" s="53"/>
      <x:c r="N49" s="22" t="str">
        <x:v>Cerrada</x:v>
      </x:c>
      <x:c r="O49" s="22" t="str">
        <x:v>Cumplimiento sostenido</x:v>
      </x:c>
      <x:c r="P49" s="22" t="n">
        <x:v>2024</x:v>
      </x:c>
      <x:c r="Q49" s="22" t="str">
        <x:v>IMA COMPANY SAS</x:v>
      </x:c>
      <x:c r="R49" s="22" t="str">
        <x:v>Consolidado empresarial</x:v>
      </x:c>
    </x:row>
    <x:row r="50" ht="39.599998474121094" hidden="0" customHeight="1">
      <x:c r="A50" s="22" t="n">
        <x:v>42</x:v>
      </x:c>
      <x:c r="B50" s="22" t="str">
        <x:v>Verificar</x:v>
      </x:c>
      <x:c r="C50" s="22" t="str">
        <x:v>Seguimiento a indicadores del SG-SST</x:v>
      </x:c>
      <x:c r="D50" s="22" t="str">
        <x:v>Verificar la existencia, implementación y evidencia objetiva de 'seguimiento a indicadores del sg-sst' conforme a la Resolución 0312 de 2019.</x:v>
      </x:c>
      <x:c r="E50" s="52" t="n">
        <x:v>1.5</x:v>
      </x:c>
      <x:c r="F50" s="22" t="str">
        <x:v>Cumple</x:v>
      </x:c>
      <x:c r="G50" s="52" t="n">
        <x:f>IF(F50="Cumple",E50,0)</x:f>
        <x:v>1.5</x:v>
      </x:c>
      <x:c r="H50" s="22" t="str">
        <x:v>Revisión documental</x:v>
      </x:c>
      <x:c r="I50" s="22" t="str">
        <x:v>Soporte documental verificado y actualizado</x:v>
      </x:c>
      <x:c r="J50" s="22" t="str">
        <x:v>COPASST</x:v>
      </x:c>
      <x:c r="K50" s="22" t="str">
        <x:v>No</x:v>
      </x:c>
      <x:c r="L50" s="22" t="str"/>
      <x:c r="M50" s="53"/>
      <x:c r="N50" s="22" t="str">
        <x:v>Cerrada</x:v>
      </x:c>
      <x:c r="O50" s="22" t="str">
        <x:v>Cumplimiento sostenido</x:v>
      </x:c>
      <x:c r="P50" s="22" t="n">
        <x:v>2024</x:v>
      </x:c>
      <x:c r="Q50" s="22" t="str">
        <x:v>IMA COMPANY SAS</x:v>
      </x:c>
      <x:c r="R50" s="22" t="str">
        <x:v>Consolidado empresarial</x:v>
      </x:c>
    </x:row>
    <x:row r="51" ht="39.599998474121094" hidden="0" customHeight="1">
      <x:c r="A51" s="22" t="n">
        <x:v>43</x:v>
      </x:c>
      <x:c r="B51" s="22" t="str">
        <x:v>Verificar</x:v>
      </x:c>
      <x:c r="C51" s="22" t="str">
        <x:v>Auditoría interna del SG-SST</x:v>
      </x:c>
      <x:c r="D51" s="22" t="str">
        <x:v>Verificar la existencia, implementación y evidencia objetiva de 'auditoría interna del sg-sst' conforme a la Resolución 0312 de 2019.</x:v>
      </x:c>
      <x:c r="E51" s="52" t="n">
        <x:v>1.5</x:v>
      </x:c>
      <x:c r="F51" s="22" t="str">
        <x:v>Cumple</x:v>
      </x:c>
      <x:c r="G51" s="52" t="n">
        <x:f>IF(F51="Cumple",E51,0)</x:f>
        <x:v>1.5</x:v>
      </x:c>
      <x:c r="H51" s="22" t="str">
        <x:v>Revisión documental</x:v>
      </x:c>
      <x:c r="I51" s="22" t="str">
        <x:v>Soporte documental verificado y actualizado</x:v>
      </x:c>
      <x:c r="J51" s="22" t="str">
        <x:v>Alta Dirección</x:v>
      </x:c>
      <x:c r="K51" s="22" t="str">
        <x:v>No</x:v>
      </x:c>
      <x:c r="L51" s="22" t="str"/>
      <x:c r="M51" s="53"/>
      <x:c r="N51" s="22" t="str">
        <x:v>Cerrada</x:v>
      </x:c>
      <x:c r="O51" s="22" t="str">
        <x:v>Cumplimiento sostenido</x:v>
      </x:c>
      <x:c r="P51" s="22" t="n">
        <x:v>2024</x:v>
      </x:c>
      <x:c r="Q51" s="22" t="str">
        <x:v>IMA COMPANY SAS</x:v>
      </x:c>
      <x:c r="R51" s="22" t="str">
        <x:v>Consolidado empresarial</x:v>
      </x:c>
    </x:row>
    <x:row r="52" ht="39.599998474121094" hidden="0" customHeight="1">
      <x:c r="A52" s="22" t="n">
        <x:v>44</x:v>
      </x:c>
      <x:c r="B52" s="22" t="str">
        <x:v>Verificar</x:v>
      </x:c>
      <x:c r="C52" s="22" t="str">
        <x:v>Revisión de cumplimiento legal</x:v>
      </x:c>
      <x:c r="D52" s="22" t="str">
        <x:v>Verificar la existencia, implementación y evidencia objetiva de 'revisión de cumplimiento legal' conforme a la Resolución 0312 de 2019.</x:v>
      </x:c>
      <x:c r="E52" s="52" t="n">
        <x:v>1.5</x:v>
      </x:c>
      <x:c r="F52" s="22" t="str">
        <x:v>Cumple</x:v>
      </x:c>
      <x:c r="G52" s="52" t="n">
        <x:f>IF(F52="Cumple",E52,0)</x:f>
        <x:v>1.5</x:v>
      </x:c>
      <x:c r="H52" s="22" t="str">
        <x:v>Acta / evidencia</x:v>
      </x:c>
      <x:c r="I52" s="22" t="str">
        <x:v>Soporte documental verificado y actualizado</x:v>
      </x:c>
      <x:c r="J52" s="22" t="str">
        <x:v>Talento Humano</x:v>
      </x:c>
      <x:c r="K52" s="22" t="str">
        <x:v>No</x:v>
      </x:c>
      <x:c r="L52" s="22" t="str"/>
      <x:c r="M52" s="53"/>
      <x:c r="N52" s="22" t="str">
        <x:v>Cerrada</x:v>
      </x:c>
      <x:c r="O52" s="22" t="str">
        <x:v>Cumplimiento sostenido</x:v>
      </x:c>
      <x:c r="P52" s="22" t="n">
        <x:v>2024</x:v>
      </x:c>
      <x:c r="Q52" s="22" t="str">
        <x:v>IMA COMPANY SAS</x:v>
      </x:c>
      <x:c r="R52" s="22" t="str">
        <x:v>Consolidado empresarial</x:v>
      </x:c>
    </x:row>
    <x:row r="53" ht="39.599998474121094" hidden="0" customHeight="1">
      <x:c r="A53" s="22" t="n">
        <x:v>45</x:v>
      </x:c>
      <x:c r="B53" s="22" t="str">
        <x:v>Verificar</x:v>
      </x:c>
      <x:c r="C53" s="22" t="str">
        <x:v>Verificación de controles operacionales</x:v>
      </x:c>
      <x:c r="D53" s="22" t="str">
        <x:v>Verificar la existencia, implementación y evidencia objetiva de 'verificación de controles operacionales' conforme a la Resolución 0312 de 2019.</x:v>
      </x:c>
      <x:c r="E53" s="52" t="n">
        <x:v>1.5</x:v>
      </x:c>
      <x:c r="F53" s="22" t="str">
        <x:v>Cumple</x:v>
      </x:c>
      <x:c r="G53" s="52" t="n">
        <x:f>IF(F53="Cumple",E53,0)</x:f>
        <x:v>1.5</x:v>
      </x:c>
      <x:c r="H53" s="22" t="str">
        <x:v>Revisión documental</x:v>
      </x:c>
      <x:c r="I53" s="22" t="str">
        <x:v>Soporte documental verificado y actualizado</x:v>
      </x:c>
      <x:c r="J53" s="22" t="str">
        <x:v>Líder SST</x:v>
      </x:c>
      <x:c r="K53" s="22" t="str">
        <x:v>No</x:v>
      </x:c>
      <x:c r="L53" s="22" t="str"/>
      <x:c r="M53" s="53"/>
      <x:c r="N53" s="22" t="str">
        <x:v>Cerrada</x:v>
      </x:c>
      <x:c r="O53" s="22" t="str">
        <x:v>Cumplimiento sostenido</x:v>
      </x:c>
      <x:c r="P53" s="22" t="n">
        <x:v>2024</x:v>
      </x:c>
      <x:c r="Q53" s="22" t="str">
        <x:v>IMA COMPANY SAS</x:v>
      </x:c>
      <x:c r="R53" s="22" t="str">
        <x:v>Consolidado empresarial</x:v>
      </x:c>
    </x:row>
    <x:row r="54" ht="39.599998474121094" hidden="0" customHeight="1">
      <x:c r="A54" s="22" t="n">
        <x:v>46</x:v>
      </x:c>
      <x:c r="B54" s="22" t="str">
        <x:v>Verificar</x:v>
      </x:c>
      <x:c r="C54" s="22" t="str">
        <x:v>Seguimiento a capacitación y competencia</x:v>
      </x:c>
      <x:c r="D54" s="22" t="str">
        <x:v>Verificar la existencia, implementación y evidencia objetiva de 'seguimiento a capacitación y competencia' conforme a la Resolución 0312 de 2019.</x:v>
      </x:c>
      <x:c r="E54" s="52" t="n">
        <x:v>2</x:v>
      </x:c>
      <x:c r="F54" s="22" t="str">
        <x:v>Cumple</x:v>
      </x:c>
      <x:c r="G54" s="52" t="n">
        <x:f>IF(F54="Cumple",E54,0)</x:f>
        <x:v>2</x:v>
      </x:c>
      <x:c r="H54" s="22" t="str">
        <x:v>Revisión documental</x:v>
      </x:c>
      <x:c r="I54" s="22" t="str">
        <x:v>Soporte documental verificado y actualizado</x:v>
      </x:c>
      <x:c r="J54" s="22" t="str">
        <x:v>Consultor SST</x:v>
      </x:c>
      <x:c r="K54" s="22" t="str">
        <x:v>No</x:v>
      </x:c>
      <x:c r="L54" s="22" t="str"/>
      <x:c r="M54" s="53"/>
      <x:c r="N54" s="22" t="str">
        <x:v>Cerrada</x:v>
      </x:c>
      <x:c r="O54" s="22" t="str">
        <x:v>Cumplimiento sostenido</x:v>
      </x:c>
      <x:c r="P54" s="22" t="n">
        <x:v>2024</x:v>
      </x:c>
      <x:c r="Q54" s="22" t="str">
        <x:v>IMA COMPANY SAS</x:v>
      </x:c>
      <x:c r="R54" s="22" t="str">
        <x:v>Consolidado empresarial</x:v>
      </x:c>
    </x:row>
    <x:row r="55" ht="39.599998474121094" hidden="0" customHeight="1">
      <x:c r="A55" s="22" t="n">
        <x:v>47</x:v>
      </x:c>
      <x:c r="B55" s="22" t="str">
        <x:v>Verificar</x:v>
      </x:c>
      <x:c r="C55" s="22" t="str">
        <x:v>Seguimiento a accidentalidad y enfermedad laboral</x:v>
      </x:c>
      <x:c r="D55" s="22" t="str">
        <x:v>Verificar la existencia, implementación y evidencia objetiva de 'seguimiento a accidentalidad y enfermedad laboral' conforme a la Resolución 0312 de 2019.</x:v>
      </x:c>
      <x:c r="E55" s="52" t="n">
        <x:v>2</x:v>
      </x:c>
      <x:c r="F55" s="22" t="str">
        <x:v>Cumple</x:v>
      </x:c>
      <x:c r="G55" s="52" t="n">
        <x:f>IF(F55="Cumple",E55,0)</x:f>
        <x:v>2</x:v>
      </x:c>
      <x:c r="H55" s="22" t="str">
        <x:v>Revisión documental</x:v>
      </x:c>
      <x:c r="I55" s="22" t="str">
        <x:v>Soporte documental verificado y actualizado</x:v>
      </x:c>
      <x:c r="J55" s="22" t="str">
        <x:v>COPASST</x:v>
      </x:c>
      <x:c r="K55" s="22" t="str">
        <x:v>No</x:v>
      </x:c>
      <x:c r="L55" s="22" t="str"/>
      <x:c r="M55" s="53"/>
      <x:c r="N55" s="22" t="str">
        <x:v>Cerrada</x:v>
      </x:c>
      <x:c r="O55" s="22" t="str">
        <x:v>Cumplimiento sostenido</x:v>
      </x:c>
      <x:c r="P55" s="22" t="n">
        <x:v>2024</x:v>
      </x:c>
      <x:c r="Q55" s="22" t="str">
        <x:v>IMA COMPANY SAS</x:v>
      </x:c>
      <x:c r="R55" s="22" t="str">
        <x:v>Consolidado empresarial</x:v>
      </x:c>
    </x:row>
    <x:row r="56" ht="39.599998474121094" hidden="0" customHeight="1">
      <x:c r="A56" s="22" t="n">
        <x:v>48</x:v>
      </x:c>
      <x:c r="B56" s="22" t="str">
        <x:v>Verificar</x:v>
      </x:c>
      <x:c r="C56" s="22" t="str">
        <x:v>Seguimiento a inspecciones y hallazgos</x:v>
      </x:c>
      <x:c r="D56" s="22" t="str">
        <x:v>Verificar la existencia, implementación y evidencia objetiva de 'seguimiento a inspecciones y hallazgos' conforme a la Resolución 0312 de 2019.</x:v>
      </x:c>
      <x:c r="E56" s="52" t="n">
        <x:v>2</x:v>
      </x:c>
      <x:c r="F56" s="22" t="str">
        <x:v>Cumple</x:v>
      </x:c>
      <x:c r="G56" s="52" t="n">
        <x:f>IF(F56="Cumple",E56,0)</x:f>
        <x:v>2</x:v>
      </x:c>
      <x:c r="H56" s="22" t="str">
        <x:v>Acta / evidencia</x:v>
      </x:c>
      <x:c r="I56" s="22" t="str">
        <x:v>Soporte documental verificado y actualizado</x:v>
      </x:c>
      <x:c r="J56" s="22" t="str">
        <x:v>Alta Dirección</x:v>
      </x:c>
      <x:c r="K56" s="22" t="str">
        <x:v>No</x:v>
      </x:c>
      <x:c r="L56" s="22" t="str"/>
      <x:c r="M56" s="53"/>
      <x:c r="N56" s="22" t="str">
        <x:v>Cerrada</x:v>
      </x:c>
      <x:c r="O56" s="22" t="str">
        <x:v>Cumplimiento sostenido</x:v>
      </x:c>
      <x:c r="P56" s="22" t="n">
        <x:v>2024</x:v>
      </x:c>
      <x:c r="Q56" s="22" t="str">
        <x:v>IMA COMPANY SAS</x:v>
      </x:c>
      <x:c r="R56" s="22" t="str">
        <x:v>Consolidado empresarial</x:v>
      </x:c>
    </x:row>
    <x:row r="57" ht="39.599998474121094" hidden="0" customHeight="1">
      <x:c r="A57" s="22" t="n">
        <x:v>49</x:v>
      </x:c>
      <x:c r="B57" s="22" t="str">
        <x:v>Verificar</x:v>
      </x:c>
      <x:c r="C57" s="22" t="str">
        <x:v>Evaluación de eficacia de acciones implementadas</x:v>
      </x:c>
      <x:c r="D57" s="22" t="str">
        <x:v>Verificar la existencia, implementación y evidencia objetiva de 'evaluación de eficacia de acciones implementadas' conforme a la Resolución 0312 de 2019.</x:v>
      </x:c>
      <x:c r="E57" s="52" t="n">
        <x:v>2</x:v>
      </x:c>
      <x:c r="F57" s="22" t="str">
        <x:v>Cumple</x:v>
      </x:c>
      <x:c r="G57" s="52" t="n">
        <x:f>IF(F57="Cumple",E57,0)</x:f>
        <x:v>2</x:v>
      </x:c>
      <x:c r="H57" s="22" t="str">
        <x:v>Revisión documental</x:v>
      </x:c>
      <x:c r="I57" s="22" t="str">
        <x:v>Soporte documental verificado y actualizado</x:v>
      </x:c>
      <x:c r="J57" s="22" t="str">
        <x:v>Talento Humano</x:v>
      </x:c>
      <x:c r="K57" s="22" t="str">
        <x:v>No</x:v>
      </x:c>
      <x:c r="L57" s="22" t="str"/>
      <x:c r="M57" s="53"/>
      <x:c r="N57" s="22" t="str">
        <x:v>Cerrada</x:v>
      </x:c>
      <x:c r="O57" s="22" t="str">
        <x:v>Cumplimiento sostenido</x:v>
      </x:c>
      <x:c r="P57" s="22" t="n">
        <x:v>2024</x:v>
      </x:c>
      <x:c r="Q57" s="22" t="str">
        <x:v>IMA COMPANY SAS</x:v>
      </x:c>
      <x:c r="R57" s="22" t="str">
        <x:v>Consolidado empresarial</x:v>
      </x:c>
    </x:row>
    <x:row r="58" ht="39.599998474121094" hidden="0" customHeight="1">
      <x:c r="A58" s="22" t="n">
        <x:v>50</x:v>
      </x:c>
      <x:c r="B58" s="22" t="str">
        <x:v>Verificar</x:v>
      </x:c>
      <x:c r="C58" s="22" t="str">
        <x:v>Revisión por la dirección del SG-SST</x:v>
      </x:c>
      <x:c r="D58" s="22" t="str">
        <x:v>Verificar la existencia, implementación y evidencia objetiva de 'revisión por la dirección del sg-sst' conforme a la Resolución 0312 de 2019.</x:v>
      </x:c>
      <x:c r="E58" s="52" t="n">
        <x:v>2</x:v>
      </x:c>
      <x:c r="F58" s="22" t="str">
        <x:v>Cumple</x:v>
      </x:c>
      <x:c r="G58" s="52" t="n">
        <x:f>IF(F58="Cumple",E58,0)</x:f>
        <x:v>2</x:v>
      </x:c>
      <x:c r="H58" s="22" t="str">
        <x:v>Revisión documental</x:v>
      </x:c>
      <x:c r="I58" s="22" t="str">
        <x:v>Soporte documental verificado y actualizado</x:v>
      </x:c>
      <x:c r="J58" s="22" t="str">
        <x:v>Líder SST</x:v>
      </x:c>
      <x:c r="K58" s="22" t="str">
        <x:v>No</x:v>
      </x:c>
      <x:c r="L58" s="22" t="str"/>
      <x:c r="M58" s="53"/>
      <x:c r="N58" s="22" t="str">
        <x:v>Cerrada</x:v>
      </x:c>
      <x:c r="O58" s="22" t="str">
        <x:v>Cumplimiento sostenido</x:v>
      </x:c>
      <x:c r="P58" s="22" t="n">
        <x:v>2024</x:v>
      </x:c>
      <x:c r="Q58" s="22" t="str">
        <x:v>IMA COMPANY SAS</x:v>
      </x:c>
      <x:c r="R58" s="22" t="str">
        <x:v>Consolidado empresarial</x:v>
      </x:c>
    </x:row>
    <x:row r="59" ht="39.599998474121094" hidden="0" customHeight="1">
      <x:c r="A59" s="22" t="n">
        <x:v>51</x:v>
      </x:c>
      <x:c r="B59" s="22" t="str">
        <x:v>Actuar</x:v>
      </x:c>
      <x:c r="C59" s="22" t="str">
        <x:v>Tratamiento de no conformidades</x:v>
      </x:c>
      <x:c r="D59" s="22" t="str">
        <x:v>Verificar la existencia, implementación y evidencia objetiva de 'tratamiento de no conformidades' conforme a la Resolución 0312 de 2019.</x:v>
      </x:c>
      <x:c r="E59" s="52" t="n">
        <x:v>1.5</x:v>
      </x:c>
      <x:c r="F59" s="22" t="str">
        <x:v>Cumple</x:v>
      </x:c>
      <x:c r="G59" s="52" t="n">
        <x:f>IF(F59="Cumple",E59,0)</x:f>
        <x:v>1.5</x:v>
      </x:c>
      <x:c r="H59" s="22" t="str">
        <x:v>Revisión documental</x:v>
      </x:c>
      <x:c r="I59" s="22" t="str">
        <x:v>Soporte documental verificado y actualizado</x:v>
      </x:c>
      <x:c r="J59" s="22" t="str">
        <x:v>Consultor SST</x:v>
      </x:c>
      <x:c r="K59" s="22" t="str">
        <x:v>No</x:v>
      </x:c>
      <x:c r="L59" s="22" t="str"/>
      <x:c r="M59" s="53"/>
      <x:c r="N59" s="22" t="str">
        <x:v>Cerrada</x:v>
      </x:c>
      <x:c r="O59" s="22" t="str">
        <x:v>Cumplimiento sostenido</x:v>
      </x:c>
      <x:c r="P59" s="22" t="n">
        <x:v>2024</x:v>
      </x:c>
      <x:c r="Q59" s="22" t="str">
        <x:v>IMA COMPANY SAS</x:v>
      </x:c>
      <x:c r="R59" s="22" t="str">
        <x:v>Consolidado empresarial</x:v>
      </x:c>
    </x:row>
    <x:row r="60" ht="39.599998474121094" hidden="0" customHeight="1">
      <x:c r="A60" s="22" t="n">
        <x:v>52</x:v>
      </x:c>
      <x:c r="B60" s="22" t="str">
        <x:v>Actuar</x:v>
      </x:c>
      <x:c r="C60" s="22" t="str">
        <x:v>Acciones correctivas derivadas de auditorías</x:v>
      </x:c>
      <x:c r="D60" s="22" t="str">
        <x:v>Verificar la existencia, implementación y evidencia objetiva de 'acciones correctivas derivadas de auditorías' conforme a la Resolución 0312 de 2019.</x:v>
      </x:c>
      <x:c r="E60" s="52" t="n">
        <x:v>1.5</x:v>
      </x:c>
      <x:c r="F60" s="22" t="str">
        <x:v>No cumple</x:v>
      </x:c>
      <x:c r="G60" s="52" t="n">
        <x:f>IF(F60="Cumple",E60,0)</x:f>
        <x:v>0</x:v>
      </x:c>
      <x:c r="H60" s="22" t="str">
        <x:v>Acta / evidencia</x:v>
      </x:c>
      <x:c r="I60" s="22" t="str">
        <x:v>Pendiente de fortalecer evidencia objetiva</x:v>
      </x:c>
      <x:c r="J60" s="22" t="str">
        <x:v>COPASST</x:v>
      </x:c>
      <x:c r="K60" s="22" t="str">
        <x:v>Sí</x:v>
      </x:c>
      <x:c r="L60" s="22" t="str">
        <x:v>Implementar plan de acción para cerrar brecha en: acciones correctivas derivadas de auditorías.</x:v>
      </x:c>
      <x:c r="M60" s="53" t="n">
        <x:v>45565</x:v>
      </x:c>
      <x:c r="N60" s="22" t="str">
        <x:v>Abierta</x:v>
      </x:c>
      <x:c r="O60" s="22" t="str">
        <x:v>Requiere seguimiento en comité o revisión por la dirección</x:v>
      </x:c>
      <x:c r="P60" s="22" t="n">
        <x:v>2024</x:v>
      </x:c>
      <x:c r="Q60" s="22" t="str">
        <x:v>IMA COMPANY SAS</x:v>
      </x:c>
      <x:c r="R60" s="22" t="str">
        <x:v>Consolidado empresarial</x:v>
      </x:c>
    </x:row>
    <x:row r="61" ht="39.599998474121094" hidden="0" customHeight="1">
      <x:c r="A61" s="22" t="n">
        <x:v>53</x:v>
      </x:c>
      <x:c r="B61" s="22" t="str">
        <x:v>Actuar</x:v>
      </x:c>
      <x:c r="C61" s="22" t="str">
        <x:v>Acciones preventivas derivadas de análisis de riesgos</x:v>
      </x:c>
      <x:c r="D61" s="22" t="str">
        <x:v>Verificar la existencia, implementación y evidencia objetiva de 'acciones preventivas derivadas de análisis de riesgos' conforme a la Resolución 0312 de 2019.</x:v>
      </x:c>
      <x:c r="E61" s="52" t="n">
        <x:v>1.5</x:v>
      </x:c>
      <x:c r="F61" s="22" t="str">
        <x:v>No cumple</x:v>
      </x:c>
      <x:c r="G61" s="52" t="n">
        <x:f>IF(F61="Cumple",E61,0)</x:f>
        <x:v>0</x:v>
      </x:c>
      <x:c r="H61" s="22" t="str">
        <x:v>Revisión documental</x:v>
      </x:c>
      <x:c r="I61" s="22" t="str">
        <x:v>Pendiente de fortalecer evidencia objetiva</x:v>
      </x:c>
      <x:c r="J61" s="22" t="str">
        <x:v>Alta Dirección</x:v>
      </x:c>
      <x:c r="K61" s="22" t="str">
        <x:v>Sí</x:v>
      </x:c>
      <x:c r="L61" s="22" t="str">
        <x:v>Implementar plan de acción para cerrar brecha en: acciones preventivas derivadas de análisis de riesgos.</x:v>
      </x:c>
      <x:c r="M61" s="53" t="n">
        <x:v>45565</x:v>
      </x:c>
      <x:c r="N61" s="22" t="str">
        <x:v>Abierta</x:v>
      </x:c>
      <x:c r="O61" s="22" t="str">
        <x:v>Requiere seguimiento en comité o revisión por la dirección</x:v>
      </x:c>
      <x:c r="P61" s="22" t="n">
        <x:v>2024</x:v>
      </x:c>
      <x:c r="Q61" s="22" t="str">
        <x:v>IMA COMPANY SAS</x:v>
      </x:c>
      <x:c r="R61" s="22" t="str">
        <x:v>Consolidado empresarial</x:v>
      </x:c>
    </x:row>
    <x:row r="62" ht="39.599998474121094" hidden="0" customHeight="1">
      <x:c r="A62" s="22" t="n">
        <x:v>54</x:v>
      </x:c>
      <x:c r="B62" s="22" t="str">
        <x:v>Actuar</x:v>
      </x:c>
      <x:c r="C62" s="22" t="str">
        <x:v>Planes de mejora del SG-SST</x:v>
      </x:c>
      <x:c r="D62" s="22" t="str">
        <x:v>Verificar la existencia, implementación y evidencia objetiva de 'planes de mejora del sg-sst' conforme a la Resolución 0312 de 2019.</x:v>
      </x:c>
      <x:c r="E62" s="52" t="n">
        <x:v>1.5</x:v>
      </x:c>
      <x:c r="F62" s="22" t="str">
        <x:v>Cumple</x:v>
      </x:c>
      <x:c r="G62" s="52" t="n">
        <x:f>IF(F62="Cumple",E62,0)</x:f>
        <x:v>1.5</x:v>
      </x:c>
      <x:c r="H62" s="22" t="str">
        <x:v>Revisión documental</x:v>
      </x:c>
      <x:c r="I62" s="22" t="str">
        <x:v>Soporte documental verificado y actualizado</x:v>
      </x:c>
      <x:c r="J62" s="22" t="str">
        <x:v>Talento Humano</x:v>
      </x:c>
      <x:c r="K62" s="22" t="str">
        <x:v>No</x:v>
      </x:c>
      <x:c r="L62" s="22" t="str"/>
      <x:c r="M62" s="53"/>
      <x:c r="N62" s="22" t="str">
        <x:v>Cerrada</x:v>
      </x:c>
      <x:c r="O62" s="22" t="str">
        <x:v>Cumplimiento sostenido</x:v>
      </x:c>
      <x:c r="P62" s="22" t="n">
        <x:v>2024</x:v>
      </x:c>
      <x:c r="Q62" s="22" t="str">
        <x:v>IMA COMPANY SAS</x:v>
      </x:c>
      <x:c r="R62" s="22" t="str">
        <x:v>Consolidado empresarial</x:v>
      </x:c>
    </x:row>
    <x:row r="63" ht="39.599998474121094" hidden="0" customHeight="1">
      <x:c r="A63" s="22" t="n">
        <x:v>55</x:v>
      </x:c>
      <x:c r="B63" s="22" t="str">
        <x:v>Actuar</x:v>
      </x:c>
      <x:c r="C63" s="22" t="str">
        <x:v>Lecciones aprendidas e innovación</x:v>
      </x:c>
      <x:c r="D63" s="22" t="str">
        <x:v>Verificar la existencia, implementación y evidencia objetiva de 'lecciones aprendidas e innovación' conforme a la Resolución 0312 de 2019.</x:v>
      </x:c>
      <x:c r="E63" s="52" t="n">
        <x:v>1.5</x:v>
      </x:c>
      <x:c r="F63" s="22" t="str">
        <x:v>Cumple</x:v>
      </x:c>
      <x:c r="G63" s="52" t="n">
        <x:f>IF(F63="Cumple",E63,0)</x:f>
        <x:v>1.5</x:v>
      </x:c>
      <x:c r="H63" s="22" t="str">
        <x:v>Revisión documental</x:v>
      </x:c>
      <x:c r="I63" s="22" t="str">
        <x:v>Soporte documental verificado y actualizado</x:v>
      </x:c>
      <x:c r="J63" s="22" t="str">
        <x:v>Líder SST</x:v>
      </x:c>
      <x:c r="K63" s="22" t="str">
        <x:v>No</x:v>
      </x:c>
      <x:c r="L63" s="22" t="str"/>
      <x:c r="M63" s="53"/>
      <x:c r="N63" s="22" t="str">
        <x:v>Cerrada</x:v>
      </x:c>
      <x:c r="O63" s="22" t="str">
        <x:v>Cumplimiento sostenido</x:v>
      </x:c>
      <x:c r="P63" s="22" t="n">
        <x:v>2024</x:v>
      </x:c>
      <x:c r="Q63" s="22" t="str">
        <x:v>IMA COMPANY SAS</x:v>
      </x:c>
      <x:c r="R63" s="22" t="str">
        <x:v>Consolidado empresarial</x:v>
      </x:c>
    </x:row>
    <x:row r="64" ht="39.599998474121094" hidden="0" customHeight="1">
      <x:c r="A64" s="22" t="n">
        <x:v>56</x:v>
      </x:c>
      <x:c r="B64" s="22" t="str">
        <x:v>Actuar</x:v>
      </x:c>
      <x:c r="C64" s="22" t="str">
        <x:v>Actualización de la matriz de peligros y riesgos</x:v>
      </x:c>
      <x:c r="D64" s="22" t="str">
        <x:v>Verificar la existencia, implementación y evidencia objetiva de 'actualización de la matriz de peligros y riesgos' conforme a la Resolución 0312 de 2019.</x:v>
      </x:c>
      <x:c r="E64" s="52" t="n">
        <x:v>1.5</x:v>
      </x:c>
      <x:c r="F64" s="22" t="str">
        <x:v>Cumple</x:v>
      </x:c>
      <x:c r="G64" s="52" t="n">
        <x:f>IF(F64="Cumple",E64,0)</x:f>
        <x:v>1.5</x:v>
      </x:c>
      <x:c r="H64" s="22" t="str">
        <x:v>Acta / evidencia</x:v>
      </x:c>
      <x:c r="I64" s="22" t="str">
        <x:v>Soporte documental verificado y actualizado</x:v>
      </x:c>
      <x:c r="J64" s="22" t="str">
        <x:v>Consultor SST</x:v>
      </x:c>
      <x:c r="K64" s="22" t="str">
        <x:v>No</x:v>
      </x:c>
      <x:c r="L64" s="22" t="str"/>
      <x:c r="M64" s="53"/>
      <x:c r="N64" s="22" t="str">
        <x:v>Cerrada</x:v>
      </x:c>
      <x:c r="O64" s="22" t="str">
        <x:v>Cumplimiento sostenido</x:v>
      </x:c>
      <x:c r="P64" s="22" t="n">
        <x:v>2024</x:v>
      </x:c>
      <x:c r="Q64" s="22" t="str">
        <x:v>IMA COMPANY SAS</x:v>
      </x:c>
      <x:c r="R64" s="22" t="str">
        <x:v>Consolidado empresarial</x:v>
      </x:c>
    </x:row>
    <x:row r="65" ht="39.599998474121094" hidden="0" customHeight="1">
      <x:c r="A65" s="22" t="n">
        <x:v>57</x:v>
      </x:c>
      <x:c r="B65" s="22" t="str">
        <x:v>Actuar</x:v>
      </x:c>
      <x:c r="C65" s="22" t="str">
        <x:v>Actualización del plan de trabajo según resultados</x:v>
      </x:c>
      <x:c r="D65" s="22" t="str">
        <x:v>Verificar la existencia, implementación y evidencia objetiva de 'actualización del plan de trabajo según resultados' conforme a la Resolución 0312 de 2019.</x:v>
      </x:c>
      <x:c r="E65" s="52" t="n">
        <x:v>1.5</x:v>
      </x:c>
      <x:c r="F65" s="22" t="str">
        <x:v>Cumple</x:v>
      </x:c>
      <x:c r="G65" s="52" t="n">
        <x:f>IF(F65="Cumple",E65,0)</x:f>
        <x:v>1.5</x:v>
      </x:c>
      <x:c r="H65" s="22" t="str">
        <x:v>Revisión documental</x:v>
      </x:c>
      <x:c r="I65" s="22" t="str">
        <x:v>Soporte documental verificado y actualizado</x:v>
      </x:c>
      <x:c r="J65" s="22" t="str">
        <x:v>COPASST</x:v>
      </x:c>
      <x:c r="K65" s="22" t="str">
        <x:v>No</x:v>
      </x:c>
      <x:c r="L65" s="22" t="str"/>
      <x:c r="M65" s="53"/>
      <x:c r="N65" s="22" t="str">
        <x:v>Cerrada</x:v>
      </x:c>
      <x:c r="O65" s="22" t="str">
        <x:v>Cumplimiento sostenido</x:v>
      </x:c>
      <x:c r="P65" s="22" t="n">
        <x:v>2024</x:v>
      </x:c>
      <x:c r="Q65" s="22" t="str">
        <x:v>IMA COMPANY SAS</x:v>
      </x:c>
      <x:c r="R65" s="22" t="str">
        <x:v>Consolidado empresarial</x:v>
      </x:c>
    </x:row>
    <x:row r="66" ht="39.599998474121094" hidden="0" customHeight="1">
      <x:c r="A66" s="22" t="n">
        <x:v>58</x:v>
      </x:c>
      <x:c r="B66" s="22" t="str">
        <x:v>Actuar</x:v>
      </x:c>
      <x:c r="C66" s="22" t="str">
        <x:v>Actualización de la matriz legal y requisitos</x:v>
      </x:c>
      <x:c r="D66" s="22" t="str">
        <x:v>Verificar la existencia, implementación y evidencia objetiva de 'actualización de la matriz legal y requisitos' conforme a la Resolución 0312 de 2019.</x:v>
      </x:c>
      <x:c r="E66" s="52" t="n">
        <x:v>1.5</x:v>
      </x:c>
      <x:c r="F66" s="22" t="str">
        <x:v>Cumple</x:v>
      </x:c>
      <x:c r="G66" s="52" t="n">
        <x:f>IF(F66="Cumple",E66,0)</x:f>
        <x:v>1.5</x:v>
      </x:c>
      <x:c r="H66" s="22" t="str">
        <x:v>Revisión documental</x:v>
      </x:c>
      <x:c r="I66" s="22" t="str">
        <x:v>Soporte documental verificado y actualizado</x:v>
      </x:c>
      <x:c r="J66" s="22" t="str">
        <x:v>Alta Dirección</x:v>
      </x:c>
      <x:c r="K66" s="22" t="str">
        <x:v>No</x:v>
      </x:c>
      <x:c r="L66" s="22" t="str"/>
      <x:c r="M66" s="53"/>
      <x:c r="N66" s="22" t="str">
        <x:v>Cerrada</x:v>
      </x:c>
      <x:c r="O66" s="22" t="str">
        <x:v>Cumplimiento sostenido</x:v>
      </x:c>
      <x:c r="P66" s="22" t="n">
        <x:v>2024</x:v>
      </x:c>
      <x:c r="Q66" s="22" t="str">
        <x:v>IMA COMPANY SAS</x:v>
      </x:c>
      <x:c r="R66" s="22" t="str">
        <x:v>Consolidado empresarial</x:v>
      </x:c>
    </x:row>
    <x:row r="67" ht="39.599998474121094" hidden="0" customHeight="1">
      <x:c r="A67" s="22" t="n">
        <x:v>59</x:v>
      </x:c>
      <x:c r="B67" s="22" t="str">
        <x:v>Actuar</x:v>
      </x:c>
      <x:c r="C67" s="22" t="str">
        <x:v>Mejora de la gestión documental y trazabilidad</x:v>
      </x:c>
      <x:c r="D67" s="22" t="str">
        <x:v>Verificar la existencia, implementación y evidencia objetiva de 'mejora de la gestión documental y trazabilidad' conforme a la Resolución 0312 de 2019.</x:v>
      </x:c>
      <x:c r="E67" s="52" t="n">
        <x:v>1.5</x:v>
      </x:c>
      <x:c r="F67" s="22" t="str">
        <x:v>Cumple</x:v>
      </x:c>
      <x:c r="G67" s="52" t="n">
        <x:f>IF(F67="Cumple",E67,0)</x:f>
        <x:v>1.5</x:v>
      </x:c>
      <x:c r="H67" s="22" t="str">
        <x:v>Revisión documental</x:v>
      </x:c>
      <x:c r="I67" s="22" t="str">
        <x:v>Soporte documental verificado y actualizado</x:v>
      </x:c>
      <x:c r="J67" s="22" t="str">
        <x:v>Talento Humano</x:v>
      </x:c>
      <x:c r="K67" s="22" t="str">
        <x:v>No</x:v>
      </x:c>
      <x:c r="L67" s="22" t="str"/>
      <x:c r="M67" s="53"/>
      <x:c r="N67" s="22" t="str">
        <x:v>Cerrada</x:v>
      </x:c>
      <x:c r="O67" s="22" t="str">
        <x:v>Cumplimiento sostenido</x:v>
      </x:c>
      <x:c r="P67" s="22" t="n">
        <x:v>2024</x:v>
      </x:c>
      <x:c r="Q67" s="22" t="str">
        <x:v>IMA COMPANY SAS</x:v>
      </x:c>
      <x:c r="R67" s="22" t="str">
        <x:v>Consolidado empresarial</x:v>
      </x:c>
    </x:row>
    <x:row r="68" ht="39.599998474121094" hidden="0" customHeight="1">
      <x:c r="A68" s="22" t="n">
        <x:v>60</x:v>
      </x:c>
      <x:c r="B68" s="22" t="str">
        <x:v>Actuar</x:v>
      </x:c>
      <x:c r="C68" s="22" t="str">
        <x:v>Seguimiento a compromisos de mejora continua</x:v>
      </x:c>
      <x:c r="D68" s="22" t="str">
        <x:v>Verificar la existencia, implementación y evidencia objetiva de 'seguimiento a compromisos de mejora continua' conforme a la Resolución 0312 de 2019.</x:v>
      </x:c>
      <x:c r="E68" s="52" t="n">
        <x:v>1.5</x:v>
      </x:c>
      <x:c r="F68" s="22" t="str">
        <x:v>Cumple</x:v>
      </x:c>
      <x:c r="G68" s="52" t="n">
        <x:f>IF(F68="Cumple",E68,0)</x:f>
        <x:v>1.5</x:v>
      </x:c>
      <x:c r="H68" s="22" t="str">
        <x:v>Acta / evidencia</x:v>
      </x:c>
      <x:c r="I68" s="22" t="str">
        <x:v>Soporte documental verificado y actualizado</x:v>
      </x:c>
      <x:c r="J68" s="22" t="str">
        <x:v>Líder SST</x:v>
      </x:c>
      <x:c r="K68" s="22" t="str">
        <x:v>No</x:v>
      </x:c>
      <x:c r="L68" s="22" t="str"/>
      <x:c r="M68" s="53"/>
      <x:c r="N68" s="22" t="str">
        <x:v>Cerrada</x:v>
      </x:c>
      <x:c r="O68" s="22" t="str">
        <x:v>Cumplimiento sostenido</x:v>
      </x:c>
      <x:c r="P68" s="22" t="n">
        <x:v>2024</x:v>
      </x:c>
      <x:c r="Q68" s="22" t="str">
        <x:v>IMA COMPANY SAS</x:v>
      </x:c>
      <x:c r="R68" s="22" t="str">
        <x:v>Consolidado empresarial</x:v>
      </x:c>
    </x:row>
  </x:sheetData>
  <x:mergeCells>
    <x:mergeCell ref="A1:R1"/>
  </x:mergeCells>
  <x:conditionalFormatting sqref="F9:F68">
    <x:cfRule type="expression" dxfId="12" priority="1">
      <x:formula>F9="No cumple"</x:formula>
    </x:cfRule>
  </x:conditionalFormatting>
  <x:conditionalFormatting sqref="K9:K68">
    <x:cfRule type="expression" dxfId="13" priority="2">
      <x:formula>K9="Sí"</x:formula>
    </x:cfRule>
  </x:conditionalFormatting>
  <x:conditionalFormatting sqref="N9:N68">
    <x:cfRule type="expression" dxfId="14" priority="3">
      <x:formula>N9="Abierta"</x:formula>
    </x:cfRule>
  </x:conditionalFormatting>
  <x:conditionalFormatting sqref="H4:H4">
    <x:cfRule type="expression" dxfId="15" priority="4">
      <x:formula>H4&lt;0.6</x:formula>
    </x:cfRule>
    <x:cfRule type="expression" dxfId="16" priority="5">
      <x:formula>AND(H4&gt;=0.6,H4&lt;=0.85)</x:formula>
    </x:cfRule>
    <x:cfRule type="expression" dxfId="17" priority="6">
      <x:formula>H4&gt;0.85</x:formula>
    </x:cfRule>
  </x:conditionalFormatting>
  <x:dataValidations count="6">
    <x:dataValidation type="list" sqref="F9:F68">
      <x:formula1>Catalogos!$A$4:$A$5</x:formula1>
    </x:dataValidation>
    <x:dataValidation type="list" sqref="B9:B68">
      <x:formula1>Catalogos!$E$4:$E$7</x:formula1>
    </x:dataValidation>
    <x:dataValidation type="list" sqref="H9:H68">
      <x:formula1>Catalogos!$C$9:$C$15</x:formula1>
    </x:dataValidation>
    <x:dataValidation type="list" sqref="J9:J68">
      <x:formula1>Catalogos!$A$9:$A$15</x:formula1>
    </x:dataValidation>
    <x:dataValidation type="list" sqref="K9:K68">
      <x:formula1>"Sí,No"</x:formula1>
    </x:dataValidation>
    <x:dataValidation type="list" sqref="N9:N68">
      <x:formula1>"Abierta,En seguimiento,Cerrada"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34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34" hidden="0" customWidth="1"/>
    <x:col min="10" max="10" width="20" hidden="0" customWidth="1"/>
    <x:col min="11" max="11" width="16" hidden="0" customWidth="1"/>
    <x:col min="12" max="12" width="40" hidden="0" customWidth="1"/>
    <x:col min="13" max="13" width="14" hidden="0" customWidth="1"/>
    <x:col min="14" max="14" width="16" hidden="0" customWidth="1"/>
    <x:col min="15" max="15" width="28" hidden="0" customWidth="1"/>
    <x:col min="16" max="16" width="10" hidden="0" customWidth="1"/>
    <x:col min="17" max="17" width="22" hidden="0" customWidth="1"/>
    <x:col min="18" max="18" width="22" hidden="0" customWidth="1"/>
  </x:cols>
  <x:sheetData>
    <x:row r="1">
      <x:c r="A1" s="5" t="str">
        <x:v>AUTODIAGNÓSTICO SG-SST - RESOLUCIÓN 0312 DE 2019 (2025)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 ht="26.399999618530273" hidden="0" customHeight="1">
      <x:c r="A3" s="76" t="str">
        <x:v>Empresa</x:v>
      </x:c>
      <x:c r="B3" s="43" t="str">
        <x:v>IMA COMPANY SAS</x:v>
      </x:c>
      <x:c r="C3" s="76" t="str">
        <x:v>Sede / alcance</x:v>
      </x:c>
      <x:c r="D3" s="43" t="str">
        <x:v>Consolidado empresarial</x:v>
      </x:c>
      <x:c r="E3" s="76" t="str">
        <x:v>Año evaluación</x:v>
      </x:c>
      <x:c r="F3" s="43" t="n">
        <x:v>2025</x:v>
      </x:c>
      <x:c r="G3" s="76" t="str">
        <x:v>Fecha evaluación</x:v>
      </x:c>
      <x:c r="H3" s="74" t="n">
        <x:v>45808</x:v>
      </x:c>
      <x:c r="I3" s="76" t="str">
        <x:v>Responsable</x:v>
      </x:c>
      <x:c r="J3" s="43" t="str">
        <x:v>Consultor SST</x:v>
      </x:c>
    </x:row>
    <x:row r="4" ht="118.80000305175781" hidden="0" customHeight="1">
      <x:c r="A4" s="76" t="str">
        <x:v>Objetivo</x:v>
      </x:c>
      <x:c r="B4" s="43" t="str">
        <x:v>Evaluar el cumplimiento de los 60 estándares mínimos del SG-SST y priorizar acciones de mejora para cierre de brechas.</x:v>
      </x:c>
      <x:c r="C4" s="76" t="str">
        <x:v>Nivel</x:v>
      </x:c>
      <x:c r="D4" s="43" t="str"/>
      <x:c r="E4" s="76" t="str">
        <x:v>Puntaje total</x:v>
      </x:c>
      <x:c r="F4" s="43" t="n">
        <x:f>SUM(G9:G68)</x:f>
        <x:v>98.5</x:v>
      </x:c>
      <x:c r="G4" s="76" t="str">
        <x:v>% cumplimiento</x:v>
      </x:c>
      <x:c r="H4" s="46" t="n">
        <x:f>F4/100</x:f>
        <x:v>0.985</x:v>
      </x:c>
      <x:c r="I4" s="76" t="str">
        <x:v>Valoración</x:v>
      </x:c>
      <x:c r="J4" s="43" t="str">
        <x:f>IF(H4&lt;0.6,"Crítico",IF(H4&lt;=0.85,"Moderadamente aceptable","Aceptable"))</x:f>
        <x:v>Aceptable</x:v>
      </x:c>
    </x:row>
    <x:row r="8" ht="24" hidden="0" customHeight="1">
      <x:c r="A8" s="36" t="str">
        <x:v>N°</x:v>
      </x:c>
      <x:c r="B8" s="36" t="str">
        <x:v>Ciclo PHVA</x:v>
      </x:c>
      <x:c r="C8" s="36" t="str">
        <x:v>Estándar</x:v>
      </x:c>
      <x:c r="D8" s="36" t="str">
        <x:v>Descripción / criterio de evaluación</x:v>
      </x:c>
      <x:c r="E8" s="36" t="str">
        <x:v>Ponderación (%)</x:v>
      </x:c>
      <x:c r="F8" s="36" t="str">
        <x:v>Calificación</x:v>
      </x:c>
      <x:c r="G8" s="36" t="str">
        <x:v>Puntaje obtenido</x:v>
      </x:c>
      <x:c r="H8" s="36" t="str">
        <x:v>Modo de verificación</x:v>
      </x:c>
      <x:c r="I8" s="36" t="str">
        <x:v>Evidencia disponible</x:v>
      </x:c>
      <x:c r="J8" s="36" t="str">
        <x:v>Responsable de verificación</x:v>
      </x:c>
      <x:c r="K8" s="36" t="str">
        <x:v>Plan de mejora requerido</x:v>
      </x:c>
      <x:c r="L8" s="36" t="str">
        <x:v>Acción de mejora</x:v>
      </x:c>
      <x:c r="M8" s="36" t="str">
        <x:v>Fecha compromiso</x:v>
      </x:c>
      <x:c r="N8" s="36" t="str">
        <x:v>Estado mejora</x:v>
      </x:c>
      <x:c r="O8" s="36" t="str">
        <x:v>Observaciones</x:v>
      </x:c>
      <x:c r="P8" s="36" t="str">
        <x:v>Año</x:v>
      </x:c>
      <x:c r="Q8" s="36" t="str">
        <x:v>Empresa</x:v>
      </x:c>
      <x:c r="R8" s="36" t="str">
        <x:v>Sede</x:v>
      </x:c>
    </x:row>
    <x:row r="9" ht="39.599998474121094" hidden="0" customHeight="1">
      <x:c r="A9" s="22" t="n">
        <x:v>1</x:v>
      </x:c>
      <x:c r="B9" s="22" t="str">
        <x:v>Planear</x:v>
      </x:c>
      <x:c r="C9" s="22" t="str">
        <x:v>Asignación de recursos para el SG-SST</x:v>
      </x:c>
      <x:c r="D9" s="22" t="str">
        <x:v>Verificar la existencia, implementación y evidencia objetiva de 'asignación de recursos para el sg-sst' conforme a la Resolución 0312 de 2019.</x:v>
      </x:c>
      <x:c r="E9" s="52" t="n">
        <x:v>1.5</x:v>
      </x:c>
      <x:c r="F9" s="22" t="str">
        <x:v>Cumple</x:v>
      </x:c>
      <x:c r="G9" s="52" t="n">
        <x:f>IF(F9="Cumple",E9,0)</x:f>
        <x:v>1.5</x:v>
      </x:c>
      <x:c r="H9" s="22" t="str">
        <x:v>Revisión documental</x:v>
      </x:c>
      <x:c r="I9" s="22" t="str">
        <x:v>Soporte documental verificado y actualizado</x:v>
      </x:c>
      <x:c r="J9" s="22" t="str">
        <x:v>Consultor SST</x:v>
      </x:c>
      <x:c r="K9" s="22" t="str">
        <x:v>No</x:v>
      </x:c>
      <x:c r="L9" s="22" t="str"/>
      <x:c r="M9" s="53"/>
      <x:c r="N9" s="22" t="str">
        <x:v>Cerrada</x:v>
      </x:c>
      <x:c r="O9" s="22" t="str">
        <x:v>Cumplimiento sostenido</x:v>
      </x:c>
      <x:c r="P9" s="22" t="n">
        <x:v>2025</x:v>
      </x:c>
      <x:c r="Q9" s="22" t="str">
        <x:v>IMA COMPANY SAS</x:v>
      </x:c>
      <x:c r="R9" s="22" t="str">
        <x:v>Consolidado empresarial</x:v>
      </x:c>
    </x:row>
    <x:row r="10" ht="39.599998474121094" hidden="0" customHeight="1">
      <x:c r="A10" s="22" t="n">
        <x:v>2</x:v>
      </x:c>
      <x:c r="B10" s="22" t="str">
        <x:v>Planear</x:v>
      </x:c>
      <x:c r="C10" s="22" t="str">
        <x:v>Definición y comunicación de la política de SST</x:v>
      </x:c>
      <x:c r="D10" s="22" t="str">
        <x:v>Verificar la existencia, implementación y evidencia objetiva de 'definición y comunicación de la política de sst' conforme a la Resolución 0312 de 2019.</x:v>
      </x:c>
      <x:c r="E10" s="52" t="n">
        <x:v>1.5</x:v>
      </x:c>
      <x:c r="F10" s="22" t="str">
        <x:v>Cumple</x:v>
      </x:c>
      <x:c r="G10" s="52" t="n">
        <x:f>IF(F10="Cumple",E10,0)</x:f>
        <x:v>1.5</x:v>
      </x:c>
      <x:c r="H10" s="22" t="str">
        <x:v>Revisión documental</x:v>
      </x:c>
      <x:c r="I10" s="22" t="str">
        <x:v>Soporte documental verificado y actualizado</x:v>
      </x:c>
      <x:c r="J10" s="22" t="str">
        <x:v>COPASST</x:v>
      </x:c>
      <x:c r="K10" s="22" t="str">
        <x:v>No</x:v>
      </x:c>
      <x:c r="L10" s="22" t="str"/>
      <x:c r="M10" s="53"/>
      <x:c r="N10" s="22" t="str">
        <x:v>Cerrada</x:v>
      </x:c>
      <x:c r="O10" s="22" t="str">
        <x:v>Cumplimiento sostenido</x:v>
      </x:c>
      <x:c r="P10" s="22" t="n">
        <x:v>2025</x:v>
      </x:c>
      <x:c r="Q10" s="22" t="str">
        <x:v>IMA COMPANY SAS</x:v>
      </x:c>
      <x:c r="R10" s="22" t="str">
        <x:v>Consolidado empresarial</x:v>
      </x:c>
    </x:row>
    <x:row r="11" ht="39.599998474121094" hidden="0" customHeight="1">
      <x:c r="A11" s="22" t="n">
        <x:v>3</x:v>
      </x:c>
      <x:c r="B11" s="22" t="str">
        <x:v>Planear</x:v>
      </x:c>
      <x:c r="C11" s="22" t="str">
        <x:v>Definición de objetivos del SG-SST</x:v>
      </x:c>
      <x:c r="D11" s="22" t="str">
        <x:v>Verificar la existencia, implementación y evidencia objetiva de 'definición de objetivos del sg-sst' conforme a la Resolución 0312 de 2019.</x:v>
      </x:c>
      <x:c r="E11" s="52" t="n">
        <x:v>1.5</x:v>
      </x:c>
      <x:c r="F11" s="22" t="str">
        <x:v>Cumple</x:v>
      </x:c>
      <x:c r="G11" s="52" t="n">
        <x:f>IF(F11="Cumple",E11,0)</x:f>
        <x:v>1.5</x:v>
      </x:c>
      <x:c r="H11" s="22" t="str">
        <x:v>Revisión documental</x:v>
      </x:c>
      <x:c r="I11" s="22" t="str">
        <x:v>Soporte documental verificado y actualizado</x:v>
      </x:c>
      <x:c r="J11" s="22" t="str">
        <x:v>Alta Dirección</x:v>
      </x:c>
      <x:c r="K11" s="22" t="str">
        <x:v>No</x:v>
      </x:c>
      <x:c r="L11" s="22" t="str"/>
      <x:c r="M11" s="53"/>
      <x:c r="N11" s="22" t="str">
        <x:v>Cerrada</x:v>
      </x:c>
      <x:c r="O11" s="22" t="str">
        <x:v>Cumplimiento sostenido</x:v>
      </x:c>
      <x:c r="P11" s="22" t="n">
        <x:v>2025</x:v>
      </x:c>
      <x:c r="Q11" s="22" t="str">
        <x:v>IMA COMPANY SAS</x:v>
      </x:c>
      <x:c r="R11" s="22" t="str">
        <x:v>Consolidado empresarial</x:v>
      </x:c>
    </x:row>
    <x:row r="12" ht="39.599998474121094" hidden="0" customHeight="1">
      <x:c r="A12" s="22" t="n">
        <x:v>4</x:v>
      </x:c>
      <x:c r="B12" s="22" t="str">
        <x:v>Planear</x:v>
      </x:c>
      <x:c r="C12" s="22" t="str">
        <x:v>Evaluación inicial del SG-SST</x:v>
      </x:c>
      <x:c r="D12" s="22" t="str">
        <x:v>Verificar la existencia, implementación y evidencia objetiva de 'evaluación inicial del sg-sst' conforme a la Resolución 0312 de 2019.</x:v>
      </x:c>
      <x:c r="E12" s="52" t="n">
        <x:v>1.5</x:v>
      </x:c>
      <x:c r="F12" s="22" t="str">
        <x:v>Cumple</x:v>
      </x:c>
      <x:c r="G12" s="52" t="n">
        <x:f>IF(F12="Cumple",E12,0)</x:f>
        <x:v>1.5</x:v>
      </x:c>
      <x:c r="H12" s="22" t="str">
        <x:v>Acta / evidencia</x:v>
      </x:c>
      <x:c r="I12" s="22" t="str">
        <x:v>Soporte documental verificado y actualizado</x:v>
      </x:c>
      <x:c r="J12" s="22" t="str">
        <x:v>Talento Humano</x:v>
      </x:c>
      <x:c r="K12" s="22" t="str">
        <x:v>No</x:v>
      </x:c>
      <x:c r="L12" s="22" t="str"/>
      <x:c r="M12" s="53"/>
      <x:c r="N12" s="22" t="str">
        <x:v>Cerrada</x:v>
      </x:c>
      <x:c r="O12" s="22" t="str">
        <x:v>Cumplimiento sostenido</x:v>
      </x:c>
      <x:c r="P12" s="22" t="n">
        <x:v>2025</x:v>
      </x:c>
      <x:c r="Q12" s="22" t="str">
        <x:v>IMA COMPANY SAS</x:v>
      </x:c>
      <x:c r="R12" s="22" t="str">
        <x:v>Consolidado empresarial</x:v>
      </x:c>
    </x:row>
    <x:row r="13" ht="39.599998474121094" hidden="0" customHeight="1">
      <x:c r="A13" s="22" t="n">
        <x:v>5</x:v>
      </x:c>
      <x:c r="B13" s="22" t="str">
        <x:v>Planear</x:v>
      </x:c>
      <x:c r="C13" s="22" t="str">
        <x:v>Plan anual de trabajo del SG-SST</x:v>
      </x:c>
      <x:c r="D13" s="22" t="str">
        <x:v>Verificar la existencia, implementación y evidencia objetiva de 'plan anual de trabajo del sg-sst' conforme a la Resolución 0312 de 2019.</x:v>
      </x:c>
      <x:c r="E13" s="52" t="n">
        <x:v>1.5</x:v>
      </x:c>
      <x:c r="F13" s="22" t="str">
        <x:v>Cumple</x:v>
      </x:c>
      <x:c r="G13" s="52" t="n">
        <x:f>IF(F13="Cumple",E13,0)</x:f>
        <x:v>1.5</x:v>
      </x:c>
      <x:c r="H13" s="22" t="str">
        <x:v>Revisión documental</x:v>
      </x:c>
      <x:c r="I13" s="22" t="str">
        <x:v>Soporte documental verificado y actualizado</x:v>
      </x:c>
      <x:c r="J13" s="22" t="str">
        <x:v>Líder SST</x:v>
      </x:c>
      <x:c r="K13" s="22" t="str">
        <x:v>No</x:v>
      </x:c>
      <x:c r="L13" s="22" t="str"/>
      <x:c r="M13" s="53"/>
      <x:c r="N13" s="22" t="str">
        <x:v>Cerrada</x:v>
      </x:c>
      <x:c r="O13" s="22" t="str">
        <x:v>Cumplimiento sostenido</x:v>
      </x:c>
      <x:c r="P13" s="22" t="n">
        <x:v>2025</x:v>
      </x:c>
      <x:c r="Q13" s="22" t="str">
        <x:v>IMA COMPANY SAS</x:v>
      </x:c>
      <x:c r="R13" s="22" t="str">
        <x:v>Consolidado empresarial</x:v>
      </x:c>
    </x:row>
    <x:row r="14" ht="39.599998474121094" hidden="0" customHeight="1">
      <x:c r="A14" s="22" t="n">
        <x:v>6</x:v>
      </x:c>
      <x:c r="B14" s="22" t="str">
        <x:v>Planear</x:v>
      </x:c>
      <x:c r="C14" s="22" t="str">
        <x:v>Identificación de requisitos legales aplicables</x:v>
      </x:c>
      <x:c r="D14" s="22" t="str">
        <x:v>Verificar la existencia, implementación y evidencia objetiva de 'identificación de requisitos legales aplicables' conforme a la Resolución 0312 de 2019.</x:v>
      </x:c>
      <x:c r="E14" s="52" t="n">
        <x:v>1.5</x:v>
      </x:c>
      <x:c r="F14" s="22" t="str">
        <x:v>Cumple</x:v>
      </x:c>
      <x:c r="G14" s="52" t="n">
        <x:f>IF(F14="Cumple",E14,0)</x:f>
        <x:v>1.5</x:v>
      </x:c>
      <x:c r="H14" s="22" t="str">
        <x:v>Revisión documental</x:v>
      </x:c>
      <x:c r="I14" s="22" t="str">
        <x:v>Soporte documental verificado y actualizado</x:v>
      </x:c>
      <x:c r="J14" s="22" t="str">
        <x:v>Consultor SST</x:v>
      </x:c>
      <x:c r="K14" s="22" t="str">
        <x:v>No</x:v>
      </x:c>
      <x:c r="L14" s="22" t="str"/>
      <x:c r="M14" s="53"/>
      <x:c r="N14" s="22" t="str">
        <x:v>Cerrada</x:v>
      </x:c>
      <x:c r="O14" s="22" t="str">
        <x:v>Cumplimiento sostenido</x:v>
      </x:c>
      <x:c r="P14" s="22" t="n">
        <x:v>2025</x:v>
      </x:c>
      <x:c r="Q14" s="22" t="str">
        <x:v>IMA COMPANY SAS</x:v>
      </x:c>
      <x:c r="R14" s="22" t="str">
        <x:v>Consolidado empresarial</x:v>
      </x:c>
    </x:row>
    <x:row r="15" ht="39.599998474121094" hidden="0" customHeight="1">
      <x:c r="A15" s="22" t="n">
        <x:v>7</x:v>
      </x:c>
      <x:c r="B15" s="22" t="str">
        <x:v>Planear</x:v>
      </x:c>
      <x:c r="C15" s="22" t="str">
        <x:v>Rendición de cuentas en SST</x:v>
      </x:c>
      <x:c r="D15" s="22" t="str">
        <x:v>Verificar la existencia, implementación y evidencia objetiva de 'rendición de cuentas en sst' conforme a la Resolución 0312 de 2019.</x:v>
      </x:c>
      <x:c r="E15" s="52" t="n">
        <x:v>1.5</x:v>
      </x:c>
      <x:c r="F15" s="22" t="str">
        <x:v>Cumple</x:v>
      </x:c>
      <x:c r="G15" s="52" t="n">
        <x:f>IF(F15="Cumple",E15,0)</x:f>
        <x:v>1.5</x:v>
      </x:c>
      <x:c r="H15" s="22" t="str">
        <x:v>Revisión documental</x:v>
      </x:c>
      <x:c r="I15" s="22" t="str">
        <x:v>Soporte documental verificado y actualizado</x:v>
      </x:c>
      <x:c r="J15" s="22" t="str">
        <x:v>COPASST</x:v>
      </x:c>
      <x:c r="K15" s="22" t="str">
        <x:v>No</x:v>
      </x:c>
      <x:c r="L15" s="22" t="str"/>
      <x:c r="M15" s="53"/>
      <x:c r="N15" s="22" t="str">
        <x:v>Cerrada</x:v>
      </x:c>
      <x:c r="O15" s="22" t="str">
        <x:v>Cumplimiento sostenido</x:v>
      </x:c>
      <x:c r="P15" s="22" t="n">
        <x:v>2025</x:v>
      </x:c>
      <x:c r="Q15" s="22" t="str">
        <x:v>IMA COMPANY SAS</x:v>
      </x:c>
      <x:c r="R15" s="22" t="str">
        <x:v>Consolidado empresarial</x:v>
      </x:c>
    </x:row>
    <x:row r="16" ht="39.599998474121094" hidden="0" customHeight="1">
      <x:c r="A16" s="22" t="n">
        <x:v>8</x:v>
      </x:c>
      <x:c r="B16" s="22" t="str">
        <x:v>Planear</x:v>
      </x:c>
      <x:c r="C16" s="22" t="str">
        <x:v>Roles, responsabilidades y autoridad en SST</x:v>
      </x:c>
      <x:c r="D16" s="22" t="str">
        <x:v>Verificar la existencia, implementación y evidencia objetiva de 'roles, responsabilidades y autoridad en sst' conforme a la Resolución 0312 de 2019.</x:v>
      </x:c>
      <x:c r="E16" s="52" t="n">
        <x:v>1.5</x:v>
      </x:c>
      <x:c r="F16" s="22" t="str">
        <x:v>Cumple</x:v>
      </x:c>
      <x:c r="G16" s="52" t="n">
        <x:f>IF(F16="Cumple",E16,0)</x:f>
        <x:v>1.5</x:v>
      </x:c>
      <x:c r="H16" s="22" t="str">
        <x:v>Acta / evidencia</x:v>
      </x:c>
      <x:c r="I16" s="22" t="str">
        <x:v>Soporte documental verificado y actualizado</x:v>
      </x:c>
      <x:c r="J16" s="22" t="str">
        <x:v>Alta Dirección</x:v>
      </x:c>
      <x:c r="K16" s="22" t="str">
        <x:v>No</x:v>
      </x:c>
      <x:c r="L16" s="22" t="str"/>
      <x:c r="M16" s="53"/>
      <x:c r="N16" s="22" t="str">
        <x:v>Cerrada</x:v>
      </x:c>
      <x:c r="O16" s="22" t="str">
        <x:v>Cumplimiento sostenido</x:v>
      </x:c>
      <x:c r="P16" s="22" t="n">
        <x:v>2025</x:v>
      </x:c>
      <x:c r="Q16" s="22" t="str">
        <x:v>IMA COMPANY SAS</x:v>
      </x:c>
      <x:c r="R16" s="22" t="str">
        <x:v>Consolidado empresarial</x:v>
      </x:c>
    </x:row>
    <x:row r="17" ht="39.599998474121094" hidden="0" customHeight="1">
      <x:c r="A17" s="22" t="n">
        <x:v>9</x:v>
      </x:c>
      <x:c r="B17" s="22" t="str">
        <x:v>Planear</x:v>
      </x:c>
      <x:c r="C17" s="22" t="str">
        <x:v>Conservación y control documental del SG-SST</x:v>
      </x:c>
      <x:c r="D17" s="22" t="str">
        <x:v>Verificar la existencia, implementación y evidencia objetiva de 'conservación y control documental del sg-sst' conforme a la Resolución 0312 de 2019.</x:v>
      </x:c>
      <x:c r="E17" s="52" t="n">
        <x:v>1.5</x:v>
      </x:c>
      <x:c r="F17" s="22" t="str">
        <x:v>Cumple</x:v>
      </x:c>
      <x:c r="G17" s="52" t="n">
        <x:f>IF(F17="Cumple",E17,0)</x:f>
        <x:v>1.5</x:v>
      </x:c>
      <x:c r="H17" s="22" t="str">
        <x:v>Revisión documental</x:v>
      </x:c>
      <x:c r="I17" s="22" t="str">
        <x:v>Soporte documental verificado y actualizado</x:v>
      </x:c>
      <x:c r="J17" s="22" t="str">
        <x:v>Talento Humano</x:v>
      </x:c>
      <x:c r="K17" s="22" t="str">
        <x:v>No</x:v>
      </x:c>
      <x:c r="L17" s="22" t="str"/>
      <x:c r="M17" s="53"/>
      <x:c r="N17" s="22" t="str">
        <x:v>Cerrada</x:v>
      </x:c>
      <x:c r="O17" s="22" t="str">
        <x:v>Cumplimiento sostenido</x:v>
      </x:c>
      <x:c r="P17" s="22" t="n">
        <x:v>2025</x:v>
      </x:c>
      <x:c r="Q17" s="22" t="str">
        <x:v>IMA COMPANY SAS</x:v>
      </x:c>
      <x:c r="R17" s="22" t="str">
        <x:v>Consolidado empresarial</x:v>
      </x:c>
    </x:row>
    <x:row r="18" ht="39.599998474121094" hidden="0" customHeight="1">
      <x:c r="A18" s="22" t="n">
        <x:v>10</x:v>
      </x:c>
      <x:c r="B18" s="22" t="str">
        <x:v>Planear</x:v>
      </x:c>
      <x:c r="C18" s="22" t="str">
        <x:v>Perfil sociodemográfico y caracterización de trabajadores</x:v>
      </x:c>
      <x:c r="D18" s="22" t="str">
        <x:v>Verificar la existencia, implementación y evidencia objetiva de 'perfil sociodemográfico y caracterización de trabajadores' conforme a la Resolución 0312 de 2019.</x:v>
      </x:c>
      <x:c r="E18" s="52" t="n">
        <x:v>1.5</x:v>
      </x:c>
      <x:c r="F18" s="22" t="str">
        <x:v>Cumple</x:v>
      </x:c>
      <x:c r="G18" s="52" t="n">
        <x:f>IF(F18="Cumple",E18,0)</x:f>
        <x:v>1.5</x:v>
      </x:c>
      <x:c r="H18" s="22" t="str">
        <x:v>Revisión documental</x:v>
      </x:c>
      <x:c r="I18" s="22" t="str">
        <x:v>Soporte documental verificado y actualizado</x:v>
      </x:c>
      <x:c r="J18" s="22" t="str">
        <x:v>Líder SST</x:v>
      </x:c>
      <x:c r="K18" s="22" t="str">
        <x:v>No</x:v>
      </x:c>
      <x:c r="L18" s="22" t="str"/>
      <x:c r="M18" s="53"/>
      <x:c r="N18" s="22" t="str">
        <x:v>Cerrada</x:v>
      </x:c>
      <x:c r="O18" s="22" t="str">
        <x:v>Cumplimiento sostenido</x:v>
      </x:c>
      <x:c r="P18" s="22" t="n">
        <x:v>2025</x:v>
      </x:c>
      <x:c r="Q18" s="22" t="str">
        <x:v>IMA COMPANY SAS</x:v>
      </x:c>
      <x:c r="R18" s="22" t="str">
        <x:v>Consolidado empresarial</x:v>
      </x:c>
    </x:row>
    <x:row r="19" ht="39.599998474121094" hidden="0" customHeight="1">
      <x:c r="A19" s="22" t="n">
        <x:v>11</x:v>
      </x:c>
      <x:c r="B19" s="22" t="str">
        <x:v>Planear</x:v>
      </x:c>
      <x:c r="C19" s="22" t="str">
        <x:v>Identificación de peligros y evaluación de riesgos inicial</x:v>
      </x:c>
      <x:c r="D19" s="22" t="str">
        <x:v>Verificar la existencia, implementación y evidencia objetiva de 'identificación de peligros y evaluación de riesgos inicial' conforme a la Resolución 0312 de 2019.</x:v>
      </x:c>
      <x:c r="E19" s="52" t="n">
        <x:v>2</x:v>
      </x:c>
      <x:c r="F19" s="22" t="str">
        <x:v>Cumple</x:v>
      </x:c>
      <x:c r="G19" s="52" t="n">
        <x:f>IF(F19="Cumple",E19,0)</x:f>
        <x:v>2</x:v>
      </x:c>
      <x:c r="H19" s="22" t="str">
        <x:v>Revisión documental</x:v>
      </x:c>
      <x:c r="I19" s="22" t="str">
        <x:v>Soporte documental verificado y actualizado</x:v>
      </x:c>
      <x:c r="J19" s="22" t="str">
        <x:v>Consultor SST</x:v>
      </x:c>
      <x:c r="K19" s="22" t="str">
        <x:v>No</x:v>
      </x:c>
      <x:c r="L19" s="22" t="str"/>
      <x:c r="M19" s="53"/>
      <x:c r="N19" s="22" t="str">
        <x:v>Cerrada</x:v>
      </x:c>
      <x:c r="O19" s="22" t="str">
        <x:v>Cumplimiento sostenido</x:v>
      </x:c>
      <x:c r="P19" s="22" t="n">
        <x:v>2025</x:v>
      </x:c>
      <x:c r="Q19" s="22" t="str">
        <x:v>IMA COMPANY SAS</x:v>
      </x:c>
      <x:c r="R19" s="22" t="str">
        <x:v>Consolidado empresarial</x:v>
      </x:c>
    </x:row>
    <x:row r="20" ht="39.599998474121094" hidden="0" customHeight="1">
      <x:c r="A20" s="22" t="n">
        <x:v>12</x:v>
      </x:c>
      <x:c r="B20" s="22" t="str">
        <x:v>Planear</x:v>
      </x:c>
      <x:c r="C20" s="22" t="str">
        <x:v>Priorización de intervenciones y controles</x:v>
      </x:c>
      <x:c r="D20" s="22" t="str">
        <x:v>Verificar la existencia, implementación y evidencia objetiva de 'priorización de intervenciones y controles' conforme a la Resolución 0312 de 2019.</x:v>
      </x:c>
      <x:c r="E20" s="52" t="n">
        <x:v>2</x:v>
      </x:c>
      <x:c r="F20" s="22" t="str">
        <x:v>Cumple</x:v>
      </x:c>
      <x:c r="G20" s="52" t="n">
        <x:f>IF(F20="Cumple",E20,0)</x:f>
        <x:v>2</x:v>
      </x:c>
      <x:c r="H20" s="22" t="str">
        <x:v>Acta / evidencia</x:v>
      </x:c>
      <x:c r="I20" s="22" t="str">
        <x:v>Soporte documental verificado y actualizado</x:v>
      </x:c>
      <x:c r="J20" s="22" t="str">
        <x:v>COPASST</x:v>
      </x:c>
      <x:c r="K20" s="22" t="str">
        <x:v>No</x:v>
      </x:c>
      <x:c r="L20" s="22" t="str"/>
      <x:c r="M20" s="53"/>
      <x:c r="N20" s="22" t="str">
        <x:v>Cerrada</x:v>
      </x:c>
      <x:c r="O20" s="22" t="str">
        <x:v>Cumplimiento sostenido</x:v>
      </x:c>
      <x:c r="P20" s="22" t="n">
        <x:v>2025</x:v>
      </x:c>
      <x:c r="Q20" s="22" t="str">
        <x:v>IMA COMPANY SAS</x:v>
      </x:c>
      <x:c r="R20" s="22" t="str">
        <x:v>Consolidado empresarial</x:v>
      </x:c>
    </x:row>
    <x:row r="21" ht="39.599998474121094" hidden="0" customHeight="1">
      <x:c r="A21" s="22" t="n">
        <x:v>13</x:v>
      </x:c>
      <x:c r="B21" s="22" t="str">
        <x:v>Planear</x:v>
      </x:c>
      <x:c r="C21" s="22" t="str">
        <x:v>Planificación de indicadores del SG-SST</x:v>
      </x:c>
      <x:c r="D21" s="22" t="str">
        <x:v>Verificar la existencia, implementación y evidencia objetiva de 'planificación de indicadores del sg-sst' conforme a la Resolución 0312 de 2019.</x:v>
      </x:c>
      <x:c r="E21" s="52" t="n">
        <x:v>2</x:v>
      </x:c>
      <x:c r="F21" s="22" t="str">
        <x:v>Cumple</x:v>
      </x:c>
      <x:c r="G21" s="52" t="n">
        <x:f>IF(F21="Cumple",E21,0)</x:f>
        <x:v>2</x:v>
      </x:c>
      <x:c r="H21" s="22" t="str">
        <x:v>Revisión documental</x:v>
      </x:c>
      <x:c r="I21" s="22" t="str">
        <x:v>Soporte documental verificado y actualizado</x:v>
      </x:c>
      <x:c r="J21" s="22" t="str">
        <x:v>Alta Dirección</x:v>
      </x:c>
      <x:c r="K21" s="22" t="str">
        <x:v>No</x:v>
      </x:c>
      <x:c r="L21" s="22" t="str"/>
      <x:c r="M21" s="53"/>
      <x:c r="N21" s="22" t="str">
        <x:v>Cerrada</x:v>
      </x:c>
      <x:c r="O21" s="22" t="str">
        <x:v>Cumplimiento sostenido</x:v>
      </x:c>
      <x:c r="P21" s="22" t="n">
        <x:v>2025</x:v>
      </x:c>
      <x:c r="Q21" s="22" t="str">
        <x:v>IMA COMPANY SAS</x:v>
      </x:c>
      <x:c r="R21" s="22" t="str">
        <x:v>Consolidado empresarial</x:v>
      </x:c>
    </x:row>
    <x:row r="22" ht="39.599998474121094" hidden="0" customHeight="1">
      <x:c r="A22" s="22" t="n">
        <x:v>14</x:v>
      </x:c>
      <x:c r="B22" s="22" t="str">
        <x:v>Planear</x:v>
      </x:c>
      <x:c r="C22" s="22" t="str">
        <x:v>Plan de capacitación, inducción y reinducción</x:v>
      </x:c>
      <x:c r="D22" s="22" t="str">
        <x:v>Verificar la existencia, implementación y evidencia objetiva de 'plan de capacitación, inducción y reinducción' conforme a la Resolución 0312 de 2019.</x:v>
      </x:c>
      <x:c r="E22" s="52" t="n">
        <x:v>2</x:v>
      </x:c>
      <x:c r="F22" s="22" t="str">
        <x:v>Cumple</x:v>
      </x:c>
      <x:c r="G22" s="52" t="n">
        <x:f>IF(F22="Cumple",E22,0)</x:f>
        <x:v>2</x:v>
      </x:c>
      <x:c r="H22" s="22" t="str">
        <x:v>Revisión documental</x:v>
      </x:c>
      <x:c r="I22" s="22" t="str">
        <x:v>Soporte documental verificado y actualizado</x:v>
      </x:c>
      <x:c r="J22" s="22" t="str">
        <x:v>Talento Humano</x:v>
      </x:c>
      <x:c r="K22" s="22" t="str">
        <x:v>No</x:v>
      </x:c>
      <x:c r="L22" s="22" t="str"/>
      <x:c r="M22" s="53"/>
      <x:c r="N22" s="22" t="str">
        <x:v>Cerrada</x:v>
      </x:c>
      <x:c r="O22" s="22" t="str">
        <x:v>Cumplimiento sostenido</x:v>
      </x:c>
      <x:c r="P22" s="22" t="n">
        <x:v>2025</x:v>
      </x:c>
      <x:c r="Q22" s="22" t="str">
        <x:v>IMA COMPANY SAS</x:v>
      </x:c>
      <x:c r="R22" s="22" t="str">
        <x:v>Consolidado empresarial</x:v>
      </x:c>
    </x:row>
    <x:row r="23" ht="39.599998474121094" hidden="0" customHeight="1">
      <x:c r="A23" s="22" t="n">
        <x:v>15</x:v>
      </x:c>
      <x:c r="B23" s="22" t="str">
        <x:v>Planear</x:v>
      </x:c>
      <x:c r="C23" s="22" t="str">
        <x:v>Plan de prevención, preparación y respuesta ante emergencias</x:v>
      </x:c>
      <x:c r="D23" s="22" t="str">
        <x:v>Verificar la existencia, implementación y evidencia objetiva de 'plan de prevención, preparación y respuesta ante emergencias' conforme a la Resolución 0312 de 2019.</x:v>
      </x:c>
      <x:c r="E23" s="52" t="n">
        <x:v>2</x:v>
      </x:c>
      <x:c r="F23" s="22" t="str">
        <x:v>Cumple</x:v>
      </x:c>
      <x:c r="G23" s="52" t="n">
        <x:f>IF(F23="Cumple",E23,0)</x:f>
        <x:v>2</x:v>
      </x:c>
      <x:c r="H23" s="22" t="str">
        <x:v>Revisión documental</x:v>
      </x:c>
      <x:c r="I23" s="22" t="str">
        <x:v>Soporte documental verificado y actualizado</x:v>
      </x:c>
      <x:c r="J23" s="22" t="str">
        <x:v>Líder SST</x:v>
      </x:c>
      <x:c r="K23" s="22" t="str">
        <x:v>No</x:v>
      </x:c>
      <x:c r="L23" s="22" t="str"/>
      <x:c r="M23" s="53"/>
      <x:c r="N23" s="22" t="str">
        <x:v>Cerrada</x:v>
      </x:c>
      <x:c r="O23" s="22" t="str">
        <x:v>Cumplimiento sostenido</x:v>
      </x:c>
      <x:c r="P23" s="22" t="n">
        <x:v>2025</x:v>
      </x:c>
      <x:c r="Q23" s="22" t="str">
        <x:v>IMA COMPANY SAS</x:v>
      </x:c>
      <x:c r="R23" s="22" t="str">
        <x:v>Consolidado empresarial</x:v>
      </x:c>
    </x:row>
    <x:row r="24" ht="39.599998474121094" hidden="0" customHeight="1">
      <x:c r="A24" s="22" t="n">
        <x:v>16</x:v>
      </x:c>
      <x:c r="B24" s="22" t="str">
        <x:v>Hacer</x:v>
      </x:c>
      <x:c r="C24" s="22" t="str">
        <x:v>Afiliación y cobertura al Sistema General de Riesgos Laborales</x:v>
      </x:c>
      <x:c r="D24" s="22" t="str">
        <x:v>Verificar la existencia, implementación y evidencia objetiva de 'afiliación y cobertura al sistema general de riesgos laborales' conforme a la Resolución 0312 de 2019.</x:v>
      </x:c>
      <x:c r="E24" s="52" t="n">
        <x:v>1.5</x:v>
      </x:c>
      <x:c r="F24" s="22" t="str">
        <x:v>Cumple</x:v>
      </x:c>
      <x:c r="G24" s="52" t="n">
        <x:f>IF(F24="Cumple",E24,0)</x:f>
        <x:v>1.5</x:v>
      </x:c>
      <x:c r="H24" s="22" t="str">
        <x:v>Acta / evidencia</x:v>
      </x:c>
      <x:c r="I24" s="22" t="str">
        <x:v>Soporte documental verificado y actualizado</x:v>
      </x:c>
      <x:c r="J24" s="22" t="str">
        <x:v>Consultor SST</x:v>
      </x:c>
      <x:c r="K24" s="22" t="str">
        <x:v>No</x:v>
      </x:c>
      <x:c r="L24" s="22" t="str"/>
      <x:c r="M24" s="53"/>
      <x:c r="N24" s="22" t="str">
        <x:v>Cerrada</x:v>
      </x:c>
      <x:c r="O24" s="22" t="str">
        <x:v>Cumplimiento sostenido</x:v>
      </x:c>
      <x:c r="P24" s="22" t="n">
        <x:v>2025</x:v>
      </x:c>
      <x:c r="Q24" s="22" t="str">
        <x:v>IMA COMPANY SAS</x:v>
      </x:c>
      <x:c r="R24" s="22" t="str">
        <x:v>Consolidado empresarial</x:v>
      </x:c>
    </x:row>
    <x:row r="25" ht="39.599998474121094" hidden="0" customHeight="1">
      <x:c r="A25" s="22" t="n">
        <x:v>17</x:v>
      </x:c>
      <x:c r="B25" s="22" t="str">
        <x:v>Hacer</x:v>
      </x:c>
      <x:c r="C25" s="22" t="str">
        <x:v>Conformación y funcionamiento del COPASST</x:v>
      </x:c>
      <x:c r="D25" s="22" t="str">
        <x:v>Verificar la existencia, implementación y evidencia objetiva de 'conformación y funcionamiento del copasst' conforme a la Resolución 0312 de 2019.</x:v>
      </x:c>
      <x:c r="E25" s="52" t="n">
        <x:v>1.5</x:v>
      </x:c>
      <x:c r="F25" s="22" t="str">
        <x:v>Cumple</x:v>
      </x:c>
      <x:c r="G25" s="52" t="n">
        <x:f>IF(F25="Cumple",E25,0)</x:f>
        <x:v>1.5</x:v>
      </x:c>
      <x:c r="H25" s="22" t="str">
        <x:v>Revisión documental</x:v>
      </x:c>
      <x:c r="I25" s="22" t="str">
        <x:v>Soporte documental verificado y actualizado</x:v>
      </x:c>
      <x:c r="J25" s="22" t="str">
        <x:v>COPASST</x:v>
      </x:c>
      <x:c r="K25" s="22" t="str">
        <x:v>No</x:v>
      </x:c>
      <x:c r="L25" s="22" t="str"/>
      <x:c r="M25" s="53"/>
      <x:c r="N25" s="22" t="str">
        <x:v>Cerrada</x:v>
      </x:c>
      <x:c r="O25" s="22" t="str">
        <x:v>Cumplimiento sostenido</x:v>
      </x:c>
      <x:c r="P25" s="22" t="n">
        <x:v>2025</x:v>
      </x:c>
      <x:c r="Q25" s="22" t="str">
        <x:v>IMA COMPANY SAS</x:v>
      </x:c>
      <x:c r="R25" s="22" t="str">
        <x:v>Consolidado empresarial</x:v>
      </x:c>
    </x:row>
    <x:row r="26" ht="39.599998474121094" hidden="0" customHeight="1">
      <x:c r="A26" s="22" t="n">
        <x:v>18</x:v>
      </x:c>
      <x:c r="B26" s="22" t="str">
        <x:v>Hacer</x:v>
      </x:c>
      <x:c r="C26" s="22" t="str">
        <x:v>Conformación y funcionamiento del Comité de Convivencia Laboral</x:v>
      </x:c>
      <x:c r="D26" s="22" t="str">
        <x:v>Verificar la existencia, implementación y evidencia objetiva de 'conformación y funcionamiento del comité de convivencia laboral' conforme a la Resolución 0312 de 2019.</x:v>
      </x:c>
      <x:c r="E26" s="52" t="n">
        <x:v>1.5</x:v>
      </x:c>
      <x:c r="F26" s="22" t="str">
        <x:v>Cumple</x:v>
      </x:c>
      <x:c r="G26" s="52" t="n">
        <x:f>IF(F26="Cumple",E26,0)</x:f>
        <x:v>1.5</x:v>
      </x:c>
      <x:c r="H26" s="22" t="str">
        <x:v>Revisión documental</x:v>
      </x:c>
      <x:c r="I26" s="22" t="str">
        <x:v>Soporte documental verificado y actualizado</x:v>
      </x:c>
      <x:c r="J26" s="22" t="str">
        <x:v>Alta Dirección</x:v>
      </x:c>
      <x:c r="K26" s="22" t="str">
        <x:v>No</x:v>
      </x:c>
      <x:c r="L26" s="22" t="str"/>
      <x:c r="M26" s="53"/>
      <x:c r="N26" s="22" t="str">
        <x:v>Cerrada</x:v>
      </x:c>
      <x:c r="O26" s="22" t="str">
        <x:v>Cumplimiento sostenido</x:v>
      </x:c>
      <x:c r="P26" s="22" t="n">
        <x:v>2025</x:v>
      </x:c>
      <x:c r="Q26" s="22" t="str">
        <x:v>IMA COMPANY SAS</x:v>
      </x:c>
      <x:c r="R26" s="22" t="str">
        <x:v>Consolidado empresarial</x:v>
      </x:c>
    </x:row>
    <x:row r="27" ht="39.599998474121094" hidden="0" customHeight="1">
      <x:c r="A27" s="22" t="n">
        <x:v>19</x:v>
      </x:c>
      <x:c r="B27" s="22" t="str">
        <x:v>Hacer</x:v>
      </x:c>
      <x:c r="C27" s="22" t="str">
        <x:v>Programa de capacitación en SST ejecutado</x:v>
      </x:c>
      <x:c r="D27" s="22" t="str">
        <x:v>Verificar la existencia, implementación y evidencia objetiva de 'programa de capacitación en sst ejecutado' conforme a la Resolución 0312 de 2019.</x:v>
      </x:c>
      <x:c r="E27" s="52" t="n">
        <x:v>1.5</x:v>
      </x:c>
      <x:c r="F27" s="22" t="str">
        <x:v>Cumple</x:v>
      </x:c>
      <x:c r="G27" s="52" t="n">
        <x:f>IF(F27="Cumple",E27,0)</x:f>
        <x:v>1.5</x:v>
      </x:c>
      <x:c r="H27" s="22" t="str">
        <x:v>Revisión documental</x:v>
      </x:c>
      <x:c r="I27" s="22" t="str">
        <x:v>Soporte documental verificado y actualizado</x:v>
      </x:c>
      <x:c r="J27" s="22" t="str">
        <x:v>Talento Humano</x:v>
      </x:c>
      <x:c r="K27" s="22" t="str">
        <x:v>No</x:v>
      </x:c>
      <x:c r="L27" s="22" t="str"/>
      <x:c r="M27" s="53"/>
      <x:c r="N27" s="22" t="str">
        <x:v>Cerrada</x:v>
      </x:c>
      <x:c r="O27" s="22" t="str">
        <x:v>Cumplimiento sostenido</x:v>
      </x:c>
      <x:c r="P27" s="22" t="n">
        <x:v>2025</x:v>
      </x:c>
      <x:c r="Q27" s="22" t="str">
        <x:v>IMA COMPANY SAS</x:v>
      </x:c>
      <x:c r="R27" s="22" t="str">
        <x:v>Consolidado empresarial</x:v>
      </x:c>
    </x:row>
    <x:row r="28" ht="39.599998474121094" hidden="0" customHeight="1">
      <x:c r="A28" s="22" t="n">
        <x:v>20</x:v>
      </x:c>
      <x:c r="B28" s="22" t="str">
        <x:v>Hacer</x:v>
      </x:c>
      <x:c r="C28" s="22" t="str">
        <x:v>Inducción y reinducción en SST</x:v>
      </x:c>
      <x:c r="D28" s="22" t="str">
        <x:v>Verificar la existencia, implementación y evidencia objetiva de 'inducción y reinducción en sst' conforme a la Resolución 0312 de 2019.</x:v>
      </x:c>
      <x:c r="E28" s="52" t="n">
        <x:v>1.5</x:v>
      </x:c>
      <x:c r="F28" s="22" t="str">
        <x:v>Cumple</x:v>
      </x:c>
      <x:c r="G28" s="52" t="n">
        <x:f>IF(F28="Cumple",E28,0)</x:f>
        <x:v>1.5</x:v>
      </x:c>
      <x:c r="H28" s="22" t="str">
        <x:v>Acta / evidencia</x:v>
      </x:c>
      <x:c r="I28" s="22" t="str">
        <x:v>Soporte documental verificado y actualizado</x:v>
      </x:c>
      <x:c r="J28" s="22" t="str">
        <x:v>Líder SST</x:v>
      </x:c>
      <x:c r="K28" s="22" t="str">
        <x:v>No</x:v>
      </x:c>
      <x:c r="L28" s="22" t="str"/>
      <x:c r="M28" s="53"/>
      <x:c r="N28" s="22" t="str">
        <x:v>Cerrada</x:v>
      </x:c>
      <x:c r="O28" s="22" t="str">
        <x:v>Cumplimiento sostenido</x:v>
      </x:c>
      <x:c r="P28" s="22" t="n">
        <x:v>2025</x:v>
      </x:c>
      <x:c r="Q28" s="22" t="str">
        <x:v>IMA COMPANY SAS</x:v>
      </x:c>
      <x:c r="R28" s="22" t="str">
        <x:v>Consolidado empresarial</x:v>
      </x:c>
    </x:row>
    <x:row r="29" ht="39.599998474121094" hidden="0" customHeight="1">
      <x:c r="A29" s="22" t="n">
        <x:v>21</x:v>
      </x:c>
      <x:c r="B29" s="22" t="str">
        <x:v>Hacer</x:v>
      </x:c>
      <x:c r="C29" s="22" t="str">
        <x:v>Entrega, reposición y control de EPP</x:v>
      </x:c>
      <x:c r="D29" s="22" t="str">
        <x:v>Verificar la existencia, implementación y evidencia objetiva de 'entrega, reposición y control de epp' conforme a la Resolución 0312 de 2019.</x:v>
      </x:c>
      <x:c r="E29" s="52" t="n">
        <x:v>1.5</x:v>
      </x:c>
      <x:c r="F29" s="22" t="str">
        <x:v>Cumple</x:v>
      </x:c>
      <x:c r="G29" s="52" t="n">
        <x:f>IF(F29="Cumple",E29,0)</x:f>
        <x:v>1.5</x:v>
      </x:c>
      <x:c r="H29" s="22" t="str">
        <x:v>Revisión documental</x:v>
      </x:c>
      <x:c r="I29" s="22" t="str">
        <x:v>Soporte documental verificado y actualizado</x:v>
      </x:c>
      <x:c r="J29" s="22" t="str">
        <x:v>Consultor SST</x:v>
      </x:c>
      <x:c r="K29" s="22" t="str">
        <x:v>No</x:v>
      </x:c>
      <x:c r="L29" s="22" t="str"/>
      <x:c r="M29" s="53"/>
      <x:c r="N29" s="22" t="str">
        <x:v>Cerrada</x:v>
      </x:c>
      <x:c r="O29" s="22" t="str">
        <x:v>Cumplimiento sostenido</x:v>
      </x:c>
      <x:c r="P29" s="22" t="n">
        <x:v>2025</x:v>
      </x:c>
      <x:c r="Q29" s="22" t="str">
        <x:v>IMA COMPANY SAS</x:v>
      </x:c>
      <x:c r="R29" s="22" t="str">
        <x:v>Consolidado empresarial</x:v>
      </x:c>
    </x:row>
    <x:row r="30" ht="39.599998474121094" hidden="0" customHeight="1">
      <x:c r="A30" s="22" t="n">
        <x:v>22</x:v>
      </x:c>
      <x:c r="B30" s="22" t="str">
        <x:v>Hacer</x:v>
      </x:c>
      <x:c r="C30" s="22" t="str">
        <x:v>Inspecciones planeadas de seguridad</x:v>
      </x:c>
      <x:c r="D30" s="22" t="str">
        <x:v>Verificar la existencia, implementación y evidencia objetiva de 'inspecciones planeadas de seguridad' conforme a la Resolución 0312 de 2019.</x:v>
      </x:c>
      <x:c r="E30" s="52" t="n">
        <x:v>1.5</x:v>
      </x:c>
      <x:c r="F30" s="22" t="str">
        <x:v>Cumple</x:v>
      </x:c>
      <x:c r="G30" s="52" t="n">
        <x:f>IF(F30="Cumple",E30,0)</x:f>
        <x:v>1.5</x:v>
      </x:c>
      <x:c r="H30" s="22" t="str">
        <x:v>Revisión documental</x:v>
      </x:c>
      <x:c r="I30" s="22" t="str">
        <x:v>Soporte documental verificado y actualizado</x:v>
      </x:c>
      <x:c r="J30" s="22" t="str">
        <x:v>COPASST</x:v>
      </x:c>
      <x:c r="K30" s="22" t="str">
        <x:v>No</x:v>
      </x:c>
      <x:c r="L30" s="22" t="str"/>
      <x:c r="M30" s="53"/>
      <x:c r="N30" s="22" t="str">
        <x:v>Cerrada</x:v>
      </x:c>
      <x:c r="O30" s="22" t="str">
        <x:v>Cumplimiento sostenido</x:v>
      </x:c>
      <x:c r="P30" s="22" t="n">
        <x:v>2025</x:v>
      </x:c>
      <x:c r="Q30" s="22" t="str">
        <x:v>IMA COMPANY SAS</x:v>
      </x:c>
      <x:c r="R30" s="22" t="str">
        <x:v>Consolidado empresarial</x:v>
      </x:c>
    </x:row>
    <x:row r="31" ht="39.599998474121094" hidden="0" customHeight="1">
      <x:c r="A31" s="22" t="n">
        <x:v>23</x:v>
      </x:c>
      <x:c r="B31" s="22" t="str">
        <x:v>Hacer</x:v>
      </x:c>
      <x:c r="C31" s="22" t="str">
        <x:v>Mantenimiento preventivo de equipos e instalaciones</x:v>
      </x:c>
      <x:c r="D31" s="22" t="str">
        <x:v>Verificar la existencia, implementación y evidencia objetiva de 'mantenimiento preventivo de equipos e instalaciones' conforme a la Resolución 0312 de 2019.</x:v>
      </x:c>
      <x:c r="E31" s="52" t="n">
        <x:v>1.5</x:v>
      </x:c>
      <x:c r="F31" s="22" t="str">
        <x:v>Cumple</x:v>
      </x:c>
      <x:c r="G31" s="52" t="n">
        <x:f>IF(F31="Cumple",E31,0)</x:f>
        <x:v>1.5</x:v>
      </x:c>
      <x:c r="H31" s="22" t="str">
        <x:v>Revisión documental</x:v>
      </x:c>
      <x:c r="I31" s="22" t="str">
        <x:v>Soporte documental verificado y actualizado</x:v>
      </x:c>
      <x:c r="J31" s="22" t="str">
        <x:v>Alta Dirección</x:v>
      </x:c>
      <x:c r="K31" s="22" t="str">
        <x:v>No</x:v>
      </x:c>
      <x:c r="L31" s="22" t="str"/>
      <x:c r="M31" s="53"/>
      <x:c r="N31" s="22" t="str">
        <x:v>Cerrada</x:v>
      </x:c>
      <x:c r="O31" s="22" t="str">
        <x:v>Cumplimiento sostenido</x:v>
      </x:c>
      <x:c r="P31" s="22" t="n">
        <x:v>2025</x:v>
      </x:c>
      <x:c r="Q31" s="22" t="str">
        <x:v>IMA COMPANY SAS</x:v>
      </x:c>
      <x:c r="R31" s="22" t="str">
        <x:v>Consolidado empresarial</x:v>
      </x:c>
    </x:row>
    <x:row r="32" ht="39.599998474121094" hidden="0" customHeight="1">
      <x:c r="A32" s="22" t="n">
        <x:v>24</x:v>
      </x:c>
      <x:c r="B32" s="22" t="str">
        <x:v>Hacer</x:v>
      </x:c>
      <x:c r="C32" s="22" t="str">
        <x:v>Gestión de contratistas y proveedores en SST</x:v>
      </x:c>
      <x:c r="D32" s="22" t="str">
        <x:v>Verificar la existencia, implementación y evidencia objetiva de 'gestión de contratistas y proveedores en sst' conforme a la Resolución 0312 de 2019.</x:v>
      </x:c>
      <x:c r="E32" s="52" t="n">
        <x:v>1.5</x:v>
      </x:c>
      <x:c r="F32" s="22" t="str">
        <x:v>Cumple</x:v>
      </x:c>
      <x:c r="G32" s="52" t="n">
        <x:f>IF(F32="Cumple",E32,0)</x:f>
        <x:v>1.5</x:v>
      </x:c>
      <x:c r="H32" s="22" t="str">
        <x:v>Acta / evidencia</x:v>
      </x:c>
      <x:c r="I32" s="22" t="str">
        <x:v>Soporte documental verificado y actualizado</x:v>
      </x:c>
      <x:c r="J32" s="22" t="str">
        <x:v>Talento Humano</x:v>
      </x:c>
      <x:c r="K32" s="22" t="str">
        <x:v>No</x:v>
      </x:c>
      <x:c r="L32" s="22" t="str"/>
      <x:c r="M32" s="53"/>
      <x:c r="N32" s="22" t="str">
        <x:v>Cerrada</x:v>
      </x:c>
      <x:c r="O32" s="22" t="str">
        <x:v>Cumplimiento sostenido</x:v>
      </x:c>
      <x:c r="P32" s="22" t="n">
        <x:v>2025</x:v>
      </x:c>
      <x:c r="Q32" s="22" t="str">
        <x:v>IMA COMPANY SAS</x:v>
      </x:c>
      <x:c r="R32" s="22" t="str">
        <x:v>Consolidado empresarial</x:v>
      </x:c>
    </x:row>
    <x:row r="33" ht="26.399999618530273" hidden="0" customHeight="1">
      <x:c r="A33" s="22" t="n">
        <x:v>25</x:v>
      </x:c>
      <x:c r="B33" s="22" t="str">
        <x:v>Hacer</x:v>
      </x:c>
      <x:c r="C33" s="22" t="str">
        <x:v>Gestión del cambio</x:v>
      </x:c>
      <x:c r="D33" s="22" t="str">
        <x:v>Verificar la existencia, implementación y evidencia objetiva de 'gestión del cambio' conforme a la Resolución 0312 de 2019.</x:v>
      </x:c>
      <x:c r="E33" s="52" t="n">
        <x:v>1.5</x:v>
      </x:c>
      <x:c r="F33" s="22" t="str">
        <x:v>Cumple</x:v>
      </x:c>
      <x:c r="G33" s="52" t="n">
        <x:f>IF(F33="Cumple",E33,0)</x:f>
        <x:v>1.5</x:v>
      </x:c>
      <x:c r="H33" s="22" t="str">
        <x:v>Revisión documental</x:v>
      </x:c>
      <x:c r="I33" s="22" t="str">
        <x:v>Soporte documental verificado y actualizado</x:v>
      </x:c>
      <x:c r="J33" s="22" t="str">
        <x:v>Líder SST</x:v>
      </x:c>
      <x:c r="K33" s="22" t="str">
        <x:v>No</x:v>
      </x:c>
      <x:c r="L33" s="22" t="str"/>
      <x:c r="M33" s="53"/>
      <x:c r="N33" s="22" t="str">
        <x:v>Cerrada</x:v>
      </x:c>
      <x:c r="O33" s="22" t="str">
        <x:v>Cumplimiento sostenido</x:v>
      </x:c>
      <x:c r="P33" s="22" t="n">
        <x:v>2025</x:v>
      </x:c>
      <x:c r="Q33" s="22" t="str">
        <x:v>IMA COMPANY SAS</x:v>
      </x:c>
      <x:c r="R33" s="22" t="str">
        <x:v>Consolidado empresarial</x:v>
      </x:c>
    </x:row>
    <x:row r="34" ht="39.599998474121094" hidden="0" customHeight="1">
      <x:c r="A34" s="22" t="n">
        <x:v>26</x:v>
      </x:c>
      <x:c r="B34" s="22" t="str">
        <x:v>Hacer</x:v>
      </x:c>
      <x:c r="C34" s="22" t="str">
        <x:v>Exámenes médicos ocupacionales de ingreso</x:v>
      </x:c>
      <x:c r="D34" s="22" t="str">
        <x:v>Verificar la existencia, implementación y evidencia objetiva de 'exámenes médicos ocupacionales de ingreso' conforme a la Resolución 0312 de 2019.</x:v>
      </x:c>
      <x:c r="E34" s="52" t="n">
        <x:v>1.5</x:v>
      </x:c>
      <x:c r="F34" s="22" t="str">
        <x:v>Cumple</x:v>
      </x:c>
      <x:c r="G34" s="52" t="n">
        <x:f>IF(F34="Cumple",E34,0)</x:f>
        <x:v>1.5</x:v>
      </x:c>
      <x:c r="H34" s="22" t="str">
        <x:v>Revisión documental</x:v>
      </x:c>
      <x:c r="I34" s="22" t="str">
        <x:v>Soporte documental verificado y actualizado</x:v>
      </x:c>
      <x:c r="J34" s="22" t="str">
        <x:v>Consultor SST</x:v>
      </x:c>
      <x:c r="K34" s="22" t="str">
        <x:v>No</x:v>
      </x:c>
      <x:c r="L34" s="22" t="str"/>
      <x:c r="M34" s="53"/>
      <x:c r="N34" s="22" t="str">
        <x:v>Cerrada</x:v>
      </x:c>
      <x:c r="O34" s="22" t="str">
        <x:v>Cumplimiento sostenido</x:v>
      </x:c>
      <x:c r="P34" s="22" t="n">
        <x:v>2025</x:v>
      </x:c>
      <x:c r="Q34" s="22" t="str">
        <x:v>IMA COMPANY SAS</x:v>
      </x:c>
      <x:c r="R34" s="22" t="str">
        <x:v>Consolidado empresarial</x:v>
      </x:c>
    </x:row>
    <x:row r="35" ht="39.599998474121094" hidden="0" customHeight="1">
      <x:c r="A35" s="22" t="n">
        <x:v>27</x:v>
      </x:c>
      <x:c r="B35" s="22" t="str">
        <x:v>Hacer</x:v>
      </x:c>
      <x:c r="C35" s="22" t="str">
        <x:v>Exámenes médicos periódicos</x:v>
      </x:c>
      <x:c r="D35" s="22" t="str">
        <x:v>Verificar la existencia, implementación y evidencia objetiva de 'exámenes médicos periódicos' conforme a la Resolución 0312 de 2019.</x:v>
      </x:c>
      <x:c r="E35" s="52" t="n">
        <x:v>1.5</x:v>
      </x:c>
      <x:c r="F35" s="22" t="str">
        <x:v>Cumple</x:v>
      </x:c>
      <x:c r="G35" s="52" t="n">
        <x:f>IF(F35="Cumple",E35,0)</x:f>
        <x:v>1.5</x:v>
      </x:c>
      <x:c r="H35" s="22" t="str">
        <x:v>Revisión documental</x:v>
      </x:c>
      <x:c r="I35" s="22" t="str">
        <x:v>Soporte documental verificado y actualizado</x:v>
      </x:c>
      <x:c r="J35" s="22" t="str">
        <x:v>COPASST</x:v>
      </x:c>
      <x:c r="K35" s="22" t="str">
        <x:v>No</x:v>
      </x:c>
      <x:c r="L35" s="22" t="str"/>
      <x:c r="M35" s="53"/>
      <x:c r="N35" s="22" t="str">
        <x:v>Cerrada</x:v>
      </x:c>
      <x:c r="O35" s="22" t="str">
        <x:v>Cumplimiento sostenido</x:v>
      </x:c>
      <x:c r="P35" s="22" t="n">
        <x:v>2025</x:v>
      </x:c>
      <x:c r="Q35" s="22" t="str">
        <x:v>IMA COMPANY SAS</x:v>
      </x:c>
      <x:c r="R35" s="22" t="str">
        <x:v>Consolidado empresarial</x:v>
      </x:c>
    </x:row>
    <x:row r="36" ht="39.599998474121094" hidden="0" customHeight="1">
      <x:c r="A36" s="22" t="n">
        <x:v>28</x:v>
      </x:c>
      <x:c r="B36" s="22" t="str">
        <x:v>Hacer</x:v>
      </x:c>
      <x:c r="C36" s="22" t="str">
        <x:v>Exámenes de retiro y post incapacidad</x:v>
      </x:c>
      <x:c r="D36" s="22" t="str">
        <x:v>Verificar la existencia, implementación y evidencia objetiva de 'exámenes de retiro y post incapacidad' conforme a la Resolución 0312 de 2019.</x:v>
      </x:c>
      <x:c r="E36" s="52" t="n">
        <x:v>1.5</x:v>
      </x:c>
      <x:c r="F36" s="22" t="str">
        <x:v>Cumple</x:v>
      </x:c>
      <x:c r="G36" s="52" t="n">
        <x:f>IF(F36="Cumple",E36,0)</x:f>
        <x:v>1.5</x:v>
      </x:c>
      <x:c r="H36" s="22" t="str">
        <x:v>Acta / evidencia</x:v>
      </x:c>
      <x:c r="I36" s="22" t="str">
        <x:v>Soporte documental verificado y actualizado</x:v>
      </x:c>
      <x:c r="J36" s="22" t="str">
        <x:v>Alta Dirección</x:v>
      </x:c>
      <x:c r="K36" s="22" t="str">
        <x:v>No</x:v>
      </x:c>
      <x:c r="L36" s="22" t="str"/>
      <x:c r="M36" s="53"/>
      <x:c r="N36" s="22" t="str">
        <x:v>Cerrada</x:v>
      </x:c>
      <x:c r="O36" s="22" t="str">
        <x:v>Cumplimiento sostenido</x:v>
      </x:c>
      <x:c r="P36" s="22" t="n">
        <x:v>2025</x:v>
      </x:c>
      <x:c r="Q36" s="22" t="str">
        <x:v>IMA COMPANY SAS</x:v>
      </x:c>
      <x:c r="R36" s="22" t="str">
        <x:v>Consolidado empresarial</x:v>
      </x:c>
    </x:row>
    <x:row r="37" ht="39.599998474121094" hidden="0" customHeight="1">
      <x:c r="A37" s="22" t="n">
        <x:v>29</x:v>
      </x:c>
      <x:c r="B37" s="22" t="str">
        <x:v>Hacer</x:v>
      </x:c>
      <x:c r="C37" s="22" t="str">
        <x:v>Reporte e investigación de accidentes de trabajo</x:v>
      </x:c>
      <x:c r="D37" s="22" t="str">
        <x:v>Verificar la existencia, implementación y evidencia objetiva de 'reporte e investigación de accidentes de trabajo' conforme a la Resolución 0312 de 2019.</x:v>
      </x:c>
      <x:c r="E37" s="52" t="n">
        <x:v>1.5</x:v>
      </x:c>
      <x:c r="F37" s="22" t="str">
        <x:v>Cumple</x:v>
      </x:c>
      <x:c r="G37" s="52" t="n">
        <x:f>IF(F37="Cumple",E37,0)</x:f>
        <x:v>1.5</x:v>
      </x:c>
      <x:c r="H37" s="22" t="str">
        <x:v>Revisión documental</x:v>
      </x:c>
      <x:c r="I37" s="22" t="str">
        <x:v>Soporte documental verificado y actualizado</x:v>
      </x:c>
      <x:c r="J37" s="22" t="str">
        <x:v>Talento Humano</x:v>
      </x:c>
      <x:c r="K37" s="22" t="str">
        <x:v>No</x:v>
      </x:c>
      <x:c r="L37" s="22" t="str"/>
      <x:c r="M37" s="53"/>
      <x:c r="N37" s="22" t="str">
        <x:v>Cerrada</x:v>
      </x:c>
      <x:c r="O37" s="22" t="str">
        <x:v>Cumplimiento sostenido</x:v>
      </x:c>
      <x:c r="P37" s="22" t="n">
        <x:v>2025</x:v>
      </x:c>
      <x:c r="Q37" s="22" t="str">
        <x:v>IMA COMPANY SAS</x:v>
      </x:c>
      <x:c r="R37" s="22" t="str">
        <x:v>Consolidado empresarial</x:v>
      </x:c>
    </x:row>
    <x:row r="38" ht="39.599998474121094" hidden="0" customHeight="1">
      <x:c r="A38" s="22" t="n">
        <x:v>30</x:v>
      </x:c>
      <x:c r="B38" s="22" t="str">
        <x:v>Hacer</x:v>
      </x:c>
      <x:c r="C38" s="22" t="str">
        <x:v>Reporte y seguimiento de enfermedades laborales</x:v>
      </x:c>
      <x:c r="D38" s="22" t="str">
        <x:v>Verificar la existencia, implementación y evidencia objetiva de 'reporte y seguimiento de enfermedades laborales' conforme a la Resolución 0312 de 2019.</x:v>
      </x:c>
      <x:c r="E38" s="52" t="n">
        <x:v>1.5</x:v>
      </x:c>
      <x:c r="F38" s="22" t="str">
        <x:v>Cumple</x:v>
      </x:c>
      <x:c r="G38" s="52" t="n">
        <x:f>IF(F38="Cumple",E38,0)</x:f>
        <x:v>1.5</x:v>
      </x:c>
      <x:c r="H38" s="22" t="str">
        <x:v>Revisión documental</x:v>
      </x:c>
      <x:c r="I38" s="22" t="str">
        <x:v>Soporte documental verificado y actualizado</x:v>
      </x:c>
      <x:c r="J38" s="22" t="str">
        <x:v>Líder SST</x:v>
      </x:c>
      <x:c r="K38" s="22" t="str">
        <x:v>No</x:v>
      </x:c>
      <x:c r="L38" s="22" t="str"/>
      <x:c r="M38" s="53"/>
      <x:c r="N38" s="22" t="str">
        <x:v>Cerrada</x:v>
      </x:c>
      <x:c r="O38" s="22" t="str">
        <x:v>Cumplimiento sostenido</x:v>
      </x:c>
      <x:c r="P38" s="22" t="n">
        <x:v>2025</x:v>
      </x:c>
      <x:c r="Q38" s="22" t="str">
        <x:v>IMA COMPANY SAS</x:v>
      </x:c>
      <x:c r="R38" s="22" t="str">
        <x:v>Consolidado empresarial</x:v>
      </x:c>
    </x:row>
    <x:row r="39" ht="39.599998474121094" hidden="0" customHeight="1">
      <x:c r="A39" s="22" t="n">
        <x:v>31</x:v>
      </x:c>
      <x:c r="B39" s="22" t="str">
        <x:v>Hacer</x:v>
      </x:c>
      <x:c r="C39" s="22" t="str">
        <x:v>Gestión de ausentismo laboral</x:v>
      </x:c>
      <x:c r="D39" s="22" t="str">
        <x:v>Verificar la existencia, implementación y evidencia objetiva de 'gestión de ausentismo laboral' conforme a la Resolución 0312 de 2019.</x:v>
      </x:c>
      <x:c r="E39" s="52" t="n">
        <x:v>2</x:v>
      </x:c>
      <x:c r="F39" s="22" t="str">
        <x:v>Cumple</x:v>
      </x:c>
      <x:c r="G39" s="52" t="n">
        <x:f>IF(F39="Cumple",E39,0)</x:f>
        <x:v>2</x:v>
      </x:c>
      <x:c r="H39" s="22" t="str">
        <x:v>Revisión documental</x:v>
      </x:c>
      <x:c r="I39" s="22" t="str">
        <x:v>Soporte documental verificado y actualizado</x:v>
      </x:c>
      <x:c r="J39" s="22" t="str">
        <x:v>Consultor SST</x:v>
      </x:c>
      <x:c r="K39" s="22" t="str">
        <x:v>No</x:v>
      </x:c>
      <x:c r="L39" s="22" t="str"/>
      <x:c r="M39" s="53"/>
      <x:c r="N39" s="22" t="str">
        <x:v>Cerrada</x:v>
      </x:c>
      <x:c r="O39" s="22" t="str">
        <x:v>Cumplimiento sostenido</x:v>
      </x:c>
      <x:c r="P39" s="22" t="n">
        <x:v>2025</x:v>
      </x:c>
      <x:c r="Q39" s="22" t="str">
        <x:v>IMA COMPANY SAS</x:v>
      </x:c>
      <x:c r="R39" s="22" t="str">
        <x:v>Consolidado empresarial</x:v>
      </x:c>
    </x:row>
    <x:row r="40" ht="39.599998474121094" hidden="0" customHeight="1">
      <x:c r="A40" s="22" t="n">
        <x:v>32</x:v>
      </x:c>
      <x:c r="B40" s="22" t="str">
        <x:v>Hacer</x:v>
      </x:c>
      <x:c r="C40" s="22" t="str">
        <x:v>Vigilancia epidemiológica</x:v>
      </x:c>
      <x:c r="D40" s="22" t="str">
        <x:v>Verificar la existencia, implementación y evidencia objetiva de 'vigilancia epidemiológica' conforme a la Resolución 0312 de 2019.</x:v>
      </x:c>
      <x:c r="E40" s="52" t="n">
        <x:v>2</x:v>
      </x:c>
      <x:c r="F40" s="22" t="str">
        <x:v>Cumple</x:v>
      </x:c>
      <x:c r="G40" s="52" t="n">
        <x:f>IF(F40="Cumple",E40,0)</x:f>
        <x:v>2</x:v>
      </x:c>
      <x:c r="H40" s="22" t="str">
        <x:v>Acta / evidencia</x:v>
      </x:c>
      <x:c r="I40" s="22" t="str">
        <x:v>Soporte documental verificado y actualizado</x:v>
      </x:c>
      <x:c r="J40" s="22" t="str">
        <x:v>COPASST</x:v>
      </x:c>
      <x:c r="K40" s="22" t="str">
        <x:v>No</x:v>
      </x:c>
      <x:c r="L40" s="22" t="str"/>
      <x:c r="M40" s="53"/>
      <x:c r="N40" s="22" t="str">
        <x:v>Cerrada</x:v>
      </x:c>
      <x:c r="O40" s="22" t="str">
        <x:v>Cumplimiento sostenido</x:v>
      </x:c>
      <x:c r="P40" s="22" t="n">
        <x:v>2025</x:v>
      </x:c>
      <x:c r="Q40" s="22" t="str">
        <x:v>IMA COMPANY SAS</x:v>
      </x:c>
      <x:c r="R40" s="22" t="str">
        <x:v>Consolidado empresarial</x:v>
      </x:c>
    </x:row>
    <x:row r="41" ht="39.599998474121094" hidden="0" customHeight="1">
      <x:c r="A41" s="22" t="n">
        <x:v>33</x:v>
      </x:c>
      <x:c r="B41" s="22" t="str">
        <x:v>Hacer</x:v>
      </x:c>
      <x:c r="C41" s="22" t="str">
        <x:v>Mediciones higiénicas y controles ambientales</x:v>
      </x:c>
      <x:c r="D41" s="22" t="str">
        <x:v>Verificar la existencia, implementación y evidencia objetiva de 'mediciones higiénicas y controles ambientales' conforme a la Resolución 0312 de 2019.</x:v>
      </x:c>
      <x:c r="E41" s="52" t="n">
        <x:v>2</x:v>
      </x:c>
      <x:c r="F41" s="22" t="str">
        <x:v>Cumple</x:v>
      </x:c>
      <x:c r="G41" s="52" t="n">
        <x:f>IF(F41="Cumple",E41,0)</x:f>
        <x:v>2</x:v>
      </x:c>
      <x:c r="H41" s="22" t="str">
        <x:v>Revisión documental</x:v>
      </x:c>
      <x:c r="I41" s="22" t="str">
        <x:v>Soporte documental verificado y actualizado</x:v>
      </x:c>
      <x:c r="J41" s="22" t="str">
        <x:v>Alta Dirección</x:v>
      </x:c>
      <x:c r="K41" s="22" t="str">
        <x:v>No</x:v>
      </x:c>
      <x:c r="L41" s="22" t="str"/>
      <x:c r="M41" s="53"/>
      <x:c r="N41" s="22" t="str">
        <x:v>Cerrada</x:v>
      </x:c>
      <x:c r="O41" s="22" t="str">
        <x:v>Cumplimiento sostenido</x:v>
      </x:c>
      <x:c r="P41" s="22" t="n">
        <x:v>2025</x:v>
      </x:c>
      <x:c r="Q41" s="22" t="str">
        <x:v>IMA COMPANY SAS</x:v>
      </x:c>
      <x:c r="R41" s="22" t="str">
        <x:v>Consolidado empresarial</x:v>
      </x:c>
    </x:row>
    <x:row r="42" ht="39.599998474121094" hidden="0" customHeight="1">
      <x:c r="A42" s="22" t="n">
        <x:v>34</x:v>
      </x:c>
      <x:c r="B42" s="22" t="str">
        <x:v>Hacer</x:v>
      </x:c>
      <x:c r="C42" s="22" t="str">
        <x:v>Señalización y demarcación de áreas</x:v>
      </x:c>
      <x:c r="D42" s="22" t="str">
        <x:v>Verificar la existencia, implementación y evidencia objetiva de 'señalización y demarcación de áreas' conforme a la Resolución 0312 de 2019.</x:v>
      </x:c>
      <x:c r="E42" s="52" t="n">
        <x:v>2</x:v>
      </x:c>
      <x:c r="F42" s="22" t="str">
        <x:v>Cumple</x:v>
      </x:c>
      <x:c r="G42" s="52" t="n">
        <x:f>IF(F42="Cumple",E42,0)</x:f>
        <x:v>2</x:v>
      </x:c>
      <x:c r="H42" s="22" t="str">
        <x:v>Revisión documental</x:v>
      </x:c>
      <x:c r="I42" s="22" t="str">
        <x:v>Soporte documental verificado y actualizado</x:v>
      </x:c>
      <x:c r="J42" s="22" t="str">
        <x:v>Talento Humano</x:v>
      </x:c>
      <x:c r="K42" s="22" t="str">
        <x:v>No</x:v>
      </x:c>
      <x:c r="L42" s="22" t="str"/>
      <x:c r="M42" s="53"/>
      <x:c r="N42" s="22" t="str">
        <x:v>Cerrada</x:v>
      </x:c>
      <x:c r="O42" s="22" t="str">
        <x:v>Cumplimiento sostenido</x:v>
      </x:c>
      <x:c r="P42" s="22" t="n">
        <x:v>2025</x:v>
      </x:c>
      <x:c r="Q42" s="22" t="str">
        <x:v>IMA COMPANY SAS</x:v>
      </x:c>
      <x:c r="R42" s="22" t="str">
        <x:v>Consolidado empresarial</x:v>
      </x:c>
    </x:row>
    <x:row r="43" ht="39.599998474121094" hidden="0" customHeight="1">
      <x:c r="A43" s="22" t="n">
        <x:v>35</x:v>
      </x:c>
      <x:c r="B43" s="22" t="str">
        <x:v>Hacer</x:v>
      </x:c>
      <x:c r="C43" s="22" t="str">
        <x:v>Plan de emergencias implementado</x:v>
      </x:c>
      <x:c r="D43" s="22" t="str">
        <x:v>Verificar la existencia, implementación y evidencia objetiva de 'plan de emergencias implementado' conforme a la Resolución 0312 de 2019.</x:v>
      </x:c>
      <x:c r="E43" s="52" t="n">
        <x:v>2</x:v>
      </x:c>
      <x:c r="F43" s="22" t="str">
        <x:v>Cumple</x:v>
      </x:c>
      <x:c r="G43" s="52" t="n">
        <x:f>IF(F43="Cumple",E43,0)</x:f>
        <x:v>2</x:v>
      </x:c>
      <x:c r="H43" s="22" t="str">
        <x:v>Revisión documental</x:v>
      </x:c>
      <x:c r="I43" s="22" t="str">
        <x:v>Soporte documental verificado y actualizado</x:v>
      </x:c>
      <x:c r="J43" s="22" t="str">
        <x:v>Líder SST</x:v>
      </x:c>
      <x:c r="K43" s="22" t="str">
        <x:v>No</x:v>
      </x:c>
      <x:c r="L43" s="22" t="str"/>
      <x:c r="M43" s="53"/>
      <x:c r="N43" s="22" t="str">
        <x:v>Cerrada</x:v>
      </x:c>
      <x:c r="O43" s="22" t="str">
        <x:v>Cumplimiento sostenido</x:v>
      </x:c>
      <x:c r="P43" s="22" t="n">
        <x:v>2025</x:v>
      </x:c>
      <x:c r="Q43" s="22" t="str">
        <x:v>IMA COMPANY SAS</x:v>
      </x:c>
      <x:c r="R43" s="22" t="str">
        <x:v>Consolidado empresarial</x:v>
      </x:c>
    </x:row>
    <x:row r="44" ht="39.599998474121094" hidden="0" customHeight="1">
      <x:c r="A44" s="22" t="n">
        <x:v>36</x:v>
      </x:c>
      <x:c r="B44" s="22" t="str">
        <x:v>Hacer</x:v>
      </x:c>
      <x:c r="C44" s="22" t="str">
        <x:v>Brigada de emergencias conformada y entrenada</x:v>
      </x:c>
      <x:c r="D44" s="22" t="str">
        <x:v>Verificar la existencia, implementación y evidencia objetiva de 'brigada de emergencias conformada y entrenada' conforme a la Resolución 0312 de 2019.</x:v>
      </x:c>
      <x:c r="E44" s="52" t="n">
        <x:v>2</x:v>
      </x:c>
      <x:c r="F44" s="22" t="str">
        <x:v>Cumple</x:v>
      </x:c>
      <x:c r="G44" s="52" t="n">
        <x:f>IF(F44="Cumple",E44,0)</x:f>
        <x:v>2</x:v>
      </x:c>
      <x:c r="H44" s="22" t="str">
        <x:v>Acta / evidencia</x:v>
      </x:c>
      <x:c r="I44" s="22" t="str">
        <x:v>Soporte documental verificado y actualizado</x:v>
      </x:c>
      <x:c r="J44" s="22" t="str">
        <x:v>Consultor SST</x:v>
      </x:c>
      <x:c r="K44" s="22" t="str">
        <x:v>No</x:v>
      </x:c>
      <x:c r="L44" s="22" t="str"/>
      <x:c r="M44" s="53"/>
      <x:c r="N44" s="22" t="str">
        <x:v>Cerrada</x:v>
      </x:c>
      <x:c r="O44" s="22" t="str">
        <x:v>Cumplimiento sostenido</x:v>
      </x:c>
      <x:c r="P44" s="22" t="n">
        <x:v>2025</x:v>
      </x:c>
      <x:c r="Q44" s="22" t="str">
        <x:v>IMA COMPANY SAS</x:v>
      </x:c>
      <x:c r="R44" s="22" t="str">
        <x:v>Consolidado empresarial</x:v>
      </x:c>
    </x:row>
    <x:row r="45" ht="39.599998474121094" hidden="0" customHeight="1">
      <x:c r="A45" s="22" t="n">
        <x:v>37</x:v>
      </x:c>
      <x:c r="B45" s="22" t="str">
        <x:v>Hacer</x:v>
      </x:c>
      <x:c r="C45" s="22" t="str">
        <x:v>Simulacros de evacuación y respuesta</x:v>
      </x:c>
      <x:c r="D45" s="22" t="str">
        <x:v>Verificar la existencia, implementación y evidencia objetiva de 'simulacros de evacuación y respuesta' conforme a la Resolución 0312 de 2019.</x:v>
      </x:c>
      <x:c r="E45" s="52" t="n">
        <x:v>2</x:v>
      </x:c>
      <x:c r="F45" s="22" t="str">
        <x:v>Cumple</x:v>
      </x:c>
      <x:c r="G45" s="52" t="n">
        <x:f>IF(F45="Cumple",E45,0)</x:f>
        <x:v>2</x:v>
      </x:c>
      <x:c r="H45" s="22" t="str">
        <x:v>Revisión documental</x:v>
      </x:c>
      <x:c r="I45" s="22" t="str">
        <x:v>Soporte documental verificado y actualizado</x:v>
      </x:c>
      <x:c r="J45" s="22" t="str">
        <x:v>COPASST</x:v>
      </x:c>
      <x:c r="K45" s="22" t="str">
        <x:v>No</x:v>
      </x:c>
      <x:c r="L45" s="22" t="str"/>
      <x:c r="M45" s="53"/>
      <x:c r="N45" s="22" t="str">
        <x:v>Cerrada</x:v>
      </x:c>
      <x:c r="O45" s="22" t="str">
        <x:v>Cumplimiento sostenido</x:v>
      </x:c>
      <x:c r="P45" s="22" t="n">
        <x:v>2025</x:v>
      </x:c>
      <x:c r="Q45" s="22" t="str">
        <x:v>IMA COMPANY SAS</x:v>
      </x:c>
      <x:c r="R45" s="22" t="str">
        <x:v>Consolidado empresarial</x:v>
      </x:c>
    </x:row>
    <x:row r="46" ht="39.599998474121094" hidden="0" customHeight="1">
      <x:c r="A46" s="22" t="n">
        <x:v>38</x:v>
      </x:c>
      <x:c r="B46" s="22" t="str">
        <x:v>Hacer</x:v>
      </x:c>
      <x:c r="C46" s="22" t="str">
        <x:v>Programa de estilos de vida y entornos saludables</x:v>
      </x:c>
      <x:c r="D46" s="22" t="str">
        <x:v>Verificar la existencia, implementación y evidencia objetiva de 'programa de estilos de vida y entornos saludables' conforme a la Resolución 0312 de 2019.</x:v>
      </x:c>
      <x:c r="E46" s="52" t="n">
        <x:v>2</x:v>
      </x:c>
      <x:c r="F46" s="22" t="str">
        <x:v>Cumple</x:v>
      </x:c>
      <x:c r="G46" s="52" t="n">
        <x:f>IF(F46="Cumple",E46,0)</x:f>
        <x:v>2</x:v>
      </x:c>
      <x:c r="H46" s="22" t="str">
        <x:v>Revisión documental</x:v>
      </x:c>
      <x:c r="I46" s="22" t="str">
        <x:v>Soporte documental verificado y actualizado</x:v>
      </x:c>
      <x:c r="J46" s="22" t="str">
        <x:v>Alta Dirección</x:v>
      </x:c>
      <x:c r="K46" s="22" t="str">
        <x:v>No</x:v>
      </x:c>
      <x:c r="L46" s="22" t="str"/>
      <x:c r="M46" s="53"/>
      <x:c r="N46" s="22" t="str">
        <x:v>Cerrada</x:v>
      </x:c>
      <x:c r="O46" s="22" t="str">
        <x:v>Cumplimiento sostenido</x:v>
      </x:c>
      <x:c r="P46" s="22" t="n">
        <x:v>2025</x:v>
      </x:c>
      <x:c r="Q46" s="22" t="str">
        <x:v>IMA COMPANY SAS</x:v>
      </x:c>
      <x:c r="R46" s="22" t="str">
        <x:v>Consolidado empresarial</x:v>
      </x:c>
    </x:row>
    <x:row r="47" ht="39.599998474121094" hidden="0" customHeight="1">
      <x:c r="A47" s="22" t="n">
        <x:v>39</x:v>
      </x:c>
      <x:c r="B47" s="22" t="str">
        <x:v>Hacer</x:v>
      </x:c>
      <x:c r="C47" s="22" t="str">
        <x:v>Participación y consulta de trabajadores</x:v>
      </x:c>
      <x:c r="D47" s="22" t="str">
        <x:v>Verificar la existencia, implementación y evidencia objetiva de 'participación y consulta de trabajadores' conforme a la Resolución 0312 de 2019.</x:v>
      </x:c>
      <x:c r="E47" s="52" t="n">
        <x:v>2</x:v>
      </x:c>
      <x:c r="F47" s="22" t="str">
        <x:v>Cumple</x:v>
      </x:c>
      <x:c r="G47" s="52" t="n">
        <x:f>IF(F47="Cumple",E47,0)</x:f>
        <x:v>2</x:v>
      </x:c>
      <x:c r="H47" s="22" t="str">
        <x:v>Revisión documental</x:v>
      </x:c>
      <x:c r="I47" s="22" t="str">
        <x:v>Soporte documental verificado y actualizado</x:v>
      </x:c>
      <x:c r="J47" s="22" t="str">
        <x:v>Talento Humano</x:v>
      </x:c>
      <x:c r="K47" s="22" t="str">
        <x:v>No</x:v>
      </x:c>
      <x:c r="L47" s="22" t="str"/>
      <x:c r="M47" s="53"/>
      <x:c r="N47" s="22" t="str">
        <x:v>Cerrada</x:v>
      </x:c>
      <x:c r="O47" s="22" t="str">
        <x:v>Cumplimiento sostenido</x:v>
      </x:c>
      <x:c r="P47" s="22" t="n">
        <x:v>2025</x:v>
      </x:c>
      <x:c r="Q47" s="22" t="str">
        <x:v>IMA COMPANY SAS</x:v>
      </x:c>
      <x:c r="R47" s="22" t="str">
        <x:v>Consolidado empresarial</x:v>
      </x:c>
    </x:row>
    <x:row r="48" ht="39.599998474121094" hidden="0" customHeight="1">
      <x:c r="A48" s="22" t="n">
        <x:v>40</x:v>
      </x:c>
      <x:c r="B48" s="22" t="str">
        <x:v>Hacer</x:v>
      </x:c>
      <x:c r="C48" s="22" t="str">
        <x:v>Comunicación interna y externa en SST</x:v>
      </x:c>
      <x:c r="D48" s="22" t="str">
        <x:v>Verificar la existencia, implementación y evidencia objetiva de 'comunicación interna y externa en sst' conforme a la Resolución 0312 de 2019.</x:v>
      </x:c>
      <x:c r="E48" s="52" t="n">
        <x:v>2</x:v>
      </x:c>
      <x:c r="F48" s="22" t="str">
        <x:v>Cumple</x:v>
      </x:c>
      <x:c r="G48" s="52" t="n">
        <x:f>IF(F48="Cumple",E48,0)</x:f>
        <x:v>2</x:v>
      </x:c>
      <x:c r="H48" s="22" t="str">
        <x:v>Acta / evidencia</x:v>
      </x:c>
      <x:c r="I48" s="22" t="str">
        <x:v>Soporte documental verificado y actualizado</x:v>
      </x:c>
      <x:c r="J48" s="22" t="str">
        <x:v>Líder SST</x:v>
      </x:c>
      <x:c r="K48" s="22" t="str">
        <x:v>No</x:v>
      </x:c>
      <x:c r="L48" s="22" t="str"/>
      <x:c r="M48" s="53"/>
      <x:c r="N48" s="22" t="str">
        <x:v>Cerrada</x:v>
      </x:c>
      <x:c r="O48" s="22" t="str">
        <x:v>Cumplimiento sostenido</x:v>
      </x:c>
      <x:c r="P48" s="22" t="n">
        <x:v>2025</x:v>
      </x:c>
      <x:c r="Q48" s="22" t="str">
        <x:v>IMA COMPANY SAS</x:v>
      </x:c>
      <x:c r="R48" s="22" t="str">
        <x:v>Consolidado empresarial</x:v>
      </x:c>
    </x:row>
    <x:row r="49" ht="39.599998474121094" hidden="0" customHeight="1">
      <x:c r="A49" s="22" t="n">
        <x:v>41</x:v>
      </x:c>
      <x:c r="B49" s="22" t="str">
        <x:v>Verificar</x:v>
      </x:c>
      <x:c r="C49" s="22" t="str">
        <x:v>Seguimiento al cumplimiento del plan anual</x:v>
      </x:c>
      <x:c r="D49" s="22" t="str">
        <x:v>Verificar la existencia, implementación y evidencia objetiva de 'seguimiento al cumplimiento del plan anual' conforme a la Resolución 0312 de 2019.</x:v>
      </x:c>
      <x:c r="E49" s="52" t="n">
        <x:v>1.5</x:v>
      </x:c>
      <x:c r="F49" s="22" t="str">
        <x:v>Cumple</x:v>
      </x:c>
      <x:c r="G49" s="52" t="n">
        <x:f>IF(F49="Cumple",E49,0)</x:f>
        <x:v>1.5</x:v>
      </x:c>
      <x:c r="H49" s="22" t="str">
        <x:v>Revisión documental</x:v>
      </x:c>
      <x:c r="I49" s="22" t="str">
        <x:v>Soporte documental verificado y actualizado</x:v>
      </x:c>
      <x:c r="J49" s="22" t="str">
        <x:v>Consultor SST</x:v>
      </x:c>
      <x:c r="K49" s="22" t="str">
        <x:v>No</x:v>
      </x:c>
      <x:c r="L49" s="22" t="str"/>
      <x:c r="M49" s="53"/>
      <x:c r="N49" s="22" t="str">
        <x:v>Cerrada</x:v>
      </x:c>
      <x:c r="O49" s="22" t="str">
        <x:v>Cumplimiento sostenido</x:v>
      </x:c>
      <x:c r="P49" s="22" t="n">
        <x:v>2025</x:v>
      </x:c>
      <x:c r="Q49" s="22" t="str">
        <x:v>IMA COMPANY SAS</x:v>
      </x:c>
      <x:c r="R49" s="22" t="str">
        <x:v>Consolidado empresarial</x:v>
      </x:c>
    </x:row>
    <x:row r="50" ht="39.599998474121094" hidden="0" customHeight="1">
      <x:c r="A50" s="22" t="n">
        <x:v>42</x:v>
      </x:c>
      <x:c r="B50" s="22" t="str">
        <x:v>Verificar</x:v>
      </x:c>
      <x:c r="C50" s="22" t="str">
        <x:v>Seguimiento a indicadores del SG-SST</x:v>
      </x:c>
      <x:c r="D50" s="22" t="str">
        <x:v>Verificar la existencia, implementación y evidencia objetiva de 'seguimiento a indicadores del sg-sst' conforme a la Resolución 0312 de 2019.</x:v>
      </x:c>
      <x:c r="E50" s="52" t="n">
        <x:v>1.5</x:v>
      </x:c>
      <x:c r="F50" s="22" t="str">
        <x:v>Cumple</x:v>
      </x:c>
      <x:c r="G50" s="52" t="n">
        <x:f>IF(F50="Cumple",E50,0)</x:f>
        <x:v>1.5</x:v>
      </x:c>
      <x:c r="H50" s="22" t="str">
        <x:v>Revisión documental</x:v>
      </x:c>
      <x:c r="I50" s="22" t="str">
        <x:v>Soporte documental verificado y actualizado</x:v>
      </x:c>
      <x:c r="J50" s="22" t="str">
        <x:v>COPASST</x:v>
      </x:c>
      <x:c r="K50" s="22" t="str">
        <x:v>No</x:v>
      </x:c>
      <x:c r="L50" s="22" t="str"/>
      <x:c r="M50" s="53"/>
      <x:c r="N50" s="22" t="str">
        <x:v>Cerrada</x:v>
      </x:c>
      <x:c r="O50" s="22" t="str">
        <x:v>Cumplimiento sostenido</x:v>
      </x:c>
      <x:c r="P50" s="22" t="n">
        <x:v>2025</x:v>
      </x:c>
      <x:c r="Q50" s="22" t="str">
        <x:v>IMA COMPANY SAS</x:v>
      </x:c>
      <x:c r="R50" s="22" t="str">
        <x:v>Consolidado empresarial</x:v>
      </x:c>
    </x:row>
    <x:row r="51" ht="39.599998474121094" hidden="0" customHeight="1">
      <x:c r="A51" s="22" t="n">
        <x:v>43</x:v>
      </x:c>
      <x:c r="B51" s="22" t="str">
        <x:v>Verificar</x:v>
      </x:c>
      <x:c r="C51" s="22" t="str">
        <x:v>Auditoría interna del SG-SST</x:v>
      </x:c>
      <x:c r="D51" s="22" t="str">
        <x:v>Verificar la existencia, implementación y evidencia objetiva de 'auditoría interna del sg-sst' conforme a la Resolución 0312 de 2019.</x:v>
      </x:c>
      <x:c r="E51" s="52" t="n">
        <x:v>1.5</x:v>
      </x:c>
      <x:c r="F51" s="22" t="str">
        <x:v>Cumple</x:v>
      </x:c>
      <x:c r="G51" s="52" t="n">
        <x:f>IF(F51="Cumple",E51,0)</x:f>
        <x:v>1.5</x:v>
      </x:c>
      <x:c r="H51" s="22" t="str">
        <x:v>Revisión documental</x:v>
      </x:c>
      <x:c r="I51" s="22" t="str">
        <x:v>Soporte documental verificado y actualizado</x:v>
      </x:c>
      <x:c r="J51" s="22" t="str">
        <x:v>Alta Dirección</x:v>
      </x:c>
      <x:c r="K51" s="22" t="str">
        <x:v>No</x:v>
      </x:c>
      <x:c r="L51" s="22" t="str"/>
      <x:c r="M51" s="53"/>
      <x:c r="N51" s="22" t="str">
        <x:v>Cerrada</x:v>
      </x:c>
      <x:c r="O51" s="22" t="str">
        <x:v>Cumplimiento sostenido</x:v>
      </x:c>
      <x:c r="P51" s="22" t="n">
        <x:v>2025</x:v>
      </x:c>
      <x:c r="Q51" s="22" t="str">
        <x:v>IMA COMPANY SAS</x:v>
      </x:c>
      <x:c r="R51" s="22" t="str">
        <x:v>Consolidado empresarial</x:v>
      </x:c>
    </x:row>
    <x:row r="52" ht="39.599998474121094" hidden="0" customHeight="1">
      <x:c r="A52" s="22" t="n">
        <x:v>44</x:v>
      </x:c>
      <x:c r="B52" s="22" t="str">
        <x:v>Verificar</x:v>
      </x:c>
      <x:c r="C52" s="22" t="str">
        <x:v>Revisión de cumplimiento legal</x:v>
      </x:c>
      <x:c r="D52" s="22" t="str">
        <x:v>Verificar la existencia, implementación y evidencia objetiva de 'revisión de cumplimiento legal' conforme a la Resolución 0312 de 2019.</x:v>
      </x:c>
      <x:c r="E52" s="52" t="n">
        <x:v>1.5</x:v>
      </x:c>
      <x:c r="F52" s="22" t="str">
        <x:v>No cumple</x:v>
      </x:c>
      <x:c r="G52" s="52" t="n">
        <x:f>IF(F52="Cumple",E52,0)</x:f>
        <x:v>0</x:v>
      </x:c>
      <x:c r="H52" s="22" t="str">
        <x:v>Acta / evidencia</x:v>
      </x:c>
      <x:c r="I52" s="22" t="str">
        <x:v>Pendiente de fortalecer evidencia objetiva</x:v>
      </x:c>
      <x:c r="J52" s="22" t="str">
        <x:v>Talento Humano</x:v>
      </x:c>
      <x:c r="K52" s="22" t="str">
        <x:v>Sí</x:v>
      </x:c>
      <x:c r="L52" s="22" t="str">
        <x:v>Implementar plan de acción para cerrar brecha en: revisión de cumplimiento legal.</x:v>
      </x:c>
      <x:c r="M52" s="53" t="n">
        <x:v>45899</x:v>
      </x:c>
      <x:c r="N52" s="22" t="str">
        <x:v>Abierta</x:v>
      </x:c>
      <x:c r="O52" s="22" t="str">
        <x:v>Requiere seguimiento en comité o revisión por la dirección</x:v>
      </x:c>
      <x:c r="P52" s="22" t="n">
        <x:v>2025</x:v>
      </x:c>
      <x:c r="Q52" s="22" t="str">
        <x:v>IMA COMPANY SAS</x:v>
      </x:c>
      <x:c r="R52" s="22" t="str">
        <x:v>Consolidado empresarial</x:v>
      </x:c>
    </x:row>
    <x:row r="53" ht="39.599998474121094" hidden="0" customHeight="1">
      <x:c r="A53" s="22" t="n">
        <x:v>45</x:v>
      </x:c>
      <x:c r="B53" s="22" t="str">
        <x:v>Verificar</x:v>
      </x:c>
      <x:c r="C53" s="22" t="str">
        <x:v>Verificación de controles operacionales</x:v>
      </x:c>
      <x:c r="D53" s="22" t="str">
        <x:v>Verificar la existencia, implementación y evidencia objetiva de 'verificación de controles operacionales' conforme a la Resolución 0312 de 2019.</x:v>
      </x:c>
      <x:c r="E53" s="52" t="n">
        <x:v>1.5</x:v>
      </x:c>
      <x:c r="F53" s="22" t="str">
        <x:v>Cumple</x:v>
      </x:c>
      <x:c r="G53" s="52" t="n">
        <x:f>IF(F53="Cumple",E53,0)</x:f>
        <x:v>1.5</x:v>
      </x:c>
      <x:c r="H53" s="22" t="str">
        <x:v>Revisión documental</x:v>
      </x:c>
      <x:c r="I53" s="22" t="str">
        <x:v>Soporte documental verificado y actualizado</x:v>
      </x:c>
      <x:c r="J53" s="22" t="str">
        <x:v>Líder SST</x:v>
      </x:c>
      <x:c r="K53" s="22" t="str">
        <x:v>No</x:v>
      </x:c>
      <x:c r="L53" s="22" t="str"/>
      <x:c r="M53" s="53"/>
      <x:c r="N53" s="22" t="str">
        <x:v>Cerrada</x:v>
      </x:c>
      <x:c r="O53" s="22" t="str">
        <x:v>Cumplimiento sostenido</x:v>
      </x:c>
      <x:c r="P53" s="22" t="n">
        <x:v>2025</x:v>
      </x:c>
      <x:c r="Q53" s="22" t="str">
        <x:v>IMA COMPANY SAS</x:v>
      </x:c>
      <x:c r="R53" s="22" t="str">
        <x:v>Consolidado empresarial</x:v>
      </x:c>
    </x:row>
    <x:row r="54" ht="39.599998474121094" hidden="0" customHeight="1">
      <x:c r="A54" s="22" t="n">
        <x:v>46</x:v>
      </x:c>
      <x:c r="B54" s="22" t="str">
        <x:v>Verificar</x:v>
      </x:c>
      <x:c r="C54" s="22" t="str">
        <x:v>Seguimiento a capacitación y competencia</x:v>
      </x:c>
      <x:c r="D54" s="22" t="str">
        <x:v>Verificar la existencia, implementación y evidencia objetiva de 'seguimiento a capacitación y competencia' conforme a la Resolución 0312 de 2019.</x:v>
      </x:c>
      <x:c r="E54" s="52" t="n">
        <x:v>2</x:v>
      </x:c>
      <x:c r="F54" s="22" t="str">
        <x:v>Cumple</x:v>
      </x:c>
      <x:c r="G54" s="52" t="n">
        <x:f>IF(F54="Cumple",E54,0)</x:f>
        <x:v>2</x:v>
      </x:c>
      <x:c r="H54" s="22" t="str">
        <x:v>Revisión documental</x:v>
      </x:c>
      <x:c r="I54" s="22" t="str">
        <x:v>Soporte documental verificado y actualizado</x:v>
      </x:c>
      <x:c r="J54" s="22" t="str">
        <x:v>Consultor SST</x:v>
      </x:c>
      <x:c r="K54" s="22" t="str">
        <x:v>No</x:v>
      </x:c>
      <x:c r="L54" s="22" t="str"/>
      <x:c r="M54" s="53"/>
      <x:c r="N54" s="22" t="str">
        <x:v>Cerrada</x:v>
      </x:c>
      <x:c r="O54" s="22" t="str">
        <x:v>Cumplimiento sostenido</x:v>
      </x:c>
      <x:c r="P54" s="22" t="n">
        <x:v>2025</x:v>
      </x:c>
      <x:c r="Q54" s="22" t="str">
        <x:v>IMA COMPANY SAS</x:v>
      </x:c>
      <x:c r="R54" s="22" t="str">
        <x:v>Consolidado empresarial</x:v>
      </x:c>
    </x:row>
    <x:row r="55" ht="39.599998474121094" hidden="0" customHeight="1">
      <x:c r="A55" s="22" t="n">
        <x:v>47</x:v>
      </x:c>
      <x:c r="B55" s="22" t="str">
        <x:v>Verificar</x:v>
      </x:c>
      <x:c r="C55" s="22" t="str">
        <x:v>Seguimiento a accidentalidad y enfermedad laboral</x:v>
      </x:c>
      <x:c r="D55" s="22" t="str">
        <x:v>Verificar la existencia, implementación y evidencia objetiva de 'seguimiento a accidentalidad y enfermedad laboral' conforme a la Resolución 0312 de 2019.</x:v>
      </x:c>
      <x:c r="E55" s="52" t="n">
        <x:v>2</x:v>
      </x:c>
      <x:c r="F55" s="22" t="str">
        <x:v>Cumple</x:v>
      </x:c>
      <x:c r="G55" s="52" t="n">
        <x:f>IF(F55="Cumple",E55,0)</x:f>
        <x:v>2</x:v>
      </x:c>
      <x:c r="H55" s="22" t="str">
        <x:v>Revisión documental</x:v>
      </x:c>
      <x:c r="I55" s="22" t="str">
        <x:v>Soporte documental verificado y actualizado</x:v>
      </x:c>
      <x:c r="J55" s="22" t="str">
        <x:v>COPASST</x:v>
      </x:c>
      <x:c r="K55" s="22" t="str">
        <x:v>No</x:v>
      </x:c>
      <x:c r="L55" s="22" t="str"/>
      <x:c r="M55" s="53"/>
      <x:c r="N55" s="22" t="str">
        <x:v>Cerrada</x:v>
      </x:c>
      <x:c r="O55" s="22" t="str">
        <x:v>Cumplimiento sostenido</x:v>
      </x:c>
      <x:c r="P55" s="22" t="n">
        <x:v>2025</x:v>
      </x:c>
      <x:c r="Q55" s="22" t="str">
        <x:v>IMA COMPANY SAS</x:v>
      </x:c>
      <x:c r="R55" s="22" t="str">
        <x:v>Consolidado empresarial</x:v>
      </x:c>
    </x:row>
    <x:row r="56" ht="39.599998474121094" hidden="0" customHeight="1">
      <x:c r="A56" s="22" t="n">
        <x:v>48</x:v>
      </x:c>
      <x:c r="B56" s="22" t="str">
        <x:v>Verificar</x:v>
      </x:c>
      <x:c r="C56" s="22" t="str">
        <x:v>Seguimiento a inspecciones y hallazgos</x:v>
      </x:c>
      <x:c r="D56" s="22" t="str">
        <x:v>Verificar la existencia, implementación y evidencia objetiva de 'seguimiento a inspecciones y hallazgos' conforme a la Resolución 0312 de 2019.</x:v>
      </x:c>
      <x:c r="E56" s="52" t="n">
        <x:v>2</x:v>
      </x:c>
      <x:c r="F56" s="22" t="str">
        <x:v>Cumple</x:v>
      </x:c>
      <x:c r="G56" s="52" t="n">
        <x:f>IF(F56="Cumple",E56,0)</x:f>
        <x:v>2</x:v>
      </x:c>
      <x:c r="H56" s="22" t="str">
        <x:v>Acta / evidencia</x:v>
      </x:c>
      <x:c r="I56" s="22" t="str">
        <x:v>Soporte documental verificado y actualizado</x:v>
      </x:c>
      <x:c r="J56" s="22" t="str">
        <x:v>Alta Dirección</x:v>
      </x:c>
      <x:c r="K56" s="22" t="str">
        <x:v>No</x:v>
      </x:c>
      <x:c r="L56" s="22" t="str"/>
      <x:c r="M56" s="53"/>
      <x:c r="N56" s="22" t="str">
        <x:v>Cerrada</x:v>
      </x:c>
      <x:c r="O56" s="22" t="str">
        <x:v>Cumplimiento sostenido</x:v>
      </x:c>
      <x:c r="P56" s="22" t="n">
        <x:v>2025</x:v>
      </x:c>
      <x:c r="Q56" s="22" t="str">
        <x:v>IMA COMPANY SAS</x:v>
      </x:c>
      <x:c r="R56" s="22" t="str">
        <x:v>Consolidado empresarial</x:v>
      </x:c>
    </x:row>
    <x:row r="57" ht="39.599998474121094" hidden="0" customHeight="1">
      <x:c r="A57" s="22" t="n">
        <x:v>49</x:v>
      </x:c>
      <x:c r="B57" s="22" t="str">
        <x:v>Verificar</x:v>
      </x:c>
      <x:c r="C57" s="22" t="str">
        <x:v>Evaluación de eficacia de acciones implementadas</x:v>
      </x:c>
      <x:c r="D57" s="22" t="str">
        <x:v>Verificar la existencia, implementación y evidencia objetiva de 'evaluación de eficacia de acciones implementadas' conforme a la Resolución 0312 de 2019.</x:v>
      </x:c>
      <x:c r="E57" s="52" t="n">
        <x:v>2</x:v>
      </x:c>
      <x:c r="F57" s="22" t="str">
        <x:v>Cumple</x:v>
      </x:c>
      <x:c r="G57" s="52" t="n">
        <x:f>IF(F57="Cumple",E57,0)</x:f>
        <x:v>2</x:v>
      </x:c>
      <x:c r="H57" s="22" t="str">
        <x:v>Revisión documental</x:v>
      </x:c>
      <x:c r="I57" s="22" t="str">
        <x:v>Soporte documental verificado y actualizado</x:v>
      </x:c>
      <x:c r="J57" s="22" t="str">
        <x:v>Talento Humano</x:v>
      </x:c>
      <x:c r="K57" s="22" t="str">
        <x:v>No</x:v>
      </x:c>
      <x:c r="L57" s="22" t="str"/>
      <x:c r="M57" s="53"/>
      <x:c r="N57" s="22" t="str">
        <x:v>Cerrada</x:v>
      </x:c>
      <x:c r="O57" s="22" t="str">
        <x:v>Cumplimiento sostenido</x:v>
      </x:c>
      <x:c r="P57" s="22" t="n">
        <x:v>2025</x:v>
      </x:c>
      <x:c r="Q57" s="22" t="str">
        <x:v>IMA COMPANY SAS</x:v>
      </x:c>
      <x:c r="R57" s="22" t="str">
        <x:v>Consolidado empresarial</x:v>
      </x:c>
    </x:row>
    <x:row r="58" ht="39.599998474121094" hidden="0" customHeight="1">
      <x:c r="A58" s="22" t="n">
        <x:v>50</x:v>
      </x:c>
      <x:c r="B58" s="22" t="str">
        <x:v>Verificar</x:v>
      </x:c>
      <x:c r="C58" s="22" t="str">
        <x:v>Revisión por la dirección del SG-SST</x:v>
      </x:c>
      <x:c r="D58" s="22" t="str">
        <x:v>Verificar la existencia, implementación y evidencia objetiva de 'revisión por la dirección del sg-sst' conforme a la Resolución 0312 de 2019.</x:v>
      </x:c>
      <x:c r="E58" s="52" t="n">
        <x:v>2</x:v>
      </x:c>
      <x:c r="F58" s="22" t="str">
        <x:v>Cumple</x:v>
      </x:c>
      <x:c r="G58" s="52" t="n">
        <x:f>IF(F58="Cumple",E58,0)</x:f>
        <x:v>2</x:v>
      </x:c>
      <x:c r="H58" s="22" t="str">
        <x:v>Revisión documental</x:v>
      </x:c>
      <x:c r="I58" s="22" t="str">
        <x:v>Soporte documental verificado y actualizado</x:v>
      </x:c>
      <x:c r="J58" s="22" t="str">
        <x:v>Líder SST</x:v>
      </x:c>
      <x:c r="K58" s="22" t="str">
        <x:v>No</x:v>
      </x:c>
      <x:c r="L58" s="22" t="str"/>
      <x:c r="M58" s="53"/>
      <x:c r="N58" s="22" t="str">
        <x:v>Cerrada</x:v>
      </x:c>
      <x:c r="O58" s="22" t="str">
        <x:v>Cumplimiento sostenido</x:v>
      </x:c>
      <x:c r="P58" s="22" t="n">
        <x:v>2025</x:v>
      </x:c>
      <x:c r="Q58" s="22" t="str">
        <x:v>IMA COMPANY SAS</x:v>
      </x:c>
      <x:c r="R58" s="22" t="str">
        <x:v>Consolidado empresarial</x:v>
      </x:c>
    </x:row>
    <x:row r="59" ht="39.599998474121094" hidden="0" customHeight="1">
      <x:c r="A59" s="22" t="n">
        <x:v>51</x:v>
      </x:c>
      <x:c r="B59" s="22" t="str">
        <x:v>Actuar</x:v>
      </x:c>
      <x:c r="C59" s="22" t="str">
        <x:v>Tratamiento de no conformidades</x:v>
      </x:c>
      <x:c r="D59" s="22" t="str">
        <x:v>Verificar la existencia, implementación y evidencia objetiva de 'tratamiento de no conformidades' conforme a la Resolución 0312 de 2019.</x:v>
      </x:c>
      <x:c r="E59" s="52" t="n">
        <x:v>1.5</x:v>
      </x:c>
      <x:c r="F59" s="22" t="str">
        <x:v>Cumple</x:v>
      </x:c>
      <x:c r="G59" s="52" t="n">
        <x:f>IF(F59="Cumple",E59,0)</x:f>
        <x:v>1.5</x:v>
      </x:c>
      <x:c r="H59" s="22" t="str">
        <x:v>Revisión documental</x:v>
      </x:c>
      <x:c r="I59" s="22" t="str">
        <x:v>Soporte documental verificado y actualizado</x:v>
      </x:c>
      <x:c r="J59" s="22" t="str">
        <x:v>Consultor SST</x:v>
      </x:c>
      <x:c r="K59" s="22" t="str">
        <x:v>No</x:v>
      </x:c>
      <x:c r="L59" s="22" t="str"/>
      <x:c r="M59" s="53"/>
      <x:c r="N59" s="22" t="str">
        <x:v>Cerrada</x:v>
      </x:c>
      <x:c r="O59" s="22" t="str">
        <x:v>Cumplimiento sostenido</x:v>
      </x:c>
      <x:c r="P59" s="22" t="n">
        <x:v>2025</x:v>
      </x:c>
      <x:c r="Q59" s="22" t="str">
        <x:v>IMA COMPANY SAS</x:v>
      </x:c>
      <x:c r="R59" s="22" t="str">
        <x:v>Consolidado empresarial</x:v>
      </x:c>
    </x:row>
    <x:row r="60" ht="39.599998474121094" hidden="0" customHeight="1">
      <x:c r="A60" s="22" t="n">
        <x:v>52</x:v>
      </x:c>
      <x:c r="B60" s="22" t="str">
        <x:v>Actuar</x:v>
      </x:c>
      <x:c r="C60" s="22" t="str">
        <x:v>Acciones correctivas derivadas de auditorías</x:v>
      </x:c>
      <x:c r="D60" s="22" t="str">
        <x:v>Verificar la existencia, implementación y evidencia objetiva de 'acciones correctivas derivadas de auditorías' conforme a la Resolución 0312 de 2019.</x:v>
      </x:c>
      <x:c r="E60" s="52" t="n">
        <x:v>1.5</x:v>
      </x:c>
      <x:c r="F60" s="22" t="str">
        <x:v>Cumple</x:v>
      </x:c>
      <x:c r="G60" s="52" t="n">
        <x:f>IF(F60="Cumple",E60,0)</x:f>
        <x:v>1.5</x:v>
      </x:c>
      <x:c r="H60" s="22" t="str">
        <x:v>Acta / evidencia</x:v>
      </x:c>
      <x:c r="I60" s="22" t="str">
        <x:v>Soporte documental verificado y actualizado</x:v>
      </x:c>
      <x:c r="J60" s="22" t="str">
        <x:v>COPASST</x:v>
      </x:c>
      <x:c r="K60" s="22" t="str">
        <x:v>No</x:v>
      </x:c>
      <x:c r="L60" s="22" t="str"/>
      <x:c r="M60" s="53"/>
      <x:c r="N60" s="22" t="str">
        <x:v>Cerrada</x:v>
      </x:c>
      <x:c r="O60" s="22" t="str">
        <x:v>Cumplimiento sostenido</x:v>
      </x:c>
      <x:c r="P60" s="22" t="n">
        <x:v>2025</x:v>
      </x:c>
      <x:c r="Q60" s="22" t="str">
        <x:v>IMA COMPANY SAS</x:v>
      </x:c>
      <x:c r="R60" s="22" t="str">
        <x:v>Consolidado empresarial</x:v>
      </x:c>
    </x:row>
    <x:row r="61" ht="39.599998474121094" hidden="0" customHeight="1">
      <x:c r="A61" s="22" t="n">
        <x:v>53</x:v>
      </x:c>
      <x:c r="B61" s="22" t="str">
        <x:v>Actuar</x:v>
      </x:c>
      <x:c r="C61" s="22" t="str">
        <x:v>Acciones preventivas derivadas de análisis de riesgos</x:v>
      </x:c>
      <x:c r="D61" s="22" t="str">
        <x:v>Verificar la existencia, implementación y evidencia objetiva de 'acciones preventivas derivadas de análisis de riesgos' conforme a la Resolución 0312 de 2019.</x:v>
      </x:c>
      <x:c r="E61" s="52" t="n">
        <x:v>1.5</x:v>
      </x:c>
      <x:c r="F61" s="22" t="str">
        <x:v>Cumple</x:v>
      </x:c>
      <x:c r="G61" s="52" t="n">
        <x:f>IF(F61="Cumple",E61,0)</x:f>
        <x:v>1.5</x:v>
      </x:c>
      <x:c r="H61" s="22" t="str">
        <x:v>Revisión documental</x:v>
      </x:c>
      <x:c r="I61" s="22" t="str">
        <x:v>Soporte documental verificado y actualizado</x:v>
      </x:c>
      <x:c r="J61" s="22" t="str">
        <x:v>Alta Dirección</x:v>
      </x:c>
      <x:c r="K61" s="22" t="str">
        <x:v>No</x:v>
      </x:c>
      <x:c r="L61" s="22" t="str"/>
      <x:c r="M61" s="53"/>
      <x:c r="N61" s="22" t="str">
        <x:v>Cerrada</x:v>
      </x:c>
      <x:c r="O61" s="22" t="str">
        <x:v>Cumplimiento sostenido</x:v>
      </x:c>
      <x:c r="P61" s="22" t="n">
        <x:v>2025</x:v>
      </x:c>
      <x:c r="Q61" s="22" t="str">
        <x:v>IMA COMPANY SAS</x:v>
      </x:c>
      <x:c r="R61" s="22" t="str">
        <x:v>Consolidado empresarial</x:v>
      </x:c>
    </x:row>
    <x:row r="62" ht="39.599998474121094" hidden="0" customHeight="1">
      <x:c r="A62" s="22" t="n">
        <x:v>54</x:v>
      </x:c>
      <x:c r="B62" s="22" t="str">
        <x:v>Actuar</x:v>
      </x:c>
      <x:c r="C62" s="22" t="str">
        <x:v>Planes de mejora del SG-SST</x:v>
      </x:c>
      <x:c r="D62" s="22" t="str">
        <x:v>Verificar la existencia, implementación y evidencia objetiva de 'planes de mejora del sg-sst' conforme a la Resolución 0312 de 2019.</x:v>
      </x:c>
      <x:c r="E62" s="52" t="n">
        <x:v>1.5</x:v>
      </x:c>
      <x:c r="F62" s="22" t="str">
        <x:v>Cumple</x:v>
      </x:c>
      <x:c r="G62" s="52" t="n">
        <x:f>IF(F62="Cumple",E62,0)</x:f>
        <x:v>1.5</x:v>
      </x:c>
      <x:c r="H62" s="22" t="str">
        <x:v>Revisión documental</x:v>
      </x:c>
      <x:c r="I62" s="22" t="str">
        <x:v>Soporte documental verificado y actualizado</x:v>
      </x:c>
      <x:c r="J62" s="22" t="str">
        <x:v>Talento Humano</x:v>
      </x:c>
      <x:c r="K62" s="22" t="str">
        <x:v>No</x:v>
      </x:c>
      <x:c r="L62" s="22" t="str"/>
      <x:c r="M62" s="53"/>
      <x:c r="N62" s="22" t="str">
        <x:v>Cerrada</x:v>
      </x:c>
      <x:c r="O62" s="22" t="str">
        <x:v>Cumplimiento sostenido</x:v>
      </x:c>
      <x:c r="P62" s="22" t="n">
        <x:v>2025</x:v>
      </x:c>
      <x:c r="Q62" s="22" t="str">
        <x:v>IMA COMPANY SAS</x:v>
      </x:c>
      <x:c r="R62" s="22" t="str">
        <x:v>Consolidado empresarial</x:v>
      </x:c>
    </x:row>
    <x:row r="63" ht="39.599998474121094" hidden="0" customHeight="1">
      <x:c r="A63" s="22" t="n">
        <x:v>55</x:v>
      </x:c>
      <x:c r="B63" s="22" t="str">
        <x:v>Actuar</x:v>
      </x:c>
      <x:c r="C63" s="22" t="str">
        <x:v>Lecciones aprendidas e innovación</x:v>
      </x:c>
      <x:c r="D63" s="22" t="str">
        <x:v>Verificar la existencia, implementación y evidencia objetiva de 'lecciones aprendidas e innovación' conforme a la Resolución 0312 de 2019.</x:v>
      </x:c>
      <x:c r="E63" s="52" t="n">
        <x:v>1.5</x:v>
      </x:c>
      <x:c r="F63" s="22" t="str">
        <x:v>Cumple</x:v>
      </x:c>
      <x:c r="G63" s="52" t="n">
        <x:f>IF(F63="Cumple",E63,0)</x:f>
        <x:v>1.5</x:v>
      </x:c>
      <x:c r="H63" s="22" t="str">
        <x:v>Revisión documental</x:v>
      </x:c>
      <x:c r="I63" s="22" t="str">
        <x:v>Soporte documental verificado y actualizado</x:v>
      </x:c>
      <x:c r="J63" s="22" t="str">
        <x:v>Líder SST</x:v>
      </x:c>
      <x:c r="K63" s="22" t="str">
        <x:v>No</x:v>
      </x:c>
      <x:c r="L63" s="22" t="str"/>
      <x:c r="M63" s="53"/>
      <x:c r="N63" s="22" t="str">
        <x:v>Cerrada</x:v>
      </x:c>
      <x:c r="O63" s="22" t="str">
        <x:v>Cumplimiento sostenido</x:v>
      </x:c>
      <x:c r="P63" s="22" t="n">
        <x:v>2025</x:v>
      </x:c>
      <x:c r="Q63" s="22" t="str">
        <x:v>IMA COMPANY SAS</x:v>
      </x:c>
      <x:c r="R63" s="22" t="str">
        <x:v>Consolidado empresarial</x:v>
      </x:c>
    </x:row>
    <x:row r="64" ht="39.599998474121094" hidden="0" customHeight="1">
      <x:c r="A64" s="22" t="n">
        <x:v>56</x:v>
      </x:c>
      <x:c r="B64" s="22" t="str">
        <x:v>Actuar</x:v>
      </x:c>
      <x:c r="C64" s="22" t="str">
        <x:v>Actualización de la matriz de peligros y riesgos</x:v>
      </x:c>
      <x:c r="D64" s="22" t="str">
        <x:v>Verificar la existencia, implementación y evidencia objetiva de 'actualización de la matriz de peligros y riesgos' conforme a la Resolución 0312 de 2019.</x:v>
      </x:c>
      <x:c r="E64" s="52" t="n">
        <x:v>1.5</x:v>
      </x:c>
      <x:c r="F64" s="22" t="str">
        <x:v>Cumple</x:v>
      </x:c>
      <x:c r="G64" s="52" t="n">
        <x:f>IF(F64="Cumple",E64,0)</x:f>
        <x:v>1.5</x:v>
      </x:c>
      <x:c r="H64" s="22" t="str">
        <x:v>Acta / evidencia</x:v>
      </x:c>
      <x:c r="I64" s="22" t="str">
        <x:v>Soporte documental verificado y actualizado</x:v>
      </x:c>
      <x:c r="J64" s="22" t="str">
        <x:v>Consultor SST</x:v>
      </x:c>
      <x:c r="K64" s="22" t="str">
        <x:v>No</x:v>
      </x:c>
      <x:c r="L64" s="22" t="str"/>
      <x:c r="M64" s="53"/>
      <x:c r="N64" s="22" t="str">
        <x:v>Cerrada</x:v>
      </x:c>
      <x:c r="O64" s="22" t="str">
        <x:v>Cumplimiento sostenido</x:v>
      </x:c>
      <x:c r="P64" s="22" t="n">
        <x:v>2025</x:v>
      </x:c>
      <x:c r="Q64" s="22" t="str">
        <x:v>IMA COMPANY SAS</x:v>
      </x:c>
      <x:c r="R64" s="22" t="str">
        <x:v>Consolidado empresarial</x:v>
      </x:c>
    </x:row>
    <x:row r="65" ht="39.599998474121094" hidden="0" customHeight="1">
      <x:c r="A65" s="22" t="n">
        <x:v>57</x:v>
      </x:c>
      <x:c r="B65" s="22" t="str">
        <x:v>Actuar</x:v>
      </x:c>
      <x:c r="C65" s="22" t="str">
        <x:v>Actualización del plan de trabajo según resultados</x:v>
      </x:c>
      <x:c r="D65" s="22" t="str">
        <x:v>Verificar la existencia, implementación y evidencia objetiva de 'actualización del plan de trabajo según resultados' conforme a la Resolución 0312 de 2019.</x:v>
      </x:c>
      <x:c r="E65" s="52" t="n">
        <x:v>1.5</x:v>
      </x:c>
      <x:c r="F65" s="22" t="str">
        <x:v>Cumple</x:v>
      </x:c>
      <x:c r="G65" s="52" t="n">
        <x:f>IF(F65="Cumple",E65,0)</x:f>
        <x:v>1.5</x:v>
      </x:c>
      <x:c r="H65" s="22" t="str">
        <x:v>Revisión documental</x:v>
      </x:c>
      <x:c r="I65" s="22" t="str">
        <x:v>Soporte documental verificado y actualizado</x:v>
      </x:c>
      <x:c r="J65" s="22" t="str">
        <x:v>COPASST</x:v>
      </x:c>
      <x:c r="K65" s="22" t="str">
        <x:v>No</x:v>
      </x:c>
      <x:c r="L65" s="22" t="str"/>
      <x:c r="M65" s="53"/>
      <x:c r="N65" s="22" t="str">
        <x:v>Cerrada</x:v>
      </x:c>
      <x:c r="O65" s="22" t="str">
        <x:v>Cumplimiento sostenido</x:v>
      </x:c>
      <x:c r="P65" s="22" t="n">
        <x:v>2025</x:v>
      </x:c>
      <x:c r="Q65" s="22" t="str">
        <x:v>IMA COMPANY SAS</x:v>
      </x:c>
      <x:c r="R65" s="22" t="str">
        <x:v>Consolidado empresarial</x:v>
      </x:c>
    </x:row>
    <x:row r="66" ht="39.599998474121094" hidden="0" customHeight="1">
      <x:c r="A66" s="22" t="n">
        <x:v>58</x:v>
      </x:c>
      <x:c r="B66" s="22" t="str">
        <x:v>Actuar</x:v>
      </x:c>
      <x:c r="C66" s="22" t="str">
        <x:v>Actualización de la matriz legal y requisitos</x:v>
      </x:c>
      <x:c r="D66" s="22" t="str">
        <x:v>Verificar la existencia, implementación y evidencia objetiva de 'actualización de la matriz legal y requisitos' conforme a la Resolución 0312 de 2019.</x:v>
      </x:c>
      <x:c r="E66" s="52" t="n">
        <x:v>1.5</x:v>
      </x:c>
      <x:c r="F66" s="22" t="str">
        <x:v>Cumple</x:v>
      </x:c>
      <x:c r="G66" s="52" t="n">
        <x:f>IF(F66="Cumple",E66,0)</x:f>
        <x:v>1.5</x:v>
      </x:c>
      <x:c r="H66" s="22" t="str">
        <x:v>Revisión documental</x:v>
      </x:c>
      <x:c r="I66" s="22" t="str">
        <x:v>Soporte documental verificado y actualizado</x:v>
      </x:c>
      <x:c r="J66" s="22" t="str">
        <x:v>Alta Dirección</x:v>
      </x:c>
      <x:c r="K66" s="22" t="str">
        <x:v>No</x:v>
      </x:c>
      <x:c r="L66" s="22" t="str"/>
      <x:c r="M66" s="53"/>
      <x:c r="N66" s="22" t="str">
        <x:v>Cerrada</x:v>
      </x:c>
      <x:c r="O66" s="22" t="str">
        <x:v>Cumplimiento sostenido</x:v>
      </x:c>
      <x:c r="P66" s="22" t="n">
        <x:v>2025</x:v>
      </x:c>
      <x:c r="Q66" s="22" t="str">
        <x:v>IMA COMPANY SAS</x:v>
      </x:c>
      <x:c r="R66" s="22" t="str">
        <x:v>Consolidado empresarial</x:v>
      </x:c>
    </x:row>
    <x:row r="67" ht="39.599998474121094" hidden="0" customHeight="1">
      <x:c r="A67" s="22" t="n">
        <x:v>59</x:v>
      </x:c>
      <x:c r="B67" s="22" t="str">
        <x:v>Actuar</x:v>
      </x:c>
      <x:c r="C67" s="22" t="str">
        <x:v>Mejora de la gestión documental y trazabilidad</x:v>
      </x:c>
      <x:c r="D67" s="22" t="str">
        <x:v>Verificar la existencia, implementación y evidencia objetiva de 'mejora de la gestión documental y trazabilidad' conforme a la Resolución 0312 de 2019.</x:v>
      </x:c>
      <x:c r="E67" s="52" t="n">
        <x:v>1.5</x:v>
      </x:c>
      <x:c r="F67" s="22" t="str">
        <x:v>Cumple</x:v>
      </x:c>
      <x:c r="G67" s="52" t="n">
        <x:f>IF(F67="Cumple",E67,0)</x:f>
        <x:v>1.5</x:v>
      </x:c>
      <x:c r="H67" s="22" t="str">
        <x:v>Revisión documental</x:v>
      </x:c>
      <x:c r="I67" s="22" t="str">
        <x:v>Soporte documental verificado y actualizado</x:v>
      </x:c>
      <x:c r="J67" s="22" t="str">
        <x:v>Talento Humano</x:v>
      </x:c>
      <x:c r="K67" s="22" t="str">
        <x:v>No</x:v>
      </x:c>
      <x:c r="L67" s="22" t="str"/>
      <x:c r="M67" s="53"/>
      <x:c r="N67" s="22" t="str">
        <x:v>Cerrada</x:v>
      </x:c>
      <x:c r="O67" s="22" t="str">
        <x:v>Cumplimiento sostenido</x:v>
      </x:c>
      <x:c r="P67" s="22" t="n">
        <x:v>2025</x:v>
      </x:c>
      <x:c r="Q67" s="22" t="str">
        <x:v>IMA COMPANY SAS</x:v>
      </x:c>
      <x:c r="R67" s="22" t="str">
        <x:v>Consolidado empresarial</x:v>
      </x:c>
    </x:row>
    <x:row r="68" ht="39.599998474121094" hidden="0" customHeight="1">
      <x:c r="A68" s="22" t="n">
        <x:v>60</x:v>
      </x:c>
      <x:c r="B68" s="22" t="str">
        <x:v>Actuar</x:v>
      </x:c>
      <x:c r="C68" s="22" t="str">
        <x:v>Seguimiento a compromisos de mejora continua</x:v>
      </x:c>
      <x:c r="D68" s="22" t="str">
        <x:v>Verificar la existencia, implementación y evidencia objetiva de 'seguimiento a compromisos de mejora continua' conforme a la Resolución 0312 de 2019.</x:v>
      </x:c>
      <x:c r="E68" s="52" t="n">
        <x:v>1.5</x:v>
      </x:c>
      <x:c r="F68" s="22" t="str">
        <x:v>Cumple</x:v>
      </x:c>
      <x:c r="G68" s="52" t="n">
        <x:f>IF(F68="Cumple",E68,0)</x:f>
        <x:v>1.5</x:v>
      </x:c>
      <x:c r="H68" s="22" t="str">
        <x:v>Acta / evidencia</x:v>
      </x:c>
      <x:c r="I68" s="22" t="str">
        <x:v>Soporte documental verificado y actualizado</x:v>
      </x:c>
      <x:c r="J68" s="22" t="str">
        <x:v>Líder SST</x:v>
      </x:c>
      <x:c r="K68" s="22" t="str">
        <x:v>No</x:v>
      </x:c>
      <x:c r="L68" s="22" t="str"/>
      <x:c r="M68" s="53"/>
      <x:c r="N68" s="22" t="str">
        <x:v>Cerrada</x:v>
      </x:c>
      <x:c r="O68" s="22" t="str">
        <x:v>Cumplimiento sostenido</x:v>
      </x:c>
      <x:c r="P68" s="22" t="n">
        <x:v>2025</x:v>
      </x:c>
      <x:c r="Q68" s="22" t="str">
        <x:v>IMA COMPANY SAS</x:v>
      </x:c>
      <x:c r="R68" s="22" t="str">
        <x:v>Consolidado empresarial</x:v>
      </x:c>
    </x:row>
  </x:sheetData>
  <x:mergeCells>
    <x:mergeCell ref="A1:R1"/>
  </x:mergeCells>
  <x:conditionalFormatting sqref="F9:F68">
    <x:cfRule type="expression" dxfId="18" priority="1">
      <x:formula>F9="No cumple"</x:formula>
    </x:cfRule>
  </x:conditionalFormatting>
  <x:conditionalFormatting sqref="K9:K68">
    <x:cfRule type="expression" dxfId="19" priority="2">
      <x:formula>K9="Sí"</x:formula>
    </x:cfRule>
  </x:conditionalFormatting>
  <x:conditionalFormatting sqref="N9:N68">
    <x:cfRule type="expression" dxfId="20" priority="3">
      <x:formula>N9="Abierta"</x:formula>
    </x:cfRule>
  </x:conditionalFormatting>
  <x:conditionalFormatting sqref="H4:H4">
    <x:cfRule type="expression" dxfId="21" priority="4">
      <x:formula>H4&lt;0.6</x:formula>
    </x:cfRule>
    <x:cfRule type="expression" dxfId="22" priority="5">
      <x:formula>AND(H4&gt;=0.6,H4&lt;=0.85)</x:formula>
    </x:cfRule>
    <x:cfRule type="expression" dxfId="23" priority="6">
      <x:formula>H4&gt;0.85</x:formula>
    </x:cfRule>
  </x:conditionalFormatting>
  <x:dataValidations count="6">
    <x:dataValidation type="list" sqref="F9:F68">
      <x:formula1>Catalogos!$A$4:$A$5</x:formula1>
    </x:dataValidation>
    <x:dataValidation type="list" sqref="B9:B68">
      <x:formula1>Catalogos!$E$4:$E$7</x:formula1>
    </x:dataValidation>
    <x:dataValidation type="list" sqref="H9:H68">
      <x:formula1>Catalogos!$C$9:$C$15</x:formula1>
    </x:dataValidation>
    <x:dataValidation type="list" sqref="J9:J68">
      <x:formula1>Catalogos!$A$9:$A$15</x:formula1>
    </x:dataValidation>
    <x:dataValidation type="list" sqref="K9:K68">
      <x:formula1>"Sí,No"</x:formula1>
    </x:dataValidation>
    <x:dataValidation type="list" sqref="N9:N68">
      <x:formula1>"Abierta,En seguimiento,Cerrada"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8" hidden="0" customWidth="1"/>
    <x:col min="9" max="9" width="12" hidden="0" customWidth="1"/>
    <x:col min="10" max="10" width="24" hidden="0" customWidth="1"/>
  </x:cols>
  <x:sheetData>
    <x:row r="1">
      <x:c r="A1" s="5" t="str">
        <x:v>RESUMEN COMPARATIVO DEL AUTODIAGNÓSTICO 0312/2019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6" t="str">
        <x:v>Año</x:v>
      </x:c>
      <x:c r="B3" s="36" t="str">
        <x:v>Estándares evaluados</x:v>
      </x:c>
      <x:c r="C3" s="36" t="str">
        <x:v>Cumple</x:v>
      </x:c>
      <x:c r="D3" s="36" t="str">
        <x:v>No cumple</x:v>
      </x:c>
      <x:c r="E3" s="36" t="str">
        <x:v>Puntaje obtenido</x:v>
      </x:c>
      <x:c r="F3" s="36" t="str">
        <x:v>% cumplimiento</x:v>
      </x:c>
      <x:c r="G3" s="36" t="str">
        <x:v>Nivel de valoración</x:v>
      </x:c>
      <x:c r="I3" s="36" t="str">
        <x:v>Año</x:v>
      </x:c>
      <x:c r="J3" s="36" t="str">
        <x:v>Planes de mejora requeridos</x:v>
      </x:c>
    </x:row>
    <x:row r="4">
      <x:c r="A4" s="22" t="n">
        <x:v>2023</x:v>
      </x:c>
      <x:c r="B4" s="22" t="n">
        <x:v>60</x:v>
      </x:c>
      <x:c r="C4" s="22" t="n">
        <x:f>COUNTIF(Auto_2023!F9:F68,"Cumple")</x:f>
        <x:v>58</x:v>
      </x:c>
      <x:c r="D4" s="22" t="n">
        <x:f>COUNTIF(Auto_2023!F9:F68,"No cumple")</x:f>
        <x:v>2</x:v>
      </x:c>
      <x:c r="E4" s="22" t="n">
        <x:f>Auto_2023!F4</x:f>
        <x:v>96.5</x:v>
      </x:c>
      <x:c r="F4" s="58" t="n">
        <x:f>Auto_2023!H4</x:f>
        <x:v>0.965</x:v>
      </x:c>
      <x:c r="G4" s="22" t="str">
        <x:f>Auto_2023!J4</x:f>
        <x:v>Aceptable</x:v>
      </x:c>
      <x:c r="I4" s="22" t="n">
        <x:v>2023</x:v>
      </x:c>
      <x:c r="J4" s="22" t="n">
        <x:f>COUNTIF(Auto_2023!K9:K68,"Sí")</x:f>
        <x:v>2</x:v>
      </x:c>
    </x:row>
    <x:row r="5">
      <x:c r="A5" s="22" t="n">
        <x:v>2024</x:v>
      </x:c>
      <x:c r="B5" s="22" t="n">
        <x:v>60</x:v>
      </x:c>
      <x:c r="C5" s="22" t="n">
        <x:f>COUNTIF(Auto_2024!F9:F68,"Cumple")</x:f>
        <x:v>58</x:v>
      </x:c>
      <x:c r="D5" s="22" t="n">
        <x:f>COUNTIF(Auto_2024!F9:F68,"No cumple")</x:f>
        <x:v>2</x:v>
      </x:c>
      <x:c r="E5" s="22" t="n">
        <x:f>Auto_2024!F4</x:f>
        <x:v>97</x:v>
      </x:c>
      <x:c r="F5" s="58" t="n">
        <x:f>Auto_2024!H4</x:f>
        <x:v>0.97</x:v>
      </x:c>
      <x:c r="G5" s="22" t="str">
        <x:f>Auto_2024!J4</x:f>
        <x:v>Aceptable</x:v>
      </x:c>
      <x:c r="I5" s="22" t="n">
        <x:v>2024</x:v>
      </x:c>
      <x:c r="J5" s="22" t="n">
        <x:f>COUNTIF(Auto_2024!K9:K68,"Sí")</x:f>
        <x:v>2</x:v>
      </x:c>
    </x:row>
    <x:row r="6">
      <x:c r="A6" s="22" t="n">
        <x:v>2025</x:v>
      </x:c>
      <x:c r="B6" s="22" t="n">
        <x:v>60</x:v>
      </x:c>
      <x:c r="C6" s="22" t="n">
        <x:f>COUNTIF(Auto_2025!F9:F68,"Cumple")</x:f>
        <x:v>59</x:v>
      </x:c>
      <x:c r="D6" s="22" t="n">
        <x:f>COUNTIF(Auto_2025!F9:F68,"No cumple")</x:f>
        <x:v>1</x:v>
      </x:c>
      <x:c r="E6" s="22" t="n">
        <x:f>Auto_2025!F4</x:f>
        <x:v>98.5</x:v>
      </x:c>
      <x:c r="F6" s="58" t="n">
        <x:f>Auto_2025!H4</x:f>
        <x:v>0.985</x:v>
      </x:c>
      <x:c r="G6" s="22" t="str">
        <x:f>Auto_2025!J4</x:f>
        <x:v>Aceptable</x:v>
      </x:c>
      <x:c r="I6" s="22" t="n">
        <x:v>2025</x:v>
      </x:c>
      <x:c r="J6" s="22" t="n">
        <x:f>COUNTIF(Auto_2025!K9:K68,"Sí")</x:f>
        <x:v>1</x:v>
      </x:c>
    </x:row>
    <x:row r="9">
      <x:c r="A9" s="36" t="str">
        <x:v>Ciclo PHVA</x:v>
      </x:c>
      <x:c r="B9" s="36" t="str">
        <x:v>Puntaje 2023</x:v>
      </x:c>
      <x:c r="C9" s="36" t="str">
        <x:v>Puntaje 2024</x:v>
      </x:c>
      <x:c r="D9" s="36" t="str">
        <x:v>Puntaje 2025</x:v>
      </x:c>
      <x:c r="E9" s="36" t="str">
        <x:v>Brecha 2025</x:v>
      </x:c>
      <x:c r="F9" s="36" t="str">
        <x:v>Observación</x:v>
      </x:c>
    </x:row>
    <x:row r="10">
      <x:c r="A10" s="22" t="str">
        <x:v>Planear</x:v>
      </x:c>
      <x:c r="B10" s="52" t="n">
        <x:f>SUMIFS(Auto_2023!G9:G68,Auto_2023!B9:B68,A10)</x:f>
        <x:v>25</x:v>
      </x:c>
      <x:c r="C10" s="52" t="n">
        <x:f>SUMIFS(Auto_2024!G9:G68,Auto_2024!B9:B68,A10)</x:f>
        <x:v>25</x:v>
      </x:c>
      <x:c r="D10" s="52" t="n">
        <x:f>SUMIFS(Auto_2025!G9:G68,Auto_2025!B9:B68,A10)</x:f>
        <x:v>25</x:v>
      </x:c>
      <x:c r="E10" s="52" t="n">
        <x:f>100%-D10/SUMIFS(Auto_2025!E9:E68,Auto_2025!B9:B68,A10)</x:f>
        <x:v>0</x:v>
      </x:c>
      <x:c r="F10" s="22" t="str">
        <x:f>IF(E10=0,"Ciclo sin brecha","Priorizar cierre de estándares pendientes")</x:f>
        <x:v>Ciclo sin brecha</x:v>
      </x:c>
    </x:row>
    <x:row r="11">
      <x:c r="A11" s="22" t="str">
        <x:v>Hacer</x:v>
      </x:c>
      <x:c r="B11" s="52" t="n">
        <x:f>SUMIFS(Auto_2023!G9:G68,Auto_2023!B9:B68,A11)</x:f>
        <x:v>40.5</x:v>
      </x:c>
      <x:c r="C11" s="52" t="n">
        <x:f>SUMIFS(Auto_2024!G9:G68,Auto_2024!B9:B68,A11)</x:f>
        <x:v>42.5</x:v>
      </x:c>
      <x:c r="D11" s="52" t="n">
        <x:f>SUMIFS(Auto_2025!G9:G68,Auto_2025!B9:B68,A11)</x:f>
        <x:v>42.5</x:v>
      </x:c>
      <x:c r="E11" s="52" t="n">
        <x:f>100%-D11/SUMIFS(Auto_2025!E9:E68,Auto_2025!B9:B68,A11)</x:f>
        <x:v>0</x:v>
      </x:c>
      <x:c r="F11" s="22" t="str">
        <x:f>IF(E11=0,"Ciclo sin brecha","Priorizar cierre de estándares pendientes")</x:f>
        <x:v>Ciclo sin brecha</x:v>
      </x:c>
    </x:row>
    <x:row r="12">
      <x:c r="A12" s="22" t="str">
        <x:v>Verificar</x:v>
      </x:c>
      <x:c r="B12" s="52" t="n">
        <x:f>SUMIFS(Auto_2023!G9:G68,Auto_2023!B9:B68,A12)</x:f>
        <x:v>17.5</x:v>
      </x:c>
      <x:c r="C12" s="52" t="n">
        <x:f>SUMIFS(Auto_2024!G9:G68,Auto_2024!B9:B68,A12)</x:f>
        <x:v>17.5</x:v>
      </x:c>
      <x:c r="D12" s="52" t="n">
        <x:f>SUMIFS(Auto_2025!G9:G68,Auto_2025!B9:B68,A12)</x:f>
        <x:v>16</x:v>
      </x:c>
      <x:c r="E12" s="52" t="n">
        <x:f>100%-D12/SUMIFS(Auto_2025!E9:E68,Auto_2025!B9:B68,A12)</x:f>
        <x:v>0.08571428571428574</x:v>
      </x:c>
      <x:c r="F12" s="22" t="str">
        <x:f>IF(E12=0,"Ciclo sin brecha","Priorizar cierre de estándares pendientes")</x:f>
        <x:v>Priorizar cierre de estándares pendientes</x:v>
      </x:c>
    </x:row>
    <x:row r="13">
      <x:c r="A13" s="22" t="str">
        <x:v>Actuar</x:v>
      </x:c>
      <x:c r="B13" s="52" t="n">
        <x:f>SUMIFS(Auto_2023!G9:G68,Auto_2023!B9:B68,A13)</x:f>
        <x:v>13.5</x:v>
      </x:c>
      <x:c r="C13" s="52" t="n">
        <x:f>SUMIFS(Auto_2024!G9:G68,Auto_2024!B9:B68,A13)</x:f>
        <x:v>12</x:v>
      </x:c>
      <x:c r="D13" s="52" t="n">
        <x:f>SUMIFS(Auto_2025!G9:G68,Auto_2025!B9:B68,A13)</x:f>
        <x:v>15</x:v>
      </x:c>
      <x:c r="E13" s="52" t="n">
        <x:f>100%-D13/SUMIFS(Auto_2025!E9:E68,Auto_2025!B9:B68,A13)</x:f>
        <x:v>0</x:v>
      </x:c>
      <x:c r="F13" s="22" t="str">
        <x:f>IF(E13=0,"Ciclo sin brecha","Priorizar cierre de estándares pendientes")</x:f>
        <x:v>Ciclo sin brecha</x:v>
      </x:c>
    </x:row>
  </x:sheetData>
  <x:mergeCells>
    <x:mergeCell ref="A1:J1"/>
  </x:mergeCells>
  <x:conditionalFormatting sqref="F4:F6">
    <x:cfRule type="expression" dxfId="24" priority="1">
      <x:formula>F4&gt;0.95</x:formula>
    </x:cfRule>
    <x:cfRule type="expression" dxfId="25" priority="2">
      <x:formula>AND(F4&gt;=0.85,F4&lt;=0.95)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4" hidden="0" customWidth="1"/>
    <x:col min="4" max="4" width="16" hidden="0" customWidth="1"/>
    <x:col min="5" max="5" width="18" hidden="0" customWidth="1"/>
    <x:col min="6" max="6" width="14" hidden="0" customWidth="1"/>
    <x:col min="7" max="7" width="24" hidden="0" customWidth="1"/>
    <x:col min="8" max="8" width="4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" t="str">
        <x:v>DASHBOARD EJECUTIVO - AUTODIAGNÓSTICO SG-SST RES. 0312/2019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61" t="str">
        <x:v>Comparativo 2023-2025 con simulación de cumplimiento superior al 95%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</x:row>
    <x:row r="4">
      <x:c r="A4" s="36" t="str">
        <x:v>Cumplimiento 2023</x:v>
      </x:c>
      <x:c r="B4" s="36"/>
      <x:c r="C4" s="36"/>
      <x:c r="D4" s="36" t="str">
        <x:v>Cumplimiento 2024</x:v>
      </x:c>
      <x:c r="E4" s="36"/>
      <x:c r="F4" s="36"/>
      <x:c r="G4" s="36" t="str">
        <x:v>Cumplimiento 2025</x:v>
      </x:c>
      <x:c r="H4" s="36"/>
      <x:c r="I4" s="36"/>
      <x:c r="J4" s="36" t="str">
        <x:v>Mejor año</x:v>
      </x:c>
      <x:c r="K4" s="36"/>
      <x:c r="L4" s="36"/>
    </x:row>
    <x:row r="5">
      <x:c r="A5" s="68" t="n">
        <x:f>Resumen_Comparativo!F4</x:f>
        <x:v>0.965</x:v>
      </x:c>
      <x:c r="B5" s="65"/>
      <x:c r="C5" s="65"/>
      <x:c r="D5" s="68" t="n">
        <x:f>Resumen_Comparativo!F5</x:f>
        <x:v>0.97</x:v>
      </x:c>
      <x:c r="E5" s="65"/>
      <x:c r="F5" s="65"/>
      <x:c r="G5" s="68" t="n">
        <x:f>Resumen_Comparativo!F6</x:f>
        <x:v>0.985</x:v>
      </x:c>
      <x:c r="H5" s="65"/>
      <x:c r="I5" s="65"/>
      <x:c r="J5" s="65" t="n">
        <x:f>INDEX(Resumen_Comparativo!A4:A6,MATCH(MAX(Resumen_Comparativo!F4:F6),Resumen_Comparativo!F4:F6,0))</x:f>
        <x:v>2025</x:v>
      </x:c>
      <x:c r="K5" s="65"/>
      <x:c r="L5" s="65"/>
    </x:row>
    <x:row r="6">
      <x:c r="A6" s="65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5"/>
    </x:row>
    <x:row r="9">
      <x:c r="A9" s="36" t="str">
        <x:v>Año</x:v>
      </x:c>
      <x:c r="B9" s="36" t="str">
        <x:v>% cumplimiento</x:v>
      </x:c>
      <x:c r="C9" s="36" t="str">
        <x:v>Puntaje</x:v>
      </x:c>
      <x:c r="D9" s="36" t="str">
        <x:v>Cumple</x:v>
      </x:c>
      <x:c r="E9" s="36" t="str">
        <x:v>No cumple</x:v>
      </x:c>
      <x:c r="F9" s="36" t="str">
        <x:v>Planes mejora</x:v>
      </x:c>
      <x:c r="G9" s="36" t="str">
        <x:v>Nivel</x:v>
      </x:c>
      <x:c r="I9" s="36" t="str">
        <x:v>Ciclo PHVA</x:v>
      </x:c>
      <x:c r="J9" s="36" t="str">
        <x:v>2023</x:v>
      </x:c>
      <x:c r="K9" s="36" t="str">
        <x:v>2024</x:v>
      </x:c>
      <x:c r="L9" s="36" t="str">
        <x:v>2025</x:v>
      </x:c>
    </x:row>
    <x:row r="10">
      <x:c r="A10" s="22" t="n">
        <x:f>Resumen_Comparativo!A4</x:f>
        <x:v>2023</x:v>
      </x:c>
      <x:c r="B10" s="58" t="n">
        <x:f>Resumen_Comparativo!F4</x:f>
        <x:v>0.965</x:v>
      </x:c>
      <x:c r="C10" s="22" t="n">
        <x:f>Resumen_Comparativo!E4</x:f>
        <x:v>96.5</x:v>
      </x:c>
      <x:c r="D10" s="22" t="n">
        <x:f>Resumen_Comparativo!C4</x:f>
        <x:v>58</x:v>
      </x:c>
      <x:c r="E10" s="22" t="n">
        <x:f>Resumen_Comparativo!D4</x:f>
        <x:v>2</x:v>
      </x:c>
      <x:c r="F10" s="22" t="n">
        <x:f>Resumen_Comparativo!J4</x:f>
        <x:v>2</x:v>
      </x:c>
      <x:c r="G10" s="22" t="str">
        <x:f>Resumen_Comparativo!G4</x:f>
        <x:v>Aceptable</x:v>
      </x:c>
      <x:c r="I10" s="22" t="str">
        <x:f>Resumen_Comparativo!A10</x:f>
        <x:v>Planear</x:v>
      </x:c>
      <x:c r="J10" s="22" t="n">
        <x:f>Resumen_Comparativo!B10</x:f>
        <x:v>25</x:v>
      </x:c>
      <x:c r="K10" s="22" t="n">
        <x:f>Resumen_Comparativo!C10</x:f>
        <x:v>25</x:v>
      </x:c>
      <x:c r="L10" s="22" t="n">
        <x:f>Resumen_Comparativo!D10</x:f>
        <x:v>25</x:v>
      </x:c>
    </x:row>
    <x:row r="11">
      <x:c r="A11" s="22" t="n">
        <x:f>Resumen_Comparativo!A5</x:f>
        <x:v>2024</x:v>
      </x:c>
      <x:c r="B11" s="58" t="n">
        <x:f>Resumen_Comparativo!F5</x:f>
        <x:v>0.97</x:v>
      </x:c>
      <x:c r="C11" s="22" t="n">
        <x:f>Resumen_Comparativo!E5</x:f>
        <x:v>97</x:v>
      </x:c>
      <x:c r="D11" s="22" t="n">
        <x:f>Resumen_Comparativo!C5</x:f>
        <x:v>58</x:v>
      </x:c>
      <x:c r="E11" s="22" t="n">
        <x:f>Resumen_Comparativo!D5</x:f>
        <x:v>2</x:v>
      </x:c>
      <x:c r="F11" s="22" t="n">
        <x:f>Resumen_Comparativo!J5</x:f>
        <x:v>2</x:v>
      </x:c>
      <x:c r="G11" s="22" t="str">
        <x:f>Resumen_Comparativo!G5</x:f>
        <x:v>Aceptable</x:v>
      </x:c>
      <x:c r="I11" s="22" t="str">
        <x:f>Resumen_Comparativo!A11</x:f>
        <x:v>Hacer</x:v>
      </x:c>
      <x:c r="J11" s="22" t="n">
        <x:f>Resumen_Comparativo!B11</x:f>
        <x:v>40.5</x:v>
      </x:c>
      <x:c r="K11" s="22" t="n">
        <x:f>Resumen_Comparativo!C11</x:f>
        <x:v>42.5</x:v>
      </x:c>
      <x:c r="L11" s="22" t="n">
        <x:f>Resumen_Comparativo!D11</x:f>
        <x:v>42.5</x:v>
      </x:c>
    </x:row>
    <x:row r="12">
      <x:c r="A12" s="22" t="n">
        <x:f>Resumen_Comparativo!A6</x:f>
        <x:v>2025</x:v>
      </x:c>
      <x:c r="B12" s="58" t="n">
        <x:f>Resumen_Comparativo!F6</x:f>
        <x:v>0.985</x:v>
      </x:c>
      <x:c r="C12" s="22" t="n">
        <x:f>Resumen_Comparativo!E6</x:f>
        <x:v>98.5</x:v>
      </x:c>
      <x:c r="D12" s="22" t="n">
        <x:f>Resumen_Comparativo!C6</x:f>
        <x:v>59</x:v>
      </x:c>
      <x:c r="E12" s="22" t="n">
        <x:f>Resumen_Comparativo!D6</x:f>
        <x:v>1</x:v>
      </x:c>
      <x:c r="F12" s="22" t="n">
        <x:f>Resumen_Comparativo!J6</x:f>
        <x:v>1</x:v>
      </x:c>
      <x:c r="G12" s="22" t="str">
        <x:f>Resumen_Comparativo!G6</x:f>
        <x:v>Aceptable</x:v>
      </x:c>
      <x:c r="I12" s="22" t="str">
        <x:f>Resumen_Comparativo!A12</x:f>
        <x:v>Verificar</x:v>
      </x:c>
      <x:c r="J12" s="22" t="n">
        <x:f>Resumen_Comparativo!B12</x:f>
        <x:v>17.5</x:v>
      </x:c>
      <x:c r="K12" s="22" t="n">
        <x:f>Resumen_Comparativo!C12</x:f>
        <x:v>17.5</x:v>
      </x:c>
      <x:c r="L12" s="22" t="n">
        <x:f>Resumen_Comparativo!D12</x:f>
        <x:v>16</x:v>
      </x:c>
    </x:row>
    <x:row r="13">
      <x:c r="I13" s="22" t="str">
        <x:f>Resumen_Comparativo!A13</x:f>
        <x:v>Actuar</x:v>
      </x:c>
      <x:c r="J13" s="22" t="n">
        <x:f>Resumen_Comparativo!B13</x:f>
        <x:v>13.5</x:v>
      </x:c>
      <x:c r="K13" s="22" t="n">
        <x:f>Resumen_Comparativo!C13</x:f>
        <x:v>12</x:v>
      </x:c>
      <x:c r="L13" s="22" t="n">
        <x:f>Resumen_Comparativo!D13</x:f>
        <x:v>15</x:v>
      </x:c>
    </x:row>
    <x:row r="14">
      <x:c r="A14" s="18" t="str">
        <x:v>Hallazgos principales</x:v>
      </x:c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</x:row>
    <x:row r="15" ht="105.5999984741211" hidden="0" customHeight="1">
      <x:c r="A15" s="71" t="str">
        <x:v>1. Tendencia general</x:v>
      </x:c>
      <x:c r="B15" s="22" t="str">
        <x:v>Los tres años simulados muestran un cumplimiento superior al 95%, con mejora progresiva del sistema y menor cantidad de planes de acción requeridos.</x:v>
      </x:c>
    </x:row>
    <x:row r="16" ht="92.4000015258789" hidden="0" customHeight="1">
      <x:c r="A16" s="71" t="str">
        <x:v>2. Foco de mejora 2023</x:v>
      </x:c>
      <x:c r="B16" s="22" t="str">
        <x:v>Se observan brechas puntuales en Hacer y Actuar, lo cual sugiere fortalecer la implementación operativa y el cierre de acciones.</x:v>
      </x:c>
    </x:row>
    <x:row r="17" ht="79.19999694824219" hidden="0" customHeight="1">
      <x:c r="A17" s="71" t="str">
        <x:v>3. Foco de mejora 2024</x:v>
      </x:c>
      <x:c r="B17" s="22" t="str">
        <x:v>La mejora del año 2024 se refleja en la reducción de no conformidades y una mayor estabilización del ciclo PHVA.</x:v>
      </x:c>
    </x:row>
    <x:row r="18" ht="66" hidden="0" customHeight="1">
      <x:c r="A18" s="71" t="str">
        <x:v>4. Foco de mejora 2025</x:v>
      </x:c>
      <x:c r="B18" s="22" t="str">
        <x:v>El año 2025 presenta la mejor valoración, con un único estándar pendiente y madurez alta del sistema.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14:L14"/>
  </x:mergeCells>
  <x:conditionalFormatting sqref="B10:B12">
    <x:cfRule type="expression" dxfId="26" priority="1">
      <x:formula>B10&gt;0.95</x:formula>
    </x:cfRule>
    <x:cfRule type="dataBar" priority="2">
      <x:dataBar>
        <x:cfvo type="min"/>
        <x:cfvo type="max"/>
        <x:color rgb="4F81BD"/>
      </x:dataBar>
      <x:extLst>
        <x:ext xmlns:x14="http://schemas.microsoft.com/office/spreadsheetml/2009/9/main" uri="{B025F937-C7B1-47D3-B67F-A62EFF666E3E}">
          <x14:id>{E137D1DF-7F7B-F609-9222-8F7EF20B9C44}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b8a1178727f499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137D1DF-7F7B-F609-9222-8F7EF20B9C44}">
            <x14:dataBar gradient="1">
              <x14:cfvo type="min"/>
              <x14:cfvo type="max"/>
              <x14:fillColor rgb="4F81BD"/>
            </x14:dataBar>
          </x14:cfRule>
          <xm:sqref>B10:B12</xm:sqref>
        </x14:conditionalFormatting>
      </x14:conditionalFormattings>
    </x:ext>
  </x:extLst>
</x:worksheet>
</file>