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43165a232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f1ad81921f2f46e1"/>
    <x:sheet xmlns:r="http://schemas.openxmlformats.org/officeDocument/2006/relationships" name="Catálogos" sheetId="2" r:id="R455460601a32444d"/>
    <x:sheet xmlns:r="http://schemas.openxmlformats.org/officeDocument/2006/relationships" name="Plantilla_Editable" sheetId="3" r:id="Rc43bd6090a5243d3"/>
    <x:sheet xmlns:r="http://schemas.openxmlformats.org/officeDocument/2006/relationships" name="GPC_2023" sheetId="4" r:id="Rf757cbb7b1304524"/>
    <x:sheet xmlns:r="http://schemas.openxmlformats.org/officeDocument/2006/relationships" name="GPC_2024" sheetId="5" r:id="R833fd687cc5a4e68"/>
    <x:sheet xmlns:r="http://schemas.openxmlformats.org/officeDocument/2006/relationships" name="GPC_2025" sheetId="6" r:id="R8350b56170b94fe2"/>
    <x:sheet xmlns:r="http://schemas.openxmlformats.org/officeDocument/2006/relationships" name="GPC_2026" sheetId="7" r:id="R1339e33878994a71"/>
    <x:sheet xmlns:r="http://schemas.openxmlformats.org/officeDocument/2006/relationships" name="Resumen_Anual" sheetId="8" r:id="Rfd28add003a94aeb"/>
    <x:sheet xmlns:r="http://schemas.openxmlformats.org/officeDocument/2006/relationships" name="Dashboard" sheetId="9" r:id="R76b9aa514ca9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0B3B60"/>
      <x:name val="Carlito"/>
    </x:font>
    <x:font>
      <x:b/>
      <x:sz val="10"/>
      <x:color rgb="FFFFFF"/>
      <x:name val="Carlito"/>
    </x:font>
    <x:font>
      <x:b/>
      <x:sz val="18"/>
      <x:color rgb="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3B60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FFFFF"/>
      </x:patternFill>
    </x:fill>
  </x:fills>
  <x:borders count="24">
    <x:border/>
    <x:border/>
    <x:border>
      <x:left style="thin">
        <x:color rgb="C9D3DD"/>
      </x:left>
      <x:right style="thin">
        <x:color rgb="C9D3DD"/>
      </x:right>
      <x:top style="thin">
        <x:color rgb="C9D3DD"/>
      </x:top>
    </x:border>
    <x:border>
      <x:left style="thin">
        <x:color rgb="C9D3DD"/>
      </x:left>
      <x:right style="thin">
        <x:color rgb="C9D3DD"/>
      </x:right>
    </x:border>
    <x:border>
      <x:left style="thin">
        <x:color rgb="C9D3DD"/>
      </x:left>
      <x:right style="thin">
        <x:color rgb="C9D3DD"/>
      </x:right>
      <x:bottom style="thin">
        <x:color rgb="C9D3DD"/>
      </x:bottom>
    </x:border>
    <x:border>
      <x:left style="thin">
        <x:color rgb="C9D3DD"/>
      </x:left>
      <x:right style="thin">
        <x:color rgb="C9D3DD"/>
      </x:right>
      <x:top style="thin">
        <x:color rgb="C9D3DD"/>
      </x:top>
    </x:border>
    <x:border>
      <x:left style="thin">
        <x:color rgb="C9D3DD"/>
      </x:left>
      <x:right style="thin">
        <x:color rgb="C9D3DD"/>
      </x:right>
    </x:border>
    <x:border>
      <x:left style="thin">
        <x:color rgb="C9D3DD"/>
      </x:left>
      <x:right style="thin">
        <x:color rgb="C9D3DD"/>
      </x:right>
      <x:bottom style="thin">
        <x:color rgb="C9D3DD"/>
      </x:bottom>
    </x:border>
    <x:border>
      <x:left style="thin">
        <x:color rgb="C9D3DD"/>
      </x:left>
      <x:top style="thin">
        <x:color rgb="C9D3DD"/>
      </x:top>
    </x:border>
    <x:border>
      <x:top style="thin">
        <x:color rgb="C9D3DD"/>
      </x:top>
    </x:border>
    <x:border>
      <x:right style="thin">
        <x:color rgb="C9D3DD"/>
      </x:right>
      <x:top style="thin">
        <x:color rgb="C9D3DD"/>
      </x:top>
    </x:border>
    <x:border>
      <x:left style="thin">
        <x:color rgb="C9D3DD"/>
      </x:left>
    </x:border>
    <x:border>
      <x:right style="thin">
        <x:color rgb="C9D3DD"/>
      </x:right>
    </x:border>
    <x:border>
      <x:left style="thin">
        <x:color rgb="C9D3DD"/>
      </x:left>
      <x:bottom style="thin">
        <x:color rgb="C9D3DD"/>
      </x:bottom>
    </x:border>
    <x:border>
      <x:bottom style="thin">
        <x:color rgb="C9D3DD"/>
      </x:bottom>
    </x:border>
    <x:border>
      <x:right style="thin">
        <x:color rgb="C9D3DD"/>
      </x:right>
      <x:bottom style="thin">
        <x:color rgb="C9D3DD"/>
      </x:bottom>
    </x:border>
    <x:border>
      <x:left style="thin">
        <x:color rgb="C9D3DD"/>
      </x:left>
      <x:top style="thin">
        <x:color rgb="C9D3DD"/>
      </x:top>
    </x:border>
    <x:border>
      <x:top style="thin">
        <x:color rgb="C9D3DD"/>
      </x:top>
    </x:border>
    <x:border>
      <x:right style="thin">
        <x:color rgb="C9D3DD"/>
      </x:right>
      <x:top style="thin">
        <x:color rgb="C9D3DD"/>
      </x:top>
    </x:border>
    <x:border>
      <x:left style="thin">
        <x:color rgb="C9D3DD"/>
      </x:left>
    </x:border>
    <x:border>
      <x:right style="thin">
        <x:color rgb="C9D3DD"/>
      </x:right>
    </x:border>
    <x:border>
      <x:left style="thin">
        <x:color rgb="C9D3DD"/>
      </x:left>
      <x:bottom style="thin">
        <x:color rgb="C9D3DD"/>
      </x:bottom>
    </x:border>
    <x:border>
      <x:bottom style="thin">
        <x:color rgb="C9D3DD"/>
      </x:bottom>
    </x:border>
    <x:border>
      <x:right style="thin">
        <x:color rgb="C9D3DD"/>
      </x:right>
      <x:bottom style="thin">
        <x:color rgb="C9D3DD"/>
      </x:bottom>
    </x:border>
  </x:borders>
  <x:cellStyleXfs count="1">
    <x:xf numFmtId="0" fontId="0" fillId="0" borderId="0"/>
  </x:cellStyleXfs>
  <x:cellXfs count="2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left"/>
    </x:xf>
    <x:xf numFmtId="0" fontId="2" fillId="3" borderId="2" xfId="0" applyNumberFormat="1" applyFont="1" applyFill="1" applyBorder="1" applyAlignment="1">
      <x:alignment horizontal="left" vertical="center"/>
    </x:xf>
    <x:xf numFmtId="0" fontId="0" fillId="3" borderId="5" xfId="0" applyNumberFormat="1" applyFont="1" applyFill="1" applyBorder="1"/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horizontal="left"/>
    </x:xf>
    <x:xf numFmtId="0" fontId="2" fillId="3" borderId="5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2" fillId="3" borderId="11" xfId="0" applyNumberFormat="1" applyFont="1" applyFill="1" applyBorder="1" applyAlignment="1">
      <x:alignment horizontal="left" vertical="center"/>
    </x:xf>
    <x:xf numFmtId="0" fontId="2" fillId="3" borderId="12" xfId="0" applyNumberFormat="1" applyFont="1" applyFill="1" applyBorder="1" applyAlignment="1">
      <x:alignment horizontal="left" vertic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vertical="center"/>
    </x:xf>
    <x:xf numFmtId="0" fontId="1" fillId="2" borderId="17" xfId="0" applyNumberFormat="1" applyFont="1" applyFill="1" applyBorder="1" applyAlignment="1">
      <x:alignment horizontal="center"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2" fillId="3" borderId="19" xfId="0" applyNumberFormat="1" applyFont="1" applyFill="1" applyBorder="1" applyAlignment="1">
      <x:alignment horizontal="left" vertical="center"/>
    </x:xf>
    <x:xf numFmtId="0" fontId="2" fillId="3" borderId="20" xfId="0" applyNumberFormat="1" applyFont="1" applyFill="1" applyBorder="1" applyAlignment="1">
      <x:alignment horizontal="left" vertical="center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0" fontId="3" fillId="4" borderId="18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0" fontId="0" fillId="0" borderId="22" xfId="0" applyNumberFormat="1" applyFont="1" applyFill="1" applyBorder="1"/>
    <x:xf numFmtId="201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horizontal="center" wrapText="1"/>
    </x:xf>
    <x:xf numFmtId="201" fontId="0" fillId="0" borderId="14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horizontal="center" wrapText="1"/>
    </x:xf>
    <x:xf numFmtId="201" fontId="0" fillId="0" borderId="2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20" xfId="0" applyNumberFormat="1" applyFont="1" applyFill="1" applyBorder="1"/>
    <x:xf numFmtId="202" fontId="0" fillId="0" borderId="23" xfId="0" applyNumberFormat="1" applyFont="1" applyFill="1" applyBorder="1"/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10" xfId="0" applyNumberFormat="1" applyFont="1" applyFill="1" applyBorder="1" applyAlignment="1">
      <x:alignment horizontal="center" wrapText="1"/>
    </x:xf>
    <x:xf numFmtId="0" fontId="2" fillId="5" borderId="1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2" xfId="0" applyNumberFormat="1" applyFont="1" applyFill="1" applyBorder="1" applyAlignment="1">
      <x:alignment horizontal="center" wrapText="1"/>
    </x:xf>
    <x:xf numFmtId="0" fontId="2" fillId="5" borderId="13" xfId="0" applyNumberFormat="1" applyFont="1" applyFill="1" applyBorder="1" applyAlignment="1">
      <x:alignment horizontal="center" wrapText="1"/>
    </x:xf>
    <x:xf numFmtId="0" fontId="2" fillId="5" borderId="14" xfId="0" applyNumberFormat="1" applyFont="1" applyFill="1" applyBorder="1" applyAlignment="1">
      <x:alignment horizontal="center" wrapText="1"/>
    </x:xf>
    <x:xf numFmtId="0" fontId="2" fillId="5" borderId="15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horizontal="center" vertical="center" wrapText="1"/>
    </x:xf>
    <x:xf numFmtId="0" fontId="2" fillId="5" borderId="1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horizontal="center" vertical="center" wrapText="1"/>
    </x:xf>
    <x:xf numFmtId="0" fontId="2" fillId="5" borderId="13" xfId="0" applyNumberFormat="1" applyFont="1" applyFill="1" applyBorder="1" applyAlignment="1">
      <x:alignment horizontal="center" vertical="center" wrapText="1"/>
    </x:xf>
    <x:xf numFmtId="0" fontId="2" fillId="5" borderId="14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6" xfId="0" applyNumberFormat="1" applyFont="1" applyFill="1" applyBorder="1"/>
    <x:xf numFmtId="0" fontId="2" fillId="5" borderId="17" xfId="0" applyNumberFormat="1" applyFont="1" applyFill="1" applyBorder="1"/>
    <x:xf numFmtId="0" fontId="2" fillId="5" borderId="18" xfId="0" applyNumberFormat="1" applyFont="1" applyFill="1" applyBorder="1"/>
    <x:xf numFmtId="0" fontId="2" fillId="5" borderId="19" xfId="0" applyNumberFormat="1" applyFont="1" applyFill="1" applyBorder="1"/>
    <x:xf numFmtId="0" fontId="2" fillId="5" borderId="20" xfId="0" applyNumberFormat="1" applyFont="1" applyFill="1" applyBorder="1"/>
    <x:xf numFmtId="0" fontId="2" fillId="5" borderId="21" xfId="0" applyNumberFormat="1" applyFont="1" applyFill="1" applyBorder="1"/>
    <x:xf numFmtId="0" fontId="2" fillId="5" borderId="22" xfId="0" applyNumberFormat="1" applyFont="1" applyFill="1" applyBorder="1"/>
    <x:xf numFmtId="0" fontId="2" fillId="5" borderId="23" xfId="0" applyNumberFormat="1" applyFont="1" applyFill="1" applyBorder="1"/>
    <x:xf numFmtId="0" fontId="2" fillId="5" borderId="16" xfId="0" applyNumberFormat="1" applyFont="1" applyFill="1" applyBorder="1" applyAlignment="1">
      <x:alignment wrapText="1"/>
    </x:xf>
    <x:xf numFmtId="0" fontId="2" fillId="5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2" fillId="5" borderId="23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horizontal="center" wrapText="1"/>
    </x:xf>
    <x:xf numFmtId="0" fontId="2" fillId="5" borderId="17" xfId="0" applyNumberFormat="1" applyFont="1" applyFill="1" applyBorder="1" applyAlignment="1">
      <x:alignment horizontal="center" wrapText="1"/>
    </x:xf>
    <x:xf numFmtId="0" fontId="2" fillId="5" borderId="18" xfId="0" applyNumberFormat="1" applyFont="1" applyFill="1" applyBorder="1" applyAlignment="1">
      <x:alignment horizontal="center" wrapText="1"/>
    </x:xf>
    <x:xf numFmtId="0" fontId="2" fillId="5" borderId="19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20" xfId="0" applyNumberFormat="1" applyFont="1" applyFill="1" applyBorder="1" applyAlignment="1">
      <x:alignment horizontal="center" wrapText="1"/>
    </x:xf>
    <x:xf numFmtId="0" fontId="2" fillId="5" borderId="21" xfId="0" applyNumberFormat="1" applyFont="1" applyFill="1" applyBorder="1" applyAlignment="1">
      <x:alignment horizontal="center" wrapText="1"/>
    </x:xf>
    <x:xf numFmtId="0" fontId="2" fillId="5" borderId="22" xfId="0" applyNumberFormat="1" applyFont="1" applyFill="1" applyBorder="1" applyAlignment="1">
      <x:alignment horizontal="center" wrapText="1"/>
    </x:xf>
    <x:xf numFmtId="0" fontId="2" fillId="5" borderId="23" xfId="0" applyNumberFormat="1" applyFont="1" applyFill="1" applyBorder="1" applyAlignment="1">
      <x:alignment horizontal="center" wrapText="1"/>
    </x:xf>
    <x:xf numFmtId="0" fontId="2" fillId="5" borderId="16" xfId="0" applyNumberFormat="1" applyFont="1" applyFill="1" applyBorder="1" applyAlignment="1">
      <x:alignment horizontal="center" vertical="center" wrapText="1"/>
    </x:xf>
    <x:xf numFmtId="0" fontId="2" fillId="5" borderId="17" xfId="0" applyNumberFormat="1" applyFont="1" applyFill="1" applyBorder="1" applyAlignment="1">
      <x:alignment horizontal="center" vertical="center" wrapText="1"/>
    </x:xf>
    <x:xf numFmtId="0" fontId="2" fillId="5" borderId="18" xfId="0" applyNumberFormat="1" applyFont="1" applyFill="1" applyBorder="1" applyAlignment="1">
      <x:alignment horizontal="center" vertical="center" wrapText="1"/>
    </x:xf>
    <x:xf numFmtId="0" fontId="2" fillId="5" borderId="19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0" xfId="0" applyNumberFormat="1" applyFont="1" applyFill="1" applyBorder="1" applyAlignment="1">
      <x:alignment horizontal="center" vertical="center" wrapText="1"/>
    </x:xf>
    <x:xf numFmtId="0" fontId="2" fillId="5" borderId="21" xfId="0" applyNumberFormat="1" applyFont="1" applyFill="1" applyBorder="1" applyAlignment="1">
      <x:alignment horizontal="center" vertical="center" wrapText="1"/>
    </x:xf>
    <x:xf numFmtId="0" fontId="2" fillId="5" borderId="22" xfId="0" applyNumberFormat="1" applyFont="1" applyFill="1" applyBorder="1" applyAlignment="1">
      <x:alignment horizontal="center" vertical="center" wrapText="1"/>
    </x:xf>
    <x:xf numFmtId="0" fontId="2" fillId="5" borderId="23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horizontal="center" vertical="center" wrapText="1"/>
    </x:xf>
    <x:xf numFmtId="0" fontId="2" fillId="6" borderId="13" xfId="0" applyNumberFormat="1" applyFont="1" applyFill="1" applyBorder="1" applyAlignment="1">
      <x:alignment horizontal="center" vertical="center" wrapText="1"/>
    </x:xf>
    <x:xf numFmtId="0" fontId="2" fillId="6" borderId="14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20" xfId="0" applyNumberFormat="1" applyFont="1" applyFill="1" applyBorder="1" applyAlignment="1">
      <x:alignment horizontal="center" vertical="center" wrapText="1"/>
    </x:xf>
    <x:xf numFmtId="0" fontId="4" fillId="6" borderId="21" xfId="0" applyNumberFormat="1" applyFont="1" applyFill="1" applyBorder="1" applyAlignment="1">
      <x:alignment horizontal="center" vertical="center" wrapText="1"/>
    </x:xf>
    <x:xf numFmtId="0" fontId="4" fillId="6" borderId="22" xfId="0" applyNumberFormat="1" applyFont="1" applyFill="1" applyBorder="1" applyAlignment="1">
      <x:alignment horizontal="center"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201" fontId="4" fillId="6" borderId="8" xfId="0" applyNumberFormat="1" applyFont="1" applyFill="1" applyBorder="1" applyAlignment="1">
      <x:alignment horizontal="center" vertical="center" wrapText="1"/>
    </x:xf>
    <x:xf numFmtId="201" fontId="4" fillId="6" borderId="16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/>
    <x:xf numFmtId="0" fontId="3" fillId="4" borderId="10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0" fillId="4" borderId="18" xfId="0" applyNumberFormat="1" applyFont="1" applyFill="1" applyBorder="1"/>
    <x:xf numFmtId="0" fontId="3" fillId="4" borderId="18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5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c08ece3b84a18" /><Relationship Type="http://schemas.openxmlformats.org/officeDocument/2006/relationships/theme" Target="/xl/theme/theme1.xml" Id="Rd640ff17dcba44f3" /><Relationship Type="http://schemas.openxmlformats.org/officeDocument/2006/relationships/sharedStrings" Target="/xl/sharedStrings.xml" Id="R0d97fdd1deaf4984" /><Relationship Type="http://schemas.openxmlformats.org/officeDocument/2006/relationships/worksheet" Target="/xl/worksheets/sheet1.xml" Id="Rf1ad81921f2f46e1" /><Relationship Type="http://schemas.openxmlformats.org/officeDocument/2006/relationships/worksheet" Target="/xl/worksheets/sheet2.xml" Id="R455460601a32444d" /><Relationship Type="http://schemas.openxmlformats.org/officeDocument/2006/relationships/worksheet" Target="/xl/worksheets/sheet3.xml" Id="Rc43bd6090a5243d3" /><Relationship Type="http://schemas.openxmlformats.org/officeDocument/2006/relationships/worksheet" Target="/xl/worksheets/sheet4.xml" Id="Rf757cbb7b1304524" /><Relationship Type="http://schemas.openxmlformats.org/officeDocument/2006/relationships/worksheet" Target="/xl/worksheets/sheet5.xml" Id="R833fd687cc5a4e68" /><Relationship Type="http://schemas.openxmlformats.org/officeDocument/2006/relationships/worksheet" Target="/xl/worksheets/sheet6.xml" Id="R8350b56170b94fe2" /><Relationship Type="http://schemas.openxmlformats.org/officeDocument/2006/relationships/worksheet" Target="/xl/worksheets/sheet7.xml" Id="R1339e33878994a71" /><Relationship Type="http://schemas.openxmlformats.org/officeDocument/2006/relationships/worksheet" Target="/xl/worksheets/sheet8.xml" Id="Rfd28add003a94aeb" /><Relationship Type="http://schemas.openxmlformats.org/officeDocument/2006/relationships/worksheet" Target="/xl/worksheets/sheet9.xml" Id="R76b9aa514ca947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32a4eea18f4835" /><Relationship Type="http://schemas.openxmlformats.org/officeDocument/2006/relationships/chart" Target="/xl/drawings/charts/chart2.xml" Id="R500664de0e42496b" /><Relationship Type="http://schemas.openxmlformats.org/officeDocument/2006/relationships/chart" Target="/xl/drawings/charts/chart3.xml" Id="Raceb9b75978e41b7" /><Relationship Type="http://schemas.openxmlformats.org/officeDocument/2006/relationships/chart" Target="/xl/drawings/charts/chart4.xml" Id="R0b057deac4bc4d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Cumplimiento promedio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N° proveedores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Cumplimiento promedio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'Dashboard'!$C$9:$C$12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general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N° proveedores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Cumplimiento promedio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'Dashboard'!$C$9:$C$12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Aprobados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'Dashboard'!$D$9:$D$12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Condicionados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No aprobados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'Dashboard'!$F$9:$F$12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por nivel de riesgo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'Dashboard'!$J$8:$J$11</c:f>
              <c:strCache>
                <c:ptCount val="0"/>
              </c:strCache>
            </c:strRef>
          </c:cat>
          <c:val>
            <c:numRef>
              <c:f>'Dashboard'!$K$8:$K$11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'Dashboard'!$J$8:$J$11</c:f>
              <c:strCache>
                <c:ptCount val="0"/>
              </c:strCache>
            </c:strRef>
          </c:cat>
          <c:val>
            <c:numRef>
              <c:f>'Dashboard'!$L$8:$L$11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'Dashboard'!$J$8:$J$11</c:f>
              <c:strCache>
                <c:ptCount val="0"/>
              </c:strCache>
            </c:strRef>
          </c:cat>
          <c:val>
            <c:numRef>
              <c:f>'Dashboard'!$M$8:$M$11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'Dashboard'!$J$8:$J$11</c:f>
              <c:strCache>
                <c:ptCount val="0"/>
              </c:strCache>
            </c:strRef>
          </c:cat>
          <c:val>
            <c:numRef>
              <c:f>'Dashboard'!$N$8:$N$11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Número de proveedores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N° proveedores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32a4eea18f4835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0664de0e42496b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eb9b75978e41b7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57deac4bc4d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Tabla_Plantilla Editable" displayName="Tabla_Plantilla Editable" ref="A2:W32" headerRowCount="1">
  <x:tableColumns count="23">
    <x:tableColumn id="1" name="Año"/>
    <x:tableColumn id="2" name="Razón Social"/>
    <x:tableColumn id="3" name="NIT"/>
    <x:tableColumn id="4" name="Sede"/>
    <x:tableColumn id="5" name="Servicio contratado"/>
    <x:tableColumn id="6" name="Nivel de riesgo"/>
    <x:tableColumn id="7" name="Fecha inicio contrato"/>
    <x:tableColumn id="8" name="Fecha fin contrato"/>
    <x:tableColumn id="9" name="Afiliación SGRL"/>
    <x:tableColumn id="10" name="Inducción SST"/>
    <x:tableColumn id="11" name="EPP entregados"/>
    <x:tableColumn id="12" name="EMO vigentes"/>
    <x:tableColumn id="13" name="Reglamento HSE firmado"/>
    <x:tableColumn id="14" name="Capacitación riesgos específicos"/>
    <x:tableColumn id="15" name="Certificación de competencias"/>
    <x:tableColumn id="16" name="Documento sectorial / licencia"/>
    <x:tableColumn id="17" name="% Cumplimiento"/>
    <x:tableColumn id="18" name="Nivel de cumplimiento"/>
    <x:tableColumn id="19" name="Estado general"/>
    <x:tableColumn id="20" name="Responsable seguimiento"/>
    <x:tableColumn id="21" name="Fecha última verificación"/>
    <x:tableColumn id="22" name="Observaciones"/>
    <x:tableColumn id="23" name="Fuente / Soporte"/>
  </x:tableColumns>
  <x:tableStyleInfo name="TableStyleMedium2" showRowStripes="1"/>
</x:table>
</file>

<file path=xl/tables/table2.xml><?xml version="1.0" encoding="utf-8"?>
<x:table xmlns:x="http://schemas.openxmlformats.org/spreadsheetml/2006/main" id="1" name="Tabla_2023" displayName="Tabla_2023" ref="A2:W30" headerRowCount="1">
  <x:tableColumns count="23">
    <x:tableColumn id="1" name="Año"/>
    <x:tableColumn id="2" name="Razón Social"/>
    <x:tableColumn id="3" name="NIT"/>
    <x:tableColumn id="4" name="Sede"/>
    <x:tableColumn id="5" name="Servicio contratado"/>
    <x:tableColumn id="6" name="Nivel de riesgo"/>
    <x:tableColumn id="7" name="Fecha inicio contrato"/>
    <x:tableColumn id="8" name="Fecha fin contrato"/>
    <x:tableColumn id="9" name="Afiliación SGRL"/>
    <x:tableColumn id="10" name="Inducción SST"/>
    <x:tableColumn id="11" name="EPP entregados"/>
    <x:tableColumn id="12" name="EMO vigentes"/>
    <x:tableColumn id="13" name="Reglamento HSE firmado"/>
    <x:tableColumn id="14" name="Capacitación riesgos específicos"/>
    <x:tableColumn id="15" name="Certificación de competencias"/>
    <x:tableColumn id="16" name="Documento sectorial / licencia"/>
    <x:tableColumn id="17" name="% Cumplimiento"/>
    <x:tableColumn id="18" name="Nivel de cumplimiento"/>
    <x:tableColumn id="19" name="Estado general"/>
    <x:tableColumn id="20" name="Responsable seguimiento"/>
    <x:tableColumn id="21" name="Fecha última verificación"/>
    <x:tableColumn id="22" name="Observaciones"/>
    <x:tableColumn id="23" name="Fuente / Soporte"/>
  </x:tableColumns>
  <x:tableStyleInfo name="TableStyleMedium2" showRowStripes="1"/>
</x:table>
</file>

<file path=xl/tables/table3.xml><?xml version="1.0" encoding="utf-8"?>
<x:table xmlns:x="http://schemas.openxmlformats.org/spreadsheetml/2006/main" id="2" name="Tabla_2024" displayName="Tabla_2024" ref="A2:W30" headerRowCount="1">
  <x:tableColumns count="23">
    <x:tableColumn id="1" name="Año"/>
    <x:tableColumn id="2" name="Razón Social"/>
    <x:tableColumn id="3" name="NIT"/>
    <x:tableColumn id="4" name="Sede"/>
    <x:tableColumn id="5" name="Servicio contratado"/>
    <x:tableColumn id="6" name="Nivel de riesgo"/>
    <x:tableColumn id="7" name="Fecha inicio contrato"/>
    <x:tableColumn id="8" name="Fecha fin contrato"/>
    <x:tableColumn id="9" name="Afiliación SGRL"/>
    <x:tableColumn id="10" name="Inducción SST"/>
    <x:tableColumn id="11" name="EPP entregados"/>
    <x:tableColumn id="12" name="EMO vigentes"/>
    <x:tableColumn id="13" name="Reglamento HSE firmado"/>
    <x:tableColumn id="14" name="Capacitación riesgos específicos"/>
    <x:tableColumn id="15" name="Certificación de competencias"/>
    <x:tableColumn id="16" name="Documento sectorial / licencia"/>
    <x:tableColumn id="17" name="% Cumplimiento"/>
    <x:tableColumn id="18" name="Nivel de cumplimiento"/>
    <x:tableColumn id="19" name="Estado general"/>
    <x:tableColumn id="20" name="Responsable seguimiento"/>
    <x:tableColumn id="21" name="Fecha última verificación"/>
    <x:tableColumn id="22" name="Observaciones"/>
    <x:tableColumn id="23" name="Fuente / Soporte"/>
  </x:tableColumns>
  <x:tableStyleInfo name="TableStyleMedium2" showRowStripes="1"/>
</x:table>
</file>

<file path=xl/tables/table4.xml><?xml version="1.0" encoding="utf-8"?>
<x:table xmlns:x="http://schemas.openxmlformats.org/spreadsheetml/2006/main" id="3" name="Tabla_2025" displayName="Tabla_2025" ref="A2:W30" headerRowCount="1">
  <x:tableColumns count="23">
    <x:tableColumn id="1" name="Año"/>
    <x:tableColumn id="2" name="Razón Social"/>
    <x:tableColumn id="3" name="NIT"/>
    <x:tableColumn id="4" name="Sede"/>
    <x:tableColumn id="5" name="Servicio contratado"/>
    <x:tableColumn id="6" name="Nivel de riesgo"/>
    <x:tableColumn id="7" name="Fecha inicio contrato"/>
    <x:tableColumn id="8" name="Fecha fin contrato"/>
    <x:tableColumn id="9" name="Afiliación SGRL"/>
    <x:tableColumn id="10" name="Inducción SST"/>
    <x:tableColumn id="11" name="EPP entregados"/>
    <x:tableColumn id="12" name="EMO vigentes"/>
    <x:tableColumn id="13" name="Reglamento HSE firmado"/>
    <x:tableColumn id="14" name="Capacitación riesgos específicos"/>
    <x:tableColumn id="15" name="Certificación de competencias"/>
    <x:tableColumn id="16" name="Documento sectorial / licencia"/>
    <x:tableColumn id="17" name="% Cumplimiento"/>
    <x:tableColumn id="18" name="Nivel de cumplimiento"/>
    <x:tableColumn id="19" name="Estado general"/>
    <x:tableColumn id="20" name="Responsable seguimiento"/>
    <x:tableColumn id="21" name="Fecha última verificación"/>
    <x:tableColumn id="22" name="Observaciones"/>
    <x:tableColumn id="23" name="Fuente / Soporte"/>
  </x:tableColumns>
  <x:tableStyleInfo name="TableStyleMedium2" showRowStripes="1"/>
</x:table>
</file>

<file path=xl/tables/table5.xml><?xml version="1.0" encoding="utf-8"?>
<x:table xmlns:x="http://schemas.openxmlformats.org/spreadsheetml/2006/main" id="4" name="Tabla_2026" displayName="Tabla_2026" ref="A2:W26" headerRowCount="1">
  <x:tableColumns count="23">
    <x:tableColumn id="1" name="Año"/>
    <x:tableColumn id="2" name="Razón Social"/>
    <x:tableColumn id="3" name="NIT"/>
    <x:tableColumn id="4" name="Sede"/>
    <x:tableColumn id="5" name="Servicio contratado"/>
    <x:tableColumn id="6" name="Nivel de riesgo"/>
    <x:tableColumn id="7" name="Fecha inicio contrato"/>
    <x:tableColumn id="8" name="Fecha fin contrato"/>
    <x:tableColumn id="9" name="Afiliación SGRL"/>
    <x:tableColumn id="10" name="Inducción SST"/>
    <x:tableColumn id="11" name="EPP entregados"/>
    <x:tableColumn id="12" name="EMO vigentes"/>
    <x:tableColumn id="13" name="Reglamento HSE firmado"/>
    <x:tableColumn id="14" name="Capacitación riesgos específicos"/>
    <x:tableColumn id="15" name="Certificación de competencias"/>
    <x:tableColumn id="16" name="Documento sectorial / licencia"/>
    <x:tableColumn id="17" name="% Cumplimiento"/>
    <x:tableColumn id="18" name="Nivel de cumplimiento"/>
    <x:tableColumn id="19" name="Estado general"/>
    <x:tableColumn id="20" name="Responsable seguimiento"/>
    <x:tableColumn id="21" name="Fecha última verificación"/>
    <x:tableColumn id="22" name="Observaciones"/>
    <x:tableColumn id="23" name="Fuente / Sopor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b74c6270fd6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ea9405b471e4e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2c71ed505540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d6ce3a527214e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7ef10d32d048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e8d2a61348214a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34" t="str">
        <x:v>Matriz de Gestión de Proveedores y Contratistas - Sector Vigilancia y Seguridad Privada</x:v>
      </x:c>
      <x:c r="B1" s="35"/>
      <x:c r="C1" s="35"/>
      <x:c r="D1" s="35"/>
      <x:c r="E1" s="35"/>
      <x:c r="F1" s="35"/>
      <x:c r="G1" s="35"/>
      <x:c r="H1" s="36"/>
    </x:row>
    <x:row r="2">
      <x:c r="A2" s="37"/>
      <x:c r="B2" s="38"/>
      <x:c r="C2" s="38"/>
      <x:c r="D2" s="38"/>
      <x:c r="E2" s="38"/>
      <x:c r="F2" s="38"/>
      <x:c r="G2" s="38"/>
      <x:c r="H2" s="39"/>
    </x:row>
    <x:row r="3">
      <x:c r="A3" s="40" t="str">
        <x:v>Objetivo del formato</x:v>
      </x:c>
      <x:c r="B3" s="27"/>
      <x:c r="C3" s="27"/>
      <x:c r="D3" s="27"/>
      <x:c r="E3" s="27"/>
      <x:c r="F3" s="27"/>
      <x:c r="G3" s="27"/>
      <x:c r="H3" s="41"/>
    </x:row>
    <x:row r="4">
      <x:c r="A4" s="42" t="str">
        <x:v>Controlar el cumplimiento documental y de requisitos SST de proveedores y contratistas vinculados a una empresa del sector vigilancia y seguridad privada. El formato permite verificar el cumplimiento por año, sede, servicio contratado, nivel de riesgo, vigencia contractual y estado de los soportes críticos para la operación.</x:v>
      </x:c>
      <x:c r="B4" s="32"/>
      <x:c r="C4" s="32"/>
      <x:c r="D4" s="32"/>
      <x:c r="E4" s="32"/>
      <x:c r="F4" s="32"/>
      <x:c r="G4" s="32"/>
      <x:c r="H4" s="43"/>
    </x:row>
    <x:row r="5">
      <x:c r="A5" s="42"/>
      <x:c r="B5" s="32"/>
      <x:c r="C5" s="32"/>
      <x:c r="D5" s="32"/>
      <x:c r="E5" s="32"/>
      <x:c r="F5" s="32"/>
      <x:c r="G5" s="32"/>
      <x:c r="H5" s="43"/>
    </x:row>
    <x:row r="6">
      <x:c r="A6" s="42"/>
      <x:c r="B6" s="32"/>
      <x:c r="C6" s="32"/>
      <x:c r="D6" s="32"/>
      <x:c r="E6" s="32"/>
      <x:c r="F6" s="32"/>
      <x:c r="G6" s="32"/>
      <x:c r="H6" s="43"/>
    </x:row>
    <x:row r="7">
      <x:c r="A7" s="37"/>
      <x:c r="B7" s="38"/>
      <x:c r="C7" s="38"/>
      <x:c r="D7" s="38"/>
      <x:c r="E7" s="38"/>
      <x:c r="F7" s="38"/>
      <x:c r="G7" s="38"/>
      <x:c r="H7" s="39"/>
    </x:row>
    <x:row r="8">
      <x:c r="A8" s="40" t="str">
        <x:v>Instrucciones de diligenciamiento</x:v>
      </x:c>
      <x:c r="B8" s="27"/>
      <x:c r="C8" s="27"/>
      <x:c r="D8" s="27"/>
      <x:c r="E8" s="27"/>
      <x:c r="F8" s="27"/>
      <x:c r="G8" s="27"/>
      <x:c r="H8" s="41"/>
    </x:row>
    <x:row r="9">
      <x:c r="A9" s="42" t="str">
        <x:v>1. Registre un proveedor/contratista por fila, indicando el año, sede y servicio contratado.
2. Diligencie cada requisito con Sí, Parcial o No. La columna % Cumplimiento calcula automáticamente el resultado global.
3. El estado general se clasifica como Aprobado (&gt;=85%), Condicionado (70%-84,9%) o No aprobado (&lt;70%).
4. Para servicios de alto riesgo se recomienda revisión documental mensual y seguimiento a licencias, competencias y exámenes médicos.
5. La hoja 2026 está simulada con corte a mayo para facilitar seguimiento en el año en curso.
6. El dashboard resume cobertura, cumplimiento promedio, proveedores críticos y distribución por nivel de riesgo.</x:v>
      </x:c>
      <x:c r="B9" s="32"/>
      <x:c r="C9" s="32"/>
      <x:c r="D9" s="32"/>
      <x:c r="E9" s="32"/>
      <x:c r="F9" s="32"/>
      <x:c r="G9" s="32"/>
      <x:c r="H9" s="43"/>
    </x:row>
    <x:row r="10">
      <x:c r="A10" s="42"/>
      <x:c r="B10" s="32"/>
      <x:c r="C10" s="32"/>
      <x:c r="D10" s="32"/>
      <x:c r="E10" s="32"/>
      <x:c r="F10" s="32"/>
      <x:c r="G10" s="32"/>
      <x:c r="H10" s="43"/>
    </x:row>
    <x:row r="11">
      <x:c r="A11" s="42"/>
      <x:c r="B11" s="32"/>
      <x:c r="C11" s="32"/>
      <x:c r="D11" s="32"/>
      <x:c r="E11" s="32"/>
      <x:c r="F11" s="32"/>
      <x:c r="G11" s="32"/>
      <x:c r="H11" s="43"/>
    </x:row>
    <x:row r="12">
      <x:c r="A12" s="42"/>
      <x:c r="B12" s="32"/>
      <x:c r="C12" s="32"/>
      <x:c r="D12" s="32"/>
      <x:c r="E12" s="32"/>
      <x:c r="F12" s="32"/>
      <x:c r="G12" s="32"/>
      <x:c r="H12" s="43"/>
    </x:row>
    <x:row r="13">
      <x:c r="A13" s="42"/>
      <x:c r="B13" s="32"/>
      <x:c r="C13" s="32"/>
      <x:c r="D13" s="32"/>
      <x:c r="E13" s="32"/>
      <x:c r="F13" s="32"/>
      <x:c r="G13" s="32"/>
      <x:c r="H13" s="43"/>
    </x:row>
    <x:row r="14">
      <x:c r="A14" s="42"/>
      <x:c r="B14" s="32"/>
      <x:c r="C14" s="32"/>
      <x:c r="D14" s="32"/>
      <x:c r="E14" s="32"/>
      <x:c r="F14" s="32"/>
      <x:c r="G14" s="32"/>
      <x:c r="H14" s="43"/>
    </x:row>
    <x:row r="15">
      <x:c r="A15" s="37"/>
      <x:c r="B15" s="38"/>
      <x:c r="C15" s="38"/>
      <x:c r="D15" s="38"/>
      <x:c r="E15" s="38"/>
      <x:c r="F15" s="38"/>
      <x:c r="G15" s="38"/>
      <x:c r="H15" s="39"/>
    </x:row>
    <x:row r="16">
      <x:c r="A16" s="40" t="str">
        <x:v>Campos principales incluidos</x:v>
      </x:c>
      <x:c r="B16" s="27"/>
      <x:c r="C16" s="27"/>
      <x:c r="D16" s="27"/>
      <x:c r="E16" s="27"/>
      <x:c r="F16" s="27"/>
      <x:c r="G16" s="27"/>
      <x:c r="H16" s="41"/>
    </x:row>
    <x:row r="17">
      <x:c r="A17" s="42" t="str">
        <x:v>Año | Razón social | NIT | Sede | Servicio | Riesgo | Fecha inicio | Fecha fin | Afiliación SGRL | Inducción SST | EPP | EMO vigentes | Reglamento HSE | Capacitación riesgos específicos | Certificación de competencias | Documento sectorial/licencia | % Cumplimiento | Nivel | Estado general | Responsable | Fecha verificación | Observaciones | Fuente/Soporte</x:v>
      </x:c>
      <x:c r="B17" s="32"/>
      <x:c r="C17" s="32"/>
      <x:c r="D17" s="32"/>
      <x:c r="E17" s="32"/>
      <x:c r="F17" s="32"/>
      <x:c r="G17" s="32"/>
      <x:c r="H17" s="43"/>
    </x:row>
    <x:row r="18">
      <x:c r="A18" s="42"/>
      <x:c r="B18" s="32"/>
      <x:c r="C18" s="32"/>
      <x:c r="D18" s="32"/>
      <x:c r="E18" s="32"/>
      <x:c r="F18" s="32"/>
      <x:c r="G18" s="32"/>
      <x:c r="H18" s="43"/>
    </x:row>
    <x:row r="19">
      <x:c r="A19" s="42"/>
      <x:c r="B19" s="32"/>
      <x:c r="C19" s="32"/>
      <x:c r="D19" s="32"/>
      <x:c r="E19" s="32"/>
      <x:c r="F19" s="32"/>
      <x:c r="G19" s="32"/>
      <x:c r="H19" s="43"/>
    </x:row>
    <x:row r="20">
      <x:c r="A20" s="44"/>
      <x:c r="B20" s="45"/>
      <x:c r="C20" s="45"/>
      <x:c r="D20" s="45"/>
      <x:c r="E20" s="45"/>
      <x:c r="F20" s="45"/>
      <x:c r="G20" s="45"/>
      <x:c r="H20" s="46"/>
    </x:row>
  </x:sheetData>
  <x:mergeCells>
    <x:mergeCell ref="A1:H1"/>
    <x:mergeCell ref="A3:H3"/>
    <x:mergeCell ref="A4:H6"/>
    <x:mergeCell ref="A8:H8"/>
    <x:mergeCell ref="A9:H14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>
      <x:c r="A1" s="5" t="str">
        <x:v>Catálogos de apoyo - Gestión de Proveedores y Contratistas</x:v>
      </x:c>
      <x:c r="B1" s="5"/>
      <x:c r="C1" s="5"/>
      <x:c r="D1" s="5"/>
      <x:c r="E1" s="5"/>
      <x:c r="F1" s="5"/>
    </x:row>
    <x:row r="3">
      <x:c r="A3" s="19" t="str">
        <x:v>Años</x:v>
      </x:c>
      <x:c r="C3" s="19" t="str">
        <x:v>Sedes</x:v>
      </x:c>
      <x:c r="E3" s="19" t="str">
        <x:v>Riesgo</x:v>
      </x:c>
      <x:c r="G3" s="19" t="str">
        <x:v>Estado requisito</x:v>
      </x:c>
      <x:c r="I3" s="19" t="str">
        <x:v>Responsables</x:v>
      </x:c>
      <x:c r="K3" s="19" t="str">
        <x:v>Servicios</x:v>
      </x:c>
    </x:row>
    <x:row r="4">
      <x:c r="A4" s="11" t="n">
        <x:v>2023</x:v>
      </x:c>
      <x:c r="C4" s="11" t="str">
        <x:v>Cúcuta</x:v>
      </x:c>
      <x:c r="E4" s="11" t="str">
        <x:v>Alto</x:v>
      </x:c>
      <x:c r="G4" s="11" t="str">
        <x:v>Sí</x:v>
      </x:c>
      <x:c r="I4" s="11" t="str">
        <x:v>Director de Operaciones</x:v>
      </x:c>
      <x:c r="K4" s="11" t="str">
        <x:v>Seguridad física fija</x:v>
      </x:c>
    </x:row>
    <x:row r="5">
      <x:c r="A5" s="11" t="n">
        <x:v>2024</x:v>
      </x:c>
      <x:c r="C5" s="11" t="str">
        <x:v>Barrancabermeja</x:v>
      </x:c>
      <x:c r="E5" s="11" t="str">
        <x:v>Medio</x:v>
      </x:c>
      <x:c r="G5" s="11" t="str">
        <x:v>Parcial</x:v>
      </x:c>
      <x:c r="I5" s="11" t="str">
        <x:v>Líder SST</x:v>
      </x:c>
      <x:c r="K5" s="11" t="str">
        <x:v>Escolta y protección</x:v>
      </x:c>
    </x:row>
    <x:row r="6">
      <x:c r="A6" s="11" t="n">
        <x:v>2025</x:v>
      </x:c>
      <x:c r="C6" s="11" t="str">
        <x:v>Ocaña</x:v>
      </x:c>
      <x:c r="E6" s="12" t="str">
        <x:v>Bajo</x:v>
      </x:c>
      <x:c r="G6" s="12" t="str">
        <x:v>No</x:v>
      </x:c>
      <x:c r="I6" s="11" t="str">
        <x:v>Coordinador de Contratistas</x:v>
      </x:c>
      <x:c r="K6" s="11" t="str">
        <x:v>Monitoreo de alarmas</x:v>
      </x:c>
    </x:row>
    <x:row r="7">
      <x:c r="A7" s="12" t="n">
        <x:v>2026</x:v>
      </x:c>
      <x:c r="C7" s="11" t="str">
        <x:v>Girón</x:v>
      </x:c>
      <x:c r="I7" s="11" t="str">
        <x:v>Analista SST</x:v>
      </x:c>
      <x:c r="K7" s="11" t="str">
        <x:v>Mantenimiento CCTV</x:v>
      </x:c>
    </x:row>
    <x:row r="8">
      <x:c r="C8" s="11" t="str">
        <x:v>Valledupar</x:v>
      </x:c>
      <x:c r="I8" s="12" t="str">
        <x:v>Jefe Administrativo</x:v>
      </x:c>
      <x:c r="K8" s="11" t="str">
        <x:v>Mantenimiento de radios y comunicaciones</x:v>
      </x:c>
    </x:row>
    <x:row r="9">
      <x:c r="C9" s="11" t="str">
        <x:v>Arauca</x:v>
      </x:c>
      <x:c r="K9" s="11" t="str">
        <x:v>Dotación y uniformes</x:v>
      </x:c>
    </x:row>
    <x:row r="10">
      <x:c r="C10" s="11" t="str">
        <x:v>Bogotá</x:v>
      </x:c>
      <x:c r="K10" s="11" t="str">
        <x:v>Elementos de protección personal</x:v>
      </x:c>
    </x:row>
    <x:row r="11">
      <x:c r="C11" s="11" t="str">
        <x:v>Tibú</x:v>
      </x:c>
      <x:c r="K11" s="11" t="str">
        <x:v>Capacitación SST</x:v>
      </x:c>
    </x:row>
    <x:row r="12">
      <x:c r="C12" s="11" t="str">
        <x:v>Medellín</x:v>
      </x:c>
      <x:c r="K12" s="11" t="str">
        <x:v>Exámenes médicos ocupacionales</x:v>
      </x:c>
    </x:row>
    <x:row r="13">
      <x:c r="C13" s="11" t="str">
        <x:v>Ábrego</x:v>
      </x:c>
      <x:c r="K13" s="11" t="str">
        <x:v>Mantenimiento vehicular</x:v>
      </x:c>
    </x:row>
    <x:row r="14">
      <x:c r="C14" s="12" t="str">
        <x:v>Pamplona</x:v>
      </x:c>
      <x:c r="K14" s="11" t="str">
        <x:v>Aseo y desinfección</x:v>
      </x:c>
    </x:row>
    <x:row r="15">
      <x:c r="K15" s="11" t="str">
        <x:v>Fumigación y control de plagas</x:v>
      </x:c>
    </x:row>
    <x:row r="16">
      <x:c r="K16" s="11" t="str">
        <x:v>Software de control de turnos</x:v>
      </x:c>
    </x:row>
    <x:row r="17">
      <x:c r="K17" s="11" t="str">
        <x:v>Servicios jurídicos laborales</x:v>
      </x:c>
    </x:row>
    <x:row r="18">
      <x:c r="K18" s="11" t="str">
        <x:v>Mantenimiento de extintores</x:v>
      </x:c>
    </x:row>
    <x:row r="19">
      <x:c r="K19" s="11" t="str">
        <x:v>Señalización y demarcación</x:v>
      </x:c>
    </x:row>
    <x:row r="20">
      <x:c r="K20" s="11" t="str">
        <x:v>Mantenimiento locativo</x:v>
      </x:c>
    </x:row>
    <x:row r="21">
      <x:c r="K21" s="11" t="str">
        <x:v>Transporte especial de personal</x:v>
      </x:c>
    </x:row>
    <x:row r="22">
      <x:c r="K22" s="11" t="str">
        <x:v>Gestión documental</x:v>
      </x:c>
    </x:row>
    <x:row r="23">
      <x:c r="K23" s="12" t="str">
        <x:v>Soporte TI y mesa de ayuda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30" hidden="0" customWidth="1"/>
    <x:col min="23" max="23" width="28" hidden="0" customWidth="1"/>
  </x:cols>
  <x:sheetData>
    <x:row r="1">
      <x:c r="A1" s="5" t="str">
        <x:v>Plantilla Editable - Gestión de Proveedores y Contratistas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73" t="str">
        <x:v>Año</x:v>
      </x:c>
      <x:c r="B2" s="74" t="str">
        <x:v>Razón Social</x:v>
      </x:c>
      <x:c r="C2" s="74" t="str">
        <x:v>NIT</x:v>
      </x:c>
      <x:c r="D2" s="74" t="str">
        <x:v>Sede</x:v>
      </x:c>
      <x:c r="E2" s="74" t="str">
        <x:v>Servicio contratado</x:v>
      </x:c>
      <x:c r="F2" s="74" t="str">
        <x:v>Nivel de riesgo</x:v>
      </x:c>
      <x:c r="G2" s="74" t="str">
        <x:v>Fecha inicio contrato</x:v>
      </x:c>
      <x:c r="H2" s="74" t="str">
        <x:v>Fecha fin contrato</x:v>
      </x:c>
      <x:c r="I2" s="74" t="str">
        <x:v>Afiliación SGRL</x:v>
      </x:c>
      <x:c r="J2" s="74" t="str">
        <x:v>Inducción SST</x:v>
      </x:c>
      <x:c r="K2" s="74" t="str">
        <x:v>EPP entregados</x:v>
      </x:c>
      <x:c r="L2" s="74" t="str">
        <x:v>EMO vigentes</x:v>
      </x:c>
      <x:c r="M2" s="74" t="str">
        <x:v>Reglamento HSE firmado</x:v>
      </x:c>
      <x:c r="N2" s="74" t="str">
        <x:v>Capacitación riesgos específicos</x:v>
      </x:c>
      <x:c r="O2" s="74" t="str">
        <x:v>Certificación de competencias</x:v>
      </x:c>
      <x:c r="P2" s="74" t="str">
        <x:v>Documento sectorial / licencia</x:v>
      </x:c>
      <x:c r="Q2" s="74" t="str">
        <x:v>% Cumplimiento</x:v>
      </x:c>
      <x:c r="R2" s="74" t="str">
        <x:v>Nivel de cumplimiento</x:v>
      </x:c>
      <x:c r="S2" s="74" t="str">
        <x:v>Estado general</x:v>
      </x:c>
      <x:c r="T2" s="74" t="str">
        <x:v>Responsable seguimiento</x:v>
      </x:c>
      <x:c r="U2" s="74" t="str">
        <x:v>Fecha última verificación</x:v>
      </x:c>
      <x:c r="V2" s="74" t="str">
        <x:v>Observaciones</x:v>
      </x:c>
      <x:c r="W2" s="75" t="str">
        <x:v>Fuente / Soporte</x:v>
      </x:c>
    </x:row>
    <x:row r="3">
      <x:c r="A3" s="37" t="n">
        <x:v>2026</x:v>
      </x:c>
      <x:c r="B3" s="32" t="str"/>
      <x:c r="C3" s="32" t="str"/>
      <x:c r="D3" s="32" t="str"/>
      <x:c r="E3" s="32" t="str"/>
      <x:c r="F3" s="32" t="str"/>
      <x:c r="G3" s="93"/>
      <x:c r="H3" s="93"/>
      <x:c r="I3" s="94" t="str"/>
      <x:c r="J3" s="94" t="str"/>
      <x:c r="K3" s="94" t="str"/>
      <x:c r="L3" s="94" t="str"/>
      <x:c r="M3" s="94" t="str"/>
      <x:c r="N3" s="94" t="str"/>
      <x:c r="O3" s="94" t="str"/>
      <x:c r="P3" s="94" t="str"/>
      <x:c r="Q3" s="95" t="n">
        <x:f>ROUND((COUNTIF(I3:P3,"Sí")+0.5*COUNTIF(I3:P3,"Parcial"))/8,4)</x:f>
        <x:v>0</x:v>
      </x:c>
      <x:c r="R3" s="32" t="str">
        <x:f>IF(Q3&gt;=0.85,"Alto",IF(Q3&gt;=0.70,"Medio","Crítico"))</x:f>
        <x:v>Crítico</x:v>
      </x:c>
      <x:c r="S3" s="32" t="str">
        <x:f>IF(Q3&gt;=0.85,"Aprobado",IF(Q3&gt;=0.70,"Condicionado","No aprobado"))</x:f>
        <x:v>No aprobado</x:v>
      </x:c>
      <x:c r="T3" s="32" t="str"/>
      <x:c r="U3" s="93" t="str"/>
      <x:c r="V3" s="32" t="str"/>
      <x:c r="W3" s="43" t="str"/>
    </x:row>
    <x:row r="4">
      <x:c r="A4" s="37" t="n">
        <x:v>2026</x:v>
      </x:c>
      <x:c r="B4" s="32" t="str"/>
      <x:c r="C4" s="32" t="str"/>
      <x:c r="D4" s="32" t="str"/>
      <x:c r="E4" s="32" t="str"/>
      <x:c r="F4" s="32" t="str"/>
      <x:c r="G4" s="93"/>
      <x:c r="H4" s="93"/>
      <x:c r="I4" s="94" t="str"/>
      <x:c r="J4" s="94" t="str"/>
      <x:c r="K4" s="94" t="str"/>
      <x:c r="L4" s="94" t="str"/>
      <x:c r="M4" s="94" t="str"/>
      <x:c r="N4" s="94" t="str"/>
      <x:c r="O4" s="94" t="str"/>
      <x:c r="P4" s="94" t="str"/>
      <x:c r="Q4" s="95" t="n">
        <x:f>ROUND((COUNTIF(I4:P4,"Sí")+0.5*COUNTIF(I4:P4,"Parcial"))/8,4)</x:f>
        <x:v>0</x:v>
      </x:c>
      <x:c r="R4" s="32" t="str">
        <x:f>IF(Q4&gt;=0.85,"Alto",IF(Q4&gt;=0.70,"Medio","Crítico"))</x:f>
        <x:v>Crítico</x:v>
      </x:c>
      <x:c r="S4" s="32" t="str">
        <x:f>IF(Q4&gt;=0.85,"Aprobado",IF(Q4&gt;=0.70,"Condicionado","No aprobado"))</x:f>
        <x:v>No aprobado</x:v>
      </x:c>
      <x:c r="T4" s="32" t="str"/>
      <x:c r="U4" s="93" t="str"/>
      <x:c r="V4" s="32" t="str"/>
      <x:c r="W4" s="43" t="str"/>
    </x:row>
    <x:row r="5">
      <x:c r="A5" s="37" t="n">
        <x:v>2026</x:v>
      </x:c>
      <x:c r="B5" s="32" t="str"/>
      <x:c r="C5" s="32" t="str"/>
      <x:c r="D5" s="32" t="str"/>
      <x:c r="E5" s="32" t="str"/>
      <x:c r="F5" s="32" t="str"/>
      <x:c r="G5" s="93"/>
      <x:c r="H5" s="93"/>
      <x:c r="I5" s="94" t="str"/>
      <x:c r="J5" s="94" t="str"/>
      <x:c r="K5" s="94" t="str"/>
      <x:c r="L5" s="94" t="str"/>
      <x:c r="M5" s="94" t="str"/>
      <x:c r="N5" s="94" t="str"/>
      <x:c r="O5" s="94" t="str"/>
      <x:c r="P5" s="94" t="str"/>
      <x:c r="Q5" s="95" t="n">
        <x:f>ROUND((COUNTIF(I5:P5,"Sí")+0.5*COUNTIF(I5:P5,"Parcial"))/8,4)</x:f>
        <x:v>0</x:v>
      </x:c>
      <x:c r="R5" s="32" t="str">
        <x:f>IF(Q5&gt;=0.85,"Alto",IF(Q5&gt;=0.70,"Medio","Crítico"))</x:f>
        <x:v>Crítico</x:v>
      </x:c>
      <x:c r="S5" s="32" t="str">
        <x:f>IF(Q5&gt;=0.85,"Aprobado",IF(Q5&gt;=0.70,"Condicionado","No aprobado"))</x:f>
        <x:v>No aprobado</x:v>
      </x:c>
      <x:c r="T5" s="32" t="str"/>
      <x:c r="U5" s="93" t="str"/>
      <x:c r="V5" s="32" t="str"/>
      <x:c r="W5" s="43" t="str"/>
    </x:row>
    <x:row r="6">
      <x:c r="A6" s="37" t="n">
        <x:v>2026</x:v>
      </x:c>
      <x:c r="B6" s="32" t="str"/>
      <x:c r="C6" s="32" t="str"/>
      <x:c r="D6" s="32" t="str"/>
      <x:c r="E6" s="32" t="str"/>
      <x:c r="F6" s="32" t="str"/>
      <x:c r="G6" s="93"/>
      <x:c r="H6" s="93"/>
      <x:c r="I6" s="94" t="str"/>
      <x:c r="J6" s="94" t="str"/>
      <x:c r="K6" s="94" t="str"/>
      <x:c r="L6" s="94" t="str"/>
      <x:c r="M6" s="94" t="str"/>
      <x:c r="N6" s="94" t="str"/>
      <x:c r="O6" s="94" t="str"/>
      <x:c r="P6" s="94" t="str"/>
      <x:c r="Q6" s="95" t="n">
        <x:f>ROUND((COUNTIF(I6:P6,"Sí")+0.5*COUNTIF(I6:P6,"Parcial"))/8,4)</x:f>
        <x:v>0</x:v>
      </x:c>
      <x:c r="R6" s="32" t="str">
        <x:f>IF(Q6&gt;=0.85,"Alto",IF(Q6&gt;=0.70,"Medio","Crítico"))</x:f>
        <x:v>Crítico</x:v>
      </x:c>
      <x:c r="S6" s="32" t="str">
        <x:f>IF(Q6&gt;=0.85,"Aprobado",IF(Q6&gt;=0.70,"Condicionado","No aprobado"))</x:f>
        <x:v>No aprobado</x:v>
      </x:c>
      <x:c r="T6" s="32" t="str"/>
      <x:c r="U6" s="93" t="str"/>
      <x:c r="V6" s="32" t="str"/>
      <x:c r="W6" s="43" t="str"/>
    </x:row>
    <x:row r="7">
      <x:c r="A7" s="37" t="n">
        <x:v>2026</x:v>
      </x:c>
      <x:c r="B7" s="32" t="str"/>
      <x:c r="C7" s="32" t="str"/>
      <x:c r="D7" s="32" t="str"/>
      <x:c r="E7" s="32" t="str"/>
      <x:c r="F7" s="32" t="str"/>
      <x:c r="G7" s="93"/>
      <x:c r="H7" s="93"/>
      <x:c r="I7" s="94" t="str"/>
      <x:c r="J7" s="94" t="str"/>
      <x:c r="K7" s="94" t="str"/>
      <x:c r="L7" s="94" t="str"/>
      <x:c r="M7" s="94" t="str"/>
      <x:c r="N7" s="94" t="str"/>
      <x:c r="O7" s="94" t="str"/>
      <x:c r="P7" s="94" t="str"/>
      <x:c r="Q7" s="95" t="n">
        <x:f>ROUND((COUNTIF(I7:P7,"Sí")+0.5*COUNTIF(I7:P7,"Parcial"))/8,4)</x:f>
        <x:v>0</x:v>
      </x:c>
      <x:c r="R7" s="32" t="str">
        <x:f>IF(Q7&gt;=0.85,"Alto",IF(Q7&gt;=0.70,"Medio","Crítico"))</x:f>
        <x:v>Crítico</x:v>
      </x:c>
      <x:c r="S7" s="32" t="str">
        <x:f>IF(Q7&gt;=0.85,"Aprobado",IF(Q7&gt;=0.70,"Condicionado","No aprobado"))</x:f>
        <x:v>No aprobado</x:v>
      </x:c>
      <x:c r="T7" s="32" t="str"/>
      <x:c r="U7" s="93" t="str"/>
      <x:c r="V7" s="32" t="str"/>
      <x:c r="W7" s="43" t="str"/>
    </x:row>
    <x:row r="8">
      <x:c r="A8" s="37" t="n">
        <x:v>2026</x:v>
      </x:c>
      <x:c r="B8" s="32" t="str"/>
      <x:c r="C8" s="32" t="str"/>
      <x:c r="D8" s="32" t="str"/>
      <x:c r="E8" s="32" t="str"/>
      <x:c r="F8" s="32" t="str"/>
      <x:c r="G8" s="93"/>
      <x:c r="H8" s="93"/>
      <x:c r="I8" s="94" t="str"/>
      <x:c r="J8" s="94" t="str"/>
      <x:c r="K8" s="94" t="str"/>
      <x:c r="L8" s="94" t="str"/>
      <x:c r="M8" s="94" t="str"/>
      <x:c r="N8" s="94" t="str"/>
      <x:c r="O8" s="94" t="str"/>
      <x:c r="P8" s="94" t="str"/>
      <x:c r="Q8" s="95" t="n">
        <x:f>ROUND((COUNTIF(I8:P8,"Sí")+0.5*COUNTIF(I8:P8,"Parcial"))/8,4)</x:f>
        <x:v>0</x:v>
      </x:c>
      <x:c r="R8" s="32" t="str">
        <x:f>IF(Q8&gt;=0.85,"Alto",IF(Q8&gt;=0.70,"Medio","Crítico"))</x:f>
        <x:v>Crítico</x:v>
      </x:c>
      <x:c r="S8" s="32" t="str">
        <x:f>IF(Q8&gt;=0.85,"Aprobado",IF(Q8&gt;=0.70,"Condicionado","No aprobado"))</x:f>
        <x:v>No aprobado</x:v>
      </x:c>
      <x:c r="T8" s="32" t="str"/>
      <x:c r="U8" s="93" t="str"/>
      <x:c r="V8" s="32" t="str"/>
      <x:c r="W8" s="43" t="str"/>
    </x:row>
    <x:row r="9">
      <x:c r="A9" s="37" t="n">
        <x:v>2026</x:v>
      </x:c>
      <x:c r="B9" s="32" t="str"/>
      <x:c r="C9" s="32" t="str"/>
      <x:c r="D9" s="32" t="str"/>
      <x:c r="E9" s="32" t="str"/>
      <x:c r="F9" s="32" t="str"/>
      <x:c r="G9" s="93"/>
      <x:c r="H9" s="93"/>
      <x:c r="I9" s="94" t="str"/>
      <x:c r="J9" s="94" t="str"/>
      <x:c r="K9" s="94" t="str"/>
      <x:c r="L9" s="94" t="str"/>
      <x:c r="M9" s="94" t="str"/>
      <x:c r="N9" s="94" t="str"/>
      <x:c r="O9" s="94" t="str"/>
      <x:c r="P9" s="94" t="str"/>
      <x:c r="Q9" s="95" t="n">
        <x:f>ROUND((COUNTIF(I9:P9,"Sí")+0.5*COUNTIF(I9:P9,"Parcial"))/8,4)</x:f>
        <x:v>0</x:v>
      </x:c>
      <x:c r="R9" s="32" t="str">
        <x:f>IF(Q9&gt;=0.85,"Alto",IF(Q9&gt;=0.70,"Medio","Crítico"))</x:f>
        <x:v>Crítico</x:v>
      </x:c>
      <x:c r="S9" s="32" t="str">
        <x:f>IF(Q9&gt;=0.85,"Aprobado",IF(Q9&gt;=0.70,"Condicionado","No aprobado"))</x:f>
        <x:v>No aprobado</x:v>
      </x:c>
      <x:c r="T9" s="32" t="str"/>
      <x:c r="U9" s="93" t="str"/>
      <x:c r="V9" s="32" t="str"/>
      <x:c r="W9" s="43" t="str"/>
    </x:row>
    <x:row r="10">
      <x:c r="A10" s="37" t="n">
        <x:v>2026</x:v>
      </x:c>
      <x:c r="B10" s="32" t="str"/>
      <x:c r="C10" s="32" t="str"/>
      <x:c r="D10" s="32" t="str"/>
      <x:c r="E10" s="32" t="str"/>
      <x:c r="F10" s="32" t="str"/>
      <x:c r="G10" s="93"/>
      <x:c r="H10" s="93"/>
      <x:c r="I10" s="94" t="str"/>
      <x:c r="J10" s="94" t="str"/>
      <x:c r="K10" s="94" t="str"/>
      <x:c r="L10" s="94" t="str"/>
      <x:c r="M10" s="94" t="str"/>
      <x:c r="N10" s="94" t="str"/>
      <x:c r="O10" s="94" t="str"/>
      <x:c r="P10" s="94" t="str"/>
      <x:c r="Q10" s="95" t="n">
        <x:f>ROUND((COUNTIF(I10:P10,"Sí")+0.5*COUNTIF(I10:P10,"Parcial"))/8,4)</x:f>
        <x:v>0</x:v>
      </x:c>
      <x:c r="R10" s="32" t="str">
        <x:f>IF(Q10&gt;=0.85,"Alto",IF(Q10&gt;=0.70,"Medio","Crítico"))</x:f>
        <x:v>Crítico</x:v>
      </x:c>
      <x:c r="S10" s="32" t="str">
        <x:f>IF(Q10&gt;=0.85,"Aprobado",IF(Q10&gt;=0.70,"Condicionado","No aprobado"))</x:f>
        <x:v>No aprobado</x:v>
      </x:c>
      <x:c r="T10" s="32" t="str"/>
      <x:c r="U10" s="93" t="str"/>
      <x:c r="V10" s="32" t="str"/>
      <x:c r="W10" s="43" t="str"/>
    </x:row>
    <x:row r="11">
      <x:c r="A11" s="37" t="n">
        <x:v>2026</x:v>
      </x:c>
      <x:c r="B11" s="32" t="str"/>
      <x:c r="C11" s="32" t="str"/>
      <x:c r="D11" s="32" t="str"/>
      <x:c r="E11" s="32" t="str"/>
      <x:c r="F11" s="32" t="str"/>
      <x:c r="G11" s="93"/>
      <x:c r="H11" s="93"/>
      <x:c r="I11" s="94" t="str"/>
      <x:c r="J11" s="94" t="str"/>
      <x:c r="K11" s="94" t="str"/>
      <x:c r="L11" s="94" t="str"/>
      <x:c r="M11" s="94" t="str"/>
      <x:c r="N11" s="94" t="str"/>
      <x:c r="O11" s="94" t="str"/>
      <x:c r="P11" s="94" t="str"/>
      <x:c r="Q11" s="95" t="n">
        <x:f>ROUND((COUNTIF(I11:P11,"Sí")+0.5*COUNTIF(I11:P11,"Parcial"))/8,4)</x:f>
        <x:v>0</x:v>
      </x:c>
      <x:c r="R11" s="32" t="str">
        <x:f>IF(Q11&gt;=0.85,"Alto",IF(Q11&gt;=0.70,"Medio","Crítico"))</x:f>
        <x:v>Crítico</x:v>
      </x:c>
      <x:c r="S11" s="32" t="str">
        <x:f>IF(Q11&gt;=0.85,"Aprobado",IF(Q11&gt;=0.70,"Condicionado","No aprobado"))</x:f>
        <x:v>No aprobado</x:v>
      </x:c>
      <x:c r="T11" s="32" t="str"/>
      <x:c r="U11" s="93" t="str"/>
      <x:c r="V11" s="32" t="str"/>
      <x:c r="W11" s="43" t="str"/>
    </x:row>
    <x:row r="12">
      <x:c r="A12" s="37" t="n">
        <x:v>2026</x:v>
      </x:c>
      <x:c r="B12" s="32" t="str"/>
      <x:c r="C12" s="32" t="str"/>
      <x:c r="D12" s="32" t="str"/>
      <x:c r="E12" s="32" t="str"/>
      <x:c r="F12" s="32" t="str"/>
      <x:c r="G12" s="93"/>
      <x:c r="H12" s="93"/>
      <x:c r="I12" s="94" t="str"/>
      <x:c r="J12" s="94" t="str"/>
      <x:c r="K12" s="94" t="str"/>
      <x:c r="L12" s="94" t="str"/>
      <x:c r="M12" s="94" t="str"/>
      <x:c r="N12" s="94" t="str"/>
      <x:c r="O12" s="94" t="str"/>
      <x:c r="P12" s="94" t="str"/>
      <x:c r="Q12" s="95" t="n">
        <x:f>ROUND((COUNTIF(I12:P12,"Sí")+0.5*COUNTIF(I12:P12,"Parcial"))/8,4)</x:f>
        <x:v>0</x:v>
      </x:c>
      <x:c r="R12" s="32" t="str">
        <x:f>IF(Q12&gt;=0.85,"Alto",IF(Q12&gt;=0.70,"Medio","Crítico"))</x:f>
        <x:v>Crítico</x:v>
      </x:c>
      <x:c r="S12" s="32" t="str">
        <x:f>IF(Q12&gt;=0.85,"Aprobado",IF(Q12&gt;=0.70,"Condicionado","No aprobado"))</x:f>
        <x:v>No aprobado</x:v>
      </x:c>
      <x:c r="T12" s="32" t="str"/>
      <x:c r="U12" s="93" t="str"/>
      <x:c r="V12" s="32" t="str"/>
      <x:c r="W12" s="43" t="str"/>
    </x:row>
    <x:row r="13">
      <x:c r="A13" s="37" t="n">
        <x:v>2026</x:v>
      </x:c>
      <x:c r="B13" s="32" t="str"/>
      <x:c r="C13" s="32" t="str"/>
      <x:c r="D13" s="32" t="str"/>
      <x:c r="E13" s="32" t="str"/>
      <x:c r="F13" s="32" t="str"/>
      <x:c r="G13" s="93"/>
      <x:c r="H13" s="93"/>
      <x:c r="I13" s="94" t="str"/>
      <x:c r="J13" s="94" t="str"/>
      <x:c r="K13" s="94" t="str"/>
      <x:c r="L13" s="94" t="str"/>
      <x:c r="M13" s="94" t="str"/>
      <x:c r="N13" s="94" t="str"/>
      <x:c r="O13" s="94" t="str"/>
      <x:c r="P13" s="94" t="str"/>
      <x:c r="Q13" s="95" t="n">
        <x:f>ROUND((COUNTIF(I13:P13,"Sí")+0.5*COUNTIF(I13:P13,"Parcial"))/8,4)</x:f>
        <x:v>0</x:v>
      </x:c>
      <x:c r="R13" s="32" t="str">
        <x:f>IF(Q13&gt;=0.85,"Alto",IF(Q13&gt;=0.70,"Medio","Crítico"))</x:f>
        <x:v>Crítico</x:v>
      </x:c>
      <x:c r="S13" s="32" t="str">
        <x:f>IF(Q13&gt;=0.85,"Aprobado",IF(Q13&gt;=0.70,"Condicionado","No aprobado"))</x:f>
        <x:v>No aprobado</x:v>
      </x:c>
      <x:c r="T13" s="32" t="str"/>
      <x:c r="U13" s="93" t="str"/>
      <x:c r="V13" s="32" t="str"/>
      <x:c r="W13" s="43" t="str"/>
    </x:row>
    <x:row r="14">
      <x:c r="A14" s="37" t="n">
        <x:v>2026</x:v>
      </x:c>
      <x:c r="B14" s="32" t="str"/>
      <x:c r="C14" s="32" t="str"/>
      <x:c r="D14" s="32" t="str"/>
      <x:c r="E14" s="32" t="str"/>
      <x:c r="F14" s="32" t="str"/>
      <x:c r="G14" s="93"/>
      <x:c r="H14" s="93"/>
      <x:c r="I14" s="94" t="str"/>
      <x:c r="J14" s="94" t="str"/>
      <x:c r="K14" s="94" t="str"/>
      <x:c r="L14" s="94" t="str"/>
      <x:c r="M14" s="94" t="str"/>
      <x:c r="N14" s="94" t="str"/>
      <x:c r="O14" s="94" t="str"/>
      <x:c r="P14" s="94" t="str"/>
      <x:c r="Q14" s="95" t="n">
        <x:f>ROUND((COUNTIF(I14:P14,"Sí")+0.5*COUNTIF(I14:P14,"Parcial"))/8,4)</x:f>
        <x:v>0</x:v>
      </x:c>
      <x:c r="R14" s="32" t="str">
        <x:f>IF(Q14&gt;=0.85,"Alto",IF(Q14&gt;=0.70,"Medio","Crítico"))</x:f>
        <x:v>Crítico</x:v>
      </x:c>
      <x:c r="S14" s="32" t="str">
        <x:f>IF(Q14&gt;=0.85,"Aprobado",IF(Q14&gt;=0.70,"Condicionado","No aprobado"))</x:f>
        <x:v>No aprobado</x:v>
      </x:c>
      <x:c r="T14" s="32" t="str"/>
      <x:c r="U14" s="93" t="str"/>
      <x:c r="V14" s="32" t="str"/>
      <x:c r="W14" s="43" t="str"/>
    </x:row>
    <x:row r="15">
      <x:c r="A15" s="37" t="n">
        <x:v>2026</x:v>
      </x:c>
      <x:c r="B15" s="32" t="str"/>
      <x:c r="C15" s="32" t="str"/>
      <x:c r="D15" s="32" t="str"/>
      <x:c r="E15" s="32" t="str"/>
      <x:c r="F15" s="32" t="str"/>
      <x:c r="G15" s="93"/>
      <x:c r="H15" s="93"/>
      <x:c r="I15" s="94" t="str"/>
      <x:c r="J15" s="94" t="str"/>
      <x:c r="K15" s="94" t="str"/>
      <x:c r="L15" s="94" t="str"/>
      <x:c r="M15" s="94" t="str"/>
      <x:c r="N15" s="94" t="str"/>
      <x:c r="O15" s="94" t="str"/>
      <x:c r="P15" s="94" t="str"/>
      <x:c r="Q15" s="95" t="n">
        <x:f>ROUND((COUNTIF(I15:P15,"Sí")+0.5*COUNTIF(I15:P15,"Parcial"))/8,4)</x:f>
        <x:v>0</x:v>
      </x:c>
      <x:c r="R15" s="32" t="str">
        <x:f>IF(Q15&gt;=0.85,"Alto",IF(Q15&gt;=0.70,"Medio","Crítico"))</x:f>
        <x:v>Crítico</x:v>
      </x:c>
      <x:c r="S15" s="32" t="str">
        <x:f>IF(Q15&gt;=0.85,"Aprobado",IF(Q15&gt;=0.70,"Condicionado","No aprobado"))</x:f>
        <x:v>No aprobado</x:v>
      </x:c>
      <x:c r="T15" s="32" t="str"/>
      <x:c r="U15" s="93" t="str"/>
      <x:c r="V15" s="32" t="str"/>
      <x:c r="W15" s="43" t="str"/>
    </x:row>
    <x:row r="16">
      <x:c r="A16" s="37" t="n">
        <x:v>2026</x:v>
      </x:c>
      <x:c r="B16" s="32" t="str"/>
      <x:c r="C16" s="32" t="str"/>
      <x:c r="D16" s="32" t="str"/>
      <x:c r="E16" s="32" t="str"/>
      <x:c r="F16" s="32" t="str"/>
      <x:c r="G16" s="93"/>
      <x:c r="H16" s="93"/>
      <x:c r="I16" s="94" t="str"/>
      <x:c r="J16" s="94" t="str"/>
      <x:c r="K16" s="94" t="str"/>
      <x:c r="L16" s="94" t="str"/>
      <x:c r="M16" s="94" t="str"/>
      <x:c r="N16" s="94" t="str"/>
      <x:c r="O16" s="94" t="str"/>
      <x:c r="P16" s="94" t="str"/>
      <x:c r="Q16" s="95" t="n">
        <x:f>ROUND((COUNTIF(I16:P16,"Sí")+0.5*COUNTIF(I16:P16,"Parcial"))/8,4)</x:f>
        <x:v>0</x:v>
      </x:c>
      <x:c r="R16" s="32" t="str">
        <x:f>IF(Q16&gt;=0.85,"Alto",IF(Q16&gt;=0.70,"Medio","Crítico"))</x:f>
        <x:v>Crítico</x:v>
      </x:c>
      <x:c r="S16" s="32" t="str">
        <x:f>IF(Q16&gt;=0.85,"Aprobado",IF(Q16&gt;=0.70,"Condicionado","No aprobado"))</x:f>
        <x:v>No aprobado</x:v>
      </x:c>
      <x:c r="T16" s="32" t="str"/>
      <x:c r="U16" s="93" t="str"/>
      <x:c r="V16" s="32" t="str"/>
      <x:c r="W16" s="43" t="str"/>
    </x:row>
    <x:row r="17">
      <x:c r="A17" s="37" t="n">
        <x:v>2026</x:v>
      </x:c>
      <x:c r="B17" s="32" t="str"/>
      <x:c r="C17" s="32" t="str"/>
      <x:c r="D17" s="32" t="str"/>
      <x:c r="E17" s="32" t="str"/>
      <x:c r="F17" s="32" t="str"/>
      <x:c r="G17" s="93"/>
      <x:c r="H17" s="93"/>
      <x:c r="I17" s="94" t="str"/>
      <x:c r="J17" s="94" t="str"/>
      <x:c r="K17" s="94" t="str"/>
      <x:c r="L17" s="94" t="str"/>
      <x:c r="M17" s="94" t="str"/>
      <x:c r="N17" s="94" t="str"/>
      <x:c r="O17" s="94" t="str"/>
      <x:c r="P17" s="94" t="str"/>
      <x:c r="Q17" s="95" t="n">
        <x:f>ROUND((COUNTIF(I17:P17,"Sí")+0.5*COUNTIF(I17:P17,"Parcial"))/8,4)</x:f>
        <x:v>0</x:v>
      </x:c>
      <x:c r="R17" s="32" t="str">
        <x:f>IF(Q17&gt;=0.85,"Alto",IF(Q17&gt;=0.70,"Medio","Crítico"))</x:f>
        <x:v>Crítico</x:v>
      </x:c>
      <x:c r="S17" s="32" t="str">
        <x:f>IF(Q17&gt;=0.85,"Aprobado",IF(Q17&gt;=0.70,"Condicionado","No aprobado"))</x:f>
        <x:v>No aprobado</x:v>
      </x:c>
      <x:c r="T17" s="32" t="str"/>
      <x:c r="U17" s="93" t="str"/>
      <x:c r="V17" s="32" t="str"/>
      <x:c r="W17" s="43" t="str"/>
    </x:row>
    <x:row r="18">
      <x:c r="A18" s="37" t="n">
        <x:v>2026</x:v>
      </x:c>
      <x:c r="B18" s="32" t="str"/>
      <x:c r="C18" s="32" t="str"/>
      <x:c r="D18" s="32" t="str"/>
      <x:c r="E18" s="32" t="str"/>
      <x:c r="F18" s="32" t="str"/>
      <x:c r="G18" s="93"/>
      <x:c r="H18" s="93"/>
      <x:c r="I18" s="94" t="str"/>
      <x:c r="J18" s="94" t="str"/>
      <x:c r="K18" s="94" t="str"/>
      <x:c r="L18" s="94" t="str"/>
      <x:c r="M18" s="94" t="str"/>
      <x:c r="N18" s="94" t="str"/>
      <x:c r="O18" s="94" t="str"/>
      <x:c r="P18" s="94" t="str"/>
      <x:c r="Q18" s="95" t="n">
        <x:f>ROUND((COUNTIF(I18:P18,"Sí")+0.5*COUNTIF(I18:P18,"Parcial"))/8,4)</x:f>
        <x:v>0</x:v>
      </x:c>
      <x:c r="R18" s="32" t="str">
        <x:f>IF(Q18&gt;=0.85,"Alto",IF(Q18&gt;=0.70,"Medio","Crítico"))</x:f>
        <x:v>Crítico</x:v>
      </x:c>
      <x:c r="S18" s="32" t="str">
        <x:f>IF(Q18&gt;=0.85,"Aprobado",IF(Q18&gt;=0.70,"Condicionado","No aprobado"))</x:f>
        <x:v>No aprobado</x:v>
      </x:c>
      <x:c r="T18" s="32" t="str"/>
      <x:c r="U18" s="93" t="str"/>
      <x:c r="V18" s="32" t="str"/>
      <x:c r="W18" s="43" t="str"/>
    </x:row>
    <x:row r="19">
      <x:c r="A19" s="37" t="n">
        <x:v>2026</x:v>
      </x:c>
      <x:c r="B19" s="32" t="str"/>
      <x:c r="C19" s="32" t="str"/>
      <x:c r="D19" s="32" t="str"/>
      <x:c r="E19" s="32" t="str"/>
      <x:c r="F19" s="32" t="str"/>
      <x:c r="G19" s="93"/>
      <x:c r="H19" s="93"/>
      <x:c r="I19" s="94" t="str"/>
      <x:c r="J19" s="94" t="str"/>
      <x:c r="K19" s="94" t="str"/>
      <x:c r="L19" s="94" t="str"/>
      <x:c r="M19" s="94" t="str"/>
      <x:c r="N19" s="94" t="str"/>
      <x:c r="O19" s="94" t="str"/>
      <x:c r="P19" s="94" t="str"/>
      <x:c r="Q19" s="95" t="n">
        <x:f>ROUND((COUNTIF(I19:P19,"Sí")+0.5*COUNTIF(I19:P19,"Parcial"))/8,4)</x:f>
        <x:v>0</x:v>
      </x:c>
      <x:c r="R19" s="32" t="str">
        <x:f>IF(Q19&gt;=0.85,"Alto",IF(Q19&gt;=0.70,"Medio","Crítico"))</x:f>
        <x:v>Crítico</x:v>
      </x:c>
      <x:c r="S19" s="32" t="str">
        <x:f>IF(Q19&gt;=0.85,"Aprobado",IF(Q19&gt;=0.70,"Condicionado","No aprobado"))</x:f>
        <x:v>No aprobado</x:v>
      </x:c>
      <x:c r="T19" s="32" t="str"/>
      <x:c r="U19" s="93" t="str"/>
      <x:c r="V19" s="32" t="str"/>
      <x:c r="W19" s="43" t="str"/>
    </x:row>
    <x:row r="20">
      <x:c r="A20" s="37" t="n">
        <x:v>2026</x:v>
      </x:c>
      <x:c r="B20" s="32" t="str"/>
      <x:c r="C20" s="32" t="str"/>
      <x:c r="D20" s="32" t="str"/>
      <x:c r="E20" s="32" t="str"/>
      <x:c r="F20" s="32" t="str"/>
      <x:c r="G20" s="93"/>
      <x:c r="H20" s="93"/>
      <x:c r="I20" s="94" t="str"/>
      <x:c r="J20" s="94" t="str"/>
      <x:c r="K20" s="94" t="str"/>
      <x:c r="L20" s="94" t="str"/>
      <x:c r="M20" s="94" t="str"/>
      <x:c r="N20" s="94" t="str"/>
      <x:c r="O20" s="94" t="str"/>
      <x:c r="P20" s="94" t="str"/>
      <x:c r="Q20" s="95" t="n">
        <x:f>ROUND((COUNTIF(I20:P20,"Sí")+0.5*COUNTIF(I20:P20,"Parcial"))/8,4)</x:f>
        <x:v>0</x:v>
      </x:c>
      <x:c r="R20" s="32" t="str">
        <x:f>IF(Q20&gt;=0.85,"Alto",IF(Q20&gt;=0.70,"Medio","Crítico"))</x:f>
        <x:v>Crítico</x:v>
      </x:c>
      <x:c r="S20" s="32" t="str">
        <x:f>IF(Q20&gt;=0.85,"Aprobado",IF(Q20&gt;=0.70,"Condicionado","No aprobado"))</x:f>
        <x:v>No aprobado</x:v>
      </x:c>
      <x:c r="T20" s="32" t="str"/>
      <x:c r="U20" s="93" t="str"/>
      <x:c r="V20" s="32" t="str"/>
      <x:c r="W20" s="43" t="str"/>
    </x:row>
    <x:row r="21">
      <x:c r="A21" s="37" t="n">
        <x:v>2026</x:v>
      </x:c>
      <x:c r="B21" s="32" t="str"/>
      <x:c r="C21" s="32" t="str"/>
      <x:c r="D21" s="32" t="str"/>
      <x:c r="E21" s="32" t="str"/>
      <x:c r="F21" s="32" t="str"/>
      <x:c r="G21" s="93"/>
      <x:c r="H21" s="93"/>
      <x:c r="I21" s="94" t="str"/>
      <x:c r="J21" s="94" t="str"/>
      <x:c r="K21" s="94" t="str"/>
      <x:c r="L21" s="94" t="str"/>
      <x:c r="M21" s="94" t="str"/>
      <x:c r="N21" s="94" t="str"/>
      <x:c r="O21" s="94" t="str"/>
      <x:c r="P21" s="94" t="str"/>
      <x:c r="Q21" s="95" t="n">
        <x:f>ROUND((COUNTIF(I21:P21,"Sí")+0.5*COUNTIF(I21:P21,"Parcial"))/8,4)</x:f>
        <x:v>0</x:v>
      </x:c>
      <x:c r="R21" s="32" t="str">
        <x:f>IF(Q21&gt;=0.85,"Alto",IF(Q21&gt;=0.70,"Medio","Crítico"))</x:f>
        <x:v>Crítico</x:v>
      </x:c>
      <x:c r="S21" s="32" t="str">
        <x:f>IF(Q21&gt;=0.85,"Aprobado",IF(Q21&gt;=0.70,"Condicionado","No aprobado"))</x:f>
        <x:v>No aprobado</x:v>
      </x:c>
      <x:c r="T21" s="32" t="str"/>
      <x:c r="U21" s="93" t="str"/>
      <x:c r="V21" s="32" t="str"/>
      <x:c r="W21" s="43" t="str"/>
    </x:row>
    <x:row r="22">
      <x:c r="A22" s="37" t="n">
        <x:v>2026</x:v>
      </x:c>
      <x:c r="B22" s="32" t="str"/>
      <x:c r="C22" s="32" t="str"/>
      <x:c r="D22" s="32" t="str"/>
      <x:c r="E22" s="32" t="str"/>
      <x:c r="F22" s="32" t="str"/>
      <x:c r="G22" s="93"/>
      <x:c r="H22" s="93"/>
      <x:c r="I22" s="94" t="str"/>
      <x:c r="J22" s="94" t="str"/>
      <x:c r="K22" s="94" t="str"/>
      <x:c r="L22" s="94" t="str"/>
      <x:c r="M22" s="94" t="str"/>
      <x:c r="N22" s="94" t="str"/>
      <x:c r="O22" s="94" t="str"/>
      <x:c r="P22" s="94" t="str"/>
      <x:c r="Q22" s="95" t="n">
        <x:f>ROUND((COUNTIF(I22:P22,"Sí")+0.5*COUNTIF(I22:P22,"Parcial"))/8,4)</x:f>
        <x:v>0</x:v>
      </x:c>
      <x:c r="R22" s="32" t="str">
        <x:f>IF(Q22&gt;=0.85,"Alto",IF(Q22&gt;=0.70,"Medio","Crítico"))</x:f>
        <x:v>Crítico</x:v>
      </x:c>
      <x:c r="S22" s="32" t="str">
        <x:f>IF(Q22&gt;=0.85,"Aprobado",IF(Q22&gt;=0.70,"Condicionado","No aprobado"))</x:f>
        <x:v>No aprobado</x:v>
      </x:c>
      <x:c r="T22" s="32" t="str"/>
      <x:c r="U22" s="93" t="str"/>
      <x:c r="V22" s="32" t="str"/>
      <x:c r="W22" s="43" t="str"/>
    </x:row>
    <x:row r="23">
      <x:c r="A23" s="37" t="n">
        <x:v>2026</x:v>
      </x:c>
      <x:c r="B23" s="32" t="str"/>
      <x:c r="C23" s="32" t="str"/>
      <x:c r="D23" s="32" t="str"/>
      <x:c r="E23" s="32" t="str"/>
      <x:c r="F23" s="32" t="str"/>
      <x:c r="G23" s="93"/>
      <x:c r="H23" s="93"/>
      <x:c r="I23" s="94" t="str"/>
      <x:c r="J23" s="94" t="str"/>
      <x:c r="K23" s="94" t="str"/>
      <x:c r="L23" s="94" t="str"/>
      <x:c r="M23" s="94" t="str"/>
      <x:c r="N23" s="94" t="str"/>
      <x:c r="O23" s="94" t="str"/>
      <x:c r="P23" s="94" t="str"/>
      <x:c r="Q23" s="95" t="n">
        <x:f>ROUND((COUNTIF(I23:P23,"Sí")+0.5*COUNTIF(I23:P23,"Parcial"))/8,4)</x:f>
        <x:v>0</x:v>
      </x:c>
      <x:c r="R23" s="32" t="str">
        <x:f>IF(Q23&gt;=0.85,"Alto",IF(Q23&gt;=0.70,"Medio","Crítico"))</x:f>
        <x:v>Crítico</x:v>
      </x:c>
      <x:c r="S23" s="32" t="str">
        <x:f>IF(Q23&gt;=0.85,"Aprobado",IF(Q23&gt;=0.70,"Condicionado","No aprobado"))</x:f>
        <x:v>No aprobado</x:v>
      </x:c>
      <x:c r="T23" s="32" t="str"/>
      <x:c r="U23" s="93" t="str"/>
      <x:c r="V23" s="32" t="str"/>
      <x:c r="W23" s="43" t="str"/>
    </x:row>
    <x:row r="24">
      <x:c r="A24" s="37" t="n">
        <x:v>2026</x:v>
      </x:c>
      <x:c r="B24" s="32" t="str"/>
      <x:c r="C24" s="32" t="str"/>
      <x:c r="D24" s="32" t="str"/>
      <x:c r="E24" s="32" t="str"/>
      <x:c r="F24" s="32" t="str"/>
      <x:c r="G24" s="93"/>
      <x:c r="H24" s="93"/>
      <x:c r="I24" s="94" t="str"/>
      <x:c r="J24" s="94" t="str"/>
      <x:c r="K24" s="94" t="str"/>
      <x:c r="L24" s="94" t="str"/>
      <x:c r="M24" s="94" t="str"/>
      <x:c r="N24" s="94" t="str"/>
      <x:c r="O24" s="94" t="str"/>
      <x:c r="P24" s="94" t="str"/>
      <x:c r="Q24" s="95" t="n">
        <x:f>ROUND((COUNTIF(I24:P24,"Sí")+0.5*COUNTIF(I24:P24,"Parcial"))/8,4)</x:f>
        <x:v>0</x:v>
      </x:c>
      <x:c r="R24" s="32" t="str">
        <x:f>IF(Q24&gt;=0.85,"Alto",IF(Q24&gt;=0.70,"Medio","Crítico"))</x:f>
        <x:v>Crítico</x:v>
      </x:c>
      <x:c r="S24" s="32" t="str">
        <x:f>IF(Q24&gt;=0.85,"Aprobado",IF(Q24&gt;=0.70,"Condicionado","No aprobado"))</x:f>
        <x:v>No aprobado</x:v>
      </x:c>
      <x:c r="T24" s="32" t="str"/>
      <x:c r="U24" s="93" t="str"/>
      <x:c r="V24" s="32" t="str"/>
      <x:c r="W24" s="43" t="str"/>
    </x:row>
    <x:row r="25">
      <x:c r="A25" s="37" t="n">
        <x:v>2026</x:v>
      </x:c>
      <x:c r="B25" s="32" t="str"/>
      <x:c r="C25" s="32" t="str"/>
      <x:c r="D25" s="32" t="str"/>
      <x:c r="E25" s="32" t="str"/>
      <x:c r="F25" s="32" t="str"/>
      <x:c r="G25" s="93"/>
      <x:c r="H25" s="93"/>
      <x:c r="I25" s="94" t="str"/>
      <x:c r="J25" s="94" t="str"/>
      <x:c r="K25" s="94" t="str"/>
      <x:c r="L25" s="94" t="str"/>
      <x:c r="M25" s="94" t="str"/>
      <x:c r="N25" s="94" t="str"/>
      <x:c r="O25" s="94" t="str"/>
      <x:c r="P25" s="94" t="str"/>
      <x:c r="Q25" s="95" t="n">
        <x:f>ROUND((COUNTIF(I25:P25,"Sí")+0.5*COUNTIF(I25:P25,"Parcial"))/8,4)</x:f>
        <x:v>0</x:v>
      </x:c>
      <x:c r="R25" s="32" t="str">
        <x:f>IF(Q25&gt;=0.85,"Alto",IF(Q25&gt;=0.70,"Medio","Crítico"))</x:f>
        <x:v>Crítico</x:v>
      </x:c>
      <x:c r="S25" s="32" t="str">
        <x:f>IF(Q25&gt;=0.85,"Aprobado",IF(Q25&gt;=0.70,"Condicionado","No aprobado"))</x:f>
        <x:v>No aprobado</x:v>
      </x:c>
      <x:c r="T25" s="32" t="str"/>
      <x:c r="U25" s="93" t="str"/>
      <x:c r="V25" s="32" t="str"/>
      <x:c r="W25" s="43" t="str"/>
    </x:row>
    <x:row r="26">
      <x:c r="A26" s="37" t="n">
        <x:v>2026</x:v>
      </x:c>
      <x:c r="B26" s="32" t="str"/>
      <x:c r="C26" s="32" t="str"/>
      <x:c r="D26" s="32" t="str"/>
      <x:c r="E26" s="32" t="str"/>
      <x:c r="F26" s="32" t="str"/>
      <x:c r="G26" s="93"/>
      <x:c r="H26" s="93"/>
      <x:c r="I26" s="94" t="str"/>
      <x:c r="J26" s="94" t="str"/>
      <x:c r="K26" s="94" t="str"/>
      <x:c r="L26" s="94" t="str"/>
      <x:c r="M26" s="94" t="str"/>
      <x:c r="N26" s="94" t="str"/>
      <x:c r="O26" s="94" t="str"/>
      <x:c r="P26" s="94" t="str"/>
      <x:c r="Q26" s="95" t="n">
        <x:f>ROUND((COUNTIF(I26:P26,"Sí")+0.5*COUNTIF(I26:P26,"Parcial"))/8,4)</x:f>
        <x:v>0</x:v>
      </x:c>
      <x:c r="R26" s="32" t="str">
        <x:f>IF(Q26&gt;=0.85,"Alto",IF(Q26&gt;=0.70,"Medio","Crítico"))</x:f>
        <x:v>Crítico</x:v>
      </x:c>
      <x:c r="S26" s="32" t="str">
        <x:f>IF(Q26&gt;=0.85,"Aprobado",IF(Q26&gt;=0.70,"Condicionado","No aprobado"))</x:f>
        <x:v>No aprobado</x:v>
      </x:c>
      <x:c r="T26" s="32" t="str"/>
      <x:c r="U26" s="93" t="str"/>
      <x:c r="V26" s="32" t="str"/>
      <x:c r="W26" s="43" t="str"/>
    </x:row>
    <x:row r="27">
      <x:c r="A27" s="37" t="n">
        <x:v>2026</x:v>
      </x:c>
      <x:c r="B27" s="32" t="str"/>
      <x:c r="C27" s="32" t="str"/>
      <x:c r="D27" s="32" t="str"/>
      <x:c r="E27" s="32" t="str"/>
      <x:c r="F27" s="32" t="str"/>
      <x:c r="G27" s="93"/>
      <x:c r="H27" s="93"/>
      <x:c r="I27" s="94" t="str"/>
      <x:c r="J27" s="94" t="str"/>
      <x:c r="K27" s="94" t="str"/>
      <x:c r="L27" s="94" t="str"/>
      <x:c r="M27" s="94" t="str"/>
      <x:c r="N27" s="94" t="str"/>
      <x:c r="O27" s="94" t="str"/>
      <x:c r="P27" s="94" t="str"/>
      <x:c r="Q27" s="95" t="n">
        <x:f>ROUND((COUNTIF(I27:P27,"Sí")+0.5*COUNTIF(I27:P27,"Parcial"))/8,4)</x:f>
        <x:v>0</x:v>
      </x:c>
      <x:c r="R27" s="32" t="str">
        <x:f>IF(Q27&gt;=0.85,"Alto",IF(Q27&gt;=0.70,"Medio","Crítico"))</x:f>
        <x:v>Crítico</x:v>
      </x:c>
      <x:c r="S27" s="32" t="str">
        <x:f>IF(Q27&gt;=0.85,"Aprobado",IF(Q27&gt;=0.70,"Condicionado","No aprobado"))</x:f>
        <x:v>No aprobado</x:v>
      </x:c>
      <x:c r="T27" s="32" t="str"/>
      <x:c r="U27" s="93" t="str"/>
      <x:c r="V27" s="32" t="str"/>
      <x:c r="W27" s="43" t="str"/>
    </x:row>
    <x:row r="28">
      <x:c r="A28" s="37" t="n">
        <x:v>2026</x:v>
      </x:c>
      <x:c r="B28" s="32" t="str"/>
      <x:c r="C28" s="32" t="str"/>
      <x:c r="D28" s="32" t="str"/>
      <x:c r="E28" s="32" t="str"/>
      <x:c r="F28" s="32" t="str"/>
      <x:c r="G28" s="93"/>
      <x:c r="H28" s="93"/>
      <x:c r="I28" s="94" t="str"/>
      <x:c r="J28" s="94" t="str"/>
      <x:c r="K28" s="94" t="str"/>
      <x:c r="L28" s="94" t="str"/>
      <x:c r="M28" s="94" t="str"/>
      <x:c r="N28" s="94" t="str"/>
      <x:c r="O28" s="94" t="str"/>
      <x:c r="P28" s="94" t="str"/>
      <x:c r="Q28" s="95" t="n">
        <x:f>ROUND((COUNTIF(I28:P28,"Sí")+0.5*COUNTIF(I28:P28,"Parcial"))/8,4)</x:f>
        <x:v>0</x:v>
      </x:c>
      <x:c r="R28" s="32" t="str">
        <x:f>IF(Q28&gt;=0.85,"Alto",IF(Q28&gt;=0.70,"Medio","Crítico"))</x:f>
        <x:v>Crítico</x:v>
      </x:c>
      <x:c r="S28" s="32" t="str">
        <x:f>IF(Q28&gt;=0.85,"Aprobado",IF(Q28&gt;=0.70,"Condicionado","No aprobado"))</x:f>
        <x:v>No aprobado</x:v>
      </x:c>
      <x:c r="T28" s="32" t="str"/>
      <x:c r="U28" s="93" t="str"/>
      <x:c r="V28" s="32" t="str"/>
      <x:c r="W28" s="43" t="str"/>
    </x:row>
    <x:row r="29">
      <x:c r="A29" s="37" t="n">
        <x:v>2026</x:v>
      </x:c>
      <x:c r="B29" s="32" t="str"/>
      <x:c r="C29" s="32" t="str"/>
      <x:c r="D29" s="32" t="str"/>
      <x:c r="E29" s="32" t="str"/>
      <x:c r="F29" s="32" t="str"/>
      <x:c r="G29" s="93"/>
      <x:c r="H29" s="93"/>
      <x:c r="I29" s="94" t="str"/>
      <x:c r="J29" s="94" t="str"/>
      <x:c r="K29" s="94" t="str"/>
      <x:c r="L29" s="94" t="str"/>
      <x:c r="M29" s="94" t="str"/>
      <x:c r="N29" s="94" t="str"/>
      <x:c r="O29" s="94" t="str"/>
      <x:c r="P29" s="94" t="str"/>
      <x:c r="Q29" s="95" t="n">
        <x:f>ROUND((COUNTIF(I29:P29,"Sí")+0.5*COUNTIF(I29:P29,"Parcial"))/8,4)</x:f>
        <x:v>0</x:v>
      </x:c>
      <x:c r="R29" s="32" t="str">
        <x:f>IF(Q29&gt;=0.85,"Alto",IF(Q29&gt;=0.70,"Medio","Crítico"))</x:f>
        <x:v>Crítico</x:v>
      </x:c>
      <x:c r="S29" s="32" t="str">
        <x:f>IF(Q29&gt;=0.85,"Aprobado",IF(Q29&gt;=0.70,"Condicionado","No aprobado"))</x:f>
        <x:v>No aprobado</x:v>
      </x:c>
      <x:c r="T29" s="32" t="str"/>
      <x:c r="U29" s="93" t="str"/>
      <x:c r="V29" s="32" t="str"/>
      <x:c r="W29" s="43" t="str"/>
    </x:row>
    <x:row r="30">
      <x:c r="A30" s="37" t="n">
        <x:v>2026</x:v>
      </x:c>
      <x:c r="B30" s="32" t="str"/>
      <x:c r="C30" s="32" t="str"/>
      <x:c r="D30" s="32" t="str"/>
      <x:c r="E30" s="32" t="str"/>
      <x:c r="F30" s="32" t="str"/>
      <x:c r="G30" s="93"/>
      <x:c r="H30" s="93"/>
      <x:c r="I30" s="94" t="str"/>
      <x:c r="J30" s="94" t="str"/>
      <x:c r="K30" s="94" t="str"/>
      <x:c r="L30" s="94" t="str"/>
      <x:c r="M30" s="94" t="str"/>
      <x:c r="N30" s="94" t="str"/>
      <x:c r="O30" s="94" t="str"/>
      <x:c r="P30" s="94" t="str"/>
      <x:c r="Q30" s="95" t="n">
        <x:f>ROUND((COUNTIF(I30:P30,"Sí")+0.5*COUNTIF(I30:P30,"Parcial"))/8,4)</x:f>
        <x:v>0</x:v>
      </x:c>
      <x:c r="R30" s="32" t="str">
        <x:f>IF(Q30&gt;=0.85,"Alto",IF(Q30&gt;=0.70,"Medio","Crítico"))</x:f>
        <x:v>Crítico</x:v>
      </x:c>
      <x:c r="S30" s="32" t="str">
        <x:f>IF(Q30&gt;=0.85,"Aprobado",IF(Q30&gt;=0.70,"Condicionado","No aprobado"))</x:f>
        <x:v>No aprobado</x:v>
      </x:c>
      <x:c r="T30" s="32" t="str"/>
      <x:c r="U30" s="93" t="str"/>
      <x:c r="V30" s="32" t="str"/>
      <x:c r="W30" s="43" t="str"/>
    </x:row>
    <x:row r="31">
      <x:c r="A31" s="37" t="n">
        <x:v>2026</x:v>
      </x:c>
      <x:c r="B31" s="32" t="str"/>
      <x:c r="C31" s="32" t="str"/>
      <x:c r="D31" s="32" t="str"/>
      <x:c r="E31" s="32" t="str"/>
      <x:c r="F31" s="32" t="str"/>
      <x:c r="G31" s="93"/>
      <x:c r="H31" s="93"/>
      <x:c r="I31" s="94" t="str"/>
      <x:c r="J31" s="94" t="str"/>
      <x:c r="K31" s="94" t="str"/>
      <x:c r="L31" s="94" t="str"/>
      <x:c r="M31" s="94" t="str"/>
      <x:c r="N31" s="94" t="str"/>
      <x:c r="O31" s="94" t="str"/>
      <x:c r="P31" s="94" t="str"/>
      <x:c r="Q31" s="95" t="n">
        <x:f>ROUND((COUNTIF(I31:P31,"Sí")+0.5*COUNTIF(I31:P31,"Parcial"))/8,4)</x:f>
        <x:v>0</x:v>
      </x:c>
      <x:c r="R31" s="32" t="str">
        <x:f>IF(Q31&gt;=0.85,"Alto",IF(Q31&gt;=0.70,"Medio","Crítico"))</x:f>
        <x:v>Crítico</x:v>
      </x:c>
      <x:c r="S31" s="32" t="str">
        <x:f>IF(Q31&gt;=0.85,"Aprobado",IF(Q31&gt;=0.70,"Condicionado","No aprobado"))</x:f>
        <x:v>No aprobado</x:v>
      </x:c>
      <x:c r="T31" s="32" t="str"/>
      <x:c r="U31" s="93" t="str"/>
      <x:c r="V31" s="32" t="str"/>
      <x:c r="W31" s="43" t="str"/>
    </x:row>
    <x:row r="32">
      <x:c r="A32" s="76" t="n">
        <x:v>2026</x:v>
      </x:c>
      <x:c r="B32" s="45" t="str"/>
      <x:c r="C32" s="45" t="str"/>
      <x:c r="D32" s="45" t="str"/>
      <x:c r="E32" s="45" t="str"/>
      <x:c r="F32" s="45" t="str"/>
      <x:c r="G32" s="96"/>
      <x:c r="H32" s="96"/>
      <x:c r="I32" s="97" t="str"/>
      <x:c r="J32" s="97" t="str"/>
      <x:c r="K32" s="97" t="str"/>
      <x:c r="L32" s="97" t="str"/>
      <x:c r="M32" s="97" t="str"/>
      <x:c r="N32" s="97" t="str"/>
      <x:c r="O32" s="97" t="str"/>
      <x:c r="P32" s="97" t="str"/>
      <x:c r="Q32" s="98" t="n">
        <x:f>ROUND((COUNTIF(I32:P32,"Sí")+0.5*COUNTIF(I32:P32,"Parcial"))/8,4)</x:f>
        <x:v>0</x:v>
      </x:c>
      <x:c r="R32" s="45" t="str">
        <x:f>IF(Q32&gt;=0.85,"Alto",IF(Q32&gt;=0.70,"Medio","Crítico"))</x:f>
        <x:v>Crítico</x:v>
      </x:c>
      <x:c r="S32" s="45" t="str">
        <x:f>IF(Q32&gt;=0.85,"Aprobado",IF(Q32&gt;=0.70,"Condicionado","No aprobado"))</x:f>
        <x:v>No aprobado</x:v>
      </x:c>
      <x:c r="T32" s="45" t="str"/>
      <x:c r="U32" s="96" t="str"/>
      <x:c r="V32" s="45" t="str"/>
      <x:c r="W32" s="46" t="str"/>
    </x:row>
  </x:sheetData>
  <x:mergeCells>
    <x:mergeCell ref="A1:W1"/>
  </x:mergeCells>
  <x:conditionalFormatting sqref="Q3:Q32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conditionalFormatting sqref="S3:S32">
    <x:cfRule type="expression" dxfId="12" priority="2">
      <x:formula>S3="No aprobado"</x:formula>
    </x:cfRule>
    <x:cfRule type="expression" dxfId="13" priority="3">
      <x:formula>S3="Condicionado"</x:formula>
    </x:cfRule>
    <x:cfRule type="expression" dxfId="14" priority="4">
      <x:formula>S3="Aprobado"</x:formula>
    </x:cfRule>
  </x:conditionalFormatting>
  <x:dataValidations count="11">
    <x:dataValidation type="list" sqref="I3:I32">
      <x:formula1>Catálogos!$G$4:$G$6</x:formula1>
    </x:dataValidation>
    <x:dataValidation type="list" sqref="J3:J32">
      <x:formula1>Catálogos!$G$4:$G$6</x:formula1>
    </x:dataValidation>
    <x:dataValidation type="list" sqref="K3:K32">
      <x:formula1>Catálogos!$G$4:$G$6</x:formula1>
    </x:dataValidation>
    <x:dataValidation type="list" sqref="L3:L32">
      <x:formula1>Catálogos!$G$4:$G$6</x:formula1>
    </x:dataValidation>
    <x:dataValidation type="list" sqref="M3:M32">
      <x:formula1>Catálogos!$G$4:$G$6</x:formula1>
    </x:dataValidation>
    <x:dataValidation type="list" sqref="N3:N32">
      <x:formula1>Catálogos!$G$4:$G$6</x:formula1>
    </x:dataValidation>
    <x:dataValidation type="list" sqref="O3:O32">
      <x:formula1>Catálogos!$G$4:$G$6</x:formula1>
    </x:dataValidation>
    <x:dataValidation type="list" sqref="P3:P32">
      <x:formula1>Catálogos!$G$4:$G$6</x:formula1>
    </x:dataValidation>
    <x:dataValidation type="list" sqref="D3:D32">
      <x:formula1>Catálogos!$C$4:$C$14</x:formula1>
    </x:dataValidation>
    <x:dataValidation type="list" sqref="F3:F32">
      <x:formula1>Catálogos!$E$4:$E$6</x:formula1>
    </x:dataValidation>
    <x:dataValidation type="list" sqref="T3:T32">
      <x:formula1>Catálogos!$I$4:$I$8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74c6270fd64f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30" hidden="0" customWidth="1"/>
    <x:col min="23" max="23" width="28" hidden="0" customWidth="1"/>
  </x:cols>
  <x:sheetData>
    <x:row r="1">
      <x:c r="A1" s="5" t="str">
        <x:v>Gestión de Proveedores y Contratistas - 2023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73" t="str">
        <x:v>Año</x:v>
      </x:c>
      <x:c r="B2" s="74" t="str">
        <x:v>Razón Social</x:v>
      </x:c>
      <x:c r="C2" s="74" t="str">
        <x:v>NIT</x:v>
      </x:c>
      <x:c r="D2" s="74" t="str">
        <x:v>Sede</x:v>
      </x:c>
      <x:c r="E2" s="74" t="str">
        <x:v>Servicio contratado</x:v>
      </x:c>
      <x:c r="F2" s="74" t="str">
        <x:v>Nivel de riesgo</x:v>
      </x:c>
      <x:c r="G2" s="74" t="str">
        <x:v>Fecha inicio contrato</x:v>
      </x:c>
      <x:c r="H2" s="74" t="str">
        <x:v>Fecha fin contrato</x:v>
      </x:c>
      <x:c r="I2" s="74" t="str">
        <x:v>Afiliación SGRL</x:v>
      </x:c>
      <x:c r="J2" s="74" t="str">
        <x:v>Inducción SST</x:v>
      </x:c>
      <x:c r="K2" s="74" t="str">
        <x:v>EPP entregados</x:v>
      </x:c>
      <x:c r="L2" s="74" t="str">
        <x:v>EMO vigentes</x:v>
      </x:c>
      <x:c r="M2" s="74" t="str">
        <x:v>Reglamento HSE firmado</x:v>
      </x:c>
      <x:c r="N2" s="74" t="str">
        <x:v>Capacitación riesgos específicos</x:v>
      </x:c>
      <x:c r="O2" s="74" t="str">
        <x:v>Certificación de competencias</x:v>
      </x:c>
      <x:c r="P2" s="74" t="str">
        <x:v>Documento sectorial / licencia</x:v>
      </x:c>
      <x:c r="Q2" s="74" t="str">
        <x:v>% Cumplimiento</x:v>
      </x:c>
      <x:c r="R2" s="74" t="str">
        <x:v>Nivel de cumplimiento</x:v>
      </x:c>
      <x:c r="S2" s="74" t="str">
        <x:v>Estado general</x:v>
      </x:c>
      <x:c r="T2" s="74" t="str">
        <x:v>Responsable seguimiento</x:v>
      </x:c>
      <x:c r="U2" s="74" t="str">
        <x:v>Fecha última verificación</x:v>
      </x:c>
      <x:c r="V2" s="74" t="str">
        <x:v>Observaciones</x:v>
      </x:c>
      <x:c r="W2" s="75" t="str">
        <x:v>Fuente / Soporte</x:v>
      </x:c>
    </x:row>
    <x:row r="3">
      <x:c r="A3" s="37" t="n">
        <x:v>2023</x:v>
      </x:c>
      <x:c r="B3" s="32" t="str">
        <x:v>Segurcol Ltda.</x:v>
      </x:c>
      <x:c r="C3" s="32" t="str">
        <x:v>9002300000</x:v>
      </x:c>
      <x:c r="D3" s="32" t="str">
        <x:v>Pamplona</x:v>
      </x:c>
      <x:c r="E3" s="32" t="str">
        <x:v>Seguridad física fija</x:v>
      </x:c>
      <x:c r="F3" s="32" t="str">
        <x:v>Alto</x:v>
      </x:c>
      <x:c r="G3" s="93" t="n">
        <x:v>44927</x:v>
      </x:c>
      <x:c r="H3" s="93" t="n">
        <x:v>45101</x:v>
      </x:c>
      <x:c r="I3" s="94" t="str">
        <x:v>Parcial</x:v>
      </x:c>
      <x:c r="J3" s="94" t="str">
        <x:v>Sí</x:v>
      </x:c>
      <x:c r="K3" s="94" t="str">
        <x:v>Sí</x:v>
      </x:c>
      <x:c r="L3" s="94" t="str">
        <x:v>Sí</x:v>
      </x:c>
      <x:c r="M3" s="94" t="str">
        <x:v>Sí</x:v>
      </x:c>
      <x:c r="N3" s="94" t="str">
        <x:v>Sí</x:v>
      </x:c>
      <x:c r="O3" s="94" t="str">
        <x:v>Sí</x:v>
      </x:c>
      <x:c r="P3" s="94" t="str">
        <x:v>Sí</x:v>
      </x:c>
      <x:c r="Q3" s="95" t="n">
        <x:f>ROUND((COUNTIF(I3:P3,"Sí")+0.5*COUNTIF(I3:P3,"Parcial"))/8,4)</x:f>
        <x:v>0.9375</x:v>
      </x:c>
      <x:c r="R3" s="32" t="str">
        <x:f>IF(Q3&gt;=0.85,"Alto",IF(Q3&gt;=0.70,"Medio","Crítico"))</x:f>
        <x:v>Alto</x:v>
      </x:c>
      <x:c r="S3" s="32" t="str">
        <x:f>IF(Q3&gt;=0.85,"Aprobado",IF(Q3&gt;=0.70,"Condicionado","No aprobado"))</x:f>
        <x:v>Aprobado</x:v>
      </x:c>
      <x:c r="T3" s="32" t="str">
        <x:v>Jefe Administrativo</x:v>
      </x:c>
      <x:c r="U3" s="93" t="n">
        <x:v>45101</x:v>
      </x:c>
      <x:c r="V3" s="32" t="str">
        <x:v>Proveedor crítico para la operación; seguimiento mensual.</x:v>
      </x:c>
      <x:c r="W3" s="43" t="str">
        <x:v>https://empresa-ejemplo.co/2023/proveedor/1</x:v>
      </x:c>
    </x:row>
    <x:row r="4">
      <x:c r="A4" s="37" t="n">
        <x:v>2023</x:v>
      </x:c>
      <x:c r="B4" s="32" t="str">
        <x:v>Protección Integral SAS</x:v>
      </x:c>
      <x:c r="C4" s="32" t="str">
        <x:v>9002300001</x:v>
      </x:c>
      <x:c r="D4" s="32" t="str">
        <x:v>Cúcuta</x:v>
      </x:c>
      <x:c r="E4" s="32" t="str">
        <x:v>Escolta y protección</x:v>
      </x:c>
      <x:c r="F4" s="32" t="str">
        <x:v>Alto</x:v>
      </x:c>
      <x:c r="G4" s="93" t="n">
        <x:v>44965</x:v>
      </x:c>
      <x:c r="H4" s="93" t="n">
        <x:v>45287</x:v>
      </x:c>
      <x:c r="I4" s="94" t="str">
        <x:v>Sí</x:v>
      </x:c>
      <x:c r="J4" s="94" t="str">
        <x:v>Parcial</x:v>
      </x:c>
      <x:c r="K4" s="94" t="str">
        <x:v>Sí</x:v>
      </x:c>
      <x:c r="L4" s="94" t="str">
        <x:v>Sí</x:v>
      </x:c>
      <x:c r="M4" s="94" t="str">
        <x:v>Sí</x:v>
      </x:c>
      <x:c r="N4" s="94" t="str">
        <x:v>Sí</x:v>
      </x:c>
      <x:c r="O4" s="94" t="str">
        <x:v>Sí</x:v>
      </x:c>
      <x:c r="P4" s="94" t="str">
        <x:v>No</x:v>
      </x:c>
      <x:c r="Q4" s="95" t="n">
        <x:f>ROUND((COUNTIF(I4:P4,"Sí")+0.5*COUNTIF(I4:P4,"Parcial"))/8,4)</x:f>
        <x:v>0.8125</x:v>
      </x:c>
      <x:c r="R4" s="32" t="str">
        <x:f>IF(Q4&gt;=0.85,"Alto",IF(Q4&gt;=0.70,"Medio","Crítico"))</x:f>
        <x:v>Medio</x:v>
      </x:c>
      <x:c r="S4" s="32" t="str">
        <x:f>IF(Q4&gt;=0.85,"Aprobado",IF(Q4&gt;=0.70,"Condicionado","No aprobado"))</x:f>
        <x:v>Condicionado</x:v>
      </x:c>
      <x:c r="T4" s="32" t="str">
        <x:v>Analista SST</x:v>
      </x:c>
      <x:c r="U4" s="93" t="n">
        <x:v>45260</x:v>
      </x:c>
      <x:c r="V4" s="32" t="str">
        <x:v>Pendiente actualización de un soporte menor.</x:v>
      </x:c>
      <x:c r="W4" s="43" t="str">
        <x:v>https://empresa-ejemplo.co/2023/proveedor/2</x:v>
      </x:c>
    </x:row>
    <x:row r="5">
      <x:c r="A5" s="37" t="n">
        <x:v>2023</x:v>
      </x:c>
      <x:c r="B5" s="32" t="str">
        <x:v>Monitoreo Nacional SAS</x:v>
      </x:c>
      <x:c r="C5" s="32" t="str">
        <x:v>9002300002</x:v>
      </x:c>
      <x:c r="D5" s="32" t="str">
        <x:v>Barrancabermeja</x:v>
      </x:c>
      <x:c r="E5" s="32" t="str">
        <x:v>Monitoreo de alarmas</x:v>
      </x:c>
      <x:c r="F5" s="32" t="str">
        <x:v>Medio</x:v>
      </x:c>
      <x:c r="G5" s="93" t="n">
        <x:v>44997</x:v>
      </x:c>
      <x:c r="H5" s="93" t="n">
        <x:v>45284</x:v>
      </x:c>
      <x:c r="I5" s="94" t="str">
        <x:v>Sí</x:v>
      </x:c>
      <x:c r="J5" s="94" t="str">
        <x:v>Sí</x:v>
      </x:c>
      <x:c r="K5" s="94" t="str">
        <x:v>Sí</x:v>
      </x:c>
      <x:c r="L5" s="94" t="str">
        <x:v>No</x:v>
      </x:c>
      <x:c r="M5" s="94" t="str">
        <x:v>Sí</x:v>
      </x:c>
      <x:c r="N5" s="94" t="str">
        <x:v>Sí</x:v>
      </x:c>
      <x:c r="O5" s="94" t="str">
        <x:v>Parcial</x:v>
      </x:c>
      <x:c r="P5" s="94" t="str">
        <x:v>Sí</x:v>
      </x:c>
      <x:c r="Q5" s="95" t="n">
        <x:f>ROUND((COUNTIF(I5:P5,"Sí")+0.5*COUNTIF(I5:P5,"Parcial"))/8,4)</x:f>
        <x:v>0.8125</x:v>
      </x:c>
      <x:c r="R5" s="32" t="str">
        <x:f>IF(Q5&gt;=0.85,"Alto",IF(Q5&gt;=0.70,"Medio","Crítico"))</x:f>
        <x:v>Medio</x:v>
      </x:c>
      <x:c r="S5" s="32" t="str">
        <x:f>IF(Q5&gt;=0.85,"Aprobado",IF(Q5&gt;=0.70,"Condicionado","No aprobado"))</x:f>
        <x:v>Condicionado</x:v>
      </x:c>
      <x:c r="T5" s="32" t="str">
        <x:v>Coordinador de Contratistas</x:v>
      </x:c>
      <x:c r="U5" s="93" t="n">
        <x:v>45260</x:v>
      </x:c>
      <x:c r="V5" s="32" t="str">
        <x:v>Proveedor crítico para la operación; seguimiento mensual.</x:v>
      </x:c>
      <x:c r="W5" s="43" t="str">
        <x:v>https://empresa-ejemplo.co/2023/proveedor/3</x:v>
      </x:c>
    </x:row>
    <x:row r="6">
      <x:c r="A6" s="37" t="n">
        <x:v>2023</x:v>
      </x:c>
      <x:c r="B6" s="32" t="str">
        <x:v>CCTV Andino SAS</x:v>
      </x:c>
      <x:c r="C6" s="32" t="str">
        <x:v>9002300003</x:v>
      </x:c>
      <x:c r="D6" s="32" t="str">
        <x:v>Ocaña</x:v>
      </x:c>
      <x:c r="E6" s="32" t="str">
        <x:v>Mantenimiento CCTV</x:v>
      </x:c>
      <x:c r="F6" s="32" t="str">
        <x:v>Medio</x:v>
      </x:c>
      <x:c r="G6" s="93" t="n">
        <x:v>45018</x:v>
      </x:c>
      <x:c r="H6" s="93" t="n">
        <x:v>45192</x:v>
      </x:c>
      <x:c r="I6" s="94" t="str">
        <x:v>Sí</x:v>
      </x:c>
      <x:c r="J6" s="94" t="str">
        <x:v>No</x:v>
      </x:c>
      <x:c r="K6" s="94" t="str">
        <x:v>Parcial</x:v>
      </x:c>
      <x:c r="L6" s="94" t="str">
        <x:v>Parcial</x:v>
      </x:c>
      <x:c r="M6" s="94" t="str">
        <x:v>Sí</x:v>
      </x:c>
      <x:c r="N6" s="94" t="str">
        <x:v>Sí</x:v>
      </x:c>
      <x:c r="O6" s="94" t="str">
        <x:v>Parcial</x:v>
      </x:c>
      <x:c r="P6" s="94" t="str">
        <x:v>Sí</x:v>
      </x:c>
      <x:c r="Q6" s="95" t="n">
        <x:f>ROUND((COUNTIF(I6:P6,"Sí")+0.5*COUNTIF(I6:P6,"Parcial"))/8,4)</x:f>
        <x:v>0.6875</x:v>
      </x:c>
      <x:c r="R6" s="32" t="str">
        <x:f>IF(Q6&gt;=0.85,"Alto",IF(Q6&gt;=0.70,"Medio","Crítico"))</x:f>
        <x:v>Crítico</x:v>
      </x:c>
      <x:c r="S6" s="32" t="str">
        <x:f>IF(Q6&gt;=0.85,"Aprobado",IF(Q6&gt;=0.70,"Condicionado","No aprobado"))</x:f>
        <x:v>No aprobado</x:v>
      </x:c>
      <x:c r="T6" s="32" t="str">
        <x:v>Coordinador de Contratistas</x:v>
      </x:c>
      <x:c r="U6" s="93" t="n">
        <x:v>45192</x:v>
      </x:c>
      <x:c r="V6" s="32" t="str">
        <x:v>Proveedor crítico para la operación; seguimiento mensual.</x:v>
      </x:c>
      <x:c r="W6" s="43" t="str">
        <x:v>https://empresa-ejemplo.co/2023/proveedor/4</x:v>
      </x:c>
    </x:row>
    <x:row r="7">
      <x:c r="A7" s="37" t="n">
        <x:v>2023</x:v>
      </x:c>
      <x:c r="B7" s="32" t="str">
        <x:v>Comunicaciones Norte Ltda.</x:v>
      </x:c>
      <x:c r="C7" s="32" t="str">
        <x:v>9002300004</x:v>
      </x:c>
      <x:c r="D7" s="32" t="str">
        <x:v>Girón</x:v>
      </x:c>
      <x:c r="E7" s="32" t="str">
        <x:v>Mantenimiento de radios y comunicaciones</x:v>
      </x:c>
      <x:c r="F7" s="32" t="str">
        <x:v>Medio</x:v>
      </x:c>
      <x:c r="G7" s="93" t="n">
        <x:v>45049</x:v>
      </x:c>
      <x:c r="H7" s="93" t="n">
        <x:v>45282</x:v>
      </x:c>
      <x:c r="I7" s="94" t="str">
        <x:v>Sí</x:v>
      </x:c>
      <x:c r="J7" s="94" t="str">
        <x:v>Sí</x:v>
      </x:c>
      <x:c r="K7" s="94" t="str">
        <x:v>Sí</x:v>
      </x:c>
      <x:c r="L7" s="94" t="str">
        <x:v>Sí</x:v>
      </x:c>
      <x:c r="M7" s="94" t="str">
        <x:v>Parcial</x:v>
      </x:c>
      <x:c r="N7" s="94" t="str">
        <x:v>Sí</x:v>
      </x:c>
      <x:c r="O7" s="94" t="str">
        <x:v>Sí</x:v>
      </x:c>
      <x:c r="P7" s="94" t="str">
        <x:v>Sí</x:v>
      </x:c>
      <x:c r="Q7" s="95" t="n">
        <x:f>ROUND((COUNTIF(I7:P7,"Sí")+0.5*COUNTIF(I7:P7,"Parcial"))/8,4)</x:f>
        <x:v>0.9375</x:v>
      </x:c>
      <x:c r="R7" s="32" t="str">
        <x:f>IF(Q7&gt;=0.85,"Alto",IF(Q7&gt;=0.70,"Medio","Crítico"))</x:f>
        <x:v>Alto</x:v>
      </x:c>
      <x:c r="S7" s="32" t="str">
        <x:f>IF(Q7&gt;=0.85,"Aprobado",IF(Q7&gt;=0.70,"Condicionado","No aprobado"))</x:f>
        <x:v>Aprobado</x:v>
      </x:c>
      <x:c r="T7" s="32" t="str">
        <x:v>Director de Operaciones</x:v>
      </x:c>
      <x:c r="U7" s="93" t="n">
        <x:v>45260</x:v>
      </x:c>
      <x:c r="V7" s="32" t="str">
        <x:v>Proveedor crítico para la operación; seguimiento mensual.</x:v>
      </x:c>
      <x:c r="W7" s="43" t="str">
        <x:v>https://empresa-ejemplo.co/2023/proveedor/5</x:v>
      </x:c>
    </x:row>
    <x:row r="8">
      <x:c r="A8" s="37" t="n">
        <x:v>2023</x:v>
      </x:c>
      <x:c r="B8" s="32" t="str">
        <x:v>Dotaciones Escudo SAS</x:v>
      </x:c>
      <x:c r="C8" s="32" t="str">
        <x:v>9002300005</x:v>
      </x:c>
      <x:c r="D8" s="32" t="str">
        <x:v>Valledupar</x:v>
      </x:c>
      <x:c r="E8" s="32" t="str">
        <x:v>Dotación y uniformes</x:v>
      </x:c>
      <x:c r="F8" s="32" t="str">
        <x:v>Medio</x:v>
      </x:c>
      <x:c r="G8" s="93" t="n">
        <x:v>45088</x:v>
      </x:c>
      <x:c r="H8" s="93" t="n">
        <x:v>45225</x:v>
      </x:c>
      <x:c r="I8" s="94" t="str">
        <x:v>Sí</x:v>
      </x:c>
      <x:c r="J8" s="94" t="str">
        <x:v>Sí</x:v>
      </x:c>
      <x:c r="K8" s="94" t="str">
        <x:v>Parcial</x:v>
      </x:c>
      <x:c r="L8" s="94" t="str">
        <x:v>Parcial</x:v>
      </x:c>
      <x:c r="M8" s="94" t="str">
        <x:v>Sí</x:v>
      </x:c>
      <x:c r="N8" s="94" t="str">
        <x:v>Sí</x:v>
      </x:c>
      <x:c r="O8" s="94" t="str">
        <x:v>Sí</x:v>
      </x:c>
      <x:c r="P8" s="94" t="str">
        <x:v>Parcial</x:v>
      </x:c>
      <x:c r="Q8" s="95" t="n">
        <x:f>ROUND((COUNTIF(I8:P8,"Sí")+0.5*COUNTIF(I8:P8,"Parcial"))/8,4)</x:f>
        <x:v>0.8125</x:v>
      </x:c>
      <x:c r="R8" s="32" t="str">
        <x:f>IF(Q8&gt;=0.85,"Alto",IF(Q8&gt;=0.70,"Medio","Crítico"))</x:f>
        <x:v>Medio</x:v>
      </x:c>
      <x:c r="S8" s="32" t="str">
        <x:f>IF(Q8&gt;=0.85,"Aprobado",IF(Q8&gt;=0.70,"Condicionado","No aprobado"))</x:f>
        <x:v>Condicionado</x:v>
      </x:c>
      <x:c r="T8" s="32" t="str">
        <x:v>Analista SST</x:v>
      </x:c>
      <x:c r="U8" s="93" t="n">
        <x:v>45225</x:v>
      </x:c>
      <x:c r="V8" s="32" t="str">
        <x:v>Se requiere seguimiento al cierre de hallazgos.</x:v>
      </x:c>
      <x:c r="W8" s="43" t="str">
        <x:v>https://empresa-ejemplo.co/2023/proveedor/6</x:v>
      </x:c>
    </x:row>
    <x:row r="9">
      <x:c r="A9" s="37" t="n">
        <x:v>2023</x:v>
      </x:c>
      <x:c r="B9" s="32" t="str">
        <x:v>EPP Industrial SAS</x:v>
      </x:c>
      <x:c r="C9" s="32" t="str">
        <x:v>9002300006</x:v>
      </x:c>
      <x:c r="D9" s="32" t="str">
        <x:v>Arauca</x:v>
      </x:c>
      <x:c r="E9" s="32" t="str">
        <x:v>Elementos de protección personal</x:v>
      </x:c>
      <x:c r="F9" s="32" t="str">
        <x:v>Medio</x:v>
      </x:c>
      <x:c r="G9" s="93" t="n">
        <x:v>45112</x:v>
      </x:c>
      <x:c r="H9" s="93" t="n">
        <x:v>45283</x:v>
      </x:c>
      <x:c r="I9" s="94" t="str">
        <x:v>Sí</x:v>
      </x:c>
      <x:c r="J9" s="94" t="str">
        <x:v>Sí</x:v>
      </x:c>
      <x:c r="K9" s="94" t="str">
        <x:v>Sí</x:v>
      </x:c>
      <x:c r="L9" s="94" t="str">
        <x:v>Sí</x:v>
      </x:c>
      <x:c r="M9" s="94" t="str">
        <x:v>Sí</x:v>
      </x:c>
      <x:c r="N9" s="94" t="str">
        <x:v>Sí</x:v>
      </x:c>
      <x:c r="O9" s="94" t="str">
        <x:v>No</x:v>
      </x:c>
      <x:c r="P9" s="94" t="str">
        <x:v>Sí</x:v>
      </x:c>
      <x:c r="Q9" s="95" t="n">
        <x:f>ROUND((COUNTIF(I9:P9,"Sí")+0.5*COUNTIF(I9:P9,"Parcial"))/8,4)</x:f>
        <x:v>0.875</x:v>
      </x:c>
      <x:c r="R9" s="32" t="str">
        <x:f>IF(Q9&gt;=0.85,"Alto",IF(Q9&gt;=0.70,"Medio","Crítico"))</x:f>
        <x:v>Alto</x:v>
      </x:c>
      <x:c r="S9" s="32" t="str">
        <x:f>IF(Q9&gt;=0.85,"Aprobado",IF(Q9&gt;=0.70,"Condicionado","No aprobado"))</x:f>
        <x:v>Aprobado</x:v>
      </x:c>
      <x:c r="T9" s="32" t="str">
        <x:v>Analista SST</x:v>
      </x:c>
      <x:c r="U9" s="93" t="n">
        <x:v>45260</x:v>
      </x:c>
      <x:c r="V9" s="32" t="str">
        <x:v>Pendiente actualización de un soporte menor.</x:v>
      </x:c>
      <x:c r="W9" s="43" t="str">
        <x:v>https://empresa-ejemplo.co/2023/proveedor/7</x:v>
      </x:c>
    </x:row>
    <x:row r="10">
      <x:c r="A10" s="37" t="n">
        <x:v>2023</x:v>
      </x:c>
      <x:c r="B10" s="32" t="str">
        <x:v>Formación Preventiva SAS</x:v>
      </x:c>
      <x:c r="C10" s="32" t="str">
        <x:v>9002300007</x:v>
      </x:c>
      <x:c r="D10" s="32" t="str">
        <x:v>Bogotá</x:v>
      </x:c>
      <x:c r="E10" s="32" t="str">
        <x:v>Capacitación SST</x:v>
      </x:c>
      <x:c r="F10" s="32" t="str">
        <x:v>Medio</x:v>
      </x:c>
      <x:c r="G10" s="93" t="n">
        <x:v>45142</x:v>
      </x:c>
      <x:c r="H10" s="93" t="n">
        <x:v>45282</x:v>
      </x:c>
      <x:c r="I10" s="94" t="str">
        <x:v>Sí</x:v>
      </x:c>
      <x:c r="J10" s="94" t="str">
        <x:v>Sí</x:v>
      </x:c>
      <x:c r="K10" s="94" t="str">
        <x:v>Sí</x:v>
      </x:c>
      <x:c r="L10" s="94" t="str">
        <x:v>Sí</x:v>
      </x:c>
      <x:c r="M10" s="94" t="str">
        <x:v>Sí</x:v>
      </x:c>
      <x:c r="N10" s="94" t="str">
        <x:v>No</x:v>
      </x:c>
      <x:c r="O10" s="94" t="str">
        <x:v>Sí</x:v>
      </x:c>
      <x:c r="P10" s="94" t="str">
        <x:v>No</x:v>
      </x:c>
      <x:c r="Q10" s="95" t="n">
        <x:f>ROUND((COUNTIF(I10:P10,"Sí")+0.5*COUNTIF(I10:P10,"Parcial"))/8,4)</x:f>
        <x:v>0.75</x:v>
      </x:c>
      <x:c r="R10" s="32" t="str">
        <x:f>IF(Q10&gt;=0.85,"Alto",IF(Q10&gt;=0.70,"Medio","Crítico"))</x:f>
        <x:v>Medio</x:v>
      </x:c>
      <x:c r="S10" s="32" t="str">
        <x:f>IF(Q10&gt;=0.85,"Aprobado",IF(Q10&gt;=0.70,"Condicionado","No aprobado"))</x:f>
        <x:v>Condicionado</x:v>
      </x:c>
      <x:c r="T10" s="32" t="str">
        <x:v>Director de Operaciones</x:v>
      </x:c>
      <x:c r="U10" s="93" t="n">
        <x:v>45260</x:v>
      </x:c>
      <x:c r="V10" s="32" t="str">
        <x:v>Pendiente actualización de un soporte menor.</x:v>
      </x:c>
      <x:c r="W10" s="43" t="str">
        <x:v>https://empresa-ejemplo.co/2023/proveedor/8</x:v>
      </x:c>
    </x:row>
    <x:row r="11">
      <x:c r="A11" s="37" t="n">
        <x:v>2023</x:v>
      </x:c>
      <x:c r="B11" s="32" t="str">
        <x:v>IPS Ocusalud SAS</x:v>
      </x:c>
      <x:c r="C11" s="32" t="str">
        <x:v>9002300008</x:v>
      </x:c>
      <x:c r="D11" s="32" t="str">
        <x:v>Tibú</x:v>
      </x:c>
      <x:c r="E11" s="32" t="str">
        <x:v>Exámenes médicos ocupacionales</x:v>
      </x:c>
      <x:c r="F11" s="32" t="str">
        <x:v>Medio</x:v>
      </x:c>
      <x:c r="G11" s="93" t="n">
        <x:v>45180</x:v>
      </x:c>
      <x:c r="H11" s="93" t="n">
        <x:v>45281</x:v>
      </x:c>
      <x:c r="I11" s="94" t="str">
        <x:v>Sí</x:v>
      </x:c>
      <x:c r="J11" s="94" t="str">
        <x:v>Sí</x:v>
      </x:c>
      <x:c r="K11" s="94" t="str">
        <x:v>Sí</x:v>
      </x:c>
      <x:c r="L11" s="94" t="str">
        <x:v>Sí</x:v>
      </x:c>
      <x:c r="M11" s="94" t="str">
        <x:v>Sí</x:v>
      </x:c>
      <x:c r="N11" s="94" t="str">
        <x:v>No</x:v>
      </x:c>
      <x:c r="O11" s="94" t="str">
        <x:v>Sí</x:v>
      </x:c>
      <x:c r="P11" s="94" t="str">
        <x:v>Sí</x:v>
      </x:c>
      <x:c r="Q11" s="95" t="n">
        <x:f>ROUND((COUNTIF(I11:P11,"Sí")+0.5*COUNTIF(I11:P11,"Parcial"))/8,4)</x:f>
        <x:v>0.875</x:v>
      </x:c>
      <x:c r="R11" s="32" t="str">
        <x:f>IF(Q11&gt;=0.85,"Alto",IF(Q11&gt;=0.70,"Medio","Crítico"))</x:f>
        <x:v>Alto</x:v>
      </x:c>
      <x:c r="S11" s="32" t="str">
        <x:f>IF(Q11&gt;=0.85,"Aprobado",IF(Q11&gt;=0.70,"Condicionado","No aprobado"))</x:f>
        <x:v>Aprobado</x:v>
      </x:c>
      <x:c r="T11" s="32" t="str">
        <x:v>Director de Operaciones</x:v>
      </x:c>
      <x:c r="U11" s="93" t="n">
        <x:v>45260</x:v>
      </x:c>
      <x:c r="V11" s="32" t="str">
        <x:v>Cumplimiento estable y contrato renovado.</x:v>
      </x:c>
      <x:c r="W11" s="43" t="str">
        <x:v>https://empresa-ejemplo.co/2023/proveedor/9</x:v>
      </x:c>
    </x:row>
    <x:row r="12">
      <x:c r="A12" s="37" t="n">
        <x:v>2023</x:v>
      </x:c>
      <x:c r="B12" s="32" t="str">
        <x:v>Taller Motor Norte SAS</x:v>
      </x:c>
      <x:c r="C12" s="32" t="str">
        <x:v>9002300009</x:v>
      </x:c>
      <x:c r="D12" s="32" t="str">
        <x:v>Medellín</x:v>
      </x:c>
      <x:c r="E12" s="32" t="str">
        <x:v>Mantenimiento vehicular</x:v>
      </x:c>
      <x:c r="F12" s="32" t="str">
        <x:v>Alto</x:v>
      </x:c>
      <x:c r="G12" s="93" t="n">
        <x:v>45204</x:v>
      </x:c>
      <x:c r="H12" s="93" t="n">
        <x:v>45285</x:v>
      </x:c>
      <x:c r="I12" s="94" t="str">
        <x:v>Sí</x:v>
      </x:c>
      <x:c r="J12" s="94" t="str">
        <x:v>Sí</x:v>
      </x:c>
      <x:c r="K12" s="94" t="str">
        <x:v>Sí</x:v>
      </x:c>
      <x:c r="L12" s="94" t="str">
        <x:v>Sí</x:v>
      </x:c>
      <x:c r="M12" s="94" t="str">
        <x:v>Sí</x:v>
      </x:c>
      <x:c r="N12" s="94" t="str">
        <x:v>Sí</x:v>
      </x:c>
      <x:c r="O12" s="94" t="str">
        <x:v>Sí</x:v>
      </x:c>
      <x:c r="P12" s="94" t="str">
        <x:v>Parcial</x:v>
      </x:c>
      <x:c r="Q12" s="95" t="n">
        <x:f>ROUND((COUNTIF(I12:P12,"Sí")+0.5*COUNTIF(I12:P12,"Parcial"))/8,4)</x:f>
        <x:v>0.9375</x:v>
      </x:c>
      <x:c r="R12" s="32" t="str">
        <x:f>IF(Q12&gt;=0.85,"Alto",IF(Q12&gt;=0.70,"Medio","Crítico"))</x:f>
        <x:v>Alto</x:v>
      </x:c>
      <x:c r="S12" s="32" t="str">
        <x:f>IF(Q12&gt;=0.85,"Aprobado",IF(Q12&gt;=0.70,"Condicionado","No aprobado"))</x:f>
        <x:v>Aprobado</x:v>
      </x:c>
      <x:c r="T12" s="32" t="str">
        <x:v>Coordinador de Contratistas</x:v>
      </x:c>
      <x:c r="U12" s="93" t="n">
        <x:v>45260</x:v>
      </x:c>
      <x:c r="V12" s="32" t="str">
        <x:v>Proveedor crítico para la operación; seguimiento mensual.</x:v>
      </x:c>
      <x:c r="W12" s="43" t="str">
        <x:v>https://empresa-ejemplo.co/2023/proveedor/10</x:v>
      </x:c>
    </x:row>
    <x:row r="13">
      <x:c r="A13" s="37" t="n">
        <x:v>2023</x:v>
      </x:c>
      <x:c r="B13" s="32" t="str">
        <x:v>Servicios Integrales Limpios SAS</x:v>
      </x:c>
      <x:c r="C13" s="32" t="str">
        <x:v>9002300010</x:v>
      </x:c>
      <x:c r="D13" s="32" t="str">
        <x:v>Ábrego</x:v>
      </x:c>
      <x:c r="E13" s="32" t="str">
        <x:v>Aseo y desinfección</x:v>
      </x:c>
      <x:c r="F13" s="32" t="str">
        <x:v>Bajo</x:v>
      </x:c>
      <x:c r="G13" s="93" t="n">
        <x:v>45238</x:v>
      </x:c>
      <x:c r="H13" s="93" t="n">
        <x:v>45281</x:v>
      </x:c>
      <x:c r="I13" s="94" t="str">
        <x:v>Sí</x:v>
      </x:c>
      <x:c r="J13" s="94" t="str">
        <x:v>Sí</x:v>
      </x:c>
      <x:c r="K13" s="94" t="str">
        <x:v>Sí</x:v>
      </x:c>
      <x:c r="L13" s="94" t="str">
        <x:v>Sí</x:v>
      </x:c>
      <x:c r="M13" s="94" t="str">
        <x:v>Sí</x:v>
      </x:c>
      <x:c r="N13" s="94" t="str">
        <x:v>Sí</x:v>
      </x:c>
      <x:c r="O13" s="94" t="str">
        <x:v>Sí</x:v>
      </x:c>
      <x:c r="P13" s="94" t="str">
        <x:v>Sí</x:v>
      </x:c>
      <x:c r="Q13" s="95" t="n">
        <x:f>ROUND((COUNTIF(I13:P13,"Sí")+0.5*COUNTIF(I13:P13,"Parcial"))/8,4)</x:f>
        <x:v>1</x:v>
      </x:c>
      <x:c r="R13" s="32" t="str">
        <x:f>IF(Q13&gt;=0.85,"Alto",IF(Q13&gt;=0.70,"Medio","Crítico"))</x:f>
        <x:v>Alto</x:v>
      </x:c>
      <x:c r="S13" s="32" t="str">
        <x:f>IF(Q13&gt;=0.85,"Aprobado",IF(Q13&gt;=0.70,"Condicionado","No aprobado"))</x:f>
        <x:v>Aprobado</x:v>
      </x:c>
      <x:c r="T13" s="32" t="str">
        <x:v>Coordinador de Contratistas</x:v>
      </x:c>
      <x:c r="U13" s="93" t="n">
        <x:v>45260</x:v>
      </x:c>
      <x:c r="V13" s="32" t="str">
        <x:v>Pendiente reinducción SST por cambio de personal.</x:v>
      </x:c>
      <x:c r="W13" s="43" t="str">
        <x:v>https://empresa-ejemplo.co/2023/proveedor/11</x:v>
      </x:c>
    </x:row>
    <x:row r="14">
      <x:c r="A14" s="37" t="n">
        <x:v>2023</x:v>
      </x:c>
      <x:c r="B14" s="32" t="str">
        <x:v>BioControl Fumigaciones SAS</x:v>
      </x:c>
      <x:c r="C14" s="32" t="str">
        <x:v>9002300011</x:v>
      </x:c>
      <x:c r="D14" s="32" t="str">
        <x:v>Pamplona</x:v>
      </x:c>
      <x:c r="E14" s="32" t="str">
        <x:v>Fumigación y control de plagas</x:v>
      </x:c>
      <x:c r="F14" s="32" t="str">
        <x:v>Medio</x:v>
      </x:c>
      <x:c r="G14" s="93" t="n">
        <x:v>45278</x:v>
      </x:c>
      <x:c r="H14" s="93" t="n">
        <x:v>45283</x:v>
      </x:c>
      <x:c r="I14" s="94" t="str">
        <x:v>Sí</x:v>
      </x:c>
      <x:c r="J14" s="94" t="str">
        <x:v>Sí</x:v>
      </x:c>
      <x:c r="K14" s="94" t="str">
        <x:v>Sí</x:v>
      </x:c>
      <x:c r="L14" s="94" t="str">
        <x:v>Sí</x:v>
      </x:c>
      <x:c r="M14" s="94" t="str">
        <x:v>Parcial</x:v>
      </x:c>
      <x:c r="N14" s="94" t="str">
        <x:v>Sí</x:v>
      </x:c>
      <x:c r="O14" s="94" t="str">
        <x:v>Sí</x:v>
      </x:c>
      <x:c r="P14" s="94" t="str">
        <x:v>Sí</x:v>
      </x:c>
      <x:c r="Q14" s="95" t="n">
        <x:f>ROUND((COUNTIF(I14:P14,"Sí")+0.5*COUNTIF(I14:P14,"Parcial"))/8,4)</x:f>
        <x:v>0.9375</x:v>
      </x:c>
      <x:c r="R14" s="32" t="str">
        <x:f>IF(Q14&gt;=0.85,"Alto",IF(Q14&gt;=0.70,"Medio","Crítico"))</x:f>
        <x:v>Alto</x:v>
      </x:c>
      <x:c r="S14" s="32" t="str">
        <x:f>IF(Q14&gt;=0.85,"Aprobado",IF(Q14&gt;=0.70,"Condicionado","No aprobado"))</x:f>
        <x:v>Aprobado</x:v>
      </x:c>
      <x:c r="T14" s="32" t="str">
        <x:v>Director de Operaciones</x:v>
      </x:c>
      <x:c r="U14" s="93" t="n">
        <x:v>45260</x:v>
      </x:c>
      <x:c r="V14" s="32" t="str">
        <x:v>Proveedor crítico para la operación; seguimiento mensual.</x:v>
      </x:c>
      <x:c r="W14" s="43" t="str">
        <x:v>https://empresa-ejemplo.co/2023/proveedor/12</x:v>
      </x:c>
    </x:row>
    <x:row r="15">
      <x:c r="A15" s="37" t="n">
        <x:v>2023</x:v>
      </x:c>
      <x:c r="B15" s="32" t="str">
        <x:v>Turnos Smart SAS</x:v>
      </x:c>
      <x:c r="C15" s="32" t="str">
        <x:v>9002300012</x:v>
      </x:c>
      <x:c r="D15" s="32" t="str">
        <x:v>Cúcuta</x:v>
      </x:c>
      <x:c r="E15" s="32" t="str">
        <x:v>Software de control de turnos</x:v>
      </x:c>
      <x:c r="F15" s="32" t="str">
        <x:v>Bajo</x:v>
      </x:c>
      <x:c r="G15" s="93" t="n">
        <x:v>44927</x:v>
      </x:c>
      <x:c r="H15" s="93" t="n">
        <x:v>45159</x:v>
      </x:c>
      <x:c r="I15" s="94" t="str">
        <x:v>Sí</x:v>
      </x:c>
      <x:c r="J15" s="94" t="str">
        <x:v>Sí</x:v>
      </x:c>
      <x:c r="K15" s="94" t="str">
        <x:v>Sí</x:v>
      </x:c>
      <x:c r="L15" s="94" t="str">
        <x:v>Sí</x:v>
      </x:c>
      <x:c r="M15" s="94" t="str">
        <x:v>Sí</x:v>
      </x:c>
      <x:c r="N15" s="94" t="str">
        <x:v>Sí</x:v>
      </x:c>
      <x:c r="O15" s="94" t="str">
        <x:v>Sí</x:v>
      </x:c>
      <x:c r="P15" s="94" t="str">
        <x:v>Sí</x:v>
      </x:c>
      <x:c r="Q15" s="95" t="n">
        <x:f>ROUND((COUNTIF(I15:P15,"Sí")+0.5*COUNTIF(I15:P15,"Parcial"))/8,4)</x:f>
        <x:v>1</x:v>
      </x:c>
      <x:c r="R15" s="32" t="str">
        <x:f>IF(Q15&gt;=0.85,"Alto",IF(Q15&gt;=0.70,"Medio","Crítico"))</x:f>
        <x:v>Alto</x:v>
      </x:c>
      <x:c r="S15" s="32" t="str">
        <x:f>IF(Q15&gt;=0.85,"Aprobado",IF(Q15&gt;=0.70,"Condicionado","No aprobado"))</x:f>
        <x:v>Aprobado</x:v>
      </x:c>
      <x:c r="T15" s="32" t="str">
        <x:v>Jefe Administrativo</x:v>
      </x:c>
      <x:c r="U15" s="93" t="n">
        <x:v>45159</x:v>
      </x:c>
      <x:c r="V15" s="32" t="str">
        <x:v>Se requiere seguimiento al cierre de hallazgos.</x:v>
      </x:c>
      <x:c r="W15" s="43" t="str">
        <x:v>https://empresa-ejemplo.co/2023/proveedor/13</x:v>
      </x:c>
    </x:row>
    <x:row r="16">
      <x:c r="A16" s="37" t="n">
        <x:v>2023</x:v>
      </x:c>
      <x:c r="B16" s="32" t="str">
        <x:v>Legal &amp; Compliance SAS</x:v>
      </x:c>
      <x:c r="C16" s="32" t="str">
        <x:v>9002300013</x:v>
      </x:c>
      <x:c r="D16" s="32" t="str">
        <x:v>Barrancabermeja</x:v>
      </x:c>
      <x:c r="E16" s="32" t="str">
        <x:v>Servicios jurídicos laborales</x:v>
      </x:c>
      <x:c r="F16" s="32" t="str">
        <x:v>Bajo</x:v>
      </x:c>
      <x:c r="G16" s="93" t="n">
        <x:v>44965</x:v>
      </x:c>
      <x:c r="H16" s="93" t="n">
        <x:v>45287</x:v>
      </x:c>
      <x:c r="I16" s="94" t="str">
        <x:v>Sí</x:v>
      </x:c>
      <x:c r="J16" s="94" t="str">
        <x:v>Sí</x:v>
      </x:c>
      <x:c r="K16" s="94" t="str">
        <x:v>Sí</x:v>
      </x:c>
      <x:c r="L16" s="94" t="str">
        <x:v>Sí</x:v>
      </x:c>
      <x:c r="M16" s="94" t="str">
        <x:v>Sí</x:v>
      </x:c>
      <x:c r="N16" s="94" t="str">
        <x:v>Sí</x:v>
      </x:c>
      <x:c r="O16" s="94" t="str">
        <x:v>Sí</x:v>
      </x:c>
      <x:c r="P16" s="94" t="str">
        <x:v>Sí</x:v>
      </x:c>
      <x:c r="Q16" s="95" t="n">
        <x:f>ROUND((COUNTIF(I16:P16,"Sí")+0.5*COUNTIF(I16:P16,"Parcial"))/8,4)</x:f>
        <x:v>1</x:v>
      </x:c>
      <x:c r="R16" s="32" t="str">
        <x:f>IF(Q16&gt;=0.85,"Alto",IF(Q16&gt;=0.70,"Medio","Crítico"))</x:f>
        <x:v>Alto</x:v>
      </x:c>
      <x:c r="S16" s="32" t="str">
        <x:f>IF(Q16&gt;=0.85,"Aprobado",IF(Q16&gt;=0.70,"Condicionado","No aprobado"))</x:f>
        <x:v>Aprobado</x:v>
      </x:c>
      <x:c r="T16" s="32" t="str">
        <x:v>Director de Operaciones</x:v>
      </x:c>
      <x:c r="U16" s="93" t="n">
        <x:v>45260</x:v>
      </x:c>
      <x:c r="V16" s="32" t="str">
        <x:v>Documentación vigente y verificada.</x:v>
      </x:c>
      <x:c r="W16" s="43" t="str">
        <x:v>https://empresa-ejemplo.co/2023/proveedor/14</x:v>
      </x:c>
    </x:row>
    <x:row r="17">
      <x:c r="A17" s="37" t="n">
        <x:v>2023</x:v>
      </x:c>
      <x:c r="B17" s="32" t="str">
        <x:v>Extinred SAS</x:v>
      </x:c>
      <x:c r="C17" s="32" t="str">
        <x:v>9002300014</x:v>
      </x:c>
      <x:c r="D17" s="32" t="str">
        <x:v>Ocaña</x:v>
      </x:c>
      <x:c r="E17" s="32" t="str">
        <x:v>Mantenimiento de extintores</x:v>
      </x:c>
      <x:c r="F17" s="32" t="str">
        <x:v>Medio</x:v>
      </x:c>
      <x:c r="G17" s="93" t="n">
        <x:v>44996</x:v>
      </x:c>
      <x:c r="H17" s="93" t="n">
        <x:v>45281</x:v>
      </x:c>
      <x:c r="I17" s="94" t="str">
        <x:v>Sí</x:v>
      </x:c>
      <x:c r="J17" s="94" t="str">
        <x:v>Sí</x:v>
      </x:c>
      <x:c r="K17" s="94" t="str">
        <x:v>Sí</x:v>
      </x:c>
      <x:c r="L17" s="94" t="str">
        <x:v>Sí</x:v>
      </x:c>
      <x:c r="M17" s="94" t="str">
        <x:v>Sí</x:v>
      </x:c>
      <x:c r="N17" s="94" t="str">
        <x:v>Sí</x:v>
      </x:c>
      <x:c r="O17" s="94" t="str">
        <x:v>Parcial</x:v>
      </x:c>
      <x:c r="P17" s="94" t="str">
        <x:v>Sí</x:v>
      </x:c>
      <x:c r="Q17" s="95" t="n">
        <x:f>ROUND((COUNTIF(I17:P17,"Sí")+0.5*COUNTIF(I17:P17,"Parcial"))/8,4)</x:f>
        <x:v>0.9375</x:v>
      </x:c>
      <x:c r="R17" s="32" t="str">
        <x:f>IF(Q17&gt;=0.85,"Alto",IF(Q17&gt;=0.70,"Medio","Crítico"))</x:f>
        <x:v>Alto</x:v>
      </x:c>
      <x:c r="S17" s="32" t="str">
        <x:f>IF(Q17&gt;=0.85,"Aprobado",IF(Q17&gt;=0.70,"Condicionado","No aprobado"))</x:f>
        <x:v>Aprobado</x:v>
      </x:c>
      <x:c r="T17" s="32" t="str">
        <x:v>Jefe Administrativo</x:v>
      </x:c>
      <x:c r="U17" s="93" t="n">
        <x:v>45260</x:v>
      </x:c>
      <x:c r="V17" s="32" t="str">
        <x:v>Pendiente actualización de un soporte menor.</x:v>
      </x:c>
      <x:c r="W17" s="43" t="str">
        <x:v>https://empresa-ejemplo.co/2023/proveedor/15</x:v>
      </x:c>
    </x:row>
    <x:row r="18">
      <x:c r="A18" s="37" t="n">
        <x:v>2023</x:v>
      </x:c>
      <x:c r="B18" s="32" t="str">
        <x:v>Señales Seguras SAS</x:v>
      </x:c>
      <x:c r="C18" s="32" t="str">
        <x:v>9002300015</x:v>
      </x:c>
      <x:c r="D18" s="32" t="str">
        <x:v>Girón</x:v>
      </x:c>
      <x:c r="E18" s="32" t="str">
        <x:v>Señalización y demarcación</x:v>
      </x:c>
      <x:c r="F18" s="32" t="str">
        <x:v>Bajo</x:v>
      </x:c>
      <x:c r="G18" s="93" t="n">
        <x:v>45034</x:v>
      </x:c>
      <x:c r="H18" s="93" t="n">
        <x:v>45158</x:v>
      </x:c>
      <x:c r="I18" s="94" t="str">
        <x:v>No</x:v>
      </x:c>
      <x:c r="J18" s="94" t="str">
        <x:v>Parcial</x:v>
      </x:c>
      <x:c r="K18" s="94" t="str">
        <x:v>Parcial</x:v>
      </x:c>
      <x:c r="L18" s="94" t="str">
        <x:v>Sí</x:v>
      </x:c>
      <x:c r="M18" s="94" t="str">
        <x:v>Sí</x:v>
      </x:c>
      <x:c r="N18" s="94" t="str">
        <x:v>Sí</x:v>
      </x:c>
      <x:c r="O18" s="94" t="str">
        <x:v>Sí</x:v>
      </x:c>
      <x:c r="P18" s="94" t="str">
        <x:v>Sí</x:v>
      </x:c>
      <x:c r="Q18" s="95" t="n">
        <x:f>ROUND((COUNTIF(I18:P18,"Sí")+0.5*COUNTIF(I18:P18,"Parcial"))/8,4)</x:f>
        <x:v>0.75</x:v>
      </x:c>
      <x:c r="R18" s="32" t="str">
        <x:f>IF(Q18&gt;=0.85,"Alto",IF(Q18&gt;=0.70,"Medio","Crítico"))</x:f>
        <x:v>Medio</x:v>
      </x:c>
      <x:c r="S18" s="32" t="str">
        <x:f>IF(Q18&gt;=0.85,"Aprobado",IF(Q18&gt;=0.70,"Condicionado","No aprobado"))</x:f>
        <x:v>Condicionado</x:v>
      </x:c>
      <x:c r="T18" s="32" t="str">
        <x:v>Analista SST</x:v>
      </x:c>
      <x:c r="U18" s="93" t="n">
        <x:v>45158</x:v>
      </x:c>
      <x:c r="V18" s="32" t="str">
        <x:v>Documentación vigente y verificada.</x:v>
      </x:c>
      <x:c r="W18" s="43" t="str">
        <x:v>https://empresa-ejemplo.co/2023/proveedor/16</x:v>
      </x:c>
    </x:row>
    <x:row r="19">
      <x:c r="A19" s="37" t="n">
        <x:v>2023</x:v>
      </x:c>
      <x:c r="B19" s="32" t="str">
        <x:v>Obras y Mantenimientos del Oriente SAS</x:v>
      </x:c>
      <x:c r="C19" s="32" t="str">
        <x:v>9002300016</x:v>
      </x:c>
      <x:c r="D19" s="32" t="str">
        <x:v>Valledupar</x:v>
      </x:c>
      <x:c r="E19" s="32" t="str">
        <x:v>Mantenimiento locativo</x:v>
      </x:c>
      <x:c r="F19" s="32" t="str">
        <x:v>Medio</x:v>
      </x:c>
      <x:c r="G19" s="93" t="n">
        <x:v>45055</x:v>
      </x:c>
      <x:c r="H19" s="93" t="n">
        <x:v>45287</x:v>
      </x:c>
      <x:c r="I19" s="94" t="str">
        <x:v>Sí</x:v>
      </x:c>
      <x:c r="J19" s="94" t="str">
        <x:v>Sí</x:v>
      </x:c>
      <x:c r="K19" s="94" t="str">
        <x:v>Sí</x:v>
      </x:c>
      <x:c r="L19" s="94" t="str">
        <x:v>Sí</x:v>
      </x:c>
      <x:c r="M19" s="94" t="str">
        <x:v>Sí</x:v>
      </x:c>
      <x:c r="N19" s="94" t="str">
        <x:v>Sí</x:v>
      </x:c>
      <x:c r="O19" s="94" t="str">
        <x:v>Sí</x:v>
      </x:c>
      <x:c r="P19" s="94" t="str">
        <x:v>Sí</x:v>
      </x:c>
      <x:c r="Q19" s="95" t="n">
        <x:f>ROUND((COUNTIF(I19:P19,"Sí")+0.5*COUNTIF(I19:P19,"Parcial"))/8,4)</x:f>
        <x:v>1</x:v>
      </x:c>
      <x:c r="R19" s="32" t="str">
        <x:f>IF(Q19&gt;=0.85,"Alto",IF(Q19&gt;=0.70,"Medio","Crítico"))</x:f>
        <x:v>Alto</x:v>
      </x:c>
      <x:c r="S19" s="32" t="str">
        <x:f>IF(Q19&gt;=0.85,"Aprobado",IF(Q19&gt;=0.70,"Condicionado","No aprobado"))</x:f>
        <x:v>Aprobado</x:v>
      </x:c>
      <x:c r="T19" s="32" t="str">
        <x:v>Director de Operaciones</x:v>
      </x:c>
      <x:c r="U19" s="93" t="n">
        <x:v>45260</x:v>
      </x:c>
      <x:c r="V19" s="32" t="str">
        <x:v>Documentación vigente y verificada.</x:v>
      </x:c>
      <x:c r="W19" s="43" t="str">
        <x:v>https://empresa-ejemplo.co/2023/proveedor/17</x:v>
      </x:c>
    </x:row>
    <x:row r="20">
      <x:c r="A20" s="37" t="n">
        <x:v>2023</x:v>
      </x:c>
      <x:c r="B20" s="32" t="str">
        <x:v>Movilidad Segura Especial SAS</x:v>
      </x:c>
      <x:c r="C20" s="32" t="str">
        <x:v>9002300017</x:v>
      </x:c>
      <x:c r="D20" s="32" t="str">
        <x:v>Arauca</x:v>
      </x:c>
      <x:c r="E20" s="32" t="str">
        <x:v>Transporte especial de personal</x:v>
      </x:c>
      <x:c r="F20" s="32" t="str">
        <x:v>Alto</x:v>
      </x:c>
      <x:c r="G20" s="93" t="n">
        <x:v>45079</x:v>
      </x:c>
      <x:c r="H20" s="93" t="n">
        <x:v>45280</x:v>
      </x:c>
      <x:c r="I20" s="94" t="str">
        <x:v>Sí</x:v>
      </x:c>
      <x:c r="J20" s="94" t="str">
        <x:v>Sí</x:v>
      </x:c>
      <x:c r="K20" s="94" t="str">
        <x:v>Parcial</x:v>
      </x:c>
      <x:c r="L20" s="94" t="str">
        <x:v>Sí</x:v>
      </x:c>
      <x:c r="M20" s="94" t="str">
        <x:v>No</x:v>
      </x:c>
      <x:c r="N20" s="94" t="str">
        <x:v>Sí</x:v>
      </x:c>
      <x:c r="O20" s="94" t="str">
        <x:v>Sí</x:v>
      </x:c>
      <x:c r="P20" s="94" t="str">
        <x:v>Sí</x:v>
      </x:c>
      <x:c r="Q20" s="95" t="n">
        <x:f>ROUND((COUNTIF(I20:P20,"Sí")+0.5*COUNTIF(I20:P20,"Parcial"))/8,4)</x:f>
        <x:v>0.8125</x:v>
      </x:c>
      <x:c r="R20" s="32" t="str">
        <x:f>IF(Q20&gt;=0.85,"Alto",IF(Q20&gt;=0.70,"Medio","Crítico"))</x:f>
        <x:v>Medio</x:v>
      </x:c>
      <x:c r="S20" s="32" t="str">
        <x:f>IF(Q20&gt;=0.85,"Aprobado",IF(Q20&gt;=0.70,"Condicionado","No aprobado"))</x:f>
        <x:v>Condicionado</x:v>
      </x:c>
      <x:c r="T20" s="32" t="str">
        <x:v>Líder SST</x:v>
      </x:c>
      <x:c r="U20" s="93" t="n">
        <x:v>45260</x:v>
      </x:c>
      <x:c r="V20" s="32" t="str">
        <x:v>Pendiente reinducción SST por cambio de personal.</x:v>
      </x:c>
      <x:c r="W20" s="43" t="str">
        <x:v>https://empresa-ejemplo.co/2023/proveedor/18</x:v>
      </x:c>
    </x:row>
    <x:row r="21">
      <x:c r="A21" s="37" t="n">
        <x:v>2023</x:v>
      </x:c>
      <x:c r="B21" s="32" t="str">
        <x:v>Archivo y Gestión SAS</x:v>
      </x:c>
      <x:c r="C21" s="32" t="str">
        <x:v>9002300018</x:v>
      </x:c>
      <x:c r="D21" s="32" t="str">
        <x:v>Bogotá</x:v>
      </x:c>
      <x:c r="E21" s="32" t="str">
        <x:v>Gestión documental</x:v>
      </x:c>
      <x:c r="F21" s="32" t="str">
        <x:v>Bajo</x:v>
      </x:c>
      <x:c r="G21" s="93" t="n">
        <x:v>45126</x:v>
      </x:c>
      <x:c r="H21" s="93" t="n">
        <x:v>45283</x:v>
      </x:c>
      <x:c r="I21" s="94" t="str">
        <x:v>Sí</x:v>
      </x:c>
      <x:c r="J21" s="94" t="str">
        <x:v>Sí</x:v>
      </x:c>
      <x:c r="K21" s="94" t="str">
        <x:v>Sí</x:v>
      </x:c>
      <x:c r="L21" s="94" t="str">
        <x:v>Sí</x:v>
      </x:c>
      <x:c r="M21" s="94" t="str">
        <x:v>Sí</x:v>
      </x:c>
      <x:c r="N21" s="94" t="str">
        <x:v>Sí</x:v>
      </x:c>
      <x:c r="O21" s="94" t="str">
        <x:v>Sí</x:v>
      </x:c>
      <x:c r="P21" s="94" t="str">
        <x:v>Sí</x:v>
      </x:c>
      <x:c r="Q21" s="95" t="n">
        <x:f>ROUND((COUNTIF(I21:P21,"Sí")+0.5*COUNTIF(I21:P21,"Parcial"))/8,4)</x:f>
        <x:v>1</x:v>
      </x:c>
      <x:c r="R21" s="32" t="str">
        <x:f>IF(Q21&gt;=0.85,"Alto",IF(Q21&gt;=0.70,"Medio","Crítico"))</x:f>
        <x:v>Alto</x:v>
      </x:c>
      <x:c r="S21" s="32" t="str">
        <x:f>IF(Q21&gt;=0.85,"Aprobado",IF(Q21&gt;=0.70,"Condicionado","No aprobado"))</x:f>
        <x:v>Aprobado</x:v>
      </x:c>
      <x:c r="T21" s="32" t="str">
        <x:v>Coordinador de Contratistas</x:v>
      </x:c>
      <x:c r="U21" s="93" t="n">
        <x:v>45260</x:v>
      </x:c>
      <x:c r="V21" s="32" t="str">
        <x:v>Proveedor crítico para la operación; seguimiento mensual.</x:v>
      </x:c>
      <x:c r="W21" s="43" t="str">
        <x:v>https://empresa-ejemplo.co/2023/proveedor/19</x:v>
      </x:c>
    </x:row>
    <x:row r="22">
      <x:c r="A22" s="37" t="n">
        <x:v>2023</x:v>
      </x:c>
      <x:c r="B22" s="32" t="str">
        <x:v>Soporte Digital 24/7 SAS</x:v>
      </x:c>
      <x:c r="C22" s="32" t="str">
        <x:v>9002300019</x:v>
      </x:c>
      <x:c r="D22" s="32" t="str">
        <x:v>Tibú</x:v>
      </x:c>
      <x:c r="E22" s="32" t="str">
        <x:v>Soporte TI y mesa de ayuda</x:v>
      </x:c>
      <x:c r="F22" s="32" t="str">
        <x:v>Bajo</x:v>
      </x:c>
      <x:c r="G22" s="93" t="n">
        <x:v>45151</x:v>
      </x:c>
      <x:c r="H22" s="93" t="n">
        <x:v>45282</x:v>
      </x:c>
      <x:c r="I22" s="94" t="str">
        <x:v>Sí</x:v>
      </x:c>
      <x:c r="J22" s="94" t="str">
        <x:v>Sí</x:v>
      </x:c>
      <x:c r="K22" s="94" t="str">
        <x:v>Sí</x:v>
      </x:c>
      <x:c r="L22" s="94" t="str">
        <x:v>Sí</x:v>
      </x:c>
      <x:c r="M22" s="94" t="str">
        <x:v>Sí</x:v>
      </x:c>
      <x:c r="N22" s="94" t="str">
        <x:v>Sí</x:v>
      </x:c>
      <x:c r="O22" s="94" t="str">
        <x:v>No</x:v>
      </x:c>
      <x:c r="P22" s="94" t="str">
        <x:v>No</x:v>
      </x:c>
      <x:c r="Q22" s="95" t="n">
        <x:f>ROUND((COUNTIF(I22:P22,"Sí")+0.5*COUNTIF(I22:P22,"Parcial"))/8,4)</x:f>
        <x:v>0.75</x:v>
      </x:c>
      <x:c r="R22" s="32" t="str">
        <x:f>IF(Q22&gt;=0.85,"Alto",IF(Q22&gt;=0.70,"Medio","Crítico"))</x:f>
        <x:v>Medio</x:v>
      </x:c>
      <x:c r="S22" s="32" t="str">
        <x:f>IF(Q22&gt;=0.85,"Aprobado",IF(Q22&gt;=0.70,"Condicionado","No aprobado"))</x:f>
        <x:v>Condicionado</x:v>
      </x:c>
      <x:c r="T22" s="32" t="str">
        <x:v>Director de Operaciones</x:v>
      </x:c>
      <x:c r="U22" s="93" t="n">
        <x:v>45260</x:v>
      </x:c>
      <x:c r="V22" s="32" t="str">
        <x:v>Proveedor crítico para la operación; seguimiento mensual.</x:v>
      </x:c>
      <x:c r="W22" s="43" t="str">
        <x:v>https://empresa-ejemplo.co/2023/proveedor/20</x:v>
      </x:c>
    </x:row>
    <x:row r="23">
      <x:c r="A23" s="37" t="n">
        <x:v>2023</x:v>
      </x:c>
      <x:c r="B23" s="32" t="str">
        <x:v>Blindajes Operativos SAS</x:v>
      </x:c>
      <x:c r="C23" s="32" t="str">
        <x:v>9002300020</x:v>
      </x:c>
      <x:c r="D23" s="32" t="str">
        <x:v>Medellín</x:v>
      </x:c>
      <x:c r="E23" s="32" t="str">
        <x:v>Seguridad física fija</x:v>
      </x:c>
      <x:c r="F23" s="32" t="str">
        <x:v>Alto</x:v>
      </x:c>
      <x:c r="G23" s="93" t="n">
        <x:v>45174</x:v>
      </x:c>
      <x:c r="H23" s="93" t="n">
        <x:v>45285</x:v>
      </x:c>
      <x:c r="I23" s="94" t="str">
        <x:v>Parcial</x:v>
      </x:c>
      <x:c r="J23" s="94" t="str">
        <x:v>Parcial</x:v>
      </x:c>
      <x:c r="K23" s="94" t="str">
        <x:v>Sí</x:v>
      </x:c>
      <x:c r="L23" s="94" t="str">
        <x:v>Sí</x:v>
      </x:c>
      <x:c r="M23" s="94" t="str">
        <x:v>Parcial</x:v>
      </x:c>
      <x:c r="N23" s="94" t="str">
        <x:v>Sí</x:v>
      </x:c>
      <x:c r="O23" s="94" t="str">
        <x:v>Sí</x:v>
      </x:c>
      <x:c r="P23" s="94" t="str">
        <x:v>No</x:v>
      </x:c>
      <x:c r="Q23" s="95" t="n">
        <x:f>ROUND((COUNTIF(I23:P23,"Sí")+0.5*COUNTIF(I23:P23,"Parcial"))/8,4)</x:f>
        <x:v>0.6875</x:v>
      </x:c>
      <x:c r="R23" s="32" t="str">
        <x:f>IF(Q23&gt;=0.85,"Alto",IF(Q23&gt;=0.70,"Medio","Crítico"))</x:f>
        <x:v>Crítico</x:v>
      </x:c>
      <x:c r="S23" s="32" t="str">
        <x:f>IF(Q23&gt;=0.85,"Aprobado",IF(Q23&gt;=0.70,"Condicionado","No aprobado"))</x:f>
        <x:v>No aprobado</x:v>
      </x:c>
      <x:c r="T23" s="32" t="str">
        <x:v>Director de Operaciones</x:v>
      </x:c>
      <x:c r="U23" s="93" t="n">
        <x:v>45260</x:v>
      </x:c>
      <x:c r="V23" s="32" t="str">
        <x:v>Cumplimiento estable y contrato renovado.</x:v>
      </x:c>
      <x:c r="W23" s="43" t="str">
        <x:v>https://empresa-ejemplo.co/2023/proveedor/21</x:v>
      </x:c>
    </x:row>
    <x:row r="24">
      <x:c r="A24" s="37" t="n">
        <x:v>2023</x:v>
      </x:c>
      <x:c r="B24" s="32" t="str">
        <x:v>Consultores HSEQ Colombia SAS</x:v>
      </x:c>
      <x:c r="C24" s="32" t="str">
        <x:v>9002300021</x:v>
      </x:c>
      <x:c r="D24" s="32" t="str">
        <x:v>Ábrego</x:v>
      </x:c>
      <x:c r="E24" s="32" t="str">
        <x:v>Escolta y protección</x:v>
      </x:c>
      <x:c r="F24" s="32" t="str">
        <x:v>Alto</x:v>
      </x:c>
      <x:c r="G24" s="93" t="n">
        <x:v>45204</x:v>
      </x:c>
      <x:c r="H24" s="93" t="n">
        <x:v>45284</x:v>
      </x:c>
      <x:c r="I24" s="94" t="str">
        <x:v>Sí</x:v>
      </x:c>
      <x:c r="J24" s="94" t="str">
        <x:v>Sí</x:v>
      </x:c>
      <x:c r="K24" s="94" t="str">
        <x:v>Sí</x:v>
      </x:c>
      <x:c r="L24" s="94" t="str">
        <x:v>Sí</x:v>
      </x:c>
      <x:c r="M24" s="94" t="str">
        <x:v>Sí</x:v>
      </x:c>
      <x:c r="N24" s="94" t="str">
        <x:v>Sí</x:v>
      </x:c>
      <x:c r="O24" s="94" t="str">
        <x:v>Sí</x:v>
      </x:c>
      <x:c r="P24" s="94" t="str">
        <x:v>Parcial</x:v>
      </x:c>
      <x:c r="Q24" s="95" t="n">
        <x:f>ROUND((COUNTIF(I24:P24,"Sí")+0.5*COUNTIF(I24:P24,"Parcial"))/8,4)</x:f>
        <x:v>0.9375</x:v>
      </x:c>
      <x:c r="R24" s="32" t="str">
        <x:f>IF(Q24&gt;=0.85,"Alto",IF(Q24&gt;=0.70,"Medio","Crítico"))</x:f>
        <x:v>Alto</x:v>
      </x:c>
      <x:c r="S24" s="32" t="str">
        <x:f>IF(Q24&gt;=0.85,"Aprobado",IF(Q24&gt;=0.70,"Condicionado","No aprobado"))</x:f>
        <x:v>Aprobado</x:v>
      </x:c>
      <x:c r="T24" s="32" t="str">
        <x:v>Coordinador de Contratistas</x:v>
      </x:c>
      <x:c r="U24" s="93" t="n">
        <x:v>45260</x:v>
      </x:c>
      <x:c r="V24" s="32" t="str">
        <x:v>Documentación vigente y verificada.</x:v>
      </x:c>
      <x:c r="W24" s="43" t="str">
        <x:v>https://empresa-ejemplo.co/2023/proveedor/22</x:v>
      </x:c>
    </x:row>
    <x:row r="25">
      <x:c r="A25" s="37" t="n">
        <x:v>2023</x:v>
      </x:c>
      <x:c r="B25" s="32" t="str">
        <x:v>Vigilancia Estratégica SAS</x:v>
      </x:c>
      <x:c r="C25" s="32" t="str">
        <x:v>9002300022</x:v>
      </x:c>
      <x:c r="D25" s="32" t="str">
        <x:v>Pamplona</x:v>
      </x:c>
      <x:c r="E25" s="32" t="str">
        <x:v>Monitoreo de alarmas</x:v>
      </x:c>
      <x:c r="F25" s="32" t="str">
        <x:v>Medio</x:v>
      </x:c>
      <x:c r="G25" s="93" t="n">
        <x:v>45244</x:v>
      </x:c>
      <x:c r="H25" s="93" t="n">
        <x:v>45284</x:v>
      </x:c>
      <x:c r="I25" s="94" t="str">
        <x:v>Sí</x:v>
      </x:c>
      <x:c r="J25" s="94" t="str">
        <x:v>Sí</x:v>
      </x:c>
      <x:c r="K25" s="94" t="str">
        <x:v>Sí</x:v>
      </x:c>
      <x:c r="L25" s="94" t="str">
        <x:v>No</x:v>
      </x:c>
      <x:c r="M25" s="94" t="str">
        <x:v>Sí</x:v>
      </x:c>
      <x:c r="N25" s="94" t="str">
        <x:v>Sí</x:v>
      </x:c>
      <x:c r="O25" s="94" t="str">
        <x:v>Sí</x:v>
      </x:c>
      <x:c r="P25" s="94" t="str">
        <x:v>Sí</x:v>
      </x:c>
      <x:c r="Q25" s="95" t="n">
        <x:f>ROUND((COUNTIF(I25:P25,"Sí")+0.5*COUNTIF(I25:P25,"Parcial"))/8,4)</x:f>
        <x:v>0.875</x:v>
      </x:c>
      <x:c r="R25" s="32" t="str">
        <x:f>IF(Q25&gt;=0.85,"Alto",IF(Q25&gt;=0.70,"Medio","Crítico"))</x:f>
        <x:v>Alto</x:v>
      </x:c>
      <x:c r="S25" s="32" t="str">
        <x:f>IF(Q25&gt;=0.85,"Aprobado",IF(Q25&gt;=0.70,"Condicionado","No aprobado"))</x:f>
        <x:v>Aprobado</x:v>
      </x:c>
      <x:c r="T25" s="32" t="str">
        <x:v>Director de Operaciones</x:v>
      </x:c>
      <x:c r="U25" s="93" t="n">
        <x:v>45260</x:v>
      </x:c>
      <x:c r="V25" s="32" t="str">
        <x:v>Pendiente actualización de un soporte menor.</x:v>
      </x:c>
      <x:c r="W25" s="43" t="str">
        <x:v>https://empresa-ejemplo.co/2023/proveedor/23</x:v>
      </x:c>
    </x:row>
    <x:row r="26">
      <x:c r="A26" s="37" t="n">
        <x:v>2023</x:v>
      </x:c>
      <x:c r="B26" s="32" t="str">
        <x:v>Operaciones Tácticas SAS</x:v>
      </x:c>
      <x:c r="C26" s="32" t="str">
        <x:v>9002300023</x:v>
      </x:c>
      <x:c r="D26" s="32" t="str">
        <x:v>Cúcuta</x:v>
      </x:c>
      <x:c r="E26" s="32" t="str">
        <x:v>Mantenimiento CCTV</x:v>
      </x:c>
      <x:c r="F26" s="32" t="str">
        <x:v>Medio</x:v>
      </x:c>
      <x:c r="G26" s="93" t="n">
        <x:v>45278</x:v>
      </x:c>
      <x:c r="H26" s="93" t="n">
        <x:v>45280</x:v>
      </x:c>
      <x:c r="I26" s="94" t="str">
        <x:v>Parcial</x:v>
      </x:c>
      <x:c r="J26" s="94" t="str">
        <x:v>Sí</x:v>
      </x:c>
      <x:c r="K26" s="94" t="str">
        <x:v>Sí</x:v>
      </x:c>
      <x:c r="L26" s="94" t="str">
        <x:v>Sí</x:v>
      </x:c>
      <x:c r="M26" s="94" t="str">
        <x:v>Sí</x:v>
      </x:c>
      <x:c r="N26" s="94" t="str">
        <x:v>Parcial</x:v>
      </x:c>
      <x:c r="O26" s="94" t="str">
        <x:v>Sí</x:v>
      </x:c>
      <x:c r="P26" s="94" t="str">
        <x:v>Parcial</x:v>
      </x:c>
      <x:c r="Q26" s="95" t="n">
        <x:f>ROUND((COUNTIF(I26:P26,"Sí")+0.5*COUNTIF(I26:P26,"Parcial"))/8,4)</x:f>
        <x:v>0.8125</x:v>
      </x:c>
      <x:c r="R26" s="32" t="str">
        <x:f>IF(Q26&gt;=0.85,"Alto",IF(Q26&gt;=0.70,"Medio","Crítico"))</x:f>
        <x:v>Medio</x:v>
      </x:c>
      <x:c r="S26" s="32" t="str">
        <x:f>IF(Q26&gt;=0.85,"Aprobado",IF(Q26&gt;=0.70,"Condicionado","No aprobado"))</x:f>
        <x:v>Condicionado</x:v>
      </x:c>
      <x:c r="T26" s="32" t="str">
        <x:v>Coordinador de Contratistas</x:v>
      </x:c>
      <x:c r="U26" s="93" t="n">
        <x:v>45260</x:v>
      </x:c>
      <x:c r="V26" s="32" t="str">
        <x:v>Proveedor crítico para la operación; seguimiento mensual.</x:v>
      </x:c>
      <x:c r="W26" s="43" t="str">
        <x:v>https://empresa-ejemplo.co/2023/proveedor/24</x:v>
      </x:c>
    </x:row>
    <x:row r="27">
      <x:c r="A27" s="37" t="n">
        <x:v>2023</x:v>
      </x:c>
      <x:c r="B27" s="32" t="str">
        <x:v>Logística Segura del Caribe SAS</x:v>
      </x:c>
      <x:c r="C27" s="32" t="str">
        <x:v>9002300024</x:v>
      </x:c>
      <x:c r="D27" s="32" t="str">
        <x:v>Barrancabermeja</x:v>
      </x:c>
      <x:c r="E27" s="32" t="str">
        <x:v>Mantenimiento de radios y comunicaciones</x:v>
      </x:c>
      <x:c r="F27" s="32" t="str">
        <x:v>Medio</x:v>
      </x:c>
      <x:c r="G27" s="93" t="n">
        <x:v>44930</x:v>
      </x:c>
      <x:c r="H27" s="93" t="n">
        <x:v>45163</x:v>
      </x:c>
      <x:c r="I27" s="94" t="str">
        <x:v>Sí</x:v>
      </x:c>
      <x:c r="J27" s="94" t="str">
        <x:v>Parcial</x:v>
      </x:c>
      <x:c r="K27" s="94" t="str">
        <x:v>Sí</x:v>
      </x:c>
      <x:c r="L27" s="94" t="str">
        <x:v>Sí</x:v>
      </x:c>
      <x:c r="M27" s="94" t="str">
        <x:v>Sí</x:v>
      </x:c>
      <x:c r="N27" s="94" t="str">
        <x:v>Parcial</x:v>
      </x:c>
      <x:c r="O27" s="94" t="str">
        <x:v>Parcial</x:v>
      </x:c>
      <x:c r="P27" s="94" t="str">
        <x:v>No</x:v>
      </x:c>
      <x:c r="Q27" s="95" t="n">
        <x:f>ROUND((COUNTIF(I27:P27,"Sí")+0.5*COUNTIF(I27:P27,"Parcial"))/8,4)</x:f>
        <x:v>0.6875</x:v>
      </x:c>
      <x:c r="R27" s="32" t="str">
        <x:f>IF(Q27&gt;=0.85,"Alto",IF(Q27&gt;=0.70,"Medio","Crítico"))</x:f>
        <x:v>Crítico</x:v>
      </x:c>
      <x:c r="S27" s="32" t="str">
        <x:f>IF(Q27&gt;=0.85,"Aprobado",IF(Q27&gt;=0.70,"Condicionado","No aprobado"))</x:f>
        <x:v>No aprobado</x:v>
      </x:c>
      <x:c r="T27" s="32" t="str">
        <x:v>Líder SST</x:v>
      </x:c>
      <x:c r="U27" s="93" t="n">
        <x:v>45163</x:v>
      </x:c>
      <x:c r="V27" s="32" t="str">
        <x:v>Pendiente reinducción SST por cambio de personal.</x:v>
      </x:c>
      <x:c r="W27" s="43" t="str">
        <x:v>https://empresa-ejemplo.co/2023/proveedor/25</x:v>
      </x:c>
    </x:row>
    <x:row r="28">
      <x:c r="A28" s="37" t="n">
        <x:v>2023</x:v>
      </x:c>
      <x:c r="B28" s="32" t="str">
        <x:v>Segurcol Ltda.</x:v>
      </x:c>
      <x:c r="C28" s="32" t="str">
        <x:v>9002300025</x:v>
      </x:c>
      <x:c r="D28" s="32" t="str">
        <x:v>Ocaña</x:v>
      </x:c>
      <x:c r="E28" s="32" t="str">
        <x:v>Dotación y uniformes</x:v>
      </x:c>
      <x:c r="F28" s="32" t="str">
        <x:v>Medio</x:v>
      </x:c>
      <x:c r="G28" s="93" t="n">
        <x:v>44963</x:v>
      </x:c>
      <x:c r="H28" s="93" t="n">
        <x:v>45102</x:v>
      </x:c>
      <x:c r="I28" s="94" t="str">
        <x:v>Sí</x:v>
      </x:c>
      <x:c r="J28" s="94" t="str">
        <x:v>Sí</x:v>
      </x:c>
      <x:c r="K28" s="94" t="str">
        <x:v>Sí</x:v>
      </x:c>
      <x:c r="L28" s="94" t="str">
        <x:v>Sí</x:v>
      </x:c>
      <x:c r="M28" s="94" t="str">
        <x:v>Sí</x:v>
      </x:c>
      <x:c r="N28" s="94" t="str">
        <x:v>Sí</x:v>
      </x:c>
      <x:c r="O28" s="94" t="str">
        <x:v>Sí</x:v>
      </x:c>
      <x:c r="P28" s="94" t="str">
        <x:v>Sí</x:v>
      </x:c>
      <x:c r="Q28" s="95" t="n">
        <x:f>ROUND((COUNTIF(I28:P28,"Sí")+0.5*COUNTIF(I28:P28,"Parcial"))/8,4)</x:f>
        <x:v>1</x:v>
      </x:c>
      <x:c r="R28" s="32" t="str">
        <x:f>IF(Q28&gt;=0.85,"Alto",IF(Q28&gt;=0.70,"Medio","Crítico"))</x:f>
        <x:v>Alto</x:v>
      </x:c>
      <x:c r="S28" s="32" t="str">
        <x:f>IF(Q28&gt;=0.85,"Aprobado",IF(Q28&gt;=0.70,"Condicionado","No aprobado"))</x:f>
        <x:v>Aprobado</x:v>
      </x:c>
      <x:c r="T28" s="32" t="str">
        <x:v>Director de Operaciones</x:v>
      </x:c>
      <x:c r="U28" s="93" t="n">
        <x:v>45102</x:v>
      </x:c>
      <x:c r="V28" s="32" t="str">
        <x:v>Se programó auditoría documental complementaria.</x:v>
      </x:c>
      <x:c r="W28" s="43" t="str">
        <x:v>https://empresa-ejemplo.co/2023/proveedor/26</x:v>
      </x:c>
    </x:row>
    <x:row r="29">
      <x:c r="A29" s="37" t="n">
        <x:v>2023</x:v>
      </x:c>
      <x:c r="B29" s="32" t="str">
        <x:v>Protección Integral SAS</x:v>
      </x:c>
      <x:c r="C29" s="32" t="str">
        <x:v>9002300026</x:v>
      </x:c>
      <x:c r="D29" s="32" t="str">
        <x:v>Girón</x:v>
      </x:c>
      <x:c r="E29" s="32" t="str">
        <x:v>Elementos de protección personal</x:v>
      </x:c>
      <x:c r="F29" s="32" t="str">
        <x:v>Medio</x:v>
      </x:c>
      <x:c r="G29" s="93" t="n">
        <x:v>44992</x:v>
      </x:c>
      <x:c r="H29" s="93" t="n">
        <x:v>45226</x:v>
      </x:c>
      <x:c r="I29" s="94" t="str">
        <x:v>Sí</x:v>
      </x:c>
      <x:c r="J29" s="94" t="str">
        <x:v>Parcial</x:v>
      </x:c>
      <x:c r="K29" s="94" t="str">
        <x:v>Parcial</x:v>
      </x:c>
      <x:c r="L29" s="94" t="str">
        <x:v>Sí</x:v>
      </x:c>
      <x:c r="M29" s="94" t="str">
        <x:v>Sí</x:v>
      </x:c>
      <x:c r="N29" s="94" t="str">
        <x:v>Sí</x:v>
      </x:c>
      <x:c r="O29" s="94" t="str">
        <x:v>Sí</x:v>
      </x:c>
      <x:c r="P29" s="94" t="str">
        <x:v>Sí</x:v>
      </x:c>
      <x:c r="Q29" s="95" t="n">
        <x:f>ROUND((COUNTIF(I29:P29,"Sí")+0.5*COUNTIF(I29:P29,"Parcial"))/8,4)</x:f>
        <x:v>0.875</x:v>
      </x:c>
      <x:c r="R29" s="32" t="str">
        <x:f>IF(Q29&gt;=0.85,"Alto",IF(Q29&gt;=0.70,"Medio","Crítico"))</x:f>
        <x:v>Alto</x:v>
      </x:c>
      <x:c r="S29" s="32" t="str">
        <x:f>IF(Q29&gt;=0.85,"Aprobado",IF(Q29&gt;=0.70,"Condicionado","No aprobado"))</x:f>
        <x:v>Aprobado</x:v>
      </x:c>
      <x:c r="T29" s="32" t="str">
        <x:v>Coordinador de Contratistas</x:v>
      </x:c>
      <x:c r="U29" s="93" t="n">
        <x:v>45226</x:v>
      </x:c>
      <x:c r="V29" s="32" t="str">
        <x:v>Verificación realizada en visita de sede.</x:v>
      </x:c>
      <x:c r="W29" s="43" t="str">
        <x:v>https://empresa-ejemplo.co/2023/proveedor/27</x:v>
      </x:c>
    </x:row>
    <x:row r="30">
      <x:c r="A30" s="76" t="n">
        <x:v>2023</x:v>
      </x:c>
      <x:c r="B30" s="45" t="str">
        <x:v>Monitoreo Nacional SAS</x:v>
      </x:c>
      <x:c r="C30" s="45" t="str">
        <x:v>9002300027</x:v>
      </x:c>
      <x:c r="D30" s="45" t="str">
        <x:v>Valledupar</x:v>
      </x:c>
      <x:c r="E30" s="45" t="str">
        <x:v>Capacitación SST</x:v>
      </x:c>
      <x:c r="F30" s="45" t="str">
        <x:v>Medio</x:v>
      </x:c>
      <x:c r="G30" s="96" t="n">
        <x:v>45034</x:v>
      </x:c>
      <x:c r="H30" s="96" t="n">
        <x:v>45285</x:v>
      </x:c>
      <x:c r="I30" s="97" t="str">
        <x:v>Parcial</x:v>
      </x:c>
      <x:c r="J30" s="97" t="str">
        <x:v>Sí</x:v>
      </x:c>
      <x:c r="K30" s="97" t="str">
        <x:v>No</x:v>
      </x:c>
      <x:c r="L30" s="97" t="str">
        <x:v>Sí</x:v>
      </x:c>
      <x:c r="M30" s="97" t="str">
        <x:v>No</x:v>
      </x:c>
      <x:c r="N30" s="97" t="str">
        <x:v>Sí</x:v>
      </x:c>
      <x:c r="O30" s="97" t="str">
        <x:v>Sí</x:v>
      </x:c>
      <x:c r="P30" s="97" t="str">
        <x:v>Sí</x:v>
      </x:c>
      <x:c r="Q30" s="98" t="n">
        <x:f>ROUND((COUNTIF(I30:P30,"Sí")+0.5*COUNTIF(I30:P30,"Parcial"))/8,4)</x:f>
        <x:v>0.6875</x:v>
      </x:c>
      <x:c r="R30" s="45" t="str">
        <x:f>IF(Q30&gt;=0.85,"Alto",IF(Q30&gt;=0.70,"Medio","Crítico"))</x:f>
        <x:v>Crítico</x:v>
      </x:c>
      <x:c r="S30" s="45" t="str">
        <x:f>IF(Q30&gt;=0.85,"Aprobado",IF(Q30&gt;=0.70,"Condicionado","No aprobado"))</x:f>
        <x:v>No aprobado</x:v>
      </x:c>
      <x:c r="T30" s="45" t="str">
        <x:v>Coordinador de Contratistas</x:v>
      </x:c>
      <x:c r="U30" s="96" t="n">
        <x:v>45260</x:v>
      </x:c>
      <x:c r="V30" s="45" t="str">
        <x:v>Pendiente reinducción SST por cambio de personal.</x:v>
      </x:c>
      <x:c r="W30" s="46" t="str">
        <x:v>https://empresa-ejemplo.co/2023/proveedor/28</x:v>
      </x:c>
    </x:row>
  </x:sheetData>
  <x:mergeCells>
    <x:mergeCell ref="A1:W1"/>
  </x:mergeCells>
  <x:conditionalFormatting sqref="Q3:Q30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conditionalFormatting sqref="S3:S30">
    <x:cfRule type="expression" dxfId="0" priority="2">
      <x:formula>S3="No aprobado"</x:formula>
    </x:cfRule>
    <x:cfRule type="expression" dxfId="1" priority="3">
      <x:formula>S3="Condicionado"</x:formula>
    </x:cfRule>
    <x:cfRule type="expression" dxfId="2" priority="4">
      <x:formula>S3="Aprobado"</x:formula>
    </x:cfRule>
  </x:conditionalFormatting>
  <x:dataValidations count="11">
    <x:dataValidation type="list" sqref="I3:I30">
      <x:formula1>Catálogos!$G$4:$G$6</x:formula1>
    </x:dataValidation>
    <x:dataValidation type="list" sqref="J3:J30">
      <x:formula1>Catálogos!$G$4:$G$6</x:formula1>
    </x:dataValidation>
    <x:dataValidation type="list" sqref="K3:K30">
      <x:formula1>Catálogos!$G$4:$G$6</x:formula1>
    </x:dataValidation>
    <x:dataValidation type="list" sqref="L3:L30">
      <x:formula1>Catálogos!$G$4:$G$6</x:formula1>
    </x:dataValidation>
    <x:dataValidation type="list" sqref="M3:M30">
      <x:formula1>Catálogos!$G$4:$G$6</x:formula1>
    </x:dataValidation>
    <x:dataValidation type="list" sqref="N3:N30">
      <x:formula1>Catálogos!$G$4:$G$6</x:formula1>
    </x:dataValidation>
    <x:dataValidation type="list" sqref="O3:O30">
      <x:formula1>Catálogos!$G$4:$G$6</x:formula1>
    </x:dataValidation>
    <x:dataValidation type="list" sqref="P3:P30">
      <x:formula1>Catálogos!$G$4:$G$6</x:formula1>
    </x:dataValidation>
    <x:dataValidation type="list" sqref="D3:D30">
      <x:formula1>Catálogos!$C$4:$C$14</x:formula1>
    </x:dataValidation>
    <x:dataValidation type="list" sqref="F3:F30">
      <x:formula1>Catálogos!$E$4:$E$6</x:formula1>
    </x:dataValidation>
    <x:dataValidation type="list" sqref="T3:T30">
      <x:formula1>Catálogos!$I$4:$I$8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a9405b471e4e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30" hidden="0" customWidth="1"/>
    <x:col min="23" max="23" width="28" hidden="0" customWidth="1"/>
  </x:cols>
  <x:sheetData>
    <x:row r="1">
      <x:c r="A1" s="5" t="str">
        <x:v>Gestión de Proveedores y Contratistas - 2024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73" t="str">
        <x:v>Año</x:v>
      </x:c>
      <x:c r="B2" s="74" t="str">
        <x:v>Razón Social</x:v>
      </x:c>
      <x:c r="C2" s="74" t="str">
        <x:v>NIT</x:v>
      </x:c>
      <x:c r="D2" s="74" t="str">
        <x:v>Sede</x:v>
      </x:c>
      <x:c r="E2" s="74" t="str">
        <x:v>Servicio contratado</x:v>
      </x:c>
      <x:c r="F2" s="74" t="str">
        <x:v>Nivel de riesgo</x:v>
      </x:c>
      <x:c r="G2" s="74" t="str">
        <x:v>Fecha inicio contrato</x:v>
      </x:c>
      <x:c r="H2" s="74" t="str">
        <x:v>Fecha fin contrato</x:v>
      </x:c>
      <x:c r="I2" s="74" t="str">
        <x:v>Afiliación SGRL</x:v>
      </x:c>
      <x:c r="J2" s="74" t="str">
        <x:v>Inducción SST</x:v>
      </x:c>
      <x:c r="K2" s="74" t="str">
        <x:v>EPP entregados</x:v>
      </x:c>
      <x:c r="L2" s="74" t="str">
        <x:v>EMO vigentes</x:v>
      </x:c>
      <x:c r="M2" s="74" t="str">
        <x:v>Reglamento HSE firmado</x:v>
      </x:c>
      <x:c r="N2" s="74" t="str">
        <x:v>Capacitación riesgos específicos</x:v>
      </x:c>
      <x:c r="O2" s="74" t="str">
        <x:v>Certificación de competencias</x:v>
      </x:c>
      <x:c r="P2" s="74" t="str">
        <x:v>Documento sectorial / licencia</x:v>
      </x:c>
      <x:c r="Q2" s="74" t="str">
        <x:v>% Cumplimiento</x:v>
      </x:c>
      <x:c r="R2" s="74" t="str">
        <x:v>Nivel de cumplimiento</x:v>
      </x:c>
      <x:c r="S2" s="74" t="str">
        <x:v>Estado general</x:v>
      </x:c>
      <x:c r="T2" s="74" t="str">
        <x:v>Responsable seguimiento</x:v>
      </x:c>
      <x:c r="U2" s="74" t="str">
        <x:v>Fecha última verificación</x:v>
      </x:c>
      <x:c r="V2" s="74" t="str">
        <x:v>Observaciones</x:v>
      </x:c>
      <x:c r="W2" s="75" t="str">
        <x:v>Fuente / Soporte</x:v>
      </x:c>
    </x:row>
    <x:row r="3">
      <x:c r="A3" s="37" t="n">
        <x:v>2024</x:v>
      </x:c>
      <x:c r="B3" s="32" t="str">
        <x:v>Segurcol Ltda.</x:v>
      </x:c>
      <x:c r="C3" s="32" t="str">
        <x:v>9002400000</x:v>
      </x:c>
      <x:c r="D3" s="32" t="str">
        <x:v>Cúcuta</x:v>
      </x:c>
      <x:c r="E3" s="32" t="str">
        <x:v>Seguridad física fija</x:v>
      </x:c>
      <x:c r="F3" s="32" t="str">
        <x:v>Alto</x:v>
      </x:c>
      <x:c r="G3" s="93" t="n">
        <x:v>45304</x:v>
      </x:c>
      <x:c r="H3" s="93" t="n">
        <x:v>45466</x:v>
      </x:c>
      <x:c r="I3" s="94" t="str">
        <x:v>Sí</x:v>
      </x:c>
      <x:c r="J3" s="94" t="str">
        <x:v>Sí</x:v>
      </x:c>
      <x:c r="K3" s="94" t="str">
        <x:v>Sí</x:v>
      </x:c>
      <x:c r="L3" s="94" t="str">
        <x:v>Parcial</x:v>
      </x:c>
      <x:c r="M3" s="94" t="str">
        <x:v>Sí</x:v>
      </x:c>
      <x:c r="N3" s="94" t="str">
        <x:v>Sí</x:v>
      </x:c>
      <x:c r="O3" s="94" t="str">
        <x:v>Sí</x:v>
      </x:c>
      <x:c r="P3" s="94" t="str">
        <x:v>Sí</x:v>
      </x:c>
      <x:c r="Q3" s="95" t="n">
        <x:f>ROUND((COUNTIF(I3:P3,"Sí")+0.5*COUNTIF(I3:P3,"Parcial"))/8,4)</x:f>
        <x:v>0.9375</x:v>
      </x:c>
      <x:c r="R3" s="32" t="str">
        <x:f>IF(Q3&gt;=0.85,"Alto",IF(Q3&gt;=0.70,"Medio","Crítico"))</x:f>
        <x:v>Alto</x:v>
      </x:c>
      <x:c r="S3" s="32" t="str">
        <x:f>IF(Q3&gt;=0.85,"Aprobado",IF(Q3&gt;=0.70,"Condicionado","No aprobado"))</x:f>
        <x:v>Aprobado</x:v>
      </x:c>
      <x:c r="T3" s="32" t="str">
        <x:v>Director de Operaciones</x:v>
      </x:c>
      <x:c r="U3" s="93" t="n">
        <x:v>45466</x:v>
      </x:c>
      <x:c r="V3" s="32" t="str">
        <x:v>Verificación realizada en visita de sede.</x:v>
      </x:c>
      <x:c r="W3" s="43" t="str">
        <x:v>https://empresa-ejemplo.co/2024/proveedor/1</x:v>
      </x:c>
    </x:row>
    <x:row r="4">
      <x:c r="A4" s="37" t="n">
        <x:v>2024</x:v>
      </x:c>
      <x:c r="B4" s="32" t="str">
        <x:v>Protección Integral SAS</x:v>
      </x:c>
      <x:c r="C4" s="32" t="str">
        <x:v>9002400001</x:v>
      </x:c>
      <x:c r="D4" s="32" t="str">
        <x:v>Barrancabermeja</x:v>
      </x:c>
      <x:c r="E4" s="32" t="str">
        <x:v>Escolta y protección</x:v>
      </x:c>
      <x:c r="F4" s="32" t="str">
        <x:v>Alto</x:v>
      </x:c>
      <x:c r="G4" s="93" t="n">
        <x:v>45326</x:v>
      </x:c>
      <x:c r="H4" s="93" t="n">
        <x:v>45620</x:v>
      </x:c>
      <x:c r="I4" s="94" t="str">
        <x:v>Sí</x:v>
      </x:c>
      <x:c r="J4" s="94" t="str">
        <x:v>Sí</x:v>
      </x:c>
      <x:c r="K4" s="94" t="str">
        <x:v>Sí</x:v>
      </x:c>
      <x:c r="L4" s="94" t="str">
        <x:v>Sí</x:v>
      </x:c>
      <x:c r="M4" s="94" t="str">
        <x:v>Sí</x:v>
      </x:c>
      <x:c r="N4" s="94" t="str">
        <x:v>Sí</x:v>
      </x:c>
      <x:c r="O4" s="94" t="str">
        <x:v>Sí</x:v>
      </x:c>
      <x:c r="P4" s="94" t="str">
        <x:v>Sí</x:v>
      </x:c>
      <x:c r="Q4" s="95" t="n">
        <x:f>ROUND((COUNTIF(I4:P4,"Sí")+0.5*COUNTIF(I4:P4,"Parcial"))/8,4)</x:f>
        <x:v>1</x:v>
      </x:c>
      <x:c r="R4" s="32" t="str">
        <x:f>IF(Q4&gt;=0.85,"Alto",IF(Q4&gt;=0.70,"Medio","Crítico"))</x:f>
        <x:v>Alto</x:v>
      </x:c>
      <x:c r="S4" s="32" t="str">
        <x:f>IF(Q4&gt;=0.85,"Aprobado",IF(Q4&gt;=0.70,"Condicionado","No aprobado"))</x:f>
        <x:v>Aprobado</x:v>
      </x:c>
      <x:c r="T4" s="32" t="str">
        <x:v>Líder SST</x:v>
      </x:c>
      <x:c r="U4" s="93" t="n">
        <x:v>45620</x:v>
      </x:c>
      <x:c r="V4" s="32" t="str">
        <x:v>Cumplimiento estable y contrato renovado.</x:v>
      </x:c>
      <x:c r="W4" s="43" t="str">
        <x:v>https://empresa-ejemplo.co/2024/proveedor/2</x:v>
      </x:c>
    </x:row>
    <x:row r="5">
      <x:c r="A5" s="37" t="n">
        <x:v>2024</x:v>
      </x:c>
      <x:c r="B5" s="32" t="str">
        <x:v>Monitoreo Nacional SAS</x:v>
      </x:c>
      <x:c r="C5" s="32" t="str">
        <x:v>9002400002</x:v>
      </x:c>
      <x:c r="D5" s="32" t="str">
        <x:v>Ocaña</x:v>
      </x:c>
      <x:c r="E5" s="32" t="str">
        <x:v>Monitoreo de alarmas</x:v>
      </x:c>
      <x:c r="F5" s="32" t="str">
        <x:v>Medio</x:v>
      </x:c>
      <x:c r="G5" s="93" t="n">
        <x:v>45369</x:v>
      </x:c>
      <x:c r="H5" s="93" t="n">
        <x:v>45646</x:v>
      </x:c>
      <x:c r="I5" s="94" t="str">
        <x:v>Sí</x:v>
      </x:c>
      <x:c r="J5" s="94" t="str">
        <x:v>Sí</x:v>
      </x:c>
      <x:c r="K5" s="94" t="str">
        <x:v>Sí</x:v>
      </x:c>
      <x:c r="L5" s="94" t="str">
        <x:v>Sí</x:v>
      </x:c>
      <x:c r="M5" s="94" t="str">
        <x:v>Sí</x:v>
      </x:c>
      <x:c r="N5" s="94" t="str">
        <x:v>Sí</x:v>
      </x:c>
      <x:c r="O5" s="94" t="str">
        <x:v>Sí</x:v>
      </x:c>
      <x:c r="P5" s="94" t="str">
        <x:v>Sí</x:v>
      </x:c>
      <x:c r="Q5" s="95" t="n">
        <x:f>ROUND((COUNTIF(I5:P5,"Sí")+0.5*COUNTIF(I5:P5,"Parcial"))/8,4)</x:f>
        <x:v>1</x:v>
      </x:c>
      <x:c r="R5" s="32" t="str">
        <x:f>IF(Q5&gt;=0.85,"Alto",IF(Q5&gt;=0.70,"Medio","Crítico"))</x:f>
        <x:v>Alto</x:v>
      </x:c>
      <x:c r="S5" s="32" t="str">
        <x:f>IF(Q5&gt;=0.85,"Aprobado",IF(Q5&gt;=0.70,"Condicionado","No aprobado"))</x:f>
        <x:v>Aprobado</x:v>
      </x:c>
      <x:c r="T5" s="32" t="str">
        <x:v>Líder SST</x:v>
      </x:c>
      <x:c r="U5" s="93" t="n">
        <x:v>45626</x:v>
      </x:c>
      <x:c r="V5" s="32" t="str">
        <x:v>Pendiente actualización de un soporte menor.</x:v>
      </x:c>
      <x:c r="W5" s="43" t="str">
        <x:v>https://empresa-ejemplo.co/2024/proveedor/3</x:v>
      </x:c>
    </x:row>
    <x:row r="6">
      <x:c r="A6" s="37" t="n">
        <x:v>2024</x:v>
      </x:c>
      <x:c r="B6" s="32" t="str">
        <x:v>CCTV Andino SAS</x:v>
      </x:c>
      <x:c r="C6" s="32" t="str">
        <x:v>9002400003</x:v>
      </x:c>
      <x:c r="D6" s="32" t="str">
        <x:v>Girón</x:v>
      </x:c>
      <x:c r="E6" s="32" t="str">
        <x:v>Mantenimiento CCTV</x:v>
      </x:c>
      <x:c r="F6" s="32" t="str">
        <x:v>Medio</x:v>
      </x:c>
      <x:c r="G6" s="93" t="n">
        <x:v>45399</x:v>
      </x:c>
      <x:c r="H6" s="93" t="n">
        <x:v>45651</x:v>
      </x:c>
      <x:c r="I6" s="94" t="str">
        <x:v>Sí</x:v>
      </x:c>
      <x:c r="J6" s="94" t="str">
        <x:v>Parcial</x:v>
      </x:c>
      <x:c r="K6" s="94" t="str">
        <x:v>Sí</x:v>
      </x:c>
      <x:c r="L6" s="94" t="str">
        <x:v>Sí</x:v>
      </x:c>
      <x:c r="M6" s="94" t="str">
        <x:v>Sí</x:v>
      </x:c>
      <x:c r="N6" s="94" t="str">
        <x:v>Sí</x:v>
      </x:c>
      <x:c r="O6" s="94" t="str">
        <x:v>Sí</x:v>
      </x:c>
      <x:c r="P6" s="94" t="str">
        <x:v>Parcial</x:v>
      </x:c>
      <x:c r="Q6" s="95" t="n">
        <x:f>ROUND((COUNTIF(I6:P6,"Sí")+0.5*COUNTIF(I6:P6,"Parcial"))/8,4)</x:f>
        <x:v>0.875</x:v>
      </x:c>
      <x:c r="R6" s="32" t="str">
        <x:f>IF(Q6&gt;=0.85,"Alto",IF(Q6&gt;=0.70,"Medio","Crítico"))</x:f>
        <x:v>Alto</x:v>
      </x:c>
      <x:c r="S6" s="32" t="str">
        <x:f>IF(Q6&gt;=0.85,"Aprobado",IF(Q6&gt;=0.70,"Condicionado","No aprobado"))</x:f>
        <x:v>Aprobado</x:v>
      </x:c>
      <x:c r="T6" s="32" t="str">
        <x:v>Jefe Administrativo</x:v>
      </x:c>
      <x:c r="U6" s="93" t="n">
        <x:v>45626</x:v>
      </x:c>
      <x:c r="V6" s="32" t="str">
        <x:v>Pendiente actualización de un soporte menor.</x:v>
      </x:c>
      <x:c r="W6" s="43" t="str">
        <x:v>https://empresa-ejemplo.co/2024/proveedor/4</x:v>
      </x:c>
    </x:row>
    <x:row r="7">
      <x:c r="A7" s="37" t="n">
        <x:v>2024</x:v>
      </x:c>
      <x:c r="B7" s="32" t="str">
        <x:v>Comunicaciones Norte Ltda.</x:v>
      </x:c>
      <x:c r="C7" s="32" t="str">
        <x:v>9002400004</x:v>
      </x:c>
      <x:c r="D7" s="32" t="str">
        <x:v>Valledupar</x:v>
      </x:c>
      <x:c r="E7" s="32" t="str">
        <x:v>Mantenimiento de radios y comunicaciones</x:v>
      </x:c>
      <x:c r="F7" s="32" t="str">
        <x:v>Medio</x:v>
      </x:c>
      <x:c r="G7" s="93" t="n">
        <x:v>45426</x:v>
      </x:c>
      <x:c r="H7" s="93" t="n">
        <x:v>45649</x:v>
      </x:c>
      <x:c r="I7" s="94" t="str">
        <x:v>Sí</x:v>
      </x:c>
      <x:c r="J7" s="94" t="str">
        <x:v>Sí</x:v>
      </x:c>
      <x:c r="K7" s="94" t="str">
        <x:v>Sí</x:v>
      </x:c>
      <x:c r="L7" s="94" t="str">
        <x:v>Sí</x:v>
      </x:c>
      <x:c r="M7" s="94" t="str">
        <x:v>Sí</x:v>
      </x:c>
      <x:c r="N7" s="94" t="str">
        <x:v>Parcial</x:v>
      </x:c>
      <x:c r="O7" s="94" t="str">
        <x:v>Sí</x:v>
      </x:c>
      <x:c r="P7" s="94" t="str">
        <x:v>Parcial</x:v>
      </x:c>
      <x:c r="Q7" s="95" t="n">
        <x:f>ROUND((COUNTIF(I7:P7,"Sí")+0.5*COUNTIF(I7:P7,"Parcial"))/8,4)</x:f>
        <x:v>0.875</x:v>
      </x:c>
      <x:c r="R7" s="32" t="str">
        <x:f>IF(Q7&gt;=0.85,"Alto",IF(Q7&gt;=0.70,"Medio","Crítico"))</x:f>
        <x:v>Alto</x:v>
      </x:c>
      <x:c r="S7" s="32" t="str">
        <x:f>IF(Q7&gt;=0.85,"Aprobado",IF(Q7&gt;=0.70,"Condicionado","No aprobado"))</x:f>
        <x:v>Aprobado</x:v>
      </x:c>
      <x:c r="T7" s="32" t="str">
        <x:v>Analista SST</x:v>
      </x:c>
      <x:c r="U7" s="93" t="n">
        <x:v>45626</x:v>
      </x:c>
      <x:c r="V7" s="32" t="str">
        <x:v>Proveedor crítico para la operación; seguimiento mensual.</x:v>
      </x:c>
      <x:c r="W7" s="43" t="str">
        <x:v>https://empresa-ejemplo.co/2024/proveedor/5</x:v>
      </x:c>
    </x:row>
    <x:row r="8">
      <x:c r="A8" s="37" t="n">
        <x:v>2024</x:v>
      </x:c>
      <x:c r="B8" s="32" t="str">
        <x:v>Dotaciones Escudo SAS</x:v>
      </x:c>
      <x:c r="C8" s="32" t="str">
        <x:v>9002400005</x:v>
      </x:c>
      <x:c r="D8" s="32" t="str">
        <x:v>Arauca</x:v>
      </x:c>
      <x:c r="E8" s="32" t="str">
        <x:v>Dotación y uniformes</x:v>
      </x:c>
      <x:c r="F8" s="32" t="str">
        <x:v>Medio</x:v>
      </x:c>
      <x:c r="G8" s="93" t="n">
        <x:v>45460</x:v>
      </x:c>
      <x:c r="H8" s="93" t="n">
        <x:v>45653</x:v>
      </x:c>
      <x:c r="I8" s="94" t="str">
        <x:v>Sí</x:v>
      </x:c>
      <x:c r="J8" s="94" t="str">
        <x:v>Sí</x:v>
      </x:c>
      <x:c r="K8" s="94" t="str">
        <x:v>Sí</x:v>
      </x:c>
      <x:c r="L8" s="94" t="str">
        <x:v>Sí</x:v>
      </x:c>
      <x:c r="M8" s="94" t="str">
        <x:v>Sí</x:v>
      </x:c>
      <x:c r="N8" s="94" t="str">
        <x:v>Sí</x:v>
      </x:c>
      <x:c r="O8" s="94" t="str">
        <x:v>Parcial</x:v>
      </x:c>
      <x:c r="P8" s="94" t="str">
        <x:v>Sí</x:v>
      </x:c>
      <x:c r="Q8" s="95" t="n">
        <x:f>ROUND((COUNTIF(I8:P8,"Sí")+0.5*COUNTIF(I8:P8,"Parcial"))/8,4)</x:f>
        <x:v>0.9375</x:v>
      </x:c>
      <x:c r="R8" s="32" t="str">
        <x:f>IF(Q8&gt;=0.85,"Alto",IF(Q8&gt;=0.70,"Medio","Crítico"))</x:f>
        <x:v>Alto</x:v>
      </x:c>
      <x:c r="S8" s="32" t="str">
        <x:f>IF(Q8&gt;=0.85,"Aprobado",IF(Q8&gt;=0.70,"Condicionado","No aprobado"))</x:f>
        <x:v>Aprobado</x:v>
      </x:c>
      <x:c r="T8" s="32" t="str">
        <x:v>Analista SST</x:v>
      </x:c>
      <x:c r="U8" s="93" t="n">
        <x:v>45626</x:v>
      </x:c>
      <x:c r="V8" s="32" t="str">
        <x:v>Pendiente reinducción SST por cambio de personal.</x:v>
      </x:c>
      <x:c r="W8" s="43" t="str">
        <x:v>https://empresa-ejemplo.co/2024/proveedor/6</x:v>
      </x:c>
    </x:row>
    <x:row r="9">
      <x:c r="A9" s="37" t="n">
        <x:v>2024</x:v>
      </x:c>
      <x:c r="B9" s="32" t="str">
        <x:v>EPP Industrial SAS</x:v>
      </x:c>
      <x:c r="C9" s="32" t="str">
        <x:v>9002400006</x:v>
      </x:c>
      <x:c r="D9" s="32" t="str">
        <x:v>Bogotá</x:v>
      </x:c>
      <x:c r="E9" s="32" t="str">
        <x:v>Elementos de protección personal</x:v>
      </x:c>
      <x:c r="F9" s="32" t="str">
        <x:v>Medio</x:v>
      </x:c>
      <x:c r="G9" s="93" t="n">
        <x:v>45479</x:v>
      </x:c>
      <x:c r="H9" s="93" t="n">
        <x:v>45653</x:v>
      </x:c>
      <x:c r="I9" s="94" t="str">
        <x:v>Sí</x:v>
      </x:c>
      <x:c r="J9" s="94" t="str">
        <x:v>Sí</x:v>
      </x:c>
      <x:c r="K9" s="94" t="str">
        <x:v>Sí</x:v>
      </x:c>
      <x:c r="L9" s="94" t="str">
        <x:v>Sí</x:v>
      </x:c>
      <x:c r="M9" s="94" t="str">
        <x:v>Sí</x:v>
      </x:c>
      <x:c r="N9" s="94" t="str">
        <x:v>Sí</x:v>
      </x:c>
      <x:c r="O9" s="94" t="str">
        <x:v>Sí</x:v>
      </x:c>
      <x:c r="P9" s="94" t="str">
        <x:v>Sí</x:v>
      </x:c>
      <x:c r="Q9" s="95" t="n">
        <x:f>ROUND((COUNTIF(I9:P9,"Sí")+0.5*COUNTIF(I9:P9,"Parcial"))/8,4)</x:f>
        <x:v>1</x:v>
      </x:c>
      <x:c r="R9" s="32" t="str">
        <x:f>IF(Q9&gt;=0.85,"Alto",IF(Q9&gt;=0.70,"Medio","Crítico"))</x:f>
        <x:v>Alto</x:v>
      </x:c>
      <x:c r="S9" s="32" t="str">
        <x:f>IF(Q9&gt;=0.85,"Aprobado",IF(Q9&gt;=0.70,"Condicionado","No aprobado"))</x:f>
        <x:v>Aprobado</x:v>
      </x:c>
      <x:c r="T9" s="32" t="str">
        <x:v>Coordinador de Contratistas</x:v>
      </x:c>
      <x:c r="U9" s="93" t="n">
        <x:v>45626</x:v>
      </x:c>
      <x:c r="V9" s="32" t="str">
        <x:v>Proveedor crítico para la operación; seguimiento mensual.</x:v>
      </x:c>
      <x:c r="W9" s="43" t="str">
        <x:v>https://empresa-ejemplo.co/2024/proveedor/7</x:v>
      </x:c>
    </x:row>
    <x:row r="10">
      <x:c r="A10" s="37" t="n">
        <x:v>2024</x:v>
      </x:c>
      <x:c r="B10" s="32" t="str">
        <x:v>Formación Preventiva SAS</x:v>
      </x:c>
      <x:c r="C10" s="32" t="str">
        <x:v>9002400007</x:v>
      </x:c>
      <x:c r="D10" s="32" t="str">
        <x:v>Tibú</x:v>
      </x:c>
      <x:c r="E10" s="32" t="str">
        <x:v>Capacitación SST</x:v>
      </x:c>
      <x:c r="F10" s="32" t="str">
        <x:v>Medio</x:v>
      </x:c>
      <x:c r="G10" s="93" t="n">
        <x:v>45515</x:v>
      </x:c>
      <x:c r="H10" s="93" t="n">
        <x:v>45651</x:v>
      </x:c>
      <x:c r="I10" s="94" t="str">
        <x:v>Parcial</x:v>
      </x:c>
      <x:c r="J10" s="94" t="str">
        <x:v>Sí</x:v>
      </x:c>
      <x:c r="K10" s="94" t="str">
        <x:v>Sí</x:v>
      </x:c>
      <x:c r="L10" s="94" t="str">
        <x:v>Sí</x:v>
      </x:c>
      <x:c r="M10" s="94" t="str">
        <x:v>Sí</x:v>
      </x:c>
      <x:c r="N10" s="94" t="str">
        <x:v>Sí</x:v>
      </x:c>
      <x:c r="O10" s="94" t="str">
        <x:v>Sí</x:v>
      </x:c>
      <x:c r="P10" s="94" t="str">
        <x:v>Sí</x:v>
      </x:c>
      <x:c r="Q10" s="95" t="n">
        <x:f>ROUND((COUNTIF(I10:P10,"Sí")+0.5*COUNTIF(I10:P10,"Parcial"))/8,4)</x:f>
        <x:v>0.9375</x:v>
      </x:c>
      <x:c r="R10" s="32" t="str">
        <x:f>IF(Q10&gt;=0.85,"Alto",IF(Q10&gt;=0.70,"Medio","Crítico"))</x:f>
        <x:v>Alto</x:v>
      </x:c>
      <x:c r="S10" s="32" t="str">
        <x:f>IF(Q10&gt;=0.85,"Aprobado",IF(Q10&gt;=0.70,"Condicionado","No aprobado"))</x:f>
        <x:v>Aprobado</x:v>
      </x:c>
      <x:c r="T10" s="32" t="str">
        <x:v>Analista SST</x:v>
      </x:c>
      <x:c r="U10" s="93" t="n">
        <x:v>45626</x:v>
      </x:c>
      <x:c r="V10" s="32" t="str">
        <x:v>Pendiente reinducción SST por cambio de personal.</x:v>
      </x:c>
      <x:c r="W10" s="43" t="str">
        <x:v>https://empresa-ejemplo.co/2024/proveedor/8</x:v>
      </x:c>
    </x:row>
    <x:row r="11">
      <x:c r="A11" s="37" t="n">
        <x:v>2024</x:v>
      </x:c>
      <x:c r="B11" s="32" t="str">
        <x:v>IPS Ocusalud SAS</x:v>
      </x:c>
      <x:c r="C11" s="32" t="str">
        <x:v>9002400008</x:v>
      </x:c>
      <x:c r="D11" s="32" t="str">
        <x:v>Medellín</x:v>
      </x:c>
      <x:c r="E11" s="32" t="str">
        <x:v>Exámenes médicos ocupacionales</x:v>
      </x:c>
      <x:c r="F11" s="32" t="str">
        <x:v>Medio</x:v>
      </x:c>
      <x:c r="G11" s="93" t="n">
        <x:v>45542</x:v>
      </x:c>
      <x:c r="H11" s="93" t="n">
        <x:v>45652</x:v>
      </x:c>
      <x:c r="I11" s="94" t="str">
        <x:v>Sí</x:v>
      </x:c>
      <x:c r="J11" s="94" t="str">
        <x:v>Sí</x:v>
      </x:c>
      <x:c r="K11" s="94" t="str">
        <x:v>Parcial</x:v>
      </x:c>
      <x:c r="L11" s="94" t="str">
        <x:v>Sí</x:v>
      </x:c>
      <x:c r="M11" s="94" t="str">
        <x:v>Parcial</x:v>
      </x:c>
      <x:c r="N11" s="94" t="str">
        <x:v>Sí</x:v>
      </x:c>
      <x:c r="O11" s="94" t="str">
        <x:v>Sí</x:v>
      </x:c>
      <x:c r="P11" s="94" t="str">
        <x:v>Parcial</x:v>
      </x:c>
      <x:c r="Q11" s="95" t="n">
        <x:f>ROUND((COUNTIF(I11:P11,"Sí")+0.5*COUNTIF(I11:P11,"Parcial"))/8,4)</x:f>
        <x:v>0.8125</x:v>
      </x:c>
      <x:c r="R11" s="32" t="str">
        <x:f>IF(Q11&gt;=0.85,"Alto",IF(Q11&gt;=0.70,"Medio","Crítico"))</x:f>
        <x:v>Medio</x:v>
      </x:c>
      <x:c r="S11" s="32" t="str">
        <x:f>IF(Q11&gt;=0.85,"Aprobado",IF(Q11&gt;=0.70,"Condicionado","No aprobado"))</x:f>
        <x:v>Condicionado</x:v>
      </x:c>
      <x:c r="T11" s="32" t="str">
        <x:v>Coordinador de Contratistas</x:v>
      </x:c>
      <x:c r="U11" s="93" t="n">
        <x:v>45626</x:v>
      </x:c>
      <x:c r="V11" s="32" t="str">
        <x:v>Pendiente reinducción SST por cambio de personal.</x:v>
      </x:c>
      <x:c r="W11" s="43" t="str">
        <x:v>https://empresa-ejemplo.co/2024/proveedor/9</x:v>
      </x:c>
    </x:row>
    <x:row r="12">
      <x:c r="A12" s="37" t="n">
        <x:v>2024</x:v>
      </x:c>
      <x:c r="B12" s="32" t="str">
        <x:v>Taller Motor Norte SAS</x:v>
      </x:c>
      <x:c r="C12" s="32" t="str">
        <x:v>9002400009</x:v>
      </x:c>
      <x:c r="D12" s="32" t="str">
        <x:v>Ábrego</x:v>
      </x:c>
      <x:c r="E12" s="32" t="str">
        <x:v>Mantenimiento vehicular</x:v>
      </x:c>
      <x:c r="F12" s="32" t="str">
        <x:v>Alto</x:v>
      </x:c>
      <x:c r="G12" s="93" t="n">
        <x:v>45583</x:v>
      </x:c>
      <x:c r="H12" s="93" t="n">
        <x:v>45654</x:v>
      </x:c>
      <x:c r="I12" s="94" t="str">
        <x:v>Sí</x:v>
      </x:c>
      <x:c r="J12" s="94" t="str">
        <x:v>Parcial</x:v>
      </x:c>
      <x:c r="K12" s="94" t="str">
        <x:v>Sí</x:v>
      </x:c>
      <x:c r="L12" s="94" t="str">
        <x:v>Sí</x:v>
      </x:c>
      <x:c r="M12" s="94" t="str">
        <x:v>Sí</x:v>
      </x:c>
      <x:c r="N12" s="94" t="str">
        <x:v>Sí</x:v>
      </x:c>
      <x:c r="O12" s="94" t="str">
        <x:v>Sí</x:v>
      </x:c>
      <x:c r="P12" s="94" t="str">
        <x:v>Sí</x:v>
      </x:c>
      <x:c r="Q12" s="95" t="n">
        <x:f>ROUND((COUNTIF(I12:P12,"Sí")+0.5*COUNTIF(I12:P12,"Parcial"))/8,4)</x:f>
        <x:v>0.9375</x:v>
      </x:c>
      <x:c r="R12" s="32" t="str">
        <x:f>IF(Q12&gt;=0.85,"Alto",IF(Q12&gt;=0.70,"Medio","Crítico"))</x:f>
        <x:v>Alto</x:v>
      </x:c>
      <x:c r="S12" s="32" t="str">
        <x:f>IF(Q12&gt;=0.85,"Aprobado",IF(Q12&gt;=0.70,"Condicionado","No aprobado"))</x:f>
        <x:v>Aprobado</x:v>
      </x:c>
      <x:c r="T12" s="32" t="str">
        <x:v>Analista SST</x:v>
      </x:c>
      <x:c r="U12" s="93" t="n">
        <x:v>45626</x:v>
      </x:c>
      <x:c r="V12" s="32" t="str">
        <x:v>Se requiere seguimiento al cierre de hallazgos.</x:v>
      </x:c>
      <x:c r="W12" s="43" t="str">
        <x:v>https://empresa-ejemplo.co/2024/proveedor/10</x:v>
      </x:c>
    </x:row>
    <x:row r="13">
      <x:c r="A13" s="37" t="n">
        <x:v>2024</x:v>
      </x:c>
      <x:c r="B13" s="32" t="str">
        <x:v>Servicios Integrales Limpios SAS</x:v>
      </x:c>
      <x:c r="C13" s="32" t="str">
        <x:v>9002400010</x:v>
      </x:c>
      <x:c r="D13" s="32" t="str">
        <x:v>Pamplona</x:v>
      </x:c>
      <x:c r="E13" s="32" t="str">
        <x:v>Aseo y desinfección</x:v>
      </x:c>
      <x:c r="F13" s="32" t="str">
        <x:v>Bajo</x:v>
      </x:c>
      <x:c r="G13" s="93" t="n">
        <x:v>45609</x:v>
      </x:c>
      <x:c r="H13" s="93" t="n">
        <x:v>45646</x:v>
      </x:c>
      <x:c r="I13" s="94" t="str">
        <x:v>Sí</x:v>
      </x:c>
      <x:c r="J13" s="94" t="str">
        <x:v>Sí</x:v>
      </x:c>
      <x:c r="K13" s="94" t="str">
        <x:v>Sí</x:v>
      </x:c>
      <x:c r="L13" s="94" t="str">
        <x:v>Sí</x:v>
      </x:c>
      <x:c r="M13" s="94" t="str">
        <x:v>Sí</x:v>
      </x:c>
      <x:c r="N13" s="94" t="str">
        <x:v>Sí</x:v>
      </x:c>
      <x:c r="O13" s="94" t="str">
        <x:v>Sí</x:v>
      </x:c>
      <x:c r="P13" s="94" t="str">
        <x:v>Sí</x:v>
      </x:c>
      <x:c r="Q13" s="95" t="n">
        <x:f>ROUND((COUNTIF(I13:P13,"Sí")+0.5*COUNTIF(I13:P13,"Parcial"))/8,4)</x:f>
        <x:v>1</x:v>
      </x:c>
      <x:c r="R13" s="32" t="str">
        <x:f>IF(Q13&gt;=0.85,"Alto",IF(Q13&gt;=0.70,"Medio","Crítico"))</x:f>
        <x:v>Alto</x:v>
      </x:c>
      <x:c r="S13" s="32" t="str">
        <x:f>IF(Q13&gt;=0.85,"Aprobado",IF(Q13&gt;=0.70,"Condicionado","No aprobado"))</x:f>
        <x:v>Aprobado</x:v>
      </x:c>
      <x:c r="T13" s="32" t="str">
        <x:v>Analista SST</x:v>
      </x:c>
      <x:c r="U13" s="93" t="n">
        <x:v>45626</x:v>
      </x:c>
      <x:c r="V13" s="32" t="str">
        <x:v>Cumplimiento estable y contrato renovado.</x:v>
      </x:c>
      <x:c r="W13" s="43" t="str">
        <x:v>https://empresa-ejemplo.co/2024/proveedor/11</x:v>
      </x:c>
    </x:row>
    <x:row r="14">
      <x:c r="A14" s="37" t="n">
        <x:v>2024</x:v>
      </x:c>
      <x:c r="B14" s="32" t="str">
        <x:v>BioControl Fumigaciones SAS</x:v>
      </x:c>
      <x:c r="C14" s="32" t="str">
        <x:v>9002400011</x:v>
      </x:c>
      <x:c r="D14" s="32" t="str">
        <x:v>Cúcuta</x:v>
      </x:c>
      <x:c r="E14" s="32" t="str">
        <x:v>Fumigación y control de plagas</x:v>
      </x:c>
      <x:c r="F14" s="32" t="str">
        <x:v>Medio</x:v>
      </x:c>
      <x:c r="G14" s="93" t="n">
        <x:v>45635</x:v>
      </x:c>
      <x:c r="H14" s="93" t="n">
        <x:v>45647</x:v>
      </x:c>
      <x:c r="I14" s="94" t="str">
        <x:v>Sí</x:v>
      </x:c>
      <x:c r="J14" s="94" t="str">
        <x:v>Sí</x:v>
      </x:c>
      <x:c r="K14" s="94" t="str">
        <x:v>Sí</x:v>
      </x:c>
      <x:c r="L14" s="94" t="str">
        <x:v>Parcial</x:v>
      </x:c>
      <x:c r="M14" s="94" t="str">
        <x:v>Sí</x:v>
      </x:c>
      <x:c r="N14" s="94" t="str">
        <x:v>Sí</x:v>
      </x:c>
      <x:c r="O14" s="94" t="str">
        <x:v>Parcial</x:v>
      </x:c>
      <x:c r="P14" s="94" t="str">
        <x:v>Sí</x:v>
      </x:c>
      <x:c r="Q14" s="95" t="n">
        <x:f>ROUND((COUNTIF(I14:P14,"Sí")+0.5*COUNTIF(I14:P14,"Parcial"))/8,4)</x:f>
        <x:v>0.875</x:v>
      </x:c>
      <x:c r="R14" s="32" t="str">
        <x:f>IF(Q14&gt;=0.85,"Alto",IF(Q14&gt;=0.70,"Medio","Crítico"))</x:f>
        <x:v>Alto</x:v>
      </x:c>
      <x:c r="S14" s="32" t="str">
        <x:f>IF(Q14&gt;=0.85,"Aprobado",IF(Q14&gt;=0.70,"Condicionado","No aprobado"))</x:f>
        <x:v>Aprobado</x:v>
      </x:c>
      <x:c r="T14" s="32" t="str">
        <x:v>Director de Operaciones</x:v>
      </x:c>
      <x:c r="U14" s="93" t="n">
        <x:v>45626</x:v>
      </x:c>
      <x:c r="V14" s="32" t="str">
        <x:v>Proveedor crítico para la operación; seguimiento mensual.</x:v>
      </x:c>
      <x:c r="W14" s="43" t="str">
        <x:v>https://empresa-ejemplo.co/2024/proveedor/12</x:v>
      </x:c>
    </x:row>
    <x:row r="15">
      <x:c r="A15" s="37" t="n">
        <x:v>2024</x:v>
      </x:c>
      <x:c r="B15" s="32" t="str">
        <x:v>Turnos Smart SAS</x:v>
      </x:c>
      <x:c r="C15" s="32" t="str">
        <x:v>9002400012</x:v>
      </x:c>
      <x:c r="D15" s="32" t="str">
        <x:v>Barrancabermeja</x:v>
      </x:c>
      <x:c r="E15" s="32" t="str">
        <x:v>Software de control de turnos</x:v>
      </x:c>
      <x:c r="F15" s="32" t="str">
        <x:v>Bajo</x:v>
      </x:c>
      <x:c r="G15" s="93" t="n">
        <x:v>45292</x:v>
      </x:c>
      <x:c r="H15" s="93" t="n">
        <x:v>45526</x:v>
      </x:c>
      <x:c r="I15" s="94" t="str">
        <x:v>Sí</x:v>
      </x:c>
      <x:c r="J15" s="94" t="str">
        <x:v>Sí</x:v>
      </x:c>
      <x:c r="K15" s="94" t="str">
        <x:v>Sí</x:v>
      </x:c>
      <x:c r="L15" s="94" t="str">
        <x:v>Parcial</x:v>
      </x:c>
      <x:c r="M15" s="94" t="str">
        <x:v>Sí</x:v>
      </x:c>
      <x:c r="N15" s="94" t="str">
        <x:v>Sí</x:v>
      </x:c>
      <x:c r="O15" s="94" t="str">
        <x:v>Sí</x:v>
      </x:c>
      <x:c r="P15" s="94" t="str">
        <x:v>Sí</x:v>
      </x:c>
      <x:c r="Q15" s="95" t="n">
        <x:f>ROUND((COUNTIF(I15:P15,"Sí")+0.5*COUNTIF(I15:P15,"Parcial"))/8,4)</x:f>
        <x:v>0.9375</x:v>
      </x:c>
      <x:c r="R15" s="32" t="str">
        <x:f>IF(Q15&gt;=0.85,"Alto",IF(Q15&gt;=0.70,"Medio","Crítico"))</x:f>
        <x:v>Alto</x:v>
      </x:c>
      <x:c r="S15" s="32" t="str">
        <x:f>IF(Q15&gt;=0.85,"Aprobado",IF(Q15&gt;=0.70,"Condicionado","No aprobado"))</x:f>
        <x:v>Aprobado</x:v>
      </x:c>
      <x:c r="T15" s="32" t="str">
        <x:v>Director de Operaciones</x:v>
      </x:c>
      <x:c r="U15" s="93" t="n">
        <x:v>45526</x:v>
      </x:c>
      <x:c r="V15" s="32" t="str">
        <x:v>Se requiere seguimiento al cierre de hallazgos.</x:v>
      </x:c>
      <x:c r="W15" s="43" t="str">
        <x:v>https://empresa-ejemplo.co/2024/proveedor/13</x:v>
      </x:c>
    </x:row>
    <x:row r="16">
      <x:c r="A16" s="37" t="n">
        <x:v>2024</x:v>
      </x:c>
      <x:c r="B16" s="32" t="str">
        <x:v>Legal &amp; Compliance SAS</x:v>
      </x:c>
      <x:c r="C16" s="32" t="str">
        <x:v>9002400013</x:v>
      </x:c>
      <x:c r="D16" s="32" t="str">
        <x:v>Ocaña</x:v>
      </x:c>
      <x:c r="E16" s="32" t="str">
        <x:v>Servicios jurídicos laborales</x:v>
      </x:c>
      <x:c r="F16" s="32" t="str">
        <x:v>Bajo</x:v>
      </x:c>
      <x:c r="G16" s="93" t="n">
        <x:v>45326</x:v>
      </x:c>
      <x:c r="H16" s="93" t="n">
        <x:v>45585</x:v>
      </x:c>
      <x:c r="I16" s="94" t="str">
        <x:v>Parcial</x:v>
      </x:c>
      <x:c r="J16" s="94" t="str">
        <x:v>Sí</x:v>
      </x:c>
      <x:c r="K16" s="94" t="str">
        <x:v>Parcial</x:v>
      </x:c>
      <x:c r="L16" s="94" t="str">
        <x:v>Sí</x:v>
      </x:c>
      <x:c r="M16" s="94" t="str">
        <x:v>Parcial</x:v>
      </x:c>
      <x:c r="N16" s="94" t="str">
        <x:v>Sí</x:v>
      </x:c>
      <x:c r="O16" s="94" t="str">
        <x:v>Sí</x:v>
      </x:c>
      <x:c r="P16" s="94" t="str">
        <x:v>Sí</x:v>
      </x:c>
      <x:c r="Q16" s="95" t="n">
        <x:f>ROUND((COUNTIF(I16:P16,"Sí")+0.5*COUNTIF(I16:P16,"Parcial"))/8,4)</x:f>
        <x:v>0.8125</x:v>
      </x:c>
      <x:c r="R16" s="32" t="str">
        <x:f>IF(Q16&gt;=0.85,"Alto",IF(Q16&gt;=0.70,"Medio","Crítico"))</x:f>
        <x:v>Medio</x:v>
      </x:c>
      <x:c r="S16" s="32" t="str">
        <x:f>IF(Q16&gt;=0.85,"Aprobado",IF(Q16&gt;=0.70,"Condicionado","No aprobado"))</x:f>
        <x:v>Condicionado</x:v>
      </x:c>
      <x:c r="T16" s="32" t="str">
        <x:v>Líder SST</x:v>
      </x:c>
      <x:c r="U16" s="93" t="n">
        <x:v>45585</x:v>
      </x:c>
      <x:c r="V16" s="32" t="str">
        <x:v>Pendiente actualización de un soporte menor.</x:v>
      </x:c>
      <x:c r="W16" s="43" t="str">
        <x:v>https://empresa-ejemplo.co/2024/proveedor/14</x:v>
      </x:c>
    </x:row>
    <x:row r="17">
      <x:c r="A17" s="37" t="n">
        <x:v>2024</x:v>
      </x:c>
      <x:c r="B17" s="32" t="str">
        <x:v>Extinred SAS</x:v>
      </x:c>
      <x:c r="C17" s="32" t="str">
        <x:v>9002400014</x:v>
      </x:c>
      <x:c r="D17" s="32" t="str">
        <x:v>Girón</x:v>
      </x:c>
      <x:c r="E17" s="32" t="str">
        <x:v>Mantenimiento de extintores</x:v>
      </x:c>
      <x:c r="F17" s="32" t="str">
        <x:v>Medio</x:v>
      </x:c>
      <x:c r="G17" s="93" t="n">
        <x:v>45371</x:v>
      </x:c>
      <x:c r="H17" s="93" t="n">
        <x:v>45617</x:v>
      </x:c>
      <x:c r="I17" s="94" t="str">
        <x:v>Sí</x:v>
      </x:c>
      <x:c r="J17" s="94" t="str">
        <x:v>Sí</x:v>
      </x:c>
      <x:c r="K17" s="94" t="str">
        <x:v>Sí</x:v>
      </x:c>
      <x:c r="L17" s="94" t="str">
        <x:v>Sí</x:v>
      </x:c>
      <x:c r="M17" s="94" t="str">
        <x:v>Sí</x:v>
      </x:c>
      <x:c r="N17" s="94" t="str">
        <x:v>Sí</x:v>
      </x:c>
      <x:c r="O17" s="94" t="str">
        <x:v>Sí</x:v>
      </x:c>
      <x:c r="P17" s="94" t="str">
        <x:v>Sí</x:v>
      </x:c>
      <x:c r="Q17" s="95" t="n">
        <x:f>ROUND((COUNTIF(I17:P17,"Sí")+0.5*COUNTIF(I17:P17,"Parcial"))/8,4)</x:f>
        <x:v>1</x:v>
      </x:c>
      <x:c r="R17" s="32" t="str">
        <x:f>IF(Q17&gt;=0.85,"Alto",IF(Q17&gt;=0.70,"Medio","Crítico"))</x:f>
        <x:v>Alto</x:v>
      </x:c>
      <x:c r="S17" s="32" t="str">
        <x:f>IF(Q17&gt;=0.85,"Aprobado",IF(Q17&gt;=0.70,"Condicionado","No aprobado"))</x:f>
        <x:v>Aprobado</x:v>
      </x:c>
      <x:c r="T17" s="32" t="str">
        <x:v>Analista SST</x:v>
      </x:c>
      <x:c r="U17" s="93" t="n">
        <x:v>45617</x:v>
      </x:c>
      <x:c r="V17" s="32" t="str">
        <x:v>Se programó auditoría documental complementaria.</x:v>
      </x:c>
      <x:c r="W17" s="43" t="str">
        <x:v>https://empresa-ejemplo.co/2024/proveedor/15</x:v>
      </x:c>
    </x:row>
    <x:row r="18">
      <x:c r="A18" s="37" t="n">
        <x:v>2024</x:v>
      </x:c>
      <x:c r="B18" s="32" t="str">
        <x:v>Señales Seguras SAS</x:v>
      </x:c>
      <x:c r="C18" s="32" t="str">
        <x:v>9002400015</x:v>
      </x:c>
      <x:c r="D18" s="32" t="str">
        <x:v>Valledupar</x:v>
      </x:c>
      <x:c r="E18" s="32" t="str">
        <x:v>Señalización y demarcación</x:v>
      </x:c>
      <x:c r="F18" s="32" t="str">
        <x:v>Bajo</x:v>
      </x:c>
      <x:c r="G18" s="93" t="n">
        <x:v>45396</x:v>
      </x:c>
      <x:c r="H18" s="93" t="n">
        <x:v>45560</x:v>
      </x:c>
      <x:c r="I18" s="94" t="str">
        <x:v>Sí</x:v>
      </x:c>
      <x:c r="J18" s="94" t="str">
        <x:v>Sí</x:v>
      </x:c>
      <x:c r="K18" s="94" t="str">
        <x:v>Sí</x:v>
      </x:c>
      <x:c r="L18" s="94" t="str">
        <x:v>Sí</x:v>
      </x:c>
      <x:c r="M18" s="94" t="str">
        <x:v>Sí</x:v>
      </x:c>
      <x:c r="N18" s="94" t="str">
        <x:v>Parcial</x:v>
      </x:c>
      <x:c r="O18" s="94" t="str">
        <x:v>Sí</x:v>
      </x:c>
      <x:c r="P18" s="94" t="str">
        <x:v>Sí</x:v>
      </x:c>
      <x:c r="Q18" s="95" t="n">
        <x:f>ROUND((COUNTIF(I18:P18,"Sí")+0.5*COUNTIF(I18:P18,"Parcial"))/8,4)</x:f>
        <x:v>0.9375</x:v>
      </x:c>
      <x:c r="R18" s="32" t="str">
        <x:f>IF(Q18&gt;=0.85,"Alto",IF(Q18&gt;=0.70,"Medio","Crítico"))</x:f>
        <x:v>Alto</x:v>
      </x:c>
      <x:c r="S18" s="32" t="str">
        <x:f>IF(Q18&gt;=0.85,"Aprobado",IF(Q18&gt;=0.70,"Condicionado","No aprobado"))</x:f>
        <x:v>Aprobado</x:v>
      </x:c>
      <x:c r="T18" s="32" t="str">
        <x:v>Jefe Administrativo</x:v>
      </x:c>
      <x:c r="U18" s="93" t="n">
        <x:v>45560</x:v>
      </x:c>
      <x:c r="V18" s="32" t="str">
        <x:v>Se programó auditoría documental complementaria.</x:v>
      </x:c>
      <x:c r="W18" s="43" t="str">
        <x:v>https://empresa-ejemplo.co/2024/proveedor/16</x:v>
      </x:c>
    </x:row>
    <x:row r="19">
      <x:c r="A19" s="37" t="n">
        <x:v>2024</x:v>
      </x:c>
      <x:c r="B19" s="32" t="str">
        <x:v>Obras y Mantenimientos del Oriente SAS</x:v>
      </x:c>
      <x:c r="C19" s="32" t="str">
        <x:v>9002400016</x:v>
      </x:c>
      <x:c r="D19" s="32" t="str">
        <x:v>Arauca</x:v>
      </x:c>
      <x:c r="E19" s="32" t="str">
        <x:v>Mantenimiento locativo</x:v>
      </x:c>
      <x:c r="F19" s="32" t="str">
        <x:v>Medio</x:v>
      </x:c>
      <x:c r="G19" s="93" t="n">
        <x:v>45426</x:v>
      </x:c>
      <x:c r="H19" s="93" t="n">
        <x:v>45650</x:v>
      </x:c>
      <x:c r="I19" s="94" t="str">
        <x:v>Sí</x:v>
      </x:c>
      <x:c r="J19" s="94" t="str">
        <x:v>Sí</x:v>
      </x:c>
      <x:c r="K19" s="94" t="str">
        <x:v>Parcial</x:v>
      </x:c>
      <x:c r="L19" s="94" t="str">
        <x:v>Sí</x:v>
      </x:c>
      <x:c r="M19" s="94" t="str">
        <x:v>Sí</x:v>
      </x:c>
      <x:c r="N19" s="94" t="str">
        <x:v>Sí</x:v>
      </x:c>
      <x:c r="O19" s="94" t="str">
        <x:v>Sí</x:v>
      </x:c>
      <x:c r="P19" s="94" t="str">
        <x:v>Sí</x:v>
      </x:c>
      <x:c r="Q19" s="95" t="n">
        <x:f>ROUND((COUNTIF(I19:P19,"Sí")+0.5*COUNTIF(I19:P19,"Parcial"))/8,4)</x:f>
        <x:v>0.9375</x:v>
      </x:c>
      <x:c r="R19" s="32" t="str">
        <x:f>IF(Q19&gt;=0.85,"Alto",IF(Q19&gt;=0.70,"Medio","Crítico"))</x:f>
        <x:v>Alto</x:v>
      </x:c>
      <x:c r="S19" s="32" t="str">
        <x:f>IF(Q19&gt;=0.85,"Aprobado",IF(Q19&gt;=0.70,"Condicionado","No aprobado"))</x:f>
        <x:v>Aprobado</x:v>
      </x:c>
      <x:c r="T19" s="32" t="str">
        <x:v>Coordinador de Contratistas</x:v>
      </x:c>
      <x:c r="U19" s="93" t="n">
        <x:v>45626</x:v>
      </x:c>
      <x:c r="V19" s="32" t="str">
        <x:v>Documentación vigente y verificada.</x:v>
      </x:c>
      <x:c r="W19" s="43" t="str">
        <x:v>https://empresa-ejemplo.co/2024/proveedor/17</x:v>
      </x:c>
    </x:row>
    <x:row r="20">
      <x:c r="A20" s="37" t="n">
        <x:v>2024</x:v>
      </x:c>
      <x:c r="B20" s="32" t="str">
        <x:v>Movilidad Segura Especial SAS</x:v>
      </x:c>
      <x:c r="C20" s="32" t="str">
        <x:v>9002400017</x:v>
      </x:c>
      <x:c r="D20" s="32" t="str">
        <x:v>Bogotá</x:v>
      </x:c>
      <x:c r="E20" s="32" t="str">
        <x:v>Transporte especial de personal</x:v>
      </x:c>
      <x:c r="F20" s="32" t="str">
        <x:v>Alto</x:v>
      </x:c>
      <x:c r="G20" s="93" t="n">
        <x:v>45454</x:v>
      </x:c>
      <x:c r="H20" s="93" t="n">
        <x:v>45648</x:v>
      </x:c>
      <x:c r="I20" s="94" t="str">
        <x:v>Sí</x:v>
      </x:c>
      <x:c r="J20" s="94" t="str">
        <x:v>Sí</x:v>
      </x:c>
      <x:c r="K20" s="94" t="str">
        <x:v>Sí</x:v>
      </x:c>
      <x:c r="L20" s="94" t="str">
        <x:v>Parcial</x:v>
      </x:c>
      <x:c r="M20" s="94" t="str">
        <x:v>Sí</x:v>
      </x:c>
      <x:c r="N20" s="94" t="str">
        <x:v>Parcial</x:v>
      </x:c>
      <x:c r="O20" s="94" t="str">
        <x:v>Sí</x:v>
      </x:c>
      <x:c r="P20" s="94" t="str">
        <x:v>Sí</x:v>
      </x:c>
      <x:c r="Q20" s="95" t="n">
        <x:f>ROUND((COUNTIF(I20:P20,"Sí")+0.5*COUNTIF(I20:P20,"Parcial"))/8,4)</x:f>
        <x:v>0.875</x:v>
      </x:c>
      <x:c r="R20" s="32" t="str">
        <x:f>IF(Q20&gt;=0.85,"Alto",IF(Q20&gt;=0.70,"Medio","Crítico"))</x:f>
        <x:v>Alto</x:v>
      </x:c>
      <x:c r="S20" s="32" t="str">
        <x:f>IF(Q20&gt;=0.85,"Aprobado",IF(Q20&gt;=0.70,"Condicionado","No aprobado"))</x:f>
        <x:v>Aprobado</x:v>
      </x:c>
      <x:c r="T20" s="32" t="str">
        <x:v>Analista SST</x:v>
      </x:c>
      <x:c r="U20" s="93" t="n">
        <x:v>45626</x:v>
      </x:c>
      <x:c r="V20" s="32" t="str">
        <x:v>Se programó auditoría documental complementaria.</x:v>
      </x:c>
      <x:c r="W20" s="43" t="str">
        <x:v>https://empresa-ejemplo.co/2024/proveedor/18</x:v>
      </x:c>
    </x:row>
    <x:row r="21">
      <x:c r="A21" s="37" t="n">
        <x:v>2024</x:v>
      </x:c>
      <x:c r="B21" s="32" t="str">
        <x:v>Archivo y Gestión SAS</x:v>
      </x:c>
      <x:c r="C21" s="32" t="str">
        <x:v>9002400018</x:v>
      </x:c>
      <x:c r="D21" s="32" t="str">
        <x:v>Tibú</x:v>
      </x:c>
      <x:c r="E21" s="32" t="str">
        <x:v>Gestión documental</x:v>
      </x:c>
      <x:c r="F21" s="32" t="str">
        <x:v>Bajo</x:v>
      </x:c>
      <x:c r="G21" s="93" t="n">
        <x:v>45489</x:v>
      </x:c>
      <x:c r="H21" s="93" t="n">
        <x:v>45653</x:v>
      </x:c>
      <x:c r="I21" s="94" t="str">
        <x:v>Sí</x:v>
      </x:c>
      <x:c r="J21" s="94" t="str">
        <x:v>Sí</x:v>
      </x:c>
      <x:c r="K21" s="94" t="str">
        <x:v>Sí</x:v>
      </x:c>
      <x:c r="L21" s="94" t="str">
        <x:v>Sí</x:v>
      </x:c>
      <x:c r="M21" s="94" t="str">
        <x:v>Sí</x:v>
      </x:c>
      <x:c r="N21" s="94" t="str">
        <x:v>Sí</x:v>
      </x:c>
      <x:c r="O21" s="94" t="str">
        <x:v>Sí</x:v>
      </x:c>
      <x:c r="P21" s="94" t="str">
        <x:v>Sí</x:v>
      </x:c>
      <x:c r="Q21" s="95" t="n">
        <x:f>ROUND((COUNTIF(I21:P21,"Sí")+0.5*COUNTIF(I21:P21,"Parcial"))/8,4)</x:f>
        <x:v>1</x:v>
      </x:c>
      <x:c r="R21" s="32" t="str">
        <x:f>IF(Q21&gt;=0.85,"Alto",IF(Q21&gt;=0.70,"Medio","Crítico"))</x:f>
        <x:v>Alto</x:v>
      </x:c>
      <x:c r="S21" s="32" t="str">
        <x:f>IF(Q21&gt;=0.85,"Aprobado",IF(Q21&gt;=0.70,"Condicionado","No aprobado"))</x:f>
        <x:v>Aprobado</x:v>
      </x:c>
      <x:c r="T21" s="32" t="str">
        <x:v>Coordinador de Contratistas</x:v>
      </x:c>
      <x:c r="U21" s="93" t="n">
        <x:v>45626</x:v>
      </x:c>
      <x:c r="V21" s="32" t="str">
        <x:v>Pendiente reinducción SST por cambio de personal.</x:v>
      </x:c>
      <x:c r="W21" s="43" t="str">
        <x:v>https://empresa-ejemplo.co/2024/proveedor/19</x:v>
      </x:c>
    </x:row>
    <x:row r="22">
      <x:c r="A22" s="37" t="n">
        <x:v>2024</x:v>
      </x:c>
      <x:c r="B22" s="32" t="str">
        <x:v>Soporte Digital 24/7 SAS</x:v>
      </x:c>
      <x:c r="C22" s="32" t="str">
        <x:v>9002400019</x:v>
      </x:c>
      <x:c r="D22" s="32" t="str">
        <x:v>Medellín</x:v>
      </x:c>
      <x:c r="E22" s="32" t="str">
        <x:v>Soporte TI y mesa de ayuda</x:v>
      </x:c>
      <x:c r="F22" s="32" t="str">
        <x:v>Bajo</x:v>
      </x:c>
      <x:c r="G22" s="93" t="n">
        <x:v>45516</x:v>
      </x:c>
      <x:c r="H22" s="93" t="n">
        <x:v>45653</x:v>
      </x:c>
      <x:c r="I22" s="94" t="str">
        <x:v>Sí</x:v>
      </x:c>
      <x:c r="J22" s="94" t="str">
        <x:v>Sí</x:v>
      </x:c>
      <x:c r="K22" s="94" t="str">
        <x:v>Sí</x:v>
      </x:c>
      <x:c r="L22" s="94" t="str">
        <x:v>Sí</x:v>
      </x:c>
      <x:c r="M22" s="94" t="str">
        <x:v>Sí</x:v>
      </x:c>
      <x:c r="N22" s="94" t="str">
        <x:v>Sí</x:v>
      </x:c>
      <x:c r="O22" s="94" t="str">
        <x:v>Sí</x:v>
      </x:c>
      <x:c r="P22" s="94" t="str">
        <x:v>Sí</x:v>
      </x:c>
      <x:c r="Q22" s="95" t="n">
        <x:f>ROUND((COUNTIF(I22:P22,"Sí")+0.5*COUNTIF(I22:P22,"Parcial"))/8,4)</x:f>
        <x:v>1</x:v>
      </x:c>
      <x:c r="R22" s="32" t="str">
        <x:f>IF(Q22&gt;=0.85,"Alto",IF(Q22&gt;=0.70,"Medio","Crítico"))</x:f>
        <x:v>Alto</x:v>
      </x:c>
      <x:c r="S22" s="32" t="str">
        <x:f>IF(Q22&gt;=0.85,"Aprobado",IF(Q22&gt;=0.70,"Condicionado","No aprobado"))</x:f>
        <x:v>Aprobado</x:v>
      </x:c>
      <x:c r="T22" s="32" t="str">
        <x:v>Líder SST</x:v>
      </x:c>
      <x:c r="U22" s="93" t="n">
        <x:v>45626</x:v>
      </x:c>
      <x:c r="V22" s="32" t="str">
        <x:v>Se programó auditoría documental complementaria.</x:v>
      </x:c>
      <x:c r="W22" s="43" t="str">
        <x:v>https://empresa-ejemplo.co/2024/proveedor/20</x:v>
      </x:c>
    </x:row>
    <x:row r="23">
      <x:c r="A23" s="37" t="n">
        <x:v>2024</x:v>
      </x:c>
      <x:c r="B23" s="32" t="str">
        <x:v>Blindajes Operativos SAS</x:v>
      </x:c>
      <x:c r="C23" s="32" t="str">
        <x:v>9002400020</x:v>
      </x:c>
      <x:c r="D23" s="32" t="str">
        <x:v>Ábrego</x:v>
      </x:c>
      <x:c r="E23" s="32" t="str">
        <x:v>Seguridad física fija</x:v>
      </x:c>
      <x:c r="F23" s="32" t="str">
        <x:v>Alto</x:v>
      </x:c>
      <x:c r="G23" s="93" t="n">
        <x:v>45554</x:v>
      </x:c>
      <x:c r="H23" s="93" t="n">
        <x:v>45654</x:v>
      </x:c>
      <x:c r="I23" s="94" t="str">
        <x:v>Parcial</x:v>
      </x:c>
      <x:c r="J23" s="94" t="str">
        <x:v>Parcial</x:v>
      </x:c>
      <x:c r="K23" s="94" t="str">
        <x:v>Sí</x:v>
      </x:c>
      <x:c r="L23" s="94" t="str">
        <x:v>Sí</x:v>
      </x:c>
      <x:c r="M23" s="94" t="str">
        <x:v>Sí</x:v>
      </x:c>
      <x:c r="N23" s="94" t="str">
        <x:v>Sí</x:v>
      </x:c>
      <x:c r="O23" s="94" t="str">
        <x:v>Sí</x:v>
      </x:c>
      <x:c r="P23" s="94" t="str">
        <x:v>Sí</x:v>
      </x:c>
      <x:c r="Q23" s="95" t="n">
        <x:f>ROUND((COUNTIF(I23:P23,"Sí")+0.5*COUNTIF(I23:P23,"Parcial"))/8,4)</x:f>
        <x:v>0.875</x:v>
      </x:c>
      <x:c r="R23" s="32" t="str">
        <x:f>IF(Q23&gt;=0.85,"Alto",IF(Q23&gt;=0.70,"Medio","Crítico"))</x:f>
        <x:v>Alto</x:v>
      </x:c>
      <x:c r="S23" s="32" t="str">
        <x:f>IF(Q23&gt;=0.85,"Aprobado",IF(Q23&gt;=0.70,"Condicionado","No aprobado"))</x:f>
        <x:v>Aprobado</x:v>
      </x:c>
      <x:c r="T23" s="32" t="str">
        <x:v>Jefe Administrativo</x:v>
      </x:c>
      <x:c r="U23" s="93" t="n">
        <x:v>45626</x:v>
      </x:c>
      <x:c r="V23" s="32" t="str">
        <x:v>Cumplimiento estable y contrato renovado.</x:v>
      </x:c>
      <x:c r="W23" s="43" t="str">
        <x:v>https://empresa-ejemplo.co/2024/proveedor/21</x:v>
      </x:c>
    </x:row>
    <x:row r="24">
      <x:c r="A24" s="37" t="n">
        <x:v>2024</x:v>
      </x:c>
      <x:c r="B24" s="32" t="str">
        <x:v>Consultores HSEQ Colombia SAS</x:v>
      </x:c>
      <x:c r="C24" s="32" t="str">
        <x:v>9002400021</x:v>
      </x:c>
      <x:c r="D24" s="32" t="str">
        <x:v>Pamplona</x:v>
      </x:c>
      <x:c r="E24" s="32" t="str">
        <x:v>Escolta y protección</x:v>
      </x:c>
      <x:c r="F24" s="32" t="str">
        <x:v>Alto</x:v>
      </x:c>
      <x:c r="G24" s="93" t="n">
        <x:v>45581</x:v>
      </x:c>
      <x:c r="H24" s="93" t="n">
        <x:v>45647</x:v>
      </x:c>
      <x:c r="I24" s="94" t="str">
        <x:v>Parcial</x:v>
      </x:c>
      <x:c r="J24" s="94" t="str">
        <x:v>Sí</x:v>
      </x:c>
      <x:c r="K24" s="94" t="str">
        <x:v>Sí</x:v>
      </x:c>
      <x:c r="L24" s="94" t="str">
        <x:v>Sí</x:v>
      </x:c>
      <x:c r="M24" s="94" t="str">
        <x:v>Sí</x:v>
      </x:c>
      <x:c r="N24" s="94" t="str">
        <x:v>Sí</x:v>
      </x:c>
      <x:c r="O24" s="94" t="str">
        <x:v>Parcial</x:v>
      </x:c>
      <x:c r="P24" s="94" t="str">
        <x:v>Sí</x:v>
      </x:c>
      <x:c r="Q24" s="95" t="n">
        <x:f>ROUND((COUNTIF(I24:P24,"Sí")+0.5*COUNTIF(I24:P24,"Parcial"))/8,4)</x:f>
        <x:v>0.875</x:v>
      </x:c>
      <x:c r="R24" s="32" t="str">
        <x:f>IF(Q24&gt;=0.85,"Alto",IF(Q24&gt;=0.70,"Medio","Crítico"))</x:f>
        <x:v>Alto</x:v>
      </x:c>
      <x:c r="S24" s="32" t="str">
        <x:f>IF(Q24&gt;=0.85,"Aprobado",IF(Q24&gt;=0.70,"Condicionado","No aprobado"))</x:f>
        <x:v>Aprobado</x:v>
      </x:c>
      <x:c r="T24" s="32" t="str">
        <x:v>Analista SST</x:v>
      </x:c>
      <x:c r="U24" s="93" t="n">
        <x:v>45626</x:v>
      </x:c>
      <x:c r="V24" s="32" t="str">
        <x:v>Se programó auditoría documental complementaria.</x:v>
      </x:c>
      <x:c r="W24" s="43" t="str">
        <x:v>https://empresa-ejemplo.co/2024/proveedor/22</x:v>
      </x:c>
    </x:row>
    <x:row r="25">
      <x:c r="A25" s="37" t="n">
        <x:v>2024</x:v>
      </x:c>
      <x:c r="B25" s="32" t="str">
        <x:v>Vigilancia Estratégica SAS</x:v>
      </x:c>
      <x:c r="C25" s="32" t="str">
        <x:v>9002400022</x:v>
      </x:c>
      <x:c r="D25" s="32" t="str">
        <x:v>Cúcuta</x:v>
      </x:c>
      <x:c r="E25" s="32" t="str">
        <x:v>Monitoreo de alarmas</x:v>
      </x:c>
      <x:c r="F25" s="32" t="str">
        <x:v>Medio</x:v>
      </x:c>
      <x:c r="G25" s="93" t="n">
        <x:v>45615</x:v>
      </x:c>
      <x:c r="H25" s="93" t="n">
        <x:v>45646</x:v>
      </x:c>
      <x:c r="I25" s="94" t="str">
        <x:v>Sí</x:v>
      </x:c>
      <x:c r="J25" s="94" t="str">
        <x:v>Sí</x:v>
      </x:c>
      <x:c r="K25" s="94" t="str">
        <x:v>Parcial</x:v>
      </x:c>
      <x:c r="L25" s="94" t="str">
        <x:v>Sí</x:v>
      </x:c>
      <x:c r="M25" s="94" t="str">
        <x:v>Sí</x:v>
      </x:c>
      <x:c r="N25" s="94" t="str">
        <x:v>Sí</x:v>
      </x:c>
      <x:c r="O25" s="94" t="str">
        <x:v>Sí</x:v>
      </x:c>
      <x:c r="P25" s="94" t="str">
        <x:v>Sí</x:v>
      </x:c>
      <x:c r="Q25" s="95" t="n">
        <x:f>ROUND((COUNTIF(I25:P25,"Sí")+0.5*COUNTIF(I25:P25,"Parcial"))/8,4)</x:f>
        <x:v>0.9375</x:v>
      </x:c>
      <x:c r="R25" s="32" t="str">
        <x:f>IF(Q25&gt;=0.85,"Alto",IF(Q25&gt;=0.70,"Medio","Crítico"))</x:f>
        <x:v>Alto</x:v>
      </x:c>
      <x:c r="S25" s="32" t="str">
        <x:f>IF(Q25&gt;=0.85,"Aprobado",IF(Q25&gt;=0.70,"Condicionado","No aprobado"))</x:f>
        <x:v>Aprobado</x:v>
      </x:c>
      <x:c r="T25" s="32" t="str">
        <x:v>Jefe Administrativo</x:v>
      </x:c>
      <x:c r="U25" s="93" t="n">
        <x:v>45626</x:v>
      </x:c>
      <x:c r="V25" s="32" t="str">
        <x:v>Proveedor crítico para la operación; seguimiento mensual.</x:v>
      </x:c>
      <x:c r="W25" s="43" t="str">
        <x:v>https://empresa-ejemplo.co/2024/proveedor/23</x:v>
      </x:c>
    </x:row>
    <x:row r="26">
      <x:c r="A26" s="37" t="n">
        <x:v>2024</x:v>
      </x:c>
      <x:c r="B26" s="32" t="str">
        <x:v>Operaciones Tácticas SAS</x:v>
      </x:c>
      <x:c r="C26" s="32" t="str">
        <x:v>9002400023</x:v>
      </x:c>
      <x:c r="D26" s="32" t="str">
        <x:v>Barrancabermeja</x:v>
      </x:c>
      <x:c r="E26" s="32" t="str">
        <x:v>Mantenimiento CCTV</x:v>
      </x:c>
      <x:c r="F26" s="32" t="str">
        <x:v>Medio</x:v>
      </x:c>
      <x:c r="G26" s="93" t="n">
        <x:v>45641</x:v>
      </x:c>
      <x:c r="H26" s="93" t="n">
        <x:v>45653</x:v>
      </x:c>
      <x:c r="I26" s="94" t="str">
        <x:v>Sí</x:v>
      </x:c>
      <x:c r="J26" s="94" t="str">
        <x:v>Sí</x:v>
      </x:c>
      <x:c r="K26" s="94" t="str">
        <x:v>Sí</x:v>
      </x:c>
      <x:c r="L26" s="94" t="str">
        <x:v>Sí</x:v>
      </x:c>
      <x:c r="M26" s="94" t="str">
        <x:v>Sí</x:v>
      </x:c>
      <x:c r="N26" s="94" t="str">
        <x:v>Parcial</x:v>
      </x:c>
      <x:c r="O26" s="94" t="str">
        <x:v>Sí</x:v>
      </x:c>
      <x:c r="P26" s="94" t="str">
        <x:v>Sí</x:v>
      </x:c>
      <x:c r="Q26" s="95" t="n">
        <x:f>ROUND((COUNTIF(I26:P26,"Sí")+0.5*COUNTIF(I26:P26,"Parcial"))/8,4)</x:f>
        <x:v>0.9375</x:v>
      </x:c>
      <x:c r="R26" s="32" t="str">
        <x:f>IF(Q26&gt;=0.85,"Alto",IF(Q26&gt;=0.70,"Medio","Crítico"))</x:f>
        <x:v>Alto</x:v>
      </x:c>
      <x:c r="S26" s="32" t="str">
        <x:f>IF(Q26&gt;=0.85,"Aprobado",IF(Q26&gt;=0.70,"Condicionado","No aprobado"))</x:f>
        <x:v>Aprobado</x:v>
      </x:c>
      <x:c r="T26" s="32" t="str">
        <x:v>Líder SST</x:v>
      </x:c>
      <x:c r="U26" s="93" t="n">
        <x:v>45626</x:v>
      </x:c>
      <x:c r="V26" s="32" t="str">
        <x:v>Cumplimiento estable y contrato renovado.</x:v>
      </x:c>
      <x:c r="W26" s="43" t="str">
        <x:v>https://empresa-ejemplo.co/2024/proveedor/24</x:v>
      </x:c>
    </x:row>
    <x:row r="27">
      <x:c r="A27" s="37" t="n">
        <x:v>2024</x:v>
      </x:c>
      <x:c r="B27" s="32" t="str">
        <x:v>Logística Segura del Caribe SAS</x:v>
      </x:c>
      <x:c r="C27" s="32" t="str">
        <x:v>9002400024</x:v>
      </x:c>
      <x:c r="D27" s="32" t="str">
        <x:v>Ocaña</x:v>
      </x:c>
      <x:c r="E27" s="32" t="str">
        <x:v>Mantenimiento de radios y comunicaciones</x:v>
      </x:c>
      <x:c r="F27" s="32" t="str">
        <x:v>Medio</x:v>
      </x:c>
      <x:c r="G27" s="93" t="n">
        <x:v>45297</x:v>
      </x:c>
      <x:c r="H27" s="93" t="n">
        <x:v>45466</x:v>
      </x:c>
      <x:c r="I27" s="94" t="str">
        <x:v>Sí</x:v>
      </x:c>
      <x:c r="J27" s="94" t="str">
        <x:v>Sí</x:v>
      </x:c>
      <x:c r="K27" s="94" t="str">
        <x:v>Sí</x:v>
      </x:c>
      <x:c r="L27" s="94" t="str">
        <x:v>Sí</x:v>
      </x:c>
      <x:c r="M27" s="94" t="str">
        <x:v>Sí</x:v>
      </x:c>
      <x:c r="N27" s="94" t="str">
        <x:v>Sí</x:v>
      </x:c>
      <x:c r="O27" s="94" t="str">
        <x:v>Sí</x:v>
      </x:c>
      <x:c r="P27" s="94" t="str">
        <x:v>Sí</x:v>
      </x:c>
      <x:c r="Q27" s="95" t="n">
        <x:f>ROUND((COUNTIF(I27:P27,"Sí")+0.5*COUNTIF(I27:P27,"Parcial"))/8,4)</x:f>
        <x:v>1</x:v>
      </x:c>
      <x:c r="R27" s="32" t="str">
        <x:f>IF(Q27&gt;=0.85,"Alto",IF(Q27&gt;=0.70,"Medio","Crítico"))</x:f>
        <x:v>Alto</x:v>
      </x:c>
      <x:c r="S27" s="32" t="str">
        <x:f>IF(Q27&gt;=0.85,"Aprobado",IF(Q27&gt;=0.70,"Condicionado","No aprobado"))</x:f>
        <x:v>Aprobado</x:v>
      </x:c>
      <x:c r="T27" s="32" t="str">
        <x:v>Analista SST</x:v>
      </x:c>
      <x:c r="U27" s="93" t="n">
        <x:v>45466</x:v>
      </x:c>
      <x:c r="V27" s="32" t="str">
        <x:v>Pendiente actualización de un soporte menor.</x:v>
      </x:c>
      <x:c r="W27" s="43" t="str">
        <x:v>https://empresa-ejemplo.co/2024/proveedor/25</x:v>
      </x:c>
    </x:row>
    <x:row r="28">
      <x:c r="A28" s="37" t="n">
        <x:v>2024</x:v>
      </x:c>
      <x:c r="B28" s="32" t="str">
        <x:v>Segurcol Ltda.</x:v>
      </x:c>
      <x:c r="C28" s="32" t="str">
        <x:v>9002400025</x:v>
      </x:c>
      <x:c r="D28" s="32" t="str">
        <x:v>Girón</x:v>
      </x:c>
      <x:c r="E28" s="32" t="str">
        <x:v>Dotación y uniformes</x:v>
      </x:c>
      <x:c r="F28" s="32" t="str">
        <x:v>Medio</x:v>
      </x:c>
      <x:c r="G28" s="93" t="n">
        <x:v>45331</x:v>
      </x:c>
      <x:c r="H28" s="93" t="n">
        <x:v>45558</x:v>
      </x:c>
      <x:c r="I28" s="94" t="str">
        <x:v>Sí</x:v>
      </x:c>
      <x:c r="J28" s="94" t="str">
        <x:v>Sí</x:v>
      </x:c>
      <x:c r="K28" s="94" t="str">
        <x:v>Sí</x:v>
      </x:c>
      <x:c r="L28" s="94" t="str">
        <x:v>Parcial</x:v>
      </x:c>
      <x:c r="M28" s="94" t="str">
        <x:v>Sí</x:v>
      </x:c>
      <x:c r="N28" s="94" t="str">
        <x:v>Sí</x:v>
      </x:c>
      <x:c r="O28" s="94" t="str">
        <x:v>Sí</x:v>
      </x:c>
      <x:c r="P28" s="94" t="str">
        <x:v>Sí</x:v>
      </x:c>
      <x:c r="Q28" s="95" t="n">
        <x:f>ROUND((COUNTIF(I28:P28,"Sí")+0.5*COUNTIF(I28:P28,"Parcial"))/8,4)</x:f>
        <x:v>0.9375</x:v>
      </x:c>
      <x:c r="R28" s="32" t="str">
        <x:f>IF(Q28&gt;=0.85,"Alto",IF(Q28&gt;=0.70,"Medio","Crítico"))</x:f>
        <x:v>Alto</x:v>
      </x:c>
      <x:c r="S28" s="32" t="str">
        <x:f>IF(Q28&gt;=0.85,"Aprobado",IF(Q28&gt;=0.70,"Condicionado","No aprobado"))</x:f>
        <x:v>Aprobado</x:v>
      </x:c>
      <x:c r="T28" s="32" t="str">
        <x:v>Jefe Administrativo</x:v>
      </x:c>
      <x:c r="U28" s="93" t="n">
        <x:v>45558</x:v>
      </x:c>
      <x:c r="V28" s="32" t="str">
        <x:v>Cumplimiento estable y contrato renovado.</x:v>
      </x:c>
      <x:c r="W28" s="43" t="str">
        <x:v>https://empresa-ejemplo.co/2024/proveedor/26</x:v>
      </x:c>
    </x:row>
    <x:row r="29">
      <x:c r="A29" s="37" t="n">
        <x:v>2024</x:v>
      </x:c>
      <x:c r="B29" s="32" t="str">
        <x:v>Protección Integral SAS</x:v>
      </x:c>
      <x:c r="C29" s="32" t="str">
        <x:v>9002400026</x:v>
      </x:c>
      <x:c r="D29" s="32" t="str">
        <x:v>Valledupar</x:v>
      </x:c>
      <x:c r="E29" s="32" t="str">
        <x:v>Elementos de protección personal</x:v>
      </x:c>
      <x:c r="F29" s="32" t="str">
        <x:v>Medio</x:v>
      </x:c>
      <x:c r="G29" s="93" t="n">
        <x:v>45355</x:v>
      </x:c>
      <x:c r="H29" s="93" t="n">
        <x:v>45653</x:v>
      </x:c>
      <x:c r="I29" s="94" t="str">
        <x:v>Sí</x:v>
      </x:c>
      <x:c r="J29" s="94" t="str">
        <x:v>Sí</x:v>
      </x:c>
      <x:c r="K29" s="94" t="str">
        <x:v>Parcial</x:v>
      </x:c>
      <x:c r="L29" s="94" t="str">
        <x:v>Sí</x:v>
      </x:c>
      <x:c r="M29" s="94" t="str">
        <x:v>Sí</x:v>
      </x:c>
      <x:c r="N29" s="94" t="str">
        <x:v>Sí</x:v>
      </x:c>
      <x:c r="O29" s="94" t="str">
        <x:v>Sí</x:v>
      </x:c>
      <x:c r="P29" s="94" t="str">
        <x:v>Sí</x:v>
      </x:c>
      <x:c r="Q29" s="95" t="n">
        <x:f>ROUND((COUNTIF(I29:P29,"Sí")+0.5*COUNTIF(I29:P29,"Parcial"))/8,4)</x:f>
        <x:v>0.9375</x:v>
      </x:c>
      <x:c r="R29" s="32" t="str">
        <x:f>IF(Q29&gt;=0.85,"Alto",IF(Q29&gt;=0.70,"Medio","Crítico"))</x:f>
        <x:v>Alto</x:v>
      </x:c>
      <x:c r="S29" s="32" t="str">
        <x:f>IF(Q29&gt;=0.85,"Aprobado",IF(Q29&gt;=0.70,"Condicionado","No aprobado"))</x:f>
        <x:v>Aprobado</x:v>
      </x:c>
      <x:c r="T29" s="32" t="str">
        <x:v>Coordinador de Contratistas</x:v>
      </x:c>
      <x:c r="U29" s="93" t="n">
        <x:v>45626</x:v>
      </x:c>
      <x:c r="V29" s="32" t="str">
        <x:v>Cumplimiento estable y contrato renovado.</x:v>
      </x:c>
      <x:c r="W29" s="43" t="str">
        <x:v>https://empresa-ejemplo.co/2024/proveedor/27</x:v>
      </x:c>
    </x:row>
    <x:row r="30">
      <x:c r="A30" s="76" t="n">
        <x:v>2024</x:v>
      </x:c>
      <x:c r="B30" s="45" t="str">
        <x:v>Monitoreo Nacional SAS</x:v>
      </x:c>
      <x:c r="C30" s="45" t="str">
        <x:v>9002400027</x:v>
      </x:c>
      <x:c r="D30" s="45" t="str">
        <x:v>Arauca</x:v>
      </x:c>
      <x:c r="E30" s="45" t="str">
        <x:v>Capacitación SST</x:v>
      </x:c>
      <x:c r="F30" s="45" t="str">
        <x:v>Medio</x:v>
      </x:c>
      <x:c r="G30" s="96" t="n">
        <x:v>45385</x:v>
      </x:c>
      <x:c r="H30" s="96" t="n">
        <x:v>45527</x:v>
      </x:c>
      <x:c r="I30" s="97" t="str">
        <x:v>Parcial</x:v>
      </x:c>
      <x:c r="J30" s="97" t="str">
        <x:v>Sí</x:v>
      </x:c>
      <x:c r="K30" s="97" t="str">
        <x:v>Sí</x:v>
      </x:c>
      <x:c r="L30" s="97" t="str">
        <x:v>Parcial</x:v>
      </x:c>
      <x:c r="M30" s="97" t="str">
        <x:v>Parcial</x:v>
      </x:c>
      <x:c r="N30" s="97" t="str">
        <x:v>Sí</x:v>
      </x:c>
      <x:c r="O30" s="97" t="str">
        <x:v>Sí</x:v>
      </x:c>
      <x:c r="P30" s="97" t="str">
        <x:v>Sí</x:v>
      </x:c>
      <x:c r="Q30" s="98" t="n">
        <x:f>ROUND((COUNTIF(I30:P30,"Sí")+0.5*COUNTIF(I30:P30,"Parcial"))/8,4)</x:f>
        <x:v>0.8125</x:v>
      </x:c>
      <x:c r="R30" s="45" t="str">
        <x:f>IF(Q30&gt;=0.85,"Alto",IF(Q30&gt;=0.70,"Medio","Crítico"))</x:f>
        <x:v>Medio</x:v>
      </x:c>
      <x:c r="S30" s="45" t="str">
        <x:f>IF(Q30&gt;=0.85,"Aprobado",IF(Q30&gt;=0.70,"Condicionado","No aprobado"))</x:f>
        <x:v>Condicionado</x:v>
      </x:c>
      <x:c r="T30" s="45" t="str">
        <x:v>Líder SST</x:v>
      </x:c>
      <x:c r="U30" s="96" t="n">
        <x:v>45527</x:v>
      </x:c>
      <x:c r="V30" s="45" t="str">
        <x:v>Se programó auditoría documental complementaria.</x:v>
      </x:c>
      <x:c r="W30" s="46" t="str">
        <x:v>https://empresa-ejemplo.co/2024/proveedor/28</x:v>
      </x:c>
    </x:row>
  </x:sheetData>
  <x:mergeCells>
    <x:mergeCell ref="A1:W1"/>
  </x:mergeCells>
  <x:conditionalFormatting sqref="Q3:Q30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conditionalFormatting sqref="S3:S30">
    <x:cfRule type="expression" dxfId="3" priority="2">
      <x:formula>S3="No aprobado"</x:formula>
    </x:cfRule>
    <x:cfRule type="expression" dxfId="4" priority="3">
      <x:formula>S3="Condicionado"</x:formula>
    </x:cfRule>
    <x:cfRule type="expression" dxfId="5" priority="4">
      <x:formula>S3="Aprobado"</x:formula>
    </x:cfRule>
  </x:conditionalFormatting>
  <x:dataValidations count="11">
    <x:dataValidation type="list" sqref="I3:I30">
      <x:formula1>Catálogos!$G$4:$G$6</x:formula1>
    </x:dataValidation>
    <x:dataValidation type="list" sqref="J3:J30">
      <x:formula1>Catálogos!$G$4:$G$6</x:formula1>
    </x:dataValidation>
    <x:dataValidation type="list" sqref="K3:K30">
      <x:formula1>Catálogos!$G$4:$G$6</x:formula1>
    </x:dataValidation>
    <x:dataValidation type="list" sqref="L3:L30">
      <x:formula1>Catálogos!$G$4:$G$6</x:formula1>
    </x:dataValidation>
    <x:dataValidation type="list" sqref="M3:M30">
      <x:formula1>Catálogos!$G$4:$G$6</x:formula1>
    </x:dataValidation>
    <x:dataValidation type="list" sqref="N3:N30">
      <x:formula1>Catálogos!$G$4:$G$6</x:formula1>
    </x:dataValidation>
    <x:dataValidation type="list" sqref="O3:O30">
      <x:formula1>Catálogos!$G$4:$G$6</x:formula1>
    </x:dataValidation>
    <x:dataValidation type="list" sqref="P3:P30">
      <x:formula1>Catálogos!$G$4:$G$6</x:formula1>
    </x:dataValidation>
    <x:dataValidation type="list" sqref="D3:D30">
      <x:formula1>Catálogos!$C$4:$C$14</x:formula1>
    </x:dataValidation>
    <x:dataValidation type="list" sqref="F3:F30">
      <x:formula1>Catálogos!$E$4:$E$6</x:formula1>
    </x:dataValidation>
    <x:dataValidation type="list" sqref="T3:T30">
      <x:formula1>Catálogos!$I$4:$I$8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2c71ed505540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30" hidden="0" customWidth="1"/>
    <x:col min="23" max="23" width="28" hidden="0" customWidth="1"/>
  </x:cols>
  <x:sheetData>
    <x:row r="1">
      <x:c r="A1" s="5" t="str">
        <x:v>Gestión de Proveedores y Contratistas - 2025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73" t="str">
        <x:v>Año</x:v>
      </x:c>
      <x:c r="B2" s="74" t="str">
        <x:v>Razón Social</x:v>
      </x:c>
      <x:c r="C2" s="74" t="str">
        <x:v>NIT</x:v>
      </x:c>
      <x:c r="D2" s="74" t="str">
        <x:v>Sede</x:v>
      </x:c>
      <x:c r="E2" s="74" t="str">
        <x:v>Servicio contratado</x:v>
      </x:c>
      <x:c r="F2" s="74" t="str">
        <x:v>Nivel de riesgo</x:v>
      </x:c>
      <x:c r="G2" s="74" t="str">
        <x:v>Fecha inicio contrato</x:v>
      </x:c>
      <x:c r="H2" s="74" t="str">
        <x:v>Fecha fin contrato</x:v>
      </x:c>
      <x:c r="I2" s="74" t="str">
        <x:v>Afiliación SGRL</x:v>
      </x:c>
      <x:c r="J2" s="74" t="str">
        <x:v>Inducción SST</x:v>
      </x:c>
      <x:c r="K2" s="74" t="str">
        <x:v>EPP entregados</x:v>
      </x:c>
      <x:c r="L2" s="74" t="str">
        <x:v>EMO vigentes</x:v>
      </x:c>
      <x:c r="M2" s="74" t="str">
        <x:v>Reglamento HSE firmado</x:v>
      </x:c>
      <x:c r="N2" s="74" t="str">
        <x:v>Capacitación riesgos específicos</x:v>
      </x:c>
      <x:c r="O2" s="74" t="str">
        <x:v>Certificación de competencias</x:v>
      </x:c>
      <x:c r="P2" s="74" t="str">
        <x:v>Documento sectorial / licencia</x:v>
      </x:c>
      <x:c r="Q2" s="74" t="str">
        <x:v>% Cumplimiento</x:v>
      </x:c>
      <x:c r="R2" s="74" t="str">
        <x:v>Nivel de cumplimiento</x:v>
      </x:c>
      <x:c r="S2" s="74" t="str">
        <x:v>Estado general</x:v>
      </x:c>
      <x:c r="T2" s="74" t="str">
        <x:v>Responsable seguimiento</x:v>
      </x:c>
      <x:c r="U2" s="74" t="str">
        <x:v>Fecha última verificación</x:v>
      </x:c>
      <x:c r="V2" s="74" t="str">
        <x:v>Observaciones</x:v>
      </x:c>
      <x:c r="W2" s="75" t="str">
        <x:v>Fuente / Soporte</x:v>
      </x:c>
    </x:row>
    <x:row r="3">
      <x:c r="A3" s="37" t="n">
        <x:v>2025</x:v>
      </x:c>
      <x:c r="B3" s="32" t="str">
        <x:v>Segurcol Ltda.</x:v>
      </x:c>
      <x:c r="C3" s="32" t="str">
        <x:v>9002500000</x:v>
      </x:c>
      <x:c r="D3" s="32" t="str">
        <x:v>Barrancabermeja</x:v>
      </x:c>
      <x:c r="E3" s="32" t="str">
        <x:v>Seguridad física fija</x:v>
      </x:c>
      <x:c r="F3" s="32" t="str">
        <x:v>Alto</x:v>
      </x:c>
      <x:c r="G3" s="93" t="n">
        <x:v>45666</x:v>
      </x:c>
      <x:c r="H3" s="93" t="n">
        <x:v>46013</x:v>
      </x:c>
      <x:c r="I3" s="94" t="str">
        <x:v>Parcial</x:v>
      </x:c>
      <x:c r="J3" s="94" t="str">
        <x:v>Sí</x:v>
      </x:c>
      <x:c r="K3" s="94" t="str">
        <x:v>Sí</x:v>
      </x:c>
      <x:c r="L3" s="94" t="str">
        <x:v>Parcial</x:v>
      </x:c>
      <x:c r="M3" s="94" t="str">
        <x:v>Sí</x:v>
      </x:c>
      <x:c r="N3" s="94" t="str">
        <x:v>Sí</x:v>
      </x:c>
      <x:c r="O3" s="94" t="str">
        <x:v>Parcial</x:v>
      </x:c>
      <x:c r="P3" s="94" t="str">
        <x:v>Sí</x:v>
      </x:c>
      <x:c r="Q3" s="95" t="n">
        <x:f>ROUND((COUNTIF(I3:P3,"Sí")+0.5*COUNTIF(I3:P3,"Parcial"))/8,4)</x:f>
        <x:v>0.8125</x:v>
      </x:c>
      <x:c r="R3" s="32" t="str">
        <x:f>IF(Q3&gt;=0.85,"Alto",IF(Q3&gt;=0.70,"Medio","Crítico"))</x:f>
        <x:v>Medio</x:v>
      </x:c>
      <x:c r="S3" s="32" t="str">
        <x:f>IF(Q3&gt;=0.85,"Aprobado",IF(Q3&gt;=0.70,"Condicionado","No aprobado"))</x:f>
        <x:v>Condicionado</x:v>
      </x:c>
      <x:c r="T3" s="32" t="str">
        <x:v>Analista SST</x:v>
      </x:c>
      <x:c r="U3" s="93" t="n">
        <x:v>45991</x:v>
      </x:c>
      <x:c r="V3" s="32" t="str">
        <x:v>Cumplimiento estable y contrato renovado.</x:v>
      </x:c>
      <x:c r="W3" s="43" t="str">
        <x:v>https://empresa-ejemplo.co/2025/proveedor/1</x:v>
      </x:c>
    </x:row>
    <x:row r="4">
      <x:c r="A4" s="37" t="n">
        <x:v>2025</x:v>
      </x:c>
      <x:c r="B4" s="32" t="str">
        <x:v>Protección Integral SAS</x:v>
      </x:c>
      <x:c r="C4" s="32" t="str">
        <x:v>9002500001</x:v>
      </x:c>
      <x:c r="D4" s="32" t="str">
        <x:v>Ocaña</x:v>
      </x:c>
      <x:c r="E4" s="32" t="str">
        <x:v>Escolta y protección</x:v>
      </x:c>
      <x:c r="F4" s="32" t="str">
        <x:v>Alto</x:v>
      </x:c>
      <x:c r="G4" s="93" t="n">
        <x:v>45706</x:v>
      </x:c>
      <x:c r="H4" s="93" t="n">
        <x:v>46011</x:v>
      </x:c>
      <x:c r="I4" s="94" t="str">
        <x:v>Sí</x:v>
      </x:c>
      <x:c r="J4" s="94" t="str">
        <x:v>Sí</x:v>
      </x:c>
      <x:c r="K4" s="94" t="str">
        <x:v>Sí</x:v>
      </x:c>
      <x:c r="L4" s="94" t="str">
        <x:v>Parcial</x:v>
      </x:c>
      <x:c r="M4" s="94" t="str">
        <x:v>Sí</x:v>
      </x:c>
      <x:c r="N4" s="94" t="str">
        <x:v>Sí</x:v>
      </x:c>
      <x:c r="O4" s="94" t="str">
        <x:v>Parcial</x:v>
      </x:c>
      <x:c r="P4" s="94" t="str">
        <x:v>Sí</x:v>
      </x:c>
      <x:c r="Q4" s="95" t="n">
        <x:f>ROUND((COUNTIF(I4:P4,"Sí")+0.5*COUNTIF(I4:P4,"Parcial"))/8,4)</x:f>
        <x:v>0.875</x:v>
      </x:c>
      <x:c r="R4" s="32" t="str">
        <x:f>IF(Q4&gt;=0.85,"Alto",IF(Q4&gt;=0.70,"Medio","Crítico"))</x:f>
        <x:v>Alto</x:v>
      </x:c>
      <x:c r="S4" s="32" t="str">
        <x:f>IF(Q4&gt;=0.85,"Aprobado",IF(Q4&gt;=0.70,"Condicionado","No aprobado"))</x:f>
        <x:v>Aprobado</x:v>
      </x:c>
      <x:c r="T4" s="32" t="str">
        <x:v>Analista SST</x:v>
      </x:c>
      <x:c r="U4" s="93" t="n">
        <x:v>45991</x:v>
      </x:c>
      <x:c r="V4" s="32" t="str">
        <x:v>Documentación vigente y verificada.</x:v>
      </x:c>
      <x:c r="W4" s="43" t="str">
        <x:v>https://empresa-ejemplo.co/2025/proveedor/2</x:v>
      </x:c>
    </x:row>
    <x:row r="5">
      <x:c r="A5" s="37" t="n">
        <x:v>2025</x:v>
      </x:c>
      <x:c r="B5" s="32" t="str">
        <x:v>Monitoreo Nacional SAS</x:v>
      </x:c>
      <x:c r="C5" s="32" t="str">
        <x:v>9002500002</x:v>
      </x:c>
      <x:c r="D5" s="32" t="str">
        <x:v>Girón</x:v>
      </x:c>
      <x:c r="E5" s="32" t="str">
        <x:v>Monitoreo de alarmas</x:v>
      </x:c>
      <x:c r="F5" s="32" t="str">
        <x:v>Medio</x:v>
      </x:c>
      <x:c r="G5" s="93" t="n">
        <x:v>45733</x:v>
      </x:c>
      <x:c r="H5" s="93" t="n">
        <x:v>45955</x:v>
      </x:c>
      <x:c r="I5" s="94" t="str">
        <x:v>Sí</x:v>
      </x:c>
      <x:c r="J5" s="94" t="str">
        <x:v>Sí</x:v>
      </x:c>
      <x:c r="K5" s="94" t="str">
        <x:v>Sí</x:v>
      </x:c>
      <x:c r="L5" s="94" t="str">
        <x:v>Sí</x:v>
      </x:c>
      <x:c r="M5" s="94" t="str">
        <x:v>Sí</x:v>
      </x:c>
      <x:c r="N5" s="94" t="str">
        <x:v>Sí</x:v>
      </x:c>
      <x:c r="O5" s="94" t="str">
        <x:v>Sí</x:v>
      </x:c>
      <x:c r="P5" s="94" t="str">
        <x:v>Sí</x:v>
      </x:c>
      <x:c r="Q5" s="95" t="n">
        <x:f>ROUND((COUNTIF(I5:P5,"Sí")+0.5*COUNTIF(I5:P5,"Parcial"))/8,4)</x:f>
        <x:v>1</x:v>
      </x:c>
      <x:c r="R5" s="32" t="str">
        <x:f>IF(Q5&gt;=0.85,"Alto",IF(Q5&gt;=0.70,"Medio","Crítico"))</x:f>
        <x:v>Alto</x:v>
      </x:c>
      <x:c r="S5" s="32" t="str">
        <x:f>IF(Q5&gt;=0.85,"Aprobado",IF(Q5&gt;=0.70,"Condicionado","No aprobado"))</x:f>
        <x:v>Aprobado</x:v>
      </x:c>
      <x:c r="T5" s="32" t="str">
        <x:v>Analista SST</x:v>
      </x:c>
      <x:c r="U5" s="93" t="n">
        <x:v>45955</x:v>
      </x:c>
      <x:c r="V5" s="32" t="str">
        <x:v>Pendiente actualización de un soporte menor.</x:v>
      </x:c>
      <x:c r="W5" s="43" t="str">
        <x:v>https://empresa-ejemplo.co/2025/proveedor/3</x:v>
      </x:c>
    </x:row>
    <x:row r="6">
      <x:c r="A6" s="37" t="n">
        <x:v>2025</x:v>
      </x:c>
      <x:c r="B6" s="32" t="str">
        <x:v>CCTV Andino SAS</x:v>
      </x:c>
      <x:c r="C6" s="32" t="str">
        <x:v>9002500003</x:v>
      </x:c>
      <x:c r="D6" s="32" t="str">
        <x:v>Valledupar</x:v>
      </x:c>
      <x:c r="E6" s="32" t="str">
        <x:v>Mantenimiento CCTV</x:v>
      </x:c>
      <x:c r="F6" s="32" t="str">
        <x:v>Medio</x:v>
      </x:c>
      <x:c r="G6" s="93" t="n">
        <x:v>45767</x:v>
      </x:c>
      <x:c r="H6" s="93" t="n">
        <x:v>45892</x:v>
      </x:c>
      <x:c r="I6" s="94" t="str">
        <x:v>Sí</x:v>
      </x:c>
      <x:c r="J6" s="94" t="str">
        <x:v>Sí</x:v>
      </x:c>
      <x:c r="K6" s="94" t="str">
        <x:v>Sí</x:v>
      </x:c>
      <x:c r="L6" s="94" t="str">
        <x:v>Sí</x:v>
      </x:c>
      <x:c r="M6" s="94" t="str">
        <x:v>Sí</x:v>
      </x:c>
      <x:c r="N6" s="94" t="str">
        <x:v>Sí</x:v>
      </x:c>
      <x:c r="O6" s="94" t="str">
        <x:v>Sí</x:v>
      </x:c>
      <x:c r="P6" s="94" t="str">
        <x:v>Parcial</x:v>
      </x:c>
      <x:c r="Q6" s="95" t="n">
        <x:f>ROUND((COUNTIF(I6:P6,"Sí")+0.5*COUNTIF(I6:P6,"Parcial"))/8,4)</x:f>
        <x:v>0.9375</x:v>
      </x:c>
      <x:c r="R6" s="32" t="str">
        <x:f>IF(Q6&gt;=0.85,"Alto",IF(Q6&gt;=0.70,"Medio","Crítico"))</x:f>
        <x:v>Alto</x:v>
      </x:c>
      <x:c r="S6" s="32" t="str">
        <x:f>IF(Q6&gt;=0.85,"Aprobado",IF(Q6&gt;=0.70,"Condicionado","No aprobado"))</x:f>
        <x:v>Aprobado</x:v>
      </x:c>
      <x:c r="T6" s="32" t="str">
        <x:v>Líder SST</x:v>
      </x:c>
      <x:c r="U6" s="93" t="n">
        <x:v>45892</x:v>
      </x:c>
      <x:c r="V6" s="32" t="str">
        <x:v>Se programó auditoría documental complementaria.</x:v>
      </x:c>
      <x:c r="W6" s="43" t="str">
        <x:v>https://empresa-ejemplo.co/2025/proveedor/4</x:v>
      </x:c>
    </x:row>
    <x:row r="7">
      <x:c r="A7" s="37" t="n">
        <x:v>2025</x:v>
      </x:c>
      <x:c r="B7" s="32" t="str">
        <x:v>Comunicaciones Norte Ltda.</x:v>
      </x:c>
      <x:c r="C7" s="32" t="str">
        <x:v>9002500004</x:v>
      </x:c>
      <x:c r="D7" s="32" t="str">
        <x:v>Arauca</x:v>
      </x:c>
      <x:c r="E7" s="32" t="str">
        <x:v>Mantenimiento de radios y comunicaciones</x:v>
      </x:c>
      <x:c r="F7" s="32" t="str">
        <x:v>Medio</x:v>
      </x:c>
      <x:c r="G7" s="93" t="n">
        <x:v>45794</x:v>
      </x:c>
      <x:c r="H7" s="93" t="n">
        <x:v>46015</x:v>
      </x:c>
      <x:c r="I7" s="94" t="str">
        <x:v>Sí</x:v>
      </x:c>
      <x:c r="J7" s="94" t="str">
        <x:v>Sí</x:v>
      </x:c>
      <x:c r="K7" s="94" t="str">
        <x:v>Sí</x:v>
      </x:c>
      <x:c r="L7" s="94" t="str">
        <x:v>Sí</x:v>
      </x:c>
      <x:c r="M7" s="94" t="str">
        <x:v>Sí</x:v>
      </x:c>
      <x:c r="N7" s="94" t="str">
        <x:v>Sí</x:v>
      </x:c>
      <x:c r="O7" s="94" t="str">
        <x:v>Sí</x:v>
      </x:c>
      <x:c r="P7" s="94" t="str">
        <x:v>Sí</x:v>
      </x:c>
      <x:c r="Q7" s="95" t="n">
        <x:f>ROUND((COUNTIF(I7:P7,"Sí")+0.5*COUNTIF(I7:P7,"Parcial"))/8,4)</x:f>
        <x:v>1</x:v>
      </x:c>
      <x:c r="R7" s="32" t="str">
        <x:f>IF(Q7&gt;=0.85,"Alto",IF(Q7&gt;=0.70,"Medio","Crítico"))</x:f>
        <x:v>Alto</x:v>
      </x:c>
      <x:c r="S7" s="32" t="str">
        <x:f>IF(Q7&gt;=0.85,"Aprobado",IF(Q7&gt;=0.70,"Condicionado","No aprobado"))</x:f>
        <x:v>Aprobado</x:v>
      </x:c>
      <x:c r="T7" s="32" t="str">
        <x:v>Líder SST</x:v>
      </x:c>
      <x:c r="U7" s="93" t="n">
        <x:v>45991</x:v>
      </x:c>
      <x:c r="V7" s="32" t="str">
        <x:v>Pendiente actualización de un soporte menor.</x:v>
      </x:c>
      <x:c r="W7" s="43" t="str">
        <x:v>https://empresa-ejemplo.co/2025/proveedor/5</x:v>
      </x:c>
    </x:row>
    <x:row r="8">
      <x:c r="A8" s="37" t="n">
        <x:v>2025</x:v>
      </x:c>
      <x:c r="B8" s="32" t="str">
        <x:v>Dotaciones Escudo SAS</x:v>
      </x:c>
      <x:c r="C8" s="32" t="str">
        <x:v>9002500005</x:v>
      </x:c>
      <x:c r="D8" s="32" t="str">
        <x:v>Bogotá</x:v>
      </x:c>
      <x:c r="E8" s="32" t="str">
        <x:v>Dotación y uniformes</x:v>
      </x:c>
      <x:c r="F8" s="32" t="str">
        <x:v>Medio</x:v>
      </x:c>
      <x:c r="G8" s="93" t="n">
        <x:v>45822</x:v>
      </x:c>
      <x:c r="H8" s="93" t="n">
        <x:v>46016</x:v>
      </x:c>
      <x:c r="I8" s="94" t="str">
        <x:v>Parcial</x:v>
      </x:c>
      <x:c r="J8" s="94" t="str">
        <x:v>Sí</x:v>
      </x:c>
      <x:c r="K8" s="94" t="str">
        <x:v>Sí</x:v>
      </x:c>
      <x:c r="L8" s="94" t="str">
        <x:v>Sí</x:v>
      </x:c>
      <x:c r="M8" s="94" t="str">
        <x:v>Sí</x:v>
      </x:c>
      <x:c r="N8" s="94" t="str">
        <x:v>Sí</x:v>
      </x:c>
      <x:c r="O8" s="94" t="str">
        <x:v>Parcial</x:v>
      </x:c>
      <x:c r="P8" s="94" t="str">
        <x:v>Sí</x:v>
      </x:c>
      <x:c r="Q8" s="95" t="n">
        <x:f>ROUND((COUNTIF(I8:P8,"Sí")+0.5*COUNTIF(I8:P8,"Parcial"))/8,4)</x:f>
        <x:v>0.875</x:v>
      </x:c>
      <x:c r="R8" s="32" t="str">
        <x:f>IF(Q8&gt;=0.85,"Alto",IF(Q8&gt;=0.70,"Medio","Crítico"))</x:f>
        <x:v>Alto</x:v>
      </x:c>
      <x:c r="S8" s="32" t="str">
        <x:f>IF(Q8&gt;=0.85,"Aprobado",IF(Q8&gt;=0.70,"Condicionado","No aprobado"))</x:f>
        <x:v>Aprobado</x:v>
      </x:c>
      <x:c r="T8" s="32" t="str">
        <x:v>Líder SST</x:v>
      </x:c>
      <x:c r="U8" s="93" t="n">
        <x:v>45991</x:v>
      </x:c>
      <x:c r="V8" s="32" t="str">
        <x:v>Se programó auditoría documental complementaria.</x:v>
      </x:c>
      <x:c r="W8" s="43" t="str">
        <x:v>https://empresa-ejemplo.co/2025/proveedor/6</x:v>
      </x:c>
    </x:row>
    <x:row r="9">
      <x:c r="A9" s="37" t="n">
        <x:v>2025</x:v>
      </x:c>
      <x:c r="B9" s="32" t="str">
        <x:v>EPP Industrial SAS</x:v>
      </x:c>
      <x:c r="C9" s="32" t="str">
        <x:v>9002500006</x:v>
      </x:c>
      <x:c r="D9" s="32" t="str">
        <x:v>Tibú</x:v>
      </x:c>
      <x:c r="E9" s="32" t="str">
        <x:v>Elementos de protección personal</x:v>
      </x:c>
      <x:c r="F9" s="32" t="str">
        <x:v>Medio</x:v>
      </x:c>
      <x:c r="G9" s="93" t="n">
        <x:v>45850</x:v>
      </x:c>
      <x:c r="H9" s="93" t="n">
        <x:v>46016</x:v>
      </x:c>
      <x:c r="I9" s="94" t="str">
        <x:v>Sí</x:v>
      </x:c>
      <x:c r="J9" s="94" t="str">
        <x:v>Sí</x:v>
      </x:c>
      <x:c r="K9" s="94" t="str">
        <x:v>Sí</x:v>
      </x:c>
      <x:c r="L9" s="94" t="str">
        <x:v>Sí</x:v>
      </x:c>
      <x:c r="M9" s="94" t="str">
        <x:v>Sí</x:v>
      </x:c>
      <x:c r="N9" s="94" t="str">
        <x:v>Sí</x:v>
      </x:c>
      <x:c r="O9" s="94" t="str">
        <x:v>Sí</x:v>
      </x:c>
      <x:c r="P9" s="94" t="str">
        <x:v>Sí</x:v>
      </x:c>
      <x:c r="Q9" s="95" t="n">
        <x:f>ROUND((COUNTIF(I9:P9,"Sí")+0.5*COUNTIF(I9:P9,"Parcial"))/8,4)</x:f>
        <x:v>1</x:v>
      </x:c>
      <x:c r="R9" s="32" t="str">
        <x:f>IF(Q9&gt;=0.85,"Alto",IF(Q9&gt;=0.70,"Medio","Crítico"))</x:f>
        <x:v>Alto</x:v>
      </x:c>
      <x:c r="S9" s="32" t="str">
        <x:f>IF(Q9&gt;=0.85,"Aprobado",IF(Q9&gt;=0.70,"Condicionado","No aprobado"))</x:f>
        <x:v>Aprobado</x:v>
      </x:c>
      <x:c r="T9" s="32" t="str">
        <x:v>Analista SST</x:v>
      </x:c>
      <x:c r="U9" s="93" t="n">
        <x:v>45991</x:v>
      </x:c>
      <x:c r="V9" s="32" t="str">
        <x:v>Documentación vigente y verificada.</x:v>
      </x:c>
      <x:c r="W9" s="43" t="str">
        <x:v>https://empresa-ejemplo.co/2025/proveedor/7</x:v>
      </x:c>
    </x:row>
    <x:row r="10">
      <x:c r="A10" s="37" t="n">
        <x:v>2025</x:v>
      </x:c>
      <x:c r="B10" s="32" t="str">
        <x:v>Formación Preventiva SAS</x:v>
      </x:c>
      <x:c r="C10" s="32" t="str">
        <x:v>9002500007</x:v>
      </x:c>
      <x:c r="D10" s="32" t="str">
        <x:v>Medellín</x:v>
      </x:c>
      <x:c r="E10" s="32" t="str">
        <x:v>Capacitación SST</x:v>
      </x:c>
      <x:c r="F10" s="32" t="str">
        <x:v>Medio</x:v>
      </x:c>
      <x:c r="G10" s="93" t="n">
        <x:v>45885</x:v>
      </x:c>
      <x:c r="H10" s="93" t="n">
        <x:v>46017</x:v>
      </x:c>
      <x:c r="I10" s="94" t="str">
        <x:v>Sí</x:v>
      </x:c>
      <x:c r="J10" s="94" t="str">
        <x:v>Sí</x:v>
      </x:c>
      <x:c r="K10" s="94" t="str">
        <x:v>Sí</x:v>
      </x:c>
      <x:c r="L10" s="94" t="str">
        <x:v>Parcial</x:v>
      </x:c>
      <x:c r="M10" s="94" t="str">
        <x:v>Sí</x:v>
      </x:c>
      <x:c r="N10" s="94" t="str">
        <x:v>Sí</x:v>
      </x:c>
      <x:c r="O10" s="94" t="str">
        <x:v>Sí</x:v>
      </x:c>
      <x:c r="P10" s="94" t="str">
        <x:v>Sí</x:v>
      </x:c>
      <x:c r="Q10" s="95" t="n">
        <x:f>ROUND((COUNTIF(I10:P10,"Sí")+0.5*COUNTIF(I10:P10,"Parcial"))/8,4)</x:f>
        <x:v>0.9375</x:v>
      </x:c>
      <x:c r="R10" s="32" t="str">
        <x:f>IF(Q10&gt;=0.85,"Alto",IF(Q10&gt;=0.70,"Medio","Crítico"))</x:f>
        <x:v>Alto</x:v>
      </x:c>
      <x:c r="S10" s="32" t="str">
        <x:f>IF(Q10&gt;=0.85,"Aprobado",IF(Q10&gt;=0.70,"Condicionado","No aprobado"))</x:f>
        <x:v>Aprobado</x:v>
      </x:c>
      <x:c r="T10" s="32" t="str">
        <x:v>Director de Operaciones</x:v>
      </x:c>
      <x:c r="U10" s="93" t="n">
        <x:v>45991</x:v>
      </x:c>
      <x:c r="V10" s="32" t="str">
        <x:v>Se programó auditoría documental complementaria.</x:v>
      </x:c>
      <x:c r="W10" s="43" t="str">
        <x:v>https://empresa-ejemplo.co/2025/proveedor/8</x:v>
      </x:c>
    </x:row>
    <x:row r="11">
      <x:c r="A11" s="37" t="n">
        <x:v>2025</x:v>
      </x:c>
      <x:c r="B11" s="32" t="str">
        <x:v>IPS Ocusalud SAS</x:v>
      </x:c>
      <x:c r="C11" s="32" t="str">
        <x:v>9002500008</x:v>
      </x:c>
      <x:c r="D11" s="32" t="str">
        <x:v>Ábrego</x:v>
      </x:c>
      <x:c r="E11" s="32" t="str">
        <x:v>Exámenes médicos ocupacionales</x:v>
      </x:c>
      <x:c r="F11" s="32" t="str">
        <x:v>Medio</x:v>
      </x:c>
      <x:c r="G11" s="93" t="n">
        <x:v>45917</x:v>
      </x:c>
      <x:c r="H11" s="93" t="n">
        <x:v>46018</x:v>
      </x:c>
      <x:c r="I11" s="94" t="str">
        <x:v>Sí</x:v>
      </x:c>
      <x:c r="J11" s="94" t="str">
        <x:v>Sí</x:v>
      </x:c>
      <x:c r="K11" s="94" t="str">
        <x:v>Sí</x:v>
      </x:c>
      <x:c r="L11" s="94" t="str">
        <x:v>Parcial</x:v>
      </x:c>
      <x:c r="M11" s="94" t="str">
        <x:v>Sí</x:v>
      </x:c>
      <x:c r="N11" s="94" t="str">
        <x:v>Sí</x:v>
      </x:c>
      <x:c r="O11" s="94" t="str">
        <x:v>Sí</x:v>
      </x:c>
      <x:c r="P11" s="94" t="str">
        <x:v>Sí</x:v>
      </x:c>
      <x:c r="Q11" s="95" t="n">
        <x:f>ROUND((COUNTIF(I11:P11,"Sí")+0.5*COUNTIF(I11:P11,"Parcial"))/8,4)</x:f>
        <x:v>0.9375</x:v>
      </x:c>
      <x:c r="R11" s="32" t="str">
        <x:f>IF(Q11&gt;=0.85,"Alto",IF(Q11&gt;=0.70,"Medio","Crítico"))</x:f>
        <x:v>Alto</x:v>
      </x:c>
      <x:c r="S11" s="32" t="str">
        <x:f>IF(Q11&gt;=0.85,"Aprobado",IF(Q11&gt;=0.70,"Condicionado","No aprobado"))</x:f>
        <x:v>Aprobado</x:v>
      </x:c>
      <x:c r="T11" s="32" t="str">
        <x:v>Analista SST</x:v>
      </x:c>
      <x:c r="U11" s="93" t="n">
        <x:v>45991</x:v>
      </x:c>
      <x:c r="V11" s="32" t="str">
        <x:v>Pendiente actualización de un soporte menor.</x:v>
      </x:c>
      <x:c r="W11" s="43" t="str">
        <x:v>https://empresa-ejemplo.co/2025/proveedor/9</x:v>
      </x:c>
    </x:row>
    <x:row r="12">
      <x:c r="A12" s="37" t="n">
        <x:v>2025</x:v>
      </x:c>
      <x:c r="B12" s="32" t="str">
        <x:v>Taller Motor Norte SAS</x:v>
      </x:c>
      <x:c r="C12" s="32" t="str">
        <x:v>9002500009</x:v>
      </x:c>
      <x:c r="D12" s="32" t="str">
        <x:v>Pamplona</x:v>
      </x:c>
      <x:c r="E12" s="32" t="str">
        <x:v>Mantenimiento vehicular</x:v>
      </x:c>
      <x:c r="F12" s="32" t="str">
        <x:v>Alto</x:v>
      </x:c>
      <x:c r="G12" s="93" t="n">
        <x:v>45948</x:v>
      </x:c>
      <x:c r="H12" s="93" t="n">
        <x:v>46017</x:v>
      </x:c>
      <x:c r="I12" s="94" t="str">
        <x:v>Parcial</x:v>
      </x:c>
      <x:c r="J12" s="94" t="str">
        <x:v>Sí</x:v>
      </x:c>
      <x:c r="K12" s="94" t="str">
        <x:v>Sí</x:v>
      </x:c>
      <x:c r="L12" s="94" t="str">
        <x:v>Parcial</x:v>
      </x:c>
      <x:c r="M12" s="94" t="str">
        <x:v>Sí</x:v>
      </x:c>
      <x:c r="N12" s="94" t="str">
        <x:v>Sí</x:v>
      </x:c>
      <x:c r="O12" s="94" t="str">
        <x:v>Sí</x:v>
      </x:c>
      <x:c r="P12" s="94" t="str">
        <x:v>Sí</x:v>
      </x:c>
      <x:c r="Q12" s="95" t="n">
        <x:f>ROUND((COUNTIF(I12:P12,"Sí")+0.5*COUNTIF(I12:P12,"Parcial"))/8,4)</x:f>
        <x:v>0.875</x:v>
      </x:c>
      <x:c r="R12" s="32" t="str">
        <x:f>IF(Q12&gt;=0.85,"Alto",IF(Q12&gt;=0.70,"Medio","Crítico"))</x:f>
        <x:v>Alto</x:v>
      </x:c>
      <x:c r="S12" s="32" t="str">
        <x:f>IF(Q12&gt;=0.85,"Aprobado",IF(Q12&gt;=0.70,"Condicionado","No aprobado"))</x:f>
        <x:v>Aprobado</x:v>
      </x:c>
      <x:c r="T12" s="32" t="str">
        <x:v>Director de Operaciones</x:v>
      </x:c>
      <x:c r="U12" s="93" t="n">
        <x:v>45991</x:v>
      </x:c>
      <x:c r="V12" s="32" t="str">
        <x:v>Pendiente reinducción SST por cambio de personal.</x:v>
      </x:c>
      <x:c r="W12" s="43" t="str">
        <x:v>https://empresa-ejemplo.co/2025/proveedor/10</x:v>
      </x:c>
    </x:row>
    <x:row r="13">
      <x:c r="A13" s="37" t="n">
        <x:v>2025</x:v>
      </x:c>
      <x:c r="B13" s="32" t="str">
        <x:v>Servicios Integrales Limpios SAS</x:v>
      </x:c>
      <x:c r="C13" s="32" t="str">
        <x:v>9002500010</x:v>
      </x:c>
      <x:c r="D13" s="32" t="str">
        <x:v>Cúcuta</x:v>
      </x:c>
      <x:c r="E13" s="32" t="str">
        <x:v>Aseo y desinfección</x:v>
      </x:c>
      <x:c r="F13" s="32" t="str">
        <x:v>Bajo</x:v>
      </x:c>
      <x:c r="G13" s="93" t="n">
        <x:v>45965</x:v>
      </x:c>
      <x:c r="H13" s="93" t="n">
        <x:v>46018</x:v>
      </x:c>
      <x:c r="I13" s="94" t="str">
        <x:v>Sí</x:v>
      </x:c>
      <x:c r="J13" s="94" t="str">
        <x:v>Sí</x:v>
      </x:c>
      <x:c r="K13" s="94" t="str">
        <x:v>Sí</x:v>
      </x:c>
      <x:c r="L13" s="94" t="str">
        <x:v>Sí</x:v>
      </x:c>
      <x:c r="M13" s="94" t="str">
        <x:v>Sí</x:v>
      </x:c>
      <x:c r="N13" s="94" t="str">
        <x:v>Sí</x:v>
      </x:c>
      <x:c r="O13" s="94" t="str">
        <x:v>Sí</x:v>
      </x:c>
      <x:c r="P13" s="94" t="str">
        <x:v>Sí</x:v>
      </x:c>
      <x:c r="Q13" s="95" t="n">
        <x:f>ROUND((COUNTIF(I13:P13,"Sí")+0.5*COUNTIF(I13:P13,"Parcial"))/8,4)</x:f>
        <x:v>1</x:v>
      </x:c>
      <x:c r="R13" s="32" t="str">
        <x:f>IF(Q13&gt;=0.85,"Alto",IF(Q13&gt;=0.70,"Medio","Crítico"))</x:f>
        <x:v>Alto</x:v>
      </x:c>
      <x:c r="S13" s="32" t="str">
        <x:f>IF(Q13&gt;=0.85,"Aprobado",IF(Q13&gt;=0.70,"Condicionado","No aprobado"))</x:f>
        <x:v>Aprobado</x:v>
      </x:c>
      <x:c r="T13" s="32" t="str">
        <x:v>Analista SST</x:v>
      </x:c>
      <x:c r="U13" s="93" t="n">
        <x:v>45991</x:v>
      </x:c>
      <x:c r="V13" s="32" t="str">
        <x:v>Se requiere seguimiento al cierre de hallazgos.</x:v>
      </x:c>
      <x:c r="W13" s="43" t="str">
        <x:v>https://empresa-ejemplo.co/2025/proveedor/11</x:v>
      </x:c>
    </x:row>
    <x:row r="14">
      <x:c r="A14" s="37" t="n">
        <x:v>2025</x:v>
      </x:c>
      <x:c r="B14" s="32" t="str">
        <x:v>BioControl Fumigaciones SAS</x:v>
      </x:c>
      <x:c r="C14" s="32" t="str">
        <x:v>9002500011</x:v>
      </x:c>
      <x:c r="D14" s="32" t="str">
        <x:v>Barrancabermeja</x:v>
      </x:c>
      <x:c r="E14" s="32" t="str">
        <x:v>Fumigación y control de plagas</x:v>
      </x:c>
      <x:c r="F14" s="32" t="str">
        <x:v>Medio</x:v>
      </x:c>
      <x:c r="G14" s="93" t="n">
        <x:v>45997</x:v>
      </x:c>
      <x:c r="H14" s="93" t="n">
        <x:v>46012</x:v>
      </x:c>
      <x:c r="I14" s="94" t="str">
        <x:v>Sí</x:v>
      </x:c>
      <x:c r="J14" s="94" t="str">
        <x:v>Sí</x:v>
      </x:c>
      <x:c r="K14" s="94" t="str">
        <x:v>Sí</x:v>
      </x:c>
      <x:c r="L14" s="94" t="str">
        <x:v>Sí</x:v>
      </x:c>
      <x:c r="M14" s="94" t="str">
        <x:v>Sí</x:v>
      </x:c>
      <x:c r="N14" s="94" t="str">
        <x:v>Sí</x:v>
      </x:c>
      <x:c r="O14" s="94" t="str">
        <x:v>Sí</x:v>
      </x:c>
      <x:c r="P14" s="94" t="str">
        <x:v>Sí</x:v>
      </x:c>
      <x:c r="Q14" s="95" t="n">
        <x:f>ROUND((COUNTIF(I14:P14,"Sí")+0.5*COUNTIF(I14:P14,"Parcial"))/8,4)</x:f>
        <x:v>1</x:v>
      </x:c>
      <x:c r="R14" s="32" t="str">
        <x:f>IF(Q14&gt;=0.85,"Alto",IF(Q14&gt;=0.70,"Medio","Crítico"))</x:f>
        <x:v>Alto</x:v>
      </x:c>
      <x:c r="S14" s="32" t="str">
        <x:f>IF(Q14&gt;=0.85,"Aprobado",IF(Q14&gt;=0.70,"Condicionado","No aprobado"))</x:f>
        <x:v>Aprobado</x:v>
      </x:c>
      <x:c r="T14" s="32" t="str">
        <x:v>Director de Operaciones</x:v>
      </x:c>
      <x:c r="U14" s="93" t="n">
        <x:v>45991</x:v>
      </x:c>
      <x:c r="V14" s="32" t="str">
        <x:v>Se programó auditoría documental complementaria.</x:v>
      </x:c>
      <x:c r="W14" s="43" t="str">
        <x:v>https://empresa-ejemplo.co/2025/proveedor/12</x:v>
      </x:c>
    </x:row>
    <x:row r="15">
      <x:c r="A15" s="37" t="n">
        <x:v>2025</x:v>
      </x:c>
      <x:c r="B15" s="32" t="str">
        <x:v>Turnos Smart SAS</x:v>
      </x:c>
      <x:c r="C15" s="32" t="str">
        <x:v>9002500012</x:v>
      </x:c>
      <x:c r="D15" s="32" t="str">
        <x:v>Ocaña</x:v>
      </x:c>
      <x:c r="E15" s="32" t="str">
        <x:v>Software de control de turnos</x:v>
      </x:c>
      <x:c r="F15" s="32" t="str">
        <x:v>Bajo</x:v>
      </x:c>
      <x:c r="G15" s="93" t="n">
        <x:v>45675</x:v>
      </x:c>
      <x:c r="H15" s="93" t="n">
        <x:v>45922</x:v>
      </x:c>
      <x:c r="I15" s="94" t="str">
        <x:v>Sí</x:v>
      </x:c>
      <x:c r="J15" s="94" t="str">
        <x:v>Parcial</x:v>
      </x:c>
      <x:c r="K15" s="94" t="str">
        <x:v>Parcial</x:v>
      </x:c>
      <x:c r="L15" s="94" t="str">
        <x:v>Sí</x:v>
      </x:c>
      <x:c r="M15" s="94" t="str">
        <x:v>Parcial</x:v>
      </x:c>
      <x:c r="N15" s="94" t="str">
        <x:v>Sí</x:v>
      </x:c>
      <x:c r="O15" s="94" t="str">
        <x:v>Sí</x:v>
      </x:c>
      <x:c r="P15" s="94" t="str">
        <x:v>Sí</x:v>
      </x:c>
      <x:c r="Q15" s="95" t="n">
        <x:f>ROUND((COUNTIF(I15:P15,"Sí")+0.5*COUNTIF(I15:P15,"Parcial"))/8,4)</x:f>
        <x:v>0.8125</x:v>
      </x:c>
      <x:c r="R15" s="32" t="str">
        <x:f>IF(Q15&gt;=0.85,"Alto",IF(Q15&gt;=0.70,"Medio","Crítico"))</x:f>
        <x:v>Medio</x:v>
      </x:c>
      <x:c r="S15" s="32" t="str">
        <x:f>IF(Q15&gt;=0.85,"Aprobado",IF(Q15&gt;=0.70,"Condicionado","No aprobado"))</x:f>
        <x:v>Condicionado</x:v>
      </x:c>
      <x:c r="T15" s="32" t="str">
        <x:v>Analista SST</x:v>
      </x:c>
      <x:c r="U15" s="93" t="n">
        <x:v>45922</x:v>
      </x:c>
      <x:c r="V15" s="32" t="str">
        <x:v>Se programó auditoría documental complementaria.</x:v>
      </x:c>
      <x:c r="W15" s="43" t="str">
        <x:v>https://empresa-ejemplo.co/2025/proveedor/13</x:v>
      </x:c>
    </x:row>
    <x:row r="16">
      <x:c r="A16" s="37" t="n">
        <x:v>2025</x:v>
      </x:c>
      <x:c r="B16" s="32" t="str">
        <x:v>Legal &amp; Compliance SAS</x:v>
      </x:c>
      <x:c r="C16" s="32" t="str">
        <x:v>9002500013</x:v>
      </x:c>
      <x:c r="D16" s="32" t="str">
        <x:v>Girón</x:v>
      </x:c>
      <x:c r="E16" s="32" t="str">
        <x:v>Servicios jurídicos laborales</x:v>
      </x:c>
      <x:c r="F16" s="32" t="str">
        <x:v>Bajo</x:v>
      </x:c>
      <x:c r="G16" s="93" t="n">
        <x:v>45696</x:v>
      </x:c>
      <x:c r="H16" s="93" t="n">
        <x:v>45864</x:v>
      </x:c>
      <x:c r="I16" s="94" t="str">
        <x:v>Sí</x:v>
      </x:c>
      <x:c r="J16" s="94" t="str">
        <x:v>Sí</x:v>
      </x:c>
      <x:c r="K16" s="94" t="str">
        <x:v>Parcial</x:v>
      </x:c>
      <x:c r="L16" s="94" t="str">
        <x:v>Sí</x:v>
      </x:c>
      <x:c r="M16" s="94" t="str">
        <x:v>Parcial</x:v>
      </x:c>
      <x:c r="N16" s="94" t="str">
        <x:v>Sí</x:v>
      </x:c>
      <x:c r="O16" s="94" t="str">
        <x:v>Sí</x:v>
      </x:c>
      <x:c r="P16" s="94" t="str">
        <x:v>Sí</x:v>
      </x:c>
      <x:c r="Q16" s="95" t="n">
        <x:f>ROUND((COUNTIF(I16:P16,"Sí")+0.5*COUNTIF(I16:P16,"Parcial"))/8,4)</x:f>
        <x:v>0.875</x:v>
      </x:c>
      <x:c r="R16" s="32" t="str">
        <x:f>IF(Q16&gt;=0.85,"Alto",IF(Q16&gt;=0.70,"Medio","Crítico"))</x:f>
        <x:v>Alto</x:v>
      </x:c>
      <x:c r="S16" s="32" t="str">
        <x:f>IF(Q16&gt;=0.85,"Aprobado",IF(Q16&gt;=0.70,"Condicionado","No aprobado"))</x:f>
        <x:v>Aprobado</x:v>
      </x:c>
      <x:c r="T16" s="32" t="str">
        <x:v>Director de Operaciones</x:v>
      </x:c>
      <x:c r="U16" s="93" t="n">
        <x:v>45864</x:v>
      </x:c>
      <x:c r="V16" s="32" t="str">
        <x:v>Se programó auditoría documental complementaria.</x:v>
      </x:c>
      <x:c r="W16" s="43" t="str">
        <x:v>https://empresa-ejemplo.co/2025/proveedor/14</x:v>
      </x:c>
    </x:row>
    <x:row r="17">
      <x:c r="A17" s="37" t="n">
        <x:v>2025</x:v>
      </x:c>
      <x:c r="B17" s="32" t="str">
        <x:v>Extinred SAS</x:v>
      </x:c>
      <x:c r="C17" s="32" t="str">
        <x:v>9002500014</x:v>
      </x:c>
      <x:c r="D17" s="32" t="str">
        <x:v>Valledupar</x:v>
      </x:c>
      <x:c r="E17" s="32" t="str">
        <x:v>Mantenimiento de extintores</x:v>
      </x:c>
      <x:c r="F17" s="32" t="str">
        <x:v>Medio</x:v>
      </x:c>
      <x:c r="G17" s="93" t="n">
        <x:v>45724</x:v>
      </x:c>
      <x:c r="H17" s="93" t="n">
        <x:v>45986</x:v>
      </x:c>
      <x:c r="I17" s="94" t="str">
        <x:v>Sí</x:v>
      </x:c>
      <x:c r="J17" s="94" t="str">
        <x:v>Sí</x:v>
      </x:c>
      <x:c r="K17" s="94" t="str">
        <x:v>Sí</x:v>
      </x:c>
      <x:c r="L17" s="94" t="str">
        <x:v>Sí</x:v>
      </x:c>
      <x:c r="M17" s="94" t="str">
        <x:v>Sí</x:v>
      </x:c>
      <x:c r="N17" s="94" t="str">
        <x:v>Sí</x:v>
      </x:c>
      <x:c r="O17" s="94" t="str">
        <x:v>Sí</x:v>
      </x:c>
      <x:c r="P17" s="94" t="str">
        <x:v>Sí</x:v>
      </x:c>
      <x:c r="Q17" s="95" t="n">
        <x:f>ROUND((COUNTIF(I17:P17,"Sí")+0.5*COUNTIF(I17:P17,"Parcial"))/8,4)</x:f>
        <x:v>1</x:v>
      </x:c>
      <x:c r="R17" s="32" t="str">
        <x:f>IF(Q17&gt;=0.85,"Alto",IF(Q17&gt;=0.70,"Medio","Crítico"))</x:f>
        <x:v>Alto</x:v>
      </x:c>
      <x:c r="S17" s="32" t="str">
        <x:f>IF(Q17&gt;=0.85,"Aprobado",IF(Q17&gt;=0.70,"Condicionado","No aprobado"))</x:f>
        <x:v>Aprobado</x:v>
      </x:c>
      <x:c r="T17" s="32" t="str">
        <x:v>Director de Operaciones</x:v>
      </x:c>
      <x:c r="U17" s="93" t="n">
        <x:v>45986</x:v>
      </x:c>
      <x:c r="V17" s="32" t="str">
        <x:v>Cumplimiento estable y contrato renovado.</x:v>
      </x:c>
      <x:c r="W17" s="43" t="str">
        <x:v>https://empresa-ejemplo.co/2025/proveedor/15</x:v>
      </x:c>
    </x:row>
    <x:row r="18">
      <x:c r="A18" s="37" t="n">
        <x:v>2025</x:v>
      </x:c>
      <x:c r="B18" s="32" t="str">
        <x:v>Señales Seguras SAS</x:v>
      </x:c>
      <x:c r="C18" s="32" t="str">
        <x:v>9002500015</x:v>
      </x:c>
      <x:c r="D18" s="32" t="str">
        <x:v>Arauca</x:v>
      </x:c>
      <x:c r="E18" s="32" t="str">
        <x:v>Señalización y demarcación</x:v>
      </x:c>
      <x:c r="F18" s="32" t="str">
        <x:v>Bajo</x:v>
      </x:c>
      <x:c r="G18" s="93" t="n">
        <x:v>45749</x:v>
      </x:c>
      <x:c r="H18" s="93" t="n">
        <x:v>46016</x:v>
      </x:c>
      <x:c r="I18" s="94" t="str">
        <x:v>Sí</x:v>
      </x:c>
      <x:c r="J18" s="94" t="str">
        <x:v>Sí</x:v>
      </x:c>
      <x:c r="K18" s="94" t="str">
        <x:v>Sí</x:v>
      </x:c>
      <x:c r="L18" s="94" t="str">
        <x:v>Sí</x:v>
      </x:c>
      <x:c r="M18" s="94" t="str">
        <x:v>Sí</x:v>
      </x:c>
      <x:c r="N18" s="94" t="str">
        <x:v>Sí</x:v>
      </x:c>
      <x:c r="O18" s="94" t="str">
        <x:v>Sí</x:v>
      </x:c>
      <x:c r="P18" s="94" t="str">
        <x:v>Parcial</x:v>
      </x:c>
      <x:c r="Q18" s="95" t="n">
        <x:f>ROUND((COUNTIF(I18:P18,"Sí")+0.5*COUNTIF(I18:P18,"Parcial"))/8,4)</x:f>
        <x:v>0.9375</x:v>
      </x:c>
      <x:c r="R18" s="32" t="str">
        <x:f>IF(Q18&gt;=0.85,"Alto",IF(Q18&gt;=0.70,"Medio","Crítico"))</x:f>
        <x:v>Alto</x:v>
      </x:c>
      <x:c r="S18" s="32" t="str">
        <x:f>IF(Q18&gt;=0.85,"Aprobado",IF(Q18&gt;=0.70,"Condicionado","No aprobado"))</x:f>
        <x:v>Aprobado</x:v>
      </x:c>
      <x:c r="T18" s="32" t="str">
        <x:v>Jefe Administrativo</x:v>
      </x:c>
      <x:c r="U18" s="93" t="n">
        <x:v>45991</x:v>
      </x:c>
      <x:c r="V18" s="32" t="str">
        <x:v>Cumplimiento estable y contrato renovado.</x:v>
      </x:c>
      <x:c r="W18" s="43" t="str">
        <x:v>https://empresa-ejemplo.co/2025/proveedor/16</x:v>
      </x:c>
    </x:row>
    <x:row r="19">
      <x:c r="A19" s="37" t="n">
        <x:v>2025</x:v>
      </x:c>
      <x:c r="B19" s="32" t="str">
        <x:v>Obras y Mantenimientos del Oriente SAS</x:v>
      </x:c>
      <x:c r="C19" s="32" t="str">
        <x:v>9002500016</x:v>
      </x:c>
      <x:c r="D19" s="32" t="str">
        <x:v>Bogotá</x:v>
      </x:c>
      <x:c r="E19" s="32" t="str">
        <x:v>Mantenimiento locativo</x:v>
      </x:c>
      <x:c r="F19" s="32" t="str">
        <x:v>Medio</x:v>
      </x:c>
      <x:c r="G19" s="93" t="n">
        <x:v>45786</x:v>
      </x:c>
      <x:c r="H19" s="93" t="n">
        <x:v>45988</x:v>
      </x:c>
      <x:c r="I19" s="94" t="str">
        <x:v>Parcial</x:v>
      </x:c>
      <x:c r="J19" s="94" t="str">
        <x:v>Sí</x:v>
      </x:c>
      <x:c r="K19" s="94" t="str">
        <x:v>Sí</x:v>
      </x:c>
      <x:c r="L19" s="94" t="str">
        <x:v>Sí</x:v>
      </x:c>
      <x:c r="M19" s="94" t="str">
        <x:v>Sí</x:v>
      </x:c>
      <x:c r="N19" s="94" t="str">
        <x:v>Sí</x:v>
      </x:c>
      <x:c r="O19" s="94" t="str">
        <x:v>Sí</x:v>
      </x:c>
      <x:c r="P19" s="94" t="str">
        <x:v>Sí</x:v>
      </x:c>
      <x:c r="Q19" s="95" t="n">
        <x:f>ROUND((COUNTIF(I19:P19,"Sí")+0.5*COUNTIF(I19:P19,"Parcial"))/8,4)</x:f>
        <x:v>0.9375</x:v>
      </x:c>
      <x:c r="R19" s="32" t="str">
        <x:f>IF(Q19&gt;=0.85,"Alto",IF(Q19&gt;=0.70,"Medio","Crítico"))</x:f>
        <x:v>Alto</x:v>
      </x:c>
      <x:c r="S19" s="32" t="str">
        <x:f>IF(Q19&gt;=0.85,"Aprobado",IF(Q19&gt;=0.70,"Condicionado","No aprobado"))</x:f>
        <x:v>Aprobado</x:v>
      </x:c>
      <x:c r="T19" s="32" t="str">
        <x:v>Analista SST</x:v>
      </x:c>
      <x:c r="U19" s="93" t="n">
        <x:v>45988</x:v>
      </x:c>
      <x:c r="V19" s="32" t="str">
        <x:v>Verificación realizada en visita de sede.</x:v>
      </x:c>
      <x:c r="W19" s="43" t="str">
        <x:v>https://empresa-ejemplo.co/2025/proveedor/17</x:v>
      </x:c>
    </x:row>
    <x:row r="20">
      <x:c r="A20" s="37" t="n">
        <x:v>2025</x:v>
      </x:c>
      <x:c r="B20" s="32" t="str">
        <x:v>Movilidad Segura Especial SAS</x:v>
      </x:c>
      <x:c r="C20" s="32" t="str">
        <x:v>9002500017</x:v>
      </x:c>
      <x:c r="D20" s="32" t="str">
        <x:v>Tibú</x:v>
      </x:c>
      <x:c r="E20" s="32" t="str">
        <x:v>Transporte especial de personal</x:v>
      </x:c>
      <x:c r="F20" s="32" t="str">
        <x:v>Alto</x:v>
      </x:c>
      <x:c r="G20" s="93" t="n">
        <x:v>45821</x:v>
      </x:c>
      <x:c r="H20" s="93" t="n">
        <x:v>45981</x:v>
      </x:c>
      <x:c r="I20" s="94" t="str">
        <x:v>Sí</x:v>
      </x:c>
      <x:c r="J20" s="94" t="str">
        <x:v>Sí</x:v>
      </x:c>
      <x:c r="K20" s="94" t="str">
        <x:v>Sí</x:v>
      </x:c>
      <x:c r="L20" s="94" t="str">
        <x:v>Sí</x:v>
      </x:c>
      <x:c r="M20" s="94" t="str">
        <x:v>Sí</x:v>
      </x:c>
      <x:c r="N20" s="94" t="str">
        <x:v>Sí</x:v>
      </x:c>
      <x:c r="O20" s="94" t="str">
        <x:v>Sí</x:v>
      </x:c>
      <x:c r="P20" s="94" t="str">
        <x:v>Sí</x:v>
      </x:c>
      <x:c r="Q20" s="95" t="n">
        <x:f>ROUND((COUNTIF(I20:P20,"Sí")+0.5*COUNTIF(I20:P20,"Parcial"))/8,4)</x:f>
        <x:v>1</x:v>
      </x:c>
      <x:c r="R20" s="32" t="str">
        <x:f>IF(Q20&gt;=0.85,"Alto",IF(Q20&gt;=0.70,"Medio","Crítico"))</x:f>
        <x:v>Alto</x:v>
      </x:c>
      <x:c r="S20" s="32" t="str">
        <x:f>IF(Q20&gt;=0.85,"Aprobado",IF(Q20&gt;=0.70,"Condicionado","No aprobado"))</x:f>
        <x:v>Aprobado</x:v>
      </x:c>
      <x:c r="T20" s="32" t="str">
        <x:v>Analista SST</x:v>
      </x:c>
      <x:c r="U20" s="93" t="n">
        <x:v>45981</x:v>
      </x:c>
      <x:c r="V20" s="32" t="str">
        <x:v>Documentación vigente y verificada.</x:v>
      </x:c>
      <x:c r="W20" s="43" t="str">
        <x:v>https://empresa-ejemplo.co/2025/proveedor/18</x:v>
      </x:c>
    </x:row>
    <x:row r="21">
      <x:c r="A21" s="37" t="n">
        <x:v>2025</x:v>
      </x:c>
      <x:c r="B21" s="32" t="str">
        <x:v>Archivo y Gestión SAS</x:v>
      </x:c>
      <x:c r="C21" s="32" t="str">
        <x:v>9002500018</x:v>
      </x:c>
      <x:c r="D21" s="32" t="str">
        <x:v>Medellín</x:v>
      </x:c>
      <x:c r="E21" s="32" t="str">
        <x:v>Gestión documental</x:v>
      </x:c>
      <x:c r="F21" s="32" t="str">
        <x:v>Bajo</x:v>
      </x:c>
      <x:c r="G21" s="93" t="n">
        <x:v>45858</x:v>
      </x:c>
      <x:c r="H21" s="93" t="n">
        <x:v>46014</x:v>
      </x:c>
      <x:c r="I21" s="94" t="str">
        <x:v>Sí</x:v>
      </x:c>
      <x:c r="J21" s="94" t="str">
        <x:v>Sí</x:v>
      </x:c>
      <x:c r="K21" s="94" t="str">
        <x:v>Sí</x:v>
      </x:c>
      <x:c r="L21" s="94" t="str">
        <x:v>Sí</x:v>
      </x:c>
      <x:c r="M21" s="94" t="str">
        <x:v>Sí</x:v>
      </x:c>
      <x:c r="N21" s="94" t="str">
        <x:v>Sí</x:v>
      </x:c>
      <x:c r="O21" s="94" t="str">
        <x:v>Sí</x:v>
      </x:c>
      <x:c r="P21" s="94" t="str">
        <x:v>Sí</x:v>
      </x:c>
      <x:c r="Q21" s="95" t="n">
        <x:f>ROUND((COUNTIF(I21:P21,"Sí")+0.5*COUNTIF(I21:P21,"Parcial"))/8,4)</x:f>
        <x:v>1</x:v>
      </x:c>
      <x:c r="R21" s="32" t="str">
        <x:f>IF(Q21&gt;=0.85,"Alto",IF(Q21&gt;=0.70,"Medio","Crítico"))</x:f>
        <x:v>Alto</x:v>
      </x:c>
      <x:c r="S21" s="32" t="str">
        <x:f>IF(Q21&gt;=0.85,"Aprobado",IF(Q21&gt;=0.70,"Condicionado","No aprobado"))</x:f>
        <x:v>Aprobado</x:v>
      </x:c>
      <x:c r="T21" s="32" t="str">
        <x:v>Analista SST</x:v>
      </x:c>
      <x:c r="U21" s="93" t="n">
        <x:v>45991</x:v>
      </x:c>
      <x:c r="V21" s="32" t="str">
        <x:v>Pendiente actualización de un soporte menor.</x:v>
      </x:c>
      <x:c r="W21" s="43" t="str">
        <x:v>https://empresa-ejemplo.co/2025/proveedor/19</x:v>
      </x:c>
    </x:row>
    <x:row r="22">
      <x:c r="A22" s="37" t="n">
        <x:v>2025</x:v>
      </x:c>
      <x:c r="B22" s="32" t="str">
        <x:v>Soporte Digital 24/7 SAS</x:v>
      </x:c>
      <x:c r="C22" s="32" t="str">
        <x:v>9002500019</x:v>
      </x:c>
      <x:c r="D22" s="32" t="str">
        <x:v>Ábrego</x:v>
      </x:c>
      <x:c r="E22" s="32" t="str">
        <x:v>Soporte TI y mesa de ayuda</x:v>
      </x:c>
      <x:c r="F22" s="32" t="str">
        <x:v>Bajo</x:v>
      </x:c>
      <x:c r="G22" s="93" t="n">
        <x:v>45877</x:v>
      </x:c>
      <x:c r="H22" s="93" t="n">
        <x:v>46019</x:v>
      </x:c>
      <x:c r="I22" s="94" t="str">
        <x:v>Sí</x:v>
      </x:c>
      <x:c r="J22" s="94" t="str">
        <x:v>Sí</x:v>
      </x:c>
      <x:c r="K22" s="94" t="str">
        <x:v>Sí</x:v>
      </x:c>
      <x:c r="L22" s="94" t="str">
        <x:v>Sí</x:v>
      </x:c>
      <x:c r="M22" s="94" t="str">
        <x:v>Parcial</x:v>
      </x:c>
      <x:c r="N22" s="94" t="str">
        <x:v>Sí</x:v>
      </x:c>
      <x:c r="O22" s="94" t="str">
        <x:v>Sí</x:v>
      </x:c>
      <x:c r="P22" s="94" t="str">
        <x:v>Sí</x:v>
      </x:c>
      <x:c r="Q22" s="95" t="n">
        <x:f>ROUND((COUNTIF(I22:P22,"Sí")+0.5*COUNTIF(I22:P22,"Parcial"))/8,4)</x:f>
        <x:v>0.9375</x:v>
      </x:c>
      <x:c r="R22" s="32" t="str">
        <x:f>IF(Q22&gt;=0.85,"Alto",IF(Q22&gt;=0.70,"Medio","Crítico"))</x:f>
        <x:v>Alto</x:v>
      </x:c>
      <x:c r="S22" s="32" t="str">
        <x:f>IF(Q22&gt;=0.85,"Aprobado",IF(Q22&gt;=0.70,"Condicionado","No aprobado"))</x:f>
        <x:v>Aprobado</x:v>
      </x:c>
      <x:c r="T22" s="32" t="str">
        <x:v>Analista SST</x:v>
      </x:c>
      <x:c r="U22" s="93" t="n">
        <x:v>45991</x:v>
      </x:c>
      <x:c r="V22" s="32" t="str">
        <x:v>Pendiente actualización de un soporte menor.</x:v>
      </x:c>
      <x:c r="W22" s="43" t="str">
        <x:v>https://empresa-ejemplo.co/2025/proveedor/20</x:v>
      </x:c>
    </x:row>
    <x:row r="23">
      <x:c r="A23" s="37" t="n">
        <x:v>2025</x:v>
      </x:c>
      <x:c r="B23" s="32" t="str">
        <x:v>Blindajes Operativos SAS</x:v>
      </x:c>
      <x:c r="C23" s="32" t="str">
        <x:v>9002500020</x:v>
      </x:c>
      <x:c r="D23" s="32" t="str">
        <x:v>Pamplona</x:v>
      </x:c>
      <x:c r="E23" s="32" t="str">
        <x:v>Seguridad física fija</x:v>
      </x:c>
      <x:c r="F23" s="32" t="str">
        <x:v>Alto</x:v>
      </x:c>
      <x:c r="G23" s="93" t="n">
        <x:v>45920</x:v>
      </x:c>
      <x:c r="H23" s="93" t="n">
        <x:v>46017</x:v>
      </x:c>
      <x:c r="I23" s="94" t="str">
        <x:v>Parcial</x:v>
      </x:c>
      <x:c r="J23" s="94" t="str">
        <x:v>Sí</x:v>
      </x:c>
      <x:c r="K23" s="94" t="str">
        <x:v>Sí</x:v>
      </x:c>
      <x:c r="L23" s="94" t="str">
        <x:v>Sí</x:v>
      </x:c>
      <x:c r="M23" s="94" t="str">
        <x:v>Sí</x:v>
      </x:c>
      <x:c r="N23" s="94" t="str">
        <x:v>Sí</x:v>
      </x:c>
      <x:c r="O23" s="94" t="str">
        <x:v>Sí</x:v>
      </x:c>
      <x:c r="P23" s="94" t="str">
        <x:v>Parcial</x:v>
      </x:c>
      <x:c r="Q23" s="95" t="n">
        <x:f>ROUND((COUNTIF(I23:P23,"Sí")+0.5*COUNTIF(I23:P23,"Parcial"))/8,4)</x:f>
        <x:v>0.875</x:v>
      </x:c>
      <x:c r="R23" s="32" t="str">
        <x:f>IF(Q23&gt;=0.85,"Alto",IF(Q23&gt;=0.70,"Medio","Crítico"))</x:f>
        <x:v>Alto</x:v>
      </x:c>
      <x:c r="S23" s="32" t="str">
        <x:f>IF(Q23&gt;=0.85,"Aprobado",IF(Q23&gt;=0.70,"Condicionado","No aprobado"))</x:f>
        <x:v>Aprobado</x:v>
      </x:c>
      <x:c r="T23" s="32" t="str">
        <x:v>Coordinador de Contratistas</x:v>
      </x:c>
      <x:c r="U23" s="93" t="n">
        <x:v>45991</x:v>
      </x:c>
      <x:c r="V23" s="32" t="str">
        <x:v>Documentación vigente y verificada.</x:v>
      </x:c>
      <x:c r="W23" s="43" t="str">
        <x:v>https://empresa-ejemplo.co/2025/proveedor/21</x:v>
      </x:c>
    </x:row>
    <x:row r="24">
      <x:c r="A24" s="37" t="n">
        <x:v>2025</x:v>
      </x:c>
      <x:c r="B24" s="32" t="str">
        <x:v>Consultores HSEQ Colombia SAS</x:v>
      </x:c>
      <x:c r="C24" s="32" t="str">
        <x:v>9002500021</x:v>
      </x:c>
      <x:c r="D24" s="32" t="str">
        <x:v>Cúcuta</x:v>
      </x:c>
      <x:c r="E24" s="32" t="str">
        <x:v>Escolta y protección</x:v>
      </x:c>
      <x:c r="F24" s="32" t="str">
        <x:v>Alto</x:v>
      </x:c>
      <x:c r="G24" s="93" t="n">
        <x:v>45939</x:v>
      </x:c>
      <x:c r="H24" s="93" t="n">
        <x:v>46014</x:v>
      </x:c>
      <x:c r="I24" s="94" t="str">
        <x:v>Parcial</x:v>
      </x:c>
      <x:c r="J24" s="94" t="str">
        <x:v>Parcial</x:v>
      </x:c>
      <x:c r="K24" s="94" t="str">
        <x:v>Parcial</x:v>
      </x:c>
      <x:c r="L24" s="94" t="str">
        <x:v>Sí</x:v>
      </x:c>
      <x:c r="M24" s="94" t="str">
        <x:v>Sí</x:v>
      </x:c>
      <x:c r="N24" s="94" t="str">
        <x:v>Sí</x:v>
      </x:c>
      <x:c r="O24" s="94" t="str">
        <x:v>Parcial</x:v>
      </x:c>
      <x:c r="P24" s="94" t="str">
        <x:v>Sí</x:v>
      </x:c>
      <x:c r="Q24" s="95" t="n">
        <x:f>ROUND((COUNTIF(I24:P24,"Sí")+0.5*COUNTIF(I24:P24,"Parcial"))/8,4)</x:f>
        <x:v>0.75</x:v>
      </x:c>
      <x:c r="R24" s="32" t="str">
        <x:f>IF(Q24&gt;=0.85,"Alto",IF(Q24&gt;=0.70,"Medio","Crítico"))</x:f>
        <x:v>Medio</x:v>
      </x:c>
      <x:c r="S24" s="32" t="str">
        <x:f>IF(Q24&gt;=0.85,"Aprobado",IF(Q24&gt;=0.70,"Condicionado","No aprobado"))</x:f>
        <x:v>Condicionado</x:v>
      </x:c>
      <x:c r="T24" s="32" t="str">
        <x:v>Jefe Administrativo</x:v>
      </x:c>
      <x:c r="U24" s="93" t="n">
        <x:v>45991</x:v>
      </x:c>
      <x:c r="V24" s="32" t="str">
        <x:v>Proveedor crítico para la operación; seguimiento mensual.</x:v>
      </x:c>
      <x:c r="W24" s="43" t="str">
        <x:v>https://empresa-ejemplo.co/2025/proveedor/22</x:v>
      </x:c>
    </x:row>
    <x:row r="25">
      <x:c r="A25" s="37" t="n">
        <x:v>2025</x:v>
      </x:c>
      <x:c r="B25" s="32" t="str">
        <x:v>Vigilancia Estratégica SAS</x:v>
      </x:c>
      <x:c r="C25" s="32" t="str">
        <x:v>9002500022</x:v>
      </x:c>
      <x:c r="D25" s="32" t="str">
        <x:v>Barrancabermeja</x:v>
      </x:c>
      <x:c r="E25" s="32" t="str">
        <x:v>Monitoreo de alarmas</x:v>
      </x:c>
      <x:c r="F25" s="32" t="str">
        <x:v>Medio</x:v>
      </x:c>
      <x:c r="G25" s="93" t="n">
        <x:v>45979</x:v>
      </x:c>
      <x:c r="H25" s="93" t="n">
        <x:v>46014</x:v>
      </x:c>
      <x:c r="I25" s="94" t="str">
        <x:v>Sí</x:v>
      </x:c>
      <x:c r="J25" s="94" t="str">
        <x:v>Sí</x:v>
      </x:c>
      <x:c r="K25" s="94" t="str">
        <x:v>Sí</x:v>
      </x:c>
      <x:c r="L25" s="94" t="str">
        <x:v>Sí</x:v>
      </x:c>
      <x:c r="M25" s="94" t="str">
        <x:v>Sí</x:v>
      </x:c>
      <x:c r="N25" s="94" t="str">
        <x:v>Sí</x:v>
      </x:c>
      <x:c r="O25" s="94" t="str">
        <x:v>Sí</x:v>
      </x:c>
      <x:c r="P25" s="94" t="str">
        <x:v>Parcial</x:v>
      </x:c>
      <x:c r="Q25" s="95" t="n">
        <x:f>ROUND((COUNTIF(I25:P25,"Sí")+0.5*COUNTIF(I25:P25,"Parcial"))/8,4)</x:f>
        <x:v>0.9375</x:v>
      </x:c>
      <x:c r="R25" s="32" t="str">
        <x:f>IF(Q25&gt;=0.85,"Alto",IF(Q25&gt;=0.70,"Medio","Crítico"))</x:f>
        <x:v>Alto</x:v>
      </x:c>
      <x:c r="S25" s="32" t="str">
        <x:f>IF(Q25&gt;=0.85,"Aprobado",IF(Q25&gt;=0.70,"Condicionado","No aprobado"))</x:f>
        <x:v>Aprobado</x:v>
      </x:c>
      <x:c r="T25" s="32" t="str">
        <x:v>Líder SST</x:v>
      </x:c>
      <x:c r="U25" s="93" t="n">
        <x:v>45991</x:v>
      </x:c>
      <x:c r="V25" s="32" t="str">
        <x:v>Cumplimiento estable y contrato renovado.</x:v>
      </x:c>
      <x:c r="W25" s="43" t="str">
        <x:v>https://empresa-ejemplo.co/2025/proveedor/23</x:v>
      </x:c>
    </x:row>
    <x:row r="26">
      <x:c r="A26" s="37" t="n">
        <x:v>2025</x:v>
      </x:c>
      <x:c r="B26" s="32" t="str">
        <x:v>Operaciones Tácticas SAS</x:v>
      </x:c>
      <x:c r="C26" s="32" t="str">
        <x:v>9002500023</x:v>
      </x:c>
      <x:c r="D26" s="32" t="str">
        <x:v>Ocaña</x:v>
      </x:c>
      <x:c r="E26" s="32" t="str">
        <x:v>Mantenimiento CCTV</x:v>
      </x:c>
      <x:c r="F26" s="32" t="str">
        <x:v>Medio</x:v>
      </x:c>
      <x:c r="G26" s="93" t="n">
        <x:v>45995</x:v>
      </x:c>
      <x:c r="H26" s="93" t="n">
        <x:v>46011</x:v>
      </x:c>
      <x:c r="I26" s="94" t="str">
        <x:v>Sí</x:v>
      </x:c>
      <x:c r="J26" s="94" t="str">
        <x:v>Sí</x:v>
      </x:c>
      <x:c r="K26" s="94" t="str">
        <x:v>Sí</x:v>
      </x:c>
      <x:c r="L26" s="94" t="str">
        <x:v>Sí</x:v>
      </x:c>
      <x:c r="M26" s="94" t="str">
        <x:v>Sí</x:v>
      </x:c>
      <x:c r="N26" s="94" t="str">
        <x:v>Sí</x:v>
      </x:c>
      <x:c r="O26" s="94" t="str">
        <x:v>Sí</x:v>
      </x:c>
      <x:c r="P26" s="94" t="str">
        <x:v>Sí</x:v>
      </x:c>
      <x:c r="Q26" s="95" t="n">
        <x:f>ROUND((COUNTIF(I26:P26,"Sí")+0.5*COUNTIF(I26:P26,"Parcial"))/8,4)</x:f>
        <x:v>1</x:v>
      </x:c>
      <x:c r="R26" s="32" t="str">
        <x:f>IF(Q26&gt;=0.85,"Alto",IF(Q26&gt;=0.70,"Medio","Crítico"))</x:f>
        <x:v>Alto</x:v>
      </x:c>
      <x:c r="S26" s="32" t="str">
        <x:f>IF(Q26&gt;=0.85,"Aprobado",IF(Q26&gt;=0.70,"Condicionado","No aprobado"))</x:f>
        <x:v>Aprobado</x:v>
      </x:c>
      <x:c r="T26" s="32" t="str">
        <x:v>Director de Operaciones</x:v>
      </x:c>
      <x:c r="U26" s="93" t="n">
        <x:v>45991</x:v>
      </x:c>
      <x:c r="V26" s="32" t="str">
        <x:v>Pendiente actualización de un soporte menor.</x:v>
      </x:c>
      <x:c r="W26" s="43" t="str">
        <x:v>https://empresa-ejemplo.co/2025/proveedor/24</x:v>
      </x:c>
    </x:row>
    <x:row r="27">
      <x:c r="A27" s="37" t="n">
        <x:v>2025</x:v>
      </x:c>
      <x:c r="B27" s="32" t="str">
        <x:v>Logística Segura del Caribe SAS</x:v>
      </x:c>
      <x:c r="C27" s="32" t="str">
        <x:v>9002500024</x:v>
      </x:c>
      <x:c r="D27" s="32" t="str">
        <x:v>Girón</x:v>
      </x:c>
      <x:c r="E27" s="32" t="str">
        <x:v>Mantenimiento de radios y comunicaciones</x:v>
      </x:c>
      <x:c r="F27" s="32" t="str">
        <x:v>Medio</x:v>
      </x:c>
      <x:c r="G27" s="93" t="n">
        <x:v>45672</x:v>
      </x:c>
      <x:c r="H27" s="93" t="n">
        <x:v>46016</x:v>
      </x:c>
      <x:c r="I27" s="94" t="str">
        <x:v>Sí</x:v>
      </x:c>
      <x:c r="J27" s="94" t="str">
        <x:v>Sí</x:v>
      </x:c>
      <x:c r="K27" s="94" t="str">
        <x:v>Sí</x:v>
      </x:c>
      <x:c r="L27" s="94" t="str">
        <x:v>Parcial</x:v>
      </x:c>
      <x:c r="M27" s="94" t="str">
        <x:v>Sí</x:v>
      </x:c>
      <x:c r="N27" s="94" t="str">
        <x:v>Sí</x:v>
      </x:c>
      <x:c r="O27" s="94" t="str">
        <x:v>Sí</x:v>
      </x:c>
      <x:c r="P27" s="94" t="str">
        <x:v>Sí</x:v>
      </x:c>
      <x:c r="Q27" s="95" t="n">
        <x:f>ROUND((COUNTIF(I27:P27,"Sí")+0.5*COUNTIF(I27:P27,"Parcial"))/8,4)</x:f>
        <x:v>0.9375</x:v>
      </x:c>
      <x:c r="R27" s="32" t="str">
        <x:f>IF(Q27&gt;=0.85,"Alto",IF(Q27&gt;=0.70,"Medio","Crítico"))</x:f>
        <x:v>Alto</x:v>
      </x:c>
      <x:c r="S27" s="32" t="str">
        <x:f>IF(Q27&gt;=0.85,"Aprobado",IF(Q27&gt;=0.70,"Condicionado","No aprobado"))</x:f>
        <x:v>Aprobado</x:v>
      </x:c>
      <x:c r="T27" s="32" t="str">
        <x:v>Analista SST</x:v>
      </x:c>
      <x:c r="U27" s="93" t="n">
        <x:v>45991</x:v>
      </x:c>
      <x:c r="V27" s="32" t="str">
        <x:v>Documentación vigente y verificada.</x:v>
      </x:c>
      <x:c r="W27" s="43" t="str">
        <x:v>https://empresa-ejemplo.co/2025/proveedor/25</x:v>
      </x:c>
    </x:row>
    <x:row r="28">
      <x:c r="A28" s="37" t="n">
        <x:v>2025</x:v>
      </x:c>
      <x:c r="B28" s="32" t="str">
        <x:v>Segurcol Ltda.</x:v>
      </x:c>
      <x:c r="C28" s="32" t="str">
        <x:v>9002500025</x:v>
      </x:c>
      <x:c r="D28" s="32" t="str">
        <x:v>Valledupar</x:v>
      </x:c>
      <x:c r="E28" s="32" t="str">
        <x:v>Dotación y uniformes</x:v>
      </x:c>
      <x:c r="F28" s="32" t="str">
        <x:v>Medio</x:v>
      </x:c>
      <x:c r="G28" s="93" t="n">
        <x:v>45704</x:v>
      </x:c>
      <x:c r="H28" s="93" t="n">
        <x:v>45834</x:v>
      </x:c>
      <x:c r="I28" s="94" t="str">
        <x:v>Sí</x:v>
      </x:c>
      <x:c r="J28" s="94" t="str">
        <x:v>Sí</x:v>
      </x:c>
      <x:c r="K28" s="94" t="str">
        <x:v>Sí</x:v>
      </x:c>
      <x:c r="L28" s="94" t="str">
        <x:v>Sí</x:v>
      </x:c>
      <x:c r="M28" s="94" t="str">
        <x:v>Sí</x:v>
      </x:c>
      <x:c r="N28" s="94" t="str">
        <x:v>Sí</x:v>
      </x:c>
      <x:c r="O28" s="94" t="str">
        <x:v>Sí</x:v>
      </x:c>
      <x:c r="P28" s="94" t="str">
        <x:v>Sí</x:v>
      </x:c>
      <x:c r="Q28" s="95" t="n">
        <x:f>ROUND((COUNTIF(I28:P28,"Sí")+0.5*COUNTIF(I28:P28,"Parcial"))/8,4)</x:f>
        <x:v>1</x:v>
      </x:c>
      <x:c r="R28" s="32" t="str">
        <x:f>IF(Q28&gt;=0.85,"Alto",IF(Q28&gt;=0.70,"Medio","Crítico"))</x:f>
        <x:v>Alto</x:v>
      </x:c>
      <x:c r="S28" s="32" t="str">
        <x:f>IF(Q28&gt;=0.85,"Aprobado",IF(Q28&gt;=0.70,"Condicionado","No aprobado"))</x:f>
        <x:v>Aprobado</x:v>
      </x:c>
      <x:c r="T28" s="32" t="str">
        <x:v>Jefe Administrativo</x:v>
      </x:c>
      <x:c r="U28" s="93" t="n">
        <x:v>45834</x:v>
      </x:c>
      <x:c r="V28" s="32" t="str">
        <x:v>Verificación realizada en visita de sede.</x:v>
      </x:c>
      <x:c r="W28" s="43" t="str">
        <x:v>https://empresa-ejemplo.co/2025/proveedor/26</x:v>
      </x:c>
    </x:row>
    <x:row r="29">
      <x:c r="A29" s="37" t="n">
        <x:v>2025</x:v>
      </x:c>
      <x:c r="B29" s="32" t="str">
        <x:v>Protección Integral SAS</x:v>
      </x:c>
      <x:c r="C29" s="32" t="str">
        <x:v>9002500026</x:v>
      </x:c>
      <x:c r="D29" s="32" t="str">
        <x:v>Arauca</x:v>
      </x:c>
      <x:c r="E29" s="32" t="str">
        <x:v>Elementos de protección personal</x:v>
      </x:c>
      <x:c r="F29" s="32" t="str">
        <x:v>Medio</x:v>
      </x:c>
      <x:c r="G29" s="93" t="n">
        <x:v>45736</x:v>
      </x:c>
      <x:c r="H29" s="93" t="n">
        <x:v>46019</x:v>
      </x:c>
      <x:c r="I29" s="94" t="str">
        <x:v>Sí</x:v>
      </x:c>
      <x:c r="J29" s="94" t="str">
        <x:v>Sí</x:v>
      </x:c>
      <x:c r="K29" s="94" t="str">
        <x:v>Sí</x:v>
      </x:c>
      <x:c r="L29" s="94" t="str">
        <x:v>Sí</x:v>
      </x:c>
      <x:c r="M29" s="94" t="str">
        <x:v>Sí</x:v>
      </x:c>
      <x:c r="N29" s="94" t="str">
        <x:v>Sí</x:v>
      </x:c>
      <x:c r="O29" s="94" t="str">
        <x:v>Sí</x:v>
      </x:c>
      <x:c r="P29" s="94" t="str">
        <x:v>Sí</x:v>
      </x:c>
      <x:c r="Q29" s="95" t="n">
        <x:f>ROUND((COUNTIF(I29:P29,"Sí")+0.5*COUNTIF(I29:P29,"Parcial"))/8,4)</x:f>
        <x:v>1</x:v>
      </x:c>
      <x:c r="R29" s="32" t="str">
        <x:f>IF(Q29&gt;=0.85,"Alto",IF(Q29&gt;=0.70,"Medio","Crítico"))</x:f>
        <x:v>Alto</x:v>
      </x:c>
      <x:c r="S29" s="32" t="str">
        <x:f>IF(Q29&gt;=0.85,"Aprobado",IF(Q29&gt;=0.70,"Condicionado","No aprobado"))</x:f>
        <x:v>Aprobado</x:v>
      </x:c>
      <x:c r="T29" s="32" t="str">
        <x:v>Líder SST</x:v>
      </x:c>
      <x:c r="U29" s="93" t="n">
        <x:v>45991</x:v>
      </x:c>
      <x:c r="V29" s="32" t="str">
        <x:v>Pendiente reinducción SST por cambio de personal.</x:v>
      </x:c>
      <x:c r="W29" s="43" t="str">
        <x:v>https://empresa-ejemplo.co/2025/proveedor/27</x:v>
      </x:c>
    </x:row>
    <x:row r="30">
      <x:c r="A30" s="76" t="n">
        <x:v>2025</x:v>
      </x:c>
      <x:c r="B30" s="45" t="str">
        <x:v>Monitoreo Nacional SAS</x:v>
      </x:c>
      <x:c r="C30" s="45" t="str">
        <x:v>9002500027</x:v>
      </x:c>
      <x:c r="D30" s="45" t="str">
        <x:v>Bogotá</x:v>
      </x:c>
      <x:c r="E30" s="45" t="str">
        <x:v>Capacitación SST</x:v>
      </x:c>
      <x:c r="F30" s="45" t="str">
        <x:v>Medio</x:v>
      </x:c>
      <x:c r="G30" s="96" t="n">
        <x:v>45755</x:v>
      </x:c>
      <x:c r="H30" s="96" t="n">
        <x:v>46017</x:v>
      </x:c>
      <x:c r="I30" s="97" t="str">
        <x:v>Sí</x:v>
      </x:c>
      <x:c r="J30" s="97" t="str">
        <x:v>Sí</x:v>
      </x:c>
      <x:c r="K30" s="97" t="str">
        <x:v>Sí</x:v>
      </x:c>
      <x:c r="L30" s="97" t="str">
        <x:v>Sí</x:v>
      </x:c>
      <x:c r="M30" s="97" t="str">
        <x:v>Sí</x:v>
      </x:c>
      <x:c r="N30" s="97" t="str">
        <x:v>Sí</x:v>
      </x:c>
      <x:c r="O30" s="97" t="str">
        <x:v>Sí</x:v>
      </x:c>
      <x:c r="P30" s="97" t="str">
        <x:v>Sí</x:v>
      </x:c>
      <x:c r="Q30" s="98" t="n">
        <x:f>ROUND((COUNTIF(I30:P30,"Sí")+0.5*COUNTIF(I30:P30,"Parcial"))/8,4)</x:f>
        <x:v>1</x:v>
      </x:c>
      <x:c r="R30" s="45" t="str">
        <x:f>IF(Q30&gt;=0.85,"Alto",IF(Q30&gt;=0.70,"Medio","Crítico"))</x:f>
        <x:v>Alto</x:v>
      </x:c>
      <x:c r="S30" s="45" t="str">
        <x:f>IF(Q30&gt;=0.85,"Aprobado",IF(Q30&gt;=0.70,"Condicionado","No aprobado"))</x:f>
        <x:v>Aprobado</x:v>
      </x:c>
      <x:c r="T30" s="45" t="str">
        <x:v>Analista SST</x:v>
      </x:c>
      <x:c r="U30" s="96" t="n">
        <x:v>45991</x:v>
      </x:c>
      <x:c r="V30" s="45" t="str">
        <x:v>Pendiente actualización de un soporte menor.</x:v>
      </x:c>
      <x:c r="W30" s="46" t="str">
        <x:v>https://empresa-ejemplo.co/2025/proveedor/28</x:v>
      </x:c>
    </x:row>
  </x:sheetData>
  <x:mergeCells>
    <x:mergeCell ref="A1:W1"/>
  </x:mergeCells>
  <x:conditionalFormatting sqref="Q3:Q30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conditionalFormatting sqref="S3:S30">
    <x:cfRule type="expression" dxfId="6" priority="2">
      <x:formula>S3="No aprobado"</x:formula>
    </x:cfRule>
    <x:cfRule type="expression" dxfId="7" priority="3">
      <x:formula>S3="Condicionado"</x:formula>
    </x:cfRule>
    <x:cfRule type="expression" dxfId="8" priority="4">
      <x:formula>S3="Aprobado"</x:formula>
    </x:cfRule>
  </x:conditionalFormatting>
  <x:dataValidations count="11">
    <x:dataValidation type="list" sqref="I3:I30">
      <x:formula1>Catálogos!$G$4:$G$6</x:formula1>
    </x:dataValidation>
    <x:dataValidation type="list" sqref="J3:J30">
      <x:formula1>Catálogos!$G$4:$G$6</x:formula1>
    </x:dataValidation>
    <x:dataValidation type="list" sqref="K3:K30">
      <x:formula1>Catálogos!$G$4:$G$6</x:formula1>
    </x:dataValidation>
    <x:dataValidation type="list" sqref="L3:L30">
      <x:formula1>Catálogos!$G$4:$G$6</x:formula1>
    </x:dataValidation>
    <x:dataValidation type="list" sqref="M3:M30">
      <x:formula1>Catálogos!$G$4:$G$6</x:formula1>
    </x:dataValidation>
    <x:dataValidation type="list" sqref="N3:N30">
      <x:formula1>Catálogos!$G$4:$G$6</x:formula1>
    </x:dataValidation>
    <x:dataValidation type="list" sqref="O3:O30">
      <x:formula1>Catálogos!$G$4:$G$6</x:formula1>
    </x:dataValidation>
    <x:dataValidation type="list" sqref="P3:P30">
      <x:formula1>Catálogos!$G$4:$G$6</x:formula1>
    </x:dataValidation>
    <x:dataValidation type="list" sqref="D3:D30">
      <x:formula1>Catálogos!$C$4:$C$14</x:formula1>
    </x:dataValidation>
    <x:dataValidation type="list" sqref="F3:F30">
      <x:formula1>Catálogos!$E$4:$E$6</x:formula1>
    </x:dataValidation>
    <x:dataValidation type="list" sqref="T3:T30">
      <x:formula1>Catálogos!$I$4:$I$8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ce3a527214e4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4" hidden="0" customWidth="1"/>
    <x:col min="4" max="4" width="14" hidden="0" customWidth="1"/>
    <x:col min="5" max="5" width="28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2" hidden="0" customWidth="1"/>
    <x:col min="18" max="18" width="12" hidden="0" customWidth="1"/>
    <x:col min="19" max="19" width="14" hidden="0" customWidth="1"/>
    <x:col min="20" max="20" width="18" hidden="0" customWidth="1"/>
    <x:col min="21" max="21" width="14" hidden="0" customWidth="1"/>
    <x:col min="22" max="22" width="30" hidden="0" customWidth="1"/>
    <x:col min="23" max="23" width="28" hidden="0" customWidth="1"/>
  </x:cols>
  <x:sheetData>
    <x:row r="1">
      <x:c r="A1" s="5" t="str">
        <x:v>Gestión de Proveedores y Contratistas - 2026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s="73" t="str">
        <x:v>Año</x:v>
      </x:c>
      <x:c r="B2" s="74" t="str">
        <x:v>Razón Social</x:v>
      </x:c>
      <x:c r="C2" s="74" t="str">
        <x:v>NIT</x:v>
      </x:c>
      <x:c r="D2" s="74" t="str">
        <x:v>Sede</x:v>
      </x:c>
      <x:c r="E2" s="74" t="str">
        <x:v>Servicio contratado</x:v>
      </x:c>
      <x:c r="F2" s="74" t="str">
        <x:v>Nivel de riesgo</x:v>
      </x:c>
      <x:c r="G2" s="74" t="str">
        <x:v>Fecha inicio contrato</x:v>
      </x:c>
      <x:c r="H2" s="74" t="str">
        <x:v>Fecha fin contrato</x:v>
      </x:c>
      <x:c r="I2" s="74" t="str">
        <x:v>Afiliación SGRL</x:v>
      </x:c>
      <x:c r="J2" s="74" t="str">
        <x:v>Inducción SST</x:v>
      </x:c>
      <x:c r="K2" s="74" t="str">
        <x:v>EPP entregados</x:v>
      </x:c>
      <x:c r="L2" s="74" t="str">
        <x:v>EMO vigentes</x:v>
      </x:c>
      <x:c r="M2" s="74" t="str">
        <x:v>Reglamento HSE firmado</x:v>
      </x:c>
      <x:c r="N2" s="74" t="str">
        <x:v>Capacitación riesgos específicos</x:v>
      </x:c>
      <x:c r="O2" s="74" t="str">
        <x:v>Certificación de competencias</x:v>
      </x:c>
      <x:c r="P2" s="74" t="str">
        <x:v>Documento sectorial / licencia</x:v>
      </x:c>
      <x:c r="Q2" s="74" t="str">
        <x:v>% Cumplimiento</x:v>
      </x:c>
      <x:c r="R2" s="74" t="str">
        <x:v>Nivel de cumplimiento</x:v>
      </x:c>
      <x:c r="S2" s="74" t="str">
        <x:v>Estado general</x:v>
      </x:c>
      <x:c r="T2" s="74" t="str">
        <x:v>Responsable seguimiento</x:v>
      </x:c>
      <x:c r="U2" s="74" t="str">
        <x:v>Fecha última verificación</x:v>
      </x:c>
      <x:c r="V2" s="74" t="str">
        <x:v>Observaciones</x:v>
      </x:c>
      <x:c r="W2" s="75" t="str">
        <x:v>Fuente / Soporte</x:v>
      </x:c>
    </x:row>
    <x:row r="3">
      <x:c r="A3" s="37" t="n">
        <x:v>2026</x:v>
      </x:c>
      <x:c r="B3" s="32" t="str">
        <x:v>Segurcol Ltda.</x:v>
      </x:c>
      <x:c r="C3" s="32" t="str">
        <x:v>9002600000</x:v>
      </x:c>
      <x:c r="D3" s="32" t="str">
        <x:v>Ocaña</x:v>
      </x:c>
      <x:c r="E3" s="32" t="str">
        <x:v>Seguridad física fija</x:v>
      </x:c>
      <x:c r="F3" s="32" t="str">
        <x:v>Alto</x:v>
      </x:c>
      <x:c r="G3" s="93" t="n">
        <x:v>46033</x:v>
      </x:c>
      <x:c r="H3" s="93" t="n">
        <x:v>46201</x:v>
      </x:c>
      <x:c r="I3" s="94" t="str">
        <x:v>Parcial</x:v>
      </x:c>
      <x:c r="J3" s="94" t="str">
        <x:v>Sí</x:v>
      </x:c>
      <x:c r="K3" s="94" t="str">
        <x:v>Parcial</x:v>
      </x:c>
      <x:c r="L3" s="94" t="str">
        <x:v>Sí</x:v>
      </x:c>
      <x:c r="M3" s="94" t="str">
        <x:v>Sí</x:v>
      </x:c>
      <x:c r="N3" s="94" t="str">
        <x:v>Sí</x:v>
      </x:c>
      <x:c r="O3" s="94" t="str">
        <x:v>Sí</x:v>
      </x:c>
      <x:c r="P3" s="94" t="str">
        <x:v>Sí</x:v>
      </x:c>
      <x:c r="Q3" s="95" t="n">
        <x:f>ROUND((COUNTIF(I3:P3,"Sí")+0.5*COUNTIF(I3:P3,"Parcial"))/8,4)</x:f>
        <x:v>0.875</x:v>
      </x:c>
      <x:c r="R3" s="32" t="str">
        <x:f>IF(Q3&gt;=0.85,"Alto",IF(Q3&gt;=0.70,"Medio","Crítico"))</x:f>
        <x:v>Alto</x:v>
      </x:c>
      <x:c r="S3" s="32" t="str">
        <x:f>IF(Q3&gt;=0.85,"Aprobado",IF(Q3&gt;=0.70,"Condicionado","No aprobado"))</x:f>
        <x:v>Aprobado</x:v>
      </x:c>
      <x:c r="T3" s="32" t="str">
        <x:v>Analista SST</x:v>
      </x:c>
      <x:c r="U3" s="93" t="n">
        <x:v>46201</x:v>
      </x:c>
      <x:c r="V3" s="32" t="str">
        <x:v>Se programó auditoría documental complementaria.</x:v>
      </x:c>
      <x:c r="W3" s="43" t="str">
        <x:v>https://empresa-ejemplo.co/2026/proveedor/1</x:v>
      </x:c>
    </x:row>
    <x:row r="4">
      <x:c r="A4" s="37" t="n">
        <x:v>2026</x:v>
      </x:c>
      <x:c r="B4" s="32" t="str">
        <x:v>Protección Integral SAS</x:v>
      </x:c>
      <x:c r="C4" s="32" t="str">
        <x:v>9002600001</x:v>
      </x:c>
      <x:c r="D4" s="32" t="str">
        <x:v>Girón</x:v>
      </x:c>
      <x:c r="E4" s="32" t="str">
        <x:v>Escolta y protección</x:v>
      </x:c>
      <x:c r="F4" s="32" t="str">
        <x:v>Alto</x:v>
      </x:c>
      <x:c r="G4" s="93" t="n">
        <x:v>46054</x:v>
      </x:c>
      <x:c r="H4" s="93" t="n">
        <x:v>46286</x:v>
      </x:c>
      <x:c r="I4" s="94" t="str">
        <x:v>Sí</x:v>
      </x:c>
      <x:c r="J4" s="94" t="str">
        <x:v>Sí</x:v>
      </x:c>
      <x:c r="K4" s="94" t="str">
        <x:v>Sí</x:v>
      </x:c>
      <x:c r="L4" s="94" t="str">
        <x:v>Sí</x:v>
      </x:c>
      <x:c r="M4" s="94" t="str">
        <x:v>Sí</x:v>
      </x:c>
      <x:c r="N4" s="94" t="str">
        <x:v>Sí</x:v>
      </x:c>
      <x:c r="O4" s="94" t="str">
        <x:v>Sí</x:v>
      </x:c>
      <x:c r="P4" s="94" t="str">
        <x:v>Sí</x:v>
      </x:c>
      <x:c r="Q4" s="95" t="n">
        <x:f>ROUND((COUNTIF(I4:P4,"Sí")+0.5*COUNTIF(I4:P4,"Parcial"))/8,4)</x:f>
        <x:v>1</x:v>
      </x:c>
      <x:c r="R4" s="32" t="str">
        <x:f>IF(Q4&gt;=0.85,"Alto",IF(Q4&gt;=0.70,"Medio","Crítico"))</x:f>
        <x:v>Alto</x:v>
      </x:c>
      <x:c r="S4" s="32" t="str">
        <x:f>IF(Q4&gt;=0.85,"Aprobado",IF(Q4&gt;=0.70,"Condicionado","No aprobado"))</x:f>
        <x:v>Aprobado</x:v>
      </x:c>
      <x:c r="T4" s="32" t="str">
        <x:v>Coordinador de Contratistas</x:v>
      </x:c>
      <x:c r="U4" s="93" t="n">
        <x:v>46286</x:v>
      </x:c>
      <x:c r="V4" s="32" t="str">
        <x:v>Pendiente reinducción SST por cambio de personal.</x:v>
      </x:c>
      <x:c r="W4" s="43" t="str">
        <x:v>https://empresa-ejemplo.co/2026/proveedor/2</x:v>
      </x:c>
    </x:row>
    <x:row r="5">
      <x:c r="A5" s="37" t="n">
        <x:v>2026</x:v>
      </x:c>
      <x:c r="B5" s="32" t="str">
        <x:v>Monitoreo Nacional SAS</x:v>
      </x:c>
      <x:c r="C5" s="32" t="str">
        <x:v>9002600002</x:v>
      </x:c>
      <x:c r="D5" s="32" t="str">
        <x:v>Valledupar</x:v>
      </x:c>
      <x:c r="E5" s="32" t="str">
        <x:v>Monitoreo de alarmas</x:v>
      </x:c>
      <x:c r="F5" s="32" t="str">
        <x:v>Medio</x:v>
      </x:c>
      <x:c r="G5" s="93" t="n">
        <x:v>46092</x:v>
      </x:c>
      <x:c r="H5" s="93" t="n">
        <x:v>46255</x:v>
      </x:c>
      <x:c r="I5" s="94" t="str">
        <x:v>Sí</x:v>
      </x:c>
      <x:c r="J5" s="94" t="str">
        <x:v>Sí</x:v>
      </x:c>
      <x:c r="K5" s="94" t="str">
        <x:v>Sí</x:v>
      </x:c>
      <x:c r="L5" s="94" t="str">
        <x:v>Sí</x:v>
      </x:c>
      <x:c r="M5" s="94" t="str">
        <x:v>Sí</x:v>
      </x:c>
      <x:c r="N5" s="94" t="str">
        <x:v>Sí</x:v>
      </x:c>
      <x:c r="O5" s="94" t="str">
        <x:v>Sí</x:v>
      </x:c>
      <x:c r="P5" s="94" t="str">
        <x:v>Sí</x:v>
      </x:c>
      <x:c r="Q5" s="95" t="n">
        <x:f>ROUND((COUNTIF(I5:P5,"Sí")+0.5*COUNTIF(I5:P5,"Parcial"))/8,4)</x:f>
        <x:v>1</x:v>
      </x:c>
      <x:c r="R5" s="32" t="str">
        <x:f>IF(Q5&gt;=0.85,"Alto",IF(Q5&gt;=0.70,"Medio","Crítico"))</x:f>
        <x:v>Alto</x:v>
      </x:c>
      <x:c r="S5" s="32" t="str">
        <x:f>IF(Q5&gt;=0.85,"Aprobado",IF(Q5&gt;=0.70,"Condicionado","No aprobado"))</x:f>
        <x:v>Aprobado</x:v>
      </x:c>
      <x:c r="T5" s="32" t="str">
        <x:v>Coordinador de Contratistas</x:v>
      </x:c>
      <x:c r="U5" s="93" t="n">
        <x:v>46255</x:v>
      </x:c>
      <x:c r="V5" s="32" t="str">
        <x:v>Se programó auditoría documental complementaria.</x:v>
      </x:c>
      <x:c r="W5" s="43" t="str">
        <x:v>https://empresa-ejemplo.co/2026/proveedor/3</x:v>
      </x:c>
    </x:row>
    <x:row r="6">
      <x:c r="A6" s="37" t="n">
        <x:v>2026</x:v>
      </x:c>
      <x:c r="B6" s="32" t="str">
        <x:v>CCTV Andino SAS</x:v>
      </x:c>
      <x:c r="C6" s="32" t="str">
        <x:v>9002600003</x:v>
      </x:c>
      <x:c r="D6" s="32" t="str">
        <x:v>Arauca</x:v>
      </x:c>
      <x:c r="E6" s="32" t="str">
        <x:v>Mantenimiento CCTV</x:v>
      </x:c>
      <x:c r="F6" s="32" t="str">
        <x:v>Medio</x:v>
      </x:c>
      <x:c r="G6" s="93" t="n">
        <x:v>46115</x:v>
      </x:c>
      <x:c r="H6" s="93" t="n">
        <x:v>46382</x:v>
      </x:c>
      <x:c r="I6" s="94" t="str">
        <x:v>Sí</x:v>
      </x:c>
      <x:c r="J6" s="94" t="str">
        <x:v>Sí</x:v>
      </x:c>
      <x:c r="K6" s="94" t="str">
        <x:v>Sí</x:v>
      </x:c>
      <x:c r="L6" s="94" t="str">
        <x:v>Sí</x:v>
      </x:c>
      <x:c r="M6" s="94" t="str">
        <x:v>Sí</x:v>
      </x:c>
      <x:c r="N6" s="94" t="str">
        <x:v>Sí</x:v>
      </x:c>
      <x:c r="O6" s="94" t="str">
        <x:v>Sí</x:v>
      </x:c>
      <x:c r="P6" s="94" t="str">
        <x:v>Sí</x:v>
      </x:c>
      <x:c r="Q6" s="95" t="n">
        <x:f>ROUND((COUNTIF(I6:P6,"Sí")+0.5*COUNTIF(I6:P6,"Parcial"))/8,4)</x:f>
        <x:v>1</x:v>
      </x:c>
      <x:c r="R6" s="32" t="str">
        <x:f>IF(Q6&gt;=0.85,"Alto",IF(Q6&gt;=0.70,"Medio","Crítico"))</x:f>
        <x:v>Alto</x:v>
      </x:c>
      <x:c r="S6" s="32" t="str">
        <x:f>IF(Q6&gt;=0.85,"Aprobado",IF(Q6&gt;=0.70,"Condicionado","No aprobado"))</x:f>
        <x:v>Aprobado</x:v>
      </x:c>
      <x:c r="T6" s="32" t="str">
        <x:v>Jefe Administrativo</x:v>
      </x:c>
      <x:c r="U6" s="93" t="n">
        <x:v>46356</x:v>
      </x:c>
      <x:c r="V6" s="32" t="str">
        <x:v>Cumplimiento estable y contrato renovado.</x:v>
      </x:c>
      <x:c r="W6" s="43" t="str">
        <x:v>https://empresa-ejemplo.co/2026/proveedor/4</x:v>
      </x:c>
    </x:row>
    <x:row r="7">
      <x:c r="A7" s="37" t="n">
        <x:v>2026</x:v>
      </x:c>
      <x:c r="B7" s="32" t="str">
        <x:v>Comunicaciones Norte Ltda.</x:v>
      </x:c>
      <x:c r="C7" s="32" t="str">
        <x:v>9002600004</x:v>
      </x:c>
      <x:c r="D7" s="32" t="str">
        <x:v>Bogotá</x:v>
      </x:c>
      <x:c r="E7" s="32" t="str">
        <x:v>Mantenimiento de radios y comunicaciones</x:v>
      </x:c>
      <x:c r="F7" s="32" t="str">
        <x:v>Medio</x:v>
      </x:c>
      <x:c r="G7" s="93" t="n">
        <x:v>46161</x:v>
      </x:c>
      <x:c r="H7" s="93" t="n">
        <x:v>46383</x:v>
      </x:c>
      <x:c r="I7" s="94" t="str">
        <x:v>Sí</x:v>
      </x:c>
      <x:c r="J7" s="94" t="str">
        <x:v>Sí</x:v>
      </x:c>
      <x:c r="K7" s="94" t="str">
        <x:v>Sí</x:v>
      </x:c>
      <x:c r="L7" s="94" t="str">
        <x:v>Sí</x:v>
      </x:c>
      <x:c r="M7" s="94" t="str">
        <x:v>Sí</x:v>
      </x:c>
      <x:c r="N7" s="94" t="str">
        <x:v>Parcial</x:v>
      </x:c>
      <x:c r="O7" s="94" t="str">
        <x:v>Sí</x:v>
      </x:c>
      <x:c r="P7" s="94" t="str">
        <x:v>Sí</x:v>
      </x:c>
      <x:c r="Q7" s="95" t="n">
        <x:f>ROUND((COUNTIF(I7:P7,"Sí")+0.5*COUNTIF(I7:P7,"Parcial"))/8,4)</x:f>
        <x:v>0.9375</x:v>
      </x:c>
      <x:c r="R7" s="32" t="str">
        <x:f>IF(Q7&gt;=0.85,"Alto",IF(Q7&gt;=0.70,"Medio","Crítico"))</x:f>
        <x:v>Alto</x:v>
      </x:c>
      <x:c r="S7" s="32" t="str">
        <x:f>IF(Q7&gt;=0.85,"Aprobado",IF(Q7&gt;=0.70,"Condicionado","No aprobado"))</x:f>
        <x:v>Aprobado</x:v>
      </x:c>
      <x:c r="T7" s="32" t="str">
        <x:v>Jefe Administrativo</x:v>
      </x:c>
      <x:c r="U7" s="93" t="n">
        <x:v>46356</x:v>
      </x:c>
      <x:c r="V7" s="32" t="str">
        <x:v>Pendiente reinducción SST por cambio de personal.</x:v>
      </x:c>
      <x:c r="W7" s="43" t="str">
        <x:v>https://empresa-ejemplo.co/2026/proveedor/5</x:v>
      </x:c>
    </x:row>
    <x:row r="8">
      <x:c r="A8" s="37" t="n">
        <x:v>2026</x:v>
      </x:c>
      <x:c r="B8" s="32" t="str">
        <x:v>Dotaciones Escudo SAS</x:v>
      </x:c>
      <x:c r="C8" s="32" t="str">
        <x:v>9002600005</x:v>
      </x:c>
      <x:c r="D8" s="32" t="str">
        <x:v>Tibú</x:v>
      </x:c>
      <x:c r="E8" s="32" t="str">
        <x:v>Dotación y uniformes</x:v>
      </x:c>
      <x:c r="F8" s="32" t="str">
        <x:v>Medio</x:v>
      </x:c>
      <x:c r="G8" s="93" t="n">
        <x:v>46178</x:v>
      </x:c>
      <x:c r="H8" s="93" t="n">
        <x:v>46383</x:v>
      </x:c>
      <x:c r="I8" s="94" t="str">
        <x:v>Sí</x:v>
      </x:c>
      <x:c r="J8" s="94" t="str">
        <x:v>Sí</x:v>
      </x:c>
      <x:c r="K8" s="94" t="str">
        <x:v>Sí</x:v>
      </x:c>
      <x:c r="L8" s="94" t="str">
        <x:v>Sí</x:v>
      </x:c>
      <x:c r="M8" s="94" t="str">
        <x:v>Sí</x:v>
      </x:c>
      <x:c r="N8" s="94" t="str">
        <x:v>Sí</x:v>
      </x:c>
      <x:c r="O8" s="94" t="str">
        <x:v>Parcial</x:v>
      </x:c>
      <x:c r="P8" s="94" t="str">
        <x:v>Parcial</x:v>
      </x:c>
      <x:c r="Q8" s="95" t="n">
        <x:f>ROUND((COUNTIF(I8:P8,"Sí")+0.5*COUNTIF(I8:P8,"Parcial"))/8,4)</x:f>
        <x:v>0.875</x:v>
      </x:c>
      <x:c r="R8" s="32" t="str">
        <x:f>IF(Q8&gt;=0.85,"Alto",IF(Q8&gt;=0.70,"Medio","Crítico"))</x:f>
        <x:v>Alto</x:v>
      </x:c>
      <x:c r="S8" s="32" t="str">
        <x:f>IF(Q8&gt;=0.85,"Aprobado",IF(Q8&gt;=0.70,"Condicionado","No aprobado"))</x:f>
        <x:v>Aprobado</x:v>
      </x:c>
      <x:c r="T8" s="32" t="str">
        <x:v>Coordinador de Contratistas</x:v>
      </x:c>
      <x:c r="U8" s="93" t="n">
        <x:v>46356</x:v>
      </x:c>
      <x:c r="V8" s="32" t="str">
        <x:v>Pendiente reinducción SST por cambio de personal.</x:v>
      </x:c>
      <x:c r="W8" s="43" t="str">
        <x:v>https://empresa-ejemplo.co/2026/proveedor/6</x:v>
      </x:c>
    </x:row>
    <x:row r="9">
      <x:c r="A9" s="37" t="n">
        <x:v>2026</x:v>
      </x:c>
      <x:c r="B9" s="32" t="str">
        <x:v>EPP Industrial SAS</x:v>
      </x:c>
      <x:c r="C9" s="32" t="str">
        <x:v>9002600006</x:v>
      </x:c>
      <x:c r="D9" s="32" t="str">
        <x:v>Medellín</x:v>
      </x:c>
      <x:c r="E9" s="32" t="str">
        <x:v>Elementos de protección personal</x:v>
      </x:c>
      <x:c r="F9" s="32" t="str">
        <x:v>Medio</x:v>
      </x:c>
      <x:c r="G9" s="93" t="n">
        <x:v>46221</x:v>
      </x:c>
      <x:c r="H9" s="93" t="n">
        <x:v>46384</x:v>
      </x:c>
      <x:c r="I9" s="94" t="str">
        <x:v>Sí</x:v>
      </x:c>
      <x:c r="J9" s="94" t="str">
        <x:v>Sí</x:v>
      </x:c>
      <x:c r="K9" s="94" t="str">
        <x:v>Sí</x:v>
      </x:c>
      <x:c r="L9" s="94" t="str">
        <x:v>Sí</x:v>
      </x:c>
      <x:c r="M9" s="94" t="str">
        <x:v>Sí</x:v>
      </x:c>
      <x:c r="N9" s="94" t="str">
        <x:v>Sí</x:v>
      </x:c>
      <x:c r="O9" s="94" t="str">
        <x:v>Sí</x:v>
      </x:c>
      <x:c r="P9" s="94" t="str">
        <x:v>Sí</x:v>
      </x:c>
      <x:c r="Q9" s="95" t="n">
        <x:f>ROUND((COUNTIF(I9:P9,"Sí")+0.5*COUNTIF(I9:P9,"Parcial"))/8,4)</x:f>
        <x:v>1</x:v>
      </x:c>
      <x:c r="R9" s="32" t="str">
        <x:f>IF(Q9&gt;=0.85,"Alto",IF(Q9&gt;=0.70,"Medio","Crítico"))</x:f>
        <x:v>Alto</x:v>
      </x:c>
      <x:c r="S9" s="32" t="str">
        <x:f>IF(Q9&gt;=0.85,"Aprobado",IF(Q9&gt;=0.70,"Condicionado","No aprobado"))</x:f>
        <x:v>Aprobado</x:v>
      </x:c>
      <x:c r="T9" s="32" t="str">
        <x:v>Analista SST</x:v>
      </x:c>
      <x:c r="U9" s="93" t="n">
        <x:v>46356</x:v>
      </x:c>
      <x:c r="V9" s="32" t="str">
        <x:v>Se programó auditoría documental complementaria.</x:v>
      </x:c>
      <x:c r="W9" s="43" t="str">
        <x:v>https://empresa-ejemplo.co/2026/proveedor/7</x:v>
      </x:c>
    </x:row>
    <x:row r="10">
      <x:c r="A10" s="37" t="n">
        <x:v>2026</x:v>
      </x:c>
      <x:c r="B10" s="32" t="str">
        <x:v>Formación Preventiva SAS</x:v>
      </x:c>
      <x:c r="C10" s="32" t="str">
        <x:v>9002600007</x:v>
      </x:c>
      <x:c r="D10" s="32" t="str">
        <x:v>Ábrego</x:v>
      </x:c>
      <x:c r="E10" s="32" t="str">
        <x:v>Capacitación SST</x:v>
      </x:c>
      <x:c r="F10" s="32" t="str">
        <x:v>Medio</x:v>
      </x:c>
      <x:c r="G10" s="93" t="n">
        <x:v>46241</x:v>
      </x:c>
      <x:c r="H10" s="93" t="n">
        <x:v>46380</x:v>
      </x:c>
      <x:c r="I10" s="94" t="str">
        <x:v>Sí</x:v>
      </x:c>
      <x:c r="J10" s="94" t="str">
        <x:v>Sí</x:v>
      </x:c>
      <x:c r="K10" s="94" t="str">
        <x:v>Sí</x:v>
      </x:c>
      <x:c r="L10" s="94" t="str">
        <x:v>Sí</x:v>
      </x:c>
      <x:c r="M10" s="94" t="str">
        <x:v>Sí</x:v>
      </x:c>
      <x:c r="N10" s="94" t="str">
        <x:v>Sí</x:v>
      </x:c>
      <x:c r="O10" s="94" t="str">
        <x:v>Sí</x:v>
      </x:c>
      <x:c r="P10" s="94" t="str">
        <x:v>Sí</x:v>
      </x:c>
      <x:c r="Q10" s="95" t="n">
        <x:f>ROUND((COUNTIF(I10:P10,"Sí")+0.5*COUNTIF(I10:P10,"Parcial"))/8,4)</x:f>
        <x:v>1</x:v>
      </x:c>
      <x:c r="R10" s="32" t="str">
        <x:f>IF(Q10&gt;=0.85,"Alto",IF(Q10&gt;=0.70,"Medio","Crítico"))</x:f>
        <x:v>Alto</x:v>
      </x:c>
      <x:c r="S10" s="32" t="str">
        <x:f>IF(Q10&gt;=0.85,"Aprobado",IF(Q10&gt;=0.70,"Condicionado","No aprobado"))</x:f>
        <x:v>Aprobado</x:v>
      </x:c>
      <x:c r="T10" s="32" t="str">
        <x:v>Analista SST</x:v>
      </x:c>
      <x:c r="U10" s="93" t="n">
        <x:v>46356</x:v>
      </x:c>
      <x:c r="V10" s="32" t="str">
        <x:v>Pendiente actualización de un soporte menor.</x:v>
      </x:c>
      <x:c r="W10" s="43" t="str">
        <x:v>https://empresa-ejemplo.co/2026/proveedor/8</x:v>
      </x:c>
    </x:row>
    <x:row r="11">
      <x:c r="A11" s="37" t="n">
        <x:v>2026</x:v>
      </x:c>
      <x:c r="B11" s="32" t="str">
        <x:v>IPS Ocusalud SAS</x:v>
      </x:c>
      <x:c r="C11" s="32" t="str">
        <x:v>9002600008</x:v>
      </x:c>
      <x:c r="D11" s="32" t="str">
        <x:v>Pamplona</x:v>
      </x:c>
      <x:c r="E11" s="32" t="str">
        <x:v>Exámenes médicos ocupacionales</x:v>
      </x:c>
      <x:c r="F11" s="32" t="str">
        <x:v>Medio</x:v>
      </x:c>
      <x:c r="G11" s="93" t="n">
        <x:v>46282</x:v>
      </x:c>
      <x:c r="H11" s="93" t="n">
        <x:v>46380</x:v>
      </x:c>
      <x:c r="I11" s="94" t="str">
        <x:v>Sí</x:v>
      </x:c>
      <x:c r="J11" s="94" t="str">
        <x:v>Parcial</x:v>
      </x:c>
      <x:c r="K11" s="94" t="str">
        <x:v>Parcial</x:v>
      </x:c>
      <x:c r="L11" s="94" t="str">
        <x:v>Sí</x:v>
      </x:c>
      <x:c r="M11" s="94" t="str">
        <x:v>Sí</x:v>
      </x:c>
      <x:c r="N11" s="94" t="str">
        <x:v>Sí</x:v>
      </x:c>
      <x:c r="O11" s="94" t="str">
        <x:v>Sí</x:v>
      </x:c>
      <x:c r="P11" s="94" t="str">
        <x:v>Sí</x:v>
      </x:c>
      <x:c r="Q11" s="95" t="n">
        <x:f>ROUND((COUNTIF(I11:P11,"Sí")+0.5*COUNTIF(I11:P11,"Parcial"))/8,4)</x:f>
        <x:v>0.875</x:v>
      </x:c>
      <x:c r="R11" s="32" t="str">
        <x:f>IF(Q11&gt;=0.85,"Alto",IF(Q11&gt;=0.70,"Medio","Crítico"))</x:f>
        <x:v>Alto</x:v>
      </x:c>
      <x:c r="S11" s="32" t="str">
        <x:f>IF(Q11&gt;=0.85,"Aprobado",IF(Q11&gt;=0.70,"Condicionado","No aprobado"))</x:f>
        <x:v>Aprobado</x:v>
      </x:c>
      <x:c r="T11" s="32" t="str">
        <x:v>Director de Operaciones</x:v>
      </x:c>
      <x:c r="U11" s="93" t="n">
        <x:v>46356</x:v>
      </x:c>
      <x:c r="V11" s="32" t="str">
        <x:v>Proveedor crítico para la operación; seguimiento mensual.</x:v>
      </x:c>
      <x:c r="W11" s="43" t="str">
        <x:v>https://empresa-ejemplo.co/2026/proveedor/9</x:v>
      </x:c>
    </x:row>
    <x:row r="12">
      <x:c r="A12" s="37" t="n">
        <x:v>2026</x:v>
      </x:c>
      <x:c r="B12" s="32" t="str">
        <x:v>Taller Motor Norte SAS</x:v>
      </x:c>
      <x:c r="C12" s="32" t="str">
        <x:v>9002600009</x:v>
      </x:c>
      <x:c r="D12" s="32" t="str">
        <x:v>Cúcuta</x:v>
      </x:c>
      <x:c r="E12" s="32" t="str">
        <x:v>Mantenimiento vehicular</x:v>
      </x:c>
      <x:c r="F12" s="32" t="str">
        <x:v>Alto</x:v>
      </x:c>
      <x:c r="G12" s="93" t="n">
        <x:v>46300</x:v>
      </x:c>
      <x:c r="H12" s="93" t="n">
        <x:v>46383</x:v>
      </x:c>
      <x:c r="I12" s="94" t="str">
        <x:v>Sí</x:v>
      </x:c>
      <x:c r="J12" s="94" t="str">
        <x:v>Sí</x:v>
      </x:c>
      <x:c r="K12" s="94" t="str">
        <x:v>Sí</x:v>
      </x:c>
      <x:c r="L12" s="94" t="str">
        <x:v>Sí</x:v>
      </x:c>
      <x:c r="M12" s="94" t="str">
        <x:v>Parcial</x:v>
      </x:c>
      <x:c r="N12" s="94" t="str">
        <x:v>Sí</x:v>
      </x:c>
      <x:c r="O12" s="94" t="str">
        <x:v>Sí</x:v>
      </x:c>
      <x:c r="P12" s="94" t="str">
        <x:v>Sí</x:v>
      </x:c>
      <x:c r="Q12" s="95" t="n">
        <x:f>ROUND((COUNTIF(I12:P12,"Sí")+0.5*COUNTIF(I12:P12,"Parcial"))/8,4)</x:f>
        <x:v>0.9375</x:v>
      </x:c>
      <x:c r="R12" s="32" t="str">
        <x:f>IF(Q12&gt;=0.85,"Alto",IF(Q12&gt;=0.70,"Medio","Crítico"))</x:f>
        <x:v>Alto</x:v>
      </x:c>
      <x:c r="S12" s="32" t="str">
        <x:f>IF(Q12&gt;=0.85,"Aprobado",IF(Q12&gt;=0.70,"Condicionado","No aprobado"))</x:f>
        <x:v>Aprobado</x:v>
      </x:c>
      <x:c r="T12" s="32" t="str">
        <x:v>Coordinador de Contratistas</x:v>
      </x:c>
      <x:c r="U12" s="93" t="n">
        <x:v>46356</x:v>
      </x:c>
      <x:c r="V12" s="32" t="str">
        <x:v>Se requiere seguimiento al cierre de hallazgos.</x:v>
      </x:c>
      <x:c r="W12" s="43" t="str">
        <x:v>https://empresa-ejemplo.co/2026/proveedor/10</x:v>
      </x:c>
    </x:row>
    <x:row r="13">
      <x:c r="A13" s="37" t="n">
        <x:v>2026</x:v>
      </x:c>
      <x:c r="B13" s="32" t="str">
        <x:v>Servicios Integrales Limpios SAS</x:v>
      </x:c>
      <x:c r="C13" s="32" t="str">
        <x:v>9002600010</x:v>
      </x:c>
      <x:c r="D13" s="32" t="str">
        <x:v>Barrancabermeja</x:v>
      </x:c>
      <x:c r="E13" s="32" t="str">
        <x:v>Aseo y desinfección</x:v>
      </x:c>
      <x:c r="F13" s="32" t="str">
        <x:v>Bajo</x:v>
      </x:c>
      <x:c r="G13" s="93" t="n">
        <x:v>46337</x:v>
      </x:c>
      <x:c r="H13" s="93" t="n">
        <x:v>46383</x:v>
      </x:c>
      <x:c r="I13" s="94" t="str">
        <x:v>Sí</x:v>
      </x:c>
      <x:c r="J13" s="94" t="str">
        <x:v>Parcial</x:v>
      </x:c>
      <x:c r="K13" s="94" t="str">
        <x:v>Sí</x:v>
      </x:c>
      <x:c r="L13" s="94" t="str">
        <x:v>Sí</x:v>
      </x:c>
      <x:c r="M13" s="94" t="str">
        <x:v>Sí</x:v>
      </x:c>
      <x:c r="N13" s="94" t="str">
        <x:v>Sí</x:v>
      </x:c>
      <x:c r="O13" s="94" t="str">
        <x:v>Sí</x:v>
      </x:c>
      <x:c r="P13" s="94" t="str">
        <x:v>Sí</x:v>
      </x:c>
      <x:c r="Q13" s="95" t="n">
        <x:f>ROUND((COUNTIF(I13:P13,"Sí")+0.5*COUNTIF(I13:P13,"Parcial"))/8,4)</x:f>
        <x:v>0.9375</x:v>
      </x:c>
      <x:c r="R13" s="32" t="str">
        <x:f>IF(Q13&gt;=0.85,"Alto",IF(Q13&gt;=0.70,"Medio","Crítico"))</x:f>
        <x:v>Alto</x:v>
      </x:c>
      <x:c r="S13" s="32" t="str">
        <x:f>IF(Q13&gt;=0.85,"Aprobado",IF(Q13&gt;=0.70,"Condicionado","No aprobado"))</x:f>
        <x:v>Aprobado</x:v>
      </x:c>
      <x:c r="T13" s="32" t="str">
        <x:v>Analista SST</x:v>
      </x:c>
      <x:c r="U13" s="93" t="n">
        <x:v>46356</x:v>
      </x:c>
      <x:c r="V13" s="32" t="str">
        <x:v>Se requiere seguimiento al cierre de hallazgos.</x:v>
      </x:c>
      <x:c r="W13" s="43" t="str">
        <x:v>https://empresa-ejemplo.co/2026/proveedor/11</x:v>
      </x:c>
    </x:row>
    <x:row r="14">
      <x:c r="A14" s="37" t="n">
        <x:v>2026</x:v>
      </x:c>
      <x:c r="B14" s="32" t="str">
        <x:v>BioControl Fumigaciones SAS</x:v>
      </x:c>
      <x:c r="C14" s="32" t="str">
        <x:v>9002600011</x:v>
      </x:c>
      <x:c r="D14" s="32" t="str">
        <x:v>Ocaña</x:v>
      </x:c>
      <x:c r="E14" s="32" t="str">
        <x:v>Fumigación y control de plagas</x:v>
      </x:c>
      <x:c r="F14" s="32" t="str">
        <x:v>Medio</x:v>
      </x:c>
      <x:c r="G14" s="93" t="n">
        <x:v>46375</x:v>
      </x:c>
      <x:c r="H14" s="93" t="n">
        <x:v>46380</x:v>
      </x:c>
      <x:c r="I14" s="94" t="str">
        <x:v>Sí</x:v>
      </x:c>
      <x:c r="J14" s="94" t="str">
        <x:v>Sí</x:v>
      </x:c>
      <x:c r="K14" s="94" t="str">
        <x:v>Sí</x:v>
      </x:c>
      <x:c r="L14" s="94" t="str">
        <x:v>Sí</x:v>
      </x:c>
      <x:c r="M14" s="94" t="str">
        <x:v>Sí</x:v>
      </x:c>
      <x:c r="N14" s="94" t="str">
        <x:v>Parcial</x:v>
      </x:c>
      <x:c r="O14" s="94" t="str">
        <x:v>Sí</x:v>
      </x:c>
      <x:c r="P14" s="94" t="str">
        <x:v>Sí</x:v>
      </x:c>
      <x:c r="Q14" s="95" t="n">
        <x:f>ROUND((COUNTIF(I14:P14,"Sí")+0.5*COUNTIF(I14:P14,"Parcial"))/8,4)</x:f>
        <x:v>0.9375</x:v>
      </x:c>
      <x:c r="R14" s="32" t="str">
        <x:f>IF(Q14&gt;=0.85,"Alto",IF(Q14&gt;=0.70,"Medio","Crítico"))</x:f>
        <x:v>Alto</x:v>
      </x:c>
      <x:c r="S14" s="32" t="str">
        <x:f>IF(Q14&gt;=0.85,"Aprobado",IF(Q14&gt;=0.70,"Condicionado","No aprobado"))</x:f>
        <x:v>Aprobado</x:v>
      </x:c>
      <x:c r="T14" s="32" t="str">
        <x:v>Coordinador de Contratistas</x:v>
      </x:c>
      <x:c r="U14" s="93" t="n">
        <x:v>46356</x:v>
      </x:c>
      <x:c r="V14" s="32" t="str">
        <x:v>Verificación realizada en visita de sede.</x:v>
      </x:c>
      <x:c r="W14" s="43" t="str">
        <x:v>https://empresa-ejemplo.co/2026/proveedor/12</x:v>
      </x:c>
    </x:row>
    <x:row r="15">
      <x:c r="A15" s="37" t="n">
        <x:v>2026</x:v>
      </x:c>
      <x:c r="B15" s="32" t="str">
        <x:v>Turnos Smart SAS</x:v>
      </x:c>
      <x:c r="C15" s="32" t="str">
        <x:v>9002600012</x:v>
      </x:c>
      <x:c r="D15" s="32" t="str">
        <x:v>Girón</x:v>
      </x:c>
      <x:c r="E15" s="32" t="str">
        <x:v>Software de control de turnos</x:v>
      </x:c>
      <x:c r="F15" s="32" t="str">
        <x:v>Bajo</x:v>
      </x:c>
      <x:c r="G15" s="93" t="n">
        <x:v>46023</x:v>
      </x:c>
      <x:c r="H15" s="93" t="n">
        <x:v>46170</x:v>
      </x:c>
      <x:c r="I15" s="94" t="str">
        <x:v>Sí</x:v>
      </x:c>
      <x:c r="J15" s="94" t="str">
        <x:v>Sí</x:v>
      </x:c>
      <x:c r="K15" s="94" t="str">
        <x:v>Sí</x:v>
      </x:c>
      <x:c r="L15" s="94" t="str">
        <x:v>Sí</x:v>
      </x:c>
      <x:c r="M15" s="94" t="str">
        <x:v>Sí</x:v>
      </x:c>
      <x:c r="N15" s="94" t="str">
        <x:v>Sí</x:v>
      </x:c>
      <x:c r="O15" s="94" t="str">
        <x:v>Sí</x:v>
      </x:c>
      <x:c r="P15" s="94" t="str">
        <x:v>Sí</x:v>
      </x:c>
      <x:c r="Q15" s="95" t="n">
        <x:f>ROUND((COUNTIF(I15:P15,"Sí")+0.5*COUNTIF(I15:P15,"Parcial"))/8,4)</x:f>
        <x:v>1</x:v>
      </x:c>
      <x:c r="R15" s="32" t="str">
        <x:f>IF(Q15&gt;=0.85,"Alto",IF(Q15&gt;=0.70,"Medio","Crítico"))</x:f>
        <x:v>Alto</x:v>
      </x:c>
      <x:c r="S15" s="32" t="str">
        <x:f>IF(Q15&gt;=0.85,"Aprobado",IF(Q15&gt;=0.70,"Condicionado","No aprobado"))</x:f>
        <x:v>Aprobado</x:v>
      </x:c>
      <x:c r="T15" s="32" t="str">
        <x:v>Jefe Administrativo</x:v>
      </x:c>
      <x:c r="U15" s="93" t="n">
        <x:v>46170</x:v>
      </x:c>
      <x:c r="V15" s="32" t="str">
        <x:v>Proveedor crítico para la operación; seguimiento mensual.</x:v>
      </x:c>
      <x:c r="W15" s="43" t="str">
        <x:v>https://empresa-ejemplo.co/2026/proveedor/13</x:v>
      </x:c>
    </x:row>
    <x:row r="16">
      <x:c r="A16" s="37" t="n">
        <x:v>2026</x:v>
      </x:c>
      <x:c r="B16" s="32" t="str">
        <x:v>Legal &amp; Compliance SAS</x:v>
      </x:c>
      <x:c r="C16" s="32" t="str">
        <x:v>9002600013</x:v>
      </x:c>
      <x:c r="D16" s="32" t="str">
        <x:v>Valledupar</x:v>
      </x:c>
      <x:c r="E16" s="32" t="str">
        <x:v>Servicios jurídicos laborales</x:v>
      </x:c>
      <x:c r="F16" s="32" t="str">
        <x:v>Bajo</x:v>
      </x:c>
      <x:c r="G16" s="93" t="n">
        <x:v>46073</x:v>
      </x:c>
      <x:c r="H16" s="93" t="n">
        <x:v>46381</x:v>
      </x:c>
      <x:c r="I16" s="94" t="str">
        <x:v>Sí</x:v>
      </x:c>
      <x:c r="J16" s="94" t="str">
        <x:v>Sí</x:v>
      </x:c>
      <x:c r="K16" s="94" t="str">
        <x:v>Sí</x:v>
      </x:c>
      <x:c r="L16" s="94" t="str">
        <x:v>Sí</x:v>
      </x:c>
      <x:c r="M16" s="94" t="str">
        <x:v>Sí</x:v>
      </x:c>
      <x:c r="N16" s="94" t="str">
        <x:v>Sí</x:v>
      </x:c>
      <x:c r="O16" s="94" t="str">
        <x:v>Sí</x:v>
      </x:c>
      <x:c r="P16" s="94" t="str">
        <x:v>Sí</x:v>
      </x:c>
      <x:c r="Q16" s="95" t="n">
        <x:f>ROUND((COUNTIF(I16:P16,"Sí")+0.5*COUNTIF(I16:P16,"Parcial"))/8,4)</x:f>
        <x:v>1</x:v>
      </x:c>
      <x:c r="R16" s="32" t="str">
        <x:f>IF(Q16&gt;=0.85,"Alto",IF(Q16&gt;=0.70,"Medio","Crítico"))</x:f>
        <x:v>Alto</x:v>
      </x:c>
      <x:c r="S16" s="32" t="str">
        <x:f>IF(Q16&gt;=0.85,"Aprobado",IF(Q16&gt;=0.70,"Condicionado","No aprobado"))</x:f>
        <x:v>Aprobado</x:v>
      </x:c>
      <x:c r="T16" s="32" t="str">
        <x:v>Director de Operaciones</x:v>
      </x:c>
      <x:c r="U16" s="93" t="n">
        <x:v>46356</x:v>
      </x:c>
      <x:c r="V16" s="32" t="str">
        <x:v>Se programó auditoría documental complementaria.</x:v>
      </x:c>
      <x:c r="W16" s="43" t="str">
        <x:v>https://empresa-ejemplo.co/2026/proveedor/14</x:v>
      </x:c>
    </x:row>
    <x:row r="17">
      <x:c r="A17" s="37" t="n">
        <x:v>2026</x:v>
      </x:c>
      <x:c r="B17" s="32" t="str">
        <x:v>Extinred SAS</x:v>
      </x:c>
      <x:c r="C17" s="32" t="str">
        <x:v>9002600014</x:v>
      </x:c>
      <x:c r="D17" s="32" t="str">
        <x:v>Arauca</x:v>
      </x:c>
      <x:c r="E17" s="32" t="str">
        <x:v>Mantenimiento de extintores</x:v>
      </x:c>
      <x:c r="F17" s="32" t="str">
        <x:v>Medio</x:v>
      </x:c>
      <x:c r="G17" s="93" t="n">
        <x:v>46097</x:v>
      </x:c>
      <x:c r="H17" s="93" t="n">
        <x:v>46315</x:v>
      </x:c>
      <x:c r="I17" s="94" t="str">
        <x:v>Sí</x:v>
      </x:c>
      <x:c r="J17" s="94" t="str">
        <x:v>Sí</x:v>
      </x:c>
      <x:c r="K17" s="94" t="str">
        <x:v>Sí</x:v>
      </x:c>
      <x:c r="L17" s="94" t="str">
        <x:v>Sí</x:v>
      </x:c>
      <x:c r="M17" s="94" t="str">
        <x:v>Parcial</x:v>
      </x:c>
      <x:c r="N17" s="94" t="str">
        <x:v>Sí</x:v>
      </x:c>
      <x:c r="O17" s="94" t="str">
        <x:v>Sí</x:v>
      </x:c>
      <x:c r="P17" s="94" t="str">
        <x:v>Sí</x:v>
      </x:c>
      <x:c r="Q17" s="95" t="n">
        <x:f>ROUND((COUNTIF(I17:P17,"Sí")+0.5*COUNTIF(I17:P17,"Parcial"))/8,4)</x:f>
        <x:v>0.9375</x:v>
      </x:c>
      <x:c r="R17" s="32" t="str">
        <x:f>IF(Q17&gt;=0.85,"Alto",IF(Q17&gt;=0.70,"Medio","Crítico"))</x:f>
        <x:v>Alto</x:v>
      </x:c>
      <x:c r="S17" s="32" t="str">
        <x:f>IF(Q17&gt;=0.85,"Aprobado",IF(Q17&gt;=0.70,"Condicionado","No aprobado"))</x:f>
        <x:v>Aprobado</x:v>
      </x:c>
      <x:c r="T17" s="32" t="str">
        <x:v>Analista SST</x:v>
      </x:c>
      <x:c r="U17" s="93" t="n">
        <x:v>46315</x:v>
      </x:c>
      <x:c r="V17" s="32" t="str">
        <x:v>Pendiente reinducción SST por cambio de personal.</x:v>
      </x:c>
      <x:c r="W17" s="43" t="str">
        <x:v>https://empresa-ejemplo.co/2026/proveedor/15</x:v>
      </x:c>
    </x:row>
    <x:row r="18">
      <x:c r="A18" s="37" t="n">
        <x:v>2026</x:v>
      </x:c>
      <x:c r="B18" s="32" t="str">
        <x:v>Señales Seguras SAS</x:v>
      </x:c>
      <x:c r="C18" s="32" t="str">
        <x:v>9002600015</x:v>
      </x:c>
      <x:c r="D18" s="32" t="str">
        <x:v>Bogotá</x:v>
      </x:c>
      <x:c r="E18" s="32" t="str">
        <x:v>Señalización y demarcación</x:v>
      </x:c>
      <x:c r="F18" s="32" t="str">
        <x:v>Bajo</x:v>
      </x:c>
      <x:c r="G18" s="93" t="n">
        <x:v>46125</x:v>
      </x:c>
      <x:c r="H18" s="93" t="n">
        <x:v>46289</x:v>
      </x:c>
      <x:c r="I18" s="94" t="str">
        <x:v>Sí</x:v>
      </x:c>
      <x:c r="J18" s="94" t="str">
        <x:v>Sí</x:v>
      </x:c>
      <x:c r="K18" s="94" t="str">
        <x:v>Sí</x:v>
      </x:c>
      <x:c r="L18" s="94" t="str">
        <x:v>Parcial</x:v>
      </x:c>
      <x:c r="M18" s="94" t="str">
        <x:v>Sí</x:v>
      </x:c>
      <x:c r="N18" s="94" t="str">
        <x:v>Sí</x:v>
      </x:c>
      <x:c r="O18" s="94" t="str">
        <x:v>Sí</x:v>
      </x:c>
      <x:c r="P18" s="94" t="str">
        <x:v>Sí</x:v>
      </x:c>
      <x:c r="Q18" s="95" t="n">
        <x:f>ROUND((COUNTIF(I18:P18,"Sí")+0.5*COUNTIF(I18:P18,"Parcial"))/8,4)</x:f>
        <x:v>0.9375</x:v>
      </x:c>
      <x:c r="R18" s="32" t="str">
        <x:f>IF(Q18&gt;=0.85,"Alto",IF(Q18&gt;=0.70,"Medio","Crítico"))</x:f>
        <x:v>Alto</x:v>
      </x:c>
      <x:c r="S18" s="32" t="str">
        <x:f>IF(Q18&gt;=0.85,"Aprobado",IF(Q18&gt;=0.70,"Condicionado","No aprobado"))</x:f>
        <x:v>Aprobado</x:v>
      </x:c>
      <x:c r="T18" s="32" t="str">
        <x:v>Analista SST</x:v>
      </x:c>
      <x:c r="U18" s="93" t="n">
        <x:v>46289</x:v>
      </x:c>
      <x:c r="V18" s="32" t="str">
        <x:v>Pendiente actualización de un soporte menor.</x:v>
      </x:c>
      <x:c r="W18" s="43" t="str">
        <x:v>https://empresa-ejemplo.co/2026/proveedor/16</x:v>
      </x:c>
    </x:row>
    <x:row r="19">
      <x:c r="A19" s="37" t="n">
        <x:v>2026</x:v>
      </x:c>
      <x:c r="B19" s="32" t="str">
        <x:v>Obras y Mantenimientos del Oriente SAS</x:v>
      </x:c>
      <x:c r="C19" s="32" t="str">
        <x:v>9002600016</x:v>
      </x:c>
      <x:c r="D19" s="32" t="str">
        <x:v>Tibú</x:v>
      </x:c>
      <x:c r="E19" s="32" t="str">
        <x:v>Mantenimiento locativo</x:v>
      </x:c>
      <x:c r="F19" s="32" t="str">
        <x:v>Medio</x:v>
      </x:c>
      <x:c r="G19" s="93" t="n">
        <x:v>46146</x:v>
      </x:c>
      <x:c r="H19" s="93" t="n">
        <x:v>46379</x:v>
      </x:c>
      <x:c r="I19" s="94" t="str">
        <x:v>Sí</x:v>
      </x:c>
      <x:c r="J19" s="94" t="str">
        <x:v>Parcial</x:v>
      </x:c>
      <x:c r="K19" s="94" t="str">
        <x:v>Sí</x:v>
      </x:c>
      <x:c r="L19" s="94" t="str">
        <x:v>Sí</x:v>
      </x:c>
      <x:c r="M19" s="94" t="str">
        <x:v>Sí</x:v>
      </x:c>
      <x:c r="N19" s="94" t="str">
        <x:v>Sí</x:v>
      </x:c>
      <x:c r="O19" s="94" t="str">
        <x:v>Sí</x:v>
      </x:c>
      <x:c r="P19" s="94" t="str">
        <x:v>Sí</x:v>
      </x:c>
      <x:c r="Q19" s="95" t="n">
        <x:f>ROUND((COUNTIF(I19:P19,"Sí")+0.5*COUNTIF(I19:P19,"Parcial"))/8,4)</x:f>
        <x:v>0.9375</x:v>
      </x:c>
      <x:c r="R19" s="32" t="str">
        <x:f>IF(Q19&gt;=0.85,"Alto",IF(Q19&gt;=0.70,"Medio","Crítico"))</x:f>
        <x:v>Alto</x:v>
      </x:c>
      <x:c r="S19" s="32" t="str">
        <x:f>IF(Q19&gt;=0.85,"Aprobado",IF(Q19&gt;=0.70,"Condicionado","No aprobado"))</x:f>
        <x:v>Aprobado</x:v>
      </x:c>
      <x:c r="T19" s="32" t="str">
        <x:v>Director de Operaciones</x:v>
      </x:c>
      <x:c r="U19" s="93" t="n">
        <x:v>46356</x:v>
      </x:c>
      <x:c r="V19" s="32" t="str">
        <x:v>Verificación realizada en visita de sede.</x:v>
      </x:c>
      <x:c r="W19" s="43" t="str">
        <x:v>https://empresa-ejemplo.co/2026/proveedor/17</x:v>
      </x:c>
    </x:row>
    <x:row r="20">
      <x:c r="A20" s="37" t="n">
        <x:v>2026</x:v>
      </x:c>
      <x:c r="B20" s="32" t="str">
        <x:v>Movilidad Segura Especial SAS</x:v>
      </x:c>
      <x:c r="C20" s="32" t="str">
        <x:v>9002600017</x:v>
      </x:c>
      <x:c r="D20" s="32" t="str">
        <x:v>Medellín</x:v>
      </x:c>
      <x:c r="E20" s="32" t="str">
        <x:v>Transporte especial de personal</x:v>
      </x:c>
      <x:c r="F20" s="32" t="str">
        <x:v>Alto</x:v>
      </x:c>
      <x:c r="G20" s="93" t="n">
        <x:v>46185</x:v>
      </x:c>
      <x:c r="H20" s="93" t="n">
        <x:v>46384</x:v>
      </x:c>
      <x:c r="I20" s="94" t="str">
        <x:v>Sí</x:v>
      </x:c>
      <x:c r="J20" s="94" t="str">
        <x:v>Sí</x:v>
      </x:c>
      <x:c r="K20" s="94" t="str">
        <x:v>Sí</x:v>
      </x:c>
      <x:c r="L20" s="94" t="str">
        <x:v>Sí</x:v>
      </x:c>
      <x:c r="M20" s="94" t="str">
        <x:v>Sí</x:v>
      </x:c>
      <x:c r="N20" s="94" t="str">
        <x:v>Sí</x:v>
      </x:c>
      <x:c r="O20" s="94" t="str">
        <x:v>Sí</x:v>
      </x:c>
      <x:c r="P20" s="94" t="str">
        <x:v>Sí</x:v>
      </x:c>
      <x:c r="Q20" s="95" t="n">
        <x:f>ROUND((COUNTIF(I20:P20,"Sí")+0.5*COUNTIF(I20:P20,"Parcial"))/8,4)</x:f>
        <x:v>1</x:v>
      </x:c>
      <x:c r="R20" s="32" t="str">
        <x:f>IF(Q20&gt;=0.85,"Alto",IF(Q20&gt;=0.70,"Medio","Crítico"))</x:f>
        <x:v>Alto</x:v>
      </x:c>
      <x:c r="S20" s="32" t="str">
        <x:f>IF(Q20&gt;=0.85,"Aprobado",IF(Q20&gt;=0.70,"Condicionado","No aprobado"))</x:f>
        <x:v>Aprobado</x:v>
      </x:c>
      <x:c r="T20" s="32" t="str">
        <x:v>Jefe Administrativo</x:v>
      </x:c>
      <x:c r="U20" s="93" t="n">
        <x:v>46356</x:v>
      </x:c>
      <x:c r="V20" s="32" t="str">
        <x:v>Se requiere seguimiento al cierre de hallazgos.</x:v>
      </x:c>
      <x:c r="W20" s="43" t="str">
        <x:v>https://empresa-ejemplo.co/2026/proveedor/18</x:v>
      </x:c>
    </x:row>
    <x:row r="21">
      <x:c r="A21" s="37" t="n">
        <x:v>2026</x:v>
      </x:c>
      <x:c r="B21" s="32" t="str">
        <x:v>Archivo y Gestión SAS</x:v>
      </x:c>
      <x:c r="C21" s="32" t="str">
        <x:v>9002600018</x:v>
      </x:c>
      <x:c r="D21" s="32" t="str">
        <x:v>Ábrego</x:v>
      </x:c>
      <x:c r="E21" s="32" t="str">
        <x:v>Gestión documental</x:v>
      </x:c>
      <x:c r="F21" s="32" t="str">
        <x:v>Bajo</x:v>
      </x:c>
      <x:c r="G21" s="93" t="n">
        <x:v>46212</x:v>
      </x:c>
      <x:c r="H21" s="93" t="n">
        <x:v>46377</x:v>
      </x:c>
      <x:c r="I21" s="94" t="str">
        <x:v>Parcial</x:v>
      </x:c>
      <x:c r="J21" s="94" t="str">
        <x:v>Sí</x:v>
      </x:c>
      <x:c r="K21" s="94" t="str">
        <x:v>Sí</x:v>
      </x:c>
      <x:c r="L21" s="94" t="str">
        <x:v>Sí</x:v>
      </x:c>
      <x:c r="M21" s="94" t="str">
        <x:v>Sí</x:v>
      </x:c>
      <x:c r="N21" s="94" t="str">
        <x:v>Sí</x:v>
      </x:c>
      <x:c r="O21" s="94" t="str">
        <x:v>Sí</x:v>
      </x:c>
      <x:c r="P21" s="94" t="str">
        <x:v>Sí</x:v>
      </x:c>
      <x:c r="Q21" s="95" t="n">
        <x:f>ROUND((COUNTIF(I21:P21,"Sí")+0.5*COUNTIF(I21:P21,"Parcial"))/8,4)</x:f>
        <x:v>0.9375</x:v>
      </x:c>
      <x:c r="R21" s="32" t="str">
        <x:f>IF(Q21&gt;=0.85,"Alto",IF(Q21&gt;=0.70,"Medio","Crítico"))</x:f>
        <x:v>Alto</x:v>
      </x:c>
      <x:c r="S21" s="32" t="str">
        <x:f>IF(Q21&gt;=0.85,"Aprobado",IF(Q21&gt;=0.70,"Condicionado","No aprobado"))</x:f>
        <x:v>Aprobado</x:v>
      </x:c>
      <x:c r="T21" s="32" t="str">
        <x:v>Coordinador de Contratistas</x:v>
      </x:c>
      <x:c r="U21" s="93" t="n">
        <x:v>46356</x:v>
      </x:c>
      <x:c r="V21" s="32" t="str">
        <x:v>Pendiente actualización de un soporte menor.</x:v>
      </x:c>
      <x:c r="W21" s="43" t="str">
        <x:v>https://empresa-ejemplo.co/2026/proveedor/19</x:v>
      </x:c>
    </x:row>
    <x:row r="22">
      <x:c r="A22" s="37" t="n">
        <x:v>2026</x:v>
      </x:c>
      <x:c r="B22" s="32" t="str">
        <x:v>Soporte Digital 24/7 SAS</x:v>
      </x:c>
      <x:c r="C22" s="32" t="str">
        <x:v>9002600019</x:v>
      </x:c>
      <x:c r="D22" s="32" t="str">
        <x:v>Pamplona</x:v>
      </x:c>
      <x:c r="E22" s="32" t="str">
        <x:v>Soporte TI y mesa de ayuda</x:v>
      </x:c>
      <x:c r="F22" s="32" t="str">
        <x:v>Bajo</x:v>
      </x:c>
      <x:c r="G22" s="93" t="n">
        <x:v>46245</x:v>
      </x:c>
      <x:c r="H22" s="93" t="n">
        <x:v>46378</x:v>
      </x:c>
      <x:c r="I22" s="94" t="str">
        <x:v>Sí</x:v>
      </x:c>
      <x:c r="J22" s="94" t="str">
        <x:v>Sí</x:v>
      </x:c>
      <x:c r="K22" s="94" t="str">
        <x:v>Sí</x:v>
      </x:c>
      <x:c r="L22" s="94" t="str">
        <x:v>Sí</x:v>
      </x:c>
      <x:c r="M22" s="94" t="str">
        <x:v>Sí</x:v>
      </x:c>
      <x:c r="N22" s="94" t="str">
        <x:v>Sí</x:v>
      </x:c>
      <x:c r="O22" s="94" t="str">
        <x:v>Sí</x:v>
      </x:c>
      <x:c r="P22" s="94" t="str">
        <x:v>Sí</x:v>
      </x:c>
      <x:c r="Q22" s="95" t="n">
        <x:f>ROUND((COUNTIF(I22:P22,"Sí")+0.5*COUNTIF(I22:P22,"Parcial"))/8,4)</x:f>
        <x:v>1</x:v>
      </x:c>
      <x:c r="R22" s="32" t="str">
        <x:f>IF(Q22&gt;=0.85,"Alto",IF(Q22&gt;=0.70,"Medio","Crítico"))</x:f>
        <x:v>Alto</x:v>
      </x:c>
      <x:c r="S22" s="32" t="str">
        <x:f>IF(Q22&gt;=0.85,"Aprobado",IF(Q22&gt;=0.70,"Condicionado","No aprobado"))</x:f>
        <x:v>Aprobado</x:v>
      </x:c>
      <x:c r="T22" s="32" t="str">
        <x:v>Director de Operaciones</x:v>
      </x:c>
      <x:c r="U22" s="93" t="n">
        <x:v>46356</x:v>
      </x:c>
      <x:c r="V22" s="32" t="str">
        <x:v>Cumplimiento estable y contrato renovado.</x:v>
      </x:c>
      <x:c r="W22" s="43" t="str">
        <x:v>https://empresa-ejemplo.co/2026/proveedor/20</x:v>
      </x:c>
    </x:row>
    <x:row r="23">
      <x:c r="A23" s="37" t="n">
        <x:v>2026</x:v>
      </x:c>
      <x:c r="B23" s="32" t="str">
        <x:v>Blindajes Operativos SAS</x:v>
      </x:c>
      <x:c r="C23" s="32" t="str">
        <x:v>9002600020</x:v>
      </x:c>
      <x:c r="D23" s="32" t="str">
        <x:v>Cúcuta</x:v>
      </x:c>
      <x:c r="E23" s="32" t="str">
        <x:v>Seguridad física fija</x:v>
      </x:c>
      <x:c r="F23" s="32" t="str">
        <x:v>Alto</x:v>
      </x:c>
      <x:c r="G23" s="93" t="n">
        <x:v>46269</x:v>
      </x:c>
      <x:c r="H23" s="93" t="n">
        <x:v>46384</x:v>
      </x:c>
      <x:c r="I23" s="94" t="str">
        <x:v>Sí</x:v>
      </x:c>
      <x:c r="J23" s="94" t="str">
        <x:v>Parcial</x:v>
      </x:c>
      <x:c r="K23" s="94" t="str">
        <x:v>Sí</x:v>
      </x:c>
      <x:c r="L23" s="94" t="str">
        <x:v>Parcial</x:v>
      </x:c>
      <x:c r="M23" s="94" t="str">
        <x:v>Sí</x:v>
      </x:c>
      <x:c r="N23" s="94" t="str">
        <x:v>Sí</x:v>
      </x:c>
      <x:c r="O23" s="94" t="str">
        <x:v>Sí</x:v>
      </x:c>
      <x:c r="P23" s="94" t="str">
        <x:v>Sí</x:v>
      </x:c>
      <x:c r="Q23" s="95" t="n">
        <x:f>ROUND((COUNTIF(I23:P23,"Sí")+0.5*COUNTIF(I23:P23,"Parcial"))/8,4)</x:f>
        <x:v>0.875</x:v>
      </x:c>
      <x:c r="R23" s="32" t="str">
        <x:f>IF(Q23&gt;=0.85,"Alto",IF(Q23&gt;=0.70,"Medio","Crítico"))</x:f>
        <x:v>Alto</x:v>
      </x:c>
      <x:c r="S23" s="32" t="str">
        <x:f>IF(Q23&gt;=0.85,"Aprobado",IF(Q23&gt;=0.70,"Condicionado","No aprobado"))</x:f>
        <x:v>Aprobado</x:v>
      </x:c>
      <x:c r="T23" s="32" t="str">
        <x:v>Jefe Administrativo</x:v>
      </x:c>
      <x:c r="U23" s="93" t="n">
        <x:v>46356</x:v>
      </x:c>
      <x:c r="V23" s="32" t="str">
        <x:v>Se programó auditoría documental complementaria.</x:v>
      </x:c>
      <x:c r="W23" s="43" t="str">
        <x:v>https://empresa-ejemplo.co/2026/proveedor/21</x:v>
      </x:c>
    </x:row>
    <x:row r="24">
      <x:c r="A24" s="37" t="n">
        <x:v>2026</x:v>
      </x:c>
      <x:c r="B24" s="32" t="str">
        <x:v>Consultores HSEQ Colombia SAS</x:v>
      </x:c>
      <x:c r="C24" s="32" t="str">
        <x:v>9002600021</x:v>
      </x:c>
      <x:c r="D24" s="32" t="str">
        <x:v>Barrancabermeja</x:v>
      </x:c>
      <x:c r="E24" s="32" t="str">
        <x:v>Escolta y protección</x:v>
      </x:c>
      <x:c r="F24" s="32" t="str">
        <x:v>Alto</x:v>
      </x:c>
      <x:c r="G24" s="93" t="n">
        <x:v>46299</x:v>
      </x:c>
      <x:c r="H24" s="93" t="n">
        <x:v>46381</x:v>
      </x:c>
      <x:c r="I24" s="94" t="str">
        <x:v>Sí</x:v>
      </x:c>
      <x:c r="J24" s="94" t="str">
        <x:v>Sí</x:v>
      </x:c>
      <x:c r="K24" s="94" t="str">
        <x:v>Sí</x:v>
      </x:c>
      <x:c r="L24" s="94" t="str">
        <x:v>Sí</x:v>
      </x:c>
      <x:c r="M24" s="94" t="str">
        <x:v>Parcial</x:v>
      </x:c>
      <x:c r="N24" s="94" t="str">
        <x:v>Parcial</x:v>
      </x:c>
      <x:c r="O24" s="94" t="str">
        <x:v>Sí</x:v>
      </x:c>
      <x:c r="P24" s="94" t="str">
        <x:v>Sí</x:v>
      </x:c>
      <x:c r="Q24" s="95" t="n">
        <x:f>ROUND((COUNTIF(I24:P24,"Sí")+0.5*COUNTIF(I24:P24,"Parcial"))/8,4)</x:f>
        <x:v>0.875</x:v>
      </x:c>
      <x:c r="R24" s="32" t="str">
        <x:f>IF(Q24&gt;=0.85,"Alto",IF(Q24&gt;=0.70,"Medio","Crítico"))</x:f>
        <x:v>Alto</x:v>
      </x:c>
      <x:c r="S24" s="32" t="str">
        <x:f>IF(Q24&gt;=0.85,"Aprobado",IF(Q24&gt;=0.70,"Condicionado","No aprobado"))</x:f>
        <x:v>Aprobado</x:v>
      </x:c>
      <x:c r="T24" s="32" t="str">
        <x:v>Coordinador de Contratistas</x:v>
      </x:c>
      <x:c r="U24" s="93" t="n">
        <x:v>46356</x:v>
      </x:c>
      <x:c r="V24" s="32" t="str">
        <x:v>Pendiente actualización de un soporte menor.</x:v>
      </x:c>
      <x:c r="W24" s="43" t="str">
        <x:v>https://empresa-ejemplo.co/2026/proveedor/22</x:v>
      </x:c>
    </x:row>
    <x:row r="25">
      <x:c r="A25" s="37" t="n">
        <x:v>2026</x:v>
      </x:c>
      <x:c r="B25" s="32" t="str">
        <x:v>Vigilancia Estratégica SAS</x:v>
      </x:c>
      <x:c r="C25" s="32" t="str">
        <x:v>9002600022</x:v>
      </x:c>
      <x:c r="D25" s="32" t="str">
        <x:v>Ocaña</x:v>
      </x:c>
      <x:c r="E25" s="32" t="str">
        <x:v>Monitoreo de alarmas</x:v>
      </x:c>
      <x:c r="F25" s="32" t="str">
        <x:v>Medio</x:v>
      </x:c>
      <x:c r="G25" s="93" t="n">
        <x:v>46340</x:v>
      </x:c>
      <x:c r="H25" s="93" t="n">
        <x:v>46381</x:v>
      </x:c>
      <x:c r="I25" s="94" t="str">
        <x:v>Sí</x:v>
      </x:c>
      <x:c r="J25" s="94" t="str">
        <x:v>Sí</x:v>
      </x:c>
      <x:c r="K25" s="94" t="str">
        <x:v>Parcial</x:v>
      </x:c>
      <x:c r="L25" s="94" t="str">
        <x:v>Sí</x:v>
      </x:c>
      <x:c r="M25" s="94" t="str">
        <x:v>Sí</x:v>
      </x:c>
      <x:c r="N25" s="94" t="str">
        <x:v>Parcial</x:v>
      </x:c>
      <x:c r="O25" s="94" t="str">
        <x:v>Sí</x:v>
      </x:c>
      <x:c r="P25" s="94" t="str">
        <x:v>Sí</x:v>
      </x:c>
      <x:c r="Q25" s="95" t="n">
        <x:f>ROUND((COUNTIF(I25:P25,"Sí")+0.5*COUNTIF(I25:P25,"Parcial"))/8,4)</x:f>
        <x:v>0.875</x:v>
      </x:c>
      <x:c r="R25" s="32" t="str">
        <x:f>IF(Q25&gt;=0.85,"Alto",IF(Q25&gt;=0.70,"Medio","Crítico"))</x:f>
        <x:v>Alto</x:v>
      </x:c>
      <x:c r="S25" s="32" t="str">
        <x:f>IF(Q25&gt;=0.85,"Aprobado",IF(Q25&gt;=0.70,"Condicionado","No aprobado"))</x:f>
        <x:v>Aprobado</x:v>
      </x:c>
      <x:c r="T25" s="32" t="str">
        <x:v>Director de Operaciones</x:v>
      </x:c>
      <x:c r="U25" s="93" t="n">
        <x:v>46356</x:v>
      </x:c>
      <x:c r="V25" s="32" t="str">
        <x:v>Se requiere seguimiento al cierre de hallazgos.</x:v>
      </x:c>
      <x:c r="W25" s="43" t="str">
        <x:v>https://empresa-ejemplo.co/2026/proveedor/23</x:v>
      </x:c>
    </x:row>
    <x:row r="26">
      <x:c r="A26" s="76" t="n">
        <x:v>2026</x:v>
      </x:c>
      <x:c r="B26" s="45" t="str">
        <x:v>Operaciones Tácticas SAS</x:v>
      </x:c>
      <x:c r="C26" s="45" t="str">
        <x:v>9002600023</x:v>
      </x:c>
      <x:c r="D26" s="45" t="str">
        <x:v>Girón</x:v>
      </x:c>
      <x:c r="E26" s="45" t="str">
        <x:v>Mantenimiento CCTV</x:v>
      </x:c>
      <x:c r="F26" s="45" t="str">
        <x:v>Medio</x:v>
      </x:c>
      <x:c r="G26" s="96" t="n">
        <x:v>46376</x:v>
      </x:c>
      <x:c r="H26" s="96" t="n">
        <x:v>46380</x:v>
      </x:c>
      <x:c r="I26" s="97" t="str">
        <x:v>Sí</x:v>
      </x:c>
      <x:c r="J26" s="97" t="str">
        <x:v>Sí</x:v>
      </x:c>
      <x:c r="K26" s="97" t="str">
        <x:v>Sí</x:v>
      </x:c>
      <x:c r="L26" s="97" t="str">
        <x:v>Sí</x:v>
      </x:c>
      <x:c r="M26" s="97" t="str">
        <x:v>Sí</x:v>
      </x:c>
      <x:c r="N26" s="97" t="str">
        <x:v>Sí</x:v>
      </x:c>
      <x:c r="O26" s="97" t="str">
        <x:v>Sí</x:v>
      </x:c>
      <x:c r="P26" s="97" t="str">
        <x:v>Sí</x:v>
      </x:c>
      <x:c r="Q26" s="98" t="n">
        <x:f>ROUND((COUNTIF(I26:P26,"Sí")+0.5*COUNTIF(I26:P26,"Parcial"))/8,4)</x:f>
        <x:v>1</x:v>
      </x:c>
      <x:c r="R26" s="45" t="str">
        <x:f>IF(Q26&gt;=0.85,"Alto",IF(Q26&gt;=0.70,"Medio","Crítico"))</x:f>
        <x:v>Alto</x:v>
      </x:c>
      <x:c r="S26" s="45" t="str">
        <x:f>IF(Q26&gt;=0.85,"Aprobado",IF(Q26&gt;=0.70,"Condicionado","No aprobado"))</x:f>
        <x:v>Aprobado</x:v>
      </x:c>
      <x:c r="T26" s="45" t="str">
        <x:v>Jefe Administrativo</x:v>
      </x:c>
      <x:c r="U26" s="96" t="n">
        <x:v>46356</x:v>
      </x:c>
      <x:c r="V26" s="45" t="str">
        <x:v>Documentación vigente y verificada.</x:v>
      </x:c>
      <x:c r="W26" s="46" t="str">
        <x:v>https://empresa-ejemplo.co/2026/proveedor/24</x:v>
      </x:c>
    </x:row>
  </x:sheetData>
  <x:mergeCells>
    <x:mergeCell ref="A1:W1"/>
  </x:mergeCells>
  <x:conditionalFormatting sqref="Q3:Q26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conditionalFormatting sqref="S3:S26">
    <x:cfRule type="expression" dxfId="9" priority="2">
      <x:formula>S3="No aprobado"</x:formula>
    </x:cfRule>
    <x:cfRule type="expression" dxfId="10" priority="3">
      <x:formula>S3="Condicionado"</x:formula>
    </x:cfRule>
    <x:cfRule type="expression" dxfId="11" priority="4">
      <x:formula>S3="Aprobado"</x:formula>
    </x:cfRule>
  </x:conditionalFormatting>
  <x:dataValidations count="11">
    <x:dataValidation type="list" sqref="I3:I26">
      <x:formula1>Catálogos!$G$4:$G$6</x:formula1>
    </x:dataValidation>
    <x:dataValidation type="list" sqref="J3:J26">
      <x:formula1>Catálogos!$G$4:$G$6</x:formula1>
    </x:dataValidation>
    <x:dataValidation type="list" sqref="K3:K26">
      <x:formula1>Catálogos!$G$4:$G$6</x:formula1>
    </x:dataValidation>
    <x:dataValidation type="list" sqref="L3:L26">
      <x:formula1>Catálogos!$G$4:$G$6</x:formula1>
    </x:dataValidation>
    <x:dataValidation type="list" sqref="M3:M26">
      <x:formula1>Catálogos!$G$4:$G$6</x:formula1>
    </x:dataValidation>
    <x:dataValidation type="list" sqref="N3:N26">
      <x:formula1>Catálogos!$G$4:$G$6</x:formula1>
    </x:dataValidation>
    <x:dataValidation type="list" sqref="O3:O26">
      <x:formula1>Catálogos!$G$4:$G$6</x:formula1>
    </x:dataValidation>
    <x:dataValidation type="list" sqref="P3:P26">
      <x:formula1>Catálogos!$G$4:$G$6</x:formula1>
    </x:dataValidation>
    <x:dataValidation type="list" sqref="D3:D26">
      <x:formula1>Catálogos!$C$4:$C$14</x:formula1>
    </x:dataValidation>
    <x:dataValidation type="list" sqref="F3:F26">
      <x:formula1>Catálogos!$E$4:$E$6</x:formula1>
    </x:dataValidation>
    <x:dataValidation type="list" sqref="T3:T26">
      <x:formula1>Catálogos!$I$4:$I$8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7ef10d32d048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10" max="10" width="14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5" t="str">
        <x:v>Resumen anual - Gestión de Proveedores y Contratistas</x:v>
      </x:c>
      <x:c r="B1" s="5"/>
      <x:c r="C1" s="5"/>
      <x:c r="D1" s="5"/>
      <x:c r="E1" s="5"/>
      <x:c r="F1" s="5"/>
      <x:c r="G1" s="5"/>
      <x:c r="H1" s="5"/>
    </x:row>
    <x:row r="3">
      <x:c r="A3" s="73" t="str">
        <x:v>Año</x:v>
      </x:c>
      <x:c r="B3" s="74" t="str">
        <x:v>N° proveedores</x:v>
      </x:c>
      <x:c r="C3" s="74" t="str">
        <x:v>Cumplimiento promedio</x:v>
      </x:c>
      <x:c r="D3" s="74" t="str">
        <x:v>Aprobados</x:v>
      </x:c>
      <x:c r="E3" s="74" t="str">
        <x:v>Condicionados</x:v>
      </x:c>
      <x:c r="F3" s="74" t="str">
        <x:v>No aprobados</x:v>
      </x:c>
      <x:c r="G3" s="74" t="str">
        <x:v>Riesgo alto</x:v>
      </x:c>
      <x:c r="H3" s="75" t="str">
        <x:v>Vigencia promedio (días)</x:v>
      </x:c>
      <x:c r="J3" s="73" t="str">
        <x:v>Nivel de riesgo</x:v>
      </x:c>
      <x:c r="K3" s="74" t="str">
        <x:v>2023</x:v>
      </x:c>
      <x:c r="L3" s="74" t="str">
        <x:v>2024</x:v>
      </x:c>
      <x:c r="M3" s="74" t="str">
        <x:v>2025</x:v>
      </x:c>
      <x:c r="N3" s="75" t="str">
        <x:v>2026</x:v>
      </x:c>
    </x:row>
    <x:row r="4">
      <x:c r="A4" s="37" t="n">
        <x:v>2023</x:v>
      </x:c>
      <x:c r="B4" s="38" t="n">
        <x:f>COUNTA(GPC_2023!B3:B30)</x:f>
        <x:v>28</x:v>
      </x:c>
      <x:c r="C4" s="71" t="n">
        <x:f>AVERAGE(GPC_2023!Q3:Q30)</x:f>
        <x:v>0.8638392857142857</x:v>
      </x:c>
      <x:c r="D4" s="38" t="n">
        <x:f>COUNTIF(GPC_2023!S3:S30,"Aprobado")</x:f>
        <x:v>16</x:v>
      </x:c>
      <x:c r="E4" s="38" t="n">
        <x:f>COUNTIF(GPC_2023!S3:S30,"Condicionado")</x:f>
        <x:v>8</x:v>
      </x:c>
      <x:c r="F4" s="38" t="n">
        <x:f>COUNTIF(GPC_2023!S3:S30,"No aprobado")</x:f>
        <x:v>4</x:v>
      </x:c>
      <x:c r="G4" s="38" t="n">
        <x:f>COUNTIF(GPC_2023!F3:F30,"Alto")</x:f>
        <x:v>6</x:v>
      </x:c>
      <x:c r="H4" s="107" t="n">
        <x:f>AVERAGE(GPC_2023!H3:H30)-AVERAGE(GPC_2023!G3:G30)</x:f>
        <x:v>165.78571428571013</x:v>
      </x:c>
      <x:c r="J4" s="37" t="str">
        <x:v>Alto</x:v>
      </x:c>
      <x:c r="K4" s="38" t="n">
        <x:f>COUNTIF(GPC_2023!F3:F30,"Alto")</x:f>
        <x:v>6</x:v>
      </x:c>
      <x:c r="L4" s="38" t="n">
        <x:f>COUNTIF(GPC_2024!F3:F30,"Alto")</x:f>
        <x:v>6</x:v>
      </x:c>
      <x:c r="M4" s="38" t="n">
        <x:f>COUNTIF(GPC_2025!F3:F30,"Alto")</x:f>
        <x:v>6</x:v>
      </x:c>
      <x:c r="N4" s="39" t="n">
        <x:f>COUNTIF(GPC_2026!F3:F26,"Alto")</x:f>
        <x:v>6</x:v>
      </x:c>
    </x:row>
    <x:row r="5">
      <x:c r="A5" s="37" t="n">
        <x:v>2024</x:v>
      </x:c>
      <x:c r="B5" s="38" t="n">
        <x:f>COUNTA(GPC_2024!B3:B30)</x:f>
        <x:v>28</x:v>
      </x:c>
      <x:c r="C5" s="71" t="n">
        <x:f>AVERAGE(GPC_2024!Q3:Q30)</x:f>
        <x:v>0.9285714285714286</x:v>
      </x:c>
      <x:c r="D5" s="38" t="n">
        <x:f>COUNTIF(GPC_2024!S3:S30,"Aprobado")</x:f>
        <x:v>25</x:v>
      </x:c>
      <x:c r="E5" s="38" t="n">
        <x:f>COUNTIF(GPC_2024!S3:S30,"Condicionado")</x:f>
        <x:v>3</x:v>
      </x:c>
      <x:c r="F5" s="38" t="n">
        <x:f>COUNTIF(GPC_2024!S3:S30,"No aprobado")</x:f>
        <x:v>0</x:v>
      </x:c>
      <x:c r="G5" s="38" t="n">
        <x:f>COUNTIF(GPC_2024!F3:F30,"Alto")</x:f>
        <x:v>6</x:v>
      </x:c>
      <x:c r="H5" s="107" t="n">
        <x:f>AVERAGE(GPC_2024!H3:H30)-AVERAGE(GPC_2024!G3:G30)</x:f>
        <x:v>164.5714285714348</x:v>
      </x:c>
      <x:c r="J5" s="37" t="str">
        <x:v>Medio</x:v>
      </x:c>
      <x:c r="K5" s="38" t="n">
        <x:f>COUNTIF(GPC_2023!F3:F30,"Medio")</x:f>
        <x:v>16</x:v>
      </x:c>
      <x:c r="L5" s="38" t="n">
        <x:f>COUNTIF(GPC_2024!F3:F30,"Medio")</x:f>
        <x:v>16</x:v>
      </x:c>
      <x:c r="M5" s="38" t="n">
        <x:f>COUNTIF(GPC_2025!F3:F30,"Medio")</x:f>
        <x:v>16</x:v>
      </x:c>
      <x:c r="N5" s="39" t="n">
        <x:f>COUNTIF(GPC_2026!F3:F26,"Medio")</x:f>
        <x:v>12</x:v>
      </x:c>
    </x:row>
    <x:row r="6">
      <x:c r="A6" s="37" t="n">
        <x:v>2025</x:v>
      </x:c>
      <x:c r="B6" s="38" t="n">
        <x:f>COUNTA(GPC_2025!B3:B30)</x:f>
        <x:v>28</x:v>
      </x:c>
      <x:c r="C6" s="71" t="n">
        <x:f>AVERAGE(GPC_2025!Q3:Q30)</x:f>
        <x:v>0.9375</x:v>
      </x:c>
      <x:c r="D6" s="38" t="n">
        <x:f>COUNTIF(GPC_2025!S3:S30,"Aprobado")</x:f>
        <x:v>25</x:v>
      </x:c>
      <x:c r="E6" s="38" t="n">
        <x:f>COUNTIF(GPC_2025!S3:S30,"Condicionado")</x:f>
        <x:v>3</x:v>
      </x:c>
      <x:c r="F6" s="38" t="n">
        <x:f>COUNTIF(GPC_2025!S3:S30,"No aprobado")</x:f>
        <x:v>0</x:v>
      </x:c>
      <x:c r="G6" s="38" t="n">
        <x:f>COUNTIF(GPC_2025!F3:F30,"Alto")</x:f>
        <x:v>6</x:v>
      </x:c>
      <x:c r="H6" s="107" t="n">
        <x:f>AVERAGE(GPC_2025!H3:H30)-AVERAGE(GPC_2025!G3:G30)</x:f>
        <x:v>171.2857142857174</x:v>
      </x:c>
      <x:c r="J6" s="76" t="str">
        <x:v>Bajo</x:v>
      </x:c>
      <x:c r="K6" s="77" t="n">
        <x:f>COUNTIF(GPC_2023!F3:F30,"Bajo")</x:f>
        <x:v>6</x:v>
      </x:c>
      <x:c r="L6" s="77" t="n">
        <x:f>COUNTIF(GPC_2024!F3:F30,"Bajo")</x:f>
        <x:v>6</x:v>
      </x:c>
      <x:c r="M6" s="77" t="n">
        <x:f>COUNTIF(GPC_2025!F3:F30,"Bajo")</x:f>
        <x:v>6</x:v>
      </x:c>
      <x:c r="N6" s="80" t="n">
        <x:f>COUNTIF(GPC_2026!F3:F26,"Bajo")</x:f>
        <x:v>6</x:v>
      </x:c>
    </x:row>
    <x:row r="7">
      <x:c r="A7" s="76" t="n">
        <x:v>2026</x:v>
      </x:c>
      <x:c r="B7" s="77" t="n">
        <x:f>COUNTA(GPC_2026!B3:B26)</x:f>
        <x:v>24</x:v>
      </x:c>
      <x:c r="C7" s="79" t="n">
        <x:f>AVERAGE(GPC_2026!Q3:Q26)</x:f>
        <x:v>0.9479166666666666</x:v>
      </x:c>
      <x:c r="D7" s="77" t="n">
        <x:f>COUNTIF(GPC_2026!S3:S26,"Aprobado")</x:f>
        <x:v>24</x:v>
      </x:c>
      <x:c r="E7" s="77" t="n">
        <x:f>COUNTIF(GPC_2026!S3:S26,"Condicionado")</x:f>
        <x:v>0</x:v>
      </x:c>
      <x:c r="F7" s="77" t="n">
        <x:f>COUNTIF(GPC_2026!S3:S26,"No aprobado")</x:f>
        <x:v>0</x:v>
      </x:c>
      <x:c r="G7" s="77" t="n">
        <x:f>COUNTIF(GPC_2026!F3:F26,"Alto")</x:f>
        <x:v>6</x:v>
      </x:c>
      <x:c r="H7" s="108" t="n">
        <x:f>AVERAGE(GPC_2026!H3:H26)-AVERAGE(GPC_2026!G3:G26)</x:f>
        <x:v>150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6" hidden="0" customWidth="1"/>
    <x:col min="10" max="10" width="14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5" t="str">
        <x:v>Dashboard - Proveedores y Contratistas (Vigilancia y Seguridad Privada)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1" t="str">
        <x:v>Cumplimiento promedio 2026</x:v>
      </x:c>
      <x:c r="B3" s="142"/>
      <x:c r="C3" s="143"/>
      <x:c r="D3" s="141" t="str">
        <x:v>Proveedores 2026</x:v>
      </x:c>
      <x:c r="E3" s="142"/>
      <x:c r="F3" s="143"/>
      <x:c r="G3" s="141" t="str">
        <x:v>Aprobados 2026</x:v>
      </x:c>
      <x:c r="H3" s="142"/>
      <x:c r="I3" s="143"/>
      <x:c r="J3" s="141" t="str">
        <x:v>Proveedores riesgo alto 2026</x:v>
      </x:c>
      <x:c r="K3" s="142"/>
      <x:c r="L3" s="143"/>
    </x:row>
    <x:row r="4">
      <x:c r="A4" s="144"/>
      <x:c r="B4" s="145"/>
      <x:c r="C4" s="146"/>
      <x:c r="D4" s="144"/>
      <x:c r="E4" s="145"/>
      <x:c r="F4" s="146"/>
      <x:c r="G4" s="144"/>
      <x:c r="H4" s="145"/>
      <x:c r="I4" s="146"/>
      <x:c r="J4" s="144"/>
      <x:c r="K4" s="145"/>
      <x:c r="L4" s="146"/>
    </x:row>
    <x:row r="5">
      <x:c r="A5" s="217" t="n">
        <x:f>Resumen_Anual!C7</x:f>
        <x:v>0.9479166666666666</x:v>
      </x:c>
      <x:c r="B5" s="200"/>
      <x:c r="C5" s="201"/>
      <x:c r="D5" s="199" t="n">
        <x:f>Resumen_Anual!B7</x:f>
        <x:v>24</x:v>
      </x:c>
      <x:c r="E5" s="200"/>
      <x:c r="F5" s="201"/>
      <x:c r="G5" s="199" t="n">
        <x:f>Resumen_Anual!D7</x:f>
        <x:v>24</x:v>
      </x:c>
      <x:c r="H5" s="200"/>
      <x:c r="I5" s="201"/>
      <x:c r="J5" s="199" t="n">
        <x:f>Resumen_Anual!G7</x:f>
        <x:v>6</x:v>
      </x:c>
      <x:c r="K5" s="200"/>
      <x:c r="L5" s="201"/>
    </x:row>
    <x:row r="6">
      <x:c r="A6" s="196"/>
      <x:c r="B6" s="197"/>
      <x:c r="C6" s="198"/>
      <x:c r="D6" s="196"/>
      <x:c r="E6" s="197"/>
      <x:c r="F6" s="198"/>
      <x:c r="G6" s="196"/>
      <x:c r="H6" s="197"/>
      <x:c r="I6" s="198"/>
      <x:c r="J6" s="196"/>
      <x:c r="K6" s="197"/>
      <x:c r="L6" s="198"/>
    </x:row>
    <x:row r="8">
      <x:c r="A8" s="73" t="str">
        <x:v>Año</x:v>
      </x:c>
      <x:c r="B8" s="74" t="str">
        <x:v>N° proveedores</x:v>
      </x:c>
      <x:c r="C8" s="74" t="str">
        <x:v>Cumplimiento promedio</x:v>
      </x:c>
      <x:c r="D8" s="74" t="str">
        <x:v>Aprobados</x:v>
      </x:c>
      <x:c r="E8" s="74" t="str">
        <x:v>Condicionados</x:v>
      </x:c>
      <x:c r="F8" s="74" t="str">
        <x:v>No aprobados</x:v>
      </x:c>
      <x:c r="G8" s="74" t="str">
        <x:v>Riesgo alto</x:v>
      </x:c>
      <x:c r="H8" s="75" t="str">
        <x:v>Vigencia prom. días</x:v>
      </x:c>
      <x:c r="J8" s="73" t="str">
        <x:v>Riesgo</x:v>
      </x:c>
      <x:c r="K8" s="74" t="str">
        <x:v>2023</x:v>
      </x:c>
      <x:c r="L8" s="74" t="str">
        <x:v>2024</x:v>
      </x:c>
      <x:c r="M8" s="74" t="str">
        <x:v>2025</x:v>
      </x:c>
      <x:c r="N8" s="75" t="str">
        <x:v>2026</x:v>
      </x:c>
    </x:row>
    <x:row r="9">
      <x:c r="A9" s="37" t="n">
        <x:f>Resumen_Anual!A4</x:f>
        <x:v>2023</x:v>
      </x:c>
      <x:c r="B9" s="38" t="n">
        <x:f>Resumen_Anual!B4</x:f>
        <x:v>28</x:v>
      </x:c>
      <x:c r="C9" s="71" t="n">
        <x:f>Resumen_Anual!C4</x:f>
        <x:v>0.8638392857142857</x:v>
      </x:c>
      <x:c r="D9" s="38" t="n">
        <x:f>Resumen_Anual!D4</x:f>
        <x:v>16</x:v>
      </x:c>
      <x:c r="E9" s="38" t="n">
        <x:f>Resumen_Anual!E4</x:f>
        <x:v>8</x:v>
      </x:c>
      <x:c r="F9" s="38" t="n">
        <x:f>Resumen_Anual!F4</x:f>
        <x:v>4</x:v>
      </x:c>
      <x:c r="G9" s="38" t="n">
        <x:f>Resumen_Anual!G4</x:f>
        <x:v>6</x:v>
      </x:c>
      <x:c r="H9" s="39" t="n">
        <x:f>Resumen_Anual!H4</x:f>
        <x:v>165.78571428571013</x:v>
      </x:c>
      <x:c r="J9" s="37" t="str">
        <x:f>Resumen_Anual!J4</x:f>
        <x:v>Alto</x:v>
      </x:c>
      <x:c r="K9" s="38" t="n">
        <x:f>Resumen_Anual!K4</x:f>
        <x:v>6</x:v>
      </x:c>
      <x:c r="L9" s="38" t="n">
        <x:f>Resumen_Anual!L4</x:f>
        <x:v>6</x:v>
      </x:c>
      <x:c r="M9" s="38" t="n">
        <x:f>Resumen_Anual!M4</x:f>
        <x:v>6</x:v>
      </x:c>
      <x:c r="N9" s="39" t="n">
        <x:f>Resumen_Anual!N4</x:f>
        <x:v>6</x:v>
      </x:c>
    </x:row>
    <x:row r="10">
      <x:c r="A10" s="37" t="n">
        <x:f>Resumen_Anual!A5</x:f>
        <x:v>2024</x:v>
      </x:c>
      <x:c r="B10" s="38" t="n">
        <x:f>Resumen_Anual!B5</x:f>
        <x:v>28</x:v>
      </x:c>
      <x:c r="C10" s="71" t="n">
        <x:f>Resumen_Anual!C5</x:f>
        <x:v>0.9285714285714286</x:v>
      </x:c>
      <x:c r="D10" s="38" t="n">
        <x:f>Resumen_Anual!D5</x:f>
        <x:v>25</x:v>
      </x:c>
      <x:c r="E10" s="38" t="n">
        <x:f>Resumen_Anual!E5</x:f>
        <x:v>3</x:v>
      </x:c>
      <x:c r="F10" s="38" t="n">
        <x:f>Resumen_Anual!F5</x:f>
        <x:v>0</x:v>
      </x:c>
      <x:c r="G10" s="38" t="n">
        <x:f>Resumen_Anual!G5</x:f>
        <x:v>6</x:v>
      </x:c>
      <x:c r="H10" s="39" t="n">
        <x:f>Resumen_Anual!H5</x:f>
        <x:v>164.5714285714348</x:v>
      </x:c>
      <x:c r="J10" s="37" t="str">
        <x:f>Resumen_Anual!J5</x:f>
        <x:v>Medio</x:v>
      </x:c>
      <x:c r="K10" s="38" t="n">
        <x:f>Resumen_Anual!K5</x:f>
        <x:v>16</x:v>
      </x:c>
      <x:c r="L10" s="38" t="n">
        <x:f>Resumen_Anual!L5</x:f>
        <x:v>16</x:v>
      </x:c>
      <x:c r="M10" s="38" t="n">
        <x:f>Resumen_Anual!M5</x:f>
        <x:v>16</x:v>
      </x:c>
      <x:c r="N10" s="39" t="n">
        <x:f>Resumen_Anual!N5</x:f>
        <x:v>12</x:v>
      </x:c>
    </x:row>
    <x:row r="11">
      <x:c r="A11" s="37" t="n">
        <x:f>Resumen_Anual!A6</x:f>
        <x:v>2025</x:v>
      </x:c>
      <x:c r="B11" s="38" t="n">
        <x:f>Resumen_Anual!B6</x:f>
        <x:v>28</x:v>
      </x:c>
      <x:c r="C11" s="71" t="n">
        <x:f>Resumen_Anual!C6</x:f>
        <x:v>0.9375</x:v>
      </x:c>
      <x:c r="D11" s="38" t="n">
        <x:f>Resumen_Anual!D6</x:f>
        <x:v>25</x:v>
      </x:c>
      <x:c r="E11" s="38" t="n">
        <x:f>Resumen_Anual!E6</x:f>
        <x:v>3</x:v>
      </x:c>
      <x:c r="F11" s="38" t="n">
        <x:f>Resumen_Anual!F6</x:f>
        <x:v>0</x:v>
      </x:c>
      <x:c r="G11" s="38" t="n">
        <x:f>Resumen_Anual!G6</x:f>
        <x:v>6</x:v>
      </x:c>
      <x:c r="H11" s="39" t="n">
        <x:f>Resumen_Anual!H6</x:f>
        <x:v>171.2857142857174</x:v>
      </x:c>
      <x:c r="J11" s="76" t="str">
        <x:f>Resumen_Anual!J6</x:f>
        <x:v>Bajo</x:v>
      </x:c>
      <x:c r="K11" s="77" t="n">
        <x:f>Resumen_Anual!K6</x:f>
        <x:v>6</x:v>
      </x:c>
      <x:c r="L11" s="77" t="n">
        <x:f>Resumen_Anual!L6</x:f>
        <x:v>6</x:v>
      </x:c>
      <x:c r="M11" s="77" t="n">
        <x:f>Resumen_Anual!M6</x:f>
        <x:v>6</x:v>
      </x:c>
      <x:c r="N11" s="80" t="n">
        <x:f>Resumen_Anual!N6</x:f>
        <x:v>6</x:v>
      </x:c>
    </x:row>
    <x:row r="12">
      <x:c r="A12" s="76" t="n">
        <x:f>Resumen_Anual!A7</x:f>
        <x:v>2026</x:v>
      </x:c>
      <x:c r="B12" s="77" t="n">
        <x:f>Resumen_Anual!B7</x:f>
        <x:v>24</x:v>
      </x:c>
      <x:c r="C12" s="79" t="n">
        <x:f>Resumen_Anual!C7</x:f>
        <x:v>0.9479166666666666</x:v>
      </x:c>
      <x:c r="D12" s="77" t="n">
        <x:f>Resumen_Anual!D7</x:f>
        <x:v>24</x:v>
      </x:c>
      <x:c r="E12" s="77" t="n">
        <x:f>Resumen_Anual!E7</x:f>
        <x:v>0</x:v>
      </x:c>
      <x:c r="F12" s="77" t="n">
        <x:f>Resumen_Anual!F7</x:f>
        <x:v>0</x:v>
      </x:c>
      <x:c r="G12" s="77" t="n">
        <x:f>Resumen_Anual!G7</x:f>
        <x:v>6</x:v>
      </x:c>
      <x:c r="H12" s="80" t="n">
        <x:f>Resumen_Anual!H7</x:f>
        <x:v>150</x:v>
      </x:c>
    </x:row>
  </x:sheetData>
  <x:mergeCells>
    <x:mergeCell ref="A1:N1"/>
    <x:mergeCell ref="A3:C6"/>
    <x:mergeCell ref="D3:F6"/>
    <x:mergeCell ref="G3:I6"/>
    <x:mergeCell ref="J3:L6"/>
    <x:mergeCell ref="A5:C6"/>
    <x:mergeCell ref="D5:F6"/>
    <x:mergeCell ref="G5:I6"/>
    <x:mergeCell ref="J5:L6"/>
  </x:mergeCells>
  <x:conditionalFormatting sqref="C9:C12">
    <x:cfRule type="colorScale" priority="1">
      <x:colorScale>
        <x:cfvo type="min"/>
        <x:cfvo type="percentile" val="50"/>
        <x:cfvo type="max"/>
        <x:color rgb="F4CCCC"/>
        <x:color rgb="FFE599"/>
        <x:color rgb="D9EAD3"/>
      </x:colorScale>
    </x:cfRule>
  </x:conditionalFormatting>
  <x:pageMargins left="0.7" right="0.7" top="0.75" bottom="0.75" header="0.3" footer="0.3"/>
  <x:drawing xmlns:r="http://schemas.openxmlformats.org/officeDocument/2006/relationships" r:id="Re8d2a61348214a16"/>
</x:worksheet>
</file>