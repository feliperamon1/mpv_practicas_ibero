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b0398cb94b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vo_y_Supuestos" sheetId="1" r:id="R3513e3858d01420a"/>
    <x:sheet xmlns:r="http://schemas.openxmlformats.org/officeDocument/2006/relationships" name="Catalogos" sheetId="2" r:id="R2004d08d6cdd48e4"/>
    <x:sheet xmlns:r="http://schemas.openxmlformats.org/officeDocument/2006/relationships" name="Detalle_Presupuesto" sheetId="3" r:id="R2d963133e5c741c4"/>
    <x:sheet xmlns:r="http://schemas.openxmlformats.org/officeDocument/2006/relationships" name="Resumen_Anual" sheetId="4" r:id="R66c332d4a9344160"/>
    <x:sheet xmlns:r="http://schemas.openxmlformats.org/officeDocument/2006/relationships" name="Dashboard" sheetId="5" r:id="R27693685491044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&quot;$&quot;#,##0"/>
    <x:numFmt numFmtId="201" formatCode="yyyy-mm-dd"/>
    <x:numFmt numFmtId="202" formatCode="0.0%"/>
  </x:numFmts>
  <x:fonts count="6">
    <x:font>
      <x:sz val="11"/>
      <x:name val="Carlito"/>
    </x:font>
    <x:font>
      <x:b/>
      <x:sz val="14"/>
      <x:color rgb="FFFFFF"/>
      <x:name val="Carlito"/>
    </x:font>
    <x:font>
      <x:i/>
      <x:sz val="11"/>
      <x:color rgb="7C2D12"/>
      <x:name val="Carlito"/>
    </x:font>
    <x:font>
      <x:b/>
      <x:sz val="11"/>
      <x:color rgb="0F172A"/>
      <x:name val="Carlito"/>
    </x:font>
    <x:font>
      <x:b/>
      <x:sz val="11"/>
      <x:color rgb="FFFFFF"/>
      <x:name val="Carlito"/>
    </x:font>
    <x:font>
      <x:b/>
      <x:sz val="13"/>
      <x:color rgb="0F172A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EF3C7"/>
      </x:patternFill>
    </x:fill>
    <x:fill>
      <x:patternFill patternType="solid">
        <x:fgColor rgb="D9F2EC"/>
      </x:patternFill>
    </x:fill>
    <x:fill>
      <x:patternFill patternType="solid">
        <x:fgColor rgb="134E4A"/>
      </x:patternFill>
    </x:fill>
    <x:fill>
      <x:patternFill patternType="solid">
        <x:fgColor rgb="E2E8F0"/>
      </x:patternFill>
    </x:fill>
    <x:fill>
      <x:patternFill patternType="solid">
        <x:fgColor rgb="F8FAFC"/>
      </x:patternFill>
    </x:fill>
  </x:fills>
  <x:borders count="24">
    <x:border/>
    <x:border/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left style="thin">
        <x:color rgb="CBD5E1"/>
      </x:left>
      <x:top style="thin">
        <x:color rgb="CBD5E1"/>
      </x:top>
    </x:border>
    <x:border>
      <x:right style="thin">
        <x:color rgb="CBD5E1"/>
      </x:right>
      <x:top style="thin">
        <x:color rgb="CBD5E1"/>
      </x:top>
    </x:border>
    <x:border>
      <x:left style="thin">
        <x:color rgb="CBD5E1"/>
      </x:left>
    </x:border>
    <x:border>
      <x:right style="thin">
        <x:color rgb="CBD5E1"/>
      </x:right>
    </x:border>
    <x:border>
      <x:left style="thin">
        <x:color rgb="CBD5E1"/>
      </x:left>
      <x:bottom style="thin">
        <x:color rgb="CBD5E1"/>
      </x:bottom>
    </x:border>
    <x:border>
      <x:right style="thin">
        <x:color rgb="CBD5E1"/>
      </x:right>
      <x:bottom style="thin">
        <x:color rgb="CBD5E1"/>
      </x:bottom>
    </x:border>
    <x:border>
      <x:top style="thin">
        <x:color rgb="CBD5E1"/>
      </x:top>
    </x:border>
    <x:border>
      <x:bottom style="thin">
        <x:color rgb="CBD5E1"/>
      </x:bottom>
    </x:border>
    <x:border>
      <x:top style="thin">
        <x:color rgb="CBD5E1"/>
      </x:top>
    </x:border>
    <x:border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  <x:border>
      <x:left style="thin">
        <x:color rgb="CBD5E1"/>
      </x:left>
      <x:top style="thin">
        <x:color rgb="CBD5E1"/>
      </x:top>
      <x:bottom style="thin">
        <x:color rgb="CBD5E1"/>
      </x:bottom>
    </x:border>
    <x:border>
      <x:top style="thin">
        <x:color rgb="CBD5E1"/>
      </x:top>
      <x:bottom style="thin">
        <x:color rgb="CBD5E1"/>
      </x:bottom>
    </x:border>
    <x:border>
      <x:right style="thin">
        <x:color rgb="CBD5E1"/>
      </x:right>
      <x:top style="thin">
        <x:color rgb="CBD5E1"/>
      </x:top>
      <x:bottom style="thin">
        <x:color rgb="CBD5E1"/>
      </x:bottom>
    </x:border>
  </x:borders>
  <x:cellStyleXfs count="1">
    <x:xf numFmtId="0" fontId="0" fillId="0" borderId="0"/>
  </x:cellStyleXfs>
  <x:cellXfs count="1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4" fillId="5" borderId="16" xfId="0" applyNumberFormat="1" applyFont="1" applyFill="1" applyBorder="1" applyAlignment="1">
      <x:alignment horizontal="center" vertical="center" wrapText="1"/>
    </x:xf>
    <x:xf numFmtId="0" fontId="0" fillId="0" borderId="17" xfId="0" applyNumberFormat="1" applyFont="1" applyFill="1" applyBorder="1"/>
    <x:xf numFmtId="200" fontId="0" fillId="0" borderId="0" xfId="0" applyNumberFormat="1" applyFont="1" applyFill="1" applyBorder="1"/>
    <x:xf numFmtId="200" fontId="0" fillId="0" borderId="15" xfId="0" applyNumberFormat="1" applyFont="1" applyFill="1" applyBorder="1"/>
    <x:xf numFmtId="200" fontId="0" fillId="0" borderId="1" xfId="0" applyNumberFormat="1" applyFont="1" applyFill="1" applyBorder="1"/>
    <x:xf numFmtId="20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200" fontId="0" fillId="0" borderId="17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5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17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202" fontId="0" fillId="0" borderId="17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horizontal="right" wrapText="1"/>
    </x:xf>
    <x:xf numFmtId="200" fontId="0" fillId="0" borderId="15" xfId="0" applyNumberFormat="1" applyFont="1" applyFill="1" applyBorder="1" applyAlignment="1">
      <x:alignment horizontal="right" wrapText="1"/>
    </x:xf>
    <x:xf numFmtId="200" fontId="0" fillId="0" borderId="1" xfId="0" applyNumberFormat="1" applyFont="1" applyFill="1" applyBorder="1" applyAlignment="1">
      <x:alignment horizontal="right" wrapText="1"/>
    </x:xf>
    <x:xf numFmtId="200" fontId="0" fillId="0" borderId="17" xfId="0" applyNumberFormat="1" applyFont="1" applyFill="1" applyBorder="1" applyAlignment="1">
      <x:alignment horizontal="right" wrapText="1"/>
    </x:xf>
    <x:xf numFmtId="202" fontId="0" fillId="0" borderId="5" xfId="0" applyNumberFormat="1" applyFont="1" applyFill="1" applyBorder="1" applyAlignment="1">
      <x:alignment wrapText="1"/>
    </x:xf>
    <x:xf numFmtId="202" fontId="0" fillId="0" borderId="7" xfId="0" applyNumberFormat="1" applyFont="1" applyFill="1" applyBorder="1" applyAlignment="1">
      <x:alignment wrapText="1"/>
    </x:xf>
    <x:xf numFmtId="202" fontId="0" fillId="0" borderId="11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center"/>
    </x:xf>
    <x:xf numFmtId="0" fontId="3" fillId="6" borderId="0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3" fillId="6" borderId="1" xfId="0" applyNumberFormat="1" applyFont="1" applyFill="1" applyBorder="1" applyAlignment="1">
      <x:alignment horizontal="center"/>
    </x:xf>
    <x:xf numFmtId="0" fontId="3" fillId="6" borderId="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horizontal="center" vertical="center"/>
    </x:xf>
    <x:xf numFmtId="0" fontId="0" fillId="7" borderId="1" xfId="0" applyNumberFormat="1" applyFont="1" applyFill="1" applyBorder="1"/>
    <x:xf numFmtId="0" fontId="5" fillId="7" borderId="1" xfId="0" applyNumberFormat="1" applyFont="1" applyFill="1" applyBorder="1"/>
    <x:xf numFmtId="0" fontId="5" fillId="7" borderId="1" xfId="0" applyNumberFormat="1" applyFont="1" applyFill="1" applyBorder="1" applyAlignment="1">
      <x:alignment horizontal="center"/>
    </x:xf>
    <x:xf numFmtId="0" fontId="5" fillId="7" borderId="1" xfId="0" applyNumberFormat="1" applyFont="1" applyFill="1" applyBorder="1" applyAlignment="1">
      <x:alignment horizontal="center" vertical="center"/>
    </x:xf>
    <x:xf numFmtId="200" fontId="5" fillId="7" borderId="0" xfId="0" applyNumberFormat="1" applyFont="1" applyFill="1" applyBorder="1" applyAlignment="1">
      <x:alignment horizontal="center" vertical="center"/>
    </x:xf>
    <x:xf numFmtId="200" fontId="5" fillId="7" borderId="1" xfId="0" applyNumberFormat="1" applyFont="1" applyFill="1" applyBorder="1" applyAlignment="1">
      <x:alignment horizontal="center" vertical="center"/>
    </x:xf>
    <x:xf numFmtId="0" fontId="3" fillId="6" borderId="18" xfId="0" applyNumberFormat="1" applyFont="1" applyFill="1" applyBorder="1" applyAlignment="1">
      <x:alignment horizontal="center" vertical="center"/>
    </x:xf>
    <x:xf numFmtId="0" fontId="3" fillId="6" borderId="19" xfId="0" applyNumberFormat="1" applyFont="1" applyFill="1" applyBorder="1" applyAlignment="1">
      <x:alignment horizontal="center" vertical="center"/>
    </x:xf>
    <x:xf numFmtId="0" fontId="3" fillId="6" borderId="20" xfId="0" applyNumberFormat="1" applyFont="1" applyFill="1" applyBorder="1" applyAlignment="1">
      <x:alignment horizontal="center" vertical="center"/>
    </x:xf>
    <x:xf numFmtId="0" fontId="3" fillId="6" borderId="21" xfId="0" applyNumberFormat="1" applyFont="1" applyFill="1" applyBorder="1" applyAlignment="1">
      <x:alignment horizontal="center" vertical="center"/>
    </x:xf>
    <x:xf numFmtId="0" fontId="3" fillId="6" borderId="22" xfId="0" applyNumberFormat="1" applyFont="1" applyFill="1" applyBorder="1" applyAlignment="1">
      <x:alignment horizontal="center" vertical="center"/>
    </x:xf>
    <x:xf numFmtId="0" fontId="3" fillId="6" borderId="23" xfId="0" applyNumberFormat="1" applyFont="1" applyFill="1" applyBorder="1" applyAlignment="1">
      <x:alignment horizontal="center" vertical="center"/>
    </x:xf>
    <x:xf numFmtId="200" fontId="5" fillId="7" borderId="2" xfId="0" applyNumberFormat="1" applyFont="1" applyFill="1" applyBorder="1" applyAlignment="1">
      <x:alignment horizontal="center" vertical="center"/>
    </x:xf>
    <x:xf numFmtId="200" fontId="5" fillId="7" borderId="14" xfId="0" applyNumberFormat="1" applyFont="1" applyFill="1" applyBorder="1" applyAlignment="1">
      <x:alignment horizontal="center" vertical="center"/>
    </x:xf>
    <x:xf numFmtId="200" fontId="5" fillId="7" borderId="3" xfId="0" applyNumberFormat="1" applyFont="1" applyFill="1" applyBorder="1" applyAlignment="1">
      <x:alignment horizontal="center" vertical="center"/>
    </x:xf>
    <x:xf numFmtId="200" fontId="5" fillId="7" borderId="6" xfId="0" applyNumberFormat="1" applyFont="1" applyFill="1" applyBorder="1" applyAlignment="1">
      <x:alignment horizontal="center" vertical="center"/>
    </x:xf>
    <x:xf numFmtId="200" fontId="5" fillId="7" borderId="15" xfId="0" applyNumberFormat="1" applyFont="1" applyFill="1" applyBorder="1" applyAlignment="1">
      <x:alignment horizontal="center" vertical="center"/>
    </x:xf>
    <x:xf numFmtId="200" fontId="5" fillId="7" borderId="7" xfId="0" applyNumberFormat="1" applyFont="1" applyFill="1" applyBorder="1" applyAlignment="1">
      <x:alignment horizontal="center" vertical="center"/>
    </x:xf>
    <x:xf numFmtId="200" fontId="5" fillId="7" borderId="8" xfId="0" applyNumberFormat="1" applyFont="1" applyFill="1" applyBorder="1" applyAlignment="1">
      <x:alignment horizontal="center" vertical="center"/>
    </x:xf>
    <x:xf numFmtId="200" fontId="5" fillId="7" borderId="16" xfId="0" applyNumberFormat="1" applyFont="1" applyFill="1" applyBorder="1" applyAlignment="1">
      <x:alignment horizontal="center" vertical="center"/>
    </x:xf>
    <x:xf numFmtId="200" fontId="5" fillId="7" borderId="9" xfId="0" applyNumberFormat="1" applyFont="1" applyFill="1" applyBorder="1" applyAlignment="1">
      <x:alignment horizontal="center" vertical="center"/>
    </x:xf>
    <x:xf numFmtId="200" fontId="5" fillId="7" borderId="12" xfId="0" applyNumberFormat="1" applyFont="1" applyFill="1" applyBorder="1" applyAlignment="1">
      <x:alignment horizontal="center" vertical="center"/>
    </x:xf>
    <x:xf numFmtId="200" fontId="5" fillId="7" borderId="17" xfId="0" applyNumberFormat="1" applyFont="1" applyFill="1" applyBorder="1" applyAlignment="1">
      <x:alignment horizontal="center" vertical="center"/>
    </x:xf>
    <x:xf numFmtId="200" fontId="5" fillId="7" borderId="13" xfId="0" applyNumberFormat="1" applyFont="1" applyFill="1" applyBorder="1" applyAlignment="1">
      <x:alignment horizontal="center" vertical="center"/>
    </x:xf>
    <x:xf numFmtId="202" fontId="5" fillId="7" borderId="0" xfId="0" applyNumberFormat="1" applyFont="1" applyFill="1" applyBorder="1" applyAlignment="1">
      <x:alignment horizontal="center" vertical="center"/>
    </x:xf>
    <x:xf numFmtId="202" fontId="5" fillId="7" borderId="1" xfId="0" applyNumberFormat="1" applyFont="1" applyFill="1" applyBorder="1" applyAlignment="1">
      <x:alignment horizontal="center" vertical="center"/>
    </x:xf>
    <x:xf numFmtId="0" fontId="3" fillId="6" borderId="2" xfId="0" applyNumberFormat="1" applyFont="1" applyFill="1" applyBorder="1" applyAlignment="1">
      <x:alignment horizontal="center" vertical="center"/>
    </x:xf>
    <x:xf numFmtId="0" fontId="3" fillId="6" borderId="14" xfId="0" applyNumberFormat="1" applyFont="1" applyFill="1" applyBorder="1" applyAlignment="1">
      <x:alignment horizontal="center" vertical="center"/>
    </x:xf>
    <x:xf numFmtId="0" fontId="3" fillId="6" borderId="3" xfId="0" applyNumberFormat="1" applyFont="1" applyFill="1" applyBorder="1" applyAlignment="1">
      <x:alignment horizontal="center" vertical="center"/>
    </x:xf>
    <x:xf numFmtId="202" fontId="5" fillId="7" borderId="4" xfId="0" applyNumberFormat="1" applyFont="1" applyFill="1" applyBorder="1" applyAlignment="1">
      <x:alignment horizontal="center" vertical="center"/>
    </x:xf>
    <x:xf numFmtId="202" fontId="5" fillId="7" borderId="5" xfId="0" applyNumberFormat="1" applyFont="1" applyFill="1" applyBorder="1" applyAlignment="1">
      <x:alignment horizontal="center" vertical="center"/>
    </x:xf>
    <x:xf numFmtId="202" fontId="5" fillId="7" borderId="6" xfId="0" applyNumberFormat="1" applyFont="1" applyFill="1" applyBorder="1" applyAlignment="1">
      <x:alignment horizontal="center" vertical="center"/>
    </x:xf>
    <x:xf numFmtId="202" fontId="5" fillId="7" borderId="15" xfId="0" applyNumberFormat="1" applyFont="1" applyFill="1" applyBorder="1" applyAlignment="1">
      <x:alignment horizontal="center" vertical="center"/>
    </x:xf>
    <x:xf numFmtId="202" fontId="5" fillId="7" borderId="7" xfId="0" applyNumberFormat="1" applyFont="1" applyFill="1" applyBorder="1" applyAlignment="1">
      <x:alignment horizontal="center" vertical="center"/>
    </x:xf>
    <x:xf numFmtId="0" fontId="3" fillId="6" borderId="8" xfId="0" applyNumberFormat="1" applyFont="1" applyFill="1" applyBorder="1" applyAlignment="1">
      <x:alignment horizontal="center" vertical="center"/>
    </x:xf>
    <x:xf numFmtId="0" fontId="3" fillId="6" borderId="16" xfId="0" applyNumberFormat="1" applyFont="1" applyFill="1" applyBorder="1" applyAlignment="1">
      <x:alignment horizontal="center" vertical="center"/>
    </x:xf>
    <x:xf numFmtId="0" fontId="3" fillId="6" borderId="9" xfId="0" applyNumberFormat="1" applyFont="1" applyFill="1" applyBorder="1" applyAlignment="1">
      <x:alignment horizontal="center" vertical="center"/>
    </x:xf>
    <x:xf numFmtId="202" fontId="5" fillId="7" borderId="10" xfId="0" applyNumberFormat="1" applyFont="1" applyFill="1" applyBorder="1" applyAlignment="1">
      <x:alignment horizontal="center" vertical="center"/>
    </x:xf>
    <x:xf numFmtId="202" fontId="5" fillId="7" borderId="11" xfId="0" applyNumberFormat="1" applyFont="1" applyFill="1" applyBorder="1" applyAlignment="1">
      <x:alignment horizontal="center" vertical="center"/>
    </x:xf>
    <x:xf numFmtId="202" fontId="5" fillId="7" borderId="12" xfId="0" applyNumberFormat="1" applyFont="1" applyFill="1" applyBorder="1" applyAlignment="1">
      <x:alignment horizontal="center" vertical="center"/>
    </x:xf>
    <x:xf numFmtId="202" fontId="5" fillId="7" borderId="17" xfId="0" applyNumberFormat="1" applyFont="1" applyFill="1" applyBorder="1" applyAlignment="1">
      <x:alignment horizontal="center" vertical="center"/>
    </x:xf>
    <x:xf numFmtId="202" fontId="5" fillId="7" borderId="13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14" xfId="0" applyNumberFormat="1" applyFont="1" applyFill="1" applyBorder="1"/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16" xfId="0" applyNumberFormat="1" applyFont="1" applyFill="1" applyBorder="1"/>
    <x:xf numFmtId="0" fontId="0" fillId="0" borderId="9" xfId="0" applyNumberFormat="1" applyFont="1" applyFill="1" applyBorder="1"/>
    <x:xf numFmtId="0" fontId="0" fillId="5" borderId="2" xfId="0" applyNumberFormat="1" applyFont="1" applyFill="1" applyBorder="1"/>
    <x:xf numFmtId="0" fontId="0" fillId="5" borderId="14" xfId="0" applyNumberFormat="1" applyFont="1" applyFill="1" applyBorder="1"/>
    <x:xf numFmtId="0" fontId="0" fillId="5" borderId="3" xfId="0" applyNumberFormat="1" applyFont="1" applyFill="1" applyBorder="1"/>
    <x:xf numFmtId="0" fontId="4" fillId="5" borderId="2" xfId="0" applyNumberFormat="1" applyFont="1" applyFill="1" applyBorder="1"/>
    <x:xf numFmtId="0" fontId="4" fillId="5" borderId="14" xfId="0" applyNumberFormat="1" applyFont="1" applyFill="1" applyBorder="1"/>
    <x:xf numFmtId="0" fontId="4" fillId="5" borderId="3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14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horizontal="center" wrapText="1"/>
    </x:xf>
    <x:xf numFmtId="0" fontId="4" fillId="5" borderId="14" xfId="0" applyNumberFormat="1" applyFont="1" applyFill="1" applyBorder="1" applyAlignment="1">
      <x:alignment horizontal="center" wrapText="1"/>
    </x:xf>
    <x:xf numFmtId="0" fontId="4" fillId="5" borderId="3" xfId="0" applyNumberFormat="1" applyFont="1" applyFill="1" applyBorder="1" applyAlignment="1">
      <x:alignment horizontal="center" wrapText="1"/>
    </x:xf>
    <x:xf numFmtId="0" fontId="0" fillId="5" borderId="8" xfId="0" applyNumberFormat="1" applyFont="1" applyFill="1" applyBorder="1"/>
    <x:xf numFmtId="0" fontId="0" fillId="5" borderId="16" xfId="0" applyNumberFormat="1" applyFont="1" applyFill="1" applyBorder="1"/>
    <x:xf numFmtId="0" fontId="0" fillId="5" borderId="9" xfId="0" applyNumberFormat="1" applyFont="1" applyFill="1" applyBorder="1"/>
    <x:xf numFmtId="0" fontId="4" fillId="5" borderId="8" xfId="0" applyNumberFormat="1" applyFont="1" applyFill="1" applyBorder="1"/>
    <x:xf numFmtId="0" fontId="4" fillId="5" borderId="16" xfId="0" applyNumberFormat="1" applyFont="1" applyFill="1" applyBorder="1"/>
    <x:xf numFmtId="0" fontId="4" fillId="5" borderId="9" xfId="0" applyNumberFormat="1" applyFont="1" applyFill="1" applyBorder="1"/>
    <x:xf numFmtId="0" fontId="4" fillId="5" borderId="8" xfId="0" applyNumberFormat="1" applyFont="1" applyFill="1" applyBorder="1" applyAlignment="1">
      <x:alignment wrapText="1"/>
    </x:xf>
    <x:xf numFmtId="0" fontId="4" fillId="5" borderId="16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horizontal="center" wrapText="1"/>
    </x:xf>
    <x:xf numFmtId="0" fontId="4" fillId="5" borderId="16" xfId="0" applyNumberFormat="1" applyFont="1" applyFill="1" applyBorder="1" applyAlignment="1">
      <x:alignment horizontal="center" wrapText="1"/>
    </x:xf>
    <x:xf numFmtId="0" fontId="4" fillId="5" borderId="9" xfId="0" applyNumberFormat="1" applyFont="1" applyFill="1" applyBorder="1" applyAlignment="1">
      <x:alignment horizontal="center" wrapText="1"/>
    </x:xf>
    <x:xf numFmtId="202" fontId="0" fillId="0" borderId="5" xfId="0" applyNumberFormat="1" applyFont="1" applyFill="1" applyBorder="1"/>
    <x:xf numFmtId="202" fontId="0" fillId="0" borderId="7" xfId="0" applyNumberFormat="1" applyFont="1" applyFill="1" applyBorder="1"/>
    <x:xf numFmtId="202" fontId="0" fillId="0" borderId="11" xfId="0" applyNumberFormat="1" applyFont="1" applyFill="1" applyBorder="1"/>
    <x:xf numFmtId="202" fontId="0" fillId="0" borderId="13" xfId="0" applyNumberFormat="1" applyFont="1" applyFill="1" applyBorder="1"/>
    <x:xf numFmtId="200" fontId="0" fillId="0" borderId="5" xfId="0" applyNumberFormat="1" applyFont="1" applyFill="1" applyBorder="1"/>
    <x:xf numFmtId="200" fontId="0" fillId="0" borderId="7" xfId="0" applyNumberFormat="1" applyFont="1" applyFill="1" applyBorder="1"/>
    <x:xf numFmtId="200" fontId="0" fillId="0" borderId="11" xfId="0" applyNumberFormat="1" applyFont="1" applyFill="1" applyBorder="1"/>
    <x:xf numFmtId="200" fontId="0" fillId="0" borderId="13" xfId="0" applyNumberFormat="1" applyFont="1" applyFill="1" applyBorder="1"/>
    <x:xf numFmtId="200" fontId="0" fillId="0" borderId="5" xfId="0" applyNumberFormat="1" applyFont="1" applyFill="1" applyBorder="1" applyAlignment="1">
      <x:alignment wrapText="1"/>
    </x:xf>
    <x:xf numFmtId="200" fontId="0" fillId="0" borderId="7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B91C1C"/>
      </x:font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db846ed5d54e68" /><Relationship Type="http://schemas.openxmlformats.org/officeDocument/2006/relationships/theme" Target="/xl/theme/theme1.xml" Id="R48b9351f08ab464f" /><Relationship Type="http://schemas.openxmlformats.org/officeDocument/2006/relationships/sharedStrings" Target="/xl/sharedStrings.xml" Id="R9027c30fcb0049d8" /><Relationship Type="http://schemas.openxmlformats.org/officeDocument/2006/relationships/worksheet" Target="/xl/worksheets/sheet1.xml" Id="R3513e3858d01420a" /><Relationship Type="http://schemas.openxmlformats.org/officeDocument/2006/relationships/worksheet" Target="/xl/worksheets/sheet2.xml" Id="R2004d08d6cdd48e4" /><Relationship Type="http://schemas.openxmlformats.org/officeDocument/2006/relationships/worksheet" Target="/xl/worksheets/sheet3.xml" Id="R2d963133e5c741c4" /><Relationship Type="http://schemas.openxmlformats.org/officeDocument/2006/relationships/worksheet" Target="/xl/worksheets/sheet4.xml" Id="R66c332d4a9344160" /><Relationship Type="http://schemas.openxmlformats.org/officeDocument/2006/relationships/worksheet" Target="/xl/worksheets/sheet5.xml" Id="R27693685491044d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efe9717f8bc4f0d" /><Relationship Type="http://schemas.openxmlformats.org/officeDocument/2006/relationships/chart" Target="/xl/drawings/charts/chart2.xml" Id="Rda03819af14b419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Planeado vs Ejecutado por año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Planeado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'Dashboard'!$B$15:$B$18</c:f>
              <c:numCache>
                <c:formatCode>"$"#,##0</c:formatCode>
                <c:ptCount val="0"/>
              </c:numCache>
            </c:numRef>
          </c:val>
        </c:ser>
        <c:ser>
          <c:idx val="1"/>
          <c:order val="1"/>
          <c:tx>
            <c:v>Ejecutado</c:v>
          </c:tx>
          <c:cat>
            <c:strRef>
              <c:f>'Dashboard'!$A$15:$A$18</c:f>
              <c:strCache>
                <c:ptCount val="0"/>
              </c:strCache>
            </c:strRef>
          </c:cat>
          <c:val>
            <c:numRef>
              <c:f>'Dashboard'!$C$15:$C$18</c:f>
              <c:numCache>
                <c:formatCode>"$"#,##0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Planeado vs Ejecutado 2026</a:t>
            </a:r>
          </a:p>
        </c:rich>
      </c:tx>
      <c:overlay val="0"/>
    </c:title>
    <c:autoTitleDeleted val="0"/>
    <c:plotArea>
      <c:layout/>
      <c:lineChart>
        <c:ser>
          <c:idx val="0"/>
          <c:order val="0"/>
          <c:tx>
            <c:v>Planeado</c:v>
          </c:tx>
          <c:cat>
            <c:strRef>
              <c:f>'Dashboard'!$A$23:$A$34</c:f>
              <c:strCache>
                <c:ptCount val="0"/>
              </c:strCache>
            </c:strRef>
          </c:cat>
          <c:val>
            <c:numRef>
              <c:f>'Dashboard'!$B$23:$B$34</c:f>
              <c:numCache>
                <c:formatCode>"$"#,##0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Ejecutado</c:v>
          </c:tx>
          <c:cat>
            <c:strRef>
              <c:f>'Dashboard'!$A$23:$A$34</c:f>
              <c:strCache>
                <c:ptCount val="0"/>
              </c:strCache>
            </c:strRef>
          </c:cat>
          <c:val>
            <c:numRef>
              <c:f>'Dashboard'!$C$23:$C$34</c:f>
              <c:numCache>
                <c:formatCode>"$"#,##0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12</xdr:row>
      <xdr:rowOff>0</xdr:rowOff>
    </xdr:from>
    <xdr:to>
      <xdr:col>14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efe9717f8bc4f0d"/>
        </a:graphicData>
      </a:graphic>
    </xdr:graphicFrame>
    <xdr:clientData/>
  </xdr:twoCellAnchor>
  <xdr:twoCellAnchor>
    <xdr:from>
      <xdr:col>9</xdr:col>
      <xdr:colOff>0</xdr:colOff>
      <xdr:row>20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03819af14b419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DetallePresupuestoSST" displayName="DetallePresupuestoSST" ref="A4:W432" headerRowCount="1">
  <x:tableColumns count="23">
    <x:tableColumn id="1" name="Año"/>
    <x:tableColumn id="2" name="Mes N°"/>
    <x:tableColumn id="3" name="Mes"/>
    <x:tableColumn id="4" name="Trimestre"/>
    <x:tableColumn id="5" name="Fecha programada"/>
    <x:tableColumn id="6" name="Componente SG-SST"/>
    <x:tableColumn id="7" name="Programa"/>
    <x:tableColumn id="8" name="Actividad SST"/>
    <x:tableColumn id="9" name="Tipo de gasto"/>
    <x:tableColumn id="10" name="Prioridad"/>
    <x:tableColumn id="11" name="Periodicidad"/>
    <x:tableColumn id="12" name="Unidad de medida"/>
    <x:tableColumn id="13" name="Meta anual"/>
    <x:tableColumn id="14" name="Responsable"/>
    <x:tableColumn id="15" name="Fuente financiación"/>
    <x:tableColumn id="16" name="Soporte esperado"/>
    <x:tableColumn id="17" name="Valor presupuestado"/>
    <x:tableColumn id="18" name="Valor ejecutado"/>
    <x:tableColumn id="19" name="Variación"/>
    <x:tableColumn id="20" name="% Ejecución"/>
    <x:tableColumn id="21" name="Estado"/>
    <x:tableColumn id="22" name="Observaciones"/>
    <x:tableColumn id="23" name="Corte"/>
  </x:tableColumns>
  <x:tableStyleInfo name="TableStyleMedium2" showRowStripes="1"/>
</x:table>
</file>

<file path=xl/tables/table2.xml><?xml version="1.0" encoding="utf-8"?>
<x:table xmlns:x="http://schemas.openxmlformats.org/spreadsheetml/2006/main" id="2" name="ResumenComponentesSST" displayName="ResumenComponentesSST" ref="A12:F44" headerRowCount="1">
  <x:tableColumns count="6">
    <x:tableColumn id="1" name="Año"/>
    <x:tableColumn id="2" name="Componente SG-SST"/>
    <x:tableColumn id="3" name="Presupuesto planeado"/>
    <x:tableColumn id="4" name="Ejecución registrada"/>
    <x:tableColumn id="5" name="Variación"/>
    <x:tableColumn id="6" name="% ejecución"/>
  </x:tableColumns>
  <x:tableStyleInfo name="TableStyleMedium2" showRowStripes="1"/>
</x:table>
</file>

<file path=xl/tables/table3.xml><?xml version="1.0" encoding="utf-8"?>
<x:table xmlns:x="http://schemas.openxmlformats.org/spreadsheetml/2006/main" id="3" name="ResumenMensual2026" displayName="ResumenMensual2026" ref="H12:L24" headerRowCount="1">
  <x:tableColumns count="5">
    <x:tableColumn id="1" name="Mes"/>
    <x:tableColumn id="2" name="Presupuesto 2026"/>
    <x:tableColumn id="3" name="Ejecución 2026"/>
    <x:tableColumn id="4" name="Variación"/>
    <x:tableColumn id="5" name="% ejecució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cd591e99087d43d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f259bcd7acc748d9" /><Relationship Type="http://schemas.openxmlformats.org/officeDocument/2006/relationships/table" Target="/xl/tables/table3.xml" Id="Rbf51ae499d00474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26f333c63ce64609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18" hidden="0" customWidth="1"/>
    <x:col min="4" max="4" width="18" hidden="0" customWidth="1"/>
    <x:col min="5" max="5" width="28" hidden="0" customWidth="1"/>
    <x:col min="6" max="6" width="44" hidden="0" customWidth="1"/>
    <x:col min="7" max="7" width="16" hidden="0" customWidth="1"/>
    <x:col min="8" max="8" width="16" hidden="0" customWidth="1"/>
  </x:cols>
  <x:sheetData>
    <x:row r="1" ht="24" customHeight="1">
      <x:c r="A1" s="5" t="str">
        <x:v>Formato Asignación de Recursos (Presupuesto SST) — Data simulada 2023-2026</x:v>
      </x:c>
      <x:c r="B1" s="5"/>
      <x:c r="C1" s="5"/>
      <x:c r="D1" s="5"/>
      <x:c r="E1" s="5"/>
      <x:c r="F1" s="5"/>
      <x:c r="G1" s="5"/>
      <x:c r="H1" s="5"/>
    </x:row>
    <x:row r="2" ht="18" customHeight="1">
      <x:c r="A2" s="12" t="str">
        <x:v>Libro diseñado para planeación, seguimiento y análisis del presupuesto del SG-SST. Incluye base simulada detallada por mes y actividad, resumen anual, tablero ejecutivo y supuestos de crecimiento por IPC.</x:v>
      </x:c>
      <x:c r="B2" s="12"/>
      <x:c r="C2" s="12"/>
      <x:c r="D2" s="12"/>
      <x:c r="E2" s="12"/>
      <x:c r="F2" s="12"/>
      <x:c r="G2" s="12"/>
      <x:c r="H2" s="12"/>
    </x:row>
    <x:row r="3" ht="18" customHeight="1"/>
    <x:row r="4" ht="18" customHeight="1">
      <x:c r="A4" s="19" t="str">
        <x:v>1. Instrucciones de uso</x:v>
      </x:c>
      <x:c r="B4" s="19"/>
      <x:c r="C4" s="19"/>
      <x:c r="D4" s="19"/>
      <x:c r="E4" s="19"/>
      <x:c r="F4" s="19"/>
      <x:c r="G4" s="19"/>
      <x:c r="H4" s="19"/>
    </x:row>
    <x:row r="5" ht="18" customHeight="1">
      <x:c r="A5" s="34" t="str">
        <x:v>Paso</x:v>
      </x:c>
      <x:c r="B5" s="35" t="str">
        <x:v>Descripción</x:v>
      </x:c>
    </x:row>
    <x:row r="6" ht="18" customHeight="1">
      <x:c r="A6" s="46" t="str">
        <x:v>1</x:v>
      </x:c>
      <x:c r="B6" s="47" t="str">
        <x:v>Registre o ajuste actividades, metas y responsables en la hoja Detalle_Presupuesto.</x:v>
      </x:c>
    </x:row>
    <x:row r="7" ht="18" customHeight="1">
      <x:c r="A7" s="46" t="str">
        <x:v>2</x:v>
      </x:c>
      <x:c r="B7" s="47" t="str">
        <x:v>Mantenga el valor presupuestado mensual por actividad; el resumen anual y el dashboard se actualizan automáticamente.</x:v>
      </x:c>
    </x:row>
    <x:row r="8" ht="18" customHeight="1">
      <x:c r="A8" s="46" t="str">
        <x:v>3</x:v>
      </x:c>
      <x:c r="B8" s="47" t="str">
        <x:v>Use la columna 'Estado' para identificar ejecución, parcialidad o programación futura.</x:v>
      </x:c>
    </x:row>
    <x:row r="9" ht="18" customHeight="1">
      <x:c r="A9" s="46" t="str">
        <x:v>4</x:v>
      </x:c>
      <x:c r="B9" s="47" t="str">
        <x:v>La vigencia 2026 está modelada con planeación anual y ejecución registrada solo a corte de mayo.</x:v>
      </x:c>
    </x:row>
    <x:row r="10" ht="18" customHeight="1">
      <x:c r="A10" s="48" t="str">
        <x:v>5</x:v>
      </x:c>
      <x:c r="B10" s="49" t="str">
        <x:v>Las fuentes del IPC usadas para crecimiento presupuestal están documentadas en esta hoja con URL oficial.</x:v>
      </x:c>
    </x:row>
    <x:row r="11" ht="18" customHeight="1"/>
    <x:row r="12" ht="18" customHeight="1">
      <x:c r="A12" s="19" t="str">
        <x:v>2. Supuestos de presupuesto e IPC</x:v>
      </x:c>
      <x:c r="B12" s="19"/>
      <x:c r="C12" s="19"/>
      <x:c r="D12" s="19"/>
      <x:c r="E12" s="19"/>
      <x:c r="F12" s="19"/>
      <x:c r="G12" s="19"/>
      <x:c r="H12" s="19"/>
    </x:row>
    <x:row r="13" ht="18" customHeight="1">
      <x:c r="A13" s="34" t="str">
        <x:v>Año</x:v>
      </x:c>
      <x:c r="B13" s="54" t="str">
        <x:v>Base de cálculo</x:v>
      </x:c>
      <x:c r="C13" s="54" t="str">
        <x:v>IPC aplicado</x:v>
      </x:c>
      <x:c r="D13" s="54" t="str">
        <x:v>Presupuesto planeado</x:v>
      </x:c>
      <x:c r="E13" s="54" t="str">
        <x:v>Observación</x:v>
      </x:c>
      <x:c r="F13" s="35" t="str">
        <x:v>Fuente / URL</x:v>
      </x:c>
    </x:row>
    <x:row r="14" ht="18" customHeight="1">
      <x:c r="A14" s="46" t="n">
        <x:v>2023</x:v>
      </x:c>
      <x:c r="B14" s="63" t="str">
        <x:v>Valor base definido para la simulación</x:v>
      </x:c>
      <x:c r="C14" s="63" t="str">
        <x:v>No aplica</x:v>
      </x:c>
      <x:c r="D14" s="64" t="n">
        <x:v>48500000</x:v>
      </x:c>
      <x:c r="E14" s="63" t="str">
        <x:v>Presupuesto anual entre 45 y 50 millones.</x:v>
      </x:c>
      <x:c r="F14" s="47" t="str">
        <x:v>https://www.dane.gov.co/files/operaciones/IPC/cp-IPC-dic2023.pdf</x:v>
      </x:c>
    </x:row>
    <x:row r="15" ht="18" customHeight="1">
      <x:c r="A15" s="46" t="n">
        <x:v>2024</x:v>
      </x:c>
      <x:c r="B15" s="63" t="str">
        <x:v>Presupuesto 2023</x:v>
      </x:c>
      <x:c r="C15" s="63" t="str">
        <x:v>9,28%</x:v>
      </x:c>
      <x:c r="D15" s="64" t="n">
        <x:v>53000800</x:v>
      </x:c>
      <x:c r="E15" s="63" t="str">
        <x:v>Crecimiento con IPC anual 2023.</x:v>
      </x:c>
      <x:c r="F15" s="47" t="str">
        <x:v>https://www.dane.gov.co/files/operaciones/IPC/cp-IPC-dic2023.pdf</x:v>
      </x:c>
    </x:row>
    <x:row r="16" ht="18" customHeight="1">
      <x:c r="A16" s="46" t="n">
        <x:v>2025</x:v>
      </x:c>
      <x:c r="B16" s="63" t="str">
        <x:v>Presupuesto 2024</x:v>
      </x:c>
      <x:c r="C16" s="63" t="str">
        <x:v>5,20%</x:v>
      </x:c>
      <x:c r="D16" s="64" t="n">
        <x:v>55756842</x:v>
      </x:c>
      <x:c r="E16" s="63" t="str">
        <x:v>Crecimiento con IPC anual 2024.</x:v>
      </x:c>
      <x:c r="F16" s="47" t="str">
        <x:v>https://www.dane.gov.co/files/operaciones/IPC/dic2024/cp-IPC-dic2024.pdf</x:v>
      </x:c>
    </x:row>
    <x:row r="17" ht="18" customHeight="1">
      <x:c r="A17" s="48" t="n">
        <x:v>2026</x:v>
      </x:c>
      <x:c r="B17" s="65" t="str">
        <x:v>Presupuesto 2025</x:v>
      </x:c>
      <x:c r="C17" s="65" t="str">
        <x:v>5,10%</x:v>
      </x:c>
      <x:c r="D17" s="66" t="n">
        <x:v>58600441</x:v>
      </x:c>
      <x:c r="E17" s="65" t="str">
        <x:v>Crecimiento con IPC anual 2025; ejecución cargada solo a mayo.</x:v>
      </x:c>
      <x:c r="F17" s="49" t="str">
        <x:v>https://www.dane.gov.co/files/operaciones/IPC/dic2025/cp-IPC-dic2025.pdf</x:v>
      </x:c>
    </x:row>
    <x:row r="18" ht="18" customHeight="1"/>
    <x:row r="19" ht="18" customHeight="1">
      <x:c r="A19" s="19" t="str">
        <x:v>3. Diccionario de campos clave</x:v>
      </x:c>
      <x:c r="B19" s="19"/>
      <x:c r="C19" s="19"/>
      <x:c r="D19" s="19"/>
      <x:c r="E19" s="19"/>
      <x:c r="F19" s="19"/>
      <x:c r="G19" s="19"/>
      <x:c r="H19" s="19"/>
    </x:row>
    <x:row r="20" ht="18" customHeight="1">
      <x:c r="A20" s="34" t="str">
        <x:v>Campo</x:v>
      </x:c>
      <x:c r="B20" s="35" t="str">
        <x:v>Descripción</x:v>
      </x:c>
    </x:row>
    <x:row r="21" ht="18" customHeight="1">
      <x:c r="A21" s="46" t="str">
        <x:v>Componente SG-SST</x:v>
      </x:c>
      <x:c r="B21" s="47" t="str">
        <x:v>Macrocomponente presupuestal del SG-SST (formación, medicina preventiva, emergencias, etc.).</x:v>
      </x:c>
    </x:row>
    <x:row r="22" ht="18" customHeight="1">
      <x:c r="A22" s="46" t="str">
        <x:v>Programa</x:v>
      </x:c>
      <x:c r="B22" s="47" t="str">
        <x:v>Subprograma o frente de trabajo que agrupa actividades de un mismo propósito.</x:v>
      </x:c>
    </x:row>
    <x:row r="23" ht="18" customHeight="1">
      <x:c r="A23" s="46" t="str">
        <x:v>Actividad SST</x:v>
      </x:c>
      <x:c r="B23" s="47" t="str">
        <x:v>Actividad específica a financiar y ejecutar dentro del periodo.</x:v>
      </x:c>
    </x:row>
    <x:row r="24" ht="18" customHeight="1">
      <x:c r="A24" s="46" t="str">
        <x:v>Valor presupuestado</x:v>
      </x:c>
      <x:c r="B24" s="47" t="str">
        <x:v>Valor planeado para el mes y la actividad.</x:v>
      </x:c>
    </x:row>
    <x:row r="25" ht="18" customHeight="1">
      <x:c r="A25" s="46" t="str">
        <x:v>Valor ejecutado</x:v>
      </x:c>
      <x:c r="B25" s="47" t="str">
        <x:v>Valor efectivamente causado o pagado.</x:v>
      </x:c>
    </x:row>
    <x:row r="26" ht="18" customHeight="1">
      <x:c r="A26" s="46" t="str">
        <x:v>Variación</x:v>
      </x:c>
      <x:c r="B26" s="47" t="str">
        <x:v>Diferencia entre ejecutado y presupuestado.</x:v>
      </x:c>
    </x:row>
    <x:row r="27" ht="18" customHeight="1">
      <x:c r="A27" s="46" t="str">
        <x:v>% Ejecución</x:v>
      </x:c>
      <x:c r="B27" s="47" t="str">
        <x:v>Relación ejecutado/presupuestado por fila.</x:v>
      </x:c>
    </x:row>
    <x:row r="28" ht="18" customHeight="1">
      <x:c r="A28" s="48" t="str">
        <x:v>Estado</x:v>
      </x:c>
      <x:c r="B28" s="49" t="str">
        <x:v>Ejecutado, Parcial, Reprogramado, Pendiente o Programado (futuro).</x:v>
      </x:c>
    </x:row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A1:H1"/>
    <x:mergeCell ref="A2:H2"/>
    <x:mergeCell ref="A4:H4"/>
    <x:mergeCell ref="A12:H12"/>
    <x:mergeCell ref="A19:H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 ht="18" customHeight="1">
      <x:c r="A1" s="34" t="str">
        <x:v>Catálogo</x:v>
      </x:c>
      <x:c r="B1" s="54" t="str">
        <x:v>Valor</x:v>
      </x:c>
      <x:c r="C1" s="54" t="str">
        <x:v>Catálogo</x:v>
      </x:c>
      <x:c r="D1" s="35" t="str">
        <x:v>Valor</x:v>
      </x:c>
    </x:row>
    <x:row r="2" ht="18" customHeight="1">
      <x:c r="A2" s="46" t="str">
        <x:v>Tipo de gasto</x:v>
      </x:c>
      <x:c r="B2" s="63" t="str">
        <x:v>Servicio</x:v>
      </x:c>
      <x:c r="C2" s="63" t="str">
        <x:v>Periodicidad</x:v>
      </x:c>
      <x:c r="D2" s="47" t="str">
        <x:v>Mensual</x:v>
      </x:c>
    </x:row>
    <x:row r="3" ht="18" customHeight="1">
      <x:c r="A3" s="46" t="str">
        <x:v>Tipo de gasto</x:v>
      </x:c>
      <x:c r="B3" s="63" t="str">
        <x:v>Operativo</x:v>
      </x:c>
      <x:c r="C3" s="63" t="str">
        <x:v>Periodicidad</x:v>
      </x:c>
      <x:c r="D3" s="47" t="str">
        <x:v>Bimestral / trimestral</x:v>
      </x:c>
    </x:row>
    <x:row r="4" ht="18" customHeight="1">
      <x:c r="A4" s="46" t="str">
        <x:v>Tipo de gasto</x:v>
      </x:c>
      <x:c r="B4" s="63" t="str">
        <x:v>Capex</x:v>
      </x:c>
      <x:c r="C4" s="63" t="str">
        <x:v>Periodicidad</x:v>
      </x:c>
      <x:c r="D4" s="47" t="str">
        <x:v>Semestral</x:v>
      </x:c>
    </x:row>
    <x:row r="5" ht="18" customHeight="1">
      <x:c r="A5" s="46" t="str">
        <x:v>Prioridad</x:v>
      </x:c>
      <x:c r="B5" s="63" t="str">
        <x:v>Alta</x:v>
      </x:c>
      <x:c r="C5" s="63" t="str">
        <x:v>Periodicidad</x:v>
      </x:c>
      <x:c r="D5" s="47" t="str">
        <x:v>Trimestral</x:v>
      </x:c>
    </x:row>
    <x:row r="6" ht="18" customHeight="1">
      <x:c r="A6" s="46" t="str">
        <x:v>Prioridad</x:v>
      </x:c>
      <x:c r="B6" s="63" t="str">
        <x:v>Media</x:v>
      </x:c>
      <x:c r="C6" s="63" t="str">
        <x:v>Periodicidad</x:v>
      </x:c>
      <x:c r="D6" s="47" t="str">
        <x:v>Periódica</x:v>
      </x:c>
    </x:row>
    <x:row r="7" ht="18" customHeight="1">
      <x:c r="A7" s="46" t="str">
        <x:v>Prioridad</x:v>
      </x:c>
      <x:c r="B7" s="63" t="str">
        <x:v>Baja</x:v>
      </x:c>
      <x:c r="C7" s="63" t="str">
        <x:v>Periodicidad</x:v>
      </x:c>
      <x:c r="D7" s="47" t="str">
        <x:v>Semestral / anual</x:v>
      </x:c>
    </x:row>
    <x:row r="8" ht="18" customHeight="1">
      <x:c r="A8" s="46" t="str">
        <x:v>Estado</x:v>
      </x:c>
      <x:c r="B8" s="63" t="str">
        <x:v>Ejecutado</x:v>
      </x:c>
      <x:c r="C8" s="63" t="str">
        <x:v>Fuente financiación</x:v>
      </x:c>
      <x:c r="D8" s="47" t="str">
        <x:v>Presupuesto SG-SST</x:v>
      </x:c>
    </x:row>
    <x:row r="9" ht="18" customHeight="1">
      <x:c r="A9" s="46" t="str">
        <x:v>Estado</x:v>
      </x:c>
      <x:c r="B9" s="63" t="str">
        <x:v>Parcial</x:v>
      </x:c>
      <x:c r="C9" s="63" t="str">
        <x:v>Fuente financiación</x:v>
      </x:c>
      <x:c r="D9" s="47" t="str">
        <x:v>Recursos operativos</x:v>
      </x:c>
    </x:row>
    <x:row r="10" ht="18" customHeight="1">
      <x:c r="A10" s="46" t="str">
        <x:v>Estado</x:v>
      </x:c>
      <x:c r="B10" s="63" t="str">
        <x:v>Reprogramado</x:v>
      </x:c>
      <x:c r="C10" s="63" t="str">
        <x:v>Fuente financiación</x:v>
      </x:c>
      <x:c r="D10" s="47" t="str">
        <x:v>Capex / inversiones</x:v>
      </x:c>
    </x:row>
    <x:row r="11" ht="18" customHeight="1">
      <x:c r="A11" s="46" t="str">
        <x:v>Estado</x:v>
      </x:c>
      <x:c r="B11" s="63" t="str">
        <x:v>Pendiente</x:v>
      </x:c>
      <x:c r="C11" s="63"/>
      <x:c r="D11" s="47"/>
    </x:row>
    <x:row r="12" ht="18" customHeight="1">
      <x:c r="A12" s="48" t="str">
        <x:v>Estado</x:v>
      </x:c>
      <x:c r="B12" s="65" t="str">
        <x:v>Programado</x:v>
      </x:c>
      <x:c r="C12" s="65"/>
      <x:c r="D12" s="49"/>
    </x:row>
    <x:row r="13" ht="18" customHeight="1"/>
    <x:row r="14" ht="18" customHeight="1"/>
    <x:row r="15" ht="18" customHeight="1"/>
    <x:row r="16" ht="18" customHeight="1"/>
    <x:row r="17" ht="18" customHeight="1"/>
    <x:row r="18" ht="18" customHeight="1"/>
    <x:row r="19" ht="18" customHeight="1"/>
    <x:row r="20" ht="18" customHeight="1"/>
    <x:row r="21" ht="18" customHeight="1"/>
    <x:row r="22" ht="18" customHeight="1"/>
    <x:row r="23" ht="18" customHeight="1"/>
    <x:row r="24" ht="18" customHeight="1"/>
    <x:row r="25" ht="18" customHeight="1"/>
    <x:row r="26" ht="18" customHeight="1"/>
    <x:row r="27" ht="18" customHeight="1"/>
    <x:row r="28" ht="18" customHeight="1"/>
    <x:row r="29" ht="18" customHeight="1"/>
    <x:row r="30" ht="18" customHeight="1"/>
    <x:row r="31" ht="18" customHeight="1"/>
    <x:row r="32" ht="18" customHeight="1"/>
    <x:row r="33" ht="18" customHeight="1"/>
    <x:row r="34" ht="18" customHeight="1"/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11" hidden="0" customWidth="1"/>
    <x:col min="5" max="5" width="14" hidden="0" customWidth="1"/>
    <x:col min="6" max="6" width="28" hidden="0" customWidth="1"/>
    <x:col min="7" max="7" width="26" hidden="0" customWidth="1"/>
    <x:col min="8" max="8" width="36" hidden="0" customWidth="1"/>
    <x:col min="9" max="9" width="14" hidden="0" customWidth="1"/>
    <x:col min="10" max="10" width="10" hidden="0" customWidth="1"/>
    <x:col min="11" max="11" width="18" hidden="0" customWidth="1"/>
    <x:col min="12" max="12" width="14" hidden="0" customWidth="1"/>
    <x:col min="13" max="13" width="10" hidden="0" customWidth="1"/>
    <x:col min="14" max="14" width="22" hidden="0" customWidth="1"/>
    <x:col min="15" max="15" width="18" hidden="0" customWidth="1"/>
    <x:col min="16" max="16" width="32" hidden="0" customWidth="1"/>
    <x:col min="17" max="17" width="16" hidden="0" customWidth="1"/>
    <x:col min="18" max="18" width="16" hidden="0" customWidth="1"/>
    <x:col min="19" max="19" width="16" hidden="0" customWidth="1"/>
    <x:col min="20" max="20" width="11" hidden="0" customWidth="1"/>
    <x:col min="21" max="21" width="13" hidden="0" customWidth="1"/>
    <x:col min="22" max="22" width="42" hidden="0" customWidth="1"/>
    <x:col min="23" max="23" width="22" hidden="0" customWidth="1"/>
  </x:cols>
  <x:sheetData>
    <x:row r="1" ht="24" customHeight="1">
      <x:c r="A1" s="5" t="str">
        <x:v>Detalle de asignación de recursos (Presupuesto SST)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</x:row>
    <x:row r="2" ht="18" customHeight="1">
      <x:c r="A2" s="12" t="str">
        <x:v>Base simulada 2023, 2024, 2025 y 2026. La vigencia 2026 incluye planeación anual completa y ejecución registrada únicamente hasta mayo.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  <x:c r="O2" s="12"/>
      <x:c r="P2" s="12"/>
      <x:c r="Q2" s="12"/>
      <x:c r="R2" s="12"/>
      <x:c r="S2" s="12"/>
      <x:c r="T2" s="12"/>
      <x:c r="U2" s="12"/>
      <x:c r="V2" s="12"/>
      <x:c r="W2" s="12"/>
    </x:row>
    <x:row r="3" ht="18" customHeight="1"/>
    <x:row r="4" ht="18" customHeight="1">
      <x:c r="A4" s="34" t="str">
        <x:v>Año</x:v>
      </x:c>
      <x:c r="B4" s="54" t="str">
        <x:v>Mes N°</x:v>
      </x:c>
      <x:c r="C4" s="54" t="str">
        <x:v>Mes</x:v>
      </x:c>
      <x:c r="D4" s="54" t="str">
        <x:v>Trimestre</x:v>
      </x:c>
      <x:c r="E4" s="54" t="str">
        <x:v>Fecha programada</x:v>
      </x:c>
      <x:c r="F4" s="54" t="str">
        <x:v>Componente SG-SST</x:v>
      </x:c>
      <x:c r="G4" s="54" t="str">
        <x:v>Programa</x:v>
      </x:c>
      <x:c r="H4" s="54" t="str">
        <x:v>Actividad SST</x:v>
      </x:c>
      <x:c r="I4" s="54" t="str">
        <x:v>Tipo de gasto</x:v>
      </x:c>
      <x:c r="J4" s="54" t="str">
        <x:v>Prioridad</x:v>
      </x:c>
      <x:c r="K4" s="54" t="str">
        <x:v>Periodicidad</x:v>
      </x:c>
      <x:c r="L4" s="54" t="str">
        <x:v>Unidad de medida</x:v>
      </x:c>
      <x:c r="M4" s="54" t="str">
        <x:v>Meta anual</x:v>
      </x:c>
      <x:c r="N4" s="54" t="str">
        <x:v>Responsable</x:v>
      </x:c>
      <x:c r="O4" s="54" t="str">
        <x:v>Fuente financiación</x:v>
      </x:c>
      <x:c r="P4" s="54" t="str">
        <x:v>Soporte esperado</x:v>
      </x:c>
      <x:c r="Q4" s="54" t="str">
        <x:v>Valor presupuestado</x:v>
      </x:c>
      <x:c r="R4" s="54" t="str">
        <x:v>Valor ejecutado</x:v>
      </x:c>
      <x:c r="S4" s="54" t="str">
        <x:v>Variación</x:v>
      </x:c>
      <x:c r="T4" s="54" t="str">
        <x:v>% Ejecución</x:v>
      </x:c>
      <x:c r="U4" s="54" t="str">
        <x:v>Estado</x:v>
      </x:c>
      <x:c r="V4" s="54" t="str">
        <x:v>Observaciones</x:v>
      </x:c>
      <x:c r="W4" s="35" t="str">
        <x:v>Corte</x:v>
      </x:c>
    </x:row>
    <x:row r="5" ht="18" customHeight="1">
      <x:c r="A5" s="46" t="n">
        <x:v>2023</x:v>
      </x:c>
      <x:c r="B5" s="63" t="n">
        <x:v>1</x:v>
      </x:c>
      <x:c r="C5" s="63" t="str">
        <x:v>Enero</x:v>
      </x:c>
      <x:c r="D5" s="63" t="str">
        <x:v>T1</x:v>
      </x:c>
      <x:c r="E5" s="71" t="n">
        <x:v>44957</x:v>
      </x:c>
      <x:c r="F5" s="63" t="str">
        <x:v>Capacitación y entrenamiento</x:v>
      </x:c>
      <x:c r="G5" s="63" t="str">
        <x:v>Plan anual de formación</x:v>
      </x:c>
      <x:c r="H5" s="63" t="str">
        <x:v>Capacitación y entrenamiento en SG-SST</x:v>
      </x:c>
      <x:c r="I5" s="63" t="str">
        <x:v>Operativo</x:v>
      </x:c>
      <x:c r="J5" s="63" t="str">
        <x:v>Alta</x:v>
      </x:c>
      <x:c r="K5" s="63" t="str">
        <x:v>Mensual</x:v>
      </x:c>
      <x:c r="L5" s="63" t="str">
        <x:v>Jornada</x:v>
      </x:c>
      <x:c r="M5" s="63" t="n">
        <x:v>12</x:v>
      </x:c>
      <x:c r="N5" s="63" t="str">
        <x:v>Coordinación SST</x:v>
      </x:c>
      <x:c r="O5" s="63" t="str">
        <x:v>Presupuesto SG-SST</x:v>
      </x:c>
      <x:c r="P5" s="63" t="str">
        <x:v>Lista de asistencia, evaluación, acta</x:v>
      </x:c>
      <x:c r="Q5" s="79" t="n">
        <x:v>388000</x:v>
      </x:c>
      <x:c r="R5" s="79" t="n">
        <x:v>352939</x:v>
      </x:c>
      <x:c r="S5" s="79" t="n">
        <x:v>-35061</x:v>
      </x:c>
      <x:c r="T5" s="75" t="n">
        <x:v>0.9096365979381443</x:v>
      </x:c>
      <x:c r="U5" s="63" t="str">
        <x:v>Parcial</x:v>
      </x:c>
      <x:c r="V5" s="63" t="str">
        <x:v>Actividad con ejecución parcial o cierre financiero pendiente.</x:v>
      </x:c>
      <x:c r="W5" s="47" t="str">
        <x:v>Corte anual cerrado</x:v>
      </x:c>
    </x:row>
    <x:row r="6" ht="18" customHeight="1">
      <x:c r="A6" s="46" t="n">
        <x:v>2023</x:v>
      </x:c>
      <x:c r="B6" s="63" t="n">
        <x:v>1</x:v>
      </x:c>
      <x:c r="C6" s="63" t="str">
        <x:v>Enero</x:v>
      </x:c>
      <x:c r="D6" s="63" t="str">
        <x:v>T1</x:v>
      </x:c>
      <x:c r="E6" s="71" t="n">
        <x:v>44957</x:v>
      </x:c>
      <x:c r="F6" s="63" t="str">
        <x:v>Higiene y seguridad industrial</x:v>
      </x:c>
      <x:c r="G6" s="63" t="str">
        <x:v>Dotación y control operacional</x:v>
      </x:c>
      <x:c r="H6" s="63" t="str">
        <x:v>Dotación y reposición de EPP</x:v>
      </x:c>
      <x:c r="I6" s="63" t="str">
        <x:v>Operativo</x:v>
      </x:c>
      <x:c r="J6" s="63" t="str">
        <x:v>Alta</x:v>
      </x:c>
      <x:c r="K6" s="63" t="str">
        <x:v>Bimestral / trimestral</x:v>
      </x:c>
      <x:c r="L6" s="63" t="str">
        <x:v>Entrega</x:v>
      </x:c>
      <x:c r="M6" s="63" t="n">
        <x:v>6</x:v>
      </x:c>
      <x:c r="N6" s="63" t="str">
        <x:v>Coordinación SST / Compras</x:v>
      </x:c>
      <x:c r="O6" s="63" t="str">
        <x:v>Presupuesto SG-SST</x:v>
      </x:c>
      <x:c r="P6" s="63" t="str">
        <x:v>Formato de entrega, factura, remisión</x:v>
      </x:c>
      <x:c r="Q6" s="79" t="n">
        <x:v>2037000</x:v>
      </x:c>
      <x:c r="R6" s="79" t="n">
        <x:v>1904006</x:v>
      </x:c>
      <x:c r="S6" s="79" t="n">
        <x:v>-132994</x:v>
      </x:c>
      <x:c r="T6" s="75" t="n">
        <x:v>0.9347108492881688</x:v>
      </x:c>
      <x:c r="U6" s="63" t="str">
        <x:v>Parcial</x:v>
      </x:c>
      <x:c r="V6" s="63" t="str">
        <x:v>Actividad con ejecución parcial o cierre financiero pendiente.</x:v>
      </x:c>
      <x:c r="W6" s="47" t="str">
        <x:v>Corte anual cerrado</x:v>
      </x:c>
    </x:row>
    <x:row r="7" ht="18" customHeight="1">
      <x:c r="A7" s="46" t="n">
        <x:v>2023</x:v>
      </x:c>
      <x:c r="B7" s="63" t="n">
        <x:v>1</x:v>
      </x:c>
      <x:c r="C7" s="63" t="str">
        <x:v>Enero</x:v>
      </x:c>
      <x:c r="D7" s="63" t="str">
        <x:v>T1</x:v>
      </x:c>
      <x:c r="E7" s="71" t="n">
        <x:v>44957</x:v>
      </x:c>
      <x:c r="F7" s="63" t="str">
        <x:v>Recursos y gestión financiera</x:v>
      </x:c>
      <x:c r="G7" s="63" t="str">
        <x:v>Planeación y recursos</x:v>
      </x:c>
      <x:c r="H7" s="63" t="str">
        <x:v>Exámenes médicos ocupacionales</x:v>
      </x:c>
      <x:c r="I7" s="63" t="str">
        <x:v>Servicio</x:v>
      </x:c>
      <x:c r="J7" s="63" t="str">
        <x:v>Alta</x:v>
      </x:c>
      <x:c r="K7" s="63" t="str">
        <x:v>Semestral</x:v>
      </x:c>
      <x:c r="L7" s="63" t="str">
        <x:v>Jornada</x:v>
      </x:c>
      <x:c r="M7" s="63" t="n">
        <x:v>2</x:v>
      </x:c>
      <x:c r="N7" s="63" t="str">
        <x:v>Coordinación SST</x:v>
      </x:c>
      <x:c r="O7" s="63" t="str">
        <x:v>Presupuesto SG-SST</x:v>
      </x:c>
      <x:c r="P7" s="63" t="str">
        <x:v>Orden de servicio, factura, concepto médico</x:v>
      </x:c>
      <x:c r="Q7" s="79" t="n">
        <x:v>1047600</x:v>
      </x:c>
      <x:c r="R7" s="79" t="n">
        <x:v>944537</x:v>
      </x:c>
      <x:c r="S7" s="79" t="n">
        <x:v>-103063</x:v>
      </x:c>
      <x:c r="T7" s="75" t="n">
        <x:v>0.9016198930889653</x:v>
      </x:c>
      <x:c r="U7" s="63" t="str">
        <x:v>Parcial</x:v>
      </x:c>
      <x:c r="V7" s="63" t="str">
        <x:v>Actividad con ejecución parcial o cierre financiero pendiente.</x:v>
      </x:c>
      <x:c r="W7" s="47" t="str">
        <x:v>Corte anual cerrado</x:v>
      </x:c>
    </x:row>
    <x:row r="8" ht="18" customHeight="1">
      <x:c r="A8" s="46" t="n">
        <x:v>2023</x:v>
      </x:c>
      <x:c r="B8" s="63" t="n">
        <x:v>1</x:v>
      </x:c>
      <x:c r="C8" s="63" t="str">
        <x:v>Enero</x:v>
      </x:c>
      <x:c r="D8" s="63" t="str">
        <x:v>T1</x:v>
      </x:c>
      <x:c r="E8" s="71" t="n">
        <x:v>44957</x:v>
      </x:c>
      <x:c r="F8" s="63" t="str">
        <x:v>Gestión de contratistas</x:v>
      </x:c>
      <x:c r="G8" s="63" t="str">
        <x:v>Control de terceros</x:v>
      </x:c>
      <x:c r="H8" s="63" t="str">
        <x:v>Gestión SST de proveedores y contratistas</x:v>
      </x:c>
      <x:c r="I8" s="63" t="str">
        <x:v>Operativo</x:v>
      </x:c>
      <x:c r="J8" s="63" t="str">
        <x:v>Media</x:v>
      </x:c>
      <x:c r="K8" s="63" t="str">
        <x:v>Trimestral</x:v>
      </x:c>
      <x:c r="L8" s="63" t="str">
        <x:v>Ciclo</x:v>
      </x:c>
      <x:c r="M8" s="63" t="n">
        <x:v>4</x:v>
      </x:c>
      <x:c r="N8" s="63" t="str">
        <x:v>Compras / SST</x:v>
      </x:c>
      <x:c r="O8" s="63" t="str">
        <x:v>Presupuesto SG-SST</x:v>
      </x:c>
      <x:c r="P8" s="63" t="str">
        <x:v>Matriz de evaluación, soportes de contratistas</x:v>
      </x:c>
      <x:c r="Q8" s="79" t="n">
        <x:v>436500</x:v>
      </x:c>
      <x:c r="R8" s="79" t="n">
        <x:v>397009</x:v>
      </x:c>
      <x:c r="S8" s="79" t="n">
        <x:v>-39491</x:v>
      </x:c>
      <x:c r="T8" s="75" t="n">
        <x:v>0.9095280641466208</x:v>
      </x:c>
      <x:c r="U8" s="63" t="str">
        <x:v>Parcial</x:v>
      </x:c>
      <x:c r="V8" s="63" t="str">
        <x:v>Actividad con ejecución parcial o cierre financiero pendiente.</x:v>
      </x:c>
      <x:c r="W8" s="47" t="str">
        <x:v>Corte anual cerrado</x:v>
      </x:c>
    </x:row>
    <x:row r="9" ht="18" customHeight="1">
      <x:c r="A9" s="46" t="n">
        <x:v>2023</x:v>
      </x:c>
      <x:c r="B9" s="63" t="n">
        <x:v>1</x:v>
      </x:c>
      <x:c r="C9" s="63" t="str">
        <x:v>Enero</x:v>
      </x:c>
      <x:c r="D9" s="63" t="str">
        <x:v>T1</x:v>
      </x:c>
      <x:c r="E9" s="71" t="n">
        <x:v>44957</x:v>
      </x:c>
      <x:c r="F9" s="63" t="str">
        <x:v>Participación y consulta</x:v>
      </x:c>
      <x:c r="G9" s="63" t="str">
        <x:v>Comités de SST</x:v>
      </x:c>
      <x:c r="H9" s="63" t="str">
        <x:v>Gestión de COPASST y Comité de Convivencia</x:v>
      </x:c>
      <x:c r="I9" s="63" t="str">
        <x:v>Operativo</x:v>
      </x:c>
      <x:c r="J9" s="63" t="str">
        <x:v>Media</x:v>
      </x:c>
      <x:c r="K9" s="63" t="str">
        <x:v>Mensual</x:v>
      </x:c>
      <x:c r="L9" s="63" t="str">
        <x:v>Reunión</x:v>
      </x:c>
      <x:c r="M9" s="63" t="n">
        <x:v>12</x:v>
      </x:c>
      <x:c r="N9" s="63" t="str">
        <x:v>Talento Humano / SST</x:v>
      </x:c>
      <x:c r="O9" s="63" t="str">
        <x:v>Presupuesto SG-SST</x:v>
      </x:c>
      <x:c r="P9" s="63" t="str">
        <x:v>Acta, convocatoria, seguimiento compromisos</x:v>
      </x:c>
      <x:c r="Q9" s="79" t="n">
        <x:v>155200</x:v>
      </x:c>
      <x:c r="R9" s="79" t="n">
        <x:v>154456</x:v>
      </x:c>
      <x:c r="S9" s="79" t="n">
        <x:v>-744</x:v>
      </x:c>
      <x:c r="T9" s="75" t="n">
        <x:v>0.9952061855670103</x:v>
      </x:c>
      <x:c r="U9" s="63" t="str">
        <x:v>Ejecutado</x:v>
      </x:c>
      <x:c r="V9" s="63" t="str">
        <x:v>Actividad ejecutada dentro del rango esperado.</x:v>
      </x:c>
      <x:c r="W9" s="47" t="str">
        <x:v>Corte anual cerrado</x:v>
      </x:c>
    </x:row>
    <x:row r="10" ht="18" customHeight="1">
      <x:c r="A10" s="46" t="n">
        <x:v>2023</x:v>
      </x:c>
      <x:c r="B10" s="63" t="n">
        <x:v>1</x:v>
      </x:c>
      <x:c r="C10" s="63" t="str">
        <x:v>Enero</x:v>
      </x:c>
      <x:c r="D10" s="63" t="str">
        <x:v>T1</x:v>
      </x:c>
      <x:c r="E10" s="71" t="n">
        <x:v>44957</x:v>
      </x:c>
      <x:c r="F10" s="63" t="str">
        <x:v>Higiene y seguridad industrial</x:v>
      </x:c>
      <x:c r="G10" s="63" t="str">
        <x:v>Inspecciones y control</x:v>
      </x:c>
      <x:c r="H10" s="63" t="str">
        <x:v>Inspecciones planeadas de seguridad</x:v>
      </x:c>
      <x:c r="I10" s="63" t="str">
        <x:v>Operativo</x:v>
      </x:c>
      <x:c r="J10" s="63" t="str">
        <x:v>Media</x:v>
      </x:c>
      <x:c r="K10" s="63" t="str">
        <x:v>Mensual</x:v>
      </x:c>
      <x:c r="L10" s="63" t="str">
        <x:v>Inspección</x:v>
      </x:c>
      <x:c r="M10" s="63" t="n">
        <x:v>12</x:v>
      </x:c>
      <x:c r="N10" s="63" t="str">
        <x:v>Inspector SST</x:v>
      </x:c>
      <x:c r="O10" s="63" t="str">
        <x:v>Presupuesto SG-SST</x:v>
      </x:c>
      <x:c r="P10" s="63" t="str">
        <x:v>Lista de chequeo, informe, evidencia fotográfica</x:v>
      </x:c>
      <x:c r="Q10" s="79" t="n">
        <x:v>261900</x:v>
      </x:c>
      <x:c r="R10" s="79" t="n">
        <x:v>251731</x:v>
      </x:c>
      <x:c r="S10" s="79" t="n">
        <x:v>-10169</x:v>
      </x:c>
      <x:c r="T10" s="75" t="n">
        <x:v>0.961172203130966</x:v>
      </x:c>
      <x:c r="U10" s="63" t="str">
        <x:v>Parcial</x:v>
      </x:c>
      <x:c r="V10" s="63" t="str">
        <x:v>Actividad con ejecución parcial o cierre financiero pendiente.</x:v>
      </x:c>
      <x:c r="W10" s="47" t="str">
        <x:v>Corte anual cerrado</x:v>
      </x:c>
    </x:row>
    <x:row r="11" ht="18" customHeight="1">
      <x:c r="A11" s="46" t="n">
        <x:v>2023</x:v>
      </x:c>
      <x:c r="B11" s="63" t="n">
        <x:v>1</x:v>
      </x:c>
      <x:c r="C11" s="63" t="str">
        <x:v>Enero</x:v>
      </x:c>
      <x:c r="D11" s="63" t="str">
        <x:v>T1</x:v>
      </x:c>
      <x:c r="E11" s="71" t="n">
        <x:v>44957</x:v>
      </x:c>
      <x:c r="F11" s="63" t="str">
        <x:v>Mejora continua y cumplimiento</x:v>
      </x:c>
      <x:c r="G11" s="63" t="str">
        <x:v>Gestión de incidentes y mejora</x:v>
      </x:c>
      <x:c r="H11" s="63" t="str">
        <x:v>Investigación de AT/EL y acciones correctivas</x:v>
      </x:c>
      <x:c r="I11" s="63" t="str">
        <x:v>Operativo</x:v>
      </x:c>
      <x:c r="J11" s="63" t="str">
        <x:v>Media</x:v>
      </x:c>
      <x:c r="K11" s="63" t="str">
        <x:v>Mensual</x:v>
      </x:c>
      <x:c r="L11" s="63" t="str">
        <x:v>Seguimiento</x:v>
      </x:c>
      <x:c r="M11" s="63" t="n">
        <x:v>12</x:v>
      </x:c>
      <x:c r="N11" s="63" t="str">
        <x:v>SST / Jefes de área</x:v>
      </x:c>
      <x:c r="O11" s="63" t="str">
        <x:v>Presupuesto SG-SST</x:v>
      </x:c>
      <x:c r="P11" s="63" t="str">
        <x:v>Investigación, plan de acción, evidencia de cierre</x:v>
      </x:c>
      <x:c r="Q11" s="79" t="n">
        <x:v>194000</x:v>
      </x:c>
      <x:c r="R11" s="79" t="n">
        <x:v>176097</x:v>
      </x:c>
      <x:c r="S11" s="79" t="n">
        <x:v>-17903</x:v>
      </x:c>
      <x:c r="T11" s="75" t="n">
        <x:v>0.9077164948453609</x:v>
      </x:c>
      <x:c r="U11" s="63" t="str">
        <x:v>Parcial</x:v>
      </x:c>
      <x:c r="V11" s="63" t="str">
        <x:v>Actividad con ejecución parcial o cierre financiero pendiente.</x:v>
      </x:c>
      <x:c r="W11" s="47" t="str">
        <x:v>Corte anual cerrado</x:v>
      </x:c>
    </x:row>
    <x:row r="12" ht="18" customHeight="1">
      <x:c r="A12" s="46" t="n">
        <x:v>2023</x:v>
      </x:c>
      <x:c r="B12" s="63" t="n">
        <x:v>1</x:v>
      </x:c>
      <x:c r="C12" s="63" t="str">
        <x:v>Enero</x:v>
      </x:c>
      <x:c r="D12" s="63" t="str">
        <x:v>T1</x:v>
      </x:c>
      <x:c r="E12" s="71" t="n">
        <x:v>44957</x:v>
      </x:c>
      <x:c r="F12" s="63" t="str">
        <x:v>Emergencias e infraestructura</x:v>
      </x:c>
      <x:c r="G12" s="63" t="str">
        <x:v>Preparación y respuesta ante emergencias</x:v>
      </x:c>
      <x:c r="H12" s="63" t="str">
        <x:v>Mantenimiento de extintores, botiquines y equipos de emergencia</x:v>
      </x:c>
      <x:c r="I12" s="63" t="str">
        <x:v>Servicio</x:v>
      </x:c>
      <x:c r="J12" s="63" t="str">
        <x:v>Alta</x:v>
      </x:c>
      <x:c r="K12" s="63" t="str">
        <x:v>Bimestral / semestral</x:v>
      </x:c>
      <x:c r="L12" s="63" t="str">
        <x:v>Mantenimiento</x:v>
      </x:c>
      <x:c r="M12" s="63" t="n">
        <x:v>6</x:v>
      </x:c>
      <x:c r="N12" s="63" t="str">
        <x:v>Brigada / SST</x:v>
      </x:c>
      <x:c r="O12" s="63" t="str">
        <x:v>Presupuesto SG-SST</x:v>
      </x:c>
      <x:c r="P12" s="63" t="str">
        <x:v>Certificado, factura, hoja de vida del equipo</x:v>
      </x:c>
      <x:c r="Q12" s="79" t="n">
        <x:v>698400</x:v>
      </x:c>
      <x:c r="R12" s="79" t="n">
        <x:v>632814</x:v>
      </x:c>
      <x:c r="S12" s="79" t="n">
        <x:v>-65586</x:v>
      </x:c>
      <x:c r="T12" s="75" t="n">
        <x:v>0.9060910652920963</x:v>
      </x:c>
      <x:c r="U12" s="63" t="str">
        <x:v>Parcial</x:v>
      </x:c>
      <x:c r="V12" s="63" t="str">
        <x:v>Actividad con ejecución parcial o cierre financiero pendiente.</x:v>
      </x:c>
      <x:c r="W12" s="47" t="str">
        <x:v>Corte anual cerrado</x:v>
      </x:c>
    </x:row>
    <x:row r="13" ht="18" customHeight="1">
      <x:c r="A13" s="46" t="n">
        <x:v>2023</x:v>
      </x:c>
      <x:c r="B13" s="63" t="n">
        <x:v>1</x:v>
      </x:c>
      <x:c r="C13" s="63" t="str">
        <x:v>Enero</x:v>
      </x:c>
      <x:c r="D13" s="63" t="str">
        <x:v>T1</x:v>
      </x:c>
      <x:c r="E13" s="71" t="n">
        <x:v>44957</x:v>
      </x:c>
      <x:c r="F13" s="63" t="str">
        <x:v>Medicina preventiva y del trabajo</x:v>
      </x:c>
      <x:c r="G13" s="63" t="str">
        <x:v>Programas de vigilancia epidemiológica</x:v>
      </x:c>
      <x:c r="H13" s="63" t="str">
        <x:v>Programas de vigilancia epidemiológica y seguimiento médico</x:v>
      </x:c>
      <x:c r="I13" s="63" t="str">
        <x:v>Servicio</x:v>
      </x:c>
      <x:c r="J13" s="63" t="str">
        <x:v>Alta</x:v>
      </x:c>
      <x:c r="K13" s="63" t="str">
        <x:v>Mensual</x:v>
      </x:c>
      <x:c r="L13" s="63" t="str">
        <x:v>Seguimiento</x:v>
      </x:c>
      <x:c r="M13" s="63" t="n">
        <x:v>12</x:v>
      </x:c>
      <x:c r="N13" s="63" t="str">
        <x:v>Médico laboral / SST</x:v>
      </x:c>
      <x:c r="O13" s="63" t="str">
        <x:v>Presupuesto SG-SST</x:v>
      </x:c>
      <x:c r="P13" s="63" t="str">
        <x:v>Base de seguimiento, informe, remisiones</x:v>
      </x:c>
      <x:c r="Q13" s="79" t="n">
        <x:v>679000</x:v>
      </x:c>
      <x:c r="R13" s="79" t="n">
        <x:v>652418</x:v>
      </x:c>
      <x:c r="S13" s="79" t="n">
        <x:v>-26582</x:v>
      </x:c>
      <x:c r="T13" s="75" t="n">
        <x:v>0.9608512518409426</x:v>
      </x:c>
      <x:c r="U13" s="63" t="str">
        <x:v>Parcial</x:v>
      </x:c>
      <x:c r="V13" s="63" t="str">
        <x:v>Actividad con ejecución parcial o cierre financiero pendiente.</x:v>
      </x:c>
      <x:c r="W13" s="47" t="str">
        <x:v>Corte anual cerrado</x:v>
      </x:c>
    </x:row>
    <x:row r="14" ht="18" customHeight="1">
      <x:c r="A14" s="46" t="n">
        <x:v>2023</x:v>
      </x:c>
      <x:c r="B14" s="63" t="n">
        <x:v>2</x:v>
      </x:c>
      <x:c r="C14" s="63" t="str">
        <x:v>Febrero</x:v>
      </x:c>
      <x:c r="D14" s="63" t="str">
        <x:v>T1</x:v>
      </x:c>
      <x:c r="E14" s="71" t="n">
        <x:v>44985</x:v>
      </x:c>
      <x:c r="F14" s="63" t="str">
        <x:v>Capacitación y entrenamiento</x:v>
      </x:c>
      <x:c r="G14" s="63" t="str">
        <x:v>Plan anual de formación</x:v>
      </x:c>
      <x:c r="H14" s="63" t="str">
        <x:v>Capacitación y entrenamiento en SG-SST</x:v>
      </x:c>
      <x:c r="I14" s="63" t="str">
        <x:v>Operativo</x:v>
      </x:c>
      <x:c r="J14" s="63" t="str">
        <x:v>Alta</x:v>
      </x:c>
      <x:c r="K14" s="63" t="str">
        <x:v>Mensual</x:v>
      </x:c>
      <x:c r="L14" s="63" t="str">
        <x:v>Jornada</x:v>
      </x:c>
      <x:c r="M14" s="63" t="n">
        <x:v>12</x:v>
      </x:c>
      <x:c r="N14" s="63" t="str">
        <x:v>Coordinación SST</x:v>
      </x:c>
      <x:c r="O14" s="63" t="str">
        <x:v>Presupuesto SG-SST</x:v>
      </x:c>
      <x:c r="P14" s="63" t="str">
        <x:v>Lista de asistencia, evaluación, acta</x:v>
      </x:c>
      <x:c r="Q14" s="79" t="n">
        <x:v>388000</x:v>
      </x:c>
      <x:c r="R14" s="79" t="n">
        <x:v>355388</x:v>
      </x:c>
      <x:c r="S14" s="79" t="n">
        <x:v>-32612</x:v>
      </x:c>
      <x:c r="T14" s="75" t="n">
        <x:v>0.9159484536082474</x:v>
      </x:c>
      <x:c r="U14" s="63" t="str">
        <x:v>Parcial</x:v>
      </x:c>
      <x:c r="V14" s="63" t="str">
        <x:v>Actividad con ejecución parcial o cierre financiero pendiente.</x:v>
      </x:c>
      <x:c r="W14" s="47" t="str">
        <x:v>Corte anual cerrado</x:v>
      </x:c>
    </x:row>
    <x:row r="15" ht="18" customHeight="1">
      <x:c r="A15" s="46" t="n">
        <x:v>2023</x:v>
      </x:c>
      <x:c r="B15" s="63" t="n">
        <x:v>2</x:v>
      </x:c>
      <x:c r="C15" s="63" t="str">
        <x:v>Febrero</x:v>
      </x:c>
      <x:c r="D15" s="63" t="str">
        <x:v>T1</x:v>
      </x:c>
      <x:c r="E15" s="71" t="n">
        <x:v>44985</x:v>
      </x:c>
      <x:c r="F15" s="63" t="str">
        <x:v>Recursos y gestión financiera</x:v>
      </x:c>
      <x:c r="G15" s="63" t="str">
        <x:v>Planeación y recursos</x:v>
      </x:c>
      <x:c r="H15" s="63" t="str">
        <x:v>Exámenes médicos ocupacionales</x:v>
      </x:c>
      <x:c r="I15" s="63" t="str">
        <x:v>Servicio</x:v>
      </x:c>
      <x:c r="J15" s="63" t="str">
        <x:v>Alta</x:v>
      </x:c>
      <x:c r="K15" s="63" t="str">
        <x:v>Semestral</x:v>
      </x:c>
      <x:c r="L15" s="63" t="str">
        <x:v>Jornada</x:v>
      </x:c>
      <x:c r="M15" s="63" t="n">
        <x:v>2</x:v>
      </x:c>
      <x:c r="N15" s="63" t="str">
        <x:v>Coordinación SST</x:v>
      </x:c>
      <x:c r="O15" s="63" t="str">
        <x:v>Presupuesto SG-SST</x:v>
      </x:c>
      <x:c r="P15" s="63" t="str">
        <x:v>Orden de servicio, factura, concepto médico</x:v>
      </x:c>
      <x:c r="Q15" s="79" t="n">
        <x:v>1280400</x:v>
      </x:c>
      <x:c r="R15" s="79" t="n">
        <x:v>1192223</x:v>
      </x:c>
      <x:c r="S15" s="79" t="n">
        <x:v>-88177</x:v>
      </x:c>
      <x:c r="T15" s="75" t="n">
        <x:v>0.9311332396126211</x:v>
      </x:c>
      <x:c r="U15" s="63" t="str">
        <x:v>Parcial</x:v>
      </x:c>
      <x:c r="V15" s="63" t="str">
        <x:v>Actividad con ejecución parcial o cierre financiero pendiente.</x:v>
      </x:c>
      <x:c r="W15" s="47" t="str">
        <x:v>Corte anual cerrado</x:v>
      </x:c>
    </x:row>
    <x:row r="16" ht="18" customHeight="1">
      <x:c r="A16" s="46" t="n">
        <x:v>2023</x:v>
      </x:c>
      <x:c r="B16" s="63" t="n">
        <x:v>2</x:v>
      </x:c>
      <x:c r="C16" s="63" t="str">
        <x:v>Febrero</x:v>
      </x:c>
      <x:c r="D16" s="63" t="str">
        <x:v>T1</x:v>
      </x:c>
      <x:c r="E16" s="71" t="n">
        <x:v>44985</x:v>
      </x:c>
      <x:c r="F16" s="63" t="str">
        <x:v>Participación y consulta</x:v>
      </x:c>
      <x:c r="G16" s="63" t="str">
        <x:v>Comités de SST</x:v>
      </x:c>
      <x:c r="H16" s="63" t="str">
        <x:v>Gestión de COPASST y Comité de Convivencia</x:v>
      </x:c>
      <x:c r="I16" s="63" t="str">
        <x:v>Operativo</x:v>
      </x:c>
      <x:c r="J16" s="63" t="str">
        <x:v>Media</x:v>
      </x:c>
      <x:c r="K16" s="63" t="str">
        <x:v>Mensual</x:v>
      </x:c>
      <x:c r="L16" s="63" t="str">
        <x:v>Reunión</x:v>
      </x:c>
      <x:c r="M16" s="63" t="n">
        <x:v>12</x:v>
      </x:c>
      <x:c r="N16" s="63" t="str">
        <x:v>Talento Humano / SST</x:v>
      </x:c>
      <x:c r="O16" s="63" t="str">
        <x:v>Presupuesto SG-SST</x:v>
      </x:c>
      <x:c r="P16" s="63" t="str">
        <x:v>Acta, convocatoria, seguimiento compromisos</x:v>
      </x:c>
      <x:c r="Q16" s="79" t="n">
        <x:v>155200</x:v>
      </x:c>
      <x:c r="R16" s="79" t="n">
        <x:v>147561</x:v>
      </x:c>
      <x:c r="S16" s="79" t="n">
        <x:v>-7639</x:v>
      </x:c>
      <x:c r="T16" s="75" t="n">
        <x:v>0.9507796391752578</x:v>
      </x:c>
      <x:c r="U16" s="63" t="str">
        <x:v>Parcial</x:v>
      </x:c>
      <x:c r="V16" s="63" t="str">
        <x:v>Actividad con ejecución parcial o cierre financiero pendiente.</x:v>
      </x:c>
      <x:c r="W16" s="47" t="str">
        <x:v>Corte anual cerrado</x:v>
      </x:c>
    </x:row>
    <x:row r="17" ht="18" customHeight="1">
      <x:c r="A17" s="46" t="n">
        <x:v>2023</x:v>
      </x:c>
      <x:c r="B17" s="63" t="n">
        <x:v>2</x:v>
      </x:c>
      <x:c r="C17" s="63" t="str">
        <x:v>Febrero</x:v>
      </x:c>
      <x:c r="D17" s="63" t="str">
        <x:v>T1</x:v>
      </x:c>
      <x:c r="E17" s="71" t="n">
        <x:v>44985</x:v>
      </x:c>
      <x:c r="F17" s="63" t="str">
        <x:v>Higiene y seguridad industrial</x:v>
      </x:c>
      <x:c r="G17" s="63" t="str">
        <x:v>Inspecciones y control</x:v>
      </x:c>
      <x:c r="H17" s="63" t="str">
        <x:v>Inspecciones planeadas de seguridad</x:v>
      </x:c>
      <x:c r="I17" s="63" t="str">
        <x:v>Operativo</x:v>
      </x:c>
      <x:c r="J17" s="63" t="str">
        <x:v>Media</x:v>
      </x:c>
      <x:c r="K17" s="63" t="str">
        <x:v>Mensual</x:v>
      </x:c>
      <x:c r="L17" s="63" t="str">
        <x:v>Inspección</x:v>
      </x:c>
      <x:c r="M17" s="63" t="n">
        <x:v>12</x:v>
      </x:c>
      <x:c r="N17" s="63" t="str">
        <x:v>Inspector SST</x:v>
      </x:c>
      <x:c r="O17" s="63" t="str">
        <x:v>Presupuesto SG-SST</x:v>
      </x:c>
      <x:c r="P17" s="63" t="str">
        <x:v>Lista de chequeo, informe, evidencia fotográfica</x:v>
      </x:c>
      <x:c r="Q17" s="79" t="n">
        <x:v>232800</x:v>
      </x:c>
      <x:c r="R17" s="79" t="n">
        <x:v>226586</x:v>
      </x:c>
      <x:c r="S17" s="79" t="n">
        <x:v>-6214</x:v>
      </x:c>
      <x:c r="T17" s="75" t="n">
        <x:v>0.973307560137457</x:v>
      </x:c>
      <x:c r="U17" s="63" t="str">
        <x:v>Parcial</x:v>
      </x:c>
      <x:c r="V17" s="63" t="str">
        <x:v>Actividad con ejecución parcial o cierre financiero pendiente.</x:v>
      </x:c>
      <x:c r="W17" s="47" t="str">
        <x:v>Corte anual cerrado</x:v>
      </x:c>
    </x:row>
    <x:row r="18" ht="18" customHeight="1">
      <x:c r="A18" s="46" t="n">
        <x:v>2023</x:v>
      </x:c>
      <x:c r="B18" s="63" t="n">
        <x:v>2</x:v>
      </x:c>
      <x:c r="C18" s="63" t="str">
        <x:v>Febrero</x:v>
      </x:c>
      <x:c r="D18" s="63" t="str">
        <x:v>T1</x:v>
      </x:c>
      <x:c r="E18" s="71" t="n">
        <x:v>44985</x:v>
      </x:c>
      <x:c r="F18" s="63" t="str">
        <x:v>Mejora continua y cumplimiento</x:v>
      </x:c>
      <x:c r="G18" s="63" t="str">
        <x:v>Gestión de incidentes y mejora</x:v>
      </x:c>
      <x:c r="H18" s="63" t="str">
        <x:v>Investigación de AT/EL y acciones correctivas</x:v>
      </x:c>
      <x:c r="I18" s="63" t="str">
        <x:v>Operativo</x:v>
      </x:c>
      <x:c r="J18" s="63" t="str">
        <x:v>Media</x:v>
      </x:c>
      <x:c r="K18" s="63" t="str">
        <x:v>Mensual</x:v>
      </x:c>
      <x:c r="L18" s="63" t="str">
        <x:v>Seguimiento</x:v>
      </x:c>
      <x:c r="M18" s="63" t="n">
        <x:v>12</x:v>
      </x:c>
      <x:c r="N18" s="63" t="str">
        <x:v>SST / Jefes de área</x:v>
      </x:c>
      <x:c r="O18" s="63" t="str">
        <x:v>Presupuesto SG-SST</x:v>
      </x:c>
      <x:c r="P18" s="63" t="str">
        <x:v>Investigación, plan de acción, evidencia de cierre</x:v>
      </x:c>
      <x:c r="Q18" s="79" t="n">
        <x:v>194000</x:v>
      </x:c>
      <x:c r="R18" s="79" t="n">
        <x:v>176899</x:v>
      </x:c>
      <x:c r="S18" s="79" t="n">
        <x:v>-17101</x:v>
      </x:c>
      <x:c r="T18" s="75" t="n">
        <x:v>0.9118505154639175</x:v>
      </x:c>
      <x:c r="U18" s="63" t="str">
        <x:v>Parcial</x:v>
      </x:c>
      <x:c r="V18" s="63" t="str">
        <x:v>Actividad con ejecución parcial o cierre financiero pendiente.</x:v>
      </x:c>
      <x:c r="W18" s="47" t="str">
        <x:v>Corte anual cerrado</x:v>
      </x:c>
    </x:row>
    <x:row r="19" ht="18" customHeight="1">
      <x:c r="A19" s="46" t="n">
        <x:v>2023</x:v>
      </x:c>
      <x:c r="B19" s="63" t="n">
        <x:v>2</x:v>
      </x:c>
      <x:c r="C19" s="63" t="str">
        <x:v>Febrero</x:v>
      </x:c>
      <x:c r="D19" s="63" t="str">
        <x:v>T1</x:v>
      </x:c>
      <x:c r="E19" s="71" t="n">
        <x:v>44985</x:v>
      </x:c>
      <x:c r="F19" s="63" t="str">
        <x:v>Medicina preventiva y del trabajo</x:v>
      </x:c>
      <x:c r="G19" s="63" t="str">
        <x:v>Programas de vigilancia epidemiológica</x:v>
      </x:c>
      <x:c r="H19" s="63" t="str">
        <x:v>Programas de vigilancia epidemiológica y seguimiento médico</x:v>
      </x:c>
      <x:c r="I19" s="63" t="str">
        <x:v>Servicio</x:v>
      </x:c>
      <x:c r="J19" s="63" t="str">
        <x:v>Alta</x:v>
      </x:c>
      <x:c r="K19" s="63" t="str">
        <x:v>Mensual</x:v>
      </x:c>
      <x:c r="L19" s="63" t="str">
        <x:v>Seguimiento</x:v>
      </x:c>
      <x:c r="M19" s="63" t="n">
        <x:v>12</x:v>
      </x:c>
      <x:c r="N19" s="63" t="str">
        <x:v>Médico laboral / SST</x:v>
      </x:c>
      <x:c r="O19" s="63" t="str">
        <x:v>Presupuesto SG-SST</x:v>
      </x:c>
      <x:c r="P19" s="63" t="str">
        <x:v>Base de seguimiento, informe, remisiones</x:v>
      </x:c>
      <x:c r="Q19" s="79" t="n">
        <x:v>679000</x:v>
      </x:c>
      <x:c r="R19" s="79" t="n">
        <x:v>651101</x:v>
      </x:c>
      <x:c r="S19" s="79" t="n">
        <x:v>-27899</x:v>
      </x:c>
      <x:c r="T19" s="75" t="n">
        <x:v>0.9589116347569956</x:v>
      </x:c>
      <x:c r="U19" s="63" t="str">
        <x:v>Parcial</x:v>
      </x:c>
      <x:c r="V19" s="63" t="str">
        <x:v>Actividad con ejecución parcial o cierre financiero pendiente.</x:v>
      </x:c>
      <x:c r="W19" s="47" t="str">
        <x:v>Corte anual cerrado</x:v>
      </x:c>
    </x:row>
    <x:row r="20" ht="18" customHeight="1">
      <x:c r="A20" s="46" t="n">
        <x:v>2023</x:v>
      </x:c>
      <x:c r="B20" s="63" t="n">
        <x:v>2</x:v>
      </x:c>
      <x:c r="C20" s="63" t="str">
        <x:v>Febrero</x:v>
      </x:c>
      <x:c r="D20" s="63" t="str">
        <x:v>T1</x:v>
      </x:c>
      <x:c r="E20" s="71" t="n">
        <x:v>44985</x:v>
      </x:c>
      <x:c r="F20" s="63" t="str">
        <x:v>Higiene y seguridad industrial</x:v>
      </x:c>
      <x:c r="G20" s="63" t="str">
        <x:v>Señalización y control visual</x:v>
      </x:c>
      <x:c r="H20" s="63" t="str">
        <x:v>Señalización, demarcación y avisos de seguridad</x:v>
      </x:c>
      <x:c r="I20" s="63" t="str">
        <x:v>Operativo</x:v>
      </x:c>
      <x:c r="J20" s="63" t="str">
        <x:v>Media</x:v>
      </x:c>
      <x:c r="K20" s="63" t="str">
        <x:v>Periódica</x:v>
      </x:c>
      <x:c r="L20" s="63" t="str">
        <x:v>Intervención</x:v>
      </x:c>
      <x:c r="M20" s="63" t="n">
        <x:v>5</x:v>
      </x:c>
      <x:c r="N20" s="63" t="str">
        <x:v>SST / Mantenimiento</x:v>
      </x:c>
      <x:c r="O20" s="63" t="str">
        <x:v>Presupuesto SG-SST</x:v>
      </x:c>
      <x:c r="P20" s="63" t="str">
        <x:v>Acta de instalación, factura, inventario</x:v>
      </x:c>
      <x:c r="Q20" s="79" t="n">
        <x:v>485000</x:v>
      </x:c>
      <x:c r="R20" s="79" t="n">
        <x:v>433044</x:v>
      </x:c>
      <x:c r="S20" s="79" t="n">
        <x:v>-51956</x:v>
      </x:c>
      <x:c r="T20" s="75" t="n">
        <x:v>0.8928742268041238</x:v>
      </x:c>
      <x:c r="U20" s="63" t="str">
        <x:v>Parcial</x:v>
      </x:c>
      <x:c r="V20" s="63" t="str">
        <x:v>Actividad con ejecución parcial o cierre financiero pendiente.</x:v>
      </x:c>
      <x:c r="W20" s="47" t="str">
        <x:v>Corte anual cerrado</x:v>
      </x:c>
    </x:row>
    <x:row r="21" ht="18" customHeight="1">
      <x:c r="A21" s="46" t="n">
        <x:v>2023</x:v>
      </x:c>
      <x:c r="B21" s="63" t="n">
        <x:v>3</x:v>
      </x:c>
      <x:c r="C21" s="63" t="str">
        <x:v>Marzo</x:v>
      </x:c>
      <x:c r="D21" s="63" t="str">
        <x:v>T1</x:v>
      </x:c>
      <x:c r="E21" s="71" t="n">
        <x:v>45016</x:v>
      </x:c>
      <x:c r="F21" s="63" t="str">
        <x:v>Capacitación y entrenamiento</x:v>
      </x:c>
      <x:c r="G21" s="63" t="str">
        <x:v>Plan anual de formación</x:v>
      </x:c>
      <x:c r="H21" s="63" t="str">
        <x:v>Capacitación y entrenamiento en SG-SST</x:v>
      </x:c>
      <x:c r="I21" s="63" t="str">
        <x:v>Operativo</x:v>
      </x:c>
      <x:c r="J21" s="63" t="str">
        <x:v>Alta</x:v>
      </x:c>
      <x:c r="K21" s="63" t="str">
        <x:v>Mensual</x:v>
      </x:c>
      <x:c r="L21" s="63" t="str">
        <x:v>Jornada</x:v>
      </x:c>
      <x:c r="M21" s="63" t="n">
        <x:v>12</x:v>
      </x:c>
      <x:c r="N21" s="63" t="str">
        <x:v>Coordinación SST</x:v>
      </x:c>
      <x:c r="O21" s="63" t="str">
        <x:v>Presupuesto SG-SST</x:v>
      </x:c>
      <x:c r="P21" s="63" t="str">
        <x:v>Lista de asistencia, evaluación, acta</x:v>
      </x:c>
      <x:c r="Q21" s="79" t="n">
        <x:v>436500</x:v>
      </x:c>
      <x:c r="R21" s="79" t="n">
        <x:v>416203</x:v>
      </x:c>
      <x:c r="S21" s="79" t="n">
        <x:v>-20297</x:v>
      </x:c>
      <x:c r="T21" s="75" t="n">
        <x:v>0.9535005727376862</x:v>
      </x:c>
      <x:c r="U21" s="63" t="str">
        <x:v>Parcial</x:v>
      </x:c>
      <x:c r="V21" s="63" t="str">
        <x:v>Actividad con ejecución parcial o cierre financiero pendiente.</x:v>
      </x:c>
      <x:c r="W21" s="47" t="str">
        <x:v>Corte anual cerrado</x:v>
      </x:c>
    </x:row>
    <x:row r="22" ht="18" customHeight="1">
      <x:c r="A22" s="46" t="n">
        <x:v>2023</x:v>
      </x:c>
      <x:c r="B22" s="63" t="n">
        <x:v>3</x:v>
      </x:c>
      <x:c r="C22" s="63" t="str">
        <x:v>Marzo</x:v>
      </x:c>
      <x:c r="D22" s="63" t="str">
        <x:v>T1</x:v>
      </x:c>
      <x:c r="E22" s="71" t="n">
        <x:v>45016</x:v>
      </x:c>
      <x:c r="F22" s="63" t="str">
        <x:v>Higiene y seguridad industrial</x:v>
      </x:c>
      <x:c r="G22" s="63" t="str">
        <x:v>Dotación y control operacional</x:v>
      </x:c>
      <x:c r="H22" s="63" t="str">
        <x:v>Dotación y reposición de EPP</x:v>
      </x:c>
      <x:c r="I22" s="63" t="str">
        <x:v>Operativo</x:v>
      </x:c>
      <x:c r="J22" s="63" t="str">
        <x:v>Alta</x:v>
      </x:c>
      <x:c r="K22" s="63" t="str">
        <x:v>Bimestral / trimestral</x:v>
      </x:c>
      <x:c r="L22" s="63" t="str">
        <x:v>Entrega</x:v>
      </x:c>
      <x:c r="M22" s="63" t="n">
        <x:v>6</x:v>
      </x:c>
      <x:c r="N22" s="63" t="str">
        <x:v>Coordinación SST / Compras</x:v>
      </x:c>
      <x:c r="O22" s="63" t="str">
        <x:v>Presupuesto SG-SST</x:v>
      </x:c>
      <x:c r="P22" s="63" t="str">
        <x:v>Formato de entrega, factura, remisión</x:v>
      </x:c>
      <x:c r="Q22" s="79" t="n">
        <x:v>873000</x:v>
      </x:c>
      <x:c r="R22" s="79" t="n">
        <x:v>814574</x:v>
      </x:c>
      <x:c r="S22" s="79" t="n">
        <x:v>-58426</x:v>
      </x:c>
      <x:c r="T22" s="75" t="n">
        <x:v>0.9330744558991981</x:v>
      </x:c>
      <x:c r="U22" s="63" t="str">
        <x:v>Parcial</x:v>
      </x:c>
      <x:c r="V22" s="63" t="str">
        <x:v>Actividad con ejecución parcial o cierre financiero pendiente.</x:v>
      </x:c>
      <x:c r="W22" s="47" t="str">
        <x:v>Corte anual cerrado</x:v>
      </x:c>
    </x:row>
    <x:row r="23" ht="18" customHeight="1">
      <x:c r="A23" s="46" t="n">
        <x:v>2023</x:v>
      </x:c>
      <x:c r="B23" s="63" t="n">
        <x:v>3</x:v>
      </x:c>
      <x:c r="C23" s="63" t="str">
        <x:v>Marzo</x:v>
      </x:c>
      <x:c r="D23" s="63" t="str">
        <x:v>T1</x:v>
      </x:c>
      <x:c r="E23" s="71" t="n">
        <x:v>45016</x:v>
      </x:c>
      <x:c r="F23" s="63" t="str">
        <x:v>Medicina preventiva y del trabajo</x:v>
      </x:c>
      <x:c r="G23" s="63" t="str">
        <x:v>Vigilancia epidemiológica</x:v>
      </x:c>
      <x:c r="H23" s="63" t="str">
        <x:v>Evaluación de riesgo psicosocial y actividades de intervención</x:v>
      </x:c>
      <x:c r="I23" s="63" t="str">
        <x:v>Servicio</x:v>
      </x:c>
      <x:c r="J23" s="63" t="str">
        <x:v>Alta</x:v>
      </x:c>
      <x:c r="K23" s="63" t="str">
        <x:v>Periódica</x:v>
      </x:c>
      <x:c r="L23" s="63" t="str">
        <x:v>Actividad</x:v>
      </x:c>
      <x:c r="M23" s="63" t="n">
        <x:v>6</x:v>
      </x:c>
      <x:c r="N23" s="63" t="str">
        <x:v>Psicología / SST</x:v>
      </x:c>
      <x:c r="O23" s="63" t="str">
        <x:v>Presupuesto SG-SST</x:v>
      </x:c>
      <x:c r="P23" s="63" t="str">
        <x:v>Informe técnico, evidencia, plan de intervención</x:v>
      </x:c>
      <x:c r="Q23" s="79" t="n">
        <x:v>679000</x:v>
      </x:c>
      <x:c r="R23" s="79" t="n">
        <x:v>611127</x:v>
      </x:c>
      <x:c r="S23" s="79" t="n">
        <x:v>-67873</x:v>
      </x:c>
      <x:c r="T23" s="75" t="n">
        <x:v>0.900039764359352</x:v>
      </x:c>
      <x:c r="U23" s="63" t="str">
        <x:v>Parcial</x:v>
      </x:c>
      <x:c r="V23" s="63" t="str">
        <x:v>Actividad con ejecución parcial o cierre financiero pendiente.</x:v>
      </x:c>
      <x:c r="W23" s="47" t="str">
        <x:v>Corte anual cerrado</x:v>
      </x:c>
    </x:row>
    <x:row r="24" ht="18" customHeight="1">
      <x:c r="A24" s="46" t="n">
        <x:v>2023</x:v>
      </x:c>
      <x:c r="B24" s="63" t="n">
        <x:v>3</x:v>
      </x:c>
      <x:c r="C24" s="63" t="str">
        <x:v>Marzo</x:v>
      </x:c>
      <x:c r="D24" s="63" t="str">
        <x:v>T1</x:v>
      </x:c>
      <x:c r="E24" s="71" t="n">
        <x:v>45016</x:v>
      </x:c>
      <x:c r="F24" s="63" t="str">
        <x:v>Recursos y gestión financiera</x:v>
      </x:c>
      <x:c r="G24" s="63" t="str">
        <x:v>Planeación y recursos</x:v>
      </x:c>
      <x:c r="H24" s="63" t="str">
        <x:v>Exámenes médicos ocupacionales</x:v>
      </x:c>
      <x:c r="I24" s="63" t="str">
        <x:v>Servicio</x:v>
      </x:c>
      <x:c r="J24" s="63" t="str">
        <x:v>Alta</x:v>
      </x:c>
      <x:c r="K24" s="63" t="str">
        <x:v>Semestral</x:v>
      </x:c>
      <x:c r="L24" s="63" t="str">
        <x:v>Jornada</x:v>
      </x:c>
      <x:c r="M24" s="63" t="n">
        <x:v>2</x:v>
      </x:c>
      <x:c r="N24" s="63" t="str">
        <x:v>Coordinación SST</x:v>
      </x:c>
      <x:c r="O24" s="63" t="str">
        <x:v>Presupuesto SG-SST</x:v>
      </x:c>
      <x:c r="P24" s="63" t="str">
        <x:v>Orden de servicio, factura, concepto médico</x:v>
      </x:c>
      <x:c r="Q24" s="79" t="n">
        <x:v>582000</x:v>
      </x:c>
      <x:c r="R24" s="79" t="n">
        <x:v>571984</x:v>
      </x:c>
      <x:c r="S24" s="79" t="n">
        <x:v>-10016</x:v>
      </x:c>
      <x:c r="T24" s="75" t="n">
        <x:v>0.9827903780068729</x:v>
      </x:c>
      <x:c r="U24" s="63" t="str">
        <x:v>Ejecutado</x:v>
      </x:c>
      <x:c r="V24" s="63" t="str">
        <x:v>Actividad ejecutada dentro del rango esperado.</x:v>
      </x:c>
      <x:c r="W24" s="47" t="str">
        <x:v>Corte anual cerrado</x:v>
      </x:c>
    </x:row>
    <x:row r="25" ht="18" customHeight="1">
      <x:c r="A25" s="46" t="n">
        <x:v>2023</x:v>
      </x:c>
      <x:c r="B25" s="63" t="n">
        <x:v>3</x:v>
      </x:c>
      <x:c r="C25" s="63" t="str">
        <x:v>Marzo</x:v>
      </x:c>
      <x:c r="D25" s="63" t="str">
        <x:v>T1</x:v>
      </x:c>
      <x:c r="E25" s="71" t="n">
        <x:v>45016</x:v>
      </x:c>
      <x:c r="F25" s="63" t="str">
        <x:v>Participación y consulta</x:v>
      </x:c>
      <x:c r="G25" s="63" t="str">
        <x:v>Comités de SST</x:v>
      </x:c>
      <x:c r="H25" s="63" t="str">
        <x:v>Gestión de COPASST y Comité de Convivencia</x:v>
      </x:c>
      <x:c r="I25" s="63" t="str">
        <x:v>Operativo</x:v>
      </x:c>
      <x:c r="J25" s="63" t="str">
        <x:v>Media</x:v>
      </x:c>
      <x:c r="K25" s="63" t="str">
        <x:v>Mensual</x:v>
      </x:c>
      <x:c r="L25" s="63" t="str">
        <x:v>Reunión</x:v>
      </x:c>
      <x:c r="M25" s="63" t="n">
        <x:v>12</x:v>
      </x:c>
      <x:c r="N25" s="63" t="str">
        <x:v>Talento Humano / SST</x:v>
      </x:c>
      <x:c r="O25" s="63" t="str">
        <x:v>Presupuesto SG-SST</x:v>
      </x:c>
      <x:c r="P25" s="63" t="str">
        <x:v>Acta, convocatoria, seguimiento compromisos</x:v>
      </x:c>
      <x:c r="Q25" s="79" t="n">
        <x:v>174600</x:v>
      </x:c>
      <x:c r="R25" s="79" t="n">
        <x:v>157675</x:v>
      </x:c>
      <x:c r="S25" s="79" t="n">
        <x:v>-16925</x:v>
      </x:c>
      <x:c r="T25" s="75" t="n">
        <x:v>0.9030641466208477</x:v>
      </x:c>
      <x:c r="U25" s="63" t="str">
        <x:v>Parcial</x:v>
      </x:c>
      <x:c r="V25" s="63" t="str">
        <x:v>Actividad con ejecución parcial o cierre financiero pendiente.</x:v>
      </x:c>
      <x:c r="W25" s="47" t="str">
        <x:v>Corte anual cerrado</x:v>
      </x:c>
    </x:row>
    <x:row r="26" ht="18" customHeight="1">
      <x:c r="A26" s="46" t="n">
        <x:v>2023</x:v>
      </x:c>
      <x:c r="B26" s="63" t="n">
        <x:v>3</x:v>
      </x:c>
      <x:c r="C26" s="63" t="str">
        <x:v>Marzo</x:v>
      </x:c>
      <x:c r="D26" s="63" t="str">
        <x:v>T1</x:v>
      </x:c>
      <x:c r="E26" s="71" t="n">
        <x:v>45016</x:v>
      </x:c>
      <x:c r="F26" s="63" t="str">
        <x:v>Higiene y seguridad industrial</x:v>
      </x:c>
      <x:c r="G26" s="63" t="str">
        <x:v>Inspecciones y control</x:v>
      </x:c>
      <x:c r="H26" s="63" t="str">
        <x:v>Inspecciones planeadas de seguridad</x:v>
      </x:c>
      <x:c r="I26" s="63" t="str">
        <x:v>Operativo</x:v>
      </x:c>
      <x:c r="J26" s="63" t="str">
        <x:v>Media</x:v>
      </x:c>
      <x:c r="K26" s="63" t="str">
        <x:v>Mensual</x:v>
      </x:c>
      <x:c r="L26" s="63" t="str">
        <x:v>Inspección</x:v>
      </x:c>
      <x:c r="M26" s="63" t="n">
        <x:v>12</x:v>
      </x:c>
      <x:c r="N26" s="63" t="str">
        <x:v>Inspector SST</x:v>
      </x:c>
      <x:c r="O26" s="63" t="str">
        <x:v>Presupuesto SG-SST</x:v>
      </x:c>
      <x:c r="P26" s="63" t="str">
        <x:v>Lista de chequeo, informe, evidencia fotográfica</x:v>
      </x:c>
      <x:c r="Q26" s="79" t="n">
        <x:v>232800</x:v>
      </x:c>
      <x:c r="R26" s="79" t="n">
        <x:v>211938</x:v>
      </x:c>
      <x:c r="S26" s="79" t="n">
        <x:v>-20862</x:v>
      </x:c>
      <x:c r="T26" s="75" t="n">
        <x:v>0.9103865979381444</x:v>
      </x:c>
      <x:c r="U26" s="63" t="str">
        <x:v>Parcial</x:v>
      </x:c>
      <x:c r="V26" s="63" t="str">
        <x:v>Actividad con ejecución parcial o cierre financiero pendiente.</x:v>
      </x:c>
      <x:c r="W26" s="47" t="str">
        <x:v>Corte anual cerrado</x:v>
      </x:c>
    </x:row>
    <x:row r="27" ht="18" customHeight="1">
      <x:c r="A27" s="46" t="n">
        <x:v>2023</x:v>
      </x:c>
      <x:c r="B27" s="63" t="n">
        <x:v>3</x:v>
      </x:c>
      <x:c r="C27" s="63" t="str">
        <x:v>Marzo</x:v>
      </x:c>
      <x:c r="D27" s="63" t="str">
        <x:v>T1</x:v>
      </x:c>
      <x:c r="E27" s="71" t="n">
        <x:v>45016</x:v>
      </x:c>
      <x:c r="F27" s="63" t="str">
        <x:v>Mejora continua y cumplimiento</x:v>
      </x:c>
      <x:c r="G27" s="63" t="str">
        <x:v>Gestión de incidentes y mejora</x:v>
      </x:c>
      <x:c r="H27" s="63" t="str">
        <x:v>Investigación de AT/EL y acciones correctivas</x:v>
      </x:c>
      <x:c r="I27" s="63" t="str">
        <x:v>Operativo</x:v>
      </x:c>
      <x:c r="J27" s="63" t="str">
        <x:v>Media</x:v>
      </x:c>
      <x:c r="K27" s="63" t="str">
        <x:v>Mensual</x:v>
      </x:c>
      <x:c r="L27" s="63" t="str">
        <x:v>Seguimiento</x:v>
      </x:c>
      <x:c r="M27" s="63" t="n">
        <x:v>12</x:v>
      </x:c>
      <x:c r="N27" s="63" t="str">
        <x:v>SST / Jefes de área</x:v>
      </x:c>
      <x:c r="O27" s="63" t="str">
        <x:v>Presupuesto SG-SST</x:v>
      </x:c>
      <x:c r="P27" s="63" t="str">
        <x:v>Investigación, plan de acción, evidencia de cierre</x:v>
      </x:c>
      <x:c r="Q27" s="79" t="n">
        <x:v>194000</x:v>
      </x:c>
      <x:c r="R27" s="79" t="n">
        <x:v>173213</x:v>
      </x:c>
      <x:c r="S27" s="79" t="n">
        <x:v>-20787</x:v>
      </x:c>
      <x:c r="T27" s="75" t="n">
        <x:v>0.8928505154639175</x:v>
      </x:c>
      <x:c r="U27" s="63" t="str">
        <x:v>Parcial</x:v>
      </x:c>
      <x:c r="V27" s="63" t="str">
        <x:v>Actividad con ejecución parcial o cierre financiero pendiente.</x:v>
      </x:c>
      <x:c r="W27" s="47" t="str">
        <x:v>Corte anual cerrado</x:v>
      </x:c>
    </x:row>
    <x:row r="28" ht="18" customHeight="1">
      <x:c r="A28" s="46" t="n">
        <x:v>2023</x:v>
      </x:c>
      <x:c r="B28" s="63" t="n">
        <x:v>3</x:v>
      </x:c>
      <x:c r="C28" s="63" t="str">
        <x:v>Marzo</x:v>
      </x:c>
      <x:c r="D28" s="63" t="str">
        <x:v>T1</x:v>
      </x:c>
      <x:c r="E28" s="71" t="n">
        <x:v>45016</x:v>
      </x:c>
      <x:c r="F28" s="63" t="str">
        <x:v>Medicina preventiva y del trabajo</x:v>
      </x:c>
      <x:c r="G28" s="63" t="str">
        <x:v>Programas de vigilancia epidemiológica</x:v>
      </x:c>
      <x:c r="H28" s="63" t="str">
        <x:v>Programas de vigilancia epidemiológica y seguimiento médico</x:v>
      </x:c>
      <x:c r="I28" s="63" t="str">
        <x:v>Servicio</x:v>
      </x:c>
      <x:c r="J28" s="63" t="str">
        <x:v>Alta</x:v>
      </x:c>
      <x:c r="K28" s="63" t="str">
        <x:v>Mensual</x:v>
      </x:c>
      <x:c r="L28" s="63" t="str">
        <x:v>Seguimiento</x:v>
      </x:c>
      <x:c r="M28" s="63" t="n">
        <x:v>12</x:v>
      </x:c>
      <x:c r="N28" s="63" t="str">
        <x:v>Médico laboral / SST</x:v>
      </x:c>
      <x:c r="O28" s="63" t="str">
        <x:v>Presupuesto SG-SST</x:v>
      </x:c>
      <x:c r="P28" s="63" t="str">
        <x:v>Base de seguimiento, informe, remisiones</x:v>
      </x:c>
      <x:c r="Q28" s="79" t="n">
        <x:v>543200</x:v>
      </x:c>
      <x:c r="R28" s="79" t="n">
        <x:v>513687</x:v>
      </x:c>
      <x:c r="S28" s="79" t="n">
        <x:v>-29513</x:v>
      </x:c>
      <x:c r="T28" s="75" t="n">
        <x:v>0.9456682621502209</x:v>
      </x:c>
      <x:c r="U28" s="63" t="str">
        <x:v>Parcial</x:v>
      </x:c>
      <x:c r="V28" s="63" t="str">
        <x:v>Actividad con ejecución parcial o cierre financiero pendiente.</x:v>
      </x:c>
      <x:c r="W28" s="47" t="str">
        <x:v>Corte anual cerrado</x:v>
      </x:c>
    </x:row>
    <x:row r="29" ht="18" customHeight="1">
      <x:c r="A29" s="46" t="n">
        <x:v>2023</x:v>
      </x:c>
      <x:c r="B29" s="63" t="n">
        <x:v>4</x:v>
      </x:c>
      <x:c r="C29" s="63" t="str">
        <x:v>Abril</x:v>
      </x:c>
      <x:c r="D29" s="63" t="str">
        <x:v>T2</x:v>
      </x:c>
      <x:c r="E29" s="71" t="n">
        <x:v>45046</x:v>
      </x:c>
      <x:c r="F29" s="63" t="str">
        <x:v>Mejora continua y cumplimiento</x:v>
      </x:c>
      <x:c r="G29" s="63" t="str">
        <x:v>Auditoría y revisión por la dirección</x:v>
      </x:c>
      <x:c r="H29" s="63" t="str">
        <x:v>Auditoría interna, autoevaluación y revisión gerencial</x:v>
      </x:c>
      <x:c r="I29" s="63" t="str">
        <x:v>Servicio</x:v>
      </x:c>
      <x:c r="J29" s="63" t="str">
        <x:v>Alta</x:v>
      </x:c>
      <x:c r="K29" s="63" t="str">
        <x:v>Trimestral</x:v>
      </x:c>
      <x:c r="L29" s="63" t="str">
        <x:v>Hito</x:v>
      </x:c>
      <x:c r="M29" s="63" t="n">
        <x:v>4</x:v>
      </x:c>
      <x:c r="N29" s="63" t="str">
        <x:v>Líder HSEQ / Gerencia</x:v>
      </x:c>
      <x:c r="O29" s="63" t="str">
        <x:v>Presupuesto SG-SST</x:v>
      </x:c>
      <x:c r="P29" s="63" t="str">
        <x:v>Informe de auditoría, acta, plan de mejora</x:v>
      </x:c>
      <x:c r="Q29" s="79" t="n">
        <x:v>776000</x:v>
      </x:c>
      <x:c r="R29" s="79" t="n">
        <x:v>764052</x:v>
      </x:c>
      <x:c r="S29" s="79" t="n">
        <x:v>-11948</x:v>
      </x:c>
      <x:c r="T29" s="75" t="n">
        <x:v>0.9846030927835051</x:v>
      </x:c>
      <x:c r="U29" s="63" t="str">
        <x:v>Ejecutado</x:v>
      </x:c>
      <x:c r="V29" s="63" t="str">
        <x:v>Actividad ejecutada dentro del rango esperado.</x:v>
      </x:c>
      <x:c r="W29" s="47" t="str">
        <x:v>Corte anual cerrado</x:v>
      </x:c>
    </x:row>
    <x:row r="30" ht="18" customHeight="1">
      <x:c r="A30" s="46" t="n">
        <x:v>2023</x:v>
      </x:c>
      <x:c r="B30" s="63" t="n">
        <x:v>4</x:v>
      </x:c>
      <x:c r="C30" s="63" t="str">
        <x:v>Abril</x:v>
      </x:c>
      <x:c r="D30" s="63" t="str">
        <x:v>T2</x:v>
      </x:c>
      <x:c r="E30" s="71" t="n">
        <x:v>45046</x:v>
      </x:c>
      <x:c r="F30" s="63" t="str">
        <x:v>Capacitación y entrenamiento</x:v>
      </x:c>
      <x:c r="G30" s="63" t="str">
        <x:v>Plan anual de formación</x:v>
      </x:c>
      <x:c r="H30" s="63" t="str">
        <x:v>Capacitación y entrenamiento en SG-SST</x:v>
      </x:c>
      <x:c r="I30" s="63" t="str">
        <x:v>Operativo</x:v>
      </x:c>
      <x:c r="J30" s="63" t="str">
        <x:v>Alta</x:v>
      </x:c>
      <x:c r="K30" s="63" t="str">
        <x:v>Mensual</x:v>
      </x:c>
      <x:c r="L30" s="63" t="str">
        <x:v>Jornada</x:v>
      </x:c>
      <x:c r="M30" s="63" t="n">
        <x:v>12</x:v>
      </x:c>
      <x:c r="N30" s="63" t="str">
        <x:v>Coordinación SST</x:v>
      </x:c>
      <x:c r="O30" s="63" t="str">
        <x:v>Presupuesto SG-SST</x:v>
      </x:c>
      <x:c r="P30" s="63" t="str">
        <x:v>Lista de asistencia, evaluación, acta</x:v>
      </x:c>
      <x:c r="Q30" s="79" t="n">
        <x:v>388000</x:v>
      </x:c>
      <x:c r="R30" s="79" t="n">
        <x:v>369198</x:v>
      </x:c>
      <x:c r="S30" s="79" t="n">
        <x:v>-18802</x:v>
      </x:c>
      <x:c r="T30" s="75" t="n">
        <x:v>0.9515412371134021</x:v>
      </x:c>
      <x:c r="U30" s="63" t="str">
        <x:v>Parcial</x:v>
      </x:c>
      <x:c r="V30" s="63" t="str">
        <x:v>Actividad con ejecución parcial o cierre financiero pendiente.</x:v>
      </x:c>
      <x:c r="W30" s="47" t="str">
        <x:v>Corte anual cerrado</x:v>
      </x:c>
    </x:row>
    <x:row r="31" ht="18" customHeight="1">
      <x:c r="A31" s="46" t="n">
        <x:v>2023</x:v>
      </x:c>
      <x:c r="B31" s="63" t="n">
        <x:v>4</x:v>
      </x:c>
      <x:c r="C31" s="63" t="str">
        <x:v>Abril</x:v>
      </x:c>
      <x:c r="D31" s="63" t="str">
        <x:v>T2</x:v>
      </x:c>
      <x:c r="E31" s="71" t="n">
        <x:v>45046</x:v>
      </x:c>
      <x:c r="F31" s="63" t="str">
        <x:v>Recursos y gestión financiera</x:v>
      </x:c>
      <x:c r="G31" s="63" t="str">
        <x:v>Planeación y recursos</x:v>
      </x:c>
      <x:c r="H31" s="63" t="str">
        <x:v>Exámenes médicos ocupacionales</x:v>
      </x:c>
      <x:c r="I31" s="63" t="str">
        <x:v>Servicio</x:v>
      </x:c>
      <x:c r="J31" s="63" t="str">
        <x:v>Alta</x:v>
      </x:c>
      <x:c r="K31" s="63" t="str">
        <x:v>Semestral</x:v>
      </x:c>
      <x:c r="L31" s="63" t="str">
        <x:v>Jornada</x:v>
      </x:c>
      <x:c r="M31" s="63" t="n">
        <x:v>2</x:v>
      </x:c>
      <x:c r="N31" s="63" t="str">
        <x:v>Coordinación SST</x:v>
      </x:c>
      <x:c r="O31" s="63" t="str">
        <x:v>Presupuesto SG-SST</x:v>
      </x:c>
      <x:c r="P31" s="63" t="str">
        <x:v>Orden de servicio, factura, concepto médico</x:v>
      </x:c>
      <x:c r="Q31" s="79" t="n">
        <x:v>174600</x:v>
      </x:c>
      <x:c r="R31" s="79" t="n">
        <x:v>162697</x:v>
      </x:c>
      <x:c r="S31" s="79" t="n">
        <x:v>-11903</x:v>
      </x:c>
      <x:c r="T31" s="75" t="n">
        <x:v>0.9318270332187858</x:v>
      </x:c>
      <x:c r="U31" s="63" t="str">
        <x:v>Parcial</x:v>
      </x:c>
      <x:c r="V31" s="63" t="str">
        <x:v>Actividad con ejecución parcial o cierre financiero pendiente.</x:v>
      </x:c>
      <x:c r="W31" s="47" t="str">
        <x:v>Corte anual cerrado</x:v>
      </x:c>
    </x:row>
    <x:row r="32" ht="18" customHeight="1">
      <x:c r="A32" s="46" t="n">
        <x:v>2023</x:v>
      </x:c>
      <x:c r="B32" s="63" t="n">
        <x:v>4</x:v>
      </x:c>
      <x:c r="C32" s="63" t="str">
        <x:v>Abril</x:v>
      </x:c>
      <x:c r="D32" s="63" t="str">
        <x:v>T2</x:v>
      </x:c>
      <x:c r="E32" s="71" t="n">
        <x:v>45046</x:v>
      </x:c>
      <x:c r="F32" s="63" t="str">
        <x:v>Gestión de contratistas</x:v>
      </x:c>
      <x:c r="G32" s="63" t="str">
        <x:v>Control de terceros</x:v>
      </x:c>
      <x:c r="H32" s="63" t="str">
        <x:v>Gestión SST de proveedores y contratistas</x:v>
      </x:c>
      <x:c r="I32" s="63" t="str">
        <x:v>Operativo</x:v>
      </x:c>
      <x:c r="J32" s="63" t="str">
        <x:v>Media</x:v>
      </x:c>
      <x:c r="K32" s="63" t="str">
        <x:v>Trimestral</x:v>
      </x:c>
      <x:c r="L32" s="63" t="str">
        <x:v>Ciclo</x:v>
      </x:c>
      <x:c r="M32" s="63" t="n">
        <x:v>4</x:v>
      </x:c>
      <x:c r="N32" s="63" t="str">
        <x:v>Compras / SST</x:v>
      </x:c>
      <x:c r="O32" s="63" t="str">
        <x:v>Presupuesto SG-SST</x:v>
      </x:c>
      <x:c r="P32" s="63" t="str">
        <x:v>Matriz de evaluación, soportes de contratistas</x:v>
      </x:c>
      <x:c r="Q32" s="79" t="n">
        <x:v>727500</x:v>
      </x:c>
      <x:c r="R32" s="79" t="n">
        <x:v>644626</x:v>
      </x:c>
      <x:c r="S32" s="79" t="n">
        <x:v>-82874</x:v>
      </x:c>
      <x:c r="T32" s="75" t="n">
        <x:v>0.8860838487972509</x:v>
      </x:c>
      <x:c r="U32" s="63" t="str">
        <x:v>Parcial</x:v>
      </x:c>
      <x:c r="V32" s="63" t="str">
        <x:v>Actividad con ejecución parcial o cierre financiero pendiente.</x:v>
      </x:c>
      <x:c r="W32" s="47" t="str">
        <x:v>Corte anual cerrado</x:v>
      </x:c>
    </x:row>
    <x:row r="33" ht="18" customHeight="1">
      <x:c r="A33" s="46" t="n">
        <x:v>2023</x:v>
      </x:c>
      <x:c r="B33" s="63" t="n">
        <x:v>4</x:v>
      </x:c>
      <x:c r="C33" s="63" t="str">
        <x:v>Abril</x:v>
      </x:c>
      <x:c r="D33" s="63" t="str">
        <x:v>T2</x:v>
      </x:c>
      <x:c r="E33" s="71" t="n">
        <x:v>45046</x:v>
      </x:c>
      <x:c r="F33" s="63" t="str">
        <x:v>Participación y consulta</x:v>
      </x:c>
      <x:c r="G33" s="63" t="str">
        <x:v>Comités de SST</x:v>
      </x:c>
      <x:c r="H33" s="63" t="str">
        <x:v>Gestión de COPASST y Comité de Convivencia</x:v>
      </x:c>
      <x:c r="I33" s="63" t="str">
        <x:v>Operativo</x:v>
      </x:c>
      <x:c r="J33" s="63" t="str">
        <x:v>Media</x:v>
      </x:c>
      <x:c r="K33" s="63" t="str">
        <x:v>Mensual</x:v>
      </x:c>
      <x:c r="L33" s="63" t="str">
        <x:v>Reunión</x:v>
      </x:c>
      <x:c r="M33" s="63" t="n">
        <x:v>12</x:v>
      </x:c>
      <x:c r="N33" s="63" t="str">
        <x:v>Talento Humano / SST</x:v>
      </x:c>
      <x:c r="O33" s="63" t="str">
        <x:v>Presupuesto SG-SST</x:v>
      </x:c>
      <x:c r="P33" s="63" t="str">
        <x:v>Acta, convocatoria, seguimiento compromisos</x:v>
      </x:c>
      <x:c r="Q33" s="79" t="n">
        <x:v>155200</x:v>
      </x:c>
      <x:c r="R33" s="79" t="n">
        <x:v>140989</x:v>
      </x:c>
      <x:c r="S33" s="79" t="n">
        <x:v>-14211</x:v>
      </x:c>
      <x:c r="T33" s="75" t="n">
        <x:v>0.9084342783505155</x:v>
      </x:c>
      <x:c r="U33" s="63" t="str">
        <x:v>Parcial</x:v>
      </x:c>
      <x:c r="V33" s="63" t="str">
        <x:v>Actividad con ejecución parcial o cierre financiero pendiente.</x:v>
      </x:c>
      <x:c r="W33" s="47" t="str">
        <x:v>Corte anual cerrado</x:v>
      </x:c>
    </x:row>
    <x:row r="34" ht="18" customHeight="1">
      <x:c r="A34" s="46" t="n">
        <x:v>2023</x:v>
      </x:c>
      <x:c r="B34" s="63" t="n">
        <x:v>4</x:v>
      </x:c>
      <x:c r="C34" s="63" t="str">
        <x:v>Abril</x:v>
      </x:c>
      <x:c r="D34" s="63" t="str">
        <x:v>T2</x:v>
      </x:c>
      <x:c r="E34" s="71" t="n">
        <x:v>45046</x:v>
      </x:c>
      <x:c r="F34" s="63" t="str">
        <x:v>Higiene y seguridad industrial</x:v>
      </x:c>
      <x:c r="G34" s="63" t="str">
        <x:v>Inspecciones y control</x:v>
      </x:c>
      <x:c r="H34" s="63" t="str">
        <x:v>Inspecciones planeadas de seguridad</x:v>
      </x:c>
      <x:c r="I34" s="63" t="str">
        <x:v>Operativo</x:v>
      </x:c>
      <x:c r="J34" s="63" t="str">
        <x:v>Media</x:v>
      </x:c>
      <x:c r="K34" s="63" t="str">
        <x:v>Mensual</x:v>
      </x:c>
      <x:c r="L34" s="63" t="str">
        <x:v>Inspección</x:v>
      </x:c>
      <x:c r="M34" s="63" t="n">
        <x:v>12</x:v>
      </x:c>
      <x:c r="N34" s="63" t="str">
        <x:v>Inspector SST</x:v>
      </x:c>
      <x:c r="O34" s="63" t="str">
        <x:v>Presupuesto SG-SST</x:v>
      </x:c>
      <x:c r="P34" s="63" t="str">
        <x:v>Lista de chequeo, informe, evidencia fotográfica</x:v>
      </x:c>
      <x:c r="Q34" s="79" t="n">
        <x:v>232800</x:v>
      </x:c>
      <x:c r="R34" s="79" t="n">
        <x:v>212203</x:v>
      </x:c>
      <x:c r="S34" s="79" t="n">
        <x:v>-20597</x:v>
      </x:c>
      <x:c r="T34" s="75" t="n">
        <x:v>0.9115249140893471</x:v>
      </x:c>
      <x:c r="U34" s="63" t="str">
        <x:v>Parcial</x:v>
      </x:c>
      <x:c r="V34" s="63" t="str">
        <x:v>Actividad con ejecución parcial o cierre financiero pendiente.</x:v>
      </x:c>
      <x:c r="W34" s="47" t="str">
        <x:v>Corte anual cerrado</x:v>
      </x:c>
    </x:row>
    <x:row r="35" ht="18" customHeight="1">
      <x:c r="A35" s="46" t="n">
        <x:v>2023</x:v>
      </x:c>
      <x:c r="B35" s="63" t="n">
        <x:v>4</x:v>
      </x:c>
      <x:c r="C35" s="63" t="str">
        <x:v>Abril</x:v>
      </x:c>
      <x:c r="D35" s="63" t="str">
        <x:v>T2</x:v>
      </x:c>
      <x:c r="E35" s="71" t="n">
        <x:v>45046</x:v>
      </x:c>
      <x:c r="F35" s="63" t="str">
        <x:v>Mejora continua y cumplimiento</x:v>
      </x:c>
      <x:c r="G35" s="63" t="str">
        <x:v>Gestión de incidentes y mejora</x:v>
      </x:c>
      <x:c r="H35" s="63" t="str">
        <x:v>Investigación de AT/EL y acciones correctivas</x:v>
      </x:c>
      <x:c r="I35" s="63" t="str">
        <x:v>Operativo</x:v>
      </x:c>
      <x:c r="J35" s="63" t="str">
        <x:v>Media</x:v>
      </x:c>
      <x:c r="K35" s="63" t="str">
        <x:v>Mensual</x:v>
      </x:c>
      <x:c r="L35" s="63" t="str">
        <x:v>Seguimiento</x:v>
      </x:c>
      <x:c r="M35" s="63" t="n">
        <x:v>12</x:v>
      </x:c>
      <x:c r="N35" s="63" t="str">
        <x:v>SST / Jefes de área</x:v>
      </x:c>
      <x:c r="O35" s="63" t="str">
        <x:v>Presupuesto SG-SST</x:v>
      </x:c>
      <x:c r="P35" s="63" t="str">
        <x:v>Investigación, plan de acción, evidencia de cierre</x:v>
      </x:c>
      <x:c r="Q35" s="79" t="n">
        <x:v>194000</x:v>
      </x:c>
      <x:c r="R35" s="79" t="n">
        <x:v>191891</x:v>
      </x:c>
      <x:c r="S35" s="79" t="n">
        <x:v>-2109</x:v>
      </x:c>
      <x:c r="T35" s="75" t="n">
        <x:v>0.9891288659793814</x:v>
      </x:c>
      <x:c r="U35" s="63" t="str">
        <x:v>Ejecutado</x:v>
      </x:c>
      <x:c r="V35" s="63" t="str">
        <x:v>Actividad ejecutada dentro del rango esperado.</x:v>
      </x:c>
      <x:c r="W35" s="47" t="str">
        <x:v>Corte anual cerrado</x:v>
      </x:c>
    </x:row>
    <x:row r="36" ht="18" customHeight="1">
      <x:c r="A36" s="46" t="n">
        <x:v>2023</x:v>
      </x:c>
      <x:c r="B36" s="63" t="n">
        <x:v>4</x:v>
      </x:c>
      <x:c r="C36" s="63" t="str">
        <x:v>Abril</x:v>
      </x:c>
      <x:c r="D36" s="63" t="str">
        <x:v>T2</x:v>
      </x:c>
      <x:c r="E36" s="71" t="n">
        <x:v>45046</x:v>
      </x:c>
      <x:c r="F36" s="63" t="str">
        <x:v>Emergencias e infraestructura</x:v>
      </x:c>
      <x:c r="G36" s="63" t="str">
        <x:v>Preparación y respuesta ante emergencias</x:v>
      </x:c>
      <x:c r="H36" s="63" t="str">
        <x:v>Mantenimiento de extintores, botiquines y equipos de emergencia</x:v>
      </x:c>
      <x:c r="I36" s="63" t="str">
        <x:v>Servicio</x:v>
      </x:c>
      <x:c r="J36" s="63" t="str">
        <x:v>Alta</x:v>
      </x:c>
      <x:c r="K36" s="63" t="str">
        <x:v>Bimestral / semestral</x:v>
      </x:c>
      <x:c r="L36" s="63" t="str">
        <x:v>Mantenimiento</x:v>
      </x:c>
      <x:c r="M36" s="63" t="n">
        <x:v>6</x:v>
      </x:c>
      <x:c r="N36" s="63" t="str">
        <x:v>Brigada / SST</x:v>
      </x:c>
      <x:c r="O36" s="63" t="str">
        <x:v>Presupuesto SG-SST</x:v>
      </x:c>
      <x:c r="P36" s="63" t="str">
        <x:v>Certificado, factura, hoja de vida del equipo</x:v>
      </x:c>
      <x:c r="Q36" s="79" t="n">
        <x:v>388000</x:v>
      </x:c>
      <x:c r="R36" s="79" t="n">
        <x:v>359577</x:v>
      </x:c>
      <x:c r="S36" s="79" t="n">
        <x:v>-28423</x:v>
      </x:c>
      <x:c r="T36" s="75" t="n">
        <x:v>0.9267448453608247</x:v>
      </x:c>
      <x:c r="U36" s="63" t="str">
        <x:v>Parcial</x:v>
      </x:c>
      <x:c r="V36" s="63" t="str">
        <x:v>Actividad con ejecución parcial o cierre financiero pendiente.</x:v>
      </x:c>
      <x:c r="W36" s="47" t="str">
        <x:v>Corte anual cerrado</x:v>
      </x:c>
    </x:row>
    <x:row r="37" ht="18" customHeight="1">
      <x:c r="A37" s="46" t="n">
        <x:v>2023</x:v>
      </x:c>
      <x:c r="B37" s="63" t="n">
        <x:v>4</x:v>
      </x:c>
      <x:c r="C37" s="63" t="str">
        <x:v>Abril</x:v>
      </x:c>
      <x:c r="D37" s="63" t="str">
        <x:v>T2</x:v>
      </x:c>
      <x:c r="E37" s="71" t="n">
        <x:v>45046</x:v>
      </x:c>
      <x:c r="F37" s="63" t="str">
        <x:v>Medicina preventiva y del trabajo</x:v>
      </x:c>
      <x:c r="G37" s="63" t="str">
        <x:v>Programas de vigilancia epidemiológica</x:v>
      </x:c>
      <x:c r="H37" s="63" t="str">
        <x:v>Programas de vigilancia epidemiológica y seguimiento médico</x:v>
      </x:c>
      <x:c r="I37" s="63" t="str">
        <x:v>Servicio</x:v>
      </x:c>
      <x:c r="J37" s="63" t="str">
        <x:v>Alta</x:v>
      </x:c>
      <x:c r="K37" s="63" t="str">
        <x:v>Mensual</x:v>
      </x:c>
      <x:c r="L37" s="63" t="str">
        <x:v>Seguimiento</x:v>
      </x:c>
      <x:c r="M37" s="63" t="n">
        <x:v>12</x:v>
      </x:c>
      <x:c r="N37" s="63" t="str">
        <x:v>Médico laboral / SST</x:v>
      </x:c>
      <x:c r="O37" s="63" t="str">
        <x:v>Presupuesto SG-SST</x:v>
      </x:c>
      <x:c r="P37" s="63" t="str">
        <x:v>Base de seguimiento, informe, remisiones</x:v>
      </x:c>
      <x:c r="Q37" s="79" t="n">
        <x:v>543200</x:v>
      </x:c>
      <x:c r="R37" s="79" t="n">
        <x:v>513839</x:v>
      </x:c>
      <x:c r="S37" s="79" t="n">
        <x:v>-29361</x:v>
      </x:c>
      <x:c r="T37" s="75" t="n">
        <x:v>0.9459480854197349</x:v>
      </x:c>
      <x:c r="U37" s="63" t="str">
        <x:v>Parcial</x:v>
      </x:c>
      <x:c r="V37" s="63" t="str">
        <x:v>Actividad con ejecución parcial o cierre financiero pendiente.</x:v>
      </x:c>
      <x:c r="W37" s="47" t="str">
        <x:v>Corte anual cerrado</x:v>
      </x:c>
    </x:row>
    <x:row r="38" ht="18" customHeight="1">
      <x:c r="A38" s="46" t="n">
        <x:v>2023</x:v>
      </x:c>
      <x:c r="B38" s="63" t="n">
        <x:v>5</x:v>
      </x:c>
      <x:c r="C38" s="63" t="str">
        <x:v>Mayo</x:v>
      </x:c>
      <x:c r="D38" s="63" t="str">
        <x:v>T2</x:v>
      </x:c>
      <x:c r="E38" s="71" t="n">
        <x:v>45077</x:v>
      </x:c>
      <x:c r="F38" s="63" t="str">
        <x:v>Capacitación y entrenamiento</x:v>
      </x:c>
      <x:c r="G38" s="63" t="str">
        <x:v>Plan anual de formación</x:v>
      </x:c>
      <x:c r="H38" s="63" t="str">
        <x:v>Capacitación y entrenamiento en SG-SST</x:v>
      </x:c>
      <x:c r="I38" s="63" t="str">
        <x:v>Operativo</x:v>
      </x:c>
      <x:c r="J38" s="63" t="str">
        <x:v>Alta</x:v>
      </x:c>
      <x:c r="K38" s="63" t="str">
        <x:v>Mensual</x:v>
      </x:c>
      <x:c r="L38" s="63" t="str">
        <x:v>Jornada</x:v>
      </x:c>
      <x:c r="M38" s="63" t="n">
        <x:v>12</x:v>
      </x:c>
      <x:c r="N38" s="63" t="str">
        <x:v>Coordinación SST</x:v>
      </x:c>
      <x:c r="O38" s="63" t="str">
        <x:v>Presupuesto SG-SST</x:v>
      </x:c>
      <x:c r="P38" s="63" t="str">
        <x:v>Lista de asistencia, evaluación, acta</x:v>
      </x:c>
      <x:c r="Q38" s="79" t="n">
        <x:v>436500</x:v>
      </x:c>
      <x:c r="R38" s="79" t="n">
        <x:v>410038</x:v>
      </x:c>
      <x:c r="S38" s="79" t="n">
        <x:v>-26462</x:v>
      </x:c>
      <x:c r="T38" s="75" t="n">
        <x:v>0.93937686139748</x:v>
      </x:c>
      <x:c r="U38" s="63" t="str">
        <x:v>Parcial</x:v>
      </x:c>
      <x:c r="V38" s="63" t="str">
        <x:v>Actividad con ejecución parcial o cierre financiero pendiente.</x:v>
      </x:c>
      <x:c r="W38" s="47" t="str">
        <x:v>Corte anual cerrado</x:v>
      </x:c>
    </x:row>
    <x:row r="39" ht="18" customHeight="1">
      <x:c r="A39" s="46" t="n">
        <x:v>2023</x:v>
      </x:c>
      <x:c r="B39" s="63" t="n">
        <x:v>5</x:v>
      </x:c>
      <x:c r="C39" s="63" t="str">
        <x:v>Mayo</x:v>
      </x:c>
      <x:c r="D39" s="63" t="str">
        <x:v>T2</x:v>
      </x:c>
      <x:c r="E39" s="71" t="n">
        <x:v>45077</x:v>
      </x:c>
      <x:c r="F39" s="63" t="str">
        <x:v>Higiene y seguridad industrial</x:v>
      </x:c>
      <x:c r="G39" s="63" t="str">
        <x:v>Dotación y control operacional</x:v>
      </x:c>
      <x:c r="H39" s="63" t="str">
        <x:v>Dotación y reposición de EPP</x:v>
      </x:c>
      <x:c r="I39" s="63" t="str">
        <x:v>Operativo</x:v>
      </x:c>
      <x:c r="J39" s="63" t="str">
        <x:v>Alta</x:v>
      </x:c>
      <x:c r="K39" s="63" t="str">
        <x:v>Bimestral / trimestral</x:v>
      </x:c>
      <x:c r="L39" s="63" t="str">
        <x:v>Entrega</x:v>
      </x:c>
      <x:c r="M39" s="63" t="n">
        <x:v>6</x:v>
      </x:c>
      <x:c r="N39" s="63" t="str">
        <x:v>Coordinación SST / Compras</x:v>
      </x:c>
      <x:c r="O39" s="63" t="str">
        <x:v>Presupuesto SG-SST</x:v>
      </x:c>
      <x:c r="P39" s="63" t="str">
        <x:v>Formato de entrega, factura, remisión</x:v>
      </x:c>
      <x:c r="Q39" s="79" t="n">
        <x:v>727500</x:v>
      </x:c>
      <x:c r="R39" s="79" t="n">
        <x:v>711647</x:v>
      </x:c>
      <x:c r="S39" s="79" t="n">
        <x:v>-15853</x:v>
      </x:c>
      <x:c r="T39" s="75" t="n">
        <x:v>0.9782089347079038</x:v>
      </x:c>
      <x:c r="U39" s="63" t="str">
        <x:v>Parcial</x:v>
      </x:c>
      <x:c r="V39" s="63" t="str">
        <x:v>Actividad con ejecución parcial o cierre financiero pendiente.</x:v>
      </x:c>
      <x:c r="W39" s="47" t="str">
        <x:v>Corte anual cerrado</x:v>
      </x:c>
    </x:row>
    <x:row r="40" ht="18" customHeight="1">
      <x:c r="A40" s="46" t="n">
        <x:v>2023</x:v>
      </x:c>
      <x:c r="B40" s="63" t="n">
        <x:v>5</x:v>
      </x:c>
      <x:c r="C40" s="63" t="str">
        <x:v>Mayo</x:v>
      </x:c>
      <x:c r="D40" s="63" t="str">
        <x:v>T2</x:v>
      </x:c>
      <x:c r="E40" s="71" t="n">
        <x:v>45077</x:v>
      </x:c>
      <x:c r="F40" s="63" t="str">
        <x:v>Medicina preventiva y del trabajo</x:v>
      </x:c>
      <x:c r="G40" s="63" t="str">
        <x:v>Vigilancia epidemiológica</x:v>
      </x:c>
      <x:c r="H40" s="63" t="str">
        <x:v>Evaluación de riesgo psicosocial y actividades de intervención</x:v>
      </x:c>
      <x:c r="I40" s="63" t="str">
        <x:v>Servicio</x:v>
      </x:c>
      <x:c r="J40" s="63" t="str">
        <x:v>Alta</x:v>
      </x:c>
      <x:c r="K40" s="63" t="str">
        <x:v>Periódica</x:v>
      </x:c>
      <x:c r="L40" s="63" t="str">
        <x:v>Actividad</x:v>
      </x:c>
      <x:c r="M40" s="63" t="n">
        <x:v>6</x:v>
      </x:c>
      <x:c r="N40" s="63" t="str">
        <x:v>Psicología / SST</x:v>
      </x:c>
      <x:c r="O40" s="63" t="str">
        <x:v>Presupuesto SG-SST</x:v>
      </x:c>
      <x:c r="P40" s="63" t="str">
        <x:v>Informe técnico, evidencia, plan de intervención</x:v>
      </x:c>
      <x:c r="Q40" s="79" t="n">
        <x:v>339500</x:v>
      </x:c>
      <x:c r="R40" s="79" t="n">
        <x:v>335987</x:v>
      </x:c>
      <x:c r="S40" s="79" t="n">
        <x:v>-3513</x:v>
      </x:c>
      <x:c r="T40" s="75" t="n">
        <x:v>0.9896524300441826</x:v>
      </x:c>
      <x:c r="U40" s="63" t="str">
        <x:v>Ejecutado</x:v>
      </x:c>
      <x:c r="V40" s="63" t="str">
        <x:v>Actividad ejecutada dentro del rango esperado.</x:v>
      </x:c>
      <x:c r="W40" s="47" t="str">
        <x:v>Corte anual cerrado</x:v>
      </x:c>
    </x:row>
    <x:row r="41" ht="18" customHeight="1">
      <x:c r="A41" s="46" t="n">
        <x:v>2023</x:v>
      </x:c>
      <x:c r="B41" s="63" t="n">
        <x:v>5</x:v>
      </x:c>
      <x:c r="C41" s="63" t="str">
        <x:v>Mayo</x:v>
      </x:c>
      <x:c r="D41" s="63" t="str">
        <x:v>T2</x:v>
      </x:c>
      <x:c r="E41" s="71" t="n">
        <x:v>45077</x:v>
      </x:c>
      <x:c r="F41" s="63" t="str">
        <x:v>Recursos y gestión financiera</x:v>
      </x:c>
      <x:c r="G41" s="63" t="str">
        <x:v>Planeación y recursos</x:v>
      </x:c>
      <x:c r="H41" s="63" t="str">
        <x:v>Exámenes médicos ocupacionales</x:v>
      </x:c>
      <x:c r="I41" s="63" t="str">
        <x:v>Servicio</x:v>
      </x:c>
      <x:c r="J41" s="63" t="str">
        <x:v>Alta</x:v>
      </x:c>
      <x:c r="K41" s="63" t="str">
        <x:v>Semestral</x:v>
      </x:c>
      <x:c r="L41" s="63" t="str">
        <x:v>Jornada</x:v>
      </x:c>
      <x:c r="M41" s="63" t="n">
        <x:v>2</x:v>
      </x:c>
      <x:c r="N41" s="63" t="str">
        <x:v>Coordinación SST</x:v>
      </x:c>
      <x:c r="O41" s="63" t="str">
        <x:v>Presupuesto SG-SST</x:v>
      </x:c>
      <x:c r="P41" s="63" t="str">
        <x:v>Orden de servicio, factura, concepto médico</x:v>
      </x:c>
      <x:c r="Q41" s="79" t="n">
        <x:v>116400</x:v>
      </x:c>
      <x:c r="R41" s="79" t="n">
        <x:v>114976</x:v>
      </x:c>
      <x:c r="S41" s="79" t="n">
        <x:v>-1424</x:v>
      </x:c>
      <x:c r="T41" s="75" t="n">
        <x:v>0.987766323024055</x:v>
      </x:c>
      <x:c r="U41" s="63" t="str">
        <x:v>Ejecutado</x:v>
      </x:c>
      <x:c r="V41" s="63" t="str">
        <x:v>Actividad ejecutada dentro del rango esperado.</x:v>
      </x:c>
      <x:c r="W41" s="47" t="str">
        <x:v>Corte anual cerrado</x:v>
      </x:c>
    </x:row>
    <x:row r="42" ht="18" customHeight="1">
      <x:c r="A42" s="46" t="n">
        <x:v>2023</x:v>
      </x:c>
      <x:c r="B42" s="63" t="n">
        <x:v>5</x:v>
      </x:c>
      <x:c r="C42" s="63" t="str">
        <x:v>Mayo</x:v>
      </x:c>
      <x:c r="D42" s="63" t="str">
        <x:v>T2</x:v>
      </x:c>
      <x:c r="E42" s="71" t="n">
        <x:v>45077</x:v>
      </x:c>
      <x:c r="F42" s="63" t="str">
        <x:v>Participación y consulta</x:v>
      </x:c>
      <x:c r="G42" s="63" t="str">
        <x:v>Comités de SST</x:v>
      </x:c>
      <x:c r="H42" s="63" t="str">
        <x:v>Gestión de COPASST y Comité de Convivencia</x:v>
      </x:c>
      <x:c r="I42" s="63" t="str">
        <x:v>Operativo</x:v>
      </x:c>
      <x:c r="J42" s="63" t="str">
        <x:v>Media</x:v>
      </x:c>
      <x:c r="K42" s="63" t="str">
        <x:v>Mensual</x:v>
      </x:c>
      <x:c r="L42" s="63" t="str">
        <x:v>Reunión</x:v>
      </x:c>
      <x:c r="M42" s="63" t="n">
        <x:v>12</x:v>
      </x:c>
      <x:c r="N42" s="63" t="str">
        <x:v>Talento Humano / SST</x:v>
      </x:c>
      <x:c r="O42" s="63" t="str">
        <x:v>Presupuesto SG-SST</x:v>
      </x:c>
      <x:c r="P42" s="63" t="str">
        <x:v>Acta, convocatoria, seguimiento compromisos</x:v>
      </x:c>
      <x:c r="Q42" s="79" t="n">
        <x:v>174600</x:v>
      </x:c>
      <x:c r="R42" s="79" t="n">
        <x:v>175784</x:v>
      </x:c>
      <x:c r="S42" s="79" t="n">
        <x:v>1184</x:v>
      </x:c>
      <x:c r="T42" s="75" t="n">
        <x:v>1.0067812142038945</x:v>
      </x:c>
      <x:c r="U42" s="63" t="str">
        <x:v>Ejecutado</x:v>
      </x:c>
      <x:c r="V42" s="63" t="str">
        <x:v>Actividad ejecutada dentro del rango esperado.</x:v>
      </x:c>
      <x:c r="W42" s="47" t="str">
        <x:v>Corte anual cerrado</x:v>
      </x:c>
    </x:row>
    <x:row r="43" ht="18" customHeight="1">
      <x:c r="A43" s="46" t="n">
        <x:v>2023</x:v>
      </x:c>
      <x:c r="B43" s="63" t="n">
        <x:v>5</x:v>
      </x:c>
      <x:c r="C43" s="63" t="str">
        <x:v>Mayo</x:v>
      </x:c>
      <x:c r="D43" s="63" t="str">
        <x:v>T2</x:v>
      </x:c>
      <x:c r="E43" s="71" t="n">
        <x:v>45077</x:v>
      </x:c>
      <x:c r="F43" s="63" t="str">
        <x:v>Higiene y seguridad industrial</x:v>
      </x:c>
      <x:c r="G43" s="63" t="str">
        <x:v>Inspecciones y control</x:v>
      </x:c>
      <x:c r="H43" s="63" t="str">
        <x:v>Inspecciones planeadas de seguridad</x:v>
      </x:c>
      <x:c r="I43" s="63" t="str">
        <x:v>Operativo</x:v>
      </x:c>
      <x:c r="J43" s="63" t="str">
        <x:v>Media</x:v>
      </x:c>
      <x:c r="K43" s="63" t="str">
        <x:v>Mensual</x:v>
      </x:c>
      <x:c r="L43" s="63" t="str">
        <x:v>Inspección</x:v>
      </x:c>
      <x:c r="M43" s="63" t="n">
        <x:v>12</x:v>
      </x:c>
      <x:c r="N43" s="63" t="str">
        <x:v>Inspector SST</x:v>
      </x:c>
      <x:c r="O43" s="63" t="str">
        <x:v>Presupuesto SG-SST</x:v>
      </x:c>
      <x:c r="P43" s="63" t="str">
        <x:v>Lista de chequeo, informe, evidencia fotográfica</x:v>
      </x:c>
      <x:c r="Q43" s="79" t="n">
        <x:v>261900</x:v>
      </x:c>
      <x:c r="R43" s="79" t="n">
        <x:v>262587</x:v>
      </x:c>
      <x:c r="S43" s="79" t="n">
        <x:v>687</x:v>
      </x:c>
      <x:c r="T43" s="75" t="n">
        <x:v>1.00262313860252</x:v>
      </x:c>
      <x:c r="U43" s="63" t="str">
        <x:v>Ejecutado</x:v>
      </x:c>
      <x:c r="V43" s="63" t="str">
        <x:v>Actividad ejecutada dentro del rango esperado.</x:v>
      </x:c>
      <x:c r="W43" s="47" t="str">
        <x:v>Corte anual cerrado</x:v>
      </x:c>
    </x:row>
    <x:row r="44" ht="18" customHeight="1">
      <x:c r="A44" s="46" t="n">
        <x:v>2023</x:v>
      </x:c>
      <x:c r="B44" s="63" t="n">
        <x:v>5</x:v>
      </x:c>
      <x:c r="C44" s="63" t="str">
        <x:v>Mayo</x:v>
      </x:c>
      <x:c r="D44" s="63" t="str">
        <x:v>T2</x:v>
      </x:c>
      <x:c r="E44" s="71" t="n">
        <x:v>45077</x:v>
      </x:c>
      <x:c r="F44" s="63" t="str">
        <x:v>Mejora continua y cumplimiento</x:v>
      </x:c>
      <x:c r="G44" s="63" t="str">
        <x:v>Gestión de incidentes y mejora</x:v>
      </x:c>
      <x:c r="H44" s="63" t="str">
        <x:v>Investigación de AT/EL y acciones correctivas</x:v>
      </x:c>
      <x:c r="I44" s="63" t="str">
        <x:v>Operativo</x:v>
      </x:c>
      <x:c r="J44" s="63" t="str">
        <x:v>Media</x:v>
      </x:c>
      <x:c r="K44" s="63" t="str">
        <x:v>Mensual</x:v>
      </x:c>
      <x:c r="L44" s="63" t="str">
        <x:v>Seguimiento</x:v>
      </x:c>
      <x:c r="M44" s="63" t="n">
        <x:v>12</x:v>
      </x:c>
      <x:c r="N44" s="63" t="str">
        <x:v>SST / Jefes de área</x:v>
      </x:c>
      <x:c r="O44" s="63" t="str">
        <x:v>Presupuesto SG-SST</x:v>
      </x:c>
      <x:c r="P44" s="63" t="str">
        <x:v>Investigación, plan de acción, evidencia de cierre</x:v>
      </x:c>
      <x:c r="Q44" s="79" t="n">
        <x:v>218250</x:v>
      </x:c>
      <x:c r="R44" s="79" t="n">
        <x:v>204306</x:v>
      </x:c>
      <x:c r="S44" s="79" t="n">
        <x:v>-13944</x:v>
      </x:c>
      <x:c r="T44" s="75" t="n">
        <x:v>0.9361099656357388</x:v>
      </x:c>
      <x:c r="U44" s="63" t="str">
        <x:v>Parcial</x:v>
      </x:c>
      <x:c r="V44" s="63" t="str">
        <x:v>Actividad con ejecución parcial o cierre financiero pendiente.</x:v>
      </x:c>
      <x:c r="W44" s="47" t="str">
        <x:v>Corte anual cerrado</x:v>
      </x:c>
    </x:row>
    <x:row r="45" ht="18" customHeight="1">
      <x:c r="A45" s="46" t="n">
        <x:v>2023</x:v>
      </x:c>
      <x:c r="B45" s="63" t="n">
        <x:v>5</x:v>
      </x:c>
      <x:c r="C45" s="63" t="str">
        <x:v>Mayo</x:v>
      </x:c>
      <x:c r="D45" s="63" t="str">
        <x:v>T2</x:v>
      </x:c>
      <x:c r="E45" s="71" t="n">
        <x:v>45077</x:v>
      </x:c>
      <x:c r="F45" s="63" t="str">
        <x:v>Medicina preventiva y del trabajo</x:v>
      </x:c>
      <x:c r="G45" s="63" t="str">
        <x:v>Programas de vigilancia epidemiológica</x:v>
      </x:c>
      <x:c r="H45" s="63" t="str">
        <x:v>Programas de vigilancia epidemiológica y seguimiento médico</x:v>
      </x:c>
      <x:c r="I45" s="63" t="str">
        <x:v>Servicio</x:v>
      </x:c>
      <x:c r="J45" s="63" t="str">
        <x:v>Alta</x:v>
      </x:c>
      <x:c r="K45" s="63" t="str">
        <x:v>Mensual</x:v>
      </x:c>
      <x:c r="L45" s="63" t="str">
        <x:v>Seguimiento</x:v>
      </x:c>
      <x:c r="M45" s="63" t="n">
        <x:v>12</x:v>
      </x:c>
      <x:c r="N45" s="63" t="str">
        <x:v>Médico laboral / SST</x:v>
      </x:c>
      <x:c r="O45" s="63" t="str">
        <x:v>Presupuesto SG-SST</x:v>
      </x:c>
      <x:c r="P45" s="63" t="str">
        <x:v>Base de seguimiento, informe, remisiones</x:v>
      </x:c>
      <x:c r="Q45" s="79" t="n">
        <x:v>543200</x:v>
      </x:c>
      <x:c r="R45" s="79" t="n">
        <x:v>531003</x:v>
      </x:c>
      <x:c r="S45" s="79" t="n">
        <x:v>-12197</x:v>
      </x:c>
      <x:c r="T45" s="75" t="n">
        <x:v>0.9775460235640648</x:v>
      </x:c>
      <x:c r="U45" s="63" t="str">
        <x:v>Parcial</x:v>
      </x:c>
      <x:c r="V45" s="63" t="str">
        <x:v>Actividad con ejecución parcial o cierre financiero pendiente.</x:v>
      </x:c>
      <x:c r="W45" s="47" t="str">
        <x:v>Corte anual cerrado</x:v>
      </x:c>
    </x:row>
    <x:row r="46" ht="18" customHeight="1">
      <x:c r="A46" s="46" t="n">
        <x:v>2023</x:v>
      </x:c>
      <x:c r="B46" s="63" t="n">
        <x:v>5</x:v>
      </x:c>
      <x:c r="C46" s="63" t="str">
        <x:v>Mayo</x:v>
      </x:c>
      <x:c r="D46" s="63" t="str">
        <x:v>T2</x:v>
      </x:c>
      <x:c r="E46" s="71" t="n">
        <x:v>45077</x:v>
      </x:c>
      <x:c r="F46" s="63" t="str">
        <x:v>Higiene y seguridad industrial</x:v>
      </x:c>
      <x:c r="G46" s="63" t="str">
        <x:v>Señalización y control visual</x:v>
      </x:c>
      <x:c r="H46" s="63" t="str">
        <x:v>Señalización, demarcación y avisos de seguridad</x:v>
      </x:c>
      <x:c r="I46" s="63" t="str">
        <x:v>Operativo</x:v>
      </x:c>
      <x:c r="J46" s="63" t="str">
        <x:v>Media</x:v>
      </x:c>
      <x:c r="K46" s="63" t="str">
        <x:v>Periódica</x:v>
      </x:c>
      <x:c r="L46" s="63" t="str">
        <x:v>Intervención</x:v>
      </x:c>
      <x:c r="M46" s="63" t="n">
        <x:v>5</x:v>
      </x:c>
      <x:c r="N46" s="63" t="str">
        <x:v>SST / Mantenimiento</x:v>
      </x:c>
      <x:c r="O46" s="63" t="str">
        <x:v>Presupuesto SG-SST</x:v>
      </x:c>
      <x:c r="P46" s="63" t="str">
        <x:v>Acta de instalación, factura, inventario</x:v>
      </x:c>
      <x:c r="Q46" s="79" t="n">
        <x:v>363750</x:v>
      </x:c>
      <x:c r="R46" s="79" t="n">
        <x:v>341189</x:v>
      </x:c>
      <x:c r="S46" s="79" t="n">
        <x:v>-22561</x:v>
      </x:c>
      <x:c r="T46" s="75" t="n">
        <x:v>0.9379766323024055</x:v>
      </x:c>
      <x:c r="U46" s="63" t="str">
        <x:v>Parcial</x:v>
      </x:c>
      <x:c r="V46" s="63" t="str">
        <x:v>Actividad con ejecución parcial o cierre financiero pendiente.</x:v>
      </x:c>
      <x:c r="W46" s="47" t="str">
        <x:v>Corte anual cerrado</x:v>
      </x:c>
    </x:row>
    <x:row r="47" ht="18" customHeight="1">
      <x:c r="A47" s="46" t="n">
        <x:v>2023</x:v>
      </x:c>
      <x:c r="B47" s="63" t="n">
        <x:v>6</x:v>
      </x:c>
      <x:c r="C47" s="63" t="str">
        <x:v>Junio</x:v>
      </x:c>
      <x:c r="D47" s="63" t="str">
        <x:v>T2</x:v>
      </x:c>
      <x:c r="E47" s="71" t="n">
        <x:v>45107</x:v>
      </x:c>
      <x:c r="F47" s="63" t="str">
        <x:v>Mejora continua y cumplimiento</x:v>
      </x:c>
      <x:c r="G47" s="63" t="str">
        <x:v>Auditoría y revisión por la dirección</x:v>
      </x:c>
      <x:c r="H47" s="63" t="str">
        <x:v>Auditoría interna, autoevaluación y revisión gerencial</x:v>
      </x:c>
      <x:c r="I47" s="63" t="str">
        <x:v>Servicio</x:v>
      </x:c>
      <x:c r="J47" s="63" t="str">
        <x:v>Alta</x:v>
      </x:c>
      <x:c r="K47" s="63" t="str">
        <x:v>Trimestral</x:v>
      </x:c>
      <x:c r="L47" s="63" t="str">
        <x:v>Hito</x:v>
      </x:c>
      <x:c r="M47" s="63" t="n">
        <x:v>4</x:v>
      </x:c>
      <x:c r="N47" s="63" t="str">
        <x:v>Líder HSEQ / Gerencia</x:v>
      </x:c>
      <x:c r="O47" s="63" t="str">
        <x:v>Presupuesto SG-SST</x:v>
      </x:c>
      <x:c r="P47" s="63" t="str">
        <x:v>Informe de auditoría, acta, plan de mejora</x:v>
      </x:c>
      <x:c r="Q47" s="79" t="n">
        <x:v>388000</x:v>
      </x:c>
      <x:c r="R47" s="79" t="n">
        <x:v>364080</x:v>
      </x:c>
      <x:c r="S47" s="79" t="n">
        <x:v>-23920</x:v>
      </x:c>
      <x:c r="T47" s="75" t="n">
        <x:v>0.9383505154639176</x:v>
      </x:c>
      <x:c r="U47" s="63" t="str">
        <x:v>Parcial</x:v>
      </x:c>
      <x:c r="V47" s="63" t="str">
        <x:v>Actividad con ejecución parcial o cierre financiero pendiente.</x:v>
      </x:c>
      <x:c r="W47" s="47" t="str">
        <x:v>Corte anual cerrado</x:v>
      </x:c>
    </x:row>
    <x:row r="48" ht="18" customHeight="1">
      <x:c r="A48" s="46" t="n">
        <x:v>2023</x:v>
      </x:c>
      <x:c r="B48" s="63" t="n">
        <x:v>6</x:v>
      </x:c>
      <x:c r="C48" s="63" t="str">
        <x:v>Junio</x:v>
      </x:c>
      <x:c r="D48" s="63" t="str">
        <x:v>T2</x:v>
      </x:c>
      <x:c r="E48" s="71" t="n">
        <x:v>45107</x:v>
      </x:c>
      <x:c r="F48" s="63" t="str">
        <x:v>Capacitación y entrenamiento</x:v>
      </x:c>
      <x:c r="G48" s="63" t="str">
        <x:v>Plan anual de formación</x:v>
      </x:c>
      <x:c r="H48" s="63" t="str">
        <x:v>Capacitación y entrenamiento en SG-SST</x:v>
      </x:c>
      <x:c r="I48" s="63" t="str">
        <x:v>Operativo</x:v>
      </x:c>
      <x:c r="J48" s="63" t="str">
        <x:v>Alta</x:v>
      </x:c>
      <x:c r="K48" s="63" t="str">
        <x:v>Mensual</x:v>
      </x:c>
      <x:c r="L48" s="63" t="str">
        <x:v>Jornada</x:v>
      </x:c>
      <x:c r="M48" s="63" t="n">
        <x:v>12</x:v>
      </x:c>
      <x:c r="N48" s="63" t="str">
        <x:v>Coordinación SST</x:v>
      </x:c>
      <x:c r="O48" s="63" t="str">
        <x:v>Presupuesto SG-SST</x:v>
      </x:c>
      <x:c r="P48" s="63" t="str">
        <x:v>Lista de asistencia, evaluación, acta</x:v>
      </x:c>
      <x:c r="Q48" s="79" t="n">
        <x:v>388000</x:v>
      </x:c>
      <x:c r="R48" s="79" t="n">
        <x:v>367983</x:v>
      </x:c>
      <x:c r="S48" s="79" t="n">
        <x:v>-20017</x:v>
      </x:c>
      <x:c r="T48" s="75" t="n">
        <x:v>0.948409793814433</x:v>
      </x:c>
      <x:c r="U48" s="63" t="str">
        <x:v>Parcial</x:v>
      </x:c>
      <x:c r="V48" s="63" t="str">
        <x:v>Actividad con ejecución parcial o cierre financiero pendiente.</x:v>
      </x:c>
      <x:c r="W48" s="47" t="str">
        <x:v>Corte anual cerrado</x:v>
      </x:c>
    </x:row>
    <x:row r="49" ht="18" customHeight="1">
      <x:c r="A49" s="46" t="n">
        <x:v>2023</x:v>
      </x:c>
      <x:c r="B49" s="63" t="n">
        <x:v>6</x:v>
      </x:c>
      <x:c r="C49" s="63" t="str">
        <x:v>Junio</x:v>
      </x:c>
      <x:c r="D49" s="63" t="str">
        <x:v>T2</x:v>
      </x:c>
      <x:c r="E49" s="71" t="n">
        <x:v>45107</x:v>
      </x:c>
      <x:c r="F49" s="63" t="str">
        <x:v>Medicina preventiva y del trabajo</x:v>
      </x:c>
      <x:c r="G49" s="63" t="str">
        <x:v>Vigilancia epidemiológica</x:v>
      </x:c>
      <x:c r="H49" s="63" t="str">
        <x:v>Evaluación de riesgo psicosocial y actividades de intervención</x:v>
      </x:c>
      <x:c r="I49" s="63" t="str">
        <x:v>Servicio</x:v>
      </x:c>
      <x:c r="J49" s="63" t="str">
        <x:v>Alta</x:v>
      </x:c>
      <x:c r="K49" s="63" t="str">
        <x:v>Periódica</x:v>
      </x:c>
      <x:c r="L49" s="63" t="str">
        <x:v>Actividad</x:v>
      </x:c>
      <x:c r="M49" s="63" t="n">
        <x:v>6</x:v>
      </x:c>
      <x:c r="N49" s="63" t="str">
        <x:v>Psicología / SST</x:v>
      </x:c>
      <x:c r="O49" s="63" t="str">
        <x:v>Presupuesto SG-SST</x:v>
      </x:c>
      <x:c r="P49" s="63" t="str">
        <x:v>Informe técnico, evidencia, plan de intervención</x:v>
      </x:c>
      <x:c r="Q49" s="79" t="n">
        <x:v>339500</x:v>
      </x:c>
      <x:c r="R49" s="79" t="n">
        <x:v>332529</x:v>
      </x:c>
      <x:c r="S49" s="79" t="n">
        <x:v>-6971</x:v>
      </x:c>
      <x:c r="T49" s="75" t="n">
        <x:v>0.9794668630338733</x:v>
      </x:c>
      <x:c r="U49" s="63" t="str">
        <x:v>Parcial</x:v>
      </x:c>
      <x:c r="V49" s="63" t="str">
        <x:v>Actividad con ejecución parcial o cierre financiero pendiente.</x:v>
      </x:c>
      <x:c r="W49" s="47" t="str">
        <x:v>Corte anual cerrado</x:v>
      </x:c>
    </x:row>
    <x:row r="50" ht="18" customHeight="1">
      <x:c r="A50" s="46" t="n">
        <x:v>2023</x:v>
      </x:c>
      <x:c r="B50" s="63" t="n">
        <x:v>6</x:v>
      </x:c>
      <x:c r="C50" s="63" t="str">
        <x:v>Junio</x:v>
      </x:c>
      <x:c r="D50" s="63" t="str">
        <x:v>T2</x:v>
      </x:c>
      <x:c r="E50" s="71" t="n">
        <x:v>45107</x:v>
      </x:c>
      <x:c r="F50" s="63" t="str">
        <x:v>Recursos y gestión financiera</x:v>
      </x:c>
      <x:c r="G50" s="63" t="str">
        <x:v>Planeación y recursos</x:v>
      </x:c>
      <x:c r="H50" s="63" t="str">
        <x:v>Exámenes médicos ocupacionales</x:v>
      </x:c>
      <x:c r="I50" s="63" t="str">
        <x:v>Servicio</x:v>
      </x:c>
      <x:c r="J50" s="63" t="str">
        <x:v>Alta</x:v>
      </x:c>
      <x:c r="K50" s="63" t="str">
        <x:v>Semestral</x:v>
      </x:c>
      <x:c r="L50" s="63" t="str">
        <x:v>Jornada</x:v>
      </x:c>
      <x:c r="M50" s="63" t="n">
        <x:v>2</x:v>
      </x:c>
      <x:c r="N50" s="63" t="str">
        <x:v>Coordinación SST</x:v>
      </x:c>
      <x:c r="O50" s="63" t="str">
        <x:v>Presupuesto SG-SST</x:v>
      </x:c>
      <x:c r="P50" s="63" t="str">
        <x:v>Orden de servicio, factura, concepto médico</x:v>
      </x:c>
      <x:c r="Q50" s="79" t="n">
        <x:v>174600</x:v>
      </x:c>
      <x:c r="R50" s="79" t="n">
        <x:v>158636</x:v>
      </x:c>
      <x:c r="S50" s="79" t="n">
        <x:v>-15964</x:v>
      </x:c>
      <x:c r="T50" s="75" t="n">
        <x:v>0.9085681557846507</x:v>
      </x:c>
      <x:c r="U50" s="63" t="str">
        <x:v>Parcial</x:v>
      </x:c>
      <x:c r="V50" s="63" t="str">
        <x:v>Actividad con ejecución parcial o cierre financiero pendiente.</x:v>
      </x:c>
      <x:c r="W50" s="47" t="str">
        <x:v>Corte anual cerrado</x:v>
      </x:c>
    </x:row>
    <x:row r="51" ht="18" customHeight="1">
      <x:c r="A51" s="46" t="n">
        <x:v>2023</x:v>
      </x:c>
      <x:c r="B51" s="63" t="n">
        <x:v>6</x:v>
      </x:c>
      <x:c r="C51" s="63" t="str">
        <x:v>Junio</x:v>
      </x:c>
      <x:c r="D51" s="63" t="str">
        <x:v>T2</x:v>
      </x:c>
      <x:c r="E51" s="71" t="n">
        <x:v>45107</x:v>
      </x:c>
      <x:c r="F51" s="63" t="str">
        <x:v>Participación y consulta</x:v>
      </x:c>
      <x:c r="G51" s="63" t="str">
        <x:v>Comités de SST</x:v>
      </x:c>
      <x:c r="H51" s="63" t="str">
        <x:v>Gestión de COPASST y Comité de Convivencia</x:v>
      </x:c>
      <x:c r="I51" s="63" t="str">
        <x:v>Operativo</x:v>
      </x:c>
      <x:c r="J51" s="63" t="str">
        <x:v>Media</x:v>
      </x:c>
      <x:c r="K51" s="63" t="str">
        <x:v>Mensual</x:v>
      </x:c>
      <x:c r="L51" s="63" t="str">
        <x:v>Reunión</x:v>
      </x:c>
      <x:c r="M51" s="63" t="n">
        <x:v>12</x:v>
      </x:c>
      <x:c r="N51" s="63" t="str">
        <x:v>Talento Humano / SST</x:v>
      </x:c>
      <x:c r="O51" s="63" t="str">
        <x:v>Presupuesto SG-SST</x:v>
      </x:c>
      <x:c r="P51" s="63" t="str">
        <x:v>Acta, convocatoria, seguimiento compromisos</x:v>
      </x:c>
      <x:c r="Q51" s="79" t="n">
        <x:v>155200</x:v>
      </x:c>
      <x:c r="R51" s="79" t="n">
        <x:v>134963</x:v>
      </x:c>
      <x:c r="S51" s="79" t="n">
        <x:v>-20237</x:v>
      </x:c>
      <x:c r="T51" s="75" t="n">
        <x:v>0.8696069587628866</x:v>
      </x:c>
      <x:c r="U51" s="63" t="str">
        <x:v>Parcial</x:v>
      </x:c>
      <x:c r="V51" s="63" t="str">
        <x:v>Actividad con ejecución parcial o cierre financiero pendiente.</x:v>
      </x:c>
      <x:c r="W51" s="47" t="str">
        <x:v>Corte anual cerrado</x:v>
      </x:c>
    </x:row>
    <x:row r="52" ht="18" customHeight="1">
      <x:c r="A52" s="46" t="n">
        <x:v>2023</x:v>
      </x:c>
      <x:c r="B52" s="63" t="n">
        <x:v>6</x:v>
      </x:c>
      <x:c r="C52" s="63" t="str">
        <x:v>Junio</x:v>
      </x:c>
      <x:c r="D52" s="63" t="str">
        <x:v>T2</x:v>
      </x:c>
      <x:c r="E52" s="71" t="n">
        <x:v>45107</x:v>
      </x:c>
      <x:c r="F52" s="63" t="str">
        <x:v>Higiene y seguridad industrial</x:v>
      </x:c>
      <x:c r="G52" s="63" t="str">
        <x:v>Inspecciones y control</x:v>
      </x:c>
      <x:c r="H52" s="63" t="str">
        <x:v>Inspecciones planeadas de seguridad</x:v>
      </x:c>
      <x:c r="I52" s="63" t="str">
        <x:v>Operativo</x:v>
      </x:c>
      <x:c r="J52" s="63" t="str">
        <x:v>Media</x:v>
      </x:c>
      <x:c r="K52" s="63" t="str">
        <x:v>Mensual</x:v>
      </x:c>
      <x:c r="L52" s="63" t="str">
        <x:v>Inspección</x:v>
      </x:c>
      <x:c r="M52" s="63" t="n">
        <x:v>12</x:v>
      </x:c>
      <x:c r="N52" s="63" t="str">
        <x:v>Inspector SST</x:v>
      </x:c>
      <x:c r="O52" s="63" t="str">
        <x:v>Presupuesto SG-SST</x:v>
      </x:c>
      <x:c r="P52" s="63" t="str">
        <x:v>Lista de chequeo, informe, evidencia fotográfica</x:v>
      </x:c>
      <x:c r="Q52" s="79" t="n">
        <x:v>232800</x:v>
      </x:c>
      <x:c r="R52" s="79" t="n">
        <x:v>207216</x:v>
      </x:c>
      <x:c r="S52" s="79" t="n">
        <x:v>-25584</x:v>
      </x:c>
      <x:c r="T52" s="75" t="n">
        <x:v>0.8901030927835052</x:v>
      </x:c>
      <x:c r="U52" s="63" t="str">
        <x:v>Parcial</x:v>
      </x:c>
      <x:c r="V52" s="63" t="str">
        <x:v>Actividad con ejecución parcial o cierre financiero pendiente.</x:v>
      </x:c>
      <x:c r="W52" s="47" t="str">
        <x:v>Corte anual cerrado</x:v>
      </x:c>
    </x:row>
    <x:row r="53" ht="18" customHeight="1">
      <x:c r="A53" s="46" t="n">
        <x:v>2023</x:v>
      </x:c>
      <x:c r="B53" s="63" t="n">
        <x:v>6</x:v>
      </x:c>
      <x:c r="C53" s="63" t="str">
        <x:v>Junio</x:v>
      </x:c>
      <x:c r="D53" s="63" t="str">
        <x:v>T2</x:v>
      </x:c>
      <x:c r="E53" s="71" t="n">
        <x:v>45107</x:v>
      </x:c>
      <x:c r="F53" s="63" t="str">
        <x:v>Mejora continua y cumplimiento</x:v>
      </x:c>
      <x:c r="G53" s="63" t="str">
        <x:v>Gestión de incidentes y mejora</x:v>
      </x:c>
      <x:c r="H53" s="63" t="str">
        <x:v>Investigación de AT/EL y acciones correctivas</x:v>
      </x:c>
      <x:c r="I53" s="63" t="str">
        <x:v>Operativo</x:v>
      </x:c>
      <x:c r="J53" s="63" t="str">
        <x:v>Media</x:v>
      </x:c>
      <x:c r="K53" s="63" t="str">
        <x:v>Mensual</x:v>
      </x:c>
      <x:c r="L53" s="63" t="str">
        <x:v>Seguimiento</x:v>
      </x:c>
      <x:c r="M53" s="63" t="n">
        <x:v>12</x:v>
      </x:c>
      <x:c r="N53" s="63" t="str">
        <x:v>SST / Jefes de área</x:v>
      </x:c>
      <x:c r="O53" s="63" t="str">
        <x:v>Presupuesto SG-SST</x:v>
      </x:c>
      <x:c r="P53" s="63" t="str">
        <x:v>Investigación, plan de acción, evidencia de cierre</x:v>
      </x:c>
      <x:c r="Q53" s="79" t="n">
        <x:v>194000</x:v>
      </x:c>
      <x:c r="R53" s="79" t="n">
        <x:v>168854</x:v>
      </x:c>
      <x:c r="S53" s="79" t="n">
        <x:v>-25146</x:v>
      </x:c>
      <x:c r="T53" s="75" t="n">
        <x:v>0.870381443298969</x:v>
      </x:c>
      <x:c r="U53" s="63" t="str">
        <x:v>Parcial</x:v>
      </x:c>
      <x:c r="V53" s="63" t="str">
        <x:v>Actividad con ejecución parcial o cierre financiero pendiente.</x:v>
      </x:c>
      <x:c r="W53" s="47" t="str">
        <x:v>Corte anual cerrado</x:v>
      </x:c>
    </x:row>
    <x:row r="54" ht="18" customHeight="1">
      <x:c r="A54" s="46" t="n">
        <x:v>2023</x:v>
      </x:c>
      <x:c r="B54" s="63" t="n">
        <x:v>6</x:v>
      </x:c>
      <x:c r="C54" s="63" t="str">
        <x:v>Junio</x:v>
      </x:c>
      <x:c r="D54" s="63" t="str">
        <x:v>T2</x:v>
      </x:c>
      <x:c r="E54" s="71" t="n">
        <x:v>45107</x:v>
      </x:c>
      <x:c r="F54" s="63" t="str">
        <x:v>Emergencias e infraestructura</x:v>
      </x:c>
      <x:c r="G54" s="63" t="str">
        <x:v>Preparación y respuesta ante emergencias</x:v>
      </x:c>
      <x:c r="H54" s="63" t="str">
        <x:v>Mantenimiento de extintores, botiquines y equipos de emergencia</x:v>
      </x:c>
      <x:c r="I54" s="63" t="str">
        <x:v>Servicio</x:v>
      </x:c>
      <x:c r="J54" s="63" t="str">
        <x:v>Alta</x:v>
      </x:c>
      <x:c r="K54" s="63" t="str">
        <x:v>Bimestral / semestral</x:v>
      </x:c>
      <x:c r="L54" s="63" t="str">
        <x:v>Mantenimiento</x:v>
      </x:c>
      <x:c r="M54" s="63" t="n">
        <x:v>6</x:v>
      </x:c>
      <x:c r="N54" s="63" t="str">
        <x:v>Brigada / SST</x:v>
      </x:c>
      <x:c r="O54" s="63" t="str">
        <x:v>Presupuesto SG-SST</x:v>
      </x:c>
      <x:c r="P54" s="63" t="str">
        <x:v>Certificado, factura, hoja de vida del equipo</x:v>
      </x:c>
      <x:c r="Q54" s="79" t="n">
        <x:v>853600</x:v>
      </x:c>
      <x:c r="R54" s="79" t="n">
        <x:v>841870</x:v>
      </x:c>
      <x:c r="S54" s="79" t="n">
        <x:v>-11730</x:v>
      </x:c>
      <x:c r="T54" s="75" t="n">
        <x:v>0.9862582005623243</x:v>
      </x:c>
      <x:c r="U54" s="63" t="str">
        <x:v>Ejecutado</x:v>
      </x:c>
      <x:c r="V54" s="63" t="str">
        <x:v>Actividad ejecutada dentro del rango esperado.</x:v>
      </x:c>
      <x:c r="W54" s="47" t="str">
        <x:v>Corte anual cerrado</x:v>
      </x:c>
    </x:row>
    <x:row r="55" ht="18" customHeight="1">
      <x:c r="A55" s="46" t="n">
        <x:v>2023</x:v>
      </x:c>
      <x:c r="B55" s="63" t="n">
        <x:v>6</x:v>
      </x:c>
      <x:c r="C55" s="63" t="str">
        <x:v>Junio</x:v>
      </x:c>
      <x:c r="D55" s="63" t="str">
        <x:v>T2</x:v>
      </x:c>
      <x:c r="E55" s="71" t="n">
        <x:v>45107</x:v>
      </x:c>
      <x:c r="F55" s="63" t="str">
        <x:v>Medicina preventiva y del trabajo</x:v>
      </x:c>
      <x:c r="G55" s="63" t="str">
        <x:v>Programas de vigilancia epidemiológica</x:v>
      </x:c>
      <x:c r="H55" s="63" t="str">
        <x:v>Programas de vigilancia epidemiológica y seguimiento médico</x:v>
      </x:c>
      <x:c r="I55" s="63" t="str">
        <x:v>Servicio</x:v>
      </x:c>
      <x:c r="J55" s="63" t="str">
        <x:v>Alta</x:v>
      </x:c>
      <x:c r="K55" s="63" t="str">
        <x:v>Mensual</x:v>
      </x:c>
      <x:c r="L55" s="63" t="str">
        <x:v>Seguimiento</x:v>
      </x:c>
      <x:c r="M55" s="63" t="n">
        <x:v>12</x:v>
      </x:c>
      <x:c r="N55" s="63" t="str">
        <x:v>Médico laboral / SST</x:v>
      </x:c>
      <x:c r="O55" s="63" t="str">
        <x:v>Presupuesto SG-SST</x:v>
      </x:c>
      <x:c r="P55" s="63" t="str">
        <x:v>Base de seguimiento, informe, remisiones</x:v>
      </x:c>
      <x:c r="Q55" s="79" t="n">
        <x:v>543200</x:v>
      </x:c>
      <x:c r="R55" s="79" t="n">
        <x:v>541194</x:v>
      </x:c>
      <x:c r="S55" s="79" t="n">
        <x:v>-2006</x:v>
      </x:c>
      <x:c r="T55" s="75" t="n">
        <x:v>0.9963070692194403</x:v>
      </x:c>
      <x:c r="U55" s="63" t="str">
        <x:v>Ejecutado</x:v>
      </x:c>
      <x:c r="V55" s="63" t="str">
        <x:v>Actividad ejecutada dentro del rango esperado.</x:v>
      </x:c>
      <x:c r="W55" s="47" t="str">
        <x:v>Corte anual cerrado</x:v>
      </x:c>
    </x:row>
    <x:row r="56" ht="18" customHeight="1">
      <x:c r="A56" s="46" t="n">
        <x:v>2023</x:v>
      </x:c>
      <x:c r="B56" s="63" t="n">
        <x:v>7</x:v>
      </x:c>
      <x:c r="C56" s="63" t="str">
        <x:v>Julio</x:v>
      </x:c>
      <x:c r="D56" s="63" t="str">
        <x:v>T3</x:v>
      </x:c>
      <x:c r="E56" s="71" t="n">
        <x:v>45138</x:v>
      </x:c>
      <x:c r="F56" s="63" t="str">
        <x:v>Capacitación y entrenamiento</x:v>
      </x:c>
      <x:c r="G56" s="63" t="str">
        <x:v>Plan anual de formación</x:v>
      </x:c>
      <x:c r="H56" s="63" t="str">
        <x:v>Capacitación y entrenamiento en SG-SST</x:v>
      </x:c>
      <x:c r="I56" s="63" t="str">
        <x:v>Operativo</x:v>
      </x:c>
      <x:c r="J56" s="63" t="str">
        <x:v>Alta</x:v>
      </x:c>
      <x:c r="K56" s="63" t="str">
        <x:v>Mensual</x:v>
      </x:c>
      <x:c r="L56" s="63" t="str">
        <x:v>Jornada</x:v>
      </x:c>
      <x:c r="M56" s="63" t="n">
        <x:v>12</x:v>
      </x:c>
      <x:c r="N56" s="63" t="str">
        <x:v>Coordinación SST</x:v>
      </x:c>
      <x:c r="O56" s="63" t="str">
        <x:v>Presupuesto SG-SST</x:v>
      </x:c>
      <x:c r="P56" s="63" t="str">
        <x:v>Lista de asistencia, evaluación, acta</x:v>
      </x:c>
      <x:c r="Q56" s="79" t="n">
        <x:v>388000</x:v>
      </x:c>
      <x:c r="R56" s="79" t="n">
        <x:v>371962</x:v>
      </x:c>
      <x:c r="S56" s="79" t="n">
        <x:v>-16038</x:v>
      </x:c>
      <x:c r="T56" s="75" t="n">
        <x:v>0.9586649484536083</x:v>
      </x:c>
      <x:c r="U56" s="63" t="str">
        <x:v>Parcial</x:v>
      </x:c>
      <x:c r="V56" s="63" t="str">
        <x:v>Actividad con ejecución parcial o cierre financiero pendiente.</x:v>
      </x:c>
      <x:c r="W56" s="47" t="str">
        <x:v>Corte anual cerrado</x:v>
      </x:c>
    </x:row>
    <x:row r="57" ht="18" customHeight="1">
      <x:c r="A57" s="46" t="n">
        <x:v>2023</x:v>
      </x:c>
      <x:c r="B57" s="63" t="n">
        <x:v>7</x:v>
      </x:c>
      <x:c r="C57" s="63" t="str">
        <x:v>Julio</x:v>
      </x:c>
      <x:c r="D57" s="63" t="str">
        <x:v>T3</x:v>
      </x:c>
      <x:c r="E57" s="71" t="n">
        <x:v>45138</x:v>
      </x:c>
      <x:c r="F57" s="63" t="str">
        <x:v>Higiene y seguridad industrial</x:v>
      </x:c>
      <x:c r="G57" s="63" t="str">
        <x:v>Dotación y control operacional</x:v>
      </x:c>
      <x:c r="H57" s="63" t="str">
        <x:v>Dotación y reposición de EPP</x:v>
      </x:c>
      <x:c r="I57" s="63" t="str">
        <x:v>Operativo</x:v>
      </x:c>
      <x:c r="J57" s="63" t="str">
        <x:v>Alta</x:v>
      </x:c>
      <x:c r="K57" s="63" t="str">
        <x:v>Bimestral / trimestral</x:v>
      </x:c>
      <x:c r="L57" s="63" t="str">
        <x:v>Entrega</x:v>
      </x:c>
      <x:c r="M57" s="63" t="n">
        <x:v>6</x:v>
      </x:c>
      <x:c r="N57" s="63" t="str">
        <x:v>Coordinación SST / Compras</x:v>
      </x:c>
      <x:c r="O57" s="63" t="str">
        <x:v>Presupuesto SG-SST</x:v>
      </x:c>
      <x:c r="P57" s="63" t="str">
        <x:v>Formato de entrega, factura, remisión</x:v>
      </x:c>
      <x:c r="Q57" s="79" t="n">
        <x:v>1309500</x:v>
      </x:c>
      <x:c r="R57" s="79" t="n">
        <x:v>1274959</x:v>
      </x:c>
      <x:c r="S57" s="79" t="n">
        <x:v>-34541</x:v>
      </x:c>
      <x:c r="T57" s="75" t="n">
        <x:v>0.973622756777396</x:v>
      </x:c>
      <x:c r="U57" s="63" t="str">
        <x:v>Parcial</x:v>
      </x:c>
      <x:c r="V57" s="63" t="str">
        <x:v>Actividad con ejecución parcial o cierre financiero pendiente.</x:v>
      </x:c>
      <x:c r="W57" s="47" t="str">
        <x:v>Corte anual cerrado</x:v>
      </x:c>
    </x:row>
    <x:row r="58" ht="18" customHeight="1">
      <x:c r="A58" s="46" t="n">
        <x:v>2023</x:v>
      </x:c>
      <x:c r="B58" s="63" t="n">
        <x:v>7</x:v>
      </x:c>
      <x:c r="C58" s="63" t="str">
        <x:v>Julio</x:v>
      </x:c>
      <x:c r="D58" s="63" t="str">
        <x:v>T3</x:v>
      </x:c>
      <x:c r="E58" s="71" t="n">
        <x:v>45138</x:v>
      </x:c>
      <x:c r="F58" s="63" t="str">
        <x:v>Recursos y gestión financiera</x:v>
      </x:c>
      <x:c r="G58" s="63" t="str">
        <x:v>Planeación y recursos</x:v>
      </x:c>
      <x:c r="H58" s="63" t="str">
        <x:v>Exámenes médicos ocupacionales</x:v>
      </x:c>
      <x:c r="I58" s="63" t="str">
        <x:v>Servicio</x:v>
      </x:c>
      <x:c r="J58" s="63" t="str">
        <x:v>Alta</x:v>
      </x:c>
      <x:c r="K58" s="63" t="str">
        <x:v>Semestral</x:v>
      </x:c>
      <x:c r="L58" s="63" t="str">
        <x:v>Jornada</x:v>
      </x:c>
      <x:c r="M58" s="63" t="n">
        <x:v>2</x:v>
      </x:c>
      <x:c r="N58" s="63" t="str">
        <x:v>Coordinación SST</x:v>
      </x:c>
      <x:c r="O58" s="63" t="str">
        <x:v>Presupuesto SG-SST</x:v>
      </x:c>
      <x:c r="P58" s="63" t="str">
        <x:v>Orden de servicio, factura, concepto médico</x:v>
      </x:c>
      <x:c r="Q58" s="79" t="n">
        <x:v>989400</x:v>
      </x:c>
      <x:c r="R58" s="79" t="n">
        <x:v>937041</x:v>
      </x:c>
      <x:c r="S58" s="79" t="n">
        <x:v>-52359</x:v>
      </x:c>
      <x:c r="T58" s="75" t="n">
        <x:v>0.9470800485142511</x:v>
      </x:c>
      <x:c r="U58" s="63" t="str">
        <x:v>Parcial</x:v>
      </x:c>
      <x:c r="V58" s="63" t="str">
        <x:v>Actividad con ejecución parcial o cierre financiero pendiente.</x:v>
      </x:c>
      <x:c r="W58" s="47" t="str">
        <x:v>Corte anual cerrado</x:v>
      </x:c>
    </x:row>
    <x:row r="59" ht="18" customHeight="1">
      <x:c r="A59" s="46" t="n">
        <x:v>2023</x:v>
      </x:c>
      <x:c r="B59" s="63" t="n">
        <x:v>7</x:v>
      </x:c>
      <x:c r="C59" s="63" t="str">
        <x:v>Julio</x:v>
      </x:c>
      <x:c r="D59" s="63" t="str">
        <x:v>T3</x:v>
      </x:c>
      <x:c r="E59" s="71" t="n">
        <x:v>45138</x:v>
      </x:c>
      <x:c r="F59" s="63" t="str">
        <x:v>Gestión de contratistas</x:v>
      </x:c>
      <x:c r="G59" s="63" t="str">
        <x:v>Control de terceros</x:v>
      </x:c>
      <x:c r="H59" s="63" t="str">
        <x:v>Gestión SST de proveedores y contratistas</x:v>
      </x:c>
      <x:c r="I59" s="63" t="str">
        <x:v>Operativo</x:v>
      </x:c>
      <x:c r="J59" s="63" t="str">
        <x:v>Media</x:v>
      </x:c>
      <x:c r="K59" s="63" t="str">
        <x:v>Trimestral</x:v>
      </x:c>
      <x:c r="L59" s="63" t="str">
        <x:v>Ciclo</x:v>
      </x:c>
      <x:c r="M59" s="63" t="n">
        <x:v>4</x:v>
      </x:c>
      <x:c r="N59" s="63" t="str">
        <x:v>Compras / SST</x:v>
      </x:c>
      <x:c r="O59" s="63" t="str">
        <x:v>Presupuesto SG-SST</x:v>
      </x:c>
      <x:c r="P59" s="63" t="str">
        <x:v>Matriz de evaluación, soportes de contratistas</x:v>
      </x:c>
      <x:c r="Q59" s="79" t="n">
        <x:v>727500</x:v>
      </x:c>
      <x:c r="R59" s="79" t="n">
        <x:v>690460</x:v>
      </x:c>
      <x:c r="S59" s="79" t="n">
        <x:v>-37040</x:v>
      </x:c>
      <x:c r="T59" s="75" t="n">
        <x:v>0.9490859106529209</x:v>
      </x:c>
      <x:c r="U59" s="63" t="str">
        <x:v>Parcial</x:v>
      </x:c>
      <x:c r="V59" s="63" t="str">
        <x:v>Actividad con ejecución parcial o cierre financiero pendiente.</x:v>
      </x:c>
      <x:c r="W59" s="47" t="str">
        <x:v>Corte anual cerrado</x:v>
      </x:c>
    </x:row>
    <x:row r="60" ht="18" customHeight="1">
      <x:c r="A60" s="46" t="n">
        <x:v>2023</x:v>
      </x:c>
      <x:c r="B60" s="63" t="n">
        <x:v>7</x:v>
      </x:c>
      <x:c r="C60" s="63" t="str">
        <x:v>Julio</x:v>
      </x:c>
      <x:c r="D60" s="63" t="str">
        <x:v>T3</x:v>
      </x:c>
      <x:c r="E60" s="71" t="n">
        <x:v>45138</x:v>
      </x:c>
      <x:c r="F60" s="63" t="str">
        <x:v>Participación y consulta</x:v>
      </x:c>
      <x:c r="G60" s="63" t="str">
        <x:v>Comités de SST</x:v>
      </x:c>
      <x:c r="H60" s="63" t="str">
        <x:v>Gestión de COPASST y Comité de Convivencia</x:v>
      </x:c>
      <x:c r="I60" s="63" t="str">
        <x:v>Operativo</x:v>
      </x:c>
      <x:c r="J60" s="63" t="str">
        <x:v>Media</x:v>
      </x:c>
      <x:c r="K60" s="63" t="str">
        <x:v>Mensual</x:v>
      </x:c>
      <x:c r="L60" s="63" t="str">
        <x:v>Reunión</x:v>
      </x:c>
      <x:c r="M60" s="63" t="n">
        <x:v>12</x:v>
      </x:c>
      <x:c r="N60" s="63" t="str">
        <x:v>Talento Humano / SST</x:v>
      </x:c>
      <x:c r="O60" s="63" t="str">
        <x:v>Presupuesto SG-SST</x:v>
      </x:c>
      <x:c r="P60" s="63" t="str">
        <x:v>Acta, convocatoria, seguimiento compromisos</x:v>
      </x:c>
      <x:c r="Q60" s="79" t="n">
        <x:v>155200</x:v>
      </x:c>
      <x:c r="R60" s="79" t="n">
        <x:v>141777</x:v>
      </x:c>
      <x:c r="S60" s="79" t="n">
        <x:v>-13423</x:v>
      </x:c>
      <x:c r="T60" s="75" t="n">
        <x:v>0.9135115979381443</x:v>
      </x:c>
      <x:c r="U60" s="63" t="str">
        <x:v>Parcial</x:v>
      </x:c>
      <x:c r="V60" s="63" t="str">
        <x:v>Actividad con ejecución parcial o cierre financiero pendiente.</x:v>
      </x:c>
      <x:c r="W60" s="47" t="str">
        <x:v>Corte anual cerrado</x:v>
      </x:c>
    </x:row>
    <x:row r="61" ht="18" customHeight="1">
      <x:c r="A61" s="46" t="n">
        <x:v>2023</x:v>
      </x:c>
      <x:c r="B61" s="63" t="n">
        <x:v>7</x:v>
      </x:c>
      <x:c r="C61" s="63" t="str">
        <x:v>Julio</x:v>
      </x:c>
      <x:c r="D61" s="63" t="str">
        <x:v>T3</x:v>
      </x:c>
      <x:c r="E61" s="71" t="n">
        <x:v>45138</x:v>
      </x:c>
      <x:c r="F61" s="63" t="str">
        <x:v>Higiene y seguridad industrial</x:v>
      </x:c>
      <x:c r="G61" s="63" t="str">
        <x:v>Inspecciones y control</x:v>
      </x:c>
      <x:c r="H61" s="63" t="str">
        <x:v>Inspecciones planeadas de seguridad</x:v>
      </x:c>
      <x:c r="I61" s="63" t="str">
        <x:v>Operativo</x:v>
      </x:c>
      <x:c r="J61" s="63" t="str">
        <x:v>Media</x:v>
      </x:c>
      <x:c r="K61" s="63" t="str">
        <x:v>Mensual</x:v>
      </x:c>
      <x:c r="L61" s="63" t="str">
        <x:v>Inspección</x:v>
      </x:c>
      <x:c r="M61" s="63" t="n">
        <x:v>12</x:v>
      </x:c>
      <x:c r="N61" s="63" t="str">
        <x:v>Inspector SST</x:v>
      </x:c>
      <x:c r="O61" s="63" t="str">
        <x:v>Presupuesto SG-SST</x:v>
      </x:c>
      <x:c r="P61" s="63" t="str">
        <x:v>Lista de chequeo, informe, evidencia fotográfica</x:v>
      </x:c>
      <x:c r="Q61" s="79" t="n">
        <x:v>232800</x:v>
      </x:c>
      <x:c r="R61" s="79" t="n">
        <x:v>221518</x:v>
      </x:c>
      <x:c r="S61" s="79" t="n">
        <x:v>-11282</x:v>
      </x:c>
      <x:c r="T61" s="75" t="n">
        <x:v>0.9515378006872852</x:v>
      </x:c>
      <x:c r="U61" s="63" t="str">
        <x:v>Parcial</x:v>
      </x:c>
      <x:c r="V61" s="63" t="str">
        <x:v>Actividad con ejecución parcial o cierre financiero pendiente.</x:v>
      </x:c>
      <x:c r="W61" s="47" t="str">
        <x:v>Corte anual cerrado</x:v>
      </x:c>
    </x:row>
    <x:row r="62" ht="18" customHeight="1">
      <x:c r="A62" s="46" t="n">
        <x:v>2023</x:v>
      </x:c>
      <x:c r="B62" s="63" t="n">
        <x:v>7</x:v>
      </x:c>
      <x:c r="C62" s="63" t="str">
        <x:v>Julio</x:v>
      </x:c>
      <x:c r="D62" s="63" t="str">
        <x:v>T3</x:v>
      </x:c>
      <x:c r="E62" s="71" t="n">
        <x:v>45138</x:v>
      </x:c>
      <x:c r="F62" s="63" t="str">
        <x:v>Mejora continua y cumplimiento</x:v>
      </x:c>
      <x:c r="G62" s="63" t="str">
        <x:v>Gestión de incidentes y mejora</x:v>
      </x:c>
      <x:c r="H62" s="63" t="str">
        <x:v>Investigación de AT/EL y acciones correctivas</x:v>
      </x:c>
      <x:c r="I62" s="63" t="str">
        <x:v>Operativo</x:v>
      </x:c>
      <x:c r="J62" s="63" t="str">
        <x:v>Media</x:v>
      </x:c>
      <x:c r="K62" s="63" t="str">
        <x:v>Mensual</x:v>
      </x:c>
      <x:c r="L62" s="63" t="str">
        <x:v>Seguimiento</x:v>
      </x:c>
      <x:c r="M62" s="63" t="n">
        <x:v>12</x:v>
      </x:c>
      <x:c r="N62" s="63" t="str">
        <x:v>SST / Jefes de área</x:v>
      </x:c>
      <x:c r="O62" s="63" t="str">
        <x:v>Presupuesto SG-SST</x:v>
      </x:c>
      <x:c r="P62" s="63" t="str">
        <x:v>Investigación, plan de acción, evidencia de cierre</x:v>
      </x:c>
      <x:c r="Q62" s="79" t="n">
        <x:v>194000</x:v>
      </x:c>
      <x:c r="R62" s="79" t="n">
        <x:v>174749</x:v>
      </x:c>
      <x:c r="S62" s="79" t="n">
        <x:v>-19251</x:v>
      </x:c>
      <x:c r="T62" s="75" t="n">
        <x:v>0.9007680412371134</x:v>
      </x:c>
      <x:c r="U62" s="63" t="str">
        <x:v>Parcial</x:v>
      </x:c>
      <x:c r="V62" s="63" t="str">
        <x:v>Actividad con ejecución parcial o cierre financiero pendiente.</x:v>
      </x:c>
      <x:c r="W62" s="47" t="str">
        <x:v>Corte anual cerrado</x:v>
      </x:c>
    </x:row>
    <x:row r="63" ht="18" customHeight="1">
      <x:c r="A63" s="46" t="n">
        <x:v>2023</x:v>
      </x:c>
      <x:c r="B63" s="63" t="n">
        <x:v>7</x:v>
      </x:c>
      <x:c r="C63" s="63" t="str">
        <x:v>Julio</x:v>
      </x:c>
      <x:c r="D63" s="63" t="str">
        <x:v>T3</x:v>
      </x:c>
      <x:c r="E63" s="71" t="n">
        <x:v>45138</x:v>
      </x:c>
      <x:c r="F63" s="63" t="str">
        <x:v>Medicina preventiva y del trabajo</x:v>
      </x:c>
      <x:c r="G63" s="63" t="str">
        <x:v>Programas de vigilancia epidemiológica</x:v>
      </x:c>
      <x:c r="H63" s="63" t="str">
        <x:v>Programas de vigilancia epidemiológica y seguimiento médico</x:v>
      </x:c>
      <x:c r="I63" s="63" t="str">
        <x:v>Servicio</x:v>
      </x:c>
      <x:c r="J63" s="63" t="str">
        <x:v>Alta</x:v>
      </x:c>
      <x:c r="K63" s="63" t="str">
        <x:v>Mensual</x:v>
      </x:c>
      <x:c r="L63" s="63" t="str">
        <x:v>Seguimiento</x:v>
      </x:c>
      <x:c r="M63" s="63" t="n">
        <x:v>12</x:v>
      </x:c>
      <x:c r="N63" s="63" t="str">
        <x:v>Médico laboral / SST</x:v>
      </x:c>
      <x:c r="O63" s="63" t="str">
        <x:v>Presupuesto SG-SST</x:v>
      </x:c>
      <x:c r="P63" s="63" t="str">
        <x:v>Base de seguimiento, informe, remisiones</x:v>
      </x:c>
      <x:c r="Q63" s="79" t="n">
        <x:v>543200</x:v>
      </x:c>
      <x:c r="R63" s="79" t="n">
        <x:v>527633</x:v>
      </x:c>
      <x:c r="S63" s="79" t="n">
        <x:v>-15567</x:v>
      </x:c>
      <x:c r="T63" s="75" t="n">
        <x:v>0.9713420471281295</x:v>
      </x:c>
      <x:c r="U63" s="63" t="str">
        <x:v>Parcial</x:v>
      </x:c>
      <x:c r="V63" s="63" t="str">
        <x:v>Actividad con ejecución parcial o cierre financiero pendiente.</x:v>
      </x:c>
      <x:c r="W63" s="47" t="str">
        <x:v>Corte anual cerrado</x:v>
      </x:c>
    </x:row>
    <x:row r="64" ht="18" customHeight="1">
      <x:c r="A64" s="46" t="n">
        <x:v>2023</x:v>
      </x:c>
      <x:c r="B64" s="63" t="n">
        <x:v>7</x:v>
      </x:c>
      <x:c r="C64" s="63" t="str">
        <x:v>Julio</x:v>
      </x:c>
      <x:c r="D64" s="63" t="str">
        <x:v>T3</x:v>
      </x:c>
      <x:c r="E64" s="71" t="n">
        <x:v>45138</x:v>
      </x:c>
      <x:c r="F64" s="63" t="str">
        <x:v>Higiene y seguridad industrial</x:v>
      </x:c>
      <x:c r="G64" s="63" t="str">
        <x:v>Señalización y control visual</x:v>
      </x:c>
      <x:c r="H64" s="63" t="str">
        <x:v>Señalización, demarcación y avisos de seguridad</x:v>
      </x:c>
      <x:c r="I64" s="63" t="str">
        <x:v>Operativo</x:v>
      </x:c>
      <x:c r="J64" s="63" t="str">
        <x:v>Media</x:v>
      </x:c>
      <x:c r="K64" s="63" t="str">
        <x:v>Periódica</x:v>
      </x:c>
      <x:c r="L64" s="63" t="str">
        <x:v>Intervención</x:v>
      </x:c>
      <x:c r="M64" s="63" t="n">
        <x:v>5</x:v>
      </x:c>
      <x:c r="N64" s="63" t="str">
        <x:v>SST / Mantenimiento</x:v>
      </x:c>
      <x:c r="O64" s="63" t="str">
        <x:v>Presupuesto SG-SST</x:v>
      </x:c>
      <x:c r="P64" s="63" t="str">
        <x:v>Acta de instalación, factura, inventario</x:v>
      </x:c>
      <x:c r="Q64" s="79" t="n">
        <x:v>363750</x:v>
      </x:c>
      <x:c r="R64" s="79" t="n">
        <x:v>360623</x:v>
      </x:c>
      <x:c r="S64" s="79" t="n">
        <x:v>-3127</x:v>
      </x:c>
      <x:c r="T64" s="75" t="n">
        <x:v>0.9914034364261168</x:v>
      </x:c>
      <x:c r="U64" s="63" t="str">
        <x:v>Ejecutado</x:v>
      </x:c>
      <x:c r="V64" s="63" t="str">
        <x:v>Actividad ejecutada dentro del rango esperado.</x:v>
      </x:c>
      <x:c r="W64" s="47" t="str">
        <x:v>Corte anual cerrado</x:v>
      </x:c>
    </x:row>
    <x:row r="65" ht="18" customHeight="1">
      <x:c r="A65" s="46" t="n">
        <x:v>2023</x:v>
      </x:c>
      <x:c r="B65" s="63" t="n">
        <x:v>8</x:v>
      </x:c>
      <x:c r="C65" s="63" t="str">
        <x:v>Agosto</x:v>
      </x:c>
      <x:c r="D65" s="63" t="str">
        <x:v>T3</x:v>
      </x:c>
      <x:c r="E65" s="71" t="n">
        <x:v>45169</x:v>
      </x:c>
      <x:c r="F65" s="63" t="str">
        <x:v>Mejora continua y cumplimiento</x:v>
      </x:c>
      <x:c r="G65" s="63" t="str">
        <x:v>Auditoría y revisión por la dirección</x:v>
      </x:c>
      <x:c r="H65" s="63" t="str">
        <x:v>Auditoría interna, autoevaluación y revisión gerencial</x:v>
      </x:c>
      <x:c r="I65" s="63" t="str">
        <x:v>Servicio</x:v>
      </x:c>
      <x:c r="J65" s="63" t="str">
        <x:v>Alta</x:v>
      </x:c>
      <x:c r="K65" s="63" t="str">
        <x:v>Trimestral</x:v>
      </x:c>
      <x:c r="L65" s="63" t="str">
        <x:v>Hito</x:v>
      </x:c>
      <x:c r="M65" s="63" t="n">
        <x:v>4</x:v>
      </x:c>
      <x:c r="N65" s="63" t="str">
        <x:v>Líder HSEQ / Gerencia</x:v>
      </x:c>
      <x:c r="O65" s="63" t="str">
        <x:v>Presupuesto SG-SST</x:v>
      </x:c>
      <x:c r="P65" s="63" t="str">
        <x:v>Informe de auditoría, acta, plan de mejora</x:v>
      </x:c>
      <x:c r="Q65" s="79" t="n">
        <x:v>388000</x:v>
      </x:c>
      <x:c r="R65" s="79" t="n">
        <x:v>358606</x:v>
      </x:c>
      <x:c r="S65" s="79" t="n">
        <x:v>-29394</x:v>
      </x:c>
      <x:c r="T65" s="75" t="n">
        <x:v>0.9242422680412371</x:v>
      </x:c>
      <x:c r="U65" s="63" t="str">
        <x:v>Parcial</x:v>
      </x:c>
      <x:c r="V65" s="63" t="str">
        <x:v>Actividad con ejecución parcial o cierre financiero pendiente.</x:v>
      </x:c>
      <x:c r="W65" s="47" t="str">
        <x:v>Corte anual cerrado</x:v>
      </x:c>
    </x:row>
    <x:row r="66" ht="18" customHeight="1">
      <x:c r="A66" s="46" t="n">
        <x:v>2023</x:v>
      </x:c>
      <x:c r="B66" s="63" t="n">
        <x:v>8</x:v>
      </x:c>
      <x:c r="C66" s="63" t="str">
        <x:v>Agosto</x:v>
      </x:c>
      <x:c r="D66" s="63" t="str">
        <x:v>T3</x:v>
      </x:c>
      <x:c r="E66" s="71" t="n">
        <x:v>45169</x:v>
      </x:c>
      <x:c r="F66" s="63" t="str">
        <x:v>Capacitación y entrenamiento</x:v>
      </x:c>
      <x:c r="G66" s="63" t="str">
        <x:v>Plan anual de formación</x:v>
      </x:c>
      <x:c r="H66" s="63" t="str">
        <x:v>Capacitación y entrenamiento en SG-SST</x:v>
      </x:c>
      <x:c r="I66" s="63" t="str">
        <x:v>Operativo</x:v>
      </x:c>
      <x:c r="J66" s="63" t="str">
        <x:v>Alta</x:v>
      </x:c>
      <x:c r="K66" s="63" t="str">
        <x:v>Mensual</x:v>
      </x:c>
      <x:c r="L66" s="63" t="str">
        <x:v>Jornada</x:v>
      </x:c>
      <x:c r="M66" s="63" t="n">
        <x:v>12</x:v>
      </x:c>
      <x:c r="N66" s="63" t="str">
        <x:v>Coordinación SST</x:v>
      </x:c>
      <x:c r="O66" s="63" t="str">
        <x:v>Presupuesto SG-SST</x:v>
      </x:c>
      <x:c r="P66" s="63" t="str">
        <x:v>Lista de asistencia, evaluación, acta</x:v>
      </x:c>
      <x:c r="Q66" s="79" t="n">
        <x:v>436500</x:v>
      </x:c>
      <x:c r="R66" s="79" t="n">
        <x:v>428832</x:v>
      </x:c>
      <x:c r="S66" s="79" t="n">
        <x:v>-7668</x:v>
      </x:c>
      <x:c r="T66" s="75" t="n">
        <x:v>0.9824329896907217</x:v>
      </x:c>
      <x:c r="U66" s="63" t="str">
        <x:v>Ejecutado</x:v>
      </x:c>
      <x:c r="V66" s="63" t="str">
        <x:v>Actividad ejecutada dentro del rango esperado.</x:v>
      </x:c>
      <x:c r="W66" s="47" t="str">
        <x:v>Corte anual cerrado</x:v>
      </x:c>
    </x:row>
    <x:row r="67" ht="18" customHeight="1">
      <x:c r="A67" s="46" t="n">
        <x:v>2023</x:v>
      </x:c>
      <x:c r="B67" s="63" t="n">
        <x:v>8</x:v>
      </x:c>
      <x:c r="C67" s="63" t="str">
        <x:v>Agosto</x:v>
      </x:c>
      <x:c r="D67" s="63" t="str">
        <x:v>T3</x:v>
      </x:c>
      <x:c r="E67" s="71" t="n">
        <x:v>45169</x:v>
      </x:c>
      <x:c r="F67" s="63" t="str">
        <x:v>Medicina preventiva y del trabajo</x:v>
      </x:c>
      <x:c r="G67" s="63" t="str">
        <x:v>Vigilancia epidemiológica</x:v>
      </x:c>
      <x:c r="H67" s="63" t="str">
        <x:v>Evaluación de riesgo psicosocial y actividades de intervención</x:v>
      </x:c>
      <x:c r="I67" s="63" t="str">
        <x:v>Servicio</x:v>
      </x:c>
      <x:c r="J67" s="63" t="str">
        <x:v>Alta</x:v>
      </x:c>
      <x:c r="K67" s="63" t="str">
        <x:v>Periódica</x:v>
      </x:c>
      <x:c r="L67" s="63" t="str">
        <x:v>Actividad</x:v>
      </x:c>
      <x:c r="M67" s="63" t="n">
        <x:v>6</x:v>
      </x:c>
      <x:c r="N67" s="63" t="str">
        <x:v>Psicología / SST</x:v>
      </x:c>
      <x:c r="O67" s="63" t="str">
        <x:v>Presupuesto SG-SST</x:v>
      </x:c>
      <x:c r="P67" s="63" t="str">
        <x:v>Informe técnico, evidencia, plan de intervención</x:v>
      </x:c>
      <x:c r="Q67" s="79" t="n">
        <x:v>509250</x:v>
      </x:c>
      <x:c r="R67" s="79" t="n">
        <x:v>458025</x:v>
      </x:c>
      <x:c r="S67" s="79" t="n">
        <x:v>-51225</x:v>
      </x:c>
      <x:c r="T67" s="75" t="n">
        <x:v>0.8994108983799706</x:v>
      </x:c>
      <x:c r="U67" s="63" t="str">
        <x:v>Parcial</x:v>
      </x:c>
      <x:c r="V67" s="63" t="str">
        <x:v>Actividad con ejecución parcial o cierre financiero pendiente.</x:v>
      </x:c>
      <x:c r="W67" s="47" t="str">
        <x:v>Corte anual cerrado</x:v>
      </x:c>
    </x:row>
    <x:row r="68" ht="18" customHeight="1">
      <x:c r="A68" s="46" t="n">
        <x:v>2023</x:v>
      </x:c>
      <x:c r="B68" s="63" t="n">
        <x:v>8</x:v>
      </x:c>
      <x:c r="C68" s="63" t="str">
        <x:v>Agosto</x:v>
      </x:c>
      <x:c r="D68" s="63" t="str">
        <x:v>T3</x:v>
      </x:c>
      <x:c r="E68" s="71" t="n">
        <x:v>45169</x:v>
      </x:c>
      <x:c r="F68" s="63" t="str">
        <x:v>Recursos y gestión financiera</x:v>
      </x:c>
      <x:c r="G68" s="63" t="str">
        <x:v>Planeación y recursos</x:v>
      </x:c>
      <x:c r="H68" s="63" t="str">
        <x:v>Exámenes médicos ocupacionales</x:v>
      </x:c>
      <x:c r="I68" s="63" t="str">
        <x:v>Servicio</x:v>
      </x:c>
      <x:c r="J68" s="63" t="str">
        <x:v>Alta</x:v>
      </x:c>
      <x:c r="K68" s="63" t="str">
        <x:v>Semestral</x:v>
      </x:c>
      <x:c r="L68" s="63" t="str">
        <x:v>Jornada</x:v>
      </x:c>
      <x:c r="M68" s="63" t="n">
        <x:v>2</x:v>
      </x:c>
      <x:c r="N68" s="63" t="str">
        <x:v>Coordinación SST</x:v>
      </x:c>
      <x:c r="O68" s="63" t="str">
        <x:v>Presupuesto SG-SST</x:v>
      </x:c>
      <x:c r="P68" s="63" t="str">
        <x:v>Orden de servicio, factura, concepto médico</x:v>
      </x:c>
      <x:c r="Q68" s="79" t="n">
        <x:v>1047600</x:v>
      </x:c>
      <x:c r="R68" s="79" t="n">
        <x:v>1032594</x:v>
      </x:c>
      <x:c r="S68" s="79" t="n">
        <x:v>-15006</x:v>
      </x:c>
      <x:c r="T68" s="75" t="n">
        <x:v>0.9856758304696449</x:v>
      </x:c>
      <x:c r="U68" s="63" t="str">
        <x:v>Ejecutado</x:v>
      </x:c>
      <x:c r="V68" s="63" t="str">
        <x:v>Actividad ejecutada dentro del rango esperado.</x:v>
      </x:c>
      <x:c r="W68" s="47" t="str">
        <x:v>Corte anual cerrado</x:v>
      </x:c>
    </x:row>
    <x:row r="69" ht="18" customHeight="1">
      <x:c r="A69" s="46" t="n">
        <x:v>2023</x:v>
      </x:c>
      <x:c r="B69" s="63" t="n">
        <x:v>8</x:v>
      </x:c>
      <x:c r="C69" s="63" t="str">
        <x:v>Agosto</x:v>
      </x:c>
      <x:c r="D69" s="63" t="str">
        <x:v>T3</x:v>
      </x:c>
      <x:c r="E69" s="71" t="n">
        <x:v>45169</x:v>
      </x:c>
      <x:c r="F69" s="63" t="str">
        <x:v>Participación y consulta</x:v>
      </x:c>
      <x:c r="G69" s="63" t="str">
        <x:v>Comités de SST</x:v>
      </x:c>
      <x:c r="H69" s="63" t="str">
        <x:v>Gestión de COPASST y Comité de Convivencia</x:v>
      </x:c>
      <x:c r="I69" s="63" t="str">
        <x:v>Operativo</x:v>
      </x:c>
      <x:c r="J69" s="63" t="str">
        <x:v>Media</x:v>
      </x:c>
      <x:c r="K69" s="63" t="str">
        <x:v>Mensual</x:v>
      </x:c>
      <x:c r="L69" s="63" t="str">
        <x:v>Reunión</x:v>
      </x:c>
      <x:c r="M69" s="63" t="n">
        <x:v>12</x:v>
      </x:c>
      <x:c r="N69" s="63" t="str">
        <x:v>Talento Humano / SST</x:v>
      </x:c>
      <x:c r="O69" s="63" t="str">
        <x:v>Presupuesto SG-SST</x:v>
      </x:c>
      <x:c r="P69" s="63" t="str">
        <x:v>Acta, convocatoria, seguimiento compromisos</x:v>
      </x:c>
      <x:c r="Q69" s="79" t="n">
        <x:v>174600</x:v>
      </x:c>
      <x:c r="R69" s="79" t="n">
        <x:v>176649</x:v>
      </x:c>
      <x:c r="S69" s="79" t="n">
        <x:v>2049</x:v>
      </x:c>
      <x:c r="T69" s="75" t="n">
        <x:v>1.0117353951890034</x:v>
      </x:c>
      <x:c r="U69" s="63" t="str">
        <x:v>Ejecutado</x:v>
      </x:c>
      <x:c r="V69" s="63" t="str">
        <x:v>Actividad ejecutada dentro del rango esperado.</x:v>
      </x:c>
      <x:c r="W69" s="47" t="str">
        <x:v>Corte anual cerrado</x:v>
      </x:c>
    </x:row>
    <x:row r="70" ht="18" customHeight="1">
      <x:c r="A70" s="46" t="n">
        <x:v>2023</x:v>
      </x:c>
      <x:c r="B70" s="63" t="n">
        <x:v>8</x:v>
      </x:c>
      <x:c r="C70" s="63" t="str">
        <x:v>Agosto</x:v>
      </x:c>
      <x:c r="D70" s="63" t="str">
        <x:v>T3</x:v>
      </x:c>
      <x:c r="E70" s="71" t="n">
        <x:v>45169</x:v>
      </x:c>
      <x:c r="F70" s="63" t="str">
        <x:v>Higiene y seguridad industrial</x:v>
      </x:c>
      <x:c r="G70" s="63" t="str">
        <x:v>Inspecciones y control</x:v>
      </x:c>
      <x:c r="H70" s="63" t="str">
        <x:v>Inspecciones planeadas de seguridad</x:v>
      </x:c>
      <x:c r="I70" s="63" t="str">
        <x:v>Operativo</x:v>
      </x:c>
      <x:c r="J70" s="63" t="str">
        <x:v>Media</x:v>
      </x:c>
      <x:c r="K70" s="63" t="str">
        <x:v>Mensual</x:v>
      </x:c>
      <x:c r="L70" s="63" t="str">
        <x:v>Inspección</x:v>
      </x:c>
      <x:c r="M70" s="63" t="n">
        <x:v>12</x:v>
      </x:c>
      <x:c r="N70" s="63" t="str">
        <x:v>Inspector SST</x:v>
      </x:c>
      <x:c r="O70" s="63" t="str">
        <x:v>Presupuesto SG-SST</x:v>
      </x:c>
      <x:c r="P70" s="63" t="str">
        <x:v>Lista de chequeo, informe, evidencia fotográfica</x:v>
      </x:c>
      <x:c r="Q70" s="79" t="n">
        <x:v>232800</x:v>
      </x:c>
      <x:c r="R70" s="79" t="n">
        <x:v>234812</x:v>
      </x:c>
      <x:c r="S70" s="79" t="n">
        <x:v>2012</x:v>
      </x:c>
      <x:c r="T70" s="75" t="n">
        <x:v>1.0086426116838487</x:v>
      </x:c>
      <x:c r="U70" s="63" t="str">
        <x:v>Ejecutado</x:v>
      </x:c>
      <x:c r="V70" s="63" t="str">
        <x:v>Actividad ejecutada dentro del rango esperado.</x:v>
      </x:c>
      <x:c r="W70" s="47" t="str">
        <x:v>Corte anual cerrado</x:v>
      </x:c>
    </x:row>
    <x:row r="71" ht="18" customHeight="1">
      <x:c r="A71" s="46" t="n">
        <x:v>2023</x:v>
      </x:c>
      <x:c r="B71" s="63" t="n">
        <x:v>8</x:v>
      </x:c>
      <x:c r="C71" s="63" t="str">
        <x:v>Agosto</x:v>
      </x:c>
      <x:c r="D71" s="63" t="str">
        <x:v>T3</x:v>
      </x:c>
      <x:c r="E71" s="71" t="n">
        <x:v>45169</x:v>
      </x:c>
      <x:c r="F71" s="63" t="str">
        <x:v>Mejora continua y cumplimiento</x:v>
      </x:c>
      <x:c r="G71" s="63" t="str">
        <x:v>Gestión de incidentes y mejora</x:v>
      </x:c>
      <x:c r="H71" s="63" t="str">
        <x:v>Investigación de AT/EL y acciones correctivas</x:v>
      </x:c>
      <x:c r="I71" s="63" t="str">
        <x:v>Operativo</x:v>
      </x:c>
      <x:c r="J71" s="63" t="str">
        <x:v>Media</x:v>
      </x:c>
      <x:c r="K71" s="63" t="str">
        <x:v>Mensual</x:v>
      </x:c>
      <x:c r="L71" s="63" t="str">
        <x:v>Seguimiento</x:v>
      </x:c>
      <x:c r="M71" s="63" t="n">
        <x:v>12</x:v>
      </x:c>
      <x:c r="N71" s="63" t="str">
        <x:v>SST / Jefes de área</x:v>
      </x:c>
      <x:c r="O71" s="63" t="str">
        <x:v>Presupuesto SG-SST</x:v>
      </x:c>
      <x:c r="P71" s="63" t="str">
        <x:v>Investigación, plan de acción, evidencia de cierre</x:v>
      </x:c>
      <x:c r="Q71" s="79" t="n">
        <x:v>194000</x:v>
      </x:c>
      <x:c r="R71" s="79" t="n">
        <x:v>179207</x:v>
      </x:c>
      <x:c r="S71" s="79" t="n">
        <x:v>-14793</x:v>
      </x:c>
      <x:c r="T71" s="75" t="n">
        <x:v>0.9237474226804123</x:v>
      </x:c>
      <x:c r="U71" s="63" t="str">
        <x:v>Parcial</x:v>
      </x:c>
      <x:c r="V71" s="63" t="str">
        <x:v>Actividad con ejecución parcial o cierre financiero pendiente.</x:v>
      </x:c>
      <x:c r="W71" s="47" t="str">
        <x:v>Corte anual cerrado</x:v>
      </x:c>
    </x:row>
    <x:row r="72" ht="18" customHeight="1">
      <x:c r="A72" s="46" t="n">
        <x:v>2023</x:v>
      </x:c>
      <x:c r="B72" s="63" t="n">
        <x:v>8</x:v>
      </x:c>
      <x:c r="C72" s="63" t="str">
        <x:v>Agosto</x:v>
      </x:c>
      <x:c r="D72" s="63" t="str">
        <x:v>T3</x:v>
      </x:c>
      <x:c r="E72" s="71" t="n">
        <x:v>45169</x:v>
      </x:c>
      <x:c r="F72" s="63" t="str">
        <x:v>Emergencias e infraestructura</x:v>
      </x:c>
      <x:c r="G72" s="63" t="str">
        <x:v>Preparación y respuesta ante emergencias</x:v>
      </x:c>
      <x:c r="H72" s="63" t="str">
        <x:v>Mantenimiento de extintores, botiquines y equipos de emergencia</x:v>
      </x:c>
      <x:c r="I72" s="63" t="str">
        <x:v>Servicio</x:v>
      </x:c>
      <x:c r="J72" s="63" t="str">
        <x:v>Alta</x:v>
      </x:c>
      <x:c r="K72" s="63" t="str">
        <x:v>Bimestral / semestral</x:v>
      </x:c>
      <x:c r="L72" s="63" t="str">
        <x:v>Mantenimiento</x:v>
      </x:c>
      <x:c r="M72" s="63" t="n">
        <x:v>6</x:v>
      </x:c>
      <x:c r="N72" s="63" t="str">
        <x:v>Brigada / SST</x:v>
      </x:c>
      <x:c r="O72" s="63" t="str">
        <x:v>Presupuesto SG-SST</x:v>
      </x:c>
      <x:c r="P72" s="63" t="str">
        <x:v>Certificado, factura, hoja de vida del equipo</x:v>
      </x:c>
      <x:c r="Q72" s="79" t="n">
        <x:v>388000</x:v>
      </x:c>
      <x:c r="R72" s="79" t="n">
        <x:v>369377</x:v>
      </x:c>
      <x:c r="S72" s="79" t="n">
        <x:v>-18623</x:v>
      </x:c>
      <x:c r="T72" s="75" t="n">
        <x:v>0.9520025773195876</x:v>
      </x:c>
      <x:c r="U72" s="63" t="str">
        <x:v>Parcial</x:v>
      </x:c>
      <x:c r="V72" s="63" t="str">
        <x:v>Actividad con ejecución parcial o cierre financiero pendiente.</x:v>
      </x:c>
      <x:c r="W72" s="47" t="str">
        <x:v>Corte anual cerrado</x:v>
      </x:c>
    </x:row>
    <x:row r="73" ht="18" customHeight="1">
      <x:c r="A73" s="46" t="n">
        <x:v>2023</x:v>
      </x:c>
      <x:c r="B73" s="63" t="n">
        <x:v>8</x:v>
      </x:c>
      <x:c r="C73" s="63" t="str">
        <x:v>Agosto</x:v>
      </x:c>
      <x:c r="D73" s="63" t="str">
        <x:v>T3</x:v>
      </x:c>
      <x:c r="E73" s="71" t="n">
        <x:v>45169</x:v>
      </x:c>
      <x:c r="F73" s="63" t="str">
        <x:v>Medicina preventiva y del trabajo</x:v>
      </x:c>
      <x:c r="G73" s="63" t="str">
        <x:v>Programas de vigilancia epidemiológica</x:v>
      </x:c>
      <x:c r="H73" s="63" t="str">
        <x:v>Programas de vigilancia epidemiológica y seguimiento médico</x:v>
      </x:c>
      <x:c r="I73" s="63" t="str">
        <x:v>Servicio</x:v>
      </x:c>
      <x:c r="J73" s="63" t="str">
        <x:v>Alta</x:v>
      </x:c>
      <x:c r="K73" s="63" t="str">
        <x:v>Mensual</x:v>
      </x:c>
      <x:c r="L73" s="63" t="str">
        <x:v>Seguimiento</x:v>
      </x:c>
      <x:c r="M73" s="63" t="n">
        <x:v>12</x:v>
      </x:c>
      <x:c r="N73" s="63" t="str">
        <x:v>Médico laboral / SST</x:v>
      </x:c>
      <x:c r="O73" s="63" t="str">
        <x:v>Presupuesto SG-SST</x:v>
      </x:c>
      <x:c r="P73" s="63" t="str">
        <x:v>Base de seguimiento, informe, remisiones</x:v>
      </x:c>
      <x:c r="Q73" s="79" t="n">
        <x:v>543200</x:v>
      </x:c>
      <x:c r="R73" s="79" t="n">
        <x:v>538783</x:v>
      </x:c>
      <x:c r="S73" s="79" t="n">
        <x:v>-4417</x:v>
      </x:c>
      <x:c r="T73" s="75" t="n">
        <x:v>0.9918685567010309</x:v>
      </x:c>
      <x:c r="U73" s="63" t="str">
        <x:v>Ejecutado</x:v>
      </x:c>
      <x:c r="V73" s="63" t="str">
        <x:v>Actividad ejecutada dentro del rango esperado.</x:v>
      </x:c>
      <x:c r="W73" s="47" t="str">
        <x:v>Corte anual cerrado</x:v>
      </x:c>
    </x:row>
    <x:row r="74" ht="18" customHeight="1">
      <x:c r="A74" s="46" t="n">
        <x:v>2023</x:v>
      </x:c>
      <x:c r="B74" s="63" t="n">
        <x:v>9</x:v>
      </x:c>
      <x:c r="C74" s="63" t="str">
        <x:v>Septiembre</x:v>
      </x:c>
      <x:c r="D74" s="63" t="str">
        <x:v>T3</x:v>
      </x:c>
      <x:c r="E74" s="71" t="n">
        <x:v>45199</x:v>
      </x:c>
      <x:c r="F74" s="63" t="str">
        <x:v>Capacitación y entrenamiento</x:v>
      </x:c>
      <x:c r="G74" s="63" t="str">
        <x:v>Plan anual de formación</x:v>
      </x:c>
      <x:c r="H74" s="63" t="str">
        <x:v>Capacitación y entrenamiento en SG-SST</x:v>
      </x:c>
      <x:c r="I74" s="63" t="str">
        <x:v>Operativo</x:v>
      </x:c>
      <x:c r="J74" s="63" t="str">
        <x:v>Alta</x:v>
      </x:c>
      <x:c r="K74" s="63" t="str">
        <x:v>Mensual</x:v>
      </x:c>
      <x:c r="L74" s="63" t="str">
        <x:v>Jornada</x:v>
      </x:c>
      <x:c r="M74" s="63" t="n">
        <x:v>12</x:v>
      </x:c>
      <x:c r="N74" s="63" t="str">
        <x:v>Coordinación SST</x:v>
      </x:c>
      <x:c r="O74" s="63" t="str">
        <x:v>Presupuesto SG-SST</x:v>
      </x:c>
      <x:c r="P74" s="63" t="str">
        <x:v>Lista de asistencia, evaluación, acta</x:v>
      </x:c>
      <x:c r="Q74" s="79" t="n">
        <x:v>388000</x:v>
      </x:c>
      <x:c r="R74" s="79" t="n">
        <x:v>381966</x:v>
      </x:c>
      <x:c r="S74" s="79" t="n">
        <x:v>-6034</x:v>
      </x:c>
      <x:c r="T74" s="75" t="n">
        <x:v>0.9844484536082474</x:v>
      </x:c>
      <x:c r="U74" s="63" t="str">
        <x:v>Ejecutado</x:v>
      </x:c>
      <x:c r="V74" s="63" t="str">
        <x:v>Actividad ejecutada dentro del rango esperado.</x:v>
      </x:c>
      <x:c r="W74" s="47" t="str">
        <x:v>Corte anual cerrado</x:v>
      </x:c>
    </x:row>
    <x:row r="75" ht="18" customHeight="1">
      <x:c r="A75" s="46" t="n">
        <x:v>2023</x:v>
      </x:c>
      <x:c r="B75" s="63" t="n">
        <x:v>9</x:v>
      </x:c>
      <x:c r="C75" s="63" t="str">
        <x:v>Septiembre</x:v>
      </x:c>
      <x:c r="D75" s="63" t="str">
        <x:v>T3</x:v>
      </x:c>
      <x:c r="E75" s="71" t="n">
        <x:v>45199</x:v>
      </x:c>
      <x:c r="F75" s="63" t="str">
        <x:v>Higiene y seguridad industrial</x:v>
      </x:c>
      <x:c r="G75" s="63" t="str">
        <x:v>Dotación y control operacional</x:v>
      </x:c>
      <x:c r="H75" s="63" t="str">
        <x:v>Dotación y reposición de EPP</x:v>
      </x:c>
      <x:c r="I75" s="63" t="str">
        <x:v>Operativo</x:v>
      </x:c>
      <x:c r="J75" s="63" t="str">
        <x:v>Alta</x:v>
      </x:c>
      <x:c r="K75" s="63" t="str">
        <x:v>Bimestral / trimestral</x:v>
      </x:c>
      <x:c r="L75" s="63" t="str">
        <x:v>Entrega</x:v>
      </x:c>
      <x:c r="M75" s="63" t="n">
        <x:v>6</x:v>
      </x:c>
      <x:c r="N75" s="63" t="str">
        <x:v>Coordinación SST / Compras</x:v>
      </x:c>
      <x:c r="O75" s="63" t="str">
        <x:v>Presupuesto SG-SST</x:v>
      </x:c>
      <x:c r="P75" s="63" t="str">
        <x:v>Formato de entrega, factura, remisión</x:v>
      </x:c>
      <x:c r="Q75" s="79" t="n">
        <x:v>727500</x:v>
      </x:c>
      <x:c r="R75" s="79" t="n">
        <x:v>655530</x:v>
      </x:c>
      <x:c r="S75" s="79" t="n">
        <x:v>-71970</x:v>
      </x:c>
      <x:c r="T75" s="75" t="n">
        <x:v>0.9010721649484537</x:v>
      </x:c>
      <x:c r="U75" s="63" t="str">
        <x:v>Parcial</x:v>
      </x:c>
      <x:c r="V75" s="63" t="str">
        <x:v>Actividad con ejecución parcial o cierre financiero pendiente.</x:v>
      </x:c>
      <x:c r="W75" s="47" t="str">
        <x:v>Corte anual cerrado</x:v>
      </x:c>
    </x:row>
    <x:row r="76" ht="18" customHeight="1">
      <x:c r="A76" s="46" t="n">
        <x:v>2023</x:v>
      </x:c>
      <x:c r="B76" s="63" t="n">
        <x:v>9</x:v>
      </x:c>
      <x:c r="C76" s="63" t="str">
        <x:v>Septiembre</x:v>
      </x:c>
      <x:c r="D76" s="63" t="str">
        <x:v>T3</x:v>
      </x:c>
      <x:c r="E76" s="71" t="n">
        <x:v>45199</x:v>
      </x:c>
      <x:c r="F76" s="63" t="str">
        <x:v>Medicina preventiva y del trabajo</x:v>
      </x:c>
      <x:c r="G76" s="63" t="str">
        <x:v>Vigilancia epidemiológica</x:v>
      </x:c>
      <x:c r="H76" s="63" t="str">
        <x:v>Evaluación de riesgo psicosocial y actividades de intervención</x:v>
      </x:c>
      <x:c r="I76" s="63" t="str">
        <x:v>Servicio</x:v>
      </x:c>
      <x:c r="J76" s="63" t="str">
        <x:v>Alta</x:v>
      </x:c>
      <x:c r="K76" s="63" t="str">
        <x:v>Periódica</x:v>
      </x:c>
      <x:c r="L76" s="63" t="str">
        <x:v>Actividad</x:v>
      </x:c>
      <x:c r="M76" s="63" t="n">
        <x:v>6</x:v>
      </x:c>
      <x:c r="N76" s="63" t="str">
        <x:v>Psicología / SST</x:v>
      </x:c>
      <x:c r="O76" s="63" t="str">
        <x:v>Presupuesto SG-SST</x:v>
      </x:c>
      <x:c r="P76" s="63" t="str">
        <x:v>Informe técnico, evidencia, plan de intervención</x:v>
      </x:c>
      <x:c r="Q76" s="79" t="n">
        <x:v>509250</x:v>
      </x:c>
      <x:c r="R76" s="79" t="n">
        <x:v>468133</x:v>
      </x:c>
      <x:c r="S76" s="79" t="n">
        <x:v>-41117</x:v>
      </x:c>
      <x:c r="T76" s="75" t="n">
        <x:v>0.9192596956308297</x:v>
      </x:c>
      <x:c r="U76" s="63" t="str">
        <x:v>Parcial</x:v>
      </x:c>
      <x:c r="V76" s="63" t="str">
        <x:v>Actividad con ejecución parcial o cierre financiero pendiente.</x:v>
      </x:c>
      <x:c r="W76" s="47" t="str">
        <x:v>Corte anual cerrado</x:v>
      </x:c>
    </x:row>
    <x:row r="77" ht="18" customHeight="1">
      <x:c r="A77" s="46" t="n">
        <x:v>2023</x:v>
      </x:c>
      <x:c r="B77" s="63" t="n">
        <x:v>9</x:v>
      </x:c>
      <x:c r="C77" s="63" t="str">
        <x:v>Septiembre</x:v>
      </x:c>
      <x:c r="D77" s="63" t="str">
        <x:v>T3</x:v>
      </x:c>
      <x:c r="E77" s="71" t="n">
        <x:v>45199</x:v>
      </x:c>
      <x:c r="F77" s="63" t="str">
        <x:v>Recursos y gestión financiera</x:v>
      </x:c>
      <x:c r="G77" s="63" t="str">
        <x:v>Planeación y recursos</x:v>
      </x:c>
      <x:c r="H77" s="63" t="str">
        <x:v>Exámenes médicos ocupacionales</x:v>
      </x:c>
      <x:c r="I77" s="63" t="str">
        <x:v>Servicio</x:v>
      </x:c>
      <x:c r="J77" s="63" t="str">
        <x:v>Alta</x:v>
      </x:c>
      <x:c r="K77" s="63" t="str">
        <x:v>Semestral</x:v>
      </x:c>
      <x:c r="L77" s="63" t="str">
        <x:v>Jornada</x:v>
      </x:c>
      <x:c r="M77" s="63" t="n">
        <x:v>2</x:v>
      </x:c>
      <x:c r="N77" s="63" t="str">
        <x:v>Coordinación SST</x:v>
      </x:c>
      <x:c r="O77" s="63" t="str">
        <x:v>Presupuesto SG-SST</x:v>
      </x:c>
      <x:c r="P77" s="63" t="str">
        <x:v>Orden de servicio, factura, concepto médico</x:v>
      </x:c>
      <x:c r="Q77" s="79" t="n">
        <x:v>174600</x:v>
      </x:c>
      <x:c r="R77" s="79" t="n">
        <x:v>162902</x:v>
      </x:c>
      <x:c r="S77" s="79" t="n">
        <x:v>-11698</x:v>
      </x:c>
      <x:c r="T77" s="75" t="n">
        <x:v>0.9330011454753723</x:v>
      </x:c>
      <x:c r="U77" s="63" t="str">
        <x:v>Parcial</x:v>
      </x:c>
      <x:c r="V77" s="63" t="str">
        <x:v>Actividad con ejecución parcial o cierre financiero pendiente.</x:v>
      </x:c>
      <x:c r="W77" s="47" t="str">
        <x:v>Corte anual cerrado</x:v>
      </x:c>
    </x:row>
    <x:row r="78" ht="18" customHeight="1">
      <x:c r="A78" s="46" t="n">
        <x:v>2023</x:v>
      </x:c>
      <x:c r="B78" s="63" t="n">
        <x:v>9</x:v>
      </x:c>
      <x:c r="C78" s="63" t="str">
        <x:v>Septiembre</x:v>
      </x:c>
      <x:c r="D78" s="63" t="str">
        <x:v>T3</x:v>
      </x:c>
      <x:c r="E78" s="71" t="n">
        <x:v>45199</x:v>
      </x:c>
      <x:c r="F78" s="63" t="str">
        <x:v>Participación y consulta</x:v>
      </x:c>
      <x:c r="G78" s="63" t="str">
        <x:v>Comités de SST</x:v>
      </x:c>
      <x:c r="H78" s="63" t="str">
        <x:v>Gestión de COPASST y Comité de Convivencia</x:v>
      </x:c>
      <x:c r="I78" s="63" t="str">
        <x:v>Operativo</x:v>
      </x:c>
      <x:c r="J78" s="63" t="str">
        <x:v>Media</x:v>
      </x:c>
      <x:c r="K78" s="63" t="str">
        <x:v>Mensual</x:v>
      </x:c>
      <x:c r="L78" s="63" t="str">
        <x:v>Reunión</x:v>
      </x:c>
      <x:c r="M78" s="63" t="n">
        <x:v>12</x:v>
      </x:c>
      <x:c r="N78" s="63" t="str">
        <x:v>Talento Humano / SST</x:v>
      </x:c>
      <x:c r="O78" s="63" t="str">
        <x:v>Presupuesto SG-SST</x:v>
      </x:c>
      <x:c r="P78" s="63" t="str">
        <x:v>Acta, convocatoria, seguimiento compromisos</x:v>
      </x:c>
      <x:c r="Q78" s="79" t="n">
        <x:v>155200</x:v>
      </x:c>
      <x:c r="R78" s="79" t="n">
        <x:v>140496</x:v>
      </x:c>
      <x:c r="S78" s="79" t="n">
        <x:v>-14704</x:v>
      </x:c>
      <x:c r="T78" s="75" t="n">
        <x:v>0.9052577319587629</x:v>
      </x:c>
      <x:c r="U78" s="63" t="str">
        <x:v>Parcial</x:v>
      </x:c>
      <x:c r="V78" s="63" t="str">
        <x:v>Actividad con ejecución parcial o cierre financiero pendiente.</x:v>
      </x:c>
      <x:c r="W78" s="47" t="str">
        <x:v>Corte anual cerrado</x:v>
      </x:c>
    </x:row>
    <x:row r="79" ht="18" customHeight="1">
      <x:c r="A79" s="46" t="n">
        <x:v>2023</x:v>
      </x:c>
      <x:c r="B79" s="63" t="n">
        <x:v>9</x:v>
      </x:c>
      <x:c r="C79" s="63" t="str">
        <x:v>Septiembre</x:v>
      </x:c>
      <x:c r="D79" s="63" t="str">
        <x:v>T3</x:v>
      </x:c>
      <x:c r="E79" s="71" t="n">
        <x:v>45199</x:v>
      </x:c>
      <x:c r="F79" s="63" t="str">
        <x:v>Higiene y seguridad industrial</x:v>
      </x:c>
      <x:c r="G79" s="63" t="str">
        <x:v>Inspecciones y control</x:v>
      </x:c>
      <x:c r="H79" s="63" t="str">
        <x:v>Inspecciones planeadas de seguridad</x:v>
      </x:c>
      <x:c r="I79" s="63" t="str">
        <x:v>Operativo</x:v>
      </x:c>
      <x:c r="J79" s="63" t="str">
        <x:v>Media</x:v>
      </x:c>
      <x:c r="K79" s="63" t="str">
        <x:v>Mensual</x:v>
      </x:c>
      <x:c r="L79" s="63" t="str">
        <x:v>Inspección</x:v>
      </x:c>
      <x:c r="M79" s="63" t="n">
        <x:v>12</x:v>
      </x:c>
      <x:c r="N79" s="63" t="str">
        <x:v>Inspector SST</x:v>
      </x:c>
      <x:c r="O79" s="63" t="str">
        <x:v>Presupuesto SG-SST</x:v>
      </x:c>
      <x:c r="P79" s="63" t="str">
        <x:v>Lista de chequeo, informe, evidencia fotográfica</x:v>
      </x:c>
      <x:c r="Q79" s="79" t="n">
        <x:v>261900</x:v>
      </x:c>
      <x:c r="R79" s="79" t="n">
        <x:v>257285</x:v>
      </x:c>
      <x:c r="S79" s="79" t="n">
        <x:v>-4615</x:v>
      </x:c>
      <x:c r="T79" s="75" t="n">
        <x:v>0.9823787705231004</x:v>
      </x:c>
      <x:c r="U79" s="63" t="str">
        <x:v>Ejecutado</x:v>
      </x:c>
      <x:c r="V79" s="63" t="str">
        <x:v>Actividad ejecutada dentro del rango esperado.</x:v>
      </x:c>
      <x:c r="W79" s="47" t="str">
        <x:v>Corte anual cerrado</x:v>
      </x:c>
    </x:row>
    <x:row r="80" ht="18" customHeight="1">
      <x:c r="A80" s="46" t="n">
        <x:v>2023</x:v>
      </x:c>
      <x:c r="B80" s="63" t="n">
        <x:v>9</x:v>
      </x:c>
      <x:c r="C80" s="63" t="str">
        <x:v>Septiembre</x:v>
      </x:c>
      <x:c r="D80" s="63" t="str">
        <x:v>T3</x:v>
      </x:c>
      <x:c r="E80" s="71" t="n">
        <x:v>45199</x:v>
      </x:c>
      <x:c r="F80" s="63" t="str">
        <x:v>Mejora continua y cumplimiento</x:v>
      </x:c>
      <x:c r="G80" s="63" t="str">
        <x:v>Gestión de incidentes y mejora</x:v>
      </x:c>
      <x:c r="H80" s="63" t="str">
        <x:v>Investigación de AT/EL y acciones correctivas</x:v>
      </x:c>
      <x:c r="I80" s="63" t="str">
        <x:v>Operativo</x:v>
      </x:c>
      <x:c r="J80" s="63" t="str">
        <x:v>Media</x:v>
      </x:c>
      <x:c r="K80" s="63" t="str">
        <x:v>Mensual</x:v>
      </x:c>
      <x:c r="L80" s="63" t="str">
        <x:v>Seguimiento</x:v>
      </x:c>
      <x:c r="M80" s="63" t="n">
        <x:v>12</x:v>
      </x:c>
      <x:c r="N80" s="63" t="str">
        <x:v>SST / Jefes de área</x:v>
      </x:c>
      <x:c r="O80" s="63" t="str">
        <x:v>Presupuesto SG-SST</x:v>
      </x:c>
      <x:c r="P80" s="63" t="str">
        <x:v>Investigación, plan de acción, evidencia de cierre</x:v>
      </x:c>
      <x:c r="Q80" s="79" t="n">
        <x:v>218250</x:v>
      </x:c>
      <x:c r="R80" s="79" t="n">
        <x:v>195576</x:v>
      </x:c>
      <x:c r="S80" s="79" t="n">
        <x:v>-22674</x:v>
      </x:c>
      <x:c r="T80" s="75" t="n">
        <x:v>0.8961099656357389</x:v>
      </x:c>
      <x:c r="U80" s="63" t="str">
        <x:v>Parcial</x:v>
      </x:c>
      <x:c r="V80" s="63" t="str">
        <x:v>Actividad con ejecución parcial o cierre financiero pendiente.</x:v>
      </x:c>
      <x:c r="W80" s="47" t="str">
        <x:v>Corte anual cerrado</x:v>
      </x:c>
    </x:row>
    <x:row r="81" ht="18" customHeight="1">
      <x:c r="A81" s="46" t="n">
        <x:v>2023</x:v>
      </x:c>
      <x:c r="B81" s="63" t="n">
        <x:v>9</x:v>
      </x:c>
      <x:c r="C81" s="63" t="str">
        <x:v>Septiembre</x:v>
      </x:c>
      <x:c r="D81" s="63" t="str">
        <x:v>T3</x:v>
      </x:c>
      <x:c r="E81" s="71" t="n">
        <x:v>45199</x:v>
      </x:c>
      <x:c r="F81" s="63" t="str">
        <x:v>Medicina preventiva y del trabajo</x:v>
      </x:c>
      <x:c r="G81" s="63" t="str">
        <x:v>Programas de vigilancia epidemiológica</x:v>
      </x:c>
      <x:c r="H81" s="63" t="str">
        <x:v>Programas de vigilancia epidemiológica y seguimiento médico</x:v>
      </x:c>
      <x:c r="I81" s="63" t="str">
        <x:v>Servicio</x:v>
      </x:c>
      <x:c r="J81" s="63" t="str">
        <x:v>Alta</x:v>
      </x:c>
      <x:c r="K81" s="63" t="str">
        <x:v>Mensual</x:v>
      </x:c>
      <x:c r="L81" s="63" t="str">
        <x:v>Seguimiento</x:v>
      </x:c>
      <x:c r="M81" s="63" t="n">
        <x:v>12</x:v>
      </x:c>
      <x:c r="N81" s="63" t="str">
        <x:v>Médico laboral / SST</x:v>
      </x:c>
      <x:c r="O81" s="63" t="str">
        <x:v>Presupuesto SG-SST</x:v>
      </x:c>
      <x:c r="P81" s="63" t="str">
        <x:v>Base de seguimiento, informe, remisiones</x:v>
      </x:c>
      <x:c r="Q81" s="79" t="n">
        <x:v>543200</x:v>
      </x:c>
      <x:c r="R81" s="79" t="n">
        <x:v>543650</x:v>
      </x:c>
      <x:c r="S81" s="79" t="n">
        <x:v>450</x:v>
      </x:c>
      <x:c r="T81" s="75" t="n">
        <x:v>1.0008284241531664</x:v>
      </x:c>
      <x:c r="U81" s="63" t="str">
        <x:v>Ejecutado</x:v>
      </x:c>
      <x:c r="V81" s="63" t="str">
        <x:v>Actividad ejecutada dentro del rango esperado.</x:v>
      </x:c>
      <x:c r="W81" s="47" t="str">
        <x:v>Corte anual cerrado</x:v>
      </x:c>
    </x:row>
    <x:row r="82" ht="18" customHeight="1">
      <x:c r="A82" s="46" t="n">
        <x:v>2023</x:v>
      </x:c>
      <x:c r="B82" s="63" t="n">
        <x:v>9</x:v>
      </x:c>
      <x:c r="C82" s="63" t="str">
        <x:v>Septiembre</x:v>
      </x:c>
      <x:c r="D82" s="63" t="str">
        <x:v>T3</x:v>
      </x:c>
      <x:c r="E82" s="71" t="n">
        <x:v>45199</x:v>
      </x:c>
      <x:c r="F82" s="63" t="str">
        <x:v>Higiene y seguridad industrial</x:v>
      </x:c>
      <x:c r="G82" s="63" t="str">
        <x:v>Señalización y control visual</x:v>
      </x:c>
      <x:c r="H82" s="63" t="str">
        <x:v>Señalización, demarcación y avisos de seguridad</x:v>
      </x:c>
      <x:c r="I82" s="63" t="str">
        <x:v>Operativo</x:v>
      </x:c>
      <x:c r="J82" s="63" t="str">
        <x:v>Media</x:v>
      </x:c>
      <x:c r="K82" s="63" t="str">
        <x:v>Periódica</x:v>
      </x:c>
      <x:c r="L82" s="63" t="str">
        <x:v>Intervención</x:v>
      </x:c>
      <x:c r="M82" s="63" t="n">
        <x:v>5</x:v>
      </x:c>
      <x:c r="N82" s="63" t="str">
        <x:v>SST / Mantenimiento</x:v>
      </x:c>
      <x:c r="O82" s="63" t="str">
        <x:v>Presupuesto SG-SST</x:v>
      </x:c>
      <x:c r="P82" s="63" t="str">
        <x:v>Acta de instalación, factura, inventario</x:v>
      </x:c>
      <x:c r="Q82" s="79" t="n">
        <x:v>485000</x:v>
      </x:c>
      <x:c r="R82" s="79" t="n">
        <x:v>457241</x:v>
      </x:c>
      <x:c r="S82" s="79" t="n">
        <x:v>-27759</x:v>
      </x:c>
      <x:c r="T82" s="75" t="n">
        <x:v>0.9427649484536083</x:v>
      </x:c>
      <x:c r="U82" s="63" t="str">
        <x:v>Parcial</x:v>
      </x:c>
      <x:c r="V82" s="63" t="str">
        <x:v>Actividad con ejecución parcial o cierre financiero pendiente.</x:v>
      </x:c>
      <x:c r="W82" s="47" t="str">
        <x:v>Corte anual cerrado</x:v>
      </x:c>
    </x:row>
    <x:row r="83" ht="18" customHeight="1">
      <x:c r="A83" s="46" t="n">
        <x:v>2023</x:v>
      </x:c>
      <x:c r="B83" s="63" t="n">
        <x:v>10</x:v>
      </x:c>
      <x:c r="C83" s="63" t="str">
        <x:v>Octubre</x:v>
      </x:c>
      <x:c r="D83" s="63" t="str">
        <x:v>T4</x:v>
      </x:c>
      <x:c r="E83" s="71" t="n">
        <x:v>45230</x:v>
      </x:c>
      <x:c r="F83" s="63" t="str">
        <x:v>Mejora continua y cumplimiento</x:v>
      </x:c>
      <x:c r="G83" s="63" t="str">
        <x:v>Auditoría y revisión por la dirección</x:v>
      </x:c>
      <x:c r="H83" s="63" t="str">
        <x:v>Auditoría interna, autoevaluación y revisión gerencial</x:v>
      </x:c>
      <x:c r="I83" s="63" t="str">
        <x:v>Servicio</x:v>
      </x:c>
      <x:c r="J83" s="63" t="str">
        <x:v>Alta</x:v>
      </x:c>
      <x:c r="K83" s="63" t="str">
        <x:v>Trimestral</x:v>
      </x:c>
      <x:c r="L83" s="63" t="str">
        <x:v>Hito</x:v>
      </x:c>
      <x:c r="M83" s="63" t="n">
        <x:v>4</x:v>
      </x:c>
      <x:c r="N83" s="63" t="str">
        <x:v>Líder HSEQ / Gerencia</x:v>
      </x:c>
      <x:c r="O83" s="63" t="str">
        <x:v>Presupuesto SG-SST</x:v>
      </x:c>
      <x:c r="P83" s="63" t="str">
        <x:v>Informe de auditoría, acta, plan de mejora</x:v>
      </x:c>
      <x:c r="Q83" s="79" t="n">
        <x:v>970000</x:v>
      </x:c>
      <x:c r="R83" s="79" t="n">
        <x:v>905773</x:v>
      </x:c>
      <x:c r="S83" s="79" t="n">
        <x:v>-64227</x:v>
      </x:c>
      <x:c r="T83" s="75" t="n">
        <x:v>0.9337865979381443</x:v>
      </x:c>
      <x:c r="U83" s="63" t="str">
        <x:v>Parcial</x:v>
      </x:c>
      <x:c r="V83" s="63" t="str">
        <x:v>Actividad con ejecución parcial o cierre financiero pendiente.</x:v>
      </x:c>
      <x:c r="W83" s="47" t="str">
        <x:v>Corte anual cerrado</x:v>
      </x:c>
    </x:row>
    <x:row r="84" ht="18" customHeight="1">
      <x:c r="A84" s="46" t="n">
        <x:v>2023</x:v>
      </x:c>
      <x:c r="B84" s="63" t="n">
        <x:v>10</x:v>
      </x:c>
      <x:c r="C84" s="63" t="str">
        <x:v>Octubre</x:v>
      </x:c>
      <x:c r="D84" s="63" t="str">
        <x:v>T4</x:v>
      </x:c>
      <x:c r="E84" s="71" t="n">
        <x:v>45230</x:v>
      </x:c>
      <x:c r="F84" s="63" t="str">
        <x:v>Capacitación y entrenamiento</x:v>
      </x:c>
      <x:c r="G84" s="63" t="str">
        <x:v>Plan anual de formación</x:v>
      </x:c>
      <x:c r="H84" s="63" t="str">
        <x:v>Capacitación y entrenamiento en SG-SST</x:v>
      </x:c>
      <x:c r="I84" s="63" t="str">
        <x:v>Operativo</x:v>
      </x:c>
      <x:c r="J84" s="63" t="str">
        <x:v>Alta</x:v>
      </x:c>
      <x:c r="K84" s="63" t="str">
        <x:v>Mensual</x:v>
      </x:c>
      <x:c r="L84" s="63" t="str">
        <x:v>Jornada</x:v>
      </x:c>
      <x:c r="M84" s="63" t="n">
        <x:v>12</x:v>
      </x:c>
      <x:c r="N84" s="63" t="str">
        <x:v>Coordinación SST</x:v>
      </x:c>
      <x:c r="O84" s="63" t="str">
        <x:v>Presupuesto SG-SST</x:v>
      </x:c>
      <x:c r="P84" s="63" t="str">
        <x:v>Lista de asistencia, evaluación, acta</x:v>
      </x:c>
      <x:c r="Q84" s="79" t="n">
        <x:v>388000</x:v>
      </x:c>
      <x:c r="R84" s="79" t="n">
        <x:v>373778</x:v>
      </x:c>
      <x:c r="S84" s="79" t="n">
        <x:v>-14222</x:v>
      </x:c>
      <x:c r="T84" s="75" t="n">
        <x:v>0.9633453608247423</x:v>
      </x:c>
      <x:c r="U84" s="63" t="str">
        <x:v>Parcial</x:v>
      </x:c>
      <x:c r="V84" s="63" t="str">
        <x:v>Actividad con ejecución parcial o cierre financiero pendiente.</x:v>
      </x:c>
      <x:c r="W84" s="47" t="str">
        <x:v>Corte anual cerrado</x:v>
      </x:c>
    </x:row>
    <x:row r="85" ht="18" customHeight="1">
      <x:c r="A85" s="46" t="n">
        <x:v>2023</x:v>
      </x:c>
      <x:c r="B85" s="63" t="n">
        <x:v>10</x:v>
      </x:c>
      <x:c r="C85" s="63" t="str">
        <x:v>Octubre</x:v>
      </x:c>
      <x:c r="D85" s="63" t="str">
        <x:v>T4</x:v>
      </x:c>
      <x:c r="E85" s="71" t="n">
        <x:v>45230</x:v>
      </x:c>
      <x:c r="F85" s="63" t="str">
        <x:v>Medicina preventiva y del trabajo</x:v>
      </x:c>
      <x:c r="G85" s="63" t="str">
        <x:v>Vigilancia epidemiológica</x:v>
      </x:c>
      <x:c r="H85" s="63" t="str">
        <x:v>Evaluación de riesgo psicosocial y actividades de intervención</x:v>
      </x:c>
      <x:c r="I85" s="63" t="str">
        <x:v>Servicio</x:v>
      </x:c>
      <x:c r="J85" s="63" t="str">
        <x:v>Alta</x:v>
      </x:c>
      <x:c r="K85" s="63" t="str">
        <x:v>Periódica</x:v>
      </x:c>
      <x:c r="L85" s="63" t="str">
        <x:v>Actividad</x:v>
      </x:c>
      <x:c r="M85" s="63" t="n">
        <x:v>6</x:v>
      </x:c>
      <x:c r="N85" s="63" t="str">
        <x:v>Psicología / SST</x:v>
      </x:c>
      <x:c r="O85" s="63" t="str">
        <x:v>Presupuesto SG-SST</x:v>
      </x:c>
      <x:c r="P85" s="63" t="str">
        <x:v>Informe técnico, evidencia, plan de intervención</x:v>
      </x:c>
      <x:c r="Q85" s="79" t="n">
        <x:v>509250</x:v>
      </x:c>
      <x:c r="R85" s="79" t="n">
        <x:v>503838</x:v>
      </x:c>
      <x:c r="S85" s="79" t="n">
        <x:v>-5412</x:v>
      </x:c>
      <x:c r="T85" s="75" t="n">
        <x:v>0.9893726067746687</x:v>
      </x:c>
      <x:c r="U85" s="63" t="str">
        <x:v>Ejecutado</x:v>
      </x:c>
      <x:c r="V85" s="63" t="str">
        <x:v>Actividad ejecutada dentro del rango esperado.</x:v>
      </x:c>
      <x:c r="W85" s="47" t="str">
        <x:v>Corte anual cerrado</x:v>
      </x:c>
    </x:row>
    <x:row r="86" ht="18" customHeight="1">
      <x:c r="A86" s="46" t="n">
        <x:v>2023</x:v>
      </x:c>
      <x:c r="B86" s="63" t="n">
        <x:v>10</x:v>
      </x:c>
      <x:c r="C86" s="63" t="str">
        <x:v>Octubre</x:v>
      </x:c>
      <x:c r="D86" s="63" t="str">
        <x:v>T4</x:v>
      </x:c>
      <x:c r="E86" s="71" t="n">
        <x:v>45230</x:v>
      </x:c>
      <x:c r="F86" s="63" t="str">
        <x:v>Recursos y gestión financiera</x:v>
      </x:c>
      <x:c r="G86" s="63" t="str">
        <x:v>Planeación y recursos</x:v>
      </x:c>
      <x:c r="H86" s="63" t="str">
        <x:v>Exámenes médicos ocupacionales</x:v>
      </x:c>
      <x:c r="I86" s="63" t="str">
        <x:v>Servicio</x:v>
      </x:c>
      <x:c r="J86" s="63" t="str">
        <x:v>Alta</x:v>
      </x:c>
      <x:c r="K86" s="63" t="str">
        <x:v>Semestral</x:v>
      </x:c>
      <x:c r="L86" s="63" t="str">
        <x:v>Jornada</x:v>
      </x:c>
      <x:c r="M86" s="63" t="n">
        <x:v>2</x:v>
      </x:c>
      <x:c r="N86" s="63" t="str">
        <x:v>Coordinación SST</x:v>
      </x:c>
      <x:c r="O86" s="63" t="str">
        <x:v>Presupuesto SG-SST</x:v>
      </x:c>
      <x:c r="P86" s="63" t="str">
        <x:v>Orden de servicio, factura, concepto médico</x:v>
      </x:c>
      <x:c r="Q86" s="79" t="n">
        <x:v>116400</x:v>
      </x:c>
      <x:c r="R86" s="79" t="n">
        <x:v>107434</x:v>
      </x:c>
      <x:c r="S86" s="79" t="n">
        <x:v>-8966</x:v>
      </x:c>
      <x:c r="T86" s="75" t="n">
        <x:v>0.9229725085910653</x:v>
      </x:c>
      <x:c r="U86" s="63" t="str">
        <x:v>Parcial</x:v>
      </x:c>
      <x:c r="V86" s="63" t="str">
        <x:v>Actividad con ejecución parcial o cierre financiero pendiente.</x:v>
      </x:c>
      <x:c r="W86" s="47" t="str">
        <x:v>Corte anual cerrado</x:v>
      </x:c>
    </x:row>
    <x:row r="87" ht="18" customHeight="1">
      <x:c r="A87" s="46" t="n">
        <x:v>2023</x:v>
      </x:c>
      <x:c r="B87" s="63" t="n">
        <x:v>10</x:v>
      </x:c>
      <x:c r="C87" s="63" t="str">
        <x:v>Octubre</x:v>
      </x:c>
      <x:c r="D87" s="63" t="str">
        <x:v>T4</x:v>
      </x:c>
      <x:c r="E87" s="71" t="n">
        <x:v>45230</x:v>
      </x:c>
      <x:c r="F87" s="63" t="str">
        <x:v>Gestión de contratistas</x:v>
      </x:c>
      <x:c r="G87" s="63" t="str">
        <x:v>Control de terceros</x:v>
      </x:c>
      <x:c r="H87" s="63" t="str">
        <x:v>Gestión SST de proveedores y contratistas</x:v>
      </x:c>
      <x:c r="I87" s="63" t="str">
        <x:v>Operativo</x:v>
      </x:c>
      <x:c r="J87" s="63" t="str">
        <x:v>Media</x:v>
      </x:c>
      <x:c r="K87" s="63" t="str">
        <x:v>Trimestral</x:v>
      </x:c>
      <x:c r="L87" s="63" t="str">
        <x:v>Ciclo</x:v>
      </x:c>
      <x:c r="M87" s="63" t="n">
        <x:v>4</x:v>
      </x:c>
      <x:c r="N87" s="63" t="str">
        <x:v>Compras / SST</x:v>
      </x:c>
      <x:c r="O87" s="63" t="str">
        <x:v>Presupuesto SG-SST</x:v>
      </x:c>
      <x:c r="P87" s="63" t="str">
        <x:v>Matriz de evaluación, soportes de contratistas</x:v>
      </x:c>
      <x:c r="Q87" s="79" t="n">
        <x:v>727500</x:v>
      </x:c>
      <x:c r="R87" s="79" t="n">
        <x:v>713770</x:v>
      </x:c>
      <x:c r="S87" s="79" t="n">
        <x:v>-13730</x:v>
      </x:c>
      <x:c r="T87" s="75" t="n">
        <x:v>0.981127147766323</x:v>
      </x:c>
      <x:c r="U87" s="63" t="str">
        <x:v>Ejecutado</x:v>
      </x:c>
      <x:c r="V87" s="63" t="str">
        <x:v>Actividad ejecutada dentro del rango esperado.</x:v>
      </x:c>
      <x:c r="W87" s="47" t="str">
        <x:v>Corte anual cerrado</x:v>
      </x:c>
    </x:row>
    <x:row r="88" ht="18" customHeight="1">
      <x:c r="A88" s="46" t="n">
        <x:v>2023</x:v>
      </x:c>
      <x:c r="B88" s="63" t="n">
        <x:v>10</x:v>
      </x:c>
      <x:c r="C88" s="63" t="str">
        <x:v>Octubre</x:v>
      </x:c>
      <x:c r="D88" s="63" t="str">
        <x:v>T4</x:v>
      </x:c>
      <x:c r="E88" s="71" t="n">
        <x:v>45230</x:v>
      </x:c>
      <x:c r="F88" s="63" t="str">
        <x:v>Participación y consulta</x:v>
      </x:c>
      <x:c r="G88" s="63" t="str">
        <x:v>Comités de SST</x:v>
      </x:c>
      <x:c r="H88" s="63" t="str">
        <x:v>Gestión de COPASST y Comité de Convivencia</x:v>
      </x:c>
      <x:c r="I88" s="63" t="str">
        <x:v>Operativo</x:v>
      </x:c>
      <x:c r="J88" s="63" t="str">
        <x:v>Media</x:v>
      </x:c>
      <x:c r="K88" s="63" t="str">
        <x:v>Mensual</x:v>
      </x:c>
      <x:c r="L88" s="63" t="str">
        <x:v>Reunión</x:v>
      </x:c>
      <x:c r="M88" s="63" t="n">
        <x:v>12</x:v>
      </x:c>
      <x:c r="N88" s="63" t="str">
        <x:v>Talento Humano / SST</x:v>
      </x:c>
      <x:c r="O88" s="63" t="str">
        <x:v>Presupuesto SG-SST</x:v>
      </x:c>
      <x:c r="P88" s="63" t="str">
        <x:v>Acta, convocatoria, seguimiento compromisos</x:v>
      </x:c>
      <x:c r="Q88" s="79" t="n">
        <x:v>174600</x:v>
      </x:c>
      <x:c r="R88" s="79" t="n">
        <x:v>177764</x:v>
      </x:c>
      <x:c r="S88" s="79" t="n">
        <x:v>3164</x:v>
      </x:c>
      <x:c r="T88" s="75" t="n">
        <x:v>1.0181214203894615</x:v>
      </x:c>
      <x:c r="U88" s="63" t="str">
        <x:v>Ejecutado</x:v>
      </x:c>
      <x:c r="V88" s="63" t="str">
        <x:v>Actividad ejecutada dentro del rango esperado.</x:v>
      </x:c>
      <x:c r="W88" s="47" t="str">
        <x:v>Corte anual cerrado</x:v>
      </x:c>
    </x:row>
    <x:row r="89" ht="18" customHeight="1">
      <x:c r="A89" s="46" t="n">
        <x:v>2023</x:v>
      </x:c>
      <x:c r="B89" s="63" t="n">
        <x:v>10</x:v>
      </x:c>
      <x:c r="C89" s="63" t="str">
        <x:v>Octubre</x:v>
      </x:c>
      <x:c r="D89" s="63" t="str">
        <x:v>T4</x:v>
      </x:c>
      <x:c r="E89" s="71" t="n">
        <x:v>45230</x:v>
      </x:c>
      <x:c r="F89" s="63" t="str">
        <x:v>Higiene y seguridad industrial</x:v>
      </x:c>
      <x:c r="G89" s="63" t="str">
        <x:v>Inspecciones y control</x:v>
      </x:c>
      <x:c r="H89" s="63" t="str">
        <x:v>Inspecciones planeadas de seguridad</x:v>
      </x:c>
      <x:c r="I89" s="63" t="str">
        <x:v>Operativo</x:v>
      </x:c>
      <x:c r="J89" s="63" t="str">
        <x:v>Media</x:v>
      </x:c>
      <x:c r="K89" s="63" t="str">
        <x:v>Mensual</x:v>
      </x:c>
      <x:c r="L89" s="63" t="str">
        <x:v>Inspección</x:v>
      </x:c>
      <x:c r="M89" s="63" t="n">
        <x:v>12</x:v>
      </x:c>
      <x:c r="N89" s="63" t="str">
        <x:v>Inspector SST</x:v>
      </x:c>
      <x:c r="O89" s="63" t="str">
        <x:v>Presupuesto SG-SST</x:v>
      </x:c>
      <x:c r="P89" s="63" t="str">
        <x:v>Lista de chequeo, informe, evidencia fotográfica</x:v>
      </x:c>
      <x:c r="Q89" s="79" t="n">
        <x:v>232800</x:v>
      </x:c>
      <x:c r="R89" s="79" t="n">
        <x:v>219314</x:v>
      </x:c>
      <x:c r="S89" s="79" t="n">
        <x:v>-13486</x:v>
      </x:c>
      <x:c r="T89" s="75" t="n">
        <x:v>0.9420704467353952</x:v>
      </x:c>
      <x:c r="U89" s="63" t="str">
        <x:v>Parcial</x:v>
      </x:c>
      <x:c r="V89" s="63" t="str">
        <x:v>Actividad con ejecución parcial o cierre financiero pendiente.</x:v>
      </x:c>
      <x:c r="W89" s="47" t="str">
        <x:v>Corte anual cerrado</x:v>
      </x:c>
    </x:row>
    <x:row r="90" ht="18" customHeight="1">
      <x:c r="A90" s="46" t="n">
        <x:v>2023</x:v>
      </x:c>
      <x:c r="B90" s="63" t="n">
        <x:v>10</x:v>
      </x:c>
      <x:c r="C90" s="63" t="str">
        <x:v>Octubre</x:v>
      </x:c>
      <x:c r="D90" s="63" t="str">
        <x:v>T4</x:v>
      </x:c>
      <x:c r="E90" s="71" t="n">
        <x:v>45230</x:v>
      </x:c>
      <x:c r="F90" s="63" t="str">
        <x:v>Mejora continua y cumplimiento</x:v>
      </x:c>
      <x:c r="G90" s="63" t="str">
        <x:v>Gestión de incidentes y mejora</x:v>
      </x:c>
      <x:c r="H90" s="63" t="str">
        <x:v>Investigación de AT/EL y acciones correctivas</x:v>
      </x:c>
      <x:c r="I90" s="63" t="str">
        <x:v>Operativo</x:v>
      </x:c>
      <x:c r="J90" s="63" t="str">
        <x:v>Media</x:v>
      </x:c>
      <x:c r="K90" s="63" t="str">
        <x:v>Mensual</x:v>
      </x:c>
      <x:c r="L90" s="63" t="str">
        <x:v>Seguimiento</x:v>
      </x:c>
      <x:c r="M90" s="63" t="n">
        <x:v>12</x:v>
      </x:c>
      <x:c r="N90" s="63" t="str">
        <x:v>SST / Jefes de área</x:v>
      </x:c>
      <x:c r="O90" s="63" t="str">
        <x:v>Presupuesto SG-SST</x:v>
      </x:c>
      <x:c r="P90" s="63" t="str">
        <x:v>Investigación, plan de acción, evidencia de cierre</x:v>
      </x:c>
      <x:c r="Q90" s="79" t="n">
        <x:v>194000</x:v>
      </x:c>
      <x:c r="R90" s="79" t="n">
        <x:v>189141</x:v>
      </x:c>
      <x:c r="S90" s="79" t="n">
        <x:v>-4859</x:v>
      </x:c>
      <x:c r="T90" s="75" t="n">
        <x:v>0.9749536082474227</x:v>
      </x:c>
      <x:c r="U90" s="63" t="str">
        <x:v>Parcial</x:v>
      </x:c>
      <x:c r="V90" s="63" t="str">
        <x:v>Actividad con ejecución parcial o cierre financiero pendiente.</x:v>
      </x:c>
      <x:c r="W90" s="47" t="str">
        <x:v>Corte anual cerrado</x:v>
      </x:c>
    </x:row>
    <x:row r="91" ht="18" customHeight="1">
      <x:c r="A91" s="46" t="n">
        <x:v>2023</x:v>
      </x:c>
      <x:c r="B91" s="63" t="n">
        <x:v>10</x:v>
      </x:c>
      <x:c r="C91" s="63" t="str">
        <x:v>Octubre</x:v>
      </x:c>
      <x:c r="D91" s="63" t="str">
        <x:v>T4</x:v>
      </x:c>
      <x:c r="E91" s="71" t="n">
        <x:v>45230</x:v>
      </x:c>
      <x:c r="F91" s="63" t="str">
        <x:v>Emergencias e infraestructura</x:v>
      </x:c>
      <x:c r="G91" s="63" t="str">
        <x:v>Preparación y respuesta ante emergencias</x:v>
      </x:c>
      <x:c r="H91" s="63" t="str">
        <x:v>Mantenimiento de extintores, botiquines y equipos de emergencia</x:v>
      </x:c>
      <x:c r="I91" s="63" t="str">
        <x:v>Servicio</x:v>
      </x:c>
      <x:c r="J91" s="63" t="str">
        <x:v>Alta</x:v>
      </x:c>
      <x:c r="K91" s="63" t="str">
        <x:v>Bimestral / semestral</x:v>
      </x:c>
      <x:c r="L91" s="63" t="str">
        <x:v>Mantenimiento</x:v>
      </x:c>
      <x:c r="M91" s="63" t="n">
        <x:v>6</x:v>
      </x:c>
      <x:c r="N91" s="63" t="str">
        <x:v>Brigada / SST</x:v>
      </x:c>
      <x:c r="O91" s="63" t="str">
        <x:v>Presupuesto SG-SST</x:v>
      </x:c>
      <x:c r="P91" s="63" t="str">
        <x:v>Certificado, factura, hoja de vida del equipo</x:v>
      </x:c>
      <x:c r="Q91" s="79" t="n">
        <x:v>698400</x:v>
      </x:c>
      <x:c r="R91" s="79" t="n">
        <x:v>658290</x:v>
      </x:c>
      <x:c r="S91" s="79" t="n">
        <x:v>-40110</x:v>
      </x:c>
      <x:c r="T91" s="75" t="n">
        <x:v>0.9425687285223368</x:v>
      </x:c>
      <x:c r="U91" s="63" t="str">
        <x:v>Parcial</x:v>
      </x:c>
      <x:c r="V91" s="63" t="str">
        <x:v>Actividad con ejecución parcial o cierre financiero pendiente.</x:v>
      </x:c>
      <x:c r="W91" s="47" t="str">
        <x:v>Corte anual cerrado</x:v>
      </x:c>
    </x:row>
    <x:row r="92" ht="18" customHeight="1">
      <x:c r="A92" s="46" t="n">
        <x:v>2023</x:v>
      </x:c>
      <x:c r="B92" s="63" t="n">
        <x:v>10</x:v>
      </x:c>
      <x:c r="C92" s="63" t="str">
        <x:v>Octubre</x:v>
      </x:c>
      <x:c r="D92" s="63" t="str">
        <x:v>T4</x:v>
      </x:c>
      <x:c r="E92" s="71" t="n">
        <x:v>45230</x:v>
      </x:c>
      <x:c r="F92" s="63" t="str">
        <x:v>Medicina preventiva y del trabajo</x:v>
      </x:c>
      <x:c r="G92" s="63" t="str">
        <x:v>Programas de vigilancia epidemiológica</x:v>
      </x:c>
      <x:c r="H92" s="63" t="str">
        <x:v>Programas de vigilancia epidemiológica y seguimiento médico</x:v>
      </x:c>
      <x:c r="I92" s="63" t="str">
        <x:v>Servicio</x:v>
      </x:c>
      <x:c r="J92" s="63" t="str">
        <x:v>Alta</x:v>
      </x:c>
      <x:c r="K92" s="63" t="str">
        <x:v>Mensual</x:v>
      </x:c>
      <x:c r="L92" s="63" t="str">
        <x:v>Seguimiento</x:v>
      </x:c>
      <x:c r="M92" s="63" t="n">
        <x:v>12</x:v>
      </x:c>
      <x:c r="N92" s="63" t="str">
        <x:v>Médico laboral / SST</x:v>
      </x:c>
      <x:c r="O92" s="63" t="str">
        <x:v>Presupuesto SG-SST</x:v>
      </x:c>
      <x:c r="P92" s="63" t="str">
        <x:v>Base de seguimiento, informe, remisiones</x:v>
      </x:c>
      <x:c r="Q92" s="79" t="n">
        <x:v>543200</x:v>
      </x:c>
      <x:c r="R92" s="79" t="n">
        <x:v>494700</x:v>
      </x:c>
      <x:c r="S92" s="79" t="n">
        <x:v>-48500</x:v>
      </x:c>
      <x:c r="T92" s="75" t="n">
        <x:v>0.9107142857142857</x:v>
      </x:c>
      <x:c r="U92" s="63" t="str">
        <x:v>Parcial</x:v>
      </x:c>
      <x:c r="V92" s="63" t="str">
        <x:v>Actividad con ejecución parcial o cierre financiero pendiente.</x:v>
      </x:c>
      <x:c r="W92" s="47" t="str">
        <x:v>Corte anual cerrado</x:v>
      </x:c>
    </x:row>
    <x:row r="93" ht="18" customHeight="1">
      <x:c r="A93" s="46" t="n">
        <x:v>2023</x:v>
      </x:c>
      <x:c r="B93" s="63" t="n">
        <x:v>11</x:v>
      </x:c>
      <x:c r="C93" s="63" t="str">
        <x:v>Noviembre</x:v>
      </x:c>
      <x:c r="D93" s="63" t="str">
        <x:v>T4</x:v>
      </x:c>
      <x:c r="E93" s="71" t="n">
        <x:v>45260</x:v>
      </x:c>
      <x:c r="F93" s="63" t="str">
        <x:v>Mejora continua y cumplimiento</x:v>
      </x:c>
      <x:c r="G93" s="63" t="str">
        <x:v>Auditoría y revisión por la dirección</x:v>
      </x:c>
      <x:c r="H93" s="63" t="str">
        <x:v>Auditoría interna, autoevaluación y revisión gerencial</x:v>
      </x:c>
      <x:c r="I93" s="63" t="str">
        <x:v>Servicio</x:v>
      </x:c>
      <x:c r="J93" s="63" t="str">
        <x:v>Alta</x:v>
      </x:c>
      <x:c r="K93" s="63" t="str">
        <x:v>Trimestral</x:v>
      </x:c>
      <x:c r="L93" s="63" t="str">
        <x:v>Hito</x:v>
      </x:c>
      <x:c r="M93" s="63" t="n">
        <x:v>4</x:v>
      </x:c>
      <x:c r="N93" s="63" t="str">
        <x:v>Líder HSEQ / Gerencia</x:v>
      </x:c>
      <x:c r="O93" s="63" t="str">
        <x:v>Presupuesto SG-SST</x:v>
      </x:c>
      <x:c r="P93" s="63" t="str">
        <x:v>Informe de auditoría, acta, plan de mejora</x:v>
      </x:c>
      <x:c r="Q93" s="79" t="n">
        <x:v>582000</x:v>
      </x:c>
      <x:c r="R93" s="79" t="n">
        <x:v>537971</x:v>
      </x:c>
      <x:c r="S93" s="79" t="n">
        <x:v>-44029</x:v>
      </x:c>
      <x:c r="T93" s="75" t="n">
        <x:v>0.9243487972508591</x:v>
      </x:c>
      <x:c r="U93" s="63" t="str">
        <x:v>Parcial</x:v>
      </x:c>
      <x:c r="V93" s="63" t="str">
        <x:v>Actividad con ejecución parcial o cierre financiero pendiente.</x:v>
      </x:c>
      <x:c r="W93" s="47" t="str">
        <x:v>Corte anual cerrado</x:v>
      </x:c>
    </x:row>
    <x:row r="94" ht="18" customHeight="1">
      <x:c r="A94" s="46" t="n">
        <x:v>2023</x:v>
      </x:c>
      <x:c r="B94" s="63" t="n">
        <x:v>11</x:v>
      </x:c>
      <x:c r="C94" s="63" t="str">
        <x:v>Noviembre</x:v>
      </x:c>
      <x:c r="D94" s="63" t="str">
        <x:v>T4</x:v>
      </x:c>
      <x:c r="E94" s="71" t="n">
        <x:v>45260</x:v>
      </x:c>
      <x:c r="F94" s="63" t="str">
        <x:v>Capacitación y entrenamiento</x:v>
      </x:c>
      <x:c r="G94" s="63" t="str">
        <x:v>Plan anual de formación</x:v>
      </x:c>
      <x:c r="H94" s="63" t="str">
        <x:v>Capacitación y entrenamiento en SG-SST</x:v>
      </x:c>
      <x:c r="I94" s="63" t="str">
        <x:v>Operativo</x:v>
      </x:c>
      <x:c r="J94" s="63" t="str">
        <x:v>Alta</x:v>
      </x:c>
      <x:c r="K94" s="63" t="str">
        <x:v>Mensual</x:v>
      </x:c>
      <x:c r="L94" s="63" t="str">
        <x:v>Jornada</x:v>
      </x:c>
      <x:c r="M94" s="63" t="n">
        <x:v>12</x:v>
      </x:c>
      <x:c r="N94" s="63" t="str">
        <x:v>Coordinación SST</x:v>
      </x:c>
      <x:c r="O94" s="63" t="str">
        <x:v>Presupuesto SG-SST</x:v>
      </x:c>
      <x:c r="P94" s="63" t="str">
        <x:v>Lista de asistencia, evaluación, acta</x:v>
      </x:c>
      <x:c r="Q94" s="79" t="n">
        <x:v>436500</x:v>
      </x:c>
      <x:c r="R94" s="79" t="n">
        <x:v>407880</x:v>
      </x:c>
      <x:c r="S94" s="79" t="n">
        <x:v>-28620</x:v>
      </x:c>
      <x:c r="T94" s="75" t="n">
        <x:v>0.9344329896907216</x:v>
      </x:c>
      <x:c r="U94" s="63" t="str">
        <x:v>Parcial</x:v>
      </x:c>
      <x:c r="V94" s="63" t="str">
        <x:v>Actividad con ejecución parcial o cierre financiero pendiente.</x:v>
      </x:c>
      <x:c r="W94" s="47" t="str">
        <x:v>Corte anual cerrado</x:v>
      </x:c>
    </x:row>
    <x:row r="95" ht="18" customHeight="1">
      <x:c r="A95" s="46" t="n">
        <x:v>2023</x:v>
      </x:c>
      <x:c r="B95" s="63" t="n">
        <x:v>11</x:v>
      </x:c>
      <x:c r="C95" s="63" t="str">
        <x:v>Noviembre</x:v>
      </x:c>
      <x:c r="D95" s="63" t="str">
        <x:v>T4</x:v>
      </x:c>
      <x:c r="E95" s="71" t="n">
        <x:v>45260</x:v>
      </x:c>
      <x:c r="F95" s="63" t="str">
        <x:v>Higiene y seguridad industrial</x:v>
      </x:c>
      <x:c r="G95" s="63" t="str">
        <x:v>Dotación y control operacional</x:v>
      </x:c>
      <x:c r="H95" s="63" t="str">
        <x:v>Dotación y reposición de EPP</x:v>
      </x:c>
      <x:c r="I95" s="63" t="str">
        <x:v>Operativo</x:v>
      </x:c>
      <x:c r="J95" s="63" t="str">
        <x:v>Alta</x:v>
      </x:c>
      <x:c r="K95" s="63" t="str">
        <x:v>Bimestral / trimestral</x:v>
      </x:c>
      <x:c r="L95" s="63" t="str">
        <x:v>Entrega</x:v>
      </x:c>
      <x:c r="M95" s="63" t="n">
        <x:v>6</x:v>
      </x:c>
      <x:c r="N95" s="63" t="str">
        <x:v>Coordinación SST / Compras</x:v>
      </x:c>
      <x:c r="O95" s="63" t="str">
        <x:v>Presupuesto SG-SST</x:v>
      </x:c>
      <x:c r="P95" s="63" t="str">
        <x:v>Formato de entrega, factura, remisión</x:v>
      </x:c>
      <x:c r="Q95" s="79" t="n">
        <x:v>1600500</x:v>
      </x:c>
      <x:c r="R95" s="79" t="n">
        <x:v>1496650</x:v>
      </x:c>
      <x:c r="S95" s="79" t="n">
        <x:v>-103850</x:v>
      </x:c>
      <x:c r="T95" s="75" t="n">
        <x:v>0.9351140268666042</x:v>
      </x:c>
      <x:c r="U95" s="63" t="str">
        <x:v>Parcial</x:v>
      </x:c>
      <x:c r="V95" s="63" t="str">
        <x:v>Actividad con ejecución parcial o cierre financiero pendiente.</x:v>
      </x:c>
      <x:c r="W95" s="47" t="str">
        <x:v>Corte anual cerrado</x:v>
      </x:c>
    </x:row>
    <x:row r="96" ht="18" customHeight="1">
      <x:c r="A96" s="46" t="n">
        <x:v>2023</x:v>
      </x:c>
      <x:c r="B96" s="63" t="n">
        <x:v>11</x:v>
      </x:c>
      <x:c r="C96" s="63" t="str">
        <x:v>Noviembre</x:v>
      </x:c>
      <x:c r="D96" s="63" t="str">
        <x:v>T4</x:v>
      </x:c>
      <x:c r="E96" s="71" t="n">
        <x:v>45260</x:v>
      </x:c>
      <x:c r="F96" s="63" t="str">
        <x:v>Recursos y gestión financiera</x:v>
      </x:c>
      <x:c r="G96" s="63" t="str">
        <x:v>Planeación y recursos</x:v>
      </x:c>
      <x:c r="H96" s="63" t="str">
        <x:v>Exámenes médicos ocupacionales</x:v>
      </x:c>
      <x:c r="I96" s="63" t="str">
        <x:v>Servicio</x:v>
      </x:c>
      <x:c r="J96" s="63" t="str">
        <x:v>Alta</x:v>
      </x:c>
      <x:c r="K96" s="63" t="str">
        <x:v>Semestral</x:v>
      </x:c>
      <x:c r="L96" s="63" t="str">
        <x:v>Jornada</x:v>
      </x:c>
      <x:c r="M96" s="63" t="n">
        <x:v>2</x:v>
      </x:c>
      <x:c r="N96" s="63" t="str">
        <x:v>Coordinación SST</x:v>
      </x:c>
      <x:c r="O96" s="63" t="str">
        <x:v>Presupuesto SG-SST</x:v>
      </x:c>
      <x:c r="P96" s="63" t="str">
        <x:v>Orden de servicio, factura, concepto médico</x:v>
      </x:c>
      <x:c r="Q96" s="79" t="n">
        <x:v>58200</x:v>
      </x:c>
      <x:c r="R96" s="79" t="n">
        <x:v>55509</x:v>
      </x:c>
      <x:c r="S96" s="79" t="n">
        <x:v>-2691</x:v>
      </x:c>
      <x:c r="T96" s="75" t="n">
        <x:v>0.9537628865979382</x:v>
      </x:c>
      <x:c r="U96" s="63" t="str">
        <x:v>Parcial</x:v>
      </x:c>
      <x:c r="V96" s="63" t="str">
        <x:v>Actividad con ejecución parcial o cierre financiero pendiente.</x:v>
      </x:c>
      <x:c r="W96" s="47" t="str">
        <x:v>Corte anual cerrado</x:v>
      </x:c>
    </x:row>
    <x:row r="97" ht="18" customHeight="1">
      <x:c r="A97" s="46" t="n">
        <x:v>2023</x:v>
      </x:c>
      <x:c r="B97" s="63" t="n">
        <x:v>11</x:v>
      </x:c>
      <x:c r="C97" s="63" t="str">
        <x:v>Noviembre</x:v>
      </x:c>
      <x:c r="D97" s="63" t="str">
        <x:v>T4</x:v>
      </x:c>
      <x:c r="E97" s="71" t="n">
        <x:v>45260</x:v>
      </x:c>
      <x:c r="F97" s="63" t="str">
        <x:v>Participación y consulta</x:v>
      </x:c>
      <x:c r="G97" s="63" t="str">
        <x:v>Comités de SST</x:v>
      </x:c>
      <x:c r="H97" s="63" t="str">
        <x:v>Gestión de COPASST y Comité de Convivencia</x:v>
      </x:c>
      <x:c r="I97" s="63" t="str">
        <x:v>Operativo</x:v>
      </x:c>
      <x:c r="J97" s="63" t="str">
        <x:v>Media</x:v>
      </x:c>
      <x:c r="K97" s="63" t="str">
        <x:v>Mensual</x:v>
      </x:c>
      <x:c r="L97" s="63" t="str">
        <x:v>Reunión</x:v>
      </x:c>
      <x:c r="M97" s="63" t="n">
        <x:v>12</x:v>
      </x:c>
      <x:c r="N97" s="63" t="str">
        <x:v>Talento Humano / SST</x:v>
      </x:c>
      <x:c r="O97" s="63" t="str">
        <x:v>Presupuesto SG-SST</x:v>
      </x:c>
      <x:c r="P97" s="63" t="str">
        <x:v>Acta, convocatoria, seguimiento compromisos</x:v>
      </x:c>
      <x:c r="Q97" s="79" t="n">
        <x:v>155200</x:v>
      </x:c>
      <x:c r="R97" s="79" t="n">
        <x:v>141742</x:v>
      </x:c>
      <x:c r="S97" s="79" t="n">
        <x:v>-13458</x:v>
      </x:c>
      <x:c r="T97" s="75" t="n">
        <x:v>0.9132860824742268</x:v>
      </x:c>
      <x:c r="U97" s="63" t="str">
        <x:v>Parcial</x:v>
      </x:c>
      <x:c r="V97" s="63" t="str">
        <x:v>Actividad con ejecución parcial o cierre financiero pendiente.</x:v>
      </x:c>
      <x:c r="W97" s="47" t="str">
        <x:v>Corte anual cerrado</x:v>
      </x:c>
    </x:row>
    <x:row r="98" ht="18" customHeight="1">
      <x:c r="A98" s="46" t="n">
        <x:v>2023</x:v>
      </x:c>
      <x:c r="B98" s="63" t="n">
        <x:v>11</x:v>
      </x:c>
      <x:c r="C98" s="63" t="str">
        <x:v>Noviembre</x:v>
      </x:c>
      <x:c r="D98" s="63" t="str">
        <x:v>T4</x:v>
      </x:c>
      <x:c r="E98" s="71" t="n">
        <x:v>45260</x:v>
      </x:c>
      <x:c r="F98" s="63" t="str">
        <x:v>Higiene y seguridad industrial</x:v>
      </x:c>
      <x:c r="G98" s="63" t="str">
        <x:v>Inspecciones y control</x:v>
      </x:c>
      <x:c r="H98" s="63" t="str">
        <x:v>Inspecciones planeadas de seguridad</x:v>
      </x:c>
      <x:c r="I98" s="63" t="str">
        <x:v>Operativo</x:v>
      </x:c>
      <x:c r="J98" s="63" t="str">
        <x:v>Media</x:v>
      </x:c>
      <x:c r="K98" s="63" t="str">
        <x:v>Mensual</x:v>
      </x:c>
      <x:c r="L98" s="63" t="str">
        <x:v>Inspección</x:v>
      </x:c>
      <x:c r="M98" s="63" t="n">
        <x:v>12</x:v>
      </x:c>
      <x:c r="N98" s="63" t="str">
        <x:v>Inspector SST</x:v>
      </x:c>
      <x:c r="O98" s="63" t="str">
        <x:v>Presupuesto SG-SST</x:v>
      </x:c>
      <x:c r="P98" s="63" t="str">
        <x:v>Lista de chequeo, informe, evidencia fotográfica</x:v>
      </x:c>
      <x:c r="Q98" s="79" t="n">
        <x:v>232800</x:v>
      </x:c>
      <x:c r="R98" s="79" t="n">
        <x:v>207838</x:v>
      </x:c>
      <x:c r="S98" s="79" t="n">
        <x:v>-24962</x:v>
      </x:c>
      <x:c r="T98" s="75" t="n">
        <x:v>0.8927749140893471</x:v>
      </x:c>
      <x:c r="U98" s="63" t="str">
        <x:v>Parcial</x:v>
      </x:c>
      <x:c r="V98" s="63" t="str">
        <x:v>Actividad con ejecución parcial o cierre financiero pendiente.</x:v>
      </x:c>
      <x:c r="W98" s="47" t="str">
        <x:v>Corte anual cerrado</x:v>
      </x:c>
    </x:row>
    <x:row r="99" ht="18" customHeight="1">
      <x:c r="A99" s="46" t="n">
        <x:v>2023</x:v>
      </x:c>
      <x:c r="B99" s="63" t="n">
        <x:v>11</x:v>
      </x:c>
      <x:c r="C99" s="63" t="str">
        <x:v>Noviembre</x:v>
      </x:c>
      <x:c r="D99" s="63" t="str">
        <x:v>T4</x:v>
      </x:c>
      <x:c r="E99" s="71" t="n">
        <x:v>45260</x:v>
      </x:c>
      <x:c r="F99" s="63" t="str">
        <x:v>Mejora continua y cumplimiento</x:v>
      </x:c>
      <x:c r="G99" s="63" t="str">
        <x:v>Gestión de incidentes y mejora</x:v>
      </x:c>
      <x:c r="H99" s="63" t="str">
        <x:v>Investigación de AT/EL y acciones correctivas</x:v>
      </x:c>
      <x:c r="I99" s="63" t="str">
        <x:v>Operativo</x:v>
      </x:c>
      <x:c r="J99" s="63" t="str">
        <x:v>Media</x:v>
      </x:c>
      <x:c r="K99" s="63" t="str">
        <x:v>Mensual</x:v>
      </x:c>
      <x:c r="L99" s="63" t="str">
        <x:v>Seguimiento</x:v>
      </x:c>
      <x:c r="M99" s="63" t="n">
        <x:v>12</x:v>
      </x:c>
      <x:c r="N99" s="63" t="str">
        <x:v>SST / Jefes de área</x:v>
      </x:c>
      <x:c r="O99" s="63" t="str">
        <x:v>Presupuesto SG-SST</x:v>
      </x:c>
      <x:c r="P99" s="63" t="str">
        <x:v>Investigación, plan de acción, evidencia de cierre</x:v>
      </x:c>
      <x:c r="Q99" s="79" t="n">
        <x:v>194000</x:v>
      </x:c>
      <x:c r="R99" s="79" t="n">
        <x:v>194825</x:v>
      </x:c>
      <x:c r="S99" s="79" t="n">
        <x:v>825</x:v>
      </x:c>
      <x:c r="T99" s="75" t="n">
        <x:v>1.0042525773195876</x:v>
      </x:c>
      <x:c r="U99" s="63" t="str">
        <x:v>Ejecutado</x:v>
      </x:c>
      <x:c r="V99" s="63" t="str">
        <x:v>Actividad ejecutada dentro del rango esperado.</x:v>
      </x:c>
      <x:c r="W99" s="47" t="str">
        <x:v>Corte anual cerrado</x:v>
      </x:c>
    </x:row>
    <x:row r="100" ht="18" customHeight="1">
      <x:c r="A100" s="46" t="n">
        <x:v>2023</x:v>
      </x:c>
      <x:c r="B100" s="63" t="n">
        <x:v>11</x:v>
      </x:c>
      <x:c r="C100" s="63" t="str">
        <x:v>Noviembre</x:v>
      </x:c>
      <x:c r="D100" s="63" t="str">
        <x:v>T4</x:v>
      </x:c>
      <x:c r="E100" s="71" t="n">
        <x:v>45260</x:v>
      </x:c>
      <x:c r="F100" s="63" t="str">
        <x:v>Medicina preventiva y del trabajo</x:v>
      </x:c>
      <x:c r="G100" s="63" t="str">
        <x:v>Programas de vigilancia epidemiológica</x:v>
      </x:c>
      <x:c r="H100" s="63" t="str">
        <x:v>Programas de vigilancia epidemiológica y seguimiento médico</x:v>
      </x:c>
      <x:c r="I100" s="63" t="str">
        <x:v>Servicio</x:v>
      </x:c>
      <x:c r="J100" s="63" t="str">
        <x:v>Alta</x:v>
      </x:c>
      <x:c r="K100" s="63" t="str">
        <x:v>Mensual</x:v>
      </x:c>
      <x:c r="L100" s="63" t="str">
        <x:v>Seguimiento</x:v>
      </x:c>
      <x:c r="M100" s="63" t="n">
        <x:v>12</x:v>
      </x:c>
      <x:c r="N100" s="63" t="str">
        <x:v>Médico laboral / SST</x:v>
      </x:c>
      <x:c r="O100" s="63" t="str">
        <x:v>Presupuesto SG-SST</x:v>
      </x:c>
      <x:c r="P100" s="63" t="str">
        <x:v>Base de seguimiento, informe, remisiones</x:v>
      </x:c>
      <x:c r="Q100" s="79" t="n">
        <x:v>679000</x:v>
      </x:c>
      <x:c r="R100" s="79" t="n">
        <x:v>639943</x:v>
      </x:c>
      <x:c r="S100" s="79" t="n">
        <x:v>-39057</x:v>
      </x:c>
      <x:c r="T100" s="75" t="n">
        <x:v>0.9424786450662739</x:v>
      </x:c>
      <x:c r="U100" s="63" t="str">
        <x:v>Parcial</x:v>
      </x:c>
      <x:c r="V100" s="63" t="str">
        <x:v>Actividad con ejecución parcial o cierre financiero pendiente.</x:v>
      </x:c>
      <x:c r="W100" s="47" t="str">
        <x:v>Corte anual cerrado</x:v>
      </x:c>
    </x:row>
    <x:row r="101" ht="18" customHeight="1">
      <x:c r="A101" s="46" t="n">
        <x:v>2023</x:v>
      </x:c>
      <x:c r="B101" s="63" t="n">
        <x:v>11</x:v>
      </x:c>
      <x:c r="C101" s="63" t="str">
        <x:v>Noviembre</x:v>
      </x:c>
      <x:c r="D101" s="63" t="str">
        <x:v>T4</x:v>
      </x:c>
      <x:c r="E101" s="71" t="n">
        <x:v>45260</x:v>
      </x:c>
      <x:c r="F101" s="63" t="str">
        <x:v>Higiene y seguridad industrial</x:v>
      </x:c>
      <x:c r="G101" s="63" t="str">
        <x:v>Señalización y control visual</x:v>
      </x:c>
      <x:c r="H101" s="63" t="str">
        <x:v>Señalización, demarcación y avisos de seguridad</x:v>
      </x:c>
      <x:c r="I101" s="63" t="str">
        <x:v>Operativo</x:v>
      </x:c>
      <x:c r="J101" s="63" t="str">
        <x:v>Media</x:v>
      </x:c>
      <x:c r="K101" s="63" t="str">
        <x:v>Periódica</x:v>
      </x:c>
      <x:c r="L101" s="63" t="str">
        <x:v>Intervención</x:v>
      </x:c>
      <x:c r="M101" s="63" t="n">
        <x:v>5</x:v>
      </x:c>
      <x:c r="N101" s="63" t="str">
        <x:v>SST / Mantenimiento</x:v>
      </x:c>
      <x:c r="O101" s="63" t="str">
        <x:v>Presupuesto SG-SST</x:v>
      </x:c>
      <x:c r="P101" s="63" t="str">
        <x:v>Acta de instalación, factura, inventario</x:v>
      </x:c>
      <x:c r="Q101" s="79" t="n">
        <x:v>727500</x:v>
      </x:c>
      <x:c r="R101" s="79" t="n">
        <x:v>687991</x:v>
      </x:c>
      <x:c r="S101" s="79" t="n">
        <x:v>-39509</x:v>
      </x:c>
      <x:c r="T101" s="75" t="n">
        <x:v>0.9456920962199312</x:v>
      </x:c>
      <x:c r="U101" s="63" t="str">
        <x:v>Parcial</x:v>
      </x:c>
      <x:c r="V101" s="63" t="str">
        <x:v>Actividad con ejecución parcial o cierre financiero pendiente.</x:v>
      </x:c>
      <x:c r="W101" s="47" t="str">
        <x:v>Corte anual cerrado</x:v>
      </x:c>
    </x:row>
    <x:row r="102" ht="18" customHeight="1">
      <x:c r="A102" s="46" t="n">
        <x:v>2023</x:v>
      </x:c>
      <x:c r="B102" s="63" t="n">
        <x:v>12</x:v>
      </x:c>
      <x:c r="C102" s="63" t="str">
        <x:v>Diciembre</x:v>
      </x:c>
      <x:c r="D102" s="63" t="str">
        <x:v>T4</x:v>
      </x:c>
      <x:c r="E102" s="71" t="n">
        <x:v>45291</x:v>
      </x:c>
      <x:c r="F102" s="63" t="str">
        <x:v>Mejora continua y cumplimiento</x:v>
      </x:c>
      <x:c r="G102" s="63" t="str">
        <x:v>Auditoría y revisión por la dirección</x:v>
      </x:c>
      <x:c r="H102" s="63" t="str">
        <x:v>Auditoría interna, autoevaluación y revisión gerencial</x:v>
      </x:c>
      <x:c r="I102" s="63" t="str">
        <x:v>Servicio</x:v>
      </x:c>
      <x:c r="J102" s="63" t="str">
        <x:v>Alta</x:v>
      </x:c>
      <x:c r="K102" s="63" t="str">
        <x:v>Trimestral</x:v>
      </x:c>
      <x:c r="L102" s="63" t="str">
        <x:v>Hito</x:v>
      </x:c>
      <x:c r="M102" s="63" t="n">
        <x:v>4</x:v>
      </x:c>
      <x:c r="N102" s="63" t="str">
        <x:v>Líder HSEQ / Gerencia</x:v>
      </x:c>
      <x:c r="O102" s="63" t="str">
        <x:v>Presupuesto SG-SST</x:v>
      </x:c>
      <x:c r="P102" s="63" t="str">
        <x:v>Informe de auditoría, acta, plan de mejora</x:v>
      </x:c>
      <x:c r="Q102" s="79" t="n">
        <x:v>776000</x:v>
      </x:c>
      <x:c r="R102" s="79" t="n">
        <x:v>729830</x:v>
      </x:c>
      <x:c r="S102" s="79" t="n">
        <x:v>-46170</x:v>
      </x:c>
      <x:c r="T102" s="75" t="n">
        <x:v>0.9405025773195876</x:v>
      </x:c>
      <x:c r="U102" s="63" t="str">
        <x:v>Parcial</x:v>
      </x:c>
      <x:c r="V102" s="63" t="str">
        <x:v>Actividad con ejecución parcial o cierre financiero pendiente.</x:v>
      </x:c>
      <x:c r="W102" s="47" t="str">
        <x:v>Corte anual cerrado</x:v>
      </x:c>
    </x:row>
    <x:row r="103" ht="18" customHeight="1">
      <x:c r="A103" s="46" t="n">
        <x:v>2023</x:v>
      </x:c>
      <x:c r="B103" s="63" t="n">
        <x:v>12</x:v>
      </x:c>
      <x:c r="C103" s="63" t="str">
        <x:v>Diciembre</x:v>
      </x:c>
      <x:c r="D103" s="63" t="str">
        <x:v>T4</x:v>
      </x:c>
      <x:c r="E103" s="71" t="n">
        <x:v>45291</x:v>
      </x:c>
      <x:c r="F103" s="63" t="str">
        <x:v>Capacitación y entrenamiento</x:v>
      </x:c>
      <x:c r="G103" s="63" t="str">
        <x:v>Plan anual de formación</x:v>
      </x:c>
      <x:c r="H103" s="63" t="str">
        <x:v>Capacitación y entrenamiento en SG-SST</x:v>
      </x:c>
      <x:c r="I103" s="63" t="str">
        <x:v>Operativo</x:v>
      </x:c>
      <x:c r="J103" s="63" t="str">
        <x:v>Alta</x:v>
      </x:c>
      <x:c r="K103" s="63" t="str">
        <x:v>Mensual</x:v>
      </x:c>
      <x:c r="L103" s="63" t="str">
        <x:v>Jornada</x:v>
      </x:c>
      <x:c r="M103" s="63" t="n">
        <x:v>12</x:v>
      </x:c>
      <x:c r="N103" s="63" t="str">
        <x:v>Coordinación SST</x:v>
      </x:c>
      <x:c r="O103" s="63" t="str">
        <x:v>Presupuesto SG-SST</x:v>
      </x:c>
      <x:c r="P103" s="63" t="str">
        <x:v>Lista de asistencia, evaluación, acta</x:v>
      </x:c>
      <x:c r="Q103" s="79" t="n">
        <x:v>388000</x:v>
      </x:c>
      <x:c r="R103" s="79" t="n">
        <x:v>389001</x:v>
      </x:c>
      <x:c r="S103" s="79" t="n">
        <x:v>1001</x:v>
      </x:c>
      <x:c r="T103" s="75" t="n">
        <x:v>1.0025798969072166</x:v>
      </x:c>
      <x:c r="U103" s="63" t="str">
        <x:v>Ejecutado</x:v>
      </x:c>
      <x:c r="V103" s="63" t="str">
        <x:v>Actividad ejecutada dentro del rango esperado.</x:v>
      </x:c>
      <x:c r="W103" s="47" t="str">
        <x:v>Corte anual cerrado</x:v>
      </x:c>
    </x:row>
    <x:row r="104" ht="18" customHeight="1">
      <x:c r="A104" s="46" t="n">
        <x:v>2023</x:v>
      </x:c>
      <x:c r="B104" s="63" t="n">
        <x:v>12</x:v>
      </x:c>
      <x:c r="C104" s="63" t="str">
        <x:v>Diciembre</x:v>
      </x:c>
      <x:c r="D104" s="63" t="str">
        <x:v>T4</x:v>
      </x:c>
      <x:c r="E104" s="71" t="n">
        <x:v>45291</x:v>
      </x:c>
      <x:c r="F104" s="63" t="str">
        <x:v>Medicina preventiva y del trabajo</x:v>
      </x:c>
      <x:c r="G104" s="63" t="str">
        <x:v>Vigilancia epidemiológica</x:v>
      </x:c>
      <x:c r="H104" s="63" t="str">
        <x:v>Evaluación de riesgo psicosocial y actividades de intervención</x:v>
      </x:c>
      <x:c r="I104" s="63" t="str">
        <x:v>Servicio</x:v>
      </x:c>
      <x:c r="J104" s="63" t="str">
        <x:v>Alta</x:v>
      </x:c>
      <x:c r="K104" s="63" t="str">
        <x:v>Periódica</x:v>
      </x:c>
      <x:c r="L104" s="63" t="str">
        <x:v>Actividad</x:v>
      </x:c>
      <x:c r="M104" s="63" t="n">
        <x:v>6</x:v>
      </x:c>
      <x:c r="N104" s="63" t="str">
        <x:v>Psicología / SST</x:v>
      </x:c>
      <x:c r="O104" s="63" t="str">
        <x:v>Presupuesto SG-SST</x:v>
      </x:c>
      <x:c r="P104" s="63" t="str">
        <x:v>Informe técnico, evidencia, plan de intervención</x:v>
      </x:c>
      <x:c r="Q104" s="79" t="n">
        <x:v>509250</x:v>
      </x:c>
      <x:c r="R104" s="79" t="n">
        <x:v>510667</x:v>
      </x:c>
      <x:c r="S104" s="79" t="n">
        <x:v>1417</x:v>
      </x:c>
      <x:c r="T104" s="75" t="n">
        <x:v>1.0027825233186058</x:v>
      </x:c>
      <x:c r="U104" s="63" t="str">
        <x:v>Ejecutado</x:v>
      </x:c>
      <x:c r="V104" s="63" t="str">
        <x:v>Actividad ejecutada dentro del rango esperado.</x:v>
      </x:c>
      <x:c r="W104" s="47" t="str">
        <x:v>Corte anual cerrado</x:v>
      </x:c>
    </x:row>
    <x:row r="105" ht="18" customHeight="1">
      <x:c r="A105" s="46" t="n">
        <x:v>2023</x:v>
      </x:c>
      <x:c r="B105" s="63" t="n">
        <x:v>12</x:v>
      </x:c>
      <x:c r="C105" s="63" t="str">
        <x:v>Diciembre</x:v>
      </x:c>
      <x:c r="D105" s="63" t="str">
        <x:v>T4</x:v>
      </x:c>
      <x:c r="E105" s="71" t="n">
        <x:v>45291</x:v>
      </x:c>
      <x:c r="F105" s="63" t="str">
        <x:v>Recursos y gestión financiera</x:v>
      </x:c>
      <x:c r="G105" s="63" t="str">
        <x:v>Planeación y recursos</x:v>
      </x:c>
      <x:c r="H105" s="63" t="str">
        <x:v>Exámenes médicos ocupacionales</x:v>
      </x:c>
      <x:c r="I105" s="63" t="str">
        <x:v>Servicio</x:v>
      </x:c>
      <x:c r="J105" s="63" t="str">
        <x:v>Alta</x:v>
      </x:c>
      <x:c r="K105" s="63" t="str">
        <x:v>Semestral</x:v>
      </x:c>
      <x:c r="L105" s="63" t="str">
        <x:v>Jornada</x:v>
      </x:c>
      <x:c r="M105" s="63" t="n">
        <x:v>2</x:v>
      </x:c>
      <x:c r="N105" s="63" t="str">
        <x:v>Coordinación SST</x:v>
      </x:c>
      <x:c r="O105" s="63" t="str">
        <x:v>Presupuesto SG-SST</x:v>
      </x:c>
      <x:c r="P105" s="63" t="str">
        <x:v>Orden de servicio, factura, concepto médico</x:v>
      </x:c>
      <x:c r="Q105" s="79" t="n">
        <x:v>58200</x:v>
      </x:c>
      <x:c r="R105" s="79" t="n">
        <x:v>55363</x:v>
      </x:c>
      <x:c r="S105" s="79" t="n">
        <x:v>-2837</x:v>
      </x:c>
      <x:c r="T105" s="75" t="n">
        <x:v>0.9512542955326461</x:v>
      </x:c>
      <x:c r="U105" s="63" t="str">
        <x:v>Parcial</x:v>
      </x:c>
      <x:c r="V105" s="63" t="str">
        <x:v>Actividad con ejecución parcial o cierre financiero pendiente.</x:v>
      </x:c>
      <x:c r="W105" s="47" t="str">
        <x:v>Corte anual cerrado</x:v>
      </x:c>
    </x:row>
    <x:row r="106" ht="18" customHeight="1">
      <x:c r="A106" s="46" t="n">
        <x:v>2023</x:v>
      </x:c>
      <x:c r="B106" s="63" t="n">
        <x:v>12</x:v>
      </x:c>
      <x:c r="C106" s="63" t="str">
        <x:v>Diciembre</x:v>
      </x:c>
      <x:c r="D106" s="63" t="str">
        <x:v>T4</x:v>
      </x:c>
      <x:c r="E106" s="71" t="n">
        <x:v>45291</x:v>
      </x:c>
      <x:c r="F106" s="63" t="str">
        <x:v>Gestión de contratistas</x:v>
      </x:c>
      <x:c r="G106" s="63" t="str">
        <x:v>Control de terceros</x:v>
      </x:c>
      <x:c r="H106" s="63" t="str">
        <x:v>Gestión SST de proveedores y contratistas</x:v>
      </x:c>
      <x:c r="I106" s="63" t="str">
        <x:v>Operativo</x:v>
      </x:c>
      <x:c r="J106" s="63" t="str">
        <x:v>Media</x:v>
      </x:c>
      <x:c r="K106" s="63" t="str">
        <x:v>Trimestral</x:v>
      </x:c>
      <x:c r="L106" s="63" t="str">
        <x:v>Ciclo</x:v>
      </x:c>
      <x:c r="M106" s="63" t="n">
        <x:v>4</x:v>
      </x:c>
      <x:c r="N106" s="63" t="str">
        <x:v>Compras / SST</x:v>
      </x:c>
      <x:c r="O106" s="63" t="str">
        <x:v>Presupuesto SG-SST</x:v>
      </x:c>
      <x:c r="P106" s="63" t="str">
        <x:v>Matriz de evaluación, soportes de contratistas</x:v>
      </x:c>
      <x:c r="Q106" s="79" t="n">
        <x:v>291000</x:v>
      </x:c>
      <x:c r="R106" s="79" t="n">
        <x:v>296497</x:v>
      </x:c>
      <x:c r="S106" s="79" t="n">
        <x:v>5497</x:v>
      </x:c>
      <x:c r="T106" s="75" t="n">
        <x:v>1.018890034364261</x:v>
      </x:c>
      <x:c r="U106" s="63" t="str">
        <x:v>Ejecutado</x:v>
      </x:c>
      <x:c r="V106" s="63" t="str">
        <x:v>Actividad ejecutada dentro del rango esperado.</x:v>
      </x:c>
      <x:c r="W106" s="47" t="str">
        <x:v>Corte anual cerrado</x:v>
      </x:c>
    </x:row>
    <x:row r="107" ht="18" customHeight="1">
      <x:c r="A107" s="46" t="n">
        <x:v>2023</x:v>
      </x:c>
      <x:c r="B107" s="63" t="n">
        <x:v>12</x:v>
      </x:c>
      <x:c r="C107" s="63" t="str">
        <x:v>Diciembre</x:v>
      </x:c>
      <x:c r="D107" s="63" t="str">
        <x:v>T4</x:v>
      </x:c>
      <x:c r="E107" s="71" t="n">
        <x:v>45291</x:v>
      </x:c>
      <x:c r="F107" s="63" t="str">
        <x:v>Participación y consulta</x:v>
      </x:c>
      <x:c r="G107" s="63" t="str">
        <x:v>Comités de SST</x:v>
      </x:c>
      <x:c r="H107" s="63" t="str">
        <x:v>Gestión de COPASST y Comité de Convivencia</x:v>
      </x:c>
      <x:c r="I107" s="63" t="str">
        <x:v>Operativo</x:v>
      </x:c>
      <x:c r="J107" s="63" t="str">
        <x:v>Media</x:v>
      </x:c>
      <x:c r="K107" s="63" t="str">
        <x:v>Mensual</x:v>
      </x:c>
      <x:c r="L107" s="63" t="str">
        <x:v>Reunión</x:v>
      </x:c>
      <x:c r="M107" s="63" t="n">
        <x:v>12</x:v>
      </x:c>
      <x:c r="N107" s="63" t="str">
        <x:v>Talento Humano / SST</x:v>
      </x:c>
      <x:c r="O107" s="63" t="str">
        <x:v>Presupuesto SG-SST</x:v>
      </x:c>
      <x:c r="P107" s="63" t="str">
        <x:v>Acta, convocatoria, seguimiento compromisos</x:v>
      </x:c>
      <x:c r="Q107" s="79" t="n">
        <x:v>155200</x:v>
      </x:c>
      <x:c r="R107" s="79" t="n">
        <x:v>135821</x:v>
      </x:c>
      <x:c r="S107" s="79" t="n">
        <x:v>-19379</x:v>
      </x:c>
      <x:c r="T107" s="75" t="n">
        <x:v>0.8751353092783505</x:v>
      </x:c>
      <x:c r="U107" s="63" t="str">
        <x:v>Parcial</x:v>
      </x:c>
      <x:c r="V107" s="63" t="str">
        <x:v>Actividad con ejecución parcial o cierre financiero pendiente.</x:v>
      </x:c>
      <x:c r="W107" s="47" t="str">
        <x:v>Corte anual cerrado</x:v>
      </x:c>
    </x:row>
    <x:row r="108" ht="18" customHeight="1">
      <x:c r="A108" s="46" t="n">
        <x:v>2023</x:v>
      </x:c>
      <x:c r="B108" s="63" t="n">
        <x:v>12</x:v>
      </x:c>
      <x:c r="C108" s="63" t="str">
        <x:v>Diciembre</x:v>
      </x:c>
      <x:c r="D108" s="63" t="str">
        <x:v>T4</x:v>
      </x:c>
      <x:c r="E108" s="71" t="n">
        <x:v>45291</x:v>
      </x:c>
      <x:c r="F108" s="63" t="str">
        <x:v>Higiene y seguridad industrial</x:v>
      </x:c>
      <x:c r="G108" s="63" t="str">
        <x:v>Inspecciones y control</x:v>
      </x:c>
      <x:c r="H108" s="63" t="str">
        <x:v>Inspecciones planeadas de seguridad</x:v>
      </x:c>
      <x:c r="I108" s="63" t="str">
        <x:v>Operativo</x:v>
      </x:c>
      <x:c r="J108" s="63" t="str">
        <x:v>Media</x:v>
      </x:c>
      <x:c r="K108" s="63" t="str">
        <x:v>Mensual</x:v>
      </x:c>
      <x:c r="L108" s="63" t="str">
        <x:v>Inspección</x:v>
      </x:c>
      <x:c r="M108" s="63" t="n">
        <x:v>12</x:v>
      </x:c>
      <x:c r="N108" s="63" t="str">
        <x:v>Inspector SST</x:v>
      </x:c>
      <x:c r="O108" s="63" t="str">
        <x:v>Presupuesto SG-SST</x:v>
      </x:c>
      <x:c r="P108" s="63" t="str">
        <x:v>Lista de chequeo, informe, evidencia fotográfica</x:v>
      </x:c>
      <x:c r="Q108" s="79" t="n">
        <x:v>261900</x:v>
      </x:c>
      <x:c r="R108" s="79" t="n">
        <x:v>239464</x:v>
      </x:c>
      <x:c r="S108" s="79" t="n">
        <x:v>-22436</x:v>
      </x:c>
      <x:c r="T108" s="75" t="n">
        <x:v>0.9143337151584574</x:v>
      </x:c>
      <x:c r="U108" s="63" t="str">
        <x:v>Parcial</x:v>
      </x:c>
      <x:c r="V108" s="63" t="str">
        <x:v>Actividad con ejecución parcial o cierre financiero pendiente.</x:v>
      </x:c>
      <x:c r="W108" s="47" t="str">
        <x:v>Corte anual cerrado</x:v>
      </x:c>
    </x:row>
    <x:row r="109" ht="18" customHeight="1">
      <x:c r="A109" s="46" t="n">
        <x:v>2023</x:v>
      </x:c>
      <x:c r="B109" s="63" t="n">
        <x:v>12</x:v>
      </x:c>
      <x:c r="C109" s="63" t="str">
        <x:v>Diciembre</x:v>
      </x:c>
      <x:c r="D109" s="63" t="str">
        <x:v>T4</x:v>
      </x:c>
      <x:c r="E109" s="71" t="n">
        <x:v>45291</x:v>
      </x:c>
      <x:c r="F109" s="63" t="str">
        <x:v>Mejora continua y cumplimiento</x:v>
      </x:c>
      <x:c r="G109" s="63" t="str">
        <x:v>Gestión de incidentes y mejora</x:v>
      </x:c>
      <x:c r="H109" s="63" t="str">
        <x:v>Investigación de AT/EL y acciones correctivas</x:v>
      </x:c>
      <x:c r="I109" s="63" t="str">
        <x:v>Operativo</x:v>
      </x:c>
      <x:c r="J109" s="63" t="str">
        <x:v>Media</x:v>
      </x:c>
      <x:c r="K109" s="63" t="str">
        <x:v>Mensual</x:v>
      </x:c>
      <x:c r="L109" s="63" t="str">
        <x:v>Seguimiento</x:v>
      </x:c>
      <x:c r="M109" s="63" t="n">
        <x:v>12</x:v>
      </x:c>
      <x:c r="N109" s="63" t="str">
        <x:v>SST / Jefes de área</x:v>
      </x:c>
      <x:c r="O109" s="63" t="str">
        <x:v>Presupuesto SG-SST</x:v>
      </x:c>
      <x:c r="P109" s="63" t="str">
        <x:v>Investigación, plan de acción, evidencia de cierre</x:v>
      </x:c>
      <x:c r="Q109" s="79" t="n">
        <x:v>242500</x:v>
      </x:c>
      <x:c r="R109" s="79" t="n">
        <x:v>230129</x:v>
      </x:c>
      <x:c r="S109" s="79" t="n">
        <x:v>-12371</x:v>
      </x:c>
      <x:c r="T109" s="75" t="n">
        <x:v>0.9489855670103092</x:v>
      </x:c>
      <x:c r="U109" s="63" t="str">
        <x:v>Parcial</x:v>
      </x:c>
      <x:c r="V109" s="63" t="str">
        <x:v>Actividad con ejecución parcial o cierre financiero pendiente.</x:v>
      </x:c>
      <x:c r="W109" s="47" t="str">
        <x:v>Corte anual cerrado</x:v>
      </x:c>
    </x:row>
    <x:row r="110" ht="18" customHeight="1">
      <x:c r="A110" s="46" t="n">
        <x:v>2023</x:v>
      </x:c>
      <x:c r="B110" s="63" t="n">
        <x:v>12</x:v>
      </x:c>
      <x:c r="C110" s="63" t="str">
        <x:v>Diciembre</x:v>
      </x:c>
      <x:c r="D110" s="63" t="str">
        <x:v>T4</x:v>
      </x:c>
      <x:c r="E110" s="71" t="n">
        <x:v>45291</x:v>
      </x:c>
      <x:c r="F110" s="63" t="str">
        <x:v>Emergencias e infraestructura</x:v>
      </x:c>
      <x:c r="G110" s="63" t="str">
        <x:v>Preparación y respuesta ante emergencias</x:v>
      </x:c>
      <x:c r="H110" s="63" t="str">
        <x:v>Mantenimiento de extintores, botiquines y equipos de emergencia</x:v>
      </x:c>
      <x:c r="I110" s="63" t="str">
        <x:v>Servicio</x:v>
      </x:c>
      <x:c r="J110" s="63" t="str">
        <x:v>Alta</x:v>
      </x:c>
      <x:c r="K110" s="63" t="str">
        <x:v>Bimestral / semestral</x:v>
      </x:c>
      <x:c r="L110" s="63" t="str">
        <x:v>Mantenimiento</x:v>
      </x:c>
      <x:c r="M110" s="63" t="n">
        <x:v>6</x:v>
      </x:c>
      <x:c r="N110" s="63" t="str">
        <x:v>Brigada / SST</x:v>
      </x:c>
      <x:c r="O110" s="63" t="str">
        <x:v>Presupuesto SG-SST</x:v>
      </x:c>
      <x:c r="P110" s="63" t="str">
        <x:v>Certificado, factura, hoja de vida del equipo</x:v>
      </x:c>
      <x:c r="Q110" s="79" t="n">
        <x:v>853600</x:v>
      </x:c>
      <x:c r="R110" s="79" t="n">
        <x:v>769251</x:v>
      </x:c>
      <x:c r="S110" s="79" t="n">
        <x:v>-84349</x:v>
      </x:c>
      <x:c r="T110" s="75" t="n">
        <x:v>0.9011843955014058</x:v>
      </x:c>
      <x:c r="U110" s="63" t="str">
        <x:v>Parcial</x:v>
      </x:c>
      <x:c r="V110" s="63" t="str">
        <x:v>Actividad con ejecución parcial o cierre financiero pendiente.</x:v>
      </x:c>
      <x:c r="W110" s="47" t="str">
        <x:v>Corte anual cerrado</x:v>
      </x:c>
    </x:row>
    <x:row r="111" ht="18" customHeight="1">
      <x:c r="A111" s="46" t="n">
        <x:v>2023</x:v>
      </x:c>
      <x:c r="B111" s="63" t="n">
        <x:v>12</x:v>
      </x:c>
      <x:c r="C111" s="63" t="str">
        <x:v>Diciembre</x:v>
      </x:c>
      <x:c r="D111" s="63" t="str">
        <x:v>T4</x:v>
      </x:c>
      <x:c r="E111" s="71" t="n">
        <x:v>45291</x:v>
      </x:c>
      <x:c r="F111" s="63" t="str">
        <x:v>Medicina preventiva y del trabajo</x:v>
      </x:c>
      <x:c r="G111" s="63" t="str">
        <x:v>Programas de vigilancia epidemiológica</x:v>
      </x:c>
      <x:c r="H111" s="63" t="str">
        <x:v>Programas de vigilancia epidemiológica y seguimiento médico</x:v>
      </x:c>
      <x:c r="I111" s="63" t="str">
        <x:v>Servicio</x:v>
      </x:c>
      <x:c r="J111" s="63" t="str">
        <x:v>Alta</x:v>
      </x:c>
      <x:c r="K111" s="63" t="str">
        <x:v>Mensual</x:v>
      </x:c>
      <x:c r="L111" s="63" t="str">
        <x:v>Seguimiento</x:v>
      </x:c>
      <x:c r="M111" s="63" t="n">
        <x:v>12</x:v>
      </x:c>
      <x:c r="N111" s="63" t="str">
        <x:v>Médico laboral / SST</x:v>
      </x:c>
      <x:c r="O111" s="63" t="str">
        <x:v>Presupuesto SG-SST</x:v>
      </x:c>
      <x:c r="P111" s="63" t="str">
        <x:v>Base de seguimiento, informe, remisiones</x:v>
      </x:c>
      <x:c r="Q111" s="79" t="n">
        <x:v>407400</x:v>
      </x:c>
      <x:c r="R111" s="79" t="n">
        <x:v>387320</x:v>
      </x:c>
      <x:c r="S111" s="79" t="n">
        <x:v>-20080</x:v>
      </x:c>
      <x:c r="T111" s="75" t="n">
        <x:v>0.9507118311242022</x:v>
      </x:c>
      <x:c r="U111" s="63" t="str">
        <x:v>Parcial</x:v>
      </x:c>
      <x:c r="V111" s="63" t="str">
        <x:v>Actividad con ejecución parcial o cierre financiero pendiente.</x:v>
      </x:c>
      <x:c r="W111" s="47" t="str">
        <x:v>Corte anual cerrado</x:v>
      </x:c>
    </x:row>
    <x:row r="112" ht="18" customHeight="1">
      <x:c r="A112" s="46" t="n">
        <x:v>2024</x:v>
      </x:c>
      <x:c r="B112" s="63" t="n">
        <x:v>1</x:v>
      </x:c>
      <x:c r="C112" s="63" t="str">
        <x:v>Enero</x:v>
      </x:c>
      <x:c r="D112" s="63" t="str">
        <x:v>T1</x:v>
      </x:c>
      <x:c r="E112" s="71" t="n">
        <x:v>45322</x:v>
      </x:c>
      <x:c r="F112" s="63" t="str">
        <x:v>Capacitación y entrenamiento</x:v>
      </x:c>
      <x:c r="G112" s="63" t="str">
        <x:v>Plan anual de formación</x:v>
      </x:c>
      <x:c r="H112" s="63" t="str">
        <x:v>Capacitación y entrenamiento en SG-SST</x:v>
      </x:c>
      <x:c r="I112" s="63" t="str">
        <x:v>Operativo</x:v>
      </x:c>
      <x:c r="J112" s="63" t="str">
        <x:v>Alta</x:v>
      </x:c>
      <x:c r="K112" s="63" t="str">
        <x:v>Mensual</x:v>
      </x:c>
      <x:c r="L112" s="63" t="str">
        <x:v>Jornada</x:v>
      </x:c>
      <x:c r="M112" s="63" t="n">
        <x:v>12</x:v>
      </x:c>
      <x:c r="N112" s="63" t="str">
        <x:v>Coordinación SST</x:v>
      </x:c>
      <x:c r="O112" s="63" t="str">
        <x:v>Presupuesto SG-SST</x:v>
      </x:c>
      <x:c r="P112" s="63" t="str">
        <x:v>Lista de asistencia, evaluación, acta</x:v>
      </x:c>
      <x:c r="Q112" s="79" t="n">
        <x:v>424006</x:v>
      </x:c>
      <x:c r="R112" s="79" t="n">
        <x:v>430071</x:v>
      </x:c>
      <x:c r="S112" s="79" t="n">
        <x:v>6065</x:v>
      </x:c>
      <x:c r="T112" s="75" t="n">
        <x:v>1.014304042867318</x:v>
      </x:c>
      <x:c r="U112" s="63" t="str">
        <x:v>Ejecutado</x:v>
      </x:c>
      <x:c r="V112" s="63" t="str">
        <x:v>Actividad ejecutada dentro del rango esperado.</x:v>
      </x:c>
      <x:c r="W112" s="47" t="str">
        <x:v>Corte anual cerrado</x:v>
      </x:c>
    </x:row>
    <x:row r="113" ht="18" customHeight="1">
      <x:c r="A113" s="46" t="n">
        <x:v>2024</x:v>
      </x:c>
      <x:c r="B113" s="63" t="n">
        <x:v>1</x:v>
      </x:c>
      <x:c r="C113" s="63" t="str">
        <x:v>Enero</x:v>
      </x:c>
      <x:c r="D113" s="63" t="str">
        <x:v>T1</x:v>
      </x:c>
      <x:c r="E113" s="71" t="n">
        <x:v>45322</x:v>
      </x:c>
      <x:c r="F113" s="63" t="str">
        <x:v>Higiene y seguridad industrial</x:v>
      </x:c>
      <x:c r="G113" s="63" t="str">
        <x:v>Dotación y control operacional</x:v>
      </x:c>
      <x:c r="H113" s="63" t="str">
        <x:v>Dotación y reposición de EPP</x:v>
      </x:c>
      <x:c r="I113" s="63" t="str">
        <x:v>Operativo</x:v>
      </x:c>
      <x:c r="J113" s="63" t="str">
        <x:v>Alta</x:v>
      </x:c>
      <x:c r="K113" s="63" t="str">
        <x:v>Bimestral / trimestral</x:v>
      </x:c>
      <x:c r="L113" s="63" t="str">
        <x:v>Entrega</x:v>
      </x:c>
      <x:c r="M113" s="63" t="n">
        <x:v>6</x:v>
      </x:c>
      <x:c r="N113" s="63" t="str">
        <x:v>Coordinación SST / Compras</x:v>
      </x:c>
      <x:c r="O113" s="63" t="str">
        <x:v>Presupuesto SG-SST</x:v>
      </x:c>
      <x:c r="P113" s="63" t="str">
        <x:v>Formato de entrega, factura, remisión</x:v>
      </x:c>
      <x:c r="Q113" s="79" t="n">
        <x:v>2226034</x:v>
      </x:c>
      <x:c r="R113" s="79" t="n">
        <x:v>2109815</x:v>
      </x:c>
      <x:c r="S113" s="79" t="n">
        <x:v>-116219</x:v>
      </x:c>
      <x:c r="T113" s="75" t="n">
        <x:v>0.9477910040906833</x:v>
      </x:c>
      <x:c r="U113" s="63" t="str">
        <x:v>Parcial</x:v>
      </x:c>
      <x:c r="V113" s="63" t="str">
        <x:v>Actividad con ejecución parcial o cierre financiero pendiente.</x:v>
      </x:c>
      <x:c r="W113" s="47" t="str">
        <x:v>Corte anual cerrado</x:v>
      </x:c>
    </x:row>
    <x:row r="114" ht="18" customHeight="1">
      <x:c r="A114" s="46" t="n">
        <x:v>2024</x:v>
      </x:c>
      <x:c r="B114" s="63" t="n">
        <x:v>1</x:v>
      </x:c>
      <x:c r="C114" s="63" t="str">
        <x:v>Enero</x:v>
      </x:c>
      <x:c r="D114" s="63" t="str">
        <x:v>T1</x:v>
      </x:c>
      <x:c r="E114" s="71" t="n">
        <x:v>45322</x:v>
      </x:c>
      <x:c r="F114" s="63" t="str">
        <x:v>Recursos y gestión financiera</x:v>
      </x:c>
      <x:c r="G114" s="63" t="str">
        <x:v>Planeación y recursos</x:v>
      </x:c>
      <x:c r="H114" s="63" t="str">
        <x:v>Exámenes médicos ocupacionales</x:v>
      </x:c>
      <x:c r="I114" s="63" t="str">
        <x:v>Servicio</x:v>
      </x:c>
      <x:c r="J114" s="63" t="str">
        <x:v>Alta</x:v>
      </x:c>
      <x:c r="K114" s="63" t="str">
        <x:v>Semestral</x:v>
      </x:c>
      <x:c r="L114" s="63" t="str">
        <x:v>Jornada</x:v>
      </x:c>
      <x:c r="M114" s="63" t="n">
        <x:v>2</x:v>
      </x:c>
      <x:c r="N114" s="63" t="str">
        <x:v>Coordinación SST</x:v>
      </x:c>
      <x:c r="O114" s="63" t="str">
        <x:v>Presupuesto SG-SST</x:v>
      </x:c>
      <x:c r="P114" s="63" t="str">
        <x:v>Orden de servicio, factura, concepto médico</x:v>
      </x:c>
      <x:c r="Q114" s="79" t="n">
        <x:v>1144817</x:v>
      </x:c>
      <x:c r="R114" s="79" t="n">
        <x:v>1059604</x:v>
      </x:c>
      <x:c r="S114" s="79" t="n">
        <x:v>-85213</x:v>
      </x:c>
      <x:c r="T114" s="75" t="n">
        <x:v>0.9255662695435165</x:v>
      </x:c>
      <x:c r="U114" s="63" t="str">
        <x:v>Parcial</x:v>
      </x:c>
      <x:c r="V114" s="63" t="str">
        <x:v>Actividad con ejecución parcial o cierre financiero pendiente.</x:v>
      </x:c>
      <x:c r="W114" s="47" t="str">
        <x:v>Corte anual cerrado</x:v>
      </x:c>
    </x:row>
    <x:row r="115" ht="18" customHeight="1">
      <x:c r="A115" s="46" t="n">
        <x:v>2024</x:v>
      </x:c>
      <x:c r="B115" s="63" t="n">
        <x:v>1</x:v>
      </x:c>
      <x:c r="C115" s="63" t="str">
        <x:v>Enero</x:v>
      </x:c>
      <x:c r="D115" s="63" t="str">
        <x:v>T1</x:v>
      </x:c>
      <x:c r="E115" s="71" t="n">
        <x:v>45322</x:v>
      </x:c>
      <x:c r="F115" s="63" t="str">
        <x:v>Gestión de contratistas</x:v>
      </x:c>
      <x:c r="G115" s="63" t="str">
        <x:v>Control de terceros</x:v>
      </x:c>
      <x:c r="H115" s="63" t="str">
        <x:v>Gestión SST de proveedores y contratistas</x:v>
      </x:c>
      <x:c r="I115" s="63" t="str">
        <x:v>Operativo</x:v>
      </x:c>
      <x:c r="J115" s="63" t="str">
        <x:v>Media</x:v>
      </x:c>
      <x:c r="K115" s="63" t="str">
        <x:v>Trimestral</x:v>
      </x:c>
      <x:c r="L115" s="63" t="str">
        <x:v>Ciclo</x:v>
      </x:c>
      <x:c r="M115" s="63" t="n">
        <x:v>4</x:v>
      </x:c>
      <x:c r="N115" s="63" t="str">
        <x:v>Compras / SST</x:v>
      </x:c>
      <x:c r="O115" s="63" t="str">
        <x:v>Presupuesto SG-SST</x:v>
      </x:c>
      <x:c r="P115" s="63" t="str">
        <x:v>Matriz de evaluación, soportes de contratistas</x:v>
      </x:c>
      <x:c r="Q115" s="79" t="n">
        <x:v>477007</x:v>
      </x:c>
      <x:c r="R115" s="79" t="n">
        <x:v>420109</x:v>
      </x:c>
      <x:c r="S115" s="79" t="n">
        <x:v>-56898</x:v>
      </x:c>
      <x:c r="T115" s="75" t="n">
        <x:v>0.880718731590941</x:v>
      </x:c>
      <x:c r="U115" s="63" t="str">
        <x:v>Parcial</x:v>
      </x:c>
      <x:c r="V115" s="63" t="str">
        <x:v>Actividad con ejecución parcial o cierre financiero pendiente.</x:v>
      </x:c>
      <x:c r="W115" s="47" t="str">
        <x:v>Corte anual cerrado</x:v>
      </x:c>
    </x:row>
    <x:row r="116" ht="18" customHeight="1">
      <x:c r="A116" s="46" t="n">
        <x:v>2024</x:v>
      </x:c>
      <x:c r="B116" s="63" t="n">
        <x:v>1</x:v>
      </x:c>
      <x:c r="C116" s="63" t="str">
        <x:v>Enero</x:v>
      </x:c>
      <x:c r="D116" s="63" t="str">
        <x:v>T1</x:v>
      </x:c>
      <x:c r="E116" s="71" t="n">
        <x:v>45322</x:v>
      </x:c>
      <x:c r="F116" s="63" t="str">
        <x:v>Participación y consulta</x:v>
      </x:c>
      <x:c r="G116" s="63" t="str">
        <x:v>Comités de SST</x:v>
      </x:c>
      <x:c r="H116" s="63" t="str">
        <x:v>Gestión de COPASST y Comité de Convivencia</x:v>
      </x:c>
      <x:c r="I116" s="63" t="str">
        <x:v>Operativo</x:v>
      </x:c>
      <x:c r="J116" s="63" t="str">
        <x:v>Media</x:v>
      </x:c>
      <x:c r="K116" s="63" t="str">
        <x:v>Mensual</x:v>
      </x:c>
      <x:c r="L116" s="63" t="str">
        <x:v>Reunión</x:v>
      </x:c>
      <x:c r="M116" s="63" t="n">
        <x:v>12</x:v>
      </x:c>
      <x:c r="N116" s="63" t="str">
        <x:v>Talento Humano / SST</x:v>
      </x:c>
      <x:c r="O116" s="63" t="str">
        <x:v>Presupuesto SG-SST</x:v>
      </x:c>
      <x:c r="P116" s="63" t="str">
        <x:v>Acta, convocatoria, seguimiento compromisos</x:v>
      </x:c>
      <x:c r="Q116" s="79" t="n">
        <x:v>169603</x:v>
      </x:c>
      <x:c r="R116" s="79" t="n">
        <x:v>162788</x:v>
      </x:c>
      <x:c r="S116" s="79" t="n">
        <x:v>-6815</x:v>
      </x:c>
      <x:c r="T116" s="75" t="n">
        <x:v>0.9598179277489195</x:v>
      </x:c>
      <x:c r="U116" s="63" t="str">
        <x:v>Parcial</x:v>
      </x:c>
      <x:c r="V116" s="63" t="str">
        <x:v>Actividad con ejecución parcial o cierre financiero pendiente.</x:v>
      </x:c>
      <x:c r="W116" s="47" t="str">
        <x:v>Corte anual cerrado</x:v>
      </x:c>
    </x:row>
    <x:row r="117" ht="18" customHeight="1">
      <x:c r="A117" s="46" t="n">
        <x:v>2024</x:v>
      </x:c>
      <x:c r="B117" s="63" t="n">
        <x:v>1</x:v>
      </x:c>
      <x:c r="C117" s="63" t="str">
        <x:v>Enero</x:v>
      </x:c>
      <x:c r="D117" s="63" t="str">
        <x:v>T1</x:v>
      </x:c>
      <x:c r="E117" s="71" t="n">
        <x:v>45322</x:v>
      </x:c>
      <x:c r="F117" s="63" t="str">
        <x:v>Higiene y seguridad industrial</x:v>
      </x:c>
      <x:c r="G117" s="63" t="str">
        <x:v>Inspecciones y control</x:v>
      </x:c>
      <x:c r="H117" s="63" t="str">
        <x:v>Inspecciones planeadas de seguridad</x:v>
      </x:c>
      <x:c r="I117" s="63" t="str">
        <x:v>Operativo</x:v>
      </x:c>
      <x:c r="J117" s="63" t="str">
        <x:v>Media</x:v>
      </x:c>
      <x:c r="K117" s="63" t="str">
        <x:v>Mensual</x:v>
      </x:c>
      <x:c r="L117" s="63" t="str">
        <x:v>Inspección</x:v>
      </x:c>
      <x:c r="M117" s="63" t="n">
        <x:v>12</x:v>
      </x:c>
      <x:c r="N117" s="63" t="str">
        <x:v>Inspector SST</x:v>
      </x:c>
      <x:c r="O117" s="63" t="str">
        <x:v>Presupuesto SG-SST</x:v>
      </x:c>
      <x:c r="P117" s="63" t="str">
        <x:v>Lista de chequeo, informe, evidencia fotográfica</x:v>
      </x:c>
      <x:c r="Q117" s="79" t="n">
        <x:v>286204</x:v>
      </x:c>
      <x:c r="R117" s="79" t="n">
        <x:v>296026</x:v>
      </x:c>
      <x:c r="S117" s="79" t="n">
        <x:v>9822</x:v>
      </x:c>
      <x:c r="T117" s="75" t="n">
        <x:v>1.0343181786418079</x:v>
      </x:c>
      <x:c r="U117" s="63" t="str">
        <x:v>Ejecutado</x:v>
      </x:c>
      <x:c r="V117" s="63" t="str">
        <x:v>Actividad ejecutada dentro del rango esperado.</x:v>
      </x:c>
      <x:c r="W117" s="47" t="str">
        <x:v>Corte anual cerrado</x:v>
      </x:c>
    </x:row>
    <x:row r="118" ht="18" customHeight="1">
      <x:c r="A118" s="46" t="n">
        <x:v>2024</x:v>
      </x:c>
      <x:c r="B118" s="63" t="n">
        <x:v>1</x:v>
      </x:c>
      <x:c r="C118" s="63" t="str">
        <x:v>Enero</x:v>
      </x:c>
      <x:c r="D118" s="63" t="str">
        <x:v>T1</x:v>
      </x:c>
      <x:c r="E118" s="71" t="n">
        <x:v>45322</x:v>
      </x:c>
      <x:c r="F118" s="63" t="str">
        <x:v>Mejora continua y cumplimiento</x:v>
      </x:c>
      <x:c r="G118" s="63" t="str">
        <x:v>Gestión de incidentes y mejora</x:v>
      </x:c>
      <x:c r="H118" s="63" t="str">
        <x:v>Investigación de AT/EL y acciones correctivas</x:v>
      </x:c>
      <x:c r="I118" s="63" t="str">
        <x:v>Operativo</x:v>
      </x:c>
      <x:c r="J118" s="63" t="str">
        <x:v>Media</x:v>
      </x:c>
      <x:c r="K118" s="63" t="str">
        <x:v>Mensual</x:v>
      </x:c>
      <x:c r="L118" s="63" t="str">
        <x:v>Seguimiento</x:v>
      </x:c>
      <x:c r="M118" s="63" t="n">
        <x:v>12</x:v>
      </x:c>
      <x:c r="N118" s="63" t="str">
        <x:v>SST / Jefes de área</x:v>
      </x:c>
      <x:c r="O118" s="63" t="str">
        <x:v>Presupuesto SG-SST</x:v>
      </x:c>
      <x:c r="P118" s="63" t="str">
        <x:v>Investigación, plan de acción, evidencia de cierre</x:v>
      </x:c>
      <x:c r="Q118" s="79" t="n">
        <x:v>212003</x:v>
      </x:c>
      <x:c r="R118" s="79" t="n">
        <x:v>210968</x:v>
      </x:c>
      <x:c r="S118" s="79" t="n">
        <x:v>-1035</x:v>
      </x:c>
      <x:c r="T118" s="75" t="n">
        <x:v>0.9951179936132979</x:v>
      </x:c>
      <x:c r="U118" s="63" t="str">
        <x:v>Ejecutado</x:v>
      </x:c>
      <x:c r="V118" s="63" t="str">
        <x:v>Actividad ejecutada dentro del rango esperado.</x:v>
      </x:c>
      <x:c r="W118" s="47" t="str">
        <x:v>Corte anual cerrado</x:v>
      </x:c>
    </x:row>
    <x:row r="119" ht="18" customHeight="1">
      <x:c r="A119" s="46" t="n">
        <x:v>2024</x:v>
      </x:c>
      <x:c r="B119" s="63" t="n">
        <x:v>1</x:v>
      </x:c>
      <x:c r="C119" s="63" t="str">
        <x:v>Enero</x:v>
      </x:c>
      <x:c r="D119" s="63" t="str">
        <x:v>T1</x:v>
      </x:c>
      <x:c r="E119" s="71" t="n">
        <x:v>45322</x:v>
      </x:c>
      <x:c r="F119" s="63" t="str">
        <x:v>Emergencias e infraestructura</x:v>
      </x:c>
      <x:c r="G119" s="63" t="str">
        <x:v>Preparación y respuesta ante emergencias</x:v>
      </x:c>
      <x:c r="H119" s="63" t="str">
        <x:v>Mantenimiento de extintores, botiquines y equipos de emergencia</x:v>
      </x:c>
      <x:c r="I119" s="63" t="str">
        <x:v>Servicio</x:v>
      </x:c>
      <x:c r="J119" s="63" t="str">
        <x:v>Alta</x:v>
      </x:c>
      <x:c r="K119" s="63" t="str">
        <x:v>Bimestral / semestral</x:v>
      </x:c>
      <x:c r="L119" s="63" t="str">
        <x:v>Mantenimiento</x:v>
      </x:c>
      <x:c r="M119" s="63" t="n">
        <x:v>6</x:v>
      </x:c>
      <x:c r="N119" s="63" t="str">
        <x:v>Brigada / SST</x:v>
      </x:c>
      <x:c r="O119" s="63" t="str">
        <x:v>Presupuesto SG-SST</x:v>
      </x:c>
      <x:c r="P119" s="63" t="str">
        <x:v>Certificado, factura, hoja de vida del equipo</x:v>
      </x:c>
      <x:c r="Q119" s="79" t="n">
        <x:v>763212</x:v>
      </x:c>
      <x:c r="R119" s="79" t="n">
        <x:v>738117</x:v>
      </x:c>
      <x:c r="S119" s="79" t="n">
        <x:v>-25095</x:v>
      </x:c>
      <x:c r="T119" s="75" t="n">
        <x:v>0.9671192276850993</x:v>
      </x:c>
      <x:c r="U119" s="63" t="str">
        <x:v>Parcial</x:v>
      </x:c>
      <x:c r="V119" s="63" t="str">
        <x:v>Actividad con ejecución parcial o cierre financiero pendiente.</x:v>
      </x:c>
      <x:c r="W119" s="47" t="str">
        <x:v>Corte anual cerrado</x:v>
      </x:c>
    </x:row>
    <x:row r="120" ht="18" customHeight="1">
      <x:c r="A120" s="46" t="n">
        <x:v>2024</x:v>
      </x:c>
      <x:c r="B120" s="63" t="n">
        <x:v>1</x:v>
      </x:c>
      <x:c r="C120" s="63" t="str">
        <x:v>Enero</x:v>
      </x:c>
      <x:c r="D120" s="63" t="str">
        <x:v>T1</x:v>
      </x:c>
      <x:c r="E120" s="71" t="n">
        <x:v>45322</x:v>
      </x:c>
      <x:c r="F120" s="63" t="str">
        <x:v>Medicina preventiva y del trabajo</x:v>
      </x:c>
      <x:c r="G120" s="63" t="str">
        <x:v>Programas de vigilancia epidemiológica</x:v>
      </x:c>
      <x:c r="H120" s="63" t="str">
        <x:v>Programas de vigilancia epidemiológica y seguimiento médico</x:v>
      </x:c>
      <x:c r="I120" s="63" t="str">
        <x:v>Servicio</x:v>
      </x:c>
      <x:c r="J120" s="63" t="str">
        <x:v>Alta</x:v>
      </x:c>
      <x:c r="K120" s="63" t="str">
        <x:v>Mensual</x:v>
      </x:c>
      <x:c r="L120" s="63" t="str">
        <x:v>Seguimiento</x:v>
      </x:c>
      <x:c r="M120" s="63" t="n">
        <x:v>12</x:v>
      </x:c>
      <x:c r="N120" s="63" t="str">
        <x:v>Médico laboral / SST</x:v>
      </x:c>
      <x:c r="O120" s="63" t="str">
        <x:v>Presupuesto SG-SST</x:v>
      </x:c>
      <x:c r="P120" s="63" t="str">
        <x:v>Base de seguimiento, informe, remisiones</x:v>
      </x:c>
      <x:c r="Q120" s="79" t="n">
        <x:v>742011</x:v>
      </x:c>
      <x:c r="R120" s="79" t="n">
        <x:v>686068</x:v>
      </x:c>
      <x:c r="S120" s="79" t="n">
        <x:v>-55943</x:v>
      </x:c>
      <x:c r="T120" s="75" t="n">
        <x:v>0.9246062389910662</x:v>
      </x:c>
      <x:c r="U120" s="63" t="str">
        <x:v>Parcial</x:v>
      </x:c>
      <x:c r="V120" s="63" t="str">
        <x:v>Actividad con ejecución parcial o cierre financiero pendiente.</x:v>
      </x:c>
      <x:c r="W120" s="47" t="str">
        <x:v>Corte anual cerrado</x:v>
      </x:c>
    </x:row>
    <x:row r="121" ht="18" customHeight="1">
      <x:c r="A121" s="46" t="n">
        <x:v>2024</x:v>
      </x:c>
      <x:c r="B121" s="63" t="n">
        <x:v>2</x:v>
      </x:c>
      <x:c r="C121" s="63" t="str">
        <x:v>Febrero</x:v>
      </x:c>
      <x:c r="D121" s="63" t="str">
        <x:v>T1</x:v>
      </x:c>
      <x:c r="E121" s="71" t="n">
        <x:v>45351</x:v>
      </x:c>
      <x:c r="F121" s="63" t="str">
        <x:v>Capacitación y entrenamiento</x:v>
      </x:c>
      <x:c r="G121" s="63" t="str">
        <x:v>Plan anual de formación</x:v>
      </x:c>
      <x:c r="H121" s="63" t="str">
        <x:v>Capacitación y entrenamiento en SG-SST</x:v>
      </x:c>
      <x:c r="I121" s="63" t="str">
        <x:v>Operativo</x:v>
      </x:c>
      <x:c r="J121" s="63" t="str">
        <x:v>Alta</x:v>
      </x:c>
      <x:c r="K121" s="63" t="str">
        <x:v>Mensual</x:v>
      </x:c>
      <x:c r="L121" s="63" t="str">
        <x:v>Jornada</x:v>
      </x:c>
      <x:c r="M121" s="63" t="n">
        <x:v>12</x:v>
      </x:c>
      <x:c r="N121" s="63" t="str">
        <x:v>Coordinación SST</x:v>
      </x:c>
      <x:c r="O121" s="63" t="str">
        <x:v>Presupuesto SG-SST</x:v>
      </x:c>
      <x:c r="P121" s="63" t="str">
        <x:v>Lista de asistencia, evaluación, acta</x:v>
      </x:c>
      <x:c r="Q121" s="79" t="n">
        <x:v>424006</x:v>
      </x:c>
      <x:c r="R121" s="79" t="n">
        <x:v>417304</x:v>
      </x:c>
      <x:c r="S121" s="79" t="n">
        <x:v>-6702</x:v>
      </x:c>
      <x:c r="T121" s="75" t="n">
        <x:v>0.9841936199016051</x:v>
      </x:c>
      <x:c r="U121" s="63" t="str">
        <x:v>Ejecutado</x:v>
      </x:c>
      <x:c r="V121" s="63" t="str">
        <x:v>Actividad ejecutada dentro del rango esperado.</x:v>
      </x:c>
      <x:c r="W121" s="47" t="str">
        <x:v>Corte anual cerrado</x:v>
      </x:c>
    </x:row>
    <x:row r="122" ht="18" customHeight="1">
      <x:c r="A122" s="46" t="n">
        <x:v>2024</x:v>
      </x:c>
      <x:c r="B122" s="63" t="n">
        <x:v>2</x:v>
      </x:c>
      <x:c r="C122" s="63" t="str">
        <x:v>Febrero</x:v>
      </x:c>
      <x:c r="D122" s="63" t="str">
        <x:v>T1</x:v>
      </x:c>
      <x:c r="E122" s="71" t="n">
        <x:v>45351</x:v>
      </x:c>
      <x:c r="F122" s="63" t="str">
        <x:v>Recursos y gestión financiera</x:v>
      </x:c>
      <x:c r="G122" s="63" t="str">
        <x:v>Planeación y recursos</x:v>
      </x:c>
      <x:c r="H122" s="63" t="str">
        <x:v>Exámenes médicos ocupacionales</x:v>
      </x:c>
      <x:c r="I122" s="63" t="str">
        <x:v>Servicio</x:v>
      </x:c>
      <x:c r="J122" s="63" t="str">
        <x:v>Alta</x:v>
      </x:c>
      <x:c r="K122" s="63" t="str">
        <x:v>Semestral</x:v>
      </x:c>
      <x:c r="L122" s="63" t="str">
        <x:v>Jornada</x:v>
      </x:c>
      <x:c r="M122" s="63" t="n">
        <x:v>2</x:v>
      </x:c>
      <x:c r="N122" s="63" t="str">
        <x:v>Coordinación SST</x:v>
      </x:c>
      <x:c r="O122" s="63" t="str">
        <x:v>Presupuesto SG-SST</x:v>
      </x:c>
      <x:c r="P122" s="63" t="str">
        <x:v>Orden de servicio, factura, concepto médico</x:v>
      </x:c>
      <x:c r="Q122" s="79" t="n">
        <x:v>1399221</x:v>
      </x:c>
      <x:c r="R122" s="79" t="n">
        <x:v>1418662</x:v>
      </x:c>
      <x:c r="S122" s="79" t="n">
        <x:v>19441</x:v>
      </x:c>
      <x:c r="T122" s="75" t="n">
        <x:v>1.0138941596788498</x:v>
      </x:c>
      <x:c r="U122" s="63" t="str">
        <x:v>Ejecutado</x:v>
      </x:c>
      <x:c r="V122" s="63" t="str">
        <x:v>Actividad ejecutada dentro del rango esperado.</x:v>
      </x:c>
      <x:c r="W122" s="47" t="str">
        <x:v>Corte anual cerrado</x:v>
      </x:c>
    </x:row>
    <x:row r="123" ht="18" customHeight="1">
      <x:c r="A123" s="46" t="n">
        <x:v>2024</x:v>
      </x:c>
      <x:c r="B123" s="63" t="n">
        <x:v>2</x:v>
      </x:c>
      <x:c r="C123" s="63" t="str">
        <x:v>Febrero</x:v>
      </x:c>
      <x:c r="D123" s="63" t="str">
        <x:v>T1</x:v>
      </x:c>
      <x:c r="E123" s="71" t="n">
        <x:v>45351</x:v>
      </x:c>
      <x:c r="F123" s="63" t="str">
        <x:v>Participación y consulta</x:v>
      </x:c>
      <x:c r="G123" s="63" t="str">
        <x:v>Comités de SST</x:v>
      </x:c>
      <x:c r="H123" s="63" t="str">
        <x:v>Gestión de COPASST y Comité de Convivencia</x:v>
      </x:c>
      <x:c r="I123" s="63" t="str">
        <x:v>Operativo</x:v>
      </x:c>
      <x:c r="J123" s="63" t="str">
        <x:v>Media</x:v>
      </x:c>
      <x:c r="K123" s="63" t="str">
        <x:v>Mensual</x:v>
      </x:c>
      <x:c r="L123" s="63" t="str">
        <x:v>Reunión</x:v>
      </x:c>
      <x:c r="M123" s="63" t="n">
        <x:v>12</x:v>
      </x:c>
      <x:c r="N123" s="63" t="str">
        <x:v>Talento Humano / SST</x:v>
      </x:c>
      <x:c r="O123" s="63" t="str">
        <x:v>Presupuesto SG-SST</x:v>
      </x:c>
      <x:c r="P123" s="63" t="str">
        <x:v>Acta, convocatoria, seguimiento compromisos</x:v>
      </x:c>
      <x:c r="Q123" s="79" t="n">
        <x:v>169603</x:v>
      </x:c>
      <x:c r="R123" s="79" t="n">
        <x:v>173214</x:v>
      </x:c>
      <x:c r="S123" s="79" t="n">
        <x:v>3611</x:v>
      </x:c>
      <x:c r="T123" s="75" t="n">
        <x:v>1.0212908969770582</x:v>
      </x:c>
      <x:c r="U123" s="63" t="str">
        <x:v>Ejecutado</x:v>
      </x:c>
      <x:c r="V123" s="63" t="str">
        <x:v>Actividad ejecutada dentro del rango esperado.</x:v>
      </x:c>
      <x:c r="W123" s="47" t="str">
        <x:v>Corte anual cerrado</x:v>
      </x:c>
    </x:row>
    <x:row r="124" ht="18" customHeight="1">
      <x:c r="A124" s="46" t="n">
        <x:v>2024</x:v>
      </x:c>
      <x:c r="B124" s="63" t="n">
        <x:v>2</x:v>
      </x:c>
      <x:c r="C124" s="63" t="str">
        <x:v>Febrero</x:v>
      </x:c>
      <x:c r="D124" s="63" t="str">
        <x:v>T1</x:v>
      </x:c>
      <x:c r="E124" s="71" t="n">
        <x:v>45351</x:v>
      </x:c>
      <x:c r="F124" s="63" t="str">
        <x:v>Higiene y seguridad industrial</x:v>
      </x:c>
      <x:c r="G124" s="63" t="str">
        <x:v>Inspecciones y control</x:v>
      </x:c>
      <x:c r="H124" s="63" t="str">
        <x:v>Inspecciones planeadas de seguridad</x:v>
      </x:c>
      <x:c r="I124" s="63" t="str">
        <x:v>Operativo</x:v>
      </x:c>
      <x:c r="J124" s="63" t="str">
        <x:v>Media</x:v>
      </x:c>
      <x:c r="K124" s="63" t="str">
        <x:v>Mensual</x:v>
      </x:c>
      <x:c r="L124" s="63" t="str">
        <x:v>Inspección</x:v>
      </x:c>
      <x:c r="M124" s="63" t="n">
        <x:v>12</x:v>
      </x:c>
      <x:c r="N124" s="63" t="str">
        <x:v>Inspector SST</x:v>
      </x:c>
      <x:c r="O124" s="63" t="str">
        <x:v>Presupuesto SG-SST</x:v>
      </x:c>
      <x:c r="P124" s="63" t="str">
        <x:v>Lista de chequeo, informe, evidencia fotográfica</x:v>
      </x:c>
      <x:c r="Q124" s="79" t="n">
        <x:v>254404</x:v>
      </x:c>
      <x:c r="R124" s="79" t="n">
        <x:v>228494</x:v>
      </x:c>
      <x:c r="S124" s="79" t="n">
        <x:v>-25910</x:v>
      </x:c>
      <x:c r="T124" s="75" t="n">
        <x:v>0.8981541170736309</x:v>
      </x:c>
      <x:c r="U124" s="63" t="str">
        <x:v>Parcial</x:v>
      </x:c>
      <x:c r="V124" s="63" t="str">
        <x:v>Actividad con ejecución parcial o cierre financiero pendiente.</x:v>
      </x:c>
      <x:c r="W124" s="47" t="str">
        <x:v>Corte anual cerrado</x:v>
      </x:c>
    </x:row>
    <x:row r="125" ht="18" customHeight="1">
      <x:c r="A125" s="46" t="n">
        <x:v>2024</x:v>
      </x:c>
      <x:c r="B125" s="63" t="n">
        <x:v>2</x:v>
      </x:c>
      <x:c r="C125" s="63" t="str">
        <x:v>Febrero</x:v>
      </x:c>
      <x:c r="D125" s="63" t="str">
        <x:v>T1</x:v>
      </x:c>
      <x:c r="E125" s="71" t="n">
        <x:v>45351</x:v>
      </x:c>
      <x:c r="F125" s="63" t="str">
        <x:v>Mejora continua y cumplimiento</x:v>
      </x:c>
      <x:c r="G125" s="63" t="str">
        <x:v>Gestión de incidentes y mejora</x:v>
      </x:c>
      <x:c r="H125" s="63" t="str">
        <x:v>Investigación de AT/EL y acciones correctivas</x:v>
      </x:c>
      <x:c r="I125" s="63" t="str">
        <x:v>Operativo</x:v>
      </x:c>
      <x:c r="J125" s="63" t="str">
        <x:v>Media</x:v>
      </x:c>
      <x:c r="K125" s="63" t="str">
        <x:v>Mensual</x:v>
      </x:c>
      <x:c r="L125" s="63" t="str">
        <x:v>Seguimiento</x:v>
      </x:c>
      <x:c r="M125" s="63" t="n">
        <x:v>12</x:v>
      </x:c>
      <x:c r="N125" s="63" t="str">
        <x:v>SST / Jefes de área</x:v>
      </x:c>
      <x:c r="O125" s="63" t="str">
        <x:v>Presupuesto SG-SST</x:v>
      </x:c>
      <x:c r="P125" s="63" t="str">
        <x:v>Investigación, plan de acción, evidencia de cierre</x:v>
      </x:c>
      <x:c r="Q125" s="79" t="n">
        <x:v>212003</x:v>
      </x:c>
      <x:c r="R125" s="79" t="n">
        <x:v>217594</x:v>
      </x:c>
      <x:c r="S125" s="79" t="n">
        <x:v>5591</x:v>
      </x:c>
      <x:c r="T125" s="75" t="n">
        <x:v>1.0263722683169578</x:v>
      </x:c>
      <x:c r="U125" s="63" t="str">
        <x:v>Ejecutado</x:v>
      </x:c>
      <x:c r="V125" s="63" t="str">
        <x:v>Actividad ejecutada dentro del rango esperado.</x:v>
      </x:c>
      <x:c r="W125" s="47" t="str">
        <x:v>Corte anual cerrado</x:v>
      </x:c>
    </x:row>
    <x:row r="126" ht="18" customHeight="1">
      <x:c r="A126" s="46" t="n">
        <x:v>2024</x:v>
      </x:c>
      <x:c r="B126" s="63" t="n">
        <x:v>2</x:v>
      </x:c>
      <x:c r="C126" s="63" t="str">
        <x:v>Febrero</x:v>
      </x:c>
      <x:c r="D126" s="63" t="str">
        <x:v>T1</x:v>
      </x:c>
      <x:c r="E126" s="71" t="n">
        <x:v>45351</x:v>
      </x:c>
      <x:c r="F126" s="63" t="str">
        <x:v>Medicina preventiva y del trabajo</x:v>
      </x:c>
      <x:c r="G126" s="63" t="str">
        <x:v>Programas de vigilancia epidemiológica</x:v>
      </x:c>
      <x:c r="H126" s="63" t="str">
        <x:v>Programas de vigilancia epidemiológica y seguimiento médico</x:v>
      </x:c>
      <x:c r="I126" s="63" t="str">
        <x:v>Servicio</x:v>
      </x:c>
      <x:c r="J126" s="63" t="str">
        <x:v>Alta</x:v>
      </x:c>
      <x:c r="K126" s="63" t="str">
        <x:v>Mensual</x:v>
      </x:c>
      <x:c r="L126" s="63" t="str">
        <x:v>Seguimiento</x:v>
      </x:c>
      <x:c r="M126" s="63" t="n">
        <x:v>12</x:v>
      </x:c>
      <x:c r="N126" s="63" t="str">
        <x:v>Médico laboral / SST</x:v>
      </x:c>
      <x:c r="O126" s="63" t="str">
        <x:v>Presupuesto SG-SST</x:v>
      </x:c>
      <x:c r="P126" s="63" t="str">
        <x:v>Base de seguimiento, informe, remisiones</x:v>
      </x:c>
      <x:c r="Q126" s="79" t="n">
        <x:v>742011</x:v>
      </x:c>
      <x:c r="R126" s="79" t="n">
        <x:v>708643</x:v>
      </x:c>
      <x:c r="S126" s="79" t="n">
        <x:v>-33368</x:v>
      </x:c>
      <x:c r="T126" s="75" t="n">
        <x:v>0.9550303162621578</x:v>
      </x:c>
      <x:c r="U126" s="63" t="str">
        <x:v>Parcial</x:v>
      </x:c>
      <x:c r="V126" s="63" t="str">
        <x:v>Actividad con ejecución parcial o cierre financiero pendiente.</x:v>
      </x:c>
      <x:c r="W126" s="47" t="str">
        <x:v>Corte anual cerrado</x:v>
      </x:c>
    </x:row>
    <x:row r="127" ht="18" customHeight="1">
      <x:c r="A127" s="46" t="n">
        <x:v>2024</x:v>
      </x:c>
      <x:c r="B127" s="63" t="n">
        <x:v>2</x:v>
      </x:c>
      <x:c r="C127" s="63" t="str">
        <x:v>Febrero</x:v>
      </x:c>
      <x:c r="D127" s="63" t="str">
        <x:v>T1</x:v>
      </x:c>
      <x:c r="E127" s="71" t="n">
        <x:v>45351</x:v>
      </x:c>
      <x:c r="F127" s="63" t="str">
        <x:v>Higiene y seguridad industrial</x:v>
      </x:c>
      <x:c r="G127" s="63" t="str">
        <x:v>Señalización y control visual</x:v>
      </x:c>
      <x:c r="H127" s="63" t="str">
        <x:v>Señalización, demarcación y avisos de seguridad</x:v>
      </x:c>
      <x:c r="I127" s="63" t="str">
        <x:v>Operativo</x:v>
      </x:c>
      <x:c r="J127" s="63" t="str">
        <x:v>Media</x:v>
      </x:c>
      <x:c r="K127" s="63" t="str">
        <x:v>Periódica</x:v>
      </x:c>
      <x:c r="L127" s="63" t="str">
        <x:v>Intervención</x:v>
      </x:c>
      <x:c r="M127" s="63" t="n">
        <x:v>5</x:v>
      </x:c>
      <x:c r="N127" s="63" t="str">
        <x:v>SST / Mantenimiento</x:v>
      </x:c>
      <x:c r="O127" s="63" t="str">
        <x:v>Presupuesto SG-SST</x:v>
      </x:c>
      <x:c r="P127" s="63" t="str">
        <x:v>Acta de instalación, factura, inventario</x:v>
      </x:c>
      <x:c r="Q127" s="79" t="n">
        <x:v>530008</x:v>
      </x:c>
      <x:c r="R127" s="79" t="n">
        <x:v>490896</x:v>
      </x:c>
      <x:c r="S127" s="79" t="n">
        <x:v>-39112</x:v>
      </x:c>
      <x:c r="T127" s="75" t="n">
        <x:v>0.9262048874733966</x:v>
      </x:c>
      <x:c r="U127" s="63" t="str">
        <x:v>Parcial</x:v>
      </x:c>
      <x:c r="V127" s="63" t="str">
        <x:v>Actividad con ejecución parcial o cierre financiero pendiente.</x:v>
      </x:c>
      <x:c r="W127" s="47" t="str">
        <x:v>Corte anual cerrado</x:v>
      </x:c>
    </x:row>
    <x:row r="128" ht="18" customHeight="1">
      <x:c r="A128" s="46" t="n">
        <x:v>2024</x:v>
      </x:c>
      <x:c r="B128" s="63" t="n">
        <x:v>3</x:v>
      </x:c>
      <x:c r="C128" s="63" t="str">
        <x:v>Marzo</x:v>
      </x:c>
      <x:c r="D128" s="63" t="str">
        <x:v>T1</x:v>
      </x:c>
      <x:c r="E128" s="71" t="n">
        <x:v>45382</x:v>
      </x:c>
      <x:c r="F128" s="63" t="str">
        <x:v>Capacitación y entrenamiento</x:v>
      </x:c>
      <x:c r="G128" s="63" t="str">
        <x:v>Plan anual de formación</x:v>
      </x:c>
      <x:c r="H128" s="63" t="str">
        <x:v>Capacitación y entrenamiento en SG-SST</x:v>
      </x:c>
      <x:c r="I128" s="63" t="str">
        <x:v>Operativo</x:v>
      </x:c>
      <x:c r="J128" s="63" t="str">
        <x:v>Alta</x:v>
      </x:c>
      <x:c r="K128" s="63" t="str">
        <x:v>Mensual</x:v>
      </x:c>
      <x:c r="L128" s="63" t="str">
        <x:v>Jornada</x:v>
      </x:c>
      <x:c r="M128" s="63" t="n">
        <x:v>12</x:v>
      </x:c>
      <x:c r="N128" s="63" t="str">
        <x:v>Coordinación SST</x:v>
      </x:c>
      <x:c r="O128" s="63" t="str">
        <x:v>Presupuesto SG-SST</x:v>
      </x:c>
      <x:c r="P128" s="63" t="str">
        <x:v>Lista de asistencia, evaluación, acta</x:v>
      </x:c>
      <x:c r="Q128" s="79" t="n">
        <x:v>477007</x:v>
      </x:c>
      <x:c r="R128" s="79" t="n">
        <x:v>464300</x:v>
      </x:c>
      <x:c r="S128" s="79" t="n">
        <x:v>-12707</x:v>
      </x:c>
      <x:c r="T128" s="75" t="n">
        <x:v>0.9733609779311415</x:v>
      </x:c>
      <x:c r="U128" s="63" t="str">
        <x:v>Parcial</x:v>
      </x:c>
      <x:c r="V128" s="63" t="str">
        <x:v>Actividad con ejecución parcial o cierre financiero pendiente.</x:v>
      </x:c>
      <x:c r="W128" s="47" t="str">
        <x:v>Corte anual cerrado</x:v>
      </x:c>
    </x:row>
    <x:row r="129" ht="18" customHeight="1">
      <x:c r="A129" s="46" t="n">
        <x:v>2024</x:v>
      </x:c>
      <x:c r="B129" s="63" t="n">
        <x:v>3</x:v>
      </x:c>
      <x:c r="C129" s="63" t="str">
        <x:v>Marzo</x:v>
      </x:c>
      <x:c r="D129" s="63" t="str">
        <x:v>T1</x:v>
      </x:c>
      <x:c r="E129" s="71" t="n">
        <x:v>45382</x:v>
      </x:c>
      <x:c r="F129" s="63" t="str">
        <x:v>Higiene y seguridad industrial</x:v>
      </x:c>
      <x:c r="G129" s="63" t="str">
        <x:v>Dotación y control operacional</x:v>
      </x:c>
      <x:c r="H129" s="63" t="str">
        <x:v>Dotación y reposición de EPP</x:v>
      </x:c>
      <x:c r="I129" s="63" t="str">
        <x:v>Operativo</x:v>
      </x:c>
      <x:c r="J129" s="63" t="str">
        <x:v>Alta</x:v>
      </x:c>
      <x:c r="K129" s="63" t="str">
        <x:v>Bimestral / trimestral</x:v>
      </x:c>
      <x:c r="L129" s="63" t="str">
        <x:v>Entrega</x:v>
      </x:c>
      <x:c r="M129" s="63" t="n">
        <x:v>6</x:v>
      </x:c>
      <x:c r="N129" s="63" t="str">
        <x:v>Coordinación SST / Compras</x:v>
      </x:c>
      <x:c r="O129" s="63" t="str">
        <x:v>Presupuesto SG-SST</x:v>
      </x:c>
      <x:c r="P129" s="63" t="str">
        <x:v>Formato de entrega, factura, remisión</x:v>
      </x:c>
      <x:c r="Q129" s="79" t="n">
        <x:v>954014</x:v>
      </x:c>
      <x:c r="R129" s="79" t="n">
        <x:v>950331</x:v>
      </x:c>
      <x:c r="S129" s="79" t="n">
        <x:v>-3683</x:v>
      </x:c>
      <x:c r="T129" s="75" t="n">
        <x:v>0.9961394696513888</x:v>
      </x:c>
      <x:c r="U129" s="63" t="str">
        <x:v>Ejecutado</x:v>
      </x:c>
      <x:c r="V129" s="63" t="str">
        <x:v>Actividad ejecutada dentro del rango esperado.</x:v>
      </x:c>
      <x:c r="W129" s="47" t="str">
        <x:v>Corte anual cerrado</x:v>
      </x:c>
    </x:row>
    <x:row r="130" ht="18" customHeight="1">
      <x:c r="A130" s="46" t="n">
        <x:v>2024</x:v>
      </x:c>
      <x:c r="B130" s="63" t="n">
        <x:v>3</x:v>
      </x:c>
      <x:c r="C130" s="63" t="str">
        <x:v>Marzo</x:v>
      </x:c>
      <x:c r="D130" s="63" t="str">
        <x:v>T1</x:v>
      </x:c>
      <x:c r="E130" s="71" t="n">
        <x:v>45382</x:v>
      </x:c>
      <x:c r="F130" s="63" t="str">
        <x:v>Medicina preventiva y del trabajo</x:v>
      </x:c>
      <x:c r="G130" s="63" t="str">
        <x:v>Vigilancia epidemiológica</x:v>
      </x:c>
      <x:c r="H130" s="63" t="str">
        <x:v>Evaluación de riesgo psicosocial y actividades de intervención</x:v>
      </x:c>
      <x:c r="I130" s="63" t="str">
        <x:v>Servicio</x:v>
      </x:c>
      <x:c r="J130" s="63" t="str">
        <x:v>Alta</x:v>
      </x:c>
      <x:c r="K130" s="63" t="str">
        <x:v>Periódica</x:v>
      </x:c>
      <x:c r="L130" s="63" t="str">
        <x:v>Actividad</x:v>
      </x:c>
      <x:c r="M130" s="63" t="n">
        <x:v>6</x:v>
      </x:c>
      <x:c r="N130" s="63" t="str">
        <x:v>Psicología / SST</x:v>
      </x:c>
      <x:c r="O130" s="63" t="str">
        <x:v>Presupuesto SG-SST</x:v>
      </x:c>
      <x:c r="P130" s="63" t="str">
        <x:v>Informe técnico, evidencia, plan de intervención</x:v>
      </x:c>
      <x:c r="Q130" s="79" t="n">
        <x:v>742011</x:v>
      </x:c>
      <x:c r="R130" s="79" t="n">
        <x:v>712970</x:v>
      </x:c>
      <x:c r="S130" s="79" t="n">
        <x:v>-29041</x:v>
      </x:c>
      <x:c r="T130" s="75" t="n">
        <x:v>0.9608617662002316</x:v>
      </x:c>
      <x:c r="U130" s="63" t="str">
        <x:v>Parcial</x:v>
      </x:c>
      <x:c r="V130" s="63" t="str">
        <x:v>Actividad con ejecución parcial o cierre financiero pendiente.</x:v>
      </x:c>
      <x:c r="W130" s="47" t="str">
        <x:v>Corte anual cerrado</x:v>
      </x:c>
    </x:row>
    <x:row r="131" ht="18" customHeight="1">
      <x:c r="A131" s="46" t="n">
        <x:v>2024</x:v>
      </x:c>
      <x:c r="B131" s="63" t="n">
        <x:v>3</x:v>
      </x:c>
      <x:c r="C131" s="63" t="str">
        <x:v>Marzo</x:v>
      </x:c>
      <x:c r="D131" s="63" t="str">
        <x:v>T1</x:v>
      </x:c>
      <x:c r="E131" s="71" t="n">
        <x:v>45382</x:v>
      </x:c>
      <x:c r="F131" s="63" t="str">
        <x:v>Recursos y gestión financiera</x:v>
      </x:c>
      <x:c r="G131" s="63" t="str">
        <x:v>Planeación y recursos</x:v>
      </x:c>
      <x:c r="H131" s="63" t="str">
        <x:v>Exámenes médicos ocupacionales</x:v>
      </x:c>
      <x:c r="I131" s="63" t="str">
        <x:v>Servicio</x:v>
      </x:c>
      <x:c r="J131" s="63" t="str">
        <x:v>Alta</x:v>
      </x:c>
      <x:c r="K131" s="63" t="str">
        <x:v>Semestral</x:v>
      </x:c>
      <x:c r="L131" s="63" t="str">
        <x:v>Jornada</x:v>
      </x:c>
      <x:c r="M131" s="63" t="n">
        <x:v>2</x:v>
      </x:c>
      <x:c r="N131" s="63" t="str">
        <x:v>Coordinación SST</x:v>
      </x:c>
      <x:c r="O131" s="63" t="str">
        <x:v>Presupuesto SG-SST</x:v>
      </x:c>
      <x:c r="P131" s="63" t="str">
        <x:v>Orden de servicio, factura, concepto médico</x:v>
      </x:c>
      <x:c r="Q131" s="79" t="n">
        <x:v>636010</x:v>
      </x:c>
      <x:c r="R131" s="79" t="n">
        <x:v>578880</x:v>
      </x:c>
      <x:c r="S131" s="79" t="n">
        <x:v>-57130</x:v>
      </x:c>
      <x:c r="T131" s="75" t="n">
        <x:v>0.9101743683275421</x:v>
      </x:c>
      <x:c r="U131" s="63" t="str">
        <x:v>Parcial</x:v>
      </x:c>
      <x:c r="V131" s="63" t="str">
        <x:v>Actividad con ejecución parcial o cierre financiero pendiente.</x:v>
      </x:c>
      <x:c r="W131" s="47" t="str">
        <x:v>Corte anual cerrado</x:v>
      </x:c>
    </x:row>
    <x:row r="132" ht="18" customHeight="1">
      <x:c r="A132" s="46" t="n">
        <x:v>2024</x:v>
      </x:c>
      <x:c r="B132" s="63" t="n">
        <x:v>3</x:v>
      </x:c>
      <x:c r="C132" s="63" t="str">
        <x:v>Marzo</x:v>
      </x:c>
      <x:c r="D132" s="63" t="str">
        <x:v>T1</x:v>
      </x:c>
      <x:c r="E132" s="71" t="n">
        <x:v>45382</x:v>
      </x:c>
      <x:c r="F132" s="63" t="str">
        <x:v>Participación y consulta</x:v>
      </x:c>
      <x:c r="G132" s="63" t="str">
        <x:v>Comités de SST</x:v>
      </x:c>
      <x:c r="H132" s="63" t="str">
        <x:v>Gestión de COPASST y Comité de Convivencia</x:v>
      </x:c>
      <x:c r="I132" s="63" t="str">
        <x:v>Operativo</x:v>
      </x:c>
      <x:c r="J132" s="63" t="str">
        <x:v>Media</x:v>
      </x:c>
      <x:c r="K132" s="63" t="str">
        <x:v>Mensual</x:v>
      </x:c>
      <x:c r="L132" s="63" t="str">
        <x:v>Reunión</x:v>
      </x:c>
      <x:c r="M132" s="63" t="n">
        <x:v>12</x:v>
      </x:c>
      <x:c r="N132" s="63" t="str">
        <x:v>Talento Humano / SST</x:v>
      </x:c>
      <x:c r="O132" s="63" t="str">
        <x:v>Presupuesto SG-SST</x:v>
      </x:c>
      <x:c r="P132" s="63" t="str">
        <x:v>Acta, convocatoria, seguimiento compromisos</x:v>
      </x:c>
      <x:c r="Q132" s="79" t="n">
        <x:v>190803</x:v>
      </x:c>
      <x:c r="R132" s="79" t="n">
        <x:v>184975</x:v>
      </x:c>
      <x:c r="S132" s="79" t="n">
        <x:v>-5828</x:v>
      </x:c>
      <x:c r="T132" s="75" t="n">
        <x:v>0.9694554068856359</x:v>
      </x:c>
      <x:c r="U132" s="63" t="str">
        <x:v>Parcial</x:v>
      </x:c>
      <x:c r="V132" s="63" t="str">
        <x:v>Actividad con ejecución parcial o cierre financiero pendiente.</x:v>
      </x:c>
      <x:c r="W132" s="47" t="str">
        <x:v>Corte anual cerrado</x:v>
      </x:c>
    </x:row>
    <x:row r="133" ht="18" customHeight="1">
      <x:c r="A133" s="46" t="n">
        <x:v>2024</x:v>
      </x:c>
      <x:c r="B133" s="63" t="n">
        <x:v>3</x:v>
      </x:c>
      <x:c r="C133" s="63" t="str">
        <x:v>Marzo</x:v>
      </x:c>
      <x:c r="D133" s="63" t="str">
        <x:v>T1</x:v>
      </x:c>
      <x:c r="E133" s="71" t="n">
        <x:v>45382</x:v>
      </x:c>
      <x:c r="F133" s="63" t="str">
        <x:v>Higiene y seguridad industrial</x:v>
      </x:c>
      <x:c r="G133" s="63" t="str">
        <x:v>Inspecciones y control</x:v>
      </x:c>
      <x:c r="H133" s="63" t="str">
        <x:v>Inspecciones planeadas de seguridad</x:v>
      </x:c>
      <x:c r="I133" s="63" t="str">
        <x:v>Operativo</x:v>
      </x:c>
      <x:c r="J133" s="63" t="str">
        <x:v>Media</x:v>
      </x:c>
      <x:c r="K133" s="63" t="str">
        <x:v>Mensual</x:v>
      </x:c>
      <x:c r="L133" s="63" t="str">
        <x:v>Inspección</x:v>
      </x:c>
      <x:c r="M133" s="63" t="n">
        <x:v>12</x:v>
      </x:c>
      <x:c r="N133" s="63" t="str">
        <x:v>Inspector SST</x:v>
      </x:c>
      <x:c r="O133" s="63" t="str">
        <x:v>Presupuesto SG-SST</x:v>
      </x:c>
      <x:c r="P133" s="63" t="str">
        <x:v>Lista de chequeo, informe, evidencia fotográfica</x:v>
      </x:c>
      <x:c r="Q133" s="79" t="n">
        <x:v>254404</x:v>
      </x:c>
      <x:c r="R133" s="79" t="n">
        <x:v>256943</x:v>
      </x:c>
      <x:c r="S133" s="79" t="n">
        <x:v>2539</x:v>
      </x:c>
      <x:c r="T133" s="75" t="n">
        <x:v>1.0099801889907392</x:v>
      </x:c>
      <x:c r="U133" s="63" t="str">
        <x:v>Ejecutado</x:v>
      </x:c>
      <x:c r="V133" s="63" t="str">
        <x:v>Actividad ejecutada dentro del rango esperado.</x:v>
      </x:c>
      <x:c r="W133" s="47" t="str">
        <x:v>Corte anual cerrado</x:v>
      </x:c>
    </x:row>
    <x:row r="134" ht="18" customHeight="1">
      <x:c r="A134" s="46" t="n">
        <x:v>2024</x:v>
      </x:c>
      <x:c r="B134" s="63" t="n">
        <x:v>3</x:v>
      </x:c>
      <x:c r="C134" s="63" t="str">
        <x:v>Marzo</x:v>
      </x:c>
      <x:c r="D134" s="63" t="str">
        <x:v>T1</x:v>
      </x:c>
      <x:c r="E134" s="71" t="n">
        <x:v>45382</x:v>
      </x:c>
      <x:c r="F134" s="63" t="str">
        <x:v>Mejora continua y cumplimiento</x:v>
      </x:c>
      <x:c r="G134" s="63" t="str">
        <x:v>Gestión de incidentes y mejora</x:v>
      </x:c>
      <x:c r="H134" s="63" t="str">
        <x:v>Investigación de AT/EL y acciones correctivas</x:v>
      </x:c>
      <x:c r="I134" s="63" t="str">
        <x:v>Operativo</x:v>
      </x:c>
      <x:c r="J134" s="63" t="str">
        <x:v>Media</x:v>
      </x:c>
      <x:c r="K134" s="63" t="str">
        <x:v>Mensual</x:v>
      </x:c>
      <x:c r="L134" s="63" t="str">
        <x:v>Seguimiento</x:v>
      </x:c>
      <x:c r="M134" s="63" t="n">
        <x:v>12</x:v>
      </x:c>
      <x:c r="N134" s="63" t="str">
        <x:v>SST / Jefes de área</x:v>
      </x:c>
      <x:c r="O134" s="63" t="str">
        <x:v>Presupuesto SG-SST</x:v>
      </x:c>
      <x:c r="P134" s="63" t="str">
        <x:v>Investigación, plan de acción, evidencia de cierre</x:v>
      </x:c>
      <x:c r="Q134" s="79" t="n">
        <x:v>212003</x:v>
      </x:c>
      <x:c r="R134" s="79" t="n">
        <x:v>214062</x:v>
      </x:c>
      <x:c r="S134" s="79" t="n">
        <x:v>2059</x:v>
      </x:c>
      <x:c r="T134" s="75" t="n">
        <x:v>1.009712126715188</x:v>
      </x:c>
      <x:c r="U134" s="63" t="str">
        <x:v>Ejecutado</x:v>
      </x:c>
      <x:c r="V134" s="63" t="str">
        <x:v>Actividad ejecutada dentro del rango esperado.</x:v>
      </x:c>
      <x:c r="W134" s="47" t="str">
        <x:v>Corte anual cerrado</x:v>
      </x:c>
    </x:row>
    <x:row r="135" ht="18" customHeight="1">
      <x:c r="A135" s="46" t="n">
        <x:v>2024</x:v>
      </x:c>
      <x:c r="B135" s="63" t="n">
        <x:v>3</x:v>
      </x:c>
      <x:c r="C135" s="63" t="str">
        <x:v>Marzo</x:v>
      </x:c>
      <x:c r="D135" s="63" t="str">
        <x:v>T1</x:v>
      </x:c>
      <x:c r="E135" s="71" t="n">
        <x:v>45382</x:v>
      </x:c>
      <x:c r="F135" s="63" t="str">
        <x:v>Medicina preventiva y del trabajo</x:v>
      </x:c>
      <x:c r="G135" s="63" t="str">
        <x:v>Programas de vigilancia epidemiológica</x:v>
      </x:c>
      <x:c r="H135" s="63" t="str">
        <x:v>Programas de vigilancia epidemiológica y seguimiento médico</x:v>
      </x:c>
      <x:c r="I135" s="63" t="str">
        <x:v>Servicio</x:v>
      </x:c>
      <x:c r="J135" s="63" t="str">
        <x:v>Alta</x:v>
      </x:c>
      <x:c r="K135" s="63" t="str">
        <x:v>Mensual</x:v>
      </x:c>
      <x:c r="L135" s="63" t="str">
        <x:v>Seguimiento</x:v>
      </x:c>
      <x:c r="M135" s="63" t="n">
        <x:v>12</x:v>
      </x:c>
      <x:c r="N135" s="63" t="str">
        <x:v>Médico laboral / SST</x:v>
      </x:c>
      <x:c r="O135" s="63" t="str">
        <x:v>Presupuesto SG-SST</x:v>
      </x:c>
      <x:c r="P135" s="63" t="str">
        <x:v>Base de seguimiento, informe, remisiones</x:v>
      </x:c>
      <x:c r="Q135" s="79" t="n">
        <x:v>593609</x:v>
      </x:c>
      <x:c r="R135" s="79" t="n">
        <x:v>591430</x:v>
      </x:c>
      <x:c r="S135" s="79" t="n">
        <x:v>-2179</x:v>
      </x:c>
      <x:c r="T135" s="75" t="n">
        <x:v>0.9963292335527257</x:v>
      </x:c>
      <x:c r="U135" s="63" t="str">
        <x:v>Ejecutado</x:v>
      </x:c>
      <x:c r="V135" s="63" t="str">
        <x:v>Actividad ejecutada dentro del rango esperado.</x:v>
      </x:c>
      <x:c r="W135" s="47" t="str">
        <x:v>Corte anual cerrado</x:v>
      </x:c>
    </x:row>
    <x:row r="136" ht="18" customHeight="1">
      <x:c r="A136" s="46" t="n">
        <x:v>2024</x:v>
      </x:c>
      <x:c r="B136" s="63" t="n">
        <x:v>4</x:v>
      </x:c>
      <x:c r="C136" s="63" t="str">
        <x:v>Abril</x:v>
      </x:c>
      <x:c r="D136" s="63" t="str">
        <x:v>T2</x:v>
      </x:c>
      <x:c r="E136" s="71" t="n">
        <x:v>45412</x:v>
      </x:c>
      <x:c r="F136" s="63" t="str">
        <x:v>Mejora continua y cumplimiento</x:v>
      </x:c>
      <x:c r="G136" s="63" t="str">
        <x:v>Auditoría y revisión por la dirección</x:v>
      </x:c>
      <x:c r="H136" s="63" t="str">
        <x:v>Auditoría interna, autoevaluación y revisión gerencial</x:v>
      </x:c>
      <x:c r="I136" s="63" t="str">
        <x:v>Servicio</x:v>
      </x:c>
      <x:c r="J136" s="63" t="str">
        <x:v>Alta</x:v>
      </x:c>
      <x:c r="K136" s="63" t="str">
        <x:v>Trimestral</x:v>
      </x:c>
      <x:c r="L136" s="63" t="str">
        <x:v>Hito</x:v>
      </x:c>
      <x:c r="M136" s="63" t="n">
        <x:v>4</x:v>
      </x:c>
      <x:c r="N136" s="63" t="str">
        <x:v>Líder HSEQ / Gerencia</x:v>
      </x:c>
      <x:c r="O136" s="63" t="str">
        <x:v>Presupuesto SG-SST</x:v>
      </x:c>
      <x:c r="P136" s="63" t="str">
        <x:v>Informe de auditoría, acta, plan de mejora</x:v>
      </x:c>
      <x:c r="Q136" s="79" t="n">
        <x:v>848013</x:v>
      </x:c>
      <x:c r="R136" s="79" t="n">
        <x:v>819708</x:v>
      </x:c>
      <x:c r="S136" s="79" t="n">
        <x:v>-28305</x:v>
      </x:c>
      <x:c r="T136" s="75" t="n">
        <x:v>0.9666219739555879</x:v>
      </x:c>
      <x:c r="U136" s="63" t="str">
        <x:v>Parcial</x:v>
      </x:c>
      <x:c r="V136" s="63" t="str">
        <x:v>Actividad con ejecución parcial o cierre financiero pendiente.</x:v>
      </x:c>
      <x:c r="W136" s="47" t="str">
        <x:v>Corte anual cerrado</x:v>
      </x:c>
    </x:row>
    <x:row r="137" ht="18" customHeight="1">
      <x:c r="A137" s="46" t="n">
        <x:v>2024</x:v>
      </x:c>
      <x:c r="B137" s="63" t="n">
        <x:v>4</x:v>
      </x:c>
      <x:c r="C137" s="63" t="str">
        <x:v>Abril</x:v>
      </x:c>
      <x:c r="D137" s="63" t="str">
        <x:v>T2</x:v>
      </x:c>
      <x:c r="E137" s="71" t="n">
        <x:v>45412</x:v>
      </x:c>
      <x:c r="F137" s="63" t="str">
        <x:v>Capacitación y entrenamiento</x:v>
      </x:c>
      <x:c r="G137" s="63" t="str">
        <x:v>Plan anual de formación</x:v>
      </x:c>
      <x:c r="H137" s="63" t="str">
        <x:v>Capacitación y entrenamiento en SG-SST</x:v>
      </x:c>
      <x:c r="I137" s="63" t="str">
        <x:v>Operativo</x:v>
      </x:c>
      <x:c r="J137" s="63" t="str">
        <x:v>Alta</x:v>
      </x:c>
      <x:c r="K137" s="63" t="str">
        <x:v>Mensual</x:v>
      </x:c>
      <x:c r="L137" s="63" t="str">
        <x:v>Jornada</x:v>
      </x:c>
      <x:c r="M137" s="63" t="n">
        <x:v>12</x:v>
      </x:c>
      <x:c r="N137" s="63" t="str">
        <x:v>Coordinación SST</x:v>
      </x:c>
      <x:c r="O137" s="63" t="str">
        <x:v>Presupuesto SG-SST</x:v>
      </x:c>
      <x:c r="P137" s="63" t="str">
        <x:v>Lista de asistencia, evaluación, acta</x:v>
      </x:c>
      <x:c r="Q137" s="79" t="n">
        <x:v>424006</x:v>
      </x:c>
      <x:c r="R137" s="79" t="n">
        <x:v>425907</x:v>
      </x:c>
      <x:c r="S137" s="79" t="n">
        <x:v>1901</x:v>
      </x:c>
      <x:c r="T137" s="75" t="n">
        <x:v>1.0044834271213143</x:v>
      </x:c>
      <x:c r="U137" s="63" t="str">
        <x:v>Ejecutado</x:v>
      </x:c>
      <x:c r="V137" s="63" t="str">
        <x:v>Actividad ejecutada dentro del rango esperado.</x:v>
      </x:c>
      <x:c r="W137" s="47" t="str">
        <x:v>Corte anual cerrado</x:v>
      </x:c>
    </x:row>
    <x:row r="138" ht="18" customHeight="1">
      <x:c r="A138" s="46" t="n">
        <x:v>2024</x:v>
      </x:c>
      <x:c r="B138" s="63" t="n">
        <x:v>4</x:v>
      </x:c>
      <x:c r="C138" s="63" t="str">
        <x:v>Abril</x:v>
      </x:c>
      <x:c r="D138" s="63" t="str">
        <x:v>T2</x:v>
      </x:c>
      <x:c r="E138" s="71" t="n">
        <x:v>45412</x:v>
      </x:c>
      <x:c r="F138" s="63" t="str">
        <x:v>Recursos y gestión financiera</x:v>
      </x:c>
      <x:c r="G138" s="63" t="str">
        <x:v>Planeación y recursos</x:v>
      </x:c>
      <x:c r="H138" s="63" t="str">
        <x:v>Exámenes médicos ocupacionales</x:v>
      </x:c>
      <x:c r="I138" s="63" t="str">
        <x:v>Servicio</x:v>
      </x:c>
      <x:c r="J138" s="63" t="str">
        <x:v>Alta</x:v>
      </x:c>
      <x:c r="K138" s="63" t="str">
        <x:v>Semestral</x:v>
      </x:c>
      <x:c r="L138" s="63" t="str">
        <x:v>Jornada</x:v>
      </x:c>
      <x:c r="M138" s="63" t="n">
        <x:v>2</x:v>
      </x:c>
      <x:c r="N138" s="63" t="str">
        <x:v>Coordinación SST</x:v>
      </x:c>
      <x:c r="O138" s="63" t="str">
        <x:v>Presupuesto SG-SST</x:v>
      </x:c>
      <x:c r="P138" s="63" t="str">
        <x:v>Orden de servicio, factura, concepto médico</x:v>
      </x:c>
      <x:c r="Q138" s="79" t="n">
        <x:v>190803</x:v>
      </x:c>
      <x:c r="R138" s="79" t="n">
        <x:v>179195</x:v>
      </x:c>
      <x:c r="S138" s="79" t="n">
        <x:v>-11608</x:v>
      </x:c>
      <x:c r="T138" s="75" t="n">
        <x:v>0.9391623821428384</x:v>
      </x:c>
      <x:c r="U138" s="63" t="str">
        <x:v>Parcial</x:v>
      </x:c>
      <x:c r="V138" s="63" t="str">
        <x:v>Actividad con ejecución parcial o cierre financiero pendiente.</x:v>
      </x:c>
      <x:c r="W138" s="47" t="str">
        <x:v>Corte anual cerrado</x:v>
      </x:c>
    </x:row>
    <x:row r="139" ht="18" customHeight="1">
      <x:c r="A139" s="46" t="n">
        <x:v>2024</x:v>
      </x:c>
      <x:c r="B139" s="63" t="n">
        <x:v>4</x:v>
      </x:c>
      <x:c r="C139" s="63" t="str">
        <x:v>Abril</x:v>
      </x:c>
      <x:c r="D139" s="63" t="str">
        <x:v>T2</x:v>
      </x:c>
      <x:c r="E139" s="71" t="n">
        <x:v>45412</x:v>
      </x:c>
      <x:c r="F139" s="63" t="str">
        <x:v>Gestión de contratistas</x:v>
      </x:c>
      <x:c r="G139" s="63" t="str">
        <x:v>Control de terceros</x:v>
      </x:c>
      <x:c r="H139" s="63" t="str">
        <x:v>Gestión SST de proveedores y contratistas</x:v>
      </x:c>
      <x:c r="I139" s="63" t="str">
        <x:v>Operativo</x:v>
      </x:c>
      <x:c r="J139" s="63" t="str">
        <x:v>Media</x:v>
      </x:c>
      <x:c r="K139" s="63" t="str">
        <x:v>Trimestral</x:v>
      </x:c>
      <x:c r="L139" s="63" t="str">
        <x:v>Ciclo</x:v>
      </x:c>
      <x:c r="M139" s="63" t="n">
        <x:v>4</x:v>
      </x:c>
      <x:c r="N139" s="63" t="str">
        <x:v>Compras / SST</x:v>
      </x:c>
      <x:c r="O139" s="63" t="str">
        <x:v>Presupuesto SG-SST</x:v>
      </x:c>
      <x:c r="P139" s="63" t="str">
        <x:v>Matriz de evaluación, soportes de contratistas</x:v>
      </x:c>
      <x:c r="Q139" s="79" t="n">
        <x:v>795012</x:v>
      </x:c>
      <x:c r="R139" s="79" t="n">
        <x:v>756008</x:v>
      </x:c>
      <x:c r="S139" s="79" t="n">
        <x:v>-39004</x:v>
      </x:c>
      <x:c r="T139" s="75" t="n">
        <x:v>0.9509391053216807</x:v>
      </x:c>
      <x:c r="U139" s="63" t="str">
        <x:v>Parcial</x:v>
      </x:c>
      <x:c r="V139" s="63" t="str">
        <x:v>Actividad con ejecución parcial o cierre financiero pendiente.</x:v>
      </x:c>
      <x:c r="W139" s="47" t="str">
        <x:v>Corte anual cerrado</x:v>
      </x:c>
    </x:row>
    <x:row r="140" ht="18" customHeight="1">
      <x:c r="A140" s="46" t="n">
        <x:v>2024</x:v>
      </x:c>
      <x:c r="B140" s="63" t="n">
        <x:v>4</x:v>
      </x:c>
      <x:c r="C140" s="63" t="str">
        <x:v>Abril</x:v>
      </x:c>
      <x:c r="D140" s="63" t="str">
        <x:v>T2</x:v>
      </x:c>
      <x:c r="E140" s="71" t="n">
        <x:v>45412</x:v>
      </x:c>
      <x:c r="F140" s="63" t="str">
        <x:v>Participación y consulta</x:v>
      </x:c>
      <x:c r="G140" s="63" t="str">
        <x:v>Comités de SST</x:v>
      </x:c>
      <x:c r="H140" s="63" t="str">
        <x:v>Gestión de COPASST y Comité de Convivencia</x:v>
      </x:c>
      <x:c r="I140" s="63" t="str">
        <x:v>Operativo</x:v>
      </x:c>
      <x:c r="J140" s="63" t="str">
        <x:v>Media</x:v>
      </x:c>
      <x:c r="K140" s="63" t="str">
        <x:v>Mensual</x:v>
      </x:c>
      <x:c r="L140" s="63" t="str">
        <x:v>Reunión</x:v>
      </x:c>
      <x:c r="M140" s="63" t="n">
        <x:v>12</x:v>
      </x:c>
      <x:c r="N140" s="63" t="str">
        <x:v>Talento Humano / SST</x:v>
      </x:c>
      <x:c r="O140" s="63" t="str">
        <x:v>Presupuesto SG-SST</x:v>
      </x:c>
      <x:c r="P140" s="63" t="str">
        <x:v>Acta, convocatoria, seguimiento compromisos</x:v>
      </x:c>
      <x:c r="Q140" s="79" t="n">
        <x:v>169603</x:v>
      </x:c>
      <x:c r="R140" s="79" t="n">
        <x:v>171514</x:v>
      </x:c>
      <x:c r="S140" s="79" t="n">
        <x:v>1911</x:v>
      </x:c>
      <x:c r="T140" s="75" t="n">
        <x:v>1.01126748937224</x:v>
      </x:c>
      <x:c r="U140" s="63" t="str">
        <x:v>Ejecutado</x:v>
      </x:c>
      <x:c r="V140" s="63" t="str">
        <x:v>Actividad ejecutada dentro del rango esperado.</x:v>
      </x:c>
      <x:c r="W140" s="47" t="str">
        <x:v>Corte anual cerrado</x:v>
      </x:c>
    </x:row>
    <x:row r="141" ht="18" customHeight="1">
      <x:c r="A141" s="46" t="n">
        <x:v>2024</x:v>
      </x:c>
      <x:c r="B141" s="63" t="n">
        <x:v>4</x:v>
      </x:c>
      <x:c r="C141" s="63" t="str">
        <x:v>Abril</x:v>
      </x:c>
      <x:c r="D141" s="63" t="str">
        <x:v>T2</x:v>
      </x:c>
      <x:c r="E141" s="71" t="n">
        <x:v>45412</x:v>
      </x:c>
      <x:c r="F141" s="63" t="str">
        <x:v>Higiene y seguridad industrial</x:v>
      </x:c>
      <x:c r="G141" s="63" t="str">
        <x:v>Inspecciones y control</x:v>
      </x:c>
      <x:c r="H141" s="63" t="str">
        <x:v>Inspecciones planeadas de seguridad</x:v>
      </x:c>
      <x:c r="I141" s="63" t="str">
        <x:v>Operativo</x:v>
      </x:c>
      <x:c r="J141" s="63" t="str">
        <x:v>Media</x:v>
      </x:c>
      <x:c r="K141" s="63" t="str">
        <x:v>Mensual</x:v>
      </x:c>
      <x:c r="L141" s="63" t="str">
        <x:v>Inspección</x:v>
      </x:c>
      <x:c r="M141" s="63" t="n">
        <x:v>12</x:v>
      </x:c>
      <x:c r="N141" s="63" t="str">
        <x:v>Inspector SST</x:v>
      </x:c>
      <x:c r="O141" s="63" t="str">
        <x:v>Presupuesto SG-SST</x:v>
      </x:c>
      <x:c r="P141" s="63" t="str">
        <x:v>Lista de chequeo, informe, evidencia fotográfica</x:v>
      </x:c>
      <x:c r="Q141" s="79" t="n">
        <x:v>254404</x:v>
      </x:c>
      <x:c r="R141" s="79" t="n">
        <x:v>236518</x:v>
      </x:c>
      <x:c r="S141" s="79" t="n">
        <x:v>-17886</x:v>
      </x:c>
      <x:c r="T141" s="75" t="n">
        <x:v>0.929694501658779</x:v>
      </x:c>
      <x:c r="U141" s="63" t="str">
        <x:v>Parcial</x:v>
      </x:c>
      <x:c r="V141" s="63" t="str">
        <x:v>Actividad con ejecución parcial o cierre financiero pendiente.</x:v>
      </x:c>
      <x:c r="W141" s="47" t="str">
        <x:v>Corte anual cerrado</x:v>
      </x:c>
    </x:row>
    <x:row r="142" ht="18" customHeight="1">
      <x:c r="A142" s="46" t="n">
        <x:v>2024</x:v>
      </x:c>
      <x:c r="B142" s="63" t="n">
        <x:v>4</x:v>
      </x:c>
      <x:c r="C142" s="63" t="str">
        <x:v>Abril</x:v>
      </x:c>
      <x:c r="D142" s="63" t="str">
        <x:v>T2</x:v>
      </x:c>
      <x:c r="E142" s="71" t="n">
        <x:v>45412</x:v>
      </x:c>
      <x:c r="F142" s="63" t="str">
        <x:v>Mejora continua y cumplimiento</x:v>
      </x:c>
      <x:c r="G142" s="63" t="str">
        <x:v>Gestión de incidentes y mejora</x:v>
      </x:c>
      <x:c r="H142" s="63" t="str">
        <x:v>Investigación de AT/EL y acciones correctivas</x:v>
      </x:c>
      <x:c r="I142" s="63" t="str">
        <x:v>Operativo</x:v>
      </x:c>
      <x:c r="J142" s="63" t="str">
        <x:v>Media</x:v>
      </x:c>
      <x:c r="K142" s="63" t="str">
        <x:v>Mensual</x:v>
      </x:c>
      <x:c r="L142" s="63" t="str">
        <x:v>Seguimiento</x:v>
      </x:c>
      <x:c r="M142" s="63" t="n">
        <x:v>12</x:v>
      </x:c>
      <x:c r="N142" s="63" t="str">
        <x:v>SST / Jefes de área</x:v>
      </x:c>
      <x:c r="O142" s="63" t="str">
        <x:v>Presupuesto SG-SST</x:v>
      </x:c>
      <x:c r="P142" s="63" t="str">
        <x:v>Investigación, plan de acción, evidencia de cierre</x:v>
      </x:c>
      <x:c r="Q142" s="79" t="n">
        <x:v>212003</x:v>
      </x:c>
      <x:c r="R142" s="79" t="n">
        <x:v>215163</x:v>
      </x:c>
      <x:c r="S142" s="79" t="n">
        <x:v>3160</x:v>
      </x:c>
      <x:c r="T142" s="75" t="n">
        <x:v>1.014905449451187</x:v>
      </x:c>
      <x:c r="U142" s="63" t="str">
        <x:v>Ejecutado</x:v>
      </x:c>
      <x:c r="V142" s="63" t="str">
        <x:v>Actividad ejecutada dentro del rango esperado.</x:v>
      </x:c>
      <x:c r="W142" s="47" t="str">
        <x:v>Corte anual cerrado</x:v>
      </x:c>
    </x:row>
    <x:row r="143" ht="18" customHeight="1">
      <x:c r="A143" s="46" t="n">
        <x:v>2024</x:v>
      </x:c>
      <x:c r="B143" s="63" t="n">
        <x:v>4</x:v>
      </x:c>
      <x:c r="C143" s="63" t="str">
        <x:v>Abril</x:v>
      </x:c>
      <x:c r="D143" s="63" t="str">
        <x:v>T2</x:v>
      </x:c>
      <x:c r="E143" s="71" t="n">
        <x:v>45412</x:v>
      </x:c>
      <x:c r="F143" s="63" t="str">
        <x:v>Emergencias e infraestructura</x:v>
      </x:c>
      <x:c r="G143" s="63" t="str">
        <x:v>Preparación y respuesta ante emergencias</x:v>
      </x:c>
      <x:c r="H143" s="63" t="str">
        <x:v>Mantenimiento de extintores, botiquines y equipos de emergencia</x:v>
      </x:c>
      <x:c r="I143" s="63" t="str">
        <x:v>Servicio</x:v>
      </x:c>
      <x:c r="J143" s="63" t="str">
        <x:v>Alta</x:v>
      </x:c>
      <x:c r="K143" s="63" t="str">
        <x:v>Bimestral / semestral</x:v>
      </x:c>
      <x:c r="L143" s="63" t="str">
        <x:v>Mantenimiento</x:v>
      </x:c>
      <x:c r="M143" s="63" t="n">
        <x:v>6</x:v>
      </x:c>
      <x:c r="N143" s="63" t="str">
        <x:v>Brigada / SST</x:v>
      </x:c>
      <x:c r="O143" s="63" t="str">
        <x:v>Presupuesto SG-SST</x:v>
      </x:c>
      <x:c r="P143" s="63" t="str">
        <x:v>Certificado, factura, hoja de vida del equipo</x:v>
      </x:c>
      <x:c r="Q143" s="79" t="n">
        <x:v>424006</x:v>
      </x:c>
      <x:c r="R143" s="79" t="n">
        <x:v>417182</x:v>
      </x:c>
      <x:c r="S143" s="79" t="n">
        <x:v>-6824</x:v>
      </x:c>
      <x:c r="T143" s="75" t="n">
        <x:v>0.9839058881242246</x:v>
      </x:c>
      <x:c r="U143" s="63" t="str">
        <x:v>Ejecutado</x:v>
      </x:c>
      <x:c r="V143" s="63" t="str">
        <x:v>Actividad ejecutada dentro del rango esperado.</x:v>
      </x:c>
      <x:c r="W143" s="47" t="str">
        <x:v>Corte anual cerrado</x:v>
      </x:c>
    </x:row>
    <x:row r="144" ht="18" customHeight="1">
      <x:c r="A144" s="46" t="n">
        <x:v>2024</x:v>
      </x:c>
      <x:c r="B144" s="63" t="n">
        <x:v>4</x:v>
      </x:c>
      <x:c r="C144" s="63" t="str">
        <x:v>Abril</x:v>
      </x:c>
      <x:c r="D144" s="63" t="str">
        <x:v>T2</x:v>
      </x:c>
      <x:c r="E144" s="71" t="n">
        <x:v>45412</x:v>
      </x:c>
      <x:c r="F144" s="63" t="str">
        <x:v>Medicina preventiva y del trabajo</x:v>
      </x:c>
      <x:c r="G144" s="63" t="str">
        <x:v>Programas de vigilancia epidemiológica</x:v>
      </x:c>
      <x:c r="H144" s="63" t="str">
        <x:v>Programas de vigilancia epidemiológica y seguimiento médico</x:v>
      </x:c>
      <x:c r="I144" s="63" t="str">
        <x:v>Servicio</x:v>
      </x:c>
      <x:c r="J144" s="63" t="str">
        <x:v>Alta</x:v>
      </x:c>
      <x:c r="K144" s="63" t="str">
        <x:v>Mensual</x:v>
      </x:c>
      <x:c r="L144" s="63" t="str">
        <x:v>Seguimiento</x:v>
      </x:c>
      <x:c r="M144" s="63" t="n">
        <x:v>12</x:v>
      </x:c>
      <x:c r="N144" s="63" t="str">
        <x:v>Médico laboral / SST</x:v>
      </x:c>
      <x:c r="O144" s="63" t="str">
        <x:v>Presupuesto SG-SST</x:v>
      </x:c>
      <x:c r="P144" s="63" t="str">
        <x:v>Base de seguimiento, informe, remisiones</x:v>
      </x:c>
      <x:c r="Q144" s="79" t="n">
        <x:v>593609</x:v>
      </x:c>
      <x:c r="R144" s="79" t="n">
        <x:v>591586</x:v>
      </x:c>
      <x:c r="S144" s="79" t="n">
        <x:v>-2023</x:v>
      </x:c>
      <x:c r="T144" s="75" t="n">
        <x:v>0.9965920328027371</x:v>
      </x:c>
      <x:c r="U144" s="63" t="str">
        <x:v>Ejecutado</x:v>
      </x:c>
      <x:c r="V144" s="63" t="str">
        <x:v>Actividad ejecutada dentro del rango esperado.</x:v>
      </x:c>
      <x:c r="W144" s="47" t="str">
        <x:v>Corte anual cerrado</x:v>
      </x:c>
    </x:row>
    <x:row r="145" ht="18" customHeight="1">
      <x:c r="A145" s="46" t="n">
        <x:v>2024</x:v>
      </x:c>
      <x:c r="B145" s="63" t="n">
        <x:v>5</x:v>
      </x:c>
      <x:c r="C145" s="63" t="str">
        <x:v>Mayo</x:v>
      </x:c>
      <x:c r="D145" s="63" t="str">
        <x:v>T2</x:v>
      </x:c>
      <x:c r="E145" s="71" t="n">
        <x:v>45443</x:v>
      </x:c>
      <x:c r="F145" s="63" t="str">
        <x:v>Capacitación y entrenamiento</x:v>
      </x:c>
      <x:c r="G145" s="63" t="str">
        <x:v>Plan anual de formación</x:v>
      </x:c>
      <x:c r="H145" s="63" t="str">
        <x:v>Capacitación y entrenamiento en SG-SST</x:v>
      </x:c>
      <x:c r="I145" s="63" t="str">
        <x:v>Operativo</x:v>
      </x:c>
      <x:c r="J145" s="63" t="str">
        <x:v>Alta</x:v>
      </x:c>
      <x:c r="K145" s="63" t="str">
        <x:v>Mensual</x:v>
      </x:c>
      <x:c r="L145" s="63" t="str">
        <x:v>Jornada</x:v>
      </x:c>
      <x:c r="M145" s="63" t="n">
        <x:v>12</x:v>
      </x:c>
      <x:c r="N145" s="63" t="str">
        <x:v>Coordinación SST</x:v>
      </x:c>
      <x:c r="O145" s="63" t="str">
        <x:v>Presupuesto SG-SST</x:v>
      </x:c>
      <x:c r="P145" s="63" t="str">
        <x:v>Lista de asistencia, evaluación, acta</x:v>
      </x:c>
      <x:c r="Q145" s="79" t="n">
        <x:v>477007</x:v>
      </x:c>
      <x:c r="R145" s="79" t="n">
        <x:v>443863</x:v>
      </x:c>
      <x:c r="S145" s="79" t="n">
        <x:v>-33144</x:v>
      </x:c>
      <x:c r="T145" s="75" t="n">
        <x:v>0.9305167429408793</x:v>
      </x:c>
      <x:c r="U145" s="63" t="str">
        <x:v>Parcial</x:v>
      </x:c>
      <x:c r="V145" s="63" t="str">
        <x:v>Actividad con ejecución parcial o cierre financiero pendiente.</x:v>
      </x:c>
      <x:c r="W145" s="47" t="str">
        <x:v>Corte anual cerrado</x:v>
      </x:c>
    </x:row>
    <x:row r="146" ht="18" customHeight="1">
      <x:c r="A146" s="46" t="n">
        <x:v>2024</x:v>
      </x:c>
      <x:c r="B146" s="63" t="n">
        <x:v>5</x:v>
      </x:c>
      <x:c r="C146" s="63" t="str">
        <x:v>Mayo</x:v>
      </x:c>
      <x:c r="D146" s="63" t="str">
        <x:v>T2</x:v>
      </x:c>
      <x:c r="E146" s="71" t="n">
        <x:v>45443</x:v>
      </x:c>
      <x:c r="F146" s="63" t="str">
        <x:v>Higiene y seguridad industrial</x:v>
      </x:c>
      <x:c r="G146" s="63" t="str">
        <x:v>Dotación y control operacional</x:v>
      </x:c>
      <x:c r="H146" s="63" t="str">
        <x:v>Dotación y reposición de EPP</x:v>
      </x:c>
      <x:c r="I146" s="63" t="str">
        <x:v>Operativo</x:v>
      </x:c>
      <x:c r="J146" s="63" t="str">
        <x:v>Alta</x:v>
      </x:c>
      <x:c r="K146" s="63" t="str">
        <x:v>Bimestral / trimestral</x:v>
      </x:c>
      <x:c r="L146" s="63" t="str">
        <x:v>Entrega</x:v>
      </x:c>
      <x:c r="M146" s="63" t="n">
        <x:v>6</x:v>
      </x:c>
      <x:c r="N146" s="63" t="str">
        <x:v>Coordinación SST / Compras</x:v>
      </x:c>
      <x:c r="O146" s="63" t="str">
        <x:v>Presupuesto SG-SST</x:v>
      </x:c>
      <x:c r="P146" s="63" t="str">
        <x:v>Formato de entrega, factura, remisión</x:v>
      </x:c>
      <x:c r="Q146" s="79" t="n">
        <x:v>795012</x:v>
      </x:c>
      <x:c r="R146" s="79" t="n">
        <x:v>808213</x:v>
      </x:c>
      <x:c r="S146" s="79" t="n">
        <x:v>13201</x:v>
      </x:c>
      <x:c r="T146" s="75" t="n">
        <x:v>1.01660478080834</x:v>
      </x:c>
      <x:c r="U146" s="63" t="str">
        <x:v>Ejecutado</x:v>
      </x:c>
      <x:c r="V146" s="63" t="str">
        <x:v>Actividad ejecutada dentro del rango esperado.</x:v>
      </x:c>
      <x:c r="W146" s="47" t="str">
        <x:v>Corte anual cerrado</x:v>
      </x:c>
    </x:row>
    <x:row r="147" ht="18" customHeight="1">
      <x:c r="A147" s="46" t="n">
        <x:v>2024</x:v>
      </x:c>
      <x:c r="B147" s="63" t="n">
        <x:v>5</x:v>
      </x:c>
      <x:c r="C147" s="63" t="str">
        <x:v>Mayo</x:v>
      </x:c>
      <x:c r="D147" s="63" t="str">
        <x:v>T2</x:v>
      </x:c>
      <x:c r="E147" s="71" t="n">
        <x:v>45443</x:v>
      </x:c>
      <x:c r="F147" s="63" t="str">
        <x:v>Medicina preventiva y del trabajo</x:v>
      </x:c>
      <x:c r="G147" s="63" t="str">
        <x:v>Vigilancia epidemiológica</x:v>
      </x:c>
      <x:c r="H147" s="63" t="str">
        <x:v>Evaluación de riesgo psicosocial y actividades de intervención</x:v>
      </x:c>
      <x:c r="I147" s="63" t="str">
        <x:v>Servicio</x:v>
      </x:c>
      <x:c r="J147" s="63" t="str">
        <x:v>Alta</x:v>
      </x:c>
      <x:c r="K147" s="63" t="str">
        <x:v>Periódica</x:v>
      </x:c>
      <x:c r="L147" s="63" t="str">
        <x:v>Actividad</x:v>
      </x:c>
      <x:c r="M147" s="63" t="n">
        <x:v>6</x:v>
      </x:c>
      <x:c r="N147" s="63" t="str">
        <x:v>Psicología / SST</x:v>
      </x:c>
      <x:c r="O147" s="63" t="str">
        <x:v>Presupuesto SG-SST</x:v>
      </x:c>
      <x:c r="P147" s="63" t="str">
        <x:v>Informe técnico, evidencia, plan de intervención</x:v>
      </x:c>
      <x:c r="Q147" s="79" t="n">
        <x:v>371006</x:v>
      </x:c>
      <x:c r="R147" s="79" t="n">
        <x:v>345862</x:v>
      </x:c>
      <x:c r="S147" s="79" t="n">
        <x:v>-25144</x:v>
      </x:c>
      <x:c r="T147" s="75" t="n">
        <x:v>0.9322275111453723</x:v>
      </x:c>
      <x:c r="U147" s="63" t="str">
        <x:v>Parcial</x:v>
      </x:c>
      <x:c r="V147" s="63" t="str">
        <x:v>Actividad con ejecución parcial o cierre financiero pendiente.</x:v>
      </x:c>
      <x:c r="W147" s="47" t="str">
        <x:v>Corte anual cerrado</x:v>
      </x:c>
    </x:row>
    <x:row r="148" ht="18" customHeight="1">
      <x:c r="A148" s="46" t="n">
        <x:v>2024</x:v>
      </x:c>
      <x:c r="B148" s="63" t="n">
        <x:v>5</x:v>
      </x:c>
      <x:c r="C148" s="63" t="str">
        <x:v>Mayo</x:v>
      </x:c>
      <x:c r="D148" s="63" t="str">
        <x:v>T2</x:v>
      </x:c>
      <x:c r="E148" s="71" t="n">
        <x:v>45443</x:v>
      </x:c>
      <x:c r="F148" s="63" t="str">
        <x:v>Recursos y gestión financiera</x:v>
      </x:c>
      <x:c r="G148" s="63" t="str">
        <x:v>Planeación y recursos</x:v>
      </x:c>
      <x:c r="H148" s="63" t="str">
        <x:v>Exámenes médicos ocupacionales</x:v>
      </x:c>
      <x:c r="I148" s="63" t="str">
        <x:v>Servicio</x:v>
      </x:c>
      <x:c r="J148" s="63" t="str">
        <x:v>Alta</x:v>
      </x:c>
      <x:c r="K148" s="63" t="str">
        <x:v>Semestral</x:v>
      </x:c>
      <x:c r="L148" s="63" t="str">
        <x:v>Jornada</x:v>
      </x:c>
      <x:c r="M148" s="63" t="n">
        <x:v>2</x:v>
      </x:c>
      <x:c r="N148" s="63" t="str">
        <x:v>Coordinación SST</x:v>
      </x:c>
      <x:c r="O148" s="63" t="str">
        <x:v>Presupuesto SG-SST</x:v>
      </x:c>
      <x:c r="P148" s="63" t="str">
        <x:v>Orden de servicio, factura, concepto médico</x:v>
      </x:c>
      <x:c r="Q148" s="79" t="n">
        <x:v>127202</x:v>
      </x:c>
      <x:c r="R148" s="79" t="n">
        <x:v>117458</x:v>
      </x:c>
      <x:c r="S148" s="79" t="n">
        <x:v>-9744</x:v>
      </x:c>
      <x:c r="T148" s="75" t="n">
        <x:v>0.9233974308580054</x:v>
      </x:c>
      <x:c r="U148" s="63" t="str">
        <x:v>Parcial</x:v>
      </x:c>
      <x:c r="V148" s="63" t="str">
        <x:v>Actividad con ejecución parcial o cierre financiero pendiente.</x:v>
      </x:c>
      <x:c r="W148" s="47" t="str">
        <x:v>Corte anual cerrado</x:v>
      </x:c>
    </x:row>
    <x:row r="149" ht="18" customHeight="1">
      <x:c r="A149" s="46" t="n">
        <x:v>2024</x:v>
      </x:c>
      <x:c r="B149" s="63" t="n">
        <x:v>5</x:v>
      </x:c>
      <x:c r="C149" s="63" t="str">
        <x:v>Mayo</x:v>
      </x:c>
      <x:c r="D149" s="63" t="str">
        <x:v>T2</x:v>
      </x:c>
      <x:c r="E149" s="71" t="n">
        <x:v>45443</x:v>
      </x:c>
      <x:c r="F149" s="63" t="str">
        <x:v>Participación y consulta</x:v>
      </x:c>
      <x:c r="G149" s="63" t="str">
        <x:v>Comités de SST</x:v>
      </x:c>
      <x:c r="H149" s="63" t="str">
        <x:v>Gestión de COPASST y Comité de Convivencia</x:v>
      </x:c>
      <x:c r="I149" s="63" t="str">
        <x:v>Operativo</x:v>
      </x:c>
      <x:c r="J149" s="63" t="str">
        <x:v>Media</x:v>
      </x:c>
      <x:c r="K149" s="63" t="str">
        <x:v>Mensual</x:v>
      </x:c>
      <x:c r="L149" s="63" t="str">
        <x:v>Reunión</x:v>
      </x:c>
      <x:c r="M149" s="63" t="n">
        <x:v>12</x:v>
      </x:c>
      <x:c r="N149" s="63" t="str">
        <x:v>Talento Humano / SST</x:v>
      </x:c>
      <x:c r="O149" s="63" t="str">
        <x:v>Presupuesto SG-SST</x:v>
      </x:c>
      <x:c r="P149" s="63" t="str">
        <x:v>Acta, convocatoria, seguimiento compromisos</x:v>
      </x:c>
      <x:c r="Q149" s="79" t="n">
        <x:v>190803</x:v>
      </x:c>
      <x:c r="R149" s="79" t="n">
        <x:v>177420</x:v>
      </x:c>
      <x:c r="S149" s="79" t="n">
        <x:v>-13383</x:v>
      </x:c>
      <x:c r="T149" s="75" t="n">
        <x:v>0.9298595934026195</x:v>
      </x:c>
      <x:c r="U149" s="63" t="str">
        <x:v>Parcial</x:v>
      </x:c>
      <x:c r="V149" s="63" t="str">
        <x:v>Actividad con ejecución parcial o cierre financiero pendiente.</x:v>
      </x:c>
      <x:c r="W149" s="47" t="str">
        <x:v>Corte anual cerrado</x:v>
      </x:c>
    </x:row>
    <x:row r="150" ht="18" customHeight="1">
      <x:c r="A150" s="46" t="n">
        <x:v>2024</x:v>
      </x:c>
      <x:c r="B150" s="63" t="n">
        <x:v>5</x:v>
      </x:c>
      <x:c r="C150" s="63" t="str">
        <x:v>Mayo</x:v>
      </x:c>
      <x:c r="D150" s="63" t="str">
        <x:v>T2</x:v>
      </x:c>
      <x:c r="E150" s="71" t="n">
        <x:v>45443</x:v>
      </x:c>
      <x:c r="F150" s="63" t="str">
        <x:v>Higiene y seguridad industrial</x:v>
      </x:c>
      <x:c r="G150" s="63" t="str">
        <x:v>Inspecciones y control</x:v>
      </x:c>
      <x:c r="H150" s="63" t="str">
        <x:v>Inspecciones planeadas de seguridad</x:v>
      </x:c>
      <x:c r="I150" s="63" t="str">
        <x:v>Operativo</x:v>
      </x:c>
      <x:c r="J150" s="63" t="str">
        <x:v>Media</x:v>
      </x:c>
      <x:c r="K150" s="63" t="str">
        <x:v>Mensual</x:v>
      </x:c>
      <x:c r="L150" s="63" t="str">
        <x:v>Inspección</x:v>
      </x:c>
      <x:c r="M150" s="63" t="n">
        <x:v>12</x:v>
      </x:c>
      <x:c r="N150" s="63" t="str">
        <x:v>Inspector SST</x:v>
      </x:c>
      <x:c r="O150" s="63" t="str">
        <x:v>Presupuesto SG-SST</x:v>
      </x:c>
      <x:c r="P150" s="63" t="str">
        <x:v>Lista de chequeo, informe, evidencia fotográfica</x:v>
      </x:c>
      <x:c r="Q150" s="79" t="n">
        <x:v>286204</x:v>
      </x:c>
      <x:c r="R150" s="79" t="n">
        <x:v>263080</x:v>
      </x:c>
      <x:c r="S150" s="79" t="n">
        <x:v>-23124</x:v>
      </x:c>
      <x:c r="T150" s="75" t="n">
        <x:v>0.9192044835152549</x:v>
      </x:c>
      <x:c r="U150" s="63" t="str">
        <x:v>Parcial</x:v>
      </x:c>
      <x:c r="V150" s="63" t="str">
        <x:v>Actividad con ejecución parcial o cierre financiero pendiente.</x:v>
      </x:c>
      <x:c r="W150" s="47" t="str">
        <x:v>Corte anual cerrado</x:v>
      </x:c>
    </x:row>
    <x:row r="151" ht="18" customHeight="1">
      <x:c r="A151" s="46" t="n">
        <x:v>2024</x:v>
      </x:c>
      <x:c r="B151" s="63" t="n">
        <x:v>5</x:v>
      </x:c>
      <x:c r="C151" s="63" t="str">
        <x:v>Mayo</x:v>
      </x:c>
      <x:c r="D151" s="63" t="str">
        <x:v>T2</x:v>
      </x:c>
      <x:c r="E151" s="71" t="n">
        <x:v>45443</x:v>
      </x:c>
      <x:c r="F151" s="63" t="str">
        <x:v>Mejora continua y cumplimiento</x:v>
      </x:c>
      <x:c r="G151" s="63" t="str">
        <x:v>Gestión de incidentes y mejora</x:v>
      </x:c>
      <x:c r="H151" s="63" t="str">
        <x:v>Investigación de AT/EL y acciones correctivas</x:v>
      </x:c>
      <x:c r="I151" s="63" t="str">
        <x:v>Operativo</x:v>
      </x:c>
      <x:c r="J151" s="63" t="str">
        <x:v>Media</x:v>
      </x:c>
      <x:c r="K151" s="63" t="str">
        <x:v>Mensual</x:v>
      </x:c>
      <x:c r="L151" s="63" t="str">
        <x:v>Seguimiento</x:v>
      </x:c>
      <x:c r="M151" s="63" t="n">
        <x:v>12</x:v>
      </x:c>
      <x:c r="N151" s="63" t="str">
        <x:v>SST / Jefes de área</x:v>
      </x:c>
      <x:c r="O151" s="63" t="str">
        <x:v>Presupuesto SG-SST</x:v>
      </x:c>
      <x:c r="P151" s="63" t="str">
        <x:v>Investigación, plan de acción, evidencia de cierre</x:v>
      </x:c>
      <x:c r="Q151" s="79" t="n">
        <x:v>238504</x:v>
      </x:c>
      <x:c r="R151" s="79" t="n">
        <x:v>241766</x:v>
      </x:c>
      <x:c r="S151" s="79" t="n">
        <x:v>3262</x:v>
      </x:c>
      <x:c r="T151" s="75" t="n">
        <x:v>1.013676919464663</x:v>
      </x:c>
      <x:c r="U151" s="63" t="str">
        <x:v>Ejecutado</x:v>
      </x:c>
      <x:c r="V151" s="63" t="str">
        <x:v>Actividad ejecutada dentro del rango esperado.</x:v>
      </x:c>
      <x:c r="W151" s="47" t="str">
        <x:v>Corte anual cerrado</x:v>
      </x:c>
    </x:row>
    <x:row r="152" ht="18" customHeight="1">
      <x:c r="A152" s="46" t="n">
        <x:v>2024</x:v>
      </x:c>
      <x:c r="B152" s="63" t="n">
        <x:v>5</x:v>
      </x:c>
      <x:c r="C152" s="63" t="str">
        <x:v>Mayo</x:v>
      </x:c>
      <x:c r="D152" s="63" t="str">
        <x:v>T2</x:v>
      </x:c>
      <x:c r="E152" s="71" t="n">
        <x:v>45443</x:v>
      </x:c>
      <x:c r="F152" s="63" t="str">
        <x:v>Medicina preventiva y del trabajo</x:v>
      </x:c>
      <x:c r="G152" s="63" t="str">
        <x:v>Programas de vigilancia epidemiológica</x:v>
      </x:c>
      <x:c r="H152" s="63" t="str">
        <x:v>Programas de vigilancia epidemiológica y seguimiento médico</x:v>
      </x:c>
      <x:c r="I152" s="63" t="str">
        <x:v>Servicio</x:v>
      </x:c>
      <x:c r="J152" s="63" t="str">
        <x:v>Alta</x:v>
      </x:c>
      <x:c r="K152" s="63" t="str">
        <x:v>Mensual</x:v>
      </x:c>
      <x:c r="L152" s="63" t="str">
        <x:v>Seguimiento</x:v>
      </x:c>
      <x:c r="M152" s="63" t="n">
        <x:v>12</x:v>
      </x:c>
      <x:c r="N152" s="63" t="str">
        <x:v>Médico laboral / SST</x:v>
      </x:c>
      <x:c r="O152" s="63" t="str">
        <x:v>Presupuesto SG-SST</x:v>
      </x:c>
      <x:c r="P152" s="63" t="str">
        <x:v>Base de seguimiento, informe, remisiones</x:v>
      </x:c>
      <x:c r="Q152" s="79" t="n">
        <x:v>593609</x:v>
      </x:c>
      <x:c r="R152" s="79" t="n">
        <x:v>589427</x:v>
      </x:c>
      <x:c r="S152" s="79" t="n">
        <x:v>-4182</x:v>
      </x:c>
      <x:c r="T152" s="75" t="n">
        <x:v>0.9929549585670029</x:v>
      </x:c>
      <x:c r="U152" s="63" t="str">
        <x:v>Ejecutado</x:v>
      </x:c>
      <x:c r="V152" s="63" t="str">
        <x:v>Actividad ejecutada dentro del rango esperado.</x:v>
      </x:c>
      <x:c r="W152" s="47" t="str">
        <x:v>Corte anual cerrado</x:v>
      </x:c>
    </x:row>
    <x:row r="153" ht="18" customHeight="1">
      <x:c r="A153" s="46" t="n">
        <x:v>2024</x:v>
      </x:c>
      <x:c r="B153" s="63" t="n">
        <x:v>5</x:v>
      </x:c>
      <x:c r="C153" s="63" t="str">
        <x:v>Mayo</x:v>
      </x:c>
      <x:c r="D153" s="63" t="str">
        <x:v>T2</x:v>
      </x:c>
      <x:c r="E153" s="71" t="n">
        <x:v>45443</x:v>
      </x:c>
      <x:c r="F153" s="63" t="str">
        <x:v>Higiene y seguridad industrial</x:v>
      </x:c>
      <x:c r="G153" s="63" t="str">
        <x:v>Señalización y control visual</x:v>
      </x:c>
      <x:c r="H153" s="63" t="str">
        <x:v>Señalización, demarcación y avisos de seguridad</x:v>
      </x:c>
      <x:c r="I153" s="63" t="str">
        <x:v>Operativo</x:v>
      </x:c>
      <x:c r="J153" s="63" t="str">
        <x:v>Media</x:v>
      </x:c>
      <x:c r="K153" s="63" t="str">
        <x:v>Periódica</x:v>
      </x:c>
      <x:c r="L153" s="63" t="str">
        <x:v>Intervención</x:v>
      </x:c>
      <x:c r="M153" s="63" t="n">
        <x:v>5</x:v>
      </x:c>
      <x:c r="N153" s="63" t="str">
        <x:v>SST / Mantenimiento</x:v>
      </x:c>
      <x:c r="O153" s="63" t="str">
        <x:v>Presupuesto SG-SST</x:v>
      </x:c>
      <x:c r="P153" s="63" t="str">
        <x:v>Acta de instalación, factura, inventario</x:v>
      </x:c>
      <x:c r="Q153" s="79" t="n">
        <x:v>397506</x:v>
      </x:c>
      <x:c r="R153" s="79" t="n">
        <x:v>392953</x:v>
      </x:c>
      <x:c r="S153" s="79" t="n">
        <x:v>-4553</x:v>
      </x:c>
      <x:c r="T153" s="75" t="n">
        <x:v>0.988546084838971</x:v>
      </x:c>
      <x:c r="U153" s="63" t="str">
        <x:v>Ejecutado</x:v>
      </x:c>
      <x:c r="V153" s="63" t="str">
        <x:v>Actividad ejecutada dentro del rango esperado.</x:v>
      </x:c>
      <x:c r="W153" s="47" t="str">
        <x:v>Corte anual cerrado</x:v>
      </x:c>
    </x:row>
    <x:row r="154" ht="18" customHeight="1">
      <x:c r="A154" s="46" t="n">
        <x:v>2024</x:v>
      </x:c>
      <x:c r="B154" s="63" t="n">
        <x:v>6</x:v>
      </x:c>
      <x:c r="C154" s="63" t="str">
        <x:v>Junio</x:v>
      </x:c>
      <x:c r="D154" s="63" t="str">
        <x:v>T2</x:v>
      </x:c>
      <x:c r="E154" s="71" t="n">
        <x:v>45473</x:v>
      </x:c>
      <x:c r="F154" s="63" t="str">
        <x:v>Mejora continua y cumplimiento</x:v>
      </x:c>
      <x:c r="G154" s="63" t="str">
        <x:v>Auditoría y revisión por la dirección</x:v>
      </x:c>
      <x:c r="H154" s="63" t="str">
        <x:v>Auditoría interna, autoevaluación y revisión gerencial</x:v>
      </x:c>
      <x:c r="I154" s="63" t="str">
        <x:v>Servicio</x:v>
      </x:c>
      <x:c r="J154" s="63" t="str">
        <x:v>Alta</x:v>
      </x:c>
      <x:c r="K154" s="63" t="str">
        <x:v>Trimestral</x:v>
      </x:c>
      <x:c r="L154" s="63" t="str">
        <x:v>Hito</x:v>
      </x:c>
      <x:c r="M154" s="63" t="n">
        <x:v>4</x:v>
      </x:c>
      <x:c r="N154" s="63" t="str">
        <x:v>Líder HSEQ / Gerencia</x:v>
      </x:c>
      <x:c r="O154" s="63" t="str">
        <x:v>Presupuesto SG-SST</x:v>
      </x:c>
      <x:c r="P154" s="63" t="str">
        <x:v>Informe de auditoría, acta, plan de mejora</x:v>
      </x:c>
      <x:c r="Q154" s="79" t="n">
        <x:v>424006</x:v>
      </x:c>
      <x:c r="R154" s="79" t="n">
        <x:v>405518</x:v>
      </x:c>
      <x:c r="S154" s="79" t="n">
        <x:v>-18488</x:v>
      </x:c>
      <x:c r="T154" s="75" t="n">
        <x:v>0.9563968434408947</x:v>
      </x:c>
      <x:c r="U154" s="63" t="str">
        <x:v>Parcial</x:v>
      </x:c>
      <x:c r="V154" s="63" t="str">
        <x:v>Actividad con ejecución parcial o cierre financiero pendiente.</x:v>
      </x:c>
      <x:c r="W154" s="47" t="str">
        <x:v>Corte anual cerrado</x:v>
      </x:c>
    </x:row>
    <x:row r="155" ht="18" customHeight="1">
      <x:c r="A155" s="46" t="n">
        <x:v>2024</x:v>
      </x:c>
      <x:c r="B155" s="63" t="n">
        <x:v>6</x:v>
      </x:c>
      <x:c r="C155" s="63" t="str">
        <x:v>Junio</x:v>
      </x:c>
      <x:c r="D155" s="63" t="str">
        <x:v>T2</x:v>
      </x:c>
      <x:c r="E155" s="71" t="n">
        <x:v>45473</x:v>
      </x:c>
      <x:c r="F155" s="63" t="str">
        <x:v>Capacitación y entrenamiento</x:v>
      </x:c>
      <x:c r="G155" s="63" t="str">
        <x:v>Plan anual de formación</x:v>
      </x:c>
      <x:c r="H155" s="63" t="str">
        <x:v>Capacitación y entrenamiento en SG-SST</x:v>
      </x:c>
      <x:c r="I155" s="63" t="str">
        <x:v>Operativo</x:v>
      </x:c>
      <x:c r="J155" s="63" t="str">
        <x:v>Alta</x:v>
      </x:c>
      <x:c r="K155" s="63" t="str">
        <x:v>Mensual</x:v>
      </x:c>
      <x:c r="L155" s="63" t="str">
        <x:v>Jornada</x:v>
      </x:c>
      <x:c r="M155" s="63" t="n">
        <x:v>12</x:v>
      </x:c>
      <x:c r="N155" s="63" t="str">
        <x:v>Coordinación SST</x:v>
      </x:c>
      <x:c r="O155" s="63" t="str">
        <x:v>Presupuesto SG-SST</x:v>
      </x:c>
      <x:c r="P155" s="63" t="str">
        <x:v>Lista de asistencia, evaluación, acta</x:v>
      </x:c>
      <x:c r="Q155" s="79" t="n">
        <x:v>424006</x:v>
      </x:c>
      <x:c r="R155" s="79" t="n">
        <x:v>397495</x:v>
      </x:c>
      <x:c r="S155" s="79" t="n">
        <x:v>-26511</x:v>
      </x:c>
      <x:c r="T155" s="75" t="n">
        <x:v>0.9374749413923388</x:v>
      </x:c>
      <x:c r="U155" s="63" t="str">
        <x:v>Parcial</x:v>
      </x:c>
      <x:c r="V155" s="63" t="str">
        <x:v>Actividad con ejecución parcial o cierre financiero pendiente.</x:v>
      </x:c>
      <x:c r="W155" s="47" t="str">
        <x:v>Corte anual cerrado</x:v>
      </x:c>
    </x:row>
    <x:row r="156" ht="18" customHeight="1">
      <x:c r="A156" s="46" t="n">
        <x:v>2024</x:v>
      </x:c>
      <x:c r="B156" s="63" t="n">
        <x:v>6</x:v>
      </x:c>
      <x:c r="C156" s="63" t="str">
        <x:v>Junio</x:v>
      </x:c>
      <x:c r="D156" s="63" t="str">
        <x:v>T2</x:v>
      </x:c>
      <x:c r="E156" s="71" t="n">
        <x:v>45473</x:v>
      </x:c>
      <x:c r="F156" s="63" t="str">
        <x:v>Medicina preventiva y del trabajo</x:v>
      </x:c>
      <x:c r="G156" s="63" t="str">
        <x:v>Vigilancia epidemiológica</x:v>
      </x:c>
      <x:c r="H156" s="63" t="str">
        <x:v>Evaluación de riesgo psicosocial y actividades de intervención</x:v>
      </x:c>
      <x:c r="I156" s="63" t="str">
        <x:v>Servicio</x:v>
      </x:c>
      <x:c r="J156" s="63" t="str">
        <x:v>Alta</x:v>
      </x:c>
      <x:c r="K156" s="63" t="str">
        <x:v>Periódica</x:v>
      </x:c>
      <x:c r="L156" s="63" t="str">
        <x:v>Actividad</x:v>
      </x:c>
      <x:c r="M156" s="63" t="n">
        <x:v>6</x:v>
      </x:c>
      <x:c r="N156" s="63" t="str">
        <x:v>Psicología / SST</x:v>
      </x:c>
      <x:c r="O156" s="63" t="str">
        <x:v>Presupuesto SG-SST</x:v>
      </x:c>
      <x:c r="P156" s="63" t="str">
        <x:v>Informe técnico, evidencia, plan de intervención</x:v>
      </x:c>
      <x:c r="Q156" s="79" t="n">
        <x:v>371006</x:v>
      </x:c>
      <x:c r="R156" s="79" t="n">
        <x:v>352627</x:v>
      </x:c>
      <x:c r="S156" s="79" t="n">
        <x:v>-18379</x:v>
      </x:c>
      <x:c r="T156" s="75" t="n">
        <x:v>0.9504617176002544</x:v>
      </x:c>
      <x:c r="U156" s="63" t="str">
        <x:v>Parcial</x:v>
      </x:c>
      <x:c r="V156" s="63" t="str">
        <x:v>Actividad con ejecución parcial o cierre financiero pendiente.</x:v>
      </x:c>
      <x:c r="W156" s="47" t="str">
        <x:v>Corte anual cerrado</x:v>
      </x:c>
    </x:row>
    <x:row r="157" ht="18" customHeight="1">
      <x:c r="A157" s="46" t="n">
        <x:v>2024</x:v>
      </x:c>
      <x:c r="B157" s="63" t="n">
        <x:v>6</x:v>
      </x:c>
      <x:c r="C157" s="63" t="str">
        <x:v>Junio</x:v>
      </x:c>
      <x:c r="D157" s="63" t="str">
        <x:v>T2</x:v>
      </x:c>
      <x:c r="E157" s="71" t="n">
        <x:v>45473</x:v>
      </x:c>
      <x:c r="F157" s="63" t="str">
        <x:v>Recursos y gestión financiera</x:v>
      </x:c>
      <x:c r="G157" s="63" t="str">
        <x:v>Planeación y recursos</x:v>
      </x:c>
      <x:c r="H157" s="63" t="str">
        <x:v>Exámenes médicos ocupacionales</x:v>
      </x:c>
      <x:c r="I157" s="63" t="str">
        <x:v>Servicio</x:v>
      </x:c>
      <x:c r="J157" s="63" t="str">
        <x:v>Alta</x:v>
      </x:c>
      <x:c r="K157" s="63" t="str">
        <x:v>Semestral</x:v>
      </x:c>
      <x:c r="L157" s="63" t="str">
        <x:v>Jornada</x:v>
      </x:c>
      <x:c r="M157" s="63" t="n">
        <x:v>2</x:v>
      </x:c>
      <x:c r="N157" s="63" t="str">
        <x:v>Coordinación SST</x:v>
      </x:c>
      <x:c r="O157" s="63" t="str">
        <x:v>Presupuesto SG-SST</x:v>
      </x:c>
      <x:c r="P157" s="63" t="str">
        <x:v>Orden de servicio, factura, concepto médico</x:v>
      </x:c>
      <x:c r="Q157" s="79" t="n">
        <x:v>190803</x:v>
      </x:c>
      <x:c r="R157" s="79" t="n">
        <x:v>191117</x:v>
      </x:c>
      <x:c r="S157" s="79" t="n">
        <x:v>314</x:v>
      </x:c>
      <x:c r="T157" s="75" t="n">
        <x:v>1.001645676430664</x:v>
      </x:c>
      <x:c r="U157" s="63" t="str">
        <x:v>Ejecutado</x:v>
      </x:c>
      <x:c r="V157" s="63" t="str">
        <x:v>Actividad ejecutada dentro del rango esperado.</x:v>
      </x:c>
      <x:c r="W157" s="47" t="str">
        <x:v>Corte anual cerrado</x:v>
      </x:c>
    </x:row>
    <x:row r="158" ht="18" customHeight="1">
      <x:c r="A158" s="46" t="n">
        <x:v>2024</x:v>
      </x:c>
      <x:c r="B158" s="63" t="n">
        <x:v>6</x:v>
      </x:c>
      <x:c r="C158" s="63" t="str">
        <x:v>Junio</x:v>
      </x:c>
      <x:c r="D158" s="63" t="str">
        <x:v>T2</x:v>
      </x:c>
      <x:c r="E158" s="71" t="n">
        <x:v>45473</x:v>
      </x:c>
      <x:c r="F158" s="63" t="str">
        <x:v>Participación y consulta</x:v>
      </x:c>
      <x:c r="G158" s="63" t="str">
        <x:v>Comités de SST</x:v>
      </x:c>
      <x:c r="H158" s="63" t="str">
        <x:v>Gestión de COPASST y Comité de Convivencia</x:v>
      </x:c>
      <x:c r="I158" s="63" t="str">
        <x:v>Operativo</x:v>
      </x:c>
      <x:c r="J158" s="63" t="str">
        <x:v>Media</x:v>
      </x:c>
      <x:c r="K158" s="63" t="str">
        <x:v>Mensual</x:v>
      </x:c>
      <x:c r="L158" s="63" t="str">
        <x:v>Reunión</x:v>
      </x:c>
      <x:c r="M158" s="63" t="n">
        <x:v>12</x:v>
      </x:c>
      <x:c r="N158" s="63" t="str">
        <x:v>Talento Humano / SST</x:v>
      </x:c>
      <x:c r="O158" s="63" t="str">
        <x:v>Presupuesto SG-SST</x:v>
      </x:c>
      <x:c r="P158" s="63" t="str">
        <x:v>Acta, convocatoria, seguimiento compromisos</x:v>
      </x:c>
      <x:c r="Q158" s="79" t="n">
        <x:v>169603</x:v>
      </x:c>
      <x:c r="R158" s="79" t="n">
        <x:v>167888</x:v>
      </x:c>
      <x:c r="S158" s="79" t="n">
        <x:v>-1715</x:v>
      </x:c>
      <x:c r="T158" s="75" t="n">
        <x:v>0.9898881505633744</x:v>
      </x:c>
      <x:c r="U158" s="63" t="str">
        <x:v>Ejecutado</x:v>
      </x:c>
      <x:c r="V158" s="63" t="str">
        <x:v>Actividad ejecutada dentro del rango esperado.</x:v>
      </x:c>
      <x:c r="W158" s="47" t="str">
        <x:v>Corte anual cerrado</x:v>
      </x:c>
    </x:row>
    <x:row r="159" ht="18" customHeight="1">
      <x:c r="A159" s="46" t="n">
        <x:v>2024</x:v>
      </x:c>
      <x:c r="B159" s="63" t="n">
        <x:v>6</x:v>
      </x:c>
      <x:c r="C159" s="63" t="str">
        <x:v>Junio</x:v>
      </x:c>
      <x:c r="D159" s="63" t="str">
        <x:v>T2</x:v>
      </x:c>
      <x:c r="E159" s="71" t="n">
        <x:v>45473</x:v>
      </x:c>
      <x:c r="F159" s="63" t="str">
        <x:v>Higiene y seguridad industrial</x:v>
      </x:c>
      <x:c r="G159" s="63" t="str">
        <x:v>Inspecciones y control</x:v>
      </x:c>
      <x:c r="H159" s="63" t="str">
        <x:v>Inspecciones planeadas de seguridad</x:v>
      </x:c>
      <x:c r="I159" s="63" t="str">
        <x:v>Operativo</x:v>
      </x:c>
      <x:c r="J159" s="63" t="str">
        <x:v>Media</x:v>
      </x:c>
      <x:c r="K159" s="63" t="str">
        <x:v>Mensual</x:v>
      </x:c>
      <x:c r="L159" s="63" t="str">
        <x:v>Inspección</x:v>
      </x:c>
      <x:c r="M159" s="63" t="n">
        <x:v>12</x:v>
      </x:c>
      <x:c r="N159" s="63" t="str">
        <x:v>Inspector SST</x:v>
      </x:c>
      <x:c r="O159" s="63" t="str">
        <x:v>Presupuesto SG-SST</x:v>
      </x:c>
      <x:c r="P159" s="63" t="str">
        <x:v>Lista de chequeo, informe, evidencia fotográfica</x:v>
      </x:c>
      <x:c r="Q159" s="79" t="n">
        <x:v>254404</x:v>
      </x:c>
      <x:c r="R159" s="79" t="n">
        <x:v>229510</x:v>
      </x:c>
      <x:c r="S159" s="79" t="n">
        <x:v>-24894</x:v>
      </x:c>
      <x:c r="T159" s="75" t="n">
        <x:v>0.9021477649722489</x:v>
      </x:c>
      <x:c r="U159" s="63" t="str">
        <x:v>Parcial</x:v>
      </x:c>
      <x:c r="V159" s="63" t="str">
        <x:v>Actividad con ejecución parcial o cierre financiero pendiente.</x:v>
      </x:c>
      <x:c r="W159" s="47" t="str">
        <x:v>Corte anual cerrado</x:v>
      </x:c>
    </x:row>
    <x:row r="160" ht="18" customHeight="1">
      <x:c r="A160" s="46" t="n">
        <x:v>2024</x:v>
      </x:c>
      <x:c r="B160" s="63" t="n">
        <x:v>6</x:v>
      </x:c>
      <x:c r="C160" s="63" t="str">
        <x:v>Junio</x:v>
      </x:c>
      <x:c r="D160" s="63" t="str">
        <x:v>T2</x:v>
      </x:c>
      <x:c r="E160" s="71" t="n">
        <x:v>45473</x:v>
      </x:c>
      <x:c r="F160" s="63" t="str">
        <x:v>Mejora continua y cumplimiento</x:v>
      </x:c>
      <x:c r="G160" s="63" t="str">
        <x:v>Gestión de incidentes y mejora</x:v>
      </x:c>
      <x:c r="H160" s="63" t="str">
        <x:v>Investigación de AT/EL y acciones correctivas</x:v>
      </x:c>
      <x:c r="I160" s="63" t="str">
        <x:v>Operativo</x:v>
      </x:c>
      <x:c r="J160" s="63" t="str">
        <x:v>Media</x:v>
      </x:c>
      <x:c r="K160" s="63" t="str">
        <x:v>Mensual</x:v>
      </x:c>
      <x:c r="L160" s="63" t="str">
        <x:v>Seguimiento</x:v>
      </x:c>
      <x:c r="M160" s="63" t="n">
        <x:v>12</x:v>
      </x:c>
      <x:c r="N160" s="63" t="str">
        <x:v>SST / Jefes de área</x:v>
      </x:c>
      <x:c r="O160" s="63" t="str">
        <x:v>Presupuesto SG-SST</x:v>
      </x:c>
      <x:c r="P160" s="63" t="str">
        <x:v>Investigación, plan de acción, evidencia de cierre</x:v>
      </x:c>
      <x:c r="Q160" s="79" t="n">
        <x:v>212003</x:v>
      </x:c>
      <x:c r="R160" s="79" t="n">
        <x:v>192825</x:v>
      </x:c>
      <x:c r="S160" s="79" t="n">
        <x:v>-19178</x:v>
      </x:c>
      <x:c r="T160" s="75" t="n">
        <x:v>0.9095390159573213</x:v>
      </x:c>
      <x:c r="U160" s="63" t="str">
        <x:v>Parcial</x:v>
      </x:c>
      <x:c r="V160" s="63" t="str">
        <x:v>Actividad con ejecución parcial o cierre financiero pendiente.</x:v>
      </x:c>
      <x:c r="W160" s="47" t="str">
        <x:v>Corte anual cerrado</x:v>
      </x:c>
    </x:row>
    <x:row r="161" ht="18" customHeight="1">
      <x:c r="A161" s="46" t="n">
        <x:v>2024</x:v>
      </x:c>
      <x:c r="B161" s="63" t="n">
        <x:v>6</x:v>
      </x:c>
      <x:c r="C161" s="63" t="str">
        <x:v>Junio</x:v>
      </x:c>
      <x:c r="D161" s="63" t="str">
        <x:v>T2</x:v>
      </x:c>
      <x:c r="E161" s="71" t="n">
        <x:v>45473</x:v>
      </x:c>
      <x:c r="F161" s="63" t="str">
        <x:v>Emergencias e infraestructura</x:v>
      </x:c>
      <x:c r="G161" s="63" t="str">
        <x:v>Preparación y respuesta ante emergencias</x:v>
      </x:c>
      <x:c r="H161" s="63" t="str">
        <x:v>Mantenimiento de extintores, botiquines y equipos de emergencia</x:v>
      </x:c>
      <x:c r="I161" s="63" t="str">
        <x:v>Servicio</x:v>
      </x:c>
      <x:c r="J161" s="63" t="str">
        <x:v>Alta</x:v>
      </x:c>
      <x:c r="K161" s="63" t="str">
        <x:v>Bimestral / semestral</x:v>
      </x:c>
      <x:c r="L161" s="63" t="str">
        <x:v>Mantenimiento</x:v>
      </x:c>
      <x:c r="M161" s="63" t="n">
        <x:v>6</x:v>
      </x:c>
      <x:c r="N161" s="63" t="str">
        <x:v>Brigada / SST</x:v>
      </x:c>
      <x:c r="O161" s="63" t="str">
        <x:v>Presupuesto SG-SST</x:v>
      </x:c>
      <x:c r="P161" s="63" t="str">
        <x:v>Certificado, factura, hoja de vida del equipo</x:v>
      </x:c>
      <x:c r="Q161" s="79" t="n">
        <x:v>932814</x:v>
      </x:c>
      <x:c r="R161" s="79" t="n">
        <x:v>850443</x:v>
      </x:c>
      <x:c r="S161" s="79" t="n">
        <x:v>-82371</x:v>
      </x:c>
      <x:c r="T161" s="75" t="n">
        <x:v>0.9116962223980344</x:v>
      </x:c>
      <x:c r="U161" s="63" t="str">
        <x:v>Parcial</x:v>
      </x:c>
      <x:c r="V161" s="63" t="str">
        <x:v>Actividad con ejecución parcial o cierre financiero pendiente.</x:v>
      </x:c>
      <x:c r="W161" s="47" t="str">
        <x:v>Corte anual cerrado</x:v>
      </x:c>
    </x:row>
    <x:row r="162" ht="18" customHeight="1">
      <x:c r="A162" s="46" t="n">
        <x:v>2024</x:v>
      </x:c>
      <x:c r="B162" s="63" t="n">
        <x:v>6</x:v>
      </x:c>
      <x:c r="C162" s="63" t="str">
        <x:v>Junio</x:v>
      </x:c>
      <x:c r="D162" s="63" t="str">
        <x:v>T2</x:v>
      </x:c>
      <x:c r="E162" s="71" t="n">
        <x:v>45473</x:v>
      </x:c>
      <x:c r="F162" s="63" t="str">
        <x:v>Medicina preventiva y del trabajo</x:v>
      </x:c>
      <x:c r="G162" s="63" t="str">
        <x:v>Programas de vigilancia epidemiológica</x:v>
      </x:c>
      <x:c r="H162" s="63" t="str">
        <x:v>Programas de vigilancia epidemiológica y seguimiento médico</x:v>
      </x:c>
      <x:c r="I162" s="63" t="str">
        <x:v>Servicio</x:v>
      </x:c>
      <x:c r="J162" s="63" t="str">
        <x:v>Alta</x:v>
      </x:c>
      <x:c r="K162" s="63" t="str">
        <x:v>Mensual</x:v>
      </x:c>
      <x:c r="L162" s="63" t="str">
        <x:v>Seguimiento</x:v>
      </x:c>
      <x:c r="M162" s="63" t="n">
        <x:v>12</x:v>
      </x:c>
      <x:c r="N162" s="63" t="str">
        <x:v>Médico laboral / SST</x:v>
      </x:c>
      <x:c r="O162" s="63" t="str">
        <x:v>Presupuesto SG-SST</x:v>
      </x:c>
      <x:c r="P162" s="63" t="str">
        <x:v>Base de seguimiento, informe, remisiones</x:v>
      </x:c>
      <x:c r="Q162" s="79" t="n">
        <x:v>593609</x:v>
      </x:c>
      <x:c r="R162" s="79" t="n">
        <x:v>560414</x:v>
      </x:c>
      <x:c r="S162" s="79" t="n">
        <x:v>-33195</x:v>
      </x:c>
      <x:c r="T162" s="75" t="n">
        <x:v>0.9440793518966188</x:v>
      </x:c>
      <x:c r="U162" s="63" t="str">
        <x:v>Parcial</x:v>
      </x:c>
      <x:c r="V162" s="63" t="str">
        <x:v>Actividad con ejecución parcial o cierre financiero pendiente.</x:v>
      </x:c>
      <x:c r="W162" s="47" t="str">
        <x:v>Corte anual cerrado</x:v>
      </x:c>
    </x:row>
    <x:row r="163" ht="18" customHeight="1">
      <x:c r="A163" s="46" t="n">
        <x:v>2024</x:v>
      </x:c>
      <x:c r="B163" s="63" t="n">
        <x:v>7</x:v>
      </x:c>
      <x:c r="C163" s="63" t="str">
        <x:v>Julio</x:v>
      </x:c>
      <x:c r="D163" s="63" t="str">
        <x:v>T3</x:v>
      </x:c>
      <x:c r="E163" s="71" t="n">
        <x:v>45504</x:v>
      </x:c>
      <x:c r="F163" s="63" t="str">
        <x:v>Capacitación y entrenamiento</x:v>
      </x:c>
      <x:c r="G163" s="63" t="str">
        <x:v>Plan anual de formación</x:v>
      </x:c>
      <x:c r="H163" s="63" t="str">
        <x:v>Capacitación y entrenamiento en SG-SST</x:v>
      </x:c>
      <x:c r="I163" s="63" t="str">
        <x:v>Operativo</x:v>
      </x:c>
      <x:c r="J163" s="63" t="str">
        <x:v>Alta</x:v>
      </x:c>
      <x:c r="K163" s="63" t="str">
        <x:v>Mensual</x:v>
      </x:c>
      <x:c r="L163" s="63" t="str">
        <x:v>Jornada</x:v>
      </x:c>
      <x:c r="M163" s="63" t="n">
        <x:v>12</x:v>
      </x:c>
      <x:c r="N163" s="63" t="str">
        <x:v>Coordinación SST</x:v>
      </x:c>
      <x:c r="O163" s="63" t="str">
        <x:v>Presupuesto SG-SST</x:v>
      </x:c>
      <x:c r="P163" s="63" t="str">
        <x:v>Lista de asistencia, evaluación, acta</x:v>
      </x:c>
      <x:c r="Q163" s="79" t="n">
        <x:v>424006</x:v>
      </x:c>
      <x:c r="R163" s="79" t="n">
        <x:v>395999</x:v>
      </x:c>
      <x:c r="S163" s="79" t="n">
        <x:v>-28007</x:v>
      </x:c>
      <x:c r="T163" s="75" t="n">
        <x:v>0.9339466894336401</x:v>
      </x:c>
      <x:c r="U163" s="63" t="str">
        <x:v>Parcial</x:v>
      </x:c>
      <x:c r="V163" s="63" t="str">
        <x:v>Actividad con ejecución parcial o cierre financiero pendiente.</x:v>
      </x:c>
      <x:c r="W163" s="47" t="str">
        <x:v>Corte anual cerrado</x:v>
      </x:c>
    </x:row>
    <x:row r="164" ht="18" customHeight="1">
      <x:c r="A164" s="46" t="n">
        <x:v>2024</x:v>
      </x:c>
      <x:c r="B164" s="63" t="n">
        <x:v>7</x:v>
      </x:c>
      <x:c r="C164" s="63" t="str">
        <x:v>Julio</x:v>
      </x:c>
      <x:c r="D164" s="63" t="str">
        <x:v>T3</x:v>
      </x:c>
      <x:c r="E164" s="71" t="n">
        <x:v>45504</x:v>
      </x:c>
      <x:c r="F164" s="63" t="str">
        <x:v>Higiene y seguridad industrial</x:v>
      </x:c>
      <x:c r="G164" s="63" t="str">
        <x:v>Dotación y control operacional</x:v>
      </x:c>
      <x:c r="H164" s="63" t="str">
        <x:v>Dotación y reposición de EPP</x:v>
      </x:c>
      <x:c r="I164" s="63" t="str">
        <x:v>Operativo</x:v>
      </x:c>
      <x:c r="J164" s="63" t="str">
        <x:v>Alta</x:v>
      </x:c>
      <x:c r="K164" s="63" t="str">
        <x:v>Bimestral / trimestral</x:v>
      </x:c>
      <x:c r="L164" s="63" t="str">
        <x:v>Entrega</x:v>
      </x:c>
      <x:c r="M164" s="63" t="n">
        <x:v>6</x:v>
      </x:c>
      <x:c r="N164" s="63" t="str">
        <x:v>Coordinación SST / Compras</x:v>
      </x:c>
      <x:c r="O164" s="63" t="str">
        <x:v>Presupuesto SG-SST</x:v>
      </x:c>
      <x:c r="P164" s="63" t="str">
        <x:v>Formato de entrega, factura, remisión</x:v>
      </x:c>
      <x:c r="Q164" s="79" t="n">
        <x:v>1431022</x:v>
      </x:c>
      <x:c r="R164" s="79" t="n">
        <x:v>1386725</x:v>
      </x:c>
      <x:c r="S164" s="79" t="n">
        <x:v>-44297</x:v>
      </x:c>
      <x:c r="T164" s="75" t="n">
        <x:v>0.969045199864153</x:v>
      </x:c>
      <x:c r="U164" s="63" t="str">
        <x:v>Parcial</x:v>
      </x:c>
      <x:c r="V164" s="63" t="str">
        <x:v>Actividad con ejecución parcial o cierre financiero pendiente.</x:v>
      </x:c>
      <x:c r="W164" s="47" t="str">
        <x:v>Corte anual cerrado</x:v>
      </x:c>
    </x:row>
    <x:row r="165" ht="18" customHeight="1">
      <x:c r="A165" s="46" t="n">
        <x:v>2024</x:v>
      </x:c>
      <x:c r="B165" s="63" t="n">
        <x:v>7</x:v>
      </x:c>
      <x:c r="C165" s="63" t="str">
        <x:v>Julio</x:v>
      </x:c>
      <x:c r="D165" s="63" t="str">
        <x:v>T3</x:v>
      </x:c>
      <x:c r="E165" s="71" t="n">
        <x:v>45504</x:v>
      </x:c>
      <x:c r="F165" s="63" t="str">
        <x:v>Recursos y gestión financiera</x:v>
      </x:c>
      <x:c r="G165" s="63" t="str">
        <x:v>Planeación y recursos</x:v>
      </x:c>
      <x:c r="H165" s="63" t="str">
        <x:v>Exámenes médicos ocupacionales</x:v>
      </x:c>
      <x:c r="I165" s="63" t="str">
        <x:v>Servicio</x:v>
      </x:c>
      <x:c r="J165" s="63" t="str">
        <x:v>Alta</x:v>
      </x:c>
      <x:c r="K165" s="63" t="str">
        <x:v>Semestral</x:v>
      </x:c>
      <x:c r="L165" s="63" t="str">
        <x:v>Jornada</x:v>
      </x:c>
      <x:c r="M165" s="63" t="n">
        <x:v>2</x:v>
      </x:c>
      <x:c r="N165" s="63" t="str">
        <x:v>Coordinación SST</x:v>
      </x:c>
      <x:c r="O165" s="63" t="str">
        <x:v>Presupuesto SG-SST</x:v>
      </x:c>
      <x:c r="P165" s="63" t="str">
        <x:v>Orden de servicio, factura, concepto médico</x:v>
      </x:c>
      <x:c r="Q165" s="79" t="n">
        <x:v>1081216</x:v>
      </x:c>
      <x:c r="R165" s="79" t="n">
        <x:v>1086020</x:v>
      </x:c>
      <x:c r="S165" s="79" t="n">
        <x:v>4804</x:v>
      </x:c>
      <x:c r="T165" s="75" t="n">
        <x:v>1.0044431454954421</x:v>
      </x:c>
      <x:c r="U165" s="63" t="str">
        <x:v>Ejecutado</x:v>
      </x:c>
      <x:c r="V165" s="63" t="str">
        <x:v>Actividad ejecutada dentro del rango esperado.</x:v>
      </x:c>
      <x:c r="W165" s="47" t="str">
        <x:v>Corte anual cerrado</x:v>
      </x:c>
    </x:row>
    <x:row r="166" ht="18" customHeight="1">
      <x:c r="A166" s="46" t="n">
        <x:v>2024</x:v>
      </x:c>
      <x:c r="B166" s="63" t="n">
        <x:v>7</x:v>
      </x:c>
      <x:c r="C166" s="63" t="str">
        <x:v>Julio</x:v>
      </x:c>
      <x:c r="D166" s="63" t="str">
        <x:v>T3</x:v>
      </x:c>
      <x:c r="E166" s="71" t="n">
        <x:v>45504</x:v>
      </x:c>
      <x:c r="F166" s="63" t="str">
        <x:v>Gestión de contratistas</x:v>
      </x:c>
      <x:c r="G166" s="63" t="str">
        <x:v>Control de terceros</x:v>
      </x:c>
      <x:c r="H166" s="63" t="str">
        <x:v>Gestión SST de proveedores y contratistas</x:v>
      </x:c>
      <x:c r="I166" s="63" t="str">
        <x:v>Operativo</x:v>
      </x:c>
      <x:c r="J166" s="63" t="str">
        <x:v>Media</x:v>
      </x:c>
      <x:c r="K166" s="63" t="str">
        <x:v>Trimestral</x:v>
      </x:c>
      <x:c r="L166" s="63" t="str">
        <x:v>Ciclo</x:v>
      </x:c>
      <x:c r="M166" s="63" t="n">
        <x:v>4</x:v>
      </x:c>
      <x:c r="N166" s="63" t="str">
        <x:v>Compras / SST</x:v>
      </x:c>
      <x:c r="O166" s="63" t="str">
        <x:v>Presupuesto SG-SST</x:v>
      </x:c>
      <x:c r="P166" s="63" t="str">
        <x:v>Matriz de evaluación, soportes de contratistas</x:v>
      </x:c>
      <x:c r="Q166" s="79" t="n">
        <x:v>795012</x:v>
      </x:c>
      <x:c r="R166" s="79" t="n">
        <x:v>801220</x:v>
      </x:c>
      <x:c r="S166" s="79" t="n">
        <x:v>6208</x:v>
      </x:c>
      <x:c r="T166" s="75" t="n">
        <x:v>1.0078086871644705</x:v>
      </x:c>
      <x:c r="U166" s="63" t="str">
        <x:v>Ejecutado</x:v>
      </x:c>
      <x:c r="V166" s="63" t="str">
        <x:v>Actividad ejecutada dentro del rango esperado.</x:v>
      </x:c>
      <x:c r="W166" s="47" t="str">
        <x:v>Corte anual cerrado</x:v>
      </x:c>
    </x:row>
    <x:row r="167" ht="18" customHeight="1">
      <x:c r="A167" s="46" t="n">
        <x:v>2024</x:v>
      </x:c>
      <x:c r="B167" s="63" t="n">
        <x:v>7</x:v>
      </x:c>
      <x:c r="C167" s="63" t="str">
        <x:v>Julio</x:v>
      </x:c>
      <x:c r="D167" s="63" t="str">
        <x:v>T3</x:v>
      </x:c>
      <x:c r="E167" s="71" t="n">
        <x:v>45504</x:v>
      </x:c>
      <x:c r="F167" s="63" t="str">
        <x:v>Participación y consulta</x:v>
      </x:c>
      <x:c r="G167" s="63" t="str">
        <x:v>Comités de SST</x:v>
      </x:c>
      <x:c r="H167" s="63" t="str">
        <x:v>Gestión de COPASST y Comité de Convivencia</x:v>
      </x:c>
      <x:c r="I167" s="63" t="str">
        <x:v>Operativo</x:v>
      </x:c>
      <x:c r="J167" s="63" t="str">
        <x:v>Media</x:v>
      </x:c>
      <x:c r="K167" s="63" t="str">
        <x:v>Mensual</x:v>
      </x:c>
      <x:c r="L167" s="63" t="str">
        <x:v>Reunión</x:v>
      </x:c>
      <x:c r="M167" s="63" t="n">
        <x:v>12</x:v>
      </x:c>
      <x:c r="N167" s="63" t="str">
        <x:v>Talento Humano / SST</x:v>
      </x:c>
      <x:c r="O167" s="63" t="str">
        <x:v>Presupuesto SG-SST</x:v>
      </x:c>
      <x:c r="P167" s="63" t="str">
        <x:v>Acta, convocatoria, seguimiento compromisos</x:v>
      </x:c>
      <x:c r="Q167" s="79" t="n">
        <x:v>169603</x:v>
      </x:c>
      <x:c r="R167" s="79" t="n">
        <x:v>162735</x:v>
      </x:c>
      <x:c r="S167" s="79" t="n">
        <x:v>-6868</x:v>
      </x:c>
      <x:c r="T167" s="75" t="n">
        <x:v>0.959505433276534</x:v>
      </x:c>
      <x:c r="U167" s="63" t="str">
        <x:v>Parcial</x:v>
      </x:c>
      <x:c r="V167" s="63" t="str">
        <x:v>Actividad con ejecución parcial o cierre financiero pendiente.</x:v>
      </x:c>
      <x:c r="W167" s="47" t="str">
        <x:v>Corte anual cerrado</x:v>
      </x:c>
    </x:row>
    <x:row r="168" ht="18" customHeight="1">
      <x:c r="A168" s="46" t="n">
        <x:v>2024</x:v>
      </x:c>
      <x:c r="B168" s="63" t="n">
        <x:v>7</x:v>
      </x:c>
      <x:c r="C168" s="63" t="str">
        <x:v>Julio</x:v>
      </x:c>
      <x:c r="D168" s="63" t="str">
        <x:v>T3</x:v>
      </x:c>
      <x:c r="E168" s="71" t="n">
        <x:v>45504</x:v>
      </x:c>
      <x:c r="F168" s="63" t="str">
        <x:v>Higiene y seguridad industrial</x:v>
      </x:c>
      <x:c r="G168" s="63" t="str">
        <x:v>Inspecciones y control</x:v>
      </x:c>
      <x:c r="H168" s="63" t="str">
        <x:v>Inspecciones planeadas de seguridad</x:v>
      </x:c>
      <x:c r="I168" s="63" t="str">
        <x:v>Operativo</x:v>
      </x:c>
      <x:c r="J168" s="63" t="str">
        <x:v>Media</x:v>
      </x:c>
      <x:c r="K168" s="63" t="str">
        <x:v>Mensual</x:v>
      </x:c>
      <x:c r="L168" s="63" t="str">
        <x:v>Inspección</x:v>
      </x:c>
      <x:c r="M168" s="63" t="n">
        <x:v>12</x:v>
      </x:c>
      <x:c r="N168" s="63" t="str">
        <x:v>Inspector SST</x:v>
      </x:c>
      <x:c r="O168" s="63" t="str">
        <x:v>Presupuesto SG-SST</x:v>
      </x:c>
      <x:c r="P168" s="63" t="str">
        <x:v>Lista de chequeo, informe, evidencia fotográfica</x:v>
      </x:c>
      <x:c r="Q168" s="79" t="n">
        <x:v>254404</x:v>
      </x:c>
      <x:c r="R168" s="79" t="n">
        <x:v>250121</x:v>
      </x:c>
      <x:c r="S168" s="79" t="n">
        <x:v>-4283</x:v>
      </x:c>
      <x:c r="T168" s="75" t="n">
        <x:v>0.9831645728840741</x:v>
      </x:c>
      <x:c r="U168" s="63" t="str">
        <x:v>Ejecutado</x:v>
      </x:c>
      <x:c r="V168" s="63" t="str">
        <x:v>Actividad ejecutada dentro del rango esperado.</x:v>
      </x:c>
      <x:c r="W168" s="47" t="str">
        <x:v>Corte anual cerrado</x:v>
      </x:c>
    </x:row>
    <x:row r="169" ht="18" customHeight="1">
      <x:c r="A169" s="46" t="n">
        <x:v>2024</x:v>
      </x:c>
      <x:c r="B169" s="63" t="n">
        <x:v>7</x:v>
      </x:c>
      <x:c r="C169" s="63" t="str">
        <x:v>Julio</x:v>
      </x:c>
      <x:c r="D169" s="63" t="str">
        <x:v>T3</x:v>
      </x:c>
      <x:c r="E169" s="71" t="n">
        <x:v>45504</x:v>
      </x:c>
      <x:c r="F169" s="63" t="str">
        <x:v>Mejora continua y cumplimiento</x:v>
      </x:c>
      <x:c r="G169" s="63" t="str">
        <x:v>Gestión de incidentes y mejora</x:v>
      </x:c>
      <x:c r="H169" s="63" t="str">
        <x:v>Investigación de AT/EL y acciones correctivas</x:v>
      </x:c>
      <x:c r="I169" s="63" t="str">
        <x:v>Operativo</x:v>
      </x:c>
      <x:c r="J169" s="63" t="str">
        <x:v>Media</x:v>
      </x:c>
      <x:c r="K169" s="63" t="str">
        <x:v>Mensual</x:v>
      </x:c>
      <x:c r="L169" s="63" t="str">
        <x:v>Seguimiento</x:v>
      </x:c>
      <x:c r="M169" s="63" t="n">
        <x:v>12</x:v>
      </x:c>
      <x:c r="N169" s="63" t="str">
        <x:v>SST / Jefes de área</x:v>
      </x:c>
      <x:c r="O169" s="63" t="str">
        <x:v>Presupuesto SG-SST</x:v>
      </x:c>
      <x:c r="P169" s="63" t="str">
        <x:v>Investigación, plan de acción, evidencia de cierre</x:v>
      </x:c>
      <x:c r="Q169" s="79" t="n">
        <x:v>212003</x:v>
      </x:c>
      <x:c r="R169" s="79" t="n">
        <x:v>218795</x:v>
      </x:c>
      <x:c r="S169" s="79" t="n">
        <x:v>6792</x:v>
      </x:c>
      <x:c r="T169" s="75" t="n">
        <x:v>1.0320372824912856</x:v>
      </x:c>
      <x:c r="U169" s="63" t="str">
        <x:v>Ejecutado</x:v>
      </x:c>
      <x:c r="V169" s="63" t="str">
        <x:v>Actividad ejecutada dentro del rango esperado.</x:v>
      </x:c>
      <x:c r="W169" s="47" t="str">
        <x:v>Corte anual cerrado</x:v>
      </x:c>
    </x:row>
    <x:row r="170" ht="18" customHeight="1">
      <x:c r="A170" s="46" t="n">
        <x:v>2024</x:v>
      </x:c>
      <x:c r="B170" s="63" t="n">
        <x:v>7</x:v>
      </x:c>
      <x:c r="C170" s="63" t="str">
        <x:v>Julio</x:v>
      </x:c>
      <x:c r="D170" s="63" t="str">
        <x:v>T3</x:v>
      </x:c>
      <x:c r="E170" s="71" t="n">
        <x:v>45504</x:v>
      </x:c>
      <x:c r="F170" s="63" t="str">
        <x:v>Medicina preventiva y del trabajo</x:v>
      </x:c>
      <x:c r="G170" s="63" t="str">
        <x:v>Programas de vigilancia epidemiológica</x:v>
      </x:c>
      <x:c r="H170" s="63" t="str">
        <x:v>Programas de vigilancia epidemiológica y seguimiento médico</x:v>
      </x:c>
      <x:c r="I170" s="63" t="str">
        <x:v>Servicio</x:v>
      </x:c>
      <x:c r="J170" s="63" t="str">
        <x:v>Alta</x:v>
      </x:c>
      <x:c r="K170" s="63" t="str">
        <x:v>Mensual</x:v>
      </x:c>
      <x:c r="L170" s="63" t="str">
        <x:v>Seguimiento</x:v>
      </x:c>
      <x:c r="M170" s="63" t="n">
        <x:v>12</x:v>
      </x:c>
      <x:c r="N170" s="63" t="str">
        <x:v>Médico laboral / SST</x:v>
      </x:c>
      <x:c r="O170" s="63" t="str">
        <x:v>Presupuesto SG-SST</x:v>
      </x:c>
      <x:c r="P170" s="63" t="str">
        <x:v>Base de seguimiento, informe, remisiones</x:v>
      </x:c>
      <x:c r="Q170" s="79" t="n">
        <x:v>593609</x:v>
      </x:c>
      <x:c r="R170" s="79" t="n">
        <x:v>556506</x:v>
      </x:c>
      <x:c r="S170" s="79" t="n">
        <x:v>-37103</x:v>
      </x:c>
      <x:c r="T170" s="75" t="n">
        <x:v>0.9374958937617186</x:v>
      </x:c>
      <x:c r="U170" s="63" t="str">
        <x:v>Parcial</x:v>
      </x:c>
      <x:c r="V170" s="63" t="str">
        <x:v>Actividad con ejecución parcial o cierre financiero pendiente.</x:v>
      </x:c>
      <x:c r="W170" s="47" t="str">
        <x:v>Corte anual cerrado</x:v>
      </x:c>
    </x:row>
    <x:row r="171" ht="18" customHeight="1">
      <x:c r="A171" s="46" t="n">
        <x:v>2024</x:v>
      </x:c>
      <x:c r="B171" s="63" t="n">
        <x:v>7</x:v>
      </x:c>
      <x:c r="C171" s="63" t="str">
        <x:v>Julio</x:v>
      </x:c>
      <x:c r="D171" s="63" t="str">
        <x:v>T3</x:v>
      </x:c>
      <x:c r="E171" s="71" t="n">
        <x:v>45504</x:v>
      </x:c>
      <x:c r="F171" s="63" t="str">
        <x:v>Higiene y seguridad industrial</x:v>
      </x:c>
      <x:c r="G171" s="63" t="str">
        <x:v>Señalización y control visual</x:v>
      </x:c>
      <x:c r="H171" s="63" t="str">
        <x:v>Señalización, demarcación y avisos de seguridad</x:v>
      </x:c>
      <x:c r="I171" s="63" t="str">
        <x:v>Operativo</x:v>
      </x:c>
      <x:c r="J171" s="63" t="str">
        <x:v>Media</x:v>
      </x:c>
      <x:c r="K171" s="63" t="str">
        <x:v>Periódica</x:v>
      </x:c>
      <x:c r="L171" s="63" t="str">
        <x:v>Intervención</x:v>
      </x:c>
      <x:c r="M171" s="63" t="n">
        <x:v>5</x:v>
      </x:c>
      <x:c r="N171" s="63" t="str">
        <x:v>SST / Mantenimiento</x:v>
      </x:c>
      <x:c r="O171" s="63" t="str">
        <x:v>Presupuesto SG-SST</x:v>
      </x:c>
      <x:c r="P171" s="63" t="str">
        <x:v>Acta de instalación, factura, inventario</x:v>
      </x:c>
      <x:c r="Q171" s="79" t="n">
        <x:v>397506</x:v>
      </x:c>
      <x:c r="R171" s="79" t="n">
        <x:v>373312</x:v>
      </x:c>
      <x:c r="S171" s="79" t="n">
        <x:v>-24194</x:v>
      </x:c>
      <x:c r="T171" s="75" t="n">
        <x:v>0.939135509904253</x:v>
      </x:c>
      <x:c r="U171" s="63" t="str">
        <x:v>Parcial</x:v>
      </x:c>
      <x:c r="V171" s="63" t="str">
        <x:v>Actividad con ejecución parcial o cierre financiero pendiente.</x:v>
      </x:c>
      <x:c r="W171" s="47" t="str">
        <x:v>Corte anual cerrado</x:v>
      </x:c>
    </x:row>
    <x:row r="172" ht="18" customHeight="1">
      <x:c r="A172" s="46" t="n">
        <x:v>2024</x:v>
      </x:c>
      <x:c r="B172" s="63" t="n">
        <x:v>8</x:v>
      </x:c>
      <x:c r="C172" s="63" t="str">
        <x:v>Agosto</x:v>
      </x:c>
      <x:c r="D172" s="63" t="str">
        <x:v>T3</x:v>
      </x:c>
      <x:c r="E172" s="71" t="n">
        <x:v>45535</x:v>
      </x:c>
      <x:c r="F172" s="63" t="str">
        <x:v>Mejora continua y cumplimiento</x:v>
      </x:c>
      <x:c r="G172" s="63" t="str">
        <x:v>Auditoría y revisión por la dirección</x:v>
      </x:c>
      <x:c r="H172" s="63" t="str">
        <x:v>Auditoría interna, autoevaluación y revisión gerencial</x:v>
      </x:c>
      <x:c r="I172" s="63" t="str">
        <x:v>Servicio</x:v>
      </x:c>
      <x:c r="J172" s="63" t="str">
        <x:v>Alta</x:v>
      </x:c>
      <x:c r="K172" s="63" t="str">
        <x:v>Trimestral</x:v>
      </x:c>
      <x:c r="L172" s="63" t="str">
        <x:v>Hito</x:v>
      </x:c>
      <x:c r="M172" s="63" t="n">
        <x:v>4</x:v>
      </x:c>
      <x:c r="N172" s="63" t="str">
        <x:v>Líder HSEQ / Gerencia</x:v>
      </x:c>
      <x:c r="O172" s="63" t="str">
        <x:v>Presupuesto SG-SST</x:v>
      </x:c>
      <x:c r="P172" s="63" t="str">
        <x:v>Informe de auditoría, acta, plan de mejora</x:v>
      </x:c>
      <x:c r="Q172" s="79" t="n">
        <x:v>424006</x:v>
      </x:c>
      <x:c r="R172" s="79" t="n">
        <x:v>388971</x:v>
      </x:c>
      <x:c r="S172" s="79" t="n">
        <x:v>-35035</x:v>
      </x:c>
      <x:c r="T172" s="75" t="n">
        <x:v>0.9173714522907694</x:v>
      </x:c>
      <x:c r="U172" s="63" t="str">
        <x:v>Parcial</x:v>
      </x:c>
      <x:c r="V172" s="63" t="str">
        <x:v>Actividad con ejecución parcial o cierre financiero pendiente.</x:v>
      </x:c>
      <x:c r="W172" s="47" t="str">
        <x:v>Corte anual cerrado</x:v>
      </x:c>
    </x:row>
    <x:row r="173" ht="18" customHeight="1">
      <x:c r="A173" s="46" t="n">
        <x:v>2024</x:v>
      </x:c>
      <x:c r="B173" s="63" t="n">
        <x:v>8</x:v>
      </x:c>
      <x:c r="C173" s="63" t="str">
        <x:v>Agosto</x:v>
      </x:c>
      <x:c r="D173" s="63" t="str">
        <x:v>T3</x:v>
      </x:c>
      <x:c r="E173" s="71" t="n">
        <x:v>45535</x:v>
      </x:c>
      <x:c r="F173" s="63" t="str">
        <x:v>Capacitación y entrenamiento</x:v>
      </x:c>
      <x:c r="G173" s="63" t="str">
        <x:v>Plan anual de formación</x:v>
      </x:c>
      <x:c r="H173" s="63" t="str">
        <x:v>Capacitación y entrenamiento en SG-SST</x:v>
      </x:c>
      <x:c r="I173" s="63" t="str">
        <x:v>Operativo</x:v>
      </x:c>
      <x:c r="J173" s="63" t="str">
        <x:v>Alta</x:v>
      </x:c>
      <x:c r="K173" s="63" t="str">
        <x:v>Mensual</x:v>
      </x:c>
      <x:c r="L173" s="63" t="str">
        <x:v>Jornada</x:v>
      </x:c>
      <x:c r="M173" s="63" t="n">
        <x:v>12</x:v>
      </x:c>
      <x:c r="N173" s="63" t="str">
        <x:v>Coordinación SST</x:v>
      </x:c>
      <x:c r="O173" s="63" t="str">
        <x:v>Presupuesto SG-SST</x:v>
      </x:c>
      <x:c r="P173" s="63" t="str">
        <x:v>Lista de asistencia, evaluación, acta</x:v>
      </x:c>
      <x:c r="Q173" s="79" t="n">
        <x:v>477007</x:v>
      </x:c>
      <x:c r="R173" s="79" t="n">
        <x:v>456383</x:v>
      </x:c>
      <x:c r="S173" s="79" t="n">
        <x:v>-20624</x:v>
      </x:c>
      <x:c r="T173" s="75" t="n">
        <x:v>0.9567637372197892</x:v>
      </x:c>
      <x:c r="U173" s="63" t="str">
        <x:v>Parcial</x:v>
      </x:c>
      <x:c r="V173" s="63" t="str">
        <x:v>Actividad con ejecución parcial o cierre financiero pendiente.</x:v>
      </x:c>
      <x:c r="W173" s="47" t="str">
        <x:v>Corte anual cerrado</x:v>
      </x:c>
    </x:row>
    <x:row r="174" ht="18" customHeight="1">
      <x:c r="A174" s="46" t="n">
        <x:v>2024</x:v>
      </x:c>
      <x:c r="B174" s="63" t="n">
        <x:v>8</x:v>
      </x:c>
      <x:c r="C174" s="63" t="str">
        <x:v>Agosto</x:v>
      </x:c>
      <x:c r="D174" s="63" t="str">
        <x:v>T3</x:v>
      </x:c>
      <x:c r="E174" s="71" t="n">
        <x:v>45535</x:v>
      </x:c>
      <x:c r="F174" s="63" t="str">
        <x:v>Medicina preventiva y del trabajo</x:v>
      </x:c>
      <x:c r="G174" s="63" t="str">
        <x:v>Vigilancia epidemiológica</x:v>
      </x:c>
      <x:c r="H174" s="63" t="str">
        <x:v>Evaluación de riesgo psicosocial y actividades de intervención</x:v>
      </x:c>
      <x:c r="I174" s="63" t="str">
        <x:v>Servicio</x:v>
      </x:c>
      <x:c r="J174" s="63" t="str">
        <x:v>Alta</x:v>
      </x:c>
      <x:c r="K174" s="63" t="str">
        <x:v>Periódica</x:v>
      </x:c>
      <x:c r="L174" s="63" t="str">
        <x:v>Actividad</x:v>
      </x:c>
      <x:c r="M174" s="63" t="n">
        <x:v>6</x:v>
      </x:c>
      <x:c r="N174" s="63" t="str">
        <x:v>Psicología / SST</x:v>
      </x:c>
      <x:c r="O174" s="63" t="str">
        <x:v>Presupuesto SG-SST</x:v>
      </x:c>
      <x:c r="P174" s="63" t="str">
        <x:v>Informe técnico, evidencia, plan de intervención</x:v>
      </x:c>
      <x:c r="Q174" s="79" t="n">
        <x:v>556508</x:v>
      </x:c>
      <x:c r="R174" s="79" t="n">
        <x:v>557446</x:v>
      </x:c>
      <x:c r="S174" s="79" t="n">
        <x:v>938</x:v>
      </x:c>
      <x:c r="T174" s="75" t="n">
        <x:v>1.0016855103610371</x:v>
      </x:c>
      <x:c r="U174" s="63" t="str">
        <x:v>Ejecutado</x:v>
      </x:c>
      <x:c r="V174" s="63" t="str">
        <x:v>Actividad ejecutada dentro del rango esperado.</x:v>
      </x:c>
      <x:c r="W174" s="47" t="str">
        <x:v>Corte anual cerrado</x:v>
      </x:c>
    </x:row>
    <x:row r="175" ht="18" customHeight="1">
      <x:c r="A175" s="46" t="n">
        <x:v>2024</x:v>
      </x:c>
      <x:c r="B175" s="63" t="n">
        <x:v>8</x:v>
      </x:c>
      <x:c r="C175" s="63" t="str">
        <x:v>Agosto</x:v>
      </x:c>
      <x:c r="D175" s="63" t="str">
        <x:v>T3</x:v>
      </x:c>
      <x:c r="E175" s="71" t="n">
        <x:v>45535</x:v>
      </x:c>
      <x:c r="F175" s="63" t="str">
        <x:v>Recursos y gestión financiera</x:v>
      </x:c>
      <x:c r="G175" s="63" t="str">
        <x:v>Planeación y recursos</x:v>
      </x:c>
      <x:c r="H175" s="63" t="str">
        <x:v>Exámenes médicos ocupacionales</x:v>
      </x:c>
      <x:c r="I175" s="63" t="str">
        <x:v>Servicio</x:v>
      </x:c>
      <x:c r="J175" s="63" t="str">
        <x:v>Alta</x:v>
      </x:c>
      <x:c r="K175" s="63" t="str">
        <x:v>Semestral</x:v>
      </x:c>
      <x:c r="L175" s="63" t="str">
        <x:v>Jornada</x:v>
      </x:c>
      <x:c r="M175" s="63" t="n">
        <x:v>2</x:v>
      </x:c>
      <x:c r="N175" s="63" t="str">
        <x:v>Coordinación SST</x:v>
      </x:c>
      <x:c r="O175" s="63" t="str">
        <x:v>Presupuesto SG-SST</x:v>
      </x:c>
      <x:c r="P175" s="63" t="str">
        <x:v>Orden de servicio, factura, concepto médico</x:v>
      </x:c>
      <x:c r="Q175" s="79" t="n">
        <x:v>1144817</x:v>
      </x:c>
      <x:c r="R175" s="79" t="n">
        <x:v>1104273</x:v>
      </x:c>
      <x:c r="S175" s="79" t="n">
        <x:v>-40544</x:v>
      </x:c>
      <x:c r="T175" s="75" t="n">
        <x:v>0.9645847327564143</x:v>
      </x:c>
      <x:c r="U175" s="63" t="str">
        <x:v>Parcial</x:v>
      </x:c>
      <x:c r="V175" s="63" t="str">
        <x:v>Actividad con ejecución parcial o cierre financiero pendiente.</x:v>
      </x:c>
      <x:c r="W175" s="47" t="str">
        <x:v>Corte anual cerrado</x:v>
      </x:c>
    </x:row>
    <x:row r="176" ht="18" customHeight="1">
      <x:c r="A176" s="46" t="n">
        <x:v>2024</x:v>
      </x:c>
      <x:c r="B176" s="63" t="n">
        <x:v>8</x:v>
      </x:c>
      <x:c r="C176" s="63" t="str">
        <x:v>Agosto</x:v>
      </x:c>
      <x:c r="D176" s="63" t="str">
        <x:v>T3</x:v>
      </x:c>
      <x:c r="E176" s="71" t="n">
        <x:v>45535</x:v>
      </x:c>
      <x:c r="F176" s="63" t="str">
        <x:v>Participación y consulta</x:v>
      </x:c>
      <x:c r="G176" s="63" t="str">
        <x:v>Comités de SST</x:v>
      </x:c>
      <x:c r="H176" s="63" t="str">
        <x:v>Gestión de COPASST y Comité de Convivencia</x:v>
      </x:c>
      <x:c r="I176" s="63" t="str">
        <x:v>Operativo</x:v>
      </x:c>
      <x:c r="J176" s="63" t="str">
        <x:v>Media</x:v>
      </x:c>
      <x:c r="K176" s="63" t="str">
        <x:v>Mensual</x:v>
      </x:c>
      <x:c r="L176" s="63" t="str">
        <x:v>Reunión</x:v>
      </x:c>
      <x:c r="M176" s="63" t="n">
        <x:v>12</x:v>
      </x:c>
      <x:c r="N176" s="63" t="str">
        <x:v>Talento Humano / SST</x:v>
      </x:c>
      <x:c r="O176" s="63" t="str">
        <x:v>Presupuesto SG-SST</x:v>
      </x:c>
      <x:c r="P176" s="63" t="str">
        <x:v>Acta, convocatoria, seguimiento compromisos</x:v>
      </x:c>
      <x:c r="Q176" s="79" t="n">
        <x:v>190803</x:v>
      </x:c>
      <x:c r="R176" s="79" t="n">
        <x:v>183920</x:v>
      </x:c>
      <x:c r="S176" s="79" t="n">
        <x:v>-6883</x:v>
      </x:c>
      <x:c r="T176" s="75" t="n">
        <x:v>0.9639261437189143</x:v>
      </x:c>
      <x:c r="U176" s="63" t="str">
        <x:v>Parcial</x:v>
      </x:c>
      <x:c r="V176" s="63" t="str">
        <x:v>Actividad con ejecución parcial o cierre financiero pendiente.</x:v>
      </x:c>
      <x:c r="W176" s="47" t="str">
        <x:v>Corte anual cerrado</x:v>
      </x:c>
    </x:row>
    <x:row r="177" ht="18" customHeight="1">
      <x:c r="A177" s="46" t="n">
        <x:v>2024</x:v>
      </x:c>
      <x:c r="B177" s="63" t="n">
        <x:v>8</x:v>
      </x:c>
      <x:c r="C177" s="63" t="str">
        <x:v>Agosto</x:v>
      </x:c>
      <x:c r="D177" s="63" t="str">
        <x:v>T3</x:v>
      </x:c>
      <x:c r="E177" s="71" t="n">
        <x:v>45535</x:v>
      </x:c>
      <x:c r="F177" s="63" t="str">
        <x:v>Higiene y seguridad industrial</x:v>
      </x:c>
      <x:c r="G177" s="63" t="str">
        <x:v>Inspecciones y control</x:v>
      </x:c>
      <x:c r="H177" s="63" t="str">
        <x:v>Inspecciones planeadas de seguridad</x:v>
      </x:c>
      <x:c r="I177" s="63" t="str">
        <x:v>Operativo</x:v>
      </x:c>
      <x:c r="J177" s="63" t="str">
        <x:v>Media</x:v>
      </x:c>
      <x:c r="K177" s="63" t="str">
        <x:v>Mensual</x:v>
      </x:c>
      <x:c r="L177" s="63" t="str">
        <x:v>Inspección</x:v>
      </x:c>
      <x:c r="M177" s="63" t="n">
        <x:v>12</x:v>
      </x:c>
      <x:c r="N177" s="63" t="str">
        <x:v>Inspector SST</x:v>
      </x:c>
      <x:c r="O177" s="63" t="str">
        <x:v>Presupuesto SG-SST</x:v>
      </x:c>
      <x:c r="P177" s="63" t="str">
        <x:v>Lista de chequeo, informe, evidencia fotográfica</x:v>
      </x:c>
      <x:c r="Q177" s="79" t="n">
        <x:v>254404</x:v>
      </x:c>
      <x:c r="R177" s="79" t="n">
        <x:v>243045</x:v>
      </x:c>
      <x:c r="S177" s="79" t="n">
        <x:v>-11359</x:v>
      </x:c>
      <x:c r="T177" s="75" t="n">
        <x:v>0.9553505448027547</x:v>
      </x:c>
      <x:c r="U177" s="63" t="str">
        <x:v>Parcial</x:v>
      </x:c>
      <x:c r="V177" s="63" t="str">
        <x:v>Actividad con ejecución parcial o cierre financiero pendiente.</x:v>
      </x:c>
      <x:c r="W177" s="47" t="str">
        <x:v>Corte anual cerrado</x:v>
      </x:c>
    </x:row>
    <x:row r="178" ht="18" customHeight="1">
      <x:c r="A178" s="46" t="n">
        <x:v>2024</x:v>
      </x:c>
      <x:c r="B178" s="63" t="n">
        <x:v>8</x:v>
      </x:c>
      <x:c r="C178" s="63" t="str">
        <x:v>Agosto</x:v>
      </x:c>
      <x:c r="D178" s="63" t="str">
        <x:v>T3</x:v>
      </x:c>
      <x:c r="E178" s="71" t="n">
        <x:v>45535</x:v>
      </x:c>
      <x:c r="F178" s="63" t="str">
        <x:v>Mejora continua y cumplimiento</x:v>
      </x:c>
      <x:c r="G178" s="63" t="str">
        <x:v>Gestión de incidentes y mejora</x:v>
      </x:c>
      <x:c r="H178" s="63" t="str">
        <x:v>Investigación de AT/EL y acciones correctivas</x:v>
      </x:c>
      <x:c r="I178" s="63" t="str">
        <x:v>Operativo</x:v>
      </x:c>
      <x:c r="J178" s="63" t="str">
        <x:v>Media</x:v>
      </x:c>
      <x:c r="K178" s="63" t="str">
        <x:v>Mensual</x:v>
      </x:c>
      <x:c r="L178" s="63" t="str">
        <x:v>Seguimiento</x:v>
      </x:c>
      <x:c r="M178" s="63" t="n">
        <x:v>12</x:v>
      </x:c>
      <x:c r="N178" s="63" t="str">
        <x:v>SST / Jefes de área</x:v>
      </x:c>
      <x:c r="O178" s="63" t="str">
        <x:v>Presupuesto SG-SST</x:v>
      </x:c>
      <x:c r="P178" s="63" t="str">
        <x:v>Investigación, plan de acción, evidencia de cierre</x:v>
      </x:c>
      <x:c r="Q178" s="79" t="n">
        <x:v>212003</x:v>
      </x:c>
      <x:c r="R178" s="79" t="n">
        <x:v>218207</x:v>
      </x:c>
      <x:c r="S178" s="79" t="n">
        <x:v>6204</x:v>
      </x:c>
      <x:c r="T178" s="75" t="n">
        <x:v>1.0292637368339128</x:v>
      </x:c>
      <x:c r="U178" s="63" t="str">
        <x:v>Ejecutado</x:v>
      </x:c>
      <x:c r="V178" s="63" t="str">
        <x:v>Actividad ejecutada dentro del rango esperado.</x:v>
      </x:c>
      <x:c r="W178" s="47" t="str">
        <x:v>Corte anual cerrado</x:v>
      </x:c>
    </x:row>
    <x:row r="179" ht="18" customHeight="1">
      <x:c r="A179" s="46" t="n">
        <x:v>2024</x:v>
      </x:c>
      <x:c r="B179" s="63" t="n">
        <x:v>8</x:v>
      </x:c>
      <x:c r="C179" s="63" t="str">
        <x:v>Agosto</x:v>
      </x:c>
      <x:c r="D179" s="63" t="str">
        <x:v>T3</x:v>
      </x:c>
      <x:c r="E179" s="71" t="n">
        <x:v>45535</x:v>
      </x:c>
      <x:c r="F179" s="63" t="str">
        <x:v>Emergencias e infraestructura</x:v>
      </x:c>
      <x:c r="G179" s="63" t="str">
        <x:v>Preparación y respuesta ante emergencias</x:v>
      </x:c>
      <x:c r="H179" s="63" t="str">
        <x:v>Mantenimiento de extintores, botiquines y equipos de emergencia</x:v>
      </x:c>
      <x:c r="I179" s="63" t="str">
        <x:v>Servicio</x:v>
      </x:c>
      <x:c r="J179" s="63" t="str">
        <x:v>Alta</x:v>
      </x:c>
      <x:c r="K179" s="63" t="str">
        <x:v>Bimestral / semestral</x:v>
      </x:c>
      <x:c r="L179" s="63" t="str">
        <x:v>Mantenimiento</x:v>
      </x:c>
      <x:c r="M179" s="63" t="n">
        <x:v>6</x:v>
      </x:c>
      <x:c r="N179" s="63" t="str">
        <x:v>Brigada / SST</x:v>
      </x:c>
      <x:c r="O179" s="63" t="str">
        <x:v>Presupuesto SG-SST</x:v>
      </x:c>
      <x:c r="P179" s="63" t="str">
        <x:v>Certificado, factura, hoja de vida del equipo</x:v>
      </x:c>
      <x:c r="Q179" s="79" t="n">
        <x:v>424006</x:v>
      </x:c>
      <x:c r="R179" s="79" t="n">
        <x:v>430136</x:v>
      </x:c>
      <x:c r="S179" s="79" t="n">
        <x:v>6130</x:v>
      </x:c>
      <x:c r="T179" s="75" t="n">
        <x:v>1.0144573425847747</x:v>
      </x:c>
      <x:c r="U179" s="63" t="str">
        <x:v>Ejecutado</x:v>
      </x:c>
      <x:c r="V179" s="63" t="str">
        <x:v>Actividad ejecutada dentro del rango esperado.</x:v>
      </x:c>
      <x:c r="W179" s="47" t="str">
        <x:v>Corte anual cerrado</x:v>
      </x:c>
    </x:row>
    <x:row r="180" ht="18" customHeight="1">
      <x:c r="A180" s="46" t="n">
        <x:v>2024</x:v>
      </x:c>
      <x:c r="B180" s="63" t="n">
        <x:v>8</x:v>
      </x:c>
      <x:c r="C180" s="63" t="str">
        <x:v>Agosto</x:v>
      </x:c>
      <x:c r="D180" s="63" t="str">
        <x:v>T3</x:v>
      </x:c>
      <x:c r="E180" s="71" t="n">
        <x:v>45535</x:v>
      </x:c>
      <x:c r="F180" s="63" t="str">
        <x:v>Medicina preventiva y del trabajo</x:v>
      </x:c>
      <x:c r="G180" s="63" t="str">
        <x:v>Programas de vigilancia epidemiológica</x:v>
      </x:c>
      <x:c r="H180" s="63" t="str">
        <x:v>Programas de vigilancia epidemiológica y seguimiento médico</x:v>
      </x:c>
      <x:c r="I180" s="63" t="str">
        <x:v>Servicio</x:v>
      </x:c>
      <x:c r="J180" s="63" t="str">
        <x:v>Alta</x:v>
      </x:c>
      <x:c r="K180" s="63" t="str">
        <x:v>Mensual</x:v>
      </x:c>
      <x:c r="L180" s="63" t="str">
        <x:v>Seguimiento</x:v>
      </x:c>
      <x:c r="M180" s="63" t="n">
        <x:v>12</x:v>
      </x:c>
      <x:c r="N180" s="63" t="str">
        <x:v>Médico laboral / SST</x:v>
      </x:c>
      <x:c r="O180" s="63" t="str">
        <x:v>Presupuesto SG-SST</x:v>
      </x:c>
      <x:c r="P180" s="63" t="str">
        <x:v>Base de seguimiento, informe, remisiones</x:v>
      </x:c>
      <x:c r="Q180" s="79" t="n">
        <x:v>593609</x:v>
      </x:c>
      <x:c r="R180" s="79" t="n">
        <x:v>591488</x:v>
      </x:c>
      <x:c r="S180" s="79" t="n">
        <x:v>-2121</x:v>
      </x:c>
      <x:c r="T180" s="75" t="n">
        <x:v>0.9964269409661916</x:v>
      </x:c>
      <x:c r="U180" s="63" t="str">
        <x:v>Ejecutado</x:v>
      </x:c>
      <x:c r="V180" s="63" t="str">
        <x:v>Actividad ejecutada dentro del rango esperado.</x:v>
      </x:c>
      <x:c r="W180" s="47" t="str">
        <x:v>Corte anual cerrado</x:v>
      </x:c>
    </x:row>
    <x:row r="181" ht="18" customHeight="1">
      <x:c r="A181" s="46" t="n">
        <x:v>2024</x:v>
      </x:c>
      <x:c r="B181" s="63" t="n">
        <x:v>9</x:v>
      </x:c>
      <x:c r="C181" s="63" t="str">
        <x:v>Septiembre</x:v>
      </x:c>
      <x:c r="D181" s="63" t="str">
        <x:v>T3</x:v>
      </x:c>
      <x:c r="E181" s="71" t="n">
        <x:v>45565</x:v>
      </x:c>
      <x:c r="F181" s="63" t="str">
        <x:v>Capacitación y entrenamiento</x:v>
      </x:c>
      <x:c r="G181" s="63" t="str">
        <x:v>Plan anual de formación</x:v>
      </x:c>
      <x:c r="H181" s="63" t="str">
        <x:v>Capacitación y entrenamiento en SG-SST</x:v>
      </x:c>
      <x:c r="I181" s="63" t="str">
        <x:v>Operativo</x:v>
      </x:c>
      <x:c r="J181" s="63" t="str">
        <x:v>Alta</x:v>
      </x:c>
      <x:c r="K181" s="63" t="str">
        <x:v>Mensual</x:v>
      </x:c>
      <x:c r="L181" s="63" t="str">
        <x:v>Jornada</x:v>
      </x:c>
      <x:c r="M181" s="63" t="n">
        <x:v>12</x:v>
      </x:c>
      <x:c r="N181" s="63" t="str">
        <x:v>Coordinación SST</x:v>
      </x:c>
      <x:c r="O181" s="63" t="str">
        <x:v>Presupuesto SG-SST</x:v>
      </x:c>
      <x:c r="P181" s="63" t="str">
        <x:v>Lista de asistencia, evaluación, acta</x:v>
      </x:c>
      <x:c r="Q181" s="79" t="n">
        <x:v>424006</x:v>
      </x:c>
      <x:c r="R181" s="79" t="n">
        <x:v>421079</x:v>
      </x:c>
      <x:c r="S181" s="79" t="n">
        <x:v>-2927</x:v>
      </x:c>
      <x:c r="T181" s="75" t="n">
        <x:v>0.9930967958000594</x:v>
      </x:c>
      <x:c r="U181" s="63" t="str">
        <x:v>Ejecutado</x:v>
      </x:c>
      <x:c r="V181" s="63" t="str">
        <x:v>Actividad ejecutada dentro del rango esperado.</x:v>
      </x:c>
      <x:c r="W181" s="47" t="str">
        <x:v>Corte anual cerrado</x:v>
      </x:c>
    </x:row>
    <x:row r="182" ht="18" customHeight="1">
      <x:c r="A182" s="46" t="n">
        <x:v>2024</x:v>
      </x:c>
      <x:c r="B182" s="63" t="n">
        <x:v>9</x:v>
      </x:c>
      <x:c r="C182" s="63" t="str">
        <x:v>Septiembre</x:v>
      </x:c>
      <x:c r="D182" s="63" t="str">
        <x:v>T3</x:v>
      </x:c>
      <x:c r="E182" s="71" t="n">
        <x:v>45565</x:v>
      </x:c>
      <x:c r="F182" s="63" t="str">
        <x:v>Higiene y seguridad industrial</x:v>
      </x:c>
      <x:c r="G182" s="63" t="str">
        <x:v>Dotación y control operacional</x:v>
      </x:c>
      <x:c r="H182" s="63" t="str">
        <x:v>Dotación y reposición de EPP</x:v>
      </x:c>
      <x:c r="I182" s="63" t="str">
        <x:v>Operativo</x:v>
      </x:c>
      <x:c r="J182" s="63" t="str">
        <x:v>Alta</x:v>
      </x:c>
      <x:c r="K182" s="63" t="str">
        <x:v>Bimestral / trimestral</x:v>
      </x:c>
      <x:c r="L182" s="63" t="str">
        <x:v>Entrega</x:v>
      </x:c>
      <x:c r="M182" s="63" t="n">
        <x:v>6</x:v>
      </x:c>
      <x:c r="N182" s="63" t="str">
        <x:v>Coordinación SST / Compras</x:v>
      </x:c>
      <x:c r="O182" s="63" t="str">
        <x:v>Presupuesto SG-SST</x:v>
      </x:c>
      <x:c r="P182" s="63" t="str">
        <x:v>Formato de entrega, factura, remisión</x:v>
      </x:c>
      <x:c r="Q182" s="79" t="n">
        <x:v>795012</x:v>
      </x:c>
      <x:c r="R182" s="79" t="n">
        <x:v>774783</x:v>
      </x:c>
      <x:c r="S182" s="79" t="n">
        <x:v>-20229</x:v>
      </x:c>
      <x:c r="T182" s="75" t="n">
        <x:v>0.9745551010550784</x:v>
      </x:c>
      <x:c r="U182" s="63" t="str">
        <x:v>Parcial</x:v>
      </x:c>
      <x:c r="V182" s="63" t="str">
        <x:v>Actividad con ejecución parcial o cierre financiero pendiente.</x:v>
      </x:c>
      <x:c r="W182" s="47" t="str">
        <x:v>Corte anual cerrado</x:v>
      </x:c>
    </x:row>
    <x:row r="183" ht="18" customHeight="1">
      <x:c r="A183" s="46" t="n">
        <x:v>2024</x:v>
      </x:c>
      <x:c r="B183" s="63" t="n">
        <x:v>9</x:v>
      </x:c>
      <x:c r="C183" s="63" t="str">
        <x:v>Septiembre</x:v>
      </x:c>
      <x:c r="D183" s="63" t="str">
        <x:v>T3</x:v>
      </x:c>
      <x:c r="E183" s="71" t="n">
        <x:v>45565</x:v>
      </x:c>
      <x:c r="F183" s="63" t="str">
        <x:v>Medicina preventiva y del trabajo</x:v>
      </x:c>
      <x:c r="G183" s="63" t="str">
        <x:v>Vigilancia epidemiológica</x:v>
      </x:c>
      <x:c r="H183" s="63" t="str">
        <x:v>Evaluación de riesgo psicosocial y actividades de intervención</x:v>
      </x:c>
      <x:c r="I183" s="63" t="str">
        <x:v>Servicio</x:v>
      </x:c>
      <x:c r="J183" s="63" t="str">
        <x:v>Alta</x:v>
      </x:c>
      <x:c r="K183" s="63" t="str">
        <x:v>Periódica</x:v>
      </x:c>
      <x:c r="L183" s="63" t="str">
        <x:v>Actividad</x:v>
      </x:c>
      <x:c r="M183" s="63" t="n">
        <x:v>6</x:v>
      </x:c>
      <x:c r="N183" s="63" t="str">
        <x:v>Psicología / SST</x:v>
      </x:c>
      <x:c r="O183" s="63" t="str">
        <x:v>Presupuesto SG-SST</x:v>
      </x:c>
      <x:c r="P183" s="63" t="str">
        <x:v>Informe técnico, evidencia, plan de intervención</x:v>
      </x:c>
      <x:c r="Q183" s="79" t="n">
        <x:v>556508</x:v>
      </x:c>
      <x:c r="R183" s="79" t="n">
        <x:v>545929</x:v>
      </x:c>
      <x:c r="S183" s="79" t="n">
        <x:v>-10579</x:v>
      </x:c>
      <x:c r="T183" s="75" t="n">
        <x:v>0.980990390075255</x:v>
      </x:c>
      <x:c r="U183" s="63" t="str">
        <x:v>Ejecutado</x:v>
      </x:c>
      <x:c r="V183" s="63" t="str">
        <x:v>Actividad ejecutada dentro del rango esperado.</x:v>
      </x:c>
      <x:c r="W183" s="47" t="str">
        <x:v>Corte anual cerrado</x:v>
      </x:c>
    </x:row>
    <x:row r="184" ht="18" customHeight="1">
      <x:c r="A184" s="46" t="n">
        <x:v>2024</x:v>
      </x:c>
      <x:c r="B184" s="63" t="n">
        <x:v>9</x:v>
      </x:c>
      <x:c r="C184" s="63" t="str">
        <x:v>Septiembre</x:v>
      </x:c>
      <x:c r="D184" s="63" t="str">
        <x:v>T3</x:v>
      </x:c>
      <x:c r="E184" s="71" t="n">
        <x:v>45565</x:v>
      </x:c>
      <x:c r="F184" s="63" t="str">
        <x:v>Recursos y gestión financiera</x:v>
      </x:c>
      <x:c r="G184" s="63" t="str">
        <x:v>Planeación y recursos</x:v>
      </x:c>
      <x:c r="H184" s="63" t="str">
        <x:v>Exámenes médicos ocupacionales</x:v>
      </x:c>
      <x:c r="I184" s="63" t="str">
        <x:v>Servicio</x:v>
      </x:c>
      <x:c r="J184" s="63" t="str">
        <x:v>Alta</x:v>
      </x:c>
      <x:c r="K184" s="63" t="str">
        <x:v>Semestral</x:v>
      </x:c>
      <x:c r="L184" s="63" t="str">
        <x:v>Jornada</x:v>
      </x:c>
      <x:c r="M184" s="63" t="n">
        <x:v>2</x:v>
      </x:c>
      <x:c r="N184" s="63" t="str">
        <x:v>Coordinación SST</x:v>
      </x:c>
      <x:c r="O184" s="63" t="str">
        <x:v>Presupuesto SG-SST</x:v>
      </x:c>
      <x:c r="P184" s="63" t="str">
        <x:v>Orden de servicio, factura, concepto médico</x:v>
      </x:c>
      <x:c r="Q184" s="79" t="n">
        <x:v>190803</x:v>
      </x:c>
      <x:c r="R184" s="79" t="n">
        <x:v>189025</x:v>
      </x:c>
      <x:c r="S184" s="79" t="n">
        <x:v>-1778</x:v>
      </x:c>
      <x:c r="T184" s="75" t="n">
        <x:v>0.9906814882365581</x:v>
      </x:c>
      <x:c r="U184" s="63" t="str">
        <x:v>Ejecutado</x:v>
      </x:c>
      <x:c r="V184" s="63" t="str">
        <x:v>Actividad ejecutada dentro del rango esperado.</x:v>
      </x:c>
      <x:c r="W184" s="47" t="str">
        <x:v>Corte anual cerrado</x:v>
      </x:c>
    </x:row>
    <x:row r="185" ht="18" customHeight="1">
      <x:c r="A185" s="46" t="n">
        <x:v>2024</x:v>
      </x:c>
      <x:c r="B185" s="63" t="n">
        <x:v>9</x:v>
      </x:c>
      <x:c r="C185" s="63" t="str">
        <x:v>Septiembre</x:v>
      </x:c>
      <x:c r="D185" s="63" t="str">
        <x:v>T3</x:v>
      </x:c>
      <x:c r="E185" s="71" t="n">
        <x:v>45565</x:v>
      </x:c>
      <x:c r="F185" s="63" t="str">
        <x:v>Participación y consulta</x:v>
      </x:c>
      <x:c r="G185" s="63" t="str">
        <x:v>Comités de SST</x:v>
      </x:c>
      <x:c r="H185" s="63" t="str">
        <x:v>Gestión de COPASST y Comité de Convivencia</x:v>
      </x:c>
      <x:c r="I185" s="63" t="str">
        <x:v>Operativo</x:v>
      </x:c>
      <x:c r="J185" s="63" t="str">
        <x:v>Media</x:v>
      </x:c>
      <x:c r="K185" s="63" t="str">
        <x:v>Mensual</x:v>
      </x:c>
      <x:c r="L185" s="63" t="str">
        <x:v>Reunión</x:v>
      </x:c>
      <x:c r="M185" s="63" t="n">
        <x:v>12</x:v>
      </x:c>
      <x:c r="N185" s="63" t="str">
        <x:v>Talento Humano / SST</x:v>
      </x:c>
      <x:c r="O185" s="63" t="str">
        <x:v>Presupuesto SG-SST</x:v>
      </x:c>
      <x:c r="P185" s="63" t="str">
        <x:v>Acta, convocatoria, seguimiento compromisos</x:v>
      </x:c>
      <x:c r="Q185" s="79" t="n">
        <x:v>169603</x:v>
      </x:c>
      <x:c r="R185" s="79" t="n">
        <x:v>167402</x:v>
      </x:c>
      <x:c r="S185" s="79" t="n">
        <x:v>-2201</x:v>
      </x:c>
      <x:c r="T185" s="75" t="n">
        <x:v>0.9870226352128205</x:v>
      </x:c>
      <x:c r="U185" s="63" t="str">
        <x:v>Ejecutado</x:v>
      </x:c>
      <x:c r="V185" s="63" t="str">
        <x:v>Actividad ejecutada dentro del rango esperado.</x:v>
      </x:c>
      <x:c r="W185" s="47" t="str">
        <x:v>Corte anual cerrado</x:v>
      </x:c>
    </x:row>
    <x:row r="186" ht="18" customHeight="1">
      <x:c r="A186" s="46" t="n">
        <x:v>2024</x:v>
      </x:c>
      <x:c r="B186" s="63" t="n">
        <x:v>9</x:v>
      </x:c>
      <x:c r="C186" s="63" t="str">
        <x:v>Septiembre</x:v>
      </x:c>
      <x:c r="D186" s="63" t="str">
        <x:v>T3</x:v>
      </x:c>
      <x:c r="E186" s="71" t="n">
        <x:v>45565</x:v>
      </x:c>
      <x:c r="F186" s="63" t="str">
        <x:v>Higiene y seguridad industrial</x:v>
      </x:c>
      <x:c r="G186" s="63" t="str">
        <x:v>Inspecciones y control</x:v>
      </x:c>
      <x:c r="H186" s="63" t="str">
        <x:v>Inspecciones planeadas de seguridad</x:v>
      </x:c>
      <x:c r="I186" s="63" t="str">
        <x:v>Operativo</x:v>
      </x:c>
      <x:c r="J186" s="63" t="str">
        <x:v>Media</x:v>
      </x:c>
      <x:c r="K186" s="63" t="str">
        <x:v>Mensual</x:v>
      </x:c>
      <x:c r="L186" s="63" t="str">
        <x:v>Inspección</x:v>
      </x:c>
      <x:c r="M186" s="63" t="n">
        <x:v>12</x:v>
      </x:c>
      <x:c r="N186" s="63" t="str">
        <x:v>Inspector SST</x:v>
      </x:c>
      <x:c r="O186" s="63" t="str">
        <x:v>Presupuesto SG-SST</x:v>
      </x:c>
      <x:c r="P186" s="63" t="str">
        <x:v>Lista de chequeo, informe, evidencia fotográfica</x:v>
      </x:c>
      <x:c r="Q186" s="79" t="n">
        <x:v>286204</x:v>
      </x:c>
      <x:c r="R186" s="79" t="n">
        <x:v>295887</x:v>
      </x:c>
      <x:c r="S186" s="79" t="n">
        <x:v>9683</x:v>
      </x:c>
      <x:c r="T186" s="75" t="n">
        <x:v>1.0338325110760158</x:v>
      </x:c>
      <x:c r="U186" s="63" t="str">
        <x:v>Ejecutado</x:v>
      </x:c>
      <x:c r="V186" s="63" t="str">
        <x:v>Actividad ejecutada dentro del rango esperado.</x:v>
      </x:c>
      <x:c r="W186" s="47" t="str">
        <x:v>Corte anual cerrado</x:v>
      </x:c>
    </x:row>
    <x:row r="187" ht="18" customHeight="1">
      <x:c r="A187" s="46" t="n">
        <x:v>2024</x:v>
      </x:c>
      <x:c r="B187" s="63" t="n">
        <x:v>9</x:v>
      </x:c>
      <x:c r="C187" s="63" t="str">
        <x:v>Septiembre</x:v>
      </x:c>
      <x:c r="D187" s="63" t="str">
        <x:v>T3</x:v>
      </x:c>
      <x:c r="E187" s="71" t="n">
        <x:v>45565</x:v>
      </x:c>
      <x:c r="F187" s="63" t="str">
        <x:v>Mejora continua y cumplimiento</x:v>
      </x:c>
      <x:c r="G187" s="63" t="str">
        <x:v>Gestión de incidentes y mejora</x:v>
      </x:c>
      <x:c r="H187" s="63" t="str">
        <x:v>Investigación de AT/EL y acciones correctivas</x:v>
      </x:c>
      <x:c r="I187" s="63" t="str">
        <x:v>Operativo</x:v>
      </x:c>
      <x:c r="J187" s="63" t="str">
        <x:v>Media</x:v>
      </x:c>
      <x:c r="K187" s="63" t="str">
        <x:v>Mensual</x:v>
      </x:c>
      <x:c r="L187" s="63" t="str">
        <x:v>Seguimiento</x:v>
      </x:c>
      <x:c r="M187" s="63" t="n">
        <x:v>12</x:v>
      </x:c>
      <x:c r="N187" s="63" t="str">
        <x:v>SST / Jefes de área</x:v>
      </x:c>
      <x:c r="O187" s="63" t="str">
        <x:v>Presupuesto SG-SST</x:v>
      </x:c>
      <x:c r="P187" s="63" t="str">
        <x:v>Investigación, plan de acción, evidencia de cierre</x:v>
      </x:c>
      <x:c r="Q187" s="79" t="n">
        <x:v>238504</x:v>
      </x:c>
      <x:c r="R187" s="79" t="n">
        <x:v>219340</x:v>
      </x:c>
      <x:c r="S187" s="79" t="n">
        <x:v>-19164</x:v>
      </x:c>
      <x:c r="T187" s="75" t="n">
        <x:v>0.919649146345554</x:v>
      </x:c>
      <x:c r="U187" s="63" t="str">
        <x:v>Parcial</x:v>
      </x:c>
      <x:c r="V187" s="63" t="str">
        <x:v>Actividad con ejecución parcial o cierre financiero pendiente.</x:v>
      </x:c>
      <x:c r="W187" s="47" t="str">
        <x:v>Corte anual cerrado</x:v>
      </x:c>
    </x:row>
    <x:row r="188" ht="18" customHeight="1">
      <x:c r="A188" s="46" t="n">
        <x:v>2024</x:v>
      </x:c>
      <x:c r="B188" s="63" t="n">
        <x:v>9</x:v>
      </x:c>
      <x:c r="C188" s="63" t="str">
        <x:v>Septiembre</x:v>
      </x:c>
      <x:c r="D188" s="63" t="str">
        <x:v>T3</x:v>
      </x:c>
      <x:c r="E188" s="71" t="n">
        <x:v>45565</x:v>
      </x:c>
      <x:c r="F188" s="63" t="str">
        <x:v>Medicina preventiva y del trabajo</x:v>
      </x:c>
      <x:c r="G188" s="63" t="str">
        <x:v>Programas de vigilancia epidemiológica</x:v>
      </x:c>
      <x:c r="H188" s="63" t="str">
        <x:v>Programas de vigilancia epidemiológica y seguimiento médico</x:v>
      </x:c>
      <x:c r="I188" s="63" t="str">
        <x:v>Servicio</x:v>
      </x:c>
      <x:c r="J188" s="63" t="str">
        <x:v>Alta</x:v>
      </x:c>
      <x:c r="K188" s="63" t="str">
        <x:v>Mensual</x:v>
      </x:c>
      <x:c r="L188" s="63" t="str">
        <x:v>Seguimiento</x:v>
      </x:c>
      <x:c r="M188" s="63" t="n">
        <x:v>12</x:v>
      </x:c>
      <x:c r="N188" s="63" t="str">
        <x:v>Médico laboral / SST</x:v>
      </x:c>
      <x:c r="O188" s="63" t="str">
        <x:v>Presupuesto SG-SST</x:v>
      </x:c>
      <x:c r="P188" s="63" t="str">
        <x:v>Base de seguimiento, informe, remisiones</x:v>
      </x:c>
      <x:c r="Q188" s="79" t="n">
        <x:v>593609</x:v>
      </x:c>
      <x:c r="R188" s="79" t="n">
        <x:v>601720</x:v>
      </x:c>
      <x:c r="S188" s="79" t="n">
        <x:v>8111</x:v>
      </x:c>
      <x:c r="T188" s="75" t="n">
        <x:v>1.0136638763900143</x:v>
      </x:c>
      <x:c r="U188" s="63" t="str">
        <x:v>Ejecutado</x:v>
      </x:c>
      <x:c r="V188" s="63" t="str">
        <x:v>Actividad ejecutada dentro del rango esperado.</x:v>
      </x:c>
      <x:c r="W188" s="47" t="str">
        <x:v>Corte anual cerrado</x:v>
      </x:c>
    </x:row>
    <x:row r="189" ht="18" customHeight="1">
      <x:c r="A189" s="46" t="n">
        <x:v>2024</x:v>
      </x:c>
      <x:c r="B189" s="63" t="n">
        <x:v>9</x:v>
      </x:c>
      <x:c r="C189" s="63" t="str">
        <x:v>Septiembre</x:v>
      </x:c>
      <x:c r="D189" s="63" t="str">
        <x:v>T3</x:v>
      </x:c>
      <x:c r="E189" s="71" t="n">
        <x:v>45565</x:v>
      </x:c>
      <x:c r="F189" s="63" t="str">
        <x:v>Higiene y seguridad industrial</x:v>
      </x:c>
      <x:c r="G189" s="63" t="str">
        <x:v>Señalización y control visual</x:v>
      </x:c>
      <x:c r="H189" s="63" t="str">
        <x:v>Señalización, demarcación y avisos de seguridad</x:v>
      </x:c>
      <x:c r="I189" s="63" t="str">
        <x:v>Operativo</x:v>
      </x:c>
      <x:c r="J189" s="63" t="str">
        <x:v>Media</x:v>
      </x:c>
      <x:c r="K189" s="63" t="str">
        <x:v>Periódica</x:v>
      </x:c>
      <x:c r="L189" s="63" t="str">
        <x:v>Intervención</x:v>
      </x:c>
      <x:c r="M189" s="63" t="n">
        <x:v>5</x:v>
      </x:c>
      <x:c r="N189" s="63" t="str">
        <x:v>SST / Mantenimiento</x:v>
      </x:c>
      <x:c r="O189" s="63" t="str">
        <x:v>Presupuesto SG-SST</x:v>
      </x:c>
      <x:c r="P189" s="63" t="str">
        <x:v>Acta de instalación, factura, inventario</x:v>
      </x:c>
      <x:c r="Q189" s="79" t="n">
        <x:v>530008</x:v>
      </x:c>
      <x:c r="R189" s="79" t="n">
        <x:v>517823</x:v>
      </x:c>
      <x:c r="S189" s="79" t="n">
        <x:v>-12185</x:v>
      </x:c>
      <x:c r="T189" s="75" t="n">
        <x:v>0.977009780984438</x:v>
      </x:c>
      <x:c r="U189" s="63" t="str">
        <x:v>Parcial</x:v>
      </x:c>
      <x:c r="V189" s="63" t="str">
        <x:v>Actividad con ejecución parcial o cierre financiero pendiente.</x:v>
      </x:c>
      <x:c r="W189" s="47" t="str">
        <x:v>Corte anual cerrado</x:v>
      </x:c>
    </x:row>
    <x:row r="190" ht="18" customHeight="1">
      <x:c r="A190" s="46" t="n">
        <x:v>2024</x:v>
      </x:c>
      <x:c r="B190" s="63" t="n">
        <x:v>10</x:v>
      </x:c>
      <x:c r="C190" s="63" t="str">
        <x:v>Octubre</x:v>
      </x:c>
      <x:c r="D190" s="63" t="str">
        <x:v>T4</x:v>
      </x:c>
      <x:c r="E190" s="71" t="n">
        <x:v>45596</x:v>
      </x:c>
      <x:c r="F190" s="63" t="str">
        <x:v>Mejora continua y cumplimiento</x:v>
      </x:c>
      <x:c r="G190" s="63" t="str">
        <x:v>Auditoría y revisión por la dirección</x:v>
      </x:c>
      <x:c r="H190" s="63" t="str">
        <x:v>Auditoría interna, autoevaluación y revisión gerencial</x:v>
      </x:c>
      <x:c r="I190" s="63" t="str">
        <x:v>Servicio</x:v>
      </x:c>
      <x:c r="J190" s="63" t="str">
        <x:v>Alta</x:v>
      </x:c>
      <x:c r="K190" s="63" t="str">
        <x:v>Trimestral</x:v>
      </x:c>
      <x:c r="L190" s="63" t="str">
        <x:v>Hito</x:v>
      </x:c>
      <x:c r="M190" s="63" t="n">
        <x:v>4</x:v>
      </x:c>
      <x:c r="N190" s="63" t="str">
        <x:v>Líder HSEQ / Gerencia</x:v>
      </x:c>
      <x:c r="O190" s="63" t="str">
        <x:v>Presupuesto SG-SST</x:v>
      </x:c>
      <x:c r="P190" s="63" t="str">
        <x:v>Informe de auditoría, acta, plan de mejora</x:v>
      </x:c>
      <x:c r="Q190" s="79" t="n">
        <x:v>1060016</x:v>
      </x:c>
      <x:c r="R190" s="79" t="n">
        <x:v>1058148</x:v>
      </x:c>
      <x:c r="S190" s="79" t="n">
        <x:v>-1868</x:v>
      </x:c>
      <x:c r="T190" s="75" t="n">
        <x:v>0.9982377624488687</x:v>
      </x:c>
      <x:c r="U190" s="63" t="str">
        <x:v>Ejecutado</x:v>
      </x:c>
      <x:c r="V190" s="63" t="str">
        <x:v>Actividad ejecutada dentro del rango esperado.</x:v>
      </x:c>
      <x:c r="W190" s="47" t="str">
        <x:v>Corte anual cerrado</x:v>
      </x:c>
    </x:row>
    <x:row r="191" ht="18" customHeight="1">
      <x:c r="A191" s="46" t="n">
        <x:v>2024</x:v>
      </x:c>
      <x:c r="B191" s="63" t="n">
        <x:v>10</x:v>
      </x:c>
      <x:c r="C191" s="63" t="str">
        <x:v>Octubre</x:v>
      </x:c>
      <x:c r="D191" s="63" t="str">
        <x:v>T4</x:v>
      </x:c>
      <x:c r="E191" s="71" t="n">
        <x:v>45596</x:v>
      </x:c>
      <x:c r="F191" s="63" t="str">
        <x:v>Capacitación y entrenamiento</x:v>
      </x:c>
      <x:c r="G191" s="63" t="str">
        <x:v>Plan anual de formación</x:v>
      </x:c>
      <x:c r="H191" s="63" t="str">
        <x:v>Capacitación y entrenamiento en SG-SST</x:v>
      </x:c>
      <x:c r="I191" s="63" t="str">
        <x:v>Operativo</x:v>
      </x:c>
      <x:c r="J191" s="63" t="str">
        <x:v>Alta</x:v>
      </x:c>
      <x:c r="K191" s="63" t="str">
        <x:v>Mensual</x:v>
      </x:c>
      <x:c r="L191" s="63" t="str">
        <x:v>Jornada</x:v>
      </x:c>
      <x:c r="M191" s="63" t="n">
        <x:v>12</x:v>
      </x:c>
      <x:c r="N191" s="63" t="str">
        <x:v>Coordinación SST</x:v>
      </x:c>
      <x:c r="O191" s="63" t="str">
        <x:v>Presupuesto SG-SST</x:v>
      </x:c>
      <x:c r="P191" s="63" t="str">
        <x:v>Lista de asistencia, evaluación, acta</x:v>
      </x:c>
      <x:c r="Q191" s="79" t="n">
        <x:v>424006</x:v>
      </x:c>
      <x:c r="R191" s="79" t="n">
        <x:v>425578</x:v>
      </x:c>
      <x:c r="S191" s="79" t="n">
        <x:v>1572</x:v>
      </x:c>
      <x:c r="T191" s="75" t="n">
        <x:v>1.0037074947052635</x:v>
      </x:c>
      <x:c r="U191" s="63" t="str">
        <x:v>Ejecutado</x:v>
      </x:c>
      <x:c r="V191" s="63" t="str">
        <x:v>Actividad ejecutada dentro del rango esperado.</x:v>
      </x:c>
      <x:c r="W191" s="47" t="str">
        <x:v>Corte anual cerrado</x:v>
      </x:c>
    </x:row>
    <x:row r="192" ht="18" customHeight="1">
      <x:c r="A192" s="46" t="n">
        <x:v>2024</x:v>
      </x:c>
      <x:c r="B192" s="63" t="n">
        <x:v>10</x:v>
      </x:c>
      <x:c r="C192" s="63" t="str">
        <x:v>Octubre</x:v>
      </x:c>
      <x:c r="D192" s="63" t="str">
        <x:v>T4</x:v>
      </x:c>
      <x:c r="E192" s="71" t="n">
        <x:v>45596</x:v>
      </x:c>
      <x:c r="F192" s="63" t="str">
        <x:v>Medicina preventiva y del trabajo</x:v>
      </x:c>
      <x:c r="G192" s="63" t="str">
        <x:v>Vigilancia epidemiológica</x:v>
      </x:c>
      <x:c r="H192" s="63" t="str">
        <x:v>Evaluación de riesgo psicosocial y actividades de intervención</x:v>
      </x:c>
      <x:c r="I192" s="63" t="str">
        <x:v>Servicio</x:v>
      </x:c>
      <x:c r="J192" s="63" t="str">
        <x:v>Alta</x:v>
      </x:c>
      <x:c r="K192" s="63" t="str">
        <x:v>Periódica</x:v>
      </x:c>
      <x:c r="L192" s="63" t="str">
        <x:v>Actividad</x:v>
      </x:c>
      <x:c r="M192" s="63" t="n">
        <x:v>6</x:v>
      </x:c>
      <x:c r="N192" s="63" t="str">
        <x:v>Psicología / SST</x:v>
      </x:c>
      <x:c r="O192" s="63" t="str">
        <x:v>Presupuesto SG-SST</x:v>
      </x:c>
      <x:c r="P192" s="63" t="str">
        <x:v>Informe técnico, evidencia, plan de intervención</x:v>
      </x:c>
      <x:c r="Q192" s="79" t="n">
        <x:v>556508</x:v>
      </x:c>
      <x:c r="R192" s="79" t="n">
        <x:v>532732</x:v>
      </x:c>
      <x:c r="S192" s="79" t="n">
        <x:v>-23776</x:v>
      </x:c>
      <x:c r="T192" s="75" t="n">
        <x:v>0.9572764452622424</x:v>
      </x:c>
      <x:c r="U192" s="63" t="str">
        <x:v>Parcial</x:v>
      </x:c>
      <x:c r="V192" s="63" t="str">
        <x:v>Actividad con ejecución parcial o cierre financiero pendiente.</x:v>
      </x:c>
      <x:c r="W192" s="47" t="str">
        <x:v>Corte anual cerrado</x:v>
      </x:c>
    </x:row>
    <x:row r="193" ht="18" customHeight="1">
      <x:c r="A193" s="46" t="n">
        <x:v>2024</x:v>
      </x:c>
      <x:c r="B193" s="63" t="n">
        <x:v>10</x:v>
      </x:c>
      <x:c r="C193" s="63" t="str">
        <x:v>Octubre</x:v>
      </x:c>
      <x:c r="D193" s="63" t="str">
        <x:v>T4</x:v>
      </x:c>
      <x:c r="E193" s="71" t="n">
        <x:v>45596</x:v>
      </x:c>
      <x:c r="F193" s="63" t="str">
        <x:v>Recursos y gestión financiera</x:v>
      </x:c>
      <x:c r="G193" s="63" t="str">
        <x:v>Planeación y recursos</x:v>
      </x:c>
      <x:c r="H193" s="63" t="str">
        <x:v>Exámenes médicos ocupacionales</x:v>
      </x:c>
      <x:c r="I193" s="63" t="str">
        <x:v>Servicio</x:v>
      </x:c>
      <x:c r="J193" s="63" t="str">
        <x:v>Alta</x:v>
      </x:c>
      <x:c r="K193" s="63" t="str">
        <x:v>Semestral</x:v>
      </x:c>
      <x:c r="L193" s="63" t="str">
        <x:v>Jornada</x:v>
      </x:c>
      <x:c r="M193" s="63" t="n">
        <x:v>2</x:v>
      </x:c>
      <x:c r="N193" s="63" t="str">
        <x:v>Coordinación SST</x:v>
      </x:c>
      <x:c r="O193" s="63" t="str">
        <x:v>Presupuesto SG-SST</x:v>
      </x:c>
      <x:c r="P193" s="63" t="str">
        <x:v>Orden de servicio, factura, concepto médico</x:v>
      </x:c>
      <x:c r="Q193" s="79" t="n">
        <x:v>127202</x:v>
      </x:c>
      <x:c r="R193" s="79" t="n">
        <x:v>120920</x:v>
      </x:c>
      <x:c r="S193" s="79" t="n">
        <x:v>-6282</x:v>
      </x:c>
      <x:c r="T193" s="75" t="n">
        <x:v>0.9506139840568545</x:v>
      </x:c>
      <x:c r="U193" s="63" t="str">
        <x:v>Parcial</x:v>
      </x:c>
      <x:c r="V193" s="63" t="str">
        <x:v>Actividad con ejecución parcial o cierre financiero pendiente.</x:v>
      </x:c>
      <x:c r="W193" s="47" t="str">
        <x:v>Corte anual cerrado</x:v>
      </x:c>
    </x:row>
    <x:row r="194" ht="18" customHeight="1">
      <x:c r="A194" s="46" t="n">
        <x:v>2024</x:v>
      </x:c>
      <x:c r="B194" s="63" t="n">
        <x:v>10</x:v>
      </x:c>
      <x:c r="C194" s="63" t="str">
        <x:v>Octubre</x:v>
      </x:c>
      <x:c r="D194" s="63" t="str">
        <x:v>T4</x:v>
      </x:c>
      <x:c r="E194" s="71" t="n">
        <x:v>45596</x:v>
      </x:c>
      <x:c r="F194" s="63" t="str">
        <x:v>Gestión de contratistas</x:v>
      </x:c>
      <x:c r="G194" s="63" t="str">
        <x:v>Control de terceros</x:v>
      </x:c>
      <x:c r="H194" s="63" t="str">
        <x:v>Gestión SST de proveedores y contratistas</x:v>
      </x:c>
      <x:c r="I194" s="63" t="str">
        <x:v>Operativo</x:v>
      </x:c>
      <x:c r="J194" s="63" t="str">
        <x:v>Media</x:v>
      </x:c>
      <x:c r="K194" s="63" t="str">
        <x:v>Trimestral</x:v>
      </x:c>
      <x:c r="L194" s="63" t="str">
        <x:v>Ciclo</x:v>
      </x:c>
      <x:c r="M194" s="63" t="n">
        <x:v>4</x:v>
      </x:c>
      <x:c r="N194" s="63" t="str">
        <x:v>Compras / SST</x:v>
      </x:c>
      <x:c r="O194" s="63" t="str">
        <x:v>Presupuesto SG-SST</x:v>
      </x:c>
      <x:c r="P194" s="63" t="str">
        <x:v>Matriz de evaluación, soportes de contratistas</x:v>
      </x:c>
      <x:c r="Q194" s="79" t="n">
        <x:v>795012</x:v>
      </x:c>
      <x:c r="R194" s="79" t="n">
        <x:v>799619</x:v>
      </x:c>
      <x:c r="S194" s="79" t="n">
        <x:v>4607</x:v>
      </x:c>
      <x:c r="T194" s="75" t="n">
        <x:v>1.005794881083556</x:v>
      </x:c>
      <x:c r="U194" s="63" t="str">
        <x:v>Ejecutado</x:v>
      </x:c>
      <x:c r="V194" s="63" t="str">
        <x:v>Actividad ejecutada dentro del rango esperado.</x:v>
      </x:c>
      <x:c r="W194" s="47" t="str">
        <x:v>Corte anual cerrado</x:v>
      </x:c>
    </x:row>
    <x:row r="195" ht="18" customHeight="1">
      <x:c r="A195" s="46" t="n">
        <x:v>2024</x:v>
      </x:c>
      <x:c r="B195" s="63" t="n">
        <x:v>10</x:v>
      </x:c>
      <x:c r="C195" s="63" t="str">
        <x:v>Octubre</x:v>
      </x:c>
      <x:c r="D195" s="63" t="str">
        <x:v>T4</x:v>
      </x:c>
      <x:c r="E195" s="71" t="n">
        <x:v>45596</x:v>
      </x:c>
      <x:c r="F195" s="63" t="str">
        <x:v>Participación y consulta</x:v>
      </x:c>
      <x:c r="G195" s="63" t="str">
        <x:v>Comités de SST</x:v>
      </x:c>
      <x:c r="H195" s="63" t="str">
        <x:v>Gestión de COPASST y Comité de Convivencia</x:v>
      </x:c>
      <x:c r="I195" s="63" t="str">
        <x:v>Operativo</x:v>
      </x:c>
      <x:c r="J195" s="63" t="str">
        <x:v>Media</x:v>
      </x:c>
      <x:c r="K195" s="63" t="str">
        <x:v>Mensual</x:v>
      </x:c>
      <x:c r="L195" s="63" t="str">
        <x:v>Reunión</x:v>
      </x:c>
      <x:c r="M195" s="63" t="n">
        <x:v>12</x:v>
      </x:c>
      <x:c r="N195" s="63" t="str">
        <x:v>Talento Humano / SST</x:v>
      </x:c>
      <x:c r="O195" s="63" t="str">
        <x:v>Presupuesto SG-SST</x:v>
      </x:c>
      <x:c r="P195" s="63" t="str">
        <x:v>Acta, convocatoria, seguimiento compromisos</x:v>
      </x:c>
      <x:c r="Q195" s="79" t="n">
        <x:v>190803</x:v>
      </x:c>
      <x:c r="R195" s="79" t="n">
        <x:v>188295</x:v>
      </x:c>
      <x:c r="S195" s="79" t="n">
        <x:v>-2508</x:v>
      </x:c>
      <x:c r="T195" s="75" t="n">
        <x:v>0.9868555525856512</x:v>
      </x:c>
      <x:c r="U195" s="63" t="str">
        <x:v>Ejecutado</x:v>
      </x:c>
      <x:c r="V195" s="63" t="str">
        <x:v>Actividad ejecutada dentro del rango esperado.</x:v>
      </x:c>
      <x:c r="W195" s="47" t="str">
        <x:v>Corte anual cerrado</x:v>
      </x:c>
    </x:row>
    <x:row r="196" ht="18" customHeight="1">
      <x:c r="A196" s="46" t="n">
        <x:v>2024</x:v>
      </x:c>
      <x:c r="B196" s="63" t="n">
        <x:v>10</x:v>
      </x:c>
      <x:c r="C196" s="63" t="str">
        <x:v>Octubre</x:v>
      </x:c>
      <x:c r="D196" s="63" t="str">
        <x:v>T4</x:v>
      </x:c>
      <x:c r="E196" s="71" t="n">
        <x:v>45596</x:v>
      </x:c>
      <x:c r="F196" s="63" t="str">
        <x:v>Higiene y seguridad industrial</x:v>
      </x:c>
      <x:c r="G196" s="63" t="str">
        <x:v>Inspecciones y control</x:v>
      </x:c>
      <x:c r="H196" s="63" t="str">
        <x:v>Inspecciones planeadas de seguridad</x:v>
      </x:c>
      <x:c r="I196" s="63" t="str">
        <x:v>Operativo</x:v>
      </x:c>
      <x:c r="J196" s="63" t="str">
        <x:v>Media</x:v>
      </x:c>
      <x:c r="K196" s="63" t="str">
        <x:v>Mensual</x:v>
      </x:c>
      <x:c r="L196" s="63" t="str">
        <x:v>Inspección</x:v>
      </x:c>
      <x:c r="M196" s="63" t="n">
        <x:v>12</x:v>
      </x:c>
      <x:c r="N196" s="63" t="str">
        <x:v>Inspector SST</x:v>
      </x:c>
      <x:c r="O196" s="63" t="str">
        <x:v>Presupuesto SG-SST</x:v>
      </x:c>
      <x:c r="P196" s="63" t="str">
        <x:v>Lista de chequeo, informe, evidencia fotográfica</x:v>
      </x:c>
      <x:c r="Q196" s="79" t="n">
        <x:v>254404</x:v>
      </x:c>
      <x:c r="R196" s="79" t="n">
        <x:v>243048</x:v>
      </x:c>
      <x:c r="S196" s="79" t="n">
        <x:v>-11356</x:v>
      </x:c>
      <x:c r="T196" s="75" t="n">
        <x:v>0.9553623370701718</x:v>
      </x:c>
      <x:c r="U196" s="63" t="str">
        <x:v>Parcial</x:v>
      </x:c>
      <x:c r="V196" s="63" t="str">
        <x:v>Actividad con ejecución parcial o cierre financiero pendiente.</x:v>
      </x:c>
      <x:c r="W196" s="47" t="str">
        <x:v>Corte anual cerrado</x:v>
      </x:c>
    </x:row>
    <x:row r="197" ht="18" customHeight="1">
      <x:c r="A197" s="46" t="n">
        <x:v>2024</x:v>
      </x:c>
      <x:c r="B197" s="63" t="n">
        <x:v>10</x:v>
      </x:c>
      <x:c r="C197" s="63" t="str">
        <x:v>Octubre</x:v>
      </x:c>
      <x:c r="D197" s="63" t="str">
        <x:v>T4</x:v>
      </x:c>
      <x:c r="E197" s="71" t="n">
        <x:v>45596</x:v>
      </x:c>
      <x:c r="F197" s="63" t="str">
        <x:v>Mejora continua y cumplimiento</x:v>
      </x:c>
      <x:c r="G197" s="63" t="str">
        <x:v>Gestión de incidentes y mejora</x:v>
      </x:c>
      <x:c r="H197" s="63" t="str">
        <x:v>Investigación de AT/EL y acciones correctivas</x:v>
      </x:c>
      <x:c r="I197" s="63" t="str">
        <x:v>Operativo</x:v>
      </x:c>
      <x:c r="J197" s="63" t="str">
        <x:v>Media</x:v>
      </x:c>
      <x:c r="K197" s="63" t="str">
        <x:v>Mensual</x:v>
      </x:c>
      <x:c r="L197" s="63" t="str">
        <x:v>Seguimiento</x:v>
      </x:c>
      <x:c r="M197" s="63" t="n">
        <x:v>12</x:v>
      </x:c>
      <x:c r="N197" s="63" t="str">
        <x:v>SST / Jefes de área</x:v>
      </x:c>
      <x:c r="O197" s="63" t="str">
        <x:v>Presupuesto SG-SST</x:v>
      </x:c>
      <x:c r="P197" s="63" t="str">
        <x:v>Investigación, plan de acción, evidencia de cierre</x:v>
      </x:c>
      <x:c r="Q197" s="79" t="n">
        <x:v>212003</x:v>
      </x:c>
      <x:c r="R197" s="79" t="n">
        <x:v>204813</x:v>
      </x:c>
      <x:c r="S197" s="79" t="n">
        <x:v>-7190</x:v>
      </x:c>
      <x:c r="T197" s="75" t="n">
        <x:v>0.9660853855841662</x:v>
      </x:c>
      <x:c r="U197" s="63" t="str">
        <x:v>Parcial</x:v>
      </x:c>
      <x:c r="V197" s="63" t="str">
        <x:v>Actividad con ejecución parcial o cierre financiero pendiente.</x:v>
      </x:c>
      <x:c r="W197" s="47" t="str">
        <x:v>Corte anual cerrado</x:v>
      </x:c>
    </x:row>
    <x:row r="198" ht="18" customHeight="1">
      <x:c r="A198" s="46" t="n">
        <x:v>2024</x:v>
      </x:c>
      <x:c r="B198" s="63" t="n">
        <x:v>10</x:v>
      </x:c>
      <x:c r="C198" s="63" t="str">
        <x:v>Octubre</x:v>
      </x:c>
      <x:c r="D198" s="63" t="str">
        <x:v>T4</x:v>
      </x:c>
      <x:c r="E198" s="71" t="n">
        <x:v>45596</x:v>
      </x:c>
      <x:c r="F198" s="63" t="str">
        <x:v>Emergencias e infraestructura</x:v>
      </x:c>
      <x:c r="G198" s="63" t="str">
        <x:v>Preparación y respuesta ante emergencias</x:v>
      </x:c>
      <x:c r="H198" s="63" t="str">
        <x:v>Mantenimiento de extintores, botiquines y equipos de emergencia</x:v>
      </x:c>
      <x:c r="I198" s="63" t="str">
        <x:v>Servicio</x:v>
      </x:c>
      <x:c r="J198" s="63" t="str">
        <x:v>Alta</x:v>
      </x:c>
      <x:c r="K198" s="63" t="str">
        <x:v>Bimestral / semestral</x:v>
      </x:c>
      <x:c r="L198" s="63" t="str">
        <x:v>Mantenimiento</x:v>
      </x:c>
      <x:c r="M198" s="63" t="n">
        <x:v>6</x:v>
      </x:c>
      <x:c r="N198" s="63" t="str">
        <x:v>Brigada / SST</x:v>
      </x:c>
      <x:c r="O198" s="63" t="str">
        <x:v>Presupuesto SG-SST</x:v>
      </x:c>
      <x:c r="P198" s="63" t="str">
        <x:v>Certificado, factura, hoja de vida del equipo</x:v>
      </x:c>
      <x:c r="Q198" s="79" t="n">
        <x:v>763212</x:v>
      </x:c>
      <x:c r="R198" s="79" t="n">
        <x:v>701588</x:v>
      </x:c>
      <x:c r="S198" s="79" t="n">
        <x:v>-61624</x:v>
      </x:c>
      <x:c r="T198" s="75" t="n">
        <x:v>0.9192570347426403</x:v>
      </x:c>
      <x:c r="U198" s="63" t="str">
        <x:v>Parcial</x:v>
      </x:c>
      <x:c r="V198" s="63" t="str">
        <x:v>Actividad con ejecución parcial o cierre financiero pendiente.</x:v>
      </x:c>
      <x:c r="W198" s="47" t="str">
        <x:v>Corte anual cerrado</x:v>
      </x:c>
    </x:row>
    <x:row r="199" ht="18" customHeight="1">
      <x:c r="A199" s="46" t="n">
        <x:v>2024</x:v>
      </x:c>
      <x:c r="B199" s="63" t="n">
        <x:v>10</x:v>
      </x:c>
      <x:c r="C199" s="63" t="str">
        <x:v>Octubre</x:v>
      </x:c>
      <x:c r="D199" s="63" t="str">
        <x:v>T4</x:v>
      </x:c>
      <x:c r="E199" s="71" t="n">
        <x:v>45596</x:v>
      </x:c>
      <x:c r="F199" s="63" t="str">
        <x:v>Medicina preventiva y del trabajo</x:v>
      </x:c>
      <x:c r="G199" s="63" t="str">
        <x:v>Programas de vigilancia epidemiológica</x:v>
      </x:c>
      <x:c r="H199" s="63" t="str">
        <x:v>Programas de vigilancia epidemiológica y seguimiento médico</x:v>
      </x:c>
      <x:c r="I199" s="63" t="str">
        <x:v>Servicio</x:v>
      </x:c>
      <x:c r="J199" s="63" t="str">
        <x:v>Alta</x:v>
      </x:c>
      <x:c r="K199" s="63" t="str">
        <x:v>Mensual</x:v>
      </x:c>
      <x:c r="L199" s="63" t="str">
        <x:v>Seguimiento</x:v>
      </x:c>
      <x:c r="M199" s="63" t="n">
        <x:v>12</x:v>
      </x:c>
      <x:c r="N199" s="63" t="str">
        <x:v>Médico laboral / SST</x:v>
      </x:c>
      <x:c r="O199" s="63" t="str">
        <x:v>Presupuesto SG-SST</x:v>
      </x:c>
      <x:c r="P199" s="63" t="str">
        <x:v>Base de seguimiento, informe, remisiones</x:v>
      </x:c>
      <x:c r="Q199" s="79" t="n">
        <x:v>593609</x:v>
      </x:c>
      <x:c r="R199" s="79" t="n">
        <x:v>588090</x:v>
      </x:c>
      <x:c r="S199" s="79" t="n">
        <x:v>-5519</x:v>
      </x:c>
      <x:c r="T199" s="75" t="n">
        <x:v>0.9907026342255593</x:v>
      </x:c>
      <x:c r="U199" s="63" t="str">
        <x:v>Ejecutado</x:v>
      </x:c>
      <x:c r="V199" s="63" t="str">
        <x:v>Actividad ejecutada dentro del rango esperado.</x:v>
      </x:c>
      <x:c r="W199" s="47" t="str">
        <x:v>Corte anual cerrado</x:v>
      </x:c>
    </x:row>
    <x:row r="200" ht="18" customHeight="1">
      <x:c r="A200" s="46" t="n">
        <x:v>2024</x:v>
      </x:c>
      <x:c r="B200" s="63" t="n">
        <x:v>11</x:v>
      </x:c>
      <x:c r="C200" s="63" t="str">
        <x:v>Noviembre</x:v>
      </x:c>
      <x:c r="D200" s="63" t="str">
        <x:v>T4</x:v>
      </x:c>
      <x:c r="E200" s="71" t="n">
        <x:v>45626</x:v>
      </x:c>
      <x:c r="F200" s="63" t="str">
        <x:v>Mejora continua y cumplimiento</x:v>
      </x:c>
      <x:c r="G200" s="63" t="str">
        <x:v>Auditoría y revisión por la dirección</x:v>
      </x:c>
      <x:c r="H200" s="63" t="str">
        <x:v>Auditoría interna, autoevaluación y revisión gerencial</x:v>
      </x:c>
      <x:c r="I200" s="63" t="str">
        <x:v>Servicio</x:v>
      </x:c>
      <x:c r="J200" s="63" t="str">
        <x:v>Alta</x:v>
      </x:c>
      <x:c r="K200" s="63" t="str">
        <x:v>Trimestral</x:v>
      </x:c>
      <x:c r="L200" s="63" t="str">
        <x:v>Hito</x:v>
      </x:c>
      <x:c r="M200" s="63" t="n">
        <x:v>4</x:v>
      </x:c>
      <x:c r="N200" s="63" t="str">
        <x:v>Líder HSEQ / Gerencia</x:v>
      </x:c>
      <x:c r="O200" s="63" t="str">
        <x:v>Presupuesto SG-SST</x:v>
      </x:c>
      <x:c r="P200" s="63" t="str">
        <x:v>Informe de auditoría, acta, plan de mejora</x:v>
      </x:c>
      <x:c r="Q200" s="79" t="n">
        <x:v>636010</x:v>
      </x:c>
      <x:c r="R200" s="79" t="n">
        <x:v>592889</x:v>
      </x:c>
      <x:c r="S200" s="79" t="n">
        <x:v>-43121</x:v>
      </x:c>
      <x:c r="T200" s="75" t="n">
        <x:v>0.9322007515605101</x:v>
      </x:c>
      <x:c r="U200" s="63" t="str">
        <x:v>Parcial</x:v>
      </x:c>
      <x:c r="V200" s="63" t="str">
        <x:v>Actividad con ejecución parcial o cierre financiero pendiente.</x:v>
      </x:c>
      <x:c r="W200" s="47" t="str">
        <x:v>Corte anual cerrado</x:v>
      </x:c>
    </x:row>
    <x:row r="201" ht="18" customHeight="1">
      <x:c r="A201" s="46" t="n">
        <x:v>2024</x:v>
      </x:c>
      <x:c r="B201" s="63" t="n">
        <x:v>11</x:v>
      </x:c>
      <x:c r="C201" s="63" t="str">
        <x:v>Noviembre</x:v>
      </x:c>
      <x:c r="D201" s="63" t="str">
        <x:v>T4</x:v>
      </x:c>
      <x:c r="E201" s="71" t="n">
        <x:v>45626</x:v>
      </x:c>
      <x:c r="F201" s="63" t="str">
        <x:v>Capacitación y entrenamiento</x:v>
      </x:c>
      <x:c r="G201" s="63" t="str">
        <x:v>Plan anual de formación</x:v>
      </x:c>
      <x:c r="H201" s="63" t="str">
        <x:v>Capacitación y entrenamiento en SG-SST</x:v>
      </x:c>
      <x:c r="I201" s="63" t="str">
        <x:v>Operativo</x:v>
      </x:c>
      <x:c r="J201" s="63" t="str">
        <x:v>Alta</x:v>
      </x:c>
      <x:c r="K201" s="63" t="str">
        <x:v>Mensual</x:v>
      </x:c>
      <x:c r="L201" s="63" t="str">
        <x:v>Jornada</x:v>
      </x:c>
      <x:c r="M201" s="63" t="n">
        <x:v>12</x:v>
      </x:c>
      <x:c r="N201" s="63" t="str">
        <x:v>Coordinación SST</x:v>
      </x:c>
      <x:c r="O201" s="63" t="str">
        <x:v>Presupuesto SG-SST</x:v>
      </x:c>
      <x:c r="P201" s="63" t="str">
        <x:v>Lista de asistencia, evaluación, acta</x:v>
      </x:c>
      <x:c r="Q201" s="79" t="n">
        <x:v>477007</x:v>
      </x:c>
      <x:c r="R201" s="79" t="n">
        <x:v>445574</x:v>
      </x:c>
      <x:c r="S201" s="79" t="n">
        <x:v>-31433</x:v>
      </x:c>
      <x:c r="T201" s="75" t="n">
        <x:v>0.934103692398644</x:v>
      </x:c>
      <x:c r="U201" s="63" t="str">
        <x:v>Parcial</x:v>
      </x:c>
      <x:c r="V201" s="63" t="str">
        <x:v>Actividad con ejecución parcial o cierre financiero pendiente.</x:v>
      </x:c>
      <x:c r="W201" s="47" t="str">
        <x:v>Corte anual cerrado</x:v>
      </x:c>
    </x:row>
    <x:row r="202" ht="18" customHeight="1">
      <x:c r="A202" s="46" t="n">
        <x:v>2024</x:v>
      </x:c>
      <x:c r="B202" s="63" t="n">
        <x:v>11</x:v>
      </x:c>
      <x:c r="C202" s="63" t="str">
        <x:v>Noviembre</x:v>
      </x:c>
      <x:c r="D202" s="63" t="str">
        <x:v>T4</x:v>
      </x:c>
      <x:c r="E202" s="71" t="n">
        <x:v>45626</x:v>
      </x:c>
      <x:c r="F202" s="63" t="str">
        <x:v>Higiene y seguridad industrial</x:v>
      </x:c>
      <x:c r="G202" s="63" t="str">
        <x:v>Dotación y control operacional</x:v>
      </x:c>
      <x:c r="H202" s="63" t="str">
        <x:v>Dotación y reposición de EPP</x:v>
      </x:c>
      <x:c r="I202" s="63" t="str">
        <x:v>Operativo</x:v>
      </x:c>
      <x:c r="J202" s="63" t="str">
        <x:v>Alta</x:v>
      </x:c>
      <x:c r="K202" s="63" t="str">
        <x:v>Bimestral / trimestral</x:v>
      </x:c>
      <x:c r="L202" s="63" t="str">
        <x:v>Entrega</x:v>
      </x:c>
      <x:c r="M202" s="63" t="n">
        <x:v>6</x:v>
      </x:c>
      <x:c r="N202" s="63" t="str">
        <x:v>Coordinación SST / Compras</x:v>
      </x:c>
      <x:c r="O202" s="63" t="str">
        <x:v>Presupuesto SG-SST</x:v>
      </x:c>
      <x:c r="P202" s="63" t="str">
        <x:v>Formato de entrega, factura, remisión</x:v>
      </x:c>
      <x:c r="Q202" s="79" t="n">
        <x:v>1749026</x:v>
      </x:c>
      <x:c r="R202" s="79" t="n">
        <x:v>1734088</x:v>
      </x:c>
      <x:c r="S202" s="79" t="n">
        <x:v>-14938</x:v>
      </x:c>
      <x:c r="T202" s="75" t="n">
        <x:v>0.9914592464606015</x:v>
      </x:c>
      <x:c r="U202" s="63" t="str">
        <x:v>Ejecutado</x:v>
      </x:c>
      <x:c r="V202" s="63" t="str">
        <x:v>Actividad ejecutada dentro del rango esperado.</x:v>
      </x:c>
      <x:c r="W202" s="47" t="str">
        <x:v>Corte anual cerrado</x:v>
      </x:c>
    </x:row>
    <x:row r="203" ht="18" customHeight="1">
      <x:c r="A203" s="46" t="n">
        <x:v>2024</x:v>
      </x:c>
      <x:c r="B203" s="63" t="n">
        <x:v>11</x:v>
      </x:c>
      <x:c r="C203" s="63" t="str">
        <x:v>Noviembre</x:v>
      </x:c>
      <x:c r="D203" s="63" t="str">
        <x:v>T4</x:v>
      </x:c>
      <x:c r="E203" s="71" t="n">
        <x:v>45626</x:v>
      </x:c>
      <x:c r="F203" s="63" t="str">
        <x:v>Recursos y gestión financiera</x:v>
      </x:c>
      <x:c r="G203" s="63" t="str">
        <x:v>Planeación y recursos</x:v>
      </x:c>
      <x:c r="H203" s="63" t="str">
        <x:v>Exámenes médicos ocupacionales</x:v>
      </x:c>
      <x:c r="I203" s="63" t="str">
        <x:v>Servicio</x:v>
      </x:c>
      <x:c r="J203" s="63" t="str">
        <x:v>Alta</x:v>
      </x:c>
      <x:c r="K203" s="63" t="str">
        <x:v>Semestral</x:v>
      </x:c>
      <x:c r="L203" s="63" t="str">
        <x:v>Jornada</x:v>
      </x:c>
      <x:c r="M203" s="63" t="n">
        <x:v>2</x:v>
      </x:c>
      <x:c r="N203" s="63" t="str">
        <x:v>Coordinación SST</x:v>
      </x:c>
      <x:c r="O203" s="63" t="str">
        <x:v>Presupuesto SG-SST</x:v>
      </x:c>
      <x:c r="P203" s="63" t="str">
        <x:v>Orden de servicio, factura, concepto médico</x:v>
      </x:c>
      <x:c r="Q203" s="79" t="n">
        <x:v>63601</x:v>
      </x:c>
      <x:c r="R203" s="79" t="n">
        <x:v>58923</x:v>
      </x:c>
      <x:c r="S203" s="79" t="n">
        <x:v>-4678</x:v>
      </x:c>
      <x:c r="T203" s="75" t="n">
        <x:v>0.9264476973632491</x:v>
      </x:c>
      <x:c r="U203" s="63" t="str">
        <x:v>Parcial</x:v>
      </x:c>
      <x:c r="V203" s="63" t="str">
        <x:v>Actividad con ejecución parcial o cierre financiero pendiente.</x:v>
      </x:c>
      <x:c r="W203" s="47" t="str">
        <x:v>Corte anual cerrado</x:v>
      </x:c>
    </x:row>
    <x:row r="204" ht="18" customHeight="1">
      <x:c r="A204" s="46" t="n">
        <x:v>2024</x:v>
      </x:c>
      <x:c r="B204" s="63" t="n">
        <x:v>11</x:v>
      </x:c>
      <x:c r="C204" s="63" t="str">
        <x:v>Noviembre</x:v>
      </x:c>
      <x:c r="D204" s="63" t="str">
        <x:v>T4</x:v>
      </x:c>
      <x:c r="E204" s="71" t="n">
        <x:v>45626</x:v>
      </x:c>
      <x:c r="F204" s="63" t="str">
        <x:v>Participación y consulta</x:v>
      </x:c>
      <x:c r="G204" s="63" t="str">
        <x:v>Comités de SST</x:v>
      </x:c>
      <x:c r="H204" s="63" t="str">
        <x:v>Gestión de COPASST y Comité de Convivencia</x:v>
      </x:c>
      <x:c r="I204" s="63" t="str">
        <x:v>Operativo</x:v>
      </x:c>
      <x:c r="J204" s="63" t="str">
        <x:v>Media</x:v>
      </x:c>
      <x:c r="K204" s="63" t="str">
        <x:v>Mensual</x:v>
      </x:c>
      <x:c r="L204" s="63" t="str">
        <x:v>Reunión</x:v>
      </x:c>
      <x:c r="M204" s="63" t="n">
        <x:v>12</x:v>
      </x:c>
      <x:c r="N204" s="63" t="str">
        <x:v>Talento Humano / SST</x:v>
      </x:c>
      <x:c r="O204" s="63" t="str">
        <x:v>Presupuesto SG-SST</x:v>
      </x:c>
      <x:c r="P204" s="63" t="str">
        <x:v>Acta, convocatoria, seguimiento compromisos</x:v>
      </x:c>
      <x:c r="Q204" s="79" t="n">
        <x:v>169603</x:v>
      </x:c>
      <x:c r="R204" s="79" t="n">
        <x:v>166424</x:v>
      </x:c>
      <x:c r="S204" s="79" t="n">
        <x:v>-3179</x:v>
      </x:c>
      <x:c r="T204" s="75" t="n">
        <x:v>0.9812562277789898</x:v>
      </x:c>
      <x:c r="U204" s="63" t="str">
        <x:v>Ejecutado</x:v>
      </x:c>
      <x:c r="V204" s="63" t="str">
        <x:v>Actividad ejecutada dentro del rango esperado.</x:v>
      </x:c>
      <x:c r="W204" s="47" t="str">
        <x:v>Corte anual cerrado</x:v>
      </x:c>
    </x:row>
    <x:row r="205" ht="18" customHeight="1">
      <x:c r="A205" s="46" t="n">
        <x:v>2024</x:v>
      </x:c>
      <x:c r="B205" s="63" t="n">
        <x:v>11</x:v>
      </x:c>
      <x:c r="C205" s="63" t="str">
        <x:v>Noviembre</x:v>
      </x:c>
      <x:c r="D205" s="63" t="str">
        <x:v>T4</x:v>
      </x:c>
      <x:c r="E205" s="71" t="n">
        <x:v>45626</x:v>
      </x:c>
      <x:c r="F205" s="63" t="str">
        <x:v>Higiene y seguridad industrial</x:v>
      </x:c>
      <x:c r="G205" s="63" t="str">
        <x:v>Inspecciones y control</x:v>
      </x:c>
      <x:c r="H205" s="63" t="str">
        <x:v>Inspecciones planeadas de seguridad</x:v>
      </x:c>
      <x:c r="I205" s="63" t="str">
        <x:v>Operativo</x:v>
      </x:c>
      <x:c r="J205" s="63" t="str">
        <x:v>Media</x:v>
      </x:c>
      <x:c r="K205" s="63" t="str">
        <x:v>Mensual</x:v>
      </x:c>
      <x:c r="L205" s="63" t="str">
        <x:v>Inspección</x:v>
      </x:c>
      <x:c r="M205" s="63" t="n">
        <x:v>12</x:v>
      </x:c>
      <x:c r="N205" s="63" t="str">
        <x:v>Inspector SST</x:v>
      </x:c>
      <x:c r="O205" s="63" t="str">
        <x:v>Presupuesto SG-SST</x:v>
      </x:c>
      <x:c r="P205" s="63" t="str">
        <x:v>Lista de chequeo, informe, evidencia fotográfica</x:v>
      </x:c>
      <x:c r="Q205" s="79" t="n">
        <x:v>254404</x:v>
      </x:c>
      <x:c r="R205" s="79" t="n">
        <x:v>237099</x:v>
      </x:c>
      <x:c r="S205" s="79" t="n">
        <x:v>-17305</x:v>
      </x:c>
      <x:c r="T205" s="75" t="n">
        <x:v>0.931978270781906</x:v>
      </x:c>
      <x:c r="U205" s="63" t="str">
        <x:v>Parcial</x:v>
      </x:c>
      <x:c r="V205" s="63" t="str">
        <x:v>Actividad con ejecución parcial o cierre financiero pendiente.</x:v>
      </x:c>
      <x:c r="W205" s="47" t="str">
        <x:v>Corte anual cerrado</x:v>
      </x:c>
    </x:row>
    <x:row r="206" ht="18" customHeight="1">
      <x:c r="A206" s="46" t="n">
        <x:v>2024</x:v>
      </x:c>
      <x:c r="B206" s="63" t="n">
        <x:v>11</x:v>
      </x:c>
      <x:c r="C206" s="63" t="str">
        <x:v>Noviembre</x:v>
      </x:c>
      <x:c r="D206" s="63" t="str">
        <x:v>T4</x:v>
      </x:c>
      <x:c r="E206" s="71" t="n">
        <x:v>45626</x:v>
      </x:c>
      <x:c r="F206" s="63" t="str">
        <x:v>Mejora continua y cumplimiento</x:v>
      </x:c>
      <x:c r="G206" s="63" t="str">
        <x:v>Gestión de incidentes y mejora</x:v>
      </x:c>
      <x:c r="H206" s="63" t="str">
        <x:v>Investigación de AT/EL y acciones correctivas</x:v>
      </x:c>
      <x:c r="I206" s="63" t="str">
        <x:v>Operativo</x:v>
      </x:c>
      <x:c r="J206" s="63" t="str">
        <x:v>Media</x:v>
      </x:c>
      <x:c r="K206" s="63" t="str">
        <x:v>Mensual</x:v>
      </x:c>
      <x:c r="L206" s="63" t="str">
        <x:v>Seguimiento</x:v>
      </x:c>
      <x:c r="M206" s="63" t="n">
        <x:v>12</x:v>
      </x:c>
      <x:c r="N206" s="63" t="str">
        <x:v>SST / Jefes de área</x:v>
      </x:c>
      <x:c r="O206" s="63" t="str">
        <x:v>Presupuesto SG-SST</x:v>
      </x:c>
      <x:c r="P206" s="63" t="str">
        <x:v>Investigación, plan de acción, evidencia de cierre</x:v>
      </x:c>
      <x:c r="Q206" s="79" t="n">
        <x:v>212003</x:v>
      </x:c>
      <x:c r="R206" s="79" t="n">
        <x:v>197764</x:v>
      </x:c>
      <x:c r="S206" s="79" t="n">
        <x:v>-14239</x:v>
      </x:c>
      <x:c r="T206" s="75" t="n">
        <x:v>0.932835856096376</x:v>
      </x:c>
      <x:c r="U206" s="63" t="str">
        <x:v>Parcial</x:v>
      </x:c>
      <x:c r="V206" s="63" t="str">
        <x:v>Actividad con ejecución parcial o cierre financiero pendiente.</x:v>
      </x:c>
      <x:c r="W206" s="47" t="str">
        <x:v>Corte anual cerrado</x:v>
      </x:c>
    </x:row>
    <x:row r="207" ht="18" customHeight="1">
      <x:c r="A207" s="46" t="n">
        <x:v>2024</x:v>
      </x:c>
      <x:c r="B207" s="63" t="n">
        <x:v>11</x:v>
      </x:c>
      <x:c r="C207" s="63" t="str">
        <x:v>Noviembre</x:v>
      </x:c>
      <x:c r="D207" s="63" t="str">
        <x:v>T4</x:v>
      </x:c>
      <x:c r="E207" s="71" t="n">
        <x:v>45626</x:v>
      </x:c>
      <x:c r="F207" s="63" t="str">
        <x:v>Medicina preventiva y del trabajo</x:v>
      </x:c>
      <x:c r="G207" s="63" t="str">
        <x:v>Programas de vigilancia epidemiológica</x:v>
      </x:c>
      <x:c r="H207" s="63" t="str">
        <x:v>Programas de vigilancia epidemiológica y seguimiento médico</x:v>
      </x:c>
      <x:c r="I207" s="63" t="str">
        <x:v>Servicio</x:v>
      </x:c>
      <x:c r="J207" s="63" t="str">
        <x:v>Alta</x:v>
      </x:c>
      <x:c r="K207" s="63" t="str">
        <x:v>Mensual</x:v>
      </x:c>
      <x:c r="L207" s="63" t="str">
        <x:v>Seguimiento</x:v>
      </x:c>
      <x:c r="M207" s="63" t="n">
        <x:v>12</x:v>
      </x:c>
      <x:c r="N207" s="63" t="str">
        <x:v>Médico laboral / SST</x:v>
      </x:c>
      <x:c r="O207" s="63" t="str">
        <x:v>Presupuesto SG-SST</x:v>
      </x:c>
      <x:c r="P207" s="63" t="str">
        <x:v>Base de seguimiento, informe, remisiones</x:v>
      </x:c>
      <x:c r="Q207" s="79" t="n">
        <x:v>742011</x:v>
      </x:c>
      <x:c r="R207" s="79" t="n">
        <x:v>750848</x:v>
      </x:c>
      <x:c r="S207" s="79" t="n">
        <x:v>8837</x:v>
      </x:c>
      <x:c r="T207" s="75" t="n">
        <x:v>1.0119095269477136</x:v>
      </x:c>
      <x:c r="U207" s="63" t="str">
        <x:v>Ejecutado</x:v>
      </x:c>
      <x:c r="V207" s="63" t="str">
        <x:v>Actividad ejecutada dentro del rango esperado.</x:v>
      </x:c>
      <x:c r="W207" s="47" t="str">
        <x:v>Corte anual cerrado</x:v>
      </x:c>
    </x:row>
    <x:row r="208" ht="18" customHeight="1">
      <x:c r="A208" s="46" t="n">
        <x:v>2024</x:v>
      </x:c>
      <x:c r="B208" s="63" t="n">
        <x:v>11</x:v>
      </x:c>
      <x:c r="C208" s="63" t="str">
        <x:v>Noviembre</x:v>
      </x:c>
      <x:c r="D208" s="63" t="str">
        <x:v>T4</x:v>
      </x:c>
      <x:c r="E208" s="71" t="n">
        <x:v>45626</x:v>
      </x:c>
      <x:c r="F208" s="63" t="str">
        <x:v>Higiene y seguridad industrial</x:v>
      </x:c>
      <x:c r="G208" s="63" t="str">
        <x:v>Señalización y control visual</x:v>
      </x:c>
      <x:c r="H208" s="63" t="str">
        <x:v>Señalización, demarcación y avisos de seguridad</x:v>
      </x:c>
      <x:c r="I208" s="63" t="str">
        <x:v>Operativo</x:v>
      </x:c>
      <x:c r="J208" s="63" t="str">
        <x:v>Media</x:v>
      </x:c>
      <x:c r="K208" s="63" t="str">
        <x:v>Periódica</x:v>
      </x:c>
      <x:c r="L208" s="63" t="str">
        <x:v>Intervención</x:v>
      </x:c>
      <x:c r="M208" s="63" t="n">
        <x:v>5</x:v>
      </x:c>
      <x:c r="N208" s="63" t="str">
        <x:v>SST / Mantenimiento</x:v>
      </x:c>
      <x:c r="O208" s="63" t="str">
        <x:v>Presupuesto SG-SST</x:v>
      </x:c>
      <x:c r="P208" s="63" t="str">
        <x:v>Acta de instalación, factura, inventario</x:v>
      </x:c>
      <x:c r="Q208" s="79" t="n">
        <x:v>795012</x:v>
      </x:c>
      <x:c r="R208" s="79" t="n">
        <x:v>737249</x:v>
      </x:c>
      <x:c r="S208" s="79" t="n">
        <x:v>-57763</x:v>
      </x:c>
      <x:c r="T208" s="75" t="n">
        <x:v>0.9273432350706656</x:v>
      </x:c>
      <x:c r="U208" s="63" t="str">
        <x:v>Parcial</x:v>
      </x:c>
      <x:c r="V208" s="63" t="str">
        <x:v>Actividad con ejecución parcial o cierre financiero pendiente.</x:v>
      </x:c>
      <x:c r="W208" s="47" t="str">
        <x:v>Corte anual cerrado</x:v>
      </x:c>
    </x:row>
    <x:row r="209" ht="18" customHeight="1">
      <x:c r="A209" s="46" t="n">
        <x:v>2024</x:v>
      </x:c>
      <x:c r="B209" s="63" t="n">
        <x:v>12</x:v>
      </x:c>
      <x:c r="C209" s="63" t="str">
        <x:v>Diciembre</x:v>
      </x:c>
      <x:c r="D209" s="63" t="str">
        <x:v>T4</x:v>
      </x:c>
      <x:c r="E209" s="71" t="n">
        <x:v>45657</x:v>
      </x:c>
      <x:c r="F209" s="63" t="str">
        <x:v>Mejora continua y cumplimiento</x:v>
      </x:c>
      <x:c r="G209" s="63" t="str">
        <x:v>Auditoría y revisión por la dirección</x:v>
      </x:c>
      <x:c r="H209" s="63" t="str">
        <x:v>Auditoría interna, autoevaluación y revisión gerencial</x:v>
      </x:c>
      <x:c r="I209" s="63" t="str">
        <x:v>Servicio</x:v>
      </x:c>
      <x:c r="J209" s="63" t="str">
        <x:v>Alta</x:v>
      </x:c>
      <x:c r="K209" s="63" t="str">
        <x:v>Trimestral</x:v>
      </x:c>
      <x:c r="L209" s="63" t="str">
        <x:v>Hito</x:v>
      </x:c>
      <x:c r="M209" s="63" t="n">
        <x:v>4</x:v>
      </x:c>
      <x:c r="N209" s="63" t="str">
        <x:v>Líder HSEQ / Gerencia</x:v>
      </x:c>
      <x:c r="O209" s="63" t="str">
        <x:v>Presupuesto SG-SST</x:v>
      </x:c>
      <x:c r="P209" s="63" t="str">
        <x:v>Informe de auditoría, acta, plan de mejora</x:v>
      </x:c>
      <x:c r="Q209" s="79" t="n">
        <x:v>848013</x:v>
      </x:c>
      <x:c r="R209" s="79" t="n">
        <x:v>777510</x:v>
      </x:c>
      <x:c r="S209" s="79" t="n">
        <x:v>-70503</x:v>
      </x:c>
      <x:c r="T209" s="75" t="n">
        <x:v>0.9168609443487306</x:v>
      </x:c>
      <x:c r="U209" s="63" t="str">
        <x:v>Parcial</x:v>
      </x:c>
      <x:c r="V209" s="63" t="str">
        <x:v>Actividad con ejecución parcial o cierre financiero pendiente.</x:v>
      </x:c>
      <x:c r="W209" s="47" t="str">
        <x:v>Corte anual cerrado</x:v>
      </x:c>
    </x:row>
    <x:row r="210" ht="18" customHeight="1">
      <x:c r="A210" s="46" t="n">
        <x:v>2024</x:v>
      </x:c>
      <x:c r="B210" s="63" t="n">
        <x:v>12</x:v>
      </x:c>
      <x:c r="C210" s="63" t="str">
        <x:v>Diciembre</x:v>
      </x:c>
      <x:c r="D210" s="63" t="str">
        <x:v>T4</x:v>
      </x:c>
      <x:c r="E210" s="71" t="n">
        <x:v>45657</x:v>
      </x:c>
      <x:c r="F210" s="63" t="str">
        <x:v>Capacitación y entrenamiento</x:v>
      </x:c>
      <x:c r="G210" s="63" t="str">
        <x:v>Plan anual de formación</x:v>
      </x:c>
      <x:c r="H210" s="63" t="str">
        <x:v>Capacitación y entrenamiento en SG-SST</x:v>
      </x:c>
      <x:c r="I210" s="63" t="str">
        <x:v>Operativo</x:v>
      </x:c>
      <x:c r="J210" s="63" t="str">
        <x:v>Alta</x:v>
      </x:c>
      <x:c r="K210" s="63" t="str">
        <x:v>Mensual</x:v>
      </x:c>
      <x:c r="L210" s="63" t="str">
        <x:v>Jornada</x:v>
      </x:c>
      <x:c r="M210" s="63" t="n">
        <x:v>12</x:v>
      </x:c>
      <x:c r="N210" s="63" t="str">
        <x:v>Coordinación SST</x:v>
      </x:c>
      <x:c r="O210" s="63" t="str">
        <x:v>Presupuesto SG-SST</x:v>
      </x:c>
      <x:c r="P210" s="63" t="str">
        <x:v>Lista de asistencia, evaluación, acta</x:v>
      </x:c>
      <x:c r="Q210" s="79" t="n">
        <x:v>424010</x:v>
      </x:c>
      <x:c r="R210" s="79" t="n">
        <x:v>419956</x:v>
      </x:c>
      <x:c r="S210" s="79" t="n">
        <x:v>-4054</x:v>
      </x:c>
      <x:c r="T210" s="75" t="n">
        <x:v>0.9904389047428127</x:v>
      </x:c>
      <x:c r="U210" s="63" t="str">
        <x:v>Ejecutado</x:v>
      </x:c>
      <x:c r="V210" s="63" t="str">
        <x:v>Actividad ejecutada dentro del rango esperado.</x:v>
      </x:c>
      <x:c r="W210" s="47" t="str">
        <x:v>Corte anual cerrado</x:v>
      </x:c>
    </x:row>
    <x:row r="211" ht="18" customHeight="1">
      <x:c r="A211" s="46" t="n">
        <x:v>2024</x:v>
      </x:c>
      <x:c r="B211" s="63" t="n">
        <x:v>12</x:v>
      </x:c>
      <x:c r="C211" s="63" t="str">
        <x:v>Diciembre</x:v>
      </x:c>
      <x:c r="D211" s="63" t="str">
        <x:v>T4</x:v>
      </x:c>
      <x:c r="E211" s="71" t="n">
        <x:v>45657</x:v>
      </x:c>
      <x:c r="F211" s="63" t="str">
        <x:v>Medicina preventiva y del trabajo</x:v>
      </x:c>
      <x:c r="G211" s="63" t="str">
        <x:v>Vigilancia epidemiológica</x:v>
      </x:c>
      <x:c r="H211" s="63" t="str">
        <x:v>Evaluación de riesgo psicosocial y actividades de intervención</x:v>
      </x:c>
      <x:c r="I211" s="63" t="str">
        <x:v>Servicio</x:v>
      </x:c>
      <x:c r="J211" s="63" t="str">
        <x:v>Alta</x:v>
      </x:c>
      <x:c r="K211" s="63" t="str">
        <x:v>Periódica</x:v>
      </x:c>
      <x:c r="L211" s="63" t="str">
        <x:v>Actividad</x:v>
      </x:c>
      <x:c r="M211" s="63" t="n">
        <x:v>6</x:v>
      </x:c>
      <x:c r="N211" s="63" t="str">
        <x:v>Psicología / SST</x:v>
      </x:c>
      <x:c r="O211" s="63" t="str">
        <x:v>Presupuesto SG-SST</x:v>
      </x:c>
      <x:c r="P211" s="63" t="str">
        <x:v>Informe técnico, evidencia, plan de intervención</x:v>
      </x:c>
      <x:c r="Q211" s="79" t="n">
        <x:v>556509</x:v>
      </x:c>
      <x:c r="R211" s="79" t="n">
        <x:v>523269</x:v>
      </x:c>
      <x:c r="S211" s="79" t="n">
        <x:v>-33240</x:v>
      </x:c>
      <x:c r="T211" s="75" t="n">
        <x:v>0.9402705077545915</x:v>
      </x:c>
      <x:c r="U211" s="63" t="str">
        <x:v>Parcial</x:v>
      </x:c>
      <x:c r="V211" s="63" t="str">
        <x:v>Actividad con ejecución parcial o cierre financiero pendiente.</x:v>
      </x:c>
      <x:c r="W211" s="47" t="str">
        <x:v>Corte anual cerrado</x:v>
      </x:c>
    </x:row>
    <x:row r="212" ht="18" customHeight="1">
      <x:c r="A212" s="46" t="n">
        <x:v>2024</x:v>
      </x:c>
      <x:c r="B212" s="63" t="n">
        <x:v>12</x:v>
      </x:c>
      <x:c r="C212" s="63" t="str">
        <x:v>Diciembre</x:v>
      </x:c>
      <x:c r="D212" s="63" t="str">
        <x:v>T4</x:v>
      </x:c>
      <x:c r="E212" s="71" t="n">
        <x:v>45657</x:v>
      </x:c>
      <x:c r="F212" s="63" t="str">
        <x:v>Recursos y gestión financiera</x:v>
      </x:c>
      <x:c r="G212" s="63" t="str">
        <x:v>Planeación y recursos</x:v>
      </x:c>
      <x:c r="H212" s="63" t="str">
        <x:v>Exámenes médicos ocupacionales</x:v>
      </x:c>
      <x:c r="I212" s="63" t="str">
        <x:v>Servicio</x:v>
      </x:c>
      <x:c r="J212" s="63" t="str">
        <x:v>Alta</x:v>
      </x:c>
      <x:c r="K212" s="63" t="str">
        <x:v>Semestral</x:v>
      </x:c>
      <x:c r="L212" s="63" t="str">
        <x:v>Jornada</x:v>
      </x:c>
      <x:c r="M212" s="63" t="n">
        <x:v>2</x:v>
      </x:c>
      <x:c r="N212" s="63" t="str">
        <x:v>Coordinación SST</x:v>
      </x:c>
      <x:c r="O212" s="63" t="str">
        <x:v>Presupuesto SG-SST</x:v>
      </x:c>
      <x:c r="P212" s="63" t="str">
        <x:v>Orden de servicio, factura, concepto médico</x:v>
      </x:c>
      <x:c r="Q212" s="79" t="n">
        <x:v>63601</x:v>
      </x:c>
      <x:c r="R212" s="79" t="n">
        <x:v>62797</x:v>
      </x:c>
      <x:c r="S212" s="79" t="n">
        <x:v>-804</x:v>
      </x:c>
      <x:c r="T212" s="75" t="n">
        <x:v>0.9873586893287841</x:v>
      </x:c>
      <x:c r="U212" s="63" t="str">
        <x:v>Ejecutado</x:v>
      </x:c>
      <x:c r="V212" s="63" t="str">
        <x:v>Actividad ejecutada dentro del rango esperado.</x:v>
      </x:c>
      <x:c r="W212" s="47" t="str">
        <x:v>Corte anual cerrado</x:v>
      </x:c>
    </x:row>
    <x:row r="213" ht="18" customHeight="1">
      <x:c r="A213" s="46" t="n">
        <x:v>2024</x:v>
      </x:c>
      <x:c r="B213" s="63" t="n">
        <x:v>12</x:v>
      </x:c>
      <x:c r="C213" s="63" t="str">
        <x:v>Diciembre</x:v>
      </x:c>
      <x:c r="D213" s="63" t="str">
        <x:v>T4</x:v>
      </x:c>
      <x:c r="E213" s="71" t="n">
        <x:v>45657</x:v>
      </x:c>
      <x:c r="F213" s="63" t="str">
        <x:v>Gestión de contratistas</x:v>
      </x:c>
      <x:c r="G213" s="63" t="str">
        <x:v>Control de terceros</x:v>
      </x:c>
      <x:c r="H213" s="63" t="str">
        <x:v>Gestión SST de proveedores y contratistas</x:v>
      </x:c>
      <x:c r="I213" s="63" t="str">
        <x:v>Operativo</x:v>
      </x:c>
      <x:c r="J213" s="63" t="str">
        <x:v>Media</x:v>
      </x:c>
      <x:c r="K213" s="63" t="str">
        <x:v>Trimestral</x:v>
      </x:c>
      <x:c r="L213" s="63" t="str">
        <x:v>Ciclo</x:v>
      </x:c>
      <x:c r="M213" s="63" t="n">
        <x:v>4</x:v>
      </x:c>
      <x:c r="N213" s="63" t="str">
        <x:v>Compras / SST</x:v>
      </x:c>
      <x:c r="O213" s="63" t="str">
        <x:v>Presupuesto SG-SST</x:v>
      </x:c>
      <x:c r="P213" s="63" t="str">
        <x:v>Matriz de evaluación, soportes de contratistas</x:v>
      </x:c>
      <x:c r="Q213" s="79" t="n">
        <x:v>318005</x:v>
      </x:c>
      <x:c r="R213" s="79" t="n">
        <x:v>285158</x:v>
      </x:c>
      <x:c r="S213" s="79" t="n">
        <x:v>-32847</x:v>
      </x:c>
      <x:c r="T213" s="75" t="n">
        <x:v>0.8967091712394459</x:v>
      </x:c>
      <x:c r="U213" s="63" t="str">
        <x:v>Parcial</x:v>
      </x:c>
      <x:c r="V213" s="63" t="str">
        <x:v>Actividad con ejecución parcial o cierre financiero pendiente.</x:v>
      </x:c>
      <x:c r="W213" s="47" t="str">
        <x:v>Corte anual cerrado</x:v>
      </x:c>
    </x:row>
    <x:row r="214" ht="18" customHeight="1">
      <x:c r="A214" s="46" t="n">
        <x:v>2024</x:v>
      </x:c>
      <x:c r="B214" s="63" t="n">
        <x:v>12</x:v>
      </x:c>
      <x:c r="C214" s="63" t="str">
        <x:v>Diciembre</x:v>
      </x:c>
      <x:c r="D214" s="63" t="str">
        <x:v>T4</x:v>
      </x:c>
      <x:c r="E214" s="71" t="n">
        <x:v>45657</x:v>
      </x:c>
      <x:c r="F214" s="63" t="str">
        <x:v>Participación y consulta</x:v>
      </x:c>
      <x:c r="G214" s="63" t="str">
        <x:v>Comités de SST</x:v>
      </x:c>
      <x:c r="H214" s="63" t="str">
        <x:v>Gestión de COPASST y Comité de Convivencia</x:v>
      </x:c>
      <x:c r="I214" s="63" t="str">
        <x:v>Operativo</x:v>
      </x:c>
      <x:c r="J214" s="63" t="str">
        <x:v>Media</x:v>
      </x:c>
      <x:c r="K214" s="63" t="str">
        <x:v>Mensual</x:v>
      </x:c>
      <x:c r="L214" s="63" t="str">
        <x:v>Reunión</x:v>
      </x:c>
      <x:c r="M214" s="63" t="n">
        <x:v>12</x:v>
      </x:c>
      <x:c r="N214" s="63" t="str">
        <x:v>Talento Humano / SST</x:v>
      </x:c>
      <x:c r="O214" s="63" t="str">
        <x:v>Presupuesto SG-SST</x:v>
      </x:c>
      <x:c r="P214" s="63" t="str">
        <x:v>Acta, convocatoria, seguimiento compromisos</x:v>
      </x:c>
      <x:c r="Q214" s="79" t="n">
        <x:v>169599</x:v>
      </x:c>
      <x:c r="R214" s="79" t="n">
        <x:v>158491</x:v>
      </x:c>
      <x:c r="S214" s="79" t="n">
        <x:v>-11108</x:v>
      </x:c>
      <x:c r="T214" s="75" t="n">
        <x:v>0.9345043308038373</x:v>
      </x:c>
      <x:c r="U214" s="63" t="str">
        <x:v>Parcial</x:v>
      </x:c>
      <x:c r="V214" s="63" t="str">
        <x:v>Actividad con ejecución parcial o cierre financiero pendiente.</x:v>
      </x:c>
      <x:c r="W214" s="47" t="str">
        <x:v>Corte anual cerrado</x:v>
      </x:c>
    </x:row>
    <x:row r="215" ht="18" customHeight="1">
      <x:c r="A215" s="46" t="n">
        <x:v>2024</x:v>
      </x:c>
      <x:c r="B215" s="63" t="n">
        <x:v>12</x:v>
      </x:c>
      <x:c r="C215" s="63" t="str">
        <x:v>Diciembre</x:v>
      </x:c>
      <x:c r="D215" s="63" t="str">
        <x:v>T4</x:v>
      </x:c>
      <x:c r="E215" s="71" t="n">
        <x:v>45657</x:v>
      </x:c>
      <x:c r="F215" s="63" t="str">
        <x:v>Higiene y seguridad industrial</x:v>
      </x:c>
      <x:c r="G215" s="63" t="str">
        <x:v>Inspecciones y control</x:v>
      </x:c>
      <x:c r="H215" s="63" t="str">
        <x:v>Inspecciones planeadas de seguridad</x:v>
      </x:c>
      <x:c r="I215" s="63" t="str">
        <x:v>Operativo</x:v>
      </x:c>
      <x:c r="J215" s="63" t="str">
        <x:v>Media</x:v>
      </x:c>
      <x:c r="K215" s="63" t="str">
        <x:v>Mensual</x:v>
      </x:c>
      <x:c r="L215" s="63" t="str">
        <x:v>Inspección</x:v>
      </x:c>
      <x:c r="M215" s="63" t="n">
        <x:v>12</x:v>
      </x:c>
      <x:c r="N215" s="63" t="str">
        <x:v>Inspector SST</x:v>
      </x:c>
      <x:c r="O215" s="63" t="str">
        <x:v>Presupuesto SG-SST</x:v>
      </x:c>
      <x:c r="P215" s="63" t="str">
        <x:v>Lista de chequeo, informe, evidencia fotográfica</x:v>
      </x:c>
      <x:c r="Q215" s="79" t="n">
        <x:v>286204</x:v>
      </x:c>
      <x:c r="R215" s="79" t="n">
        <x:v>269321</x:v>
      </x:c>
      <x:c r="S215" s="79" t="n">
        <x:v>-16883</x:v>
      </x:c>
      <x:c r="T215" s="75" t="n">
        <x:v>0.9410106078181996</x:v>
      </x:c>
      <x:c r="U215" s="63" t="str">
        <x:v>Parcial</x:v>
      </x:c>
      <x:c r="V215" s="63" t="str">
        <x:v>Actividad con ejecución parcial o cierre financiero pendiente.</x:v>
      </x:c>
      <x:c r="W215" s="47" t="str">
        <x:v>Corte anual cerrado</x:v>
      </x:c>
    </x:row>
    <x:row r="216" ht="18" customHeight="1">
      <x:c r="A216" s="46" t="n">
        <x:v>2024</x:v>
      </x:c>
      <x:c r="B216" s="63" t="n">
        <x:v>12</x:v>
      </x:c>
      <x:c r="C216" s="63" t="str">
        <x:v>Diciembre</x:v>
      </x:c>
      <x:c r="D216" s="63" t="str">
        <x:v>T4</x:v>
      </x:c>
      <x:c r="E216" s="71" t="n">
        <x:v>45657</x:v>
      </x:c>
      <x:c r="F216" s="63" t="str">
        <x:v>Mejora continua y cumplimiento</x:v>
      </x:c>
      <x:c r="G216" s="63" t="str">
        <x:v>Gestión de incidentes y mejora</x:v>
      </x:c>
      <x:c r="H216" s="63" t="str">
        <x:v>Investigación de AT/EL y acciones correctivas</x:v>
      </x:c>
      <x:c r="I216" s="63" t="str">
        <x:v>Operativo</x:v>
      </x:c>
      <x:c r="J216" s="63" t="str">
        <x:v>Media</x:v>
      </x:c>
      <x:c r="K216" s="63" t="str">
        <x:v>Mensual</x:v>
      </x:c>
      <x:c r="L216" s="63" t="str">
        <x:v>Seguimiento</x:v>
      </x:c>
      <x:c r="M216" s="63" t="n">
        <x:v>12</x:v>
      </x:c>
      <x:c r="N216" s="63" t="str">
        <x:v>SST / Jefes de área</x:v>
      </x:c>
      <x:c r="O216" s="63" t="str">
        <x:v>Presupuesto SG-SST</x:v>
      </x:c>
      <x:c r="P216" s="63" t="str">
        <x:v>Investigación, plan de acción, evidencia de cierre</x:v>
      </x:c>
      <x:c r="Q216" s="79" t="n">
        <x:v>265005</x:v>
      </x:c>
      <x:c r="R216" s="79" t="n">
        <x:v>263696</x:v>
      </x:c>
      <x:c r="S216" s="79" t="n">
        <x:v>-1309</x:v>
      </x:c>
      <x:c r="T216" s="75" t="n">
        <x:v>0.9950604705571593</x:v>
      </x:c>
      <x:c r="U216" s="63" t="str">
        <x:v>Ejecutado</x:v>
      </x:c>
      <x:c r="V216" s="63" t="str">
        <x:v>Actividad ejecutada dentro del rango esperado.</x:v>
      </x:c>
      <x:c r="W216" s="47" t="str">
        <x:v>Corte anual cerrado</x:v>
      </x:c>
    </x:row>
    <x:row r="217" ht="18" customHeight="1">
      <x:c r="A217" s="46" t="n">
        <x:v>2024</x:v>
      </x:c>
      <x:c r="B217" s="63" t="n">
        <x:v>12</x:v>
      </x:c>
      <x:c r="C217" s="63" t="str">
        <x:v>Diciembre</x:v>
      </x:c>
      <x:c r="D217" s="63" t="str">
        <x:v>T4</x:v>
      </x:c>
      <x:c r="E217" s="71" t="n">
        <x:v>45657</x:v>
      </x:c>
      <x:c r="F217" s="63" t="str">
        <x:v>Emergencias e infraestructura</x:v>
      </x:c>
      <x:c r="G217" s="63" t="str">
        <x:v>Preparación y respuesta ante emergencias</x:v>
      </x:c>
      <x:c r="H217" s="63" t="str">
        <x:v>Mantenimiento de extintores, botiquines y equipos de emergencia</x:v>
      </x:c>
      <x:c r="I217" s="63" t="str">
        <x:v>Servicio</x:v>
      </x:c>
      <x:c r="J217" s="63" t="str">
        <x:v>Alta</x:v>
      </x:c>
      <x:c r="K217" s="63" t="str">
        <x:v>Bimestral / semestral</x:v>
      </x:c>
      <x:c r="L217" s="63" t="str">
        <x:v>Mantenimiento</x:v>
      </x:c>
      <x:c r="M217" s="63" t="n">
        <x:v>6</x:v>
      </x:c>
      <x:c r="N217" s="63" t="str">
        <x:v>Brigada / SST</x:v>
      </x:c>
      <x:c r="O217" s="63" t="str">
        <x:v>Presupuesto SG-SST</x:v>
      </x:c>
      <x:c r="P217" s="63" t="str">
        <x:v>Certificado, factura, hoja de vida del equipo</x:v>
      </x:c>
      <x:c r="Q217" s="79" t="n">
        <x:v>932814</x:v>
      </x:c>
      <x:c r="R217" s="79" t="n">
        <x:v>867757</x:v>
      </x:c>
      <x:c r="S217" s="79" t="n">
        <x:v>-65057</x:v>
      </x:c>
      <x:c r="T217" s="75" t="n">
        <x:v>0.930257264577933</x:v>
      </x:c>
      <x:c r="U217" s="63" t="str">
        <x:v>Parcial</x:v>
      </x:c>
      <x:c r="V217" s="63" t="str">
        <x:v>Actividad con ejecución parcial o cierre financiero pendiente.</x:v>
      </x:c>
      <x:c r="W217" s="47" t="str">
        <x:v>Corte anual cerrado</x:v>
      </x:c>
    </x:row>
    <x:row r="218" ht="18" customHeight="1">
      <x:c r="A218" s="46" t="n">
        <x:v>2024</x:v>
      </x:c>
      <x:c r="B218" s="63" t="n">
        <x:v>12</x:v>
      </x:c>
      <x:c r="C218" s="63" t="str">
        <x:v>Diciembre</x:v>
      </x:c>
      <x:c r="D218" s="63" t="str">
        <x:v>T4</x:v>
      </x:c>
      <x:c r="E218" s="71" t="n">
        <x:v>45657</x:v>
      </x:c>
      <x:c r="F218" s="63" t="str">
        <x:v>Medicina preventiva y del trabajo</x:v>
      </x:c>
      <x:c r="G218" s="63" t="str">
        <x:v>Programas de vigilancia epidemiológica</x:v>
      </x:c>
      <x:c r="H218" s="63" t="str">
        <x:v>Programas de vigilancia epidemiológica y seguimiento médico</x:v>
      </x:c>
      <x:c r="I218" s="63" t="str">
        <x:v>Servicio</x:v>
      </x:c>
      <x:c r="J218" s="63" t="str">
        <x:v>Alta</x:v>
      </x:c>
      <x:c r="K218" s="63" t="str">
        <x:v>Mensual</x:v>
      </x:c>
      <x:c r="L218" s="63" t="str">
        <x:v>Seguimiento</x:v>
      </x:c>
      <x:c r="M218" s="63" t="n">
        <x:v>12</x:v>
      </x:c>
      <x:c r="N218" s="63" t="str">
        <x:v>Médico laboral / SST</x:v>
      </x:c>
      <x:c r="O218" s="63" t="str">
        <x:v>Presupuesto SG-SST</x:v>
      </x:c>
      <x:c r="P218" s="63" t="str">
        <x:v>Base de seguimiento, informe, remisiones</x:v>
      </x:c>
      <x:c r="Q218" s="79" t="n">
        <x:v>445207</x:v>
      </x:c>
      <x:c r="R218" s="79" t="n">
        <x:v>438913</x:v>
      </x:c>
      <x:c r="S218" s="79" t="n">
        <x:v>-6294</x:v>
      </x:c>
      <x:c r="T218" s="75" t="n">
        <x:v>0.9858627559764335</x:v>
      </x:c>
      <x:c r="U218" s="63" t="str">
        <x:v>Ejecutado</x:v>
      </x:c>
      <x:c r="V218" s="63" t="str">
        <x:v>Actividad ejecutada dentro del rango esperado.</x:v>
      </x:c>
      <x:c r="W218" s="47" t="str">
        <x:v>Corte anual cerrado</x:v>
      </x:c>
    </x:row>
    <x:row r="219" ht="18" customHeight="1">
      <x:c r="A219" s="46" t="n">
        <x:v>2025</x:v>
      </x:c>
      <x:c r="B219" s="63" t="n">
        <x:v>1</x:v>
      </x:c>
      <x:c r="C219" s="63" t="str">
        <x:v>Enero</x:v>
      </x:c>
      <x:c r="D219" s="63" t="str">
        <x:v>T1</x:v>
      </x:c>
      <x:c r="E219" s="71" t="n">
        <x:v>45688</x:v>
      </x:c>
      <x:c r="F219" s="63" t="str">
        <x:v>Capacitación y entrenamiento</x:v>
      </x:c>
      <x:c r="G219" s="63" t="str">
        <x:v>Plan anual de formación</x:v>
      </x:c>
      <x:c r="H219" s="63" t="str">
        <x:v>Capacitación y entrenamiento en SG-SST</x:v>
      </x:c>
      <x:c r="I219" s="63" t="str">
        <x:v>Operativo</x:v>
      </x:c>
      <x:c r="J219" s="63" t="str">
        <x:v>Alta</x:v>
      </x:c>
      <x:c r="K219" s="63" t="str">
        <x:v>Mensual</x:v>
      </x:c>
      <x:c r="L219" s="63" t="str">
        <x:v>Jornada</x:v>
      </x:c>
      <x:c r="M219" s="63" t="n">
        <x:v>12</x:v>
      </x:c>
      <x:c r="N219" s="63" t="str">
        <x:v>Coordinación SST</x:v>
      </x:c>
      <x:c r="O219" s="63" t="str">
        <x:v>Presupuesto SG-SST</x:v>
      </x:c>
      <x:c r="P219" s="63" t="str">
        <x:v>Lista de asistencia, evaluación, acta</x:v>
      </x:c>
      <x:c r="Q219" s="79" t="n">
        <x:v>446055</x:v>
      </x:c>
      <x:c r="R219" s="79" t="n">
        <x:v>440584</x:v>
      </x:c>
      <x:c r="S219" s="79" t="n">
        <x:v>-5471</x:v>
      </x:c>
      <x:c r="T219" s="75" t="n">
        <x:v>0.9877346963939424</x:v>
      </x:c>
      <x:c r="U219" s="63" t="str">
        <x:v>Ejecutado</x:v>
      </x:c>
      <x:c r="V219" s="63" t="str">
        <x:v>Actividad ejecutada dentro del rango esperado.</x:v>
      </x:c>
      <x:c r="W219" s="47" t="str">
        <x:v>Corte anual cerrado</x:v>
      </x:c>
    </x:row>
    <x:row r="220" ht="18" customHeight="1">
      <x:c r="A220" s="46" t="n">
        <x:v>2025</x:v>
      </x:c>
      <x:c r="B220" s="63" t="n">
        <x:v>1</x:v>
      </x:c>
      <x:c r="C220" s="63" t="str">
        <x:v>Enero</x:v>
      </x:c>
      <x:c r="D220" s="63" t="str">
        <x:v>T1</x:v>
      </x:c>
      <x:c r="E220" s="71" t="n">
        <x:v>45688</x:v>
      </x:c>
      <x:c r="F220" s="63" t="str">
        <x:v>Higiene y seguridad industrial</x:v>
      </x:c>
      <x:c r="G220" s="63" t="str">
        <x:v>Dotación y control operacional</x:v>
      </x:c>
      <x:c r="H220" s="63" t="str">
        <x:v>Dotación y reposición de EPP</x:v>
      </x:c>
      <x:c r="I220" s="63" t="str">
        <x:v>Operativo</x:v>
      </x:c>
      <x:c r="J220" s="63" t="str">
        <x:v>Alta</x:v>
      </x:c>
      <x:c r="K220" s="63" t="str">
        <x:v>Bimestral / trimestral</x:v>
      </x:c>
      <x:c r="L220" s="63" t="str">
        <x:v>Entrega</x:v>
      </x:c>
      <x:c r="M220" s="63" t="n">
        <x:v>6</x:v>
      </x:c>
      <x:c r="N220" s="63" t="str">
        <x:v>Coordinación SST / Compras</x:v>
      </x:c>
      <x:c r="O220" s="63" t="str">
        <x:v>Presupuesto SG-SST</x:v>
      </x:c>
      <x:c r="P220" s="63" t="str">
        <x:v>Formato de entrega, factura, remisión</x:v>
      </x:c>
      <x:c r="Q220" s="79" t="n">
        <x:v>2341787</x:v>
      </x:c>
      <x:c r="R220" s="79" t="n">
        <x:v>2369345</x:v>
      </x:c>
      <x:c r="S220" s="79" t="n">
        <x:v>27558</x:v>
      </x:c>
      <x:c r="T220" s="75" t="n">
        <x:v>1.0117679361957344</x:v>
      </x:c>
      <x:c r="U220" s="63" t="str">
        <x:v>Ejecutado</x:v>
      </x:c>
      <x:c r="V220" s="63" t="str">
        <x:v>Actividad ejecutada dentro del rango esperado.</x:v>
      </x:c>
      <x:c r="W220" s="47" t="str">
        <x:v>Corte anual cerrado</x:v>
      </x:c>
    </x:row>
    <x:row r="221" ht="18" customHeight="1">
      <x:c r="A221" s="46" t="n">
        <x:v>2025</x:v>
      </x:c>
      <x:c r="B221" s="63" t="n">
        <x:v>1</x:v>
      </x:c>
      <x:c r="C221" s="63" t="str">
        <x:v>Enero</x:v>
      </x:c>
      <x:c r="D221" s="63" t="str">
        <x:v>T1</x:v>
      </x:c>
      <x:c r="E221" s="71" t="n">
        <x:v>45688</x:v>
      </x:c>
      <x:c r="F221" s="63" t="str">
        <x:v>Recursos y gestión financiera</x:v>
      </x:c>
      <x:c r="G221" s="63" t="str">
        <x:v>Planeación y recursos</x:v>
      </x:c>
      <x:c r="H221" s="63" t="str">
        <x:v>Exámenes médicos ocupacionales</x:v>
      </x:c>
      <x:c r="I221" s="63" t="str">
        <x:v>Servicio</x:v>
      </x:c>
      <x:c r="J221" s="63" t="str">
        <x:v>Alta</x:v>
      </x:c>
      <x:c r="K221" s="63" t="str">
        <x:v>Semestral</x:v>
      </x:c>
      <x:c r="L221" s="63" t="str">
        <x:v>Jornada</x:v>
      </x:c>
      <x:c r="M221" s="63" t="n">
        <x:v>2</x:v>
      </x:c>
      <x:c r="N221" s="63" t="str">
        <x:v>Coordinación SST</x:v>
      </x:c>
      <x:c r="O221" s="63" t="str">
        <x:v>Presupuesto SG-SST</x:v>
      </x:c>
      <x:c r="P221" s="63" t="str">
        <x:v>Orden de servicio, factura, concepto médico</x:v>
      </x:c>
      <x:c r="Q221" s="79" t="n">
        <x:v>1204348</x:v>
      </x:c>
      <x:c r="R221" s="79" t="n">
        <x:v>1147640</x:v>
      </x:c>
      <x:c r="S221" s="79" t="n">
        <x:v>-56708</x:v>
      </x:c>
      <x:c r="T221" s="75" t="n">
        <x:v>0.9529139418174813</x:v>
      </x:c>
      <x:c r="U221" s="63" t="str">
        <x:v>Parcial</x:v>
      </x:c>
      <x:c r="V221" s="63" t="str">
        <x:v>Actividad con ejecución parcial o cierre financiero pendiente.</x:v>
      </x:c>
      <x:c r="W221" s="47" t="str">
        <x:v>Corte anual cerrado</x:v>
      </x:c>
    </x:row>
    <x:row r="222" ht="18" customHeight="1">
      <x:c r="A222" s="46" t="n">
        <x:v>2025</x:v>
      </x:c>
      <x:c r="B222" s="63" t="n">
        <x:v>1</x:v>
      </x:c>
      <x:c r="C222" s="63" t="str">
        <x:v>Enero</x:v>
      </x:c>
      <x:c r="D222" s="63" t="str">
        <x:v>T1</x:v>
      </x:c>
      <x:c r="E222" s="71" t="n">
        <x:v>45688</x:v>
      </x:c>
      <x:c r="F222" s="63" t="str">
        <x:v>Gestión de contratistas</x:v>
      </x:c>
      <x:c r="G222" s="63" t="str">
        <x:v>Control de terceros</x:v>
      </x:c>
      <x:c r="H222" s="63" t="str">
        <x:v>Gestión SST de proveedores y contratistas</x:v>
      </x:c>
      <x:c r="I222" s="63" t="str">
        <x:v>Operativo</x:v>
      </x:c>
      <x:c r="J222" s="63" t="str">
        <x:v>Media</x:v>
      </x:c>
      <x:c r="K222" s="63" t="str">
        <x:v>Trimestral</x:v>
      </x:c>
      <x:c r="L222" s="63" t="str">
        <x:v>Ciclo</x:v>
      </x:c>
      <x:c r="M222" s="63" t="n">
        <x:v>4</x:v>
      </x:c>
      <x:c r="N222" s="63" t="str">
        <x:v>Compras / SST</x:v>
      </x:c>
      <x:c r="O222" s="63" t="str">
        <x:v>Presupuesto SG-SST</x:v>
      </x:c>
      <x:c r="P222" s="63" t="str">
        <x:v>Matriz de evaluación, soportes de contratistas</x:v>
      </x:c>
      <x:c r="Q222" s="79" t="n">
        <x:v>501812</x:v>
      </x:c>
      <x:c r="R222" s="79" t="n">
        <x:v>504690</x:v>
      </x:c>
      <x:c r="S222" s="79" t="n">
        <x:v>2878</x:v>
      </x:c>
      <x:c r="T222" s="75" t="n">
        <x:v>1.0057352155787427</x:v>
      </x:c>
      <x:c r="U222" s="63" t="str">
        <x:v>Ejecutado</x:v>
      </x:c>
      <x:c r="V222" s="63" t="str">
        <x:v>Actividad ejecutada dentro del rango esperado.</x:v>
      </x:c>
      <x:c r="W222" s="47" t="str">
        <x:v>Corte anual cerrado</x:v>
      </x:c>
    </x:row>
    <x:row r="223" ht="18" customHeight="1">
      <x:c r="A223" s="46" t="n">
        <x:v>2025</x:v>
      </x:c>
      <x:c r="B223" s="63" t="n">
        <x:v>1</x:v>
      </x:c>
      <x:c r="C223" s="63" t="str">
        <x:v>Enero</x:v>
      </x:c>
      <x:c r="D223" s="63" t="str">
        <x:v>T1</x:v>
      </x:c>
      <x:c r="E223" s="71" t="n">
        <x:v>45688</x:v>
      </x:c>
      <x:c r="F223" s="63" t="str">
        <x:v>Participación y consulta</x:v>
      </x:c>
      <x:c r="G223" s="63" t="str">
        <x:v>Comités de SST</x:v>
      </x:c>
      <x:c r="H223" s="63" t="str">
        <x:v>Gestión de COPASST y Comité de Convivencia</x:v>
      </x:c>
      <x:c r="I223" s="63" t="str">
        <x:v>Operativo</x:v>
      </x:c>
      <x:c r="J223" s="63" t="str">
        <x:v>Media</x:v>
      </x:c>
      <x:c r="K223" s="63" t="str">
        <x:v>Mensual</x:v>
      </x:c>
      <x:c r="L223" s="63" t="str">
        <x:v>Reunión</x:v>
      </x:c>
      <x:c r="M223" s="63" t="n">
        <x:v>12</x:v>
      </x:c>
      <x:c r="N223" s="63" t="str">
        <x:v>Talento Humano / SST</x:v>
      </x:c>
      <x:c r="O223" s="63" t="str">
        <x:v>Presupuesto SG-SST</x:v>
      </x:c>
      <x:c r="P223" s="63" t="str">
        <x:v>Acta, convocatoria, seguimiento compromisos</x:v>
      </x:c>
      <x:c r="Q223" s="79" t="n">
        <x:v>178422</x:v>
      </x:c>
      <x:c r="R223" s="79" t="n">
        <x:v>174080</x:v>
      </x:c>
      <x:c r="S223" s="79" t="n">
        <x:v>-4342</x:v>
      </x:c>
      <x:c r="T223" s="75" t="n">
        <x:v>0.9756644360000448</x:v>
      </x:c>
      <x:c r="U223" s="63" t="str">
        <x:v>Parcial</x:v>
      </x:c>
      <x:c r="V223" s="63" t="str">
        <x:v>Actividad con ejecución parcial o cierre financiero pendiente.</x:v>
      </x:c>
      <x:c r="W223" s="47" t="str">
        <x:v>Corte anual cerrado</x:v>
      </x:c>
    </x:row>
    <x:row r="224" ht="18" customHeight="1">
      <x:c r="A224" s="46" t="n">
        <x:v>2025</x:v>
      </x:c>
      <x:c r="B224" s="63" t="n">
        <x:v>1</x:v>
      </x:c>
      <x:c r="C224" s="63" t="str">
        <x:v>Enero</x:v>
      </x:c>
      <x:c r="D224" s="63" t="str">
        <x:v>T1</x:v>
      </x:c>
      <x:c r="E224" s="71" t="n">
        <x:v>45688</x:v>
      </x:c>
      <x:c r="F224" s="63" t="str">
        <x:v>Higiene y seguridad industrial</x:v>
      </x:c>
      <x:c r="G224" s="63" t="str">
        <x:v>Inspecciones y control</x:v>
      </x:c>
      <x:c r="H224" s="63" t="str">
        <x:v>Inspecciones planeadas de seguridad</x:v>
      </x:c>
      <x:c r="I224" s="63" t="str">
        <x:v>Operativo</x:v>
      </x:c>
      <x:c r="J224" s="63" t="str">
        <x:v>Media</x:v>
      </x:c>
      <x:c r="K224" s="63" t="str">
        <x:v>Mensual</x:v>
      </x:c>
      <x:c r="L224" s="63" t="str">
        <x:v>Inspección</x:v>
      </x:c>
      <x:c r="M224" s="63" t="n">
        <x:v>12</x:v>
      </x:c>
      <x:c r="N224" s="63" t="str">
        <x:v>Inspector SST</x:v>
      </x:c>
      <x:c r="O224" s="63" t="str">
        <x:v>Presupuesto SG-SST</x:v>
      </x:c>
      <x:c r="P224" s="63" t="str">
        <x:v>Lista de chequeo, informe, evidencia fotográfica</x:v>
      </x:c>
      <x:c r="Q224" s="79" t="n">
        <x:v>301087</x:v>
      </x:c>
      <x:c r="R224" s="79" t="n">
        <x:v>301358</x:v>
      </x:c>
      <x:c r="S224" s="79" t="n">
        <x:v>271</x:v>
      </x:c>
      <x:c r="T224" s="75" t="n">
        <x:v>1.0009000720721917</x:v>
      </x:c>
      <x:c r="U224" s="63" t="str">
        <x:v>Ejecutado</x:v>
      </x:c>
      <x:c r="V224" s="63" t="str">
        <x:v>Actividad ejecutada dentro del rango esperado.</x:v>
      </x:c>
      <x:c r="W224" s="47" t="str">
        <x:v>Corte anual cerrado</x:v>
      </x:c>
    </x:row>
    <x:row r="225" ht="18" customHeight="1">
      <x:c r="A225" s="46" t="n">
        <x:v>2025</x:v>
      </x:c>
      <x:c r="B225" s="63" t="n">
        <x:v>1</x:v>
      </x:c>
      <x:c r="C225" s="63" t="str">
        <x:v>Enero</x:v>
      </x:c>
      <x:c r="D225" s="63" t="str">
        <x:v>T1</x:v>
      </x:c>
      <x:c r="E225" s="71" t="n">
        <x:v>45688</x:v>
      </x:c>
      <x:c r="F225" s="63" t="str">
        <x:v>Mejora continua y cumplimiento</x:v>
      </x:c>
      <x:c r="G225" s="63" t="str">
        <x:v>Gestión de incidentes y mejora</x:v>
      </x:c>
      <x:c r="H225" s="63" t="str">
        <x:v>Investigación de AT/EL y acciones correctivas</x:v>
      </x:c>
      <x:c r="I225" s="63" t="str">
        <x:v>Operativo</x:v>
      </x:c>
      <x:c r="J225" s="63" t="str">
        <x:v>Media</x:v>
      </x:c>
      <x:c r="K225" s="63" t="str">
        <x:v>Mensual</x:v>
      </x:c>
      <x:c r="L225" s="63" t="str">
        <x:v>Seguimiento</x:v>
      </x:c>
      <x:c r="M225" s="63" t="n">
        <x:v>12</x:v>
      </x:c>
      <x:c r="N225" s="63" t="str">
        <x:v>SST / Jefes de área</x:v>
      </x:c>
      <x:c r="O225" s="63" t="str">
        <x:v>Presupuesto SG-SST</x:v>
      </x:c>
      <x:c r="P225" s="63" t="str">
        <x:v>Investigación, plan de acción, evidencia de cierre</x:v>
      </x:c>
      <x:c r="Q225" s="79" t="n">
        <x:v>223027</x:v>
      </x:c>
      <x:c r="R225" s="79" t="n">
        <x:v>210145</x:v>
      </x:c>
      <x:c r="S225" s="79" t="n">
        <x:v>-12882</x:v>
      </x:c>
      <x:c r="T225" s="75" t="n">
        <x:v>0.9422401771982765</x:v>
      </x:c>
      <x:c r="U225" s="63" t="str">
        <x:v>Parcial</x:v>
      </x:c>
      <x:c r="V225" s="63" t="str">
        <x:v>Actividad con ejecución parcial o cierre financiero pendiente.</x:v>
      </x:c>
      <x:c r="W225" s="47" t="str">
        <x:v>Corte anual cerrado</x:v>
      </x:c>
    </x:row>
    <x:row r="226" ht="18" customHeight="1">
      <x:c r="A226" s="46" t="n">
        <x:v>2025</x:v>
      </x:c>
      <x:c r="B226" s="63" t="n">
        <x:v>1</x:v>
      </x:c>
      <x:c r="C226" s="63" t="str">
        <x:v>Enero</x:v>
      </x:c>
      <x:c r="D226" s="63" t="str">
        <x:v>T1</x:v>
      </x:c>
      <x:c r="E226" s="71" t="n">
        <x:v>45688</x:v>
      </x:c>
      <x:c r="F226" s="63" t="str">
        <x:v>Emergencias e infraestructura</x:v>
      </x:c>
      <x:c r="G226" s="63" t="str">
        <x:v>Preparación y respuesta ante emergencias</x:v>
      </x:c>
      <x:c r="H226" s="63" t="str">
        <x:v>Mantenimiento de extintores, botiquines y equipos de emergencia</x:v>
      </x:c>
      <x:c r="I226" s="63" t="str">
        <x:v>Servicio</x:v>
      </x:c>
      <x:c r="J226" s="63" t="str">
        <x:v>Alta</x:v>
      </x:c>
      <x:c r="K226" s="63" t="str">
        <x:v>Bimestral / semestral</x:v>
      </x:c>
      <x:c r="L226" s="63" t="str">
        <x:v>Mantenimiento</x:v>
      </x:c>
      <x:c r="M226" s="63" t="n">
        <x:v>6</x:v>
      </x:c>
      <x:c r="N226" s="63" t="str">
        <x:v>Brigada / SST</x:v>
      </x:c>
      <x:c r="O226" s="63" t="str">
        <x:v>Presupuesto SG-SST</x:v>
      </x:c>
      <x:c r="P226" s="63" t="str">
        <x:v>Certificado, factura, hoja de vida del equipo</x:v>
      </x:c>
      <x:c r="Q226" s="79" t="n">
        <x:v>802898</x:v>
      </x:c>
      <x:c r="R226" s="79" t="n">
        <x:v>793203</x:v>
      </x:c>
      <x:c r="S226" s="79" t="n">
        <x:v>-9695</x:v>
      </x:c>
      <x:c r="T226" s="75" t="n">
        <x:v>0.9879249917175034</x:v>
      </x:c>
      <x:c r="U226" s="63" t="str">
        <x:v>Ejecutado</x:v>
      </x:c>
      <x:c r="V226" s="63" t="str">
        <x:v>Actividad ejecutada dentro del rango esperado.</x:v>
      </x:c>
      <x:c r="W226" s="47" t="str">
        <x:v>Corte anual cerrado</x:v>
      </x:c>
    </x:row>
    <x:row r="227" ht="18" customHeight="1">
      <x:c r="A227" s="46" t="n">
        <x:v>2025</x:v>
      </x:c>
      <x:c r="B227" s="63" t="n">
        <x:v>1</x:v>
      </x:c>
      <x:c r="C227" s="63" t="str">
        <x:v>Enero</x:v>
      </x:c>
      <x:c r="D227" s="63" t="str">
        <x:v>T1</x:v>
      </x:c>
      <x:c r="E227" s="71" t="n">
        <x:v>45688</x:v>
      </x:c>
      <x:c r="F227" s="63" t="str">
        <x:v>Medicina preventiva y del trabajo</x:v>
      </x:c>
      <x:c r="G227" s="63" t="str">
        <x:v>Programas de vigilancia epidemiológica</x:v>
      </x:c>
      <x:c r="H227" s="63" t="str">
        <x:v>Programas de vigilancia epidemiológica y seguimiento médico</x:v>
      </x:c>
      <x:c r="I227" s="63" t="str">
        <x:v>Servicio</x:v>
      </x:c>
      <x:c r="J227" s="63" t="str">
        <x:v>Alta</x:v>
      </x:c>
      <x:c r="K227" s="63" t="str">
        <x:v>Mensual</x:v>
      </x:c>
      <x:c r="L227" s="63" t="str">
        <x:v>Seguimiento</x:v>
      </x:c>
      <x:c r="M227" s="63" t="n">
        <x:v>12</x:v>
      </x:c>
      <x:c r="N227" s="63" t="str">
        <x:v>Médico laboral / SST</x:v>
      </x:c>
      <x:c r="O227" s="63" t="str">
        <x:v>Presupuesto SG-SST</x:v>
      </x:c>
      <x:c r="P227" s="63" t="str">
        <x:v>Base de seguimiento, informe, remisiones</x:v>
      </x:c>
      <x:c r="Q227" s="79" t="n">
        <x:v>780596</x:v>
      </x:c>
      <x:c r="R227" s="79" t="n">
        <x:v>803485</x:v>
      </x:c>
      <x:c r="S227" s="79" t="n">
        <x:v>22889</x:v>
      </x:c>
      <x:c r="T227" s="75" t="n">
        <x:v>1.029322466423092</x:v>
      </x:c>
      <x:c r="U227" s="63" t="str">
        <x:v>Ejecutado</x:v>
      </x:c>
      <x:c r="V227" s="63" t="str">
        <x:v>Actividad ejecutada dentro del rango esperado.</x:v>
      </x:c>
      <x:c r="W227" s="47" t="str">
        <x:v>Corte anual cerrado</x:v>
      </x:c>
    </x:row>
    <x:row r="228" ht="18" customHeight="1">
      <x:c r="A228" s="46" t="n">
        <x:v>2025</x:v>
      </x:c>
      <x:c r="B228" s="63" t="n">
        <x:v>2</x:v>
      </x:c>
      <x:c r="C228" s="63" t="str">
        <x:v>Febrero</x:v>
      </x:c>
      <x:c r="D228" s="63" t="str">
        <x:v>T1</x:v>
      </x:c>
      <x:c r="E228" s="71" t="n">
        <x:v>45716</x:v>
      </x:c>
      <x:c r="F228" s="63" t="str">
        <x:v>Capacitación y entrenamiento</x:v>
      </x:c>
      <x:c r="G228" s="63" t="str">
        <x:v>Plan anual de formación</x:v>
      </x:c>
      <x:c r="H228" s="63" t="str">
        <x:v>Capacitación y entrenamiento en SG-SST</x:v>
      </x:c>
      <x:c r="I228" s="63" t="str">
        <x:v>Operativo</x:v>
      </x:c>
      <x:c r="J228" s="63" t="str">
        <x:v>Alta</x:v>
      </x:c>
      <x:c r="K228" s="63" t="str">
        <x:v>Mensual</x:v>
      </x:c>
      <x:c r="L228" s="63" t="str">
        <x:v>Jornada</x:v>
      </x:c>
      <x:c r="M228" s="63" t="n">
        <x:v>12</x:v>
      </x:c>
      <x:c r="N228" s="63" t="str">
        <x:v>Coordinación SST</x:v>
      </x:c>
      <x:c r="O228" s="63" t="str">
        <x:v>Presupuesto SG-SST</x:v>
      </x:c>
      <x:c r="P228" s="63" t="str">
        <x:v>Lista de asistencia, evaluación, acta</x:v>
      </x:c>
      <x:c r="Q228" s="79" t="n">
        <x:v>446055</x:v>
      </x:c>
      <x:c r="R228" s="79" t="n">
        <x:v>434092</x:v>
      </x:c>
      <x:c r="S228" s="79" t="n">
        <x:v>-11963</x:v>
      </x:c>
      <x:c r="T228" s="75" t="n">
        <x:v>0.9731804373900079</x:v>
      </x:c>
      <x:c r="U228" s="63" t="str">
        <x:v>Parcial</x:v>
      </x:c>
      <x:c r="V228" s="63" t="str">
        <x:v>Actividad con ejecución parcial o cierre financiero pendiente.</x:v>
      </x:c>
      <x:c r="W228" s="47" t="str">
        <x:v>Corte anual cerrado</x:v>
      </x:c>
    </x:row>
    <x:row r="229" ht="18" customHeight="1">
      <x:c r="A229" s="46" t="n">
        <x:v>2025</x:v>
      </x:c>
      <x:c r="B229" s="63" t="n">
        <x:v>2</x:v>
      </x:c>
      <x:c r="C229" s="63" t="str">
        <x:v>Febrero</x:v>
      </x:c>
      <x:c r="D229" s="63" t="str">
        <x:v>T1</x:v>
      </x:c>
      <x:c r="E229" s="71" t="n">
        <x:v>45716</x:v>
      </x:c>
      <x:c r="F229" s="63" t="str">
        <x:v>Recursos y gestión financiera</x:v>
      </x:c>
      <x:c r="G229" s="63" t="str">
        <x:v>Planeación y recursos</x:v>
      </x:c>
      <x:c r="H229" s="63" t="str">
        <x:v>Exámenes médicos ocupacionales</x:v>
      </x:c>
      <x:c r="I229" s="63" t="str">
        <x:v>Servicio</x:v>
      </x:c>
      <x:c r="J229" s="63" t="str">
        <x:v>Alta</x:v>
      </x:c>
      <x:c r="K229" s="63" t="str">
        <x:v>Semestral</x:v>
      </x:c>
      <x:c r="L229" s="63" t="str">
        <x:v>Jornada</x:v>
      </x:c>
      <x:c r="M229" s="63" t="n">
        <x:v>2</x:v>
      </x:c>
      <x:c r="N229" s="63" t="str">
        <x:v>Coordinación SST</x:v>
      </x:c>
      <x:c r="O229" s="63" t="str">
        <x:v>Presupuesto SG-SST</x:v>
      </x:c>
      <x:c r="P229" s="63" t="str">
        <x:v>Orden de servicio, factura, concepto médico</x:v>
      </x:c>
      <x:c r="Q229" s="79" t="n">
        <x:v>1471981</x:v>
      </x:c>
      <x:c r="R229" s="79" t="n">
        <x:v>1400981</x:v>
      </x:c>
      <x:c r="S229" s="79" t="n">
        <x:v>-71000</x:v>
      </x:c>
      <x:c r="T229" s="75" t="n">
        <x:v>0.9517656817581205</x:v>
      </x:c>
      <x:c r="U229" s="63" t="str">
        <x:v>Parcial</x:v>
      </x:c>
      <x:c r="V229" s="63" t="str">
        <x:v>Actividad con ejecución parcial o cierre financiero pendiente.</x:v>
      </x:c>
      <x:c r="W229" s="47" t="str">
        <x:v>Corte anual cerrado</x:v>
      </x:c>
    </x:row>
    <x:row r="230" ht="18" customHeight="1">
      <x:c r="A230" s="46" t="n">
        <x:v>2025</x:v>
      </x:c>
      <x:c r="B230" s="63" t="n">
        <x:v>2</x:v>
      </x:c>
      <x:c r="C230" s="63" t="str">
        <x:v>Febrero</x:v>
      </x:c>
      <x:c r="D230" s="63" t="str">
        <x:v>T1</x:v>
      </x:c>
      <x:c r="E230" s="71" t="n">
        <x:v>45716</x:v>
      </x:c>
      <x:c r="F230" s="63" t="str">
        <x:v>Participación y consulta</x:v>
      </x:c>
      <x:c r="G230" s="63" t="str">
        <x:v>Comités de SST</x:v>
      </x:c>
      <x:c r="H230" s="63" t="str">
        <x:v>Gestión de COPASST y Comité de Convivencia</x:v>
      </x:c>
      <x:c r="I230" s="63" t="str">
        <x:v>Operativo</x:v>
      </x:c>
      <x:c r="J230" s="63" t="str">
        <x:v>Media</x:v>
      </x:c>
      <x:c r="K230" s="63" t="str">
        <x:v>Mensual</x:v>
      </x:c>
      <x:c r="L230" s="63" t="str">
        <x:v>Reunión</x:v>
      </x:c>
      <x:c r="M230" s="63" t="n">
        <x:v>12</x:v>
      </x:c>
      <x:c r="N230" s="63" t="str">
        <x:v>Talento Humano / SST</x:v>
      </x:c>
      <x:c r="O230" s="63" t="str">
        <x:v>Presupuesto SG-SST</x:v>
      </x:c>
      <x:c r="P230" s="63" t="str">
        <x:v>Acta, convocatoria, seguimiento compromisos</x:v>
      </x:c>
      <x:c r="Q230" s="79" t="n">
        <x:v>178422</x:v>
      </x:c>
      <x:c r="R230" s="79" t="n">
        <x:v>160940</x:v>
      </x:c>
      <x:c r="S230" s="79" t="n">
        <x:v>-17482</x:v>
      </x:c>
      <x:c r="T230" s="75" t="n">
        <x:v>0.9020188093396554</x:v>
      </x:c>
      <x:c r="U230" s="63" t="str">
        <x:v>Parcial</x:v>
      </x:c>
      <x:c r="V230" s="63" t="str">
        <x:v>Actividad con ejecución parcial o cierre financiero pendiente.</x:v>
      </x:c>
      <x:c r="W230" s="47" t="str">
        <x:v>Corte anual cerrado</x:v>
      </x:c>
    </x:row>
    <x:row r="231" ht="18" customHeight="1">
      <x:c r="A231" s="46" t="n">
        <x:v>2025</x:v>
      </x:c>
      <x:c r="B231" s="63" t="n">
        <x:v>2</x:v>
      </x:c>
      <x:c r="C231" s="63" t="str">
        <x:v>Febrero</x:v>
      </x:c>
      <x:c r="D231" s="63" t="str">
        <x:v>T1</x:v>
      </x:c>
      <x:c r="E231" s="71" t="n">
        <x:v>45716</x:v>
      </x:c>
      <x:c r="F231" s="63" t="str">
        <x:v>Higiene y seguridad industrial</x:v>
      </x:c>
      <x:c r="G231" s="63" t="str">
        <x:v>Inspecciones y control</x:v>
      </x:c>
      <x:c r="H231" s="63" t="str">
        <x:v>Inspecciones planeadas de seguridad</x:v>
      </x:c>
      <x:c r="I231" s="63" t="str">
        <x:v>Operativo</x:v>
      </x:c>
      <x:c r="J231" s="63" t="str">
        <x:v>Media</x:v>
      </x:c>
      <x:c r="K231" s="63" t="str">
        <x:v>Mensual</x:v>
      </x:c>
      <x:c r="L231" s="63" t="str">
        <x:v>Inspección</x:v>
      </x:c>
      <x:c r="M231" s="63" t="n">
        <x:v>12</x:v>
      </x:c>
      <x:c r="N231" s="63" t="str">
        <x:v>Inspector SST</x:v>
      </x:c>
      <x:c r="O231" s="63" t="str">
        <x:v>Presupuesto SG-SST</x:v>
      </x:c>
      <x:c r="P231" s="63" t="str">
        <x:v>Lista de chequeo, informe, evidencia fotográfica</x:v>
      </x:c>
      <x:c r="Q231" s="79" t="n">
        <x:v>267633</x:v>
      </x:c>
      <x:c r="R231" s="79" t="n">
        <x:v>265120</x:v>
      </x:c>
      <x:c r="S231" s="79" t="n">
        <x:v>-2513</x:v>
      </x:c>
      <x:c r="T231" s="75" t="n">
        <x:v>0.9906102760123005</x:v>
      </x:c>
      <x:c r="U231" s="63" t="str">
        <x:v>Ejecutado</x:v>
      </x:c>
      <x:c r="V231" s="63" t="str">
        <x:v>Actividad ejecutada dentro del rango esperado.</x:v>
      </x:c>
      <x:c r="W231" s="47" t="str">
        <x:v>Corte anual cerrado</x:v>
      </x:c>
    </x:row>
    <x:row r="232" ht="18" customHeight="1">
      <x:c r="A232" s="46" t="n">
        <x:v>2025</x:v>
      </x:c>
      <x:c r="B232" s="63" t="n">
        <x:v>2</x:v>
      </x:c>
      <x:c r="C232" s="63" t="str">
        <x:v>Febrero</x:v>
      </x:c>
      <x:c r="D232" s="63" t="str">
        <x:v>T1</x:v>
      </x:c>
      <x:c r="E232" s="71" t="n">
        <x:v>45716</x:v>
      </x:c>
      <x:c r="F232" s="63" t="str">
        <x:v>Mejora continua y cumplimiento</x:v>
      </x:c>
      <x:c r="G232" s="63" t="str">
        <x:v>Gestión de incidentes y mejora</x:v>
      </x:c>
      <x:c r="H232" s="63" t="str">
        <x:v>Investigación de AT/EL y acciones correctivas</x:v>
      </x:c>
      <x:c r="I232" s="63" t="str">
        <x:v>Operativo</x:v>
      </x:c>
      <x:c r="J232" s="63" t="str">
        <x:v>Media</x:v>
      </x:c>
      <x:c r="K232" s="63" t="str">
        <x:v>Mensual</x:v>
      </x:c>
      <x:c r="L232" s="63" t="str">
        <x:v>Seguimiento</x:v>
      </x:c>
      <x:c r="M232" s="63" t="n">
        <x:v>12</x:v>
      </x:c>
      <x:c r="N232" s="63" t="str">
        <x:v>SST / Jefes de área</x:v>
      </x:c>
      <x:c r="O232" s="63" t="str">
        <x:v>Presupuesto SG-SST</x:v>
      </x:c>
      <x:c r="P232" s="63" t="str">
        <x:v>Investigación, plan de acción, evidencia de cierre</x:v>
      </x:c>
      <x:c r="Q232" s="79" t="n">
        <x:v>223027</x:v>
      </x:c>
      <x:c r="R232" s="79" t="n">
        <x:v>228763</x:v>
      </x:c>
      <x:c r="S232" s="79" t="n">
        <x:v>5736</x:v>
      </x:c>
      <x:c r="T232" s="75" t="n">
        <x:v>1.0257188591515825</x:v>
      </x:c>
      <x:c r="U232" s="63" t="str">
        <x:v>Ejecutado</x:v>
      </x:c>
      <x:c r="V232" s="63" t="str">
        <x:v>Actividad ejecutada dentro del rango esperado.</x:v>
      </x:c>
      <x:c r="W232" s="47" t="str">
        <x:v>Corte anual cerrado</x:v>
      </x:c>
    </x:row>
    <x:row r="233" ht="18" customHeight="1">
      <x:c r="A233" s="46" t="n">
        <x:v>2025</x:v>
      </x:c>
      <x:c r="B233" s="63" t="n">
        <x:v>2</x:v>
      </x:c>
      <x:c r="C233" s="63" t="str">
        <x:v>Febrero</x:v>
      </x:c>
      <x:c r="D233" s="63" t="str">
        <x:v>T1</x:v>
      </x:c>
      <x:c r="E233" s="71" t="n">
        <x:v>45716</x:v>
      </x:c>
      <x:c r="F233" s="63" t="str">
        <x:v>Medicina preventiva y del trabajo</x:v>
      </x:c>
      <x:c r="G233" s="63" t="str">
        <x:v>Programas de vigilancia epidemiológica</x:v>
      </x:c>
      <x:c r="H233" s="63" t="str">
        <x:v>Programas de vigilancia epidemiológica y seguimiento médico</x:v>
      </x:c>
      <x:c r="I233" s="63" t="str">
        <x:v>Servicio</x:v>
      </x:c>
      <x:c r="J233" s="63" t="str">
        <x:v>Alta</x:v>
      </x:c>
      <x:c r="K233" s="63" t="str">
        <x:v>Mensual</x:v>
      </x:c>
      <x:c r="L233" s="63" t="str">
        <x:v>Seguimiento</x:v>
      </x:c>
      <x:c r="M233" s="63" t="n">
        <x:v>12</x:v>
      </x:c>
      <x:c r="N233" s="63" t="str">
        <x:v>Médico laboral / SST</x:v>
      </x:c>
      <x:c r="O233" s="63" t="str">
        <x:v>Presupuesto SG-SST</x:v>
      </x:c>
      <x:c r="P233" s="63" t="str">
        <x:v>Base de seguimiento, informe, remisiones</x:v>
      </x:c>
      <x:c r="Q233" s="79" t="n">
        <x:v>780596</x:v>
      </x:c>
      <x:c r="R233" s="79" t="n">
        <x:v>786212</x:v>
      </x:c>
      <x:c r="S233" s="79" t="n">
        <x:v>5616</x:v>
      </x:c>
      <x:c r="T233" s="75" t="n">
        <x:v>1.0071945026620686</x:v>
      </x:c>
      <x:c r="U233" s="63" t="str">
        <x:v>Ejecutado</x:v>
      </x:c>
      <x:c r="V233" s="63" t="str">
        <x:v>Actividad ejecutada dentro del rango esperado.</x:v>
      </x:c>
      <x:c r="W233" s="47" t="str">
        <x:v>Corte anual cerrado</x:v>
      </x:c>
    </x:row>
    <x:row r="234" ht="18" customHeight="1">
      <x:c r="A234" s="46" t="n">
        <x:v>2025</x:v>
      </x:c>
      <x:c r="B234" s="63" t="n">
        <x:v>2</x:v>
      </x:c>
      <x:c r="C234" s="63" t="str">
        <x:v>Febrero</x:v>
      </x:c>
      <x:c r="D234" s="63" t="str">
        <x:v>T1</x:v>
      </x:c>
      <x:c r="E234" s="71" t="n">
        <x:v>45716</x:v>
      </x:c>
      <x:c r="F234" s="63" t="str">
        <x:v>Higiene y seguridad industrial</x:v>
      </x:c>
      <x:c r="G234" s="63" t="str">
        <x:v>Señalización y control visual</x:v>
      </x:c>
      <x:c r="H234" s="63" t="str">
        <x:v>Señalización, demarcación y avisos de seguridad</x:v>
      </x:c>
      <x:c r="I234" s="63" t="str">
        <x:v>Operativo</x:v>
      </x:c>
      <x:c r="J234" s="63" t="str">
        <x:v>Media</x:v>
      </x:c>
      <x:c r="K234" s="63" t="str">
        <x:v>Periódica</x:v>
      </x:c>
      <x:c r="L234" s="63" t="str">
        <x:v>Intervención</x:v>
      </x:c>
      <x:c r="M234" s="63" t="n">
        <x:v>5</x:v>
      </x:c>
      <x:c r="N234" s="63" t="str">
        <x:v>SST / Mantenimiento</x:v>
      </x:c>
      <x:c r="O234" s="63" t="str">
        <x:v>Presupuesto SG-SST</x:v>
      </x:c>
      <x:c r="P234" s="63" t="str">
        <x:v>Acta de instalación, factura, inventario</x:v>
      </x:c>
      <x:c r="Q234" s="79" t="n">
        <x:v>557568</x:v>
      </x:c>
      <x:c r="R234" s="79" t="n">
        <x:v>529640</x:v>
      </x:c>
      <x:c r="S234" s="79" t="n">
        <x:v>-27928</x:v>
      </x:c>
      <x:c r="T234" s="75" t="n">
        <x:v>0.9499110422405876</x:v>
      </x:c>
      <x:c r="U234" s="63" t="str">
        <x:v>Parcial</x:v>
      </x:c>
      <x:c r="V234" s="63" t="str">
        <x:v>Actividad con ejecución parcial o cierre financiero pendiente.</x:v>
      </x:c>
      <x:c r="W234" s="47" t="str">
        <x:v>Corte anual cerrado</x:v>
      </x:c>
    </x:row>
    <x:row r="235" ht="18" customHeight="1">
      <x:c r="A235" s="46" t="n">
        <x:v>2025</x:v>
      </x:c>
      <x:c r="B235" s="63" t="n">
        <x:v>3</x:v>
      </x:c>
      <x:c r="C235" s="63" t="str">
        <x:v>Marzo</x:v>
      </x:c>
      <x:c r="D235" s="63" t="str">
        <x:v>T1</x:v>
      </x:c>
      <x:c r="E235" s="71" t="n">
        <x:v>45747</x:v>
      </x:c>
      <x:c r="F235" s="63" t="str">
        <x:v>Capacitación y entrenamiento</x:v>
      </x:c>
      <x:c r="G235" s="63" t="str">
        <x:v>Plan anual de formación</x:v>
      </x:c>
      <x:c r="H235" s="63" t="str">
        <x:v>Capacitación y entrenamiento en SG-SST</x:v>
      </x:c>
      <x:c r="I235" s="63" t="str">
        <x:v>Operativo</x:v>
      </x:c>
      <x:c r="J235" s="63" t="str">
        <x:v>Alta</x:v>
      </x:c>
      <x:c r="K235" s="63" t="str">
        <x:v>Mensual</x:v>
      </x:c>
      <x:c r="L235" s="63" t="str">
        <x:v>Jornada</x:v>
      </x:c>
      <x:c r="M235" s="63" t="n">
        <x:v>12</x:v>
      </x:c>
      <x:c r="N235" s="63" t="str">
        <x:v>Coordinación SST</x:v>
      </x:c>
      <x:c r="O235" s="63" t="str">
        <x:v>Presupuesto SG-SST</x:v>
      </x:c>
      <x:c r="P235" s="63" t="str">
        <x:v>Lista de asistencia, evaluación, acta</x:v>
      </x:c>
      <x:c r="Q235" s="79" t="n">
        <x:v>501812</x:v>
      </x:c>
      <x:c r="R235" s="79" t="n">
        <x:v>488578</x:v>
      </x:c>
      <x:c r="S235" s="79" t="n">
        <x:v>-13234</x:v>
      </x:c>
      <x:c r="T235" s="75" t="n">
        <x:v>0.973627573673009</x:v>
      </x:c>
      <x:c r="U235" s="63" t="str">
        <x:v>Parcial</x:v>
      </x:c>
      <x:c r="V235" s="63" t="str">
        <x:v>Actividad con ejecución parcial o cierre financiero pendiente.</x:v>
      </x:c>
      <x:c r="W235" s="47" t="str">
        <x:v>Corte anual cerrado</x:v>
      </x:c>
    </x:row>
    <x:row r="236" ht="18" customHeight="1">
      <x:c r="A236" s="46" t="n">
        <x:v>2025</x:v>
      </x:c>
      <x:c r="B236" s="63" t="n">
        <x:v>3</x:v>
      </x:c>
      <x:c r="C236" s="63" t="str">
        <x:v>Marzo</x:v>
      </x:c>
      <x:c r="D236" s="63" t="str">
        <x:v>T1</x:v>
      </x:c>
      <x:c r="E236" s="71" t="n">
        <x:v>45747</x:v>
      </x:c>
      <x:c r="F236" s="63" t="str">
        <x:v>Higiene y seguridad industrial</x:v>
      </x:c>
      <x:c r="G236" s="63" t="str">
        <x:v>Dotación y control operacional</x:v>
      </x:c>
      <x:c r="H236" s="63" t="str">
        <x:v>Dotación y reposición de EPP</x:v>
      </x:c>
      <x:c r="I236" s="63" t="str">
        <x:v>Operativo</x:v>
      </x:c>
      <x:c r="J236" s="63" t="str">
        <x:v>Alta</x:v>
      </x:c>
      <x:c r="K236" s="63" t="str">
        <x:v>Bimestral / trimestral</x:v>
      </x:c>
      <x:c r="L236" s="63" t="str">
        <x:v>Entrega</x:v>
      </x:c>
      <x:c r="M236" s="63" t="n">
        <x:v>6</x:v>
      </x:c>
      <x:c r="N236" s="63" t="str">
        <x:v>Coordinación SST / Compras</x:v>
      </x:c>
      <x:c r="O236" s="63" t="str">
        <x:v>Presupuesto SG-SST</x:v>
      </x:c>
      <x:c r="P236" s="63" t="str">
        <x:v>Formato de entrega, factura, remisión</x:v>
      </x:c>
      <x:c r="Q236" s="79" t="n">
        <x:v>1003623</x:v>
      </x:c>
      <x:c r="R236" s="79" t="n">
        <x:v>981892</x:v>
      </x:c>
      <x:c r="S236" s="79" t="n">
        <x:v>-21731</x:v>
      </x:c>
      <x:c r="T236" s="75" t="n">
        <x:v>0.9783474471987987</x:v>
      </x:c>
      <x:c r="U236" s="63" t="str">
        <x:v>Parcial</x:v>
      </x:c>
      <x:c r="V236" s="63" t="str">
        <x:v>Actividad con ejecución parcial o cierre financiero pendiente.</x:v>
      </x:c>
      <x:c r="W236" s="47" t="str">
        <x:v>Corte anual cerrado</x:v>
      </x:c>
    </x:row>
    <x:row r="237" ht="18" customHeight="1">
      <x:c r="A237" s="46" t="n">
        <x:v>2025</x:v>
      </x:c>
      <x:c r="B237" s="63" t="n">
        <x:v>3</x:v>
      </x:c>
      <x:c r="C237" s="63" t="str">
        <x:v>Marzo</x:v>
      </x:c>
      <x:c r="D237" s="63" t="str">
        <x:v>T1</x:v>
      </x:c>
      <x:c r="E237" s="71" t="n">
        <x:v>45747</x:v>
      </x:c>
      <x:c r="F237" s="63" t="str">
        <x:v>Medicina preventiva y del trabajo</x:v>
      </x:c>
      <x:c r="G237" s="63" t="str">
        <x:v>Vigilancia epidemiológica</x:v>
      </x:c>
      <x:c r="H237" s="63" t="str">
        <x:v>Evaluación de riesgo psicosocial y actividades de intervención</x:v>
      </x:c>
      <x:c r="I237" s="63" t="str">
        <x:v>Servicio</x:v>
      </x:c>
      <x:c r="J237" s="63" t="str">
        <x:v>Alta</x:v>
      </x:c>
      <x:c r="K237" s="63" t="str">
        <x:v>Periódica</x:v>
      </x:c>
      <x:c r="L237" s="63" t="str">
        <x:v>Actividad</x:v>
      </x:c>
      <x:c r="M237" s="63" t="n">
        <x:v>6</x:v>
      </x:c>
      <x:c r="N237" s="63" t="str">
        <x:v>Psicología / SST</x:v>
      </x:c>
      <x:c r="O237" s="63" t="str">
        <x:v>Presupuesto SG-SST</x:v>
      </x:c>
      <x:c r="P237" s="63" t="str">
        <x:v>Informe técnico, evidencia, plan de intervención</x:v>
      </x:c>
      <x:c r="Q237" s="79" t="n">
        <x:v>780596</x:v>
      </x:c>
      <x:c r="R237" s="79" t="n">
        <x:v>752978</x:v>
      </x:c>
      <x:c r="S237" s="79" t="n">
        <x:v>-27618</x:v>
      </x:c>
      <x:c r="T237" s="75" t="n">
        <x:v>0.9646193421436954</x:v>
      </x:c>
      <x:c r="U237" s="63" t="str">
        <x:v>Parcial</x:v>
      </x:c>
      <x:c r="V237" s="63" t="str">
        <x:v>Actividad con ejecución parcial o cierre financiero pendiente.</x:v>
      </x:c>
      <x:c r="W237" s="47" t="str">
        <x:v>Corte anual cerrado</x:v>
      </x:c>
    </x:row>
    <x:row r="238" ht="18" customHeight="1">
      <x:c r="A238" s="46" t="n">
        <x:v>2025</x:v>
      </x:c>
      <x:c r="B238" s="63" t="n">
        <x:v>3</x:v>
      </x:c>
      <x:c r="C238" s="63" t="str">
        <x:v>Marzo</x:v>
      </x:c>
      <x:c r="D238" s="63" t="str">
        <x:v>T1</x:v>
      </x:c>
      <x:c r="E238" s="71" t="n">
        <x:v>45747</x:v>
      </x:c>
      <x:c r="F238" s="63" t="str">
        <x:v>Recursos y gestión financiera</x:v>
      </x:c>
      <x:c r="G238" s="63" t="str">
        <x:v>Planeación y recursos</x:v>
      </x:c>
      <x:c r="H238" s="63" t="str">
        <x:v>Exámenes médicos ocupacionales</x:v>
      </x:c>
      <x:c r="I238" s="63" t="str">
        <x:v>Servicio</x:v>
      </x:c>
      <x:c r="J238" s="63" t="str">
        <x:v>Alta</x:v>
      </x:c>
      <x:c r="K238" s="63" t="str">
        <x:v>Semestral</x:v>
      </x:c>
      <x:c r="L238" s="63" t="str">
        <x:v>Jornada</x:v>
      </x:c>
      <x:c r="M238" s="63" t="n">
        <x:v>2</x:v>
      </x:c>
      <x:c r="N238" s="63" t="str">
        <x:v>Coordinación SST</x:v>
      </x:c>
      <x:c r="O238" s="63" t="str">
        <x:v>Presupuesto SG-SST</x:v>
      </x:c>
      <x:c r="P238" s="63" t="str">
        <x:v>Orden de servicio, factura, concepto médico</x:v>
      </x:c>
      <x:c r="Q238" s="79" t="n">
        <x:v>669082</x:v>
      </x:c>
      <x:c r="R238" s="79" t="n">
        <x:v>683521</x:v>
      </x:c>
      <x:c r="S238" s="79" t="n">
        <x:v>14439</x:v>
      </x:c>
      <x:c r="T238" s="75" t="n">
        <x:v>1.0215803145204922</x:v>
      </x:c>
      <x:c r="U238" s="63" t="str">
        <x:v>Ejecutado</x:v>
      </x:c>
      <x:c r="V238" s="63" t="str">
        <x:v>Actividad ejecutada dentro del rango esperado.</x:v>
      </x:c>
      <x:c r="W238" s="47" t="str">
        <x:v>Corte anual cerrado</x:v>
      </x:c>
    </x:row>
    <x:row r="239" ht="18" customHeight="1">
      <x:c r="A239" s="46" t="n">
        <x:v>2025</x:v>
      </x:c>
      <x:c r="B239" s="63" t="n">
        <x:v>3</x:v>
      </x:c>
      <x:c r="C239" s="63" t="str">
        <x:v>Marzo</x:v>
      </x:c>
      <x:c r="D239" s="63" t="str">
        <x:v>T1</x:v>
      </x:c>
      <x:c r="E239" s="71" t="n">
        <x:v>45747</x:v>
      </x:c>
      <x:c r="F239" s="63" t="str">
        <x:v>Participación y consulta</x:v>
      </x:c>
      <x:c r="G239" s="63" t="str">
        <x:v>Comités de SST</x:v>
      </x:c>
      <x:c r="H239" s="63" t="str">
        <x:v>Gestión de COPASST y Comité de Convivencia</x:v>
      </x:c>
      <x:c r="I239" s="63" t="str">
        <x:v>Operativo</x:v>
      </x:c>
      <x:c r="J239" s="63" t="str">
        <x:v>Media</x:v>
      </x:c>
      <x:c r="K239" s="63" t="str">
        <x:v>Mensual</x:v>
      </x:c>
      <x:c r="L239" s="63" t="str">
        <x:v>Reunión</x:v>
      </x:c>
      <x:c r="M239" s="63" t="n">
        <x:v>12</x:v>
      </x:c>
      <x:c r="N239" s="63" t="str">
        <x:v>Talento Humano / SST</x:v>
      </x:c>
      <x:c r="O239" s="63" t="str">
        <x:v>Presupuesto SG-SST</x:v>
      </x:c>
      <x:c r="P239" s="63" t="str">
        <x:v>Acta, convocatoria, seguimiento compromisos</x:v>
      </x:c>
      <x:c r="Q239" s="79" t="n">
        <x:v>200725</x:v>
      </x:c>
      <x:c r="R239" s="79" t="n">
        <x:v>181782</x:v>
      </x:c>
      <x:c r="S239" s="79" t="n">
        <x:v>-18943</x:v>
      </x:c>
      <x:c r="T239" s="75" t="n">
        <x:v>0.905627101756134</x:v>
      </x:c>
      <x:c r="U239" s="63" t="str">
        <x:v>Parcial</x:v>
      </x:c>
      <x:c r="V239" s="63" t="str">
        <x:v>Actividad con ejecución parcial o cierre financiero pendiente.</x:v>
      </x:c>
      <x:c r="W239" s="47" t="str">
        <x:v>Corte anual cerrado</x:v>
      </x:c>
    </x:row>
    <x:row r="240" ht="18" customHeight="1">
      <x:c r="A240" s="46" t="n">
        <x:v>2025</x:v>
      </x:c>
      <x:c r="B240" s="63" t="n">
        <x:v>3</x:v>
      </x:c>
      <x:c r="C240" s="63" t="str">
        <x:v>Marzo</x:v>
      </x:c>
      <x:c r="D240" s="63" t="str">
        <x:v>T1</x:v>
      </x:c>
      <x:c r="E240" s="71" t="n">
        <x:v>45747</x:v>
      </x:c>
      <x:c r="F240" s="63" t="str">
        <x:v>Higiene y seguridad industrial</x:v>
      </x:c>
      <x:c r="G240" s="63" t="str">
        <x:v>Inspecciones y control</x:v>
      </x:c>
      <x:c r="H240" s="63" t="str">
        <x:v>Inspecciones planeadas de seguridad</x:v>
      </x:c>
      <x:c r="I240" s="63" t="str">
        <x:v>Operativo</x:v>
      </x:c>
      <x:c r="J240" s="63" t="str">
        <x:v>Media</x:v>
      </x:c>
      <x:c r="K240" s="63" t="str">
        <x:v>Mensual</x:v>
      </x:c>
      <x:c r="L240" s="63" t="str">
        <x:v>Inspección</x:v>
      </x:c>
      <x:c r="M240" s="63" t="n">
        <x:v>12</x:v>
      </x:c>
      <x:c r="N240" s="63" t="str">
        <x:v>Inspector SST</x:v>
      </x:c>
      <x:c r="O240" s="63" t="str">
        <x:v>Presupuesto SG-SST</x:v>
      </x:c>
      <x:c r="P240" s="63" t="str">
        <x:v>Lista de chequeo, informe, evidencia fotográfica</x:v>
      </x:c>
      <x:c r="Q240" s="79" t="n">
        <x:v>267633</x:v>
      </x:c>
      <x:c r="R240" s="79" t="n">
        <x:v>273775</x:v>
      </x:c>
      <x:c r="S240" s="79" t="n">
        <x:v>6142</x:v>
      </x:c>
      <x:c r="T240" s="75" t="n">
        <x:v>1.0229493373388185</x:v>
      </x:c>
      <x:c r="U240" s="63" t="str">
        <x:v>Ejecutado</x:v>
      </x:c>
      <x:c r="V240" s="63" t="str">
        <x:v>Actividad ejecutada dentro del rango esperado.</x:v>
      </x:c>
      <x:c r="W240" s="47" t="str">
        <x:v>Corte anual cerrado</x:v>
      </x:c>
    </x:row>
    <x:row r="241" ht="18" customHeight="1">
      <x:c r="A241" s="46" t="n">
        <x:v>2025</x:v>
      </x:c>
      <x:c r="B241" s="63" t="n">
        <x:v>3</x:v>
      </x:c>
      <x:c r="C241" s="63" t="str">
        <x:v>Marzo</x:v>
      </x:c>
      <x:c r="D241" s="63" t="str">
        <x:v>T1</x:v>
      </x:c>
      <x:c r="E241" s="71" t="n">
        <x:v>45747</x:v>
      </x:c>
      <x:c r="F241" s="63" t="str">
        <x:v>Mejora continua y cumplimiento</x:v>
      </x:c>
      <x:c r="G241" s="63" t="str">
        <x:v>Gestión de incidentes y mejora</x:v>
      </x:c>
      <x:c r="H241" s="63" t="str">
        <x:v>Investigación de AT/EL y acciones correctivas</x:v>
      </x:c>
      <x:c r="I241" s="63" t="str">
        <x:v>Operativo</x:v>
      </x:c>
      <x:c r="J241" s="63" t="str">
        <x:v>Media</x:v>
      </x:c>
      <x:c r="K241" s="63" t="str">
        <x:v>Mensual</x:v>
      </x:c>
      <x:c r="L241" s="63" t="str">
        <x:v>Seguimiento</x:v>
      </x:c>
      <x:c r="M241" s="63" t="n">
        <x:v>12</x:v>
      </x:c>
      <x:c r="N241" s="63" t="str">
        <x:v>SST / Jefes de área</x:v>
      </x:c>
      <x:c r="O241" s="63" t="str">
        <x:v>Presupuesto SG-SST</x:v>
      </x:c>
      <x:c r="P241" s="63" t="str">
        <x:v>Investigación, plan de acción, evidencia de cierre</x:v>
      </x:c>
      <x:c r="Q241" s="79" t="n">
        <x:v>223027</x:v>
      </x:c>
      <x:c r="R241" s="79" t="n">
        <x:v>211615</x:v>
      </x:c>
      <x:c r="S241" s="79" t="n">
        <x:v>-11412</x:v>
      </x:c>
      <x:c r="T241" s="75" t="n">
        <x:v>0.9488313074201778</x:v>
      </x:c>
      <x:c r="U241" s="63" t="str">
        <x:v>Parcial</x:v>
      </x:c>
      <x:c r="V241" s="63" t="str">
        <x:v>Actividad con ejecución parcial o cierre financiero pendiente.</x:v>
      </x:c>
      <x:c r="W241" s="47" t="str">
        <x:v>Corte anual cerrado</x:v>
      </x:c>
    </x:row>
    <x:row r="242" ht="18" customHeight="1">
      <x:c r="A242" s="46" t="n">
        <x:v>2025</x:v>
      </x:c>
      <x:c r="B242" s="63" t="n">
        <x:v>3</x:v>
      </x:c>
      <x:c r="C242" s="63" t="str">
        <x:v>Marzo</x:v>
      </x:c>
      <x:c r="D242" s="63" t="str">
        <x:v>T1</x:v>
      </x:c>
      <x:c r="E242" s="71" t="n">
        <x:v>45747</x:v>
      </x:c>
      <x:c r="F242" s="63" t="str">
        <x:v>Medicina preventiva y del trabajo</x:v>
      </x:c>
      <x:c r="G242" s="63" t="str">
        <x:v>Programas de vigilancia epidemiológica</x:v>
      </x:c>
      <x:c r="H242" s="63" t="str">
        <x:v>Programas de vigilancia epidemiológica y seguimiento médico</x:v>
      </x:c>
      <x:c r="I242" s="63" t="str">
        <x:v>Servicio</x:v>
      </x:c>
      <x:c r="J242" s="63" t="str">
        <x:v>Alta</x:v>
      </x:c>
      <x:c r="K242" s="63" t="str">
        <x:v>Mensual</x:v>
      </x:c>
      <x:c r="L242" s="63" t="str">
        <x:v>Seguimiento</x:v>
      </x:c>
      <x:c r="M242" s="63" t="n">
        <x:v>12</x:v>
      </x:c>
      <x:c r="N242" s="63" t="str">
        <x:v>Médico laboral / SST</x:v>
      </x:c>
      <x:c r="O242" s="63" t="str">
        <x:v>Presupuesto SG-SST</x:v>
      </x:c>
      <x:c r="P242" s="63" t="str">
        <x:v>Base de seguimiento, informe, remisiones</x:v>
      </x:c>
      <x:c r="Q242" s="79" t="n">
        <x:v>624477</x:v>
      </x:c>
      <x:c r="R242" s="79" t="n">
        <x:v>595881</x:v>
      </x:c>
      <x:c r="S242" s="79" t="n">
        <x:v>-28596</x:v>
      </x:c>
      <x:c r="T242" s="75" t="n">
        <x:v>0.9542080813224506</x:v>
      </x:c>
      <x:c r="U242" s="63" t="str">
        <x:v>Parcial</x:v>
      </x:c>
      <x:c r="V242" s="63" t="str">
        <x:v>Actividad con ejecución parcial o cierre financiero pendiente.</x:v>
      </x:c>
      <x:c r="W242" s="47" t="str">
        <x:v>Corte anual cerrado</x:v>
      </x:c>
    </x:row>
    <x:row r="243" ht="18" customHeight="1">
      <x:c r="A243" s="46" t="n">
        <x:v>2025</x:v>
      </x:c>
      <x:c r="B243" s="63" t="n">
        <x:v>4</x:v>
      </x:c>
      <x:c r="C243" s="63" t="str">
        <x:v>Abril</x:v>
      </x:c>
      <x:c r="D243" s="63" t="str">
        <x:v>T2</x:v>
      </x:c>
      <x:c r="E243" s="71" t="n">
        <x:v>45777</x:v>
      </x:c>
      <x:c r="F243" s="63" t="str">
        <x:v>Mejora continua y cumplimiento</x:v>
      </x:c>
      <x:c r="G243" s="63" t="str">
        <x:v>Auditoría y revisión por la dirección</x:v>
      </x:c>
      <x:c r="H243" s="63" t="str">
        <x:v>Auditoría interna, autoevaluación y revisión gerencial</x:v>
      </x:c>
      <x:c r="I243" s="63" t="str">
        <x:v>Servicio</x:v>
      </x:c>
      <x:c r="J243" s="63" t="str">
        <x:v>Alta</x:v>
      </x:c>
      <x:c r="K243" s="63" t="str">
        <x:v>Trimestral</x:v>
      </x:c>
      <x:c r="L243" s="63" t="str">
        <x:v>Hito</x:v>
      </x:c>
      <x:c r="M243" s="63" t="n">
        <x:v>4</x:v>
      </x:c>
      <x:c r="N243" s="63" t="str">
        <x:v>Líder HSEQ / Gerencia</x:v>
      </x:c>
      <x:c r="O243" s="63" t="str">
        <x:v>Presupuesto SG-SST</x:v>
      </x:c>
      <x:c r="P243" s="63" t="str">
        <x:v>Informe de auditoría, acta, plan de mejora</x:v>
      </x:c>
      <x:c r="Q243" s="79" t="n">
        <x:v>892109</x:v>
      </x:c>
      <x:c r="R243" s="79" t="n">
        <x:v>874472</x:v>
      </x:c>
      <x:c r="S243" s="79" t="n">
        <x:v>-17637</x:v>
      </x:c>
      <x:c r="T243" s="75" t="n">
        <x:v>0.980229994316838</x:v>
      </x:c>
      <x:c r="U243" s="63" t="str">
        <x:v>Ejecutado</x:v>
      </x:c>
      <x:c r="V243" s="63" t="str">
        <x:v>Actividad ejecutada dentro del rango esperado.</x:v>
      </x:c>
      <x:c r="W243" s="47" t="str">
        <x:v>Corte anual cerrado</x:v>
      </x:c>
    </x:row>
    <x:row r="244" ht="18" customHeight="1">
      <x:c r="A244" s="46" t="n">
        <x:v>2025</x:v>
      </x:c>
      <x:c r="B244" s="63" t="n">
        <x:v>4</x:v>
      </x:c>
      <x:c r="C244" s="63" t="str">
        <x:v>Abril</x:v>
      </x:c>
      <x:c r="D244" s="63" t="str">
        <x:v>T2</x:v>
      </x:c>
      <x:c r="E244" s="71" t="n">
        <x:v>45777</x:v>
      </x:c>
      <x:c r="F244" s="63" t="str">
        <x:v>Capacitación y entrenamiento</x:v>
      </x:c>
      <x:c r="G244" s="63" t="str">
        <x:v>Plan anual de formación</x:v>
      </x:c>
      <x:c r="H244" s="63" t="str">
        <x:v>Capacitación y entrenamiento en SG-SST</x:v>
      </x:c>
      <x:c r="I244" s="63" t="str">
        <x:v>Operativo</x:v>
      </x:c>
      <x:c r="J244" s="63" t="str">
        <x:v>Alta</x:v>
      </x:c>
      <x:c r="K244" s="63" t="str">
        <x:v>Mensual</x:v>
      </x:c>
      <x:c r="L244" s="63" t="str">
        <x:v>Jornada</x:v>
      </x:c>
      <x:c r="M244" s="63" t="n">
        <x:v>12</x:v>
      </x:c>
      <x:c r="N244" s="63" t="str">
        <x:v>Coordinación SST</x:v>
      </x:c>
      <x:c r="O244" s="63" t="str">
        <x:v>Presupuesto SG-SST</x:v>
      </x:c>
      <x:c r="P244" s="63" t="str">
        <x:v>Lista de asistencia, evaluación, acta</x:v>
      </x:c>
      <x:c r="Q244" s="79" t="n">
        <x:v>446055</x:v>
      </x:c>
      <x:c r="R244" s="79" t="n">
        <x:v>459630</x:v>
      </x:c>
      <x:c r="S244" s="79" t="n">
        <x:v>13575</x:v>
      </x:c>
      <x:c r="T244" s="75" t="n">
        <x:v>1.0304334667249555</x:v>
      </x:c>
      <x:c r="U244" s="63" t="str">
        <x:v>Ejecutado</x:v>
      </x:c>
      <x:c r="V244" s="63" t="str">
        <x:v>Actividad ejecutada dentro del rango esperado.</x:v>
      </x:c>
      <x:c r="W244" s="47" t="str">
        <x:v>Corte anual cerrado</x:v>
      </x:c>
    </x:row>
    <x:row r="245" ht="18" customHeight="1">
      <x:c r="A245" s="46" t="n">
        <x:v>2025</x:v>
      </x:c>
      <x:c r="B245" s="63" t="n">
        <x:v>4</x:v>
      </x:c>
      <x:c r="C245" s="63" t="str">
        <x:v>Abril</x:v>
      </x:c>
      <x:c r="D245" s="63" t="str">
        <x:v>T2</x:v>
      </x:c>
      <x:c r="E245" s="71" t="n">
        <x:v>45777</x:v>
      </x:c>
      <x:c r="F245" s="63" t="str">
        <x:v>Recursos y gestión financiera</x:v>
      </x:c>
      <x:c r="G245" s="63" t="str">
        <x:v>Planeación y recursos</x:v>
      </x:c>
      <x:c r="H245" s="63" t="str">
        <x:v>Exámenes médicos ocupacionales</x:v>
      </x:c>
      <x:c r="I245" s="63" t="str">
        <x:v>Servicio</x:v>
      </x:c>
      <x:c r="J245" s="63" t="str">
        <x:v>Alta</x:v>
      </x:c>
      <x:c r="K245" s="63" t="str">
        <x:v>Semestral</x:v>
      </x:c>
      <x:c r="L245" s="63" t="str">
        <x:v>Jornada</x:v>
      </x:c>
      <x:c r="M245" s="63" t="n">
        <x:v>2</x:v>
      </x:c>
      <x:c r="N245" s="63" t="str">
        <x:v>Coordinación SST</x:v>
      </x:c>
      <x:c r="O245" s="63" t="str">
        <x:v>Presupuesto SG-SST</x:v>
      </x:c>
      <x:c r="P245" s="63" t="str">
        <x:v>Orden de servicio, factura, concepto médico</x:v>
      </x:c>
      <x:c r="Q245" s="79" t="n">
        <x:v>200725</x:v>
      </x:c>
      <x:c r="R245" s="79" t="n">
        <x:v>185918</x:v>
      </x:c>
      <x:c r="S245" s="79" t="n">
        <x:v>-14807</x:v>
      </x:c>
      <x:c r="T245" s="75" t="n">
        <x:v>0.9262324075227301</x:v>
      </x:c>
      <x:c r="U245" s="63" t="str">
        <x:v>Parcial</x:v>
      </x:c>
      <x:c r="V245" s="63" t="str">
        <x:v>Actividad con ejecución parcial o cierre financiero pendiente.</x:v>
      </x:c>
      <x:c r="W245" s="47" t="str">
        <x:v>Corte anual cerrado</x:v>
      </x:c>
    </x:row>
    <x:row r="246" ht="18" customHeight="1">
      <x:c r="A246" s="46" t="n">
        <x:v>2025</x:v>
      </x:c>
      <x:c r="B246" s="63" t="n">
        <x:v>4</x:v>
      </x:c>
      <x:c r="C246" s="63" t="str">
        <x:v>Abril</x:v>
      </x:c>
      <x:c r="D246" s="63" t="str">
        <x:v>T2</x:v>
      </x:c>
      <x:c r="E246" s="71" t="n">
        <x:v>45777</x:v>
      </x:c>
      <x:c r="F246" s="63" t="str">
        <x:v>Gestión de contratistas</x:v>
      </x:c>
      <x:c r="G246" s="63" t="str">
        <x:v>Control de terceros</x:v>
      </x:c>
      <x:c r="H246" s="63" t="str">
        <x:v>Gestión SST de proveedores y contratistas</x:v>
      </x:c>
      <x:c r="I246" s="63" t="str">
        <x:v>Operativo</x:v>
      </x:c>
      <x:c r="J246" s="63" t="str">
        <x:v>Media</x:v>
      </x:c>
      <x:c r="K246" s="63" t="str">
        <x:v>Trimestral</x:v>
      </x:c>
      <x:c r="L246" s="63" t="str">
        <x:v>Ciclo</x:v>
      </x:c>
      <x:c r="M246" s="63" t="n">
        <x:v>4</x:v>
      </x:c>
      <x:c r="N246" s="63" t="str">
        <x:v>Compras / SST</x:v>
      </x:c>
      <x:c r="O246" s="63" t="str">
        <x:v>Presupuesto SG-SST</x:v>
      </x:c>
      <x:c r="P246" s="63" t="str">
        <x:v>Matriz de evaluación, soportes de contratistas</x:v>
      </x:c>
      <x:c r="Q246" s="79" t="n">
        <x:v>836353</x:v>
      </x:c>
      <x:c r="R246" s="79" t="n">
        <x:v>830529</x:v>
      </x:c>
      <x:c r="S246" s="79" t="n">
        <x:v>-5824</x:v>
      </x:c>
      <x:c r="T246" s="75" t="n">
        <x:v>0.9930364331807263</x:v>
      </x:c>
      <x:c r="U246" s="63" t="str">
        <x:v>Ejecutado</x:v>
      </x:c>
      <x:c r="V246" s="63" t="str">
        <x:v>Actividad ejecutada dentro del rango esperado.</x:v>
      </x:c>
      <x:c r="W246" s="47" t="str">
        <x:v>Corte anual cerrado</x:v>
      </x:c>
    </x:row>
    <x:row r="247" ht="18" customHeight="1">
      <x:c r="A247" s="46" t="n">
        <x:v>2025</x:v>
      </x:c>
      <x:c r="B247" s="63" t="n">
        <x:v>4</x:v>
      </x:c>
      <x:c r="C247" s="63" t="str">
        <x:v>Abril</x:v>
      </x:c>
      <x:c r="D247" s="63" t="str">
        <x:v>T2</x:v>
      </x:c>
      <x:c r="E247" s="71" t="n">
        <x:v>45777</x:v>
      </x:c>
      <x:c r="F247" s="63" t="str">
        <x:v>Participación y consulta</x:v>
      </x:c>
      <x:c r="G247" s="63" t="str">
        <x:v>Comités de SST</x:v>
      </x:c>
      <x:c r="H247" s="63" t="str">
        <x:v>Gestión de COPASST y Comité de Convivencia</x:v>
      </x:c>
      <x:c r="I247" s="63" t="str">
        <x:v>Operativo</x:v>
      </x:c>
      <x:c r="J247" s="63" t="str">
        <x:v>Media</x:v>
      </x:c>
      <x:c r="K247" s="63" t="str">
        <x:v>Mensual</x:v>
      </x:c>
      <x:c r="L247" s="63" t="str">
        <x:v>Reunión</x:v>
      </x:c>
      <x:c r="M247" s="63" t="n">
        <x:v>12</x:v>
      </x:c>
      <x:c r="N247" s="63" t="str">
        <x:v>Talento Humano / SST</x:v>
      </x:c>
      <x:c r="O247" s="63" t="str">
        <x:v>Presupuesto SG-SST</x:v>
      </x:c>
      <x:c r="P247" s="63" t="str">
        <x:v>Acta, convocatoria, seguimiento compromisos</x:v>
      </x:c>
      <x:c r="Q247" s="79" t="n">
        <x:v>178422</x:v>
      </x:c>
      <x:c r="R247" s="79" t="n">
        <x:v>188042</x:v>
      </x:c>
      <x:c r="S247" s="79" t="n">
        <x:v>9620</x:v>
      </x:c>
      <x:c r="T247" s="75" t="n">
        <x:v>1.053917117844212</x:v>
      </x:c>
      <x:c r="U247" s="63" t="str">
        <x:v>Ejecutado</x:v>
      </x:c>
      <x:c r="V247" s="63" t="str">
        <x:v>Actividad ejecutada dentro del rango esperado.</x:v>
      </x:c>
      <x:c r="W247" s="47" t="str">
        <x:v>Corte anual cerrado</x:v>
      </x:c>
    </x:row>
    <x:row r="248" ht="18" customHeight="1">
      <x:c r="A248" s="46" t="n">
        <x:v>2025</x:v>
      </x:c>
      <x:c r="B248" s="63" t="n">
        <x:v>4</x:v>
      </x:c>
      <x:c r="C248" s="63" t="str">
        <x:v>Abril</x:v>
      </x:c>
      <x:c r="D248" s="63" t="str">
        <x:v>T2</x:v>
      </x:c>
      <x:c r="E248" s="71" t="n">
        <x:v>45777</x:v>
      </x:c>
      <x:c r="F248" s="63" t="str">
        <x:v>Higiene y seguridad industrial</x:v>
      </x:c>
      <x:c r="G248" s="63" t="str">
        <x:v>Inspecciones y control</x:v>
      </x:c>
      <x:c r="H248" s="63" t="str">
        <x:v>Inspecciones planeadas de seguridad</x:v>
      </x:c>
      <x:c r="I248" s="63" t="str">
        <x:v>Operativo</x:v>
      </x:c>
      <x:c r="J248" s="63" t="str">
        <x:v>Media</x:v>
      </x:c>
      <x:c r="K248" s="63" t="str">
        <x:v>Mensual</x:v>
      </x:c>
      <x:c r="L248" s="63" t="str">
        <x:v>Inspección</x:v>
      </x:c>
      <x:c r="M248" s="63" t="n">
        <x:v>12</x:v>
      </x:c>
      <x:c r="N248" s="63" t="str">
        <x:v>Inspector SST</x:v>
      </x:c>
      <x:c r="O248" s="63" t="str">
        <x:v>Presupuesto SG-SST</x:v>
      </x:c>
      <x:c r="P248" s="63" t="str">
        <x:v>Lista de chequeo, informe, evidencia fotográfica</x:v>
      </x:c>
      <x:c r="Q248" s="79" t="n">
        <x:v>267633</x:v>
      </x:c>
      <x:c r="R248" s="79" t="n">
        <x:v>272045</x:v>
      </x:c>
      <x:c r="S248" s="79" t="n">
        <x:v>4412</x:v>
      </x:c>
      <x:c r="T248" s="75" t="n">
        <x:v>1.0164852615335178</x:v>
      </x:c>
      <x:c r="U248" s="63" t="str">
        <x:v>Ejecutado</x:v>
      </x:c>
      <x:c r="V248" s="63" t="str">
        <x:v>Actividad ejecutada dentro del rango esperado.</x:v>
      </x:c>
      <x:c r="W248" s="47" t="str">
        <x:v>Corte anual cerrado</x:v>
      </x:c>
    </x:row>
    <x:row r="249" ht="18" customHeight="1">
      <x:c r="A249" s="46" t="n">
        <x:v>2025</x:v>
      </x:c>
      <x:c r="B249" s="63" t="n">
        <x:v>4</x:v>
      </x:c>
      <x:c r="C249" s="63" t="str">
        <x:v>Abril</x:v>
      </x:c>
      <x:c r="D249" s="63" t="str">
        <x:v>T2</x:v>
      </x:c>
      <x:c r="E249" s="71" t="n">
        <x:v>45777</x:v>
      </x:c>
      <x:c r="F249" s="63" t="str">
        <x:v>Mejora continua y cumplimiento</x:v>
      </x:c>
      <x:c r="G249" s="63" t="str">
        <x:v>Gestión de incidentes y mejora</x:v>
      </x:c>
      <x:c r="H249" s="63" t="str">
        <x:v>Investigación de AT/EL y acciones correctivas</x:v>
      </x:c>
      <x:c r="I249" s="63" t="str">
        <x:v>Operativo</x:v>
      </x:c>
      <x:c r="J249" s="63" t="str">
        <x:v>Media</x:v>
      </x:c>
      <x:c r="K249" s="63" t="str">
        <x:v>Mensual</x:v>
      </x:c>
      <x:c r="L249" s="63" t="str">
        <x:v>Seguimiento</x:v>
      </x:c>
      <x:c r="M249" s="63" t="n">
        <x:v>12</x:v>
      </x:c>
      <x:c r="N249" s="63" t="str">
        <x:v>SST / Jefes de área</x:v>
      </x:c>
      <x:c r="O249" s="63" t="str">
        <x:v>Presupuesto SG-SST</x:v>
      </x:c>
      <x:c r="P249" s="63" t="str">
        <x:v>Investigación, plan de acción, evidencia de cierre</x:v>
      </x:c>
      <x:c r="Q249" s="79" t="n">
        <x:v>223027</x:v>
      </x:c>
      <x:c r="R249" s="79" t="n">
        <x:v>204956</x:v>
      </x:c>
      <x:c r="S249" s="79" t="n">
        <x:v>-18071</x:v>
      </x:c>
      <x:c r="T249" s="75" t="n">
        <x:v>0.9189739358911702</x:v>
      </x:c>
      <x:c r="U249" s="63" t="str">
        <x:v>Parcial</x:v>
      </x:c>
      <x:c r="V249" s="63" t="str">
        <x:v>Actividad con ejecución parcial o cierre financiero pendiente.</x:v>
      </x:c>
      <x:c r="W249" s="47" t="str">
        <x:v>Corte anual cerrado</x:v>
      </x:c>
    </x:row>
    <x:row r="250" ht="18" customHeight="1">
      <x:c r="A250" s="46" t="n">
        <x:v>2025</x:v>
      </x:c>
      <x:c r="B250" s="63" t="n">
        <x:v>4</x:v>
      </x:c>
      <x:c r="C250" s="63" t="str">
        <x:v>Abril</x:v>
      </x:c>
      <x:c r="D250" s="63" t="str">
        <x:v>T2</x:v>
      </x:c>
      <x:c r="E250" s="71" t="n">
        <x:v>45777</x:v>
      </x:c>
      <x:c r="F250" s="63" t="str">
        <x:v>Emergencias e infraestructura</x:v>
      </x:c>
      <x:c r="G250" s="63" t="str">
        <x:v>Preparación y respuesta ante emergencias</x:v>
      </x:c>
      <x:c r="H250" s="63" t="str">
        <x:v>Mantenimiento de extintores, botiquines y equipos de emergencia</x:v>
      </x:c>
      <x:c r="I250" s="63" t="str">
        <x:v>Servicio</x:v>
      </x:c>
      <x:c r="J250" s="63" t="str">
        <x:v>Alta</x:v>
      </x:c>
      <x:c r="K250" s="63" t="str">
        <x:v>Bimestral / semestral</x:v>
      </x:c>
      <x:c r="L250" s="63" t="str">
        <x:v>Mantenimiento</x:v>
      </x:c>
      <x:c r="M250" s="63" t="n">
        <x:v>6</x:v>
      </x:c>
      <x:c r="N250" s="63" t="str">
        <x:v>Brigada / SST</x:v>
      </x:c>
      <x:c r="O250" s="63" t="str">
        <x:v>Presupuesto SG-SST</x:v>
      </x:c>
      <x:c r="P250" s="63" t="str">
        <x:v>Certificado, factura, hoja de vida del equipo</x:v>
      </x:c>
      <x:c r="Q250" s="79" t="n">
        <x:v>446055</x:v>
      </x:c>
      <x:c r="R250" s="79" t="n">
        <x:v>415957</x:v>
      </x:c>
      <x:c r="S250" s="79" t="n">
        <x:v>-30098</x:v>
      </x:c>
      <x:c r="T250" s="75" t="n">
        <x:v>0.9325240160966697</x:v>
      </x:c>
      <x:c r="U250" s="63" t="str">
        <x:v>Parcial</x:v>
      </x:c>
      <x:c r="V250" s="63" t="str">
        <x:v>Actividad con ejecución parcial o cierre financiero pendiente.</x:v>
      </x:c>
      <x:c r="W250" s="47" t="str">
        <x:v>Corte anual cerrado</x:v>
      </x:c>
    </x:row>
    <x:row r="251" ht="18" customHeight="1">
      <x:c r="A251" s="46" t="n">
        <x:v>2025</x:v>
      </x:c>
      <x:c r="B251" s="63" t="n">
        <x:v>4</x:v>
      </x:c>
      <x:c r="C251" s="63" t="str">
        <x:v>Abril</x:v>
      </x:c>
      <x:c r="D251" s="63" t="str">
        <x:v>T2</x:v>
      </x:c>
      <x:c r="E251" s="71" t="n">
        <x:v>45777</x:v>
      </x:c>
      <x:c r="F251" s="63" t="str">
        <x:v>Medicina preventiva y del trabajo</x:v>
      </x:c>
      <x:c r="G251" s="63" t="str">
        <x:v>Programas de vigilancia epidemiológica</x:v>
      </x:c>
      <x:c r="H251" s="63" t="str">
        <x:v>Programas de vigilancia epidemiológica y seguimiento médico</x:v>
      </x:c>
      <x:c r="I251" s="63" t="str">
        <x:v>Servicio</x:v>
      </x:c>
      <x:c r="J251" s="63" t="str">
        <x:v>Alta</x:v>
      </x:c>
      <x:c r="K251" s="63" t="str">
        <x:v>Mensual</x:v>
      </x:c>
      <x:c r="L251" s="63" t="str">
        <x:v>Seguimiento</x:v>
      </x:c>
      <x:c r="M251" s="63" t="n">
        <x:v>12</x:v>
      </x:c>
      <x:c r="N251" s="63" t="str">
        <x:v>Médico laboral / SST</x:v>
      </x:c>
      <x:c r="O251" s="63" t="str">
        <x:v>Presupuesto SG-SST</x:v>
      </x:c>
      <x:c r="P251" s="63" t="str">
        <x:v>Base de seguimiento, informe, remisiones</x:v>
      </x:c>
      <x:c r="Q251" s="79" t="n">
        <x:v>624477</x:v>
      </x:c>
      <x:c r="R251" s="79" t="n">
        <x:v>599218</x:v>
      </x:c>
      <x:c r="S251" s="79" t="n">
        <x:v>-25259</x:v>
      </x:c>
      <x:c r="T251" s="75" t="n">
        <x:v>0.9595517529068325</x:v>
      </x:c>
      <x:c r="U251" s="63" t="str">
        <x:v>Parcial</x:v>
      </x:c>
      <x:c r="V251" s="63" t="str">
        <x:v>Actividad con ejecución parcial o cierre financiero pendiente.</x:v>
      </x:c>
      <x:c r="W251" s="47" t="str">
        <x:v>Corte anual cerrado</x:v>
      </x:c>
    </x:row>
    <x:row r="252" ht="18" customHeight="1">
      <x:c r="A252" s="46" t="n">
        <x:v>2025</x:v>
      </x:c>
      <x:c r="B252" s="63" t="n">
        <x:v>5</x:v>
      </x:c>
      <x:c r="C252" s="63" t="str">
        <x:v>Mayo</x:v>
      </x:c>
      <x:c r="D252" s="63" t="str">
        <x:v>T2</x:v>
      </x:c>
      <x:c r="E252" s="71" t="n">
        <x:v>45808</x:v>
      </x:c>
      <x:c r="F252" s="63" t="str">
        <x:v>Capacitación y entrenamiento</x:v>
      </x:c>
      <x:c r="G252" s="63" t="str">
        <x:v>Plan anual de formación</x:v>
      </x:c>
      <x:c r="H252" s="63" t="str">
        <x:v>Capacitación y entrenamiento en SG-SST</x:v>
      </x:c>
      <x:c r="I252" s="63" t="str">
        <x:v>Operativo</x:v>
      </x:c>
      <x:c r="J252" s="63" t="str">
        <x:v>Alta</x:v>
      </x:c>
      <x:c r="K252" s="63" t="str">
        <x:v>Mensual</x:v>
      </x:c>
      <x:c r="L252" s="63" t="str">
        <x:v>Jornada</x:v>
      </x:c>
      <x:c r="M252" s="63" t="n">
        <x:v>12</x:v>
      </x:c>
      <x:c r="N252" s="63" t="str">
        <x:v>Coordinación SST</x:v>
      </x:c>
      <x:c r="O252" s="63" t="str">
        <x:v>Presupuesto SG-SST</x:v>
      </x:c>
      <x:c r="P252" s="63" t="str">
        <x:v>Lista de asistencia, evaluación, acta</x:v>
      </x:c>
      <x:c r="Q252" s="79" t="n">
        <x:v>501812</x:v>
      </x:c>
      <x:c r="R252" s="79" t="n">
        <x:v>483210</x:v>
      </x:c>
      <x:c r="S252" s="79" t="n">
        <x:v>-18602</x:v>
      </x:c>
      <x:c r="T252" s="75" t="n">
        <x:v>0.9629303404462229</x:v>
      </x:c>
      <x:c r="U252" s="63" t="str">
        <x:v>Parcial</x:v>
      </x:c>
      <x:c r="V252" s="63" t="str">
        <x:v>Actividad con ejecución parcial o cierre financiero pendiente.</x:v>
      </x:c>
      <x:c r="W252" s="47" t="str">
        <x:v>Corte anual cerrado</x:v>
      </x:c>
    </x:row>
    <x:row r="253" ht="18" customHeight="1">
      <x:c r="A253" s="46" t="n">
        <x:v>2025</x:v>
      </x:c>
      <x:c r="B253" s="63" t="n">
        <x:v>5</x:v>
      </x:c>
      <x:c r="C253" s="63" t="str">
        <x:v>Mayo</x:v>
      </x:c>
      <x:c r="D253" s="63" t="str">
        <x:v>T2</x:v>
      </x:c>
      <x:c r="E253" s="71" t="n">
        <x:v>45808</x:v>
      </x:c>
      <x:c r="F253" s="63" t="str">
        <x:v>Higiene y seguridad industrial</x:v>
      </x:c>
      <x:c r="G253" s="63" t="str">
        <x:v>Dotación y control operacional</x:v>
      </x:c>
      <x:c r="H253" s="63" t="str">
        <x:v>Dotación y reposición de EPP</x:v>
      </x:c>
      <x:c r="I253" s="63" t="str">
        <x:v>Operativo</x:v>
      </x:c>
      <x:c r="J253" s="63" t="str">
        <x:v>Alta</x:v>
      </x:c>
      <x:c r="K253" s="63" t="str">
        <x:v>Bimestral / trimestral</x:v>
      </x:c>
      <x:c r="L253" s="63" t="str">
        <x:v>Entrega</x:v>
      </x:c>
      <x:c r="M253" s="63" t="n">
        <x:v>6</x:v>
      </x:c>
      <x:c r="N253" s="63" t="str">
        <x:v>Coordinación SST / Compras</x:v>
      </x:c>
      <x:c r="O253" s="63" t="str">
        <x:v>Presupuesto SG-SST</x:v>
      </x:c>
      <x:c r="P253" s="63" t="str">
        <x:v>Formato de entrega, factura, remisión</x:v>
      </x:c>
      <x:c r="Q253" s="79" t="n">
        <x:v>836353</x:v>
      </x:c>
      <x:c r="R253" s="79" t="n">
        <x:v>846007</x:v>
      </x:c>
      <x:c r="S253" s="79" t="n">
        <x:v>9654</x:v>
      </x:c>
      <x:c r="T253" s="75" t="n">
        <x:v>1.0115429728834595</x:v>
      </x:c>
      <x:c r="U253" s="63" t="str">
        <x:v>Ejecutado</x:v>
      </x:c>
      <x:c r="V253" s="63" t="str">
        <x:v>Actividad ejecutada dentro del rango esperado.</x:v>
      </x:c>
      <x:c r="W253" s="47" t="str">
        <x:v>Corte anual cerrado</x:v>
      </x:c>
    </x:row>
    <x:row r="254" ht="18" customHeight="1">
      <x:c r="A254" s="46" t="n">
        <x:v>2025</x:v>
      </x:c>
      <x:c r="B254" s="63" t="n">
        <x:v>5</x:v>
      </x:c>
      <x:c r="C254" s="63" t="str">
        <x:v>Mayo</x:v>
      </x:c>
      <x:c r="D254" s="63" t="str">
        <x:v>T2</x:v>
      </x:c>
      <x:c r="E254" s="71" t="n">
        <x:v>45808</x:v>
      </x:c>
      <x:c r="F254" s="63" t="str">
        <x:v>Medicina preventiva y del trabajo</x:v>
      </x:c>
      <x:c r="G254" s="63" t="str">
        <x:v>Vigilancia epidemiológica</x:v>
      </x:c>
      <x:c r="H254" s="63" t="str">
        <x:v>Evaluación de riesgo psicosocial y actividades de intervención</x:v>
      </x:c>
      <x:c r="I254" s="63" t="str">
        <x:v>Servicio</x:v>
      </x:c>
      <x:c r="J254" s="63" t="str">
        <x:v>Alta</x:v>
      </x:c>
      <x:c r="K254" s="63" t="str">
        <x:v>Periódica</x:v>
      </x:c>
      <x:c r="L254" s="63" t="str">
        <x:v>Actividad</x:v>
      </x:c>
      <x:c r="M254" s="63" t="n">
        <x:v>6</x:v>
      </x:c>
      <x:c r="N254" s="63" t="str">
        <x:v>Psicología / SST</x:v>
      </x:c>
      <x:c r="O254" s="63" t="str">
        <x:v>Presupuesto SG-SST</x:v>
      </x:c>
      <x:c r="P254" s="63" t="str">
        <x:v>Informe técnico, evidencia, plan de intervención</x:v>
      </x:c>
      <x:c r="Q254" s="79" t="n">
        <x:v>390298</x:v>
      </x:c>
      <x:c r="R254" s="79" t="n">
        <x:v>388471</x:v>
      </x:c>
      <x:c r="S254" s="79" t="n">
        <x:v>-1827</x:v>
      </x:c>
      <x:c r="T254" s="75" t="n">
        <x:v>0.9953189614089747</x:v>
      </x:c>
      <x:c r="U254" s="63" t="str">
        <x:v>Ejecutado</x:v>
      </x:c>
      <x:c r="V254" s="63" t="str">
        <x:v>Actividad ejecutada dentro del rango esperado.</x:v>
      </x:c>
      <x:c r="W254" s="47" t="str">
        <x:v>Corte anual cerrado</x:v>
      </x:c>
    </x:row>
    <x:row r="255" ht="18" customHeight="1">
      <x:c r="A255" s="46" t="n">
        <x:v>2025</x:v>
      </x:c>
      <x:c r="B255" s="63" t="n">
        <x:v>5</x:v>
      </x:c>
      <x:c r="C255" s="63" t="str">
        <x:v>Mayo</x:v>
      </x:c>
      <x:c r="D255" s="63" t="str">
        <x:v>T2</x:v>
      </x:c>
      <x:c r="E255" s="71" t="n">
        <x:v>45808</x:v>
      </x:c>
      <x:c r="F255" s="63" t="str">
        <x:v>Recursos y gestión financiera</x:v>
      </x:c>
      <x:c r="G255" s="63" t="str">
        <x:v>Planeación y recursos</x:v>
      </x:c>
      <x:c r="H255" s="63" t="str">
        <x:v>Exámenes médicos ocupacionales</x:v>
      </x:c>
      <x:c r="I255" s="63" t="str">
        <x:v>Servicio</x:v>
      </x:c>
      <x:c r="J255" s="63" t="str">
        <x:v>Alta</x:v>
      </x:c>
      <x:c r="K255" s="63" t="str">
        <x:v>Semestral</x:v>
      </x:c>
      <x:c r="L255" s="63" t="str">
        <x:v>Jornada</x:v>
      </x:c>
      <x:c r="M255" s="63" t="n">
        <x:v>2</x:v>
      </x:c>
      <x:c r="N255" s="63" t="str">
        <x:v>Coordinación SST</x:v>
      </x:c>
      <x:c r="O255" s="63" t="str">
        <x:v>Presupuesto SG-SST</x:v>
      </x:c>
      <x:c r="P255" s="63" t="str">
        <x:v>Orden de servicio, factura, concepto médico</x:v>
      </x:c>
      <x:c r="Q255" s="79" t="n">
        <x:v>133816</x:v>
      </x:c>
      <x:c r="R255" s="79" t="n">
        <x:v>130238</x:v>
      </x:c>
      <x:c r="S255" s="79" t="n">
        <x:v>-3578</x:v>
      </x:c>
      <x:c r="T255" s="75" t="n">
        <x:v>0.9732617923118312</x:v>
      </x:c>
      <x:c r="U255" s="63" t="str">
        <x:v>Parcial</x:v>
      </x:c>
      <x:c r="V255" s="63" t="str">
        <x:v>Actividad con ejecución parcial o cierre financiero pendiente.</x:v>
      </x:c>
      <x:c r="W255" s="47" t="str">
        <x:v>Corte anual cerrado</x:v>
      </x:c>
    </x:row>
    <x:row r="256" ht="18" customHeight="1">
      <x:c r="A256" s="46" t="n">
        <x:v>2025</x:v>
      </x:c>
      <x:c r="B256" s="63" t="n">
        <x:v>5</x:v>
      </x:c>
      <x:c r="C256" s="63" t="str">
        <x:v>Mayo</x:v>
      </x:c>
      <x:c r="D256" s="63" t="str">
        <x:v>T2</x:v>
      </x:c>
      <x:c r="E256" s="71" t="n">
        <x:v>45808</x:v>
      </x:c>
      <x:c r="F256" s="63" t="str">
        <x:v>Participación y consulta</x:v>
      </x:c>
      <x:c r="G256" s="63" t="str">
        <x:v>Comités de SST</x:v>
      </x:c>
      <x:c r="H256" s="63" t="str">
        <x:v>Gestión de COPASST y Comité de Convivencia</x:v>
      </x:c>
      <x:c r="I256" s="63" t="str">
        <x:v>Operativo</x:v>
      </x:c>
      <x:c r="J256" s="63" t="str">
        <x:v>Media</x:v>
      </x:c>
      <x:c r="K256" s="63" t="str">
        <x:v>Mensual</x:v>
      </x:c>
      <x:c r="L256" s="63" t="str">
        <x:v>Reunión</x:v>
      </x:c>
      <x:c r="M256" s="63" t="n">
        <x:v>12</x:v>
      </x:c>
      <x:c r="N256" s="63" t="str">
        <x:v>Talento Humano / SST</x:v>
      </x:c>
      <x:c r="O256" s="63" t="str">
        <x:v>Presupuesto SG-SST</x:v>
      </x:c>
      <x:c r="P256" s="63" t="str">
        <x:v>Acta, convocatoria, seguimiento compromisos</x:v>
      </x:c>
      <x:c r="Q256" s="79" t="n">
        <x:v>200725</x:v>
      </x:c>
      <x:c r="R256" s="79" t="n">
        <x:v>185645</x:v>
      </x:c>
      <x:c r="S256" s="79" t="n">
        <x:v>-15080</x:v>
      </x:c>
      <x:c r="T256" s="75" t="n">
        <x:v>0.9248723377755635</x:v>
      </x:c>
      <x:c r="U256" s="63" t="str">
        <x:v>Parcial</x:v>
      </x:c>
      <x:c r="V256" s="63" t="str">
        <x:v>Actividad con ejecución parcial o cierre financiero pendiente.</x:v>
      </x:c>
      <x:c r="W256" s="47" t="str">
        <x:v>Corte anual cerrado</x:v>
      </x:c>
    </x:row>
    <x:row r="257" ht="18" customHeight="1">
      <x:c r="A257" s="46" t="n">
        <x:v>2025</x:v>
      </x:c>
      <x:c r="B257" s="63" t="n">
        <x:v>5</x:v>
      </x:c>
      <x:c r="C257" s="63" t="str">
        <x:v>Mayo</x:v>
      </x:c>
      <x:c r="D257" s="63" t="str">
        <x:v>T2</x:v>
      </x:c>
      <x:c r="E257" s="71" t="n">
        <x:v>45808</x:v>
      </x:c>
      <x:c r="F257" s="63" t="str">
        <x:v>Higiene y seguridad industrial</x:v>
      </x:c>
      <x:c r="G257" s="63" t="str">
        <x:v>Inspecciones y control</x:v>
      </x:c>
      <x:c r="H257" s="63" t="str">
        <x:v>Inspecciones planeadas de seguridad</x:v>
      </x:c>
      <x:c r="I257" s="63" t="str">
        <x:v>Operativo</x:v>
      </x:c>
      <x:c r="J257" s="63" t="str">
        <x:v>Media</x:v>
      </x:c>
      <x:c r="K257" s="63" t="str">
        <x:v>Mensual</x:v>
      </x:c>
      <x:c r="L257" s="63" t="str">
        <x:v>Inspección</x:v>
      </x:c>
      <x:c r="M257" s="63" t="n">
        <x:v>12</x:v>
      </x:c>
      <x:c r="N257" s="63" t="str">
        <x:v>Inspector SST</x:v>
      </x:c>
      <x:c r="O257" s="63" t="str">
        <x:v>Presupuesto SG-SST</x:v>
      </x:c>
      <x:c r="P257" s="63" t="str">
        <x:v>Lista de chequeo, informe, evidencia fotográfica</x:v>
      </x:c>
      <x:c r="Q257" s="79" t="n">
        <x:v>301087</x:v>
      </x:c>
      <x:c r="R257" s="79" t="n">
        <x:v>277498</x:v>
      </x:c>
      <x:c r="S257" s="79" t="n">
        <x:v>-23589</x:v>
      </x:c>
      <x:c r="T257" s="75" t="n">
        <x:v>0.9216538741294045</x:v>
      </x:c>
      <x:c r="U257" s="63" t="str">
        <x:v>Parcial</x:v>
      </x:c>
      <x:c r="V257" s="63" t="str">
        <x:v>Actividad con ejecución parcial o cierre financiero pendiente.</x:v>
      </x:c>
      <x:c r="W257" s="47" t="str">
        <x:v>Corte anual cerrado</x:v>
      </x:c>
    </x:row>
    <x:row r="258" ht="18" customHeight="1">
      <x:c r="A258" s="46" t="n">
        <x:v>2025</x:v>
      </x:c>
      <x:c r="B258" s="63" t="n">
        <x:v>5</x:v>
      </x:c>
      <x:c r="C258" s="63" t="str">
        <x:v>Mayo</x:v>
      </x:c>
      <x:c r="D258" s="63" t="str">
        <x:v>T2</x:v>
      </x:c>
      <x:c r="E258" s="71" t="n">
        <x:v>45808</x:v>
      </x:c>
      <x:c r="F258" s="63" t="str">
        <x:v>Mejora continua y cumplimiento</x:v>
      </x:c>
      <x:c r="G258" s="63" t="str">
        <x:v>Gestión de incidentes y mejora</x:v>
      </x:c>
      <x:c r="H258" s="63" t="str">
        <x:v>Investigación de AT/EL y acciones correctivas</x:v>
      </x:c>
      <x:c r="I258" s="63" t="str">
        <x:v>Operativo</x:v>
      </x:c>
      <x:c r="J258" s="63" t="str">
        <x:v>Media</x:v>
      </x:c>
      <x:c r="K258" s="63" t="str">
        <x:v>Mensual</x:v>
      </x:c>
      <x:c r="L258" s="63" t="str">
        <x:v>Seguimiento</x:v>
      </x:c>
      <x:c r="M258" s="63" t="n">
        <x:v>12</x:v>
      </x:c>
      <x:c r="N258" s="63" t="str">
        <x:v>SST / Jefes de área</x:v>
      </x:c>
      <x:c r="O258" s="63" t="str">
        <x:v>Presupuesto SG-SST</x:v>
      </x:c>
      <x:c r="P258" s="63" t="str">
        <x:v>Investigación, plan de acción, evidencia de cierre</x:v>
      </x:c>
      <x:c r="Q258" s="79" t="n">
        <x:v>250906</x:v>
      </x:c>
      <x:c r="R258" s="79" t="n">
        <x:v>237184</x:v>
      </x:c>
      <x:c r="S258" s="79" t="n">
        <x:v>-13722</x:v>
      </x:c>
      <x:c r="T258" s="75" t="n">
        <x:v>0.9453101958502388</x:v>
      </x:c>
      <x:c r="U258" s="63" t="str">
        <x:v>Parcial</x:v>
      </x:c>
      <x:c r="V258" s="63" t="str">
        <x:v>Actividad con ejecución parcial o cierre financiero pendiente.</x:v>
      </x:c>
      <x:c r="W258" s="47" t="str">
        <x:v>Corte anual cerrado</x:v>
      </x:c>
    </x:row>
    <x:row r="259" ht="18" customHeight="1">
      <x:c r="A259" s="46" t="n">
        <x:v>2025</x:v>
      </x:c>
      <x:c r="B259" s="63" t="n">
        <x:v>5</x:v>
      </x:c>
      <x:c r="C259" s="63" t="str">
        <x:v>Mayo</x:v>
      </x:c>
      <x:c r="D259" s="63" t="str">
        <x:v>T2</x:v>
      </x:c>
      <x:c r="E259" s="71" t="n">
        <x:v>45808</x:v>
      </x:c>
      <x:c r="F259" s="63" t="str">
        <x:v>Medicina preventiva y del trabajo</x:v>
      </x:c>
      <x:c r="G259" s="63" t="str">
        <x:v>Programas de vigilancia epidemiológica</x:v>
      </x:c>
      <x:c r="H259" s="63" t="str">
        <x:v>Programas de vigilancia epidemiológica y seguimiento médico</x:v>
      </x:c>
      <x:c r="I259" s="63" t="str">
        <x:v>Servicio</x:v>
      </x:c>
      <x:c r="J259" s="63" t="str">
        <x:v>Alta</x:v>
      </x:c>
      <x:c r="K259" s="63" t="str">
        <x:v>Mensual</x:v>
      </x:c>
      <x:c r="L259" s="63" t="str">
        <x:v>Seguimiento</x:v>
      </x:c>
      <x:c r="M259" s="63" t="n">
        <x:v>12</x:v>
      </x:c>
      <x:c r="N259" s="63" t="str">
        <x:v>Médico laboral / SST</x:v>
      </x:c>
      <x:c r="O259" s="63" t="str">
        <x:v>Presupuesto SG-SST</x:v>
      </x:c>
      <x:c r="P259" s="63" t="str">
        <x:v>Base de seguimiento, informe, remisiones</x:v>
      </x:c>
      <x:c r="Q259" s="79" t="n">
        <x:v>624477</x:v>
      </x:c>
      <x:c r="R259" s="79" t="n">
        <x:v>593010</x:v>
      </x:c>
      <x:c r="S259" s="79" t="n">
        <x:v>-31467</x:v>
      </x:c>
      <x:c r="T259" s="75" t="n">
        <x:v>0.9496106341786807</x:v>
      </x:c>
      <x:c r="U259" s="63" t="str">
        <x:v>Parcial</x:v>
      </x:c>
      <x:c r="V259" s="63" t="str">
        <x:v>Actividad con ejecución parcial o cierre financiero pendiente.</x:v>
      </x:c>
      <x:c r="W259" s="47" t="str">
        <x:v>Corte anual cerrado</x:v>
      </x:c>
    </x:row>
    <x:row r="260" ht="18" customHeight="1">
      <x:c r="A260" s="46" t="n">
        <x:v>2025</x:v>
      </x:c>
      <x:c r="B260" s="63" t="n">
        <x:v>5</x:v>
      </x:c>
      <x:c r="C260" s="63" t="str">
        <x:v>Mayo</x:v>
      </x:c>
      <x:c r="D260" s="63" t="str">
        <x:v>T2</x:v>
      </x:c>
      <x:c r="E260" s="71" t="n">
        <x:v>45808</x:v>
      </x:c>
      <x:c r="F260" s="63" t="str">
        <x:v>Higiene y seguridad industrial</x:v>
      </x:c>
      <x:c r="G260" s="63" t="str">
        <x:v>Señalización y control visual</x:v>
      </x:c>
      <x:c r="H260" s="63" t="str">
        <x:v>Señalización, demarcación y avisos de seguridad</x:v>
      </x:c>
      <x:c r="I260" s="63" t="str">
        <x:v>Operativo</x:v>
      </x:c>
      <x:c r="J260" s="63" t="str">
        <x:v>Media</x:v>
      </x:c>
      <x:c r="K260" s="63" t="str">
        <x:v>Periódica</x:v>
      </x:c>
      <x:c r="L260" s="63" t="str">
        <x:v>Intervención</x:v>
      </x:c>
      <x:c r="M260" s="63" t="n">
        <x:v>5</x:v>
      </x:c>
      <x:c r="N260" s="63" t="str">
        <x:v>SST / Mantenimiento</x:v>
      </x:c>
      <x:c r="O260" s="63" t="str">
        <x:v>Presupuesto SG-SST</x:v>
      </x:c>
      <x:c r="P260" s="63" t="str">
        <x:v>Acta de instalación, factura, inventario</x:v>
      </x:c>
      <x:c r="Q260" s="79" t="n">
        <x:v>418176</x:v>
      </x:c>
      <x:c r="R260" s="79" t="n">
        <x:v>436245</x:v>
      </x:c>
      <x:c r="S260" s="79" t="n">
        <x:v>18069</x:v>
      </x:c>
      <x:c r="T260" s="75" t="n">
        <x:v>1.0432090794306703</x:v>
      </x:c>
      <x:c r="U260" s="63" t="str">
        <x:v>Ejecutado</x:v>
      </x:c>
      <x:c r="V260" s="63" t="str">
        <x:v>Actividad ejecutada dentro del rango esperado.</x:v>
      </x:c>
      <x:c r="W260" s="47" t="str">
        <x:v>Corte anual cerrado</x:v>
      </x:c>
    </x:row>
    <x:row r="261" ht="18" customHeight="1">
      <x:c r="A261" s="46" t="n">
        <x:v>2025</x:v>
      </x:c>
      <x:c r="B261" s="63" t="n">
        <x:v>6</x:v>
      </x:c>
      <x:c r="C261" s="63" t="str">
        <x:v>Junio</x:v>
      </x:c>
      <x:c r="D261" s="63" t="str">
        <x:v>T2</x:v>
      </x:c>
      <x:c r="E261" s="71" t="n">
        <x:v>45838</x:v>
      </x:c>
      <x:c r="F261" s="63" t="str">
        <x:v>Mejora continua y cumplimiento</x:v>
      </x:c>
      <x:c r="G261" s="63" t="str">
        <x:v>Auditoría y revisión por la dirección</x:v>
      </x:c>
      <x:c r="H261" s="63" t="str">
        <x:v>Auditoría interna, autoevaluación y revisión gerencial</x:v>
      </x:c>
      <x:c r="I261" s="63" t="str">
        <x:v>Servicio</x:v>
      </x:c>
      <x:c r="J261" s="63" t="str">
        <x:v>Alta</x:v>
      </x:c>
      <x:c r="K261" s="63" t="str">
        <x:v>Trimestral</x:v>
      </x:c>
      <x:c r="L261" s="63" t="str">
        <x:v>Hito</x:v>
      </x:c>
      <x:c r="M261" s="63" t="n">
        <x:v>4</x:v>
      </x:c>
      <x:c r="N261" s="63" t="str">
        <x:v>Líder HSEQ / Gerencia</x:v>
      </x:c>
      <x:c r="O261" s="63" t="str">
        <x:v>Presupuesto SG-SST</x:v>
      </x:c>
      <x:c r="P261" s="63" t="str">
        <x:v>Informe de auditoría, acta, plan de mejora</x:v>
      </x:c>
      <x:c r="Q261" s="79" t="n">
        <x:v>446055</x:v>
      </x:c>
      <x:c r="R261" s="79" t="n">
        <x:v>460957</x:v>
      </x:c>
      <x:c r="S261" s="79" t="n">
        <x:v>14902</x:v>
      </x:c>
      <x:c r="T261" s="75" t="n">
        <x:v>1.033408436179395</x:v>
      </x:c>
      <x:c r="U261" s="63" t="str">
        <x:v>Ejecutado</x:v>
      </x:c>
      <x:c r="V261" s="63" t="str">
        <x:v>Actividad ejecutada dentro del rango esperado.</x:v>
      </x:c>
      <x:c r="W261" s="47" t="str">
        <x:v>Corte anual cerrado</x:v>
      </x:c>
    </x:row>
    <x:row r="262" ht="18" customHeight="1">
      <x:c r="A262" s="46" t="n">
        <x:v>2025</x:v>
      </x:c>
      <x:c r="B262" s="63" t="n">
        <x:v>6</x:v>
      </x:c>
      <x:c r="C262" s="63" t="str">
        <x:v>Junio</x:v>
      </x:c>
      <x:c r="D262" s="63" t="str">
        <x:v>T2</x:v>
      </x:c>
      <x:c r="E262" s="71" t="n">
        <x:v>45838</x:v>
      </x:c>
      <x:c r="F262" s="63" t="str">
        <x:v>Capacitación y entrenamiento</x:v>
      </x:c>
      <x:c r="G262" s="63" t="str">
        <x:v>Plan anual de formación</x:v>
      </x:c>
      <x:c r="H262" s="63" t="str">
        <x:v>Capacitación y entrenamiento en SG-SST</x:v>
      </x:c>
      <x:c r="I262" s="63" t="str">
        <x:v>Operativo</x:v>
      </x:c>
      <x:c r="J262" s="63" t="str">
        <x:v>Alta</x:v>
      </x:c>
      <x:c r="K262" s="63" t="str">
        <x:v>Mensual</x:v>
      </x:c>
      <x:c r="L262" s="63" t="str">
        <x:v>Jornada</x:v>
      </x:c>
      <x:c r="M262" s="63" t="n">
        <x:v>12</x:v>
      </x:c>
      <x:c r="N262" s="63" t="str">
        <x:v>Coordinación SST</x:v>
      </x:c>
      <x:c r="O262" s="63" t="str">
        <x:v>Presupuesto SG-SST</x:v>
      </x:c>
      <x:c r="P262" s="63" t="str">
        <x:v>Lista de asistencia, evaluación, acta</x:v>
      </x:c>
      <x:c r="Q262" s="79" t="n">
        <x:v>446055</x:v>
      </x:c>
      <x:c r="R262" s="79" t="n">
        <x:v>425534</x:v>
      </x:c>
      <x:c r="S262" s="79" t="n">
        <x:v>-20521</x:v>
      </x:c>
      <x:c r="T262" s="75" t="n">
        <x:v>0.9539944625662755</x:v>
      </x:c>
      <x:c r="U262" s="63" t="str">
        <x:v>Parcial</x:v>
      </x:c>
      <x:c r="V262" s="63" t="str">
        <x:v>Actividad con ejecución parcial o cierre financiero pendiente.</x:v>
      </x:c>
      <x:c r="W262" s="47" t="str">
        <x:v>Corte anual cerrado</x:v>
      </x:c>
    </x:row>
    <x:row r="263" ht="18" customHeight="1">
      <x:c r="A263" s="46" t="n">
        <x:v>2025</x:v>
      </x:c>
      <x:c r="B263" s="63" t="n">
        <x:v>6</x:v>
      </x:c>
      <x:c r="C263" s="63" t="str">
        <x:v>Junio</x:v>
      </x:c>
      <x:c r="D263" s="63" t="str">
        <x:v>T2</x:v>
      </x:c>
      <x:c r="E263" s="71" t="n">
        <x:v>45838</x:v>
      </x:c>
      <x:c r="F263" s="63" t="str">
        <x:v>Medicina preventiva y del trabajo</x:v>
      </x:c>
      <x:c r="G263" s="63" t="str">
        <x:v>Vigilancia epidemiológica</x:v>
      </x:c>
      <x:c r="H263" s="63" t="str">
        <x:v>Evaluación de riesgo psicosocial y actividades de intervención</x:v>
      </x:c>
      <x:c r="I263" s="63" t="str">
        <x:v>Servicio</x:v>
      </x:c>
      <x:c r="J263" s="63" t="str">
        <x:v>Alta</x:v>
      </x:c>
      <x:c r="K263" s="63" t="str">
        <x:v>Periódica</x:v>
      </x:c>
      <x:c r="L263" s="63" t="str">
        <x:v>Actividad</x:v>
      </x:c>
      <x:c r="M263" s="63" t="n">
        <x:v>6</x:v>
      </x:c>
      <x:c r="N263" s="63" t="str">
        <x:v>Psicología / SST</x:v>
      </x:c>
      <x:c r="O263" s="63" t="str">
        <x:v>Presupuesto SG-SST</x:v>
      </x:c>
      <x:c r="P263" s="63" t="str">
        <x:v>Informe técnico, evidencia, plan de intervención</x:v>
      </x:c>
      <x:c r="Q263" s="79" t="n">
        <x:v>390298</x:v>
      </x:c>
      <x:c r="R263" s="79" t="n">
        <x:v>399744</x:v>
      </x:c>
      <x:c r="S263" s="79" t="n">
        <x:v>9446</x:v>
      </x:c>
      <x:c r="T263" s="75" t="n">
        <x:v>1.0242020199949782</x:v>
      </x:c>
      <x:c r="U263" s="63" t="str">
        <x:v>Ejecutado</x:v>
      </x:c>
      <x:c r="V263" s="63" t="str">
        <x:v>Actividad ejecutada dentro del rango esperado.</x:v>
      </x:c>
      <x:c r="W263" s="47" t="str">
        <x:v>Corte anual cerrado</x:v>
      </x:c>
    </x:row>
    <x:row r="264" ht="18" customHeight="1">
      <x:c r="A264" s="46" t="n">
        <x:v>2025</x:v>
      </x:c>
      <x:c r="B264" s="63" t="n">
        <x:v>6</x:v>
      </x:c>
      <x:c r="C264" s="63" t="str">
        <x:v>Junio</x:v>
      </x:c>
      <x:c r="D264" s="63" t="str">
        <x:v>T2</x:v>
      </x:c>
      <x:c r="E264" s="71" t="n">
        <x:v>45838</x:v>
      </x:c>
      <x:c r="F264" s="63" t="str">
        <x:v>Recursos y gestión financiera</x:v>
      </x:c>
      <x:c r="G264" s="63" t="str">
        <x:v>Planeación y recursos</x:v>
      </x:c>
      <x:c r="H264" s="63" t="str">
        <x:v>Exámenes médicos ocupacionales</x:v>
      </x:c>
      <x:c r="I264" s="63" t="str">
        <x:v>Servicio</x:v>
      </x:c>
      <x:c r="J264" s="63" t="str">
        <x:v>Alta</x:v>
      </x:c>
      <x:c r="K264" s="63" t="str">
        <x:v>Semestral</x:v>
      </x:c>
      <x:c r="L264" s="63" t="str">
        <x:v>Jornada</x:v>
      </x:c>
      <x:c r="M264" s="63" t="n">
        <x:v>2</x:v>
      </x:c>
      <x:c r="N264" s="63" t="str">
        <x:v>Coordinación SST</x:v>
      </x:c>
      <x:c r="O264" s="63" t="str">
        <x:v>Presupuesto SG-SST</x:v>
      </x:c>
      <x:c r="P264" s="63" t="str">
        <x:v>Orden de servicio, factura, concepto médico</x:v>
      </x:c>
      <x:c r="Q264" s="79" t="n">
        <x:v>200725</x:v>
      </x:c>
      <x:c r="R264" s="79" t="n">
        <x:v>191837</x:v>
      </x:c>
      <x:c r="S264" s="79" t="n">
        <x:v>-8888</x:v>
      </x:c>
      <x:c r="T264" s="75" t="n">
        <x:v>0.9557205131398679</x:v>
      </x:c>
      <x:c r="U264" s="63" t="str">
        <x:v>Parcial</x:v>
      </x:c>
      <x:c r="V264" s="63" t="str">
        <x:v>Actividad con ejecución parcial o cierre financiero pendiente.</x:v>
      </x:c>
      <x:c r="W264" s="47" t="str">
        <x:v>Corte anual cerrado</x:v>
      </x:c>
    </x:row>
    <x:row r="265" ht="18" customHeight="1">
      <x:c r="A265" s="46" t="n">
        <x:v>2025</x:v>
      </x:c>
      <x:c r="B265" s="63" t="n">
        <x:v>6</x:v>
      </x:c>
      <x:c r="C265" s="63" t="str">
        <x:v>Junio</x:v>
      </x:c>
      <x:c r="D265" s="63" t="str">
        <x:v>T2</x:v>
      </x:c>
      <x:c r="E265" s="71" t="n">
        <x:v>45838</x:v>
      </x:c>
      <x:c r="F265" s="63" t="str">
        <x:v>Participación y consulta</x:v>
      </x:c>
      <x:c r="G265" s="63" t="str">
        <x:v>Comités de SST</x:v>
      </x:c>
      <x:c r="H265" s="63" t="str">
        <x:v>Gestión de COPASST y Comité de Convivencia</x:v>
      </x:c>
      <x:c r="I265" s="63" t="str">
        <x:v>Operativo</x:v>
      </x:c>
      <x:c r="J265" s="63" t="str">
        <x:v>Media</x:v>
      </x:c>
      <x:c r="K265" s="63" t="str">
        <x:v>Mensual</x:v>
      </x:c>
      <x:c r="L265" s="63" t="str">
        <x:v>Reunión</x:v>
      </x:c>
      <x:c r="M265" s="63" t="n">
        <x:v>12</x:v>
      </x:c>
      <x:c r="N265" s="63" t="str">
        <x:v>Talento Humano / SST</x:v>
      </x:c>
      <x:c r="O265" s="63" t="str">
        <x:v>Presupuesto SG-SST</x:v>
      </x:c>
      <x:c r="P265" s="63" t="str">
        <x:v>Acta, convocatoria, seguimiento compromisos</x:v>
      </x:c>
      <x:c r="Q265" s="79" t="n">
        <x:v>178422</x:v>
      </x:c>
      <x:c r="R265" s="79" t="n">
        <x:v>185815</x:v>
      </x:c>
      <x:c r="S265" s="79" t="n">
        <x:v>7393</x:v>
      </x:c>
      <x:c r="T265" s="75" t="n">
        <x:v>1.041435473203977</x:v>
      </x:c>
      <x:c r="U265" s="63" t="str">
        <x:v>Ejecutado</x:v>
      </x:c>
      <x:c r="V265" s="63" t="str">
        <x:v>Actividad ejecutada dentro del rango esperado.</x:v>
      </x:c>
      <x:c r="W265" s="47" t="str">
        <x:v>Corte anual cerrado</x:v>
      </x:c>
    </x:row>
    <x:row r="266" ht="18" customHeight="1">
      <x:c r="A266" s="46" t="n">
        <x:v>2025</x:v>
      </x:c>
      <x:c r="B266" s="63" t="n">
        <x:v>6</x:v>
      </x:c>
      <x:c r="C266" s="63" t="str">
        <x:v>Junio</x:v>
      </x:c>
      <x:c r="D266" s="63" t="str">
        <x:v>T2</x:v>
      </x:c>
      <x:c r="E266" s="71" t="n">
        <x:v>45838</x:v>
      </x:c>
      <x:c r="F266" s="63" t="str">
        <x:v>Higiene y seguridad industrial</x:v>
      </x:c>
      <x:c r="G266" s="63" t="str">
        <x:v>Inspecciones y control</x:v>
      </x:c>
      <x:c r="H266" s="63" t="str">
        <x:v>Inspecciones planeadas de seguridad</x:v>
      </x:c>
      <x:c r="I266" s="63" t="str">
        <x:v>Operativo</x:v>
      </x:c>
      <x:c r="J266" s="63" t="str">
        <x:v>Media</x:v>
      </x:c>
      <x:c r="K266" s="63" t="str">
        <x:v>Mensual</x:v>
      </x:c>
      <x:c r="L266" s="63" t="str">
        <x:v>Inspección</x:v>
      </x:c>
      <x:c r="M266" s="63" t="n">
        <x:v>12</x:v>
      </x:c>
      <x:c r="N266" s="63" t="str">
        <x:v>Inspector SST</x:v>
      </x:c>
      <x:c r="O266" s="63" t="str">
        <x:v>Presupuesto SG-SST</x:v>
      </x:c>
      <x:c r="P266" s="63" t="str">
        <x:v>Lista de chequeo, informe, evidencia fotográfica</x:v>
      </x:c>
      <x:c r="Q266" s="79" t="n">
        <x:v>267633</x:v>
      </x:c>
      <x:c r="R266" s="79" t="n">
        <x:v>281001</x:v>
      </x:c>
      <x:c r="S266" s="79" t="n">
        <x:v>13368</x:v>
      </x:c>
      <x:c r="T266" s="75" t="n">
        <x:v>1.0499489973209581</x:v>
      </x:c>
      <x:c r="U266" s="63" t="str">
        <x:v>Ejecutado</x:v>
      </x:c>
      <x:c r="V266" s="63" t="str">
        <x:v>Actividad ejecutada dentro del rango esperado.</x:v>
      </x:c>
      <x:c r="W266" s="47" t="str">
        <x:v>Corte anual cerrado</x:v>
      </x:c>
    </x:row>
    <x:row r="267" ht="18" customHeight="1">
      <x:c r="A267" s="46" t="n">
        <x:v>2025</x:v>
      </x:c>
      <x:c r="B267" s="63" t="n">
        <x:v>6</x:v>
      </x:c>
      <x:c r="C267" s="63" t="str">
        <x:v>Junio</x:v>
      </x:c>
      <x:c r="D267" s="63" t="str">
        <x:v>T2</x:v>
      </x:c>
      <x:c r="E267" s="71" t="n">
        <x:v>45838</x:v>
      </x:c>
      <x:c r="F267" s="63" t="str">
        <x:v>Mejora continua y cumplimiento</x:v>
      </x:c>
      <x:c r="G267" s="63" t="str">
        <x:v>Gestión de incidentes y mejora</x:v>
      </x:c>
      <x:c r="H267" s="63" t="str">
        <x:v>Investigación de AT/EL y acciones correctivas</x:v>
      </x:c>
      <x:c r="I267" s="63" t="str">
        <x:v>Operativo</x:v>
      </x:c>
      <x:c r="J267" s="63" t="str">
        <x:v>Media</x:v>
      </x:c>
      <x:c r="K267" s="63" t="str">
        <x:v>Mensual</x:v>
      </x:c>
      <x:c r="L267" s="63" t="str">
        <x:v>Seguimiento</x:v>
      </x:c>
      <x:c r="M267" s="63" t="n">
        <x:v>12</x:v>
      </x:c>
      <x:c r="N267" s="63" t="str">
        <x:v>SST / Jefes de área</x:v>
      </x:c>
      <x:c r="O267" s="63" t="str">
        <x:v>Presupuesto SG-SST</x:v>
      </x:c>
      <x:c r="P267" s="63" t="str">
        <x:v>Investigación, plan de acción, evidencia de cierre</x:v>
      </x:c>
      <x:c r="Q267" s="79" t="n">
        <x:v>223027</x:v>
      </x:c>
      <x:c r="R267" s="79" t="n">
        <x:v>200827</x:v>
      </x:c>
      <x:c r="S267" s="79" t="n">
        <x:v>-22200</x:v>
      </x:c>
      <x:c r="T267" s="75" t="n">
        <x:v>0.9004604823631219</x:v>
      </x:c>
      <x:c r="U267" s="63" t="str">
        <x:v>Parcial</x:v>
      </x:c>
      <x:c r="V267" s="63" t="str">
        <x:v>Actividad con ejecución parcial o cierre financiero pendiente.</x:v>
      </x:c>
      <x:c r="W267" s="47" t="str">
        <x:v>Corte anual cerrado</x:v>
      </x:c>
    </x:row>
    <x:row r="268" ht="18" customHeight="1">
      <x:c r="A268" s="46" t="n">
        <x:v>2025</x:v>
      </x:c>
      <x:c r="B268" s="63" t="n">
        <x:v>6</x:v>
      </x:c>
      <x:c r="C268" s="63" t="str">
        <x:v>Junio</x:v>
      </x:c>
      <x:c r="D268" s="63" t="str">
        <x:v>T2</x:v>
      </x:c>
      <x:c r="E268" s="71" t="n">
        <x:v>45838</x:v>
      </x:c>
      <x:c r="F268" s="63" t="str">
        <x:v>Emergencias e infraestructura</x:v>
      </x:c>
      <x:c r="G268" s="63" t="str">
        <x:v>Preparación y respuesta ante emergencias</x:v>
      </x:c>
      <x:c r="H268" s="63" t="str">
        <x:v>Mantenimiento de extintores, botiquines y equipos de emergencia</x:v>
      </x:c>
      <x:c r="I268" s="63" t="str">
        <x:v>Servicio</x:v>
      </x:c>
      <x:c r="J268" s="63" t="str">
        <x:v>Alta</x:v>
      </x:c>
      <x:c r="K268" s="63" t="str">
        <x:v>Bimestral / semestral</x:v>
      </x:c>
      <x:c r="L268" s="63" t="str">
        <x:v>Mantenimiento</x:v>
      </x:c>
      <x:c r="M268" s="63" t="n">
        <x:v>6</x:v>
      </x:c>
      <x:c r="N268" s="63" t="str">
        <x:v>Brigada / SST</x:v>
      </x:c>
      <x:c r="O268" s="63" t="str">
        <x:v>Presupuesto SG-SST</x:v>
      </x:c>
      <x:c r="P268" s="63" t="str">
        <x:v>Certificado, factura, hoja de vida del equipo</x:v>
      </x:c>
      <x:c r="Q268" s="79" t="n">
        <x:v>981320</x:v>
      </x:c>
      <x:c r="R268" s="79" t="n">
        <x:v>1012277</x:v>
      </x:c>
      <x:c r="S268" s="79" t="n">
        <x:v>30957</x:v>
      </x:c>
      <x:c r="T268" s="75" t="n">
        <x:v>1.0315462845962582</x:v>
      </x:c>
      <x:c r="U268" s="63" t="str">
        <x:v>Ejecutado</x:v>
      </x:c>
      <x:c r="V268" s="63" t="str">
        <x:v>Actividad ejecutada dentro del rango esperado.</x:v>
      </x:c>
      <x:c r="W268" s="47" t="str">
        <x:v>Corte anual cerrado</x:v>
      </x:c>
    </x:row>
    <x:row r="269" ht="18" customHeight="1">
      <x:c r="A269" s="46" t="n">
        <x:v>2025</x:v>
      </x:c>
      <x:c r="B269" s="63" t="n">
        <x:v>6</x:v>
      </x:c>
      <x:c r="C269" s="63" t="str">
        <x:v>Junio</x:v>
      </x:c>
      <x:c r="D269" s="63" t="str">
        <x:v>T2</x:v>
      </x:c>
      <x:c r="E269" s="71" t="n">
        <x:v>45838</x:v>
      </x:c>
      <x:c r="F269" s="63" t="str">
        <x:v>Medicina preventiva y del trabajo</x:v>
      </x:c>
      <x:c r="G269" s="63" t="str">
        <x:v>Programas de vigilancia epidemiológica</x:v>
      </x:c>
      <x:c r="H269" s="63" t="str">
        <x:v>Programas de vigilancia epidemiológica y seguimiento médico</x:v>
      </x:c>
      <x:c r="I269" s="63" t="str">
        <x:v>Servicio</x:v>
      </x:c>
      <x:c r="J269" s="63" t="str">
        <x:v>Alta</x:v>
      </x:c>
      <x:c r="K269" s="63" t="str">
        <x:v>Mensual</x:v>
      </x:c>
      <x:c r="L269" s="63" t="str">
        <x:v>Seguimiento</x:v>
      </x:c>
      <x:c r="M269" s="63" t="n">
        <x:v>12</x:v>
      </x:c>
      <x:c r="N269" s="63" t="str">
        <x:v>Médico laboral / SST</x:v>
      </x:c>
      <x:c r="O269" s="63" t="str">
        <x:v>Presupuesto SG-SST</x:v>
      </x:c>
      <x:c r="P269" s="63" t="str">
        <x:v>Base de seguimiento, informe, remisiones</x:v>
      </x:c>
      <x:c r="Q269" s="79" t="n">
        <x:v>624477</x:v>
      </x:c>
      <x:c r="R269" s="79" t="n">
        <x:v>581045</x:v>
      </x:c>
      <x:c r="S269" s="79" t="n">
        <x:v>-43432</x:v>
      </x:c>
      <x:c r="T269" s="75" t="n">
        <x:v>0.9304506010629695</x:v>
      </x:c>
      <x:c r="U269" s="63" t="str">
        <x:v>Parcial</x:v>
      </x:c>
      <x:c r="V269" s="63" t="str">
        <x:v>Actividad con ejecución parcial o cierre financiero pendiente.</x:v>
      </x:c>
      <x:c r="W269" s="47" t="str">
        <x:v>Corte anual cerrado</x:v>
      </x:c>
    </x:row>
    <x:row r="270" ht="18" customHeight="1">
      <x:c r="A270" s="46" t="n">
        <x:v>2025</x:v>
      </x:c>
      <x:c r="B270" s="63" t="n">
        <x:v>7</x:v>
      </x:c>
      <x:c r="C270" s="63" t="str">
        <x:v>Julio</x:v>
      </x:c>
      <x:c r="D270" s="63" t="str">
        <x:v>T3</x:v>
      </x:c>
      <x:c r="E270" s="71" t="n">
        <x:v>45869</x:v>
      </x:c>
      <x:c r="F270" s="63" t="str">
        <x:v>Capacitación y entrenamiento</x:v>
      </x:c>
      <x:c r="G270" s="63" t="str">
        <x:v>Plan anual de formación</x:v>
      </x:c>
      <x:c r="H270" s="63" t="str">
        <x:v>Capacitación y entrenamiento en SG-SST</x:v>
      </x:c>
      <x:c r="I270" s="63" t="str">
        <x:v>Operativo</x:v>
      </x:c>
      <x:c r="J270" s="63" t="str">
        <x:v>Alta</x:v>
      </x:c>
      <x:c r="K270" s="63" t="str">
        <x:v>Mensual</x:v>
      </x:c>
      <x:c r="L270" s="63" t="str">
        <x:v>Jornada</x:v>
      </x:c>
      <x:c r="M270" s="63" t="n">
        <x:v>12</x:v>
      </x:c>
      <x:c r="N270" s="63" t="str">
        <x:v>Coordinación SST</x:v>
      </x:c>
      <x:c r="O270" s="63" t="str">
        <x:v>Presupuesto SG-SST</x:v>
      </x:c>
      <x:c r="P270" s="63" t="str">
        <x:v>Lista de asistencia, evaluación, acta</x:v>
      </x:c>
      <x:c r="Q270" s="79" t="n">
        <x:v>446055</x:v>
      </x:c>
      <x:c r="R270" s="79" t="n">
        <x:v>439022</x:v>
      </x:c>
      <x:c r="S270" s="79" t="n">
        <x:v>-7033</x:v>
      </x:c>
      <x:c r="T270" s="75" t="n">
        <x:v>0.984232886079071</x:v>
      </x:c>
      <x:c r="U270" s="63" t="str">
        <x:v>Ejecutado</x:v>
      </x:c>
      <x:c r="V270" s="63" t="str">
        <x:v>Actividad ejecutada dentro del rango esperado.</x:v>
      </x:c>
      <x:c r="W270" s="47" t="str">
        <x:v>Corte anual cerrado</x:v>
      </x:c>
    </x:row>
    <x:row r="271" ht="18" customHeight="1">
      <x:c r="A271" s="46" t="n">
        <x:v>2025</x:v>
      </x:c>
      <x:c r="B271" s="63" t="n">
        <x:v>7</x:v>
      </x:c>
      <x:c r="C271" s="63" t="str">
        <x:v>Julio</x:v>
      </x:c>
      <x:c r="D271" s="63" t="str">
        <x:v>T3</x:v>
      </x:c>
      <x:c r="E271" s="71" t="n">
        <x:v>45869</x:v>
      </x:c>
      <x:c r="F271" s="63" t="str">
        <x:v>Higiene y seguridad industrial</x:v>
      </x:c>
      <x:c r="G271" s="63" t="str">
        <x:v>Dotación y control operacional</x:v>
      </x:c>
      <x:c r="H271" s="63" t="str">
        <x:v>Dotación y reposición de EPP</x:v>
      </x:c>
      <x:c r="I271" s="63" t="str">
        <x:v>Operativo</x:v>
      </x:c>
      <x:c r="J271" s="63" t="str">
        <x:v>Alta</x:v>
      </x:c>
      <x:c r="K271" s="63" t="str">
        <x:v>Bimestral / trimestral</x:v>
      </x:c>
      <x:c r="L271" s="63" t="str">
        <x:v>Entrega</x:v>
      </x:c>
      <x:c r="M271" s="63" t="n">
        <x:v>6</x:v>
      </x:c>
      <x:c r="N271" s="63" t="str">
        <x:v>Coordinación SST / Compras</x:v>
      </x:c>
      <x:c r="O271" s="63" t="str">
        <x:v>Presupuesto SG-SST</x:v>
      </x:c>
      <x:c r="P271" s="63" t="str">
        <x:v>Formato de entrega, factura, remisión</x:v>
      </x:c>
      <x:c r="Q271" s="79" t="n">
        <x:v>1505435</x:v>
      </x:c>
      <x:c r="R271" s="79" t="n">
        <x:v>1538033</x:v>
      </x:c>
      <x:c r="S271" s="79" t="n">
        <x:v>32598</x:v>
      </x:c>
      <x:c r="T271" s="75" t="n">
        <x:v>1.0216535419994885</x:v>
      </x:c>
      <x:c r="U271" s="63" t="str">
        <x:v>Ejecutado</x:v>
      </x:c>
      <x:c r="V271" s="63" t="str">
        <x:v>Actividad ejecutada dentro del rango esperado.</x:v>
      </x:c>
      <x:c r="W271" s="47" t="str">
        <x:v>Corte anual cerrado</x:v>
      </x:c>
    </x:row>
    <x:row r="272" ht="18" customHeight="1">
      <x:c r="A272" s="46" t="n">
        <x:v>2025</x:v>
      </x:c>
      <x:c r="B272" s="63" t="n">
        <x:v>7</x:v>
      </x:c>
      <x:c r="C272" s="63" t="str">
        <x:v>Julio</x:v>
      </x:c>
      <x:c r="D272" s="63" t="str">
        <x:v>T3</x:v>
      </x:c>
      <x:c r="E272" s="71" t="n">
        <x:v>45869</x:v>
      </x:c>
      <x:c r="F272" s="63" t="str">
        <x:v>Recursos y gestión financiera</x:v>
      </x:c>
      <x:c r="G272" s="63" t="str">
        <x:v>Planeación y recursos</x:v>
      </x:c>
      <x:c r="H272" s="63" t="str">
        <x:v>Exámenes médicos ocupacionales</x:v>
      </x:c>
      <x:c r="I272" s="63" t="str">
        <x:v>Servicio</x:v>
      </x:c>
      <x:c r="J272" s="63" t="str">
        <x:v>Alta</x:v>
      </x:c>
      <x:c r="K272" s="63" t="str">
        <x:v>Semestral</x:v>
      </x:c>
      <x:c r="L272" s="63" t="str">
        <x:v>Jornada</x:v>
      </x:c>
      <x:c r="M272" s="63" t="n">
        <x:v>2</x:v>
      </x:c>
      <x:c r="N272" s="63" t="str">
        <x:v>Coordinación SST</x:v>
      </x:c>
      <x:c r="O272" s="63" t="str">
        <x:v>Presupuesto SG-SST</x:v>
      </x:c>
      <x:c r="P272" s="63" t="str">
        <x:v>Orden de servicio, factura, concepto médico</x:v>
      </x:c>
      <x:c r="Q272" s="79" t="n">
        <x:v>1137440</x:v>
      </x:c>
      <x:c r="R272" s="79" t="n">
        <x:v>1165156</x:v>
      </x:c>
      <x:c r="S272" s="79" t="n">
        <x:v>27716</x:v>
      </x:c>
      <x:c r="T272" s="75" t="n">
        <x:v>1.0243669995779998</x:v>
      </x:c>
      <x:c r="U272" s="63" t="str">
        <x:v>Ejecutado</x:v>
      </x:c>
      <x:c r="V272" s="63" t="str">
        <x:v>Actividad ejecutada dentro del rango esperado.</x:v>
      </x:c>
      <x:c r="W272" s="47" t="str">
        <x:v>Corte anual cerrado</x:v>
      </x:c>
    </x:row>
    <x:row r="273" ht="18" customHeight="1">
      <x:c r="A273" s="46" t="n">
        <x:v>2025</x:v>
      </x:c>
      <x:c r="B273" s="63" t="n">
        <x:v>7</x:v>
      </x:c>
      <x:c r="C273" s="63" t="str">
        <x:v>Julio</x:v>
      </x:c>
      <x:c r="D273" s="63" t="str">
        <x:v>T3</x:v>
      </x:c>
      <x:c r="E273" s="71" t="n">
        <x:v>45869</x:v>
      </x:c>
      <x:c r="F273" s="63" t="str">
        <x:v>Gestión de contratistas</x:v>
      </x:c>
      <x:c r="G273" s="63" t="str">
        <x:v>Control de terceros</x:v>
      </x:c>
      <x:c r="H273" s="63" t="str">
        <x:v>Gestión SST de proveedores y contratistas</x:v>
      </x:c>
      <x:c r="I273" s="63" t="str">
        <x:v>Operativo</x:v>
      </x:c>
      <x:c r="J273" s="63" t="str">
        <x:v>Media</x:v>
      </x:c>
      <x:c r="K273" s="63" t="str">
        <x:v>Trimestral</x:v>
      </x:c>
      <x:c r="L273" s="63" t="str">
        <x:v>Ciclo</x:v>
      </x:c>
      <x:c r="M273" s="63" t="n">
        <x:v>4</x:v>
      </x:c>
      <x:c r="N273" s="63" t="str">
        <x:v>Compras / SST</x:v>
      </x:c>
      <x:c r="O273" s="63" t="str">
        <x:v>Presupuesto SG-SST</x:v>
      </x:c>
      <x:c r="P273" s="63" t="str">
        <x:v>Matriz de evaluación, soportes de contratistas</x:v>
      </x:c>
      <x:c r="Q273" s="79" t="n">
        <x:v>836353</x:v>
      </x:c>
      <x:c r="R273" s="79" t="n">
        <x:v>776009</x:v>
      </x:c>
      <x:c r="S273" s="79" t="n">
        <x:v>-60344</x:v>
      </x:c>
      <x:c r="T273" s="75" t="n">
        <x:v>0.9278486476404102</x:v>
      </x:c>
      <x:c r="U273" s="63" t="str">
        <x:v>Parcial</x:v>
      </x:c>
      <x:c r="V273" s="63" t="str">
        <x:v>Actividad con ejecución parcial o cierre financiero pendiente.</x:v>
      </x:c>
      <x:c r="W273" s="47" t="str">
        <x:v>Corte anual cerrado</x:v>
      </x:c>
    </x:row>
    <x:row r="274" ht="18" customHeight="1">
      <x:c r="A274" s="46" t="n">
        <x:v>2025</x:v>
      </x:c>
      <x:c r="B274" s="63" t="n">
        <x:v>7</x:v>
      </x:c>
      <x:c r="C274" s="63" t="str">
        <x:v>Julio</x:v>
      </x:c>
      <x:c r="D274" s="63" t="str">
        <x:v>T3</x:v>
      </x:c>
      <x:c r="E274" s="71" t="n">
        <x:v>45869</x:v>
      </x:c>
      <x:c r="F274" s="63" t="str">
        <x:v>Participación y consulta</x:v>
      </x:c>
      <x:c r="G274" s="63" t="str">
        <x:v>Comités de SST</x:v>
      </x:c>
      <x:c r="H274" s="63" t="str">
        <x:v>Gestión de COPASST y Comité de Convivencia</x:v>
      </x:c>
      <x:c r="I274" s="63" t="str">
        <x:v>Operativo</x:v>
      </x:c>
      <x:c r="J274" s="63" t="str">
        <x:v>Media</x:v>
      </x:c>
      <x:c r="K274" s="63" t="str">
        <x:v>Mensual</x:v>
      </x:c>
      <x:c r="L274" s="63" t="str">
        <x:v>Reunión</x:v>
      </x:c>
      <x:c r="M274" s="63" t="n">
        <x:v>12</x:v>
      </x:c>
      <x:c r="N274" s="63" t="str">
        <x:v>Talento Humano / SST</x:v>
      </x:c>
      <x:c r="O274" s="63" t="str">
        <x:v>Presupuesto SG-SST</x:v>
      </x:c>
      <x:c r="P274" s="63" t="str">
        <x:v>Acta, convocatoria, seguimiento compromisos</x:v>
      </x:c>
      <x:c r="Q274" s="79" t="n">
        <x:v>178422</x:v>
      </x:c>
      <x:c r="R274" s="79" t="n">
        <x:v>163091</x:v>
      </x:c>
      <x:c r="S274" s="79" t="n">
        <x:v>-15331</x:v>
      </x:c>
      <x:c r="T274" s="75" t="n">
        <x:v>0.9140744975395411</x:v>
      </x:c>
      <x:c r="U274" s="63" t="str">
        <x:v>Parcial</x:v>
      </x:c>
      <x:c r="V274" s="63" t="str">
        <x:v>Actividad con ejecución parcial o cierre financiero pendiente.</x:v>
      </x:c>
      <x:c r="W274" s="47" t="str">
        <x:v>Corte anual cerrado</x:v>
      </x:c>
    </x:row>
    <x:row r="275" ht="18" customHeight="1">
      <x:c r="A275" s="46" t="n">
        <x:v>2025</x:v>
      </x:c>
      <x:c r="B275" s="63" t="n">
        <x:v>7</x:v>
      </x:c>
      <x:c r="C275" s="63" t="str">
        <x:v>Julio</x:v>
      </x:c>
      <x:c r="D275" s="63" t="str">
        <x:v>T3</x:v>
      </x:c>
      <x:c r="E275" s="71" t="n">
        <x:v>45869</x:v>
      </x:c>
      <x:c r="F275" s="63" t="str">
        <x:v>Higiene y seguridad industrial</x:v>
      </x:c>
      <x:c r="G275" s="63" t="str">
        <x:v>Inspecciones y control</x:v>
      </x:c>
      <x:c r="H275" s="63" t="str">
        <x:v>Inspecciones planeadas de seguridad</x:v>
      </x:c>
      <x:c r="I275" s="63" t="str">
        <x:v>Operativo</x:v>
      </x:c>
      <x:c r="J275" s="63" t="str">
        <x:v>Media</x:v>
      </x:c>
      <x:c r="K275" s="63" t="str">
        <x:v>Mensual</x:v>
      </x:c>
      <x:c r="L275" s="63" t="str">
        <x:v>Inspección</x:v>
      </x:c>
      <x:c r="M275" s="63" t="n">
        <x:v>12</x:v>
      </x:c>
      <x:c r="N275" s="63" t="str">
        <x:v>Inspector SST</x:v>
      </x:c>
      <x:c r="O275" s="63" t="str">
        <x:v>Presupuesto SG-SST</x:v>
      </x:c>
      <x:c r="P275" s="63" t="str">
        <x:v>Lista de chequeo, informe, evidencia fotográfica</x:v>
      </x:c>
      <x:c r="Q275" s="79" t="n">
        <x:v>267633</x:v>
      </x:c>
      <x:c r="R275" s="79" t="n">
        <x:v>269343</x:v>
      </x:c>
      <x:c r="S275" s="79" t="n">
        <x:v>1710</x:v>
      </x:c>
      <x:c r="T275" s="75" t="n">
        <x:v>1.0063893466052392</x:v>
      </x:c>
      <x:c r="U275" s="63" t="str">
        <x:v>Ejecutado</x:v>
      </x:c>
      <x:c r="V275" s="63" t="str">
        <x:v>Actividad ejecutada dentro del rango esperado.</x:v>
      </x:c>
      <x:c r="W275" s="47" t="str">
        <x:v>Corte anual cerrado</x:v>
      </x:c>
    </x:row>
    <x:row r="276" ht="18" customHeight="1">
      <x:c r="A276" s="46" t="n">
        <x:v>2025</x:v>
      </x:c>
      <x:c r="B276" s="63" t="n">
        <x:v>7</x:v>
      </x:c>
      <x:c r="C276" s="63" t="str">
        <x:v>Julio</x:v>
      </x:c>
      <x:c r="D276" s="63" t="str">
        <x:v>T3</x:v>
      </x:c>
      <x:c r="E276" s="71" t="n">
        <x:v>45869</x:v>
      </x:c>
      <x:c r="F276" s="63" t="str">
        <x:v>Mejora continua y cumplimiento</x:v>
      </x:c>
      <x:c r="G276" s="63" t="str">
        <x:v>Gestión de incidentes y mejora</x:v>
      </x:c>
      <x:c r="H276" s="63" t="str">
        <x:v>Investigación de AT/EL y acciones correctivas</x:v>
      </x:c>
      <x:c r="I276" s="63" t="str">
        <x:v>Operativo</x:v>
      </x:c>
      <x:c r="J276" s="63" t="str">
        <x:v>Media</x:v>
      </x:c>
      <x:c r="K276" s="63" t="str">
        <x:v>Mensual</x:v>
      </x:c>
      <x:c r="L276" s="63" t="str">
        <x:v>Seguimiento</x:v>
      </x:c>
      <x:c r="M276" s="63" t="n">
        <x:v>12</x:v>
      </x:c>
      <x:c r="N276" s="63" t="str">
        <x:v>SST / Jefes de área</x:v>
      </x:c>
      <x:c r="O276" s="63" t="str">
        <x:v>Presupuesto SG-SST</x:v>
      </x:c>
      <x:c r="P276" s="63" t="str">
        <x:v>Investigación, plan de acción, evidencia de cierre</x:v>
      </x:c>
      <x:c r="Q276" s="79" t="n">
        <x:v>223027</x:v>
      </x:c>
      <x:c r="R276" s="79" t="n">
        <x:v>211085</x:v>
      </x:c>
      <x:c r="S276" s="79" t="n">
        <x:v>-11942</x:v>
      </x:c>
      <x:c r="T276" s="75" t="n">
        <x:v>0.9464549135306487</x:v>
      </x:c>
      <x:c r="U276" s="63" t="str">
        <x:v>Parcial</x:v>
      </x:c>
      <x:c r="V276" s="63" t="str">
        <x:v>Actividad con ejecución parcial o cierre financiero pendiente.</x:v>
      </x:c>
      <x:c r="W276" s="47" t="str">
        <x:v>Corte anual cerrado</x:v>
      </x:c>
    </x:row>
    <x:row r="277" ht="18" customHeight="1">
      <x:c r="A277" s="46" t="n">
        <x:v>2025</x:v>
      </x:c>
      <x:c r="B277" s="63" t="n">
        <x:v>7</x:v>
      </x:c>
      <x:c r="C277" s="63" t="str">
        <x:v>Julio</x:v>
      </x:c>
      <x:c r="D277" s="63" t="str">
        <x:v>T3</x:v>
      </x:c>
      <x:c r="E277" s="71" t="n">
        <x:v>45869</x:v>
      </x:c>
      <x:c r="F277" s="63" t="str">
        <x:v>Medicina preventiva y del trabajo</x:v>
      </x:c>
      <x:c r="G277" s="63" t="str">
        <x:v>Programas de vigilancia epidemiológica</x:v>
      </x:c>
      <x:c r="H277" s="63" t="str">
        <x:v>Programas de vigilancia epidemiológica y seguimiento médico</x:v>
      </x:c>
      <x:c r="I277" s="63" t="str">
        <x:v>Servicio</x:v>
      </x:c>
      <x:c r="J277" s="63" t="str">
        <x:v>Alta</x:v>
      </x:c>
      <x:c r="K277" s="63" t="str">
        <x:v>Mensual</x:v>
      </x:c>
      <x:c r="L277" s="63" t="str">
        <x:v>Seguimiento</x:v>
      </x:c>
      <x:c r="M277" s="63" t="n">
        <x:v>12</x:v>
      </x:c>
      <x:c r="N277" s="63" t="str">
        <x:v>Médico laboral / SST</x:v>
      </x:c>
      <x:c r="O277" s="63" t="str">
        <x:v>Presupuesto SG-SST</x:v>
      </x:c>
      <x:c r="P277" s="63" t="str">
        <x:v>Base de seguimiento, informe, remisiones</x:v>
      </x:c>
      <x:c r="Q277" s="79" t="n">
        <x:v>624477</x:v>
      </x:c>
      <x:c r="R277" s="79" t="n">
        <x:v>611049</x:v>
      </x:c>
      <x:c r="S277" s="79" t="n">
        <x:v>-13428</x:v>
      </x:c>
      <x:c r="T277" s="75" t="n">
        <x:v>0.9784972064623677</x:v>
      </x:c>
      <x:c r="U277" s="63" t="str">
        <x:v>Parcial</x:v>
      </x:c>
      <x:c r="V277" s="63" t="str">
        <x:v>Actividad con ejecución parcial o cierre financiero pendiente.</x:v>
      </x:c>
      <x:c r="W277" s="47" t="str">
        <x:v>Corte anual cerrado</x:v>
      </x:c>
    </x:row>
    <x:row r="278" ht="18" customHeight="1">
      <x:c r="A278" s="46" t="n">
        <x:v>2025</x:v>
      </x:c>
      <x:c r="B278" s="63" t="n">
        <x:v>7</x:v>
      </x:c>
      <x:c r="C278" s="63" t="str">
        <x:v>Julio</x:v>
      </x:c>
      <x:c r="D278" s="63" t="str">
        <x:v>T3</x:v>
      </x:c>
      <x:c r="E278" s="71" t="n">
        <x:v>45869</x:v>
      </x:c>
      <x:c r="F278" s="63" t="str">
        <x:v>Higiene y seguridad industrial</x:v>
      </x:c>
      <x:c r="G278" s="63" t="str">
        <x:v>Señalización y control visual</x:v>
      </x:c>
      <x:c r="H278" s="63" t="str">
        <x:v>Señalización, demarcación y avisos de seguridad</x:v>
      </x:c>
      <x:c r="I278" s="63" t="str">
        <x:v>Operativo</x:v>
      </x:c>
      <x:c r="J278" s="63" t="str">
        <x:v>Media</x:v>
      </x:c>
      <x:c r="K278" s="63" t="str">
        <x:v>Periódica</x:v>
      </x:c>
      <x:c r="L278" s="63" t="str">
        <x:v>Intervención</x:v>
      </x:c>
      <x:c r="M278" s="63" t="n">
        <x:v>5</x:v>
      </x:c>
      <x:c r="N278" s="63" t="str">
        <x:v>SST / Mantenimiento</x:v>
      </x:c>
      <x:c r="O278" s="63" t="str">
        <x:v>Presupuesto SG-SST</x:v>
      </x:c>
      <x:c r="P278" s="63" t="str">
        <x:v>Acta de instalación, factura, inventario</x:v>
      </x:c>
      <x:c r="Q278" s="79" t="n">
        <x:v>418176</x:v>
      </x:c>
      <x:c r="R278" s="79" t="n">
        <x:v>414168</x:v>
      </x:c>
      <x:c r="S278" s="79" t="n">
        <x:v>-4008</x:v>
      </x:c>
      <x:c r="T278" s="75" t="n">
        <x:v>0.9904155188246098</x:v>
      </x:c>
      <x:c r="U278" s="63" t="str">
        <x:v>Ejecutado</x:v>
      </x:c>
      <x:c r="V278" s="63" t="str">
        <x:v>Actividad ejecutada dentro del rango esperado.</x:v>
      </x:c>
      <x:c r="W278" s="47" t="str">
        <x:v>Corte anual cerrado</x:v>
      </x:c>
    </x:row>
    <x:row r="279" ht="18" customHeight="1">
      <x:c r="A279" s="46" t="n">
        <x:v>2025</x:v>
      </x:c>
      <x:c r="B279" s="63" t="n">
        <x:v>8</x:v>
      </x:c>
      <x:c r="C279" s="63" t="str">
        <x:v>Agosto</x:v>
      </x:c>
      <x:c r="D279" s="63" t="str">
        <x:v>T3</x:v>
      </x:c>
      <x:c r="E279" s="71" t="n">
        <x:v>45900</x:v>
      </x:c>
      <x:c r="F279" s="63" t="str">
        <x:v>Mejora continua y cumplimiento</x:v>
      </x:c>
      <x:c r="G279" s="63" t="str">
        <x:v>Auditoría y revisión por la dirección</x:v>
      </x:c>
      <x:c r="H279" s="63" t="str">
        <x:v>Auditoría interna, autoevaluación y revisión gerencial</x:v>
      </x:c>
      <x:c r="I279" s="63" t="str">
        <x:v>Servicio</x:v>
      </x:c>
      <x:c r="J279" s="63" t="str">
        <x:v>Alta</x:v>
      </x:c>
      <x:c r="K279" s="63" t="str">
        <x:v>Trimestral</x:v>
      </x:c>
      <x:c r="L279" s="63" t="str">
        <x:v>Hito</x:v>
      </x:c>
      <x:c r="M279" s="63" t="n">
        <x:v>4</x:v>
      </x:c>
      <x:c r="N279" s="63" t="str">
        <x:v>Líder HSEQ / Gerencia</x:v>
      </x:c>
      <x:c r="O279" s="63" t="str">
        <x:v>Presupuesto SG-SST</x:v>
      </x:c>
      <x:c r="P279" s="63" t="str">
        <x:v>Informe de auditoría, acta, plan de mejora</x:v>
      </x:c>
      <x:c r="Q279" s="79" t="n">
        <x:v>446055</x:v>
      </x:c>
      <x:c r="R279" s="79" t="n">
        <x:v>454284</x:v>
      </x:c>
      <x:c r="S279" s="79" t="n">
        <x:v>8229</x:v>
      </x:c>
      <x:c r="T279" s="75" t="n">
        <x:v>1.0184483976191276</x:v>
      </x:c>
      <x:c r="U279" s="63" t="str">
        <x:v>Ejecutado</x:v>
      </x:c>
      <x:c r="V279" s="63" t="str">
        <x:v>Actividad ejecutada dentro del rango esperado.</x:v>
      </x:c>
      <x:c r="W279" s="47" t="str">
        <x:v>Corte anual cerrado</x:v>
      </x:c>
    </x:row>
    <x:row r="280" ht="18" customHeight="1">
      <x:c r="A280" s="46" t="n">
        <x:v>2025</x:v>
      </x:c>
      <x:c r="B280" s="63" t="n">
        <x:v>8</x:v>
      </x:c>
      <x:c r="C280" s="63" t="str">
        <x:v>Agosto</x:v>
      </x:c>
      <x:c r="D280" s="63" t="str">
        <x:v>T3</x:v>
      </x:c>
      <x:c r="E280" s="71" t="n">
        <x:v>45900</x:v>
      </x:c>
      <x:c r="F280" s="63" t="str">
        <x:v>Capacitación y entrenamiento</x:v>
      </x:c>
      <x:c r="G280" s="63" t="str">
        <x:v>Plan anual de formación</x:v>
      </x:c>
      <x:c r="H280" s="63" t="str">
        <x:v>Capacitación y entrenamiento en SG-SST</x:v>
      </x:c>
      <x:c r="I280" s="63" t="str">
        <x:v>Operativo</x:v>
      </x:c>
      <x:c r="J280" s="63" t="str">
        <x:v>Alta</x:v>
      </x:c>
      <x:c r="K280" s="63" t="str">
        <x:v>Mensual</x:v>
      </x:c>
      <x:c r="L280" s="63" t="str">
        <x:v>Jornada</x:v>
      </x:c>
      <x:c r="M280" s="63" t="n">
        <x:v>12</x:v>
      </x:c>
      <x:c r="N280" s="63" t="str">
        <x:v>Coordinación SST</x:v>
      </x:c>
      <x:c r="O280" s="63" t="str">
        <x:v>Presupuesto SG-SST</x:v>
      </x:c>
      <x:c r="P280" s="63" t="str">
        <x:v>Lista de asistencia, evaluación, acta</x:v>
      </x:c>
      <x:c r="Q280" s="79" t="n">
        <x:v>501812</x:v>
      </x:c>
      <x:c r="R280" s="79" t="n">
        <x:v>479412</x:v>
      </x:c>
      <x:c r="S280" s="79" t="n">
        <x:v>-22400</x:v>
      </x:c>
      <x:c r="T280" s="75" t="n">
        <x:v>0.9553617689493277</x:v>
      </x:c>
      <x:c r="U280" s="63" t="str">
        <x:v>Parcial</x:v>
      </x:c>
      <x:c r="V280" s="63" t="str">
        <x:v>Actividad con ejecución parcial o cierre financiero pendiente.</x:v>
      </x:c>
      <x:c r="W280" s="47" t="str">
        <x:v>Corte anual cerrado</x:v>
      </x:c>
    </x:row>
    <x:row r="281" ht="18" customHeight="1">
      <x:c r="A281" s="46" t="n">
        <x:v>2025</x:v>
      </x:c>
      <x:c r="B281" s="63" t="n">
        <x:v>8</x:v>
      </x:c>
      <x:c r="C281" s="63" t="str">
        <x:v>Agosto</x:v>
      </x:c>
      <x:c r="D281" s="63" t="str">
        <x:v>T3</x:v>
      </x:c>
      <x:c r="E281" s="71" t="n">
        <x:v>45900</x:v>
      </x:c>
      <x:c r="F281" s="63" t="str">
        <x:v>Medicina preventiva y del trabajo</x:v>
      </x:c>
      <x:c r="G281" s="63" t="str">
        <x:v>Vigilancia epidemiológica</x:v>
      </x:c>
      <x:c r="H281" s="63" t="str">
        <x:v>Evaluación de riesgo psicosocial y actividades de intervención</x:v>
      </x:c>
      <x:c r="I281" s="63" t="str">
        <x:v>Servicio</x:v>
      </x:c>
      <x:c r="J281" s="63" t="str">
        <x:v>Alta</x:v>
      </x:c>
      <x:c r="K281" s="63" t="str">
        <x:v>Periódica</x:v>
      </x:c>
      <x:c r="L281" s="63" t="str">
        <x:v>Actividad</x:v>
      </x:c>
      <x:c r="M281" s="63" t="n">
        <x:v>6</x:v>
      </x:c>
      <x:c r="N281" s="63" t="str">
        <x:v>Psicología / SST</x:v>
      </x:c>
      <x:c r="O281" s="63" t="str">
        <x:v>Presupuesto SG-SST</x:v>
      </x:c>
      <x:c r="P281" s="63" t="str">
        <x:v>Informe técnico, evidencia, plan de intervención</x:v>
      </x:c>
      <x:c r="Q281" s="79" t="n">
        <x:v>585447</x:v>
      </x:c>
      <x:c r="R281" s="79" t="n">
        <x:v>579421</x:v>
      </x:c>
      <x:c r="S281" s="79" t="n">
        <x:v>-6026</x:v>
      </x:c>
      <x:c r="T281" s="75" t="n">
        <x:v>0.9897070101990445</x:v>
      </x:c>
      <x:c r="U281" s="63" t="str">
        <x:v>Ejecutado</x:v>
      </x:c>
      <x:c r="V281" s="63" t="str">
        <x:v>Actividad ejecutada dentro del rango esperado.</x:v>
      </x:c>
      <x:c r="W281" s="47" t="str">
        <x:v>Corte anual cerrado</x:v>
      </x:c>
    </x:row>
    <x:row r="282" ht="18" customHeight="1">
      <x:c r="A282" s="46" t="n">
        <x:v>2025</x:v>
      </x:c>
      <x:c r="B282" s="63" t="n">
        <x:v>8</x:v>
      </x:c>
      <x:c r="C282" s="63" t="str">
        <x:v>Agosto</x:v>
      </x:c>
      <x:c r="D282" s="63" t="str">
        <x:v>T3</x:v>
      </x:c>
      <x:c r="E282" s="71" t="n">
        <x:v>45900</x:v>
      </x:c>
      <x:c r="F282" s="63" t="str">
        <x:v>Recursos y gestión financiera</x:v>
      </x:c>
      <x:c r="G282" s="63" t="str">
        <x:v>Planeación y recursos</x:v>
      </x:c>
      <x:c r="H282" s="63" t="str">
        <x:v>Exámenes médicos ocupacionales</x:v>
      </x:c>
      <x:c r="I282" s="63" t="str">
        <x:v>Servicio</x:v>
      </x:c>
      <x:c r="J282" s="63" t="str">
        <x:v>Alta</x:v>
      </x:c>
      <x:c r="K282" s="63" t="str">
        <x:v>Semestral</x:v>
      </x:c>
      <x:c r="L282" s="63" t="str">
        <x:v>Jornada</x:v>
      </x:c>
      <x:c r="M282" s="63" t="n">
        <x:v>2</x:v>
      </x:c>
      <x:c r="N282" s="63" t="str">
        <x:v>Coordinación SST</x:v>
      </x:c>
      <x:c r="O282" s="63" t="str">
        <x:v>Presupuesto SG-SST</x:v>
      </x:c>
      <x:c r="P282" s="63" t="str">
        <x:v>Orden de servicio, factura, concepto médico</x:v>
      </x:c>
      <x:c r="Q282" s="79" t="n">
        <x:v>1204348</x:v>
      </x:c>
      <x:c r="R282" s="79" t="n">
        <x:v>1149881</x:v>
      </x:c>
      <x:c r="S282" s="79" t="n">
        <x:v>-54467</x:v>
      </x:c>
      <x:c r="T282" s="75" t="n">
        <x:v>0.9547746996715235</x:v>
      </x:c>
      <x:c r="U282" s="63" t="str">
        <x:v>Parcial</x:v>
      </x:c>
      <x:c r="V282" s="63" t="str">
        <x:v>Actividad con ejecución parcial o cierre financiero pendiente.</x:v>
      </x:c>
      <x:c r="W282" s="47" t="str">
        <x:v>Corte anual cerrado</x:v>
      </x:c>
    </x:row>
    <x:row r="283" ht="18" customHeight="1">
      <x:c r="A283" s="46" t="n">
        <x:v>2025</x:v>
      </x:c>
      <x:c r="B283" s="63" t="n">
        <x:v>8</x:v>
      </x:c>
      <x:c r="C283" s="63" t="str">
        <x:v>Agosto</x:v>
      </x:c>
      <x:c r="D283" s="63" t="str">
        <x:v>T3</x:v>
      </x:c>
      <x:c r="E283" s="71" t="n">
        <x:v>45900</x:v>
      </x:c>
      <x:c r="F283" s="63" t="str">
        <x:v>Participación y consulta</x:v>
      </x:c>
      <x:c r="G283" s="63" t="str">
        <x:v>Comités de SST</x:v>
      </x:c>
      <x:c r="H283" s="63" t="str">
        <x:v>Gestión de COPASST y Comité de Convivencia</x:v>
      </x:c>
      <x:c r="I283" s="63" t="str">
        <x:v>Operativo</x:v>
      </x:c>
      <x:c r="J283" s="63" t="str">
        <x:v>Media</x:v>
      </x:c>
      <x:c r="K283" s="63" t="str">
        <x:v>Mensual</x:v>
      </x:c>
      <x:c r="L283" s="63" t="str">
        <x:v>Reunión</x:v>
      </x:c>
      <x:c r="M283" s="63" t="n">
        <x:v>12</x:v>
      </x:c>
      <x:c r="N283" s="63" t="str">
        <x:v>Talento Humano / SST</x:v>
      </x:c>
      <x:c r="O283" s="63" t="str">
        <x:v>Presupuesto SG-SST</x:v>
      </x:c>
      <x:c r="P283" s="63" t="str">
        <x:v>Acta, convocatoria, seguimiento compromisos</x:v>
      </x:c>
      <x:c r="Q283" s="79" t="n">
        <x:v>200725</x:v>
      </x:c>
      <x:c r="R283" s="79" t="n">
        <x:v>195501</x:v>
      </x:c>
      <x:c r="S283" s="79" t="n">
        <x:v>-5224</x:v>
      </x:c>
      <x:c r="T283" s="75" t="n">
        <x:v>0.973974343006601</x:v>
      </x:c>
      <x:c r="U283" s="63" t="str">
        <x:v>Parcial</x:v>
      </x:c>
      <x:c r="V283" s="63" t="str">
        <x:v>Actividad con ejecución parcial o cierre financiero pendiente.</x:v>
      </x:c>
      <x:c r="W283" s="47" t="str">
        <x:v>Corte anual cerrado</x:v>
      </x:c>
    </x:row>
    <x:row r="284" ht="18" customHeight="1">
      <x:c r="A284" s="46" t="n">
        <x:v>2025</x:v>
      </x:c>
      <x:c r="B284" s="63" t="n">
        <x:v>8</x:v>
      </x:c>
      <x:c r="C284" s="63" t="str">
        <x:v>Agosto</x:v>
      </x:c>
      <x:c r="D284" s="63" t="str">
        <x:v>T3</x:v>
      </x:c>
      <x:c r="E284" s="71" t="n">
        <x:v>45900</x:v>
      </x:c>
      <x:c r="F284" s="63" t="str">
        <x:v>Higiene y seguridad industrial</x:v>
      </x:c>
      <x:c r="G284" s="63" t="str">
        <x:v>Inspecciones y control</x:v>
      </x:c>
      <x:c r="H284" s="63" t="str">
        <x:v>Inspecciones planeadas de seguridad</x:v>
      </x:c>
      <x:c r="I284" s="63" t="str">
        <x:v>Operativo</x:v>
      </x:c>
      <x:c r="J284" s="63" t="str">
        <x:v>Media</x:v>
      </x:c>
      <x:c r="K284" s="63" t="str">
        <x:v>Mensual</x:v>
      </x:c>
      <x:c r="L284" s="63" t="str">
        <x:v>Inspección</x:v>
      </x:c>
      <x:c r="M284" s="63" t="n">
        <x:v>12</x:v>
      </x:c>
      <x:c r="N284" s="63" t="str">
        <x:v>Inspector SST</x:v>
      </x:c>
      <x:c r="O284" s="63" t="str">
        <x:v>Presupuesto SG-SST</x:v>
      </x:c>
      <x:c r="P284" s="63" t="str">
        <x:v>Lista de chequeo, informe, evidencia fotográfica</x:v>
      </x:c>
      <x:c r="Q284" s="79" t="n">
        <x:v>267633</x:v>
      </x:c>
      <x:c r="R284" s="79" t="n">
        <x:v>254099</x:v>
      </x:c>
      <x:c r="S284" s="79" t="n">
        <x:v>-13534</x:v>
      </x:c>
      <x:c r="T284" s="75" t="n">
        <x:v>0.9494307503185332</x:v>
      </x:c>
      <x:c r="U284" s="63" t="str">
        <x:v>Parcial</x:v>
      </x:c>
      <x:c r="V284" s="63" t="str">
        <x:v>Actividad con ejecución parcial o cierre financiero pendiente.</x:v>
      </x:c>
      <x:c r="W284" s="47" t="str">
        <x:v>Corte anual cerrado</x:v>
      </x:c>
    </x:row>
    <x:row r="285" ht="18" customHeight="1">
      <x:c r="A285" s="46" t="n">
        <x:v>2025</x:v>
      </x:c>
      <x:c r="B285" s="63" t="n">
        <x:v>8</x:v>
      </x:c>
      <x:c r="C285" s="63" t="str">
        <x:v>Agosto</x:v>
      </x:c>
      <x:c r="D285" s="63" t="str">
        <x:v>T3</x:v>
      </x:c>
      <x:c r="E285" s="71" t="n">
        <x:v>45900</x:v>
      </x:c>
      <x:c r="F285" s="63" t="str">
        <x:v>Mejora continua y cumplimiento</x:v>
      </x:c>
      <x:c r="G285" s="63" t="str">
        <x:v>Gestión de incidentes y mejora</x:v>
      </x:c>
      <x:c r="H285" s="63" t="str">
        <x:v>Investigación de AT/EL y acciones correctivas</x:v>
      </x:c>
      <x:c r="I285" s="63" t="str">
        <x:v>Operativo</x:v>
      </x:c>
      <x:c r="J285" s="63" t="str">
        <x:v>Media</x:v>
      </x:c>
      <x:c r="K285" s="63" t="str">
        <x:v>Mensual</x:v>
      </x:c>
      <x:c r="L285" s="63" t="str">
        <x:v>Seguimiento</x:v>
      </x:c>
      <x:c r="M285" s="63" t="n">
        <x:v>12</x:v>
      </x:c>
      <x:c r="N285" s="63" t="str">
        <x:v>SST / Jefes de área</x:v>
      </x:c>
      <x:c r="O285" s="63" t="str">
        <x:v>Presupuesto SG-SST</x:v>
      </x:c>
      <x:c r="P285" s="63" t="str">
        <x:v>Investigación, plan de acción, evidencia de cierre</x:v>
      </x:c>
      <x:c r="Q285" s="79" t="n">
        <x:v>223027</x:v>
      </x:c>
      <x:c r="R285" s="79" t="n">
        <x:v>204931</x:v>
      </x:c>
      <x:c r="S285" s="79" t="n">
        <x:v>-18096</x:v>
      </x:c>
      <x:c r="T285" s="75" t="n">
        <x:v>0.9188618418397773</x:v>
      </x:c>
      <x:c r="U285" s="63" t="str">
        <x:v>Parcial</x:v>
      </x:c>
      <x:c r="V285" s="63" t="str">
        <x:v>Actividad con ejecución parcial o cierre financiero pendiente.</x:v>
      </x:c>
      <x:c r="W285" s="47" t="str">
        <x:v>Corte anual cerrado</x:v>
      </x:c>
    </x:row>
    <x:row r="286" ht="18" customHeight="1">
      <x:c r="A286" s="46" t="n">
        <x:v>2025</x:v>
      </x:c>
      <x:c r="B286" s="63" t="n">
        <x:v>8</x:v>
      </x:c>
      <x:c r="C286" s="63" t="str">
        <x:v>Agosto</x:v>
      </x:c>
      <x:c r="D286" s="63" t="str">
        <x:v>T3</x:v>
      </x:c>
      <x:c r="E286" s="71" t="n">
        <x:v>45900</x:v>
      </x:c>
      <x:c r="F286" s="63" t="str">
        <x:v>Emergencias e infraestructura</x:v>
      </x:c>
      <x:c r="G286" s="63" t="str">
        <x:v>Preparación y respuesta ante emergencias</x:v>
      </x:c>
      <x:c r="H286" s="63" t="str">
        <x:v>Mantenimiento de extintores, botiquines y equipos de emergencia</x:v>
      </x:c>
      <x:c r="I286" s="63" t="str">
        <x:v>Servicio</x:v>
      </x:c>
      <x:c r="J286" s="63" t="str">
        <x:v>Alta</x:v>
      </x:c>
      <x:c r="K286" s="63" t="str">
        <x:v>Bimestral / semestral</x:v>
      </x:c>
      <x:c r="L286" s="63" t="str">
        <x:v>Mantenimiento</x:v>
      </x:c>
      <x:c r="M286" s="63" t="n">
        <x:v>6</x:v>
      </x:c>
      <x:c r="N286" s="63" t="str">
        <x:v>Brigada / SST</x:v>
      </x:c>
      <x:c r="O286" s="63" t="str">
        <x:v>Presupuesto SG-SST</x:v>
      </x:c>
      <x:c r="P286" s="63" t="str">
        <x:v>Certificado, factura, hoja de vida del equipo</x:v>
      </x:c>
      <x:c r="Q286" s="79" t="n">
        <x:v>446055</x:v>
      </x:c>
      <x:c r="R286" s="79" t="n">
        <x:v>450950</x:v>
      </x:c>
      <x:c r="S286" s="79" t="n">
        <x:v>4895</x:v>
      </x:c>
      <x:c r="T286" s="75" t="n">
        <x:v>1.0109739830289988</x:v>
      </x:c>
      <x:c r="U286" s="63" t="str">
        <x:v>Ejecutado</x:v>
      </x:c>
      <x:c r="V286" s="63" t="str">
        <x:v>Actividad ejecutada dentro del rango esperado.</x:v>
      </x:c>
      <x:c r="W286" s="47" t="str">
        <x:v>Corte anual cerrado</x:v>
      </x:c>
    </x:row>
    <x:row r="287" ht="18" customHeight="1">
      <x:c r="A287" s="46" t="n">
        <x:v>2025</x:v>
      </x:c>
      <x:c r="B287" s="63" t="n">
        <x:v>8</x:v>
      </x:c>
      <x:c r="C287" s="63" t="str">
        <x:v>Agosto</x:v>
      </x:c>
      <x:c r="D287" s="63" t="str">
        <x:v>T3</x:v>
      </x:c>
      <x:c r="E287" s="71" t="n">
        <x:v>45900</x:v>
      </x:c>
      <x:c r="F287" s="63" t="str">
        <x:v>Medicina preventiva y del trabajo</x:v>
      </x:c>
      <x:c r="G287" s="63" t="str">
        <x:v>Programas de vigilancia epidemiológica</x:v>
      </x:c>
      <x:c r="H287" s="63" t="str">
        <x:v>Programas de vigilancia epidemiológica y seguimiento médico</x:v>
      </x:c>
      <x:c r="I287" s="63" t="str">
        <x:v>Servicio</x:v>
      </x:c>
      <x:c r="J287" s="63" t="str">
        <x:v>Alta</x:v>
      </x:c>
      <x:c r="K287" s="63" t="str">
        <x:v>Mensual</x:v>
      </x:c>
      <x:c r="L287" s="63" t="str">
        <x:v>Seguimiento</x:v>
      </x:c>
      <x:c r="M287" s="63" t="n">
        <x:v>12</x:v>
      </x:c>
      <x:c r="N287" s="63" t="str">
        <x:v>Médico laboral / SST</x:v>
      </x:c>
      <x:c r="O287" s="63" t="str">
        <x:v>Presupuesto SG-SST</x:v>
      </x:c>
      <x:c r="P287" s="63" t="str">
        <x:v>Base de seguimiento, informe, remisiones</x:v>
      </x:c>
      <x:c r="Q287" s="79" t="n">
        <x:v>624477</x:v>
      </x:c>
      <x:c r="R287" s="79" t="n">
        <x:v>636209</x:v>
      </x:c>
      <x:c r="S287" s="79" t="n">
        <x:v>11732</x:v>
      </x:c>
      <x:c r="T287" s="75" t="n">
        <x:v>1.0187869208954052</x:v>
      </x:c>
      <x:c r="U287" s="63" t="str">
        <x:v>Ejecutado</x:v>
      </x:c>
      <x:c r="V287" s="63" t="str">
        <x:v>Actividad ejecutada dentro del rango esperado.</x:v>
      </x:c>
      <x:c r="W287" s="47" t="str">
        <x:v>Corte anual cerrado</x:v>
      </x:c>
    </x:row>
    <x:row r="288" ht="18" customHeight="1">
      <x:c r="A288" s="46" t="n">
        <x:v>2025</x:v>
      </x:c>
      <x:c r="B288" s="63" t="n">
        <x:v>9</x:v>
      </x:c>
      <x:c r="C288" s="63" t="str">
        <x:v>Septiembre</x:v>
      </x:c>
      <x:c r="D288" s="63" t="str">
        <x:v>T3</x:v>
      </x:c>
      <x:c r="E288" s="71" t="n">
        <x:v>45930</x:v>
      </x:c>
      <x:c r="F288" s="63" t="str">
        <x:v>Capacitación y entrenamiento</x:v>
      </x:c>
      <x:c r="G288" s="63" t="str">
        <x:v>Plan anual de formación</x:v>
      </x:c>
      <x:c r="H288" s="63" t="str">
        <x:v>Capacitación y entrenamiento en SG-SST</x:v>
      </x:c>
      <x:c r="I288" s="63" t="str">
        <x:v>Operativo</x:v>
      </x:c>
      <x:c r="J288" s="63" t="str">
        <x:v>Alta</x:v>
      </x:c>
      <x:c r="K288" s="63" t="str">
        <x:v>Mensual</x:v>
      </x:c>
      <x:c r="L288" s="63" t="str">
        <x:v>Jornada</x:v>
      </x:c>
      <x:c r="M288" s="63" t="n">
        <x:v>12</x:v>
      </x:c>
      <x:c r="N288" s="63" t="str">
        <x:v>Coordinación SST</x:v>
      </x:c>
      <x:c r="O288" s="63" t="str">
        <x:v>Presupuesto SG-SST</x:v>
      </x:c>
      <x:c r="P288" s="63" t="str">
        <x:v>Lista de asistencia, evaluación, acta</x:v>
      </x:c>
      <x:c r="Q288" s="79" t="n">
        <x:v>446055</x:v>
      </x:c>
      <x:c r="R288" s="79" t="n">
        <x:v>453545</x:v>
      </x:c>
      <x:c r="S288" s="79" t="n">
        <x:v>7490</x:v>
      </x:c>
      <x:c r="T288" s="75" t="n">
        <x:v>1.0167916512537691</x:v>
      </x:c>
      <x:c r="U288" s="63" t="str">
        <x:v>Ejecutado</x:v>
      </x:c>
      <x:c r="V288" s="63" t="str">
        <x:v>Actividad ejecutada dentro del rango esperado.</x:v>
      </x:c>
      <x:c r="W288" s="47" t="str">
        <x:v>Corte anual cerrado</x:v>
      </x:c>
    </x:row>
    <x:row r="289" ht="18" customHeight="1">
      <x:c r="A289" s="46" t="n">
        <x:v>2025</x:v>
      </x:c>
      <x:c r="B289" s="63" t="n">
        <x:v>9</x:v>
      </x:c>
      <x:c r="C289" s="63" t="str">
        <x:v>Septiembre</x:v>
      </x:c>
      <x:c r="D289" s="63" t="str">
        <x:v>T3</x:v>
      </x:c>
      <x:c r="E289" s="71" t="n">
        <x:v>45930</x:v>
      </x:c>
      <x:c r="F289" s="63" t="str">
        <x:v>Higiene y seguridad industrial</x:v>
      </x:c>
      <x:c r="G289" s="63" t="str">
        <x:v>Dotación y control operacional</x:v>
      </x:c>
      <x:c r="H289" s="63" t="str">
        <x:v>Dotación y reposición de EPP</x:v>
      </x:c>
      <x:c r="I289" s="63" t="str">
        <x:v>Operativo</x:v>
      </x:c>
      <x:c r="J289" s="63" t="str">
        <x:v>Alta</x:v>
      </x:c>
      <x:c r="K289" s="63" t="str">
        <x:v>Bimestral / trimestral</x:v>
      </x:c>
      <x:c r="L289" s="63" t="str">
        <x:v>Entrega</x:v>
      </x:c>
      <x:c r="M289" s="63" t="n">
        <x:v>6</x:v>
      </x:c>
      <x:c r="N289" s="63" t="str">
        <x:v>Coordinación SST / Compras</x:v>
      </x:c>
      <x:c r="O289" s="63" t="str">
        <x:v>Presupuesto SG-SST</x:v>
      </x:c>
      <x:c r="P289" s="63" t="str">
        <x:v>Formato de entrega, factura, remisión</x:v>
      </x:c>
      <x:c r="Q289" s="79" t="n">
        <x:v>836353</x:v>
      </x:c>
      <x:c r="R289" s="79" t="n">
        <x:v>791691</x:v>
      </x:c>
      <x:c r="S289" s="79" t="n">
        <x:v>-44662</x:v>
      </x:c>
      <x:c r="T289" s="75" t="n">
        <x:v>0.9465991034885987</x:v>
      </x:c>
      <x:c r="U289" s="63" t="str">
        <x:v>Parcial</x:v>
      </x:c>
      <x:c r="V289" s="63" t="str">
        <x:v>Actividad con ejecución parcial o cierre financiero pendiente.</x:v>
      </x:c>
      <x:c r="W289" s="47" t="str">
        <x:v>Corte anual cerrado</x:v>
      </x:c>
    </x:row>
    <x:row r="290" ht="18" customHeight="1">
      <x:c r="A290" s="46" t="n">
        <x:v>2025</x:v>
      </x:c>
      <x:c r="B290" s="63" t="n">
        <x:v>9</x:v>
      </x:c>
      <x:c r="C290" s="63" t="str">
        <x:v>Septiembre</x:v>
      </x:c>
      <x:c r="D290" s="63" t="str">
        <x:v>T3</x:v>
      </x:c>
      <x:c r="E290" s="71" t="n">
        <x:v>45930</x:v>
      </x:c>
      <x:c r="F290" s="63" t="str">
        <x:v>Medicina preventiva y del trabajo</x:v>
      </x:c>
      <x:c r="G290" s="63" t="str">
        <x:v>Vigilancia epidemiológica</x:v>
      </x:c>
      <x:c r="H290" s="63" t="str">
        <x:v>Evaluación de riesgo psicosocial y actividades de intervención</x:v>
      </x:c>
      <x:c r="I290" s="63" t="str">
        <x:v>Servicio</x:v>
      </x:c>
      <x:c r="J290" s="63" t="str">
        <x:v>Alta</x:v>
      </x:c>
      <x:c r="K290" s="63" t="str">
        <x:v>Periódica</x:v>
      </x:c>
      <x:c r="L290" s="63" t="str">
        <x:v>Actividad</x:v>
      </x:c>
      <x:c r="M290" s="63" t="n">
        <x:v>6</x:v>
      </x:c>
      <x:c r="N290" s="63" t="str">
        <x:v>Psicología / SST</x:v>
      </x:c>
      <x:c r="O290" s="63" t="str">
        <x:v>Presupuesto SG-SST</x:v>
      </x:c>
      <x:c r="P290" s="63" t="str">
        <x:v>Informe técnico, evidencia, plan de intervención</x:v>
      </x:c>
      <x:c r="Q290" s="79" t="n">
        <x:v>585447</x:v>
      </x:c>
      <x:c r="R290" s="79" t="n">
        <x:v>544981</x:v>
      </x:c>
      <x:c r="S290" s="79" t="n">
        <x:v>-40466</x:v>
      </x:c>
      <x:c r="T290" s="75" t="n">
        <x:v>0.9308801650704505</x:v>
      </x:c>
      <x:c r="U290" s="63" t="str">
        <x:v>Parcial</x:v>
      </x:c>
      <x:c r="V290" s="63" t="str">
        <x:v>Actividad con ejecución parcial o cierre financiero pendiente.</x:v>
      </x:c>
      <x:c r="W290" s="47" t="str">
        <x:v>Corte anual cerrado</x:v>
      </x:c>
    </x:row>
    <x:row r="291" ht="18" customHeight="1">
      <x:c r="A291" s="46" t="n">
        <x:v>2025</x:v>
      </x:c>
      <x:c r="B291" s="63" t="n">
        <x:v>9</x:v>
      </x:c>
      <x:c r="C291" s="63" t="str">
        <x:v>Septiembre</x:v>
      </x:c>
      <x:c r="D291" s="63" t="str">
        <x:v>T3</x:v>
      </x:c>
      <x:c r="E291" s="71" t="n">
        <x:v>45930</x:v>
      </x:c>
      <x:c r="F291" s="63" t="str">
        <x:v>Recursos y gestión financiera</x:v>
      </x:c>
      <x:c r="G291" s="63" t="str">
        <x:v>Planeación y recursos</x:v>
      </x:c>
      <x:c r="H291" s="63" t="str">
        <x:v>Exámenes médicos ocupacionales</x:v>
      </x:c>
      <x:c r="I291" s="63" t="str">
        <x:v>Servicio</x:v>
      </x:c>
      <x:c r="J291" s="63" t="str">
        <x:v>Alta</x:v>
      </x:c>
      <x:c r="K291" s="63" t="str">
        <x:v>Semestral</x:v>
      </x:c>
      <x:c r="L291" s="63" t="str">
        <x:v>Jornada</x:v>
      </x:c>
      <x:c r="M291" s="63" t="n">
        <x:v>2</x:v>
      </x:c>
      <x:c r="N291" s="63" t="str">
        <x:v>Coordinación SST</x:v>
      </x:c>
      <x:c r="O291" s="63" t="str">
        <x:v>Presupuesto SG-SST</x:v>
      </x:c>
      <x:c r="P291" s="63" t="str">
        <x:v>Orden de servicio, factura, concepto médico</x:v>
      </x:c>
      <x:c r="Q291" s="79" t="n">
        <x:v>200725</x:v>
      </x:c>
      <x:c r="R291" s="79" t="n">
        <x:v>198515</x:v>
      </x:c>
      <x:c r="S291" s="79" t="n">
        <x:v>-2210</x:v>
      </x:c>
      <x:c r="T291" s="75" t="n">
        <x:v>0.9889899115705567</x:v>
      </x:c>
      <x:c r="U291" s="63" t="str">
        <x:v>Ejecutado</x:v>
      </x:c>
      <x:c r="V291" s="63" t="str">
        <x:v>Actividad ejecutada dentro del rango esperado.</x:v>
      </x:c>
      <x:c r="W291" s="47" t="str">
        <x:v>Corte anual cerrado</x:v>
      </x:c>
    </x:row>
    <x:row r="292" ht="18" customHeight="1">
      <x:c r="A292" s="46" t="n">
        <x:v>2025</x:v>
      </x:c>
      <x:c r="B292" s="63" t="n">
        <x:v>9</x:v>
      </x:c>
      <x:c r="C292" s="63" t="str">
        <x:v>Septiembre</x:v>
      </x:c>
      <x:c r="D292" s="63" t="str">
        <x:v>T3</x:v>
      </x:c>
      <x:c r="E292" s="71" t="n">
        <x:v>45930</x:v>
      </x:c>
      <x:c r="F292" s="63" t="str">
        <x:v>Participación y consulta</x:v>
      </x:c>
      <x:c r="G292" s="63" t="str">
        <x:v>Comités de SST</x:v>
      </x:c>
      <x:c r="H292" s="63" t="str">
        <x:v>Gestión de COPASST y Comité de Convivencia</x:v>
      </x:c>
      <x:c r="I292" s="63" t="str">
        <x:v>Operativo</x:v>
      </x:c>
      <x:c r="J292" s="63" t="str">
        <x:v>Media</x:v>
      </x:c>
      <x:c r="K292" s="63" t="str">
        <x:v>Mensual</x:v>
      </x:c>
      <x:c r="L292" s="63" t="str">
        <x:v>Reunión</x:v>
      </x:c>
      <x:c r="M292" s="63" t="n">
        <x:v>12</x:v>
      </x:c>
      <x:c r="N292" s="63" t="str">
        <x:v>Talento Humano / SST</x:v>
      </x:c>
      <x:c r="O292" s="63" t="str">
        <x:v>Presupuesto SG-SST</x:v>
      </x:c>
      <x:c r="P292" s="63" t="str">
        <x:v>Acta, convocatoria, seguimiento compromisos</x:v>
      </x:c>
      <x:c r="Q292" s="79" t="n">
        <x:v>178422</x:v>
      </x:c>
      <x:c r="R292" s="79" t="n">
        <x:v>174009</x:v>
      </x:c>
      <x:c r="S292" s="79" t="n">
        <x:v>-4413</x:v>
      </x:c>
      <x:c r="T292" s="75" t="n">
        <x:v>0.9752665030097185</x:v>
      </x:c>
      <x:c r="U292" s="63" t="str">
        <x:v>Parcial</x:v>
      </x:c>
      <x:c r="V292" s="63" t="str">
        <x:v>Actividad con ejecución parcial o cierre financiero pendiente.</x:v>
      </x:c>
      <x:c r="W292" s="47" t="str">
        <x:v>Corte anual cerrado</x:v>
      </x:c>
    </x:row>
    <x:row r="293" ht="18" customHeight="1">
      <x:c r="A293" s="46" t="n">
        <x:v>2025</x:v>
      </x:c>
      <x:c r="B293" s="63" t="n">
        <x:v>9</x:v>
      </x:c>
      <x:c r="C293" s="63" t="str">
        <x:v>Septiembre</x:v>
      </x:c>
      <x:c r="D293" s="63" t="str">
        <x:v>T3</x:v>
      </x:c>
      <x:c r="E293" s="71" t="n">
        <x:v>45930</x:v>
      </x:c>
      <x:c r="F293" s="63" t="str">
        <x:v>Higiene y seguridad industrial</x:v>
      </x:c>
      <x:c r="G293" s="63" t="str">
        <x:v>Inspecciones y control</x:v>
      </x:c>
      <x:c r="H293" s="63" t="str">
        <x:v>Inspecciones planeadas de seguridad</x:v>
      </x:c>
      <x:c r="I293" s="63" t="str">
        <x:v>Operativo</x:v>
      </x:c>
      <x:c r="J293" s="63" t="str">
        <x:v>Media</x:v>
      </x:c>
      <x:c r="K293" s="63" t="str">
        <x:v>Mensual</x:v>
      </x:c>
      <x:c r="L293" s="63" t="str">
        <x:v>Inspección</x:v>
      </x:c>
      <x:c r="M293" s="63" t="n">
        <x:v>12</x:v>
      </x:c>
      <x:c r="N293" s="63" t="str">
        <x:v>Inspector SST</x:v>
      </x:c>
      <x:c r="O293" s="63" t="str">
        <x:v>Presupuesto SG-SST</x:v>
      </x:c>
      <x:c r="P293" s="63" t="str">
        <x:v>Lista de chequeo, informe, evidencia fotográfica</x:v>
      </x:c>
      <x:c r="Q293" s="79" t="n">
        <x:v>301087</x:v>
      </x:c>
      <x:c r="R293" s="79" t="n">
        <x:v>277179</x:v>
      </x:c>
      <x:c r="S293" s="79" t="n">
        <x:v>-23908</x:v>
      </x:c>
      <x:c r="T293" s="75" t="n">
        <x:v>0.9205943796975625</x:v>
      </x:c>
      <x:c r="U293" s="63" t="str">
        <x:v>Parcial</x:v>
      </x:c>
      <x:c r="V293" s="63" t="str">
        <x:v>Actividad con ejecución parcial o cierre financiero pendiente.</x:v>
      </x:c>
      <x:c r="W293" s="47" t="str">
        <x:v>Corte anual cerrado</x:v>
      </x:c>
    </x:row>
    <x:row r="294" ht="18" customHeight="1">
      <x:c r="A294" s="46" t="n">
        <x:v>2025</x:v>
      </x:c>
      <x:c r="B294" s="63" t="n">
        <x:v>9</x:v>
      </x:c>
      <x:c r="C294" s="63" t="str">
        <x:v>Septiembre</x:v>
      </x:c>
      <x:c r="D294" s="63" t="str">
        <x:v>T3</x:v>
      </x:c>
      <x:c r="E294" s="71" t="n">
        <x:v>45930</x:v>
      </x:c>
      <x:c r="F294" s="63" t="str">
        <x:v>Mejora continua y cumplimiento</x:v>
      </x:c>
      <x:c r="G294" s="63" t="str">
        <x:v>Gestión de incidentes y mejora</x:v>
      </x:c>
      <x:c r="H294" s="63" t="str">
        <x:v>Investigación de AT/EL y acciones correctivas</x:v>
      </x:c>
      <x:c r="I294" s="63" t="str">
        <x:v>Operativo</x:v>
      </x:c>
      <x:c r="J294" s="63" t="str">
        <x:v>Media</x:v>
      </x:c>
      <x:c r="K294" s="63" t="str">
        <x:v>Mensual</x:v>
      </x:c>
      <x:c r="L294" s="63" t="str">
        <x:v>Seguimiento</x:v>
      </x:c>
      <x:c r="M294" s="63" t="n">
        <x:v>12</x:v>
      </x:c>
      <x:c r="N294" s="63" t="str">
        <x:v>SST / Jefes de área</x:v>
      </x:c>
      <x:c r="O294" s="63" t="str">
        <x:v>Presupuesto SG-SST</x:v>
      </x:c>
      <x:c r="P294" s="63" t="str">
        <x:v>Investigación, plan de acción, evidencia de cierre</x:v>
      </x:c>
      <x:c r="Q294" s="79" t="n">
        <x:v>250906</x:v>
      </x:c>
      <x:c r="R294" s="79" t="n">
        <x:v>228438</x:v>
      </x:c>
      <x:c r="S294" s="79" t="n">
        <x:v>-22468</x:v>
      </x:c>
      <x:c r="T294" s="75" t="n">
        <x:v>0.9104525200672762</x:v>
      </x:c>
      <x:c r="U294" s="63" t="str">
        <x:v>Parcial</x:v>
      </x:c>
      <x:c r="V294" s="63" t="str">
        <x:v>Actividad con ejecución parcial o cierre financiero pendiente.</x:v>
      </x:c>
      <x:c r="W294" s="47" t="str">
        <x:v>Corte anual cerrado</x:v>
      </x:c>
    </x:row>
    <x:row r="295" ht="18" customHeight="1">
      <x:c r="A295" s="46" t="n">
        <x:v>2025</x:v>
      </x:c>
      <x:c r="B295" s="63" t="n">
        <x:v>9</x:v>
      </x:c>
      <x:c r="C295" s="63" t="str">
        <x:v>Septiembre</x:v>
      </x:c>
      <x:c r="D295" s="63" t="str">
        <x:v>T3</x:v>
      </x:c>
      <x:c r="E295" s="71" t="n">
        <x:v>45930</x:v>
      </x:c>
      <x:c r="F295" s="63" t="str">
        <x:v>Medicina preventiva y del trabajo</x:v>
      </x:c>
      <x:c r="G295" s="63" t="str">
        <x:v>Programas de vigilancia epidemiológica</x:v>
      </x:c>
      <x:c r="H295" s="63" t="str">
        <x:v>Programas de vigilancia epidemiológica y seguimiento médico</x:v>
      </x:c>
      <x:c r="I295" s="63" t="str">
        <x:v>Servicio</x:v>
      </x:c>
      <x:c r="J295" s="63" t="str">
        <x:v>Alta</x:v>
      </x:c>
      <x:c r="K295" s="63" t="str">
        <x:v>Mensual</x:v>
      </x:c>
      <x:c r="L295" s="63" t="str">
        <x:v>Seguimiento</x:v>
      </x:c>
      <x:c r="M295" s="63" t="n">
        <x:v>12</x:v>
      </x:c>
      <x:c r="N295" s="63" t="str">
        <x:v>Médico laboral / SST</x:v>
      </x:c>
      <x:c r="O295" s="63" t="str">
        <x:v>Presupuesto SG-SST</x:v>
      </x:c>
      <x:c r="P295" s="63" t="str">
        <x:v>Base de seguimiento, informe, remisiones</x:v>
      </x:c>
      <x:c r="Q295" s="79" t="n">
        <x:v>624477</x:v>
      </x:c>
      <x:c r="R295" s="79" t="n">
        <x:v>630848</x:v>
      </x:c>
      <x:c r="S295" s="79" t="n">
        <x:v>6371</x:v>
      </x:c>
      <x:c r="T295" s="75" t="n">
        <x:v>1.0102021371483658</x:v>
      </x:c>
      <x:c r="U295" s="63" t="str">
        <x:v>Ejecutado</x:v>
      </x:c>
      <x:c r="V295" s="63" t="str">
        <x:v>Actividad ejecutada dentro del rango esperado.</x:v>
      </x:c>
      <x:c r="W295" s="47" t="str">
        <x:v>Corte anual cerrado</x:v>
      </x:c>
    </x:row>
    <x:row r="296" ht="18" customHeight="1">
      <x:c r="A296" s="46" t="n">
        <x:v>2025</x:v>
      </x:c>
      <x:c r="B296" s="63" t="n">
        <x:v>9</x:v>
      </x:c>
      <x:c r="C296" s="63" t="str">
        <x:v>Septiembre</x:v>
      </x:c>
      <x:c r="D296" s="63" t="str">
        <x:v>T3</x:v>
      </x:c>
      <x:c r="E296" s="71" t="n">
        <x:v>45930</x:v>
      </x:c>
      <x:c r="F296" s="63" t="str">
        <x:v>Higiene y seguridad industrial</x:v>
      </x:c>
      <x:c r="G296" s="63" t="str">
        <x:v>Señalización y control visual</x:v>
      </x:c>
      <x:c r="H296" s="63" t="str">
        <x:v>Señalización, demarcación y avisos de seguridad</x:v>
      </x:c>
      <x:c r="I296" s="63" t="str">
        <x:v>Operativo</x:v>
      </x:c>
      <x:c r="J296" s="63" t="str">
        <x:v>Media</x:v>
      </x:c>
      <x:c r="K296" s="63" t="str">
        <x:v>Periódica</x:v>
      </x:c>
      <x:c r="L296" s="63" t="str">
        <x:v>Intervención</x:v>
      </x:c>
      <x:c r="M296" s="63" t="n">
        <x:v>5</x:v>
      </x:c>
      <x:c r="N296" s="63" t="str">
        <x:v>SST / Mantenimiento</x:v>
      </x:c>
      <x:c r="O296" s="63" t="str">
        <x:v>Presupuesto SG-SST</x:v>
      </x:c>
      <x:c r="P296" s="63" t="str">
        <x:v>Acta de instalación, factura, inventario</x:v>
      </x:c>
      <x:c r="Q296" s="79" t="n">
        <x:v>557568</x:v>
      </x:c>
      <x:c r="R296" s="79" t="n">
        <x:v>528001</x:v>
      </x:c>
      <x:c r="S296" s="79" t="n">
        <x:v>-29567</x:v>
      </x:c>
      <x:c r="T296" s="75" t="n">
        <x:v>0.946971490472911</x:v>
      </x:c>
      <x:c r="U296" s="63" t="str">
        <x:v>Parcial</x:v>
      </x:c>
      <x:c r="V296" s="63" t="str">
        <x:v>Actividad con ejecución parcial o cierre financiero pendiente.</x:v>
      </x:c>
      <x:c r="W296" s="47" t="str">
        <x:v>Corte anual cerrado</x:v>
      </x:c>
    </x:row>
    <x:row r="297" ht="18" customHeight="1">
      <x:c r="A297" s="46" t="n">
        <x:v>2025</x:v>
      </x:c>
      <x:c r="B297" s="63" t="n">
        <x:v>10</x:v>
      </x:c>
      <x:c r="C297" s="63" t="str">
        <x:v>Octubre</x:v>
      </x:c>
      <x:c r="D297" s="63" t="str">
        <x:v>T4</x:v>
      </x:c>
      <x:c r="E297" s="71" t="n">
        <x:v>45961</x:v>
      </x:c>
      <x:c r="F297" s="63" t="str">
        <x:v>Mejora continua y cumplimiento</x:v>
      </x:c>
      <x:c r="G297" s="63" t="str">
        <x:v>Auditoría y revisión por la dirección</x:v>
      </x:c>
      <x:c r="H297" s="63" t="str">
        <x:v>Auditoría interna, autoevaluación y revisión gerencial</x:v>
      </x:c>
      <x:c r="I297" s="63" t="str">
        <x:v>Servicio</x:v>
      </x:c>
      <x:c r="J297" s="63" t="str">
        <x:v>Alta</x:v>
      </x:c>
      <x:c r="K297" s="63" t="str">
        <x:v>Trimestral</x:v>
      </x:c>
      <x:c r="L297" s="63" t="str">
        <x:v>Hito</x:v>
      </x:c>
      <x:c r="M297" s="63" t="n">
        <x:v>4</x:v>
      </x:c>
      <x:c r="N297" s="63" t="str">
        <x:v>Líder HSEQ / Gerencia</x:v>
      </x:c>
      <x:c r="O297" s="63" t="str">
        <x:v>Presupuesto SG-SST</x:v>
      </x:c>
      <x:c r="P297" s="63" t="str">
        <x:v>Informe de auditoría, acta, plan de mejora</x:v>
      </x:c>
      <x:c r="Q297" s="79" t="n">
        <x:v>1115137</x:v>
      </x:c>
      <x:c r="R297" s="79" t="n">
        <x:v>1143859</x:v>
      </x:c>
      <x:c r="S297" s="79" t="n">
        <x:v>28722</x:v>
      </x:c>
      <x:c r="T297" s="75" t="n">
        <x:v>1.0257564765584857</x:v>
      </x:c>
      <x:c r="U297" s="63" t="str">
        <x:v>Ejecutado</x:v>
      </x:c>
      <x:c r="V297" s="63" t="str">
        <x:v>Actividad ejecutada dentro del rango esperado.</x:v>
      </x:c>
      <x:c r="W297" s="47" t="str">
        <x:v>Corte anual cerrado</x:v>
      </x:c>
    </x:row>
    <x:row r="298" ht="18" customHeight="1">
      <x:c r="A298" s="46" t="n">
        <x:v>2025</x:v>
      </x:c>
      <x:c r="B298" s="63" t="n">
        <x:v>10</x:v>
      </x:c>
      <x:c r="C298" s="63" t="str">
        <x:v>Octubre</x:v>
      </x:c>
      <x:c r="D298" s="63" t="str">
        <x:v>T4</x:v>
      </x:c>
      <x:c r="E298" s="71" t="n">
        <x:v>45961</x:v>
      </x:c>
      <x:c r="F298" s="63" t="str">
        <x:v>Capacitación y entrenamiento</x:v>
      </x:c>
      <x:c r="G298" s="63" t="str">
        <x:v>Plan anual de formación</x:v>
      </x:c>
      <x:c r="H298" s="63" t="str">
        <x:v>Capacitación y entrenamiento en SG-SST</x:v>
      </x:c>
      <x:c r="I298" s="63" t="str">
        <x:v>Operativo</x:v>
      </x:c>
      <x:c r="J298" s="63" t="str">
        <x:v>Alta</x:v>
      </x:c>
      <x:c r="K298" s="63" t="str">
        <x:v>Mensual</x:v>
      </x:c>
      <x:c r="L298" s="63" t="str">
        <x:v>Jornada</x:v>
      </x:c>
      <x:c r="M298" s="63" t="n">
        <x:v>12</x:v>
      </x:c>
      <x:c r="N298" s="63" t="str">
        <x:v>Coordinación SST</x:v>
      </x:c>
      <x:c r="O298" s="63" t="str">
        <x:v>Presupuesto SG-SST</x:v>
      </x:c>
      <x:c r="P298" s="63" t="str">
        <x:v>Lista de asistencia, evaluación, acta</x:v>
      </x:c>
      <x:c r="Q298" s="79" t="n">
        <x:v>446055</x:v>
      </x:c>
      <x:c r="R298" s="79" t="n">
        <x:v>417019</x:v>
      </x:c>
      <x:c r="S298" s="79" t="n">
        <x:v>-29036</x:v>
      </x:c>
      <x:c r="T298" s="75" t="n">
        <x:v>0.934904888410622</x:v>
      </x:c>
      <x:c r="U298" s="63" t="str">
        <x:v>Parcial</x:v>
      </x:c>
      <x:c r="V298" s="63" t="str">
        <x:v>Actividad con ejecución parcial o cierre financiero pendiente.</x:v>
      </x:c>
      <x:c r="W298" s="47" t="str">
        <x:v>Corte anual cerrado</x:v>
      </x:c>
    </x:row>
    <x:row r="299" ht="18" customHeight="1">
      <x:c r="A299" s="46" t="n">
        <x:v>2025</x:v>
      </x:c>
      <x:c r="B299" s="63" t="n">
        <x:v>10</x:v>
      </x:c>
      <x:c r="C299" s="63" t="str">
        <x:v>Octubre</x:v>
      </x:c>
      <x:c r="D299" s="63" t="str">
        <x:v>T4</x:v>
      </x:c>
      <x:c r="E299" s="71" t="n">
        <x:v>45961</x:v>
      </x:c>
      <x:c r="F299" s="63" t="str">
        <x:v>Medicina preventiva y del trabajo</x:v>
      </x:c>
      <x:c r="G299" s="63" t="str">
        <x:v>Vigilancia epidemiológica</x:v>
      </x:c>
      <x:c r="H299" s="63" t="str">
        <x:v>Evaluación de riesgo psicosocial y actividades de intervención</x:v>
      </x:c>
      <x:c r="I299" s="63" t="str">
        <x:v>Servicio</x:v>
      </x:c>
      <x:c r="J299" s="63" t="str">
        <x:v>Alta</x:v>
      </x:c>
      <x:c r="K299" s="63" t="str">
        <x:v>Periódica</x:v>
      </x:c>
      <x:c r="L299" s="63" t="str">
        <x:v>Actividad</x:v>
      </x:c>
      <x:c r="M299" s="63" t="n">
        <x:v>6</x:v>
      </x:c>
      <x:c r="N299" s="63" t="str">
        <x:v>Psicología / SST</x:v>
      </x:c>
      <x:c r="O299" s="63" t="str">
        <x:v>Presupuesto SG-SST</x:v>
      </x:c>
      <x:c r="P299" s="63" t="str">
        <x:v>Informe técnico, evidencia, plan de intervención</x:v>
      </x:c>
      <x:c r="Q299" s="79" t="n">
        <x:v>585447</x:v>
      </x:c>
      <x:c r="R299" s="79" t="n">
        <x:v>557559</x:v>
      </x:c>
      <x:c r="S299" s="79" t="n">
        <x:v>-27888</x:v>
      </x:c>
      <x:c r="T299" s="75" t="n">
        <x:v>0.9523646034568458</x:v>
      </x:c>
      <x:c r="U299" s="63" t="str">
        <x:v>Parcial</x:v>
      </x:c>
      <x:c r="V299" s="63" t="str">
        <x:v>Actividad con ejecución parcial o cierre financiero pendiente.</x:v>
      </x:c>
      <x:c r="W299" s="47" t="str">
        <x:v>Corte anual cerrado</x:v>
      </x:c>
    </x:row>
    <x:row r="300" ht="18" customHeight="1">
      <x:c r="A300" s="46" t="n">
        <x:v>2025</x:v>
      </x:c>
      <x:c r="B300" s="63" t="n">
        <x:v>10</x:v>
      </x:c>
      <x:c r="C300" s="63" t="str">
        <x:v>Octubre</x:v>
      </x:c>
      <x:c r="D300" s="63" t="str">
        <x:v>T4</x:v>
      </x:c>
      <x:c r="E300" s="71" t="n">
        <x:v>45961</x:v>
      </x:c>
      <x:c r="F300" s="63" t="str">
        <x:v>Recursos y gestión financiera</x:v>
      </x:c>
      <x:c r="G300" s="63" t="str">
        <x:v>Planeación y recursos</x:v>
      </x:c>
      <x:c r="H300" s="63" t="str">
        <x:v>Exámenes médicos ocupacionales</x:v>
      </x:c>
      <x:c r="I300" s="63" t="str">
        <x:v>Servicio</x:v>
      </x:c>
      <x:c r="J300" s="63" t="str">
        <x:v>Alta</x:v>
      </x:c>
      <x:c r="K300" s="63" t="str">
        <x:v>Semestral</x:v>
      </x:c>
      <x:c r="L300" s="63" t="str">
        <x:v>Jornada</x:v>
      </x:c>
      <x:c r="M300" s="63" t="n">
        <x:v>2</x:v>
      </x:c>
      <x:c r="N300" s="63" t="str">
        <x:v>Coordinación SST</x:v>
      </x:c>
      <x:c r="O300" s="63" t="str">
        <x:v>Presupuesto SG-SST</x:v>
      </x:c>
      <x:c r="P300" s="63" t="str">
        <x:v>Orden de servicio, factura, concepto médico</x:v>
      </x:c>
      <x:c r="Q300" s="79" t="n">
        <x:v>133816</x:v>
      </x:c>
      <x:c r="R300" s="79" t="n">
        <x:v>127788</x:v>
      </x:c>
      <x:c r="S300" s="79" t="n">
        <x:v>-6028</x:v>
      </x:c>
      <x:c r="T300" s="75" t="n">
        <x:v>0.954953069887009</x:v>
      </x:c>
      <x:c r="U300" s="63" t="str">
        <x:v>Parcial</x:v>
      </x:c>
      <x:c r="V300" s="63" t="str">
        <x:v>Actividad con ejecución parcial o cierre financiero pendiente.</x:v>
      </x:c>
      <x:c r="W300" s="47" t="str">
        <x:v>Corte anual cerrado</x:v>
      </x:c>
    </x:row>
    <x:row r="301" ht="18" customHeight="1">
      <x:c r="A301" s="46" t="n">
        <x:v>2025</x:v>
      </x:c>
      <x:c r="B301" s="63" t="n">
        <x:v>10</x:v>
      </x:c>
      <x:c r="C301" s="63" t="str">
        <x:v>Octubre</x:v>
      </x:c>
      <x:c r="D301" s="63" t="str">
        <x:v>T4</x:v>
      </x:c>
      <x:c r="E301" s="71" t="n">
        <x:v>45961</x:v>
      </x:c>
      <x:c r="F301" s="63" t="str">
        <x:v>Gestión de contratistas</x:v>
      </x:c>
      <x:c r="G301" s="63" t="str">
        <x:v>Control de terceros</x:v>
      </x:c>
      <x:c r="H301" s="63" t="str">
        <x:v>Gestión SST de proveedores y contratistas</x:v>
      </x:c>
      <x:c r="I301" s="63" t="str">
        <x:v>Operativo</x:v>
      </x:c>
      <x:c r="J301" s="63" t="str">
        <x:v>Media</x:v>
      </x:c>
      <x:c r="K301" s="63" t="str">
        <x:v>Trimestral</x:v>
      </x:c>
      <x:c r="L301" s="63" t="str">
        <x:v>Ciclo</x:v>
      </x:c>
      <x:c r="M301" s="63" t="n">
        <x:v>4</x:v>
      </x:c>
      <x:c r="N301" s="63" t="str">
        <x:v>Compras / SST</x:v>
      </x:c>
      <x:c r="O301" s="63" t="str">
        <x:v>Presupuesto SG-SST</x:v>
      </x:c>
      <x:c r="P301" s="63" t="str">
        <x:v>Matriz de evaluación, soportes de contratistas</x:v>
      </x:c>
      <x:c r="Q301" s="79" t="n">
        <x:v>836353</x:v>
      </x:c>
      <x:c r="R301" s="79" t="n">
        <x:v>753801</x:v>
      </x:c>
      <x:c r="S301" s="79" t="n">
        <x:v>-82552</x:v>
      </x:c>
      <x:c r="T301" s="75" t="n">
        <x:v>0.9012952664724105</x:v>
      </x:c>
      <x:c r="U301" s="63" t="str">
        <x:v>Parcial</x:v>
      </x:c>
      <x:c r="V301" s="63" t="str">
        <x:v>Actividad con ejecución parcial o cierre financiero pendiente.</x:v>
      </x:c>
      <x:c r="W301" s="47" t="str">
        <x:v>Corte anual cerrado</x:v>
      </x:c>
    </x:row>
    <x:row r="302" ht="18" customHeight="1">
      <x:c r="A302" s="46" t="n">
        <x:v>2025</x:v>
      </x:c>
      <x:c r="B302" s="63" t="n">
        <x:v>10</x:v>
      </x:c>
      <x:c r="C302" s="63" t="str">
        <x:v>Octubre</x:v>
      </x:c>
      <x:c r="D302" s="63" t="str">
        <x:v>T4</x:v>
      </x:c>
      <x:c r="E302" s="71" t="n">
        <x:v>45961</x:v>
      </x:c>
      <x:c r="F302" s="63" t="str">
        <x:v>Participación y consulta</x:v>
      </x:c>
      <x:c r="G302" s="63" t="str">
        <x:v>Comités de SST</x:v>
      </x:c>
      <x:c r="H302" s="63" t="str">
        <x:v>Gestión de COPASST y Comité de Convivencia</x:v>
      </x:c>
      <x:c r="I302" s="63" t="str">
        <x:v>Operativo</x:v>
      </x:c>
      <x:c r="J302" s="63" t="str">
        <x:v>Media</x:v>
      </x:c>
      <x:c r="K302" s="63" t="str">
        <x:v>Mensual</x:v>
      </x:c>
      <x:c r="L302" s="63" t="str">
        <x:v>Reunión</x:v>
      </x:c>
      <x:c r="M302" s="63" t="n">
        <x:v>12</x:v>
      </x:c>
      <x:c r="N302" s="63" t="str">
        <x:v>Talento Humano / SST</x:v>
      </x:c>
      <x:c r="O302" s="63" t="str">
        <x:v>Presupuesto SG-SST</x:v>
      </x:c>
      <x:c r="P302" s="63" t="str">
        <x:v>Acta, convocatoria, seguimiento compromisos</x:v>
      </x:c>
      <x:c r="Q302" s="79" t="n">
        <x:v>200725</x:v>
      </x:c>
      <x:c r="R302" s="79" t="n">
        <x:v>198817</x:v>
      </x:c>
      <x:c r="S302" s="79" t="n">
        <x:v>-1908</x:v>
      </x:c>
      <x:c r="T302" s="75" t="n">
        <x:v>0.9904944575912318</x:v>
      </x:c>
      <x:c r="U302" s="63" t="str">
        <x:v>Ejecutado</x:v>
      </x:c>
      <x:c r="V302" s="63" t="str">
        <x:v>Actividad ejecutada dentro del rango esperado.</x:v>
      </x:c>
      <x:c r="W302" s="47" t="str">
        <x:v>Corte anual cerrado</x:v>
      </x:c>
    </x:row>
    <x:row r="303" ht="18" customHeight="1">
      <x:c r="A303" s="46" t="n">
        <x:v>2025</x:v>
      </x:c>
      <x:c r="B303" s="63" t="n">
        <x:v>10</x:v>
      </x:c>
      <x:c r="C303" s="63" t="str">
        <x:v>Octubre</x:v>
      </x:c>
      <x:c r="D303" s="63" t="str">
        <x:v>T4</x:v>
      </x:c>
      <x:c r="E303" s="71" t="n">
        <x:v>45961</x:v>
      </x:c>
      <x:c r="F303" s="63" t="str">
        <x:v>Higiene y seguridad industrial</x:v>
      </x:c>
      <x:c r="G303" s="63" t="str">
        <x:v>Inspecciones y control</x:v>
      </x:c>
      <x:c r="H303" s="63" t="str">
        <x:v>Inspecciones planeadas de seguridad</x:v>
      </x:c>
      <x:c r="I303" s="63" t="str">
        <x:v>Operativo</x:v>
      </x:c>
      <x:c r="J303" s="63" t="str">
        <x:v>Media</x:v>
      </x:c>
      <x:c r="K303" s="63" t="str">
        <x:v>Mensual</x:v>
      </x:c>
      <x:c r="L303" s="63" t="str">
        <x:v>Inspección</x:v>
      </x:c>
      <x:c r="M303" s="63" t="n">
        <x:v>12</x:v>
      </x:c>
      <x:c r="N303" s="63" t="str">
        <x:v>Inspector SST</x:v>
      </x:c>
      <x:c r="O303" s="63" t="str">
        <x:v>Presupuesto SG-SST</x:v>
      </x:c>
      <x:c r="P303" s="63" t="str">
        <x:v>Lista de chequeo, informe, evidencia fotográfica</x:v>
      </x:c>
      <x:c r="Q303" s="79" t="n">
        <x:v>267633</x:v>
      </x:c>
      <x:c r="R303" s="79" t="n">
        <x:v>251044</x:v>
      </x:c>
      <x:c r="S303" s="79" t="n">
        <x:v>-16589</x:v>
      </x:c>
      <x:c r="T303" s="75" t="n">
        <x:v>0.938015865009173</x:v>
      </x:c>
      <x:c r="U303" s="63" t="str">
        <x:v>Parcial</x:v>
      </x:c>
      <x:c r="V303" s="63" t="str">
        <x:v>Actividad con ejecución parcial o cierre financiero pendiente.</x:v>
      </x:c>
      <x:c r="W303" s="47" t="str">
        <x:v>Corte anual cerrado</x:v>
      </x:c>
    </x:row>
    <x:row r="304" ht="18" customHeight="1">
      <x:c r="A304" s="46" t="n">
        <x:v>2025</x:v>
      </x:c>
      <x:c r="B304" s="63" t="n">
        <x:v>10</x:v>
      </x:c>
      <x:c r="C304" s="63" t="str">
        <x:v>Octubre</x:v>
      </x:c>
      <x:c r="D304" s="63" t="str">
        <x:v>T4</x:v>
      </x:c>
      <x:c r="E304" s="71" t="n">
        <x:v>45961</x:v>
      </x:c>
      <x:c r="F304" s="63" t="str">
        <x:v>Mejora continua y cumplimiento</x:v>
      </x:c>
      <x:c r="G304" s="63" t="str">
        <x:v>Gestión de incidentes y mejora</x:v>
      </x:c>
      <x:c r="H304" s="63" t="str">
        <x:v>Investigación de AT/EL y acciones correctivas</x:v>
      </x:c>
      <x:c r="I304" s="63" t="str">
        <x:v>Operativo</x:v>
      </x:c>
      <x:c r="J304" s="63" t="str">
        <x:v>Media</x:v>
      </x:c>
      <x:c r="K304" s="63" t="str">
        <x:v>Mensual</x:v>
      </x:c>
      <x:c r="L304" s="63" t="str">
        <x:v>Seguimiento</x:v>
      </x:c>
      <x:c r="M304" s="63" t="n">
        <x:v>12</x:v>
      </x:c>
      <x:c r="N304" s="63" t="str">
        <x:v>SST / Jefes de área</x:v>
      </x:c>
      <x:c r="O304" s="63" t="str">
        <x:v>Presupuesto SG-SST</x:v>
      </x:c>
      <x:c r="P304" s="63" t="str">
        <x:v>Investigación, plan de acción, evidencia de cierre</x:v>
      </x:c>
      <x:c r="Q304" s="79" t="n">
        <x:v>223027</x:v>
      </x:c>
      <x:c r="R304" s="79" t="n">
        <x:v>224113</x:v>
      </x:c>
      <x:c r="S304" s="79" t="n">
        <x:v>1086</x:v>
      </x:c>
      <x:c r="T304" s="75" t="n">
        <x:v>1.0048693655925067</x:v>
      </x:c>
      <x:c r="U304" s="63" t="str">
        <x:v>Ejecutado</x:v>
      </x:c>
      <x:c r="V304" s="63" t="str">
        <x:v>Actividad ejecutada dentro del rango esperado.</x:v>
      </x:c>
      <x:c r="W304" s="47" t="str">
        <x:v>Corte anual cerrado</x:v>
      </x:c>
    </x:row>
    <x:row r="305" ht="18" customHeight="1">
      <x:c r="A305" s="46" t="n">
        <x:v>2025</x:v>
      </x:c>
      <x:c r="B305" s="63" t="n">
        <x:v>10</x:v>
      </x:c>
      <x:c r="C305" s="63" t="str">
        <x:v>Octubre</x:v>
      </x:c>
      <x:c r="D305" s="63" t="str">
        <x:v>T4</x:v>
      </x:c>
      <x:c r="E305" s="71" t="n">
        <x:v>45961</x:v>
      </x:c>
      <x:c r="F305" s="63" t="str">
        <x:v>Emergencias e infraestructura</x:v>
      </x:c>
      <x:c r="G305" s="63" t="str">
        <x:v>Preparación y respuesta ante emergencias</x:v>
      </x:c>
      <x:c r="H305" s="63" t="str">
        <x:v>Mantenimiento de extintores, botiquines y equipos de emergencia</x:v>
      </x:c>
      <x:c r="I305" s="63" t="str">
        <x:v>Servicio</x:v>
      </x:c>
      <x:c r="J305" s="63" t="str">
        <x:v>Alta</x:v>
      </x:c>
      <x:c r="K305" s="63" t="str">
        <x:v>Bimestral / semestral</x:v>
      </x:c>
      <x:c r="L305" s="63" t="str">
        <x:v>Mantenimiento</x:v>
      </x:c>
      <x:c r="M305" s="63" t="n">
        <x:v>6</x:v>
      </x:c>
      <x:c r="N305" s="63" t="str">
        <x:v>Brigada / SST</x:v>
      </x:c>
      <x:c r="O305" s="63" t="str">
        <x:v>Presupuesto SG-SST</x:v>
      </x:c>
      <x:c r="P305" s="63" t="str">
        <x:v>Certificado, factura, hoja de vida del equipo</x:v>
      </x:c>
      <x:c r="Q305" s="79" t="n">
        <x:v>802898</x:v>
      </x:c>
      <x:c r="R305" s="79" t="n">
        <x:v>813405</x:v>
      </x:c>
      <x:c r="S305" s="79" t="n">
        <x:v>10507</x:v>
      </x:c>
      <x:c r="T305" s="75" t="n">
        <x:v>1.0130863447162652</x:v>
      </x:c>
      <x:c r="U305" s="63" t="str">
        <x:v>Ejecutado</x:v>
      </x:c>
      <x:c r="V305" s="63" t="str">
        <x:v>Actividad ejecutada dentro del rango esperado.</x:v>
      </x:c>
      <x:c r="W305" s="47" t="str">
        <x:v>Corte anual cerrado</x:v>
      </x:c>
    </x:row>
    <x:row r="306" ht="18" customHeight="1">
      <x:c r="A306" s="46" t="n">
        <x:v>2025</x:v>
      </x:c>
      <x:c r="B306" s="63" t="n">
        <x:v>10</x:v>
      </x:c>
      <x:c r="C306" s="63" t="str">
        <x:v>Octubre</x:v>
      </x:c>
      <x:c r="D306" s="63" t="str">
        <x:v>T4</x:v>
      </x:c>
      <x:c r="E306" s="71" t="n">
        <x:v>45961</x:v>
      </x:c>
      <x:c r="F306" s="63" t="str">
        <x:v>Medicina preventiva y del trabajo</x:v>
      </x:c>
      <x:c r="G306" s="63" t="str">
        <x:v>Programas de vigilancia epidemiológica</x:v>
      </x:c>
      <x:c r="H306" s="63" t="str">
        <x:v>Programas de vigilancia epidemiológica y seguimiento médico</x:v>
      </x:c>
      <x:c r="I306" s="63" t="str">
        <x:v>Servicio</x:v>
      </x:c>
      <x:c r="J306" s="63" t="str">
        <x:v>Alta</x:v>
      </x:c>
      <x:c r="K306" s="63" t="str">
        <x:v>Mensual</x:v>
      </x:c>
      <x:c r="L306" s="63" t="str">
        <x:v>Seguimiento</x:v>
      </x:c>
      <x:c r="M306" s="63" t="n">
        <x:v>12</x:v>
      </x:c>
      <x:c r="N306" s="63" t="str">
        <x:v>Médico laboral / SST</x:v>
      </x:c>
      <x:c r="O306" s="63" t="str">
        <x:v>Presupuesto SG-SST</x:v>
      </x:c>
      <x:c r="P306" s="63" t="str">
        <x:v>Base de seguimiento, informe, remisiones</x:v>
      </x:c>
      <x:c r="Q306" s="79" t="n">
        <x:v>624477</x:v>
      </x:c>
      <x:c r="R306" s="79" t="n">
        <x:v>627472</x:v>
      </x:c>
      <x:c r="S306" s="79" t="n">
        <x:v>2995</x:v>
      </x:c>
      <x:c r="T306" s="75" t="n">
        <x:v>1.0047960133039326</x:v>
      </x:c>
      <x:c r="U306" s="63" t="str">
        <x:v>Ejecutado</x:v>
      </x:c>
      <x:c r="V306" s="63" t="str">
        <x:v>Actividad ejecutada dentro del rango esperado.</x:v>
      </x:c>
      <x:c r="W306" s="47" t="str">
        <x:v>Corte anual cerrado</x:v>
      </x:c>
    </x:row>
    <x:row r="307" ht="18" customHeight="1">
      <x:c r="A307" s="46" t="n">
        <x:v>2025</x:v>
      </x:c>
      <x:c r="B307" s="63" t="n">
        <x:v>11</x:v>
      </x:c>
      <x:c r="C307" s="63" t="str">
        <x:v>Noviembre</x:v>
      </x:c>
      <x:c r="D307" s="63" t="str">
        <x:v>T4</x:v>
      </x:c>
      <x:c r="E307" s="71" t="n">
        <x:v>45991</x:v>
      </x:c>
      <x:c r="F307" s="63" t="str">
        <x:v>Mejora continua y cumplimiento</x:v>
      </x:c>
      <x:c r="G307" s="63" t="str">
        <x:v>Auditoría y revisión por la dirección</x:v>
      </x:c>
      <x:c r="H307" s="63" t="str">
        <x:v>Auditoría interna, autoevaluación y revisión gerencial</x:v>
      </x:c>
      <x:c r="I307" s="63" t="str">
        <x:v>Servicio</x:v>
      </x:c>
      <x:c r="J307" s="63" t="str">
        <x:v>Alta</x:v>
      </x:c>
      <x:c r="K307" s="63" t="str">
        <x:v>Trimestral</x:v>
      </x:c>
      <x:c r="L307" s="63" t="str">
        <x:v>Hito</x:v>
      </x:c>
      <x:c r="M307" s="63" t="n">
        <x:v>4</x:v>
      </x:c>
      <x:c r="N307" s="63" t="str">
        <x:v>Líder HSEQ / Gerencia</x:v>
      </x:c>
      <x:c r="O307" s="63" t="str">
        <x:v>Presupuesto SG-SST</x:v>
      </x:c>
      <x:c r="P307" s="63" t="str">
        <x:v>Informe de auditoría, acta, plan de mejora</x:v>
      </x:c>
      <x:c r="Q307" s="79" t="n">
        <x:v>669082</x:v>
      </x:c>
      <x:c r="R307" s="79" t="n">
        <x:v>686890</x:v>
      </x:c>
      <x:c r="S307" s="79" t="n">
        <x:v>17808</x:v>
      </x:c>
      <x:c r="T307" s="75" t="n">
        <x:v>1.0266155717834287</x:v>
      </x:c>
      <x:c r="U307" s="63" t="str">
        <x:v>Ejecutado</x:v>
      </x:c>
      <x:c r="V307" s="63" t="str">
        <x:v>Actividad ejecutada dentro del rango esperado.</x:v>
      </x:c>
      <x:c r="W307" s="47" t="str">
        <x:v>Corte anual cerrado</x:v>
      </x:c>
    </x:row>
    <x:row r="308" ht="18" customHeight="1">
      <x:c r="A308" s="46" t="n">
        <x:v>2025</x:v>
      </x:c>
      <x:c r="B308" s="63" t="n">
        <x:v>11</x:v>
      </x:c>
      <x:c r="C308" s="63" t="str">
        <x:v>Noviembre</x:v>
      </x:c>
      <x:c r="D308" s="63" t="str">
        <x:v>T4</x:v>
      </x:c>
      <x:c r="E308" s="71" t="n">
        <x:v>45991</x:v>
      </x:c>
      <x:c r="F308" s="63" t="str">
        <x:v>Capacitación y entrenamiento</x:v>
      </x:c>
      <x:c r="G308" s="63" t="str">
        <x:v>Plan anual de formación</x:v>
      </x:c>
      <x:c r="H308" s="63" t="str">
        <x:v>Capacitación y entrenamiento en SG-SST</x:v>
      </x:c>
      <x:c r="I308" s="63" t="str">
        <x:v>Operativo</x:v>
      </x:c>
      <x:c r="J308" s="63" t="str">
        <x:v>Alta</x:v>
      </x:c>
      <x:c r="K308" s="63" t="str">
        <x:v>Mensual</x:v>
      </x:c>
      <x:c r="L308" s="63" t="str">
        <x:v>Jornada</x:v>
      </x:c>
      <x:c r="M308" s="63" t="n">
        <x:v>12</x:v>
      </x:c>
      <x:c r="N308" s="63" t="str">
        <x:v>Coordinación SST</x:v>
      </x:c>
      <x:c r="O308" s="63" t="str">
        <x:v>Presupuesto SG-SST</x:v>
      </x:c>
      <x:c r="P308" s="63" t="str">
        <x:v>Lista de asistencia, evaluación, acta</x:v>
      </x:c>
      <x:c r="Q308" s="79" t="n">
        <x:v>501812</x:v>
      </x:c>
      <x:c r="R308" s="79" t="n">
        <x:v>473960</x:v>
      </x:c>
      <x:c r="S308" s="79" t="n">
        <x:v>-27852</x:v>
      </x:c>
      <x:c r="T308" s="75" t="n">
        <x:v>0.9444971423561015</x:v>
      </x:c>
      <x:c r="U308" s="63" t="str">
        <x:v>Parcial</x:v>
      </x:c>
      <x:c r="V308" s="63" t="str">
        <x:v>Actividad con ejecución parcial o cierre financiero pendiente.</x:v>
      </x:c>
      <x:c r="W308" s="47" t="str">
        <x:v>Corte anual cerrado</x:v>
      </x:c>
    </x:row>
    <x:row r="309" ht="18" customHeight="1">
      <x:c r="A309" s="46" t="n">
        <x:v>2025</x:v>
      </x:c>
      <x:c r="B309" s="63" t="n">
        <x:v>11</x:v>
      </x:c>
      <x:c r="C309" s="63" t="str">
        <x:v>Noviembre</x:v>
      </x:c>
      <x:c r="D309" s="63" t="str">
        <x:v>T4</x:v>
      </x:c>
      <x:c r="E309" s="71" t="n">
        <x:v>45991</x:v>
      </x:c>
      <x:c r="F309" s="63" t="str">
        <x:v>Higiene y seguridad industrial</x:v>
      </x:c>
      <x:c r="G309" s="63" t="str">
        <x:v>Dotación y control operacional</x:v>
      </x:c>
      <x:c r="H309" s="63" t="str">
        <x:v>Dotación y reposición de EPP</x:v>
      </x:c>
      <x:c r="I309" s="63" t="str">
        <x:v>Operativo</x:v>
      </x:c>
      <x:c r="J309" s="63" t="str">
        <x:v>Alta</x:v>
      </x:c>
      <x:c r="K309" s="63" t="str">
        <x:v>Bimestral / trimestral</x:v>
      </x:c>
      <x:c r="L309" s="63" t="str">
        <x:v>Entrega</x:v>
      </x:c>
      <x:c r="M309" s="63" t="n">
        <x:v>6</x:v>
      </x:c>
      <x:c r="N309" s="63" t="str">
        <x:v>Coordinación SST / Compras</x:v>
      </x:c>
      <x:c r="O309" s="63" t="str">
        <x:v>Presupuesto SG-SST</x:v>
      </x:c>
      <x:c r="P309" s="63" t="str">
        <x:v>Formato de entrega, factura, remisión</x:v>
      </x:c>
      <x:c r="Q309" s="79" t="n">
        <x:v>1839975</x:v>
      </x:c>
      <x:c r="R309" s="79" t="n">
        <x:v>1837577</x:v>
      </x:c>
      <x:c r="S309" s="79" t="n">
        <x:v>-2398</x:v>
      </x:c>
      <x:c r="T309" s="75" t="n">
        <x:v>0.9986967214228454</x:v>
      </x:c>
      <x:c r="U309" s="63" t="str">
        <x:v>Ejecutado</x:v>
      </x:c>
      <x:c r="V309" s="63" t="str">
        <x:v>Actividad ejecutada dentro del rango esperado.</x:v>
      </x:c>
      <x:c r="W309" s="47" t="str">
        <x:v>Corte anual cerrado</x:v>
      </x:c>
    </x:row>
    <x:row r="310" ht="18" customHeight="1">
      <x:c r="A310" s="46" t="n">
        <x:v>2025</x:v>
      </x:c>
      <x:c r="B310" s="63" t="n">
        <x:v>11</x:v>
      </x:c>
      <x:c r="C310" s="63" t="str">
        <x:v>Noviembre</x:v>
      </x:c>
      <x:c r="D310" s="63" t="str">
        <x:v>T4</x:v>
      </x:c>
      <x:c r="E310" s="71" t="n">
        <x:v>45991</x:v>
      </x:c>
      <x:c r="F310" s="63" t="str">
        <x:v>Recursos y gestión financiera</x:v>
      </x:c>
      <x:c r="G310" s="63" t="str">
        <x:v>Planeación y recursos</x:v>
      </x:c>
      <x:c r="H310" s="63" t="str">
        <x:v>Exámenes médicos ocupacionales</x:v>
      </x:c>
      <x:c r="I310" s="63" t="str">
        <x:v>Servicio</x:v>
      </x:c>
      <x:c r="J310" s="63" t="str">
        <x:v>Alta</x:v>
      </x:c>
      <x:c r="K310" s="63" t="str">
        <x:v>Semestral</x:v>
      </x:c>
      <x:c r="L310" s="63" t="str">
        <x:v>Jornada</x:v>
      </x:c>
      <x:c r="M310" s="63" t="n">
        <x:v>2</x:v>
      </x:c>
      <x:c r="N310" s="63" t="str">
        <x:v>Coordinación SST</x:v>
      </x:c>
      <x:c r="O310" s="63" t="str">
        <x:v>Presupuesto SG-SST</x:v>
      </x:c>
      <x:c r="P310" s="63" t="str">
        <x:v>Orden de servicio, factura, concepto médico</x:v>
      </x:c>
      <x:c r="Q310" s="79" t="n">
        <x:v>66908</x:v>
      </x:c>
      <x:c r="R310" s="79" t="n">
        <x:v>63295</x:v>
      </x:c>
      <x:c r="S310" s="79" t="n">
        <x:v>-3613</x:v>
      </x:c>
      <x:c r="T310" s="75" t="n">
        <x:v>0.9460004782686674</x:v>
      </x:c>
      <x:c r="U310" s="63" t="str">
        <x:v>Parcial</x:v>
      </x:c>
      <x:c r="V310" s="63" t="str">
        <x:v>Actividad con ejecución parcial o cierre financiero pendiente.</x:v>
      </x:c>
      <x:c r="W310" s="47" t="str">
        <x:v>Corte anual cerrado</x:v>
      </x:c>
    </x:row>
    <x:row r="311" ht="18" customHeight="1">
      <x:c r="A311" s="46" t="n">
        <x:v>2025</x:v>
      </x:c>
      <x:c r="B311" s="63" t="n">
        <x:v>11</x:v>
      </x:c>
      <x:c r="C311" s="63" t="str">
        <x:v>Noviembre</x:v>
      </x:c>
      <x:c r="D311" s="63" t="str">
        <x:v>T4</x:v>
      </x:c>
      <x:c r="E311" s="71" t="n">
        <x:v>45991</x:v>
      </x:c>
      <x:c r="F311" s="63" t="str">
        <x:v>Participación y consulta</x:v>
      </x:c>
      <x:c r="G311" s="63" t="str">
        <x:v>Comités de SST</x:v>
      </x:c>
      <x:c r="H311" s="63" t="str">
        <x:v>Gestión de COPASST y Comité de Convivencia</x:v>
      </x:c>
      <x:c r="I311" s="63" t="str">
        <x:v>Operativo</x:v>
      </x:c>
      <x:c r="J311" s="63" t="str">
        <x:v>Media</x:v>
      </x:c>
      <x:c r="K311" s="63" t="str">
        <x:v>Mensual</x:v>
      </x:c>
      <x:c r="L311" s="63" t="str">
        <x:v>Reunión</x:v>
      </x:c>
      <x:c r="M311" s="63" t="n">
        <x:v>12</x:v>
      </x:c>
      <x:c r="N311" s="63" t="str">
        <x:v>Talento Humano / SST</x:v>
      </x:c>
      <x:c r="O311" s="63" t="str">
        <x:v>Presupuesto SG-SST</x:v>
      </x:c>
      <x:c r="P311" s="63" t="str">
        <x:v>Acta, convocatoria, seguimiento compromisos</x:v>
      </x:c>
      <x:c r="Q311" s="79" t="n">
        <x:v>178422</x:v>
      </x:c>
      <x:c r="R311" s="79" t="n">
        <x:v>178459</x:v>
      </x:c>
      <x:c r="S311" s="79" t="n">
        <x:v>37</x:v>
      </x:c>
      <x:c r="T311" s="75" t="n">
        <x:v>1.00020737353017</x:v>
      </x:c>
      <x:c r="U311" s="63" t="str">
        <x:v>Ejecutado</x:v>
      </x:c>
      <x:c r="V311" s="63" t="str">
        <x:v>Actividad ejecutada dentro del rango esperado.</x:v>
      </x:c>
      <x:c r="W311" s="47" t="str">
        <x:v>Corte anual cerrado</x:v>
      </x:c>
    </x:row>
    <x:row r="312" ht="18" customHeight="1">
      <x:c r="A312" s="46" t="n">
        <x:v>2025</x:v>
      </x:c>
      <x:c r="B312" s="63" t="n">
        <x:v>11</x:v>
      </x:c>
      <x:c r="C312" s="63" t="str">
        <x:v>Noviembre</x:v>
      </x:c>
      <x:c r="D312" s="63" t="str">
        <x:v>T4</x:v>
      </x:c>
      <x:c r="E312" s="71" t="n">
        <x:v>45991</x:v>
      </x:c>
      <x:c r="F312" s="63" t="str">
        <x:v>Higiene y seguridad industrial</x:v>
      </x:c>
      <x:c r="G312" s="63" t="str">
        <x:v>Inspecciones y control</x:v>
      </x:c>
      <x:c r="H312" s="63" t="str">
        <x:v>Inspecciones planeadas de seguridad</x:v>
      </x:c>
      <x:c r="I312" s="63" t="str">
        <x:v>Operativo</x:v>
      </x:c>
      <x:c r="J312" s="63" t="str">
        <x:v>Media</x:v>
      </x:c>
      <x:c r="K312" s="63" t="str">
        <x:v>Mensual</x:v>
      </x:c>
      <x:c r="L312" s="63" t="str">
        <x:v>Inspección</x:v>
      </x:c>
      <x:c r="M312" s="63" t="n">
        <x:v>12</x:v>
      </x:c>
      <x:c r="N312" s="63" t="str">
        <x:v>Inspector SST</x:v>
      </x:c>
      <x:c r="O312" s="63" t="str">
        <x:v>Presupuesto SG-SST</x:v>
      </x:c>
      <x:c r="P312" s="63" t="str">
        <x:v>Lista de chequeo, informe, evidencia fotográfica</x:v>
      </x:c>
      <x:c r="Q312" s="79" t="n">
        <x:v>267633</x:v>
      </x:c>
      <x:c r="R312" s="79" t="n">
        <x:v>256050</x:v>
      </x:c>
      <x:c r="S312" s="79" t="n">
        <x:v>-11583</x:v>
      </x:c>
      <x:c r="T312" s="75" t="n">
        <x:v>0.9567205837845109</x:v>
      </x:c>
      <x:c r="U312" s="63" t="str">
        <x:v>Parcial</x:v>
      </x:c>
      <x:c r="V312" s="63" t="str">
        <x:v>Actividad con ejecución parcial o cierre financiero pendiente.</x:v>
      </x:c>
      <x:c r="W312" s="47" t="str">
        <x:v>Corte anual cerrado</x:v>
      </x:c>
    </x:row>
    <x:row r="313" ht="18" customHeight="1">
      <x:c r="A313" s="46" t="n">
        <x:v>2025</x:v>
      </x:c>
      <x:c r="B313" s="63" t="n">
        <x:v>11</x:v>
      </x:c>
      <x:c r="C313" s="63" t="str">
        <x:v>Noviembre</x:v>
      </x:c>
      <x:c r="D313" s="63" t="str">
        <x:v>T4</x:v>
      </x:c>
      <x:c r="E313" s="71" t="n">
        <x:v>45991</x:v>
      </x:c>
      <x:c r="F313" s="63" t="str">
        <x:v>Mejora continua y cumplimiento</x:v>
      </x:c>
      <x:c r="G313" s="63" t="str">
        <x:v>Gestión de incidentes y mejora</x:v>
      </x:c>
      <x:c r="H313" s="63" t="str">
        <x:v>Investigación de AT/EL y acciones correctivas</x:v>
      </x:c>
      <x:c r="I313" s="63" t="str">
        <x:v>Operativo</x:v>
      </x:c>
      <x:c r="J313" s="63" t="str">
        <x:v>Media</x:v>
      </x:c>
      <x:c r="K313" s="63" t="str">
        <x:v>Mensual</x:v>
      </x:c>
      <x:c r="L313" s="63" t="str">
        <x:v>Seguimiento</x:v>
      </x:c>
      <x:c r="M313" s="63" t="n">
        <x:v>12</x:v>
      </x:c>
      <x:c r="N313" s="63" t="str">
        <x:v>SST / Jefes de área</x:v>
      </x:c>
      <x:c r="O313" s="63" t="str">
        <x:v>Presupuesto SG-SST</x:v>
      </x:c>
      <x:c r="P313" s="63" t="str">
        <x:v>Investigación, plan de acción, evidencia de cierre</x:v>
      </x:c>
      <x:c r="Q313" s="79" t="n">
        <x:v>223027</x:v>
      </x:c>
      <x:c r="R313" s="79" t="n">
        <x:v>227656</x:v>
      </x:c>
      <x:c r="S313" s="79" t="n">
        <x:v>4629</x:v>
      </x:c>
      <x:c r="T313" s="75" t="n">
        <x:v>1.0207553345559057</x:v>
      </x:c>
      <x:c r="U313" s="63" t="str">
        <x:v>Ejecutado</x:v>
      </x:c>
      <x:c r="V313" s="63" t="str">
        <x:v>Actividad ejecutada dentro del rango esperado.</x:v>
      </x:c>
      <x:c r="W313" s="47" t="str">
        <x:v>Corte anual cerrado</x:v>
      </x:c>
    </x:row>
    <x:row r="314" ht="18" customHeight="1">
      <x:c r="A314" s="46" t="n">
        <x:v>2025</x:v>
      </x:c>
      <x:c r="B314" s="63" t="n">
        <x:v>11</x:v>
      </x:c>
      <x:c r="C314" s="63" t="str">
        <x:v>Noviembre</x:v>
      </x:c>
      <x:c r="D314" s="63" t="str">
        <x:v>T4</x:v>
      </x:c>
      <x:c r="E314" s="71" t="n">
        <x:v>45991</x:v>
      </x:c>
      <x:c r="F314" s="63" t="str">
        <x:v>Medicina preventiva y del trabajo</x:v>
      </x:c>
      <x:c r="G314" s="63" t="str">
        <x:v>Programas de vigilancia epidemiológica</x:v>
      </x:c>
      <x:c r="H314" s="63" t="str">
        <x:v>Programas de vigilancia epidemiológica y seguimiento médico</x:v>
      </x:c>
      <x:c r="I314" s="63" t="str">
        <x:v>Servicio</x:v>
      </x:c>
      <x:c r="J314" s="63" t="str">
        <x:v>Alta</x:v>
      </x:c>
      <x:c r="K314" s="63" t="str">
        <x:v>Mensual</x:v>
      </x:c>
      <x:c r="L314" s="63" t="str">
        <x:v>Seguimiento</x:v>
      </x:c>
      <x:c r="M314" s="63" t="n">
        <x:v>12</x:v>
      </x:c>
      <x:c r="N314" s="63" t="str">
        <x:v>Médico laboral / SST</x:v>
      </x:c>
      <x:c r="O314" s="63" t="str">
        <x:v>Presupuesto SG-SST</x:v>
      </x:c>
      <x:c r="P314" s="63" t="str">
        <x:v>Base de seguimiento, informe, remisiones</x:v>
      </x:c>
      <x:c r="Q314" s="79" t="n">
        <x:v>780596</x:v>
      </x:c>
      <x:c r="R314" s="79" t="n">
        <x:v>732919</x:v>
      </x:c>
      <x:c r="S314" s="79" t="n">
        <x:v>-47677</x:v>
      </x:c>
      <x:c r="T314" s="75" t="n">
        <x:v>0.9389223106446869</x:v>
      </x:c>
      <x:c r="U314" s="63" t="str">
        <x:v>Parcial</x:v>
      </x:c>
      <x:c r="V314" s="63" t="str">
        <x:v>Actividad con ejecución parcial o cierre financiero pendiente.</x:v>
      </x:c>
      <x:c r="W314" s="47" t="str">
        <x:v>Corte anual cerrado</x:v>
      </x:c>
    </x:row>
    <x:row r="315" ht="18" customHeight="1">
      <x:c r="A315" s="46" t="n">
        <x:v>2025</x:v>
      </x:c>
      <x:c r="B315" s="63" t="n">
        <x:v>11</x:v>
      </x:c>
      <x:c r="C315" s="63" t="str">
        <x:v>Noviembre</x:v>
      </x:c>
      <x:c r="D315" s="63" t="str">
        <x:v>T4</x:v>
      </x:c>
      <x:c r="E315" s="71" t="n">
        <x:v>45991</x:v>
      </x:c>
      <x:c r="F315" s="63" t="str">
        <x:v>Higiene y seguridad industrial</x:v>
      </x:c>
      <x:c r="G315" s="63" t="str">
        <x:v>Señalización y control visual</x:v>
      </x:c>
      <x:c r="H315" s="63" t="str">
        <x:v>Señalización, demarcación y avisos de seguridad</x:v>
      </x:c>
      <x:c r="I315" s="63" t="str">
        <x:v>Operativo</x:v>
      </x:c>
      <x:c r="J315" s="63" t="str">
        <x:v>Media</x:v>
      </x:c>
      <x:c r="K315" s="63" t="str">
        <x:v>Periódica</x:v>
      </x:c>
      <x:c r="L315" s="63" t="str">
        <x:v>Intervención</x:v>
      </x:c>
      <x:c r="M315" s="63" t="n">
        <x:v>5</x:v>
      </x:c>
      <x:c r="N315" s="63" t="str">
        <x:v>SST / Mantenimiento</x:v>
      </x:c>
      <x:c r="O315" s="63" t="str">
        <x:v>Presupuesto SG-SST</x:v>
      </x:c>
      <x:c r="P315" s="63" t="str">
        <x:v>Acta de instalación, factura, inventario</x:v>
      </x:c>
      <x:c r="Q315" s="79" t="n">
        <x:v>836354</x:v>
      </x:c>
      <x:c r="R315" s="79" t="n">
        <x:v>812456</x:v>
      </x:c>
      <x:c r="S315" s="79" t="n">
        <x:v>-23898</x:v>
      </x:c>
      <x:c r="T315" s="75" t="n">
        <x:v>0.9714259751253655</x:v>
      </x:c>
      <x:c r="U315" s="63" t="str">
        <x:v>Parcial</x:v>
      </x:c>
      <x:c r="V315" s="63" t="str">
        <x:v>Actividad con ejecución parcial o cierre financiero pendiente.</x:v>
      </x:c>
      <x:c r="W315" s="47" t="str">
        <x:v>Corte anual cerrado</x:v>
      </x:c>
    </x:row>
    <x:row r="316" ht="18" customHeight="1">
      <x:c r="A316" s="46" t="n">
        <x:v>2025</x:v>
      </x:c>
      <x:c r="B316" s="63" t="n">
        <x:v>12</x:v>
      </x:c>
      <x:c r="C316" s="63" t="str">
        <x:v>Diciembre</x:v>
      </x:c>
      <x:c r="D316" s="63" t="str">
        <x:v>T4</x:v>
      </x:c>
      <x:c r="E316" s="71" t="n">
        <x:v>46022</x:v>
      </x:c>
      <x:c r="F316" s="63" t="str">
        <x:v>Mejora continua y cumplimiento</x:v>
      </x:c>
      <x:c r="G316" s="63" t="str">
        <x:v>Auditoría y revisión por la dirección</x:v>
      </x:c>
      <x:c r="H316" s="63" t="str">
        <x:v>Auditoría interna, autoevaluación y revisión gerencial</x:v>
      </x:c>
      <x:c r="I316" s="63" t="str">
        <x:v>Servicio</x:v>
      </x:c>
      <x:c r="J316" s="63" t="str">
        <x:v>Alta</x:v>
      </x:c>
      <x:c r="K316" s="63" t="str">
        <x:v>Trimestral</x:v>
      </x:c>
      <x:c r="L316" s="63" t="str">
        <x:v>Hito</x:v>
      </x:c>
      <x:c r="M316" s="63" t="n">
        <x:v>4</x:v>
      </x:c>
      <x:c r="N316" s="63" t="str">
        <x:v>Líder HSEQ / Gerencia</x:v>
      </x:c>
      <x:c r="O316" s="63" t="str">
        <x:v>Presupuesto SG-SST</x:v>
      </x:c>
      <x:c r="P316" s="63" t="str">
        <x:v>Informe de auditoría, acta, plan de mejora</x:v>
      </x:c>
      <x:c r="Q316" s="79" t="n">
        <x:v>892109</x:v>
      </x:c>
      <x:c r="R316" s="79" t="n">
        <x:v>869392</x:v>
      </x:c>
      <x:c r="S316" s="79" t="n">
        <x:v>-22717</x:v>
      </x:c>
      <x:c r="T316" s="75" t="n">
        <x:v>0.9745356228891313</x:v>
      </x:c>
      <x:c r="U316" s="63" t="str">
        <x:v>Parcial</x:v>
      </x:c>
      <x:c r="V316" s="63" t="str">
        <x:v>Actividad con ejecución parcial o cierre financiero pendiente.</x:v>
      </x:c>
      <x:c r="W316" s="47" t="str">
        <x:v>Corte anual cerrado</x:v>
      </x:c>
    </x:row>
    <x:row r="317" ht="18" customHeight="1">
      <x:c r="A317" s="46" t="n">
        <x:v>2025</x:v>
      </x:c>
      <x:c r="B317" s="63" t="n">
        <x:v>12</x:v>
      </x:c>
      <x:c r="C317" s="63" t="str">
        <x:v>Diciembre</x:v>
      </x:c>
      <x:c r="D317" s="63" t="str">
        <x:v>T4</x:v>
      </x:c>
      <x:c r="E317" s="71" t="n">
        <x:v>46022</x:v>
      </x:c>
      <x:c r="F317" s="63" t="str">
        <x:v>Capacitación y entrenamiento</x:v>
      </x:c>
      <x:c r="G317" s="63" t="str">
        <x:v>Plan anual de formación</x:v>
      </x:c>
      <x:c r="H317" s="63" t="str">
        <x:v>Capacitación y entrenamiento en SG-SST</x:v>
      </x:c>
      <x:c r="I317" s="63" t="str">
        <x:v>Operativo</x:v>
      </x:c>
      <x:c r="J317" s="63" t="str">
        <x:v>Alta</x:v>
      </x:c>
      <x:c r="K317" s="63" t="str">
        <x:v>Mensual</x:v>
      </x:c>
      <x:c r="L317" s="63" t="str">
        <x:v>Jornada</x:v>
      </x:c>
      <x:c r="M317" s="63" t="n">
        <x:v>12</x:v>
      </x:c>
      <x:c r="N317" s="63" t="str">
        <x:v>Coordinación SST</x:v>
      </x:c>
      <x:c r="O317" s="63" t="str">
        <x:v>Presupuesto SG-SST</x:v>
      </x:c>
      <x:c r="P317" s="63" t="str">
        <x:v>Lista de asistencia, evaluación, acta</x:v>
      </x:c>
      <x:c r="Q317" s="79" t="n">
        <x:v>446051</x:v>
      </x:c>
      <x:c r="R317" s="79" t="n">
        <x:v>453254</x:v>
      </x:c>
      <x:c r="S317" s="79" t="n">
        <x:v>7203</x:v>
      </x:c>
      <x:c r="T317" s="75" t="n">
        <x:v>1.016148377651883</x:v>
      </x:c>
      <x:c r="U317" s="63" t="str">
        <x:v>Ejecutado</x:v>
      </x:c>
      <x:c r="V317" s="63" t="str">
        <x:v>Actividad ejecutada dentro del rango esperado.</x:v>
      </x:c>
      <x:c r="W317" s="47" t="str">
        <x:v>Corte anual cerrado</x:v>
      </x:c>
    </x:row>
    <x:row r="318" ht="18" customHeight="1">
      <x:c r="A318" s="46" t="n">
        <x:v>2025</x:v>
      </x:c>
      <x:c r="B318" s="63" t="n">
        <x:v>12</x:v>
      </x:c>
      <x:c r="C318" s="63" t="str">
        <x:v>Diciembre</x:v>
      </x:c>
      <x:c r="D318" s="63" t="str">
        <x:v>T4</x:v>
      </x:c>
      <x:c r="E318" s="71" t="n">
        <x:v>46022</x:v>
      </x:c>
      <x:c r="F318" s="63" t="str">
        <x:v>Medicina preventiva y del trabajo</x:v>
      </x:c>
      <x:c r="G318" s="63" t="str">
        <x:v>Vigilancia epidemiológica</x:v>
      </x:c>
      <x:c r="H318" s="63" t="str">
        <x:v>Evaluación de riesgo psicosocial y actividades de intervención</x:v>
      </x:c>
      <x:c r="I318" s="63" t="str">
        <x:v>Servicio</x:v>
      </x:c>
      <x:c r="J318" s="63" t="str">
        <x:v>Alta</x:v>
      </x:c>
      <x:c r="K318" s="63" t="str">
        <x:v>Periódica</x:v>
      </x:c>
      <x:c r="L318" s="63" t="str">
        <x:v>Actividad</x:v>
      </x:c>
      <x:c r="M318" s="63" t="n">
        <x:v>6</x:v>
      </x:c>
      <x:c r="N318" s="63" t="str">
        <x:v>Psicología / SST</x:v>
      </x:c>
      <x:c r="O318" s="63" t="str">
        <x:v>Presupuesto SG-SST</x:v>
      </x:c>
      <x:c r="P318" s="63" t="str">
        <x:v>Informe técnico, evidencia, plan de intervención</x:v>
      </x:c>
      <x:c r="Q318" s="79" t="n">
        <x:v>585446</x:v>
      </x:c>
      <x:c r="R318" s="79" t="n">
        <x:v>590204</x:v>
      </x:c>
      <x:c r="S318" s="79" t="n">
        <x:v>4758</x:v>
      </x:c>
      <x:c r="T318" s="75" t="n">
        <x:v>1.008127137259457</x:v>
      </x:c>
      <x:c r="U318" s="63" t="str">
        <x:v>Ejecutado</x:v>
      </x:c>
      <x:c r="V318" s="63" t="str">
        <x:v>Actividad ejecutada dentro del rango esperado.</x:v>
      </x:c>
      <x:c r="W318" s="47" t="str">
        <x:v>Corte anual cerrado</x:v>
      </x:c>
    </x:row>
    <x:row r="319" ht="18" customHeight="1">
      <x:c r="A319" s="46" t="n">
        <x:v>2025</x:v>
      </x:c>
      <x:c r="B319" s="63" t="n">
        <x:v>12</x:v>
      </x:c>
      <x:c r="C319" s="63" t="str">
        <x:v>Diciembre</x:v>
      </x:c>
      <x:c r="D319" s="63" t="str">
        <x:v>T4</x:v>
      </x:c>
      <x:c r="E319" s="71" t="n">
        <x:v>46022</x:v>
      </x:c>
      <x:c r="F319" s="63" t="str">
        <x:v>Recursos y gestión financiera</x:v>
      </x:c>
      <x:c r="G319" s="63" t="str">
        <x:v>Planeación y recursos</x:v>
      </x:c>
      <x:c r="H319" s="63" t="str">
        <x:v>Exámenes médicos ocupacionales</x:v>
      </x:c>
      <x:c r="I319" s="63" t="str">
        <x:v>Servicio</x:v>
      </x:c>
      <x:c r="J319" s="63" t="str">
        <x:v>Alta</x:v>
      </x:c>
      <x:c r="K319" s="63" t="str">
        <x:v>Semestral</x:v>
      </x:c>
      <x:c r="L319" s="63" t="str">
        <x:v>Jornada</x:v>
      </x:c>
      <x:c r="M319" s="63" t="n">
        <x:v>2</x:v>
      </x:c>
      <x:c r="N319" s="63" t="str">
        <x:v>Coordinación SST</x:v>
      </x:c>
      <x:c r="O319" s="63" t="str">
        <x:v>Presupuesto SG-SST</x:v>
      </x:c>
      <x:c r="P319" s="63" t="str">
        <x:v>Orden de servicio, factura, concepto médico</x:v>
      </x:c>
      <x:c r="Q319" s="79" t="n">
        <x:v>66907</x:v>
      </x:c>
      <x:c r="R319" s="79" t="n">
        <x:v>62976</x:v>
      </x:c>
      <x:c r="S319" s="79" t="n">
        <x:v>-3931</x:v>
      </x:c>
      <x:c r="T319" s="75" t="n">
        <x:v>0.9412468052670124</x:v>
      </x:c>
      <x:c r="U319" s="63" t="str">
        <x:v>Parcial</x:v>
      </x:c>
      <x:c r="V319" s="63" t="str">
        <x:v>Actividad con ejecución parcial o cierre financiero pendiente.</x:v>
      </x:c>
      <x:c r="W319" s="47" t="str">
        <x:v>Corte anual cerrado</x:v>
      </x:c>
    </x:row>
    <x:row r="320" ht="18" customHeight="1">
      <x:c r="A320" s="46" t="n">
        <x:v>2025</x:v>
      </x:c>
      <x:c r="B320" s="63" t="n">
        <x:v>12</x:v>
      </x:c>
      <x:c r="C320" s="63" t="str">
        <x:v>Diciembre</x:v>
      </x:c>
      <x:c r="D320" s="63" t="str">
        <x:v>T4</x:v>
      </x:c>
      <x:c r="E320" s="71" t="n">
        <x:v>46022</x:v>
      </x:c>
      <x:c r="F320" s="63" t="str">
        <x:v>Gestión de contratistas</x:v>
      </x:c>
      <x:c r="G320" s="63" t="str">
        <x:v>Control de terceros</x:v>
      </x:c>
      <x:c r="H320" s="63" t="str">
        <x:v>Gestión SST de proveedores y contratistas</x:v>
      </x:c>
      <x:c r="I320" s="63" t="str">
        <x:v>Operativo</x:v>
      </x:c>
      <x:c r="J320" s="63" t="str">
        <x:v>Media</x:v>
      </x:c>
      <x:c r="K320" s="63" t="str">
        <x:v>Trimestral</x:v>
      </x:c>
      <x:c r="L320" s="63" t="str">
        <x:v>Ciclo</x:v>
      </x:c>
      <x:c r="M320" s="63" t="n">
        <x:v>4</x:v>
      </x:c>
      <x:c r="N320" s="63" t="str">
        <x:v>Compras / SST</x:v>
      </x:c>
      <x:c r="O320" s="63" t="str">
        <x:v>Presupuesto SG-SST</x:v>
      </x:c>
      <x:c r="P320" s="63" t="str">
        <x:v>Matriz de evaluación, soportes de contratistas</x:v>
      </x:c>
      <x:c r="Q320" s="79" t="n">
        <x:v>334540</x:v>
      </x:c>
      <x:c r="R320" s="79" t="n">
        <x:v>308182</x:v>
      </x:c>
      <x:c r="S320" s="79" t="n">
        <x:v>-26358</x:v>
      </x:c>
      <x:c r="T320" s="75" t="n">
        <x:v>0.9212112154002511</x:v>
      </x:c>
      <x:c r="U320" s="63" t="str">
        <x:v>Parcial</x:v>
      </x:c>
      <x:c r="V320" s="63" t="str">
        <x:v>Actividad con ejecución parcial o cierre financiero pendiente.</x:v>
      </x:c>
      <x:c r="W320" s="47" t="str">
        <x:v>Corte anual cerrado</x:v>
      </x:c>
    </x:row>
    <x:row r="321" ht="18" customHeight="1">
      <x:c r="A321" s="46" t="n">
        <x:v>2025</x:v>
      </x:c>
      <x:c r="B321" s="63" t="n">
        <x:v>12</x:v>
      </x:c>
      <x:c r="C321" s="63" t="str">
        <x:v>Diciembre</x:v>
      </x:c>
      <x:c r="D321" s="63" t="str">
        <x:v>T4</x:v>
      </x:c>
      <x:c r="E321" s="71" t="n">
        <x:v>46022</x:v>
      </x:c>
      <x:c r="F321" s="63" t="str">
        <x:v>Participación y consulta</x:v>
      </x:c>
      <x:c r="G321" s="63" t="str">
        <x:v>Comités de SST</x:v>
      </x:c>
      <x:c r="H321" s="63" t="str">
        <x:v>Gestión de COPASST y Comité de Convivencia</x:v>
      </x:c>
      <x:c r="I321" s="63" t="str">
        <x:v>Operativo</x:v>
      </x:c>
      <x:c r="J321" s="63" t="str">
        <x:v>Media</x:v>
      </x:c>
      <x:c r="K321" s="63" t="str">
        <x:v>Mensual</x:v>
      </x:c>
      <x:c r="L321" s="63" t="str">
        <x:v>Reunión</x:v>
      </x:c>
      <x:c r="M321" s="63" t="n">
        <x:v>12</x:v>
      </x:c>
      <x:c r="N321" s="63" t="str">
        <x:v>Talento Humano / SST</x:v>
      </x:c>
      <x:c r="O321" s="63" t="str">
        <x:v>Presupuesto SG-SST</x:v>
      </x:c>
      <x:c r="P321" s="63" t="str">
        <x:v>Acta, convocatoria, seguimiento compromisos</x:v>
      </x:c>
      <x:c r="Q321" s="79" t="n">
        <x:v>178420</x:v>
      </x:c>
      <x:c r="R321" s="79" t="n">
        <x:v>184857</x:v>
      </x:c>
      <x:c r="S321" s="79" t="n">
        <x:v>6437</x:v>
      </x:c>
      <x:c r="T321" s="75" t="n">
        <x:v>1.036077793969286</x:v>
      </x:c>
      <x:c r="U321" s="63" t="str">
        <x:v>Ejecutado</x:v>
      </x:c>
      <x:c r="V321" s="63" t="str">
        <x:v>Actividad ejecutada dentro del rango esperado.</x:v>
      </x:c>
      <x:c r="W321" s="47" t="str">
        <x:v>Corte anual cerrado</x:v>
      </x:c>
    </x:row>
    <x:row r="322" ht="18" customHeight="1">
      <x:c r="A322" s="46" t="n">
        <x:v>2025</x:v>
      </x:c>
      <x:c r="B322" s="63" t="n">
        <x:v>12</x:v>
      </x:c>
      <x:c r="C322" s="63" t="str">
        <x:v>Diciembre</x:v>
      </x:c>
      <x:c r="D322" s="63" t="str">
        <x:v>T4</x:v>
      </x:c>
      <x:c r="E322" s="71" t="n">
        <x:v>46022</x:v>
      </x:c>
      <x:c r="F322" s="63" t="str">
        <x:v>Higiene y seguridad industrial</x:v>
      </x:c>
      <x:c r="G322" s="63" t="str">
        <x:v>Inspecciones y control</x:v>
      </x:c>
      <x:c r="H322" s="63" t="str">
        <x:v>Inspecciones planeadas de seguridad</x:v>
      </x:c>
      <x:c r="I322" s="63" t="str">
        <x:v>Operativo</x:v>
      </x:c>
      <x:c r="J322" s="63" t="str">
        <x:v>Media</x:v>
      </x:c>
      <x:c r="K322" s="63" t="str">
        <x:v>Mensual</x:v>
      </x:c>
      <x:c r="L322" s="63" t="str">
        <x:v>Inspección</x:v>
      </x:c>
      <x:c r="M322" s="63" t="n">
        <x:v>12</x:v>
      </x:c>
      <x:c r="N322" s="63" t="str">
        <x:v>Inspector SST</x:v>
      </x:c>
      <x:c r="O322" s="63" t="str">
        <x:v>Presupuesto SG-SST</x:v>
      </x:c>
      <x:c r="P322" s="63" t="str">
        <x:v>Lista de chequeo, informe, evidencia fotográfica</x:v>
      </x:c>
      <x:c r="Q322" s="79" t="n">
        <x:v>301086</x:v>
      </x:c>
      <x:c r="R322" s="79" t="n">
        <x:v>286170</x:v>
      </x:c>
      <x:c r="S322" s="79" t="n">
        <x:v>-14916</x:v>
      </x:c>
      <x:c r="T322" s="75" t="n">
        <x:v>0.9504593371993384</x:v>
      </x:c>
      <x:c r="U322" s="63" t="str">
        <x:v>Parcial</x:v>
      </x:c>
      <x:c r="V322" s="63" t="str">
        <x:v>Actividad con ejecución parcial o cierre financiero pendiente.</x:v>
      </x:c>
      <x:c r="W322" s="47" t="str">
        <x:v>Corte anual cerrado</x:v>
      </x:c>
    </x:row>
    <x:row r="323" ht="18" customHeight="1">
      <x:c r="A323" s="46" t="n">
        <x:v>2025</x:v>
      </x:c>
      <x:c r="B323" s="63" t="n">
        <x:v>12</x:v>
      </x:c>
      <x:c r="C323" s="63" t="str">
        <x:v>Diciembre</x:v>
      </x:c>
      <x:c r="D323" s="63" t="str">
        <x:v>T4</x:v>
      </x:c>
      <x:c r="E323" s="71" t="n">
        <x:v>46022</x:v>
      </x:c>
      <x:c r="F323" s="63" t="str">
        <x:v>Mejora continua y cumplimiento</x:v>
      </x:c>
      <x:c r="G323" s="63" t="str">
        <x:v>Gestión de incidentes y mejora</x:v>
      </x:c>
      <x:c r="H323" s="63" t="str">
        <x:v>Investigación de AT/EL y acciones correctivas</x:v>
      </x:c>
      <x:c r="I323" s="63" t="str">
        <x:v>Operativo</x:v>
      </x:c>
      <x:c r="J323" s="63" t="str">
        <x:v>Media</x:v>
      </x:c>
      <x:c r="K323" s="63" t="str">
        <x:v>Mensual</x:v>
      </x:c>
      <x:c r="L323" s="63" t="str">
        <x:v>Seguimiento</x:v>
      </x:c>
      <x:c r="M323" s="63" t="n">
        <x:v>12</x:v>
      </x:c>
      <x:c r="N323" s="63" t="str">
        <x:v>SST / Jefes de área</x:v>
      </x:c>
      <x:c r="O323" s="63" t="str">
        <x:v>Presupuesto SG-SST</x:v>
      </x:c>
      <x:c r="P323" s="63" t="str">
        <x:v>Investigación, plan de acción, evidencia de cierre</x:v>
      </x:c>
      <x:c r="Q323" s="79" t="n">
        <x:v>278787</x:v>
      </x:c>
      <x:c r="R323" s="79" t="n">
        <x:v>253138</x:v>
      </x:c>
      <x:c r="S323" s="79" t="n">
        <x:v>-25649</x:v>
      </x:c>
      <x:c r="T323" s="75" t="n">
        <x:v>0.9079978621671743</x:v>
      </x:c>
      <x:c r="U323" s="63" t="str">
        <x:v>Parcial</x:v>
      </x:c>
      <x:c r="V323" s="63" t="str">
        <x:v>Actividad con ejecución parcial o cierre financiero pendiente.</x:v>
      </x:c>
      <x:c r="W323" s="47" t="str">
        <x:v>Corte anual cerrado</x:v>
      </x:c>
    </x:row>
    <x:row r="324" ht="18" customHeight="1">
      <x:c r="A324" s="46" t="n">
        <x:v>2025</x:v>
      </x:c>
      <x:c r="B324" s="63" t="n">
        <x:v>12</x:v>
      </x:c>
      <x:c r="C324" s="63" t="str">
        <x:v>Diciembre</x:v>
      </x:c>
      <x:c r="D324" s="63" t="str">
        <x:v>T4</x:v>
      </x:c>
      <x:c r="E324" s="71" t="n">
        <x:v>46022</x:v>
      </x:c>
      <x:c r="F324" s="63" t="str">
        <x:v>Emergencias e infraestructura</x:v>
      </x:c>
      <x:c r="G324" s="63" t="str">
        <x:v>Preparación y respuesta ante emergencias</x:v>
      </x:c>
      <x:c r="H324" s="63" t="str">
        <x:v>Mantenimiento de extintores, botiquines y equipos de emergencia</x:v>
      </x:c>
      <x:c r="I324" s="63" t="str">
        <x:v>Servicio</x:v>
      </x:c>
      <x:c r="J324" s="63" t="str">
        <x:v>Alta</x:v>
      </x:c>
      <x:c r="K324" s="63" t="str">
        <x:v>Bimestral / semestral</x:v>
      </x:c>
      <x:c r="L324" s="63" t="str">
        <x:v>Mantenimiento</x:v>
      </x:c>
      <x:c r="M324" s="63" t="n">
        <x:v>6</x:v>
      </x:c>
      <x:c r="N324" s="63" t="str">
        <x:v>Brigada / SST</x:v>
      </x:c>
      <x:c r="O324" s="63" t="str">
        <x:v>Presupuesto SG-SST</x:v>
      </x:c>
      <x:c r="P324" s="63" t="str">
        <x:v>Certificado, factura, hoja de vida del equipo</x:v>
      </x:c>
      <x:c r="Q324" s="79" t="n">
        <x:v>981321</x:v>
      </x:c>
      <x:c r="R324" s="79" t="n">
        <x:v>949353</x:v>
      </x:c>
      <x:c r="S324" s="79" t="n">
        <x:v>-31968</x:v>
      </x:c>
      <x:c r="T324" s="75" t="n">
        <x:v>0.9674235036241964</x:v>
      </x:c>
      <x:c r="U324" s="63" t="str">
        <x:v>Parcial</x:v>
      </x:c>
      <x:c r="V324" s="63" t="str">
        <x:v>Actividad con ejecución parcial o cierre financiero pendiente.</x:v>
      </x:c>
      <x:c r="W324" s="47" t="str">
        <x:v>Corte anual cerrado</x:v>
      </x:c>
    </x:row>
    <x:row r="325" ht="18" customHeight="1">
      <x:c r="A325" s="46" t="n">
        <x:v>2025</x:v>
      </x:c>
      <x:c r="B325" s="63" t="n">
        <x:v>12</x:v>
      </x:c>
      <x:c r="C325" s="63" t="str">
        <x:v>Diciembre</x:v>
      </x:c>
      <x:c r="D325" s="63" t="str">
        <x:v>T4</x:v>
      </x:c>
      <x:c r="E325" s="71" t="n">
        <x:v>46022</x:v>
      </x:c>
      <x:c r="F325" s="63" t="str">
        <x:v>Medicina preventiva y del trabajo</x:v>
      </x:c>
      <x:c r="G325" s="63" t="str">
        <x:v>Programas de vigilancia epidemiológica</x:v>
      </x:c>
      <x:c r="H325" s="63" t="str">
        <x:v>Programas de vigilancia epidemiológica y seguimiento médico</x:v>
      </x:c>
      <x:c r="I325" s="63" t="str">
        <x:v>Servicio</x:v>
      </x:c>
      <x:c r="J325" s="63" t="str">
        <x:v>Alta</x:v>
      </x:c>
      <x:c r="K325" s="63" t="str">
        <x:v>Mensual</x:v>
      </x:c>
      <x:c r="L325" s="63" t="str">
        <x:v>Seguimiento</x:v>
      </x:c>
      <x:c r="M325" s="63" t="n">
        <x:v>12</x:v>
      </x:c>
      <x:c r="N325" s="63" t="str">
        <x:v>Médico laboral / SST</x:v>
      </x:c>
      <x:c r="O325" s="63" t="str">
        <x:v>Presupuesto SG-SST</x:v>
      </x:c>
      <x:c r="P325" s="63" t="str">
        <x:v>Base de seguimiento, informe, remisiones</x:v>
      </x:c>
      <x:c r="Q325" s="79" t="n">
        <x:v>468354</x:v>
      </x:c>
      <x:c r="R325" s="79" t="n">
        <x:v>469335</x:v>
      </x:c>
      <x:c r="S325" s="79" t="n">
        <x:v>981</x:v>
      </x:c>
      <x:c r="T325" s="75" t="n">
        <x:v>1.0020945694923071</x:v>
      </x:c>
      <x:c r="U325" s="63" t="str">
        <x:v>Ejecutado</x:v>
      </x:c>
      <x:c r="V325" s="63" t="str">
        <x:v>Actividad ejecutada dentro del rango esperado.</x:v>
      </x:c>
      <x:c r="W325" s="47" t="str">
        <x:v>Corte anual cerrado</x:v>
      </x:c>
    </x:row>
    <x:row r="326" ht="18" customHeight="1">
      <x:c r="A326" s="46" t="n">
        <x:v>2026</x:v>
      </x:c>
      <x:c r="B326" s="63" t="n">
        <x:v>1</x:v>
      </x:c>
      <x:c r="C326" s="63" t="str">
        <x:v>Enero</x:v>
      </x:c>
      <x:c r="D326" s="63" t="str">
        <x:v>T1</x:v>
      </x:c>
      <x:c r="E326" s="71" t="n">
        <x:v>46053</x:v>
      </x:c>
      <x:c r="F326" s="63" t="str">
        <x:v>Capacitación y entrenamiento</x:v>
      </x:c>
      <x:c r="G326" s="63" t="str">
        <x:v>Plan anual de formación</x:v>
      </x:c>
      <x:c r="H326" s="63" t="str">
        <x:v>Capacitación y entrenamiento en SG-SST</x:v>
      </x:c>
      <x:c r="I326" s="63" t="str">
        <x:v>Operativo</x:v>
      </x:c>
      <x:c r="J326" s="63" t="str">
        <x:v>Alta</x:v>
      </x:c>
      <x:c r="K326" s="63" t="str">
        <x:v>Mensual</x:v>
      </x:c>
      <x:c r="L326" s="63" t="str">
        <x:v>Jornada</x:v>
      </x:c>
      <x:c r="M326" s="63" t="n">
        <x:v>12</x:v>
      </x:c>
      <x:c r="N326" s="63" t="str">
        <x:v>Coordinación SST</x:v>
      </x:c>
      <x:c r="O326" s="63" t="str">
        <x:v>Presupuesto SG-SST</x:v>
      </x:c>
      <x:c r="P326" s="63" t="str">
        <x:v>Lista de asistencia, evaluación, acta</x:v>
      </x:c>
      <x:c r="Q326" s="79" t="n">
        <x:v>468804</x:v>
      </x:c>
      <x:c r="R326" s="79" t="n">
        <x:v>452759</x:v>
      </x:c>
      <x:c r="S326" s="79" t="n">
        <x:v>-16045</x:v>
      </x:c>
      <x:c r="T326" s="75" t="n">
        <x:v>0.9657746094316602</x:v>
      </x:c>
      <x:c r="U326" s="63" t="str">
        <x:v>Parcial</x:v>
      </x:c>
      <x:c r="V326" s="63" t="str">
        <x:v>Actividad con ejecución parcial o cierre financiero pendiente.</x:v>
      </x:c>
      <x:c r="W326" s="47" t="str">
        <x:v>Información a corte de mayo de 2026</x:v>
      </x:c>
    </x:row>
    <x:row r="327" ht="18" customHeight="1">
      <x:c r="A327" s="46" t="n">
        <x:v>2026</x:v>
      </x:c>
      <x:c r="B327" s="63" t="n">
        <x:v>1</x:v>
      </x:c>
      <x:c r="C327" s="63" t="str">
        <x:v>Enero</x:v>
      </x:c>
      <x:c r="D327" s="63" t="str">
        <x:v>T1</x:v>
      </x:c>
      <x:c r="E327" s="71" t="n">
        <x:v>46053</x:v>
      </x:c>
      <x:c r="F327" s="63" t="str">
        <x:v>Higiene y seguridad industrial</x:v>
      </x:c>
      <x:c r="G327" s="63" t="str">
        <x:v>Dotación y control operacional</x:v>
      </x:c>
      <x:c r="H327" s="63" t="str">
        <x:v>Dotación y reposición de EPP</x:v>
      </x:c>
      <x:c r="I327" s="63" t="str">
        <x:v>Operativo</x:v>
      </x:c>
      <x:c r="J327" s="63" t="str">
        <x:v>Alta</x:v>
      </x:c>
      <x:c r="K327" s="63" t="str">
        <x:v>Bimestral / trimestral</x:v>
      </x:c>
      <x:c r="L327" s="63" t="str">
        <x:v>Entrega</x:v>
      </x:c>
      <x:c r="M327" s="63" t="n">
        <x:v>6</x:v>
      </x:c>
      <x:c r="N327" s="63" t="str">
        <x:v>Coordinación SST / Compras</x:v>
      </x:c>
      <x:c r="O327" s="63" t="str">
        <x:v>Presupuesto SG-SST</x:v>
      </x:c>
      <x:c r="P327" s="63" t="str">
        <x:v>Formato de entrega, factura, remisión</x:v>
      </x:c>
      <x:c r="Q327" s="79" t="n">
        <x:v>2461218</x:v>
      </x:c>
      <x:c r="R327" s="79" t="n">
        <x:v>2245824</x:v>
      </x:c>
      <x:c r="S327" s="79" t="n">
        <x:v>-215394</x:v>
      </x:c>
      <x:c r="T327" s="75" t="n">
        <x:v>0.9124847941141337</x:v>
      </x:c>
      <x:c r="U327" s="63" t="str">
        <x:v>Parcial</x:v>
      </x:c>
      <x:c r="V327" s="63" t="str">
        <x:v>Actividad con ejecución parcial o cierre financiero pendiente.</x:v>
      </x:c>
      <x:c r="W327" s="47" t="str">
        <x:v>Información a corte de mayo de 2026</x:v>
      </x:c>
    </x:row>
    <x:row r="328" ht="18" customHeight="1">
      <x:c r="A328" s="46" t="n">
        <x:v>2026</x:v>
      </x:c>
      <x:c r="B328" s="63" t="n">
        <x:v>1</x:v>
      </x:c>
      <x:c r="C328" s="63" t="str">
        <x:v>Enero</x:v>
      </x:c>
      <x:c r="D328" s="63" t="str">
        <x:v>T1</x:v>
      </x:c>
      <x:c r="E328" s="71" t="n">
        <x:v>46053</x:v>
      </x:c>
      <x:c r="F328" s="63" t="str">
        <x:v>Recursos y gestión financiera</x:v>
      </x:c>
      <x:c r="G328" s="63" t="str">
        <x:v>Planeación y recursos</x:v>
      </x:c>
      <x:c r="H328" s="63" t="str">
        <x:v>Exámenes médicos ocupacionales</x:v>
      </x:c>
      <x:c r="I328" s="63" t="str">
        <x:v>Servicio</x:v>
      </x:c>
      <x:c r="J328" s="63" t="str">
        <x:v>Alta</x:v>
      </x:c>
      <x:c r="K328" s="63" t="str">
        <x:v>Semestral</x:v>
      </x:c>
      <x:c r="L328" s="63" t="str">
        <x:v>Jornada</x:v>
      </x:c>
      <x:c r="M328" s="63" t="n">
        <x:v>2</x:v>
      </x:c>
      <x:c r="N328" s="63" t="str">
        <x:v>Coordinación SST</x:v>
      </x:c>
      <x:c r="O328" s="63" t="str">
        <x:v>Presupuesto SG-SST</x:v>
      </x:c>
      <x:c r="P328" s="63" t="str">
        <x:v>Orden de servicio, factura, concepto médico</x:v>
      </x:c>
      <x:c r="Q328" s="79" t="n">
        <x:v>1265770</x:v>
      </x:c>
      <x:c r="R328" s="79" t="n">
        <x:v>1242144</x:v>
      </x:c>
      <x:c r="S328" s="79" t="n">
        <x:v>-23626</x:v>
      </x:c>
      <x:c r="T328" s="75" t="n">
        <x:v>0.9813346816562251</x:v>
      </x:c>
      <x:c r="U328" s="63" t="str">
        <x:v>Ejecutado</x:v>
      </x:c>
      <x:c r="V328" s="63" t="str">
        <x:v>Actividad ejecutada dentro del rango esperado.</x:v>
      </x:c>
      <x:c r="W328" s="47" t="str">
        <x:v>Información a corte de mayo de 2026</x:v>
      </x:c>
    </x:row>
    <x:row r="329" ht="18" customHeight="1">
      <x:c r="A329" s="46" t="n">
        <x:v>2026</x:v>
      </x:c>
      <x:c r="B329" s="63" t="n">
        <x:v>1</x:v>
      </x:c>
      <x:c r="C329" s="63" t="str">
        <x:v>Enero</x:v>
      </x:c>
      <x:c r="D329" s="63" t="str">
        <x:v>T1</x:v>
      </x:c>
      <x:c r="E329" s="71" t="n">
        <x:v>46053</x:v>
      </x:c>
      <x:c r="F329" s="63" t="str">
        <x:v>Gestión de contratistas</x:v>
      </x:c>
      <x:c r="G329" s="63" t="str">
        <x:v>Control de terceros</x:v>
      </x:c>
      <x:c r="H329" s="63" t="str">
        <x:v>Gestión SST de proveedores y contratistas</x:v>
      </x:c>
      <x:c r="I329" s="63" t="str">
        <x:v>Operativo</x:v>
      </x:c>
      <x:c r="J329" s="63" t="str">
        <x:v>Media</x:v>
      </x:c>
      <x:c r="K329" s="63" t="str">
        <x:v>Trimestral</x:v>
      </x:c>
      <x:c r="L329" s="63" t="str">
        <x:v>Ciclo</x:v>
      </x:c>
      <x:c r="M329" s="63" t="n">
        <x:v>4</x:v>
      </x:c>
      <x:c r="N329" s="63" t="str">
        <x:v>Compras / SST</x:v>
      </x:c>
      <x:c r="O329" s="63" t="str">
        <x:v>Presupuesto SG-SST</x:v>
      </x:c>
      <x:c r="P329" s="63" t="str">
        <x:v>Matriz de evaluación, soportes de contratistas</x:v>
      </x:c>
      <x:c r="Q329" s="79" t="n">
        <x:v>527404</x:v>
      </x:c>
      <x:c r="R329" s="79" t="n">
        <x:v>477797</x:v>
      </x:c>
      <x:c r="S329" s="79" t="n">
        <x:v>-49607</x:v>
      </x:c>
      <x:c r="T329" s="75" t="n">
        <x:v>0.9059411760244518</x:v>
      </x:c>
      <x:c r="U329" s="63" t="str">
        <x:v>Parcial</x:v>
      </x:c>
      <x:c r="V329" s="63" t="str">
        <x:v>Actividad con ejecución parcial o cierre financiero pendiente.</x:v>
      </x:c>
      <x:c r="W329" s="47" t="str">
        <x:v>Información a corte de mayo de 2026</x:v>
      </x:c>
    </x:row>
    <x:row r="330" ht="18" customHeight="1">
      <x:c r="A330" s="46" t="n">
        <x:v>2026</x:v>
      </x:c>
      <x:c r="B330" s="63" t="n">
        <x:v>1</x:v>
      </x:c>
      <x:c r="C330" s="63" t="str">
        <x:v>Enero</x:v>
      </x:c>
      <x:c r="D330" s="63" t="str">
        <x:v>T1</x:v>
      </x:c>
      <x:c r="E330" s="71" t="n">
        <x:v>46053</x:v>
      </x:c>
      <x:c r="F330" s="63" t="str">
        <x:v>Participación y consulta</x:v>
      </x:c>
      <x:c r="G330" s="63" t="str">
        <x:v>Comités de SST</x:v>
      </x:c>
      <x:c r="H330" s="63" t="str">
        <x:v>Gestión de COPASST y Comité de Convivencia</x:v>
      </x:c>
      <x:c r="I330" s="63" t="str">
        <x:v>Operativo</x:v>
      </x:c>
      <x:c r="J330" s="63" t="str">
        <x:v>Media</x:v>
      </x:c>
      <x:c r="K330" s="63" t="str">
        <x:v>Mensual</x:v>
      </x:c>
      <x:c r="L330" s="63" t="str">
        <x:v>Reunión</x:v>
      </x:c>
      <x:c r="M330" s="63" t="n">
        <x:v>12</x:v>
      </x:c>
      <x:c r="N330" s="63" t="str">
        <x:v>Talento Humano / SST</x:v>
      </x:c>
      <x:c r="O330" s="63" t="str">
        <x:v>Presupuesto SG-SST</x:v>
      </x:c>
      <x:c r="P330" s="63" t="str">
        <x:v>Acta, convocatoria, seguimiento compromisos</x:v>
      </x:c>
      <x:c r="Q330" s="79" t="n">
        <x:v>187521</x:v>
      </x:c>
      <x:c r="R330" s="79" t="n">
        <x:v>173599</x:v>
      </x:c>
      <x:c r="S330" s="79" t="n">
        <x:v>-13922</x:v>
      </x:c>
      <x:c r="T330" s="75" t="n">
        <x:v>0.9257576484767039</x:v>
      </x:c>
      <x:c r="U330" s="63" t="str">
        <x:v>Parcial</x:v>
      </x:c>
      <x:c r="V330" s="63" t="str">
        <x:v>Actividad con ejecución parcial o cierre financiero pendiente.</x:v>
      </x:c>
      <x:c r="W330" s="47" t="str">
        <x:v>Información a corte de mayo de 2026</x:v>
      </x:c>
    </x:row>
    <x:row r="331" ht="18" customHeight="1">
      <x:c r="A331" s="46" t="n">
        <x:v>2026</x:v>
      </x:c>
      <x:c r="B331" s="63" t="n">
        <x:v>1</x:v>
      </x:c>
      <x:c r="C331" s="63" t="str">
        <x:v>Enero</x:v>
      </x:c>
      <x:c r="D331" s="63" t="str">
        <x:v>T1</x:v>
      </x:c>
      <x:c r="E331" s="71" t="n">
        <x:v>46053</x:v>
      </x:c>
      <x:c r="F331" s="63" t="str">
        <x:v>Higiene y seguridad industrial</x:v>
      </x:c>
      <x:c r="G331" s="63" t="str">
        <x:v>Inspecciones y control</x:v>
      </x:c>
      <x:c r="H331" s="63" t="str">
        <x:v>Inspecciones planeadas de seguridad</x:v>
      </x:c>
      <x:c r="I331" s="63" t="str">
        <x:v>Operativo</x:v>
      </x:c>
      <x:c r="J331" s="63" t="str">
        <x:v>Media</x:v>
      </x:c>
      <x:c r="K331" s="63" t="str">
        <x:v>Mensual</x:v>
      </x:c>
      <x:c r="L331" s="63" t="str">
        <x:v>Inspección</x:v>
      </x:c>
      <x:c r="M331" s="63" t="n">
        <x:v>12</x:v>
      </x:c>
      <x:c r="N331" s="63" t="str">
        <x:v>Inspector SST</x:v>
      </x:c>
      <x:c r="O331" s="63" t="str">
        <x:v>Presupuesto SG-SST</x:v>
      </x:c>
      <x:c r="P331" s="63" t="str">
        <x:v>Lista de chequeo, informe, evidencia fotográfica</x:v>
      </x:c>
      <x:c r="Q331" s="79" t="n">
        <x:v>316442</x:v>
      </x:c>
      <x:c r="R331" s="79" t="n">
        <x:v>285591</x:v>
      </x:c>
      <x:c r="S331" s="79" t="n">
        <x:v>-30851</x:v>
      </x:c>
      <x:c r="T331" s="75" t="n">
        <x:v>0.9025066204865346</x:v>
      </x:c>
      <x:c r="U331" s="63" t="str">
        <x:v>Parcial</x:v>
      </x:c>
      <x:c r="V331" s="63" t="str">
        <x:v>Actividad con ejecución parcial o cierre financiero pendiente.</x:v>
      </x:c>
      <x:c r="W331" s="47" t="str">
        <x:v>Información a corte de mayo de 2026</x:v>
      </x:c>
    </x:row>
    <x:row r="332" ht="18" customHeight="1">
      <x:c r="A332" s="46" t="n">
        <x:v>2026</x:v>
      </x:c>
      <x:c r="B332" s="63" t="n">
        <x:v>1</x:v>
      </x:c>
      <x:c r="C332" s="63" t="str">
        <x:v>Enero</x:v>
      </x:c>
      <x:c r="D332" s="63" t="str">
        <x:v>T1</x:v>
      </x:c>
      <x:c r="E332" s="71" t="n">
        <x:v>46053</x:v>
      </x:c>
      <x:c r="F332" s="63" t="str">
        <x:v>Mejora continua y cumplimiento</x:v>
      </x:c>
      <x:c r="G332" s="63" t="str">
        <x:v>Gestión de incidentes y mejora</x:v>
      </x:c>
      <x:c r="H332" s="63" t="str">
        <x:v>Investigación de AT/EL y acciones correctivas</x:v>
      </x:c>
      <x:c r="I332" s="63" t="str">
        <x:v>Operativo</x:v>
      </x:c>
      <x:c r="J332" s="63" t="str">
        <x:v>Media</x:v>
      </x:c>
      <x:c r="K332" s="63" t="str">
        <x:v>Mensual</x:v>
      </x:c>
      <x:c r="L332" s="63" t="str">
        <x:v>Seguimiento</x:v>
      </x:c>
      <x:c r="M332" s="63" t="n">
        <x:v>12</x:v>
      </x:c>
      <x:c r="N332" s="63" t="str">
        <x:v>SST / Jefes de área</x:v>
      </x:c>
      <x:c r="O332" s="63" t="str">
        <x:v>Presupuesto SG-SST</x:v>
      </x:c>
      <x:c r="P332" s="63" t="str">
        <x:v>Investigación, plan de acción, evidencia de cierre</x:v>
      </x:c>
      <x:c r="Q332" s="79" t="n">
        <x:v>234402</x:v>
      </x:c>
      <x:c r="R332" s="79" t="n">
        <x:v>239104</x:v>
      </x:c>
      <x:c r="S332" s="79" t="n">
        <x:v>4702</x:v>
      </x:c>
      <x:c r="T332" s="75" t="n">
        <x:v>1.0200595558058378</x:v>
      </x:c>
      <x:c r="U332" s="63" t="str">
        <x:v>Ejecutado</x:v>
      </x:c>
      <x:c r="V332" s="63" t="str">
        <x:v>Actividad ejecutada dentro del rango esperado.</x:v>
      </x:c>
      <x:c r="W332" s="47" t="str">
        <x:v>Información a corte de mayo de 2026</x:v>
      </x:c>
    </x:row>
    <x:row r="333" ht="18" customHeight="1">
      <x:c r="A333" s="46" t="n">
        <x:v>2026</x:v>
      </x:c>
      <x:c r="B333" s="63" t="n">
        <x:v>1</x:v>
      </x:c>
      <x:c r="C333" s="63" t="str">
        <x:v>Enero</x:v>
      </x:c>
      <x:c r="D333" s="63" t="str">
        <x:v>T1</x:v>
      </x:c>
      <x:c r="E333" s="71" t="n">
        <x:v>46053</x:v>
      </x:c>
      <x:c r="F333" s="63" t="str">
        <x:v>Emergencias e infraestructura</x:v>
      </x:c>
      <x:c r="G333" s="63" t="str">
        <x:v>Preparación y respuesta ante emergencias</x:v>
      </x:c>
      <x:c r="H333" s="63" t="str">
        <x:v>Mantenimiento de extintores, botiquines y equipos de emergencia</x:v>
      </x:c>
      <x:c r="I333" s="63" t="str">
        <x:v>Servicio</x:v>
      </x:c>
      <x:c r="J333" s="63" t="str">
        <x:v>Alta</x:v>
      </x:c>
      <x:c r="K333" s="63" t="str">
        <x:v>Bimestral / semestral</x:v>
      </x:c>
      <x:c r="L333" s="63" t="str">
        <x:v>Mantenimiento</x:v>
      </x:c>
      <x:c r="M333" s="63" t="n">
        <x:v>6</x:v>
      </x:c>
      <x:c r="N333" s="63" t="str">
        <x:v>Brigada / SST</x:v>
      </x:c>
      <x:c r="O333" s="63" t="str">
        <x:v>Presupuesto SG-SST</x:v>
      </x:c>
      <x:c r="P333" s="63" t="str">
        <x:v>Certificado, factura, hoja de vida del equipo</x:v>
      </x:c>
      <x:c r="Q333" s="79" t="n">
        <x:v>843846</x:v>
      </x:c>
      <x:c r="R333" s="79" t="n">
        <x:v>822261</x:v>
      </x:c>
      <x:c r="S333" s="79" t="n">
        <x:v>-21585</x:v>
      </x:c>
      <x:c r="T333" s="75" t="n">
        <x:v>0.9744206881350389</x:v>
      </x:c>
      <x:c r="U333" s="63" t="str">
        <x:v>Parcial</x:v>
      </x:c>
      <x:c r="V333" s="63" t="str">
        <x:v>Actividad con ejecución parcial o cierre financiero pendiente.</x:v>
      </x:c>
      <x:c r="W333" s="47" t="str">
        <x:v>Información a corte de mayo de 2026</x:v>
      </x:c>
    </x:row>
    <x:row r="334" ht="18" customHeight="1">
      <x:c r="A334" s="46" t="n">
        <x:v>2026</x:v>
      </x:c>
      <x:c r="B334" s="63" t="n">
        <x:v>1</x:v>
      </x:c>
      <x:c r="C334" s="63" t="str">
        <x:v>Enero</x:v>
      </x:c>
      <x:c r="D334" s="63" t="str">
        <x:v>T1</x:v>
      </x:c>
      <x:c r="E334" s="71" t="n">
        <x:v>46053</x:v>
      </x:c>
      <x:c r="F334" s="63" t="str">
        <x:v>Medicina preventiva y del trabajo</x:v>
      </x:c>
      <x:c r="G334" s="63" t="str">
        <x:v>Programas de vigilancia epidemiológica</x:v>
      </x:c>
      <x:c r="H334" s="63" t="str">
        <x:v>Programas de vigilancia epidemiológica y seguimiento médico</x:v>
      </x:c>
      <x:c r="I334" s="63" t="str">
        <x:v>Servicio</x:v>
      </x:c>
      <x:c r="J334" s="63" t="str">
        <x:v>Alta</x:v>
      </x:c>
      <x:c r="K334" s="63" t="str">
        <x:v>Mensual</x:v>
      </x:c>
      <x:c r="L334" s="63" t="str">
        <x:v>Seguimiento</x:v>
      </x:c>
      <x:c r="M334" s="63" t="n">
        <x:v>12</x:v>
      </x:c>
      <x:c r="N334" s="63" t="str">
        <x:v>Médico laboral / SST</x:v>
      </x:c>
      <x:c r="O334" s="63" t="str">
        <x:v>Presupuesto SG-SST</x:v>
      </x:c>
      <x:c r="P334" s="63" t="str">
        <x:v>Base de seguimiento, informe, remisiones</x:v>
      </x:c>
      <x:c r="Q334" s="79" t="n">
        <x:v>820406</x:v>
      </x:c>
      <x:c r="R334" s="79" t="n">
        <x:v>770866</x:v>
      </x:c>
      <x:c r="S334" s="79" t="n">
        <x:v>-49540</x:v>
      </x:c>
      <x:c r="T334" s="75" t="n">
        <x:v>0.939615263662138</x:v>
      </x:c>
      <x:c r="U334" s="63" t="str">
        <x:v>Parcial</x:v>
      </x:c>
      <x:c r="V334" s="63" t="str">
        <x:v>Actividad con ejecución parcial o cierre financiero pendiente.</x:v>
      </x:c>
      <x:c r="W334" s="47" t="str">
        <x:v>Información a corte de mayo de 2026</x:v>
      </x:c>
    </x:row>
    <x:row r="335" ht="18" customHeight="1">
      <x:c r="A335" s="46" t="n">
        <x:v>2026</x:v>
      </x:c>
      <x:c r="B335" s="63" t="n">
        <x:v>2</x:v>
      </x:c>
      <x:c r="C335" s="63" t="str">
        <x:v>Febrero</x:v>
      </x:c>
      <x:c r="D335" s="63" t="str">
        <x:v>T1</x:v>
      </x:c>
      <x:c r="E335" s="71" t="n">
        <x:v>46081</x:v>
      </x:c>
      <x:c r="F335" s="63" t="str">
        <x:v>Capacitación y entrenamiento</x:v>
      </x:c>
      <x:c r="G335" s="63" t="str">
        <x:v>Plan anual de formación</x:v>
      </x:c>
      <x:c r="H335" s="63" t="str">
        <x:v>Capacitación y entrenamiento en SG-SST</x:v>
      </x:c>
      <x:c r="I335" s="63" t="str">
        <x:v>Operativo</x:v>
      </x:c>
      <x:c r="J335" s="63" t="str">
        <x:v>Alta</x:v>
      </x:c>
      <x:c r="K335" s="63" t="str">
        <x:v>Mensual</x:v>
      </x:c>
      <x:c r="L335" s="63" t="str">
        <x:v>Jornada</x:v>
      </x:c>
      <x:c r="M335" s="63" t="n">
        <x:v>12</x:v>
      </x:c>
      <x:c r="N335" s="63" t="str">
        <x:v>Coordinación SST</x:v>
      </x:c>
      <x:c r="O335" s="63" t="str">
        <x:v>Presupuesto SG-SST</x:v>
      </x:c>
      <x:c r="P335" s="63" t="str">
        <x:v>Lista de asistencia, evaluación, acta</x:v>
      </x:c>
      <x:c r="Q335" s="79" t="n">
        <x:v>468804</x:v>
      </x:c>
      <x:c r="R335" s="79" t="n">
        <x:v>430468</x:v>
      </x:c>
      <x:c r="S335" s="79" t="n">
        <x:v>-38336</x:v>
      </x:c>
      <x:c r="T335" s="75" t="n">
        <x:v>0.9182259537034667</x:v>
      </x:c>
      <x:c r="U335" s="63" t="str">
        <x:v>Parcial</x:v>
      </x:c>
      <x:c r="V335" s="63" t="str">
        <x:v>Actividad con ejecución parcial o cierre financiero pendiente.</x:v>
      </x:c>
      <x:c r="W335" s="47" t="str">
        <x:v>Información a corte de mayo de 2026</x:v>
      </x:c>
    </x:row>
    <x:row r="336" ht="18" customHeight="1">
      <x:c r="A336" s="46" t="n">
        <x:v>2026</x:v>
      </x:c>
      <x:c r="B336" s="63" t="n">
        <x:v>2</x:v>
      </x:c>
      <x:c r="C336" s="63" t="str">
        <x:v>Febrero</x:v>
      </x:c>
      <x:c r="D336" s="63" t="str">
        <x:v>T1</x:v>
      </x:c>
      <x:c r="E336" s="71" t="n">
        <x:v>46081</x:v>
      </x:c>
      <x:c r="F336" s="63" t="str">
        <x:v>Recursos y gestión financiera</x:v>
      </x:c>
      <x:c r="G336" s="63" t="str">
        <x:v>Planeación y recursos</x:v>
      </x:c>
      <x:c r="H336" s="63" t="str">
        <x:v>Exámenes médicos ocupacionales</x:v>
      </x:c>
      <x:c r="I336" s="63" t="str">
        <x:v>Servicio</x:v>
      </x:c>
      <x:c r="J336" s="63" t="str">
        <x:v>Alta</x:v>
      </x:c>
      <x:c r="K336" s="63" t="str">
        <x:v>Semestral</x:v>
      </x:c>
      <x:c r="L336" s="63" t="str">
        <x:v>Jornada</x:v>
      </x:c>
      <x:c r="M336" s="63" t="n">
        <x:v>2</x:v>
      </x:c>
      <x:c r="N336" s="63" t="str">
        <x:v>Coordinación SST</x:v>
      </x:c>
      <x:c r="O336" s="63" t="str">
        <x:v>Presupuesto SG-SST</x:v>
      </x:c>
      <x:c r="P336" s="63" t="str">
        <x:v>Orden de servicio, factura, concepto médico</x:v>
      </x:c>
      <x:c r="Q336" s="79" t="n">
        <x:v>1547052</x:v>
      </x:c>
      <x:c r="R336" s="79" t="n">
        <x:v>1510255</x:v>
      </x:c>
      <x:c r="S336" s="79" t="n">
        <x:v>-36797</x:v>
      </x:c>
      <x:c r="T336" s="75" t="n">
        <x:v>0.9762147620118781</x:v>
      </x:c>
      <x:c r="U336" s="63" t="str">
        <x:v>Parcial</x:v>
      </x:c>
      <x:c r="V336" s="63" t="str">
        <x:v>Actividad con ejecución parcial o cierre financiero pendiente.</x:v>
      </x:c>
      <x:c r="W336" s="47" t="str">
        <x:v>Información a corte de mayo de 2026</x:v>
      </x:c>
    </x:row>
    <x:row r="337" ht="18" customHeight="1">
      <x:c r="A337" s="46" t="n">
        <x:v>2026</x:v>
      </x:c>
      <x:c r="B337" s="63" t="n">
        <x:v>2</x:v>
      </x:c>
      <x:c r="C337" s="63" t="str">
        <x:v>Febrero</x:v>
      </x:c>
      <x:c r="D337" s="63" t="str">
        <x:v>T1</x:v>
      </x:c>
      <x:c r="E337" s="71" t="n">
        <x:v>46081</x:v>
      </x:c>
      <x:c r="F337" s="63" t="str">
        <x:v>Participación y consulta</x:v>
      </x:c>
      <x:c r="G337" s="63" t="str">
        <x:v>Comités de SST</x:v>
      </x:c>
      <x:c r="H337" s="63" t="str">
        <x:v>Gestión de COPASST y Comité de Convivencia</x:v>
      </x:c>
      <x:c r="I337" s="63" t="str">
        <x:v>Operativo</x:v>
      </x:c>
      <x:c r="J337" s="63" t="str">
        <x:v>Media</x:v>
      </x:c>
      <x:c r="K337" s="63" t="str">
        <x:v>Mensual</x:v>
      </x:c>
      <x:c r="L337" s="63" t="str">
        <x:v>Reunión</x:v>
      </x:c>
      <x:c r="M337" s="63" t="n">
        <x:v>12</x:v>
      </x:c>
      <x:c r="N337" s="63" t="str">
        <x:v>Talento Humano / SST</x:v>
      </x:c>
      <x:c r="O337" s="63" t="str">
        <x:v>Presupuesto SG-SST</x:v>
      </x:c>
      <x:c r="P337" s="63" t="str">
        <x:v>Acta, convocatoria, seguimiento compromisos</x:v>
      </x:c>
      <x:c r="Q337" s="79" t="n">
        <x:v>187521</x:v>
      </x:c>
      <x:c r="R337" s="79" t="n">
        <x:v>164988</x:v>
      </x:c>
      <x:c r="S337" s="79" t="n">
        <x:v>-22533</x:v>
      </x:c>
      <x:c r="T337" s="75" t="n">
        <x:v>0.8798374582046811</x:v>
      </x:c>
      <x:c r="U337" s="63" t="str">
        <x:v>Parcial</x:v>
      </x:c>
      <x:c r="V337" s="63" t="str">
        <x:v>Actividad con ejecución parcial o cierre financiero pendiente.</x:v>
      </x:c>
      <x:c r="W337" s="47" t="str">
        <x:v>Información a corte de mayo de 2026</x:v>
      </x:c>
    </x:row>
    <x:row r="338" ht="18" customHeight="1">
      <x:c r="A338" s="46" t="n">
        <x:v>2026</x:v>
      </x:c>
      <x:c r="B338" s="63" t="n">
        <x:v>2</x:v>
      </x:c>
      <x:c r="C338" s="63" t="str">
        <x:v>Febrero</x:v>
      </x:c>
      <x:c r="D338" s="63" t="str">
        <x:v>T1</x:v>
      </x:c>
      <x:c r="E338" s="71" t="n">
        <x:v>46081</x:v>
      </x:c>
      <x:c r="F338" s="63" t="str">
        <x:v>Higiene y seguridad industrial</x:v>
      </x:c>
      <x:c r="G338" s="63" t="str">
        <x:v>Inspecciones y control</x:v>
      </x:c>
      <x:c r="H338" s="63" t="str">
        <x:v>Inspecciones planeadas de seguridad</x:v>
      </x:c>
      <x:c r="I338" s="63" t="str">
        <x:v>Operativo</x:v>
      </x:c>
      <x:c r="J338" s="63" t="str">
        <x:v>Media</x:v>
      </x:c>
      <x:c r="K338" s="63" t="str">
        <x:v>Mensual</x:v>
      </x:c>
      <x:c r="L338" s="63" t="str">
        <x:v>Inspección</x:v>
      </x:c>
      <x:c r="M338" s="63" t="n">
        <x:v>12</x:v>
      </x:c>
      <x:c r="N338" s="63" t="str">
        <x:v>Inspector SST</x:v>
      </x:c>
      <x:c r="O338" s="63" t="str">
        <x:v>Presupuesto SG-SST</x:v>
      </x:c>
      <x:c r="P338" s="63" t="str">
        <x:v>Lista de chequeo, informe, evidencia fotográfica</x:v>
      </x:c>
      <x:c r="Q338" s="79" t="n">
        <x:v>281282</x:v>
      </x:c>
      <x:c r="R338" s="79" t="n">
        <x:v>273647</x:v>
      </x:c>
      <x:c r="S338" s="79" t="n">
        <x:v>-7635</x:v>
      </x:c>
      <x:c r="T338" s="75" t="n">
        <x:v>0.9728564216693567</x:v>
      </x:c>
      <x:c r="U338" s="63" t="str">
        <x:v>Parcial</x:v>
      </x:c>
      <x:c r="V338" s="63" t="str">
        <x:v>Actividad con ejecución parcial o cierre financiero pendiente.</x:v>
      </x:c>
      <x:c r="W338" s="47" t="str">
        <x:v>Información a corte de mayo de 2026</x:v>
      </x:c>
    </x:row>
    <x:row r="339" ht="18" customHeight="1">
      <x:c r="A339" s="46" t="n">
        <x:v>2026</x:v>
      </x:c>
      <x:c r="B339" s="63" t="n">
        <x:v>2</x:v>
      </x:c>
      <x:c r="C339" s="63" t="str">
        <x:v>Febrero</x:v>
      </x:c>
      <x:c r="D339" s="63" t="str">
        <x:v>T1</x:v>
      </x:c>
      <x:c r="E339" s="71" t="n">
        <x:v>46081</x:v>
      </x:c>
      <x:c r="F339" s="63" t="str">
        <x:v>Mejora continua y cumplimiento</x:v>
      </x:c>
      <x:c r="G339" s="63" t="str">
        <x:v>Gestión de incidentes y mejora</x:v>
      </x:c>
      <x:c r="H339" s="63" t="str">
        <x:v>Investigación de AT/EL y acciones correctivas</x:v>
      </x:c>
      <x:c r="I339" s="63" t="str">
        <x:v>Operativo</x:v>
      </x:c>
      <x:c r="J339" s="63" t="str">
        <x:v>Media</x:v>
      </x:c>
      <x:c r="K339" s="63" t="str">
        <x:v>Mensual</x:v>
      </x:c>
      <x:c r="L339" s="63" t="str">
        <x:v>Seguimiento</x:v>
      </x:c>
      <x:c r="M339" s="63" t="n">
        <x:v>12</x:v>
      </x:c>
      <x:c r="N339" s="63" t="str">
        <x:v>SST / Jefes de área</x:v>
      </x:c>
      <x:c r="O339" s="63" t="str">
        <x:v>Presupuesto SG-SST</x:v>
      </x:c>
      <x:c r="P339" s="63" t="str">
        <x:v>Investigación, plan de acción, evidencia de cierre</x:v>
      </x:c>
      <x:c r="Q339" s="79" t="n">
        <x:v>234402</x:v>
      </x:c>
      <x:c r="R339" s="79" t="n">
        <x:v>224447</x:v>
      </x:c>
      <x:c r="S339" s="79" t="n">
        <x:v>-9955</x:v>
      </x:c>
      <x:c r="T339" s="75" t="n">
        <x:v>0.9575302258513153</x:v>
      </x:c>
      <x:c r="U339" s="63" t="str">
        <x:v>Parcial</x:v>
      </x:c>
      <x:c r="V339" s="63" t="str">
        <x:v>Actividad con ejecución parcial o cierre financiero pendiente.</x:v>
      </x:c>
      <x:c r="W339" s="47" t="str">
        <x:v>Información a corte de mayo de 2026</x:v>
      </x:c>
    </x:row>
    <x:row r="340" ht="18" customHeight="1">
      <x:c r="A340" s="46" t="n">
        <x:v>2026</x:v>
      </x:c>
      <x:c r="B340" s="63" t="n">
        <x:v>2</x:v>
      </x:c>
      <x:c r="C340" s="63" t="str">
        <x:v>Febrero</x:v>
      </x:c>
      <x:c r="D340" s="63" t="str">
        <x:v>T1</x:v>
      </x:c>
      <x:c r="E340" s="71" t="n">
        <x:v>46081</x:v>
      </x:c>
      <x:c r="F340" s="63" t="str">
        <x:v>Medicina preventiva y del trabajo</x:v>
      </x:c>
      <x:c r="G340" s="63" t="str">
        <x:v>Programas de vigilancia epidemiológica</x:v>
      </x:c>
      <x:c r="H340" s="63" t="str">
        <x:v>Programas de vigilancia epidemiológica y seguimiento médico</x:v>
      </x:c>
      <x:c r="I340" s="63" t="str">
        <x:v>Servicio</x:v>
      </x:c>
      <x:c r="J340" s="63" t="str">
        <x:v>Alta</x:v>
      </x:c>
      <x:c r="K340" s="63" t="str">
        <x:v>Mensual</x:v>
      </x:c>
      <x:c r="L340" s="63" t="str">
        <x:v>Seguimiento</x:v>
      </x:c>
      <x:c r="M340" s="63" t="n">
        <x:v>12</x:v>
      </x:c>
      <x:c r="N340" s="63" t="str">
        <x:v>Médico laboral / SST</x:v>
      </x:c>
      <x:c r="O340" s="63" t="str">
        <x:v>Presupuesto SG-SST</x:v>
      </x:c>
      <x:c r="P340" s="63" t="str">
        <x:v>Base de seguimiento, informe, remisiones</x:v>
      </x:c>
      <x:c r="Q340" s="79" t="n">
        <x:v>820406</x:v>
      </x:c>
      <x:c r="R340" s="79" t="n">
        <x:v>772477</x:v>
      </x:c>
      <x:c r="S340" s="79" t="n">
        <x:v>-47929</x:v>
      </x:c>
      <x:c r="T340" s="75" t="n">
        <x:v>0.9415789255563709</x:v>
      </x:c>
      <x:c r="U340" s="63" t="str">
        <x:v>Parcial</x:v>
      </x:c>
      <x:c r="V340" s="63" t="str">
        <x:v>Actividad con ejecución parcial o cierre financiero pendiente.</x:v>
      </x:c>
      <x:c r="W340" s="47" t="str">
        <x:v>Información a corte de mayo de 2026</x:v>
      </x:c>
    </x:row>
    <x:row r="341" ht="18" customHeight="1">
      <x:c r="A341" s="46" t="n">
        <x:v>2026</x:v>
      </x:c>
      <x:c r="B341" s="63" t="n">
        <x:v>2</x:v>
      </x:c>
      <x:c r="C341" s="63" t="str">
        <x:v>Febrero</x:v>
      </x:c>
      <x:c r="D341" s="63" t="str">
        <x:v>T1</x:v>
      </x:c>
      <x:c r="E341" s="71" t="n">
        <x:v>46081</x:v>
      </x:c>
      <x:c r="F341" s="63" t="str">
        <x:v>Higiene y seguridad industrial</x:v>
      </x:c>
      <x:c r="G341" s="63" t="str">
        <x:v>Señalización y control visual</x:v>
      </x:c>
      <x:c r="H341" s="63" t="str">
        <x:v>Señalización, demarcación y avisos de seguridad</x:v>
      </x:c>
      <x:c r="I341" s="63" t="str">
        <x:v>Operativo</x:v>
      </x:c>
      <x:c r="J341" s="63" t="str">
        <x:v>Media</x:v>
      </x:c>
      <x:c r="K341" s="63" t="str">
        <x:v>Periódica</x:v>
      </x:c>
      <x:c r="L341" s="63" t="str">
        <x:v>Intervención</x:v>
      </x:c>
      <x:c r="M341" s="63" t="n">
        <x:v>5</x:v>
      </x:c>
      <x:c r="N341" s="63" t="str">
        <x:v>SST / Mantenimiento</x:v>
      </x:c>
      <x:c r="O341" s="63" t="str">
        <x:v>Presupuesto SG-SST</x:v>
      </x:c>
      <x:c r="P341" s="63" t="str">
        <x:v>Acta de instalación, factura, inventario</x:v>
      </x:c>
      <x:c r="Q341" s="79" t="n">
        <x:v>586004</x:v>
      </x:c>
      <x:c r="R341" s="79" t="n">
        <x:v>524643</x:v>
      </x:c>
      <x:c r="S341" s="79" t="n">
        <x:v>-61361</x:v>
      </x:c>
      <x:c r="T341" s="75" t="n">
        <x:v>0.8952891106545348</x:v>
      </x:c>
      <x:c r="U341" s="63" t="str">
        <x:v>Parcial</x:v>
      </x:c>
      <x:c r="V341" s="63" t="str">
        <x:v>Actividad con ejecución parcial o cierre financiero pendiente.</x:v>
      </x:c>
      <x:c r="W341" s="47" t="str">
        <x:v>Información a corte de mayo de 2026</x:v>
      </x:c>
    </x:row>
    <x:row r="342" ht="18" customHeight="1">
      <x:c r="A342" s="46" t="n">
        <x:v>2026</x:v>
      </x:c>
      <x:c r="B342" s="63" t="n">
        <x:v>3</x:v>
      </x:c>
      <x:c r="C342" s="63" t="str">
        <x:v>Marzo</x:v>
      </x:c>
      <x:c r="D342" s="63" t="str">
        <x:v>T1</x:v>
      </x:c>
      <x:c r="E342" s="71" t="n">
        <x:v>46112</x:v>
      </x:c>
      <x:c r="F342" s="63" t="str">
        <x:v>Capacitación y entrenamiento</x:v>
      </x:c>
      <x:c r="G342" s="63" t="str">
        <x:v>Plan anual de formación</x:v>
      </x:c>
      <x:c r="H342" s="63" t="str">
        <x:v>Capacitación y entrenamiento en SG-SST</x:v>
      </x:c>
      <x:c r="I342" s="63" t="str">
        <x:v>Operativo</x:v>
      </x:c>
      <x:c r="J342" s="63" t="str">
        <x:v>Alta</x:v>
      </x:c>
      <x:c r="K342" s="63" t="str">
        <x:v>Mensual</x:v>
      </x:c>
      <x:c r="L342" s="63" t="str">
        <x:v>Jornada</x:v>
      </x:c>
      <x:c r="M342" s="63" t="n">
        <x:v>12</x:v>
      </x:c>
      <x:c r="N342" s="63" t="str">
        <x:v>Coordinación SST</x:v>
      </x:c>
      <x:c r="O342" s="63" t="str">
        <x:v>Presupuesto SG-SST</x:v>
      </x:c>
      <x:c r="P342" s="63" t="str">
        <x:v>Lista de asistencia, evaluación, acta</x:v>
      </x:c>
      <x:c r="Q342" s="79" t="n">
        <x:v>527404</x:v>
      </x:c>
      <x:c r="R342" s="79" t="n">
        <x:v>509154</x:v>
      </x:c>
      <x:c r="S342" s="79" t="n">
        <x:v>-18250</x:v>
      </x:c>
      <x:c r="T342" s="75" t="n">
        <x:v>0.965396546101281</x:v>
      </x:c>
      <x:c r="U342" s="63" t="str">
        <x:v>Parcial</x:v>
      </x:c>
      <x:c r="V342" s="63" t="str">
        <x:v>Actividad con ejecución parcial o cierre financiero pendiente.</x:v>
      </x:c>
      <x:c r="W342" s="47" t="str">
        <x:v>Información a corte de mayo de 2026</x:v>
      </x:c>
    </x:row>
    <x:row r="343" ht="18" customHeight="1">
      <x:c r="A343" s="46" t="n">
        <x:v>2026</x:v>
      </x:c>
      <x:c r="B343" s="63" t="n">
        <x:v>3</x:v>
      </x:c>
      <x:c r="C343" s="63" t="str">
        <x:v>Marzo</x:v>
      </x:c>
      <x:c r="D343" s="63" t="str">
        <x:v>T1</x:v>
      </x:c>
      <x:c r="E343" s="71" t="n">
        <x:v>46112</x:v>
      </x:c>
      <x:c r="F343" s="63" t="str">
        <x:v>Higiene y seguridad industrial</x:v>
      </x:c>
      <x:c r="G343" s="63" t="str">
        <x:v>Dotación y control operacional</x:v>
      </x:c>
      <x:c r="H343" s="63" t="str">
        <x:v>Dotación y reposición de EPP</x:v>
      </x:c>
      <x:c r="I343" s="63" t="str">
        <x:v>Operativo</x:v>
      </x:c>
      <x:c r="J343" s="63" t="str">
        <x:v>Alta</x:v>
      </x:c>
      <x:c r="K343" s="63" t="str">
        <x:v>Bimestral / trimestral</x:v>
      </x:c>
      <x:c r="L343" s="63" t="str">
        <x:v>Entrega</x:v>
      </x:c>
      <x:c r="M343" s="63" t="n">
        <x:v>6</x:v>
      </x:c>
      <x:c r="N343" s="63" t="str">
        <x:v>Coordinación SST / Compras</x:v>
      </x:c>
      <x:c r="O343" s="63" t="str">
        <x:v>Presupuesto SG-SST</x:v>
      </x:c>
      <x:c r="P343" s="63" t="str">
        <x:v>Formato de entrega, factura, remisión</x:v>
      </x:c>
      <x:c r="Q343" s="79" t="n">
        <x:v>1054808</x:v>
      </x:c>
      <x:c r="R343" s="79" t="n">
        <x:v>1011794</x:v>
      </x:c>
      <x:c r="S343" s="79" t="n">
        <x:v>-43014</x:v>
      </x:c>
      <x:c r="T343" s="75" t="n">
        <x:v>0.9592210146301507</x:v>
      </x:c>
      <x:c r="U343" s="63" t="str">
        <x:v>Parcial</x:v>
      </x:c>
      <x:c r="V343" s="63" t="str">
        <x:v>Actividad con ejecución parcial o cierre financiero pendiente.</x:v>
      </x:c>
      <x:c r="W343" s="47" t="str">
        <x:v>Información a corte de mayo de 2026</x:v>
      </x:c>
    </x:row>
    <x:row r="344" ht="18" customHeight="1">
      <x:c r="A344" s="46" t="n">
        <x:v>2026</x:v>
      </x:c>
      <x:c r="B344" s="63" t="n">
        <x:v>3</x:v>
      </x:c>
      <x:c r="C344" s="63" t="str">
        <x:v>Marzo</x:v>
      </x:c>
      <x:c r="D344" s="63" t="str">
        <x:v>T1</x:v>
      </x:c>
      <x:c r="E344" s="71" t="n">
        <x:v>46112</x:v>
      </x:c>
      <x:c r="F344" s="63" t="str">
        <x:v>Medicina preventiva y del trabajo</x:v>
      </x:c>
      <x:c r="G344" s="63" t="str">
        <x:v>Vigilancia epidemiológica</x:v>
      </x:c>
      <x:c r="H344" s="63" t="str">
        <x:v>Evaluación de riesgo psicosocial y actividades de intervención</x:v>
      </x:c>
      <x:c r="I344" s="63" t="str">
        <x:v>Servicio</x:v>
      </x:c>
      <x:c r="J344" s="63" t="str">
        <x:v>Alta</x:v>
      </x:c>
      <x:c r="K344" s="63" t="str">
        <x:v>Periódica</x:v>
      </x:c>
      <x:c r="L344" s="63" t="str">
        <x:v>Actividad</x:v>
      </x:c>
      <x:c r="M344" s="63" t="n">
        <x:v>6</x:v>
      </x:c>
      <x:c r="N344" s="63" t="str">
        <x:v>Psicología / SST</x:v>
      </x:c>
      <x:c r="O344" s="63" t="str">
        <x:v>Presupuesto SG-SST</x:v>
      </x:c>
      <x:c r="P344" s="63" t="str">
        <x:v>Informe técnico, evidencia, plan de intervención</x:v>
      </x:c>
      <x:c r="Q344" s="79" t="n">
        <x:v>820406</x:v>
      </x:c>
      <x:c r="R344" s="79" t="n">
        <x:v>809539</x:v>
      </x:c>
      <x:c r="S344" s="79" t="n">
        <x:v>-10867</x:v>
      </x:c>
      <x:c r="T344" s="75" t="n">
        <x:v>0.9867541193019066</x:v>
      </x:c>
      <x:c r="U344" s="63" t="str">
        <x:v>Ejecutado</x:v>
      </x:c>
      <x:c r="V344" s="63" t="str">
        <x:v>Actividad ejecutada dentro del rango esperado.</x:v>
      </x:c>
      <x:c r="W344" s="47" t="str">
        <x:v>Información a corte de mayo de 2026</x:v>
      </x:c>
    </x:row>
    <x:row r="345" ht="18" customHeight="1">
      <x:c r="A345" s="46" t="n">
        <x:v>2026</x:v>
      </x:c>
      <x:c r="B345" s="63" t="n">
        <x:v>3</x:v>
      </x:c>
      <x:c r="C345" s="63" t="str">
        <x:v>Marzo</x:v>
      </x:c>
      <x:c r="D345" s="63" t="str">
        <x:v>T1</x:v>
      </x:c>
      <x:c r="E345" s="71" t="n">
        <x:v>46112</x:v>
      </x:c>
      <x:c r="F345" s="63" t="str">
        <x:v>Recursos y gestión financiera</x:v>
      </x:c>
      <x:c r="G345" s="63" t="str">
        <x:v>Planeación y recursos</x:v>
      </x:c>
      <x:c r="H345" s="63" t="str">
        <x:v>Exámenes médicos ocupacionales</x:v>
      </x:c>
      <x:c r="I345" s="63" t="str">
        <x:v>Servicio</x:v>
      </x:c>
      <x:c r="J345" s="63" t="str">
        <x:v>Alta</x:v>
      </x:c>
      <x:c r="K345" s="63" t="str">
        <x:v>Semestral</x:v>
      </x:c>
      <x:c r="L345" s="63" t="str">
        <x:v>Jornada</x:v>
      </x:c>
      <x:c r="M345" s="63" t="n">
        <x:v>2</x:v>
      </x:c>
      <x:c r="N345" s="63" t="str">
        <x:v>Coordinación SST</x:v>
      </x:c>
      <x:c r="O345" s="63" t="str">
        <x:v>Presupuesto SG-SST</x:v>
      </x:c>
      <x:c r="P345" s="63" t="str">
        <x:v>Orden de servicio, factura, concepto médico</x:v>
      </x:c>
      <x:c r="Q345" s="79" t="n">
        <x:v>703205</x:v>
      </x:c>
      <x:c r="R345" s="79" t="n">
        <x:v>650789</x:v>
      </x:c>
      <x:c r="S345" s="79" t="n">
        <x:v>-52416</x:v>
      </x:c>
      <x:c r="T345" s="75" t="n">
        <x:v>0.9254612808498233</x:v>
      </x:c>
      <x:c r="U345" s="63" t="str">
        <x:v>Parcial</x:v>
      </x:c>
      <x:c r="V345" s="63" t="str">
        <x:v>Actividad con ejecución parcial o cierre financiero pendiente.</x:v>
      </x:c>
      <x:c r="W345" s="47" t="str">
        <x:v>Información a corte de mayo de 2026</x:v>
      </x:c>
    </x:row>
    <x:row r="346" ht="18" customHeight="1">
      <x:c r="A346" s="46" t="n">
        <x:v>2026</x:v>
      </x:c>
      <x:c r="B346" s="63" t="n">
        <x:v>3</x:v>
      </x:c>
      <x:c r="C346" s="63" t="str">
        <x:v>Marzo</x:v>
      </x:c>
      <x:c r="D346" s="63" t="str">
        <x:v>T1</x:v>
      </x:c>
      <x:c r="E346" s="71" t="n">
        <x:v>46112</x:v>
      </x:c>
      <x:c r="F346" s="63" t="str">
        <x:v>Participación y consulta</x:v>
      </x:c>
      <x:c r="G346" s="63" t="str">
        <x:v>Comités de SST</x:v>
      </x:c>
      <x:c r="H346" s="63" t="str">
        <x:v>Gestión de COPASST y Comité de Convivencia</x:v>
      </x:c>
      <x:c r="I346" s="63" t="str">
        <x:v>Operativo</x:v>
      </x:c>
      <x:c r="J346" s="63" t="str">
        <x:v>Media</x:v>
      </x:c>
      <x:c r="K346" s="63" t="str">
        <x:v>Mensual</x:v>
      </x:c>
      <x:c r="L346" s="63" t="str">
        <x:v>Reunión</x:v>
      </x:c>
      <x:c r="M346" s="63" t="n">
        <x:v>12</x:v>
      </x:c>
      <x:c r="N346" s="63" t="str">
        <x:v>Talento Humano / SST</x:v>
      </x:c>
      <x:c r="O346" s="63" t="str">
        <x:v>Presupuesto SG-SST</x:v>
      </x:c>
      <x:c r="P346" s="63" t="str">
        <x:v>Acta, convocatoria, seguimiento compromisos</x:v>
      </x:c>
      <x:c r="Q346" s="79" t="n">
        <x:v>210962</x:v>
      </x:c>
      <x:c r="R346" s="79" t="n">
        <x:v>199639</x:v>
      </x:c>
      <x:c r="S346" s="79" t="n">
        <x:v>-11323</x:v>
      </x:c>
      <x:c r="T346" s="75" t="n">
        <x:v>0.9463268266322845</x:v>
      </x:c>
      <x:c r="U346" s="63" t="str">
        <x:v>Parcial</x:v>
      </x:c>
      <x:c r="V346" s="63" t="str">
        <x:v>Actividad con ejecución parcial o cierre financiero pendiente.</x:v>
      </x:c>
      <x:c r="W346" s="47" t="str">
        <x:v>Información a corte de mayo de 2026</x:v>
      </x:c>
    </x:row>
    <x:row r="347" ht="18" customHeight="1">
      <x:c r="A347" s="46" t="n">
        <x:v>2026</x:v>
      </x:c>
      <x:c r="B347" s="63" t="n">
        <x:v>3</x:v>
      </x:c>
      <x:c r="C347" s="63" t="str">
        <x:v>Marzo</x:v>
      </x:c>
      <x:c r="D347" s="63" t="str">
        <x:v>T1</x:v>
      </x:c>
      <x:c r="E347" s="71" t="n">
        <x:v>46112</x:v>
      </x:c>
      <x:c r="F347" s="63" t="str">
        <x:v>Higiene y seguridad industrial</x:v>
      </x:c>
      <x:c r="G347" s="63" t="str">
        <x:v>Inspecciones y control</x:v>
      </x:c>
      <x:c r="H347" s="63" t="str">
        <x:v>Inspecciones planeadas de seguridad</x:v>
      </x:c>
      <x:c r="I347" s="63" t="str">
        <x:v>Operativo</x:v>
      </x:c>
      <x:c r="J347" s="63" t="str">
        <x:v>Media</x:v>
      </x:c>
      <x:c r="K347" s="63" t="str">
        <x:v>Mensual</x:v>
      </x:c>
      <x:c r="L347" s="63" t="str">
        <x:v>Inspección</x:v>
      </x:c>
      <x:c r="M347" s="63" t="n">
        <x:v>12</x:v>
      </x:c>
      <x:c r="N347" s="63" t="str">
        <x:v>Inspector SST</x:v>
      </x:c>
      <x:c r="O347" s="63" t="str">
        <x:v>Presupuesto SG-SST</x:v>
      </x:c>
      <x:c r="P347" s="63" t="str">
        <x:v>Lista de chequeo, informe, evidencia fotográfica</x:v>
      </x:c>
      <x:c r="Q347" s="79" t="n">
        <x:v>281282</x:v>
      </x:c>
      <x:c r="R347" s="79" t="n">
        <x:v>269298</x:v>
      </x:c>
      <x:c r="S347" s="79" t="n">
        <x:v>-11984</x:v>
      </x:c>
      <x:c r="T347" s="75" t="n">
        <x:v>0.9573950697165122</x:v>
      </x:c>
      <x:c r="U347" s="63" t="str">
        <x:v>Parcial</x:v>
      </x:c>
      <x:c r="V347" s="63" t="str">
        <x:v>Actividad con ejecución parcial o cierre financiero pendiente.</x:v>
      </x:c>
      <x:c r="W347" s="47" t="str">
        <x:v>Información a corte de mayo de 2026</x:v>
      </x:c>
    </x:row>
    <x:row r="348" ht="18" customHeight="1">
      <x:c r="A348" s="46" t="n">
        <x:v>2026</x:v>
      </x:c>
      <x:c r="B348" s="63" t="n">
        <x:v>3</x:v>
      </x:c>
      <x:c r="C348" s="63" t="str">
        <x:v>Marzo</x:v>
      </x:c>
      <x:c r="D348" s="63" t="str">
        <x:v>T1</x:v>
      </x:c>
      <x:c r="E348" s="71" t="n">
        <x:v>46112</x:v>
      </x:c>
      <x:c r="F348" s="63" t="str">
        <x:v>Mejora continua y cumplimiento</x:v>
      </x:c>
      <x:c r="G348" s="63" t="str">
        <x:v>Gestión de incidentes y mejora</x:v>
      </x:c>
      <x:c r="H348" s="63" t="str">
        <x:v>Investigación de AT/EL y acciones correctivas</x:v>
      </x:c>
      <x:c r="I348" s="63" t="str">
        <x:v>Operativo</x:v>
      </x:c>
      <x:c r="J348" s="63" t="str">
        <x:v>Media</x:v>
      </x:c>
      <x:c r="K348" s="63" t="str">
        <x:v>Mensual</x:v>
      </x:c>
      <x:c r="L348" s="63" t="str">
        <x:v>Seguimiento</x:v>
      </x:c>
      <x:c r="M348" s="63" t="n">
        <x:v>12</x:v>
      </x:c>
      <x:c r="N348" s="63" t="str">
        <x:v>SST / Jefes de área</x:v>
      </x:c>
      <x:c r="O348" s="63" t="str">
        <x:v>Presupuesto SG-SST</x:v>
      </x:c>
      <x:c r="P348" s="63" t="str">
        <x:v>Investigación, plan de acción, evidencia de cierre</x:v>
      </x:c>
      <x:c r="Q348" s="79" t="n">
        <x:v>234402</x:v>
      </x:c>
      <x:c r="R348" s="79" t="n">
        <x:v>210945</x:v>
      </x:c>
      <x:c r="S348" s="79" t="n">
        <x:v>-23457</x:v>
      </x:c>
      <x:c r="T348" s="75" t="n">
        <x:v>0.8999283282565849</x:v>
      </x:c>
      <x:c r="U348" s="63" t="str">
        <x:v>Parcial</x:v>
      </x:c>
      <x:c r="V348" s="63" t="str">
        <x:v>Actividad con ejecución parcial o cierre financiero pendiente.</x:v>
      </x:c>
      <x:c r="W348" s="47" t="str">
        <x:v>Información a corte de mayo de 2026</x:v>
      </x:c>
    </x:row>
    <x:row r="349" ht="18" customHeight="1">
      <x:c r="A349" s="46" t="n">
        <x:v>2026</x:v>
      </x:c>
      <x:c r="B349" s="63" t="n">
        <x:v>3</x:v>
      </x:c>
      <x:c r="C349" s="63" t="str">
        <x:v>Marzo</x:v>
      </x:c>
      <x:c r="D349" s="63" t="str">
        <x:v>T1</x:v>
      </x:c>
      <x:c r="E349" s="71" t="n">
        <x:v>46112</x:v>
      </x:c>
      <x:c r="F349" s="63" t="str">
        <x:v>Medicina preventiva y del trabajo</x:v>
      </x:c>
      <x:c r="G349" s="63" t="str">
        <x:v>Programas de vigilancia epidemiológica</x:v>
      </x:c>
      <x:c r="H349" s="63" t="str">
        <x:v>Programas de vigilancia epidemiológica y seguimiento médico</x:v>
      </x:c>
      <x:c r="I349" s="63" t="str">
        <x:v>Servicio</x:v>
      </x:c>
      <x:c r="J349" s="63" t="str">
        <x:v>Alta</x:v>
      </x:c>
      <x:c r="K349" s="63" t="str">
        <x:v>Mensual</x:v>
      </x:c>
      <x:c r="L349" s="63" t="str">
        <x:v>Seguimiento</x:v>
      </x:c>
      <x:c r="M349" s="63" t="n">
        <x:v>12</x:v>
      </x:c>
      <x:c r="N349" s="63" t="str">
        <x:v>Médico laboral / SST</x:v>
      </x:c>
      <x:c r="O349" s="63" t="str">
        <x:v>Presupuesto SG-SST</x:v>
      </x:c>
      <x:c r="P349" s="63" t="str">
        <x:v>Base de seguimiento, informe, remisiones</x:v>
      </x:c>
      <x:c r="Q349" s="79" t="n">
        <x:v>656325</x:v>
      </x:c>
      <x:c r="R349" s="79" t="n">
        <x:v>612572</x:v>
      </x:c>
      <x:c r="S349" s="79" t="n">
        <x:v>-43753</x:v>
      </x:c>
      <x:c r="T349" s="75" t="n">
        <x:v>0.9333363806041214</x:v>
      </x:c>
      <x:c r="U349" s="63" t="str">
        <x:v>Parcial</x:v>
      </x:c>
      <x:c r="V349" s="63" t="str">
        <x:v>Actividad con ejecución parcial o cierre financiero pendiente.</x:v>
      </x:c>
      <x:c r="W349" s="47" t="str">
        <x:v>Información a corte de mayo de 2026</x:v>
      </x:c>
    </x:row>
    <x:row r="350" ht="18" customHeight="1">
      <x:c r="A350" s="46" t="n">
        <x:v>2026</x:v>
      </x:c>
      <x:c r="B350" s="63" t="n">
        <x:v>4</x:v>
      </x:c>
      <x:c r="C350" s="63" t="str">
        <x:v>Abril</x:v>
      </x:c>
      <x:c r="D350" s="63" t="str">
        <x:v>T2</x:v>
      </x:c>
      <x:c r="E350" s="71" t="n">
        <x:v>46142</x:v>
      </x:c>
      <x:c r="F350" s="63" t="str">
        <x:v>Mejora continua y cumplimiento</x:v>
      </x:c>
      <x:c r="G350" s="63" t="str">
        <x:v>Auditoría y revisión por la dirección</x:v>
      </x:c>
      <x:c r="H350" s="63" t="str">
        <x:v>Auditoría interna, autoevaluación y revisión gerencial</x:v>
      </x:c>
      <x:c r="I350" s="63" t="str">
        <x:v>Servicio</x:v>
      </x:c>
      <x:c r="J350" s="63" t="str">
        <x:v>Alta</x:v>
      </x:c>
      <x:c r="K350" s="63" t="str">
        <x:v>Trimestral</x:v>
      </x:c>
      <x:c r="L350" s="63" t="str">
        <x:v>Hito</x:v>
      </x:c>
      <x:c r="M350" s="63" t="n">
        <x:v>4</x:v>
      </x:c>
      <x:c r="N350" s="63" t="str">
        <x:v>Líder HSEQ / Gerencia</x:v>
      </x:c>
      <x:c r="O350" s="63" t="str">
        <x:v>Presupuesto SG-SST</x:v>
      </x:c>
      <x:c r="P350" s="63" t="str">
        <x:v>Informe de auditoría, acta, plan de mejora</x:v>
      </x:c>
      <x:c r="Q350" s="79" t="n">
        <x:v>937607</x:v>
      </x:c>
      <x:c r="R350" s="79" t="n">
        <x:v>928646</x:v>
      </x:c>
      <x:c r="S350" s="79" t="n">
        <x:v>-8961</x:v>
      </x:c>
      <x:c r="T350" s="75" t="n">
        <x:v>0.9904426908075559</x:v>
      </x:c>
      <x:c r="U350" s="63" t="str">
        <x:v>Ejecutado</x:v>
      </x:c>
      <x:c r="V350" s="63" t="str">
        <x:v>Actividad ejecutada dentro del rango esperado.</x:v>
      </x:c>
      <x:c r="W350" s="47" t="str">
        <x:v>Información a corte de mayo de 2026</x:v>
      </x:c>
    </x:row>
    <x:row r="351" ht="18" customHeight="1">
      <x:c r="A351" s="46" t="n">
        <x:v>2026</x:v>
      </x:c>
      <x:c r="B351" s="63" t="n">
        <x:v>4</x:v>
      </x:c>
      <x:c r="C351" s="63" t="str">
        <x:v>Abril</x:v>
      </x:c>
      <x:c r="D351" s="63" t="str">
        <x:v>T2</x:v>
      </x:c>
      <x:c r="E351" s="71" t="n">
        <x:v>46142</x:v>
      </x:c>
      <x:c r="F351" s="63" t="str">
        <x:v>Capacitación y entrenamiento</x:v>
      </x:c>
      <x:c r="G351" s="63" t="str">
        <x:v>Plan anual de formación</x:v>
      </x:c>
      <x:c r="H351" s="63" t="str">
        <x:v>Capacitación y entrenamiento en SG-SST</x:v>
      </x:c>
      <x:c r="I351" s="63" t="str">
        <x:v>Operativo</x:v>
      </x:c>
      <x:c r="J351" s="63" t="str">
        <x:v>Alta</x:v>
      </x:c>
      <x:c r="K351" s="63" t="str">
        <x:v>Mensual</x:v>
      </x:c>
      <x:c r="L351" s="63" t="str">
        <x:v>Jornada</x:v>
      </x:c>
      <x:c r="M351" s="63" t="n">
        <x:v>12</x:v>
      </x:c>
      <x:c r="N351" s="63" t="str">
        <x:v>Coordinación SST</x:v>
      </x:c>
      <x:c r="O351" s="63" t="str">
        <x:v>Presupuesto SG-SST</x:v>
      </x:c>
      <x:c r="P351" s="63" t="str">
        <x:v>Lista de asistencia, evaluación, acta</x:v>
      </x:c>
      <x:c r="Q351" s="79" t="n">
        <x:v>468804</x:v>
      </x:c>
      <x:c r="R351" s="79" t="n">
        <x:v>452108</x:v>
      </x:c>
      <x:c r="S351" s="79" t="n">
        <x:v>-16696</x:v>
      </x:c>
      <x:c r="T351" s="75" t="n">
        <x:v>0.9643859694029915</x:v>
      </x:c>
      <x:c r="U351" s="63" t="str">
        <x:v>Parcial</x:v>
      </x:c>
      <x:c r="V351" s="63" t="str">
        <x:v>Actividad con ejecución parcial o cierre financiero pendiente.</x:v>
      </x:c>
      <x:c r="W351" s="47" t="str">
        <x:v>Información a corte de mayo de 2026</x:v>
      </x:c>
    </x:row>
    <x:row r="352" ht="18" customHeight="1">
      <x:c r="A352" s="46" t="n">
        <x:v>2026</x:v>
      </x:c>
      <x:c r="B352" s="63" t="n">
        <x:v>4</x:v>
      </x:c>
      <x:c r="C352" s="63" t="str">
        <x:v>Abril</x:v>
      </x:c>
      <x:c r="D352" s="63" t="str">
        <x:v>T2</x:v>
      </x:c>
      <x:c r="E352" s="71" t="n">
        <x:v>46142</x:v>
      </x:c>
      <x:c r="F352" s="63" t="str">
        <x:v>Recursos y gestión financiera</x:v>
      </x:c>
      <x:c r="G352" s="63" t="str">
        <x:v>Planeación y recursos</x:v>
      </x:c>
      <x:c r="H352" s="63" t="str">
        <x:v>Exámenes médicos ocupacionales</x:v>
      </x:c>
      <x:c r="I352" s="63" t="str">
        <x:v>Servicio</x:v>
      </x:c>
      <x:c r="J352" s="63" t="str">
        <x:v>Alta</x:v>
      </x:c>
      <x:c r="K352" s="63" t="str">
        <x:v>Semestral</x:v>
      </x:c>
      <x:c r="L352" s="63" t="str">
        <x:v>Jornada</x:v>
      </x:c>
      <x:c r="M352" s="63" t="n">
        <x:v>2</x:v>
      </x:c>
      <x:c r="N352" s="63" t="str">
        <x:v>Coordinación SST</x:v>
      </x:c>
      <x:c r="O352" s="63" t="str">
        <x:v>Presupuesto SG-SST</x:v>
      </x:c>
      <x:c r="P352" s="63" t="str">
        <x:v>Orden de servicio, factura, concepto médico</x:v>
      </x:c>
      <x:c r="Q352" s="79" t="n">
        <x:v>210962</x:v>
      </x:c>
      <x:c r="R352" s="79" t="n">
        <x:v>196584</x:v>
      </x:c>
      <x:c r="S352" s="79" t="n">
        <x:v>-14378</x:v>
      </x:c>
      <x:c r="T352" s="75" t="n">
        <x:v>0.9318455456432913</x:v>
      </x:c>
      <x:c r="U352" s="63" t="str">
        <x:v>Parcial</x:v>
      </x:c>
      <x:c r="V352" s="63" t="str">
        <x:v>Actividad con ejecución parcial o cierre financiero pendiente.</x:v>
      </x:c>
      <x:c r="W352" s="47" t="str">
        <x:v>Información a corte de mayo de 2026</x:v>
      </x:c>
    </x:row>
    <x:row r="353" ht="18" customHeight="1">
      <x:c r="A353" s="46" t="n">
        <x:v>2026</x:v>
      </x:c>
      <x:c r="B353" s="63" t="n">
        <x:v>4</x:v>
      </x:c>
      <x:c r="C353" s="63" t="str">
        <x:v>Abril</x:v>
      </x:c>
      <x:c r="D353" s="63" t="str">
        <x:v>T2</x:v>
      </x:c>
      <x:c r="E353" s="71" t="n">
        <x:v>46142</x:v>
      </x:c>
      <x:c r="F353" s="63" t="str">
        <x:v>Gestión de contratistas</x:v>
      </x:c>
      <x:c r="G353" s="63" t="str">
        <x:v>Control de terceros</x:v>
      </x:c>
      <x:c r="H353" s="63" t="str">
        <x:v>Gestión SST de proveedores y contratistas</x:v>
      </x:c>
      <x:c r="I353" s="63" t="str">
        <x:v>Operativo</x:v>
      </x:c>
      <x:c r="J353" s="63" t="str">
        <x:v>Media</x:v>
      </x:c>
      <x:c r="K353" s="63" t="str">
        <x:v>Trimestral</x:v>
      </x:c>
      <x:c r="L353" s="63" t="str">
        <x:v>Ciclo</x:v>
      </x:c>
      <x:c r="M353" s="63" t="n">
        <x:v>4</x:v>
      </x:c>
      <x:c r="N353" s="63" t="str">
        <x:v>Compras / SST</x:v>
      </x:c>
      <x:c r="O353" s="63" t="str">
        <x:v>Presupuesto SG-SST</x:v>
      </x:c>
      <x:c r="P353" s="63" t="str">
        <x:v>Matriz de evaluación, soportes de contratistas</x:v>
      </x:c>
      <x:c r="Q353" s="79" t="n">
        <x:v>879006</x:v>
      </x:c>
      <x:c r="R353" s="79" t="n">
        <x:v>831099</x:v>
      </x:c>
      <x:c r="S353" s="79" t="n">
        <x:v>-47907</x:v>
      </x:c>
      <x:c r="T353" s="75" t="n">
        <x:v>0.9454986655381192</x:v>
      </x:c>
      <x:c r="U353" s="63" t="str">
        <x:v>Parcial</x:v>
      </x:c>
      <x:c r="V353" s="63" t="str">
        <x:v>Actividad con ejecución parcial o cierre financiero pendiente.</x:v>
      </x:c>
      <x:c r="W353" s="47" t="str">
        <x:v>Información a corte de mayo de 2026</x:v>
      </x:c>
    </x:row>
    <x:row r="354" ht="18" customHeight="1">
      <x:c r="A354" s="46" t="n">
        <x:v>2026</x:v>
      </x:c>
      <x:c r="B354" s="63" t="n">
        <x:v>4</x:v>
      </x:c>
      <x:c r="C354" s="63" t="str">
        <x:v>Abril</x:v>
      </x:c>
      <x:c r="D354" s="63" t="str">
        <x:v>T2</x:v>
      </x:c>
      <x:c r="E354" s="71" t="n">
        <x:v>46142</x:v>
      </x:c>
      <x:c r="F354" s="63" t="str">
        <x:v>Participación y consulta</x:v>
      </x:c>
      <x:c r="G354" s="63" t="str">
        <x:v>Comités de SST</x:v>
      </x:c>
      <x:c r="H354" s="63" t="str">
        <x:v>Gestión de COPASST y Comité de Convivencia</x:v>
      </x:c>
      <x:c r="I354" s="63" t="str">
        <x:v>Operativo</x:v>
      </x:c>
      <x:c r="J354" s="63" t="str">
        <x:v>Media</x:v>
      </x:c>
      <x:c r="K354" s="63" t="str">
        <x:v>Mensual</x:v>
      </x:c>
      <x:c r="L354" s="63" t="str">
        <x:v>Reunión</x:v>
      </x:c>
      <x:c r="M354" s="63" t="n">
        <x:v>12</x:v>
      </x:c>
      <x:c r="N354" s="63" t="str">
        <x:v>Talento Humano / SST</x:v>
      </x:c>
      <x:c r="O354" s="63" t="str">
        <x:v>Presupuesto SG-SST</x:v>
      </x:c>
      <x:c r="P354" s="63" t="str">
        <x:v>Acta, convocatoria, seguimiento compromisos</x:v>
      </x:c>
      <x:c r="Q354" s="79" t="n">
        <x:v>187521</x:v>
      </x:c>
      <x:c r="R354" s="79" t="n">
        <x:v>174385</x:v>
      </x:c>
      <x:c r="S354" s="79" t="n">
        <x:v>-13136</x:v>
      </x:c>
      <x:c r="T354" s="75" t="n">
        <x:v>0.9299491790252825</x:v>
      </x:c>
      <x:c r="U354" s="63" t="str">
        <x:v>Parcial</x:v>
      </x:c>
      <x:c r="V354" s="63" t="str">
        <x:v>Actividad con ejecución parcial o cierre financiero pendiente.</x:v>
      </x:c>
      <x:c r="W354" s="47" t="str">
        <x:v>Información a corte de mayo de 2026</x:v>
      </x:c>
    </x:row>
    <x:row r="355" ht="18" customHeight="1">
      <x:c r="A355" s="46" t="n">
        <x:v>2026</x:v>
      </x:c>
      <x:c r="B355" s="63" t="n">
        <x:v>4</x:v>
      </x:c>
      <x:c r="C355" s="63" t="str">
        <x:v>Abril</x:v>
      </x:c>
      <x:c r="D355" s="63" t="str">
        <x:v>T2</x:v>
      </x:c>
      <x:c r="E355" s="71" t="n">
        <x:v>46142</x:v>
      </x:c>
      <x:c r="F355" s="63" t="str">
        <x:v>Higiene y seguridad industrial</x:v>
      </x:c>
      <x:c r="G355" s="63" t="str">
        <x:v>Inspecciones y control</x:v>
      </x:c>
      <x:c r="H355" s="63" t="str">
        <x:v>Inspecciones planeadas de seguridad</x:v>
      </x:c>
      <x:c r="I355" s="63" t="str">
        <x:v>Operativo</x:v>
      </x:c>
      <x:c r="J355" s="63" t="str">
        <x:v>Media</x:v>
      </x:c>
      <x:c r="K355" s="63" t="str">
        <x:v>Mensual</x:v>
      </x:c>
      <x:c r="L355" s="63" t="str">
        <x:v>Inspección</x:v>
      </x:c>
      <x:c r="M355" s="63" t="n">
        <x:v>12</x:v>
      </x:c>
      <x:c r="N355" s="63" t="str">
        <x:v>Inspector SST</x:v>
      </x:c>
      <x:c r="O355" s="63" t="str">
        <x:v>Presupuesto SG-SST</x:v>
      </x:c>
      <x:c r="P355" s="63" t="str">
        <x:v>Lista de chequeo, informe, evidencia fotográfica</x:v>
      </x:c>
      <x:c r="Q355" s="79" t="n">
        <x:v>281282</x:v>
      </x:c>
      <x:c r="R355" s="79" t="n">
        <x:v>259194</x:v>
      </x:c>
      <x:c r="S355" s="79" t="n">
        <x:v>-22088</x:v>
      </x:c>
      <x:c r="T355" s="75" t="n">
        <x:v>0.9214738234227572</x:v>
      </x:c>
      <x:c r="U355" s="63" t="str">
        <x:v>Parcial</x:v>
      </x:c>
      <x:c r="V355" s="63" t="str">
        <x:v>Actividad con ejecución parcial o cierre financiero pendiente.</x:v>
      </x:c>
      <x:c r="W355" s="47" t="str">
        <x:v>Información a corte de mayo de 2026</x:v>
      </x:c>
    </x:row>
    <x:row r="356" ht="18" customHeight="1">
      <x:c r="A356" s="46" t="n">
        <x:v>2026</x:v>
      </x:c>
      <x:c r="B356" s="63" t="n">
        <x:v>4</x:v>
      </x:c>
      <x:c r="C356" s="63" t="str">
        <x:v>Abril</x:v>
      </x:c>
      <x:c r="D356" s="63" t="str">
        <x:v>T2</x:v>
      </x:c>
      <x:c r="E356" s="71" t="n">
        <x:v>46142</x:v>
      </x:c>
      <x:c r="F356" s="63" t="str">
        <x:v>Mejora continua y cumplimiento</x:v>
      </x:c>
      <x:c r="G356" s="63" t="str">
        <x:v>Gestión de incidentes y mejora</x:v>
      </x:c>
      <x:c r="H356" s="63" t="str">
        <x:v>Investigación de AT/EL y acciones correctivas</x:v>
      </x:c>
      <x:c r="I356" s="63" t="str">
        <x:v>Operativo</x:v>
      </x:c>
      <x:c r="J356" s="63" t="str">
        <x:v>Media</x:v>
      </x:c>
      <x:c r="K356" s="63" t="str">
        <x:v>Mensual</x:v>
      </x:c>
      <x:c r="L356" s="63" t="str">
        <x:v>Seguimiento</x:v>
      </x:c>
      <x:c r="M356" s="63" t="n">
        <x:v>12</x:v>
      </x:c>
      <x:c r="N356" s="63" t="str">
        <x:v>SST / Jefes de área</x:v>
      </x:c>
      <x:c r="O356" s="63" t="str">
        <x:v>Presupuesto SG-SST</x:v>
      </x:c>
      <x:c r="P356" s="63" t="str">
        <x:v>Investigación, plan de acción, evidencia de cierre</x:v>
      </x:c>
      <x:c r="Q356" s="79" t="n">
        <x:v>234402</x:v>
      </x:c>
      <x:c r="R356" s="79" t="n">
        <x:v>226373</x:v>
      </x:c>
      <x:c r="S356" s="79" t="n">
        <x:v>-8029</x:v>
      </x:c>
      <x:c r="T356" s="75" t="n">
        <x:v>0.9657468792928388</x:v>
      </x:c>
      <x:c r="U356" s="63" t="str">
        <x:v>Parcial</x:v>
      </x:c>
      <x:c r="V356" s="63" t="str">
        <x:v>Actividad con ejecución parcial o cierre financiero pendiente.</x:v>
      </x:c>
      <x:c r="W356" s="47" t="str">
        <x:v>Información a corte de mayo de 2026</x:v>
      </x:c>
    </x:row>
    <x:row r="357" ht="18" customHeight="1">
      <x:c r="A357" s="46" t="n">
        <x:v>2026</x:v>
      </x:c>
      <x:c r="B357" s="63" t="n">
        <x:v>4</x:v>
      </x:c>
      <x:c r="C357" s="63" t="str">
        <x:v>Abril</x:v>
      </x:c>
      <x:c r="D357" s="63" t="str">
        <x:v>T2</x:v>
      </x:c>
      <x:c r="E357" s="71" t="n">
        <x:v>46142</x:v>
      </x:c>
      <x:c r="F357" s="63" t="str">
        <x:v>Emergencias e infraestructura</x:v>
      </x:c>
      <x:c r="G357" s="63" t="str">
        <x:v>Preparación y respuesta ante emergencias</x:v>
      </x:c>
      <x:c r="H357" s="63" t="str">
        <x:v>Mantenimiento de extintores, botiquines y equipos de emergencia</x:v>
      </x:c>
      <x:c r="I357" s="63" t="str">
        <x:v>Servicio</x:v>
      </x:c>
      <x:c r="J357" s="63" t="str">
        <x:v>Alta</x:v>
      </x:c>
      <x:c r="K357" s="63" t="str">
        <x:v>Bimestral / semestral</x:v>
      </x:c>
      <x:c r="L357" s="63" t="str">
        <x:v>Mantenimiento</x:v>
      </x:c>
      <x:c r="M357" s="63" t="n">
        <x:v>6</x:v>
      </x:c>
      <x:c r="N357" s="63" t="str">
        <x:v>Brigada / SST</x:v>
      </x:c>
      <x:c r="O357" s="63" t="str">
        <x:v>Presupuesto SG-SST</x:v>
      </x:c>
      <x:c r="P357" s="63" t="str">
        <x:v>Certificado, factura, hoja de vida del equipo</x:v>
      </x:c>
      <x:c r="Q357" s="79" t="n">
        <x:v>468804</x:v>
      </x:c>
      <x:c r="R357" s="79" t="n">
        <x:v>440402</x:v>
      </x:c>
      <x:c r="S357" s="79" t="n">
        <x:v>-28402</x:v>
      </x:c>
      <x:c r="T357" s="75" t="n">
        <x:v>0.9394160459381746</x:v>
      </x:c>
      <x:c r="U357" s="63" t="str">
        <x:v>Parcial</x:v>
      </x:c>
      <x:c r="V357" s="63" t="str">
        <x:v>Actividad con ejecución parcial o cierre financiero pendiente.</x:v>
      </x:c>
      <x:c r="W357" s="47" t="str">
        <x:v>Información a corte de mayo de 2026</x:v>
      </x:c>
    </x:row>
    <x:row r="358" ht="18" customHeight="1">
      <x:c r="A358" s="46" t="n">
        <x:v>2026</x:v>
      </x:c>
      <x:c r="B358" s="63" t="n">
        <x:v>4</x:v>
      </x:c>
      <x:c r="C358" s="63" t="str">
        <x:v>Abril</x:v>
      </x:c>
      <x:c r="D358" s="63" t="str">
        <x:v>T2</x:v>
      </x:c>
      <x:c r="E358" s="71" t="n">
        <x:v>46142</x:v>
      </x:c>
      <x:c r="F358" s="63" t="str">
        <x:v>Medicina preventiva y del trabajo</x:v>
      </x:c>
      <x:c r="G358" s="63" t="str">
        <x:v>Programas de vigilancia epidemiológica</x:v>
      </x:c>
      <x:c r="H358" s="63" t="str">
        <x:v>Programas de vigilancia epidemiológica y seguimiento médico</x:v>
      </x:c>
      <x:c r="I358" s="63" t="str">
        <x:v>Servicio</x:v>
      </x:c>
      <x:c r="J358" s="63" t="str">
        <x:v>Alta</x:v>
      </x:c>
      <x:c r="K358" s="63" t="str">
        <x:v>Mensual</x:v>
      </x:c>
      <x:c r="L358" s="63" t="str">
        <x:v>Seguimiento</x:v>
      </x:c>
      <x:c r="M358" s="63" t="n">
        <x:v>12</x:v>
      </x:c>
      <x:c r="N358" s="63" t="str">
        <x:v>Médico laboral / SST</x:v>
      </x:c>
      <x:c r="O358" s="63" t="str">
        <x:v>Presupuesto SG-SST</x:v>
      </x:c>
      <x:c r="P358" s="63" t="str">
        <x:v>Base de seguimiento, informe, remisiones</x:v>
      </x:c>
      <x:c r="Q358" s="79" t="n">
        <x:v>656325</x:v>
      </x:c>
      <x:c r="R358" s="79" t="n">
        <x:v>652972</x:v>
      </x:c>
      <x:c r="S358" s="79" t="n">
        <x:v>-3353</x:v>
      </x:c>
      <x:c r="T358" s="75" t="n">
        <x:v>0.9948912505237497</x:v>
      </x:c>
      <x:c r="U358" s="63" t="str">
        <x:v>Ejecutado</x:v>
      </x:c>
      <x:c r="V358" s="63" t="str">
        <x:v>Actividad ejecutada dentro del rango esperado.</x:v>
      </x:c>
      <x:c r="W358" s="47" t="str">
        <x:v>Información a corte de mayo de 2026</x:v>
      </x:c>
    </x:row>
    <x:row r="359" ht="18" customHeight="1">
      <x:c r="A359" s="46" t="n">
        <x:v>2026</x:v>
      </x:c>
      <x:c r="B359" s="63" t="n">
        <x:v>5</x:v>
      </x:c>
      <x:c r="C359" s="63" t="str">
        <x:v>Mayo</x:v>
      </x:c>
      <x:c r="D359" s="63" t="str">
        <x:v>T2</x:v>
      </x:c>
      <x:c r="E359" s="71" t="n">
        <x:v>46173</x:v>
      </x:c>
      <x:c r="F359" s="63" t="str">
        <x:v>Capacitación y entrenamiento</x:v>
      </x:c>
      <x:c r="G359" s="63" t="str">
        <x:v>Plan anual de formación</x:v>
      </x:c>
      <x:c r="H359" s="63" t="str">
        <x:v>Capacitación y entrenamiento en SG-SST</x:v>
      </x:c>
      <x:c r="I359" s="63" t="str">
        <x:v>Operativo</x:v>
      </x:c>
      <x:c r="J359" s="63" t="str">
        <x:v>Alta</x:v>
      </x:c>
      <x:c r="K359" s="63" t="str">
        <x:v>Mensual</x:v>
      </x:c>
      <x:c r="L359" s="63" t="str">
        <x:v>Jornada</x:v>
      </x:c>
      <x:c r="M359" s="63" t="n">
        <x:v>12</x:v>
      </x:c>
      <x:c r="N359" s="63" t="str">
        <x:v>Coordinación SST</x:v>
      </x:c>
      <x:c r="O359" s="63" t="str">
        <x:v>Presupuesto SG-SST</x:v>
      </x:c>
      <x:c r="P359" s="63" t="str">
        <x:v>Lista de asistencia, evaluación, acta</x:v>
      </x:c>
      <x:c r="Q359" s="79" t="n">
        <x:v>527404</x:v>
      </x:c>
      <x:c r="R359" s="79" t="n">
        <x:v>492255</x:v>
      </x:c>
      <x:c r="S359" s="79" t="n">
        <x:v>-35149</x:v>
      </x:c>
      <x:c r="T359" s="75" t="n">
        <x:v>0.9333546958309</x:v>
      </x:c>
      <x:c r="U359" s="63" t="str">
        <x:v>Parcial</x:v>
      </x:c>
      <x:c r="V359" s="63" t="str">
        <x:v>Actividad con ejecución parcial o cierre financiero pendiente.</x:v>
      </x:c>
      <x:c r="W359" s="47" t="str">
        <x:v>Información a corte de mayo de 2026</x:v>
      </x:c>
    </x:row>
    <x:row r="360" ht="18" customHeight="1">
      <x:c r="A360" s="46" t="n">
        <x:v>2026</x:v>
      </x:c>
      <x:c r="B360" s="63" t="n">
        <x:v>5</x:v>
      </x:c>
      <x:c r="C360" s="63" t="str">
        <x:v>Mayo</x:v>
      </x:c>
      <x:c r="D360" s="63" t="str">
        <x:v>T2</x:v>
      </x:c>
      <x:c r="E360" s="71" t="n">
        <x:v>46173</x:v>
      </x:c>
      <x:c r="F360" s="63" t="str">
        <x:v>Higiene y seguridad industrial</x:v>
      </x:c>
      <x:c r="G360" s="63" t="str">
        <x:v>Dotación y control operacional</x:v>
      </x:c>
      <x:c r="H360" s="63" t="str">
        <x:v>Dotación y reposición de EPP</x:v>
      </x:c>
      <x:c r="I360" s="63" t="str">
        <x:v>Operativo</x:v>
      </x:c>
      <x:c r="J360" s="63" t="str">
        <x:v>Alta</x:v>
      </x:c>
      <x:c r="K360" s="63" t="str">
        <x:v>Bimestral / trimestral</x:v>
      </x:c>
      <x:c r="L360" s="63" t="str">
        <x:v>Entrega</x:v>
      </x:c>
      <x:c r="M360" s="63" t="n">
        <x:v>6</x:v>
      </x:c>
      <x:c r="N360" s="63" t="str">
        <x:v>Coordinación SST / Compras</x:v>
      </x:c>
      <x:c r="O360" s="63" t="str">
        <x:v>Presupuesto SG-SST</x:v>
      </x:c>
      <x:c r="P360" s="63" t="str">
        <x:v>Formato de entrega, factura, remisión</x:v>
      </x:c>
      <x:c r="Q360" s="79" t="n">
        <x:v>879007</x:v>
      </x:c>
      <x:c r="R360" s="79" t="n">
        <x:v>838378</x:v>
      </x:c>
      <x:c r="S360" s="79" t="n">
        <x:v>-40629</x:v>
      </x:c>
      <x:c r="T360" s="75" t="n">
        <x:v>0.9537785250856933</x:v>
      </x:c>
      <x:c r="U360" s="63" t="str">
        <x:v>Parcial</x:v>
      </x:c>
      <x:c r="V360" s="63" t="str">
        <x:v>Actividad con ejecución parcial o cierre financiero pendiente.</x:v>
      </x:c>
      <x:c r="W360" s="47" t="str">
        <x:v>Información a corte de mayo de 2026</x:v>
      </x:c>
    </x:row>
    <x:row r="361" ht="18" customHeight="1">
      <x:c r="A361" s="46" t="n">
        <x:v>2026</x:v>
      </x:c>
      <x:c r="B361" s="63" t="n">
        <x:v>5</x:v>
      </x:c>
      <x:c r="C361" s="63" t="str">
        <x:v>Mayo</x:v>
      </x:c>
      <x:c r="D361" s="63" t="str">
        <x:v>T2</x:v>
      </x:c>
      <x:c r="E361" s="71" t="n">
        <x:v>46173</x:v>
      </x:c>
      <x:c r="F361" s="63" t="str">
        <x:v>Medicina preventiva y del trabajo</x:v>
      </x:c>
      <x:c r="G361" s="63" t="str">
        <x:v>Vigilancia epidemiológica</x:v>
      </x:c>
      <x:c r="H361" s="63" t="str">
        <x:v>Evaluación de riesgo psicosocial y actividades de intervención</x:v>
      </x:c>
      <x:c r="I361" s="63" t="str">
        <x:v>Servicio</x:v>
      </x:c>
      <x:c r="J361" s="63" t="str">
        <x:v>Alta</x:v>
      </x:c>
      <x:c r="K361" s="63" t="str">
        <x:v>Periódica</x:v>
      </x:c>
      <x:c r="L361" s="63" t="str">
        <x:v>Actividad</x:v>
      </x:c>
      <x:c r="M361" s="63" t="n">
        <x:v>6</x:v>
      </x:c>
      <x:c r="N361" s="63" t="str">
        <x:v>Psicología / SST</x:v>
      </x:c>
      <x:c r="O361" s="63" t="str">
        <x:v>Presupuesto SG-SST</x:v>
      </x:c>
      <x:c r="P361" s="63" t="str">
        <x:v>Informe técnico, evidencia, plan de intervención</x:v>
      </x:c>
      <x:c r="Q361" s="79" t="n">
        <x:v>410203</x:v>
      </x:c>
      <x:c r="R361" s="79" t="n">
        <x:v>393345</x:v>
      </x:c>
      <x:c r="S361" s="79" t="n">
        <x:v>-16858</x:v>
      </x:c>
      <x:c r="T361" s="75" t="n">
        <x:v>0.9589032747200776</x:v>
      </x:c>
      <x:c r="U361" s="63" t="str">
        <x:v>Parcial</x:v>
      </x:c>
      <x:c r="V361" s="63" t="str">
        <x:v>Actividad con ejecución parcial o cierre financiero pendiente.</x:v>
      </x:c>
      <x:c r="W361" s="47" t="str">
        <x:v>Información a corte de mayo de 2026</x:v>
      </x:c>
    </x:row>
    <x:row r="362" ht="18" customHeight="1">
      <x:c r="A362" s="46" t="n">
        <x:v>2026</x:v>
      </x:c>
      <x:c r="B362" s="63" t="n">
        <x:v>5</x:v>
      </x:c>
      <x:c r="C362" s="63" t="str">
        <x:v>Mayo</x:v>
      </x:c>
      <x:c r="D362" s="63" t="str">
        <x:v>T2</x:v>
      </x:c>
      <x:c r="E362" s="71" t="n">
        <x:v>46173</x:v>
      </x:c>
      <x:c r="F362" s="63" t="str">
        <x:v>Recursos y gestión financiera</x:v>
      </x:c>
      <x:c r="G362" s="63" t="str">
        <x:v>Planeación y recursos</x:v>
      </x:c>
      <x:c r="H362" s="63" t="str">
        <x:v>Exámenes médicos ocupacionales</x:v>
      </x:c>
      <x:c r="I362" s="63" t="str">
        <x:v>Servicio</x:v>
      </x:c>
      <x:c r="J362" s="63" t="str">
        <x:v>Alta</x:v>
      </x:c>
      <x:c r="K362" s="63" t="str">
        <x:v>Semestral</x:v>
      </x:c>
      <x:c r="L362" s="63" t="str">
        <x:v>Jornada</x:v>
      </x:c>
      <x:c r="M362" s="63" t="n">
        <x:v>2</x:v>
      </x:c>
      <x:c r="N362" s="63" t="str">
        <x:v>Coordinación SST</x:v>
      </x:c>
      <x:c r="O362" s="63" t="str">
        <x:v>Presupuesto SG-SST</x:v>
      </x:c>
      <x:c r="P362" s="63" t="str">
        <x:v>Orden de servicio, factura, concepto médico</x:v>
      </x:c>
      <x:c r="Q362" s="79" t="n">
        <x:v>140641</x:v>
      </x:c>
      <x:c r="R362" s="79" t="n">
        <x:v>138285</x:v>
      </x:c>
      <x:c r="S362" s="79" t="n">
        <x:v>-2356</x:v>
      </x:c>
      <x:c r="T362" s="75" t="n">
        <x:v>0.9832481282129678</x:v>
      </x:c>
      <x:c r="U362" s="63" t="str">
        <x:v>Ejecutado</x:v>
      </x:c>
      <x:c r="V362" s="63" t="str">
        <x:v>Actividad ejecutada dentro del rango esperado.</x:v>
      </x:c>
      <x:c r="W362" s="47" t="str">
        <x:v>Información a corte de mayo de 2026</x:v>
      </x:c>
    </x:row>
    <x:row r="363" ht="18" customHeight="1">
      <x:c r="A363" s="46" t="n">
        <x:v>2026</x:v>
      </x:c>
      <x:c r="B363" s="63" t="n">
        <x:v>5</x:v>
      </x:c>
      <x:c r="C363" s="63" t="str">
        <x:v>Mayo</x:v>
      </x:c>
      <x:c r="D363" s="63" t="str">
        <x:v>T2</x:v>
      </x:c>
      <x:c r="E363" s="71" t="n">
        <x:v>46173</x:v>
      </x:c>
      <x:c r="F363" s="63" t="str">
        <x:v>Participación y consulta</x:v>
      </x:c>
      <x:c r="G363" s="63" t="str">
        <x:v>Comités de SST</x:v>
      </x:c>
      <x:c r="H363" s="63" t="str">
        <x:v>Gestión de COPASST y Comité de Convivencia</x:v>
      </x:c>
      <x:c r="I363" s="63" t="str">
        <x:v>Operativo</x:v>
      </x:c>
      <x:c r="J363" s="63" t="str">
        <x:v>Media</x:v>
      </x:c>
      <x:c r="K363" s="63" t="str">
        <x:v>Mensual</x:v>
      </x:c>
      <x:c r="L363" s="63" t="str">
        <x:v>Reunión</x:v>
      </x:c>
      <x:c r="M363" s="63" t="n">
        <x:v>12</x:v>
      </x:c>
      <x:c r="N363" s="63" t="str">
        <x:v>Talento Humano / SST</x:v>
      </x:c>
      <x:c r="O363" s="63" t="str">
        <x:v>Presupuesto SG-SST</x:v>
      </x:c>
      <x:c r="P363" s="63" t="str">
        <x:v>Acta, convocatoria, seguimiento compromisos</x:v>
      </x:c>
      <x:c r="Q363" s="79" t="n">
        <x:v>210962</x:v>
      </x:c>
      <x:c r="R363" s="79" t="n">
        <x:v>185361</x:v>
      </x:c>
      <x:c r="S363" s="79" t="n">
        <x:v>-25601</x:v>
      </x:c>
      <x:c r="T363" s="75" t="n">
        <x:v>0.8786463912932186</x:v>
      </x:c>
      <x:c r="U363" s="63" t="str">
        <x:v>Parcial</x:v>
      </x:c>
      <x:c r="V363" s="63" t="str">
        <x:v>Actividad con ejecución parcial o cierre financiero pendiente.</x:v>
      </x:c>
      <x:c r="W363" s="47" t="str">
        <x:v>Información a corte de mayo de 2026</x:v>
      </x:c>
    </x:row>
    <x:row r="364" ht="18" customHeight="1">
      <x:c r="A364" s="46" t="n">
        <x:v>2026</x:v>
      </x:c>
      <x:c r="B364" s="63" t="n">
        <x:v>5</x:v>
      </x:c>
      <x:c r="C364" s="63" t="str">
        <x:v>Mayo</x:v>
      </x:c>
      <x:c r="D364" s="63" t="str">
        <x:v>T2</x:v>
      </x:c>
      <x:c r="E364" s="71" t="n">
        <x:v>46173</x:v>
      </x:c>
      <x:c r="F364" s="63" t="str">
        <x:v>Higiene y seguridad industrial</x:v>
      </x:c>
      <x:c r="G364" s="63" t="str">
        <x:v>Inspecciones y control</x:v>
      </x:c>
      <x:c r="H364" s="63" t="str">
        <x:v>Inspecciones planeadas de seguridad</x:v>
      </x:c>
      <x:c r="I364" s="63" t="str">
        <x:v>Operativo</x:v>
      </x:c>
      <x:c r="J364" s="63" t="str">
        <x:v>Media</x:v>
      </x:c>
      <x:c r="K364" s="63" t="str">
        <x:v>Mensual</x:v>
      </x:c>
      <x:c r="L364" s="63" t="str">
        <x:v>Inspección</x:v>
      </x:c>
      <x:c r="M364" s="63" t="n">
        <x:v>12</x:v>
      </x:c>
      <x:c r="N364" s="63" t="str">
        <x:v>Inspector SST</x:v>
      </x:c>
      <x:c r="O364" s="63" t="str">
        <x:v>Presupuesto SG-SST</x:v>
      </x:c>
      <x:c r="P364" s="63" t="str">
        <x:v>Lista de chequeo, informe, evidencia fotográfica</x:v>
      </x:c>
      <x:c r="Q364" s="79" t="n">
        <x:v>316442</x:v>
      </x:c>
      <x:c r="R364" s="79" t="n">
        <x:v>306081</x:v>
      </x:c>
      <x:c r="S364" s="79" t="n">
        <x:v>-10361</x:v>
      </x:c>
      <x:c r="T364" s="75" t="n">
        <x:v>0.9672578229185759</x:v>
      </x:c>
      <x:c r="U364" s="63" t="str">
        <x:v>Parcial</x:v>
      </x:c>
      <x:c r="V364" s="63" t="str">
        <x:v>Actividad con ejecución parcial o cierre financiero pendiente.</x:v>
      </x:c>
      <x:c r="W364" s="47" t="str">
        <x:v>Información a corte de mayo de 2026</x:v>
      </x:c>
    </x:row>
    <x:row r="365" ht="18" customHeight="1">
      <x:c r="A365" s="46" t="n">
        <x:v>2026</x:v>
      </x:c>
      <x:c r="B365" s="63" t="n">
        <x:v>5</x:v>
      </x:c>
      <x:c r="C365" s="63" t="str">
        <x:v>Mayo</x:v>
      </x:c>
      <x:c r="D365" s="63" t="str">
        <x:v>T2</x:v>
      </x:c>
      <x:c r="E365" s="71" t="n">
        <x:v>46173</x:v>
      </x:c>
      <x:c r="F365" s="63" t="str">
        <x:v>Mejora continua y cumplimiento</x:v>
      </x:c>
      <x:c r="G365" s="63" t="str">
        <x:v>Gestión de incidentes y mejora</x:v>
      </x:c>
      <x:c r="H365" s="63" t="str">
        <x:v>Investigación de AT/EL y acciones correctivas</x:v>
      </x:c>
      <x:c r="I365" s="63" t="str">
        <x:v>Operativo</x:v>
      </x:c>
      <x:c r="J365" s="63" t="str">
        <x:v>Media</x:v>
      </x:c>
      <x:c r="K365" s="63" t="str">
        <x:v>Mensual</x:v>
      </x:c>
      <x:c r="L365" s="63" t="str">
        <x:v>Seguimiento</x:v>
      </x:c>
      <x:c r="M365" s="63" t="n">
        <x:v>12</x:v>
      </x:c>
      <x:c r="N365" s="63" t="str">
        <x:v>SST / Jefes de área</x:v>
      </x:c>
      <x:c r="O365" s="63" t="str">
        <x:v>Presupuesto SG-SST</x:v>
      </x:c>
      <x:c r="P365" s="63" t="str">
        <x:v>Investigación, plan de acción, evidencia de cierre</x:v>
      </x:c>
      <x:c r="Q365" s="79" t="n">
        <x:v>263702</x:v>
      </x:c>
      <x:c r="R365" s="79" t="n">
        <x:v>235938</x:v>
      </x:c>
      <x:c r="S365" s="79" t="n">
        <x:v>-27764</x:v>
      </x:c>
      <x:c r="T365" s="75" t="n">
        <x:v>0.8947144883239414</x:v>
      </x:c>
      <x:c r="U365" s="63" t="str">
        <x:v>Parcial</x:v>
      </x:c>
      <x:c r="V365" s="63" t="str">
        <x:v>Actividad con ejecución parcial o cierre financiero pendiente.</x:v>
      </x:c>
      <x:c r="W365" s="47" t="str">
        <x:v>Información a corte de mayo de 2026</x:v>
      </x:c>
    </x:row>
    <x:row r="366" ht="18" customHeight="1">
      <x:c r="A366" s="46" t="n">
        <x:v>2026</x:v>
      </x:c>
      <x:c r="B366" s="63" t="n">
        <x:v>5</x:v>
      </x:c>
      <x:c r="C366" s="63" t="str">
        <x:v>Mayo</x:v>
      </x:c>
      <x:c r="D366" s="63" t="str">
        <x:v>T2</x:v>
      </x:c>
      <x:c r="E366" s="71" t="n">
        <x:v>46173</x:v>
      </x:c>
      <x:c r="F366" s="63" t="str">
        <x:v>Medicina preventiva y del trabajo</x:v>
      </x:c>
      <x:c r="G366" s="63" t="str">
        <x:v>Programas de vigilancia epidemiológica</x:v>
      </x:c>
      <x:c r="H366" s="63" t="str">
        <x:v>Programas de vigilancia epidemiológica y seguimiento médico</x:v>
      </x:c>
      <x:c r="I366" s="63" t="str">
        <x:v>Servicio</x:v>
      </x:c>
      <x:c r="J366" s="63" t="str">
        <x:v>Alta</x:v>
      </x:c>
      <x:c r="K366" s="63" t="str">
        <x:v>Mensual</x:v>
      </x:c>
      <x:c r="L366" s="63" t="str">
        <x:v>Seguimiento</x:v>
      </x:c>
      <x:c r="M366" s="63" t="n">
        <x:v>12</x:v>
      </x:c>
      <x:c r="N366" s="63" t="str">
        <x:v>Médico laboral / SST</x:v>
      </x:c>
      <x:c r="O366" s="63" t="str">
        <x:v>Presupuesto SG-SST</x:v>
      </x:c>
      <x:c r="P366" s="63" t="str">
        <x:v>Base de seguimiento, informe, remisiones</x:v>
      </x:c>
      <x:c r="Q366" s="79" t="n">
        <x:v>656325</x:v>
      </x:c>
      <x:c r="R366" s="79" t="n">
        <x:v>631709</x:v>
      </x:c>
      <x:c r="S366" s="79" t="n">
        <x:v>-24616</x:v>
      </x:c>
      <x:c r="T366" s="75" t="n">
        <x:v>0.9624941911400602</x:v>
      </x:c>
      <x:c r="U366" s="63" t="str">
        <x:v>Parcial</x:v>
      </x:c>
      <x:c r="V366" s="63" t="str">
        <x:v>Actividad con ejecución parcial o cierre financiero pendiente.</x:v>
      </x:c>
      <x:c r="W366" s="47" t="str">
        <x:v>Información a corte de mayo de 2026</x:v>
      </x:c>
    </x:row>
    <x:row r="367" ht="18" customHeight="1">
      <x:c r="A367" s="46" t="n">
        <x:v>2026</x:v>
      </x:c>
      <x:c r="B367" s="63" t="n">
        <x:v>5</x:v>
      </x:c>
      <x:c r="C367" s="63" t="str">
        <x:v>Mayo</x:v>
      </x:c>
      <x:c r="D367" s="63" t="str">
        <x:v>T2</x:v>
      </x:c>
      <x:c r="E367" s="71" t="n">
        <x:v>46173</x:v>
      </x:c>
      <x:c r="F367" s="63" t="str">
        <x:v>Higiene y seguridad industrial</x:v>
      </x:c>
      <x:c r="G367" s="63" t="str">
        <x:v>Señalización y control visual</x:v>
      </x:c>
      <x:c r="H367" s="63" t="str">
        <x:v>Señalización, demarcación y avisos de seguridad</x:v>
      </x:c>
      <x:c r="I367" s="63" t="str">
        <x:v>Operativo</x:v>
      </x:c>
      <x:c r="J367" s="63" t="str">
        <x:v>Media</x:v>
      </x:c>
      <x:c r="K367" s="63" t="str">
        <x:v>Periódica</x:v>
      </x:c>
      <x:c r="L367" s="63" t="str">
        <x:v>Intervención</x:v>
      </x:c>
      <x:c r="M367" s="63" t="n">
        <x:v>5</x:v>
      </x:c>
      <x:c r="N367" s="63" t="str">
        <x:v>SST / Mantenimiento</x:v>
      </x:c>
      <x:c r="O367" s="63" t="str">
        <x:v>Presupuesto SG-SST</x:v>
      </x:c>
      <x:c r="P367" s="63" t="str">
        <x:v>Acta de instalación, factura, inventario</x:v>
      </x:c>
      <x:c r="Q367" s="79" t="n">
        <x:v>439503</x:v>
      </x:c>
      <x:c r="R367" s="79" t="n">
        <x:v>397999</x:v>
      </x:c>
      <x:c r="S367" s="79" t="n">
        <x:v>-41504</x:v>
      </x:c>
      <x:c r="T367" s="75" t="n">
        <x:v>0.9055660598448703</x:v>
      </x:c>
      <x:c r="U367" s="63" t="str">
        <x:v>Parcial</x:v>
      </x:c>
      <x:c r="V367" s="63" t="str">
        <x:v>Actividad con ejecución parcial o cierre financiero pendiente.</x:v>
      </x:c>
      <x:c r="W367" s="47" t="str">
        <x:v>Información a corte de mayo de 2026</x:v>
      </x:c>
    </x:row>
    <x:row r="368" ht="18" customHeight="1">
      <x:c r="A368" s="46" t="n">
        <x:v>2026</x:v>
      </x:c>
      <x:c r="B368" s="63" t="n">
        <x:v>6</x:v>
      </x:c>
      <x:c r="C368" s="63" t="str">
        <x:v>Junio</x:v>
      </x:c>
      <x:c r="D368" s="63" t="str">
        <x:v>T2</x:v>
      </x:c>
      <x:c r="E368" s="71" t="n">
        <x:v>46203</x:v>
      </x:c>
      <x:c r="F368" s="63" t="str">
        <x:v>Mejora continua y cumplimiento</x:v>
      </x:c>
      <x:c r="G368" s="63" t="str">
        <x:v>Auditoría y revisión por la dirección</x:v>
      </x:c>
      <x:c r="H368" s="63" t="str">
        <x:v>Auditoría interna, autoevaluación y revisión gerencial</x:v>
      </x:c>
      <x:c r="I368" s="63" t="str">
        <x:v>Servicio</x:v>
      </x:c>
      <x:c r="J368" s="63" t="str">
        <x:v>Alta</x:v>
      </x:c>
      <x:c r="K368" s="63" t="str">
        <x:v>Trimestral</x:v>
      </x:c>
      <x:c r="L368" s="63" t="str">
        <x:v>Hito</x:v>
      </x:c>
      <x:c r="M368" s="63" t="n">
        <x:v>4</x:v>
      </x:c>
      <x:c r="N368" s="63" t="str">
        <x:v>Líder HSEQ / Gerencia</x:v>
      </x:c>
      <x:c r="O368" s="63" t="str">
        <x:v>Presupuesto SG-SST</x:v>
      </x:c>
      <x:c r="P368" s="63" t="str">
        <x:v>Informe de auditoría, acta, plan de mejora</x:v>
      </x:c>
      <x:c r="Q368" s="79" t="n">
        <x:v>468804</x:v>
      </x:c>
      <x:c r="R368" s="79" t="n">
        <x:v>0</x:v>
      </x:c>
      <x:c r="S368" s="79" t="n">
        <x:v>-468804</x:v>
      </x:c>
      <x:c r="T368" s="75" t="n">
        <x:v>0</x:v>
      </x:c>
      <x:c r="U368" s="63" t="str">
        <x:v>Programado</x:v>
      </x:c>
      <x:c r="V368" s="63" t="str">
        <x:v>Mes programado sin ejecución al corte de mayo de 2026.</x:v>
      </x:c>
      <x:c r="W368" s="47" t="str">
        <x:v>Información a corte de mayo de 2026</x:v>
      </x:c>
    </x:row>
    <x:row r="369" ht="18" customHeight="1">
      <x:c r="A369" s="46" t="n">
        <x:v>2026</x:v>
      </x:c>
      <x:c r="B369" s="63" t="n">
        <x:v>6</x:v>
      </x:c>
      <x:c r="C369" s="63" t="str">
        <x:v>Junio</x:v>
      </x:c>
      <x:c r="D369" s="63" t="str">
        <x:v>T2</x:v>
      </x:c>
      <x:c r="E369" s="71" t="n">
        <x:v>46203</x:v>
      </x:c>
      <x:c r="F369" s="63" t="str">
        <x:v>Capacitación y entrenamiento</x:v>
      </x:c>
      <x:c r="G369" s="63" t="str">
        <x:v>Plan anual de formación</x:v>
      </x:c>
      <x:c r="H369" s="63" t="str">
        <x:v>Capacitación y entrenamiento en SG-SST</x:v>
      </x:c>
      <x:c r="I369" s="63" t="str">
        <x:v>Operativo</x:v>
      </x:c>
      <x:c r="J369" s="63" t="str">
        <x:v>Alta</x:v>
      </x:c>
      <x:c r="K369" s="63" t="str">
        <x:v>Mensual</x:v>
      </x:c>
      <x:c r="L369" s="63" t="str">
        <x:v>Jornada</x:v>
      </x:c>
      <x:c r="M369" s="63" t="n">
        <x:v>12</x:v>
      </x:c>
      <x:c r="N369" s="63" t="str">
        <x:v>Coordinación SST</x:v>
      </x:c>
      <x:c r="O369" s="63" t="str">
        <x:v>Presupuesto SG-SST</x:v>
      </x:c>
      <x:c r="P369" s="63" t="str">
        <x:v>Lista de asistencia, evaluación, acta</x:v>
      </x:c>
      <x:c r="Q369" s="79" t="n">
        <x:v>468804</x:v>
      </x:c>
      <x:c r="R369" s="79" t="n">
        <x:v>0</x:v>
      </x:c>
      <x:c r="S369" s="79" t="n">
        <x:v>-468804</x:v>
      </x:c>
      <x:c r="T369" s="75" t="n">
        <x:v>0</x:v>
      </x:c>
      <x:c r="U369" s="63" t="str">
        <x:v>Programado</x:v>
      </x:c>
      <x:c r="V369" s="63" t="str">
        <x:v>Mes programado sin ejecución al corte de mayo de 2026.</x:v>
      </x:c>
      <x:c r="W369" s="47" t="str">
        <x:v>Información a corte de mayo de 2026</x:v>
      </x:c>
    </x:row>
    <x:row r="370" ht="18" customHeight="1">
      <x:c r="A370" s="46" t="n">
        <x:v>2026</x:v>
      </x:c>
      <x:c r="B370" s="63" t="n">
        <x:v>6</x:v>
      </x:c>
      <x:c r="C370" s="63" t="str">
        <x:v>Junio</x:v>
      </x:c>
      <x:c r="D370" s="63" t="str">
        <x:v>T2</x:v>
      </x:c>
      <x:c r="E370" s="71" t="n">
        <x:v>46203</x:v>
      </x:c>
      <x:c r="F370" s="63" t="str">
        <x:v>Medicina preventiva y del trabajo</x:v>
      </x:c>
      <x:c r="G370" s="63" t="str">
        <x:v>Vigilancia epidemiológica</x:v>
      </x:c>
      <x:c r="H370" s="63" t="str">
        <x:v>Evaluación de riesgo psicosocial y actividades de intervención</x:v>
      </x:c>
      <x:c r="I370" s="63" t="str">
        <x:v>Servicio</x:v>
      </x:c>
      <x:c r="J370" s="63" t="str">
        <x:v>Alta</x:v>
      </x:c>
      <x:c r="K370" s="63" t="str">
        <x:v>Periódica</x:v>
      </x:c>
      <x:c r="L370" s="63" t="str">
        <x:v>Actividad</x:v>
      </x:c>
      <x:c r="M370" s="63" t="n">
        <x:v>6</x:v>
      </x:c>
      <x:c r="N370" s="63" t="str">
        <x:v>Psicología / SST</x:v>
      </x:c>
      <x:c r="O370" s="63" t="str">
        <x:v>Presupuesto SG-SST</x:v>
      </x:c>
      <x:c r="P370" s="63" t="str">
        <x:v>Informe técnico, evidencia, plan de intervención</x:v>
      </x:c>
      <x:c r="Q370" s="79" t="n">
        <x:v>410203</x:v>
      </x:c>
      <x:c r="R370" s="79" t="n">
        <x:v>0</x:v>
      </x:c>
      <x:c r="S370" s="79" t="n">
        <x:v>-410203</x:v>
      </x:c>
      <x:c r="T370" s="75" t="n">
        <x:v>0</x:v>
      </x:c>
      <x:c r="U370" s="63" t="str">
        <x:v>Programado</x:v>
      </x:c>
      <x:c r="V370" s="63" t="str">
        <x:v>Mes programado sin ejecución al corte de mayo de 2026.</x:v>
      </x:c>
      <x:c r="W370" s="47" t="str">
        <x:v>Información a corte de mayo de 2026</x:v>
      </x:c>
    </x:row>
    <x:row r="371" ht="18" customHeight="1">
      <x:c r="A371" s="46" t="n">
        <x:v>2026</x:v>
      </x:c>
      <x:c r="B371" s="63" t="n">
        <x:v>6</x:v>
      </x:c>
      <x:c r="C371" s="63" t="str">
        <x:v>Junio</x:v>
      </x:c>
      <x:c r="D371" s="63" t="str">
        <x:v>T2</x:v>
      </x:c>
      <x:c r="E371" s="71" t="n">
        <x:v>46203</x:v>
      </x:c>
      <x:c r="F371" s="63" t="str">
        <x:v>Recursos y gestión financiera</x:v>
      </x:c>
      <x:c r="G371" s="63" t="str">
        <x:v>Planeación y recursos</x:v>
      </x:c>
      <x:c r="H371" s="63" t="str">
        <x:v>Exámenes médicos ocupacionales</x:v>
      </x:c>
      <x:c r="I371" s="63" t="str">
        <x:v>Servicio</x:v>
      </x:c>
      <x:c r="J371" s="63" t="str">
        <x:v>Alta</x:v>
      </x:c>
      <x:c r="K371" s="63" t="str">
        <x:v>Semestral</x:v>
      </x:c>
      <x:c r="L371" s="63" t="str">
        <x:v>Jornada</x:v>
      </x:c>
      <x:c r="M371" s="63" t="n">
        <x:v>2</x:v>
      </x:c>
      <x:c r="N371" s="63" t="str">
        <x:v>Coordinación SST</x:v>
      </x:c>
      <x:c r="O371" s="63" t="str">
        <x:v>Presupuesto SG-SST</x:v>
      </x:c>
      <x:c r="P371" s="63" t="str">
        <x:v>Orden de servicio, factura, concepto médico</x:v>
      </x:c>
      <x:c r="Q371" s="79" t="n">
        <x:v>210962</x:v>
      </x:c>
      <x:c r="R371" s="79" t="n">
        <x:v>0</x:v>
      </x:c>
      <x:c r="S371" s="79" t="n">
        <x:v>-210962</x:v>
      </x:c>
      <x:c r="T371" s="75" t="n">
        <x:v>0</x:v>
      </x:c>
      <x:c r="U371" s="63" t="str">
        <x:v>Programado</x:v>
      </x:c>
      <x:c r="V371" s="63" t="str">
        <x:v>Mes programado sin ejecución al corte de mayo de 2026.</x:v>
      </x:c>
      <x:c r="W371" s="47" t="str">
        <x:v>Información a corte de mayo de 2026</x:v>
      </x:c>
    </x:row>
    <x:row r="372" ht="18" customHeight="1">
      <x:c r="A372" s="46" t="n">
        <x:v>2026</x:v>
      </x:c>
      <x:c r="B372" s="63" t="n">
        <x:v>6</x:v>
      </x:c>
      <x:c r="C372" s="63" t="str">
        <x:v>Junio</x:v>
      </x:c>
      <x:c r="D372" s="63" t="str">
        <x:v>T2</x:v>
      </x:c>
      <x:c r="E372" s="71" t="n">
        <x:v>46203</x:v>
      </x:c>
      <x:c r="F372" s="63" t="str">
        <x:v>Participación y consulta</x:v>
      </x:c>
      <x:c r="G372" s="63" t="str">
        <x:v>Comités de SST</x:v>
      </x:c>
      <x:c r="H372" s="63" t="str">
        <x:v>Gestión de COPASST y Comité de Convivencia</x:v>
      </x:c>
      <x:c r="I372" s="63" t="str">
        <x:v>Operativo</x:v>
      </x:c>
      <x:c r="J372" s="63" t="str">
        <x:v>Media</x:v>
      </x:c>
      <x:c r="K372" s="63" t="str">
        <x:v>Mensual</x:v>
      </x:c>
      <x:c r="L372" s="63" t="str">
        <x:v>Reunión</x:v>
      </x:c>
      <x:c r="M372" s="63" t="n">
        <x:v>12</x:v>
      </x:c>
      <x:c r="N372" s="63" t="str">
        <x:v>Talento Humano / SST</x:v>
      </x:c>
      <x:c r="O372" s="63" t="str">
        <x:v>Presupuesto SG-SST</x:v>
      </x:c>
      <x:c r="P372" s="63" t="str">
        <x:v>Acta, convocatoria, seguimiento compromisos</x:v>
      </x:c>
      <x:c r="Q372" s="79" t="n">
        <x:v>187521</x:v>
      </x:c>
      <x:c r="R372" s="79" t="n">
        <x:v>0</x:v>
      </x:c>
      <x:c r="S372" s="79" t="n">
        <x:v>-187521</x:v>
      </x:c>
      <x:c r="T372" s="75" t="n">
        <x:v>0</x:v>
      </x:c>
      <x:c r="U372" s="63" t="str">
        <x:v>Programado</x:v>
      </x:c>
      <x:c r="V372" s="63" t="str">
        <x:v>Mes programado sin ejecución al corte de mayo de 2026.</x:v>
      </x:c>
      <x:c r="W372" s="47" t="str">
        <x:v>Información a corte de mayo de 2026</x:v>
      </x:c>
    </x:row>
    <x:row r="373" ht="18" customHeight="1">
      <x:c r="A373" s="46" t="n">
        <x:v>2026</x:v>
      </x:c>
      <x:c r="B373" s="63" t="n">
        <x:v>6</x:v>
      </x:c>
      <x:c r="C373" s="63" t="str">
        <x:v>Junio</x:v>
      </x:c>
      <x:c r="D373" s="63" t="str">
        <x:v>T2</x:v>
      </x:c>
      <x:c r="E373" s="71" t="n">
        <x:v>46203</x:v>
      </x:c>
      <x:c r="F373" s="63" t="str">
        <x:v>Higiene y seguridad industrial</x:v>
      </x:c>
      <x:c r="G373" s="63" t="str">
        <x:v>Inspecciones y control</x:v>
      </x:c>
      <x:c r="H373" s="63" t="str">
        <x:v>Inspecciones planeadas de seguridad</x:v>
      </x:c>
      <x:c r="I373" s="63" t="str">
        <x:v>Operativo</x:v>
      </x:c>
      <x:c r="J373" s="63" t="str">
        <x:v>Media</x:v>
      </x:c>
      <x:c r="K373" s="63" t="str">
        <x:v>Mensual</x:v>
      </x:c>
      <x:c r="L373" s="63" t="str">
        <x:v>Inspección</x:v>
      </x:c>
      <x:c r="M373" s="63" t="n">
        <x:v>12</x:v>
      </x:c>
      <x:c r="N373" s="63" t="str">
        <x:v>Inspector SST</x:v>
      </x:c>
      <x:c r="O373" s="63" t="str">
        <x:v>Presupuesto SG-SST</x:v>
      </x:c>
      <x:c r="P373" s="63" t="str">
        <x:v>Lista de chequeo, informe, evidencia fotográfica</x:v>
      </x:c>
      <x:c r="Q373" s="79" t="n">
        <x:v>281282</x:v>
      </x:c>
      <x:c r="R373" s="79" t="n">
        <x:v>0</x:v>
      </x:c>
      <x:c r="S373" s="79" t="n">
        <x:v>-281282</x:v>
      </x:c>
      <x:c r="T373" s="75" t="n">
        <x:v>0</x:v>
      </x:c>
      <x:c r="U373" s="63" t="str">
        <x:v>Programado</x:v>
      </x:c>
      <x:c r="V373" s="63" t="str">
        <x:v>Mes programado sin ejecución al corte de mayo de 2026.</x:v>
      </x:c>
      <x:c r="W373" s="47" t="str">
        <x:v>Información a corte de mayo de 2026</x:v>
      </x:c>
    </x:row>
    <x:row r="374" ht="18" customHeight="1">
      <x:c r="A374" s="46" t="n">
        <x:v>2026</x:v>
      </x:c>
      <x:c r="B374" s="63" t="n">
        <x:v>6</x:v>
      </x:c>
      <x:c r="C374" s="63" t="str">
        <x:v>Junio</x:v>
      </x:c>
      <x:c r="D374" s="63" t="str">
        <x:v>T2</x:v>
      </x:c>
      <x:c r="E374" s="71" t="n">
        <x:v>46203</x:v>
      </x:c>
      <x:c r="F374" s="63" t="str">
        <x:v>Mejora continua y cumplimiento</x:v>
      </x:c>
      <x:c r="G374" s="63" t="str">
        <x:v>Gestión de incidentes y mejora</x:v>
      </x:c>
      <x:c r="H374" s="63" t="str">
        <x:v>Investigación de AT/EL y acciones correctivas</x:v>
      </x:c>
      <x:c r="I374" s="63" t="str">
        <x:v>Operativo</x:v>
      </x:c>
      <x:c r="J374" s="63" t="str">
        <x:v>Media</x:v>
      </x:c>
      <x:c r="K374" s="63" t="str">
        <x:v>Mensual</x:v>
      </x:c>
      <x:c r="L374" s="63" t="str">
        <x:v>Seguimiento</x:v>
      </x:c>
      <x:c r="M374" s="63" t="n">
        <x:v>12</x:v>
      </x:c>
      <x:c r="N374" s="63" t="str">
        <x:v>SST / Jefes de área</x:v>
      </x:c>
      <x:c r="O374" s="63" t="str">
        <x:v>Presupuesto SG-SST</x:v>
      </x:c>
      <x:c r="P374" s="63" t="str">
        <x:v>Investigación, plan de acción, evidencia de cierre</x:v>
      </x:c>
      <x:c r="Q374" s="79" t="n">
        <x:v>234402</x:v>
      </x:c>
      <x:c r="R374" s="79" t="n">
        <x:v>0</x:v>
      </x:c>
      <x:c r="S374" s="79" t="n">
        <x:v>-234402</x:v>
      </x:c>
      <x:c r="T374" s="75" t="n">
        <x:v>0</x:v>
      </x:c>
      <x:c r="U374" s="63" t="str">
        <x:v>Programado</x:v>
      </x:c>
      <x:c r="V374" s="63" t="str">
        <x:v>Mes programado sin ejecución al corte de mayo de 2026.</x:v>
      </x:c>
      <x:c r="W374" s="47" t="str">
        <x:v>Información a corte de mayo de 2026</x:v>
      </x:c>
    </x:row>
    <x:row r="375" ht="18" customHeight="1">
      <x:c r="A375" s="46" t="n">
        <x:v>2026</x:v>
      </x:c>
      <x:c r="B375" s="63" t="n">
        <x:v>6</x:v>
      </x:c>
      <x:c r="C375" s="63" t="str">
        <x:v>Junio</x:v>
      </x:c>
      <x:c r="D375" s="63" t="str">
        <x:v>T2</x:v>
      </x:c>
      <x:c r="E375" s="71" t="n">
        <x:v>46203</x:v>
      </x:c>
      <x:c r="F375" s="63" t="str">
        <x:v>Emergencias e infraestructura</x:v>
      </x:c>
      <x:c r="G375" s="63" t="str">
        <x:v>Preparación y respuesta ante emergencias</x:v>
      </x:c>
      <x:c r="H375" s="63" t="str">
        <x:v>Mantenimiento de extintores, botiquines y equipos de emergencia</x:v>
      </x:c>
      <x:c r="I375" s="63" t="str">
        <x:v>Servicio</x:v>
      </x:c>
      <x:c r="J375" s="63" t="str">
        <x:v>Alta</x:v>
      </x:c>
      <x:c r="K375" s="63" t="str">
        <x:v>Bimestral / semestral</x:v>
      </x:c>
      <x:c r="L375" s="63" t="str">
        <x:v>Mantenimiento</x:v>
      </x:c>
      <x:c r="M375" s="63" t="n">
        <x:v>6</x:v>
      </x:c>
      <x:c r="N375" s="63" t="str">
        <x:v>Brigada / SST</x:v>
      </x:c>
      <x:c r="O375" s="63" t="str">
        <x:v>Presupuesto SG-SST</x:v>
      </x:c>
      <x:c r="P375" s="63" t="str">
        <x:v>Certificado, factura, hoja de vida del equipo</x:v>
      </x:c>
      <x:c r="Q375" s="79" t="n">
        <x:v>1031368</x:v>
      </x:c>
      <x:c r="R375" s="79" t="n">
        <x:v>0</x:v>
      </x:c>
      <x:c r="S375" s="79" t="n">
        <x:v>-1031368</x:v>
      </x:c>
      <x:c r="T375" s="75" t="n">
        <x:v>0</x:v>
      </x:c>
      <x:c r="U375" s="63" t="str">
        <x:v>Programado</x:v>
      </x:c>
      <x:c r="V375" s="63" t="str">
        <x:v>Mes programado sin ejecución al corte de mayo de 2026.</x:v>
      </x:c>
      <x:c r="W375" s="47" t="str">
        <x:v>Información a corte de mayo de 2026</x:v>
      </x:c>
    </x:row>
    <x:row r="376" ht="18" customHeight="1">
      <x:c r="A376" s="46" t="n">
        <x:v>2026</x:v>
      </x:c>
      <x:c r="B376" s="63" t="n">
        <x:v>6</x:v>
      </x:c>
      <x:c r="C376" s="63" t="str">
        <x:v>Junio</x:v>
      </x:c>
      <x:c r="D376" s="63" t="str">
        <x:v>T2</x:v>
      </x:c>
      <x:c r="E376" s="71" t="n">
        <x:v>46203</x:v>
      </x:c>
      <x:c r="F376" s="63" t="str">
        <x:v>Medicina preventiva y del trabajo</x:v>
      </x:c>
      <x:c r="G376" s="63" t="str">
        <x:v>Programas de vigilancia epidemiológica</x:v>
      </x:c>
      <x:c r="H376" s="63" t="str">
        <x:v>Programas de vigilancia epidemiológica y seguimiento médico</x:v>
      </x:c>
      <x:c r="I376" s="63" t="str">
        <x:v>Servicio</x:v>
      </x:c>
      <x:c r="J376" s="63" t="str">
        <x:v>Alta</x:v>
      </x:c>
      <x:c r="K376" s="63" t="str">
        <x:v>Mensual</x:v>
      </x:c>
      <x:c r="L376" s="63" t="str">
        <x:v>Seguimiento</x:v>
      </x:c>
      <x:c r="M376" s="63" t="n">
        <x:v>12</x:v>
      </x:c>
      <x:c r="N376" s="63" t="str">
        <x:v>Médico laboral / SST</x:v>
      </x:c>
      <x:c r="O376" s="63" t="str">
        <x:v>Presupuesto SG-SST</x:v>
      </x:c>
      <x:c r="P376" s="63" t="str">
        <x:v>Base de seguimiento, informe, remisiones</x:v>
      </x:c>
      <x:c r="Q376" s="79" t="n">
        <x:v>656325</x:v>
      </x:c>
      <x:c r="R376" s="79" t="n">
        <x:v>0</x:v>
      </x:c>
      <x:c r="S376" s="79" t="n">
        <x:v>-656325</x:v>
      </x:c>
      <x:c r="T376" s="75" t="n">
        <x:v>0</x:v>
      </x:c>
      <x:c r="U376" s="63" t="str">
        <x:v>Programado</x:v>
      </x:c>
      <x:c r="V376" s="63" t="str">
        <x:v>Mes programado sin ejecución al corte de mayo de 2026.</x:v>
      </x:c>
      <x:c r="W376" s="47" t="str">
        <x:v>Información a corte de mayo de 2026</x:v>
      </x:c>
    </x:row>
    <x:row r="377" ht="18" customHeight="1">
      <x:c r="A377" s="46" t="n">
        <x:v>2026</x:v>
      </x:c>
      <x:c r="B377" s="63" t="n">
        <x:v>7</x:v>
      </x:c>
      <x:c r="C377" s="63" t="str">
        <x:v>Julio</x:v>
      </x:c>
      <x:c r="D377" s="63" t="str">
        <x:v>T3</x:v>
      </x:c>
      <x:c r="E377" s="71" t="n">
        <x:v>46234</x:v>
      </x:c>
      <x:c r="F377" s="63" t="str">
        <x:v>Capacitación y entrenamiento</x:v>
      </x:c>
      <x:c r="G377" s="63" t="str">
        <x:v>Plan anual de formación</x:v>
      </x:c>
      <x:c r="H377" s="63" t="str">
        <x:v>Capacitación y entrenamiento en SG-SST</x:v>
      </x:c>
      <x:c r="I377" s="63" t="str">
        <x:v>Operativo</x:v>
      </x:c>
      <x:c r="J377" s="63" t="str">
        <x:v>Alta</x:v>
      </x:c>
      <x:c r="K377" s="63" t="str">
        <x:v>Mensual</x:v>
      </x:c>
      <x:c r="L377" s="63" t="str">
        <x:v>Jornada</x:v>
      </x:c>
      <x:c r="M377" s="63" t="n">
        <x:v>12</x:v>
      </x:c>
      <x:c r="N377" s="63" t="str">
        <x:v>Coordinación SST</x:v>
      </x:c>
      <x:c r="O377" s="63" t="str">
        <x:v>Presupuesto SG-SST</x:v>
      </x:c>
      <x:c r="P377" s="63" t="str">
        <x:v>Lista de asistencia, evaluación, acta</x:v>
      </x:c>
      <x:c r="Q377" s="79" t="n">
        <x:v>468804</x:v>
      </x:c>
      <x:c r="R377" s="79" t="n">
        <x:v>0</x:v>
      </x:c>
      <x:c r="S377" s="79" t="n">
        <x:v>-468804</x:v>
      </x:c>
      <x:c r="T377" s="75" t="n">
        <x:v>0</x:v>
      </x:c>
      <x:c r="U377" s="63" t="str">
        <x:v>Programado</x:v>
      </x:c>
      <x:c r="V377" s="63" t="str">
        <x:v>Mes programado sin ejecución al corte de mayo de 2026.</x:v>
      </x:c>
      <x:c r="W377" s="47" t="str">
        <x:v>Información a corte de mayo de 2026</x:v>
      </x:c>
    </x:row>
    <x:row r="378" ht="18" customHeight="1">
      <x:c r="A378" s="46" t="n">
        <x:v>2026</x:v>
      </x:c>
      <x:c r="B378" s="63" t="n">
        <x:v>7</x:v>
      </x:c>
      <x:c r="C378" s="63" t="str">
        <x:v>Julio</x:v>
      </x:c>
      <x:c r="D378" s="63" t="str">
        <x:v>T3</x:v>
      </x:c>
      <x:c r="E378" s="71" t="n">
        <x:v>46234</x:v>
      </x:c>
      <x:c r="F378" s="63" t="str">
        <x:v>Higiene y seguridad industrial</x:v>
      </x:c>
      <x:c r="G378" s="63" t="str">
        <x:v>Dotación y control operacional</x:v>
      </x:c>
      <x:c r="H378" s="63" t="str">
        <x:v>Dotación y reposición de EPP</x:v>
      </x:c>
      <x:c r="I378" s="63" t="str">
        <x:v>Operativo</x:v>
      </x:c>
      <x:c r="J378" s="63" t="str">
        <x:v>Alta</x:v>
      </x:c>
      <x:c r="K378" s="63" t="str">
        <x:v>Bimestral / trimestral</x:v>
      </x:c>
      <x:c r="L378" s="63" t="str">
        <x:v>Entrega</x:v>
      </x:c>
      <x:c r="M378" s="63" t="n">
        <x:v>6</x:v>
      </x:c>
      <x:c r="N378" s="63" t="str">
        <x:v>Coordinación SST / Compras</x:v>
      </x:c>
      <x:c r="O378" s="63" t="str">
        <x:v>Presupuesto SG-SST</x:v>
      </x:c>
      <x:c r="P378" s="63" t="str">
        <x:v>Formato de entrega, factura, remisión</x:v>
      </x:c>
      <x:c r="Q378" s="79" t="n">
        <x:v>1582212</x:v>
      </x:c>
      <x:c r="R378" s="79" t="n">
        <x:v>0</x:v>
      </x:c>
      <x:c r="S378" s="79" t="n">
        <x:v>-1582212</x:v>
      </x:c>
      <x:c r="T378" s="75" t="n">
        <x:v>0</x:v>
      </x:c>
      <x:c r="U378" s="63" t="str">
        <x:v>Programado</x:v>
      </x:c>
      <x:c r="V378" s="63" t="str">
        <x:v>Mes programado sin ejecución al corte de mayo de 2026.</x:v>
      </x:c>
      <x:c r="W378" s="47" t="str">
        <x:v>Información a corte de mayo de 2026</x:v>
      </x:c>
    </x:row>
    <x:row r="379" ht="18" customHeight="1">
      <x:c r="A379" s="46" t="n">
        <x:v>2026</x:v>
      </x:c>
      <x:c r="B379" s="63" t="n">
        <x:v>7</x:v>
      </x:c>
      <x:c r="C379" s="63" t="str">
        <x:v>Julio</x:v>
      </x:c>
      <x:c r="D379" s="63" t="str">
        <x:v>T3</x:v>
      </x:c>
      <x:c r="E379" s="71" t="n">
        <x:v>46234</x:v>
      </x:c>
      <x:c r="F379" s="63" t="str">
        <x:v>Recursos y gestión financiera</x:v>
      </x:c>
      <x:c r="G379" s="63" t="str">
        <x:v>Planeación y recursos</x:v>
      </x:c>
      <x:c r="H379" s="63" t="str">
        <x:v>Exámenes médicos ocupacionales</x:v>
      </x:c>
      <x:c r="I379" s="63" t="str">
        <x:v>Servicio</x:v>
      </x:c>
      <x:c r="J379" s="63" t="str">
        <x:v>Alta</x:v>
      </x:c>
      <x:c r="K379" s="63" t="str">
        <x:v>Semestral</x:v>
      </x:c>
      <x:c r="L379" s="63" t="str">
        <x:v>Jornada</x:v>
      </x:c>
      <x:c r="M379" s="63" t="n">
        <x:v>2</x:v>
      </x:c>
      <x:c r="N379" s="63" t="str">
        <x:v>Coordinación SST</x:v>
      </x:c>
      <x:c r="O379" s="63" t="str">
        <x:v>Presupuesto SG-SST</x:v>
      </x:c>
      <x:c r="P379" s="63" t="str">
        <x:v>Orden de servicio, factura, concepto médico</x:v>
      </x:c>
      <x:c r="Q379" s="79" t="n">
        <x:v>1195449</x:v>
      </x:c>
      <x:c r="R379" s="79" t="n">
        <x:v>0</x:v>
      </x:c>
      <x:c r="S379" s="79" t="n">
        <x:v>-1195449</x:v>
      </x:c>
      <x:c r="T379" s="75" t="n">
        <x:v>0</x:v>
      </x:c>
      <x:c r="U379" s="63" t="str">
        <x:v>Programado</x:v>
      </x:c>
      <x:c r="V379" s="63" t="str">
        <x:v>Mes programado sin ejecución al corte de mayo de 2026.</x:v>
      </x:c>
      <x:c r="W379" s="47" t="str">
        <x:v>Información a corte de mayo de 2026</x:v>
      </x:c>
    </x:row>
    <x:row r="380" ht="18" customHeight="1">
      <x:c r="A380" s="46" t="n">
        <x:v>2026</x:v>
      </x:c>
      <x:c r="B380" s="63" t="n">
        <x:v>7</x:v>
      </x:c>
      <x:c r="C380" s="63" t="str">
        <x:v>Julio</x:v>
      </x:c>
      <x:c r="D380" s="63" t="str">
        <x:v>T3</x:v>
      </x:c>
      <x:c r="E380" s="71" t="n">
        <x:v>46234</x:v>
      </x:c>
      <x:c r="F380" s="63" t="str">
        <x:v>Gestión de contratistas</x:v>
      </x:c>
      <x:c r="G380" s="63" t="str">
        <x:v>Control de terceros</x:v>
      </x:c>
      <x:c r="H380" s="63" t="str">
        <x:v>Gestión SST de proveedores y contratistas</x:v>
      </x:c>
      <x:c r="I380" s="63" t="str">
        <x:v>Operativo</x:v>
      </x:c>
      <x:c r="J380" s="63" t="str">
        <x:v>Media</x:v>
      </x:c>
      <x:c r="K380" s="63" t="str">
        <x:v>Trimestral</x:v>
      </x:c>
      <x:c r="L380" s="63" t="str">
        <x:v>Ciclo</x:v>
      </x:c>
      <x:c r="M380" s="63" t="n">
        <x:v>4</x:v>
      </x:c>
      <x:c r="N380" s="63" t="str">
        <x:v>Compras / SST</x:v>
      </x:c>
      <x:c r="O380" s="63" t="str">
        <x:v>Presupuesto SG-SST</x:v>
      </x:c>
      <x:c r="P380" s="63" t="str">
        <x:v>Matriz de evaluación, soportes de contratistas</x:v>
      </x:c>
      <x:c r="Q380" s="79" t="n">
        <x:v>879006</x:v>
      </x:c>
      <x:c r="R380" s="79" t="n">
        <x:v>0</x:v>
      </x:c>
      <x:c r="S380" s="79" t="n">
        <x:v>-879006</x:v>
      </x:c>
      <x:c r="T380" s="75" t="n">
        <x:v>0</x:v>
      </x:c>
      <x:c r="U380" s="63" t="str">
        <x:v>Programado</x:v>
      </x:c>
      <x:c r="V380" s="63" t="str">
        <x:v>Mes programado sin ejecución al corte de mayo de 2026.</x:v>
      </x:c>
      <x:c r="W380" s="47" t="str">
        <x:v>Información a corte de mayo de 2026</x:v>
      </x:c>
    </x:row>
    <x:row r="381" ht="18" customHeight="1">
      <x:c r="A381" s="46" t="n">
        <x:v>2026</x:v>
      </x:c>
      <x:c r="B381" s="63" t="n">
        <x:v>7</x:v>
      </x:c>
      <x:c r="C381" s="63" t="str">
        <x:v>Julio</x:v>
      </x:c>
      <x:c r="D381" s="63" t="str">
        <x:v>T3</x:v>
      </x:c>
      <x:c r="E381" s="71" t="n">
        <x:v>46234</x:v>
      </x:c>
      <x:c r="F381" s="63" t="str">
        <x:v>Participación y consulta</x:v>
      </x:c>
      <x:c r="G381" s="63" t="str">
        <x:v>Comités de SST</x:v>
      </x:c>
      <x:c r="H381" s="63" t="str">
        <x:v>Gestión de COPASST y Comité de Convivencia</x:v>
      </x:c>
      <x:c r="I381" s="63" t="str">
        <x:v>Operativo</x:v>
      </x:c>
      <x:c r="J381" s="63" t="str">
        <x:v>Media</x:v>
      </x:c>
      <x:c r="K381" s="63" t="str">
        <x:v>Mensual</x:v>
      </x:c>
      <x:c r="L381" s="63" t="str">
        <x:v>Reunión</x:v>
      </x:c>
      <x:c r="M381" s="63" t="n">
        <x:v>12</x:v>
      </x:c>
      <x:c r="N381" s="63" t="str">
        <x:v>Talento Humano / SST</x:v>
      </x:c>
      <x:c r="O381" s="63" t="str">
        <x:v>Presupuesto SG-SST</x:v>
      </x:c>
      <x:c r="P381" s="63" t="str">
        <x:v>Acta, convocatoria, seguimiento compromisos</x:v>
      </x:c>
      <x:c r="Q381" s="79" t="n">
        <x:v>187521</x:v>
      </x:c>
      <x:c r="R381" s="79" t="n">
        <x:v>0</x:v>
      </x:c>
      <x:c r="S381" s="79" t="n">
        <x:v>-187521</x:v>
      </x:c>
      <x:c r="T381" s="75" t="n">
        <x:v>0</x:v>
      </x:c>
      <x:c r="U381" s="63" t="str">
        <x:v>Programado</x:v>
      </x:c>
      <x:c r="V381" s="63" t="str">
        <x:v>Mes programado sin ejecución al corte de mayo de 2026.</x:v>
      </x:c>
      <x:c r="W381" s="47" t="str">
        <x:v>Información a corte de mayo de 2026</x:v>
      </x:c>
    </x:row>
    <x:row r="382" ht="18" customHeight="1">
      <x:c r="A382" s="46" t="n">
        <x:v>2026</x:v>
      </x:c>
      <x:c r="B382" s="63" t="n">
        <x:v>7</x:v>
      </x:c>
      <x:c r="C382" s="63" t="str">
        <x:v>Julio</x:v>
      </x:c>
      <x:c r="D382" s="63" t="str">
        <x:v>T3</x:v>
      </x:c>
      <x:c r="E382" s="71" t="n">
        <x:v>46234</x:v>
      </x:c>
      <x:c r="F382" s="63" t="str">
        <x:v>Higiene y seguridad industrial</x:v>
      </x:c>
      <x:c r="G382" s="63" t="str">
        <x:v>Inspecciones y control</x:v>
      </x:c>
      <x:c r="H382" s="63" t="str">
        <x:v>Inspecciones planeadas de seguridad</x:v>
      </x:c>
      <x:c r="I382" s="63" t="str">
        <x:v>Operativo</x:v>
      </x:c>
      <x:c r="J382" s="63" t="str">
        <x:v>Media</x:v>
      </x:c>
      <x:c r="K382" s="63" t="str">
        <x:v>Mensual</x:v>
      </x:c>
      <x:c r="L382" s="63" t="str">
        <x:v>Inspección</x:v>
      </x:c>
      <x:c r="M382" s="63" t="n">
        <x:v>12</x:v>
      </x:c>
      <x:c r="N382" s="63" t="str">
        <x:v>Inspector SST</x:v>
      </x:c>
      <x:c r="O382" s="63" t="str">
        <x:v>Presupuesto SG-SST</x:v>
      </x:c>
      <x:c r="P382" s="63" t="str">
        <x:v>Lista de chequeo, informe, evidencia fotográfica</x:v>
      </x:c>
      <x:c r="Q382" s="79" t="n">
        <x:v>281282</x:v>
      </x:c>
      <x:c r="R382" s="79" t="n">
        <x:v>0</x:v>
      </x:c>
      <x:c r="S382" s="79" t="n">
        <x:v>-281282</x:v>
      </x:c>
      <x:c r="T382" s="75" t="n">
        <x:v>0</x:v>
      </x:c>
      <x:c r="U382" s="63" t="str">
        <x:v>Programado</x:v>
      </x:c>
      <x:c r="V382" s="63" t="str">
        <x:v>Mes programado sin ejecución al corte de mayo de 2026.</x:v>
      </x:c>
      <x:c r="W382" s="47" t="str">
        <x:v>Información a corte de mayo de 2026</x:v>
      </x:c>
    </x:row>
    <x:row r="383" ht="18" customHeight="1">
      <x:c r="A383" s="46" t="n">
        <x:v>2026</x:v>
      </x:c>
      <x:c r="B383" s="63" t="n">
        <x:v>7</x:v>
      </x:c>
      <x:c r="C383" s="63" t="str">
        <x:v>Julio</x:v>
      </x:c>
      <x:c r="D383" s="63" t="str">
        <x:v>T3</x:v>
      </x:c>
      <x:c r="E383" s="71" t="n">
        <x:v>46234</x:v>
      </x:c>
      <x:c r="F383" s="63" t="str">
        <x:v>Mejora continua y cumplimiento</x:v>
      </x:c>
      <x:c r="G383" s="63" t="str">
        <x:v>Gestión de incidentes y mejora</x:v>
      </x:c>
      <x:c r="H383" s="63" t="str">
        <x:v>Investigación de AT/EL y acciones correctivas</x:v>
      </x:c>
      <x:c r="I383" s="63" t="str">
        <x:v>Operativo</x:v>
      </x:c>
      <x:c r="J383" s="63" t="str">
        <x:v>Media</x:v>
      </x:c>
      <x:c r="K383" s="63" t="str">
        <x:v>Mensual</x:v>
      </x:c>
      <x:c r="L383" s="63" t="str">
        <x:v>Seguimiento</x:v>
      </x:c>
      <x:c r="M383" s="63" t="n">
        <x:v>12</x:v>
      </x:c>
      <x:c r="N383" s="63" t="str">
        <x:v>SST / Jefes de área</x:v>
      </x:c>
      <x:c r="O383" s="63" t="str">
        <x:v>Presupuesto SG-SST</x:v>
      </x:c>
      <x:c r="P383" s="63" t="str">
        <x:v>Investigación, plan de acción, evidencia de cierre</x:v>
      </x:c>
      <x:c r="Q383" s="79" t="n">
        <x:v>234402</x:v>
      </x:c>
      <x:c r="R383" s="79" t="n">
        <x:v>0</x:v>
      </x:c>
      <x:c r="S383" s="79" t="n">
        <x:v>-234402</x:v>
      </x:c>
      <x:c r="T383" s="75" t="n">
        <x:v>0</x:v>
      </x:c>
      <x:c r="U383" s="63" t="str">
        <x:v>Programado</x:v>
      </x:c>
      <x:c r="V383" s="63" t="str">
        <x:v>Mes programado sin ejecución al corte de mayo de 2026.</x:v>
      </x:c>
      <x:c r="W383" s="47" t="str">
        <x:v>Información a corte de mayo de 2026</x:v>
      </x:c>
    </x:row>
    <x:row r="384" ht="18" customHeight="1">
      <x:c r="A384" s="46" t="n">
        <x:v>2026</x:v>
      </x:c>
      <x:c r="B384" s="63" t="n">
        <x:v>7</x:v>
      </x:c>
      <x:c r="C384" s="63" t="str">
        <x:v>Julio</x:v>
      </x:c>
      <x:c r="D384" s="63" t="str">
        <x:v>T3</x:v>
      </x:c>
      <x:c r="E384" s="71" t="n">
        <x:v>46234</x:v>
      </x:c>
      <x:c r="F384" s="63" t="str">
        <x:v>Medicina preventiva y del trabajo</x:v>
      </x:c>
      <x:c r="G384" s="63" t="str">
        <x:v>Programas de vigilancia epidemiológica</x:v>
      </x:c>
      <x:c r="H384" s="63" t="str">
        <x:v>Programas de vigilancia epidemiológica y seguimiento médico</x:v>
      </x:c>
      <x:c r="I384" s="63" t="str">
        <x:v>Servicio</x:v>
      </x:c>
      <x:c r="J384" s="63" t="str">
        <x:v>Alta</x:v>
      </x:c>
      <x:c r="K384" s="63" t="str">
        <x:v>Mensual</x:v>
      </x:c>
      <x:c r="L384" s="63" t="str">
        <x:v>Seguimiento</x:v>
      </x:c>
      <x:c r="M384" s="63" t="n">
        <x:v>12</x:v>
      </x:c>
      <x:c r="N384" s="63" t="str">
        <x:v>Médico laboral / SST</x:v>
      </x:c>
      <x:c r="O384" s="63" t="str">
        <x:v>Presupuesto SG-SST</x:v>
      </x:c>
      <x:c r="P384" s="63" t="str">
        <x:v>Base de seguimiento, informe, remisiones</x:v>
      </x:c>
      <x:c r="Q384" s="79" t="n">
        <x:v>656325</x:v>
      </x:c>
      <x:c r="R384" s="79" t="n">
        <x:v>0</x:v>
      </x:c>
      <x:c r="S384" s="79" t="n">
        <x:v>-656325</x:v>
      </x:c>
      <x:c r="T384" s="75" t="n">
        <x:v>0</x:v>
      </x:c>
      <x:c r="U384" s="63" t="str">
        <x:v>Programado</x:v>
      </x:c>
      <x:c r="V384" s="63" t="str">
        <x:v>Mes programado sin ejecución al corte de mayo de 2026.</x:v>
      </x:c>
      <x:c r="W384" s="47" t="str">
        <x:v>Información a corte de mayo de 2026</x:v>
      </x:c>
    </x:row>
    <x:row r="385" ht="18" customHeight="1">
      <x:c r="A385" s="46" t="n">
        <x:v>2026</x:v>
      </x:c>
      <x:c r="B385" s="63" t="n">
        <x:v>7</x:v>
      </x:c>
      <x:c r="C385" s="63" t="str">
        <x:v>Julio</x:v>
      </x:c>
      <x:c r="D385" s="63" t="str">
        <x:v>T3</x:v>
      </x:c>
      <x:c r="E385" s="71" t="n">
        <x:v>46234</x:v>
      </x:c>
      <x:c r="F385" s="63" t="str">
        <x:v>Higiene y seguridad industrial</x:v>
      </x:c>
      <x:c r="G385" s="63" t="str">
        <x:v>Señalización y control visual</x:v>
      </x:c>
      <x:c r="H385" s="63" t="str">
        <x:v>Señalización, demarcación y avisos de seguridad</x:v>
      </x:c>
      <x:c r="I385" s="63" t="str">
        <x:v>Operativo</x:v>
      </x:c>
      <x:c r="J385" s="63" t="str">
        <x:v>Media</x:v>
      </x:c>
      <x:c r="K385" s="63" t="str">
        <x:v>Periódica</x:v>
      </x:c>
      <x:c r="L385" s="63" t="str">
        <x:v>Intervención</x:v>
      </x:c>
      <x:c r="M385" s="63" t="n">
        <x:v>5</x:v>
      </x:c>
      <x:c r="N385" s="63" t="str">
        <x:v>SST / Mantenimiento</x:v>
      </x:c>
      <x:c r="O385" s="63" t="str">
        <x:v>Presupuesto SG-SST</x:v>
      </x:c>
      <x:c r="P385" s="63" t="str">
        <x:v>Acta de instalación, factura, inventario</x:v>
      </x:c>
      <x:c r="Q385" s="79" t="n">
        <x:v>439503</x:v>
      </x:c>
      <x:c r="R385" s="79" t="n">
        <x:v>0</x:v>
      </x:c>
      <x:c r="S385" s="79" t="n">
        <x:v>-439503</x:v>
      </x:c>
      <x:c r="T385" s="75" t="n">
        <x:v>0</x:v>
      </x:c>
      <x:c r="U385" s="63" t="str">
        <x:v>Programado</x:v>
      </x:c>
      <x:c r="V385" s="63" t="str">
        <x:v>Mes programado sin ejecución al corte de mayo de 2026.</x:v>
      </x:c>
      <x:c r="W385" s="47" t="str">
        <x:v>Información a corte de mayo de 2026</x:v>
      </x:c>
    </x:row>
    <x:row r="386" ht="18" customHeight="1">
      <x:c r="A386" s="46" t="n">
        <x:v>2026</x:v>
      </x:c>
      <x:c r="B386" s="63" t="n">
        <x:v>8</x:v>
      </x:c>
      <x:c r="C386" s="63" t="str">
        <x:v>Agosto</x:v>
      </x:c>
      <x:c r="D386" s="63" t="str">
        <x:v>T3</x:v>
      </x:c>
      <x:c r="E386" s="71" t="n">
        <x:v>46265</x:v>
      </x:c>
      <x:c r="F386" s="63" t="str">
        <x:v>Mejora continua y cumplimiento</x:v>
      </x:c>
      <x:c r="G386" s="63" t="str">
        <x:v>Auditoría y revisión por la dirección</x:v>
      </x:c>
      <x:c r="H386" s="63" t="str">
        <x:v>Auditoría interna, autoevaluación y revisión gerencial</x:v>
      </x:c>
      <x:c r="I386" s="63" t="str">
        <x:v>Servicio</x:v>
      </x:c>
      <x:c r="J386" s="63" t="str">
        <x:v>Alta</x:v>
      </x:c>
      <x:c r="K386" s="63" t="str">
        <x:v>Trimestral</x:v>
      </x:c>
      <x:c r="L386" s="63" t="str">
        <x:v>Hito</x:v>
      </x:c>
      <x:c r="M386" s="63" t="n">
        <x:v>4</x:v>
      </x:c>
      <x:c r="N386" s="63" t="str">
        <x:v>Líder HSEQ / Gerencia</x:v>
      </x:c>
      <x:c r="O386" s="63" t="str">
        <x:v>Presupuesto SG-SST</x:v>
      </x:c>
      <x:c r="P386" s="63" t="str">
        <x:v>Informe de auditoría, acta, plan de mejora</x:v>
      </x:c>
      <x:c r="Q386" s="79" t="n">
        <x:v>468804</x:v>
      </x:c>
      <x:c r="R386" s="79" t="n">
        <x:v>0</x:v>
      </x:c>
      <x:c r="S386" s="79" t="n">
        <x:v>-468804</x:v>
      </x:c>
      <x:c r="T386" s="75" t="n">
        <x:v>0</x:v>
      </x:c>
      <x:c r="U386" s="63" t="str">
        <x:v>Programado</x:v>
      </x:c>
      <x:c r="V386" s="63" t="str">
        <x:v>Mes programado sin ejecución al corte de mayo de 2026.</x:v>
      </x:c>
      <x:c r="W386" s="47" t="str">
        <x:v>Información a corte de mayo de 2026</x:v>
      </x:c>
    </x:row>
    <x:row r="387" ht="18" customHeight="1">
      <x:c r="A387" s="46" t="n">
        <x:v>2026</x:v>
      </x:c>
      <x:c r="B387" s="63" t="n">
        <x:v>8</x:v>
      </x:c>
      <x:c r="C387" s="63" t="str">
        <x:v>Agosto</x:v>
      </x:c>
      <x:c r="D387" s="63" t="str">
        <x:v>T3</x:v>
      </x:c>
      <x:c r="E387" s="71" t="n">
        <x:v>46265</x:v>
      </x:c>
      <x:c r="F387" s="63" t="str">
        <x:v>Capacitación y entrenamiento</x:v>
      </x:c>
      <x:c r="G387" s="63" t="str">
        <x:v>Plan anual de formación</x:v>
      </x:c>
      <x:c r="H387" s="63" t="str">
        <x:v>Capacitación y entrenamiento en SG-SST</x:v>
      </x:c>
      <x:c r="I387" s="63" t="str">
        <x:v>Operativo</x:v>
      </x:c>
      <x:c r="J387" s="63" t="str">
        <x:v>Alta</x:v>
      </x:c>
      <x:c r="K387" s="63" t="str">
        <x:v>Mensual</x:v>
      </x:c>
      <x:c r="L387" s="63" t="str">
        <x:v>Jornada</x:v>
      </x:c>
      <x:c r="M387" s="63" t="n">
        <x:v>12</x:v>
      </x:c>
      <x:c r="N387" s="63" t="str">
        <x:v>Coordinación SST</x:v>
      </x:c>
      <x:c r="O387" s="63" t="str">
        <x:v>Presupuesto SG-SST</x:v>
      </x:c>
      <x:c r="P387" s="63" t="str">
        <x:v>Lista de asistencia, evaluación, acta</x:v>
      </x:c>
      <x:c r="Q387" s="79" t="n">
        <x:v>527404</x:v>
      </x:c>
      <x:c r="R387" s="79" t="n">
        <x:v>0</x:v>
      </x:c>
      <x:c r="S387" s="79" t="n">
        <x:v>-527404</x:v>
      </x:c>
      <x:c r="T387" s="75" t="n">
        <x:v>0</x:v>
      </x:c>
      <x:c r="U387" s="63" t="str">
        <x:v>Programado</x:v>
      </x:c>
      <x:c r="V387" s="63" t="str">
        <x:v>Mes programado sin ejecución al corte de mayo de 2026.</x:v>
      </x:c>
      <x:c r="W387" s="47" t="str">
        <x:v>Información a corte de mayo de 2026</x:v>
      </x:c>
    </x:row>
    <x:row r="388" ht="18" customHeight="1">
      <x:c r="A388" s="46" t="n">
        <x:v>2026</x:v>
      </x:c>
      <x:c r="B388" s="63" t="n">
        <x:v>8</x:v>
      </x:c>
      <x:c r="C388" s="63" t="str">
        <x:v>Agosto</x:v>
      </x:c>
      <x:c r="D388" s="63" t="str">
        <x:v>T3</x:v>
      </x:c>
      <x:c r="E388" s="71" t="n">
        <x:v>46265</x:v>
      </x:c>
      <x:c r="F388" s="63" t="str">
        <x:v>Medicina preventiva y del trabajo</x:v>
      </x:c>
      <x:c r="G388" s="63" t="str">
        <x:v>Vigilancia epidemiológica</x:v>
      </x:c>
      <x:c r="H388" s="63" t="str">
        <x:v>Evaluación de riesgo psicosocial y actividades de intervención</x:v>
      </x:c>
      <x:c r="I388" s="63" t="str">
        <x:v>Servicio</x:v>
      </x:c>
      <x:c r="J388" s="63" t="str">
        <x:v>Alta</x:v>
      </x:c>
      <x:c r="K388" s="63" t="str">
        <x:v>Periódica</x:v>
      </x:c>
      <x:c r="L388" s="63" t="str">
        <x:v>Actividad</x:v>
      </x:c>
      <x:c r="M388" s="63" t="n">
        <x:v>6</x:v>
      </x:c>
      <x:c r="N388" s="63" t="str">
        <x:v>Psicología / SST</x:v>
      </x:c>
      <x:c r="O388" s="63" t="str">
        <x:v>Presupuesto SG-SST</x:v>
      </x:c>
      <x:c r="P388" s="63" t="str">
        <x:v>Informe técnico, evidencia, plan de intervención</x:v>
      </x:c>
      <x:c r="Q388" s="79" t="n">
        <x:v>615305</x:v>
      </x:c>
      <x:c r="R388" s="79" t="n">
        <x:v>0</x:v>
      </x:c>
      <x:c r="S388" s="79" t="n">
        <x:v>-615305</x:v>
      </x:c>
      <x:c r="T388" s="75" t="n">
        <x:v>0</x:v>
      </x:c>
      <x:c r="U388" s="63" t="str">
        <x:v>Programado</x:v>
      </x:c>
      <x:c r="V388" s="63" t="str">
        <x:v>Mes programado sin ejecución al corte de mayo de 2026.</x:v>
      </x:c>
      <x:c r="W388" s="47" t="str">
        <x:v>Información a corte de mayo de 2026</x:v>
      </x:c>
    </x:row>
    <x:row r="389" ht="18" customHeight="1">
      <x:c r="A389" s="46" t="n">
        <x:v>2026</x:v>
      </x:c>
      <x:c r="B389" s="63" t="n">
        <x:v>8</x:v>
      </x:c>
      <x:c r="C389" s="63" t="str">
        <x:v>Agosto</x:v>
      </x:c>
      <x:c r="D389" s="63" t="str">
        <x:v>T3</x:v>
      </x:c>
      <x:c r="E389" s="71" t="n">
        <x:v>46265</x:v>
      </x:c>
      <x:c r="F389" s="63" t="str">
        <x:v>Recursos y gestión financiera</x:v>
      </x:c>
      <x:c r="G389" s="63" t="str">
        <x:v>Planeación y recursos</x:v>
      </x:c>
      <x:c r="H389" s="63" t="str">
        <x:v>Exámenes médicos ocupacionales</x:v>
      </x:c>
      <x:c r="I389" s="63" t="str">
        <x:v>Servicio</x:v>
      </x:c>
      <x:c r="J389" s="63" t="str">
        <x:v>Alta</x:v>
      </x:c>
      <x:c r="K389" s="63" t="str">
        <x:v>Semestral</x:v>
      </x:c>
      <x:c r="L389" s="63" t="str">
        <x:v>Jornada</x:v>
      </x:c>
      <x:c r="M389" s="63" t="n">
        <x:v>2</x:v>
      </x:c>
      <x:c r="N389" s="63" t="str">
        <x:v>Coordinación SST</x:v>
      </x:c>
      <x:c r="O389" s="63" t="str">
        <x:v>Presupuesto SG-SST</x:v>
      </x:c>
      <x:c r="P389" s="63" t="str">
        <x:v>Orden de servicio, factura, concepto médico</x:v>
      </x:c>
      <x:c r="Q389" s="79" t="n">
        <x:v>1265770</x:v>
      </x:c>
      <x:c r="R389" s="79" t="n">
        <x:v>0</x:v>
      </x:c>
      <x:c r="S389" s="79" t="n">
        <x:v>-1265770</x:v>
      </x:c>
      <x:c r="T389" s="75" t="n">
        <x:v>0</x:v>
      </x:c>
      <x:c r="U389" s="63" t="str">
        <x:v>Programado</x:v>
      </x:c>
      <x:c r="V389" s="63" t="str">
        <x:v>Mes programado sin ejecución al corte de mayo de 2026.</x:v>
      </x:c>
      <x:c r="W389" s="47" t="str">
        <x:v>Información a corte de mayo de 2026</x:v>
      </x:c>
    </x:row>
    <x:row r="390" ht="18" customHeight="1">
      <x:c r="A390" s="46" t="n">
        <x:v>2026</x:v>
      </x:c>
      <x:c r="B390" s="63" t="n">
        <x:v>8</x:v>
      </x:c>
      <x:c r="C390" s="63" t="str">
        <x:v>Agosto</x:v>
      </x:c>
      <x:c r="D390" s="63" t="str">
        <x:v>T3</x:v>
      </x:c>
      <x:c r="E390" s="71" t="n">
        <x:v>46265</x:v>
      </x:c>
      <x:c r="F390" s="63" t="str">
        <x:v>Participación y consulta</x:v>
      </x:c>
      <x:c r="G390" s="63" t="str">
        <x:v>Comités de SST</x:v>
      </x:c>
      <x:c r="H390" s="63" t="str">
        <x:v>Gestión de COPASST y Comité de Convivencia</x:v>
      </x:c>
      <x:c r="I390" s="63" t="str">
        <x:v>Operativo</x:v>
      </x:c>
      <x:c r="J390" s="63" t="str">
        <x:v>Media</x:v>
      </x:c>
      <x:c r="K390" s="63" t="str">
        <x:v>Mensual</x:v>
      </x:c>
      <x:c r="L390" s="63" t="str">
        <x:v>Reunión</x:v>
      </x:c>
      <x:c r="M390" s="63" t="n">
        <x:v>12</x:v>
      </x:c>
      <x:c r="N390" s="63" t="str">
        <x:v>Talento Humano / SST</x:v>
      </x:c>
      <x:c r="O390" s="63" t="str">
        <x:v>Presupuesto SG-SST</x:v>
      </x:c>
      <x:c r="P390" s="63" t="str">
        <x:v>Acta, convocatoria, seguimiento compromisos</x:v>
      </x:c>
      <x:c r="Q390" s="79" t="n">
        <x:v>210962</x:v>
      </x:c>
      <x:c r="R390" s="79" t="n">
        <x:v>0</x:v>
      </x:c>
      <x:c r="S390" s="79" t="n">
        <x:v>-210962</x:v>
      </x:c>
      <x:c r="T390" s="75" t="n">
        <x:v>0</x:v>
      </x:c>
      <x:c r="U390" s="63" t="str">
        <x:v>Programado</x:v>
      </x:c>
      <x:c r="V390" s="63" t="str">
        <x:v>Mes programado sin ejecución al corte de mayo de 2026.</x:v>
      </x:c>
      <x:c r="W390" s="47" t="str">
        <x:v>Información a corte de mayo de 2026</x:v>
      </x:c>
    </x:row>
    <x:row r="391" ht="18" customHeight="1">
      <x:c r="A391" s="46" t="n">
        <x:v>2026</x:v>
      </x:c>
      <x:c r="B391" s="63" t="n">
        <x:v>8</x:v>
      </x:c>
      <x:c r="C391" s="63" t="str">
        <x:v>Agosto</x:v>
      </x:c>
      <x:c r="D391" s="63" t="str">
        <x:v>T3</x:v>
      </x:c>
      <x:c r="E391" s="71" t="n">
        <x:v>46265</x:v>
      </x:c>
      <x:c r="F391" s="63" t="str">
        <x:v>Higiene y seguridad industrial</x:v>
      </x:c>
      <x:c r="G391" s="63" t="str">
        <x:v>Inspecciones y control</x:v>
      </x:c>
      <x:c r="H391" s="63" t="str">
        <x:v>Inspecciones planeadas de seguridad</x:v>
      </x:c>
      <x:c r="I391" s="63" t="str">
        <x:v>Operativo</x:v>
      </x:c>
      <x:c r="J391" s="63" t="str">
        <x:v>Media</x:v>
      </x:c>
      <x:c r="K391" s="63" t="str">
        <x:v>Mensual</x:v>
      </x:c>
      <x:c r="L391" s="63" t="str">
        <x:v>Inspección</x:v>
      </x:c>
      <x:c r="M391" s="63" t="n">
        <x:v>12</x:v>
      </x:c>
      <x:c r="N391" s="63" t="str">
        <x:v>Inspector SST</x:v>
      </x:c>
      <x:c r="O391" s="63" t="str">
        <x:v>Presupuesto SG-SST</x:v>
      </x:c>
      <x:c r="P391" s="63" t="str">
        <x:v>Lista de chequeo, informe, evidencia fotográfica</x:v>
      </x:c>
      <x:c r="Q391" s="79" t="n">
        <x:v>281282</x:v>
      </x:c>
      <x:c r="R391" s="79" t="n">
        <x:v>0</x:v>
      </x:c>
      <x:c r="S391" s="79" t="n">
        <x:v>-281282</x:v>
      </x:c>
      <x:c r="T391" s="75" t="n">
        <x:v>0</x:v>
      </x:c>
      <x:c r="U391" s="63" t="str">
        <x:v>Programado</x:v>
      </x:c>
      <x:c r="V391" s="63" t="str">
        <x:v>Mes programado sin ejecución al corte de mayo de 2026.</x:v>
      </x:c>
      <x:c r="W391" s="47" t="str">
        <x:v>Información a corte de mayo de 2026</x:v>
      </x:c>
    </x:row>
    <x:row r="392" ht="18" customHeight="1">
      <x:c r="A392" s="46" t="n">
        <x:v>2026</x:v>
      </x:c>
      <x:c r="B392" s="63" t="n">
        <x:v>8</x:v>
      </x:c>
      <x:c r="C392" s="63" t="str">
        <x:v>Agosto</x:v>
      </x:c>
      <x:c r="D392" s="63" t="str">
        <x:v>T3</x:v>
      </x:c>
      <x:c r="E392" s="71" t="n">
        <x:v>46265</x:v>
      </x:c>
      <x:c r="F392" s="63" t="str">
        <x:v>Mejora continua y cumplimiento</x:v>
      </x:c>
      <x:c r="G392" s="63" t="str">
        <x:v>Gestión de incidentes y mejora</x:v>
      </x:c>
      <x:c r="H392" s="63" t="str">
        <x:v>Investigación de AT/EL y acciones correctivas</x:v>
      </x:c>
      <x:c r="I392" s="63" t="str">
        <x:v>Operativo</x:v>
      </x:c>
      <x:c r="J392" s="63" t="str">
        <x:v>Media</x:v>
      </x:c>
      <x:c r="K392" s="63" t="str">
        <x:v>Mensual</x:v>
      </x:c>
      <x:c r="L392" s="63" t="str">
        <x:v>Seguimiento</x:v>
      </x:c>
      <x:c r="M392" s="63" t="n">
        <x:v>12</x:v>
      </x:c>
      <x:c r="N392" s="63" t="str">
        <x:v>SST / Jefes de área</x:v>
      </x:c>
      <x:c r="O392" s="63" t="str">
        <x:v>Presupuesto SG-SST</x:v>
      </x:c>
      <x:c r="P392" s="63" t="str">
        <x:v>Investigación, plan de acción, evidencia de cierre</x:v>
      </x:c>
      <x:c r="Q392" s="79" t="n">
        <x:v>234402</x:v>
      </x:c>
      <x:c r="R392" s="79" t="n">
        <x:v>0</x:v>
      </x:c>
      <x:c r="S392" s="79" t="n">
        <x:v>-234402</x:v>
      </x:c>
      <x:c r="T392" s="75" t="n">
        <x:v>0</x:v>
      </x:c>
      <x:c r="U392" s="63" t="str">
        <x:v>Programado</x:v>
      </x:c>
      <x:c r="V392" s="63" t="str">
        <x:v>Mes programado sin ejecución al corte de mayo de 2026.</x:v>
      </x:c>
      <x:c r="W392" s="47" t="str">
        <x:v>Información a corte de mayo de 2026</x:v>
      </x:c>
    </x:row>
    <x:row r="393" ht="18" customHeight="1">
      <x:c r="A393" s="46" t="n">
        <x:v>2026</x:v>
      </x:c>
      <x:c r="B393" s="63" t="n">
        <x:v>8</x:v>
      </x:c>
      <x:c r="C393" s="63" t="str">
        <x:v>Agosto</x:v>
      </x:c>
      <x:c r="D393" s="63" t="str">
        <x:v>T3</x:v>
      </x:c>
      <x:c r="E393" s="71" t="n">
        <x:v>46265</x:v>
      </x:c>
      <x:c r="F393" s="63" t="str">
        <x:v>Emergencias e infraestructura</x:v>
      </x:c>
      <x:c r="G393" s="63" t="str">
        <x:v>Preparación y respuesta ante emergencias</x:v>
      </x:c>
      <x:c r="H393" s="63" t="str">
        <x:v>Mantenimiento de extintores, botiquines y equipos de emergencia</x:v>
      </x:c>
      <x:c r="I393" s="63" t="str">
        <x:v>Servicio</x:v>
      </x:c>
      <x:c r="J393" s="63" t="str">
        <x:v>Alta</x:v>
      </x:c>
      <x:c r="K393" s="63" t="str">
        <x:v>Bimestral / semestral</x:v>
      </x:c>
      <x:c r="L393" s="63" t="str">
        <x:v>Mantenimiento</x:v>
      </x:c>
      <x:c r="M393" s="63" t="n">
        <x:v>6</x:v>
      </x:c>
      <x:c r="N393" s="63" t="str">
        <x:v>Brigada / SST</x:v>
      </x:c>
      <x:c r="O393" s="63" t="str">
        <x:v>Presupuesto SG-SST</x:v>
      </x:c>
      <x:c r="P393" s="63" t="str">
        <x:v>Certificado, factura, hoja de vida del equipo</x:v>
      </x:c>
      <x:c r="Q393" s="79" t="n">
        <x:v>468804</x:v>
      </x:c>
      <x:c r="R393" s="79" t="n">
        <x:v>0</x:v>
      </x:c>
      <x:c r="S393" s="79" t="n">
        <x:v>-468804</x:v>
      </x:c>
      <x:c r="T393" s="75" t="n">
        <x:v>0</x:v>
      </x:c>
      <x:c r="U393" s="63" t="str">
        <x:v>Programado</x:v>
      </x:c>
      <x:c r="V393" s="63" t="str">
        <x:v>Mes programado sin ejecución al corte de mayo de 2026.</x:v>
      </x:c>
      <x:c r="W393" s="47" t="str">
        <x:v>Información a corte de mayo de 2026</x:v>
      </x:c>
    </x:row>
    <x:row r="394" ht="18" customHeight="1">
      <x:c r="A394" s="46" t="n">
        <x:v>2026</x:v>
      </x:c>
      <x:c r="B394" s="63" t="n">
        <x:v>8</x:v>
      </x:c>
      <x:c r="C394" s="63" t="str">
        <x:v>Agosto</x:v>
      </x:c>
      <x:c r="D394" s="63" t="str">
        <x:v>T3</x:v>
      </x:c>
      <x:c r="E394" s="71" t="n">
        <x:v>46265</x:v>
      </x:c>
      <x:c r="F394" s="63" t="str">
        <x:v>Medicina preventiva y del trabajo</x:v>
      </x:c>
      <x:c r="G394" s="63" t="str">
        <x:v>Programas de vigilancia epidemiológica</x:v>
      </x:c>
      <x:c r="H394" s="63" t="str">
        <x:v>Programas de vigilancia epidemiológica y seguimiento médico</x:v>
      </x:c>
      <x:c r="I394" s="63" t="str">
        <x:v>Servicio</x:v>
      </x:c>
      <x:c r="J394" s="63" t="str">
        <x:v>Alta</x:v>
      </x:c>
      <x:c r="K394" s="63" t="str">
        <x:v>Mensual</x:v>
      </x:c>
      <x:c r="L394" s="63" t="str">
        <x:v>Seguimiento</x:v>
      </x:c>
      <x:c r="M394" s="63" t="n">
        <x:v>12</x:v>
      </x:c>
      <x:c r="N394" s="63" t="str">
        <x:v>Médico laboral / SST</x:v>
      </x:c>
      <x:c r="O394" s="63" t="str">
        <x:v>Presupuesto SG-SST</x:v>
      </x:c>
      <x:c r="P394" s="63" t="str">
        <x:v>Base de seguimiento, informe, remisiones</x:v>
      </x:c>
      <x:c r="Q394" s="79" t="n">
        <x:v>656325</x:v>
      </x:c>
      <x:c r="R394" s="79" t="n">
        <x:v>0</x:v>
      </x:c>
      <x:c r="S394" s="79" t="n">
        <x:v>-656325</x:v>
      </x:c>
      <x:c r="T394" s="75" t="n">
        <x:v>0</x:v>
      </x:c>
      <x:c r="U394" s="63" t="str">
        <x:v>Programado</x:v>
      </x:c>
      <x:c r="V394" s="63" t="str">
        <x:v>Mes programado sin ejecución al corte de mayo de 2026.</x:v>
      </x:c>
      <x:c r="W394" s="47" t="str">
        <x:v>Información a corte de mayo de 2026</x:v>
      </x:c>
    </x:row>
    <x:row r="395" ht="18" customHeight="1">
      <x:c r="A395" s="46" t="n">
        <x:v>2026</x:v>
      </x:c>
      <x:c r="B395" s="63" t="n">
        <x:v>9</x:v>
      </x:c>
      <x:c r="C395" s="63" t="str">
        <x:v>Septiembre</x:v>
      </x:c>
      <x:c r="D395" s="63" t="str">
        <x:v>T3</x:v>
      </x:c>
      <x:c r="E395" s="71" t="n">
        <x:v>46295</x:v>
      </x:c>
      <x:c r="F395" s="63" t="str">
        <x:v>Capacitación y entrenamiento</x:v>
      </x:c>
      <x:c r="G395" s="63" t="str">
        <x:v>Plan anual de formación</x:v>
      </x:c>
      <x:c r="H395" s="63" t="str">
        <x:v>Capacitación y entrenamiento en SG-SST</x:v>
      </x:c>
      <x:c r="I395" s="63" t="str">
        <x:v>Operativo</x:v>
      </x:c>
      <x:c r="J395" s="63" t="str">
        <x:v>Alta</x:v>
      </x:c>
      <x:c r="K395" s="63" t="str">
        <x:v>Mensual</x:v>
      </x:c>
      <x:c r="L395" s="63" t="str">
        <x:v>Jornada</x:v>
      </x:c>
      <x:c r="M395" s="63" t="n">
        <x:v>12</x:v>
      </x:c>
      <x:c r="N395" s="63" t="str">
        <x:v>Coordinación SST</x:v>
      </x:c>
      <x:c r="O395" s="63" t="str">
        <x:v>Presupuesto SG-SST</x:v>
      </x:c>
      <x:c r="P395" s="63" t="str">
        <x:v>Lista de asistencia, evaluación, acta</x:v>
      </x:c>
      <x:c r="Q395" s="79" t="n">
        <x:v>468804</x:v>
      </x:c>
      <x:c r="R395" s="79" t="n">
        <x:v>0</x:v>
      </x:c>
      <x:c r="S395" s="79" t="n">
        <x:v>-468804</x:v>
      </x:c>
      <x:c r="T395" s="75" t="n">
        <x:v>0</x:v>
      </x:c>
      <x:c r="U395" s="63" t="str">
        <x:v>Programado</x:v>
      </x:c>
      <x:c r="V395" s="63" t="str">
        <x:v>Mes programado sin ejecución al corte de mayo de 2026.</x:v>
      </x:c>
      <x:c r="W395" s="47" t="str">
        <x:v>Información a corte de mayo de 2026</x:v>
      </x:c>
    </x:row>
    <x:row r="396" ht="18" customHeight="1">
      <x:c r="A396" s="46" t="n">
        <x:v>2026</x:v>
      </x:c>
      <x:c r="B396" s="63" t="n">
        <x:v>9</x:v>
      </x:c>
      <x:c r="C396" s="63" t="str">
        <x:v>Septiembre</x:v>
      </x:c>
      <x:c r="D396" s="63" t="str">
        <x:v>T3</x:v>
      </x:c>
      <x:c r="E396" s="71" t="n">
        <x:v>46295</x:v>
      </x:c>
      <x:c r="F396" s="63" t="str">
        <x:v>Higiene y seguridad industrial</x:v>
      </x:c>
      <x:c r="G396" s="63" t="str">
        <x:v>Dotación y control operacional</x:v>
      </x:c>
      <x:c r="H396" s="63" t="str">
        <x:v>Dotación y reposición de EPP</x:v>
      </x:c>
      <x:c r="I396" s="63" t="str">
        <x:v>Operativo</x:v>
      </x:c>
      <x:c r="J396" s="63" t="str">
        <x:v>Alta</x:v>
      </x:c>
      <x:c r="K396" s="63" t="str">
        <x:v>Bimestral / trimestral</x:v>
      </x:c>
      <x:c r="L396" s="63" t="str">
        <x:v>Entrega</x:v>
      </x:c>
      <x:c r="M396" s="63" t="n">
        <x:v>6</x:v>
      </x:c>
      <x:c r="N396" s="63" t="str">
        <x:v>Coordinación SST / Compras</x:v>
      </x:c>
      <x:c r="O396" s="63" t="str">
        <x:v>Presupuesto SG-SST</x:v>
      </x:c>
      <x:c r="P396" s="63" t="str">
        <x:v>Formato de entrega, factura, remisión</x:v>
      </x:c>
      <x:c r="Q396" s="79" t="n">
        <x:v>879007</x:v>
      </x:c>
      <x:c r="R396" s="79" t="n">
        <x:v>0</x:v>
      </x:c>
      <x:c r="S396" s="79" t="n">
        <x:v>-879007</x:v>
      </x:c>
      <x:c r="T396" s="75" t="n">
        <x:v>0</x:v>
      </x:c>
      <x:c r="U396" s="63" t="str">
        <x:v>Programado</x:v>
      </x:c>
      <x:c r="V396" s="63" t="str">
        <x:v>Mes programado sin ejecución al corte de mayo de 2026.</x:v>
      </x:c>
      <x:c r="W396" s="47" t="str">
        <x:v>Información a corte de mayo de 2026</x:v>
      </x:c>
    </x:row>
    <x:row r="397" ht="18" customHeight="1">
      <x:c r="A397" s="46" t="n">
        <x:v>2026</x:v>
      </x:c>
      <x:c r="B397" s="63" t="n">
        <x:v>9</x:v>
      </x:c>
      <x:c r="C397" s="63" t="str">
        <x:v>Septiembre</x:v>
      </x:c>
      <x:c r="D397" s="63" t="str">
        <x:v>T3</x:v>
      </x:c>
      <x:c r="E397" s="71" t="n">
        <x:v>46295</x:v>
      </x:c>
      <x:c r="F397" s="63" t="str">
        <x:v>Medicina preventiva y del trabajo</x:v>
      </x:c>
      <x:c r="G397" s="63" t="str">
        <x:v>Vigilancia epidemiológica</x:v>
      </x:c>
      <x:c r="H397" s="63" t="str">
        <x:v>Evaluación de riesgo psicosocial y actividades de intervención</x:v>
      </x:c>
      <x:c r="I397" s="63" t="str">
        <x:v>Servicio</x:v>
      </x:c>
      <x:c r="J397" s="63" t="str">
        <x:v>Alta</x:v>
      </x:c>
      <x:c r="K397" s="63" t="str">
        <x:v>Periódica</x:v>
      </x:c>
      <x:c r="L397" s="63" t="str">
        <x:v>Actividad</x:v>
      </x:c>
      <x:c r="M397" s="63" t="n">
        <x:v>6</x:v>
      </x:c>
      <x:c r="N397" s="63" t="str">
        <x:v>Psicología / SST</x:v>
      </x:c>
      <x:c r="O397" s="63" t="str">
        <x:v>Presupuesto SG-SST</x:v>
      </x:c>
      <x:c r="P397" s="63" t="str">
        <x:v>Informe técnico, evidencia, plan de intervención</x:v>
      </x:c>
      <x:c r="Q397" s="79" t="n">
        <x:v>615305</x:v>
      </x:c>
      <x:c r="R397" s="79" t="n">
        <x:v>0</x:v>
      </x:c>
      <x:c r="S397" s="79" t="n">
        <x:v>-615305</x:v>
      </x:c>
      <x:c r="T397" s="75" t="n">
        <x:v>0</x:v>
      </x:c>
      <x:c r="U397" s="63" t="str">
        <x:v>Programado</x:v>
      </x:c>
      <x:c r="V397" s="63" t="str">
        <x:v>Mes programado sin ejecución al corte de mayo de 2026.</x:v>
      </x:c>
      <x:c r="W397" s="47" t="str">
        <x:v>Información a corte de mayo de 2026</x:v>
      </x:c>
    </x:row>
    <x:row r="398" ht="18" customHeight="1">
      <x:c r="A398" s="46" t="n">
        <x:v>2026</x:v>
      </x:c>
      <x:c r="B398" s="63" t="n">
        <x:v>9</x:v>
      </x:c>
      <x:c r="C398" s="63" t="str">
        <x:v>Septiembre</x:v>
      </x:c>
      <x:c r="D398" s="63" t="str">
        <x:v>T3</x:v>
      </x:c>
      <x:c r="E398" s="71" t="n">
        <x:v>46295</x:v>
      </x:c>
      <x:c r="F398" s="63" t="str">
        <x:v>Recursos y gestión financiera</x:v>
      </x:c>
      <x:c r="G398" s="63" t="str">
        <x:v>Planeación y recursos</x:v>
      </x:c>
      <x:c r="H398" s="63" t="str">
        <x:v>Exámenes médicos ocupacionales</x:v>
      </x:c>
      <x:c r="I398" s="63" t="str">
        <x:v>Servicio</x:v>
      </x:c>
      <x:c r="J398" s="63" t="str">
        <x:v>Alta</x:v>
      </x:c>
      <x:c r="K398" s="63" t="str">
        <x:v>Semestral</x:v>
      </x:c>
      <x:c r="L398" s="63" t="str">
        <x:v>Jornada</x:v>
      </x:c>
      <x:c r="M398" s="63" t="n">
        <x:v>2</x:v>
      </x:c>
      <x:c r="N398" s="63" t="str">
        <x:v>Coordinación SST</x:v>
      </x:c>
      <x:c r="O398" s="63" t="str">
        <x:v>Presupuesto SG-SST</x:v>
      </x:c>
      <x:c r="P398" s="63" t="str">
        <x:v>Orden de servicio, factura, concepto médico</x:v>
      </x:c>
      <x:c r="Q398" s="79" t="n">
        <x:v>210962</x:v>
      </x:c>
      <x:c r="R398" s="79" t="n">
        <x:v>0</x:v>
      </x:c>
      <x:c r="S398" s="79" t="n">
        <x:v>-210962</x:v>
      </x:c>
      <x:c r="T398" s="75" t="n">
        <x:v>0</x:v>
      </x:c>
      <x:c r="U398" s="63" t="str">
        <x:v>Programado</x:v>
      </x:c>
      <x:c r="V398" s="63" t="str">
        <x:v>Mes programado sin ejecución al corte de mayo de 2026.</x:v>
      </x:c>
      <x:c r="W398" s="47" t="str">
        <x:v>Información a corte de mayo de 2026</x:v>
      </x:c>
    </x:row>
    <x:row r="399" ht="18" customHeight="1">
      <x:c r="A399" s="46" t="n">
        <x:v>2026</x:v>
      </x:c>
      <x:c r="B399" s="63" t="n">
        <x:v>9</x:v>
      </x:c>
      <x:c r="C399" s="63" t="str">
        <x:v>Septiembre</x:v>
      </x:c>
      <x:c r="D399" s="63" t="str">
        <x:v>T3</x:v>
      </x:c>
      <x:c r="E399" s="71" t="n">
        <x:v>46295</x:v>
      </x:c>
      <x:c r="F399" s="63" t="str">
        <x:v>Participación y consulta</x:v>
      </x:c>
      <x:c r="G399" s="63" t="str">
        <x:v>Comités de SST</x:v>
      </x:c>
      <x:c r="H399" s="63" t="str">
        <x:v>Gestión de COPASST y Comité de Convivencia</x:v>
      </x:c>
      <x:c r="I399" s="63" t="str">
        <x:v>Operativo</x:v>
      </x:c>
      <x:c r="J399" s="63" t="str">
        <x:v>Media</x:v>
      </x:c>
      <x:c r="K399" s="63" t="str">
        <x:v>Mensual</x:v>
      </x:c>
      <x:c r="L399" s="63" t="str">
        <x:v>Reunión</x:v>
      </x:c>
      <x:c r="M399" s="63" t="n">
        <x:v>12</x:v>
      </x:c>
      <x:c r="N399" s="63" t="str">
        <x:v>Talento Humano / SST</x:v>
      </x:c>
      <x:c r="O399" s="63" t="str">
        <x:v>Presupuesto SG-SST</x:v>
      </x:c>
      <x:c r="P399" s="63" t="str">
        <x:v>Acta, convocatoria, seguimiento compromisos</x:v>
      </x:c>
      <x:c r="Q399" s="79" t="n">
        <x:v>187521</x:v>
      </x:c>
      <x:c r="R399" s="79" t="n">
        <x:v>0</x:v>
      </x:c>
      <x:c r="S399" s="79" t="n">
        <x:v>-187521</x:v>
      </x:c>
      <x:c r="T399" s="75" t="n">
        <x:v>0</x:v>
      </x:c>
      <x:c r="U399" s="63" t="str">
        <x:v>Programado</x:v>
      </x:c>
      <x:c r="V399" s="63" t="str">
        <x:v>Mes programado sin ejecución al corte de mayo de 2026.</x:v>
      </x:c>
      <x:c r="W399" s="47" t="str">
        <x:v>Información a corte de mayo de 2026</x:v>
      </x:c>
    </x:row>
    <x:row r="400" ht="18" customHeight="1">
      <x:c r="A400" s="46" t="n">
        <x:v>2026</x:v>
      </x:c>
      <x:c r="B400" s="63" t="n">
        <x:v>9</x:v>
      </x:c>
      <x:c r="C400" s="63" t="str">
        <x:v>Septiembre</x:v>
      </x:c>
      <x:c r="D400" s="63" t="str">
        <x:v>T3</x:v>
      </x:c>
      <x:c r="E400" s="71" t="n">
        <x:v>46295</x:v>
      </x:c>
      <x:c r="F400" s="63" t="str">
        <x:v>Higiene y seguridad industrial</x:v>
      </x:c>
      <x:c r="G400" s="63" t="str">
        <x:v>Inspecciones y control</x:v>
      </x:c>
      <x:c r="H400" s="63" t="str">
        <x:v>Inspecciones planeadas de seguridad</x:v>
      </x:c>
      <x:c r="I400" s="63" t="str">
        <x:v>Operativo</x:v>
      </x:c>
      <x:c r="J400" s="63" t="str">
        <x:v>Media</x:v>
      </x:c>
      <x:c r="K400" s="63" t="str">
        <x:v>Mensual</x:v>
      </x:c>
      <x:c r="L400" s="63" t="str">
        <x:v>Inspección</x:v>
      </x:c>
      <x:c r="M400" s="63" t="n">
        <x:v>12</x:v>
      </x:c>
      <x:c r="N400" s="63" t="str">
        <x:v>Inspector SST</x:v>
      </x:c>
      <x:c r="O400" s="63" t="str">
        <x:v>Presupuesto SG-SST</x:v>
      </x:c>
      <x:c r="P400" s="63" t="str">
        <x:v>Lista de chequeo, informe, evidencia fotográfica</x:v>
      </x:c>
      <x:c r="Q400" s="79" t="n">
        <x:v>316442</x:v>
      </x:c>
      <x:c r="R400" s="79" t="n">
        <x:v>0</x:v>
      </x:c>
      <x:c r="S400" s="79" t="n">
        <x:v>-316442</x:v>
      </x:c>
      <x:c r="T400" s="75" t="n">
        <x:v>0</x:v>
      </x:c>
      <x:c r="U400" s="63" t="str">
        <x:v>Programado</x:v>
      </x:c>
      <x:c r="V400" s="63" t="str">
        <x:v>Mes programado sin ejecución al corte de mayo de 2026.</x:v>
      </x:c>
      <x:c r="W400" s="47" t="str">
        <x:v>Información a corte de mayo de 2026</x:v>
      </x:c>
    </x:row>
    <x:row r="401" ht="18" customHeight="1">
      <x:c r="A401" s="46" t="n">
        <x:v>2026</x:v>
      </x:c>
      <x:c r="B401" s="63" t="n">
        <x:v>9</x:v>
      </x:c>
      <x:c r="C401" s="63" t="str">
        <x:v>Septiembre</x:v>
      </x:c>
      <x:c r="D401" s="63" t="str">
        <x:v>T3</x:v>
      </x:c>
      <x:c r="E401" s="71" t="n">
        <x:v>46295</x:v>
      </x:c>
      <x:c r="F401" s="63" t="str">
        <x:v>Mejora continua y cumplimiento</x:v>
      </x:c>
      <x:c r="G401" s="63" t="str">
        <x:v>Gestión de incidentes y mejora</x:v>
      </x:c>
      <x:c r="H401" s="63" t="str">
        <x:v>Investigación de AT/EL y acciones correctivas</x:v>
      </x:c>
      <x:c r="I401" s="63" t="str">
        <x:v>Operativo</x:v>
      </x:c>
      <x:c r="J401" s="63" t="str">
        <x:v>Media</x:v>
      </x:c>
      <x:c r="K401" s="63" t="str">
        <x:v>Mensual</x:v>
      </x:c>
      <x:c r="L401" s="63" t="str">
        <x:v>Seguimiento</x:v>
      </x:c>
      <x:c r="M401" s="63" t="n">
        <x:v>12</x:v>
      </x:c>
      <x:c r="N401" s="63" t="str">
        <x:v>SST / Jefes de área</x:v>
      </x:c>
      <x:c r="O401" s="63" t="str">
        <x:v>Presupuesto SG-SST</x:v>
      </x:c>
      <x:c r="P401" s="63" t="str">
        <x:v>Investigación, plan de acción, evidencia de cierre</x:v>
      </x:c>
      <x:c r="Q401" s="79" t="n">
        <x:v>263702</x:v>
      </x:c>
      <x:c r="R401" s="79" t="n">
        <x:v>0</x:v>
      </x:c>
      <x:c r="S401" s="79" t="n">
        <x:v>-263702</x:v>
      </x:c>
      <x:c r="T401" s="75" t="n">
        <x:v>0</x:v>
      </x:c>
      <x:c r="U401" s="63" t="str">
        <x:v>Programado</x:v>
      </x:c>
      <x:c r="V401" s="63" t="str">
        <x:v>Mes programado sin ejecución al corte de mayo de 2026.</x:v>
      </x:c>
      <x:c r="W401" s="47" t="str">
        <x:v>Información a corte de mayo de 2026</x:v>
      </x:c>
    </x:row>
    <x:row r="402" ht="18" customHeight="1">
      <x:c r="A402" s="46" t="n">
        <x:v>2026</x:v>
      </x:c>
      <x:c r="B402" s="63" t="n">
        <x:v>9</x:v>
      </x:c>
      <x:c r="C402" s="63" t="str">
        <x:v>Septiembre</x:v>
      </x:c>
      <x:c r="D402" s="63" t="str">
        <x:v>T3</x:v>
      </x:c>
      <x:c r="E402" s="71" t="n">
        <x:v>46295</x:v>
      </x:c>
      <x:c r="F402" s="63" t="str">
        <x:v>Medicina preventiva y del trabajo</x:v>
      </x:c>
      <x:c r="G402" s="63" t="str">
        <x:v>Programas de vigilancia epidemiológica</x:v>
      </x:c>
      <x:c r="H402" s="63" t="str">
        <x:v>Programas de vigilancia epidemiológica y seguimiento médico</x:v>
      </x:c>
      <x:c r="I402" s="63" t="str">
        <x:v>Servicio</x:v>
      </x:c>
      <x:c r="J402" s="63" t="str">
        <x:v>Alta</x:v>
      </x:c>
      <x:c r="K402" s="63" t="str">
        <x:v>Mensual</x:v>
      </x:c>
      <x:c r="L402" s="63" t="str">
        <x:v>Seguimiento</x:v>
      </x:c>
      <x:c r="M402" s="63" t="n">
        <x:v>12</x:v>
      </x:c>
      <x:c r="N402" s="63" t="str">
        <x:v>Médico laboral / SST</x:v>
      </x:c>
      <x:c r="O402" s="63" t="str">
        <x:v>Presupuesto SG-SST</x:v>
      </x:c>
      <x:c r="P402" s="63" t="str">
        <x:v>Base de seguimiento, informe, remisiones</x:v>
      </x:c>
      <x:c r="Q402" s="79" t="n">
        <x:v>656325</x:v>
      </x:c>
      <x:c r="R402" s="79" t="n">
        <x:v>0</x:v>
      </x:c>
      <x:c r="S402" s="79" t="n">
        <x:v>-656325</x:v>
      </x:c>
      <x:c r="T402" s="75" t="n">
        <x:v>0</x:v>
      </x:c>
      <x:c r="U402" s="63" t="str">
        <x:v>Programado</x:v>
      </x:c>
      <x:c r="V402" s="63" t="str">
        <x:v>Mes programado sin ejecución al corte de mayo de 2026.</x:v>
      </x:c>
      <x:c r="W402" s="47" t="str">
        <x:v>Información a corte de mayo de 2026</x:v>
      </x:c>
    </x:row>
    <x:row r="403" ht="18" customHeight="1">
      <x:c r="A403" s="46" t="n">
        <x:v>2026</x:v>
      </x:c>
      <x:c r="B403" s="63" t="n">
        <x:v>9</x:v>
      </x:c>
      <x:c r="C403" s="63" t="str">
        <x:v>Septiembre</x:v>
      </x:c>
      <x:c r="D403" s="63" t="str">
        <x:v>T3</x:v>
      </x:c>
      <x:c r="E403" s="71" t="n">
        <x:v>46295</x:v>
      </x:c>
      <x:c r="F403" s="63" t="str">
        <x:v>Higiene y seguridad industrial</x:v>
      </x:c>
      <x:c r="G403" s="63" t="str">
        <x:v>Señalización y control visual</x:v>
      </x:c>
      <x:c r="H403" s="63" t="str">
        <x:v>Señalización, demarcación y avisos de seguridad</x:v>
      </x:c>
      <x:c r="I403" s="63" t="str">
        <x:v>Operativo</x:v>
      </x:c>
      <x:c r="J403" s="63" t="str">
        <x:v>Media</x:v>
      </x:c>
      <x:c r="K403" s="63" t="str">
        <x:v>Periódica</x:v>
      </x:c>
      <x:c r="L403" s="63" t="str">
        <x:v>Intervención</x:v>
      </x:c>
      <x:c r="M403" s="63" t="n">
        <x:v>5</x:v>
      </x:c>
      <x:c r="N403" s="63" t="str">
        <x:v>SST / Mantenimiento</x:v>
      </x:c>
      <x:c r="O403" s="63" t="str">
        <x:v>Presupuesto SG-SST</x:v>
      </x:c>
      <x:c r="P403" s="63" t="str">
        <x:v>Acta de instalación, factura, inventario</x:v>
      </x:c>
      <x:c r="Q403" s="79" t="n">
        <x:v>586004</x:v>
      </x:c>
      <x:c r="R403" s="79" t="n">
        <x:v>0</x:v>
      </x:c>
      <x:c r="S403" s="79" t="n">
        <x:v>-586004</x:v>
      </x:c>
      <x:c r="T403" s="75" t="n">
        <x:v>0</x:v>
      </x:c>
      <x:c r="U403" s="63" t="str">
        <x:v>Programado</x:v>
      </x:c>
      <x:c r="V403" s="63" t="str">
        <x:v>Mes programado sin ejecución al corte de mayo de 2026.</x:v>
      </x:c>
      <x:c r="W403" s="47" t="str">
        <x:v>Información a corte de mayo de 2026</x:v>
      </x:c>
    </x:row>
    <x:row r="404" ht="18" customHeight="1">
      <x:c r="A404" s="46" t="n">
        <x:v>2026</x:v>
      </x:c>
      <x:c r="B404" s="63" t="n">
        <x:v>10</x:v>
      </x:c>
      <x:c r="C404" s="63" t="str">
        <x:v>Octubre</x:v>
      </x:c>
      <x:c r="D404" s="63" t="str">
        <x:v>T4</x:v>
      </x:c>
      <x:c r="E404" s="71" t="n">
        <x:v>46326</x:v>
      </x:c>
      <x:c r="F404" s="63" t="str">
        <x:v>Mejora continua y cumplimiento</x:v>
      </x:c>
      <x:c r="G404" s="63" t="str">
        <x:v>Auditoría y revisión por la dirección</x:v>
      </x:c>
      <x:c r="H404" s="63" t="str">
        <x:v>Auditoría interna, autoevaluación y revisión gerencial</x:v>
      </x:c>
      <x:c r="I404" s="63" t="str">
        <x:v>Servicio</x:v>
      </x:c>
      <x:c r="J404" s="63" t="str">
        <x:v>Alta</x:v>
      </x:c>
      <x:c r="K404" s="63" t="str">
        <x:v>Trimestral</x:v>
      </x:c>
      <x:c r="L404" s="63" t="str">
        <x:v>Hito</x:v>
      </x:c>
      <x:c r="M404" s="63" t="n">
        <x:v>4</x:v>
      </x:c>
      <x:c r="N404" s="63" t="str">
        <x:v>Líder HSEQ / Gerencia</x:v>
      </x:c>
      <x:c r="O404" s="63" t="str">
        <x:v>Presupuesto SG-SST</x:v>
      </x:c>
      <x:c r="P404" s="63" t="str">
        <x:v>Informe de auditoría, acta, plan de mejora</x:v>
      </x:c>
      <x:c r="Q404" s="79" t="n">
        <x:v>1172009</x:v>
      </x:c>
      <x:c r="R404" s="79" t="n">
        <x:v>0</x:v>
      </x:c>
      <x:c r="S404" s="79" t="n">
        <x:v>-1172009</x:v>
      </x:c>
      <x:c r="T404" s="75" t="n">
        <x:v>0</x:v>
      </x:c>
      <x:c r="U404" s="63" t="str">
        <x:v>Programado</x:v>
      </x:c>
      <x:c r="V404" s="63" t="str">
        <x:v>Mes programado sin ejecución al corte de mayo de 2026.</x:v>
      </x:c>
      <x:c r="W404" s="47" t="str">
        <x:v>Información a corte de mayo de 2026</x:v>
      </x:c>
    </x:row>
    <x:row r="405" ht="18" customHeight="1">
      <x:c r="A405" s="46" t="n">
        <x:v>2026</x:v>
      </x:c>
      <x:c r="B405" s="63" t="n">
        <x:v>10</x:v>
      </x:c>
      <x:c r="C405" s="63" t="str">
        <x:v>Octubre</x:v>
      </x:c>
      <x:c r="D405" s="63" t="str">
        <x:v>T4</x:v>
      </x:c>
      <x:c r="E405" s="71" t="n">
        <x:v>46326</x:v>
      </x:c>
      <x:c r="F405" s="63" t="str">
        <x:v>Capacitación y entrenamiento</x:v>
      </x:c>
      <x:c r="G405" s="63" t="str">
        <x:v>Plan anual de formación</x:v>
      </x:c>
      <x:c r="H405" s="63" t="str">
        <x:v>Capacitación y entrenamiento en SG-SST</x:v>
      </x:c>
      <x:c r="I405" s="63" t="str">
        <x:v>Operativo</x:v>
      </x:c>
      <x:c r="J405" s="63" t="str">
        <x:v>Alta</x:v>
      </x:c>
      <x:c r="K405" s="63" t="str">
        <x:v>Mensual</x:v>
      </x:c>
      <x:c r="L405" s="63" t="str">
        <x:v>Jornada</x:v>
      </x:c>
      <x:c r="M405" s="63" t="n">
        <x:v>12</x:v>
      </x:c>
      <x:c r="N405" s="63" t="str">
        <x:v>Coordinación SST</x:v>
      </x:c>
      <x:c r="O405" s="63" t="str">
        <x:v>Presupuesto SG-SST</x:v>
      </x:c>
      <x:c r="P405" s="63" t="str">
        <x:v>Lista de asistencia, evaluación, acta</x:v>
      </x:c>
      <x:c r="Q405" s="79" t="n">
        <x:v>468804</x:v>
      </x:c>
      <x:c r="R405" s="79" t="n">
        <x:v>0</x:v>
      </x:c>
      <x:c r="S405" s="79" t="n">
        <x:v>-468804</x:v>
      </x:c>
      <x:c r="T405" s="75" t="n">
        <x:v>0</x:v>
      </x:c>
      <x:c r="U405" s="63" t="str">
        <x:v>Programado</x:v>
      </x:c>
      <x:c r="V405" s="63" t="str">
        <x:v>Mes programado sin ejecución al corte de mayo de 2026.</x:v>
      </x:c>
      <x:c r="W405" s="47" t="str">
        <x:v>Información a corte de mayo de 2026</x:v>
      </x:c>
    </x:row>
    <x:row r="406" ht="18" customHeight="1">
      <x:c r="A406" s="46" t="n">
        <x:v>2026</x:v>
      </x:c>
      <x:c r="B406" s="63" t="n">
        <x:v>10</x:v>
      </x:c>
      <x:c r="C406" s="63" t="str">
        <x:v>Octubre</x:v>
      </x:c>
      <x:c r="D406" s="63" t="str">
        <x:v>T4</x:v>
      </x:c>
      <x:c r="E406" s="71" t="n">
        <x:v>46326</x:v>
      </x:c>
      <x:c r="F406" s="63" t="str">
        <x:v>Medicina preventiva y del trabajo</x:v>
      </x:c>
      <x:c r="G406" s="63" t="str">
        <x:v>Vigilancia epidemiológica</x:v>
      </x:c>
      <x:c r="H406" s="63" t="str">
        <x:v>Evaluación de riesgo psicosocial y actividades de intervención</x:v>
      </x:c>
      <x:c r="I406" s="63" t="str">
        <x:v>Servicio</x:v>
      </x:c>
      <x:c r="J406" s="63" t="str">
        <x:v>Alta</x:v>
      </x:c>
      <x:c r="K406" s="63" t="str">
        <x:v>Periódica</x:v>
      </x:c>
      <x:c r="L406" s="63" t="str">
        <x:v>Actividad</x:v>
      </x:c>
      <x:c r="M406" s="63" t="n">
        <x:v>6</x:v>
      </x:c>
      <x:c r="N406" s="63" t="str">
        <x:v>Psicología / SST</x:v>
      </x:c>
      <x:c r="O406" s="63" t="str">
        <x:v>Presupuesto SG-SST</x:v>
      </x:c>
      <x:c r="P406" s="63" t="str">
        <x:v>Informe técnico, evidencia, plan de intervención</x:v>
      </x:c>
      <x:c r="Q406" s="79" t="n">
        <x:v>615305</x:v>
      </x:c>
      <x:c r="R406" s="79" t="n">
        <x:v>0</x:v>
      </x:c>
      <x:c r="S406" s="79" t="n">
        <x:v>-615305</x:v>
      </x:c>
      <x:c r="T406" s="75" t="n">
        <x:v>0</x:v>
      </x:c>
      <x:c r="U406" s="63" t="str">
        <x:v>Programado</x:v>
      </x:c>
      <x:c r="V406" s="63" t="str">
        <x:v>Mes programado sin ejecución al corte de mayo de 2026.</x:v>
      </x:c>
      <x:c r="W406" s="47" t="str">
        <x:v>Información a corte de mayo de 2026</x:v>
      </x:c>
    </x:row>
    <x:row r="407" ht="18" customHeight="1">
      <x:c r="A407" s="46" t="n">
        <x:v>2026</x:v>
      </x:c>
      <x:c r="B407" s="63" t="n">
        <x:v>10</x:v>
      </x:c>
      <x:c r="C407" s="63" t="str">
        <x:v>Octubre</x:v>
      </x:c>
      <x:c r="D407" s="63" t="str">
        <x:v>T4</x:v>
      </x:c>
      <x:c r="E407" s="71" t="n">
        <x:v>46326</x:v>
      </x:c>
      <x:c r="F407" s="63" t="str">
        <x:v>Recursos y gestión financiera</x:v>
      </x:c>
      <x:c r="G407" s="63" t="str">
        <x:v>Planeación y recursos</x:v>
      </x:c>
      <x:c r="H407" s="63" t="str">
        <x:v>Exámenes médicos ocupacionales</x:v>
      </x:c>
      <x:c r="I407" s="63" t="str">
        <x:v>Servicio</x:v>
      </x:c>
      <x:c r="J407" s="63" t="str">
        <x:v>Alta</x:v>
      </x:c>
      <x:c r="K407" s="63" t="str">
        <x:v>Semestral</x:v>
      </x:c>
      <x:c r="L407" s="63" t="str">
        <x:v>Jornada</x:v>
      </x:c>
      <x:c r="M407" s="63" t="n">
        <x:v>2</x:v>
      </x:c>
      <x:c r="N407" s="63" t="str">
        <x:v>Coordinación SST</x:v>
      </x:c>
      <x:c r="O407" s="63" t="str">
        <x:v>Presupuesto SG-SST</x:v>
      </x:c>
      <x:c r="P407" s="63" t="str">
        <x:v>Orden de servicio, factura, concepto médico</x:v>
      </x:c>
      <x:c r="Q407" s="79" t="n">
        <x:v>140641</x:v>
      </x:c>
      <x:c r="R407" s="79" t="n">
        <x:v>0</x:v>
      </x:c>
      <x:c r="S407" s="79" t="n">
        <x:v>-140641</x:v>
      </x:c>
      <x:c r="T407" s="75" t="n">
        <x:v>0</x:v>
      </x:c>
      <x:c r="U407" s="63" t="str">
        <x:v>Programado</x:v>
      </x:c>
      <x:c r="V407" s="63" t="str">
        <x:v>Mes programado sin ejecución al corte de mayo de 2026.</x:v>
      </x:c>
      <x:c r="W407" s="47" t="str">
        <x:v>Información a corte de mayo de 2026</x:v>
      </x:c>
    </x:row>
    <x:row r="408" ht="18" customHeight="1">
      <x:c r="A408" s="46" t="n">
        <x:v>2026</x:v>
      </x:c>
      <x:c r="B408" s="63" t="n">
        <x:v>10</x:v>
      </x:c>
      <x:c r="C408" s="63" t="str">
        <x:v>Octubre</x:v>
      </x:c>
      <x:c r="D408" s="63" t="str">
        <x:v>T4</x:v>
      </x:c>
      <x:c r="E408" s="71" t="n">
        <x:v>46326</x:v>
      </x:c>
      <x:c r="F408" s="63" t="str">
        <x:v>Gestión de contratistas</x:v>
      </x:c>
      <x:c r="G408" s="63" t="str">
        <x:v>Control de terceros</x:v>
      </x:c>
      <x:c r="H408" s="63" t="str">
        <x:v>Gestión SST de proveedores y contratistas</x:v>
      </x:c>
      <x:c r="I408" s="63" t="str">
        <x:v>Operativo</x:v>
      </x:c>
      <x:c r="J408" s="63" t="str">
        <x:v>Media</x:v>
      </x:c>
      <x:c r="K408" s="63" t="str">
        <x:v>Trimestral</x:v>
      </x:c>
      <x:c r="L408" s="63" t="str">
        <x:v>Ciclo</x:v>
      </x:c>
      <x:c r="M408" s="63" t="n">
        <x:v>4</x:v>
      </x:c>
      <x:c r="N408" s="63" t="str">
        <x:v>Compras / SST</x:v>
      </x:c>
      <x:c r="O408" s="63" t="str">
        <x:v>Presupuesto SG-SST</x:v>
      </x:c>
      <x:c r="P408" s="63" t="str">
        <x:v>Matriz de evaluación, soportes de contratistas</x:v>
      </x:c>
      <x:c r="Q408" s="79" t="n">
        <x:v>879006</x:v>
      </x:c>
      <x:c r="R408" s="79" t="n">
        <x:v>0</x:v>
      </x:c>
      <x:c r="S408" s="79" t="n">
        <x:v>-879006</x:v>
      </x:c>
      <x:c r="T408" s="75" t="n">
        <x:v>0</x:v>
      </x:c>
      <x:c r="U408" s="63" t="str">
        <x:v>Programado</x:v>
      </x:c>
      <x:c r="V408" s="63" t="str">
        <x:v>Mes programado sin ejecución al corte de mayo de 2026.</x:v>
      </x:c>
      <x:c r="W408" s="47" t="str">
        <x:v>Información a corte de mayo de 2026</x:v>
      </x:c>
    </x:row>
    <x:row r="409" ht="18" customHeight="1">
      <x:c r="A409" s="46" t="n">
        <x:v>2026</x:v>
      </x:c>
      <x:c r="B409" s="63" t="n">
        <x:v>10</x:v>
      </x:c>
      <x:c r="C409" s="63" t="str">
        <x:v>Octubre</x:v>
      </x:c>
      <x:c r="D409" s="63" t="str">
        <x:v>T4</x:v>
      </x:c>
      <x:c r="E409" s="71" t="n">
        <x:v>46326</x:v>
      </x:c>
      <x:c r="F409" s="63" t="str">
        <x:v>Participación y consulta</x:v>
      </x:c>
      <x:c r="G409" s="63" t="str">
        <x:v>Comités de SST</x:v>
      </x:c>
      <x:c r="H409" s="63" t="str">
        <x:v>Gestión de COPASST y Comité de Convivencia</x:v>
      </x:c>
      <x:c r="I409" s="63" t="str">
        <x:v>Operativo</x:v>
      </x:c>
      <x:c r="J409" s="63" t="str">
        <x:v>Media</x:v>
      </x:c>
      <x:c r="K409" s="63" t="str">
        <x:v>Mensual</x:v>
      </x:c>
      <x:c r="L409" s="63" t="str">
        <x:v>Reunión</x:v>
      </x:c>
      <x:c r="M409" s="63" t="n">
        <x:v>12</x:v>
      </x:c>
      <x:c r="N409" s="63" t="str">
        <x:v>Talento Humano / SST</x:v>
      </x:c>
      <x:c r="O409" s="63" t="str">
        <x:v>Presupuesto SG-SST</x:v>
      </x:c>
      <x:c r="P409" s="63" t="str">
        <x:v>Acta, convocatoria, seguimiento compromisos</x:v>
      </x:c>
      <x:c r="Q409" s="79" t="n">
        <x:v>210962</x:v>
      </x:c>
      <x:c r="R409" s="79" t="n">
        <x:v>0</x:v>
      </x:c>
      <x:c r="S409" s="79" t="n">
        <x:v>-210962</x:v>
      </x:c>
      <x:c r="T409" s="75" t="n">
        <x:v>0</x:v>
      </x:c>
      <x:c r="U409" s="63" t="str">
        <x:v>Programado</x:v>
      </x:c>
      <x:c r="V409" s="63" t="str">
        <x:v>Mes programado sin ejecución al corte de mayo de 2026.</x:v>
      </x:c>
      <x:c r="W409" s="47" t="str">
        <x:v>Información a corte de mayo de 2026</x:v>
      </x:c>
    </x:row>
    <x:row r="410" ht="18" customHeight="1">
      <x:c r="A410" s="46" t="n">
        <x:v>2026</x:v>
      </x:c>
      <x:c r="B410" s="63" t="n">
        <x:v>10</x:v>
      </x:c>
      <x:c r="C410" s="63" t="str">
        <x:v>Octubre</x:v>
      </x:c>
      <x:c r="D410" s="63" t="str">
        <x:v>T4</x:v>
      </x:c>
      <x:c r="E410" s="71" t="n">
        <x:v>46326</x:v>
      </x:c>
      <x:c r="F410" s="63" t="str">
        <x:v>Higiene y seguridad industrial</x:v>
      </x:c>
      <x:c r="G410" s="63" t="str">
        <x:v>Inspecciones y control</x:v>
      </x:c>
      <x:c r="H410" s="63" t="str">
        <x:v>Inspecciones planeadas de seguridad</x:v>
      </x:c>
      <x:c r="I410" s="63" t="str">
        <x:v>Operativo</x:v>
      </x:c>
      <x:c r="J410" s="63" t="str">
        <x:v>Media</x:v>
      </x:c>
      <x:c r="K410" s="63" t="str">
        <x:v>Mensual</x:v>
      </x:c>
      <x:c r="L410" s="63" t="str">
        <x:v>Inspección</x:v>
      </x:c>
      <x:c r="M410" s="63" t="n">
        <x:v>12</x:v>
      </x:c>
      <x:c r="N410" s="63" t="str">
        <x:v>Inspector SST</x:v>
      </x:c>
      <x:c r="O410" s="63" t="str">
        <x:v>Presupuesto SG-SST</x:v>
      </x:c>
      <x:c r="P410" s="63" t="str">
        <x:v>Lista de chequeo, informe, evidencia fotográfica</x:v>
      </x:c>
      <x:c r="Q410" s="79" t="n">
        <x:v>281282</x:v>
      </x:c>
      <x:c r="R410" s="79" t="n">
        <x:v>0</x:v>
      </x:c>
      <x:c r="S410" s="79" t="n">
        <x:v>-281282</x:v>
      </x:c>
      <x:c r="T410" s="75" t="n">
        <x:v>0</x:v>
      </x:c>
      <x:c r="U410" s="63" t="str">
        <x:v>Programado</x:v>
      </x:c>
      <x:c r="V410" s="63" t="str">
        <x:v>Mes programado sin ejecución al corte de mayo de 2026.</x:v>
      </x:c>
      <x:c r="W410" s="47" t="str">
        <x:v>Información a corte de mayo de 2026</x:v>
      </x:c>
    </x:row>
    <x:row r="411" ht="18" customHeight="1">
      <x:c r="A411" s="46" t="n">
        <x:v>2026</x:v>
      </x:c>
      <x:c r="B411" s="63" t="n">
        <x:v>10</x:v>
      </x:c>
      <x:c r="C411" s="63" t="str">
        <x:v>Octubre</x:v>
      </x:c>
      <x:c r="D411" s="63" t="str">
        <x:v>T4</x:v>
      </x:c>
      <x:c r="E411" s="71" t="n">
        <x:v>46326</x:v>
      </x:c>
      <x:c r="F411" s="63" t="str">
        <x:v>Mejora continua y cumplimiento</x:v>
      </x:c>
      <x:c r="G411" s="63" t="str">
        <x:v>Gestión de incidentes y mejora</x:v>
      </x:c>
      <x:c r="H411" s="63" t="str">
        <x:v>Investigación de AT/EL y acciones correctivas</x:v>
      </x:c>
      <x:c r="I411" s="63" t="str">
        <x:v>Operativo</x:v>
      </x:c>
      <x:c r="J411" s="63" t="str">
        <x:v>Media</x:v>
      </x:c>
      <x:c r="K411" s="63" t="str">
        <x:v>Mensual</x:v>
      </x:c>
      <x:c r="L411" s="63" t="str">
        <x:v>Seguimiento</x:v>
      </x:c>
      <x:c r="M411" s="63" t="n">
        <x:v>12</x:v>
      </x:c>
      <x:c r="N411" s="63" t="str">
        <x:v>SST / Jefes de área</x:v>
      </x:c>
      <x:c r="O411" s="63" t="str">
        <x:v>Presupuesto SG-SST</x:v>
      </x:c>
      <x:c r="P411" s="63" t="str">
        <x:v>Investigación, plan de acción, evidencia de cierre</x:v>
      </x:c>
      <x:c r="Q411" s="79" t="n">
        <x:v>234402</x:v>
      </x:c>
      <x:c r="R411" s="79" t="n">
        <x:v>0</x:v>
      </x:c>
      <x:c r="S411" s="79" t="n">
        <x:v>-234402</x:v>
      </x:c>
      <x:c r="T411" s="75" t="n">
        <x:v>0</x:v>
      </x:c>
      <x:c r="U411" s="63" t="str">
        <x:v>Programado</x:v>
      </x:c>
      <x:c r="V411" s="63" t="str">
        <x:v>Mes programado sin ejecución al corte de mayo de 2026.</x:v>
      </x:c>
      <x:c r="W411" s="47" t="str">
        <x:v>Información a corte de mayo de 2026</x:v>
      </x:c>
    </x:row>
    <x:row r="412" ht="18" customHeight="1">
      <x:c r="A412" s="46" t="n">
        <x:v>2026</x:v>
      </x:c>
      <x:c r="B412" s="63" t="n">
        <x:v>10</x:v>
      </x:c>
      <x:c r="C412" s="63" t="str">
        <x:v>Octubre</x:v>
      </x:c>
      <x:c r="D412" s="63" t="str">
        <x:v>T4</x:v>
      </x:c>
      <x:c r="E412" s="71" t="n">
        <x:v>46326</x:v>
      </x:c>
      <x:c r="F412" s="63" t="str">
        <x:v>Emergencias e infraestructura</x:v>
      </x:c>
      <x:c r="G412" s="63" t="str">
        <x:v>Preparación y respuesta ante emergencias</x:v>
      </x:c>
      <x:c r="H412" s="63" t="str">
        <x:v>Mantenimiento de extintores, botiquines y equipos de emergencia</x:v>
      </x:c>
      <x:c r="I412" s="63" t="str">
        <x:v>Servicio</x:v>
      </x:c>
      <x:c r="J412" s="63" t="str">
        <x:v>Alta</x:v>
      </x:c>
      <x:c r="K412" s="63" t="str">
        <x:v>Bimestral / semestral</x:v>
      </x:c>
      <x:c r="L412" s="63" t="str">
        <x:v>Mantenimiento</x:v>
      </x:c>
      <x:c r="M412" s="63" t="n">
        <x:v>6</x:v>
      </x:c>
      <x:c r="N412" s="63" t="str">
        <x:v>Brigada / SST</x:v>
      </x:c>
      <x:c r="O412" s="63" t="str">
        <x:v>Presupuesto SG-SST</x:v>
      </x:c>
      <x:c r="P412" s="63" t="str">
        <x:v>Certificado, factura, hoja de vida del equipo</x:v>
      </x:c>
      <x:c r="Q412" s="79" t="n">
        <x:v>843846</x:v>
      </x:c>
      <x:c r="R412" s="79" t="n">
        <x:v>0</x:v>
      </x:c>
      <x:c r="S412" s="79" t="n">
        <x:v>-843846</x:v>
      </x:c>
      <x:c r="T412" s="75" t="n">
        <x:v>0</x:v>
      </x:c>
      <x:c r="U412" s="63" t="str">
        <x:v>Programado</x:v>
      </x:c>
      <x:c r="V412" s="63" t="str">
        <x:v>Mes programado sin ejecución al corte de mayo de 2026.</x:v>
      </x:c>
      <x:c r="W412" s="47" t="str">
        <x:v>Información a corte de mayo de 2026</x:v>
      </x:c>
    </x:row>
    <x:row r="413" ht="18" customHeight="1">
      <x:c r="A413" s="46" t="n">
        <x:v>2026</x:v>
      </x:c>
      <x:c r="B413" s="63" t="n">
        <x:v>10</x:v>
      </x:c>
      <x:c r="C413" s="63" t="str">
        <x:v>Octubre</x:v>
      </x:c>
      <x:c r="D413" s="63" t="str">
        <x:v>T4</x:v>
      </x:c>
      <x:c r="E413" s="71" t="n">
        <x:v>46326</x:v>
      </x:c>
      <x:c r="F413" s="63" t="str">
        <x:v>Medicina preventiva y del trabajo</x:v>
      </x:c>
      <x:c r="G413" s="63" t="str">
        <x:v>Programas de vigilancia epidemiológica</x:v>
      </x:c>
      <x:c r="H413" s="63" t="str">
        <x:v>Programas de vigilancia epidemiológica y seguimiento médico</x:v>
      </x:c>
      <x:c r="I413" s="63" t="str">
        <x:v>Servicio</x:v>
      </x:c>
      <x:c r="J413" s="63" t="str">
        <x:v>Alta</x:v>
      </x:c>
      <x:c r="K413" s="63" t="str">
        <x:v>Mensual</x:v>
      </x:c>
      <x:c r="L413" s="63" t="str">
        <x:v>Seguimiento</x:v>
      </x:c>
      <x:c r="M413" s="63" t="n">
        <x:v>12</x:v>
      </x:c>
      <x:c r="N413" s="63" t="str">
        <x:v>Médico laboral / SST</x:v>
      </x:c>
      <x:c r="O413" s="63" t="str">
        <x:v>Presupuesto SG-SST</x:v>
      </x:c>
      <x:c r="P413" s="63" t="str">
        <x:v>Base de seguimiento, informe, remisiones</x:v>
      </x:c>
      <x:c r="Q413" s="79" t="n">
        <x:v>656325</x:v>
      </x:c>
      <x:c r="R413" s="79" t="n">
        <x:v>0</x:v>
      </x:c>
      <x:c r="S413" s="79" t="n">
        <x:v>-656325</x:v>
      </x:c>
      <x:c r="T413" s="75" t="n">
        <x:v>0</x:v>
      </x:c>
      <x:c r="U413" s="63" t="str">
        <x:v>Programado</x:v>
      </x:c>
      <x:c r="V413" s="63" t="str">
        <x:v>Mes programado sin ejecución al corte de mayo de 2026.</x:v>
      </x:c>
      <x:c r="W413" s="47" t="str">
        <x:v>Información a corte de mayo de 2026</x:v>
      </x:c>
    </x:row>
    <x:row r="414" ht="18" customHeight="1">
      <x:c r="A414" s="46" t="n">
        <x:v>2026</x:v>
      </x:c>
      <x:c r="B414" s="63" t="n">
        <x:v>11</x:v>
      </x:c>
      <x:c r="C414" s="63" t="str">
        <x:v>Noviembre</x:v>
      </x:c>
      <x:c r="D414" s="63" t="str">
        <x:v>T4</x:v>
      </x:c>
      <x:c r="E414" s="71" t="n">
        <x:v>46356</x:v>
      </x:c>
      <x:c r="F414" s="63" t="str">
        <x:v>Mejora continua y cumplimiento</x:v>
      </x:c>
      <x:c r="G414" s="63" t="str">
        <x:v>Auditoría y revisión por la dirección</x:v>
      </x:c>
      <x:c r="H414" s="63" t="str">
        <x:v>Auditoría interna, autoevaluación y revisión gerencial</x:v>
      </x:c>
      <x:c r="I414" s="63" t="str">
        <x:v>Servicio</x:v>
      </x:c>
      <x:c r="J414" s="63" t="str">
        <x:v>Alta</x:v>
      </x:c>
      <x:c r="K414" s="63" t="str">
        <x:v>Trimestral</x:v>
      </x:c>
      <x:c r="L414" s="63" t="str">
        <x:v>Hito</x:v>
      </x:c>
      <x:c r="M414" s="63" t="n">
        <x:v>4</x:v>
      </x:c>
      <x:c r="N414" s="63" t="str">
        <x:v>Líder HSEQ / Gerencia</x:v>
      </x:c>
      <x:c r="O414" s="63" t="str">
        <x:v>Presupuesto SG-SST</x:v>
      </x:c>
      <x:c r="P414" s="63" t="str">
        <x:v>Informe de auditoría, acta, plan de mejora</x:v>
      </x:c>
      <x:c r="Q414" s="79" t="n">
        <x:v>703205</x:v>
      </x:c>
      <x:c r="R414" s="79" t="n">
        <x:v>0</x:v>
      </x:c>
      <x:c r="S414" s="79" t="n">
        <x:v>-703205</x:v>
      </x:c>
      <x:c r="T414" s="75" t="n">
        <x:v>0</x:v>
      </x:c>
      <x:c r="U414" s="63" t="str">
        <x:v>Programado</x:v>
      </x:c>
      <x:c r="V414" s="63" t="str">
        <x:v>Mes programado sin ejecución al corte de mayo de 2026.</x:v>
      </x:c>
      <x:c r="W414" s="47" t="str">
        <x:v>Información a corte de mayo de 2026</x:v>
      </x:c>
    </x:row>
    <x:row r="415" ht="18" customHeight="1">
      <x:c r="A415" s="46" t="n">
        <x:v>2026</x:v>
      </x:c>
      <x:c r="B415" s="63" t="n">
        <x:v>11</x:v>
      </x:c>
      <x:c r="C415" s="63" t="str">
        <x:v>Noviembre</x:v>
      </x:c>
      <x:c r="D415" s="63" t="str">
        <x:v>T4</x:v>
      </x:c>
      <x:c r="E415" s="71" t="n">
        <x:v>46356</x:v>
      </x:c>
      <x:c r="F415" s="63" t="str">
        <x:v>Capacitación y entrenamiento</x:v>
      </x:c>
      <x:c r="G415" s="63" t="str">
        <x:v>Plan anual de formación</x:v>
      </x:c>
      <x:c r="H415" s="63" t="str">
        <x:v>Capacitación y entrenamiento en SG-SST</x:v>
      </x:c>
      <x:c r="I415" s="63" t="str">
        <x:v>Operativo</x:v>
      </x:c>
      <x:c r="J415" s="63" t="str">
        <x:v>Alta</x:v>
      </x:c>
      <x:c r="K415" s="63" t="str">
        <x:v>Mensual</x:v>
      </x:c>
      <x:c r="L415" s="63" t="str">
        <x:v>Jornada</x:v>
      </x:c>
      <x:c r="M415" s="63" t="n">
        <x:v>12</x:v>
      </x:c>
      <x:c r="N415" s="63" t="str">
        <x:v>Coordinación SST</x:v>
      </x:c>
      <x:c r="O415" s="63" t="str">
        <x:v>Presupuesto SG-SST</x:v>
      </x:c>
      <x:c r="P415" s="63" t="str">
        <x:v>Lista de asistencia, evaluación, acta</x:v>
      </x:c>
      <x:c r="Q415" s="79" t="n">
        <x:v>527404</x:v>
      </x:c>
      <x:c r="R415" s="79" t="n">
        <x:v>0</x:v>
      </x:c>
      <x:c r="S415" s="79" t="n">
        <x:v>-527404</x:v>
      </x:c>
      <x:c r="T415" s="75" t="n">
        <x:v>0</x:v>
      </x:c>
      <x:c r="U415" s="63" t="str">
        <x:v>Programado</x:v>
      </x:c>
      <x:c r="V415" s="63" t="str">
        <x:v>Mes programado sin ejecución al corte de mayo de 2026.</x:v>
      </x:c>
      <x:c r="W415" s="47" t="str">
        <x:v>Información a corte de mayo de 2026</x:v>
      </x:c>
    </x:row>
    <x:row r="416" ht="18" customHeight="1">
      <x:c r="A416" s="46" t="n">
        <x:v>2026</x:v>
      </x:c>
      <x:c r="B416" s="63" t="n">
        <x:v>11</x:v>
      </x:c>
      <x:c r="C416" s="63" t="str">
        <x:v>Noviembre</x:v>
      </x:c>
      <x:c r="D416" s="63" t="str">
        <x:v>T4</x:v>
      </x:c>
      <x:c r="E416" s="71" t="n">
        <x:v>46356</x:v>
      </x:c>
      <x:c r="F416" s="63" t="str">
        <x:v>Higiene y seguridad industrial</x:v>
      </x:c>
      <x:c r="G416" s="63" t="str">
        <x:v>Dotación y control operacional</x:v>
      </x:c>
      <x:c r="H416" s="63" t="str">
        <x:v>Dotación y reposición de EPP</x:v>
      </x:c>
      <x:c r="I416" s="63" t="str">
        <x:v>Operativo</x:v>
      </x:c>
      <x:c r="J416" s="63" t="str">
        <x:v>Alta</x:v>
      </x:c>
      <x:c r="K416" s="63" t="str">
        <x:v>Bimestral / trimestral</x:v>
      </x:c>
      <x:c r="L416" s="63" t="str">
        <x:v>Entrega</x:v>
      </x:c>
      <x:c r="M416" s="63" t="n">
        <x:v>6</x:v>
      </x:c>
      <x:c r="N416" s="63" t="str">
        <x:v>Coordinación SST / Compras</x:v>
      </x:c>
      <x:c r="O416" s="63" t="str">
        <x:v>Presupuesto SG-SST</x:v>
      </x:c>
      <x:c r="P416" s="63" t="str">
        <x:v>Formato de entrega, factura, remisión</x:v>
      </x:c>
      <x:c r="Q416" s="79" t="n">
        <x:v>1933814</x:v>
      </x:c>
      <x:c r="R416" s="79" t="n">
        <x:v>0</x:v>
      </x:c>
      <x:c r="S416" s="79" t="n">
        <x:v>-1933814</x:v>
      </x:c>
      <x:c r="T416" s="75" t="n">
        <x:v>0</x:v>
      </x:c>
      <x:c r="U416" s="63" t="str">
        <x:v>Programado</x:v>
      </x:c>
      <x:c r="V416" s="63" t="str">
        <x:v>Mes programado sin ejecución al corte de mayo de 2026.</x:v>
      </x:c>
      <x:c r="W416" s="47" t="str">
        <x:v>Información a corte de mayo de 2026</x:v>
      </x:c>
    </x:row>
    <x:row r="417" ht="18" customHeight="1">
      <x:c r="A417" s="46" t="n">
        <x:v>2026</x:v>
      </x:c>
      <x:c r="B417" s="63" t="n">
        <x:v>11</x:v>
      </x:c>
      <x:c r="C417" s="63" t="str">
        <x:v>Noviembre</x:v>
      </x:c>
      <x:c r="D417" s="63" t="str">
        <x:v>T4</x:v>
      </x:c>
      <x:c r="E417" s="71" t="n">
        <x:v>46356</x:v>
      </x:c>
      <x:c r="F417" s="63" t="str">
        <x:v>Recursos y gestión financiera</x:v>
      </x:c>
      <x:c r="G417" s="63" t="str">
        <x:v>Planeación y recursos</x:v>
      </x:c>
      <x:c r="H417" s="63" t="str">
        <x:v>Exámenes médicos ocupacionales</x:v>
      </x:c>
      <x:c r="I417" s="63" t="str">
        <x:v>Servicio</x:v>
      </x:c>
      <x:c r="J417" s="63" t="str">
        <x:v>Alta</x:v>
      </x:c>
      <x:c r="K417" s="63" t="str">
        <x:v>Semestral</x:v>
      </x:c>
      <x:c r="L417" s="63" t="str">
        <x:v>Jornada</x:v>
      </x:c>
      <x:c r="M417" s="63" t="n">
        <x:v>2</x:v>
      </x:c>
      <x:c r="N417" s="63" t="str">
        <x:v>Coordinación SST</x:v>
      </x:c>
      <x:c r="O417" s="63" t="str">
        <x:v>Presupuesto SG-SST</x:v>
      </x:c>
      <x:c r="P417" s="63" t="str">
        <x:v>Orden de servicio, factura, concepto médico</x:v>
      </x:c>
      <x:c r="Q417" s="79" t="n">
        <x:v>70321</x:v>
      </x:c>
      <x:c r="R417" s="79" t="n">
        <x:v>0</x:v>
      </x:c>
      <x:c r="S417" s="79" t="n">
        <x:v>-70321</x:v>
      </x:c>
      <x:c r="T417" s="75" t="n">
        <x:v>0</x:v>
      </x:c>
      <x:c r="U417" s="63" t="str">
        <x:v>Programado</x:v>
      </x:c>
      <x:c r="V417" s="63" t="str">
        <x:v>Mes programado sin ejecución al corte de mayo de 2026.</x:v>
      </x:c>
      <x:c r="W417" s="47" t="str">
        <x:v>Información a corte de mayo de 2026</x:v>
      </x:c>
    </x:row>
    <x:row r="418" ht="18" customHeight="1">
      <x:c r="A418" s="46" t="n">
        <x:v>2026</x:v>
      </x:c>
      <x:c r="B418" s="63" t="n">
        <x:v>11</x:v>
      </x:c>
      <x:c r="C418" s="63" t="str">
        <x:v>Noviembre</x:v>
      </x:c>
      <x:c r="D418" s="63" t="str">
        <x:v>T4</x:v>
      </x:c>
      <x:c r="E418" s="71" t="n">
        <x:v>46356</x:v>
      </x:c>
      <x:c r="F418" s="63" t="str">
        <x:v>Participación y consulta</x:v>
      </x:c>
      <x:c r="G418" s="63" t="str">
        <x:v>Comités de SST</x:v>
      </x:c>
      <x:c r="H418" s="63" t="str">
        <x:v>Gestión de COPASST y Comité de Convivencia</x:v>
      </x:c>
      <x:c r="I418" s="63" t="str">
        <x:v>Operativo</x:v>
      </x:c>
      <x:c r="J418" s="63" t="str">
        <x:v>Media</x:v>
      </x:c>
      <x:c r="K418" s="63" t="str">
        <x:v>Mensual</x:v>
      </x:c>
      <x:c r="L418" s="63" t="str">
        <x:v>Reunión</x:v>
      </x:c>
      <x:c r="M418" s="63" t="n">
        <x:v>12</x:v>
      </x:c>
      <x:c r="N418" s="63" t="str">
        <x:v>Talento Humano / SST</x:v>
      </x:c>
      <x:c r="O418" s="63" t="str">
        <x:v>Presupuesto SG-SST</x:v>
      </x:c>
      <x:c r="P418" s="63" t="str">
        <x:v>Acta, convocatoria, seguimiento compromisos</x:v>
      </x:c>
      <x:c r="Q418" s="79" t="n">
        <x:v>187521</x:v>
      </x:c>
      <x:c r="R418" s="79" t="n">
        <x:v>0</x:v>
      </x:c>
      <x:c r="S418" s="79" t="n">
        <x:v>-187521</x:v>
      </x:c>
      <x:c r="T418" s="75" t="n">
        <x:v>0</x:v>
      </x:c>
      <x:c r="U418" s="63" t="str">
        <x:v>Programado</x:v>
      </x:c>
      <x:c r="V418" s="63" t="str">
        <x:v>Mes programado sin ejecución al corte de mayo de 2026.</x:v>
      </x:c>
      <x:c r="W418" s="47" t="str">
        <x:v>Información a corte de mayo de 2026</x:v>
      </x:c>
    </x:row>
    <x:row r="419" ht="18" customHeight="1">
      <x:c r="A419" s="46" t="n">
        <x:v>2026</x:v>
      </x:c>
      <x:c r="B419" s="63" t="n">
        <x:v>11</x:v>
      </x:c>
      <x:c r="C419" s="63" t="str">
        <x:v>Noviembre</x:v>
      </x:c>
      <x:c r="D419" s="63" t="str">
        <x:v>T4</x:v>
      </x:c>
      <x:c r="E419" s="71" t="n">
        <x:v>46356</x:v>
      </x:c>
      <x:c r="F419" s="63" t="str">
        <x:v>Higiene y seguridad industrial</x:v>
      </x:c>
      <x:c r="G419" s="63" t="str">
        <x:v>Inspecciones y control</x:v>
      </x:c>
      <x:c r="H419" s="63" t="str">
        <x:v>Inspecciones planeadas de seguridad</x:v>
      </x:c>
      <x:c r="I419" s="63" t="str">
        <x:v>Operativo</x:v>
      </x:c>
      <x:c r="J419" s="63" t="str">
        <x:v>Media</x:v>
      </x:c>
      <x:c r="K419" s="63" t="str">
        <x:v>Mensual</x:v>
      </x:c>
      <x:c r="L419" s="63" t="str">
        <x:v>Inspección</x:v>
      </x:c>
      <x:c r="M419" s="63" t="n">
        <x:v>12</x:v>
      </x:c>
      <x:c r="N419" s="63" t="str">
        <x:v>Inspector SST</x:v>
      </x:c>
      <x:c r="O419" s="63" t="str">
        <x:v>Presupuesto SG-SST</x:v>
      </x:c>
      <x:c r="P419" s="63" t="str">
        <x:v>Lista de chequeo, informe, evidencia fotográfica</x:v>
      </x:c>
      <x:c r="Q419" s="79" t="n">
        <x:v>281282</x:v>
      </x:c>
      <x:c r="R419" s="79" t="n">
        <x:v>0</x:v>
      </x:c>
      <x:c r="S419" s="79" t="n">
        <x:v>-281282</x:v>
      </x:c>
      <x:c r="T419" s="75" t="n">
        <x:v>0</x:v>
      </x:c>
      <x:c r="U419" s="63" t="str">
        <x:v>Programado</x:v>
      </x:c>
      <x:c r="V419" s="63" t="str">
        <x:v>Mes programado sin ejecución al corte de mayo de 2026.</x:v>
      </x:c>
      <x:c r="W419" s="47" t="str">
        <x:v>Información a corte de mayo de 2026</x:v>
      </x:c>
    </x:row>
    <x:row r="420" ht="18" customHeight="1">
      <x:c r="A420" s="46" t="n">
        <x:v>2026</x:v>
      </x:c>
      <x:c r="B420" s="63" t="n">
        <x:v>11</x:v>
      </x:c>
      <x:c r="C420" s="63" t="str">
        <x:v>Noviembre</x:v>
      </x:c>
      <x:c r="D420" s="63" t="str">
        <x:v>T4</x:v>
      </x:c>
      <x:c r="E420" s="71" t="n">
        <x:v>46356</x:v>
      </x:c>
      <x:c r="F420" s="63" t="str">
        <x:v>Mejora continua y cumplimiento</x:v>
      </x:c>
      <x:c r="G420" s="63" t="str">
        <x:v>Gestión de incidentes y mejora</x:v>
      </x:c>
      <x:c r="H420" s="63" t="str">
        <x:v>Investigación de AT/EL y acciones correctivas</x:v>
      </x:c>
      <x:c r="I420" s="63" t="str">
        <x:v>Operativo</x:v>
      </x:c>
      <x:c r="J420" s="63" t="str">
        <x:v>Media</x:v>
      </x:c>
      <x:c r="K420" s="63" t="str">
        <x:v>Mensual</x:v>
      </x:c>
      <x:c r="L420" s="63" t="str">
        <x:v>Seguimiento</x:v>
      </x:c>
      <x:c r="M420" s="63" t="n">
        <x:v>12</x:v>
      </x:c>
      <x:c r="N420" s="63" t="str">
        <x:v>SST / Jefes de área</x:v>
      </x:c>
      <x:c r="O420" s="63" t="str">
        <x:v>Presupuesto SG-SST</x:v>
      </x:c>
      <x:c r="P420" s="63" t="str">
        <x:v>Investigación, plan de acción, evidencia de cierre</x:v>
      </x:c>
      <x:c r="Q420" s="79" t="n">
        <x:v>234402</x:v>
      </x:c>
      <x:c r="R420" s="79" t="n">
        <x:v>0</x:v>
      </x:c>
      <x:c r="S420" s="79" t="n">
        <x:v>-234402</x:v>
      </x:c>
      <x:c r="T420" s="75" t="n">
        <x:v>0</x:v>
      </x:c>
      <x:c r="U420" s="63" t="str">
        <x:v>Programado</x:v>
      </x:c>
      <x:c r="V420" s="63" t="str">
        <x:v>Mes programado sin ejecución al corte de mayo de 2026.</x:v>
      </x:c>
      <x:c r="W420" s="47" t="str">
        <x:v>Información a corte de mayo de 2026</x:v>
      </x:c>
    </x:row>
    <x:row r="421" ht="18" customHeight="1">
      <x:c r="A421" s="46" t="n">
        <x:v>2026</x:v>
      </x:c>
      <x:c r="B421" s="63" t="n">
        <x:v>11</x:v>
      </x:c>
      <x:c r="C421" s="63" t="str">
        <x:v>Noviembre</x:v>
      </x:c>
      <x:c r="D421" s="63" t="str">
        <x:v>T4</x:v>
      </x:c>
      <x:c r="E421" s="71" t="n">
        <x:v>46356</x:v>
      </x:c>
      <x:c r="F421" s="63" t="str">
        <x:v>Medicina preventiva y del trabajo</x:v>
      </x:c>
      <x:c r="G421" s="63" t="str">
        <x:v>Programas de vigilancia epidemiológica</x:v>
      </x:c>
      <x:c r="H421" s="63" t="str">
        <x:v>Programas de vigilancia epidemiológica y seguimiento médico</x:v>
      </x:c>
      <x:c r="I421" s="63" t="str">
        <x:v>Servicio</x:v>
      </x:c>
      <x:c r="J421" s="63" t="str">
        <x:v>Alta</x:v>
      </x:c>
      <x:c r="K421" s="63" t="str">
        <x:v>Mensual</x:v>
      </x:c>
      <x:c r="L421" s="63" t="str">
        <x:v>Seguimiento</x:v>
      </x:c>
      <x:c r="M421" s="63" t="n">
        <x:v>12</x:v>
      </x:c>
      <x:c r="N421" s="63" t="str">
        <x:v>Médico laboral / SST</x:v>
      </x:c>
      <x:c r="O421" s="63" t="str">
        <x:v>Presupuesto SG-SST</x:v>
      </x:c>
      <x:c r="P421" s="63" t="str">
        <x:v>Base de seguimiento, informe, remisiones</x:v>
      </x:c>
      <x:c r="Q421" s="79" t="n">
        <x:v>820406</x:v>
      </x:c>
      <x:c r="R421" s="79" t="n">
        <x:v>0</x:v>
      </x:c>
      <x:c r="S421" s="79" t="n">
        <x:v>-820406</x:v>
      </x:c>
      <x:c r="T421" s="75" t="n">
        <x:v>0</x:v>
      </x:c>
      <x:c r="U421" s="63" t="str">
        <x:v>Programado</x:v>
      </x:c>
      <x:c r="V421" s="63" t="str">
        <x:v>Mes programado sin ejecución al corte de mayo de 2026.</x:v>
      </x:c>
      <x:c r="W421" s="47" t="str">
        <x:v>Información a corte de mayo de 2026</x:v>
      </x:c>
    </x:row>
    <x:row r="422" ht="18" customHeight="1">
      <x:c r="A422" s="46" t="n">
        <x:v>2026</x:v>
      </x:c>
      <x:c r="B422" s="63" t="n">
        <x:v>11</x:v>
      </x:c>
      <x:c r="C422" s="63" t="str">
        <x:v>Noviembre</x:v>
      </x:c>
      <x:c r="D422" s="63" t="str">
        <x:v>T4</x:v>
      </x:c>
      <x:c r="E422" s="71" t="n">
        <x:v>46356</x:v>
      </x:c>
      <x:c r="F422" s="63" t="str">
        <x:v>Higiene y seguridad industrial</x:v>
      </x:c>
      <x:c r="G422" s="63" t="str">
        <x:v>Señalización y control visual</x:v>
      </x:c>
      <x:c r="H422" s="63" t="str">
        <x:v>Señalización, demarcación y avisos de seguridad</x:v>
      </x:c>
      <x:c r="I422" s="63" t="str">
        <x:v>Operativo</x:v>
      </x:c>
      <x:c r="J422" s="63" t="str">
        <x:v>Media</x:v>
      </x:c>
      <x:c r="K422" s="63" t="str">
        <x:v>Periódica</x:v>
      </x:c>
      <x:c r="L422" s="63" t="str">
        <x:v>Intervención</x:v>
      </x:c>
      <x:c r="M422" s="63" t="n">
        <x:v>5</x:v>
      </x:c>
      <x:c r="N422" s="63" t="str">
        <x:v>SST / Mantenimiento</x:v>
      </x:c>
      <x:c r="O422" s="63" t="str">
        <x:v>Presupuesto SG-SST</x:v>
      </x:c>
      <x:c r="P422" s="63" t="str">
        <x:v>Acta de instalación, factura, inventario</x:v>
      </x:c>
      <x:c r="Q422" s="79" t="n">
        <x:v>879008</x:v>
      </x:c>
      <x:c r="R422" s="79" t="n">
        <x:v>0</x:v>
      </x:c>
      <x:c r="S422" s="79" t="n">
        <x:v>-879008</x:v>
      </x:c>
      <x:c r="T422" s="75" t="n">
        <x:v>0</x:v>
      </x:c>
      <x:c r="U422" s="63" t="str">
        <x:v>Programado</x:v>
      </x:c>
      <x:c r="V422" s="63" t="str">
        <x:v>Mes programado sin ejecución al corte de mayo de 2026.</x:v>
      </x:c>
      <x:c r="W422" s="47" t="str">
        <x:v>Información a corte de mayo de 2026</x:v>
      </x:c>
    </x:row>
    <x:row r="423" ht="18" customHeight="1">
      <x:c r="A423" s="46" t="n">
        <x:v>2026</x:v>
      </x:c>
      <x:c r="B423" s="63" t="n">
        <x:v>12</x:v>
      </x:c>
      <x:c r="C423" s="63" t="str">
        <x:v>Diciembre</x:v>
      </x:c>
      <x:c r="D423" s="63" t="str">
        <x:v>T4</x:v>
      </x:c>
      <x:c r="E423" s="71" t="n">
        <x:v>46387</x:v>
      </x:c>
      <x:c r="F423" s="63" t="str">
        <x:v>Mejora continua y cumplimiento</x:v>
      </x:c>
      <x:c r="G423" s="63" t="str">
        <x:v>Auditoría y revisión por la dirección</x:v>
      </x:c>
      <x:c r="H423" s="63" t="str">
        <x:v>Auditoría interna, autoevaluación y revisión gerencial</x:v>
      </x:c>
      <x:c r="I423" s="63" t="str">
        <x:v>Servicio</x:v>
      </x:c>
      <x:c r="J423" s="63" t="str">
        <x:v>Alta</x:v>
      </x:c>
      <x:c r="K423" s="63" t="str">
        <x:v>Trimestral</x:v>
      </x:c>
      <x:c r="L423" s="63" t="str">
        <x:v>Hito</x:v>
      </x:c>
      <x:c r="M423" s="63" t="n">
        <x:v>4</x:v>
      </x:c>
      <x:c r="N423" s="63" t="str">
        <x:v>Líder HSEQ / Gerencia</x:v>
      </x:c>
      <x:c r="O423" s="63" t="str">
        <x:v>Presupuesto SG-SST</x:v>
      </x:c>
      <x:c r="P423" s="63" t="str">
        <x:v>Informe de auditoría, acta, plan de mejora</x:v>
      </x:c>
      <x:c r="Q423" s="79" t="n">
        <x:v>937606</x:v>
      </x:c>
      <x:c r="R423" s="79" t="n">
        <x:v>0</x:v>
      </x:c>
      <x:c r="S423" s="79" t="n">
        <x:v>-937606</x:v>
      </x:c>
      <x:c r="T423" s="75" t="n">
        <x:v>0</x:v>
      </x:c>
      <x:c r="U423" s="63" t="str">
        <x:v>Programado</x:v>
      </x:c>
      <x:c r="V423" s="63" t="str">
        <x:v>Mes programado sin ejecución al corte de mayo de 2026.</x:v>
      </x:c>
      <x:c r="W423" s="47" t="str">
        <x:v>Información a corte de mayo de 2026</x:v>
      </x:c>
    </x:row>
    <x:row r="424" ht="18" customHeight="1">
      <x:c r="A424" s="46" t="n">
        <x:v>2026</x:v>
      </x:c>
      <x:c r="B424" s="63" t="n">
        <x:v>12</x:v>
      </x:c>
      <x:c r="C424" s="63" t="str">
        <x:v>Diciembre</x:v>
      </x:c>
      <x:c r="D424" s="63" t="str">
        <x:v>T4</x:v>
      </x:c>
      <x:c r="E424" s="71" t="n">
        <x:v>46387</x:v>
      </x:c>
      <x:c r="F424" s="63" t="str">
        <x:v>Capacitación y entrenamiento</x:v>
      </x:c>
      <x:c r="G424" s="63" t="str">
        <x:v>Plan anual de formación</x:v>
      </x:c>
      <x:c r="H424" s="63" t="str">
        <x:v>Capacitación y entrenamiento en SG-SST</x:v>
      </x:c>
      <x:c r="I424" s="63" t="str">
        <x:v>Operativo</x:v>
      </x:c>
      <x:c r="J424" s="63" t="str">
        <x:v>Alta</x:v>
      </x:c>
      <x:c r="K424" s="63" t="str">
        <x:v>Mensual</x:v>
      </x:c>
      <x:c r="L424" s="63" t="str">
        <x:v>Jornada</x:v>
      </x:c>
      <x:c r="M424" s="63" t="n">
        <x:v>12</x:v>
      </x:c>
      <x:c r="N424" s="63" t="str">
        <x:v>Coordinación SST</x:v>
      </x:c>
      <x:c r="O424" s="63" t="str">
        <x:v>Presupuesto SG-SST</x:v>
      </x:c>
      <x:c r="P424" s="63" t="str">
        <x:v>Lista de asistencia, evaluación, acta</x:v>
      </x:c>
      <x:c r="Q424" s="79" t="n">
        <x:v>468800</x:v>
      </x:c>
      <x:c r="R424" s="79" t="n">
        <x:v>0</x:v>
      </x:c>
      <x:c r="S424" s="79" t="n">
        <x:v>-468800</x:v>
      </x:c>
      <x:c r="T424" s="75" t="n">
        <x:v>0</x:v>
      </x:c>
      <x:c r="U424" s="63" t="str">
        <x:v>Programado</x:v>
      </x:c>
      <x:c r="V424" s="63" t="str">
        <x:v>Mes programado sin ejecución al corte de mayo de 2026.</x:v>
      </x:c>
      <x:c r="W424" s="47" t="str">
        <x:v>Información a corte de mayo de 2026</x:v>
      </x:c>
    </x:row>
    <x:row r="425" ht="18" customHeight="1">
      <x:c r="A425" s="46" t="n">
        <x:v>2026</x:v>
      </x:c>
      <x:c r="B425" s="63" t="n">
        <x:v>12</x:v>
      </x:c>
      <x:c r="C425" s="63" t="str">
        <x:v>Diciembre</x:v>
      </x:c>
      <x:c r="D425" s="63" t="str">
        <x:v>T4</x:v>
      </x:c>
      <x:c r="E425" s="71" t="n">
        <x:v>46387</x:v>
      </x:c>
      <x:c r="F425" s="63" t="str">
        <x:v>Medicina preventiva y del trabajo</x:v>
      </x:c>
      <x:c r="G425" s="63" t="str">
        <x:v>Vigilancia epidemiológica</x:v>
      </x:c>
      <x:c r="H425" s="63" t="str">
        <x:v>Evaluación de riesgo psicosocial y actividades de intervención</x:v>
      </x:c>
      <x:c r="I425" s="63" t="str">
        <x:v>Servicio</x:v>
      </x:c>
      <x:c r="J425" s="63" t="str">
        <x:v>Alta</x:v>
      </x:c>
      <x:c r="K425" s="63" t="str">
        <x:v>Periódica</x:v>
      </x:c>
      <x:c r="L425" s="63" t="str">
        <x:v>Actividad</x:v>
      </x:c>
      <x:c r="M425" s="63" t="n">
        <x:v>6</x:v>
      </x:c>
      <x:c r="N425" s="63" t="str">
        <x:v>Psicología / SST</x:v>
      </x:c>
      <x:c r="O425" s="63" t="str">
        <x:v>Presupuesto SG-SST</x:v>
      </x:c>
      <x:c r="P425" s="63" t="str">
        <x:v>Informe técnico, evidencia, plan de intervención</x:v>
      </x:c>
      <x:c r="Q425" s="79" t="n">
        <x:v>615304</x:v>
      </x:c>
      <x:c r="R425" s="79" t="n">
        <x:v>0</x:v>
      </x:c>
      <x:c r="S425" s="79" t="n">
        <x:v>-615304</x:v>
      </x:c>
      <x:c r="T425" s="75" t="n">
        <x:v>0</x:v>
      </x:c>
      <x:c r="U425" s="63" t="str">
        <x:v>Programado</x:v>
      </x:c>
      <x:c r="V425" s="63" t="str">
        <x:v>Mes programado sin ejecución al corte de mayo de 2026.</x:v>
      </x:c>
      <x:c r="W425" s="47" t="str">
        <x:v>Información a corte de mayo de 2026</x:v>
      </x:c>
    </x:row>
    <x:row r="426" ht="18" customHeight="1">
      <x:c r="A426" s="46" t="n">
        <x:v>2026</x:v>
      </x:c>
      <x:c r="B426" s="63" t="n">
        <x:v>12</x:v>
      </x:c>
      <x:c r="C426" s="63" t="str">
        <x:v>Diciembre</x:v>
      </x:c>
      <x:c r="D426" s="63" t="str">
        <x:v>T4</x:v>
      </x:c>
      <x:c r="E426" s="71" t="n">
        <x:v>46387</x:v>
      </x:c>
      <x:c r="F426" s="63" t="str">
        <x:v>Recursos y gestión financiera</x:v>
      </x:c>
      <x:c r="G426" s="63" t="str">
        <x:v>Planeación y recursos</x:v>
      </x:c>
      <x:c r="H426" s="63" t="str">
        <x:v>Exámenes médicos ocupacionales</x:v>
      </x:c>
      <x:c r="I426" s="63" t="str">
        <x:v>Servicio</x:v>
      </x:c>
      <x:c r="J426" s="63" t="str">
        <x:v>Alta</x:v>
      </x:c>
      <x:c r="K426" s="63" t="str">
        <x:v>Semestral</x:v>
      </x:c>
      <x:c r="L426" s="63" t="str">
        <x:v>Jornada</x:v>
      </x:c>
      <x:c r="M426" s="63" t="n">
        <x:v>2</x:v>
      </x:c>
      <x:c r="N426" s="63" t="str">
        <x:v>Coordinación SST</x:v>
      </x:c>
      <x:c r="O426" s="63" t="str">
        <x:v>Presupuesto SG-SST</x:v>
      </x:c>
      <x:c r="P426" s="63" t="str">
        <x:v>Orden de servicio, factura, concepto médico</x:v>
      </x:c>
      <x:c r="Q426" s="79" t="n">
        <x:v>70318</x:v>
      </x:c>
      <x:c r="R426" s="79" t="n">
        <x:v>0</x:v>
      </x:c>
      <x:c r="S426" s="79" t="n">
        <x:v>-70318</x:v>
      </x:c>
      <x:c r="T426" s="75" t="n">
        <x:v>0</x:v>
      </x:c>
      <x:c r="U426" s="63" t="str">
        <x:v>Programado</x:v>
      </x:c>
      <x:c r="V426" s="63" t="str">
        <x:v>Mes programado sin ejecución al corte de mayo de 2026.</x:v>
      </x:c>
      <x:c r="W426" s="47" t="str">
        <x:v>Información a corte de mayo de 2026</x:v>
      </x:c>
    </x:row>
    <x:row r="427" ht="18" customHeight="1">
      <x:c r="A427" s="46" t="n">
        <x:v>2026</x:v>
      </x:c>
      <x:c r="B427" s="63" t="n">
        <x:v>12</x:v>
      </x:c>
      <x:c r="C427" s="63" t="str">
        <x:v>Diciembre</x:v>
      </x:c>
      <x:c r="D427" s="63" t="str">
        <x:v>T4</x:v>
      </x:c>
      <x:c r="E427" s="71" t="n">
        <x:v>46387</x:v>
      </x:c>
      <x:c r="F427" s="63" t="str">
        <x:v>Gestión de contratistas</x:v>
      </x:c>
      <x:c r="G427" s="63" t="str">
        <x:v>Control de terceros</x:v>
      </x:c>
      <x:c r="H427" s="63" t="str">
        <x:v>Gestión SST de proveedores y contratistas</x:v>
      </x:c>
      <x:c r="I427" s="63" t="str">
        <x:v>Operativo</x:v>
      </x:c>
      <x:c r="J427" s="63" t="str">
        <x:v>Media</x:v>
      </x:c>
      <x:c r="K427" s="63" t="str">
        <x:v>Trimestral</x:v>
      </x:c>
      <x:c r="L427" s="63" t="str">
        <x:v>Ciclo</x:v>
      </x:c>
      <x:c r="M427" s="63" t="n">
        <x:v>4</x:v>
      </x:c>
      <x:c r="N427" s="63" t="str">
        <x:v>Compras / SST</x:v>
      </x:c>
      <x:c r="O427" s="63" t="str">
        <x:v>Presupuesto SG-SST</x:v>
      </x:c>
      <x:c r="P427" s="63" t="str">
        <x:v>Matriz de evaluación, soportes de contratistas</x:v>
      </x:c>
      <x:c r="Q427" s="79" t="n">
        <x:v>351604</x:v>
      </x:c>
      <x:c r="R427" s="79" t="n">
        <x:v>0</x:v>
      </x:c>
      <x:c r="S427" s="79" t="n">
        <x:v>-351604</x:v>
      </x:c>
      <x:c r="T427" s="75" t="n">
        <x:v>0</x:v>
      </x:c>
      <x:c r="U427" s="63" t="str">
        <x:v>Programado</x:v>
      </x:c>
      <x:c r="V427" s="63" t="str">
        <x:v>Mes programado sin ejecución al corte de mayo de 2026.</x:v>
      </x:c>
      <x:c r="W427" s="47" t="str">
        <x:v>Información a corte de mayo de 2026</x:v>
      </x:c>
    </x:row>
    <x:row r="428" ht="18" customHeight="1">
      <x:c r="A428" s="46" t="n">
        <x:v>2026</x:v>
      </x:c>
      <x:c r="B428" s="63" t="n">
        <x:v>12</x:v>
      </x:c>
      <x:c r="C428" s="63" t="str">
        <x:v>Diciembre</x:v>
      </x:c>
      <x:c r="D428" s="63" t="str">
        <x:v>T4</x:v>
      </x:c>
      <x:c r="E428" s="71" t="n">
        <x:v>46387</x:v>
      </x:c>
      <x:c r="F428" s="63" t="str">
        <x:v>Participación y consulta</x:v>
      </x:c>
      <x:c r="G428" s="63" t="str">
        <x:v>Comités de SST</x:v>
      </x:c>
      <x:c r="H428" s="63" t="str">
        <x:v>Gestión de COPASST y Comité de Convivencia</x:v>
      </x:c>
      <x:c r="I428" s="63" t="str">
        <x:v>Operativo</x:v>
      </x:c>
      <x:c r="J428" s="63" t="str">
        <x:v>Media</x:v>
      </x:c>
      <x:c r="K428" s="63" t="str">
        <x:v>Mensual</x:v>
      </x:c>
      <x:c r="L428" s="63" t="str">
        <x:v>Reunión</x:v>
      </x:c>
      <x:c r="M428" s="63" t="n">
        <x:v>12</x:v>
      </x:c>
      <x:c r="N428" s="63" t="str">
        <x:v>Talento Humano / SST</x:v>
      </x:c>
      <x:c r="O428" s="63" t="str">
        <x:v>Presupuesto SG-SST</x:v>
      </x:c>
      <x:c r="P428" s="63" t="str">
        <x:v>Acta, convocatoria, seguimiento compromisos</x:v>
      </x:c>
      <x:c r="Q428" s="79" t="n">
        <x:v>187523</x:v>
      </x:c>
      <x:c r="R428" s="79" t="n">
        <x:v>0</x:v>
      </x:c>
      <x:c r="S428" s="79" t="n">
        <x:v>-187523</x:v>
      </x:c>
      <x:c r="T428" s="75" t="n">
        <x:v>0</x:v>
      </x:c>
      <x:c r="U428" s="63" t="str">
        <x:v>Programado</x:v>
      </x:c>
      <x:c r="V428" s="63" t="str">
        <x:v>Mes programado sin ejecución al corte de mayo de 2026.</x:v>
      </x:c>
      <x:c r="W428" s="47" t="str">
        <x:v>Información a corte de mayo de 2026</x:v>
      </x:c>
    </x:row>
    <x:row r="429" ht="18" customHeight="1">
      <x:c r="A429" s="46" t="n">
        <x:v>2026</x:v>
      </x:c>
      <x:c r="B429" s="63" t="n">
        <x:v>12</x:v>
      </x:c>
      <x:c r="C429" s="63" t="str">
        <x:v>Diciembre</x:v>
      </x:c>
      <x:c r="D429" s="63" t="str">
        <x:v>T4</x:v>
      </x:c>
      <x:c r="E429" s="71" t="n">
        <x:v>46387</x:v>
      </x:c>
      <x:c r="F429" s="63" t="str">
        <x:v>Higiene y seguridad industrial</x:v>
      </x:c>
      <x:c r="G429" s="63" t="str">
        <x:v>Inspecciones y control</x:v>
      </x:c>
      <x:c r="H429" s="63" t="str">
        <x:v>Inspecciones planeadas de seguridad</x:v>
      </x:c>
      <x:c r="I429" s="63" t="str">
        <x:v>Operativo</x:v>
      </x:c>
      <x:c r="J429" s="63" t="str">
        <x:v>Media</x:v>
      </x:c>
      <x:c r="K429" s="63" t="str">
        <x:v>Mensual</x:v>
      </x:c>
      <x:c r="L429" s="63" t="str">
        <x:v>Inspección</x:v>
      </x:c>
      <x:c r="M429" s="63" t="n">
        <x:v>12</x:v>
      </x:c>
      <x:c r="N429" s="63" t="str">
        <x:v>Inspector SST</x:v>
      </x:c>
      <x:c r="O429" s="63" t="str">
        <x:v>Presupuesto SG-SST</x:v>
      </x:c>
      <x:c r="P429" s="63" t="str">
        <x:v>Lista de chequeo, informe, evidencia fotográfica</x:v>
      </x:c>
      <x:c r="Q429" s="79" t="n">
        <x:v>316444</x:v>
      </x:c>
      <x:c r="R429" s="79" t="n">
        <x:v>0</x:v>
      </x:c>
      <x:c r="S429" s="79" t="n">
        <x:v>-316444</x:v>
      </x:c>
      <x:c r="T429" s="75" t="n">
        <x:v>0</x:v>
      </x:c>
      <x:c r="U429" s="63" t="str">
        <x:v>Programado</x:v>
      </x:c>
      <x:c r="V429" s="63" t="str">
        <x:v>Mes programado sin ejecución al corte de mayo de 2026.</x:v>
      </x:c>
      <x:c r="W429" s="47" t="str">
        <x:v>Información a corte de mayo de 2026</x:v>
      </x:c>
    </x:row>
    <x:row r="430" ht="18" customHeight="1">
      <x:c r="A430" s="46" t="n">
        <x:v>2026</x:v>
      </x:c>
      <x:c r="B430" s="63" t="n">
        <x:v>12</x:v>
      </x:c>
      <x:c r="C430" s="63" t="str">
        <x:v>Diciembre</x:v>
      </x:c>
      <x:c r="D430" s="63" t="str">
        <x:v>T4</x:v>
      </x:c>
      <x:c r="E430" s="71" t="n">
        <x:v>46387</x:v>
      </x:c>
      <x:c r="F430" s="63" t="str">
        <x:v>Mejora continua y cumplimiento</x:v>
      </x:c>
      <x:c r="G430" s="63" t="str">
        <x:v>Gestión de incidentes y mejora</x:v>
      </x:c>
      <x:c r="H430" s="63" t="str">
        <x:v>Investigación de AT/EL y acciones correctivas</x:v>
      </x:c>
      <x:c r="I430" s="63" t="str">
        <x:v>Operativo</x:v>
      </x:c>
      <x:c r="J430" s="63" t="str">
        <x:v>Media</x:v>
      </x:c>
      <x:c r="K430" s="63" t="str">
        <x:v>Mensual</x:v>
      </x:c>
      <x:c r="L430" s="63" t="str">
        <x:v>Seguimiento</x:v>
      </x:c>
      <x:c r="M430" s="63" t="n">
        <x:v>12</x:v>
      </x:c>
      <x:c r="N430" s="63" t="str">
        <x:v>SST / Jefes de área</x:v>
      </x:c>
      <x:c r="O430" s="63" t="str">
        <x:v>Presupuesto SG-SST</x:v>
      </x:c>
      <x:c r="P430" s="63" t="str">
        <x:v>Investigación, plan de acción, evidencia de cierre</x:v>
      </x:c>
      <x:c r="Q430" s="79" t="n">
        <x:v>293000</x:v>
      </x:c>
      <x:c r="R430" s="79" t="n">
        <x:v>0</x:v>
      </x:c>
      <x:c r="S430" s="79" t="n">
        <x:v>-293000</x:v>
      </x:c>
      <x:c r="T430" s="75" t="n">
        <x:v>0</x:v>
      </x:c>
      <x:c r="U430" s="63" t="str">
        <x:v>Programado</x:v>
      </x:c>
      <x:c r="V430" s="63" t="str">
        <x:v>Mes programado sin ejecución al corte de mayo de 2026.</x:v>
      </x:c>
      <x:c r="W430" s="47" t="str">
        <x:v>Información a corte de mayo de 2026</x:v>
      </x:c>
    </x:row>
    <x:row r="431" ht="18" customHeight="1">
      <x:c r="A431" s="46" t="n">
        <x:v>2026</x:v>
      </x:c>
      <x:c r="B431" s="63" t="n">
        <x:v>12</x:v>
      </x:c>
      <x:c r="C431" s="63" t="str">
        <x:v>Diciembre</x:v>
      </x:c>
      <x:c r="D431" s="63" t="str">
        <x:v>T4</x:v>
      </x:c>
      <x:c r="E431" s="71" t="n">
        <x:v>46387</x:v>
      </x:c>
      <x:c r="F431" s="63" t="str">
        <x:v>Emergencias e infraestructura</x:v>
      </x:c>
      <x:c r="G431" s="63" t="str">
        <x:v>Preparación y respuesta ante emergencias</x:v>
      </x:c>
      <x:c r="H431" s="63" t="str">
        <x:v>Mantenimiento de extintores, botiquines y equipos de emergencia</x:v>
      </x:c>
      <x:c r="I431" s="63" t="str">
        <x:v>Servicio</x:v>
      </x:c>
      <x:c r="J431" s="63" t="str">
        <x:v>Alta</x:v>
      </x:c>
      <x:c r="K431" s="63" t="str">
        <x:v>Bimestral / semestral</x:v>
      </x:c>
      <x:c r="L431" s="63" t="str">
        <x:v>Mantenimiento</x:v>
      </x:c>
      <x:c r="M431" s="63" t="n">
        <x:v>6</x:v>
      </x:c>
      <x:c r="N431" s="63" t="str">
        <x:v>Brigada / SST</x:v>
      </x:c>
      <x:c r="O431" s="63" t="str">
        <x:v>Presupuesto SG-SST</x:v>
      </x:c>
      <x:c r="P431" s="63" t="str">
        <x:v>Certificado, factura, hoja de vida del equipo</x:v>
      </x:c>
      <x:c r="Q431" s="79" t="n">
        <x:v>1031367</x:v>
      </x:c>
      <x:c r="R431" s="79" t="n">
        <x:v>0</x:v>
      </x:c>
      <x:c r="S431" s="79" t="n">
        <x:v>-1031367</x:v>
      </x:c>
      <x:c r="T431" s="75" t="n">
        <x:v>0</x:v>
      </x:c>
      <x:c r="U431" s="63" t="str">
        <x:v>Programado</x:v>
      </x:c>
      <x:c r="V431" s="63" t="str">
        <x:v>Mes programado sin ejecución al corte de mayo de 2026.</x:v>
      </x:c>
      <x:c r="W431" s="47" t="str">
        <x:v>Información a corte de mayo de 2026</x:v>
      </x:c>
    </x:row>
    <x:row r="432" ht="18" customHeight="1">
      <x:c r="A432" s="48" t="n">
        <x:v>2026</x:v>
      </x:c>
      <x:c r="B432" s="65" t="n">
        <x:v>12</x:v>
      </x:c>
      <x:c r="C432" s="65" t="str">
        <x:v>Diciembre</x:v>
      </x:c>
      <x:c r="D432" s="65" t="str">
        <x:v>T4</x:v>
      </x:c>
      <x:c r="E432" s="72" t="n">
        <x:v>46387</x:v>
      </x:c>
      <x:c r="F432" s="65" t="str">
        <x:v>Medicina preventiva y del trabajo</x:v>
      </x:c>
      <x:c r="G432" s="65" t="str">
        <x:v>Programas de vigilancia epidemiológica</x:v>
      </x:c>
      <x:c r="H432" s="65" t="str">
        <x:v>Programas de vigilancia epidemiológica y seguimiento médico</x:v>
      </x:c>
      <x:c r="I432" s="65" t="str">
        <x:v>Servicio</x:v>
      </x:c>
      <x:c r="J432" s="65" t="str">
        <x:v>Alta</x:v>
      </x:c>
      <x:c r="K432" s="65" t="str">
        <x:v>Mensual</x:v>
      </x:c>
      <x:c r="L432" s="65" t="str">
        <x:v>Seguimiento</x:v>
      </x:c>
      <x:c r="M432" s="65" t="n">
        <x:v>12</x:v>
      </x:c>
      <x:c r="N432" s="65" t="str">
        <x:v>Médico laboral / SST</x:v>
      </x:c>
      <x:c r="O432" s="65" t="str">
        <x:v>Presupuesto SG-SST</x:v>
      </x:c>
      <x:c r="P432" s="65" t="str">
        <x:v>Base de seguimiento, informe, remisiones</x:v>
      </x:c>
      <x:c r="Q432" s="80" t="n">
        <x:v>492245</x:v>
      </x:c>
      <x:c r="R432" s="80" t="n">
        <x:v>0</x:v>
      </x:c>
      <x:c r="S432" s="80" t="n">
        <x:v>-492245</x:v>
      </x:c>
      <x:c r="T432" s="76" t="n">
        <x:v>0</x:v>
      </x:c>
      <x:c r="U432" s="65" t="str">
        <x:v>Programado</x:v>
      </x:c>
      <x:c r="V432" s="65" t="str">
        <x:v>Mes programado sin ejecución al corte de mayo de 2026.</x:v>
      </x:c>
      <x:c r="W432" s="49" t="str">
        <x:v>Información a corte de mayo de 2026</x:v>
      </x:c>
    </x:row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A1:W1"/>
    <x:mergeCell ref="A2:W2"/>
  </x:mergeCells>
  <x:conditionalFormatting sqref="T5:T432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S5:S432">
    <x:cfRule type="expression" dxfId="0" priority="2">
      <x:formula>S5&lt;0</x:formula>
    </x:cfRule>
  </x:conditionalFormatting>
  <x:dataValidations count="5">
    <x:dataValidation type="list" sqref="I5:I432">
      <x:formula1>Catalogos!$B$2:$B$4</x:formula1>
    </x:dataValidation>
    <x:dataValidation type="list" sqref="J5:J432">
      <x:formula1>Catalogos!$B$5:$B$7</x:formula1>
    </x:dataValidation>
    <x:dataValidation type="list" sqref="K5:K432">
      <x:formula1>Catalogos!$D$2:$D$7</x:formula1>
    </x:dataValidation>
    <x:dataValidation type="list" sqref="O5:O432">
      <x:formula1>Catalogos!$D$8:$D$10</x:formula1>
    </x:dataValidation>
    <x:dataValidation type="list" sqref="U5:U432">
      <x:formula1>Catalogos!$B$8:$B$12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d591e99087d43d0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2" hidden="0" customWidth="1"/>
  </x:cols>
  <x:sheetData>
    <x:row r="1" ht="24" customHeight="1">
      <x:c r="A1" s="5" t="str">
        <x:v>Resumen anual y matrices de análisis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</x:row>
    <x:row r="2" ht="18" customHeight="1">
      <x:c r="A2" s="12" t="str">
        <x:v>Este resumen toma los datos directamente desde la hoja Detalle_Presupuesto mediante fórmulas.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</x:row>
    <x:row r="3" ht="18" customHeight="1"/>
    <x:row r="4" ht="18" customHeight="1">
      <x:c r="A4" s="34" t="str">
        <x:v>Año</x:v>
      </x:c>
      <x:c r="B4" s="54" t="str">
        <x:v>IPC aplicado</x:v>
      </x:c>
      <x:c r="C4" s="54" t="str">
        <x:v>Presupuesto planeado</x:v>
      </x:c>
      <x:c r="D4" s="54" t="str">
        <x:v>Ejecución registrada</x:v>
      </x:c>
      <x:c r="E4" s="54" t="str">
        <x:v>Variación</x:v>
      </x:c>
      <x:c r="F4" s="54" t="str">
        <x:v>% ejecución</x:v>
      </x:c>
      <x:c r="G4" s="54" t="str">
        <x:v>Crecimiento vs. año anterior</x:v>
      </x:c>
      <x:c r="H4" s="35" t="str">
        <x:v>Tipo de corte</x:v>
      </x:c>
    </x:row>
    <x:row r="5" ht="18" customHeight="1">
      <x:c r="A5" s="46" t="n">
        <x:v>2023</x:v>
      </x:c>
      <x:c r="B5" s="63" t="str">
        <x:v>Año base</x:v>
      </x:c>
      <x:c r="C5" s="64" t="n">
        <x:f>SUMIFS(Detalle_Presupuesto!$Q$5:$Q$432,Detalle_Presupuesto!$A$5:$A$432,A5)</x:f>
        <x:v>48500000</x:v>
      </x:c>
      <x:c r="D5" s="64" t="n">
        <x:f>SUMIFS(Detalle_Presupuesto!$R$5:$R$432,Detalle_Presupuesto!$A$5:$A$432,A5)</x:f>
        <x:v>45881004</x:v>
      </x:c>
      <x:c r="E5" s="64" t="n">
        <x:f>D5-C5</x:f>
        <x:v>-2618996</x:v>
      </x:c>
      <x:c r="F5" s="75" t="n">
        <x:f>IFERROR(D5/C5,0)</x:f>
        <x:v>0.9460000824742268</x:v>
      </x:c>
      <x:c r="G5" s="75" t="str">
        <x:v>-</x:v>
      </x:c>
      <x:c r="H5" s="47" t="str">
        <x:v>Anual cerrado</x:v>
      </x:c>
    </x:row>
    <x:row r="6" ht="18" customHeight="1">
      <x:c r="A6" s="46" t="n">
        <x:v>2024</x:v>
      </x:c>
      <x:c r="B6" s="63" t="str">
        <x:v>IPC anual 2023 = 9,28%</x:v>
      </x:c>
      <x:c r="C6" s="64" t="n">
        <x:f>SUMIFS(Detalle_Presupuesto!$Q$5:$Q$432,Detalle_Presupuesto!$A$5:$A$432,A6)</x:f>
        <x:v>53000800</x:v>
      </x:c>
      <x:c r="D6" s="64" t="n">
        <x:f>SUMIFS(Detalle_Presupuesto!$R$5:$R$432,Detalle_Presupuesto!$A$5:$A$432,A6)</x:f>
        <x:v>51251771</x:v>
      </x:c>
      <x:c r="E6" s="64" t="n">
        <x:f>D6-C6</x:f>
        <x:v>-1749029</x:v>
      </x:c>
      <x:c r="F6" s="75" t="n">
        <x:f>IFERROR(D6/C6,0)</x:f>
        <x:v>0.9669999509441367</x:v>
      </x:c>
      <x:c r="G6" s="75" t="n">
        <x:f>IFERROR((C6/C5)-1,0)</x:f>
        <x:v>0.0928</x:v>
      </x:c>
      <x:c r="H6" s="47" t="str">
        <x:v>Anual cerrado</x:v>
      </x:c>
    </x:row>
    <x:row r="7" ht="18" customHeight="1">
      <x:c r="A7" s="46" t="n">
        <x:v>2025</x:v>
      </x:c>
      <x:c r="B7" s="63" t="str">
        <x:v>IPC anual 2024 = 5,20%</x:v>
      </x:c>
      <x:c r="C7" s="64" t="n">
        <x:f>SUMIFS(Detalle_Presupuesto!$Q$5:$Q$432,Detalle_Presupuesto!$A$5:$A$432,A7)</x:f>
        <x:v>55756842</x:v>
      </x:c>
      <x:c r="D7" s="64" t="n">
        <x:f>SUMIFS(Detalle_Presupuesto!$R$5:$R$432,Detalle_Presupuesto!$A$5:$A$432,A7)</x:f>
        <x:v>54697463</x:v>
      </x:c>
      <x:c r="E7" s="64" t="n">
        <x:f>D7-C7</x:f>
        <x:v>-1059379</x:v>
      </x:c>
      <x:c r="F7" s="75" t="n">
        <x:f>IFERROR(D7/C7,0)</x:f>
        <x:v>0.9810000178991486</x:v>
      </x:c>
      <x:c r="G7" s="75" t="n">
        <x:f>IFERROR((C7/C6)-1,0)</x:f>
        <x:v>0.052000007547055915</x:v>
      </x:c>
      <x:c r="H7" s="47" t="str">
        <x:v>Anual cerrado</x:v>
      </x:c>
    </x:row>
    <x:row r="8" ht="18" customHeight="1">
      <x:c r="A8" s="48" t="n">
        <x:v>2026</x:v>
      </x:c>
      <x:c r="B8" s="65" t="str">
        <x:v>IPC anual 2025 = 5,10%</x:v>
      </x:c>
      <x:c r="C8" s="66" t="n">
        <x:f>SUMIFS(Detalle_Presupuesto!$Q$5:$Q$432,Detalle_Presupuesto!$A$5:$A$432,A8)</x:f>
        <x:v>58600441</x:v>
      </x:c>
      <x:c r="D8" s="66" t="n">
        <x:f>SUMIFS(Detalle_Presupuesto!$R$5:$R$432,Detalle_Presupuesto!$A$5:$A$432,A8)</x:f>
        <x:v>22665714</x:v>
      </x:c>
      <x:c r="E8" s="66" t="n">
        <x:f>D8-C8</x:f>
        <x:v>-35934727</x:v>
      </x:c>
      <x:c r="F8" s="76" t="n">
        <x:f>IFERROR(D8/C8,0)</x:f>
        <x:v>0.3867840175468987</x:v>
      </x:c>
      <x:c r="G8" s="76" t="n">
        <x:f>IFERROR((C8/C7)-1,0)</x:f>
        <x:v>0.05100000104023117</x:v>
      </x:c>
      <x:c r="H8" s="49" t="str">
        <x:v>A corte de mayo de 2026</x:v>
      </x:c>
    </x:row>
    <x:row r="9" ht="18" customHeight="1"/>
    <x:row r="10" ht="18" customHeight="1"/>
    <x:row r="11" ht="18" customHeight="1">
      <x:c r="A11" s="19" t="str">
        <x:v>Resumen por componente y año</x:v>
      </x:c>
      <x:c r="B11" s="19"/>
      <x:c r="C11" s="19"/>
      <x:c r="D11" s="19"/>
      <x:c r="E11" s="19"/>
      <x:c r="F11" s="19"/>
      <x:c r="H11" s="19" t="str">
        <x:v>Planeación y ejecución mensual 2026</x:v>
      </x:c>
      <x:c r="I11" s="19"/>
      <x:c r="J11" s="19"/>
      <x:c r="K11" s="19"/>
      <x:c r="L11" s="19"/>
    </x:row>
    <x:row r="12" ht="18" customHeight="1">
      <x:c r="A12" s="34" t="str">
        <x:v>Año</x:v>
      </x:c>
      <x:c r="B12" s="54" t="str">
        <x:v>Componente SG-SST</x:v>
      </x:c>
      <x:c r="C12" s="54" t="str">
        <x:v>Presupuesto planeado</x:v>
      </x:c>
      <x:c r="D12" s="54" t="str">
        <x:v>Ejecución registrada</x:v>
      </x:c>
      <x:c r="E12" s="54" t="str">
        <x:v>Variación</x:v>
      </x:c>
      <x:c r="F12" s="35" t="str">
        <x:v>% ejecución</x:v>
      </x:c>
      <x:c r="H12" s="34" t="str">
        <x:v>Mes</x:v>
      </x:c>
      <x:c r="I12" s="54" t="str">
        <x:v>Presupuesto 2026</x:v>
      </x:c>
      <x:c r="J12" s="54" t="str">
        <x:v>Ejecución 2026</x:v>
      </x:c>
      <x:c r="K12" s="54" t="str">
        <x:v>Variación</x:v>
      </x:c>
      <x:c r="L12" s="35" t="str">
        <x:v>% ejecución</x:v>
      </x:c>
    </x:row>
    <x:row r="13" ht="18" customHeight="1">
      <x:c r="A13" s="46" t="n">
        <x:v>2023</x:v>
      </x:c>
      <x:c r="B13" s="63" t="str">
        <x:v>Capacitación y entrenamiento</x:v>
      </x:c>
      <x:c r="C13" s="64" t="n">
        <x:f>SUMIFS(Detalle_Presupuesto!$Q$5:$Q$432,Detalle_Presupuesto!$A$5:$A$432,A13,Detalle_Presupuesto!$F$5:$F$432,B13)</x:f>
        <x:v>4850000</x:v>
      </x:c>
      <x:c r="D13" s="64" t="n">
        <x:f>SUMIFS(Detalle_Presupuesto!$R$5:$R$432,Detalle_Presupuesto!$A$5:$A$432,A13,Detalle_Presupuesto!$F$5:$F$432,B13)</x:f>
        <x:v>4625168</x:v>
      </x:c>
      <x:c r="E13" s="64" t="n">
        <x:f>D13-C13</x:f>
        <x:v>-224832</x:v>
      </x:c>
      <x:c r="F13" s="83" t="n">
        <x:f>IFERROR(D13/C13,0)</x:f>
        <x:v>0.9536428865979382</x:v>
      </x:c>
      <x:c r="H13" s="46" t="str">
        <x:v>Enero</x:v>
      </x:c>
      <x:c r="I13" s="64" t="n">
        <x:f>SUMIFS(Detalle_Presupuesto!$Q$5:$Q$432,Detalle_Presupuesto!$A$5:$A$432,2026,Detalle_Presupuesto!$B$5:$B$432,1)</x:f>
        <x:v>7125813</x:v>
      </x:c>
      <x:c r="J13" s="64" t="n">
        <x:f>SUMIFS(Detalle_Presupuesto!$R$5:$R$432,Detalle_Presupuesto!$A$5:$A$432,2026,Detalle_Presupuesto!$B$5:$B$432,1)</x:f>
        <x:v>6709945</x:v>
      </x:c>
      <x:c r="K13" s="64" t="n">
        <x:f>J13-I13</x:f>
        <x:v>-415868</x:v>
      </x:c>
      <x:c r="L13" s="83" t="n">
        <x:f>IFERROR(J13/I13,0)</x:f>
        <x:v>0.9416392206755917</x:v>
      </x:c>
    </x:row>
    <x:row r="14" ht="18" customHeight="1">
      <x:c r="A14" s="46" t="n">
        <x:v>2023</x:v>
      </x:c>
      <x:c r="B14" s="63" t="str">
        <x:v>Emergencias e infraestructura</x:v>
      </x:c>
      <x:c r="C14" s="64" t="n">
        <x:f>SUMIFS(Detalle_Presupuesto!$Q$5:$Q$432,Detalle_Presupuesto!$A$5:$A$432,A14,Detalle_Presupuesto!$F$5:$F$432,B14)</x:f>
        <x:v>3880000</x:v>
      </x:c>
      <x:c r="D14" s="64" t="n">
        <x:f>SUMIFS(Detalle_Presupuesto!$R$5:$R$432,Detalle_Presupuesto!$A$5:$A$432,A14,Detalle_Presupuesto!$F$5:$F$432,B14)</x:f>
        <x:v>3631179</x:v>
      </x:c>
      <x:c r="E14" s="64" t="n">
        <x:f>D14-C14</x:f>
        <x:v>-248821</x:v>
      </x:c>
      <x:c r="F14" s="83" t="n">
        <x:f>IFERROR(D14/C14,0)</x:f>
        <x:v>0.9358708762886598</x:v>
      </x:c>
      <x:c r="H14" s="46" t="str">
        <x:v>Febrero</x:v>
      </x:c>
      <x:c r="I14" s="64" t="n">
        <x:f>SUMIFS(Detalle_Presupuesto!$Q$5:$Q$432,Detalle_Presupuesto!$A$5:$A$432,2026,Detalle_Presupuesto!$B$5:$B$432,2)</x:f>
        <x:v>4125471</x:v>
      </x:c>
      <x:c r="J14" s="64" t="n">
        <x:f>SUMIFS(Detalle_Presupuesto!$R$5:$R$432,Detalle_Presupuesto!$A$5:$A$432,2026,Detalle_Presupuesto!$B$5:$B$432,2)</x:f>
        <x:v>3900925</x:v>
      </x:c>
      <x:c r="K14" s="64" t="n">
        <x:f>J14-I14</x:f>
        <x:v>-224546</x:v>
      </x:c>
      <x:c r="L14" s="83" t="n">
        <x:f>IFERROR(J14/I14,0)</x:f>
        <x:v>0.9455708208832397</x:v>
      </x:c>
    </x:row>
    <x:row r="15" ht="18" customHeight="1">
      <x:c r="A15" s="46" t="n">
        <x:v>2023</x:v>
      </x:c>
      <x:c r="B15" s="63" t="str">
        <x:v>Gestión de contratistas</x:v>
      </x:c>
      <x:c r="C15" s="64" t="n">
        <x:f>SUMIFS(Detalle_Presupuesto!$Q$5:$Q$432,Detalle_Presupuesto!$A$5:$A$432,A15,Detalle_Presupuesto!$F$5:$F$432,B15)</x:f>
        <x:v>2910000</x:v>
      </x:c>
      <x:c r="D15" s="64" t="n">
        <x:f>SUMIFS(Detalle_Presupuesto!$R$5:$R$432,Detalle_Presupuesto!$A$5:$A$432,A15,Detalle_Presupuesto!$F$5:$F$432,B15)</x:f>
        <x:v>2742362</x:v>
      </x:c>
      <x:c r="E15" s="64" t="n">
        <x:f>D15-C15</x:f>
        <x:v>-167638</x:v>
      </x:c>
      <x:c r="F15" s="83" t="n">
        <x:f>IFERROR(D15/C15,0)</x:f>
        <x:v>0.942392439862543</x:v>
      </x:c>
      <x:c r="H15" s="46" t="str">
        <x:v>Marzo</x:v>
      </x:c>
      <x:c r="I15" s="64" t="n">
        <x:f>SUMIFS(Detalle_Presupuesto!$Q$5:$Q$432,Detalle_Presupuesto!$A$5:$A$432,2026,Detalle_Presupuesto!$B$5:$B$432,3)</x:f>
        <x:v>4488794</x:v>
      </x:c>
      <x:c r="J15" s="64" t="n">
        <x:f>SUMIFS(Detalle_Presupuesto!$R$5:$R$432,Detalle_Presupuesto!$A$5:$A$432,2026,Detalle_Presupuesto!$B$5:$B$432,3)</x:f>
        <x:v>4273730</x:v>
      </x:c>
      <x:c r="K15" s="64" t="n">
        <x:f>J15-I15</x:f>
        <x:v>-215064</x:v>
      </x:c>
      <x:c r="L15" s="83" t="n">
        <x:f>IFERROR(J15/I15,0)</x:f>
        <x:v>0.9520886901916193</x:v>
      </x:c>
    </x:row>
    <x:row r="16" ht="18" customHeight="1">
      <x:c r="A16" s="46" t="n">
        <x:v>2023</x:v>
      </x:c>
      <x:c r="B16" s="63" t="str">
        <x:v>Higiene y seguridad industrial</x:v>
      </x:c>
      <x:c r="C16" s="64" t="n">
        <x:f>SUMIFS(Detalle_Presupuesto!$Q$5:$Q$432,Detalle_Presupuesto!$A$5:$A$432,A16,Detalle_Presupuesto!$F$5:$F$432,B16)</x:f>
        <x:v>12610000</x:v>
      </x:c>
      <x:c r="D16" s="64" t="n">
        <x:f>SUMIFS(Detalle_Presupuesto!$R$5:$R$432,Detalle_Presupuesto!$A$5:$A$432,A16,Detalle_Presupuesto!$F$5:$F$432,B16)</x:f>
        <x:v>11889946</x:v>
      </x:c>
      <x:c r="E16" s="64" t="n">
        <x:f>D16-C16</x:f>
        <x:v>-720054</x:v>
      </x:c>
      <x:c r="F16" s="83" t="n">
        <x:f>IFERROR(D16/C16,0)</x:f>
        <x:v>0.9428981760507533</x:v>
      </x:c>
      <x:c r="H16" s="46" t="str">
        <x:v>Abril</x:v>
      </x:c>
      <x:c r="I16" s="64" t="n">
        <x:f>SUMIFS(Detalle_Presupuesto!$Q$5:$Q$432,Detalle_Presupuesto!$A$5:$A$432,2026,Detalle_Presupuesto!$B$5:$B$432,4)</x:f>
        <x:v>4324713</x:v>
      </x:c>
      <x:c r="J16" s="64" t="n">
        <x:f>SUMIFS(Detalle_Presupuesto!$R$5:$R$432,Detalle_Presupuesto!$A$5:$A$432,2026,Detalle_Presupuesto!$B$5:$B$432,4)</x:f>
        <x:v>4161763</x:v>
      </x:c>
      <x:c r="K16" s="64" t="n">
        <x:f>J16-I16</x:f>
        <x:v>-162950</x:v>
      </x:c>
      <x:c r="L16" s="83" t="n">
        <x:f>IFERROR(J16/I16,0)</x:f>
        <x:v>0.9623211991177218</x:v>
      </x:c>
    </x:row>
    <x:row r="17" ht="18" customHeight="1">
      <x:c r="A17" s="46" t="n">
        <x:v>2023</x:v>
      </x:c>
      <x:c r="B17" s="63" t="str">
        <x:v>Medicina preventiva y del trabajo</x:v>
      </x:c>
      <x:c r="C17" s="64" t="n">
        <x:f>SUMIFS(Detalle_Presupuesto!$Q$5:$Q$432,Detalle_Presupuesto!$A$5:$A$432,A17,Detalle_Presupuesto!$F$5:$F$432,B17)</x:f>
        <x:v>10185000</x:v>
      </x:c>
      <x:c r="D17" s="64" t="n">
        <x:f>SUMIFS(Detalle_Presupuesto!$R$5:$R$432,Detalle_Presupuesto!$A$5:$A$432,A17,Detalle_Presupuesto!$F$5:$F$432,B17)</x:f>
        <x:v>9755577</x:v>
      </x:c>
      <x:c r="E17" s="64" t="n">
        <x:f>D17-C17</x:f>
        <x:v>-429423</x:v>
      </x:c>
      <x:c r="F17" s="83" t="n">
        <x:f>IFERROR(D17/C17,0)</x:f>
        <x:v>0.9578377025036818</x:v>
      </x:c>
      <x:c r="H17" s="46" t="str">
        <x:v>Mayo</x:v>
      </x:c>
      <x:c r="I17" s="64" t="n">
        <x:f>SUMIFS(Detalle_Presupuesto!$Q$5:$Q$432,Detalle_Presupuesto!$A$5:$A$432,2026,Detalle_Presupuesto!$B$5:$B$432,5)</x:f>
        <x:v>3844189</x:v>
      </x:c>
      <x:c r="J17" s="64" t="n">
        <x:f>SUMIFS(Detalle_Presupuesto!$R$5:$R$432,Detalle_Presupuesto!$A$5:$A$432,2026,Detalle_Presupuesto!$B$5:$B$432,5)</x:f>
        <x:v>3619351</x:v>
      </x:c>
      <x:c r="K17" s="64" t="n">
        <x:f>J17-I17</x:f>
        <x:v>-224838</x:v>
      </x:c>
      <x:c r="L17" s="83" t="n">
        <x:f>IFERROR(J17/I17,0)</x:f>
        <x:v>0.9415122409434084</x:v>
      </x:c>
    </x:row>
    <x:row r="18" ht="18" customHeight="1">
      <x:c r="A18" s="46" t="n">
        <x:v>2023</x:v>
      </x:c>
      <x:c r="B18" s="63" t="str">
        <x:v>Mejora continua y cumplimiento</x:v>
      </x:c>
      <x:c r="C18" s="64" t="n">
        <x:f>SUMIFS(Detalle_Presupuesto!$Q$5:$Q$432,Detalle_Presupuesto!$A$5:$A$432,A18,Detalle_Presupuesto!$F$5:$F$432,B18)</x:f>
        <x:v>6305000</x:v>
      </x:c>
      <x:c r="D18" s="64" t="n">
        <x:f>SUMIFS(Detalle_Presupuesto!$R$5:$R$432,Detalle_Presupuesto!$A$5:$A$432,A18,Detalle_Presupuesto!$F$5:$F$432,B18)</x:f>
        <x:v>5915199</x:v>
      </x:c>
      <x:c r="E18" s="64" t="n">
        <x:f>D18-C18</x:f>
        <x:v>-389801</x:v>
      </x:c>
      <x:c r="F18" s="83" t="n">
        <x:f>IFERROR(D18/C18,0)</x:f>
        <x:v>0.938175892149088</x:v>
      </x:c>
      <x:c r="H18" s="46" t="str">
        <x:v>Junio</x:v>
      </x:c>
      <x:c r="I18" s="64" t="n">
        <x:f>SUMIFS(Detalle_Presupuesto!$Q$5:$Q$432,Detalle_Presupuesto!$A$5:$A$432,2026,Detalle_Presupuesto!$B$5:$B$432,6)</x:f>
        <x:v>3949671</x:v>
      </x:c>
      <x:c r="J18" s="64" t="n">
        <x:f>SUMIFS(Detalle_Presupuesto!$R$5:$R$432,Detalle_Presupuesto!$A$5:$A$432,2026,Detalle_Presupuesto!$B$5:$B$432,6)</x:f>
        <x:v>0</x:v>
      </x:c>
      <x:c r="K18" s="64" t="n">
        <x:f>J18-I18</x:f>
        <x:v>-3949671</x:v>
      </x:c>
      <x:c r="L18" s="83" t="n">
        <x:f>IFERROR(J18/I18,0)</x:f>
        <x:v>0</x:v>
      </x:c>
    </x:row>
    <x:row r="19" ht="18" customHeight="1">
      <x:c r="A19" s="46" t="n">
        <x:v>2023</x:v>
      </x:c>
      <x:c r="B19" s="63" t="str">
        <x:v>Participación y consulta</x:v>
      </x:c>
      <x:c r="C19" s="64" t="n">
        <x:f>SUMIFS(Detalle_Presupuesto!$Q$5:$Q$432,Detalle_Presupuesto!$A$5:$A$432,A19,Detalle_Presupuesto!$F$5:$F$432,B19)</x:f>
        <x:v>1940000</x:v>
      </x:c>
      <x:c r="D19" s="64" t="n">
        <x:f>SUMIFS(Detalle_Presupuesto!$R$5:$R$432,Detalle_Presupuesto!$A$5:$A$432,A19,Detalle_Presupuesto!$F$5:$F$432,B19)</x:f>
        <x:v>1825677</x:v>
      </x:c>
      <x:c r="E19" s="64" t="n">
        <x:f>D19-C19</x:f>
        <x:v>-114323</x:v>
      </x:c>
      <x:c r="F19" s="83" t="n">
        <x:f>IFERROR(D19/C19,0)</x:f>
        <x:v>0.941070618556701</x:v>
      </x:c>
      <x:c r="H19" s="46" t="str">
        <x:v>Julio</x:v>
      </x:c>
      <x:c r="I19" s="64" t="n">
        <x:f>SUMIFS(Detalle_Presupuesto!$Q$5:$Q$432,Detalle_Presupuesto!$A$5:$A$432,2026,Detalle_Presupuesto!$B$5:$B$432,7)</x:f>
        <x:v>5924504</x:v>
      </x:c>
      <x:c r="J19" s="64" t="n">
        <x:f>SUMIFS(Detalle_Presupuesto!$R$5:$R$432,Detalle_Presupuesto!$A$5:$A$432,2026,Detalle_Presupuesto!$B$5:$B$432,7)</x:f>
        <x:v>0</x:v>
      </x:c>
      <x:c r="K19" s="64" t="n">
        <x:f>J19-I19</x:f>
        <x:v>-5924504</x:v>
      </x:c>
      <x:c r="L19" s="83" t="n">
        <x:f>IFERROR(J19/I19,0)</x:f>
        <x:v>0</x:v>
      </x:c>
    </x:row>
    <x:row r="20" ht="18" customHeight="1">
      <x:c r="A20" s="46" t="n">
        <x:v>2023</x:v>
      </x:c>
      <x:c r="B20" s="63" t="str">
        <x:v>Recursos y gestión financiera</x:v>
      </x:c>
      <x:c r="C20" s="64" t="n">
        <x:f>SUMIFS(Detalle_Presupuesto!$Q$5:$Q$432,Detalle_Presupuesto!$A$5:$A$432,A20,Detalle_Presupuesto!$F$5:$F$432,B20)</x:f>
        <x:v>5820000</x:v>
      </x:c>
      <x:c r="D20" s="64" t="n">
        <x:f>SUMIFS(Detalle_Presupuesto!$R$5:$R$432,Detalle_Presupuesto!$A$5:$A$432,A20,Detalle_Presupuesto!$F$5:$F$432,B20)</x:f>
        <x:v>5495896</x:v>
      </x:c>
      <x:c r="E20" s="64" t="n">
        <x:f>D20-C20</x:f>
        <x:v>-324104</x:v>
      </x:c>
      <x:c r="F20" s="83" t="n">
        <x:f>IFERROR(D20/C20,0)</x:f>
        <x:v>0.944312027491409</x:v>
      </x:c>
      <x:c r="H20" s="46" t="str">
        <x:v>Agosto</x:v>
      </x:c>
      <x:c r="I20" s="64" t="n">
        <x:f>SUMIFS(Detalle_Presupuesto!$Q$5:$Q$432,Detalle_Presupuesto!$A$5:$A$432,2026,Detalle_Presupuesto!$B$5:$B$432,8)</x:f>
        <x:v>4729058</x:v>
      </x:c>
      <x:c r="J20" s="64" t="n">
        <x:f>SUMIFS(Detalle_Presupuesto!$R$5:$R$432,Detalle_Presupuesto!$A$5:$A$432,2026,Detalle_Presupuesto!$B$5:$B$432,8)</x:f>
        <x:v>0</x:v>
      </x:c>
      <x:c r="K20" s="64" t="n">
        <x:f>J20-I20</x:f>
        <x:v>-4729058</x:v>
      </x:c>
      <x:c r="L20" s="83" t="n">
        <x:f>IFERROR(J20/I20,0)</x:f>
        <x:v>0</x:v>
      </x:c>
    </x:row>
    <x:row r="21" ht="18" customHeight="1">
      <x:c r="A21" s="46" t="n">
        <x:v>2024</x:v>
      </x:c>
      <x:c r="B21" s="63" t="str">
        <x:v>Capacitación y entrenamiento</x:v>
      </x:c>
      <x:c r="C21" s="64" t="n">
        <x:f>SUMIFS(Detalle_Presupuesto!$Q$5:$Q$432,Detalle_Presupuesto!$A$5:$A$432,A21,Detalle_Presupuesto!$F$5:$F$432,B21)</x:f>
        <x:v>5300080</x:v>
      </x:c>
      <x:c r="D21" s="64" t="n">
        <x:f>SUMIFS(Detalle_Presupuesto!$R$5:$R$432,Detalle_Presupuesto!$A$5:$A$432,A21,Detalle_Presupuesto!$F$5:$F$432,B21)</x:f>
        <x:v>5143509</x:v>
      </x:c>
      <x:c r="E21" s="64" t="n">
        <x:f>D21-C21</x:f>
        <x:v>-156571</x:v>
      </x:c>
      <x:c r="F21" s="83" t="n">
        <x:f>IFERROR(D21/C21,0)</x:f>
        <x:v>0.9704587477924862</x:v>
      </x:c>
      <x:c r="H21" s="46" t="str">
        <x:v>Septiembre</x:v>
      </x:c>
      <x:c r="I21" s="64" t="n">
        <x:f>SUMIFS(Detalle_Presupuesto!$Q$5:$Q$432,Detalle_Presupuesto!$A$5:$A$432,2026,Detalle_Presupuesto!$B$5:$B$432,9)</x:f>
        <x:v>4184072</x:v>
      </x:c>
      <x:c r="J21" s="64" t="n">
        <x:f>SUMIFS(Detalle_Presupuesto!$R$5:$R$432,Detalle_Presupuesto!$A$5:$A$432,2026,Detalle_Presupuesto!$B$5:$B$432,9)</x:f>
        <x:v>0</x:v>
      </x:c>
      <x:c r="K21" s="64" t="n">
        <x:f>J21-I21</x:f>
        <x:v>-4184072</x:v>
      </x:c>
      <x:c r="L21" s="83" t="n">
        <x:f>IFERROR(J21/I21,0)</x:f>
        <x:v>0</x:v>
      </x:c>
    </x:row>
    <x:row r="22" ht="18" customHeight="1">
      <x:c r="A22" s="46" t="n">
        <x:v>2024</x:v>
      </x:c>
      <x:c r="B22" s="63" t="str">
        <x:v>Emergencias e infraestructura</x:v>
      </x:c>
      <x:c r="C22" s="64" t="n">
        <x:f>SUMIFS(Detalle_Presupuesto!$Q$5:$Q$432,Detalle_Presupuesto!$A$5:$A$432,A22,Detalle_Presupuesto!$F$5:$F$432,B22)</x:f>
        <x:v>4240064</x:v>
      </x:c>
      <x:c r="D22" s="64" t="n">
        <x:f>SUMIFS(Detalle_Presupuesto!$R$5:$R$432,Detalle_Presupuesto!$A$5:$A$432,A22,Detalle_Presupuesto!$F$5:$F$432,B22)</x:f>
        <x:v>4005223</x:v>
      </x:c>
      <x:c r="E22" s="64" t="n">
        <x:f>D22-C22</x:f>
        <x:v>-234841</x:v>
      </x:c>
      <x:c r="F22" s="83" t="n">
        <x:f>IFERROR(D22/C22,0)</x:f>
        <x:v>0.9446138077161099</x:v>
      </x:c>
      <x:c r="H22" s="46" t="str">
        <x:v>Octubre</x:v>
      </x:c>
      <x:c r="I22" s="64" t="n">
        <x:f>SUMIFS(Detalle_Presupuesto!$Q$5:$Q$432,Detalle_Presupuesto!$A$5:$A$432,2026,Detalle_Presupuesto!$B$5:$B$432,10)</x:f>
        <x:v>5502582</x:v>
      </x:c>
      <x:c r="J22" s="64" t="n">
        <x:f>SUMIFS(Detalle_Presupuesto!$R$5:$R$432,Detalle_Presupuesto!$A$5:$A$432,2026,Detalle_Presupuesto!$B$5:$B$432,10)</x:f>
        <x:v>0</x:v>
      </x:c>
      <x:c r="K22" s="64" t="n">
        <x:f>J22-I22</x:f>
        <x:v>-5502582</x:v>
      </x:c>
      <x:c r="L22" s="83" t="n">
        <x:f>IFERROR(J22/I22,0)</x:f>
        <x:v>0</x:v>
      </x:c>
    </x:row>
    <x:row r="23" ht="18" customHeight="1">
      <x:c r="A23" s="46" t="n">
        <x:v>2024</x:v>
      </x:c>
      <x:c r="B23" s="63" t="str">
        <x:v>Gestión de contratistas</x:v>
      </x:c>
      <x:c r="C23" s="64" t="n">
        <x:f>SUMIFS(Detalle_Presupuesto!$Q$5:$Q$432,Detalle_Presupuesto!$A$5:$A$432,A23,Detalle_Presupuesto!$F$5:$F$432,B23)</x:f>
        <x:v>3180048</x:v>
      </x:c>
      <x:c r="D23" s="64" t="n">
        <x:f>SUMIFS(Detalle_Presupuesto!$R$5:$R$432,Detalle_Presupuesto!$A$5:$A$432,A23,Detalle_Presupuesto!$F$5:$F$432,B23)</x:f>
        <x:v>3062114</x:v>
      </x:c>
      <x:c r="E23" s="64" t="n">
        <x:f>D23-C23</x:f>
        <x:v>-117934</x:v>
      </x:c>
      <x:c r="F23" s="83" t="n">
        <x:f>IFERROR(D23/C23,0)</x:f>
        <x:v>0.9629143962606854</x:v>
      </x:c>
      <x:c r="H23" s="46" t="str">
        <x:v>Noviembre</x:v>
      </x:c>
      <x:c r="I23" s="64" t="n">
        <x:f>SUMIFS(Detalle_Presupuesto!$Q$5:$Q$432,Detalle_Presupuesto!$A$5:$A$432,2026,Detalle_Presupuesto!$B$5:$B$432,11)</x:f>
        <x:v>5637363</x:v>
      </x:c>
      <x:c r="J23" s="64" t="n">
        <x:f>SUMIFS(Detalle_Presupuesto!$R$5:$R$432,Detalle_Presupuesto!$A$5:$A$432,2026,Detalle_Presupuesto!$B$5:$B$432,11)</x:f>
        <x:v>0</x:v>
      </x:c>
      <x:c r="K23" s="64" t="n">
        <x:f>J23-I23</x:f>
        <x:v>-5637363</x:v>
      </x:c>
      <x:c r="L23" s="83" t="n">
        <x:f>IFERROR(J23/I23,0)</x:f>
        <x:v>0</x:v>
      </x:c>
    </x:row>
    <x:row r="24" ht="18" customHeight="1">
      <x:c r="A24" s="46" t="n">
        <x:v>2024</x:v>
      </x:c>
      <x:c r="B24" s="63" t="str">
        <x:v>Higiene y seguridad industrial</x:v>
      </x:c>
      <x:c r="C24" s="64" t="n">
        <x:f>SUMIFS(Detalle_Presupuesto!$Q$5:$Q$432,Detalle_Presupuesto!$A$5:$A$432,A24,Detalle_Presupuesto!$F$5:$F$432,B24)</x:f>
        <x:v>13780208</x:v>
      </x:c>
      <x:c r="D24" s="64" t="n">
        <x:f>SUMIFS(Detalle_Presupuesto!$R$5:$R$432,Detalle_Presupuesto!$A$5:$A$432,A24,Detalle_Presupuesto!$F$5:$F$432,B24)</x:f>
        <x:v>13325280</x:v>
      </x:c>
      <x:c r="E24" s="64" t="n">
        <x:f>D24-C24</x:f>
        <x:v>-454928</x:v>
      </x:c>
      <x:c r="F24" s="83" t="n">
        <x:f>IFERROR(D24/C24,0)</x:f>
        <x:v>0.9669868553508045</x:v>
      </x:c>
      <x:c r="H24" s="48" t="str">
        <x:v>Diciembre</x:v>
      </x:c>
      <x:c r="I24" s="66" t="n">
        <x:f>SUMIFS(Detalle_Presupuesto!$Q$5:$Q$432,Detalle_Presupuesto!$A$5:$A$432,2026,Detalle_Presupuesto!$B$5:$B$432,12)</x:f>
        <x:v>4764211</x:v>
      </x:c>
      <x:c r="J24" s="66" t="n">
        <x:f>SUMIFS(Detalle_Presupuesto!$R$5:$R$432,Detalle_Presupuesto!$A$5:$A$432,2026,Detalle_Presupuesto!$B$5:$B$432,12)</x:f>
        <x:v>0</x:v>
      </x:c>
      <x:c r="K24" s="66" t="n">
        <x:f>J24-I24</x:f>
        <x:v>-4764211</x:v>
      </x:c>
      <x:c r="L24" s="84" t="n">
        <x:f>IFERROR(J24/I24,0)</x:f>
        <x:v>0</x:v>
      </x:c>
    </x:row>
    <x:row r="25" ht="18" customHeight="1">
      <x:c r="A25" s="46" t="n">
        <x:v>2024</x:v>
      </x:c>
      <x:c r="B25" s="63" t="str">
        <x:v>Medicina preventiva y del trabajo</x:v>
      </x:c>
      <x:c r="C25" s="64" t="n">
        <x:f>SUMIFS(Detalle_Presupuesto!$Q$5:$Q$432,Detalle_Presupuesto!$A$5:$A$432,A25,Detalle_Presupuesto!$F$5:$F$432,B25)</x:f>
        <x:v>11130168</x:v>
      </x:c>
      <x:c r="D25" s="64" t="n">
        <x:f>SUMIFS(Detalle_Presupuesto!$R$5:$R$432,Detalle_Presupuesto!$A$5:$A$432,A25,Detalle_Presupuesto!$F$5:$F$432,B25)</x:f>
        <x:v>10825968</x:v>
      </x:c>
      <x:c r="E25" s="64" t="n">
        <x:f>D25-C25</x:f>
        <x:v>-304200</x:v>
      </x:c>
      <x:c r="F25" s="83" t="n">
        <x:f>IFERROR(D25/C25,0)</x:f>
        <x:v>0.9726688761571254</x:v>
      </x:c>
    </x:row>
    <x:row r="26" ht="18" customHeight="1">
      <x:c r="A26" s="46" t="n">
        <x:v>2024</x:v>
      </x:c>
      <x:c r="B26" s="63" t="str">
        <x:v>Mejora continua y cumplimiento</x:v>
      </x:c>
      <x:c r="C26" s="64" t="n">
        <x:f>SUMIFS(Detalle_Presupuesto!$Q$5:$Q$432,Detalle_Presupuesto!$A$5:$A$432,A26,Detalle_Presupuesto!$F$5:$F$432,B26)</x:f>
        <x:v>6890104</x:v>
      </x:c>
      <x:c r="D26" s="64" t="n">
        <x:f>SUMIFS(Detalle_Presupuesto!$R$5:$R$432,Detalle_Presupuesto!$A$5:$A$432,A26,Detalle_Presupuesto!$F$5:$F$432,B26)</x:f>
        <x:v>6657737</x:v>
      </x:c>
      <x:c r="E26" s="64" t="n">
        <x:f>D26-C26</x:f>
        <x:v>-232367</x:v>
      </x:c>
      <x:c r="F26" s="83" t="n">
        <x:f>IFERROR(D26/C26,0)</x:f>
        <x:v>0.9662752550614621</x:v>
      </x:c>
    </x:row>
    <x:row r="27" ht="18" customHeight="1">
      <x:c r="A27" s="46" t="n">
        <x:v>2024</x:v>
      </x:c>
      <x:c r="B27" s="63" t="str">
        <x:v>Participación y consulta</x:v>
      </x:c>
      <x:c r="C27" s="64" t="n">
        <x:f>SUMIFS(Detalle_Presupuesto!$Q$5:$Q$432,Detalle_Presupuesto!$A$5:$A$432,A27,Detalle_Presupuesto!$F$5:$F$432,B27)</x:f>
        <x:v>2120032</x:v>
      </x:c>
      <x:c r="D27" s="64" t="n">
        <x:f>SUMIFS(Detalle_Presupuesto!$R$5:$R$432,Detalle_Presupuesto!$A$5:$A$432,A27,Detalle_Presupuesto!$F$5:$F$432,B27)</x:f>
        <x:v>2065066</x:v>
      </x:c>
      <x:c r="E27" s="64" t="n">
        <x:f>D27-C27</x:f>
        <x:v>-54966</x:v>
      </x:c>
      <x:c r="F27" s="83" t="n">
        <x:f>IFERROR(D27/C27,0)</x:f>
        <x:v>0.9740730328598813</x:v>
      </x:c>
    </x:row>
    <x:row r="28" ht="18" customHeight="1">
      <x:c r="A28" s="46" t="n">
        <x:v>2024</x:v>
      </x:c>
      <x:c r="B28" s="63" t="str">
        <x:v>Recursos y gestión financiera</x:v>
      </x:c>
      <x:c r="C28" s="64" t="n">
        <x:f>SUMIFS(Detalle_Presupuesto!$Q$5:$Q$432,Detalle_Presupuesto!$A$5:$A$432,A28,Detalle_Presupuesto!$F$5:$F$432,B28)</x:f>
        <x:v>6360096</x:v>
      </x:c>
      <x:c r="D28" s="64" t="n">
        <x:f>SUMIFS(Detalle_Presupuesto!$R$5:$R$432,Detalle_Presupuesto!$A$5:$A$432,A28,Detalle_Presupuesto!$F$5:$F$432,B28)</x:f>
        <x:v>6166874</x:v>
      </x:c>
      <x:c r="E28" s="64" t="n">
        <x:f>D28-C28</x:f>
        <x:v>-193222</x:v>
      </x:c>
      <x:c r="F28" s="83" t="n">
        <x:f>IFERROR(D28/C28,0)</x:f>
        <x:v>0.9696196409613943</x:v>
      </x:c>
    </x:row>
    <x:row r="29" ht="18" customHeight="1">
      <x:c r="A29" s="46" t="n">
        <x:v>2025</x:v>
      </x:c>
      <x:c r="B29" s="63" t="str">
        <x:v>Capacitación y entrenamiento</x:v>
      </x:c>
      <x:c r="C29" s="64" t="n">
        <x:f>SUMIFS(Detalle_Presupuesto!$Q$5:$Q$432,Detalle_Presupuesto!$A$5:$A$432,A29,Detalle_Presupuesto!$F$5:$F$432,B29)</x:f>
        <x:v>5575684</x:v>
      </x:c>
      <x:c r="D29" s="64" t="n">
        <x:f>SUMIFS(Detalle_Presupuesto!$R$5:$R$432,Detalle_Presupuesto!$A$5:$A$432,A29,Detalle_Presupuesto!$F$5:$F$432,B29)</x:f>
        <x:v>5447840</x:v>
      </x:c>
      <x:c r="E29" s="64" t="n">
        <x:f>D29-C29</x:f>
        <x:v>-127844</x:v>
      </x:c>
      <x:c r="F29" s="83" t="n">
        <x:f>IFERROR(D29/C29,0)</x:f>
        <x:v>0.977071153960662</x:v>
      </x:c>
    </x:row>
    <x:row r="30" ht="18" customHeight="1">
      <x:c r="A30" s="46" t="n">
        <x:v>2025</x:v>
      </x:c>
      <x:c r="B30" s="63" t="str">
        <x:v>Emergencias e infraestructura</x:v>
      </x:c>
      <x:c r="C30" s="64" t="n">
        <x:f>SUMIFS(Detalle_Presupuesto!$Q$5:$Q$432,Detalle_Presupuesto!$A$5:$A$432,A30,Detalle_Presupuesto!$F$5:$F$432,B30)</x:f>
        <x:v>4460547</x:v>
      </x:c>
      <x:c r="D30" s="64" t="n">
        <x:f>SUMIFS(Detalle_Presupuesto!$R$5:$R$432,Detalle_Presupuesto!$A$5:$A$432,A30,Detalle_Presupuesto!$F$5:$F$432,B30)</x:f>
        <x:v>4435145</x:v>
      </x:c>
      <x:c r="E30" s="64" t="n">
        <x:f>D30-C30</x:f>
        <x:v>-25402</x:v>
      </x:c>
      <x:c r="F30" s="83" t="n">
        <x:f>IFERROR(D30/C30,0)</x:f>
        <x:v>0.994305182750008</x:v>
      </x:c>
    </x:row>
    <x:row r="31" ht="18" customHeight="1">
      <x:c r="A31" s="46" t="n">
        <x:v>2025</x:v>
      </x:c>
      <x:c r="B31" s="63" t="str">
        <x:v>Gestión de contratistas</x:v>
      </x:c>
      <x:c r="C31" s="64" t="n">
        <x:f>SUMIFS(Detalle_Presupuesto!$Q$5:$Q$432,Detalle_Presupuesto!$A$5:$A$432,A31,Detalle_Presupuesto!$F$5:$F$432,B31)</x:f>
        <x:v>3345411</x:v>
      </x:c>
      <x:c r="D31" s="64" t="n">
        <x:f>SUMIFS(Detalle_Presupuesto!$R$5:$R$432,Detalle_Presupuesto!$A$5:$A$432,A31,Detalle_Presupuesto!$F$5:$F$432,B31)</x:f>
        <x:v>3173211</x:v>
      </x:c>
      <x:c r="E31" s="64" t="n">
        <x:f>D31-C31</x:f>
        <x:v>-172200</x:v>
      </x:c>
      <x:c r="F31" s="83" t="n">
        <x:f>IFERROR(D31/C31,0)</x:f>
        <x:v>0.9485265039183526</x:v>
      </x:c>
    </x:row>
    <x:row r="32" ht="18" customHeight="1">
      <x:c r="A32" s="46" t="n">
        <x:v>2025</x:v>
      </x:c>
      <x:c r="B32" s="63" t="str">
        <x:v>Higiene y seguridad industrial</x:v>
      </x:c>
      <x:c r="C32" s="64" t="n">
        <x:f>SUMIFS(Detalle_Presupuesto!$Q$5:$Q$432,Detalle_Presupuesto!$A$5:$A$432,A32,Detalle_Presupuesto!$F$5:$F$432,B32)</x:f>
        <x:v>14496779</x:v>
      </x:c>
      <x:c r="D32" s="64" t="n">
        <x:f>SUMIFS(Detalle_Presupuesto!$R$5:$R$432,Detalle_Presupuesto!$A$5:$A$432,A32,Detalle_Presupuesto!$F$5:$F$432,B32)</x:f>
        <x:v>14349737</x:v>
      </x:c>
      <x:c r="E32" s="64" t="n">
        <x:f>D32-C32</x:f>
        <x:v>-147042</x:v>
      </x:c>
      <x:c r="F32" s="83" t="n">
        <x:f>IFERROR(D32/C32,0)</x:f>
        <x:v>0.9898569192508212</x:v>
      </x:c>
    </x:row>
    <x:row r="33" ht="18" customHeight="1">
      <x:c r="A33" s="46" t="n">
        <x:v>2025</x:v>
      </x:c>
      <x:c r="B33" s="63" t="str">
        <x:v>Medicina preventiva y del trabajo</x:v>
      </x:c>
      <x:c r="C33" s="64" t="n">
        <x:f>SUMIFS(Detalle_Presupuesto!$Q$5:$Q$432,Detalle_Presupuesto!$A$5:$A$432,A33,Detalle_Presupuesto!$F$5:$F$432,B33)</x:f>
        <x:v>11708937</x:v>
      </x:c>
      <x:c r="D33" s="64" t="n">
        <x:f>SUMIFS(Detalle_Presupuesto!$R$5:$R$432,Detalle_Presupuesto!$A$5:$A$432,A33,Detalle_Presupuesto!$F$5:$F$432,B33)</x:f>
        <x:v>11480041</x:v>
      </x:c>
      <x:c r="E33" s="64" t="n">
        <x:f>D33-C33</x:f>
        <x:v>-228896</x:v>
      </x:c>
      <x:c r="F33" s="83" t="n">
        <x:f>IFERROR(D33/C33,0)</x:f>
        <x:v>0.9804511716136145</x:v>
      </x:c>
    </x:row>
    <x:row r="34" ht="18" customHeight="1">
      <x:c r="A34" s="46" t="n">
        <x:v>2025</x:v>
      </x:c>
      <x:c r="B34" s="63" t="str">
        <x:v>Mejora continua y cumplimiento</x:v>
      </x:c>
      <x:c r="C34" s="64" t="n">
        <x:f>SUMIFS(Detalle_Presupuesto!$Q$5:$Q$432,Detalle_Presupuesto!$A$5:$A$432,A34,Detalle_Presupuesto!$F$5:$F$432,B34)</x:f>
        <x:v>7248389</x:v>
      </x:c>
      <x:c r="D34" s="64" t="n">
        <x:f>SUMIFS(Detalle_Presupuesto!$R$5:$R$432,Detalle_Presupuesto!$A$5:$A$432,A34,Detalle_Presupuesto!$F$5:$F$432,B34)</x:f>
        <x:v>7132705</x:v>
      </x:c>
      <x:c r="E34" s="64" t="n">
        <x:f>D34-C34</x:f>
        <x:v>-115684</x:v>
      </x:c>
      <x:c r="F34" s="83" t="n">
        <x:f>IFERROR(D34/C34,0)</x:f>
        <x:v>0.98404003979367</x:v>
      </x:c>
    </x:row>
    <x:row r="35" ht="18" customHeight="1">
      <x:c r="A35" s="46" t="n">
        <x:v>2025</x:v>
      </x:c>
      <x:c r="B35" s="63" t="str">
        <x:v>Participación y consulta</x:v>
      </x:c>
      <x:c r="C35" s="64" t="n">
        <x:f>SUMIFS(Detalle_Presupuesto!$Q$5:$Q$432,Detalle_Presupuesto!$A$5:$A$432,A35,Detalle_Presupuesto!$F$5:$F$432,B35)</x:f>
        <x:v>2230274</x:v>
      </x:c>
      <x:c r="D35" s="64" t="n">
        <x:f>SUMIFS(Detalle_Presupuesto!$R$5:$R$432,Detalle_Presupuesto!$A$5:$A$432,A35,Detalle_Presupuesto!$F$5:$F$432,B35)</x:f>
        <x:v>2171038</x:v>
      </x:c>
      <x:c r="E35" s="64" t="n">
        <x:f>D35-C35</x:f>
        <x:v>-59236</x:v>
      </x:c>
      <x:c r="F35" s="83" t="n">
        <x:f>IFERROR(D35/C35,0)</x:f>
        <x:v>0.9734400347221911</x:v>
      </x:c>
    </x:row>
    <x:row r="36" ht="18" customHeight="1">
      <x:c r="A36" s="46" t="n">
        <x:v>2025</x:v>
      </x:c>
      <x:c r="B36" s="63" t="str">
        <x:v>Recursos y gestión financiera</x:v>
      </x:c>
      <x:c r="C36" s="64" t="n">
        <x:f>SUMIFS(Detalle_Presupuesto!$Q$5:$Q$432,Detalle_Presupuesto!$A$5:$A$432,A36,Detalle_Presupuesto!$F$5:$F$432,B36)</x:f>
        <x:v>6690821</x:v>
      </x:c>
      <x:c r="D36" s="64" t="n">
        <x:f>SUMIFS(Detalle_Presupuesto!$R$5:$R$432,Detalle_Presupuesto!$A$5:$A$432,A36,Detalle_Presupuesto!$F$5:$F$432,B36)</x:f>
        <x:v>6507746</x:v>
      </x:c>
      <x:c r="E36" s="64" t="n">
        <x:f>D36-C36</x:f>
        <x:v>-183075</x:v>
      </x:c>
      <x:c r="F36" s="83" t="n">
        <x:f>IFERROR(D36/C36,0)</x:f>
        <x:v>0.9726378870395725</x:v>
      </x:c>
    </x:row>
    <x:row r="37" ht="18" customHeight="1">
      <x:c r="A37" s="46" t="n">
        <x:v>2026</x:v>
      </x:c>
      <x:c r="B37" s="63" t="str">
        <x:v>Capacitación y entrenamiento</x:v>
      </x:c>
      <x:c r="C37" s="64" t="n">
        <x:f>SUMIFS(Detalle_Presupuesto!$Q$5:$Q$432,Detalle_Presupuesto!$A$5:$A$432,A37,Detalle_Presupuesto!$F$5:$F$432,B37)</x:f>
        <x:v>5860044</x:v>
      </x:c>
      <x:c r="D37" s="64" t="n">
        <x:f>SUMIFS(Detalle_Presupuesto!$R$5:$R$432,Detalle_Presupuesto!$A$5:$A$432,A37,Detalle_Presupuesto!$F$5:$F$432,B37)</x:f>
        <x:v>2336744</x:v>
      </x:c>
      <x:c r="E37" s="64" t="n">
        <x:f>D37-C37</x:f>
        <x:v>-3523300</x:v>
      </x:c>
      <x:c r="F37" s="83" t="n">
        <x:f>IFERROR(D37/C37,0)</x:f>
        <x:v>0.39875878065079373</x:v>
      </x:c>
    </x:row>
    <x:row r="38" ht="18" customHeight="1">
      <x:c r="A38" s="46" t="n">
        <x:v>2026</x:v>
      </x:c>
      <x:c r="B38" s="63" t="str">
        <x:v>Emergencias e infraestructura</x:v>
      </x:c>
      <x:c r="C38" s="64" t="n">
        <x:f>SUMIFS(Detalle_Presupuesto!$Q$5:$Q$432,Detalle_Presupuesto!$A$5:$A$432,A38,Detalle_Presupuesto!$F$5:$F$432,B38)</x:f>
        <x:v>4688035</x:v>
      </x:c>
      <x:c r="D38" s="64" t="n">
        <x:f>SUMIFS(Detalle_Presupuesto!$R$5:$R$432,Detalle_Presupuesto!$A$5:$A$432,A38,Detalle_Presupuesto!$F$5:$F$432,B38)</x:f>
        <x:v>1262663</x:v>
      </x:c>
      <x:c r="E38" s="64" t="n">
        <x:f>D38-C38</x:f>
        <x:v>-3425372</x:v>
      </x:c>
      <x:c r="F38" s="83" t="n">
        <x:f>IFERROR(D38/C38,0)</x:f>
        <x:v>0.26933736629526017</x:v>
      </x:c>
    </x:row>
    <x:row r="39" ht="18" customHeight="1">
      <x:c r="A39" s="46" t="n">
        <x:v>2026</x:v>
      </x:c>
      <x:c r="B39" s="63" t="str">
        <x:v>Gestión de contratistas</x:v>
      </x:c>
      <x:c r="C39" s="64" t="n">
        <x:f>SUMIFS(Detalle_Presupuesto!$Q$5:$Q$432,Detalle_Presupuesto!$A$5:$A$432,A39,Detalle_Presupuesto!$F$5:$F$432,B39)</x:f>
        <x:v>3516026</x:v>
      </x:c>
      <x:c r="D39" s="64" t="n">
        <x:f>SUMIFS(Detalle_Presupuesto!$R$5:$R$432,Detalle_Presupuesto!$A$5:$A$432,A39,Detalle_Presupuesto!$F$5:$F$432,B39)</x:f>
        <x:v>1308896</x:v>
      </x:c>
      <x:c r="E39" s="64" t="n">
        <x:f>D39-C39</x:f>
        <x:v>-2207130</x:v>
      </x:c>
      <x:c r="F39" s="83" t="n">
        <x:f>IFERROR(D39/C39,0)</x:f>
        <x:v>0.3722657340986671</x:v>
      </x:c>
    </x:row>
    <x:row r="40" ht="18" customHeight="1">
      <x:c r="A40" s="46" t="n">
        <x:v>2026</x:v>
      </x:c>
      <x:c r="B40" s="63" t="str">
        <x:v>Higiene y seguridad industrial</x:v>
      </x:c>
      <x:c r="C40" s="64" t="n">
        <x:f>SUMIFS(Detalle_Presupuesto!$Q$5:$Q$432,Detalle_Presupuesto!$A$5:$A$432,A40,Detalle_Presupuesto!$F$5:$F$432,B40)</x:f>
        <x:v>15236114</x:v>
      </x:c>
      <x:c r="D40" s="64" t="n">
        <x:f>SUMIFS(Detalle_Presupuesto!$R$5:$R$432,Detalle_Presupuesto!$A$5:$A$432,A40,Detalle_Presupuesto!$F$5:$F$432,B40)</x:f>
        <x:v>6412449</x:v>
      </x:c>
      <x:c r="E40" s="64" t="n">
        <x:f>D40-C40</x:f>
        <x:v>-8823665</x:v>
      </x:c>
      <x:c r="F40" s="83" t="n">
        <x:f>IFERROR(D40/C40,0)</x:f>
        <x:v>0.42087168683563275</x:v>
      </x:c>
    </x:row>
    <x:row r="41" ht="18" customHeight="1">
      <x:c r="A41" s="46" t="n">
        <x:v>2026</x:v>
      </x:c>
      <x:c r="B41" s="63" t="str">
        <x:v>Medicina preventiva y del trabajo</x:v>
      </x:c>
      <x:c r="C41" s="64" t="n">
        <x:f>SUMIFS(Detalle_Presupuesto!$Q$5:$Q$432,Detalle_Presupuesto!$A$5:$A$432,A41,Detalle_Presupuesto!$F$5:$F$432,B41)</x:f>
        <x:v>12306094</x:v>
      </x:c>
      <x:c r="D41" s="64" t="n">
        <x:f>SUMIFS(Detalle_Presupuesto!$R$5:$R$432,Detalle_Presupuesto!$A$5:$A$432,A41,Detalle_Presupuesto!$F$5:$F$432,B41)</x:f>
        <x:v>4643480</x:v>
      </x:c>
      <x:c r="E41" s="64" t="n">
        <x:f>D41-C41</x:f>
        <x:v>-7662614</x:v>
      </x:c>
      <x:c r="F41" s="83" t="n">
        <x:f>IFERROR(D41/C41,0)</x:f>
        <x:v>0.377331751244546</x:v>
      </x:c>
    </x:row>
    <x:row r="42" ht="18" customHeight="1">
      <x:c r="A42" s="46" t="n">
        <x:v>2026</x:v>
      </x:c>
      <x:c r="B42" s="63" t="str">
        <x:v>Mejora continua y cumplimiento</x:v>
      </x:c>
      <x:c r="C42" s="64" t="n">
        <x:f>SUMIFS(Detalle_Presupuesto!$Q$5:$Q$432,Detalle_Presupuesto!$A$5:$A$432,A42,Detalle_Presupuesto!$F$5:$F$432,B42)</x:f>
        <x:v>7618057</x:v>
      </x:c>
      <x:c r="D42" s="64" t="n">
        <x:f>SUMIFS(Detalle_Presupuesto!$R$5:$R$432,Detalle_Presupuesto!$A$5:$A$432,A42,Detalle_Presupuesto!$F$5:$F$432,B42)</x:f>
        <x:v>2065453</x:v>
      </x:c>
      <x:c r="E42" s="64" t="n">
        <x:f>D42-C42</x:f>
        <x:v>-5552604</x:v>
      </x:c>
      <x:c r="F42" s="83" t="n">
        <x:f>IFERROR(D42/C42,0)</x:f>
        <x:v>0.27112595770811376</x:v>
      </x:c>
    </x:row>
    <x:row r="43" ht="18" customHeight="1">
      <x:c r="A43" s="46" t="n">
        <x:v>2026</x:v>
      </x:c>
      <x:c r="B43" s="63" t="str">
        <x:v>Participación y consulta</x:v>
      </x:c>
      <x:c r="C43" s="64" t="n">
        <x:f>SUMIFS(Detalle_Presupuesto!$Q$5:$Q$432,Detalle_Presupuesto!$A$5:$A$432,A43,Detalle_Presupuesto!$F$5:$F$432,B43)</x:f>
        <x:v>2344018</x:v>
      </x:c>
      <x:c r="D43" s="64" t="n">
        <x:f>SUMIFS(Detalle_Presupuesto!$R$5:$R$432,Detalle_Presupuesto!$A$5:$A$432,A43,Detalle_Presupuesto!$F$5:$F$432,B43)</x:f>
        <x:v>897972</x:v>
      </x:c>
      <x:c r="E43" s="64" t="n">
        <x:f>D43-C43</x:f>
        <x:v>-1446046</x:v>
      </x:c>
      <x:c r="F43" s="83" t="n">
        <x:f>IFERROR(D43/C43,0)</x:f>
        <x:v>0.38309091483085883</x:v>
      </x:c>
    </x:row>
    <x:row r="44" ht="18" customHeight="1">
      <x:c r="A44" s="48" t="n">
        <x:v>2026</x:v>
      </x:c>
      <x:c r="B44" s="65" t="str">
        <x:v>Recursos y gestión financiera</x:v>
      </x:c>
      <x:c r="C44" s="66" t="n">
        <x:f>SUMIFS(Detalle_Presupuesto!$Q$5:$Q$432,Detalle_Presupuesto!$A$5:$A$432,A44,Detalle_Presupuesto!$F$5:$F$432,B44)</x:f>
        <x:v>7032053</x:v>
      </x:c>
      <x:c r="D44" s="66" t="n">
        <x:f>SUMIFS(Detalle_Presupuesto!$R$5:$R$432,Detalle_Presupuesto!$A$5:$A$432,A44,Detalle_Presupuesto!$F$5:$F$432,B44)</x:f>
        <x:v>3738057</x:v>
      </x:c>
      <x:c r="E44" s="66" t="n">
        <x:f>D44-C44</x:f>
        <x:v>-3293996</x:v>
      </x:c>
      <x:c r="F44" s="84" t="n">
        <x:f>IFERROR(D44/C44,0)</x:f>
        <x:v>0.5315740652125347</x:v>
      </x:c>
    </x:row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A1:L1"/>
    <x:mergeCell ref="A2:L2"/>
    <x:mergeCell ref="A11:F11"/>
    <x:mergeCell ref="H11:L11"/>
  </x:mergeCells>
  <x:pageMargins left="0.7" right="0.7" top="0.75" bottom="0.75" header="0.3" footer="0.3"/>
  <x:tableParts count="2">
    <x:tablePart xmlns:r="http://schemas.openxmlformats.org/officeDocument/2006/relationships" r:id="Rf259bcd7acc748d9"/>
    <x:tablePart xmlns:r="http://schemas.openxmlformats.org/officeDocument/2006/relationships" r:id="Rbf51ae499d00474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4" hidden="0" customWidth="1"/>
    <x:col min="13" max="13" width="14" hidden="0" customWidth="1"/>
    <x:col min="14" max="14" width="14" hidden="0" customWidth="1"/>
  </x:cols>
  <x:sheetData>
    <x:row r="1" ht="24" customHeight="1">
      <x:c r="A1" s="5" t="str">
        <x:v>Dashboard — Presupuesto SST 2023-2026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18" customHeight="1">
      <x:c r="A2" s="12" t="str">
        <x:v>Cifras en pesos colombianos. 2023-2025 con cierre anual; 2026 con presupuesto anual planeado y ejecución acumulada al corte de mayo.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2"/>
      <x:c r="N2" s="12"/>
    </x:row>
    <x:row r="3" ht="18" customHeight="1"/>
    <x:row r="4" ht="18" customHeight="1">
      <x:c r="B4" s="105" t="str">
        <x:v>Presupuesto planeado 2023</x:v>
      </x:c>
      <x:c r="C4" s="106"/>
      <x:c r="D4" s="107"/>
      <x:c r="E4" s="105" t="str">
        <x:v>Presupuesto planeado 2026</x:v>
      </x:c>
      <x:c r="F4" s="106"/>
      <x:c r="G4" s="107"/>
      <x:c r="H4" s="105" t="str">
        <x:v>Ejecución registrada 2025</x:v>
      </x:c>
      <x:c r="I4" s="106"/>
      <x:c r="J4" s="107"/>
      <x:c r="K4" s="105" t="str">
        <x:v>Ejecución 2026 a mayo</x:v>
      </x:c>
      <x:c r="L4" s="106"/>
      <x:c r="M4" s="107"/>
    </x:row>
    <x:row r="5" ht="18" customHeight="1">
      <x:c r="B5" s="111" t="n">
        <x:f>Resumen_Anual!C5</x:f>
        <x:v>48500000</x:v>
      </x:c>
      <x:c r="C5" s="112"/>
      <x:c r="D5" s="113"/>
      <x:c r="E5" s="111" t="n">
        <x:f>Resumen_Anual!C8</x:f>
        <x:v>58600441</x:v>
      </x:c>
      <x:c r="F5" s="112"/>
      <x:c r="G5" s="113"/>
      <x:c r="H5" s="111" t="n">
        <x:f>Resumen_Anual!D7</x:f>
        <x:v>54697463</x:v>
      </x:c>
      <x:c r="I5" s="112"/>
      <x:c r="J5" s="113"/>
      <x:c r="K5" s="111" t="n">
        <x:f>Resumen_Anual!D8</x:f>
        <x:v>22665714</x:v>
      </x:c>
      <x:c r="L5" s="112"/>
      <x:c r="M5" s="113"/>
    </x:row>
    <x:row r="6" ht="18" customHeight="1">
      <x:c r="B6" s="114"/>
      <x:c r="C6" s="115"/>
      <x:c r="D6" s="116"/>
      <x:c r="E6" s="114"/>
      <x:c r="F6" s="115"/>
      <x:c r="G6" s="116"/>
      <x:c r="H6" s="114"/>
      <x:c r="I6" s="115"/>
      <x:c r="J6" s="116"/>
      <x:c r="K6" s="114"/>
      <x:c r="L6" s="115"/>
      <x:c r="M6" s="116"/>
    </x:row>
    <x:row r="7" ht="18" customHeight="1"/>
    <x:row r="8" ht="18" customHeight="1">
      <x:c r="B8" s="125" t="str">
        <x:v>Crecimiento 2023 → 2026</x:v>
      </x:c>
      <x:c r="C8" s="126"/>
      <x:c r="D8" s="127"/>
      <x:c r="E8" s="125" t="str">
        <x:v>% ejecución 2026 a mayo</x:v>
      </x:c>
      <x:c r="F8" s="126"/>
      <x:c r="G8" s="127"/>
    </x:row>
    <x:row r="9" ht="18" customHeight="1">
      <x:c r="B9" s="128" t="n">
        <x:f>IFERROR((Resumen_Anual!C8/Resumen_Anual!C5)-1,0)</x:f>
        <x:v>0.20825651546391755</x:v>
      </x:c>
      <x:c r="C9" s="123"/>
      <x:c r="D9" s="129"/>
      <x:c r="E9" s="128" t="n">
        <x:f>Resumen_Anual!F8</x:f>
        <x:v>0.3867840175468987</x:v>
      </x:c>
      <x:c r="F9" s="123"/>
      <x:c r="G9" s="129"/>
    </x:row>
    <x:row r="10" ht="18" customHeight="1">
      <x:c r="B10" s="130"/>
      <x:c r="C10" s="131"/>
      <x:c r="D10" s="132"/>
      <x:c r="E10" s="130"/>
      <x:c r="F10" s="131"/>
      <x:c r="G10" s="132"/>
    </x:row>
    <x:row r="11" ht="18" customHeight="1"/>
    <x:row r="12" ht="18" customHeight="1"/>
    <x:row r="13" ht="18" customHeight="1">
      <x:c r="A13" s="19" t="str">
        <x:v>Comparativo anual</x:v>
      </x:c>
      <x:c r="B13" s="19"/>
      <x:c r="C13" s="19"/>
      <x:c r="D13" s="19"/>
      <x:c r="E13" s="19"/>
    </x:row>
    <x:row r="14" ht="18" customHeight="1">
      <x:c r="A14" s="34" t="str">
        <x:v>Año</x:v>
      </x:c>
      <x:c r="B14" s="54" t="str">
        <x:v>Planeado</x:v>
      </x:c>
      <x:c r="C14" s="54" t="str">
        <x:v>Ejecutado</x:v>
      </x:c>
      <x:c r="D14" s="54" t="str">
        <x:v>Variación</x:v>
      </x:c>
      <x:c r="E14" s="35" t="str">
        <x:v>% ejecución</x:v>
      </x:c>
    </x:row>
    <x:row r="15" ht="18" customHeight="1">
      <x:c r="A15" s="36" t="n">
        <x:f>Resumen_Anual!A5</x:f>
        <x:v>2023</x:v>
      </x:c>
      <x:c r="B15" s="59" t="n">
        <x:f>Resumen_Anual!C5</x:f>
        <x:v>48500000</x:v>
      </x:c>
      <x:c r="C15" s="59" t="n">
        <x:f>Resumen_Anual!D5</x:f>
        <x:v>45881004</x:v>
      </x:c>
      <x:c r="D15" s="59" t="n">
        <x:f>Resumen_Anual!E5</x:f>
        <x:v>-2618996</x:v>
      </x:c>
      <x:c r="E15" s="171" t="n">
        <x:f>Resumen_Anual!F5</x:f>
        <x:v>0.9460000824742268</x:v>
      </x:c>
    </x:row>
    <x:row r="16" ht="18" customHeight="1">
      <x:c r="A16" s="36" t="n">
        <x:f>Resumen_Anual!A6</x:f>
        <x:v>2024</x:v>
      </x:c>
      <x:c r="B16" s="59" t="n">
        <x:f>Resumen_Anual!C6</x:f>
        <x:v>53000800</x:v>
      </x:c>
      <x:c r="C16" s="59" t="n">
        <x:f>Resumen_Anual!D6</x:f>
        <x:v>51251771</x:v>
      </x:c>
      <x:c r="D16" s="59" t="n">
        <x:f>Resumen_Anual!E6</x:f>
        <x:v>-1749029</x:v>
      </x:c>
      <x:c r="E16" s="171" t="n">
        <x:f>Resumen_Anual!F6</x:f>
        <x:v>0.9669999509441367</x:v>
      </x:c>
    </x:row>
    <x:row r="17" ht="18" customHeight="1">
      <x:c r="A17" s="36" t="n">
        <x:f>Resumen_Anual!A7</x:f>
        <x:v>2025</x:v>
      </x:c>
      <x:c r="B17" s="59" t="n">
        <x:f>Resumen_Anual!C7</x:f>
        <x:v>55756842</x:v>
      </x:c>
      <x:c r="C17" s="59" t="n">
        <x:f>Resumen_Anual!D7</x:f>
        <x:v>54697463</x:v>
      </x:c>
      <x:c r="D17" s="59" t="n">
        <x:f>Resumen_Anual!E7</x:f>
        <x:v>-1059379</x:v>
      </x:c>
      <x:c r="E17" s="171" t="n">
        <x:f>Resumen_Anual!F7</x:f>
        <x:v>0.9810000178991486</x:v>
      </x:c>
    </x:row>
    <x:row r="18" ht="18" customHeight="1">
      <x:c r="A18" s="38" t="n">
        <x:f>Resumen_Anual!A8</x:f>
        <x:v>2026</x:v>
      </x:c>
      <x:c r="B18" s="60" t="n">
        <x:f>Resumen_Anual!C8</x:f>
        <x:v>58600441</x:v>
      </x:c>
      <x:c r="C18" s="60" t="n">
        <x:f>Resumen_Anual!D8</x:f>
        <x:v>22665714</x:v>
      </x:c>
      <x:c r="D18" s="60" t="n">
        <x:f>Resumen_Anual!E8</x:f>
        <x:v>-35934727</x:v>
      </x:c>
      <x:c r="E18" s="172" t="n">
        <x:f>Resumen_Anual!F8</x:f>
        <x:v>0.3867840175468987</x:v>
      </x:c>
    </x:row>
    <x:row r="19" ht="18" customHeight="1"/>
    <x:row r="20" ht="18" customHeight="1"/>
    <x:row r="21" ht="18" customHeight="1">
      <x:c r="A21" s="19" t="str">
        <x:v>Comportamiento mensual 2026</x:v>
      </x:c>
      <x:c r="B21" s="19"/>
      <x:c r="C21" s="19"/>
      <x:c r="D21" s="19"/>
      <x:c r="E21" s="19"/>
      <x:c r="G21" s="19" t="str">
        <x:v>Ejecución 2026 por componente (a mayo)</x:v>
      </x:c>
      <x:c r="H21" s="19"/>
      <x:c r="I21" s="19"/>
      <x:c r="J21" s="19"/>
      <x:c r="K21" s="19"/>
    </x:row>
    <x:row r="22" ht="18" customHeight="1">
      <x:c r="A22" s="34" t="str">
        <x:v>Mes</x:v>
      </x:c>
      <x:c r="B22" s="54" t="str">
        <x:v>Planeado</x:v>
      </x:c>
      <x:c r="C22" s="54" t="str">
        <x:v>Ejecutado</x:v>
      </x:c>
      <x:c r="D22" s="54" t="str">
        <x:v>Variación</x:v>
      </x:c>
      <x:c r="E22" s="35" t="str">
        <x:v>% ejecución</x:v>
      </x:c>
      <x:c r="G22" s="34" t="str">
        <x:v>Componente</x:v>
      </x:c>
      <x:c r="H22" s="54" t="str">
        <x:v>Planeado 2026</x:v>
      </x:c>
      <x:c r="I22" s="35" t="str">
        <x:v>Ejecutado 2026</x:v>
      </x:c>
    </x:row>
    <x:row r="23" ht="18" customHeight="1">
      <x:c r="A23" s="36" t="str">
        <x:f>Resumen_Anual!H13</x:f>
        <x:v>Enero</x:v>
      </x:c>
      <x:c r="B23" s="59" t="n">
        <x:f>Resumen_Anual!I13</x:f>
        <x:v>7125813</x:v>
      </x:c>
      <x:c r="C23" s="59" t="n">
        <x:f>Resumen_Anual!J13</x:f>
        <x:v>6709945</x:v>
      </x:c>
      <x:c r="D23" s="59" t="n">
        <x:f>Resumen_Anual!K13</x:f>
        <x:v>-415868</x:v>
      </x:c>
      <x:c r="E23" s="171" t="n">
        <x:f>Resumen_Anual!L13</x:f>
        <x:v>0.9416392206755917</x:v>
      </x:c>
      <x:c r="G23" s="46" t="str">
        <x:v>Capacitación y entrenamiento</x:v>
      </x:c>
      <x:c r="H23" s="64" t="n">
        <x:f>SUMIFS(Detalle_Presupuesto!$Q$5:$Q$432,Detalle_Presupuesto!$A$5:$A$432,2026,Detalle_Presupuesto!$F$5:$F$432,G23)</x:f>
        <x:v>5860044</x:v>
      </x:c>
      <x:c r="I23" s="179" t="n">
        <x:f>SUMIFS(Detalle_Presupuesto!$R$5:$R$432,Detalle_Presupuesto!$A$5:$A$432,2026,Detalle_Presupuesto!$F$5:$F$432,G23)</x:f>
        <x:v>2336744</x:v>
      </x:c>
    </x:row>
    <x:row r="24" ht="18" customHeight="1">
      <x:c r="A24" s="36" t="str">
        <x:f>Resumen_Anual!H14</x:f>
        <x:v>Febrero</x:v>
      </x:c>
      <x:c r="B24" s="59" t="n">
        <x:f>Resumen_Anual!I14</x:f>
        <x:v>4125471</x:v>
      </x:c>
      <x:c r="C24" s="59" t="n">
        <x:f>Resumen_Anual!J14</x:f>
        <x:v>3900925</x:v>
      </x:c>
      <x:c r="D24" s="59" t="n">
        <x:f>Resumen_Anual!K14</x:f>
        <x:v>-224546</x:v>
      </x:c>
      <x:c r="E24" s="171" t="n">
        <x:f>Resumen_Anual!L14</x:f>
        <x:v>0.9455708208832397</x:v>
      </x:c>
      <x:c r="G24" s="46" t="str">
        <x:v>Emergencias e infraestructura</x:v>
      </x:c>
      <x:c r="H24" s="64" t="n">
        <x:f>SUMIFS(Detalle_Presupuesto!$Q$5:$Q$432,Detalle_Presupuesto!$A$5:$A$432,2026,Detalle_Presupuesto!$F$5:$F$432,G24)</x:f>
        <x:v>4688035</x:v>
      </x:c>
      <x:c r="I24" s="179" t="n">
        <x:f>SUMIFS(Detalle_Presupuesto!$R$5:$R$432,Detalle_Presupuesto!$A$5:$A$432,2026,Detalle_Presupuesto!$F$5:$F$432,G24)</x:f>
        <x:v>1262663</x:v>
      </x:c>
    </x:row>
    <x:row r="25" ht="18" customHeight="1">
      <x:c r="A25" s="36" t="str">
        <x:f>Resumen_Anual!H15</x:f>
        <x:v>Marzo</x:v>
      </x:c>
      <x:c r="B25" s="59" t="n">
        <x:f>Resumen_Anual!I15</x:f>
        <x:v>4488794</x:v>
      </x:c>
      <x:c r="C25" s="59" t="n">
        <x:f>Resumen_Anual!J15</x:f>
        <x:v>4273730</x:v>
      </x:c>
      <x:c r="D25" s="59" t="n">
        <x:f>Resumen_Anual!K15</x:f>
        <x:v>-215064</x:v>
      </x:c>
      <x:c r="E25" s="171" t="n">
        <x:f>Resumen_Anual!L15</x:f>
        <x:v>0.9520886901916193</x:v>
      </x:c>
      <x:c r="G25" s="46" t="str">
        <x:v>Gestión de contratistas</x:v>
      </x:c>
      <x:c r="H25" s="64" t="n">
        <x:f>SUMIFS(Detalle_Presupuesto!$Q$5:$Q$432,Detalle_Presupuesto!$A$5:$A$432,2026,Detalle_Presupuesto!$F$5:$F$432,G25)</x:f>
        <x:v>3516026</x:v>
      </x:c>
      <x:c r="I25" s="179" t="n">
        <x:f>SUMIFS(Detalle_Presupuesto!$R$5:$R$432,Detalle_Presupuesto!$A$5:$A$432,2026,Detalle_Presupuesto!$F$5:$F$432,G25)</x:f>
        <x:v>1308896</x:v>
      </x:c>
    </x:row>
    <x:row r="26" ht="18" customHeight="1">
      <x:c r="A26" s="36" t="str">
        <x:f>Resumen_Anual!H16</x:f>
        <x:v>Abril</x:v>
      </x:c>
      <x:c r="B26" s="59" t="n">
        <x:f>Resumen_Anual!I16</x:f>
        <x:v>4324713</x:v>
      </x:c>
      <x:c r="C26" s="59" t="n">
        <x:f>Resumen_Anual!J16</x:f>
        <x:v>4161763</x:v>
      </x:c>
      <x:c r="D26" s="59" t="n">
        <x:f>Resumen_Anual!K16</x:f>
        <x:v>-162950</x:v>
      </x:c>
      <x:c r="E26" s="171" t="n">
        <x:f>Resumen_Anual!L16</x:f>
        <x:v>0.9623211991177218</x:v>
      </x:c>
      <x:c r="G26" s="46" t="str">
        <x:v>Higiene y seguridad industrial</x:v>
      </x:c>
      <x:c r="H26" s="64" t="n">
        <x:f>SUMIFS(Detalle_Presupuesto!$Q$5:$Q$432,Detalle_Presupuesto!$A$5:$A$432,2026,Detalle_Presupuesto!$F$5:$F$432,G26)</x:f>
        <x:v>15236114</x:v>
      </x:c>
      <x:c r="I26" s="179" t="n">
        <x:f>SUMIFS(Detalle_Presupuesto!$R$5:$R$432,Detalle_Presupuesto!$A$5:$A$432,2026,Detalle_Presupuesto!$F$5:$F$432,G26)</x:f>
        <x:v>6412449</x:v>
      </x:c>
    </x:row>
    <x:row r="27" ht="18" customHeight="1">
      <x:c r="A27" s="36" t="str">
        <x:f>Resumen_Anual!H17</x:f>
        <x:v>Mayo</x:v>
      </x:c>
      <x:c r="B27" s="59" t="n">
        <x:f>Resumen_Anual!I17</x:f>
        <x:v>3844189</x:v>
      </x:c>
      <x:c r="C27" s="59" t="n">
        <x:f>Resumen_Anual!J17</x:f>
        <x:v>3619351</x:v>
      </x:c>
      <x:c r="D27" s="59" t="n">
        <x:f>Resumen_Anual!K17</x:f>
        <x:v>-224838</x:v>
      </x:c>
      <x:c r="E27" s="171" t="n">
        <x:f>Resumen_Anual!L17</x:f>
        <x:v>0.9415122409434084</x:v>
      </x:c>
      <x:c r="G27" s="46" t="str">
        <x:v>Medicina preventiva y del trabajo</x:v>
      </x:c>
      <x:c r="H27" s="64" t="n">
        <x:f>SUMIFS(Detalle_Presupuesto!$Q$5:$Q$432,Detalle_Presupuesto!$A$5:$A$432,2026,Detalle_Presupuesto!$F$5:$F$432,G27)</x:f>
        <x:v>12306094</x:v>
      </x:c>
      <x:c r="I27" s="179" t="n">
        <x:f>SUMIFS(Detalle_Presupuesto!$R$5:$R$432,Detalle_Presupuesto!$A$5:$A$432,2026,Detalle_Presupuesto!$F$5:$F$432,G27)</x:f>
        <x:v>4643480</x:v>
      </x:c>
    </x:row>
    <x:row r="28" ht="18" customHeight="1">
      <x:c r="A28" s="36" t="str">
        <x:f>Resumen_Anual!H18</x:f>
        <x:v>Junio</x:v>
      </x:c>
      <x:c r="B28" s="59" t="n">
        <x:f>Resumen_Anual!I18</x:f>
        <x:v>3949671</x:v>
      </x:c>
      <x:c r="C28" s="59" t="n">
        <x:f>Resumen_Anual!J18</x:f>
        <x:v>0</x:v>
      </x:c>
      <x:c r="D28" s="59" t="n">
        <x:f>Resumen_Anual!K18</x:f>
        <x:v>-3949671</x:v>
      </x:c>
      <x:c r="E28" s="171" t="n">
        <x:f>Resumen_Anual!L18</x:f>
        <x:v>0</x:v>
      </x:c>
      <x:c r="G28" s="46" t="str">
        <x:v>Mejora continua y cumplimiento</x:v>
      </x:c>
      <x:c r="H28" s="64" t="n">
        <x:f>SUMIFS(Detalle_Presupuesto!$Q$5:$Q$432,Detalle_Presupuesto!$A$5:$A$432,2026,Detalle_Presupuesto!$F$5:$F$432,G28)</x:f>
        <x:v>7618057</x:v>
      </x:c>
      <x:c r="I28" s="179" t="n">
        <x:f>SUMIFS(Detalle_Presupuesto!$R$5:$R$432,Detalle_Presupuesto!$A$5:$A$432,2026,Detalle_Presupuesto!$F$5:$F$432,G28)</x:f>
        <x:v>2065453</x:v>
      </x:c>
    </x:row>
    <x:row r="29" ht="18" customHeight="1">
      <x:c r="A29" s="36" t="str">
        <x:f>Resumen_Anual!H19</x:f>
        <x:v>Julio</x:v>
      </x:c>
      <x:c r="B29" s="59" t="n">
        <x:f>Resumen_Anual!I19</x:f>
        <x:v>5924504</x:v>
      </x:c>
      <x:c r="C29" s="59" t="n">
        <x:f>Resumen_Anual!J19</x:f>
        <x:v>0</x:v>
      </x:c>
      <x:c r="D29" s="59" t="n">
        <x:f>Resumen_Anual!K19</x:f>
        <x:v>-5924504</x:v>
      </x:c>
      <x:c r="E29" s="171" t="n">
        <x:f>Resumen_Anual!L19</x:f>
        <x:v>0</x:v>
      </x:c>
      <x:c r="G29" s="46" t="str">
        <x:v>Participación y consulta</x:v>
      </x:c>
      <x:c r="H29" s="64" t="n">
        <x:f>SUMIFS(Detalle_Presupuesto!$Q$5:$Q$432,Detalle_Presupuesto!$A$5:$A$432,2026,Detalle_Presupuesto!$F$5:$F$432,G29)</x:f>
        <x:v>2344018</x:v>
      </x:c>
      <x:c r="I29" s="179" t="n">
        <x:f>SUMIFS(Detalle_Presupuesto!$R$5:$R$432,Detalle_Presupuesto!$A$5:$A$432,2026,Detalle_Presupuesto!$F$5:$F$432,G29)</x:f>
        <x:v>897972</x:v>
      </x:c>
    </x:row>
    <x:row r="30" ht="18" customHeight="1">
      <x:c r="A30" s="36" t="str">
        <x:f>Resumen_Anual!H20</x:f>
        <x:v>Agosto</x:v>
      </x:c>
      <x:c r="B30" s="59" t="n">
        <x:f>Resumen_Anual!I20</x:f>
        <x:v>4729058</x:v>
      </x:c>
      <x:c r="C30" s="59" t="n">
        <x:f>Resumen_Anual!J20</x:f>
        <x:v>0</x:v>
      </x:c>
      <x:c r="D30" s="59" t="n">
        <x:f>Resumen_Anual!K20</x:f>
        <x:v>-4729058</x:v>
      </x:c>
      <x:c r="E30" s="171" t="n">
        <x:f>Resumen_Anual!L20</x:f>
        <x:v>0</x:v>
      </x:c>
      <x:c r="G30" s="48" t="str">
        <x:v>Recursos y gestión financiera</x:v>
      </x:c>
      <x:c r="H30" s="66" t="n">
        <x:f>SUMIFS(Detalle_Presupuesto!$Q$5:$Q$432,Detalle_Presupuesto!$A$5:$A$432,2026,Detalle_Presupuesto!$F$5:$F$432,G30)</x:f>
        <x:v>7032053</x:v>
      </x:c>
      <x:c r="I30" s="180" t="n">
        <x:f>SUMIFS(Detalle_Presupuesto!$R$5:$R$432,Detalle_Presupuesto!$A$5:$A$432,2026,Detalle_Presupuesto!$F$5:$F$432,G30)</x:f>
        <x:v>3738057</x:v>
      </x:c>
    </x:row>
    <x:row r="31" ht="18" customHeight="1">
      <x:c r="A31" s="36" t="str">
        <x:f>Resumen_Anual!H21</x:f>
        <x:v>Septiembre</x:v>
      </x:c>
      <x:c r="B31" s="59" t="n">
        <x:f>Resumen_Anual!I21</x:f>
        <x:v>4184072</x:v>
      </x:c>
      <x:c r="C31" s="59" t="n">
        <x:f>Resumen_Anual!J21</x:f>
        <x:v>0</x:v>
      </x:c>
      <x:c r="D31" s="59" t="n">
        <x:f>Resumen_Anual!K21</x:f>
        <x:v>-4184072</x:v>
      </x:c>
      <x:c r="E31" s="171" t="n">
        <x:f>Resumen_Anual!L21</x:f>
        <x:v>0</x:v>
      </x:c>
    </x:row>
    <x:row r="32" ht="18" customHeight="1">
      <x:c r="A32" s="36" t="str">
        <x:f>Resumen_Anual!H22</x:f>
        <x:v>Octubre</x:v>
      </x:c>
      <x:c r="B32" s="59" t="n">
        <x:f>Resumen_Anual!I22</x:f>
        <x:v>5502582</x:v>
      </x:c>
      <x:c r="C32" s="59" t="n">
        <x:f>Resumen_Anual!J22</x:f>
        <x:v>0</x:v>
      </x:c>
      <x:c r="D32" s="59" t="n">
        <x:f>Resumen_Anual!K22</x:f>
        <x:v>-5502582</x:v>
      </x:c>
      <x:c r="E32" s="171" t="n">
        <x:f>Resumen_Anual!L22</x:f>
        <x:v>0</x:v>
      </x:c>
    </x:row>
    <x:row r="33" ht="18" customHeight="1">
      <x:c r="A33" s="36" t="str">
        <x:f>Resumen_Anual!H23</x:f>
        <x:v>Noviembre</x:v>
      </x:c>
      <x:c r="B33" s="59" t="n">
        <x:f>Resumen_Anual!I23</x:f>
        <x:v>5637363</x:v>
      </x:c>
      <x:c r="C33" s="59" t="n">
        <x:f>Resumen_Anual!J23</x:f>
        <x:v>0</x:v>
      </x:c>
      <x:c r="D33" s="59" t="n">
        <x:f>Resumen_Anual!K23</x:f>
        <x:v>-5637363</x:v>
      </x:c>
      <x:c r="E33" s="171" t="n">
        <x:f>Resumen_Anual!L23</x:f>
        <x:v>0</x:v>
      </x:c>
    </x:row>
    <x:row r="34" ht="18" customHeight="1">
      <x:c r="A34" s="38" t="str">
        <x:f>Resumen_Anual!H24</x:f>
        <x:v>Diciembre</x:v>
      </x:c>
      <x:c r="B34" s="60" t="n">
        <x:f>Resumen_Anual!I24</x:f>
        <x:v>4764211</x:v>
      </x:c>
      <x:c r="C34" s="60" t="n">
        <x:f>Resumen_Anual!J24</x:f>
        <x:v>0</x:v>
      </x:c>
      <x:c r="D34" s="60" t="n">
        <x:f>Resumen_Anual!K24</x:f>
        <x:v>-4764211</x:v>
      </x:c>
      <x:c r="E34" s="172" t="n">
        <x:f>Resumen_Anual!L24</x:f>
        <x:v>0</x:v>
      </x:c>
    </x:row>
    <x:row r="35" ht="18" customHeight="1"/>
    <x:row r="36" ht="18" customHeight="1"/>
    <x:row r="37" ht="18" customHeight="1"/>
    <x:row r="38" ht="18" customHeight="1"/>
    <x:row r="39" ht="18" customHeight="1"/>
    <x:row r="40" ht="18" customHeight="1"/>
    <x:row r="41" ht="18" customHeight="1"/>
    <x:row r="42" ht="18" customHeight="1"/>
    <x:row r="43" ht="18" customHeight="1"/>
    <x:row r="44" ht="18" customHeight="1"/>
    <x:row r="45" ht="18" customHeight="1"/>
    <x:row r="46" ht="18" customHeight="1"/>
    <x:row r="47" ht="18" customHeight="1"/>
    <x:row r="48" ht="18" customHeight="1"/>
    <x:row r="49" ht="18" customHeight="1"/>
    <x:row r="50" ht="18" customHeight="1"/>
    <x:row r="51" ht="18" customHeight="1"/>
    <x:row r="52" ht="18" customHeight="1"/>
    <x:row r="53" ht="18" customHeight="1"/>
    <x:row r="54" ht="18" customHeight="1"/>
    <x:row r="55" ht="18" customHeight="1"/>
    <x:row r="56" ht="18" customHeight="1"/>
    <x:row r="57" ht="18" customHeight="1"/>
    <x:row r="58" ht="18" customHeight="1"/>
    <x:row r="59" ht="18" customHeight="1"/>
    <x:row r="60" ht="18" customHeight="1"/>
    <x:row r="61" ht="18" customHeight="1"/>
    <x:row r="62" ht="18" customHeight="1"/>
    <x:row r="63" ht="18" customHeight="1"/>
    <x:row r="64" ht="18" customHeight="1"/>
    <x:row r="65" ht="18" customHeight="1"/>
    <x:row r="66" ht="18" customHeight="1"/>
    <x:row r="67" ht="18" customHeight="1"/>
    <x:row r="68" ht="18" customHeight="1"/>
    <x:row r="69" ht="18" customHeight="1"/>
    <x:row r="70" ht="18" customHeight="1"/>
    <x:row r="71" ht="18" customHeight="1"/>
    <x:row r="72" ht="18" customHeight="1"/>
    <x:row r="73" ht="18" customHeight="1"/>
    <x:row r="74" ht="18" customHeight="1"/>
    <x:row r="75" ht="18" customHeight="1"/>
    <x:row r="76" ht="18" customHeight="1"/>
    <x:row r="77" ht="18" customHeight="1"/>
    <x:row r="78" ht="18" customHeight="1"/>
    <x:row r="79" ht="18" customHeight="1"/>
    <x:row r="80" ht="18" customHeight="1"/>
    <x:row r="81" ht="18" customHeight="1"/>
    <x:row r="82" ht="18" customHeight="1"/>
    <x:row r="83" ht="18" customHeight="1"/>
    <x:row r="84" ht="18" customHeight="1"/>
    <x:row r="85" ht="18" customHeight="1"/>
    <x:row r="86" ht="18" customHeight="1"/>
    <x:row r="87" ht="18" customHeight="1"/>
    <x:row r="88" ht="18" customHeight="1"/>
    <x:row r="89" ht="18" customHeight="1"/>
    <x:row r="90" ht="18" customHeight="1"/>
    <x:row r="91" ht="18" customHeight="1"/>
    <x:row r="92" ht="18" customHeight="1"/>
    <x:row r="93" ht="18" customHeight="1"/>
    <x:row r="94" ht="18" customHeight="1"/>
    <x:row r="95" ht="18" customHeight="1"/>
    <x:row r="96" ht="18" customHeight="1"/>
    <x:row r="97" ht="18" customHeight="1"/>
    <x:row r="98" ht="18" customHeight="1"/>
    <x:row r="99" ht="18" customHeight="1"/>
    <x:row r="100" ht="18" customHeight="1"/>
    <x:row r="101" ht="18" customHeight="1"/>
    <x:row r="102" ht="18" customHeight="1"/>
    <x:row r="103" ht="18" customHeight="1"/>
    <x:row r="104" ht="18" customHeight="1"/>
    <x:row r="105" ht="18" customHeight="1"/>
    <x:row r="106" ht="18" customHeight="1"/>
    <x:row r="107" ht="18" customHeight="1"/>
    <x:row r="108" ht="18" customHeight="1"/>
    <x:row r="109" ht="18" customHeight="1"/>
    <x:row r="110" ht="18" customHeight="1"/>
    <x:row r="111" ht="18" customHeight="1"/>
    <x:row r="112" ht="18" customHeight="1"/>
    <x:row r="113" ht="18" customHeight="1"/>
    <x:row r="114" ht="18" customHeight="1"/>
    <x:row r="115" ht="18" customHeight="1"/>
    <x:row r="116" ht="18" customHeight="1"/>
    <x:row r="117" ht="18" customHeight="1"/>
    <x:row r="118" ht="18" customHeight="1"/>
    <x:row r="119" ht="18" customHeight="1"/>
    <x:row r="120" ht="18" customHeight="1"/>
    <x:row r="121" ht="18" customHeight="1"/>
    <x:row r="122" ht="18" customHeight="1"/>
    <x:row r="123" ht="18" customHeight="1"/>
    <x:row r="124" ht="18" customHeight="1"/>
    <x:row r="125" ht="18" customHeight="1"/>
    <x:row r="126" ht="18" customHeight="1"/>
    <x:row r="127" ht="18" customHeight="1"/>
    <x:row r="128" ht="18" customHeight="1"/>
    <x:row r="129" ht="18" customHeight="1"/>
    <x:row r="130" ht="18" customHeight="1"/>
    <x:row r="131" ht="18" customHeight="1"/>
    <x:row r="132" ht="18" customHeight="1"/>
    <x:row r="133" ht="18" customHeight="1"/>
    <x:row r="134" ht="18" customHeight="1"/>
    <x:row r="135" ht="18" customHeight="1"/>
    <x:row r="136" ht="18" customHeight="1"/>
    <x:row r="137" ht="18" customHeight="1"/>
    <x:row r="138" ht="18" customHeight="1"/>
    <x:row r="139" ht="18" customHeight="1"/>
    <x:row r="140" ht="18" customHeight="1"/>
    <x:row r="141" ht="18" customHeight="1"/>
    <x:row r="142" ht="18" customHeight="1"/>
    <x:row r="143" ht="18" customHeight="1"/>
    <x:row r="144" ht="18" customHeight="1"/>
    <x:row r="145" ht="18" customHeight="1"/>
    <x:row r="146" ht="18" customHeight="1"/>
    <x:row r="147" ht="18" customHeight="1"/>
    <x:row r="148" ht="18" customHeight="1"/>
    <x:row r="149" ht="18" customHeight="1"/>
    <x:row r="150" ht="18" customHeight="1"/>
    <x:row r="151" ht="18" customHeight="1"/>
    <x:row r="152" ht="18" customHeight="1"/>
    <x:row r="153" ht="18" customHeight="1"/>
    <x:row r="154" ht="18" customHeight="1"/>
    <x:row r="155" ht="18" customHeight="1"/>
    <x:row r="156" ht="18" customHeight="1"/>
    <x:row r="157" ht="18" customHeight="1"/>
    <x:row r="158" ht="18" customHeight="1"/>
    <x:row r="159" ht="18" customHeight="1"/>
    <x:row r="160" ht="18" customHeight="1"/>
    <x:row r="161" ht="18" customHeight="1"/>
    <x:row r="162" ht="18" customHeight="1"/>
    <x:row r="163" ht="18" customHeight="1"/>
    <x:row r="164" ht="18" customHeight="1"/>
    <x:row r="165" ht="18" customHeight="1"/>
    <x:row r="166" ht="18" customHeight="1"/>
    <x:row r="167" ht="18" customHeight="1"/>
    <x:row r="168" ht="18" customHeight="1"/>
    <x:row r="169" ht="18" customHeight="1"/>
    <x:row r="170" ht="18" customHeight="1"/>
    <x:row r="171" ht="18" customHeight="1"/>
    <x:row r="172" ht="18" customHeight="1"/>
    <x:row r="173" ht="18" customHeight="1"/>
    <x:row r="174" ht="18" customHeight="1"/>
    <x:row r="175" ht="18" customHeight="1"/>
    <x:row r="176" ht="18" customHeight="1"/>
    <x:row r="177" ht="18" customHeight="1"/>
    <x:row r="178" ht="18" customHeight="1"/>
    <x:row r="179" ht="18" customHeight="1"/>
    <x:row r="180" ht="18" customHeight="1"/>
    <x:row r="181" ht="18" customHeight="1"/>
    <x:row r="182" ht="18" customHeight="1"/>
    <x:row r="183" ht="18" customHeight="1"/>
    <x:row r="184" ht="18" customHeight="1"/>
    <x:row r="185" ht="18" customHeight="1"/>
    <x:row r="186" ht="18" customHeight="1"/>
    <x:row r="187" ht="18" customHeight="1"/>
    <x:row r="188" ht="18" customHeight="1"/>
    <x:row r="189" ht="18" customHeight="1"/>
    <x:row r="190" ht="18" customHeight="1"/>
    <x:row r="191" ht="18" customHeight="1"/>
    <x:row r="192" ht="18" customHeight="1"/>
    <x:row r="193" ht="18" customHeight="1"/>
    <x:row r="194" ht="18" customHeight="1"/>
    <x:row r="195" ht="18" customHeight="1"/>
    <x:row r="196" ht="18" customHeight="1"/>
    <x:row r="197" ht="18" customHeight="1"/>
    <x:row r="198" ht="18" customHeight="1"/>
    <x:row r="199" ht="18" customHeight="1"/>
    <x:row r="200" ht="18" customHeight="1"/>
    <x:row r="201" ht="18" customHeight="1"/>
    <x:row r="202" ht="18" customHeight="1"/>
    <x:row r="203" ht="18" customHeight="1"/>
    <x:row r="204" ht="18" customHeight="1"/>
    <x:row r="205" ht="18" customHeight="1"/>
    <x:row r="206" ht="18" customHeight="1"/>
    <x:row r="207" ht="18" customHeight="1"/>
    <x:row r="208" ht="18" customHeight="1"/>
    <x:row r="209" ht="18" customHeight="1"/>
    <x:row r="210" ht="18" customHeight="1"/>
    <x:row r="211" ht="18" customHeight="1"/>
    <x:row r="212" ht="18" customHeight="1"/>
    <x:row r="213" ht="18" customHeight="1"/>
    <x:row r="214" ht="18" customHeight="1"/>
    <x:row r="215" ht="18" customHeight="1"/>
    <x:row r="216" ht="18" customHeight="1"/>
    <x:row r="217" ht="18" customHeight="1"/>
    <x:row r="218" ht="18" customHeight="1"/>
    <x:row r="219" ht="18" customHeight="1"/>
    <x:row r="220" ht="18" customHeight="1"/>
    <x:row r="221" ht="18" customHeight="1"/>
    <x:row r="222" ht="18" customHeight="1"/>
    <x:row r="223" ht="18" customHeight="1"/>
    <x:row r="224" ht="18" customHeight="1"/>
    <x:row r="225" ht="18" customHeight="1"/>
    <x:row r="226" ht="18" customHeight="1"/>
    <x:row r="227" ht="18" customHeight="1"/>
    <x:row r="228" ht="18" customHeight="1"/>
    <x:row r="229" ht="18" customHeight="1"/>
    <x:row r="230" ht="18" customHeight="1"/>
    <x:row r="231" ht="18" customHeight="1"/>
    <x:row r="232" ht="18" customHeight="1"/>
    <x:row r="233" ht="18" customHeight="1"/>
    <x:row r="234" ht="18" customHeight="1"/>
    <x:row r="235" ht="18" customHeight="1"/>
    <x:row r="236" ht="18" customHeight="1"/>
    <x:row r="237" ht="18" customHeight="1"/>
    <x:row r="238" ht="18" customHeight="1"/>
    <x:row r="239" ht="18" customHeight="1"/>
    <x:row r="240" ht="18" customHeight="1"/>
    <x:row r="241" ht="18" customHeight="1"/>
    <x:row r="242" ht="18" customHeight="1"/>
    <x:row r="243" ht="18" customHeight="1"/>
    <x:row r="244" ht="18" customHeight="1"/>
    <x:row r="245" ht="18" customHeight="1"/>
    <x:row r="246" ht="18" customHeight="1"/>
    <x:row r="247" ht="18" customHeight="1"/>
    <x:row r="248" ht="18" customHeight="1"/>
    <x:row r="249" ht="18" customHeight="1"/>
    <x:row r="250" ht="18" customHeight="1"/>
    <x:row r="251" ht="18" customHeight="1"/>
    <x:row r="252" ht="18" customHeight="1"/>
    <x:row r="253" ht="18" customHeight="1"/>
    <x:row r="254" ht="18" customHeight="1"/>
    <x:row r="255" ht="18" customHeight="1"/>
    <x:row r="256" ht="18" customHeight="1"/>
    <x:row r="257" ht="18" customHeight="1"/>
    <x:row r="258" ht="18" customHeight="1"/>
    <x:row r="259" ht="18" customHeight="1"/>
    <x:row r="260" ht="18" customHeight="1"/>
    <x:row r="261" ht="18" customHeight="1"/>
    <x:row r="262" ht="18" customHeight="1"/>
    <x:row r="263" ht="18" customHeight="1"/>
    <x:row r="264" ht="18" customHeight="1"/>
    <x:row r="265" ht="18" customHeight="1"/>
    <x:row r="266" ht="18" customHeight="1"/>
    <x:row r="267" ht="18" customHeight="1"/>
    <x:row r="268" ht="18" customHeight="1"/>
    <x:row r="269" ht="18" customHeight="1"/>
    <x:row r="270" ht="18" customHeight="1"/>
    <x:row r="271" ht="18" customHeight="1"/>
    <x:row r="272" ht="18" customHeight="1"/>
    <x:row r="273" ht="18" customHeight="1"/>
    <x:row r="274" ht="18" customHeight="1"/>
    <x:row r="275" ht="18" customHeight="1"/>
    <x:row r="276" ht="18" customHeight="1"/>
    <x:row r="277" ht="18" customHeight="1"/>
    <x:row r="278" ht="18" customHeight="1"/>
    <x:row r="279" ht="18" customHeight="1"/>
    <x:row r="280" ht="18" customHeight="1"/>
    <x:row r="281" ht="18" customHeight="1"/>
    <x:row r="282" ht="18" customHeight="1"/>
    <x:row r="283" ht="18" customHeight="1"/>
    <x:row r="284" ht="18" customHeight="1"/>
    <x:row r="285" ht="18" customHeight="1"/>
    <x:row r="286" ht="18" customHeight="1"/>
    <x:row r="287" ht="18" customHeight="1"/>
    <x:row r="288" ht="18" customHeight="1"/>
    <x:row r="289" ht="18" customHeight="1"/>
    <x:row r="290" ht="18" customHeight="1"/>
    <x:row r="291" ht="18" customHeight="1"/>
    <x:row r="292" ht="18" customHeight="1"/>
    <x:row r="293" ht="18" customHeight="1"/>
    <x:row r="294" ht="18" customHeight="1"/>
    <x:row r="295" ht="18" customHeight="1"/>
    <x:row r="296" ht="18" customHeight="1"/>
    <x:row r="297" ht="18" customHeight="1"/>
    <x:row r="298" ht="18" customHeight="1"/>
    <x:row r="299" ht="18" customHeight="1"/>
    <x:row r="300" ht="18" customHeight="1"/>
    <x:row r="301" ht="18" customHeight="1"/>
    <x:row r="302" ht="18" customHeight="1"/>
    <x:row r="303" ht="18" customHeight="1"/>
    <x:row r="304" ht="18" customHeight="1"/>
    <x:row r="305" ht="18" customHeight="1"/>
    <x:row r="306" ht="18" customHeight="1"/>
    <x:row r="307" ht="18" customHeight="1"/>
    <x:row r="308" ht="18" customHeight="1"/>
    <x:row r="309" ht="18" customHeight="1"/>
    <x:row r="310" ht="18" customHeight="1"/>
    <x:row r="311" ht="18" customHeight="1"/>
    <x:row r="312" ht="18" customHeight="1"/>
    <x:row r="313" ht="18" customHeight="1"/>
    <x:row r="314" ht="18" customHeight="1"/>
    <x:row r="315" ht="18" customHeight="1"/>
    <x:row r="316" ht="18" customHeight="1"/>
    <x:row r="317" ht="18" customHeight="1"/>
    <x:row r="318" ht="18" customHeight="1"/>
    <x:row r="319" ht="18" customHeight="1"/>
    <x:row r="320" ht="18" customHeight="1"/>
    <x:row r="321" ht="18" customHeight="1"/>
    <x:row r="322" ht="18" customHeight="1"/>
    <x:row r="323" ht="18" customHeight="1"/>
    <x:row r="324" ht="18" customHeight="1"/>
    <x:row r="325" ht="18" customHeight="1"/>
    <x:row r="326" ht="18" customHeight="1"/>
    <x:row r="327" ht="18" customHeight="1"/>
    <x:row r="328" ht="18" customHeight="1"/>
    <x:row r="329" ht="18" customHeight="1"/>
    <x:row r="330" ht="18" customHeight="1"/>
    <x:row r="331" ht="18" customHeight="1"/>
    <x:row r="332" ht="18" customHeight="1"/>
    <x:row r="333" ht="18" customHeight="1"/>
    <x:row r="334" ht="18" customHeight="1"/>
    <x:row r="335" ht="18" customHeight="1"/>
    <x:row r="336" ht="18" customHeight="1"/>
    <x:row r="337" ht="18" customHeight="1"/>
    <x:row r="338" ht="18" customHeight="1"/>
    <x:row r="339" ht="18" customHeight="1"/>
    <x:row r="340" ht="18" customHeight="1"/>
    <x:row r="341" ht="18" customHeight="1"/>
    <x:row r="342" ht="18" customHeight="1"/>
    <x:row r="343" ht="18" customHeight="1"/>
    <x:row r="344" ht="18" customHeight="1"/>
    <x:row r="345" ht="18" customHeight="1"/>
    <x:row r="346" ht="18" customHeight="1"/>
    <x:row r="347" ht="18" customHeight="1"/>
    <x:row r="348" ht="18" customHeight="1"/>
    <x:row r="349" ht="18" customHeight="1"/>
    <x:row r="350" ht="18" customHeight="1"/>
    <x:row r="351" ht="18" customHeight="1"/>
    <x:row r="352" ht="18" customHeight="1"/>
    <x:row r="353" ht="18" customHeight="1"/>
    <x:row r="354" ht="18" customHeight="1"/>
    <x:row r="355" ht="18" customHeight="1"/>
    <x:row r="356" ht="18" customHeight="1"/>
    <x:row r="357" ht="18" customHeight="1"/>
    <x:row r="358" ht="18" customHeight="1"/>
    <x:row r="359" ht="18" customHeight="1"/>
    <x:row r="360" ht="18" customHeight="1"/>
    <x:row r="361" ht="18" customHeight="1"/>
    <x:row r="362" ht="18" customHeight="1"/>
    <x:row r="363" ht="18" customHeight="1"/>
    <x:row r="364" ht="18" customHeight="1"/>
    <x:row r="365" ht="18" customHeight="1"/>
    <x:row r="366" ht="18" customHeight="1"/>
    <x:row r="367" ht="18" customHeight="1"/>
    <x:row r="368" ht="18" customHeight="1"/>
    <x:row r="369" ht="18" customHeight="1"/>
    <x:row r="370" ht="18" customHeight="1"/>
    <x:row r="371" ht="18" customHeight="1"/>
    <x:row r="372" ht="18" customHeight="1"/>
    <x:row r="373" ht="18" customHeight="1"/>
    <x:row r="374" ht="18" customHeight="1"/>
    <x:row r="375" ht="18" customHeight="1"/>
    <x:row r="376" ht="18" customHeight="1"/>
    <x:row r="377" ht="18" customHeight="1"/>
    <x:row r="378" ht="18" customHeight="1"/>
    <x:row r="379" ht="18" customHeight="1"/>
    <x:row r="380" ht="18" customHeight="1"/>
    <x:row r="381" ht="18" customHeight="1"/>
    <x:row r="382" ht="18" customHeight="1"/>
    <x:row r="383" ht="18" customHeight="1"/>
    <x:row r="384" ht="18" customHeight="1"/>
    <x:row r="385" ht="18" customHeight="1"/>
    <x:row r="386" ht="18" customHeight="1"/>
    <x:row r="387" ht="18" customHeight="1"/>
    <x:row r="388" ht="18" customHeight="1"/>
    <x:row r="389" ht="18" customHeight="1"/>
    <x:row r="390" ht="18" customHeight="1"/>
    <x:row r="391" ht="18" customHeight="1"/>
    <x:row r="392" ht="18" customHeight="1"/>
    <x:row r="393" ht="18" customHeight="1"/>
    <x:row r="394" ht="18" customHeight="1"/>
    <x:row r="395" ht="18" customHeight="1"/>
    <x:row r="396" ht="18" customHeight="1"/>
    <x:row r="397" ht="18" customHeight="1"/>
    <x:row r="398" ht="18" customHeight="1"/>
    <x:row r="399" ht="18" customHeight="1"/>
    <x:row r="400" ht="18" customHeight="1"/>
    <x:row r="401" ht="18" customHeight="1"/>
    <x:row r="402" ht="18" customHeight="1"/>
    <x:row r="403" ht="18" customHeight="1"/>
    <x:row r="404" ht="18" customHeight="1"/>
    <x:row r="405" ht="18" customHeight="1"/>
    <x:row r="406" ht="18" customHeight="1"/>
    <x:row r="407" ht="18" customHeight="1"/>
    <x:row r="408" ht="18" customHeight="1"/>
    <x:row r="409" ht="18" customHeight="1"/>
    <x:row r="410" ht="18" customHeight="1"/>
    <x:row r="411" ht="18" customHeight="1"/>
    <x:row r="412" ht="18" customHeight="1"/>
    <x:row r="413" ht="18" customHeight="1"/>
    <x:row r="414" ht="18" customHeight="1"/>
    <x:row r="415" ht="18" customHeight="1"/>
    <x:row r="416" ht="18" customHeight="1"/>
    <x:row r="417" ht="18" customHeight="1"/>
    <x:row r="418" ht="18" customHeight="1"/>
    <x:row r="419" ht="18" customHeight="1"/>
    <x:row r="420" ht="18" customHeight="1"/>
    <x:row r="421" ht="18" customHeight="1"/>
    <x:row r="422" ht="18" customHeight="1"/>
    <x:row r="423" ht="18" customHeight="1"/>
    <x:row r="424" ht="18" customHeight="1"/>
    <x:row r="425" ht="18" customHeight="1"/>
    <x:row r="426" ht="18" customHeight="1"/>
    <x:row r="427" ht="18" customHeight="1"/>
    <x:row r="428" ht="18" customHeight="1"/>
    <x:row r="429" ht="18" customHeight="1"/>
    <x:row r="430" ht="18" customHeight="1"/>
    <x:row r="431" ht="18" customHeight="1"/>
    <x:row r="432" ht="18" customHeight="1"/>
    <x:row r="433" ht="18" customHeight="1"/>
    <x:row r="434" ht="18" customHeight="1"/>
    <x:row r="435" ht="18" customHeight="1"/>
    <x:row r="436" ht="18" customHeight="1"/>
    <x:row r="437" ht="18" customHeight="1"/>
    <x:row r="438" ht="18" customHeight="1"/>
    <x:row r="439" ht="18" customHeight="1"/>
    <x:row r="440" ht="18" customHeight="1"/>
    <x:row r="441" ht="18" customHeight="1"/>
    <x:row r="442" ht="18" customHeight="1"/>
    <x:row r="443" ht="18" customHeight="1"/>
    <x:row r="444" ht="18" customHeight="1"/>
    <x:row r="445" ht="18" customHeight="1"/>
    <x:row r="446" ht="18" customHeight="1"/>
    <x:row r="447" ht="18" customHeight="1"/>
    <x:row r="448" ht="18" customHeight="1"/>
    <x:row r="449" ht="18" customHeight="1"/>
    <x:row r="450" ht="18" customHeight="1"/>
    <x:row r="451" ht="18" customHeight="1"/>
    <x:row r="452" ht="18" customHeight="1"/>
    <x:row r="453" ht="18" customHeight="1"/>
    <x:row r="454" ht="18" customHeight="1"/>
    <x:row r="455" ht="18" customHeight="1"/>
    <x:row r="456" ht="18" customHeight="1"/>
    <x:row r="457" ht="18" customHeight="1"/>
    <x:row r="458" ht="18" customHeight="1"/>
    <x:row r="459" ht="18" customHeight="1"/>
    <x:row r="460" ht="18" customHeight="1"/>
    <x:row r="461" ht="18" customHeight="1"/>
    <x:row r="462" ht="18" customHeight="1"/>
    <x:row r="463" ht="18" customHeight="1"/>
    <x:row r="464" ht="18" customHeight="1"/>
    <x:row r="465" ht="18" customHeight="1"/>
    <x:row r="466" ht="18" customHeight="1"/>
    <x:row r="467" ht="18" customHeight="1"/>
    <x:row r="468" ht="18" customHeight="1"/>
    <x:row r="469" ht="18" customHeight="1"/>
    <x:row r="470" ht="18" customHeight="1"/>
    <x:row r="471" ht="18" customHeight="1"/>
    <x:row r="472" ht="18" customHeight="1"/>
    <x:row r="473" ht="18" customHeight="1"/>
    <x:row r="474" ht="18" customHeight="1"/>
    <x:row r="475" ht="18" customHeight="1"/>
    <x:row r="476" ht="18" customHeight="1"/>
    <x:row r="477" ht="18" customHeight="1"/>
    <x:row r="478" ht="18" customHeight="1"/>
    <x:row r="479" ht="18" customHeight="1"/>
    <x:row r="480" ht="18" customHeight="1"/>
    <x:row r="481" ht="18" customHeight="1"/>
    <x:row r="482" ht="18" customHeight="1"/>
    <x:row r="483" ht="18" customHeight="1"/>
    <x:row r="484" ht="18" customHeight="1"/>
    <x:row r="485" ht="18" customHeight="1"/>
    <x:row r="486" ht="18" customHeight="1"/>
    <x:row r="487" ht="18" customHeight="1"/>
    <x:row r="488" ht="18" customHeight="1"/>
    <x:row r="489" ht="18" customHeight="1"/>
    <x:row r="490" ht="18" customHeight="1"/>
    <x:row r="491" ht="18" customHeight="1"/>
    <x:row r="492" ht="18" customHeight="1"/>
    <x:row r="493" ht="18" customHeight="1"/>
    <x:row r="494" ht="18" customHeight="1"/>
    <x:row r="495" ht="18" customHeight="1"/>
    <x:row r="496" ht="18" customHeight="1"/>
    <x:row r="497" ht="18" customHeight="1"/>
    <x:row r="498" ht="18" customHeight="1"/>
    <x:row r="499" ht="18" customHeight="1"/>
    <x:row r="500" ht="18" customHeight="1"/>
    <x:row r="501" ht="18" customHeight="1"/>
    <x:row r="502" ht="18" customHeight="1"/>
    <x:row r="503" ht="18" customHeight="1"/>
    <x:row r="504" ht="18" customHeight="1"/>
    <x:row r="505" ht="18" customHeight="1"/>
    <x:row r="506" ht="18" customHeight="1"/>
    <x:row r="507" ht="18" customHeight="1"/>
    <x:row r="508" ht="18" customHeight="1"/>
    <x:row r="509" ht="18" customHeight="1"/>
    <x:row r="510" ht="18" customHeight="1"/>
    <x:row r="511" ht="18" customHeight="1"/>
    <x:row r="512" ht="18" customHeight="1"/>
    <x:row r="513" ht="18" customHeight="1"/>
    <x:row r="514" ht="18" customHeight="1"/>
    <x:row r="515" ht="18" customHeight="1"/>
    <x:row r="516" ht="18" customHeight="1"/>
    <x:row r="517" ht="18" customHeight="1"/>
    <x:row r="518" ht="18" customHeight="1"/>
    <x:row r="519" ht="18" customHeight="1"/>
    <x:row r="520" ht="18" customHeight="1"/>
    <x:row r="521" ht="18" customHeight="1"/>
    <x:row r="522" ht="18" customHeight="1"/>
    <x:row r="523" ht="18" customHeight="1"/>
    <x:row r="524" ht="18" customHeight="1"/>
    <x:row r="525" ht="18" customHeight="1"/>
    <x:row r="526" ht="18" customHeight="1"/>
    <x:row r="527" ht="18" customHeight="1"/>
    <x:row r="528" ht="18" customHeight="1"/>
    <x:row r="529" ht="18" customHeight="1"/>
    <x:row r="530" ht="18" customHeight="1"/>
    <x:row r="531" ht="18" customHeight="1"/>
    <x:row r="532" ht="18" customHeight="1"/>
    <x:row r="533" ht="18" customHeight="1"/>
    <x:row r="534" ht="18" customHeight="1"/>
    <x:row r="535" ht="18" customHeight="1"/>
    <x:row r="536" ht="18" customHeight="1"/>
    <x:row r="537" ht="18" customHeight="1"/>
    <x:row r="538" ht="18" customHeight="1"/>
    <x:row r="539" ht="18" customHeight="1"/>
    <x:row r="540" ht="18" customHeight="1"/>
    <x:row r="541" ht="18" customHeight="1"/>
    <x:row r="542" ht="18" customHeight="1"/>
    <x:row r="543" ht="18" customHeight="1"/>
    <x:row r="544" ht="18" customHeight="1"/>
    <x:row r="545" ht="18" customHeight="1"/>
    <x:row r="546" ht="18" customHeight="1"/>
    <x:row r="547" ht="18" customHeight="1"/>
    <x:row r="548" ht="18" customHeight="1"/>
    <x:row r="549" ht="18" customHeight="1"/>
    <x:row r="550" ht="18" customHeight="1"/>
    <x:row r="551" ht="18" customHeight="1"/>
    <x:row r="552" ht="18" customHeight="1"/>
    <x:row r="553" ht="18" customHeight="1"/>
    <x:row r="554" ht="18" customHeight="1"/>
    <x:row r="555" ht="18" customHeight="1"/>
    <x:row r="556" ht="18" customHeight="1"/>
    <x:row r="557" ht="18" customHeight="1"/>
    <x:row r="558" ht="18" customHeight="1"/>
    <x:row r="559" ht="18" customHeight="1"/>
    <x:row r="560" ht="18" customHeight="1"/>
    <x:row r="561" ht="18" customHeight="1"/>
    <x:row r="562" ht="18" customHeight="1"/>
    <x:row r="563" ht="18" customHeight="1"/>
    <x:row r="564" ht="18" customHeight="1"/>
    <x:row r="565" ht="18" customHeight="1"/>
    <x:row r="566" ht="18" customHeight="1"/>
    <x:row r="567" ht="18" customHeight="1"/>
    <x:row r="568" ht="18" customHeight="1"/>
    <x:row r="569" ht="18" customHeight="1"/>
    <x:row r="570" ht="18" customHeight="1"/>
    <x:row r="571" ht="18" customHeight="1"/>
    <x:row r="572" ht="18" customHeight="1"/>
    <x:row r="573" ht="18" customHeight="1"/>
    <x:row r="574" ht="18" customHeight="1"/>
    <x:row r="575" ht="18" customHeight="1"/>
    <x:row r="576" ht="18" customHeight="1"/>
    <x:row r="577" ht="18" customHeight="1"/>
    <x:row r="578" ht="18" customHeight="1"/>
    <x:row r="579" ht="18" customHeight="1"/>
    <x:row r="580" ht="18" customHeight="1"/>
    <x:row r="581" ht="18" customHeight="1"/>
    <x:row r="582" ht="18" customHeight="1"/>
    <x:row r="583" ht="18" customHeight="1"/>
    <x:row r="584" ht="18" customHeight="1"/>
    <x:row r="585" ht="18" customHeight="1"/>
    <x:row r="586" ht="18" customHeight="1"/>
    <x:row r="587" ht="18" customHeight="1"/>
    <x:row r="588" ht="18" customHeight="1"/>
    <x:row r="589" ht="18" customHeight="1"/>
    <x:row r="590" ht="18" customHeight="1"/>
    <x:row r="591" ht="18" customHeight="1"/>
    <x:row r="592" ht="18" customHeight="1"/>
    <x:row r="593" ht="18" customHeight="1"/>
    <x:row r="594" ht="18" customHeight="1"/>
    <x:row r="595" ht="18" customHeight="1"/>
    <x:row r="596" ht="18" customHeight="1"/>
    <x:row r="597" ht="18" customHeight="1"/>
    <x:row r="598" ht="18" customHeight="1"/>
    <x:row r="599" ht="18" customHeight="1"/>
    <x:row r="600" ht="18" customHeight="1"/>
    <x:row r="601" ht="18" customHeight="1"/>
    <x:row r="602" ht="18" customHeight="1"/>
    <x:row r="603" ht="18" customHeight="1"/>
    <x:row r="604" ht="18" customHeight="1"/>
    <x:row r="605" ht="18" customHeight="1"/>
    <x:row r="606" ht="18" customHeight="1"/>
    <x:row r="607" ht="18" customHeight="1"/>
    <x:row r="608" ht="18" customHeight="1"/>
    <x:row r="609" ht="18" customHeight="1"/>
    <x:row r="610" ht="18" customHeight="1"/>
    <x:row r="611" ht="18" customHeight="1"/>
    <x:row r="612" ht="18" customHeight="1"/>
    <x:row r="613" ht="18" customHeight="1"/>
    <x:row r="614" ht="18" customHeight="1"/>
    <x:row r="615" ht="18" customHeight="1"/>
    <x:row r="616" ht="18" customHeight="1"/>
    <x:row r="617" ht="18" customHeight="1"/>
    <x:row r="618" ht="18" customHeight="1"/>
    <x:row r="619" ht="18" customHeight="1"/>
    <x:row r="620" ht="18" customHeight="1"/>
    <x:row r="621" ht="18" customHeight="1"/>
    <x:row r="622" ht="18" customHeight="1"/>
    <x:row r="623" ht="18" customHeight="1"/>
    <x:row r="624" ht="18" customHeight="1"/>
    <x:row r="625" ht="18" customHeight="1"/>
    <x:row r="626" ht="18" customHeight="1"/>
    <x:row r="627" ht="18" customHeight="1"/>
    <x:row r="628" ht="18" customHeight="1"/>
    <x:row r="629" ht="18" customHeight="1"/>
    <x:row r="630" ht="18" customHeight="1"/>
    <x:row r="631" ht="18" customHeight="1"/>
    <x:row r="632" ht="18" customHeight="1"/>
    <x:row r="633" ht="18" customHeight="1"/>
    <x:row r="634" ht="18" customHeight="1"/>
    <x:row r="635" ht="18" customHeight="1"/>
    <x:row r="636" ht="18" customHeight="1"/>
    <x:row r="637" ht="18" customHeight="1"/>
    <x:row r="638" ht="18" customHeight="1"/>
    <x:row r="639" ht="18" customHeight="1"/>
    <x:row r="640" ht="18" customHeight="1"/>
    <x:row r="641" ht="18" customHeight="1"/>
    <x:row r="642" ht="18" customHeight="1"/>
    <x:row r="643" ht="18" customHeight="1"/>
    <x:row r="644" ht="18" customHeight="1"/>
    <x:row r="645" ht="18" customHeight="1"/>
    <x:row r="646" ht="18" customHeight="1"/>
    <x:row r="647" ht="18" customHeight="1"/>
    <x:row r="648" ht="18" customHeight="1"/>
    <x:row r="649" ht="18" customHeight="1"/>
    <x:row r="650" ht="18" customHeight="1"/>
    <x:row r="651" ht="18" customHeight="1"/>
    <x:row r="652" ht="18" customHeight="1"/>
    <x:row r="653" ht="18" customHeight="1"/>
    <x:row r="654" ht="18" customHeight="1"/>
    <x:row r="655" ht="18" customHeight="1"/>
    <x:row r="656" ht="18" customHeight="1"/>
    <x:row r="657" ht="18" customHeight="1"/>
    <x:row r="658" ht="18" customHeight="1"/>
    <x:row r="659" ht="18" customHeight="1"/>
    <x:row r="660" ht="18" customHeight="1"/>
    <x:row r="661" ht="18" customHeight="1"/>
    <x:row r="662" ht="18" customHeight="1"/>
    <x:row r="663" ht="18" customHeight="1"/>
    <x:row r="664" ht="18" customHeight="1"/>
    <x:row r="665" ht="18" customHeight="1"/>
    <x:row r="666" ht="18" customHeight="1"/>
    <x:row r="667" ht="18" customHeight="1"/>
    <x:row r="668" ht="18" customHeight="1"/>
    <x:row r="669" ht="18" customHeight="1"/>
    <x:row r="670" ht="18" customHeight="1"/>
    <x:row r="671" ht="18" customHeight="1"/>
    <x:row r="672" ht="18" customHeight="1"/>
    <x:row r="673" ht="18" customHeight="1"/>
    <x:row r="674" ht="18" customHeight="1"/>
    <x:row r="675" ht="18" customHeight="1"/>
    <x:row r="676" ht="18" customHeight="1"/>
    <x:row r="677" ht="18" customHeight="1"/>
    <x:row r="678" ht="18" customHeight="1"/>
    <x:row r="679" ht="18" customHeight="1"/>
    <x:row r="680" ht="18" customHeight="1"/>
    <x:row r="681" ht="18" customHeight="1"/>
    <x:row r="682" ht="18" customHeight="1"/>
    <x:row r="683" ht="18" customHeight="1"/>
    <x:row r="684" ht="18" customHeight="1"/>
    <x:row r="685" ht="18" customHeight="1"/>
    <x:row r="686" ht="18" customHeight="1"/>
    <x:row r="687" ht="18" customHeight="1"/>
    <x:row r="688" ht="18" customHeight="1"/>
    <x:row r="689" ht="18" customHeight="1"/>
    <x:row r="690" ht="18" customHeight="1"/>
    <x:row r="691" ht="18" customHeight="1"/>
    <x:row r="692" ht="18" customHeight="1"/>
    <x:row r="693" ht="18" customHeight="1"/>
    <x:row r="694" ht="18" customHeight="1"/>
    <x:row r="695" ht="18" customHeight="1"/>
    <x:row r="696" ht="18" customHeight="1"/>
    <x:row r="697" ht="18" customHeight="1"/>
    <x:row r="698" ht="18" customHeight="1"/>
    <x:row r="699" ht="18" customHeight="1"/>
    <x:row r="700" ht="18" customHeight="1"/>
    <x:row r="701" ht="18" customHeight="1"/>
    <x:row r="702" ht="18" customHeight="1"/>
    <x:row r="703" ht="18" customHeight="1"/>
    <x:row r="704" ht="18" customHeight="1"/>
    <x:row r="705" ht="18" customHeight="1"/>
    <x:row r="706" ht="18" customHeight="1"/>
    <x:row r="707" ht="18" customHeight="1"/>
    <x:row r="708" ht="18" customHeight="1"/>
    <x:row r="709" ht="18" customHeight="1"/>
    <x:row r="710" ht="18" customHeight="1"/>
    <x:row r="711" ht="18" customHeight="1"/>
    <x:row r="712" ht="18" customHeight="1"/>
    <x:row r="713" ht="18" customHeight="1"/>
    <x:row r="714" ht="18" customHeight="1"/>
    <x:row r="715" ht="18" customHeight="1"/>
    <x:row r="716" ht="18" customHeight="1"/>
    <x:row r="717" ht="18" customHeight="1"/>
    <x:row r="718" ht="18" customHeight="1"/>
    <x:row r="719" ht="18" customHeight="1"/>
    <x:row r="720" ht="18" customHeight="1"/>
    <x:row r="721" ht="18" customHeight="1"/>
    <x:row r="722" ht="18" customHeight="1"/>
    <x:row r="723" ht="18" customHeight="1"/>
    <x:row r="724" ht="18" customHeight="1"/>
    <x:row r="725" ht="18" customHeight="1"/>
    <x:row r="726" ht="18" customHeight="1"/>
    <x:row r="727" ht="18" customHeight="1"/>
    <x:row r="728" ht="18" customHeight="1"/>
    <x:row r="729" ht="18" customHeight="1"/>
    <x:row r="730" ht="18" customHeight="1"/>
    <x:row r="731" ht="18" customHeight="1"/>
    <x:row r="732" ht="18" customHeight="1"/>
    <x:row r="733" ht="18" customHeight="1"/>
    <x:row r="734" ht="18" customHeight="1"/>
    <x:row r="735" ht="18" customHeight="1"/>
    <x:row r="736" ht="18" customHeight="1"/>
    <x:row r="737" ht="18" customHeight="1"/>
    <x:row r="738" ht="18" customHeight="1"/>
    <x:row r="739" ht="18" customHeight="1"/>
    <x:row r="740" ht="18" customHeight="1"/>
    <x:row r="741" ht="18" customHeight="1"/>
    <x:row r="742" ht="18" customHeight="1"/>
    <x:row r="743" ht="18" customHeight="1"/>
    <x:row r="744" ht="18" customHeight="1"/>
    <x:row r="745" ht="18" customHeight="1"/>
    <x:row r="746" ht="18" customHeight="1"/>
    <x:row r="747" ht="18" customHeight="1"/>
    <x:row r="748" ht="18" customHeight="1"/>
    <x:row r="749" ht="18" customHeight="1"/>
    <x:row r="750" ht="18" customHeight="1"/>
    <x:row r="751" ht="18" customHeight="1"/>
    <x:row r="752" ht="18" customHeight="1"/>
    <x:row r="753" ht="18" customHeight="1"/>
    <x:row r="754" ht="18" customHeight="1"/>
    <x:row r="755" ht="18" customHeight="1"/>
    <x:row r="756" ht="18" customHeight="1"/>
    <x:row r="757" ht="18" customHeight="1"/>
    <x:row r="758" ht="18" customHeight="1"/>
    <x:row r="759" ht="18" customHeight="1"/>
    <x:row r="760" ht="18" customHeight="1"/>
    <x:row r="761" ht="18" customHeight="1"/>
    <x:row r="762" ht="18" customHeight="1"/>
    <x:row r="763" ht="18" customHeight="1"/>
    <x:row r="764" ht="18" customHeight="1"/>
    <x:row r="765" ht="18" customHeight="1"/>
    <x:row r="766" ht="18" customHeight="1"/>
    <x:row r="767" ht="18" customHeight="1"/>
    <x:row r="768" ht="18" customHeight="1"/>
    <x:row r="769" ht="18" customHeight="1"/>
    <x:row r="770" ht="18" customHeight="1"/>
    <x:row r="771" ht="18" customHeight="1"/>
    <x:row r="772" ht="18" customHeight="1"/>
    <x:row r="773" ht="18" customHeight="1"/>
    <x:row r="774" ht="18" customHeight="1"/>
    <x:row r="775" ht="18" customHeight="1"/>
    <x:row r="776" ht="18" customHeight="1"/>
    <x:row r="777" ht="18" customHeight="1"/>
    <x:row r="778" ht="18" customHeight="1"/>
    <x:row r="779" ht="18" customHeight="1"/>
    <x:row r="780" ht="18" customHeight="1"/>
    <x:row r="781" ht="18" customHeight="1"/>
    <x:row r="782" ht="18" customHeight="1"/>
    <x:row r="783" ht="18" customHeight="1"/>
    <x:row r="784" ht="18" customHeight="1"/>
    <x:row r="785" ht="18" customHeight="1"/>
    <x:row r="786" ht="18" customHeight="1"/>
    <x:row r="787" ht="18" customHeight="1"/>
    <x:row r="788" ht="18" customHeight="1"/>
    <x:row r="789" ht="18" customHeight="1"/>
    <x:row r="790" ht="18" customHeight="1"/>
    <x:row r="791" ht="18" customHeight="1"/>
    <x:row r="792" ht="18" customHeight="1"/>
    <x:row r="793" ht="18" customHeight="1"/>
    <x:row r="794" ht="18" customHeight="1"/>
    <x:row r="795" ht="18" customHeight="1"/>
    <x:row r="796" ht="18" customHeight="1"/>
    <x:row r="797" ht="18" customHeight="1"/>
    <x:row r="798" ht="18" customHeight="1"/>
    <x:row r="799" ht="18" customHeight="1"/>
    <x:row r="800" ht="18" customHeight="1"/>
    <x:row r="801" ht="18" customHeight="1"/>
    <x:row r="802" ht="18" customHeight="1"/>
    <x:row r="803" ht="18" customHeight="1"/>
    <x:row r="804" ht="18" customHeight="1"/>
    <x:row r="805" ht="18" customHeight="1"/>
    <x:row r="806" ht="18" customHeight="1"/>
    <x:row r="807" ht="18" customHeight="1"/>
    <x:row r="808" ht="18" customHeight="1"/>
    <x:row r="809" ht="18" customHeight="1"/>
    <x:row r="810" ht="18" customHeight="1"/>
    <x:row r="811" ht="18" customHeight="1"/>
    <x:row r="812" ht="18" customHeight="1"/>
    <x:row r="813" ht="18" customHeight="1"/>
    <x:row r="814" ht="18" customHeight="1"/>
    <x:row r="815" ht="18" customHeight="1"/>
    <x:row r="816" ht="18" customHeight="1"/>
    <x:row r="817" ht="18" customHeight="1"/>
    <x:row r="818" ht="18" customHeight="1"/>
    <x:row r="819" ht="18" customHeight="1"/>
    <x:row r="820" ht="18" customHeight="1"/>
    <x:row r="821" ht="18" customHeight="1"/>
    <x:row r="822" ht="18" customHeight="1"/>
    <x:row r="823" ht="18" customHeight="1"/>
    <x:row r="824" ht="18" customHeight="1"/>
    <x:row r="825" ht="18" customHeight="1"/>
    <x:row r="826" ht="18" customHeight="1"/>
    <x:row r="827" ht="18" customHeight="1"/>
    <x:row r="828" ht="18" customHeight="1"/>
    <x:row r="829" ht="18" customHeight="1"/>
    <x:row r="830" ht="18" customHeight="1"/>
    <x:row r="831" ht="18" customHeight="1"/>
    <x:row r="832" ht="18" customHeight="1"/>
    <x:row r="833" ht="18" customHeight="1"/>
    <x:row r="834" ht="18" customHeight="1"/>
    <x:row r="835" ht="18" customHeight="1"/>
    <x:row r="836" ht="18" customHeight="1"/>
    <x:row r="837" ht="18" customHeight="1"/>
    <x:row r="838" ht="18" customHeight="1"/>
    <x:row r="839" ht="18" customHeight="1"/>
    <x:row r="840" ht="18" customHeight="1"/>
    <x:row r="841" ht="18" customHeight="1"/>
    <x:row r="842" ht="18" customHeight="1"/>
    <x:row r="843" ht="18" customHeight="1"/>
    <x:row r="844" ht="18" customHeight="1"/>
    <x:row r="845" ht="18" customHeight="1"/>
    <x:row r="846" ht="18" customHeight="1"/>
    <x:row r="847" ht="18" customHeight="1"/>
    <x:row r="848" ht="18" customHeight="1"/>
    <x:row r="849" ht="18" customHeight="1"/>
    <x:row r="850" ht="18" customHeight="1"/>
    <x:row r="851" ht="18" customHeight="1"/>
    <x:row r="852" ht="18" customHeight="1"/>
    <x:row r="853" ht="18" customHeight="1"/>
    <x:row r="854" ht="18" customHeight="1"/>
    <x:row r="855" ht="18" customHeight="1"/>
    <x:row r="856" ht="18" customHeight="1"/>
    <x:row r="857" ht="18" customHeight="1"/>
    <x:row r="858" ht="18" customHeight="1"/>
    <x:row r="859" ht="18" customHeight="1"/>
    <x:row r="860" ht="18" customHeight="1"/>
    <x:row r="861" ht="18" customHeight="1"/>
    <x:row r="862" ht="18" customHeight="1"/>
    <x:row r="863" ht="18" customHeight="1"/>
    <x:row r="864" ht="18" customHeight="1"/>
    <x:row r="865" ht="18" customHeight="1"/>
    <x:row r="866" ht="18" customHeight="1"/>
    <x:row r="867" ht="18" customHeight="1"/>
    <x:row r="868" ht="18" customHeight="1"/>
    <x:row r="869" ht="18" customHeight="1"/>
    <x:row r="870" ht="18" customHeight="1"/>
    <x:row r="871" ht="18" customHeight="1"/>
    <x:row r="872" ht="18" customHeight="1"/>
    <x:row r="873" ht="18" customHeight="1"/>
    <x:row r="874" ht="18" customHeight="1"/>
    <x:row r="875" ht="18" customHeight="1"/>
    <x:row r="876" ht="18" customHeight="1"/>
    <x:row r="877" ht="18" customHeight="1"/>
    <x:row r="878" ht="18" customHeight="1"/>
    <x:row r="879" ht="18" customHeight="1"/>
    <x:row r="880" ht="18" customHeight="1"/>
    <x:row r="881" ht="18" customHeight="1"/>
    <x:row r="882" ht="18" customHeight="1"/>
    <x:row r="883" ht="18" customHeight="1"/>
    <x:row r="884" ht="18" customHeight="1"/>
    <x:row r="885" ht="18" customHeight="1"/>
    <x:row r="886" ht="18" customHeight="1"/>
    <x:row r="887" ht="18" customHeight="1"/>
    <x:row r="888" ht="18" customHeight="1"/>
    <x:row r="889" ht="18" customHeight="1"/>
    <x:row r="890" ht="18" customHeight="1"/>
    <x:row r="891" ht="18" customHeight="1"/>
    <x:row r="892" ht="18" customHeight="1"/>
    <x:row r="893" ht="18" customHeight="1"/>
    <x:row r="894" ht="18" customHeight="1"/>
    <x:row r="895" ht="18" customHeight="1"/>
    <x:row r="896" ht="18" customHeight="1"/>
    <x:row r="897" ht="18" customHeight="1"/>
    <x:row r="898" ht="18" customHeight="1"/>
    <x:row r="899" ht="18" customHeight="1"/>
    <x:row r="900" ht="18" customHeight="1"/>
    <x:row r="901" ht="18" customHeight="1"/>
    <x:row r="902" ht="18" customHeight="1"/>
    <x:row r="903" ht="18" customHeight="1"/>
    <x:row r="904" ht="18" customHeight="1"/>
    <x:row r="905" ht="18" customHeight="1"/>
    <x:row r="906" ht="18" customHeight="1"/>
    <x:row r="907" ht="18" customHeight="1"/>
    <x:row r="908" ht="18" customHeight="1"/>
    <x:row r="909" ht="18" customHeight="1"/>
    <x:row r="910" ht="18" customHeight="1"/>
    <x:row r="911" ht="18" customHeight="1"/>
    <x:row r="912" ht="18" customHeight="1"/>
    <x:row r="913" ht="18" customHeight="1"/>
    <x:row r="914" ht="18" customHeight="1"/>
    <x:row r="915" ht="18" customHeight="1"/>
    <x:row r="916" ht="18" customHeight="1"/>
    <x:row r="917" ht="18" customHeight="1"/>
    <x:row r="918" ht="18" customHeight="1"/>
    <x:row r="919" ht="18" customHeight="1"/>
    <x:row r="920" ht="18" customHeight="1"/>
    <x:row r="921" ht="18" customHeight="1"/>
    <x:row r="922" ht="18" customHeight="1"/>
    <x:row r="923" ht="18" customHeight="1"/>
    <x:row r="924" ht="18" customHeight="1"/>
    <x:row r="925" ht="18" customHeight="1"/>
    <x:row r="926" ht="18" customHeight="1"/>
    <x:row r="927" ht="18" customHeight="1"/>
    <x:row r="928" ht="18" customHeight="1"/>
    <x:row r="929" ht="18" customHeight="1"/>
    <x:row r="930" ht="18" customHeight="1"/>
    <x:row r="931" ht="18" customHeight="1"/>
    <x:row r="932" ht="18" customHeight="1"/>
    <x:row r="933" ht="18" customHeight="1"/>
    <x:row r="934" ht="18" customHeight="1"/>
    <x:row r="935" ht="18" customHeight="1"/>
    <x:row r="936" ht="18" customHeight="1"/>
    <x:row r="937" ht="18" customHeight="1"/>
    <x:row r="938" ht="18" customHeight="1"/>
    <x:row r="939" ht="18" customHeight="1"/>
    <x:row r="940" ht="18" customHeight="1"/>
    <x:row r="941" ht="18" customHeight="1"/>
    <x:row r="942" ht="18" customHeight="1"/>
    <x:row r="943" ht="18" customHeight="1"/>
    <x:row r="944" ht="18" customHeight="1"/>
    <x:row r="945" ht="18" customHeight="1"/>
    <x:row r="946" ht="18" customHeight="1"/>
    <x:row r="947" ht="18" customHeight="1"/>
    <x:row r="948" ht="18" customHeight="1"/>
    <x:row r="949" ht="18" customHeight="1"/>
    <x:row r="950" ht="18" customHeight="1"/>
    <x:row r="951" ht="18" customHeight="1"/>
    <x:row r="952" ht="18" customHeight="1"/>
    <x:row r="953" ht="18" customHeight="1"/>
    <x:row r="954" ht="18" customHeight="1"/>
    <x:row r="955" ht="18" customHeight="1"/>
    <x:row r="956" ht="18" customHeight="1"/>
    <x:row r="957" ht="18" customHeight="1"/>
    <x:row r="958" ht="18" customHeight="1"/>
    <x:row r="959" ht="18" customHeight="1"/>
    <x:row r="960" ht="18" customHeight="1"/>
    <x:row r="961" ht="18" customHeight="1"/>
    <x:row r="962" ht="18" customHeight="1"/>
    <x:row r="963" ht="18" customHeight="1"/>
    <x:row r="964" ht="18" customHeight="1"/>
    <x:row r="965" ht="18" customHeight="1"/>
    <x:row r="966" ht="18" customHeight="1"/>
    <x:row r="967" ht="18" customHeight="1"/>
    <x:row r="968" ht="18" customHeight="1"/>
    <x:row r="969" ht="18" customHeight="1"/>
    <x:row r="970" ht="18" customHeight="1"/>
    <x:row r="971" ht="18" customHeight="1"/>
    <x:row r="972" ht="18" customHeight="1"/>
    <x:row r="973" ht="18" customHeight="1"/>
    <x:row r="974" ht="18" customHeight="1"/>
    <x:row r="975" ht="18" customHeight="1"/>
    <x:row r="976" ht="18" customHeight="1"/>
    <x:row r="977" ht="18" customHeight="1"/>
    <x:row r="978" ht="18" customHeight="1"/>
    <x:row r="979" ht="18" customHeight="1"/>
    <x:row r="980" ht="18" customHeight="1"/>
    <x:row r="981" ht="18" customHeight="1"/>
    <x:row r="982" ht="18" customHeight="1"/>
    <x:row r="983" ht="18" customHeight="1"/>
    <x:row r="984" ht="18" customHeight="1"/>
    <x:row r="985" ht="18" customHeight="1"/>
    <x:row r="986" ht="18" customHeight="1"/>
    <x:row r="987" ht="18" customHeight="1"/>
    <x:row r="988" ht="18" customHeight="1"/>
    <x:row r="989" ht="18" customHeight="1"/>
    <x:row r="990" ht="18" customHeight="1"/>
    <x:row r="991" ht="18" customHeight="1"/>
    <x:row r="992" ht="18" customHeight="1"/>
    <x:row r="993" ht="18" customHeight="1"/>
    <x:row r="994" ht="18" customHeight="1"/>
    <x:row r="995" ht="18" customHeight="1"/>
    <x:row r="996" ht="18" customHeight="1"/>
    <x:row r="997" ht="18" customHeight="1"/>
    <x:row r="998" ht="18" customHeight="1"/>
    <x:row r="999" ht="18" customHeight="1"/>
    <x:row r="1000" ht="18" customHeight="1"/>
  </x:sheetData>
  <x:mergeCells>
    <x:mergeCell ref="A1:N1"/>
    <x:mergeCell ref="A2:N2"/>
    <x:mergeCell ref="B4:D4"/>
    <x:mergeCell ref="B5:D6"/>
    <x:mergeCell ref="E4:G4"/>
    <x:mergeCell ref="E5:G6"/>
    <x:mergeCell ref="H4:J4"/>
    <x:mergeCell ref="H5:J6"/>
    <x:mergeCell ref="K4:M4"/>
    <x:mergeCell ref="K5:M6"/>
    <x:mergeCell ref="B8:D8"/>
    <x:mergeCell ref="B9:D10"/>
    <x:mergeCell ref="E8:G8"/>
    <x:mergeCell ref="E9:G10"/>
    <x:mergeCell ref="A13:E13"/>
    <x:mergeCell ref="A21:E21"/>
    <x:mergeCell ref="G21:K21"/>
  </x:mergeCells>
  <x:conditionalFormatting sqref="E15:E18">
    <x:cfRule type="colorScale" priority="1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conditionalFormatting sqref="E23:E34">
    <x:cfRule type="colorScale" priority="2">
      <x:colorScale>
        <x:cfvo type="min"/>
        <x:cfvo type="percentile" val="50"/>
        <x:cfvo type="max"/>
        <x:color rgb="FECACA"/>
        <x:color rgb="FEF3C7"/>
        <x:color rgb="DCFCE7"/>
      </x:colorScale>
    </x:cfRule>
  </x:conditionalFormatting>
  <x:pageMargins left="0.7" right="0.7" top="0.75" bottom="0.75" header="0.3" footer="0.3"/>
  <x:drawing xmlns:r="http://schemas.openxmlformats.org/officeDocument/2006/relationships" r:id="R26f333c63ce64609"/>
</x:worksheet>
</file>