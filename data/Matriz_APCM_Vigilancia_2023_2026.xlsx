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paradar/Downloads/"/>
    </mc:Choice>
  </mc:AlternateContent>
  <xr:revisionPtr revIDLastSave="0" documentId="13_ncr:1_{BDF2FB9E-444F-F848-B1A6-C7D7889EA45D}" xr6:coauthVersionLast="47" xr6:coauthVersionMax="47" xr10:uidLastSave="{00000000-0000-0000-0000-000000000000}"/>
  <bookViews>
    <workbookView xWindow="0" yWindow="680" windowWidth="34200" windowHeight="20200" activeTab="10" xr2:uid="{00000000-000D-0000-FFFF-FFFF00000000}"/>
  </bookViews>
  <sheets>
    <sheet name="Instructivo" sheetId="1" r:id="rId1"/>
    <sheet name="Catalogos" sheetId="2" r:id="rId2"/>
    <sheet name="Plantilla_Editable" sheetId="3" r:id="rId3"/>
    <sheet name="APCM_2023" sheetId="4" r:id="rId4"/>
    <sheet name="APCM_2024" sheetId="5" r:id="rId5"/>
    <sheet name="APCM_2025" sheetId="6" r:id="rId6"/>
    <sheet name="APCM_2026" sheetId="7" r:id="rId7"/>
    <sheet name="Consolidado" sheetId="8" r:id="rId8"/>
    <sheet name="Resumen_Anual" sheetId="9" r:id="rId9"/>
    <sheet name="Resumen_Sedes" sheetId="10" r:id="rId10"/>
    <sheet name="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4" i="3" l="1"/>
  <c r="AD204" i="3"/>
  <c r="AC204" i="3"/>
  <c r="AB204" i="3"/>
  <c r="AA204" i="3"/>
  <c r="AE203" i="3"/>
  <c r="AD203" i="3"/>
  <c r="AC203" i="3"/>
  <c r="AB203" i="3"/>
  <c r="AA203" i="3"/>
  <c r="AE202" i="3"/>
  <c r="AD202" i="3"/>
  <c r="AC202" i="3"/>
  <c r="AB202" i="3"/>
  <c r="AA202" i="3"/>
  <c r="AE201" i="3"/>
  <c r="AD201" i="3"/>
  <c r="AC201" i="3"/>
  <c r="AB201" i="3"/>
  <c r="AA201" i="3"/>
  <c r="AE200" i="3"/>
  <c r="AD200" i="3"/>
  <c r="AC200" i="3"/>
  <c r="AB200" i="3"/>
  <c r="AA200" i="3"/>
  <c r="AE199" i="3"/>
  <c r="AD199" i="3"/>
  <c r="AC199" i="3"/>
  <c r="AB199" i="3"/>
  <c r="AA199" i="3"/>
  <c r="AE198" i="3"/>
  <c r="AD198" i="3"/>
  <c r="AC198" i="3"/>
  <c r="AB198" i="3"/>
  <c r="AA198" i="3"/>
  <c r="AE197" i="3"/>
  <c r="AD197" i="3"/>
  <c r="AC197" i="3"/>
  <c r="AB197" i="3"/>
  <c r="AA197" i="3"/>
  <c r="AE196" i="3"/>
  <c r="AD196" i="3"/>
  <c r="AC196" i="3"/>
  <c r="AB196" i="3"/>
  <c r="AA196" i="3"/>
  <c r="AE195" i="3"/>
  <c r="AD195" i="3"/>
  <c r="AC195" i="3"/>
  <c r="AB195" i="3"/>
  <c r="AA195" i="3"/>
  <c r="AE194" i="3"/>
  <c r="AD194" i="3"/>
  <c r="AC194" i="3"/>
  <c r="AB194" i="3"/>
  <c r="AA194" i="3"/>
  <c r="AE193" i="3"/>
  <c r="AD193" i="3"/>
  <c r="AC193" i="3"/>
  <c r="AB193" i="3"/>
  <c r="AA193" i="3"/>
  <c r="AE192" i="3"/>
  <c r="AD192" i="3"/>
  <c r="AC192" i="3"/>
  <c r="AB192" i="3"/>
  <c r="AA192" i="3"/>
  <c r="AE191" i="3"/>
  <c r="AD191" i="3"/>
  <c r="AC191" i="3"/>
  <c r="AB191" i="3"/>
  <c r="AA191" i="3"/>
  <c r="AE190" i="3"/>
  <c r="AD190" i="3"/>
  <c r="AC190" i="3"/>
  <c r="AB190" i="3"/>
  <c r="AA190" i="3"/>
  <c r="AE189" i="3"/>
  <c r="AD189" i="3"/>
  <c r="AC189" i="3"/>
  <c r="AB189" i="3"/>
  <c r="AA189" i="3"/>
  <c r="AE188" i="3"/>
  <c r="AD188" i="3"/>
  <c r="AC188" i="3"/>
  <c r="AB188" i="3"/>
  <c r="AA188" i="3"/>
  <c r="AE187" i="3"/>
  <c r="AD187" i="3"/>
  <c r="AC187" i="3"/>
  <c r="AB187" i="3"/>
  <c r="AA187" i="3"/>
  <c r="AE186" i="3"/>
  <c r="AD186" i="3"/>
  <c r="AC186" i="3"/>
  <c r="AB186" i="3"/>
  <c r="AA186" i="3"/>
  <c r="AE185" i="3"/>
  <c r="AD185" i="3"/>
  <c r="AC185" i="3"/>
  <c r="AB185" i="3"/>
  <c r="AA185" i="3"/>
  <c r="AE184" i="3"/>
  <c r="AD184" i="3"/>
  <c r="AC184" i="3"/>
  <c r="AB184" i="3"/>
  <c r="AA184" i="3"/>
  <c r="AE183" i="3"/>
  <c r="AD183" i="3"/>
  <c r="AC183" i="3"/>
  <c r="AB183" i="3"/>
  <c r="AA183" i="3"/>
  <c r="AE182" i="3"/>
  <c r="AD182" i="3"/>
  <c r="AC182" i="3"/>
  <c r="AB182" i="3"/>
  <c r="AA182" i="3"/>
  <c r="AE181" i="3"/>
  <c r="AD181" i="3"/>
  <c r="AC181" i="3"/>
  <c r="AB181" i="3"/>
  <c r="AA181" i="3"/>
  <c r="AE180" i="3"/>
  <c r="AD180" i="3"/>
  <c r="AC180" i="3"/>
  <c r="AB180" i="3"/>
  <c r="AA180" i="3"/>
  <c r="AE179" i="3"/>
  <c r="AD179" i="3"/>
  <c r="AC179" i="3"/>
  <c r="AB179" i="3"/>
  <c r="AA179" i="3"/>
  <c r="AE178" i="3"/>
  <c r="AD178" i="3"/>
  <c r="AC178" i="3"/>
  <c r="AB178" i="3"/>
  <c r="AA178" i="3"/>
  <c r="AE177" i="3"/>
  <c r="AD177" i="3"/>
  <c r="AC177" i="3"/>
  <c r="AB177" i="3"/>
  <c r="AA177" i="3"/>
  <c r="AE176" i="3"/>
  <c r="AD176" i="3"/>
  <c r="AC176" i="3"/>
  <c r="AB176" i="3"/>
  <c r="AA176" i="3"/>
  <c r="AE175" i="3"/>
  <c r="AD175" i="3"/>
  <c r="AC175" i="3"/>
  <c r="AB175" i="3"/>
  <c r="AA175" i="3"/>
  <c r="AE174" i="3"/>
  <c r="AD174" i="3"/>
  <c r="AC174" i="3"/>
  <c r="AB174" i="3"/>
  <c r="AA174" i="3"/>
  <c r="AE173" i="3"/>
  <c r="AD173" i="3"/>
  <c r="AC173" i="3"/>
  <c r="AB173" i="3"/>
  <c r="AA173" i="3"/>
  <c r="AE172" i="3"/>
  <c r="AD172" i="3"/>
  <c r="AC172" i="3"/>
  <c r="AB172" i="3"/>
  <c r="AA172" i="3"/>
  <c r="AE171" i="3"/>
  <c r="AD171" i="3"/>
  <c r="AC171" i="3"/>
  <c r="AB171" i="3"/>
  <c r="AA171" i="3"/>
  <c r="AE170" i="3"/>
  <c r="AD170" i="3"/>
  <c r="AC170" i="3"/>
  <c r="AB170" i="3"/>
  <c r="AA170" i="3"/>
  <c r="AE169" i="3"/>
  <c r="AD169" i="3"/>
  <c r="AC169" i="3"/>
  <c r="AB169" i="3"/>
  <c r="AA169" i="3"/>
  <c r="AE168" i="3"/>
  <c r="AD168" i="3"/>
  <c r="AC168" i="3"/>
  <c r="AB168" i="3"/>
  <c r="AA168" i="3"/>
  <c r="AE167" i="3"/>
  <c r="AD167" i="3"/>
  <c r="AC167" i="3"/>
  <c r="AB167" i="3"/>
  <c r="AA167" i="3"/>
  <c r="AE166" i="3"/>
  <c r="AD166" i="3"/>
  <c r="AC166" i="3"/>
  <c r="AB166" i="3"/>
  <c r="AA166" i="3"/>
  <c r="AE165" i="3"/>
  <c r="AD165" i="3"/>
  <c r="AC165" i="3"/>
  <c r="AB165" i="3"/>
  <c r="AA165" i="3"/>
  <c r="AE164" i="3"/>
  <c r="AD164" i="3"/>
  <c r="AC164" i="3"/>
  <c r="AB164" i="3"/>
  <c r="AA164" i="3"/>
  <c r="AE163" i="3"/>
  <c r="AD163" i="3"/>
  <c r="AC163" i="3"/>
  <c r="AB163" i="3"/>
  <c r="AA163" i="3"/>
  <c r="AE162" i="3"/>
  <c r="AD162" i="3"/>
  <c r="AC162" i="3"/>
  <c r="AB162" i="3"/>
  <c r="AA162" i="3"/>
  <c r="AE161" i="3"/>
  <c r="AD161" i="3"/>
  <c r="AC161" i="3"/>
  <c r="AB161" i="3"/>
  <c r="AA161" i="3"/>
  <c r="AE160" i="3"/>
  <c r="AD160" i="3"/>
  <c r="AC160" i="3"/>
  <c r="AB160" i="3"/>
  <c r="AA160" i="3"/>
  <c r="AE159" i="3"/>
  <c r="AD159" i="3"/>
  <c r="AC159" i="3"/>
  <c r="AB159" i="3"/>
  <c r="AA159" i="3"/>
  <c r="AE158" i="3"/>
  <c r="AD158" i="3"/>
  <c r="AC158" i="3"/>
  <c r="AB158" i="3"/>
  <c r="AA158" i="3"/>
  <c r="AE157" i="3"/>
  <c r="AD157" i="3"/>
  <c r="AC157" i="3"/>
  <c r="AB157" i="3"/>
  <c r="AA157" i="3"/>
  <c r="AE156" i="3"/>
  <c r="AD156" i="3"/>
  <c r="AC156" i="3"/>
  <c r="AB156" i="3"/>
  <c r="AA156" i="3"/>
  <c r="AE155" i="3"/>
  <c r="AD155" i="3"/>
  <c r="AC155" i="3"/>
  <c r="AB155" i="3"/>
  <c r="AA155" i="3"/>
  <c r="AE154" i="3"/>
  <c r="AD154" i="3"/>
  <c r="AC154" i="3"/>
  <c r="AB154" i="3"/>
  <c r="AA154" i="3"/>
  <c r="AE153" i="3"/>
  <c r="AD153" i="3"/>
  <c r="AC153" i="3"/>
  <c r="AB153" i="3"/>
  <c r="AA153" i="3"/>
  <c r="AE152" i="3"/>
  <c r="AD152" i="3"/>
  <c r="AC152" i="3"/>
  <c r="AB152" i="3"/>
  <c r="AA152" i="3"/>
  <c r="AE151" i="3"/>
  <c r="AD151" i="3"/>
  <c r="AC151" i="3"/>
  <c r="AB151" i="3"/>
  <c r="AA151" i="3"/>
  <c r="AE150" i="3"/>
  <c r="AD150" i="3"/>
  <c r="AC150" i="3"/>
  <c r="AB150" i="3"/>
  <c r="AA150" i="3"/>
  <c r="AE149" i="3"/>
  <c r="AD149" i="3"/>
  <c r="AC149" i="3"/>
  <c r="AB149" i="3"/>
  <c r="AA149" i="3"/>
  <c r="AE148" i="3"/>
  <c r="AD148" i="3"/>
  <c r="AC148" i="3"/>
  <c r="AB148" i="3"/>
  <c r="AA148" i="3"/>
  <c r="AE147" i="3"/>
  <c r="AD147" i="3"/>
  <c r="AC147" i="3"/>
  <c r="AB147" i="3"/>
  <c r="AA147" i="3"/>
  <c r="AE146" i="3"/>
  <c r="AD146" i="3"/>
  <c r="AC146" i="3"/>
  <c r="AB146" i="3"/>
  <c r="AA146" i="3"/>
  <c r="AE145" i="3"/>
  <c r="AD145" i="3"/>
  <c r="AC145" i="3"/>
  <c r="AB145" i="3"/>
  <c r="AA145" i="3"/>
  <c r="AE144" i="3"/>
  <c r="AD144" i="3"/>
  <c r="AC144" i="3"/>
  <c r="AB144" i="3"/>
  <c r="AA144" i="3"/>
  <c r="AE143" i="3"/>
  <c r="AD143" i="3"/>
  <c r="AC143" i="3"/>
  <c r="AB143" i="3"/>
  <c r="AA143" i="3"/>
  <c r="AE142" i="3"/>
  <c r="AD142" i="3"/>
  <c r="AC142" i="3"/>
  <c r="AB142" i="3"/>
  <c r="AA142" i="3"/>
  <c r="AE141" i="3"/>
  <c r="AD141" i="3"/>
  <c r="AC141" i="3"/>
  <c r="AB141" i="3"/>
  <c r="AA141" i="3"/>
  <c r="AE140" i="3"/>
  <c r="AD140" i="3"/>
  <c r="AC140" i="3"/>
  <c r="AB140" i="3"/>
  <c r="AA140" i="3"/>
  <c r="AE139" i="3"/>
  <c r="AD139" i="3"/>
  <c r="AC139" i="3"/>
  <c r="AB139" i="3"/>
  <c r="AA139" i="3"/>
  <c r="AE138" i="3"/>
  <c r="AD138" i="3"/>
  <c r="AC138" i="3"/>
  <c r="AB138" i="3"/>
  <c r="AA138" i="3"/>
  <c r="AE137" i="3"/>
  <c r="AD137" i="3"/>
  <c r="AC137" i="3"/>
  <c r="AB137" i="3"/>
  <c r="AA137" i="3"/>
  <c r="AE136" i="3"/>
  <c r="AD136" i="3"/>
  <c r="AC136" i="3"/>
  <c r="AB136" i="3"/>
  <c r="AA136" i="3"/>
  <c r="AE135" i="3"/>
  <c r="AD135" i="3"/>
  <c r="AC135" i="3"/>
  <c r="AB135" i="3"/>
  <c r="AA135" i="3"/>
  <c r="AE134" i="3"/>
  <c r="AD134" i="3"/>
  <c r="AC134" i="3"/>
  <c r="AB134" i="3"/>
  <c r="AA134" i="3"/>
  <c r="AE133" i="3"/>
  <c r="AD133" i="3"/>
  <c r="AC133" i="3"/>
  <c r="AB133" i="3"/>
  <c r="AA133" i="3"/>
  <c r="AE132" i="3"/>
  <c r="AD132" i="3"/>
  <c r="AC132" i="3"/>
  <c r="AB132" i="3"/>
  <c r="AA132" i="3"/>
  <c r="AE131" i="3"/>
  <c r="AD131" i="3"/>
  <c r="AC131" i="3"/>
  <c r="AB131" i="3"/>
  <c r="AA131" i="3"/>
  <c r="AE130" i="3"/>
  <c r="AD130" i="3"/>
  <c r="AC130" i="3"/>
  <c r="AB130" i="3"/>
  <c r="AA130" i="3"/>
  <c r="AE129" i="3"/>
  <c r="AD129" i="3"/>
  <c r="AC129" i="3"/>
  <c r="AB129" i="3"/>
  <c r="AA129" i="3"/>
  <c r="AE128" i="3"/>
  <c r="AD128" i="3"/>
  <c r="AC128" i="3"/>
  <c r="AB128" i="3"/>
  <c r="AA128" i="3"/>
  <c r="AE127" i="3"/>
  <c r="AD127" i="3"/>
  <c r="AC127" i="3"/>
  <c r="AB127" i="3"/>
  <c r="AA127" i="3"/>
  <c r="AE126" i="3"/>
  <c r="AD126" i="3"/>
  <c r="AC126" i="3"/>
  <c r="AB126" i="3"/>
  <c r="AA126" i="3"/>
  <c r="AE125" i="3"/>
  <c r="AD125" i="3"/>
  <c r="AC125" i="3"/>
  <c r="AB125" i="3"/>
  <c r="AA125" i="3"/>
  <c r="AE124" i="3"/>
  <c r="AD124" i="3"/>
  <c r="AC124" i="3"/>
  <c r="AB124" i="3"/>
  <c r="AA124" i="3"/>
  <c r="AE123" i="3"/>
  <c r="AD123" i="3"/>
  <c r="AC123" i="3"/>
  <c r="AB123" i="3"/>
  <c r="AA123" i="3"/>
  <c r="AE122" i="3"/>
  <c r="AD122" i="3"/>
  <c r="AC122" i="3"/>
  <c r="AB122" i="3"/>
  <c r="AA122" i="3"/>
  <c r="AE121" i="3"/>
  <c r="AD121" i="3"/>
  <c r="AC121" i="3"/>
  <c r="AB121" i="3"/>
  <c r="AA121" i="3"/>
  <c r="AE120" i="3"/>
  <c r="AD120" i="3"/>
  <c r="AC120" i="3"/>
  <c r="AB120" i="3"/>
  <c r="AA120" i="3"/>
  <c r="AE119" i="3"/>
  <c r="AD119" i="3"/>
  <c r="AC119" i="3"/>
  <c r="AB119" i="3"/>
  <c r="AA119" i="3"/>
  <c r="AE118" i="3"/>
  <c r="AD118" i="3"/>
  <c r="AC118" i="3"/>
  <c r="AB118" i="3"/>
  <c r="AA118" i="3"/>
  <c r="AE117" i="3"/>
  <c r="AD117" i="3"/>
  <c r="AC117" i="3"/>
  <c r="AB117" i="3"/>
  <c r="AA117" i="3"/>
  <c r="AE116" i="3"/>
  <c r="AD116" i="3"/>
  <c r="AC116" i="3"/>
  <c r="AB116" i="3"/>
  <c r="AA116" i="3"/>
  <c r="AE115" i="3"/>
  <c r="AD115" i="3"/>
  <c r="AC115" i="3"/>
  <c r="AB115" i="3"/>
  <c r="AA115" i="3"/>
  <c r="AE114" i="3"/>
  <c r="AD114" i="3"/>
  <c r="AC114" i="3"/>
  <c r="AB114" i="3"/>
  <c r="AA114" i="3"/>
  <c r="AE113" i="3"/>
  <c r="AD113" i="3"/>
  <c r="AC113" i="3"/>
  <c r="AB113" i="3"/>
  <c r="AA113" i="3"/>
  <c r="AE112" i="3"/>
  <c r="AD112" i="3"/>
  <c r="AC112" i="3"/>
  <c r="AB112" i="3"/>
  <c r="AA112" i="3"/>
  <c r="AE111" i="3"/>
  <c r="AD111" i="3"/>
  <c r="AC111" i="3"/>
  <c r="AB111" i="3"/>
  <c r="AA111" i="3"/>
  <c r="AE110" i="3"/>
  <c r="AD110" i="3"/>
  <c r="AC110" i="3"/>
  <c r="AB110" i="3"/>
  <c r="AA110" i="3"/>
  <c r="AE109" i="3"/>
  <c r="AD109" i="3"/>
  <c r="AC109" i="3"/>
  <c r="AB109" i="3"/>
  <c r="AA109" i="3"/>
  <c r="AE108" i="3"/>
  <c r="AD108" i="3"/>
  <c r="AC108" i="3"/>
  <c r="AB108" i="3"/>
  <c r="AA108" i="3"/>
  <c r="AE107" i="3"/>
  <c r="AD107" i="3"/>
  <c r="AC107" i="3"/>
  <c r="AB107" i="3"/>
  <c r="AA107" i="3"/>
  <c r="AE106" i="3"/>
  <c r="AD106" i="3"/>
  <c r="AC106" i="3"/>
  <c r="AB106" i="3"/>
  <c r="AA106" i="3"/>
  <c r="AE105" i="3"/>
  <c r="AD105" i="3"/>
  <c r="AC105" i="3"/>
  <c r="AB105" i="3"/>
  <c r="AA105" i="3"/>
  <c r="AE104" i="3"/>
  <c r="AD104" i="3"/>
  <c r="AC104" i="3"/>
  <c r="AB104" i="3"/>
  <c r="AA104" i="3"/>
  <c r="AE103" i="3"/>
  <c r="AD103" i="3"/>
  <c r="AC103" i="3"/>
  <c r="AB103" i="3"/>
  <c r="AA103" i="3"/>
  <c r="AE102" i="3"/>
  <c r="AD102" i="3"/>
  <c r="AC102" i="3"/>
  <c r="AB102" i="3"/>
  <c r="AA102" i="3"/>
  <c r="AE101" i="3"/>
  <c r="AD101" i="3"/>
  <c r="AC101" i="3"/>
  <c r="AB101" i="3"/>
  <c r="AA101" i="3"/>
  <c r="AE100" i="3"/>
  <c r="AD100" i="3"/>
  <c r="AC100" i="3"/>
  <c r="AB100" i="3"/>
  <c r="AA100" i="3"/>
  <c r="AE99" i="3"/>
  <c r="AD99" i="3"/>
  <c r="AC99" i="3"/>
  <c r="AB99" i="3"/>
  <c r="AA99" i="3"/>
  <c r="AE98" i="3"/>
  <c r="AD98" i="3"/>
  <c r="AC98" i="3"/>
  <c r="AB98" i="3"/>
  <c r="AA98" i="3"/>
  <c r="AE97" i="3"/>
  <c r="AD97" i="3"/>
  <c r="AC97" i="3"/>
  <c r="AB97" i="3"/>
  <c r="AA97" i="3"/>
  <c r="AE96" i="3"/>
  <c r="AD96" i="3"/>
  <c r="AC96" i="3"/>
  <c r="AB96" i="3"/>
  <c r="AA96" i="3"/>
  <c r="AE95" i="3"/>
  <c r="AD95" i="3"/>
  <c r="AC95" i="3"/>
  <c r="AB95" i="3"/>
  <c r="AA95" i="3"/>
  <c r="AE94" i="3"/>
  <c r="AD94" i="3"/>
  <c r="AC94" i="3"/>
  <c r="AB94" i="3"/>
  <c r="AA94" i="3"/>
  <c r="AE93" i="3"/>
  <c r="AD93" i="3"/>
  <c r="AC93" i="3"/>
  <c r="AB93" i="3"/>
  <c r="AA93" i="3"/>
  <c r="AE92" i="3"/>
  <c r="AD92" i="3"/>
  <c r="AC92" i="3"/>
  <c r="AB92" i="3"/>
  <c r="AA92" i="3"/>
  <c r="AE91" i="3"/>
  <c r="AD91" i="3"/>
  <c r="AC91" i="3"/>
  <c r="AB91" i="3"/>
  <c r="AA91" i="3"/>
  <c r="AE90" i="3"/>
  <c r="AD90" i="3"/>
  <c r="AC90" i="3"/>
  <c r="AB90" i="3"/>
  <c r="AA90" i="3"/>
  <c r="AE89" i="3"/>
  <c r="AD89" i="3"/>
  <c r="AC89" i="3"/>
  <c r="AB89" i="3"/>
  <c r="AA89" i="3"/>
  <c r="AE88" i="3"/>
  <c r="AD88" i="3"/>
  <c r="AC88" i="3"/>
  <c r="AB88" i="3"/>
  <c r="AA88" i="3"/>
  <c r="AE87" i="3"/>
  <c r="AD87" i="3"/>
  <c r="AC87" i="3"/>
  <c r="AB87" i="3"/>
  <c r="AA87" i="3"/>
  <c r="AE86" i="3"/>
  <c r="AD86" i="3"/>
  <c r="AC86" i="3"/>
  <c r="AB86" i="3"/>
  <c r="AA86" i="3"/>
  <c r="AE85" i="3"/>
  <c r="AD85" i="3"/>
  <c r="AC85" i="3"/>
  <c r="AB85" i="3"/>
  <c r="AA85" i="3"/>
  <c r="AE84" i="3"/>
  <c r="AD84" i="3"/>
  <c r="AC84" i="3"/>
  <c r="AB84" i="3"/>
  <c r="AA84" i="3"/>
  <c r="AE83" i="3"/>
  <c r="AD83" i="3"/>
  <c r="AC83" i="3"/>
  <c r="AB83" i="3"/>
  <c r="AA83" i="3"/>
  <c r="AE82" i="3"/>
  <c r="AD82" i="3"/>
  <c r="AC82" i="3"/>
  <c r="AB82" i="3"/>
  <c r="AA82" i="3"/>
  <c r="AE81" i="3"/>
  <c r="AD81" i="3"/>
  <c r="AC81" i="3"/>
  <c r="AB81" i="3"/>
  <c r="AA81" i="3"/>
  <c r="AE80" i="3"/>
  <c r="AD80" i="3"/>
  <c r="AC80" i="3"/>
  <c r="AB80" i="3"/>
  <c r="AA80" i="3"/>
  <c r="AE79" i="3"/>
  <c r="AD79" i="3"/>
  <c r="AC79" i="3"/>
  <c r="AB79" i="3"/>
  <c r="AA79" i="3"/>
  <c r="AE78" i="3"/>
  <c r="AD78" i="3"/>
  <c r="AC78" i="3"/>
  <c r="AB78" i="3"/>
  <c r="AA78" i="3"/>
  <c r="AE77" i="3"/>
  <c r="AD77" i="3"/>
  <c r="AC77" i="3"/>
  <c r="AB77" i="3"/>
  <c r="AA77" i="3"/>
  <c r="AE76" i="3"/>
  <c r="AD76" i="3"/>
  <c r="AC76" i="3"/>
  <c r="AB76" i="3"/>
  <c r="AA76" i="3"/>
  <c r="AE75" i="3"/>
  <c r="AD75" i="3"/>
  <c r="AC75" i="3"/>
  <c r="AB75" i="3"/>
  <c r="AA75" i="3"/>
  <c r="AE74" i="3"/>
  <c r="AD74" i="3"/>
  <c r="AC74" i="3"/>
  <c r="AB74" i="3"/>
  <c r="AA74" i="3"/>
  <c r="AE73" i="3"/>
  <c r="AD73" i="3"/>
  <c r="AC73" i="3"/>
  <c r="AB73" i="3"/>
  <c r="AA73" i="3"/>
  <c r="AE72" i="3"/>
  <c r="AD72" i="3"/>
  <c r="AC72" i="3"/>
  <c r="AB72" i="3"/>
  <c r="AA72" i="3"/>
  <c r="AE71" i="3"/>
  <c r="AD71" i="3"/>
  <c r="AC71" i="3"/>
  <c r="AB71" i="3"/>
  <c r="AA71" i="3"/>
  <c r="AE70" i="3"/>
  <c r="AD70" i="3"/>
  <c r="AC70" i="3"/>
  <c r="AB70" i="3"/>
  <c r="AA70" i="3"/>
  <c r="AE69" i="3"/>
  <c r="AD69" i="3"/>
  <c r="AC69" i="3"/>
  <c r="AB69" i="3"/>
  <c r="AA69" i="3"/>
  <c r="AE68" i="3"/>
  <c r="AD68" i="3"/>
  <c r="AC68" i="3"/>
  <c r="AB68" i="3"/>
  <c r="AA68" i="3"/>
  <c r="AE67" i="3"/>
  <c r="AD67" i="3"/>
  <c r="AC67" i="3"/>
  <c r="AB67" i="3"/>
  <c r="AA67" i="3"/>
  <c r="AE66" i="3"/>
  <c r="AD66" i="3"/>
  <c r="AC66" i="3"/>
  <c r="AB66" i="3"/>
  <c r="AA66" i="3"/>
  <c r="AE65" i="3"/>
  <c r="AD65" i="3"/>
  <c r="AC65" i="3"/>
  <c r="AB65" i="3"/>
  <c r="AA65" i="3"/>
  <c r="AE64" i="3"/>
  <c r="AD64" i="3"/>
  <c r="AC64" i="3"/>
  <c r="AB64" i="3"/>
  <c r="AA64" i="3"/>
  <c r="AE63" i="3"/>
  <c r="AD63" i="3"/>
  <c r="AC63" i="3"/>
  <c r="AB63" i="3"/>
  <c r="AA63" i="3"/>
  <c r="AE62" i="3"/>
  <c r="AD62" i="3"/>
  <c r="AC62" i="3"/>
  <c r="AB62" i="3"/>
  <c r="AA62" i="3"/>
  <c r="AE61" i="3"/>
  <c r="AD61" i="3"/>
  <c r="AC61" i="3"/>
  <c r="AB61" i="3"/>
  <c r="AA61" i="3"/>
  <c r="AE60" i="3"/>
  <c r="AD60" i="3"/>
  <c r="AC60" i="3"/>
  <c r="AB60" i="3"/>
  <c r="AA60" i="3"/>
  <c r="AE59" i="3"/>
  <c r="AD59" i="3"/>
  <c r="AC59" i="3"/>
  <c r="AB59" i="3"/>
  <c r="AA59" i="3"/>
  <c r="AE58" i="3"/>
  <c r="AD58" i="3"/>
  <c r="AC58" i="3"/>
  <c r="AB58" i="3"/>
  <c r="AA58" i="3"/>
  <c r="AE57" i="3"/>
  <c r="AD57" i="3"/>
  <c r="AC57" i="3"/>
  <c r="AB57" i="3"/>
  <c r="AA57" i="3"/>
  <c r="AE56" i="3"/>
  <c r="AD56" i="3"/>
  <c r="AC56" i="3"/>
  <c r="AB56" i="3"/>
  <c r="AA56" i="3"/>
  <c r="AE55" i="3"/>
  <c r="AD55" i="3"/>
  <c r="AC55" i="3"/>
  <c r="AB55" i="3"/>
  <c r="AA55" i="3"/>
  <c r="AE54" i="3"/>
  <c r="AD54" i="3"/>
  <c r="AC54" i="3"/>
  <c r="AB54" i="3"/>
  <c r="AA54" i="3"/>
  <c r="AE53" i="3"/>
  <c r="AD53" i="3"/>
  <c r="AC53" i="3"/>
  <c r="AB53" i="3"/>
  <c r="AA53" i="3"/>
  <c r="AE52" i="3"/>
  <c r="AD52" i="3"/>
  <c r="AC52" i="3"/>
  <c r="AB52" i="3"/>
  <c r="AA52" i="3"/>
  <c r="AE51" i="3"/>
  <c r="AD51" i="3"/>
  <c r="AC51" i="3"/>
  <c r="AB51" i="3"/>
  <c r="AA51" i="3"/>
  <c r="AE50" i="3"/>
  <c r="AD50" i="3"/>
  <c r="AC50" i="3"/>
  <c r="AB50" i="3"/>
  <c r="AA50" i="3"/>
  <c r="AE49" i="3"/>
  <c r="AD49" i="3"/>
  <c r="AC49" i="3"/>
  <c r="AB49" i="3"/>
  <c r="AA49" i="3"/>
  <c r="AE48" i="3"/>
  <c r="AD48" i="3"/>
  <c r="AC48" i="3"/>
  <c r="AB48" i="3"/>
  <c r="AA48" i="3"/>
  <c r="AE47" i="3"/>
  <c r="AD47" i="3"/>
  <c r="AC47" i="3"/>
  <c r="AB47" i="3"/>
  <c r="AA47" i="3"/>
  <c r="AE46" i="3"/>
  <c r="AD46" i="3"/>
  <c r="AC46" i="3"/>
  <c r="AB46" i="3"/>
  <c r="AA46" i="3"/>
  <c r="AE45" i="3"/>
  <c r="AD45" i="3"/>
  <c r="AC45" i="3"/>
  <c r="AB45" i="3"/>
  <c r="AA45" i="3"/>
  <c r="AE44" i="3"/>
  <c r="AD44" i="3"/>
  <c r="AC44" i="3"/>
  <c r="AB44" i="3"/>
  <c r="AA44" i="3"/>
  <c r="AE43" i="3"/>
  <c r="AD43" i="3"/>
  <c r="AC43" i="3"/>
  <c r="AB43" i="3"/>
  <c r="AA43" i="3"/>
  <c r="AE42" i="3"/>
  <c r="AD42" i="3"/>
  <c r="AC42" i="3"/>
  <c r="AB42" i="3"/>
  <c r="AA42" i="3"/>
  <c r="AE41" i="3"/>
  <c r="AD41" i="3"/>
  <c r="AC41" i="3"/>
  <c r="AB41" i="3"/>
  <c r="AA41" i="3"/>
  <c r="AE40" i="3"/>
  <c r="AD40" i="3"/>
  <c r="AC40" i="3"/>
  <c r="AB40" i="3"/>
  <c r="AA40" i="3"/>
  <c r="AE39" i="3"/>
  <c r="AD39" i="3"/>
  <c r="AC39" i="3"/>
  <c r="AB39" i="3"/>
  <c r="AA39" i="3"/>
  <c r="AE38" i="3"/>
  <c r="AD38" i="3"/>
  <c r="AC38" i="3"/>
  <c r="AB38" i="3"/>
  <c r="AA38" i="3"/>
  <c r="AE37" i="3"/>
  <c r="AD37" i="3"/>
  <c r="AC37" i="3"/>
  <c r="AB37" i="3"/>
  <c r="AA37" i="3"/>
  <c r="AE36" i="3"/>
  <c r="AD36" i="3"/>
  <c r="AC36" i="3"/>
  <c r="AB36" i="3"/>
  <c r="AA36" i="3"/>
  <c r="AE35" i="3"/>
  <c r="AD35" i="3"/>
  <c r="AC35" i="3"/>
  <c r="AB35" i="3"/>
  <c r="AA35" i="3"/>
  <c r="AE34" i="3"/>
  <c r="AD34" i="3"/>
  <c r="AC34" i="3"/>
  <c r="AB34" i="3"/>
  <c r="AA34" i="3"/>
  <c r="AE33" i="3"/>
  <c r="AD33" i="3"/>
  <c r="AC33" i="3"/>
  <c r="AB33" i="3"/>
  <c r="AA33" i="3"/>
  <c r="AE32" i="3"/>
  <c r="AD32" i="3"/>
  <c r="AC32" i="3"/>
  <c r="AB32" i="3"/>
  <c r="AA32" i="3"/>
  <c r="AE31" i="3"/>
  <c r="AD31" i="3"/>
  <c r="AC31" i="3"/>
  <c r="AB31" i="3"/>
  <c r="AA31" i="3"/>
  <c r="AE30" i="3"/>
  <c r="AD30" i="3"/>
  <c r="AC30" i="3"/>
  <c r="AB30" i="3"/>
  <c r="AA30" i="3"/>
  <c r="AE29" i="3"/>
  <c r="AD29" i="3"/>
  <c r="AC29" i="3"/>
  <c r="AB29" i="3"/>
  <c r="AA29" i="3"/>
  <c r="AE28" i="3"/>
  <c r="AD28" i="3"/>
  <c r="AC28" i="3"/>
  <c r="AB28" i="3"/>
  <c r="AA28" i="3"/>
  <c r="AE27" i="3"/>
  <c r="AD27" i="3"/>
  <c r="AC27" i="3"/>
  <c r="AB27" i="3"/>
  <c r="AA27" i="3"/>
  <c r="AE26" i="3"/>
  <c r="AD26" i="3"/>
  <c r="AC26" i="3"/>
  <c r="AB26" i="3"/>
  <c r="AA26" i="3"/>
  <c r="AE25" i="3"/>
  <c r="AD25" i="3"/>
  <c r="AC25" i="3"/>
  <c r="AB25" i="3"/>
  <c r="AA25" i="3"/>
  <c r="AE24" i="3"/>
  <c r="AD24" i="3"/>
  <c r="AC24" i="3"/>
  <c r="AB24" i="3"/>
  <c r="AA24" i="3"/>
  <c r="AE23" i="3"/>
  <c r="AD23" i="3"/>
  <c r="AC23" i="3"/>
  <c r="AB23" i="3"/>
  <c r="AA23" i="3"/>
  <c r="AE22" i="3"/>
  <c r="AD22" i="3"/>
  <c r="AC22" i="3"/>
  <c r="AB22" i="3"/>
  <c r="AA22" i="3"/>
  <c r="AE21" i="3"/>
  <c r="AD21" i="3"/>
  <c r="AC21" i="3"/>
  <c r="AB21" i="3"/>
  <c r="AA21" i="3"/>
  <c r="AE20" i="3"/>
  <c r="AD20" i="3"/>
  <c r="AC20" i="3"/>
  <c r="AB20" i="3"/>
  <c r="AA20" i="3"/>
  <c r="AE19" i="3"/>
  <c r="AD19" i="3"/>
  <c r="AC19" i="3"/>
  <c r="AB19" i="3"/>
  <c r="AA19" i="3"/>
  <c r="AE18" i="3"/>
  <c r="AD18" i="3"/>
  <c r="AC18" i="3"/>
  <c r="AB18" i="3"/>
  <c r="AA18" i="3"/>
  <c r="AE17" i="3"/>
  <c r="AD17" i="3"/>
  <c r="AC17" i="3"/>
  <c r="AB17" i="3"/>
  <c r="AA17" i="3"/>
  <c r="AE16" i="3"/>
  <c r="AD16" i="3"/>
  <c r="AC16" i="3"/>
  <c r="AB16" i="3"/>
  <c r="AA16" i="3"/>
  <c r="AE15" i="3"/>
  <c r="AD15" i="3"/>
  <c r="AC15" i="3"/>
  <c r="AB15" i="3"/>
  <c r="AA15" i="3"/>
  <c r="AE14" i="3"/>
  <c r="AD14" i="3"/>
  <c r="AC14" i="3"/>
  <c r="AB14" i="3"/>
  <c r="AA14" i="3"/>
  <c r="AE13" i="3"/>
  <c r="AD13" i="3"/>
  <c r="AC13" i="3"/>
  <c r="AB13" i="3"/>
  <c r="AA13" i="3"/>
  <c r="AE12" i="3"/>
  <c r="AD12" i="3"/>
  <c r="AC12" i="3"/>
  <c r="AB12" i="3"/>
  <c r="AA12" i="3"/>
  <c r="AE11" i="3"/>
  <c r="AD11" i="3"/>
  <c r="AC11" i="3"/>
  <c r="AB11" i="3"/>
  <c r="AA11" i="3"/>
  <c r="AE10" i="3"/>
  <c r="AD10" i="3"/>
  <c r="AC10" i="3"/>
  <c r="AB10" i="3"/>
  <c r="AA10" i="3"/>
  <c r="AE9" i="3"/>
  <c r="AD9" i="3"/>
  <c r="AC9" i="3"/>
  <c r="AB9" i="3"/>
  <c r="AA9" i="3"/>
  <c r="AE8" i="3"/>
  <c r="AD8" i="3"/>
  <c r="AC8" i="3"/>
  <c r="AB8" i="3"/>
  <c r="AA8" i="3"/>
  <c r="AE7" i="3"/>
  <c r="AD7" i="3"/>
  <c r="AC7" i="3"/>
  <c r="AB7" i="3"/>
  <c r="AA7" i="3"/>
  <c r="AE6" i="3"/>
  <c r="AD6" i="3"/>
  <c r="AC6" i="3"/>
  <c r="AB6" i="3"/>
  <c r="AA6" i="3"/>
  <c r="AE5" i="3"/>
  <c r="AD5" i="3"/>
  <c r="AC5" i="3"/>
  <c r="AB5" i="3"/>
  <c r="AA5" i="3"/>
</calcChain>
</file>

<file path=xl/sharedStrings.xml><?xml version="1.0" encoding="utf-8"?>
<sst xmlns="http://schemas.openxmlformats.org/spreadsheetml/2006/main" count="6911" uniqueCount="413">
  <si>
    <t>Matriz de Acciones Preventivas, Correctivas y de Mejora (APCM)</t>
  </si>
  <si>
    <t>Formato diseñado para empresa de vigilancia y seguridad privada. Incluye simulación 2023-2026, con 2026 a corte de mayo.</t>
  </si>
  <si>
    <t>Campo / sección</t>
  </si>
  <si>
    <t>Descripción</t>
  </si>
  <si>
    <t>Objetivo</t>
  </si>
  <si>
    <t>Registrar hallazgos, no conformidades y oportunidades de mejora, junto con su investigación, acción, cierre y verificación de eficacia.</t>
  </si>
  <si>
    <t>Cobertura</t>
  </si>
  <si>
    <t>Procesos misionales, estratégicos y de apoyo de una empresa de vigilancia y seguridad privada.</t>
  </si>
  <si>
    <t>Uso sugerido</t>
  </si>
  <si>
    <t>Diligenciar una fila por acción. Mantener trazabilidad desde la fuente de origen hasta el cierre y verificación de eficacia.</t>
  </si>
  <si>
    <t>Tipo</t>
  </si>
  <si>
    <t>Preventiva, Correctiva o Mejora.</t>
  </si>
  <si>
    <t>Estado</t>
  </si>
  <si>
    <t>Abierta, En progreso, Cerrada, Vencida o Cancelada.</t>
  </si>
  <si>
    <t>Cierre oportuno</t>
  </si>
  <si>
    <t>Se calcula automáticamente. Compara fecha de cierre real con fecha límite.</t>
  </si>
  <si>
    <t>Eficacia verificada</t>
  </si>
  <si>
    <t>Resultado de la verificación posterior a la implementación de la acción.</t>
  </si>
  <si>
    <t>Años simulados</t>
  </si>
  <si>
    <t>2023, 2024, 2025 y 2026 (enero-mayo).</t>
  </si>
  <si>
    <t>Sector</t>
  </si>
  <si>
    <t>Vigilancia física, monitoreo, supervisión, operaciones motorizadas, SST, formación, talento humano, compras y administración.</t>
  </si>
  <si>
    <t>Sedes</t>
  </si>
  <si>
    <t>Procesos</t>
  </si>
  <si>
    <t>Fuente de origen</t>
  </si>
  <si>
    <t>Prioridad</t>
  </si>
  <si>
    <t>Riesgo asociado</t>
  </si>
  <si>
    <t>Responsables</t>
  </si>
  <si>
    <t>Cúcuta</t>
  </si>
  <si>
    <t>Vigilancia física</t>
  </si>
  <si>
    <t>Preventiva</t>
  </si>
  <si>
    <t>Auditoría interna</t>
  </si>
  <si>
    <t>Abierta</t>
  </si>
  <si>
    <t>Alta</t>
  </si>
  <si>
    <t>Biomecánico</t>
  </si>
  <si>
    <t>Coordinador SST</t>
  </si>
  <si>
    <t>Barrancabermeja</t>
  </si>
  <si>
    <t>Central de monitoreo</t>
  </si>
  <si>
    <t>Correctiva</t>
  </si>
  <si>
    <t>Autodiagnóstico Res. 0312/2019</t>
  </si>
  <si>
    <t>En progreso</t>
  </si>
  <si>
    <t>Media</t>
  </si>
  <si>
    <t>Locativo</t>
  </si>
  <si>
    <t>Director de Operaciones</t>
  </si>
  <si>
    <t>Ocaña</t>
  </si>
  <si>
    <t>Supervisión operativa</t>
  </si>
  <si>
    <t>Mejora</t>
  </si>
  <si>
    <t>Inspección de puesto de trabajo</t>
  </si>
  <si>
    <t>Cerrada</t>
  </si>
  <si>
    <t>Baja</t>
  </si>
  <si>
    <t>Psicosocial</t>
  </si>
  <si>
    <t>Supervisor de Zona</t>
  </si>
  <si>
    <t>Girón</t>
  </si>
  <si>
    <t>Operaciones motorizadas</t>
  </si>
  <si>
    <t>Inspección locativa</t>
  </si>
  <si>
    <t>Vencida</t>
  </si>
  <si>
    <t>Público</t>
  </si>
  <si>
    <t>Jefe de Talento Humano</t>
  </si>
  <si>
    <t>Valledupar</t>
  </si>
  <si>
    <t>Talento humano</t>
  </si>
  <si>
    <t>Inspección de armas y elementos de dotación</t>
  </si>
  <si>
    <t>Cancelada</t>
  </si>
  <si>
    <t>Mecánico</t>
  </si>
  <si>
    <t>Coordinador de Monitoreo</t>
  </si>
  <si>
    <t>Arauca</t>
  </si>
  <si>
    <t>Seguridad y salud en el trabajo</t>
  </si>
  <si>
    <t>Inspección de vehículos/motocicletas</t>
  </si>
  <si>
    <t>Eléctrico</t>
  </si>
  <si>
    <t>Auxiliar Administrativo</t>
  </si>
  <si>
    <t>Bogotá</t>
  </si>
  <si>
    <t>Compras y almacén</t>
  </si>
  <si>
    <t>Investigación de accidente de trabajo</t>
  </si>
  <si>
    <t>Tecnológico</t>
  </si>
  <si>
    <t>Analista SST</t>
  </si>
  <si>
    <t>Tibú</t>
  </si>
  <si>
    <t>Mantenimiento e infraestructura</t>
  </si>
  <si>
    <t>Investigación de incidente</t>
  </si>
  <si>
    <t>Seguridad vial</t>
  </si>
  <si>
    <t>Líder de Compras</t>
  </si>
  <si>
    <t>Medellín</t>
  </si>
  <si>
    <t>Formación y entrenamiento</t>
  </si>
  <si>
    <t>Reporte de trabajador</t>
  </si>
  <si>
    <t>Incendio</t>
  </si>
  <si>
    <t>Jefe de Mantenimiento</t>
  </si>
  <si>
    <t>Ábrego</t>
  </si>
  <si>
    <t>Gestión administrativa</t>
  </si>
  <si>
    <t>COPASST</t>
  </si>
  <si>
    <t>Armamento</t>
  </si>
  <si>
    <t>Coordinador de Formación</t>
  </si>
  <si>
    <t>Pamplona</t>
  </si>
  <si>
    <t>Revisión por la dirección</t>
  </si>
  <si>
    <t>Matriz legal</t>
  </si>
  <si>
    <t>Revisión de cliente/contrato</t>
  </si>
  <si>
    <t>ARL / asesoría externa</t>
  </si>
  <si>
    <t>Plantilla editable - APCM</t>
  </si>
  <si>
    <t>Use listas desplegables y diligencie una fila por cada acción. Las columnas AA:AE se calculan automáticamente.</t>
  </si>
  <si>
    <t>N.° Acción</t>
  </si>
  <si>
    <t>Año</t>
  </si>
  <si>
    <t>Fecha de apertura</t>
  </si>
  <si>
    <t>Sede</t>
  </si>
  <si>
    <t>Proceso</t>
  </si>
  <si>
    <t>Clasificación del hallazgo</t>
  </si>
  <si>
    <t>Descripción del hallazgo / no conformidad</t>
  </si>
  <si>
    <t>Causa raíz identificada</t>
  </si>
  <si>
    <t>Acción definida</t>
  </si>
  <si>
    <t>Responsable de ejecución</t>
  </si>
  <si>
    <t>Fecha límite de cierre</t>
  </si>
  <si>
    <t>Fecha de cierre real</t>
  </si>
  <si>
    <t>% Avance</t>
  </si>
  <si>
    <t>Responsable de verificación</t>
  </si>
  <si>
    <t>Fecha verificación eficacia</t>
  </si>
  <si>
    <t>Recurso requerido</t>
  </si>
  <si>
    <t>Costo estimado</t>
  </si>
  <si>
    <t>Costo ejecutado</t>
  </si>
  <si>
    <t>Evidencia</t>
  </si>
  <si>
    <t>Observaciones</t>
  </si>
  <si>
    <t>Días de gestión</t>
  </si>
  <si>
    <t>Días vencida abierta</t>
  </si>
  <si>
    <t>Mes</t>
  </si>
  <si>
    <t>Trimestre</t>
  </si>
  <si>
    <t>Matriz de Acciones Preventivas, Correctivas y de Mejora (APCM) - 2023</t>
  </si>
  <si>
    <t>Empresa del sector vigilancia y seguridad privada. Datos simulados para seguimiento, cierre y eficacia de acciones.</t>
  </si>
  <si>
    <t>APCM-2023-026</t>
  </si>
  <si>
    <t>Hallazgo</t>
  </si>
  <si>
    <t>No se cumplió cobertura esperada en capacitación de uso de la fuerza y SST.</t>
  </si>
  <si>
    <t>Falta de seguimiento al cronograma establecido.</t>
  </si>
  <si>
    <t>Adquirir recurso requerido y validar su uso en operación.</t>
  </si>
  <si>
    <t>No</t>
  </si>
  <si>
    <t>ARL / asesor externo</t>
  </si>
  <si>
    <t>Contratista externo</t>
  </si>
  <si>
    <t>Registro de capacitación y lista de asistencia</t>
  </si>
  <si>
    <t>Acción alineada con requisitos del cliente y procedimiento interno.</t>
  </si>
  <si>
    <t>Sí</t>
  </si>
  <si>
    <t>Enero</t>
  </si>
  <si>
    <t>T1</t>
  </si>
  <si>
    <t>APCM-2023-019</t>
  </si>
  <si>
    <t>No conformidad</t>
  </si>
  <si>
    <t>Se identificó entrega parcial de dotación al personal operativo.</t>
  </si>
  <si>
    <t>Supervisión insuficiente del cumplimiento del procedimiento.</t>
  </si>
  <si>
    <t>Realizar capacitación específica y dejar evaluación de eficacia.</t>
  </si>
  <si>
    <t>Documental</t>
  </si>
  <si>
    <t>Correo de socialización y control de cambios</t>
  </si>
  <si>
    <t>Se requiere seguimiento mensual hasta validar eficacia.</t>
  </si>
  <si>
    <t>APCM-2023-012</t>
  </si>
  <si>
    <t>Débil control documental y ausencia de verificación previa.</t>
  </si>
  <si>
    <t>Ejecutar inspección de verificación y cerrar hallazgo con evidencia fotográfica.</t>
  </si>
  <si>
    <t>Presupuesto operativo</t>
  </si>
  <si>
    <t>APCM-2023-004</t>
  </si>
  <si>
    <t>No se encontró evidencia oportuna de reinducción SST para personal nuevo.</t>
  </si>
  <si>
    <t>No estandarización del registro en todos los centros de trabajo.</t>
  </si>
  <si>
    <t>Líder de Calidad</t>
  </si>
  <si>
    <t>Señalización</t>
  </si>
  <si>
    <t>Formato de inspección firmado</t>
  </si>
  <si>
    <t>APCM-2023-009</t>
  </si>
  <si>
    <t>Se identificó ausencia de control documental de versiones vigentes.</t>
  </si>
  <si>
    <t>Insuficiente capacitación del responsable del proceso.</t>
  </si>
  <si>
    <t>Revisar cumplimiento legal aplicable y actualizar matriz/registro.</t>
  </si>
  <si>
    <t>Febrero</t>
  </si>
  <si>
    <t>APCM-2023-033</t>
  </si>
  <si>
    <t>Oportunidad de mejora</t>
  </si>
  <si>
    <t>Se identificó inconsistencia entre reporte del supervisor y novedad real del puesto.</t>
  </si>
  <si>
    <t>Actualizar procedimiento y socializarlo con el personal involucrado.</t>
  </si>
  <si>
    <t>Pendiente de verificar sostenibilidad del control implementado.</t>
  </si>
  <si>
    <t>APCM-2023-007</t>
  </si>
  <si>
    <t>Incumplimiento legal</t>
  </si>
  <si>
    <t>Actividad del plan anual de trabajo no ejecutada en la fecha programada.</t>
  </si>
  <si>
    <t>Pendiente verificación</t>
  </si>
  <si>
    <t>Capacitación</t>
  </si>
  <si>
    <t>Orden de trabajo y evidencia documental</t>
  </si>
  <si>
    <t>APCM-2023-003</t>
  </si>
  <si>
    <t>Observación</t>
  </si>
  <si>
    <t>Se evidenció falta de inspección preoperacional de motocicleta/vehículo.</t>
  </si>
  <si>
    <t>Asignación tardía de recursos y presupuesto.</t>
  </si>
  <si>
    <t>APCM-2023-001</t>
  </si>
  <si>
    <t>No se encontraba documentado el respaldo de grabaciones críticas de CCTV.</t>
  </si>
  <si>
    <t>Limitación operativa por rotación de personal.</t>
  </si>
  <si>
    <t>Plan de acción actualizado en SG-SST</t>
  </si>
  <si>
    <t>APCM-2023-024</t>
  </si>
  <si>
    <t>Implementar control documental y lista de chequeo de cumplimiento.</t>
  </si>
  <si>
    <t>APCM-2023-011</t>
  </si>
  <si>
    <t>Se detectó ausencia de trazabilidad en bitácora de alarmas y novedades.</t>
  </si>
  <si>
    <t>APCM-2023-016</t>
  </si>
  <si>
    <t>No se evidenció registro completo de rondas en puesto Medellín.</t>
  </si>
  <si>
    <t>Comunicación ineficaz entre sede y nivel central.</t>
  </si>
  <si>
    <t>Se prioriza por impacto operativo y legal en el servicio.</t>
  </si>
  <si>
    <t>Marzo</t>
  </si>
  <si>
    <t>APCM-2023-014</t>
  </si>
  <si>
    <t>Se detectó inconsistencia en archivo de evidencias contractuales y SST.</t>
  </si>
  <si>
    <t>Dotación/EPP</t>
  </si>
  <si>
    <t>Acta de cierre y registro fotográfico</t>
  </si>
  <si>
    <t>Abril</t>
  </si>
  <si>
    <t>T2</t>
  </si>
  <si>
    <t>APCM-2023-031</t>
  </si>
  <si>
    <t>APCM-2023-036</t>
  </si>
  <si>
    <t>Se identificó incumplimiento en inducción específica del puesto asignado en Ocaña.</t>
  </si>
  <si>
    <t>Mayo</t>
  </si>
  <si>
    <t>APCM-2023-028</t>
  </si>
  <si>
    <t>No se encontraba actualizado el kit de carretera del vehículo asignado.</t>
  </si>
  <si>
    <t>Junio</t>
  </si>
  <si>
    <t>APCM-2023-013</t>
  </si>
  <si>
    <t>APCM-2023-002</t>
  </si>
  <si>
    <t>No se evidenció cierre del plan de mejora del autodiagnóstico 0312.</t>
  </si>
  <si>
    <t>Pendiente</t>
  </si>
  <si>
    <t>APCM-2023-018</t>
  </si>
  <si>
    <t>APCM-2023-027</t>
  </si>
  <si>
    <t>Se encontró uso inadecuado de elementos de protección en el servicio de Ocaña.</t>
  </si>
  <si>
    <t>Julio</t>
  </si>
  <si>
    <t>T3</t>
  </si>
  <si>
    <t>APCM-2023-010</t>
  </si>
  <si>
    <t>No se evidenció ficha técnica vigente de EPP suministrados.</t>
  </si>
  <si>
    <t>Hallazgo asociado a auditoría y plan de mejora anual.</t>
  </si>
  <si>
    <t>APCM-2023-005</t>
  </si>
  <si>
    <t>No se evidenció seguimiento oportuno a restricciones médico-laborales.</t>
  </si>
  <si>
    <t>Agosto</t>
  </si>
  <si>
    <t>APCM-2023-034</t>
  </si>
  <si>
    <t>Programar mantenimiento/intervención y verificar cierre con acta.</t>
  </si>
  <si>
    <t>APCM-2023-037</t>
  </si>
  <si>
    <t>APCM-2023-015</t>
  </si>
  <si>
    <t>APCM-2023-030</t>
  </si>
  <si>
    <t>Se observó extintor vencido o próximo a vencer en instalación del cliente.</t>
  </si>
  <si>
    <t>APCM-2023-032</t>
  </si>
  <si>
    <t>Se identificó incumplimiento en inducción específica del puesto asignado en Tibú.</t>
  </si>
  <si>
    <t>APCM-2023-023</t>
  </si>
  <si>
    <t>El cronograma de capacitaciones no incluía refuerzo en riesgo psicosocial.</t>
  </si>
  <si>
    <t>Septiembre</t>
  </si>
  <si>
    <t>APCM-2023-038</t>
  </si>
  <si>
    <t>Se encontró uso inadecuado de elementos de protección en el servicio de Valledupar.</t>
  </si>
  <si>
    <t>Octubre</t>
  </si>
  <si>
    <t>T4</t>
  </si>
  <si>
    <t>APCM-2023-035</t>
  </si>
  <si>
    <t>APCM-2023-025</t>
  </si>
  <si>
    <t>Vehículos</t>
  </si>
  <si>
    <t>APCM-2023-029</t>
  </si>
  <si>
    <t>APCM-2023-006</t>
  </si>
  <si>
    <t>Noviembre</t>
  </si>
  <si>
    <t>APCM-2023-020</t>
  </si>
  <si>
    <t>APCM-2023-017</t>
  </si>
  <si>
    <t>No se realizó la totalidad de supervisiones programadas del mes.</t>
  </si>
  <si>
    <t>APCM-2023-021</t>
  </si>
  <si>
    <t>Diciembre</t>
  </si>
  <si>
    <t>APCM-2023-022</t>
  </si>
  <si>
    <t>No se realizó mantenimiento preventivo a CCTV y UPS según programación.</t>
  </si>
  <si>
    <t>APCM-2023-008</t>
  </si>
  <si>
    <t>No se evidenció cierre de orden de mantenimiento correctivo locativo.</t>
  </si>
  <si>
    <t>Matriz de Acciones Preventivas, Correctivas y de Mejora (APCM) - 2024</t>
  </si>
  <si>
    <t>APCM-2024-013</t>
  </si>
  <si>
    <t>No aplica</t>
  </si>
  <si>
    <t>Mantenimiento</t>
  </si>
  <si>
    <t>APCM-2024-016</t>
  </si>
  <si>
    <t>Ajustar cronograma, asignar responsable y hacer seguimiento semanal.</t>
  </si>
  <si>
    <t>APCM-2024-007</t>
  </si>
  <si>
    <t>Condición insegura</t>
  </si>
  <si>
    <t>No existe control actualizado de inventario de radios y linternas.</t>
  </si>
  <si>
    <t>APCM-2024-037</t>
  </si>
  <si>
    <t>Se observó incumplimiento del PESV en control de velocidad y pausas.</t>
  </si>
  <si>
    <t>APCM-2024-001</t>
  </si>
  <si>
    <t>APCM-2024-019</t>
  </si>
  <si>
    <t>APCM-2024-020</t>
  </si>
  <si>
    <t>APCM-2024-022</t>
  </si>
  <si>
    <t>APCM-2024-039</t>
  </si>
  <si>
    <t>APCM-2024-031</t>
  </si>
  <si>
    <t>Se observó demora en relevo del puesto con impacto en pausas activas en Medellín.</t>
  </si>
  <si>
    <t>APCM-2024-015</t>
  </si>
  <si>
    <t>APCM-2024-009</t>
  </si>
  <si>
    <t>APCM-2024-035</t>
  </si>
  <si>
    <t>APCM-2024-028</t>
  </si>
  <si>
    <t>APCM-2024-014</t>
  </si>
  <si>
    <t>APCM-2024-034</t>
  </si>
  <si>
    <t>APCM-2024-008</t>
  </si>
  <si>
    <t>APCM-2024-042</t>
  </si>
  <si>
    <t>APCM-2024-030</t>
  </si>
  <si>
    <t>APCM-2024-036</t>
  </si>
  <si>
    <t>APCM-2024-024</t>
  </si>
  <si>
    <t>APCM-2024-006</t>
  </si>
  <si>
    <t>APCM-2024-033</t>
  </si>
  <si>
    <t>APCM-2024-044</t>
  </si>
  <si>
    <t>APCM-2024-004</t>
  </si>
  <si>
    <t>APCM-2024-003</t>
  </si>
  <si>
    <t>APCM-2024-012</t>
  </si>
  <si>
    <t>APCM-2024-038</t>
  </si>
  <si>
    <t>Se identificó incumplimiento en inducción específica del puesto asignado en Girón.</t>
  </si>
  <si>
    <t>APCM-2024-011</t>
  </si>
  <si>
    <t>El procedimiento de reacción ante señal de alarma no estaba actualizado.</t>
  </si>
  <si>
    <t>APCM-2024-005</t>
  </si>
  <si>
    <t>APCM-2024-041</t>
  </si>
  <si>
    <t>APCM-2024-040</t>
  </si>
  <si>
    <t>No se encontraba socializado el procedimiento actualizado al personal.</t>
  </si>
  <si>
    <t>APCM-2024-027</t>
  </si>
  <si>
    <t>APCM-2024-017</t>
  </si>
  <si>
    <t>No se evidenció evaluación de eficacia de la formación impartida.</t>
  </si>
  <si>
    <t>APCM-2024-026</t>
  </si>
  <si>
    <t>APCM-2024-029</t>
  </si>
  <si>
    <t>APCM-2024-032</t>
  </si>
  <si>
    <t>APCM-2024-018</t>
  </si>
  <si>
    <t>APCM-2024-010</t>
  </si>
  <si>
    <t>APCM-2024-023</t>
  </si>
  <si>
    <t>APCM-2024-002</t>
  </si>
  <si>
    <t>APCM-2024-021</t>
  </si>
  <si>
    <t>Se identificó incumplimiento en inducción específica del puesto asignado en Arauca.</t>
  </si>
  <si>
    <t>APCM-2024-025</t>
  </si>
  <si>
    <t>No se evidenció cierre de hallazgos levantados en visita operativa.</t>
  </si>
  <si>
    <t>APCM-2024-043</t>
  </si>
  <si>
    <t>Matriz de Acciones Preventivas, Correctivas y de Mejora (APCM) - 2025</t>
  </si>
  <si>
    <t>APCM-2025-027</t>
  </si>
  <si>
    <t>Se encontró desactualizada la matriz de peligros de un centro de trabajo.</t>
  </si>
  <si>
    <t>APCM-2025-012</t>
  </si>
  <si>
    <t>APCM-2025-033</t>
  </si>
  <si>
    <t>APCM-2025-018</t>
  </si>
  <si>
    <t>APCM-2025-007</t>
  </si>
  <si>
    <t>APCM-2025-030</t>
  </si>
  <si>
    <t>APCM-2025-008</t>
  </si>
  <si>
    <t>APCM-2025-002</t>
  </si>
  <si>
    <t>Se identificó atraso en actualización de perfiles ocupacionales.</t>
  </si>
  <si>
    <t>APCM-2025-016</t>
  </si>
  <si>
    <t>APCM-2025-024</t>
  </si>
  <si>
    <t>APCM-2025-026</t>
  </si>
  <si>
    <t>APCM-2025-048</t>
  </si>
  <si>
    <t>APCM-2025-015</t>
  </si>
  <si>
    <t>APCM-2025-023</t>
  </si>
  <si>
    <t>APCM-2025-011</t>
  </si>
  <si>
    <t>APCM-2025-009</t>
  </si>
  <si>
    <t>APCM-2025-047</t>
  </si>
  <si>
    <t>APCM-2025-043</t>
  </si>
  <si>
    <t>APCM-2025-032</t>
  </si>
  <si>
    <t>No se evidenció registro completo de rondas en puesto Valledupar.</t>
  </si>
  <si>
    <t>APCM-2025-029</t>
  </si>
  <si>
    <t>APCM-2025-044</t>
  </si>
  <si>
    <t>APCM-2025-020</t>
  </si>
  <si>
    <t>APCM-2025-037</t>
  </si>
  <si>
    <t>APCM-2025-040</t>
  </si>
  <si>
    <t>APCM-2025-006</t>
  </si>
  <si>
    <t>APCM-2025-014</t>
  </si>
  <si>
    <t>Se encontró uso inadecuado de elementos de protección en el servicio de Pamplona.</t>
  </si>
  <si>
    <t>APCM-2025-036</t>
  </si>
  <si>
    <t>APCM-2025-028</t>
  </si>
  <si>
    <t>APCM-2025-019</t>
  </si>
  <si>
    <t>APCM-2025-022</t>
  </si>
  <si>
    <t>APCM-2025-045</t>
  </si>
  <si>
    <t>APCM-2025-001</t>
  </si>
  <si>
    <t>APCM-2025-042</t>
  </si>
  <si>
    <t>APCM-2025-005</t>
  </si>
  <si>
    <t>APCM-2025-031</t>
  </si>
  <si>
    <t>APCM-2025-035</t>
  </si>
  <si>
    <t>APCM-2025-004</t>
  </si>
  <si>
    <t>APCM-2025-025</t>
  </si>
  <si>
    <t>APCM-2025-034</t>
  </si>
  <si>
    <t>APCM-2025-039</t>
  </si>
  <si>
    <t>APCM-2025-038</t>
  </si>
  <si>
    <t>APCM-2025-003</t>
  </si>
  <si>
    <t>APCM-2025-017</t>
  </si>
  <si>
    <t>APCM-2025-046</t>
  </si>
  <si>
    <t>APCM-2025-021</t>
  </si>
  <si>
    <t>APCM-2025-041</t>
  </si>
  <si>
    <t>APCM-2025-013</t>
  </si>
  <si>
    <t>Se observó demora en relevo del puesto con impacto en pausas activas en Girón.</t>
  </si>
  <si>
    <t>APCM-2025-010</t>
  </si>
  <si>
    <t>Matriz de Acciones Preventivas, Correctivas y de Mejora (APCM) - 2026 (corte a mayo)</t>
  </si>
  <si>
    <t>APCM-2026-018</t>
  </si>
  <si>
    <t>APCM-2026-025</t>
  </si>
  <si>
    <t>APCM-2026-020</t>
  </si>
  <si>
    <t>APCM-2026-009</t>
  </si>
  <si>
    <t>APCM-2026-013</t>
  </si>
  <si>
    <t>APCM-2026-011</t>
  </si>
  <si>
    <t>APCM-2026-016</t>
  </si>
  <si>
    <t>APCM-2026-010</t>
  </si>
  <si>
    <t>APCM-2026-004</t>
  </si>
  <si>
    <t>APCM-2026-026</t>
  </si>
  <si>
    <t>APCM-2026-024</t>
  </si>
  <si>
    <t>APCM-2026-017</t>
  </si>
  <si>
    <t>APCM-2026-021</t>
  </si>
  <si>
    <t>APCM-2026-014</t>
  </si>
  <si>
    <t>APCM-2026-003</t>
  </si>
  <si>
    <t>APCM-2026-002</t>
  </si>
  <si>
    <t>APCM-2026-008</t>
  </si>
  <si>
    <t>APCM-2026-019</t>
  </si>
  <si>
    <t>APCM-2026-001</t>
  </si>
  <si>
    <t>APCM-2026-012</t>
  </si>
  <si>
    <t>APCM-2026-007</t>
  </si>
  <si>
    <t>APCM-2026-006</t>
  </si>
  <si>
    <t>APCM-2026-005</t>
  </si>
  <si>
    <t>APCM-2026-015</t>
  </si>
  <si>
    <t>APCM-2026-022</t>
  </si>
  <si>
    <t>APCM-2026-023</t>
  </si>
  <si>
    <t>Matriz de Acciones Preventivas, Correctivas y de Mejora (APCM) - Consolidado 2023-2026</t>
  </si>
  <si>
    <t>Resumen anual APCM 2023-2026</t>
  </si>
  <si>
    <t>Indicadores consolidados por año para seguimiento de cierre, eficacia y costos.</t>
  </si>
  <si>
    <t>Indicador</t>
  </si>
  <si>
    <t>Total acciones</t>
  </si>
  <si>
    <t>Preventivas</t>
  </si>
  <si>
    <t>Correctivas</t>
  </si>
  <si>
    <t>Cerradas</t>
  </si>
  <si>
    <t>Abiertas</t>
  </si>
  <si>
    <t>Vencidas</t>
  </si>
  <si>
    <t>Canceladas</t>
  </si>
  <si>
    <t>% cierre oportuno</t>
  </si>
  <si>
    <t>% eficacia positiva</t>
  </si>
  <si>
    <t>% avance promedio</t>
  </si>
  <si>
    <t>Resumen por sedes APCM 2023-2026</t>
  </si>
  <si>
    <t>Cantidad de acciones registradas por sede y total del período.</t>
  </si>
  <si>
    <t>Total</t>
  </si>
  <si>
    <t>Dashboard APCM - Vigilancia y Seguridad Privada</t>
  </si>
  <si>
    <t>Vista ejecutiva del comportamiento anual y del corte 2026 (enero-mayo).</t>
  </si>
  <si>
    <t>Acciones 2026</t>
  </si>
  <si>
    <t>Cerradas 2026</t>
  </si>
  <si>
    <t>Vencidas 2026</t>
  </si>
  <si>
    <t>% Cierre oportuno 2026</t>
  </si>
  <si>
    <t>% Eficacia 2026</t>
  </si>
  <si>
    <t>Costo ejecutado 2026</t>
  </si>
  <si>
    <t>2023</t>
  </si>
  <si>
    <t>2024</t>
  </si>
  <si>
    <t>2025</t>
  </si>
  <si>
    <t>2026</t>
  </si>
  <si>
    <t>Participación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</si>
</sst>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6">
    <font>
      <sz val="11"/>
      <name val="Carlito"/>
    </font>
    <font>
      <b/>
      <sz val="14"/>
      <color rgb="FFFFFFFF"/>
      <name val="Carlito"/>
    </font>
    <font>
      <i/>
      <sz val="11"/>
      <color rgb="FF1F1F1F"/>
      <name val="Carlito"/>
    </font>
    <font>
      <b/>
      <sz val="11"/>
      <color rgb="FF000000"/>
      <name val="Carlito"/>
    </font>
    <font>
      <b/>
      <sz val="12"/>
      <name val="Carlito"/>
    </font>
    <font>
      <b/>
      <sz val="16"/>
      <color rgb="FF1F1F1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9" fontId="0" fillId="0" borderId="5" xfId="0" applyNumberFormat="1" applyBorder="1" applyAlignment="1">
      <alignment vertical="top" wrapText="1"/>
    </xf>
    <xf numFmtId="9" fontId="0" fillId="0" borderId="0" xfId="0" applyNumberFormat="1" applyAlignment="1">
      <alignment vertical="top" wrapText="1"/>
    </xf>
    <xf numFmtId="9" fontId="0" fillId="0" borderId="10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9" fontId="0" fillId="0" borderId="8" xfId="0" applyNumberFormat="1" applyBorder="1" applyAlignment="1">
      <alignment vertical="top" wrapText="1"/>
    </xf>
    <xf numFmtId="9" fontId="0" fillId="0" borderId="11" xfId="0" applyNumberForma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65" fontId="0" fillId="0" borderId="8" xfId="0" applyNumberFormat="1" applyBorder="1" applyAlignment="1">
      <alignment vertical="top" wrapText="1"/>
    </xf>
    <xf numFmtId="165" fontId="0" fillId="0" borderId="10" xfId="0" applyNumberFormat="1" applyBorder="1" applyAlignment="1">
      <alignment vertical="top" wrapText="1"/>
    </xf>
    <xf numFmtId="165" fontId="0" fillId="0" borderId="11" xfId="0" applyNumberFormat="1" applyBorder="1" applyAlignment="1">
      <alignment vertical="top" wrapText="1"/>
    </xf>
    <xf numFmtId="9" fontId="0" fillId="0" borderId="6" xfId="0" applyNumberForma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0" fontId="4" fillId="5" borderId="1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/>
    </xf>
    <xf numFmtId="9" fontId="5" fillId="9" borderId="15" xfId="0" applyNumberFormat="1" applyFont="1" applyFill="1" applyBorder="1" applyAlignment="1">
      <alignment horizontal="center" vertical="center"/>
    </xf>
    <xf numFmtId="165" fontId="5" fillId="9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baseColWidth="10" defaultColWidth="8.83203125" defaultRowHeight="14"/>
  <cols>
    <col min="1" max="1" width="22" customWidth="1"/>
    <col min="2" max="2" width="90" customWidth="1"/>
  </cols>
  <sheetData>
    <row r="1" spans="1:8" ht="18">
      <c r="A1" s="29" t="s">
        <v>0</v>
      </c>
      <c r="B1" s="30"/>
      <c r="C1" s="30"/>
      <c r="D1" s="30"/>
      <c r="E1" s="30"/>
      <c r="F1" s="30"/>
      <c r="G1" s="30"/>
      <c r="H1" s="30"/>
    </row>
    <row r="2" spans="1:8" ht="15">
      <c r="A2" s="31" t="s">
        <v>1</v>
      </c>
      <c r="B2" s="30"/>
      <c r="C2" s="30"/>
      <c r="D2" s="30"/>
      <c r="E2" s="30"/>
      <c r="F2" s="30"/>
      <c r="G2" s="30"/>
      <c r="H2" s="30"/>
    </row>
    <row r="4" spans="1:8" ht="16">
      <c r="A4" s="1" t="s">
        <v>2</v>
      </c>
      <c r="B4" s="3" t="s">
        <v>3</v>
      </c>
    </row>
    <row r="5" spans="1:8" ht="30">
      <c r="A5" s="7" t="s">
        <v>4</v>
      </c>
      <c r="B5" s="9" t="s">
        <v>5</v>
      </c>
    </row>
    <row r="6" spans="1:8" ht="15">
      <c r="A6" s="7" t="s">
        <v>6</v>
      </c>
      <c r="B6" s="9" t="s">
        <v>7</v>
      </c>
    </row>
    <row r="7" spans="1:8" ht="30">
      <c r="A7" s="7" t="s">
        <v>8</v>
      </c>
      <c r="B7" s="9" t="s">
        <v>9</v>
      </c>
    </row>
    <row r="8" spans="1:8" ht="15">
      <c r="A8" s="7" t="s">
        <v>10</v>
      </c>
      <c r="B8" s="9" t="s">
        <v>11</v>
      </c>
    </row>
    <row r="9" spans="1:8" ht="15">
      <c r="A9" s="7" t="s">
        <v>12</v>
      </c>
      <c r="B9" s="9" t="s">
        <v>13</v>
      </c>
    </row>
    <row r="10" spans="1:8" ht="15">
      <c r="A10" s="7" t="s">
        <v>14</v>
      </c>
      <c r="B10" s="9" t="s">
        <v>15</v>
      </c>
    </row>
    <row r="11" spans="1:8" ht="15">
      <c r="A11" s="7" t="s">
        <v>16</v>
      </c>
      <c r="B11" s="9" t="s">
        <v>17</v>
      </c>
    </row>
    <row r="12" spans="1:8" ht="15">
      <c r="A12" s="7" t="s">
        <v>18</v>
      </c>
      <c r="B12" s="9" t="s">
        <v>19</v>
      </c>
    </row>
    <row r="13" spans="1:8" ht="30">
      <c r="A13" s="10" t="s">
        <v>20</v>
      </c>
      <c r="B13" s="12" t="s">
        <v>21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baseColWidth="10" defaultColWidth="8.83203125" defaultRowHeight="14"/>
  <cols>
    <col min="1" max="1" width="16" customWidth="1"/>
    <col min="2" max="2" width="22" customWidth="1"/>
    <col min="3" max="3" width="12" customWidth="1"/>
    <col min="4" max="4" width="24" customWidth="1"/>
    <col min="5" max="8" width="18" customWidth="1"/>
  </cols>
  <sheetData>
    <row r="1" spans="1:8" ht="16">
      <c r="A1" s="13" t="s">
        <v>22</v>
      </c>
      <c r="B1" s="15" t="s">
        <v>23</v>
      </c>
      <c r="C1" s="15" t="s">
        <v>10</v>
      </c>
      <c r="D1" s="15" t="s">
        <v>24</v>
      </c>
      <c r="E1" s="15" t="s">
        <v>12</v>
      </c>
      <c r="F1" s="15" t="s">
        <v>25</v>
      </c>
      <c r="G1" s="15" t="s">
        <v>26</v>
      </c>
      <c r="H1" s="14" t="s">
        <v>27</v>
      </c>
    </row>
    <row r="2" spans="1:8" ht="15">
      <c r="A2" s="7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9" t="s">
        <v>35</v>
      </c>
    </row>
    <row r="3" spans="1:8" ht="30">
      <c r="A3" s="7" t="s">
        <v>36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9" t="s">
        <v>43</v>
      </c>
    </row>
    <row r="4" spans="1:8" ht="30">
      <c r="A4" s="7" t="s">
        <v>44</v>
      </c>
      <c r="B4" s="8" t="s">
        <v>45</v>
      </c>
      <c r="C4" s="8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9" t="s">
        <v>51</v>
      </c>
    </row>
    <row r="5" spans="1:8" ht="30">
      <c r="A5" s="7" t="s">
        <v>52</v>
      </c>
      <c r="B5" s="8" t="s">
        <v>53</v>
      </c>
      <c r="C5" s="8"/>
      <c r="D5" s="8" t="s">
        <v>54</v>
      </c>
      <c r="E5" s="8" t="s">
        <v>55</v>
      </c>
      <c r="F5" s="8"/>
      <c r="G5" s="8" t="s">
        <v>56</v>
      </c>
      <c r="H5" s="9" t="s">
        <v>57</v>
      </c>
    </row>
    <row r="6" spans="1:8" ht="30">
      <c r="A6" s="7" t="s">
        <v>58</v>
      </c>
      <c r="B6" s="8" t="s">
        <v>59</v>
      </c>
      <c r="C6" s="8"/>
      <c r="D6" s="8" t="s">
        <v>60</v>
      </c>
      <c r="E6" s="8" t="s">
        <v>61</v>
      </c>
      <c r="F6" s="8"/>
      <c r="G6" s="8" t="s">
        <v>62</v>
      </c>
      <c r="H6" s="9" t="s">
        <v>63</v>
      </c>
    </row>
    <row r="7" spans="1:8" ht="30">
      <c r="A7" s="7" t="s">
        <v>64</v>
      </c>
      <c r="B7" s="8" t="s">
        <v>65</v>
      </c>
      <c r="C7" s="8"/>
      <c r="D7" s="8" t="s">
        <v>66</v>
      </c>
      <c r="E7" s="8"/>
      <c r="F7" s="8"/>
      <c r="G7" s="8" t="s">
        <v>67</v>
      </c>
      <c r="H7" s="9" t="s">
        <v>68</v>
      </c>
    </row>
    <row r="8" spans="1:8" ht="30">
      <c r="A8" s="7" t="s">
        <v>69</v>
      </c>
      <c r="B8" s="8" t="s">
        <v>70</v>
      </c>
      <c r="C8" s="8"/>
      <c r="D8" s="8" t="s">
        <v>71</v>
      </c>
      <c r="E8" s="8"/>
      <c r="F8" s="8"/>
      <c r="G8" s="8" t="s">
        <v>72</v>
      </c>
      <c r="H8" s="9" t="s">
        <v>73</v>
      </c>
    </row>
    <row r="9" spans="1:8" ht="30">
      <c r="A9" s="7" t="s">
        <v>74</v>
      </c>
      <c r="B9" s="8" t="s">
        <v>75</v>
      </c>
      <c r="C9" s="8"/>
      <c r="D9" s="8" t="s">
        <v>76</v>
      </c>
      <c r="E9" s="8"/>
      <c r="F9" s="8"/>
      <c r="G9" s="8" t="s">
        <v>77</v>
      </c>
      <c r="H9" s="9" t="s">
        <v>78</v>
      </c>
    </row>
    <row r="10" spans="1:8" ht="30">
      <c r="A10" s="7" t="s">
        <v>79</v>
      </c>
      <c r="B10" s="8" t="s">
        <v>80</v>
      </c>
      <c r="C10" s="8"/>
      <c r="D10" s="8" t="s">
        <v>81</v>
      </c>
      <c r="E10" s="8"/>
      <c r="F10" s="8"/>
      <c r="G10" s="8" t="s">
        <v>82</v>
      </c>
      <c r="H10" s="9" t="s">
        <v>83</v>
      </c>
    </row>
    <row r="11" spans="1:8" ht="30">
      <c r="A11" s="7" t="s">
        <v>84</v>
      </c>
      <c r="B11" s="8" t="s">
        <v>85</v>
      </c>
      <c r="C11" s="8"/>
      <c r="D11" s="8" t="s">
        <v>86</v>
      </c>
      <c r="E11" s="8"/>
      <c r="F11" s="8"/>
      <c r="G11" s="8" t="s">
        <v>87</v>
      </c>
      <c r="H11" s="9" t="s">
        <v>88</v>
      </c>
    </row>
    <row r="12" spans="1:8" ht="15">
      <c r="A12" s="7" t="s">
        <v>89</v>
      </c>
      <c r="B12" s="8"/>
      <c r="C12" s="8"/>
      <c r="D12" s="8" t="s">
        <v>90</v>
      </c>
      <c r="E12" s="8"/>
      <c r="F12" s="8"/>
      <c r="G12" s="8"/>
      <c r="H12" s="9"/>
    </row>
    <row r="13" spans="1:8" ht="15">
      <c r="A13" s="7"/>
      <c r="B13" s="8"/>
      <c r="C13" s="8"/>
      <c r="D13" s="8" t="s">
        <v>91</v>
      </c>
      <c r="E13" s="8"/>
      <c r="F13" s="8"/>
      <c r="G13" s="8"/>
      <c r="H13" s="9"/>
    </row>
    <row r="14" spans="1:8" ht="15">
      <c r="A14" s="7"/>
      <c r="B14" s="8"/>
      <c r="C14" s="8"/>
      <c r="D14" s="8" t="s">
        <v>92</v>
      </c>
      <c r="E14" s="8"/>
      <c r="F14" s="8"/>
      <c r="G14" s="8"/>
      <c r="H14" s="9"/>
    </row>
    <row r="15" spans="1:8" ht="15">
      <c r="A15" s="10"/>
      <c r="B15" s="11"/>
      <c r="C15" s="11"/>
      <c r="D15" s="11" t="s">
        <v>93</v>
      </c>
      <c r="E15" s="11"/>
      <c r="F15" s="11"/>
      <c r="G15" s="11"/>
      <c r="H1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4"/>
  <sheetViews>
    <sheetView workbookViewId="0"/>
  </sheetViews>
  <sheetFormatPr baseColWidth="10" defaultColWidth="8.83203125" defaultRowHeight="14"/>
  <cols>
    <col min="1" max="1" width="14" customWidth="1"/>
    <col min="2" max="2" width="8" customWidth="1"/>
    <col min="3" max="3" width="12" customWidth="1"/>
    <col min="4" max="4" width="14" customWidth="1"/>
    <col min="5" max="5" width="18" customWidth="1"/>
    <col min="6" max="6" width="12" customWidth="1"/>
    <col min="7" max="8" width="18" customWidth="1"/>
    <col min="9" max="9" width="34" customWidth="1"/>
    <col min="10" max="10" width="26" customWidth="1"/>
    <col min="11" max="11" width="30" customWidth="1"/>
    <col min="12" max="12" width="18" customWidth="1"/>
    <col min="13" max="14" width="12" customWidth="1"/>
    <col min="15" max="15" width="13" customWidth="1"/>
    <col min="16" max="16" width="10" customWidth="1"/>
    <col min="17" max="17" width="16" customWidth="1"/>
    <col min="18" max="18" width="18" customWidth="1"/>
    <col min="19" max="19" width="12" customWidth="1"/>
    <col min="20" max="20" width="10" customWidth="1"/>
    <col min="21" max="21" width="14" customWidth="1"/>
    <col min="22" max="22" width="16" customWidth="1"/>
    <col min="23" max="24" width="14" customWidth="1"/>
    <col min="25" max="25" width="22" customWidth="1"/>
    <col min="26" max="26" width="26" customWidth="1"/>
    <col min="27" max="29" width="12" customWidth="1"/>
    <col min="30" max="31" width="10" customWidth="1"/>
  </cols>
  <sheetData>
    <row r="1" spans="1:31" ht="32" customHeight="1">
      <c r="A1" s="29" t="s">
        <v>94</v>
      </c>
      <c r="B1" s="30"/>
      <c r="C1" s="32"/>
      <c r="D1" s="30"/>
      <c r="E1" s="30"/>
      <c r="F1" s="30"/>
      <c r="G1" s="30"/>
      <c r="H1" s="30"/>
      <c r="I1" s="30"/>
      <c r="J1" s="30"/>
      <c r="K1" s="30"/>
      <c r="L1" s="30"/>
      <c r="M1" s="32"/>
      <c r="N1" s="32"/>
      <c r="O1" s="30"/>
      <c r="P1" s="33"/>
      <c r="Q1" s="30"/>
      <c r="R1" s="30"/>
      <c r="S1" s="32"/>
      <c r="T1" s="30"/>
      <c r="U1" s="30"/>
      <c r="V1" s="30"/>
      <c r="W1" s="34"/>
      <c r="X1" s="34"/>
      <c r="Y1" s="30"/>
      <c r="Z1" s="30"/>
      <c r="AA1" s="35"/>
      <c r="AB1" s="35"/>
      <c r="AC1" s="35"/>
      <c r="AD1" s="30"/>
      <c r="AE1" s="30"/>
    </row>
    <row r="2" spans="1:31" ht="26.75" customHeight="1">
      <c r="A2" s="31" t="s">
        <v>95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4" spans="1:31" ht="48" customHeight="1">
      <c r="A4" s="1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</v>
      </c>
      <c r="G4" s="2" t="s">
        <v>24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12</v>
      </c>
      <c r="P4" s="2" t="s">
        <v>108</v>
      </c>
      <c r="Q4" s="2" t="s">
        <v>16</v>
      </c>
      <c r="R4" s="2" t="s">
        <v>109</v>
      </c>
      <c r="S4" s="2" t="s">
        <v>110</v>
      </c>
      <c r="T4" s="2" t="s">
        <v>25</v>
      </c>
      <c r="U4" s="2" t="s">
        <v>26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14</v>
      </c>
      <c r="AC4" s="2" t="s">
        <v>117</v>
      </c>
      <c r="AD4" s="2" t="s">
        <v>118</v>
      </c>
      <c r="AE4" s="3" t="s">
        <v>119</v>
      </c>
    </row>
    <row r="5" spans="1:31" ht="1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6"/>
      <c r="Q5" s="5"/>
      <c r="R5" s="5"/>
      <c r="S5" s="5"/>
      <c r="T5" s="5"/>
      <c r="U5" s="5"/>
      <c r="V5" s="5"/>
      <c r="W5" s="5"/>
      <c r="X5" s="5"/>
      <c r="Y5" s="5"/>
      <c r="Z5" s="5"/>
      <c r="AA5" s="5" t="str">
        <f t="shared" ref="AA5:AA36" ca="1" si="0">IF(N5&lt;&gt;"",N5-C5,IF(C5&lt;&gt;"",TODAY()-C5,""))</f>
        <v/>
      </c>
      <c r="AB5" s="5" t="str">
        <f t="shared" ref="AB5:AB36" si="1">IF(O5="Cerrada",IF(N5&lt;=M5,"Sí","No"),IF(O5="Cancelada","No aplica",IF(O5&lt;&gt;"","Pendiente","")))</f>
        <v/>
      </c>
      <c r="AC5" s="5">
        <f t="shared" ref="AC5:AC36" ca="1" si="2">IF(AND(O5&lt;&gt;"",O5&lt;&gt;"Cerrada",O5&lt;&gt;"Cancelada",TODAY()&gt;M5),TODAY()-M5,0)</f>
        <v>0</v>
      </c>
      <c r="AD5" s="5" t="str">
        <f t="shared" ref="AD5:AD36" si="3">IF(C5&lt;&gt;"",TEXT(C5,"mmmm"),"")</f>
        <v/>
      </c>
      <c r="AE5" s="6" t="str">
        <f t="shared" ref="AE5:AE36" si="4">IF(C5&lt;&gt;"","T"&amp;ROUNDUP(MONTH(C5)/3,0),"")</f>
        <v/>
      </c>
    </row>
    <row r="6" spans="1:31" ht="1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7"/>
      <c r="Q6" s="8"/>
      <c r="R6" s="8"/>
      <c r="S6" s="8"/>
      <c r="T6" s="8"/>
      <c r="U6" s="8"/>
      <c r="V6" s="8"/>
      <c r="W6" s="8"/>
      <c r="X6" s="8"/>
      <c r="Y6" s="8"/>
      <c r="Z6" s="8"/>
      <c r="AA6" s="8" t="str">
        <f t="shared" ca="1" si="0"/>
        <v/>
      </c>
      <c r="AB6" s="8" t="str">
        <f t="shared" si="1"/>
        <v/>
      </c>
      <c r="AC6" s="8">
        <f t="shared" ca="1" si="2"/>
        <v>0</v>
      </c>
      <c r="AD6" s="8" t="str">
        <f t="shared" si="3"/>
        <v/>
      </c>
      <c r="AE6" s="9" t="str">
        <f t="shared" si="4"/>
        <v/>
      </c>
    </row>
    <row r="7" spans="1:31" ht="1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7"/>
      <c r="Q7" s="8"/>
      <c r="R7" s="8"/>
      <c r="S7" s="8"/>
      <c r="T7" s="8"/>
      <c r="U7" s="8"/>
      <c r="V7" s="8"/>
      <c r="W7" s="8"/>
      <c r="X7" s="8"/>
      <c r="Y7" s="8"/>
      <c r="Z7" s="8"/>
      <c r="AA7" s="8" t="str">
        <f t="shared" ca="1" si="0"/>
        <v/>
      </c>
      <c r="AB7" s="8" t="str">
        <f t="shared" si="1"/>
        <v/>
      </c>
      <c r="AC7" s="8">
        <f t="shared" ca="1" si="2"/>
        <v>0</v>
      </c>
      <c r="AD7" s="8" t="str">
        <f t="shared" si="3"/>
        <v/>
      </c>
      <c r="AE7" s="9" t="str">
        <f t="shared" si="4"/>
        <v/>
      </c>
    </row>
    <row r="8" spans="1:31" ht="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8" t="str">
        <f t="shared" ca="1" si="0"/>
        <v/>
      </c>
      <c r="AB8" s="8" t="str">
        <f t="shared" si="1"/>
        <v/>
      </c>
      <c r="AC8" s="8">
        <f t="shared" ca="1" si="2"/>
        <v>0</v>
      </c>
      <c r="AD8" s="8" t="str">
        <f t="shared" si="3"/>
        <v/>
      </c>
      <c r="AE8" s="9" t="str">
        <f t="shared" si="4"/>
        <v/>
      </c>
    </row>
    <row r="9" spans="1:31" ht="1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7"/>
      <c r="Q9" s="8"/>
      <c r="R9" s="8"/>
      <c r="S9" s="8"/>
      <c r="T9" s="8"/>
      <c r="U9" s="8"/>
      <c r="V9" s="8"/>
      <c r="W9" s="8"/>
      <c r="X9" s="8"/>
      <c r="Y9" s="8"/>
      <c r="Z9" s="8"/>
      <c r="AA9" s="8" t="str">
        <f t="shared" ca="1" si="0"/>
        <v/>
      </c>
      <c r="AB9" s="8" t="str">
        <f t="shared" si="1"/>
        <v/>
      </c>
      <c r="AC9" s="8">
        <f t="shared" ca="1" si="2"/>
        <v>0</v>
      </c>
      <c r="AD9" s="8" t="str">
        <f t="shared" si="3"/>
        <v/>
      </c>
      <c r="AE9" s="9" t="str">
        <f t="shared" si="4"/>
        <v/>
      </c>
    </row>
    <row r="10" spans="1:31" ht="1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7"/>
      <c r="Q10" s="8"/>
      <c r="R10" s="8"/>
      <c r="S10" s="8"/>
      <c r="T10" s="8"/>
      <c r="U10" s="8"/>
      <c r="V10" s="8"/>
      <c r="W10" s="8"/>
      <c r="X10" s="8"/>
      <c r="Y10" s="8"/>
      <c r="Z10" s="8"/>
      <c r="AA10" s="8" t="str">
        <f t="shared" ca="1" si="0"/>
        <v/>
      </c>
      <c r="AB10" s="8" t="str">
        <f t="shared" si="1"/>
        <v/>
      </c>
      <c r="AC10" s="8">
        <f t="shared" ca="1" si="2"/>
        <v>0</v>
      </c>
      <c r="AD10" s="8" t="str">
        <f t="shared" si="3"/>
        <v/>
      </c>
      <c r="AE10" s="9" t="str">
        <f t="shared" si="4"/>
        <v/>
      </c>
    </row>
    <row r="11" spans="1:31" ht="1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7"/>
      <c r="Q11" s="8"/>
      <c r="R11" s="8"/>
      <c r="S11" s="8"/>
      <c r="T11" s="8"/>
      <c r="U11" s="8"/>
      <c r="V11" s="8"/>
      <c r="W11" s="8"/>
      <c r="X11" s="8"/>
      <c r="Y11" s="8"/>
      <c r="Z11" s="8"/>
      <c r="AA11" s="8" t="str">
        <f t="shared" ca="1" si="0"/>
        <v/>
      </c>
      <c r="AB11" s="8" t="str">
        <f t="shared" si="1"/>
        <v/>
      </c>
      <c r="AC11" s="8">
        <f t="shared" ca="1" si="2"/>
        <v>0</v>
      </c>
      <c r="AD11" s="8" t="str">
        <f t="shared" si="3"/>
        <v/>
      </c>
      <c r="AE11" s="9" t="str">
        <f t="shared" si="4"/>
        <v/>
      </c>
    </row>
    <row r="12" spans="1:31" ht="1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7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tr">
        <f t="shared" ca="1" si="0"/>
        <v/>
      </c>
      <c r="AB12" s="8" t="str">
        <f t="shared" si="1"/>
        <v/>
      </c>
      <c r="AC12" s="8">
        <f t="shared" ca="1" si="2"/>
        <v>0</v>
      </c>
      <c r="AD12" s="8" t="str">
        <f t="shared" si="3"/>
        <v/>
      </c>
      <c r="AE12" s="9" t="str">
        <f t="shared" si="4"/>
        <v/>
      </c>
    </row>
    <row r="13" spans="1:31" ht="1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7"/>
      <c r="Q13" s="8"/>
      <c r="R13" s="8"/>
      <c r="S13" s="8"/>
      <c r="T13" s="8"/>
      <c r="U13" s="8"/>
      <c r="V13" s="8"/>
      <c r="W13" s="8"/>
      <c r="X13" s="8"/>
      <c r="Y13" s="8"/>
      <c r="Z13" s="8"/>
      <c r="AA13" s="8" t="str">
        <f t="shared" ca="1" si="0"/>
        <v/>
      </c>
      <c r="AB13" s="8" t="str">
        <f t="shared" si="1"/>
        <v/>
      </c>
      <c r="AC13" s="8">
        <f t="shared" ca="1" si="2"/>
        <v>0</v>
      </c>
      <c r="AD13" s="8" t="str">
        <f t="shared" si="3"/>
        <v/>
      </c>
      <c r="AE13" s="9" t="str">
        <f t="shared" si="4"/>
        <v/>
      </c>
    </row>
    <row r="14" spans="1:31" ht="1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7"/>
      <c r="Q14" s="8"/>
      <c r="R14" s="8"/>
      <c r="S14" s="8"/>
      <c r="T14" s="8"/>
      <c r="U14" s="8"/>
      <c r="V14" s="8"/>
      <c r="W14" s="8"/>
      <c r="X14" s="8"/>
      <c r="Y14" s="8"/>
      <c r="Z14" s="8"/>
      <c r="AA14" s="8" t="str">
        <f t="shared" ca="1" si="0"/>
        <v/>
      </c>
      <c r="AB14" s="8" t="str">
        <f t="shared" si="1"/>
        <v/>
      </c>
      <c r="AC14" s="8">
        <f t="shared" ca="1" si="2"/>
        <v>0</v>
      </c>
      <c r="AD14" s="8" t="str">
        <f t="shared" si="3"/>
        <v/>
      </c>
      <c r="AE14" s="9" t="str">
        <f t="shared" si="4"/>
        <v/>
      </c>
    </row>
    <row r="15" spans="1:31" ht="1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7"/>
      <c r="Q15" s="8"/>
      <c r="R15" s="8"/>
      <c r="S15" s="8"/>
      <c r="T15" s="8"/>
      <c r="U15" s="8"/>
      <c r="V15" s="8"/>
      <c r="W15" s="8"/>
      <c r="X15" s="8"/>
      <c r="Y15" s="8"/>
      <c r="Z15" s="8"/>
      <c r="AA15" s="8" t="str">
        <f t="shared" ca="1" si="0"/>
        <v/>
      </c>
      <c r="AB15" s="8" t="str">
        <f t="shared" si="1"/>
        <v/>
      </c>
      <c r="AC15" s="8">
        <f t="shared" ca="1" si="2"/>
        <v>0</v>
      </c>
      <c r="AD15" s="8" t="str">
        <f t="shared" si="3"/>
        <v/>
      </c>
      <c r="AE15" s="9" t="str">
        <f t="shared" si="4"/>
        <v/>
      </c>
    </row>
    <row r="16" spans="1:31" ht="1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7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tr">
        <f t="shared" ca="1" si="0"/>
        <v/>
      </c>
      <c r="AB16" s="8" t="str">
        <f t="shared" si="1"/>
        <v/>
      </c>
      <c r="AC16" s="8">
        <f t="shared" ca="1" si="2"/>
        <v>0</v>
      </c>
      <c r="AD16" s="8" t="str">
        <f t="shared" si="3"/>
        <v/>
      </c>
      <c r="AE16" s="9" t="str">
        <f t="shared" si="4"/>
        <v/>
      </c>
    </row>
    <row r="17" spans="1:31" ht="1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7"/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tr">
        <f t="shared" ca="1" si="0"/>
        <v/>
      </c>
      <c r="AB17" s="8" t="str">
        <f t="shared" si="1"/>
        <v/>
      </c>
      <c r="AC17" s="8">
        <f t="shared" ca="1" si="2"/>
        <v>0</v>
      </c>
      <c r="AD17" s="8" t="str">
        <f t="shared" si="3"/>
        <v/>
      </c>
      <c r="AE17" s="9" t="str">
        <f t="shared" si="4"/>
        <v/>
      </c>
    </row>
    <row r="18" spans="1:31" ht="1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7"/>
      <c r="Q18" s="8"/>
      <c r="R18" s="8"/>
      <c r="S18" s="8"/>
      <c r="T18" s="8"/>
      <c r="U18" s="8"/>
      <c r="V18" s="8"/>
      <c r="W18" s="8"/>
      <c r="X18" s="8"/>
      <c r="Y18" s="8"/>
      <c r="Z18" s="8"/>
      <c r="AA18" s="8" t="str">
        <f t="shared" ca="1" si="0"/>
        <v/>
      </c>
      <c r="AB18" s="8" t="str">
        <f t="shared" si="1"/>
        <v/>
      </c>
      <c r="AC18" s="8">
        <f t="shared" ca="1" si="2"/>
        <v>0</v>
      </c>
      <c r="AD18" s="8" t="str">
        <f t="shared" si="3"/>
        <v/>
      </c>
      <c r="AE18" s="9" t="str">
        <f t="shared" si="4"/>
        <v/>
      </c>
    </row>
    <row r="19" spans="1:31" ht="1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7"/>
      <c r="Q19" s="8"/>
      <c r="R19" s="8"/>
      <c r="S19" s="8"/>
      <c r="T19" s="8"/>
      <c r="U19" s="8"/>
      <c r="V19" s="8"/>
      <c r="W19" s="8"/>
      <c r="X19" s="8"/>
      <c r="Y19" s="8"/>
      <c r="Z19" s="8"/>
      <c r="AA19" s="8" t="str">
        <f t="shared" ca="1" si="0"/>
        <v/>
      </c>
      <c r="AB19" s="8" t="str">
        <f t="shared" si="1"/>
        <v/>
      </c>
      <c r="AC19" s="8">
        <f t="shared" ca="1" si="2"/>
        <v>0</v>
      </c>
      <c r="AD19" s="8" t="str">
        <f t="shared" si="3"/>
        <v/>
      </c>
      <c r="AE19" s="9" t="str">
        <f t="shared" si="4"/>
        <v/>
      </c>
    </row>
    <row r="20" spans="1:31" ht="1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7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tr">
        <f t="shared" ca="1" si="0"/>
        <v/>
      </c>
      <c r="AB20" s="8" t="str">
        <f t="shared" si="1"/>
        <v/>
      </c>
      <c r="AC20" s="8">
        <f t="shared" ca="1" si="2"/>
        <v>0</v>
      </c>
      <c r="AD20" s="8" t="str">
        <f t="shared" si="3"/>
        <v/>
      </c>
      <c r="AE20" s="9" t="str">
        <f t="shared" si="4"/>
        <v/>
      </c>
    </row>
    <row r="21" spans="1:31" ht="1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7"/>
      <c r="Q21" s="8"/>
      <c r="R21" s="8"/>
      <c r="S21" s="8"/>
      <c r="T21" s="8"/>
      <c r="U21" s="8"/>
      <c r="V21" s="8"/>
      <c r="W21" s="8"/>
      <c r="X21" s="8"/>
      <c r="Y21" s="8"/>
      <c r="Z21" s="8"/>
      <c r="AA21" s="8" t="str">
        <f t="shared" ca="1" si="0"/>
        <v/>
      </c>
      <c r="AB21" s="8" t="str">
        <f t="shared" si="1"/>
        <v/>
      </c>
      <c r="AC21" s="8">
        <f t="shared" ca="1" si="2"/>
        <v>0</v>
      </c>
      <c r="AD21" s="8" t="str">
        <f t="shared" si="3"/>
        <v/>
      </c>
      <c r="AE21" s="9" t="str">
        <f t="shared" si="4"/>
        <v/>
      </c>
    </row>
    <row r="22" spans="1:31" ht="1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7"/>
      <c r="Q22" s="8"/>
      <c r="R22" s="8"/>
      <c r="S22" s="8"/>
      <c r="T22" s="8"/>
      <c r="U22" s="8"/>
      <c r="V22" s="8"/>
      <c r="W22" s="8"/>
      <c r="X22" s="8"/>
      <c r="Y22" s="8"/>
      <c r="Z22" s="8"/>
      <c r="AA22" s="8" t="str">
        <f t="shared" ca="1" si="0"/>
        <v/>
      </c>
      <c r="AB22" s="8" t="str">
        <f t="shared" si="1"/>
        <v/>
      </c>
      <c r="AC22" s="8">
        <f t="shared" ca="1" si="2"/>
        <v>0</v>
      </c>
      <c r="AD22" s="8" t="str">
        <f t="shared" si="3"/>
        <v/>
      </c>
      <c r="AE22" s="9" t="str">
        <f t="shared" si="4"/>
        <v/>
      </c>
    </row>
    <row r="23" spans="1:31" ht="1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7"/>
      <c r="Q23" s="8"/>
      <c r="R23" s="8"/>
      <c r="S23" s="8"/>
      <c r="T23" s="8"/>
      <c r="U23" s="8"/>
      <c r="V23" s="8"/>
      <c r="W23" s="8"/>
      <c r="X23" s="8"/>
      <c r="Y23" s="8"/>
      <c r="Z23" s="8"/>
      <c r="AA23" s="8" t="str">
        <f t="shared" ca="1" si="0"/>
        <v/>
      </c>
      <c r="AB23" s="8" t="str">
        <f t="shared" si="1"/>
        <v/>
      </c>
      <c r="AC23" s="8">
        <f t="shared" ca="1" si="2"/>
        <v>0</v>
      </c>
      <c r="AD23" s="8" t="str">
        <f t="shared" si="3"/>
        <v/>
      </c>
      <c r="AE23" s="9" t="str">
        <f t="shared" si="4"/>
        <v/>
      </c>
    </row>
    <row r="24" spans="1:31" ht="1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7"/>
      <c r="Q24" s="8"/>
      <c r="R24" s="8"/>
      <c r="S24" s="8"/>
      <c r="T24" s="8"/>
      <c r="U24" s="8"/>
      <c r="V24" s="8"/>
      <c r="W24" s="8"/>
      <c r="X24" s="8"/>
      <c r="Y24" s="8"/>
      <c r="Z24" s="8"/>
      <c r="AA24" s="8" t="str">
        <f t="shared" ca="1" si="0"/>
        <v/>
      </c>
      <c r="AB24" s="8" t="str">
        <f t="shared" si="1"/>
        <v/>
      </c>
      <c r="AC24" s="8">
        <f t="shared" ca="1" si="2"/>
        <v>0</v>
      </c>
      <c r="AD24" s="8" t="str">
        <f t="shared" si="3"/>
        <v/>
      </c>
      <c r="AE24" s="9" t="str">
        <f t="shared" si="4"/>
        <v/>
      </c>
    </row>
    <row r="25" spans="1:31" ht="1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7"/>
      <c r="Q25" s="8"/>
      <c r="R25" s="8"/>
      <c r="S25" s="8"/>
      <c r="T25" s="8"/>
      <c r="U25" s="8"/>
      <c r="V25" s="8"/>
      <c r="W25" s="8"/>
      <c r="X25" s="8"/>
      <c r="Y25" s="8"/>
      <c r="Z25" s="8"/>
      <c r="AA25" s="8" t="str">
        <f t="shared" ca="1" si="0"/>
        <v/>
      </c>
      <c r="AB25" s="8" t="str">
        <f t="shared" si="1"/>
        <v/>
      </c>
      <c r="AC25" s="8">
        <f t="shared" ca="1" si="2"/>
        <v>0</v>
      </c>
      <c r="AD25" s="8" t="str">
        <f t="shared" si="3"/>
        <v/>
      </c>
      <c r="AE25" s="9" t="str">
        <f t="shared" si="4"/>
        <v/>
      </c>
    </row>
    <row r="26" spans="1:31" ht="1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7"/>
      <c r="Q26" s="8"/>
      <c r="R26" s="8"/>
      <c r="S26" s="8"/>
      <c r="T26" s="8"/>
      <c r="U26" s="8"/>
      <c r="V26" s="8"/>
      <c r="W26" s="8"/>
      <c r="X26" s="8"/>
      <c r="Y26" s="8"/>
      <c r="Z26" s="8"/>
      <c r="AA26" s="8" t="str">
        <f t="shared" ca="1" si="0"/>
        <v/>
      </c>
      <c r="AB26" s="8" t="str">
        <f t="shared" si="1"/>
        <v/>
      </c>
      <c r="AC26" s="8">
        <f t="shared" ca="1" si="2"/>
        <v>0</v>
      </c>
      <c r="AD26" s="8" t="str">
        <f t="shared" si="3"/>
        <v/>
      </c>
      <c r="AE26" s="9" t="str">
        <f t="shared" si="4"/>
        <v/>
      </c>
    </row>
    <row r="27" spans="1:31" ht="1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7"/>
      <c r="Q27" s="8"/>
      <c r="R27" s="8"/>
      <c r="S27" s="8"/>
      <c r="T27" s="8"/>
      <c r="U27" s="8"/>
      <c r="V27" s="8"/>
      <c r="W27" s="8"/>
      <c r="X27" s="8"/>
      <c r="Y27" s="8"/>
      <c r="Z27" s="8"/>
      <c r="AA27" s="8" t="str">
        <f t="shared" ca="1" si="0"/>
        <v/>
      </c>
      <c r="AB27" s="8" t="str">
        <f t="shared" si="1"/>
        <v/>
      </c>
      <c r="AC27" s="8">
        <f t="shared" ca="1" si="2"/>
        <v>0</v>
      </c>
      <c r="AD27" s="8" t="str">
        <f t="shared" si="3"/>
        <v/>
      </c>
      <c r="AE27" s="9" t="str">
        <f t="shared" si="4"/>
        <v/>
      </c>
    </row>
    <row r="28" spans="1:31" ht="1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7"/>
      <c r="Q28" s="8"/>
      <c r="R28" s="8"/>
      <c r="S28" s="8"/>
      <c r="T28" s="8"/>
      <c r="U28" s="8"/>
      <c r="V28" s="8"/>
      <c r="W28" s="8"/>
      <c r="X28" s="8"/>
      <c r="Y28" s="8"/>
      <c r="Z28" s="8"/>
      <c r="AA28" s="8" t="str">
        <f t="shared" ca="1" si="0"/>
        <v/>
      </c>
      <c r="AB28" s="8" t="str">
        <f t="shared" si="1"/>
        <v/>
      </c>
      <c r="AC28" s="8">
        <f t="shared" ca="1" si="2"/>
        <v>0</v>
      </c>
      <c r="AD28" s="8" t="str">
        <f t="shared" si="3"/>
        <v/>
      </c>
      <c r="AE28" s="9" t="str">
        <f t="shared" si="4"/>
        <v/>
      </c>
    </row>
    <row r="29" spans="1:31" ht="1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7"/>
      <c r="Q29" s="8"/>
      <c r="R29" s="8"/>
      <c r="S29" s="8"/>
      <c r="T29" s="8"/>
      <c r="U29" s="8"/>
      <c r="V29" s="8"/>
      <c r="W29" s="8"/>
      <c r="X29" s="8"/>
      <c r="Y29" s="8"/>
      <c r="Z29" s="8"/>
      <c r="AA29" s="8" t="str">
        <f t="shared" ca="1" si="0"/>
        <v/>
      </c>
      <c r="AB29" s="8" t="str">
        <f t="shared" si="1"/>
        <v/>
      </c>
      <c r="AC29" s="8">
        <f t="shared" ca="1" si="2"/>
        <v>0</v>
      </c>
      <c r="AD29" s="8" t="str">
        <f t="shared" si="3"/>
        <v/>
      </c>
      <c r="AE29" s="9" t="str">
        <f t="shared" si="4"/>
        <v/>
      </c>
    </row>
    <row r="30" spans="1:31" ht="1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7"/>
      <c r="Q30" s="8"/>
      <c r="R30" s="8"/>
      <c r="S30" s="8"/>
      <c r="T30" s="8"/>
      <c r="U30" s="8"/>
      <c r="V30" s="8"/>
      <c r="W30" s="8"/>
      <c r="X30" s="8"/>
      <c r="Y30" s="8"/>
      <c r="Z30" s="8"/>
      <c r="AA30" s="8" t="str">
        <f t="shared" ca="1" si="0"/>
        <v/>
      </c>
      <c r="AB30" s="8" t="str">
        <f t="shared" si="1"/>
        <v/>
      </c>
      <c r="AC30" s="8">
        <f t="shared" ca="1" si="2"/>
        <v>0</v>
      </c>
      <c r="AD30" s="8" t="str">
        <f t="shared" si="3"/>
        <v/>
      </c>
      <c r="AE30" s="9" t="str">
        <f t="shared" si="4"/>
        <v/>
      </c>
    </row>
    <row r="31" spans="1:31" ht="1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7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tr">
        <f t="shared" ca="1" si="0"/>
        <v/>
      </c>
      <c r="AB31" s="8" t="str">
        <f t="shared" si="1"/>
        <v/>
      </c>
      <c r="AC31" s="8">
        <f t="shared" ca="1" si="2"/>
        <v>0</v>
      </c>
      <c r="AD31" s="8" t="str">
        <f t="shared" si="3"/>
        <v/>
      </c>
      <c r="AE31" s="9" t="str">
        <f t="shared" si="4"/>
        <v/>
      </c>
    </row>
    <row r="32" spans="1:31" ht="1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7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tr">
        <f t="shared" ca="1" si="0"/>
        <v/>
      </c>
      <c r="AB32" s="8" t="str">
        <f t="shared" si="1"/>
        <v/>
      </c>
      <c r="AC32" s="8">
        <f t="shared" ca="1" si="2"/>
        <v>0</v>
      </c>
      <c r="AD32" s="8" t="str">
        <f t="shared" si="3"/>
        <v/>
      </c>
      <c r="AE32" s="9" t="str">
        <f t="shared" si="4"/>
        <v/>
      </c>
    </row>
    <row r="33" spans="1:31" ht="1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17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tr">
        <f t="shared" ca="1" si="0"/>
        <v/>
      </c>
      <c r="AB33" s="8" t="str">
        <f t="shared" si="1"/>
        <v/>
      </c>
      <c r="AC33" s="8">
        <f t="shared" ca="1" si="2"/>
        <v>0</v>
      </c>
      <c r="AD33" s="8" t="str">
        <f t="shared" si="3"/>
        <v/>
      </c>
      <c r="AE33" s="9" t="str">
        <f t="shared" si="4"/>
        <v/>
      </c>
    </row>
    <row r="34" spans="1:31" ht="1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7"/>
      <c r="Q34" s="8"/>
      <c r="R34" s="8"/>
      <c r="S34" s="8"/>
      <c r="T34" s="8"/>
      <c r="U34" s="8"/>
      <c r="V34" s="8"/>
      <c r="W34" s="8"/>
      <c r="X34" s="8"/>
      <c r="Y34" s="8"/>
      <c r="Z34" s="8"/>
      <c r="AA34" s="8" t="str">
        <f t="shared" ca="1" si="0"/>
        <v/>
      </c>
      <c r="AB34" s="8" t="str">
        <f t="shared" si="1"/>
        <v/>
      </c>
      <c r="AC34" s="8">
        <f t="shared" ca="1" si="2"/>
        <v>0</v>
      </c>
      <c r="AD34" s="8" t="str">
        <f t="shared" si="3"/>
        <v/>
      </c>
      <c r="AE34" s="9" t="str">
        <f t="shared" si="4"/>
        <v/>
      </c>
    </row>
    <row r="35" spans="1:31" ht="1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17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tr">
        <f t="shared" ca="1" si="0"/>
        <v/>
      </c>
      <c r="AB35" s="8" t="str">
        <f t="shared" si="1"/>
        <v/>
      </c>
      <c r="AC35" s="8">
        <f t="shared" ca="1" si="2"/>
        <v>0</v>
      </c>
      <c r="AD35" s="8" t="str">
        <f t="shared" si="3"/>
        <v/>
      </c>
      <c r="AE35" s="9" t="str">
        <f t="shared" si="4"/>
        <v/>
      </c>
    </row>
    <row r="36" spans="1:31" ht="1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7"/>
      <c r="Q36" s="8"/>
      <c r="R36" s="8"/>
      <c r="S36" s="8"/>
      <c r="T36" s="8"/>
      <c r="U36" s="8"/>
      <c r="V36" s="8"/>
      <c r="W36" s="8"/>
      <c r="X36" s="8"/>
      <c r="Y36" s="8"/>
      <c r="Z36" s="8"/>
      <c r="AA36" s="8" t="str">
        <f t="shared" ca="1" si="0"/>
        <v/>
      </c>
      <c r="AB36" s="8" t="str">
        <f t="shared" si="1"/>
        <v/>
      </c>
      <c r="AC36" s="8">
        <f t="shared" ca="1" si="2"/>
        <v>0</v>
      </c>
      <c r="AD36" s="8" t="str">
        <f t="shared" si="3"/>
        <v/>
      </c>
      <c r="AE36" s="9" t="str">
        <f t="shared" si="4"/>
        <v/>
      </c>
    </row>
    <row r="37" spans="1:31" ht="1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7"/>
      <c r="Q37" s="8"/>
      <c r="R37" s="8"/>
      <c r="S37" s="8"/>
      <c r="T37" s="8"/>
      <c r="U37" s="8"/>
      <c r="V37" s="8"/>
      <c r="W37" s="8"/>
      <c r="X37" s="8"/>
      <c r="Y37" s="8"/>
      <c r="Z37" s="8"/>
      <c r="AA37" s="8" t="str">
        <f t="shared" ref="AA37:AA68" ca="1" si="5">IF(N37&lt;&gt;"",N37-C37,IF(C37&lt;&gt;"",TODAY()-C37,""))</f>
        <v/>
      </c>
      <c r="AB37" s="8" t="str">
        <f t="shared" ref="AB37:AB68" si="6">IF(O37="Cerrada",IF(N37&lt;=M37,"Sí","No"),IF(O37="Cancelada","No aplica",IF(O37&lt;&gt;"","Pendiente","")))</f>
        <v/>
      </c>
      <c r="AC37" s="8">
        <f t="shared" ref="AC37:AC68" ca="1" si="7">IF(AND(O37&lt;&gt;"",O37&lt;&gt;"Cerrada",O37&lt;&gt;"Cancelada",TODAY()&gt;M37),TODAY()-M37,0)</f>
        <v>0</v>
      </c>
      <c r="AD37" s="8" t="str">
        <f t="shared" ref="AD37:AD68" si="8">IF(C37&lt;&gt;"",TEXT(C37,"mmmm"),"")</f>
        <v/>
      </c>
      <c r="AE37" s="9" t="str">
        <f t="shared" ref="AE37:AE68" si="9">IF(C37&lt;&gt;"","T"&amp;ROUNDUP(MONTH(C37)/3,0),"")</f>
        <v/>
      </c>
    </row>
    <row r="38" spans="1:31" ht="1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17"/>
      <c r="Q38" s="8"/>
      <c r="R38" s="8"/>
      <c r="S38" s="8"/>
      <c r="T38" s="8"/>
      <c r="U38" s="8"/>
      <c r="V38" s="8"/>
      <c r="W38" s="8"/>
      <c r="X38" s="8"/>
      <c r="Y38" s="8"/>
      <c r="Z38" s="8"/>
      <c r="AA38" s="8" t="str">
        <f t="shared" ca="1" si="5"/>
        <v/>
      </c>
      <c r="AB38" s="8" t="str">
        <f t="shared" si="6"/>
        <v/>
      </c>
      <c r="AC38" s="8">
        <f t="shared" ca="1" si="7"/>
        <v>0</v>
      </c>
      <c r="AD38" s="8" t="str">
        <f t="shared" si="8"/>
        <v/>
      </c>
      <c r="AE38" s="9" t="str">
        <f t="shared" si="9"/>
        <v/>
      </c>
    </row>
    <row r="39" spans="1:31" ht="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17"/>
      <c r="Q39" s="8"/>
      <c r="R39" s="8"/>
      <c r="S39" s="8"/>
      <c r="T39" s="8"/>
      <c r="U39" s="8"/>
      <c r="V39" s="8"/>
      <c r="W39" s="8"/>
      <c r="X39" s="8"/>
      <c r="Y39" s="8"/>
      <c r="Z39" s="8"/>
      <c r="AA39" s="8" t="str">
        <f t="shared" ca="1" si="5"/>
        <v/>
      </c>
      <c r="AB39" s="8" t="str">
        <f t="shared" si="6"/>
        <v/>
      </c>
      <c r="AC39" s="8">
        <f t="shared" ca="1" si="7"/>
        <v>0</v>
      </c>
      <c r="AD39" s="8" t="str">
        <f t="shared" si="8"/>
        <v/>
      </c>
      <c r="AE39" s="9" t="str">
        <f t="shared" si="9"/>
        <v/>
      </c>
    </row>
    <row r="40" spans="1:31" ht="1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17"/>
      <c r="Q40" s="8"/>
      <c r="R40" s="8"/>
      <c r="S40" s="8"/>
      <c r="T40" s="8"/>
      <c r="U40" s="8"/>
      <c r="V40" s="8"/>
      <c r="W40" s="8"/>
      <c r="X40" s="8"/>
      <c r="Y40" s="8"/>
      <c r="Z40" s="8"/>
      <c r="AA40" s="8" t="str">
        <f t="shared" ca="1" si="5"/>
        <v/>
      </c>
      <c r="AB40" s="8" t="str">
        <f t="shared" si="6"/>
        <v/>
      </c>
      <c r="AC40" s="8">
        <f t="shared" ca="1" si="7"/>
        <v>0</v>
      </c>
      <c r="AD40" s="8" t="str">
        <f t="shared" si="8"/>
        <v/>
      </c>
      <c r="AE40" s="9" t="str">
        <f t="shared" si="9"/>
        <v/>
      </c>
    </row>
    <row r="41" spans="1:31" ht="1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17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tr">
        <f t="shared" ca="1" si="5"/>
        <v/>
      </c>
      <c r="AB41" s="8" t="str">
        <f t="shared" si="6"/>
        <v/>
      </c>
      <c r="AC41" s="8">
        <f t="shared" ca="1" si="7"/>
        <v>0</v>
      </c>
      <c r="AD41" s="8" t="str">
        <f t="shared" si="8"/>
        <v/>
      </c>
      <c r="AE41" s="9" t="str">
        <f t="shared" si="9"/>
        <v/>
      </c>
    </row>
    <row r="42" spans="1:31" ht="1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7"/>
      <c r="Q42" s="8"/>
      <c r="R42" s="8"/>
      <c r="S42" s="8"/>
      <c r="T42" s="8"/>
      <c r="U42" s="8"/>
      <c r="V42" s="8"/>
      <c r="W42" s="8"/>
      <c r="X42" s="8"/>
      <c r="Y42" s="8"/>
      <c r="Z42" s="8"/>
      <c r="AA42" s="8" t="str">
        <f t="shared" ca="1" si="5"/>
        <v/>
      </c>
      <c r="AB42" s="8" t="str">
        <f t="shared" si="6"/>
        <v/>
      </c>
      <c r="AC42" s="8">
        <f t="shared" ca="1" si="7"/>
        <v>0</v>
      </c>
      <c r="AD42" s="8" t="str">
        <f t="shared" si="8"/>
        <v/>
      </c>
      <c r="AE42" s="9" t="str">
        <f t="shared" si="9"/>
        <v/>
      </c>
    </row>
    <row r="43" spans="1:31" ht="1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17"/>
      <c r="Q43" s="8"/>
      <c r="R43" s="8"/>
      <c r="S43" s="8"/>
      <c r="T43" s="8"/>
      <c r="U43" s="8"/>
      <c r="V43" s="8"/>
      <c r="W43" s="8"/>
      <c r="X43" s="8"/>
      <c r="Y43" s="8"/>
      <c r="Z43" s="8"/>
      <c r="AA43" s="8" t="str">
        <f t="shared" ca="1" si="5"/>
        <v/>
      </c>
      <c r="AB43" s="8" t="str">
        <f t="shared" si="6"/>
        <v/>
      </c>
      <c r="AC43" s="8">
        <f t="shared" ca="1" si="7"/>
        <v>0</v>
      </c>
      <c r="AD43" s="8" t="str">
        <f t="shared" si="8"/>
        <v/>
      </c>
      <c r="AE43" s="9" t="str">
        <f t="shared" si="9"/>
        <v/>
      </c>
    </row>
    <row r="44" spans="1:31" ht="1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7"/>
      <c r="Q44" s="8"/>
      <c r="R44" s="8"/>
      <c r="S44" s="8"/>
      <c r="T44" s="8"/>
      <c r="U44" s="8"/>
      <c r="V44" s="8"/>
      <c r="W44" s="8"/>
      <c r="X44" s="8"/>
      <c r="Y44" s="8"/>
      <c r="Z44" s="8"/>
      <c r="AA44" s="8" t="str">
        <f t="shared" ca="1" si="5"/>
        <v/>
      </c>
      <c r="AB44" s="8" t="str">
        <f t="shared" si="6"/>
        <v/>
      </c>
      <c r="AC44" s="8">
        <f t="shared" ca="1" si="7"/>
        <v>0</v>
      </c>
      <c r="AD44" s="8" t="str">
        <f t="shared" si="8"/>
        <v/>
      </c>
      <c r="AE44" s="9" t="str">
        <f t="shared" si="9"/>
        <v/>
      </c>
    </row>
    <row r="45" spans="1:31" ht="1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7"/>
      <c r="Q45" s="8"/>
      <c r="R45" s="8"/>
      <c r="S45" s="8"/>
      <c r="T45" s="8"/>
      <c r="U45" s="8"/>
      <c r="V45" s="8"/>
      <c r="W45" s="8"/>
      <c r="X45" s="8"/>
      <c r="Y45" s="8"/>
      <c r="Z45" s="8"/>
      <c r="AA45" s="8" t="str">
        <f t="shared" ca="1" si="5"/>
        <v/>
      </c>
      <c r="AB45" s="8" t="str">
        <f t="shared" si="6"/>
        <v/>
      </c>
      <c r="AC45" s="8">
        <f t="shared" ca="1" si="7"/>
        <v>0</v>
      </c>
      <c r="AD45" s="8" t="str">
        <f t="shared" si="8"/>
        <v/>
      </c>
      <c r="AE45" s="9" t="str">
        <f t="shared" si="9"/>
        <v/>
      </c>
    </row>
    <row r="46" spans="1:31" ht="1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17"/>
      <c r="Q46" s="8"/>
      <c r="R46" s="8"/>
      <c r="S46" s="8"/>
      <c r="T46" s="8"/>
      <c r="U46" s="8"/>
      <c r="V46" s="8"/>
      <c r="W46" s="8"/>
      <c r="X46" s="8"/>
      <c r="Y46" s="8"/>
      <c r="Z46" s="8"/>
      <c r="AA46" s="8" t="str">
        <f t="shared" ca="1" si="5"/>
        <v/>
      </c>
      <c r="AB46" s="8" t="str">
        <f t="shared" si="6"/>
        <v/>
      </c>
      <c r="AC46" s="8">
        <f t="shared" ca="1" si="7"/>
        <v>0</v>
      </c>
      <c r="AD46" s="8" t="str">
        <f t="shared" si="8"/>
        <v/>
      </c>
      <c r="AE46" s="9" t="str">
        <f t="shared" si="9"/>
        <v/>
      </c>
    </row>
    <row r="47" spans="1:31" ht="1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17"/>
      <c r="Q47" s="8"/>
      <c r="R47" s="8"/>
      <c r="S47" s="8"/>
      <c r="T47" s="8"/>
      <c r="U47" s="8"/>
      <c r="V47" s="8"/>
      <c r="W47" s="8"/>
      <c r="X47" s="8"/>
      <c r="Y47" s="8"/>
      <c r="Z47" s="8"/>
      <c r="AA47" s="8" t="str">
        <f t="shared" ca="1" si="5"/>
        <v/>
      </c>
      <c r="AB47" s="8" t="str">
        <f t="shared" si="6"/>
        <v/>
      </c>
      <c r="AC47" s="8">
        <f t="shared" ca="1" si="7"/>
        <v>0</v>
      </c>
      <c r="AD47" s="8" t="str">
        <f t="shared" si="8"/>
        <v/>
      </c>
      <c r="AE47" s="9" t="str">
        <f t="shared" si="9"/>
        <v/>
      </c>
    </row>
    <row r="48" spans="1:31" ht="1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17"/>
      <c r="Q48" s="8"/>
      <c r="R48" s="8"/>
      <c r="S48" s="8"/>
      <c r="T48" s="8"/>
      <c r="U48" s="8"/>
      <c r="V48" s="8"/>
      <c r="W48" s="8"/>
      <c r="X48" s="8"/>
      <c r="Y48" s="8"/>
      <c r="Z48" s="8"/>
      <c r="AA48" s="8" t="str">
        <f t="shared" ca="1" si="5"/>
        <v/>
      </c>
      <c r="AB48" s="8" t="str">
        <f t="shared" si="6"/>
        <v/>
      </c>
      <c r="AC48" s="8">
        <f t="shared" ca="1" si="7"/>
        <v>0</v>
      </c>
      <c r="AD48" s="8" t="str">
        <f t="shared" si="8"/>
        <v/>
      </c>
      <c r="AE48" s="9" t="str">
        <f t="shared" si="9"/>
        <v/>
      </c>
    </row>
    <row r="49" spans="1:31" ht="1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17"/>
      <c r="Q49" s="8"/>
      <c r="R49" s="8"/>
      <c r="S49" s="8"/>
      <c r="T49" s="8"/>
      <c r="U49" s="8"/>
      <c r="V49" s="8"/>
      <c r="W49" s="8"/>
      <c r="X49" s="8"/>
      <c r="Y49" s="8"/>
      <c r="Z49" s="8"/>
      <c r="AA49" s="8" t="str">
        <f t="shared" ca="1" si="5"/>
        <v/>
      </c>
      <c r="AB49" s="8" t="str">
        <f t="shared" si="6"/>
        <v/>
      </c>
      <c r="AC49" s="8">
        <f t="shared" ca="1" si="7"/>
        <v>0</v>
      </c>
      <c r="AD49" s="8" t="str">
        <f t="shared" si="8"/>
        <v/>
      </c>
      <c r="AE49" s="9" t="str">
        <f t="shared" si="9"/>
        <v/>
      </c>
    </row>
    <row r="50" spans="1:31" ht="1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17"/>
      <c r="Q50" s="8"/>
      <c r="R50" s="8"/>
      <c r="S50" s="8"/>
      <c r="T50" s="8"/>
      <c r="U50" s="8"/>
      <c r="V50" s="8"/>
      <c r="W50" s="8"/>
      <c r="X50" s="8"/>
      <c r="Y50" s="8"/>
      <c r="Z50" s="8"/>
      <c r="AA50" s="8" t="str">
        <f t="shared" ca="1" si="5"/>
        <v/>
      </c>
      <c r="AB50" s="8" t="str">
        <f t="shared" si="6"/>
        <v/>
      </c>
      <c r="AC50" s="8">
        <f t="shared" ca="1" si="7"/>
        <v>0</v>
      </c>
      <c r="AD50" s="8" t="str">
        <f t="shared" si="8"/>
        <v/>
      </c>
      <c r="AE50" s="9" t="str">
        <f t="shared" si="9"/>
        <v/>
      </c>
    </row>
    <row r="51" spans="1:31" ht="1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17"/>
      <c r="Q51" s="8"/>
      <c r="R51" s="8"/>
      <c r="S51" s="8"/>
      <c r="T51" s="8"/>
      <c r="U51" s="8"/>
      <c r="V51" s="8"/>
      <c r="W51" s="8"/>
      <c r="X51" s="8"/>
      <c r="Y51" s="8"/>
      <c r="Z51" s="8"/>
      <c r="AA51" s="8" t="str">
        <f t="shared" ca="1" si="5"/>
        <v/>
      </c>
      <c r="AB51" s="8" t="str">
        <f t="shared" si="6"/>
        <v/>
      </c>
      <c r="AC51" s="8">
        <f t="shared" ca="1" si="7"/>
        <v>0</v>
      </c>
      <c r="AD51" s="8" t="str">
        <f t="shared" si="8"/>
        <v/>
      </c>
      <c r="AE51" s="9" t="str">
        <f t="shared" si="9"/>
        <v/>
      </c>
    </row>
    <row r="52" spans="1:31" ht="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7"/>
      <c r="Q52" s="8"/>
      <c r="R52" s="8"/>
      <c r="S52" s="8"/>
      <c r="T52" s="8"/>
      <c r="U52" s="8"/>
      <c r="V52" s="8"/>
      <c r="W52" s="8"/>
      <c r="X52" s="8"/>
      <c r="Y52" s="8"/>
      <c r="Z52" s="8"/>
      <c r="AA52" s="8" t="str">
        <f t="shared" ca="1" si="5"/>
        <v/>
      </c>
      <c r="AB52" s="8" t="str">
        <f t="shared" si="6"/>
        <v/>
      </c>
      <c r="AC52" s="8">
        <f t="shared" ca="1" si="7"/>
        <v>0</v>
      </c>
      <c r="AD52" s="8" t="str">
        <f t="shared" si="8"/>
        <v/>
      </c>
      <c r="AE52" s="9" t="str">
        <f t="shared" si="9"/>
        <v/>
      </c>
    </row>
    <row r="53" spans="1:31" ht="1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17"/>
      <c r="Q53" s="8"/>
      <c r="R53" s="8"/>
      <c r="S53" s="8"/>
      <c r="T53" s="8"/>
      <c r="U53" s="8"/>
      <c r="V53" s="8"/>
      <c r="W53" s="8"/>
      <c r="X53" s="8"/>
      <c r="Y53" s="8"/>
      <c r="Z53" s="8"/>
      <c r="AA53" s="8" t="str">
        <f t="shared" ca="1" si="5"/>
        <v/>
      </c>
      <c r="AB53" s="8" t="str">
        <f t="shared" si="6"/>
        <v/>
      </c>
      <c r="AC53" s="8">
        <f t="shared" ca="1" si="7"/>
        <v>0</v>
      </c>
      <c r="AD53" s="8" t="str">
        <f t="shared" si="8"/>
        <v/>
      </c>
      <c r="AE53" s="9" t="str">
        <f t="shared" si="9"/>
        <v/>
      </c>
    </row>
    <row r="54" spans="1:31" ht="1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17"/>
      <c r="Q54" s="8"/>
      <c r="R54" s="8"/>
      <c r="S54" s="8"/>
      <c r="T54" s="8"/>
      <c r="U54" s="8"/>
      <c r="V54" s="8"/>
      <c r="W54" s="8"/>
      <c r="X54" s="8"/>
      <c r="Y54" s="8"/>
      <c r="Z54" s="8"/>
      <c r="AA54" s="8" t="str">
        <f t="shared" ca="1" si="5"/>
        <v/>
      </c>
      <c r="AB54" s="8" t="str">
        <f t="shared" si="6"/>
        <v/>
      </c>
      <c r="AC54" s="8">
        <f t="shared" ca="1" si="7"/>
        <v>0</v>
      </c>
      <c r="AD54" s="8" t="str">
        <f t="shared" si="8"/>
        <v/>
      </c>
      <c r="AE54" s="9" t="str">
        <f t="shared" si="9"/>
        <v/>
      </c>
    </row>
    <row r="55" spans="1:31" ht="1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17"/>
      <c r="Q55" s="8"/>
      <c r="R55" s="8"/>
      <c r="S55" s="8"/>
      <c r="T55" s="8"/>
      <c r="U55" s="8"/>
      <c r="V55" s="8"/>
      <c r="W55" s="8"/>
      <c r="X55" s="8"/>
      <c r="Y55" s="8"/>
      <c r="Z55" s="8"/>
      <c r="AA55" s="8" t="str">
        <f t="shared" ca="1" si="5"/>
        <v/>
      </c>
      <c r="AB55" s="8" t="str">
        <f t="shared" si="6"/>
        <v/>
      </c>
      <c r="AC55" s="8">
        <f t="shared" ca="1" si="7"/>
        <v>0</v>
      </c>
      <c r="AD55" s="8" t="str">
        <f t="shared" si="8"/>
        <v/>
      </c>
      <c r="AE55" s="9" t="str">
        <f t="shared" si="9"/>
        <v/>
      </c>
    </row>
    <row r="56" spans="1:31" ht="1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17"/>
      <c r="Q56" s="8"/>
      <c r="R56" s="8"/>
      <c r="S56" s="8"/>
      <c r="T56" s="8"/>
      <c r="U56" s="8"/>
      <c r="V56" s="8"/>
      <c r="W56" s="8"/>
      <c r="X56" s="8"/>
      <c r="Y56" s="8"/>
      <c r="Z56" s="8"/>
      <c r="AA56" s="8" t="str">
        <f t="shared" ca="1" si="5"/>
        <v/>
      </c>
      <c r="AB56" s="8" t="str">
        <f t="shared" si="6"/>
        <v/>
      </c>
      <c r="AC56" s="8">
        <f t="shared" ca="1" si="7"/>
        <v>0</v>
      </c>
      <c r="AD56" s="8" t="str">
        <f t="shared" si="8"/>
        <v/>
      </c>
      <c r="AE56" s="9" t="str">
        <f t="shared" si="9"/>
        <v/>
      </c>
    </row>
    <row r="57" spans="1:31" ht="1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7"/>
      <c r="Q57" s="8"/>
      <c r="R57" s="8"/>
      <c r="S57" s="8"/>
      <c r="T57" s="8"/>
      <c r="U57" s="8"/>
      <c r="V57" s="8"/>
      <c r="W57" s="8"/>
      <c r="X57" s="8"/>
      <c r="Y57" s="8"/>
      <c r="Z57" s="8"/>
      <c r="AA57" s="8" t="str">
        <f t="shared" ca="1" si="5"/>
        <v/>
      </c>
      <c r="AB57" s="8" t="str">
        <f t="shared" si="6"/>
        <v/>
      </c>
      <c r="AC57" s="8">
        <f t="shared" ca="1" si="7"/>
        <v>0</v>
      </c>
      <c r="AD57" s="8" t="str">
        <f t="shared" si="8"/>
        <v/>
      </c>
      <c r="AE57" s="9" t="str">
        <f t="shared" si="9"/>
        <v/>
      </c>
    </row>
    <row r="58" spans="1:31" ht="1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17"/>
      <c r="Q58" s="8"/>
      <c r="R58" s="8"/>
      <c r="S58" s="8"/>
      <c r="T58" s="8"/>
      <c r="U58" s="8"/>
      <c r="V58" s="8"/>
      <c r="W58" s="8"/>
      <c r="X58" s="8"/>
      <c r="Y58" s="8"/>
      <c r="Z58" s="8"/>
      <c r="AA58" s="8" t="str">
        <f t="shared" ca="1" si="5"/>
        <v/>
      </c>
      <c r="AB58" s="8" t="str">
        <f t="shared" si="6"/>
        <v/>
      </c>
      <c r="AC58" s="8">
        <f t="shared" ca="1" si="7"/>
        <v>0</v>
      </c>
      <c r="AD58" s="8" t="str">
        <f t="shared" si="8"/>
        <v/>
      </c>
      <c r="AE58" s="9" t="str">
        <f t="shared" si="9"/>
        <v/>
      </c>
    </row>
    <row r="59" spans="1:31" ht="1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17"/>
      <c r="Q59" s="8"/>
      <c r="R59" s="8"/>
      <c r="S59" s="8"/>
      <c r="T59" s="8"/>
      <c r="U59" s="8"/>
      <c r="V59" s="8"/>
      <c r="W59" s="8"/>
      <c r="X59" s="8"/>
      <c r="Y59" s="8"/>
      <c r="Z59" s="8"/>
      <c r="AA59" s="8" t="str">
        <f t="shared" ca="1" si="5"/>
        <v/>
      </c>
      <c r="AB59" s="8" t="str">
        <f t="shared" si="6"/>
        <v/>
      </c>
      <c r="AC59" s="8">
        <f t="shared" ca="1" si="7"/>
        <v>0</v>
      </c>
      <c r="AD59" s="8" t="str">
        <f t="shared" si="8"/>
        <v/>
      </c>
      <c r="AE59" s="9" t="str">
        <f t="shared" si="9"/>
        <v/>
      </c>
    </row>
    <row r="60" spans="1:31" ht="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17"/>
      <c r="Q60" s="8"/>
      <c r="R60" s="8"/>
      <c r="S60" s="8"/>
      <c r="T60" s="8"/>
      <c r="U60" s="8"/>
      <c r="V60" s="8"/>
      <c r="W60" s="8"/>
      <c r="X60" s="8"/>
      <c r="Y60" s="8"/>
      <c r="Z60" s="8"/>
      <c r="AA60" s="8" t="str">
        <f t="shared" ca="1" si="5"/>
        <v/>
      </c>
      <c r="AB60" s="8" t="str">
        <f t="shared" si="6"/>
        <v/>
      </c>
      <c r="AC60" s="8">
        <f t="shared" ca="1" si="7"/>
        <v>0</v>
      </c>
      <c r="AD60" s="8" t="str">
        <f t="shared" si="8"/>
        <v/>
      </c>
      <c r="AE60" s="9" t="str">
        <f t="shared" si="9"/>
        <v/>
      </c>
    </row>
    <row r="61" spans="1:31" ht="1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17"/>
      <c r="Q61" s="8"/>
      <c r="R61" s="8"/>
      <c r="S61" s="8"/>
      <c r="T61" s="8"/>
      <c r="U61" s="8"/>
      <c r="V61" s="8"/>
      <c r="W61" s="8"/>
      <c r="X61" s="8"/>
      <c r="Y61" s="8"/>
      <c r="Z61" s="8"/>
      <c r="AA61" s="8" t="str">
        <f t="shared" ca="1" si="5"/>
        <v/>
      </c>
      <c r="AB61" s="8" t="str">
        <f t="shared" si="6"/>
        <v/>
      </c>
      <c r="AC61" s="8">
        <f t="shared" ca="1" si="7"/>
        <v>0</v>
      </c>
      <c r="AD61" s="8" t="str">
        <f t="shared" si="8"/>
        <v/>
      </c>
      <c r="AE61" s="9" t="str">
        <f t="shared" si="9"/>
        <v/>
      </c>
    </row>
    <row r="62" spans="1:31" ht="1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17"/>
      <c r="Q62" s="8"/>
      <c r="R62" s="8"/>
      <c r="S62" s="8"/>
      <c r="T62" s="8"/>
      <c r="U62" s="8"/>
      <c r="V62" s="8"/>
      <c r="W62" s="8"/>
      <c r="X62" s="8"/>
      <c r="Y62" s="8"/>
      <c r="Z62" s="8"/>
      <c r="AA62" s="8" t="str">
        <f t="shared" ca="1" si="5"/>
        <v/>
      </c>
      <c r="AB62" s="8" t="str">
        <f t="shared" si="6"/>
        <v/>
      </c>
      <c r="AC62" s="8">
        <f t="shared" ca="1" si="7"/>
        <v>0</v>
      </c>
      <c r="AD62" s="8" t="str">
        <f t="shared" si="8"/>
        <v/>
      </c>
      <c r="AE62" s="9" t="str">
        <f t="shared" si="9"/>
        <v/>
      </c>
    </row>
    <row r="63" spans="1:31" ht="1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17"/>
      <c r="Q63" s="8"/>
      <c r="R63" s="8"/>
      <c r="S63" s="8"/>
      <c r="T63" s="8"/>
      <c r="U63" s="8"/>
      <c r="V63" s="8"/>
      <c r="W63" s="8"/>
      <c r="X63" s="8"/>
      <c r="Y63" s="8"/>
      <c r="Z63" s="8"/>
      <c r="AA63" s="8" t="str">
        <f t="shared" ca="1" si="5"/>
        <v/>
      </c>
      <c r="AB63" s="8" t="str">
        <f t="shared" si="6"/>
        <v/>
      </c>
      <c r="AC63" s="8">
        <f t="shared" ca="1" si="7"/>
        <v>0</v>
      </c>
      <c r="AD63" s="8" t="str">
        <f t="shared" si="8"/>
        <v/>
      </c>
      <c r="AE63" s="9" t="str">
        <f t="shared" si="9"/>
        <v/>
      </c>
    </row>
    <row r="64" spans="1:31" ht="1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17"/>
      <c r="Q64" s="8"/>
      <c r="R64" s="8"/>
      <c r="S64" s="8"/>
      <c r="T64" s="8"/>
      <c r="U64" s="8"/>
      <c r="V64" s="8"/>
      <c r="W64" s="8"/>
      <c r="X64" s="8"/>
      <c r="Y64" s="8"/>
      <c r="Z64" s="8"/>
      <c r="AA64" s="8" t="str">
        <f t="shared" ca="1" si="5"/>
        <v/>
      </c>
      <c r="AB64" s="8" t="str">
        <f t="shared" si="6"/>
        <v/>
      </c>
      <c r="AC64" s="8">
        <f t="shared" ca="1" si="7"/>
        <v>0</v>
      </c>
      <c r="AD64" s="8" t="str">
        <f t="shared" si="8"/>
        <v/>
      </c>
      <c r="AE64" s="9" t="str">
        <f t="shared" si="9"/>
        <v/>
      </c>
    </row>
    <row r="65" spans="1:31" ht="1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17"/>
      <c r="Q65" s="8"/>
      <c r="R65" s="8"/>
      <c r="S65" s="8"/>
      <c r="T65" s="8"/>
      <c r="U65" s="8"/>
      <c r="V65" s="8"/>
      <c r="W65" s="8"/>
      <c r="X65" s="8"/>
      <c r="Y65" s="8"/>
      <c r="Z65" s="8"/>
      <c r="AA65" s="8" t="str">
        <f t="shared" ca="1" si="5"/>
        <v/>
      </c>
      <c r="AB65" s="8" t="str">
        <f t="shared" si="6"/>
        <v/>
      </c>
      <c r="AC65" s="8">
        <f t="shared" ca="1" si="7"/>
        <v>0</v>
      </c>
      <c r="AD65" s="8" t="str">
        <f t="shared" si="8"/>
        <v/>
      </c>
      <c r="AE65" s="9" t="str">
        <f t="shared" si="9"/>
        <v/>
      </c>
    </row>
    <row r="66" spans="1:31" ht="1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17"/>
      <c r="Q66" s="8"/>
      <c r="R66" s="8"/>
      <c r="S66" s="8"/>
      <c r="T66" s="8"/>
      <c r="U66" s="8"/>
      <c r="V66" s="8"/>
      <c r="W66" s="8"/>
      <c r="X66" s="8"/>
      <c r="Y66" s="8"/>
      <c r="Z66" s="8"/>
      <c r="AA66" s="8" t="str">
        <f t="shared" ca="1" si="5"/>
        <v/>
      </c>
      <c r="AB66" s="8" t="str">
        <f t="shared" si="6"/>
        <v/>
      </c>
      <c r="AC66" s="8">
        <f t="shared" ca="1" si="7"/>
        <v>0</v>
      </c>
      <c r="AD66" s="8" t="str">
        <f t="shared" si="8"/>
        <v/>
      </c>
      <c r="AE66" s="9" t="str">
        <f t="shared" si="9"/>
        <v/>
      </c>
    </row>
    <row r="67" spans="1:31" ht="1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17"/>
      <c r="Q67" s="8"/>
      <c r="R67" s="8"/>
      <c r="S67" s="8"/>
      <c r="T67" s="8"/>
      <c r="U67" s="8"/>
      <c r="V67" s="8"/>
      <c r="W67" s="8"/>
      <c r="X67" s="8"/>
      <c r="Y67" s="8"/>
      <c r="Z67" s="8"/>
      <c r="AA67" s="8" t="str">
        <f t="shared" ca="1" si="5"/>
        <v/>
      </c>
      <c r="AB67" s="8" t="str">
        <f t="shared" si="6"/>
        <v/>
      </c>
      <c r="AC67" s="8">
        <f t="shared" ca="1" si="7"/>
        <v>0</v>
      </c>
      <c r="AD67" s="8" t="str">
        <f t="shared" si="8"/>
        <v/>
      </c>
      <c r="AE67" s="9" t="str">
        <f t="shared" si="9"/>
        <v/>
      </c>
    </row>
    <row r="68" spans="1:31" ht="1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17"/>
      <c r="Q68" s="8"/>
      <c r="R68" s="8"/>
      <c r="S68" s="8"/>
      <c r="T68" s="8"/>
      <c r="U68" s="8"/>
      <c r="V68" s="8"/>
      <c r="W68" s="8"/>
      <c r="X68" s="8"/>
      <c r="Y68" s="8"/>
      <c r="Z68" s="8"/>
      <c r="AA68" s="8" t="str">
        <f t="shared" ca="1" si="5"/>
        <v/>
      </c>
      <c r="AB68" s="8" t="str">
        <f t="shared" si="6"/>
        <v/>
      </c>
      <c r="AC68" s="8">
        <f t="shared" ca="1" si="7"/>
        <v>0</v>
      </c>
      <c r="AD68" s="8" t="str">
        <f t="shared" si="8"/>
        <v/>
      </c>
      <c r="AE68" s="9" t="str">
        <f t="shared" si="9"/>
        <v/>
      </c>
    </row>
    <row r="69" spans="1:31" ht="1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17"/>
      <c r="Q69" s="8"/>
      <c r="R69" s="8"/>
      <c r="S69" s="8"/>
      <c r="T69" s="8"/>
      <c r="U69" s="8"/>
      <c r="V69" s="8"/>
      <c r="W69" s="8"/>
      <c r="X69" s="8"/>
      <c r="Y69" s="8"/>
      <c r="Z69" s="8"/>
      <c r="AA69" s="8" t="str">
        <f t="shared" ref="AA69:AA100" ca="1" si="10">IF(N69&lt;&gt;"",N69-C69,IF(C69&lt;&gt;"",TODAY()-C69,""))</f>
        <v/>
      </c>
      <c r="AB69" s="8" t="str">
        <f t="shared" ref="AB69:AB100" si="11">IF(O69="Cerrada",IF(N69&lt;=M69,"Sí","No"),IF(O69="Cancelada","No aplica",IF(O69&lt;&gt;"","Pendiente","")))</f>
        <v/>
      </c>
      <c r="AC69" s="8">
        <f t="shared" ref="AC69:AC100" ca="1" si="12">IF(AND(O69&lt;&gt;"",O69&lt;&gt;"Cerrada",O69&lt;&gt;"Cancelada",TODAY()&gt;M69),TODAY()-M69,0)</f>
        <v>0</v>
      </c>
      <c r="AD69" s="8" t="str">
        <f t="shared" ref="AD69:AD100" si="13">IF(C69&lt;&gt;"",TEXT(C69,"mmmm"),"")</f>
        <v/>
      </c>
      <c r="AE69" s="9" t="str">
        <f t="shared" ref="AE69:AE100" si="14">IF(C69&lt;&gt;"","T"&amp;ROUNDUP(MONTH(C69)/3,0),"")</f>
        <v/>
      </c>
    </row>
    <row r="70" spans="1:31" ht="1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17"/>
      <c r="Q70" s="8"/>
      <c r="R70" s="8"/>
      <c r="S70" s="8"/>
      <c r="T70" s="8"/>
      <c r="U70" s="8"/>
      <c r="V70" s="8"/>
      <c r="W70" s="8"/>
      <c r="X70" s="8"/>
      <c r="Y70" s="8"/>
      <c r="Z70" s="8"/>
      <c r="AA70" s="8" t="str">
        <f t="shared" ca="1" si="10"/>
        <v/>
      </c>
      <c r="AB70" s="8" t="str">
        <f t="shared" si="11"/>
        <v/>
      </c>
      <c r="AC70" s="8">
        <f t="shared" ca="1" si="12"/>
        <v>0</v>
      </c>
      <c r="AD70" s="8" t="str">
        <f t="shared" si="13"/>
        <v/>
      </c>
      <c r="AE70" s="9" t="str">
        <f t="shared" si="14"/>
        <v/>
      </c>
    </row>
    <row r="71" spans="1:31" ht="1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17"/>
      <c r="Q71" s="8"/>
      <c r="R71" s="8"/>
      <c r="S71" s="8"/>
      <c r="T71" s="8"/>
      <c r="U71" s="8"/>
      <c r="V71" s="8"/>
      <c r="W71" s="8"/>
      <c r="X71" s="8"/>
      <c r="Y71" s="8"/>
      <c r="Z71" s="8"/>
      <c r="AA71" s="8" t="str">
        <f t="shared" ca="1" si="10"/>
        <v/>
      </c>
      <c r="AB71" s="8" t="str">
        <f t="shared" si="11"/>
        <v/>
      </c>
      <c r="AC71" s="8">
        <f t="shared" ca="1" si="12"/>
        <v>0</v>
      </c>
      <c r="AD71" s="8" t="str">
        <f t="shared" si="13"/>
        <v/>
      </c>
      <c r="AE71" s="9" t="str">
        <f t="shared" si="14"/>
        <v/>
      </c>
    </row>
    <row r="72" spans="1:31" ht="1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17"/>
      <c r="Q72" s="8"/>
      <c r="R72" s="8"/>
      <c r="S72" s="8"/>
      <c r="T72" s="8"/>
      <c r="U72" s="8"/>
      <c r="V72" s="8"/>
      <c r="W72" s="8"/>
      <c r="X72" s="8"/>
      <c r="Y72" s="8"/>
      <c r="Z72" s="8"/>
      <c r="AA72" s="8" t="str">
        <f t="shared" ca="1" si="10"/>
        <v/>
      </c>
      <c r="AB72" s="8" t="str">
        <f t="shared" si="11"/>
        <v/>
      </c>
      <c r="AC72" s="8">
        <f t="shared" ca="1" si="12"/>
        <v>0</v>
      </c>
      <c r="AD72" s="8" t="str">
        <f t="shared" si="13"/>
        <v/>
      </c>
      <c r="AE72" s="9" t="str">
        <f t="shared" si="14"/>
        <v/>
      </c>
    </row>
    <row r="73" spans="1:31" ht="1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17"/>
      <c r="Q73" s="8"/>
      <c r="R73" s="8"/>
      <c r="S73" s="8"/>
      <c r="T73" s="8"/>
      <c r="U73" s="8"/>
      <c r="V73" s="8"/>
      <c r="W73" s="8"/>
      <c r="X73" s="8"/>
      <c r="Y73" s="8"/>
      <c r="Z73" s="8"/>
      <c r="AA73" s="8" t="str">
        <f t="shared" ca="1" si="10"/>
        <v/>
      </c>
      <c r="AB73" s="8" t="str">
        <f t="shared" si="11"/>
        <v/>
      </c>
      <c r="AC73" s="8">
        <f t="shared" ca="1" si="12"/>
        <v>0</v>
      </c>
      <c r="AD73" s="8" t="str">
        <f t="shared" si="13"/>
        <v/>
      </c>
      <c r="AE73" s="9" t="str">
        <f t="shared" si="14"/>
        <v/>
      </c>
    </row>
    <row r="74" spans="1:31" ht="1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17"/>
      <c r="Q74" s="8"/>
      <c r="R74" s="8"/>
      <c r="S74" s="8"/>
      <c r="T74" s="8"/>
      <c r="U74" s="8"/>
      <c r="V74" s="8"/>
      <c r="W74" s="8"/>
      <c r="X74" s="8"/>
      <c r="Y74" s="8"/>
      <c r="Z74" s="8"/>
      <c r="AA74" s="8" t="str">
        <f t="shared" ca="1" si="10"/>
        <v/>
      </c>
      <c r="AB74" s="8" t="str">
        <f t="shared" si="11"/>
        <v/>
      </c>
      <c r="AC74" s="8">
        <f t="shared" ca="1" si="12"/>
        <v>0</v>
      </c>
      <c r="AD74" s="8" t="str">
        <f t="shared" si="13"/>
        <v/>
      </c>
      <c r="AE74" s="9" t="str">
        <f t="shared" si="14"/>
        <v/>
      </c>
    </row>
    <row r="75" spans="1:31" ht="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17"/>
      <c r="Q75" s="8"/>
      <c r="R75" s="8"/>
      <c r="S75" s="8"/>
      <c r="T75" s="8"/>
      <c r="U75" s="8"/>
      <c r="V75" s="8"/>
      <c r="W75" s="8"/>
      <c r="X75" s="8"/>
      <c r="Y75" s="8"/>
      <c r="Z75" s="8"/>
      <c r="AA75" s="8" t="str">
        <f t="shared" ca="1" si="10"/>
        <v/>
      </c>
      <c r="AB75" s="8" t="str">
        <f t="shared" si="11"/>
        <v/>
      </c>
      <c r="AC75" s="8">
        <f t="shared" ca="1" si="12"/>
        <v>0</v>
      </c>
      <c r="AD75" s="8" t="str">
        <f t="shared" si="13"/>
        <v/>
      </c>
      <c r="AE75" s="9" t="str">
        <f t="shared" si="14"/>
        <v/>
      </c>
    </row>
    <row r="76" spans="1:31" ht="1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17"/>
      <c r="Q76" s="8"/>
      <c r="R76" s="8"/>
      <c r="S76" s="8"/>
      <c r="T76" s="8"/>
      <c r="U76" s="8"/>
      <c r="V76" s="8"/>
      <c r="W76" s="8"/>
      <c r="X76" s="8"/>
      <c r="Y76" s="8"/>
      <c r="Z76" s="8"/>
      <c r="AA76" s="8" t="str">
        <f t="shared" ca="1" si="10"/>
        <v/>
      </c>
      <c r="AB76" s="8" t="str">
        <f t="shared" si="11"/>
        <v/>
      </c>
      <c r="AC76" s="8">
        <f t="shared" ca="1" si="12"/>
        <v>0</v>
      </c>
      <c r="AD76" s="8" t="str">
        <f t="shared" si="13"/>
        <v/>
      </c>
      <c r="AE76" s="9" t="str">
        <f t="shared" si="14"/>
        <v/>
      </c>
    </row>
    <row r="77" spans="1:31" ht="1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17"/>
      <c r="Q77" s="8"/>
      <c r="R77" s="8"/>
      <c r="S77" s="8"/>
      <c r="T77" s="8"/>
      <c r="U77" s="8"/>
      <c r="V77" s="8"/>
      <c r="W77" s="8"/>
      <c r="X77" s="8"/>
      <c r="Y77" s="8"/>
      <c r="Z77" s="8"/>
      <c r="AA77" s="8" t="str">
        <f t="shared" ca="1" si="10"/>
        <v/>
      </c>
      <c r="AB77" s="8" t="str">
        <f t="shared" si="11"/>
        <v/>
      </c>
      <c r="AC77" s="8">
        <f t="shared" ca="1" si="12"/>
        <v>0</v>
      </c>
      <c r="AD77" s="8" t="str">
        <f t="shared" si="13"/>
        <v/>
      </c>
      <c r="AE77" s="9" t="str">
        <f t="shared" si="14"/>
        <v/>
      </c>
    </row>
    <row r="78" spans="1:31" ht="1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17"/>
      <c r="Q78" s="8"/>
      <c r="R78" s="8"/>
      <c r="S78" s="8"/>
      <c r="T78" s="8"/>
      <c r="U78" s="8"/>
      <c r="V78" s="8"/>
      <c r="W78" s="8"/>
      <c r="X78" s="8"/>
      <c r="Y78" s="8"/>
      <c r="Z78" s="8"/>
      <c r="AA78" s="8" t="str">
        <f t="shared" ca="1" si="10"/>
        <v/>
      </c>
      <c r="AB78" s="8" t="str">
        <f t="shared" si="11"/>
        <v/>
      </c>
      <c r="AC78" s="8">
        <f t="shared" ca="1" si="12"/>
        <v>0</v>
      </c>
      <c r="AD78" s="8" t="str">
        <f t="shared" si="13"/>
        <v/>
      </c>
      <c r="AE78" s="9" t="str">
        <f t="shared" si="14"/>
        <v/>
      </c>
    </row>
    <row r="79" spans="1:31" ht="1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17"/>
      <c r="Q79" s="8"/>
      <c r="R79" s="8"/>
      <c r="S79" s="8"/>
      <c r="T79" s="8"/>
      <c r="U79" s="8"/>
      <c r="V79" s="8"/>
      <c r="W79" s="8"/>
      <c r="X79" s="8"/>
      <c r="Y79" s="8"/>
      <c r="Z79" s="8"/>
      <c r="AA79" s="8" t="str">
        <f t="shared" ca="1" si="10"/>
        <v/>
      </c>
      <c r="AB79" s="8" t="str">
        <f t="shared" si="11"/>
        <v/>
      </c>
      <c r="AC79" s="8">
        <f t="shared" ca="1" si="12"/>
        <v>0</v>
      </c>
      <c r="AD79" s="8" t="str">
        <f t="shared" si="13"/>
        <v/>
      </c>
      <c r="AE79" s="9" t="str">
        <f t="shared" si="14"/>
        <v/>
      </c>
    </row>
    <row r="80" spans="1:31" ht="1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17"/>
      <c r="Q80" s="8"/>
      <c r="R80" s="8"/>
      <c r="S80" s="8"/>
      <c r="T80" s="8"/>
      <c r="U80" s="8"/>
      <c r="V80" s="8"/>
      <c r="W80" s="8"/>
      <c r="X80" s="8"/>
      <c r="Y80" s="8"/>
      <c r="Z80" s="8"/>
      <c r="AA80" s="8" t="str">
        <f t="shared" ca="1" si="10"/>
        <v/>
      </c>
      <c r="AB80" s="8" t="str">
        <f t="shared" si="11"/>
        <v/>
      </c>
      <c r="AC80" s="8">
        <f t="shared" ca="1" si="12"/>
        <v>0</v>
      </c>
      <c r="AD80" s="8" t="str">
        <f t="shared" si="13"/>
        <v/>
      </c>
      <c r="AE80" s="9" t="str">
        <f t="shared" si="14"/>
        <v/>
      </c>
    </row>
    <row r="81" spans="1:31" ht="1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17"/>
      <c r="Q81" s="8"/>
      <c r="R81" s="8"/>
      <c r="S81" s="8"/>
      <c r="T81" s="8"/>
      <c r="U81" s="8"/>
      <c r="V81" s="8"/>
      <c r="W81" s="8"/>
      <c r="X81" s="8"/>
      <c r="Y81" s="8"/>
      <c r="Z81" s="8"/>
      <c r="AA81" s="8" t="str">
        <f t="shared" ca="1" si="10"/>
        <v/>
      </c>
      <c r="AB81" s="8" t="str">
        <f t="shared" si="11"/>
        <v/>
      </c>
      <c r="AC81" s="8">
        <f t="shared" ca="1" si="12"/>
        <v>0</v>
      </c>
      <c r="AD81" s="8" t="str">
        <f t="shared" si="13"/>
        <v/>
      </c>
      <c r="AE81" s="9" t="str">
        <f t="shared" si="14"/>
        <v/>
      </c>
    </row>
    <row r="82" spans="1:31" ht="1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17"/>
      <c r="Q82" s="8"/>
      <c r="R82" s="8"/>
      <c r="S82" s="8"/>
      <c r="T82" s="8"/>
      <c r="U82" s="8"/>
      <c r="V82" s="8"/>
      <c r="W82" s="8"/>
      <c r="X82" s="8"/>
      <c r="Y82" s="8"/>
      <c r="Z82" s="8"/>
      <c r="AA82" s="8" t="str">
        <f t="shared" ca="1" si="10"/>
        <v/>
      </c>
      <c r="AB82" s="8" t="str">
        <f t="shared" si="11"/>
        <v/>
      </c>
      <c r="AC82" s="8">
        <f t="shared" ca="1" si="12"/>
        <v>0</v>
      </c>
      <c r="AD82" s="8" t="str">
        <f t="shared" si="13"/>
        <v/>
      </c>
      <c r="AE82" s="9" t="str">
        <f t="shared" si="14"/>
        <v/>
      </c>
    </row>
    <row r="83" spans="1:31" ht="1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17"/>
      <c r="Q83" s="8"/>
      <c r="R83" s="8"/>
      <c r="S83" s="8"/>
      <c r="T83" s="8"/>
      <c r="U83" s="8"/>
      <c r="V83" s="8"/>
      <c r="W83" s="8"/>
      <c r="X83" s="8"/>
      <c r="Y83" s="8"/>
      <c r="Z83" s="8"/>
      <c r="AA83" s="8" t="str">
        <f t="shared" ca="1" si="10"/>
        <v/>
      </c>
      <c r="AB83" s="8" t="str">
        <f t="shared" si="11"/>
        <v/>
      </c>
      <c r="AC83" s="8">
        <f t="shared" ca="1" si="12"/>
        <v>0</v>
      </c>
      <c r="AD83" s="8" t="str">
        <f t="shared" si="13"/>
        <v/>
      </c>
      <c r="AE83" s="9" t="str">
        <f t="shared" si="14"/>
        <v/>
      </c>
    </row>
    <row r="84" spans="1:31" ht="1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17"/>
      <c r="Q84" s="8"/>
      <c r="R84" s="8"/>
      <c r="S84" s="8"/>
      <c r="T84" s="8"/>
      <c r="U84" s="8"/>
      <c r="V84" s="8"/>
      <c r="W84" s="8"/>
      <c r="X84" s="8"/>
      <c r="Y84" s="8"/>
      <c r="Z84" s="8"/>
      <c r="AA84" s="8" t="str">
        <f t="shared" ca="1" si="10"/>
        <v/>
      </c>
      <c r="AB84" s="8" t="str">
        <f t="shared" si="11"/>
        <v/>
      </c>
      <c r="AC84" s="8">
        <f t="shared" ca="1" si="12"/>
        <v>0</v>
      </c>
      <c r="AD84" s="8" t="str">
        <f t="shared" si="13"/>
        <v/>
      </c>
      <c r="AE84" s="9" t="str">
        <f t="shared" si="14"/>
        <v/>
      </c>
    </row>
    <row r="85" spans="1:31" ht="1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17"/>
      <c r="Q85" s="8"/>
      <c r="R85" s="8"/>
      <c r="S85" s="8"/>
      <c r="T85" s="8"/>
      <c r="U85" s="8"/>
      <c r="V85" s="8"/>
      <c r="W85" s="8"/>
      <c r="X85" s="8"/>
      <c r="Y85" s="8"/>
      <c r="Z85" s="8"/>
      <c r="AA85" s="8" t="str">
        <f t="shared" ca="1" si="10"/>
        <v/>
      </c>
      <c r="AB85" s="8" t="str">
        <f t="shared" si="11"/>
        <v/>
      </c>
      <c r="AC85" s="8">
        <f t="shared" ca="1" si="12"/>
        <v>0</v>
      </c>
      <c r="AD85" s="8" t="str">
        <f t="shared" si="13"/>
        <v/>
      </c>
      <c r="AE85" s="9" t="str">
        <f t="shared" si="14"/>
        <v/>
      </c>
    </row>
    <row r="86" spans="1:31" ht="1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17"/>
      <c r="Q86" s="8"/>
      <c r="R86" s="8"/>
      <c r="S86" s="8"/>
      <c r="T86" s="8"/>
      <c r="U86" s="8"/>
      <c r="V86" s="8"/>
      <c r="W86" s="8"/>
      <c r="X86" s="8"/>
      <c r="Y86" s="8"/>
      <c r="Z86" s="8"/>
      <c r="AA86" s="8" t="str">
        <f t="shared" ca="1" si="10"/>
        <v/>
      </c>
      <c r="AB86" s="8" t="str">
        <f t="shared" si="11"/>
        <v/>
      </c>
      <c r="AC86" s="8">
        <f t="shared" ca="1" si="12"/>
        <v>0</v>
      </c>
      <c r="AD86" s="8" t="str">
        <f t="shared" si="13"/>
        <v/>
      </c>
      <c r="AE86" s="9" t="str">
        <f t="shared" si="14"/>
        <v/>
      </c>
    </row>
    <row r="87" spans="1:31" ht="1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17"/>
      <c r="Q87" s="8"/>
      <c r="R87" s="8"/>
      <c r="S87" s="8"/>
      <c r="T87" s="8"/>
      <c r="U87" s="8"/>
      <c r="V87" s="8"/>
      <c r="W87" s="8"/>
      <c r="X87" s="8"/>
      <c r="Y87" s="8"/>
      <c r="Z87" s="8"/>
      <c r="AA87" s="8" t="str">
        <f t="shared" ca="1" si="10"/>
        <v/>
      </c>
      <c r="AB87" s="8" t="str">
        <f t="shared" si="11"/>
        <v/>
      </c>
      <c r="AC87" s="8">
        <f t="shared" ca="1" si="12"/>
        <v>0</v>
      </c>
      <c r="AD87" s="8" t="str">
        <f t="shared" si="13"/>
        <v/>
      </c>
      <c r="AE87" s="9" t="str">
        <f t="shared" si="14"/>
        <v/>
      </c>
    </row>
    <row r="88" spans="1:31" ht="1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17"/>
      <c r="Q88" s="8"/>
      <c r="R88" s="8"/>
      <c r="S88" s="8"/>
      <c r="T88" s="8"/>
      <c r="U88" s="8"/>
      <c r="V88" s="8"/>
      <c r="W88" s="8"/>
      <c r="X88" s="8"/>
      <c r="Y88" s="8"/>
      <c r="Z88" s="8"/>
      <c r="AA88" s="8" t="str">
        <f t="shared" ca="1" si="10"/>
        <v/>
      </c>
      <c r="AB88" s="8" t="str">
        <f t="shared" si="11"/>
        <v/>
      </c>
      <c r="AC88" s="8">
        <f t="shared" ca="1" si="12"/>
        <v>0</v>
      </c>
      <c r="AD88" s="8" t="str">
        <f t="shared" si="13"/>
        <v/>
      </c>
      <c r="AE88" s="9" t="str">
        <f t="shared" si="14"/>
        <v/>
      </c>
    </row>
    <row r="89" spans="1:31" ht="1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17"/>
      <c r="Q89" s="8"/>
      <c r="R89" s="8"/>
      <c r="S89" s="8"/>
      <c r="T89" s="8"/>
      <c r="U89" s="8"/>
      <c r="V89" s="8"/>
      <c r="W89" s="8"/>
      <c r="X89" s="8"/>
      <c r="Y89" s="8"/>
      <c r="Z89" s="8"/>
      <c r="AA89" s="8" t="str">
        <f t="shared" ca="1" si="10"/>
        <v/>
      </c>
      <c r="AB89" s="8" t="str">
        <f t="shared" si="11"/>
        <v/>
      </c>
      <c r="AC89" s="8">
        <f t="shared" ca="1" si="12"/>
        <v>0</v>
      </c>
      <c r="AD89" s="8" t="str">
        <f t="shared" si="13"/>
        <v/>
      </c>
      <c r="AE89" s="9" t="str">
        <f t="shared" si="14"/>
        <v/>
      </c>
    </row>
    <row r="90" spans="1:31" ht="1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17"/>
      <c r="Q90" s="8"/>
      <c r="R90" s="8"/>
      <c r="S90" s="8"/>
      <c r="T90" s="8"/>
      <c r="U90" s="8"/>
      <c r="V90" s="8"/>
      <c r="W90" s="8"/>
      <c r="X90" s="8"/>
      <c r="Y90" s="8"/>
      <c r="Z90" s="8"/>
      <c r="AA90" s="8" t="str">
        <f t="shared" ca="1" si="10"/>
        <v/>
      </c>
      <c r="AB90" s="8" t="str">
        <f t="shared" si="11"/>
        <v/>
      </c>
      <c r="AC90" s="8">
        <f t="shared" ca="1" si="12"/>
        <v>0</v>
      </c>
      <c r="AD90" s="8" t="str">
        <f t="shared" si="13"/>
        <v/>
      </c>
      <c r="AE90" s="9" t="str">
        <f t="shared" si="14"/>
        <v/>
      </c>
    </row>
    <row r="91" spans="1:31" ht="1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17"/>
      <c r="Q91" s="8"/>
      <c r="R91" s="8"/>
      <c r="S91" s="8"/>
      <c r="T91" s="8"/>
      <c r="U91" s="8"/>
      <c r="V91" s="8"/>
      <c r="W91" s="8"/>
      <c r="X91" s="8"/>
      <c r="Y91" s="8"/>
      <c r="Z91" s="8"/>
      <c r="AA91" s="8" t="str">
        <f t="shared" ca="1" si="10"/>
        <v/>
      </c>
      <c r="AB91" s="8" t="str">
        <f t="shared" si="11"/>
        <v/>
      </c>
      <c r="AC91" s="8">
        <f t="shared" ca="1" si="12"/>
        <v>0</v>
      </c>
      <c r="AD91" s="8" t="str">
        <f t="shared" si="13"/>
        <v/>
      </c>
      <c r="AE91" s="9" t="str">
        <f t="shared" si="14"/>
        <v/>
      </c>
    </row>
    <row r="92" spans="1:31" ht="1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17"/>
      <c r="Q92" s="8"/>
      <c r="R92" s="8"/>
      <c r="S92" s="8"/>
      <c r="T92" s="8"/>
      <c r="U92" s="8"/>
      <c r="V92" s="8"/>
      <c r="W92" s="8"/>
      <c r="X92" s="8"/>
      <c r="Y92" s="8"/>
      <c r="Z92" s="8"/>
      <c r="AA92" s="8" t="str">
        <f t="shared" ca="1" si="10"/>
        <v/>
      </c>
      <c r="AB92" s="8" t="str">
        <f t="shared" si="11"/>
        <v/>
      </c>
      <c r="AC92" s="8">
        <f t="shared" ca="1" si="12"/>
        <v>0</v>
      </c>
      <c r="AD92" s="8" t="str">
        <f t="shared" si="13"/>
        <v/>
      </c>
      <c r="AE92" s="9" t="str">
        <f t="shared" si="14"/>
        <v/>
      </c>
    </row>
    <row r="93" spans="1:31" ht="1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17"/>
      <c r="Q93" s="8"/>
      <c r="R93" s="8"/>
      <c r="S93" s="8"/>
      <c r="T93" s="8"/>
      <c r="U93" s="8"/>
      <c r="V93" s="8"/>
      <c r="W93" s="8"/>
      <c r="X93" s="8"/>
      <c r="Y93" s="8"/>
      <c r="Z93" s="8"/>
      <c r="AA93" s="8" t="str">
        <f t="shared" ca="1" si="10"/>
        <v/>
      </c>
      <c r="AB93" s="8" t="str">
        <f t="shared" si="11"/>
        <v/>
      </c>
      <c r="AC93" s="8">
        <f t="shared" ca="1" si="12"/>
        <v>0</v>
      </c>
      <c r="AD93" s="8" t="str">
        <f t="shared" si="13"/>
        <v/>
      </c>
      <c r="AE93" s="9" t="str">
        <f t="shared" si="14"/>
        <v/>
      </c>
    </row>
    <row r="94" spans="1:31" ht="1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17"/>
      <c r="Q94" s="8"/>
      <c r="R94" s="8"/>
      <c r="S94" s="8"/>
      <c r="T94" s="8"/>
      <c r="U94" s="8"/>
      <c r="V94" s="8"/>
      <c r="W94" s="8"/>
      <c r="X94" s="8"/>
      <c r="Y94" s="8"/>
      <c r="Z94" s="8"/>
      <c r="AA94" s="8" t="str">
        <f t="shared" ca="1" si="10"/>
        <v/>
      </c>
      <c r="AB94" s="8" t="str">
        <f t="shared" si="11"/>
        <v/>
      </c>
      <c r="AC94" s="8">
        <f t="shared" ca="1" si="12"/>
        <v>0</v>
      </c>
      <c r="AD94" s="8" t="str">
        <f t="shared" si="13"/>
        <v/>
      </c>
      <c r="AE94" s="9" t="str">
        <f t="shared" si="14"/>
        <v/>
      </c>
    </row>
    <row r="95" spans="1:31" ht="1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17"/>
      <c r="Q95" s="8"/>
      <c r="R95" s="8"/>
      <c r="S95" s="8"/>
      <c r="T95" s="8"/>
      <c r="U95" s="8"/>
      <c r="V95" s="8"/>
      <c r="W95" s="8"/>
      <c r="X95" s="8"/>
      <c r="Y95" s="8"/>
      <c r="Z95" s="8"/>
      <c r="AA95" s="8" t="str">
        <f t="shared" ca="1" si="10"/>
        <v/>
      </c>
      <c r="AB95" s="8" t="str">
        <f t="shared" si="11"/>
        <v/>
      </c>
      <c r="AC95" s="8">
        <f t="shared" ca="1" si="12"/>
        <v>0</v>
      </c>
      <c r="AD95" s="8" t="str">
        <f t="shared" si="13"/>
        <v/>
      </c>
      <c r="AE95" s="9" t="str">
        <f t="shared" si="14"/>
        <v/>
      </c>
    </row>
    <row r="96" spans="1:31" ht="1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17"/>
      <c r="Q96" s="8"/>
      <c r="R96" s="8"/>
      <c r="S96" s="8"/>
      <c r="T96" s="8"/>
      <c r="U96" s="8"/>
      <c r="V96" s="8"/>
      <c r="W96" s="8"/>
      <c r="X96" s="8"/>
      <c r="Y96" s="8"/>
      <c r="Z96" s="8"/>
      <c r="AA96" s="8" t="str">
        <f t="shared" ca="1" si="10"/>
        <v/>
      </c>
      <c r="AB96" s="8" t="str">
        <f t="shared" si="11"/>
        <v/>
      </c>
      <c r="AC96" s="8">
        <f t="shared" ca="1" si="12"/>
        <v>0</v>
      </c>
      <c r="AD96" s="8" t="str">
        <f t="shared" si="13"/>
        <v/>
      </c>
      <c r="AE96" s="9" t="str">
        <f t="shared" si="14"/>
        <v/>
      </c>
    </row>
    <row r="97" spans="1:31" ht="1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17"/>
      <c r="Q97" s="8"/>
      <c r="R97" s="8"/>
      <c r="S97" s="8"/>
      <c r="T97" s="8"/>
      <c r="U97" s="8"/>
      <c r="V97" s="8"/>
      <c r="W97" s="8"/>
      <c r="X97" s="8"/>
      <c r="Y97" s="8"/>
      <c r="Z97" s="8"/>
      <c r="AA97" s="8" t="str">
        <f t="shared" ca="1" si="10"/>
        <v/>
      </c>
      <c r="AB97" s="8" t="str">
        <f t="shared" si="11"/>
        <v/>
      </c>
      <c r="AC97" s="8">
        <f t="shared" ca="1" si="12"/>
        <v>0</v>
      </c>
      <c r="AD97" s="8" t="str">
        <f t="shared" si="13"/>
        <v/>
      </c>
      <c r="AE97" s="9" t="str">
        <f t="shared" si="14"/>
        <v/>
      </c>
    </row>
    <row r="98" spans="1:31" ht="1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17"/>
      <c r="Q98" s="8"/>
      <c r="R98" s="8"/>
      <c r="S98" s="8"/>
      <c r="T98" s="8"/>
      <c r="U98" s="8"/>
      <c r="V98" s="8"/>
      <c r="W98" s="8"/>
      <c r="X98" s="8"/>
      <c r="Y98" s="8"/>
      <c r="Z98" s="8"/>
      <c r="AA98" s="8" t="str">
        <f t="shared" ca="1" si="10"/>
        <v/>
      </c>
      <c r="AB98" s="8" t="str">
        <f t="shared" si="11"/>
        <v/>
      </c>
      <c r="AC98" s="8">
        <f t="shared" ca="1" si="12"/>
        <v>0</v>
      </c>
      <c r="AD98" s="8" t="str">
        <f t="shared" si="13"/>
        <v/>
      </c>
      <c r="AE98" s="9" t="str">
        <f t="shared" si="14"/>
        <v/>
      </c>
    </row>
    <row r="99" spans="1:31" ht="1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17"/>
      <c r="Q99" s="8"/>
      <c r="R99" s="8"/>
      <c r="S99" s="8"/>
      <c r="T99" s="8"/>
      <c r="U99" s="8"/>
      <c r="V99" s="8"/>
      <c r="W99" s="8"/>
      <c r="X99" s="8"/>
      <c r="Y99" s="8"/>
      <c r="Z99" s="8"/>
      <c r="AA99" s="8" t="str">
        <f t="shared" ca="1" si="10"/>
        <v/>
      </c>
      <c r="AB99" s="8" t="str">
        <f t="shared" si="11"/>
        <v/>
      </c>
      <c r="AC99" s="8">
        <f t="shared" ca="1" si="12"/>
        <v>0</v>
      </c>
      <c r="AD99" s="8" t="str">
        <f t="shared" si="13"/>
        <v/>
      </c>
      <c r="AE99" s="9" t="str">
        <f t="shared" si="14"/>
        <v/>
      </c>
    </row>
    <row r="100" spans="1:31" ht="1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1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 t="str">
        <f t="shared" ca="1" si="10"/>
        <v/>
      </c>
      <c r="AB100" s="8" t="str">
        <f t="shared" si="11"/>
        <v/>
      </c>
      <c r="AC100" s="8">
        <f t="shared" ca="1" si="12"/>
        <v>0</v>
      </c>
      <c r="AD100" s="8" t="str">
        <f t="shared" si="13"/>
        <v/>
      </c>
      <c r="AE100" s="9" t="str">
        <f t="shared" si="14"/>
        <v/>
      </c>
    </row>
    <row r="101" spans="1:31" ht="1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1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 t="str">
        <f t="shared" ref="AA101:AA132" ca="1" si="15">IF(N101&lt;&gt;"",N101-C101,IF(C101&lt;&gt;"",TODAY()-C101,""))</f>
        <v/>
      </c>
      <c r="AB101" s="8" t="str">
        <f t="shared" ref="AB101:AB132" si="16">IF(O101="Cerrada",IF(N101&lt;=M101,"Sí","No"),IF(O101="Cancelada","No aplica",IF(O101&lt;&gt;"","Pendiente","")))</f>
        <v/>
      </c>
      <c r="AC101" s="8">
        <f t="shared" ref="AC101:AC132" ca="1" si="17">IF(AND(O101&lt;&gt;"",O101&lt;&gt;"Cerrada",O101&lt;&gt;"Cancelada",TODAY()&gt;M101),TODAY()-M101,0)</f>
        <v>0</v>
      </c>
      <c r="AD101" s="8" t="str">
        <f t="shared" ref="AD101:AD132" si="18">IF(C101&lt;&gt;"",TEXT(C101,"mmmm"),"")</f>
        <v/>
      </c>
      <c r="AE101" s="9" t="str">
        <f t="shared" ref="AE101:AE132" si="19">IF(C101&lt;&gt;"","T"&amp;ROUNDUP(MONTH(C101)/3,0),"")</f>
        <v/>
      </c>
    </row>
    <row r="102" spans="1:31" ht="1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1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 t="str">
        <f t="shared" ca="1" si="15"/>
        <v/>
      </c>
      <c r="AB102" s="8" t="str">
        <f t="shared" si="16"/>
        <v/>
      </c>
      <c r="AC102" s="8">
        <f t="shared" ca="1" si="17"/>
        <v>0</v>
      </c>
      <c r="AD102" s="8" t="str">
        <f t="shared" si="18"/>
        <v/>
      </c>
      <c r="AE102" s="9" t="str">
        <f t="shared" si="19"/>
        <v/>
      </c>
    </row>
    <row r="103" spans="1:31" ht="1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1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 t="str">
        <f t="shared" ca="1" si="15"/>
        <v/>
      </c>
      <c r="AB103" s="8" t="str">
        <f t="shared" si="16"/>
        <v/>
      </c>
      <c r="AC103" s="8">
        <f t="shared" ca="1" si="17"/>
        <v>0</v>
      </c>
      <c r="AD103" s="8" t="str">
        <f t="shared" si="18"/>
        <v/>
      </c>
      <c r="AE103" s="9" t="str">
        <f t="shared" si="19"/>
        <v/>
      </c>
    </row>
    <row r="104" spans="1:31" ht="1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1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 t="str">
        <f t="shared" ca="1" si="15"/>
        <v/>
      </c>
      <c r="AB104" s="8" t="str">
        <f t="shared" si="16"/>
        <v/>
      </c>
      <c r="AC104" s="8">
        <f t="shared" ca="1" si="17"/>
        <v>0</v>
      </c>
      <c r="AD104" s="8" t="str">
        <f t="shared" si="18"/>
        <v/>
      </c>
      <c r="AE104" s="9" t="str">
        <f t="shared" si="19"/>
        <v/>
      </c>
    </row>
    <row r="105" spans="1:31" ht="1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1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 t="str">
        <f t="shared" ca="1" si="15"/>
        <v/>
      </c>
      <c r="AB105" s="8" t="str">
        <f t="shared" si="16"/>
        <v/>
      </c>
      <c r="AC105" s="8">
        <f t="shared" ca="1" si="17"/>
        <v>0</v>
      </c>
      <c r="AD105" s="8" t="str">
        <f t="shared" si="18"/>
        <v/>
      </c>
      <c r="AE105" s="9" t="str">
        <f t="shared" si="19"/>
        <v/>
      </c>
    </row>
    <row r="106" spans="1:31" ht="1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1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 t="str">
        <f t="shared" ca="1" si="15"/>
        <v/>
      </c>
      <c r="AB106" s="8" t="str">
        <f t="shared" si="16"/>
        <v/>
      </c>
      <c r="AC106" s="8">
        <f t="shared" ca="1" si="17"/>
        <v>0</v>
      </c>
      <c r="AD106" s="8" t="str">
        <f t="shared" si="18"/>
        <v/>
      </c>
      <c r="AE106" s="9" t="str">
        <f t="shared" si="19"/>
        <v/>
      </c>
    </row>
    <row r="107" spans="1:31" ht="1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1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 t="str">
        <f t="shared" ca="1" si="15"/>
        <v/>
      </c>
      <c r="AB107" s="8" t="str">
        <f t="shared" si="16"/>
        <v/>
      </c>
      <c r="AC107" s="8">
        <f t="shared" ca="1" si="17"/>
        <v>0</v>
      </c>
      <c r="AD107" s="8" t="str">
        <f t="shared" si="18"/>
        <v/>
      </c>
      <c r="AE107" s="9" t="str">
        <f t="shared" si="19"/>
        <v/>
      </c>
    </row>
    <row r="108" spans="1:31" ht="1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1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 t="str">
        <f t="shared" ca="1" si="15"/>
        <v/>
      </c>
      <c r="AB108" s="8" t="str">
        <f t="shared" si="16"/>
        <v/>
      </c>
      <c r="AC108" s="8">
        <f t="shared" ca="1" si="17"/>
        <v>0</v>
      </c>
      <c r="AD108" s="8" t="str">
        <f t="shared" si="18"/>
        <v/>
      </c>
      <c r="AE108" s="9" t="str">
        <f t="shared" si="19"/>
        <v/>
      </c>
    </row>
    <row r="109" spans="1:31" ht="1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1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 t="str">
        <f t="shared" ca="1" si="15"/>
        <v/>
      </c>
      <c r="AB109" s="8" t="str">
        <f t="shared" si="16"/>
        <v/>
      </c>
      <c r="AC109" s="8">
        <f t="shared" ca="1" si="17"/>
        <v>0</v>
      </c>
      <c r="AD109" s="8" t="str">
        <f t="shared" si="18"/>
        <v/>
      </c>
      <c r="AE109" s="9" t="str">
        <f t="shared" si="19"/>
        <v/>
      </c>
    </row>
    <row r="110" spans="1:31" ht="1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1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 t="str">
        <f t="shared" ca="1" si="15"/>
        <v/>
      </c>
      <c r="AB110" s="8" t="str">
        <f t="shared" si="16"/>
        <v/>
      </c>
      <c r="AC110" s="8">
        <f t="shared" ca="1" si="17"/>
        <v>0</v>
      </c>
      <c r="AD110" s="8" t="str">
        <f t="shared" si="18"/>
        <v/>
      </c>
      <c r="AE110" s="9" t="str">
        <f t="shared" si="19"/>
        <v/>
      </c>
    </row>
    <row r="111" spans="1:31" ht="1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1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 t="str">
        <f t="shared" ca="1" si="15"/>
        <v/>
      </c>
      <c r="AB111" s="8" t="str">
        <f t="shared" si="16"/>
        <v/>
      </c>
      <c r="AC111" s="8">
        <f t="shared" ca="1" si="17"/>
        <v>0</v>
      </c>
      <c r="AD111" s="8" t="str">
        <f t="shared" si="18"/>
        <v/>
      </c>
      <c r="AE111" s="9" t="str">
        <f t="shared" si="19"/>
        <v/>
      </c>
    </row>
    <row r="112" spans="1:31" ht="1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1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 t="str">
        <f t="shared" ca="1" si="15"/>
        <v/>
      </c>
      <c r="AB112" s="8" t="str">
        <f t="shared" si="16"/>
        <v/>
      </c>
      <c r="AC112" s="8">
        <f t="shared" ca="1" si="17"/>
        <v>0</v>
      </c>
      <c r="AD112" s="8" t="str">
        <f t="shared" si="18"/>
        <v/>
      </c>
      <c r="AE112" s="9" t="str">
        <f t="shared" si="19"/>
        <v/>
      </c>
    </row>
    <row r="113" spans="1:31" ht="1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1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 t="str">
        <f t="shared" ca="1" si="15"/>
        <v/>
      </c>
      <c r="AB113" s="8" t="str">
        <f t="shared" si="16"/>
        <v/>
      </c>
      <c r="AC113" s="8">
        <f t="shared" ca="1" si="17"/>
        <v>0</v>
      </c>
      <c r="AD113" s="8" t="str">
        <f t="shared" si="18"/>
        <v/>
      </c>
      <c r="AE113" s="9" t="str">
        <f t="shared" si="19"/>
        <v/>
      </c>
    </row>
    <row r="114" spans="1:31" ht="1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1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 t="str">
        <f t="shared" ca="1" si="15"/>
        <v/>
      </c>
      <c r="AB114" s="8" t="str">
        <f t="shared" si="16"/>
        <v/>
      </c>
      <c r="AC114" s="8">
        <f t="shared" ca="1" si="17"/>
        <v>0</v>
      </c>
      <c r="AD114" s="8" t="str">
        <f t="shared" si="18"/>
        <v/>
      </c>
      <c r="AE114" s="9" t="str">
        <f t="shared" si="19"/>
        <v/>
      </c>
    </row>
    <row r="115" spans="1:31" ht="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1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 t="str">
        <f t="shared" ca="1" si="15"/>
        <v/>
      </c>
      <c r="AB115" s="8" t="str">
        <f t="shared" si="16"/>
        <v/>
      </c>
      <c r="AC115" s="8">
        <f t="shared" ca="1" si="17"/>
        <v>0</v>
      </c>
      <c r="AD115" s="8" t="str">
        <f t="shared" si="18"/>
        <v/>
      </c>
      <c r="AE115" s="9" t="str">
        <f t="shared" si="19"/>
        <v/>
      </c>
    </row>
    <row r="116" spans="1:31" ht="1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1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 t="str">
        <f t="shared" ca="1" si="15"/>
        <v/>
      </c>
      <c r="AB116" s="8" t="str">
        <f t="shared" si="16"/>
        <v/>
      </c>
      <c r="AC116" s="8">
        <f t="shared" ca="1" si="17"/>
        <v>0</v>
      </c>
      <c r="AD116" s="8" t="str">
        <f t="shared" si="18"/>
        <v/>
      </c>
      <c r="AE116" s="9" t="str">
        <f t="shared" si="19"/>
        <v/>
      </c>
    </row>
    <row r="117" spans="1:31" ht="1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1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 t="str">
        <f t="shared" ca="1" si="15"/>
        <v/>
      </c>
      <c r="AB117" s="8" t="str">
        <f t="shared" si="16"/>
        <v/>
      </c>
      <c r="AC117" s="8">
        <f t="shared" ca="1" si="17"/>
        <v>0</v>
      </c>
      <c r="AD117" s="8" t="str">
        <f t="shared" si="18"/>
        <v/>
      </c>
      <c r="AE117" s="9" t="str">
        <f t="shared" si="19"/>
        <v/>
      </c>
    </row>
    <row r="118" spans="1:31" ht="1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1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 t="str">
        <f t="shared" ca="1" si="15"/>
        <v/>
      </c>
      <c r="AB118" s="8" t="str">
        <f t="shared" si="16"/>
        <v/>
      </c>
      <c r="AC118" s="8">
        <f t="shared" ca="1" si="17"/>
        <v>0</v>
      </c>
      <c r="AD118" s="8" t="str">
        <f t="shared" si="18"/>
        <v/>
      </c>
      <c r="AE118" s="9" t="str">
        <f t="shared" si="19"/>
        <v/>
      </c>
    </row>
    <row r="119" spans="1:31" ht="1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1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 t="str">
        <f t="shared" ca="1" si="15"/>
        <v/>
      </c>
      <c r="AB119" s="8" t="str">
        <f t="shared" si="16"/>
        <v/>
      </c>
      <c r="AC119" s="8">
        <f t="shared" ca="1" si="17"/>
        <v>0</v>
      </c>
      <c r="AD119" s="8" t="str">
        <f t="shared" si="18"/>
        <v/>
      </c>
      <c r="AE119" s="9" t="str">
        <f t="shared" si="19"/>
        <v/>
      </c>
    </row>
    <row r="120" spans="1:31" ht="1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1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 t="str">
        <f t="shared" ca="1" si="15"/>
        <v/>
      </c>
      <c r="AB120" s="8" t="str">
        <f t="shared" si="16"/>
        <v/>
      </c>
      <c r="AC120" s="8">
        <f t="shared" ca="1" si="17"/>
        <v>0</v>
      </c>
      <c r="AD120" s="8" t="str">
        <f t="shared" si="18"/>
        <v/>
      </c>
      <c r="AE120" s="9" t="str">
        <f t="shared" si="19"/>
        <v/>
      </c>
    </row>
    <row r="121" spans="1:31" ht="1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1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 t="str">
        <f t="shared" ca="1" si="15"/>
        <v/>
      </c>
      <c r="AB121" s="8" t="str">
        <f t="shared" si="16"/>
        <v/>
      </c>
      <c r="AC121" s="8">
        <f t="shared" ca="1" si="17"/>
        <v>0</v>
      </c>
      <c r="AD121" s="8" t="str">
        <f t="shared" si="18"/>
        <v/>
      </c>
      <c r="AE121" s="9" t="str">
        <f t="shared" si="19"/>
        <v/>
      </c>
    </row>
    <row r="122" spans="1:31" ht="1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1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 t="str">
        <f t="shared" ca="1" si="15"/>
        <v/>
      </c>
      <c r="AB122" s="8" t="str">
        <f t="shared" si="16"/>
        <v/>
      </c>
      <c r="AC122" s="8">
        <f t="shared" ca="1" si="17"/>
        <v>0</v>
      </c>
      <c r="AD122" s="8" t="str">
        <f t="shared" si="18"/>
        <v/>
      </c>
      <c r="AE122" s="9" t="str">
        <f t="shared" si="19"/>
        <v/>
      </c>
    </row>
    <row r="123" spans="1:31" ht="1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1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 t="str">
        <f t="shared" ca="1" si="15"/>
        <v/>
      </c>
      <c r="AB123" s="8" t="str">
        <f t="shared" si="16"/>
        <v/>
      </c>
      <c r="AC123" s="8">
        <f t="shared" ca="1" si="17"/>
        <v>0</v>
      </c>
      <c r="AD123" s="8" t="str">
        <f t="shared" si="18"/>
        <v/>
      </c>
      <c r="AE123" s="9" t="str">
        <f t="shared" si="19"/>
        <v/>
      </c>
    </row>
    <row r="124" spans="1:31" ht="1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1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 t="str">
        <f t="shared" ca="1" si="15"/>
        <v/>
      </c>
      <c r="AB124" s="8" t="str">
        <f t="shared" si="16"/>
        <v/>
      </c>
      <c r="AC124" s="8">
        <f t="shared" ca="1" si="17"/>
        <v>0</v>
      </c>
      <c r="AD124" s="8" t="str">
        <f t="shared" si="18"/>
        <v/>
      </c>
      <c r="AE124" s="9" t="str">
        <f t="shared" si="19"/>
        <v/>
      </c>
    </row>
    <row r="125" spans="1:31" ht="1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1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 t="str">
        <f t="shared" ca="1" si="15"/>
        <v/>
      </c>
      <c r="AB125" s="8" t="str">
        <f t="shared" si="16"/>
        <v/>
      </c>
      <c r="AC125" s="8">
        <f t="shared" ca="1" si="17"/>
        <v>0</v>
      </c>
      <c r="AD125" s="8" t="str">
        <f t="shared" si="18"/>
        <v/>
      </c>
      <c r="AE125" s="9" t="str">
        <f t="shared" si="19"/>
        <v/>
      </c>
    </row>
    <row r="126" spans="1:31" ht="1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1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 t="str">
        <f t="shared" ca="1" si="15"/>
        <v/>
      </c>
      <c r="AB126" s="8" t="str">
        <f t="shared" si="16"/>
        <v/>
      </c>
      <c r="AC126" s="8">
        <f t="shared" ca="1" si="17"/>
        <v>0</v>
      </c>
      <c r="AD126" s="8" t="str">
        <f t="shared" si="18"/>
        <v/>
      </c>
      <c r="AE126" s="9" t="str">
        <f t="shared" si="19"/>
        <v/>
      </c>
    </row>
    <row r="127" spans="1:31" ht="1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1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 t="str">
        <f t="shared" ca="1" si="15"/>
        <v/>
      </c>
      <c r="AB127" s="8" t="str">
        <f t="shared" si="16"/>
        <v/>
      </c>
      <c r="AC127" s="8">
        <f t="shared" ca="1" si="17"/>
        <v>0</v>
      </c>
      <c r="AD127" s="8" t="str">
        <f t="shared" si="18"/>
        <v/>
      </c>
      <c r="AE127" s="9" t="str">
        <f t="shared" si="19"/>
        <v/>
      </c>
    </row>
    <row r="128" spans="1:31" ht="1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1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 t="str">
        <f t="shared" ca="1" si="15"/>
        <v/>
      </c>
      <c r="AB128" s="8" t="str">
        <f t="shared" si="16"/>
        <v/>
      </c>
      <c r="AC128" s="8">
        <f t="shared" ca="1" si="17"/>
        <v>0</v>
      </c>
      <c r="AD128" s="8" t="str">
        <f t="shared" si="18"/>
        <v/>
      </c>
      <c r="AE128" s="9" t="str">
        <f t="shared" si="19"/>
        <v/>
      </c>
    </row>
    <row r="129" spans="1:31" ht="1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 t="str">
        <f t="shared" ca="1" si="15"/>
        <v/>
      </c>
      <c r="AB129" s="8" t="str">
        <f t="shared" si="16"/>
        <v/>
      </c>
      <c r="AC129" s="8">
        <f t="shared" ca="1" si="17"/>
        <v>0</v>
      </c>
      <c r="AD129" s="8" t="str">
        <f t="shared" si="18"/>
        <v/>
      </c>
      <c r="AE129" s="9" t="str">
        <f t="shared" si="19"/>
        <v/>
      </c>
    </row>
    <row r="130" spans="1:31" ht="1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 t="str">
        <f t="shared" ca="1" si="15"/>
        <v/>
      </c>
      <c r="AB130" s="8" t="str">
        <f t="shared" si="16"/>
        <v/>
      </c>
      <c r="AC130" s="8">
        <f t="shared" ca="1" si="17"/>
        <v>0</v>
      </c>
      <c r="AD130" s="8" t="str">
        <f t="shared" si="18"/>
        <v/>
      </c>
      <c r="AE130" s="9" t="str">
        <f t="shared" si="19"/>
        <v/>
      </c>
    </row>
    <row r="131" spans="1:31" ht="1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 t="str">
        <f t="shared" ca="1" si="15"/>
        <v/>
      </c>
      <c r="AB131" s="8" t="str">
        <f t="shared" si="16"/>
        <v/>
      </c>
      <c r="AC131" s="8">
        <f t="shared" ca="1" si="17"/>
        <v>0</v>
      </c>
      <c r="AD131" s="8" t="str">
        <f t="shared" si="18"/>
        <v/>
      </c>
      <c r="AE131" s="9" t="str">
        <f t="shared" si="19"/>
        <v/>
      </c>
    </row>
    <row r="132" spans="1:31" ht="1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 t="str">
        <f t="shared" ca="1" si="15"/>
        <v/>
      </c>
      <c r="AB132" s="8" t="str">
        <f t="shared" si="16"/>
        <v/>
      </c>
      <c r="AC132" s="8">
        <f t="shared" ca="1" si="17"/>
        <v>0</v>
      </c>
      <c r="AD132" s="8" t="str">
        <f t="shared" si="18"/>
        <v/>
      </c>
      <c r="AE132" s="9" t="str">
        <f t="shared" si="19"/>
        <v/>
      </c>
    </row>
    <row r="133" spans="1:31" ht="1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1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 t="str">
        <f t="shared" ref="AA133:AA164" ca="1" si="20">IF(N133&lt;&gt;"",N133-C133,IF(C133&lt;&gt;"",TODAY()-C133,""))</f>
        <v/>
      </c>
      <c r="AB133" s="8" t="str">
        <f t="shared" ref="AB133:AB164" si="21">IF(O133="Cerrada",IF(N133&lt;=M133,"Sí","No"),IF(O133="Cancelada","No aplica",IF(O133&lt;&gt;"","Pendiente","")))</f>
        <v/>
      </c>
      <c r="AC133" s="8">
        <f t="shared" ref="AC133:AC164" ca="1" si="22">IF(AND(O133&lt;&gt;"",O133&lt;&gt;"Cerrada",O133&lt;&gt;"Cancelada",TODAY()&gt;M133),TODAY()-M133,0)</f>
        <v>0</v>
      </c>
      <c r="AD133" s="8" t="str">
        <f t="shared" ref="AD133:AD164" si="23">IF(C133&lt;&gt;"",TEXT(C133,"mmmm"),"")</f>
        <v/>
      </c>
      <c r="AE133" s="9" t="str">
        <f t="shared" ref="AE133:AE164" si="24">IF(C133&lt;&gt;"","T"&amp;ROUNDUP(MONTH(C133)/3,0),"")</f>
        <v/>
      </c>
    </row>
    <row r="134" spans="1:31" ht="1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1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 t="str">
        <f t="shared" ca="1" si="20"/>
        <v/>
      </c>
      <c r="AB134" s="8" t="str">
        <f t="shared" si="21"/>
        <v/>
      </c>
      <c r="AC134" s="8">
        <f t="shared" ca="1" si="22"/>
        <v>0</v>
      </c>
      <c r="AD134" s="8" t="str">
        <f t="shared" si="23"/>
        <v/>
      </c>
      <c r="AE134" s="9" t="str">
        <f t="shared" si="24"/>
        <v/>
      </c>
    </row>
    <row r="135" spans="1:31" ht="1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1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 t="str">
        <f t="shared" ca="1" si="20"/>
        <v/>
      </c>
      <c r="AB135" s="8" t="str">
        <f t="shared" si="21"/>
        <v/>
      </c>
      <c r="AC135" s="8">
        <f t="shared" ca="1" si="22"/>
        <v>0</v>
      </c>
      <c r="AD135" s="8" t="str">
        <f t="shared" si="23"/>
        <v/>
      </c>
      <c r="AE135" s="9" t="str">
        <f t="shared" si="24"/>
        <v/>
      </c>
    </row>
    <row r="136" spans="1:31" ht="1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1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 t="str">
        <f t="shared" ca="1" si="20"/>
        <v/>
      </c>
      <c r="AB136" s="8" t="str">
        <f t="shared" si="21"/>
        <v/>
      </c>
      <c r="AC136" s="8">
        <f t="shared" ca="1" si="22"/>
        <v>0</v>
      </c>
      <c r="AD136" s="8" t="str">
        <f t="shared" si="23"/>
        <v/>
      </c>
      <c r="AE136" s="9" t="str">
        <f t="shared" si="24"/>
        <v/>
      </c>
    </row>
    <row r="137" spans="1:31" ht="1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1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 t="str">
        <f t="shared" ca="1" si="20"/>
        <v/>
      </c>
      <c r="AB137" s="8" t="str">
        <f t="shared" si="21"/>
        <v/>
      </c>
      <c r="AC137" s="8">
        <f t="shared" ca="1" si="22"/>
        <v>0</v>
      </c>
      <c r="AD137" s="8" t="str">
        <f t="shared" si="23"/>
        <v/>
      </c>
      <c r="AE137" s="9" t="str">
        <f t="shared" si="24"/>
        <v/>
      </c>
    </row>
    <row r="138" spans="1:31" ht="1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1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 t="str">
        <f t="shared" ca="1" si="20"/>
        <v/>
      </c>
      <c r="AB138" s="8" t="str">
        <f t="shared" si="21"/>
        <v/>
      </c>
      <c r="AC138" s="8">
        <f t="shared" ca="1" si="22"/>
        <v>0</v>
      </c>
      <c r="AD138" s="8" t="str">
        <f t="shared" si="23"/>
        <v/>
      </c>
      <c r="AE138" s="9" t="str">
        <f t="shared" si="24"/>
        <v/>
      </c>
    </row>
    <row r="139" spans="1:31" ht="1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1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 t="str">
        <f t="shared" ca="1" si="20"/>
        <v/>
      </c>
      <c r="AB139" s="8" t="str">
        <f t="shared" si="21"/>
        <v/>
      </c>
      <c r="AC139" s="8">
        <f t="shared" ca="1" si="22"/>
        <v>0</v>
      </c>
      <c r="AD139" s="8" t="str">
        <f t="shared" si="23"/>
        <v/>
      </c>
      <c r="AE139" s="9" t="str">
        <f t="shared" si="24"/>
        <v/>
      </c>
    </row>
    <row r="140" spans="1:31" ht="1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1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 t="str">
        <f t="shared" ca="1" si="20"/>
        <v/>
      </c>
      <c r="AB140" s="8" t="str">
        <f t="shared" si="21"/>
        <v/>
      </c>
      <c r="AC140" s="8">
        <f t="shared" ca="1" si="22"/>
        <v>0</v>
      </c>
      <c r="AD140" s="8" t="str">
        <f t="shared" si="23"/>
        <v/>
      </c>
      <c r="AE140" s="9" t="str">
        <f t="shared" si="24"/>
        <v/>
      </c>
    </row>
    <row r="141" spans="1:31" ht="1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1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 t="str">
        <f t="shared" ca="1" si="20"/>
        <v/>
      </c>
      <c r="AB141" s="8" t="str">
        <f t="shared" si="21"/>
        <v/>
      </c>
      <c r="AC141" s="8">
        <f t="shared" ca="1" si="22"/>
        <v>0</v>
      </c>
      <c r="AD141" s="8" t="str">
        <f t="shared" si="23"/>
        <v/>
      </c>
      <c r="AE141" s="9" t="str">
        <f t="shared" si="24"/>
        <v/>
      </c>
    </row>
    <row r="142" spans="1:31" ht="1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1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 t="str">
        <f t="shared" ca="1" si="20"/>
        <v/>
      </c>
      <c r="AB142" s="8" t="str">
        <f t="shared" si="21"/>
        <v/>
      </c>
      <c r="AC142" s="8">
        <f t="shared" ca="1" si="22"/>
        <v>0</v>
      </c>
      <c r="AD142" s="8" t="str">
        <f t="shared" si="23"/>
        <v/>
      </c>
      <c r="AE142" s="9" t="str">
        <f t="shared" si="24"/>
        <v/>
      </c>
    </row>
    <row r="143" spans="1:31" ht="1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1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 t="str">
        <f t="shared" ca="1" si="20"/>
        <v/>
      </c>
      <c r="AB143" s="8" t="str">
        <f t="shared" si="21"/>
        <v/>
      </c>
      <c r="AC143" s="8">
        <f t="shared" ca="1" si="22"/>
        <v>0</v>
      </c>
      <c r="AD143" s="8" t="str">
        <f t="shared" si="23"/>
        <v/>
      </c>
      <c r="AE143" s="9" t="str">
        <f t="shared" si="24"/>
        <v/>
      </c>
    </row>
    <row r="144" spans="1:31" ht="1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1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 t="str">
        <f t="shared" ca="1" si="20"/>
        <v/>
      </c>
      <c r="AB144" s="8" t="str">
        <f t="shared" si="21"/>
        <v/>
      </c>
      <c r="AC144" s="8">
        <f t="shared" ca="1" si="22"/>
        <v>0</v>
      </c>
      <c r="AD144" s="8" t="str">
        <f t="shared" si="23"/>
        <v/>
      </c>
      <c r="AE144" s="9" t="str">
        <f t="shared" si="24"/>
        <v/>
      </c>
    </row>
    <row r="145" spans="1:31" ht="1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1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 t="str">
        <f t="shared" ca="1" si="20"/>
        <v/>
      </c>
      <c r="AB145" s="8" t="str">
        <f t="shared" si="21"/>
        <v/>
      </c>
      <c r="AC145" s="8">
        <f t="shared" ca="1" si="22"/>
        <v>0</v>
      </c>
      <c r="AD145" s="8" t="str">
        <f t="shared" si="23"/>
        <v/>
      </c>
      <c r="AE145" s="9" t="str">
        <f t="shared" si="24"/>
        <v/>
      </c>
    </row>
    <row r="146" spans="1:31" ht="1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1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 t="str">
        <f t="shared" ca="1" si="20"/>
        <v/>
      </c>
      <c r="AB146" s="8" t="str">
        <f t="shared" si="21"/>
        <v/>
      </c>
      <c r="AC146" s="8">
        <f t="shared" ca="1" si="22"/>
        <v>0</v>
      </c>
      <c r="AD146" s="8" t="str">
        <f t="shared" si="23"/>
        <v/>
      </c>
      <c r="AE146" s="9" t="str">
        <f t="shared" si="24"/>
        <v/>
      </c>
    </row>
    <row r="147" spans="1:31" ht="1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1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 t="str">
        <f t="shared" ca="1" si="20"/>
        <v/>
      </c>
      <c r="AB147" s="8" t="str">
        <f t="shared" si="21"/>
        <v/>
      </c>
      <c r="AC147" s="8">
        <f t="shared" ca="1" si="22"/>
        <v>0</v>
      </c>
      <c r="AD147" s="8" t="str">
        <f t="shared" si="23"/>
        <v/>
      </c>
      <c r="AE147" s="9" t="str">
        <f t="shared" si="24"/>
        <v/>
      </c>
    </row>
    <row r="148" spans="1:31" ht="1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1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 t="str">
        <f t="shared" ca="1" si="20"/>
        <v/>
      </c>
      <c r="AB148" s="8" t="str">
        <f t="shared" si="21"/>
        <v/>
      </c>
      <c r="AC148" s="8">
        <f t="shared" ca="1" si="22"/>
        <v>0</v>
      </c>
      <c r="AD148" s="8" t="str">
        <f t="shared" si="23"/>
        <v/>
      </c>
      <c r="AE148" s="9" t="str">
        <f t="shared" si="24"/>
        <v/>
      </c>
    </row>
    <row r="149" spans="1:31" ht="1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1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 t="str">
        <f t="shared" ca="1" si="20"/>
        <v/>
      </c>
      <c r="AB149" s="8" t="str">
        <f t="shared" si="21"/>
        <v/>
      </c>
      <c r="AC149" s="8">
        <f t="shared" ca="1" si="22"/>
        <v>0</v>
      </c>
      <c r="AD149" s="8" t="str">
        <f t="shared" si="23"/>
        <v/>
      </c>
      <c r="AE149" s="9" t="str">
        <f t="shared" si="24"/>
        <v/>
      </c>
    </row>
    <row r="150" spans="1:31" ht="1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1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 t="str">
        <f t="shared" ca="1" si="20"/>
        <v/>
      </c>
      <c r="AB150" s="8" t="str">
        <f t="shared" si="21"/>
        <v/>
      </c>
      <c r="AC150" s="8">
        <f t="shared" ca="1" si="22"/>
        <v>0</v>
      </c>
      <c r="AD150" s="8" t="str">
        <f t="shared" si="23"/>
        <v/>
      </c>
      <c r="AE150" s="9" t="str">
        <f t="shared" si="24"/>
        <v/>
      </c>
    </row>
    <row r="151" spans="1:31" ht="1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1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 t="str">
        <f t="shared" ca="1" si="20"/>
        <v/>
      </c>
      <c r="AB151" s="8" t="str">
        <f t="shared" si="21"/>
        <v/>
      </c>
      <c r="AC151" s="8">
        <f t="shared" ca="1" si="22"/>
        <v>0</v>
      </c>
      <c r="AD151" s="8" t="str">
        <f t="shared" si="23"/>
        <v/>
      </c>
      <c r="AE151" s="9" t="str">
        <f t="shared" si="24"/>
        <v/>
      </c>
    </row>
    <row r="152" spans="1:31" ht="1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1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 t="str">
        <f t="shared" ca="1" si="20"/>
        <v/>
      </c>
      <c r="AB152" s="8" t="str">
        <f t="shared" si="21"/>
        <v/>
      </c>
      <c r="AC152" s="8">
        <f t="shared" ca="1" si="22"/>
        <v>0</v>
      </c>
      <c r="AD152" s="8" t="str">
        <f t="shared" si="23"/>
        <v/>
      </c>
      <c r="AE152" s="9" t="str">
        <f t="shared" si="24"/>
        <v/>
      </c>
    </row>
    <row r="153" spans="1:31" ht="1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1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 t="str">
        <f t="shared" ca="1" si="20"/>
        <v/>
      </c>
      <c r="AB153" s="8" t="str">
        <f t="shared" si="21"/>
        <v/>
      </c>
      <c r="AC153" s="8">
        <f t="shared" ca="1" si="22"/>
        <v>0</v>
      </c>
      <c r="AD153" s="8" t="str">
        <f t="shared" si="23"/>
        <v/>
      </c>
      <c r="AE153" s="9" t="str">
        <f t="shared" si="24"/>
        <v/>
      </c>
    </row>
    <row r="154" spans="1:31" ht="1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1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 t="str">
        <f t="shared" ca="1" si="20"/>
        <v/>
      </c>
      <c r="AB154" s="8" t="str">
        <f t="shared" si="21"/>
        <v/>
      </c>
      <c r="AC154" s="8">
        <f t="shared" ca="1" si="22"/>
        <v>0</v>
      </c>
      <c r="AD154" s="8" t="str">
        <f t="shared" si="23"/>
        <v/>
      </c>
      <c r="AE154" s="9" t="str">
        <f t="shared" si="24"/>
        <v/>
      </c>
    </row>
    <row r="155" spans="1:31" ht="1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1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 t="str">
        <f t="shared" ca="1" si="20"/>
        <v/>
      </c>
      <c r="AB155" s="8" t="str">
        <f t="shared" si="21"/>
        <v/>
      </c>
      <c r="AC155" s="8">
        <f t="shared" ca="1" si="22"/>
        <v>0</v>
      </c>
      <c r="AD155" s="8" t="str">
        <f t="shared" si="23"/>
        <v/>
      </c>
      <c r="AE155" s="9" t="str">
        <f t="shared" si="24"/>
        <v/>
      </c>
    </row>
    <row r="156" spans="1:31" ht="1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1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 t="str">
        <f t="shared" ca="1" si="20"/>
        <v/>
      </c>
      <c r="AB156" s="8" t="str">
        <f t="shared" si="21"/>
        <v/>
      </c>
      <c r="AC156" s="8">
        <f t="shared" ca="1" si="22"/>
        <v>0</v>
      </c>
      <c r="AD156" s="8" t="str">
        <f t="shared" si="23"/>
        <v/>
      </c>
      <c r="AE156" s="9" t="str">
        <f t="shared" si="24"/>
        <v/>
      </c>
    </row>
    <row r="157" spans="1:31" ht="1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1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 t="str">
        <f t="shared" ca="1" si="20"/>
        <v/>
      </c>
      <c r="AB157" s="8" t="str">
        <f t="shared" si="21"/>
        <v/>
      </c>
      <c r="AC157" s="8">
        <f t="shared" ca="1" si="22"/>
        <v>0</v>
      </c>
      <c r="AD157" s="8" t="str">
        <f t="shared" si="23"/>
        <v/>
      </c>
      <c r="AE157" s="9" t="str">
        <f t="shared" si="24"/>
        <v/>
      </c>
    </row>
    <row r="158" spans="1:31" ht="1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1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 t="str">
        <f t="shared" ca="1" si="20"/>
        <v/>
      </c>
      <c r="AB158" s="8" t="str">
        <f t="shared" si="21"/>
        <v/>
      </c>
      <c r="AC158" s="8">
        <f t="shared" ca="1" si="22"/>
        <v>0</v>
      </c>
      <c r="AD158" s="8" t="str">
        <f t="shared" si="23"/>
        <v/>
      </c>
      <c r="AE158" s="9" t="str">
        <f t="shared" si="24"/>
        <v/>
      </c>
    </row>
    <row r="159" spans="1:31" ht="1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1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 t="str">
        <f t="shared" ca="1" si="20"/>
        <v/>
      </c>
      <c r="AB159" s="8" t="str">
        <f t="shared" si="21"/>
        <v/>
      </c>
      <c r="AC159" s="8">
        <f t="shared" ca="1" si="22"/>
        <v>0</v>
      </c>
      <c r="AD159" s="8" t="str">
        <f t="shared" si="23"/>
        <v/>
      </c>
      <c r="AE159" s="9" t="str">
        <f t="shared" si="24"/>
        <v/>
      </c>
    </row>
    <row r="160" spans="1:31" ht="1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1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 t="str">
        <f t="shared" ca="1" si="20"/>
        <v/>
      </c>
      <c r="AB160" s="8" t="str">
        <f t="shared" si="21"/>
        <v/>
      </c>
      <c r="AC160" s="8">
        <f t="shared" ca="1" si="22"/>
        <v>0</v>
      </c>
      <c r="AD160" s="8" t="str">
        <f t="shared" si="23"/>
        <v/>
      </c>
      <c r="AE160" s="9" t="str">
        <f t="shared" si="24"/>
        <v/>
      </c>
    </row>
    <row r="161" spans="1:31" ht="1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1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 t="str">
        <f t="shared" ca="1" si="20"/>
        <v/>
      </c>
      <c r="AB161" s="8" t="str">
        <f t="shared" si="21"/>
        <v/>
      </c>
      <c r="AC161" s="8">
        <f t="shared" ca="1" si="22"/>
        <v>0</v>
      </c>
      <c r="AD161" s="8" t="str">
        <f t="shared" si="23"/>
        <v/>
      </c>
      <c r="AE161" s="9" t="str">
        <f t="shared" si="24"/>
        <v/>
      </c>
    </row>
    <row r="162" spans="1:31" ht="1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1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 t="str">
        <f t="shared" ca="1" si="20"/>
        <v/>
      </c>
      <c r="AB162" s="8" t="str">
        <f t="shared" si="21"/>
        <v/>
      </c>
      <c r="AC162" s="8">
        <f t="shared" ca="1" si="22"/>
        <v>0</v>
      </c>
      <c r="AD162" s="8" t="str">
        <f t="shared" si="23"/>
        <v/>
      </c>
      <c r="AE162" s="9" t="str">
        <f t="shared" si="24"/>
        <v/>
      </c>
    </row>
    <row r="163" spans="1:31" ht="1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1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 t="str">
        <f t="shared" ca="1" si="20"/>
        <v/>
      </c>
      <c r="AB163" s="8" t="str">
        <f t="shared" si="21"/>
        <v/>
      </c>
      <c r="AC163" s="8">
        <f t="shared" ca="1" si="22"/>
        <v>0</v>
      </c>
      <c r="AD163" s="8" t="str">
        <f t="shared" si="23"/>
        <v/>
      </c>
      <c r="AE163" s="9" t="str">
        <f t="shared" si="24"/>
        <v/>
      </c>
    </row>
    <row r="164" spans="1:31" ht="1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1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 t="str">
        <f t="shared" ca="1" si="20"/>
        <v/>
      </c>
      <c r="AB164" s="8" t="str">
        <f t="shared" si="21"/>
        <v/>
      </c>
      <c r="AC164" s="8">
        <f t="shared" ca="1" si="22"/>
        <v>0</v>
      </c>
      <c r="AD164" s="8" t="str">
        <f t="shared" si="23"/>
        <v/>
      </c>
      <c r="AE164" s="9" t="str">
        <f t="shared" si="24"/>
        <v/>
      </c>
    </row>
    <row r="165" spans="1:31" ht="1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1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 t="str">
        <f t="shared" ref="AA165:AA196" ca="1" si="25">IF(N165&lt;&gt;"",N165-C165,IF(C165&lt;&gt;"",TODAY()-C165,""))</f>
        <v/>
      </c>
      <c r="AB165" s="8" t="str">
        <f t="shared" ref="AB165:AB196" si="26">IF(O165="Cerrada",IF(N165&lt;=M165,"Sí","No"),IF(O165="Cancelada","No aplica",IF(O165&lt;&gt;"","Pendiente","")))</f>
        <v/>
      </c>
      <c r="AC165" s="8">
        <f t="shared" ref="AC165:AC196" ca="1" si="27">IF(AND(O165&lt;&gt;"",O165&lt;&gt;"Cerrada",O165&lt;&gt;"Cancelada",TODAY()&gt;M165),TODAY()-M165,0)</f>
        <v>0</v>
      </c>
      <c r="AD165" s="8" t="str">
        <f t="shared" ref="AD165:AD196" si="28">IF(C165&lt;&gt;"",TEXT(C165,"mmmm"),"")</f>
        <v/>
      </c>
      <c r="AE165" s="9" t="str">
        <f t="shared" ref="AE165:AE196" si="29">IF(C165&lt;&gt;"","T"&amp;ROUNDUP(MONTH(C165)/3,0),"")</f>
        <v/>
      </c>
    </row>
    <row r="166" spans="1:31" ht="1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1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 t="str">
        <f t="shared" ca="1" si="25"/>
        <v/>
      </c>
      <c r="AB166" s="8" t="str">
        <f t="shared" si="26"/>
        <v/>
      </c>
      <c r="AC166" s="8">
        <f t="shared" ca="1" si="27"/>
        <v>0</v>
      </c>
      <c r="AD166" s="8" t="str">
        <f t="shared" si="28"/>
        <v/>
      </c>
      <c r="AE166" s="9" t="str">
        <f t="shared" si="29"/>
        <v/>
      </c>
    </row>
    <row r="167" spans="1:31" ht="1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1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 t="str">
        <f t="shared" ca="1" si="25"/>
        <v/>
      </c>
      <c r="AB167" s="8" t="str">
        <f t="shared" si="26"/>
        <v/>
      </c>
      <c r="AC167" s="8">
        <f t="shared" ca="1" si="27"/>
        <v>0</v>
      </c>
      <c r="AD167" s="8" t="str">
        <f t="shared" si="28"/>
        <v/>
      </c>
      <c r="AE167" s="9" t="str">
        <f t="shared" si="29"/>
        <v/>
      </c>
    </row>
    <row r="168" spans="1:31" ht="1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1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 t="str">
        <f t="shared" ca="1" si="25"/>
        <v/>
      </c>
      <c r="AB168" s="8" t="str">
        <f t="shared" si="26"/>
        <v/>
      </c>
      <c r="AC168" s="8">
        <f t="shared" ca="1" si="27"/>
        <v>0</v>
      </c>
      <c r="AD168" s="8" t="str">
        <f t="shared" si="28"/>
        <v/>
      </c>
      <c r="AE168" s="9" t="str">
        <f t="shared" si="29"/>
        <v/>
      </c>
    </row>
    <row r="169" spans="1:31" ht="1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1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 t="str">
        <f t="shared" ca="1" si="25"/>
        <v/>
      </c>
      <c r="AB169" s="8" t="str">
        <f t="shared" si="26"/>
        <v/>
      </c>
      <c r="AC169" s="8">
        <f t="shared" ca="1" si="27"/>
        <v>0</v>
      </c>
      <c r="AD169" s="8" t="str">
        <f t="shared" si="28"/>
        <v/>
      </c>
      <c r="AE169" s="9" t="str">
        <f t="shared" si="29"/>
        <v/>
      </c>
    </row>
    <row r="170" spans="1:31" ht="1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1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 t="str">
        <f t="shared" ca="1" si="25"/>
        <v/>
      </c>
      <c r="AB170" s="8" t="str">
        <f t="shared" si="26"/>
        <v/>
      </c>
      <c r="AC170" s="8">
        <f t="shared" ca="1" si="27"/>
        <v>0</v>
      </c>
      <c r="AD170" s="8" t="str">
        <f t="shared" si="28"/>
        <v/>
      </c>
      <c r="AE170" s="9" t="str">
        <f t="shared" si="29"/>
        <v/>
      </c>
    </row>
    <row r="171" spans="1:31" ht="1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1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 t="str">
        <f t="shared" ca="1" si="25"/>
        <v/>
      </c>
      <c r="AB171" s="8" t="str">
        <f t="shared" si="26"/>
        <v/>
      </c>
      <c r="AC171" s="8">
        <f t="shared" ca="1" si="27"/>
        <v>0</v>
      </c>
      <c r="AD171" s="8" t="str">
        <f t="shared" si="28"/>
        <v/>
      </c>
      <c r="AE171" s="9" t="str">
        <f t="shared" si="29"/>
        <v/>
      </c>
    </row>
    <row r="172" spans="1:31" ht="1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1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 t="str">
        <f t="shared" ca="1" si="25"/>
        <v/>
      </c>
      <c r="AB172" s="8" t="str">
        <f t="shared" si="26"/>
        <v/>
      </c>
      <c r="AC172" s="8">
        <f t="shared" ca="1" si="27"/>
        <v>0</v>
      </c>
      <c r="AD172" s="8" t="str">
        <f t="shared" si="28"/>
        <v/>
      </c>
      <c r="AE172" s="9" t="str">
        <f t="shared" si="29"/>
        <v/>
      </c>
    </row>
    <row r="173" spans="1:31" ht="1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1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 t="str">
        <f t="shared" ca="1" si="25"/>
        <v/>
      </c>
      <c r="AB173" s="8" t="str">
        <f t="shared" si="26"/>
        <v/>
      </c>
      <c r="AC173" s="8">
        <f t="shared" ca="1" si="27"/>
        <v>0</v>
      </c>
      <c r="AD173" s="8" t="str">
        <f t="shared" si="28"/>
        <v/>
      </c>
      <c r="AE173" s="9" t="str">
        <f t="shared" si="29"/>
        <v/>
      </c>
    </row>
    <row r="174" spans="1:31" ht="1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1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 t="str">
        <f t="shared" ca="1" si="25"/>
        <v/>
      </c>
      <c r="AB174" s="8" t="str">
        <f t="shared" si="26"/>
        <v/>
      </c>
      <c r="AC174" s="8">
        <f t="shared" ca="1" si="27"/>
        <v>0</v>
      </c>
      <c r="AD174" s="8" t="str">
        <f t="shared" si="28"/>
        <v/>
      </c>
      <c r="AE174" s="9" t="str">
        <f t="shared" si="29"/>
        <v/>
      </c>
    </row>
    <row r="175" spans="1:31" ht="1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1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 t="str">
        <f t="shared" ca="1" si="25"/>
        <v/>
      </c>
      <c r="AB175" s="8" t="str">
        <f t="shared" si="26"/>
        <v/>
      </c>
      <c r="AC175" s="8">
        <f t="shared" ca="1" si="27"/>
        <v>0</v>
      </c>
      <c r="AD175" s="8" t="str">
        <f t="shared" si="28"/>
        <v/>
      </c>
      <c r="AE175" s="9" t="str">
        <f t="shared" si="29"/>
        <v/>
      </c>
    </row>
    <row r="176" spans="1:31" ht="1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1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 t="str">
        <f t="shared" ca="1" si="25"/>
        <v/>
      </c>
      <c r="AB176" s="8" t="str">
        <f t="shared" si="26"/>
        <v/>
      </c>
      <c r="AC176" s="8">
        <f t="shared" ca="1" si="27"/>
        <v>0</v>
      </c>
      <c r="AD176" s="8" t="str">
        <f t="shared" si="28"/>
        <v/>
      </c>
      <c r="AE176" s="9" t="str">
        <f t="shared" si="29"/>
        <v/>
      </c>
    </row>
    <row r="177" spans="1:31" ht="1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1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 t="str">
        <f t="shared" ca="1" si="25"/>
        <v/>
      </c>
      <c r="AB177" s="8" t="str">
        <f t="shared" si="26"/>
        <v/>
      </c>
      <c r="AC177" s="8">
        <f t="shared" ca="1" si="27"/>
        <v>0</v>
      </c>
      <c r="AD177" s="8" t="str">
        <f t="shared" si="28"/>
        <v/>
      </c>
      <c r="AE177" s="9" t="str">
        <f t="shared" si="29"/>
        <v/>
      </c>
    </row>
    <row r="178" spans="1:31" ht="1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1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 t="str">
        <f t="shared" ca="1" si="25"/>
        <v/>
      </c>
      <c r="AB178" s="8" t="str">
        <f t="shared" si="26"/>
        <v/>
      </c>
      <c r="AC178" s="8">
        <f t="shared" ca="1" si="27"/>
        <v>0</v>
      </c>
      <c r="AD178" s="8" t="str">
        <f t="shared" si="28"/>
        <v/>
      </c>
      <c r="AE178" s="9" t="str">
        <f t="shared" si="29"/>
        <v/>
      </c>
    </row>
    <row r="179" spans="1:31" ht="1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1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 t="str">
        <f t="shared" ca="1" si="25"/>
        <v/>
      </c>
      <c r="AB179" s="8" t="str">
        <f t="shared" si="26"/>
        <v/>
      </c>
      <c r="AC179" s="8">
        <f t="shared" ca="1" si="27"/>
        <v>0</v>
      </c>
      <c r="AD179" s="8" t="str">
        <f t="shared" si="28"/>
        <v/>
      </c>
      <c r="AE179" s="9" t="str">
        <f t="shared" si="29"/>
        <v/>
      </c>
    </row>
    <row r="180" spans="1:31" ht="1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1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 t="str">
        <f t="shared" ca="1" si="25"/>
        <v/>
      </c>
      <c r="AB180" s="8" t="str">
        <f t="shared" si="26"/>
        <v/>
      </c>
      <c r="AC180" s="8">
        <f t="shared" ca="1" si="27"/>
        <v>0</v>
      </c>
      <c r="AD180" s="8" t="str">
        <f t="shared" si="28"/>
        <v/>
      </c>
      <c r="AE180" s="9" t="str">
        <f t="shared" si="29"/>
        <v/>
      </c>
    </row>
    <row r="181" spans="1:31" ht="1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1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 t="str">
        <f t="shared" ca="1" si="25"/>
        <v/>
      </c>
      <c r="AB181" s="8" t="str">
        <f t="shared" si="26"/>
        <v/>
      </c>
      <c r="AC181" s="8">
        <f t="shared" ca="1" si="27"/>
        <v>0</v>
      </c>
      <c r="AD181" s="8" t="str">
        <f t="shared" si="28"/>
        <v/>
      </c>
      <c r="AE181" s="9" t="str">
        <f t="shared" si="29"/>
        <v/>
      </c>
    </row>
    <row r="182" spans="1:31" ht="1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1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 t="str">
        <f t="shared" ca="1" si="25"/>
        <v/>
      </c>
      <c r="AB182" s="8" t="str">
        <f t="shared" si="26"/>
        <v/>
      </c>
      <c r="AC182" s="8">
        <f t="shared" ca="1" si="27"/>
        <v>0</v>
      </c>
      <c r="AD182" s="8" t="str">
        <f t="shared" si="28"/>
        <v/>
      </c>
      <c r="AE182" s="9" t="str">
        <f t="shared" si="29"/>
        <v/>
      </c>
    </row>
    <row r="183" spans="1:31" ht="1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1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 t="str">
        <f t="shared" ca="1" si="25"/>
        <v/>
      </c>
      <c r="AB183" s="8" t="str">
        <f t="shared" si="26"/>
        <v/>
      </c>
      <c r="AC183" s="8">
        <f t="shared" ca="1" si="27"/>
        <v>0</v>
      </c>
      <c r="AD183" s="8" t="str">
        <f t="shared" si="28"/>
        <v/>
      </c>
      <c r="AE183" s="9" t="str">
        <f t="shared" si="29"/>
        <v/>
      </c>
    </row>
    <row r="184" spans="1:31" ht="1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1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 t="str">
        <f t="shared" ca="1" si="25"/>
        <v/>
      </c>
      <c r="AB184" s="8" t="str">
        <f t="shared" si="26"/>
        <v/>
      </c>
      <c r="AC184" s="8">
        <f t="shared" ca="1" si="27"/>
        <v>0</v>
      </c>
      <c r="AD184" s="8" t="str">
        <f t="shared" si="28"/>
        <v/>
      </c>
      <c r="AE184" s="9" t="str">
        <f t="shared" si="29"/>
        <v/>
      </c>
    </row>
    <row r="185" spans="1:31" ht="1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1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 t="str">
        <f t="shared" ca="1" si="25"/>
        <v/>
      </c>
      <c r="AB185" s="8" t="str">
        <f t="shared" si="26"/>
        <v/>
      </c>
      <c r="AC185" s="8">
        <f t="shared" ca="1" si="27"/>
        <v>0</v>
      </c>
      <c r="AD185" s="8" t="str">
        <f t="shared" si="28"/>
        <v/>
      </c>
      <c r="AE185" s="9" t="str">
        <f t="shared" si="29"/>
        <v/>
      </c>
    </row>
    <row r="186" spans="1:31" ht="1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1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 t="str">
        <f t="shared" ca="1" si="25"/>
        <v/>
      </c>
      <c r="AB186" s="8" t="str">
        <f t="shared" si="26"/>
        <v/>
      </c>
      <c r="AC186" s="8">
        <f t="shared" ca="1" si="27"/>
        <v>0</v>
      </c>
      <c r="AD186" s="8" t="str">
        <f t="shared" si="28"/>
        <v/>
      </c>
      <c r="AE186" s="9" t="str">
        <f t="shared" si="29"/>
        <v/>
      </c>
    </row>
    <row r="187" spans="1:31" ht="1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1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 t="str">
        <f t="shared" ca="1" si="25"/>
        <v/>
      </c>
      <c r="AB187" s="8" t="str">
        <f t="shared" si="26"/>
        <v/>
      </c>
      <c r="AC187" s="8">
        <f t="shared" ca="1" si="27"/>
        <v>0</v>
      </c>
      <c r="AD187" s="8" t="str">
        <f t="shared" si="28"/>
        <v/>
      </c>
      <c r="AE187" s="9" t="str">
        <f t="shared" si="29"/>
        <v/>
      </c>
    </row>
    <row r="188" spans="1:31" ht="1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1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 t="str">
        <f t="shared" ca="1" si="25"/>
        <v/>
      </c>
      <c r="AB188" s="8" t="str">
        <f t="shared" si="26"/>
        <v/>
      </c>
      <c r="AC188" s="8">
        <f t="shared" ca="1" si="27"/>
        <v>0</v>
      </c>
      <c r="AD188" s="8" t="str">
        <f t="shared" si="28"/>
        <v/>
      </c>
      <c r="AE188" s="9" t="str">
        <f t="shared" si="29"/>
        <v/>
      </c>
    </row>
    <row r="189" spans="1:31" ht="1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1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 t="str">
        <f t="shared" ca="1" si="25"/>
        <v/>
      </c>
      <c r="AB189" s="8" t="str">
        <f t="shared" si="26"/>
        <v/>
      </c>
      <c r="AC189" s="8">
        <f t="shared" ca="1" si="27"/>
        <v>0</v>
      </c>
      <c r="AD189" s="8" t="str">
        <f t="shared" si="28"/>
        <v/>
      </c>
      <c r="AE189" s="9" t="str">
        <f t="shared" si="29"/>
        <v/>
      </c>
    </row>
    <row r="190" spans="1:31" ht="1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1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 t="str">
        <f t="shared" ca="1" si="25"/>
        <v/>
      </c>
      <c r="AB190" s="8" t="str">
        <f t="shared" si="26"/>
        <v/>
      </c>
      <c r="AC190" s="8">
        <f t="shared" ca="1" si="27"/>
        <v>0</v>
      </c>
      <c r="AD190" s="8" t="str">
        <f t="shared" si="28"/>
        <v/>
      </c>
      <c r="AE190" s="9" t="str">
        <f t="shared" si="29"/>
        <v/>
      </c>
    </row>
    <row r="191" spans="1:31" ht="1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1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 t="str">
        <f t="shared" ca="1" si="25"/>
        <v/>
      </c>
      <c r="AB191" s="8" t="str">
        <f t="shared" si="26"/>
        <v/>
      </c>
      <c r="AC191" s="8">
        <f t="shared" ca="1" si="27"/>
        <v>0</v>
      </c>
      <c r="AD191" s="8" t="str">
        <f t="shared" si="28"/>
        <v/>
      </c>
      <c r="AE191" s="9" t="str">
        <f t="shared" si="29"/>
        <v/>
      </c>
    </row>
    <row r="192" spans="1:31" ht="1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1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 t="str">
        <f t="shared" ca="1" si="25"/>
        <v/>
      </c>
      <c r="AB192" s="8" t="str">
        <f t="shared" si="26"/>
        <v/>
      </c>
      <c r="AC192" s="8">
        <f t="shared" ca="1" si="27"/>
        <v>0</v>
      </c>
      <c r="AD192" s="8" t="str">
        <f t="shared" si="28"/>
        <v/>
      </c>
      <c r="AE192" s="9" t="str">
        <f t="shared" si="29"/>
        <v/>
      </c>
    </row>
    <row r="193" spans="1:31" ht="1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1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 t="str">
        <f t="shared" ca="1" si="25"/>
        <v/>
      </c>
      <c r="AB193" s="8" t="str">
        <f t="shared" si="26"/>
        <v/>
      </c>
      <c r="AC193" s="8">
        <f t="shared" ca="1" si="27"/>
        <v>0</v>
      </c>
      <c r="AD193" s="8" t="str">
        <f t="shared" si="28"/>
        <v/>
      </c>
      <c r="AE193" s="9" t="str">
        <f t="shared" si="29"/>
        <v/>
      </c>
    </row>
    <row r="194" spans="1:31" ht="1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 t="str">
        <f t="shared" ca="1" si="25"/>
        <v/>
      </c>
      <c r="AB194" s="8" t="str">
        <f t="shared" si="26"/>
        <v/>
      </c>
      <c r="AC194" s="8">
        <f t="shared" ca="1" si="27"/>
        <v>0</v>
      </c>
      <c r="AD194" s="8" t="str">
        <f t="shared" si="28"/>
        <v/>
      </c>
      <c r="AE194" s="9" t="str">
        <f t="shared" si="29"/>
        <v/>
      </c>
    </row>
    <row r="195" spans="1:31" ht="1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1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 t="str">
        <f t="shared" ca="1" si="25"/>
        <v/>
      </c>
      <c r="AB195" s="8" t="str">
        <f t="shared" si="26"/>
        <v/>
      </c>
      <c r="AC195" s="8">
        <f t="shared" ca="1" si="27"/>
        <v>0</v>
      </c>
      <c r="AD195" s="8" t="str">
        <f t="shared" si="28"/>
        <v/>
      </c>
      <c r="AE195" s="9" t="str">
        <f t="shared" si="29"/>
        <v/>
      </c>
    </row>
    <row r="196" spans="1:31" ht="1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1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 t="str">
        <f t="shared" ca="1" si="25"/>
        <v/>
      </c>
      <c r="AB196" s="8" t="str">
        <f t="shared" si="26"/>
        <v/>
      </c>
      <c r="AC196" s="8">
        <f t="shared" ca="1" si="27"/>
        <v>0</v>
      </c>
      <c r="AD196" s="8" t="str">
        <f t="shared" si="28"/>
        <v/>
      </c>
      <c r="AE196" s="9" t="str">
        <f t="shared" si="29"/>
        <v/>
      </c>
    </row>
    <row r="197" spans="1:31" ht="1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1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 t="str">
        <f t="shared" ref="AA197:AA204" ca="1" si="30">IF(N197&lt;&gt;"",N197-C197,IF(C197&lt;&gt;"",TODAY()-C197,""))</f>
        <v/>
      </c>
      <c r="AB197" s="8" t="str">
        <f t="shared" ref="AB197:AB204" si="31">IF(O197="Cerrada",IF(N197&lt;=M197,"Sí","No"),IF(O197="Cancelada","No aplica",IF(O197&lt;&gt;"","Pendiente","")))</f>
        <v/>
      </c>
      <c r="AC197" s="8">
        <f t="shared" ref="AC197:AC204" ca="1" si="32">IF(AND(O197&lt;&gt;"",O197&lt;&gt;"Cerrada",O197&lt;&gt;"Cancelada",TODAY()&gt;M197),TODAY()-M197,0)</f>
        <v>0</v>
      </c>
      <c r="AD197" s="8" t="str">
        <f t="shared" ref="AD197:AD204" si="33">IF(C197&lt;&gt;"",TEXT(C197,"mmmm"),"")</f>
        <v/>
      </c>
      <c r="AE197" s="9" t="str">
        <f t="shared" ref="AE197:AE204" si="34">IF(C197&lt;&gt;"","T"&amp;ROUNDUP(MONTH(C197)/3,0),"")</f>
        <v/>
      </c>
    </row>
    <row r="198" spans="1:31" ht="1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1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 t="str">
        <f t="shared" ca="1" si="30"/>
        <v/>
      </c>
      <c r="AB198" s="8" t="str">
        <f t="shared" si="31"/>
        <v/>
      </c>
      <c r="AC198" s="8">
        <f t="shared" ca="1" si="32"/>
        <v>0</v>
      </c>
      <c r="AD198" s="8" t="str">
        <f t="shared" si="33"/>
        <v/>
      </c>
      <c r="AE198" s="9" t="str">
        <f t="shared" si="34"/>
        <v/>
      </c>
    </row>
    <row r="199" spans="1:31" ht="1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1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 t="str">
        <f t="shared" ca="1" si="30"/>
        <v/>
      </c>
      <c r="AB199" s="8" t="str">
        <f t="shared" si="31"/>
        <v/>
      </c>
      <c r="AC199" s="8">
        <f t="shared" ca="1" si="32"/>
        <v>0</v>
      </c>
      <c r="AD199" s="8" t="str">
        <f t="shared" si="33"/>
        <v/>
      </c>
      <c r="AE199" s="9" t="str">
        <f t="shared" si="34"/>
        <v/>
      </c>
    </row>
    <row r="200" spans="1:31" ht="1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1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 t="str">
        <f t="shared" ca="1" si="30"/>
        <v/>
      </c>
      <c r="AB200" s="8" t="str">
        <f t="shared" si="31"/>
        <v/>
      </c>
      <c r="AC200" s="8">
        <f t="shared" ca="1" si="32"/>
        <v>0</v>
      </c>
      <c r="AD200" s="8" t="str">
        <f t="shared" si="33"/>
        <v/>
      </c>
      <c r="AE200" s="9" t="str">
        <f t="shared" si="34"/>
        <v/>
      </c>
    </row>
    <row r="201" spans="1:31" ht="1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1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 t="str">
        <f t="shared" ca="1" si="30"/>
        <v/>
      </c>
      <c r="AB201" s="8" t="str">
        <f t="shared" si="31"/>
        <v/>
      </c>
      <c r="AC201" s="8">
        <f t="shared" ca="1" si="32"/>
        <v>0</v>
      </c>
      <c r="AD201" s="8" t="str">
        <f t="shared" si="33"/>
        <v/>
      </c>
      <c r="AE201" s="9" t="str">
        <f t="shared" si="34"/>
        <v/>
      </c>
    </row>
    <row r="202" spans="1:31" ht="1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1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 t="str">
        <f t="shared" ca="1" si="30"/>
        <v/>
      </c>
      <c r="AB202" s="8" t="str">
        <f t="shared" si="31"/>
        <v/>
      </c>
      <c r="AC202" s="8">
        <f t="shared" ca="1" si="32"/>
        <v>0</v>
      </c>
      <c r="AD202" s="8" t="str">
        <f t="shared" si="33"/>
        <v/>
      </c>
      <c r="AE202" s="9" t="str">
        <f t="shared" si="34"/>
        <v/>
      </c>
    </row>
    <row r="203" spans="1:31" ht="1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1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 t="str">
        <f t="shared" ca="1" si="30"/>
        <v/>
      </c>
      <c r="AB203" s="8" t="str">
        <f t="shared" si="31"/>
        <v/>
      </c>
      <c r="AC203" s="8">
        <f t="shared" ca="1" si="32"/>
        <v>0</v>
      </c>
      <c r="AD203" s="8" t="str">
        <f t="shared" si="33"/>
        <v/>
      </c>
      <c r="AE203" s="9" t="str">
        <f t="shared" si="34"/>
        <v/>
      </c>
    </row>
    <row r="204" spans="1:31" ht="15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8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 t="str">
        <f t="shared" ca="1" si="30"/>
        <v/>
      </c>
      <c r="AB204" s="11" t="str">
        <f t="shared" si="31"/>
        <v/>
      </c>
      <c r="AC204" s="11">
        <f t="shared" ca="1" si="32"/>
        <v>0</v>
      </c>
      <c r="AD204" s="11" t="str">
        <f t="shared" si="33"/>
        <v/>
      </c>
      <c r="AE204" s="12" t="str">
        <f t="shared" si="34"/>
        <v/>
      </c>
    </row>
  </sheetData>
  <mergeCells count="2">
    <mergeCell ref="A1:AE1"/>
    <mergeCell ref="A2:AE2"/>
  </mergeCells>
  <conditionalFormatting sqref="O5:O204">
    <cfRule type="expression" dxfId="47" priority="1">
      <formula>O5="Cerrada"</formula>
    </cfRule>
    <cfRule type="expression" dxfId="46" priority="2">
      <formula>O5="En progreso"</formula>
    </cfRule>
    <cfRule type="expression" dxfId="45" priority="3">
      <formula>O5="Vencida"</formula>
    </cfRule>
    <cfRule type="expression" dxfId="44" priority="4">
      <formula>O5="Abierta"</formula>
    </cfRule>
    <cfRule type="expression" dxfId="43" priority="5">
      <formula>O5="Cancelada"</formula>
    </cfRule>
  </conditionalFormatting>
  <conditionalFormatting sqref="T5:T204">
    <cfRule type="expression" dxfId="42" priority="6">
      <formula>T5="Alta"</formula>
    </cfRule>
    <cfRule type="expression" dxfId="41" priority="7">
      <formula>T5="Media"</formula>
    </cfRule>
    <cfRule type="expression" dxfId="40" priority="8">
      <formula>T5="Baja"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200-000000000000}">
          <x14:formula1>
            <xm:f>Catalogos!$A$2:$A$12</xm:f>
          </x14:formula1>
          <xm:sqref>D5:D204</xm:sqref>
        </x14:dataValidation>
        <x14:dataValidation type="list" xr:uid="{00000000-0002-0000-0200-000001000000}">
          <x14:formula1>
            <xm:f>Catalogos!$B$2:$B$11</xm:f>
          </x14:formula1>
          <xm:sqref>E5:E204</xm:sqref>
        </x14:dataValidation>
        <x14:dataValidation type="list" xr:uid="{00000000-0002-0000-0200-000002000000}">
          <x14:formula1>
            <xm:f>Catalogos!$C$2:$C$4</xm:f>
          </x14:formula1>
          <xm:sqref>F5:F204</xm:sqref>
        </x14:dataValidation>
        <x14:dataValidation type="list" xr:uid="{00000000-0002-0000-0200-000003000000}">
          <x14:formula1>
            <xm:f>Catalogos!$D$2:$D$15</xm:f>
          </x14:formula1>
          <xm:sqref>G5:G204</xm:sqref>
        </x14:dataValidation>
        <x14:dataValidation type="list" xr:uid="{00000000-0002-0000-0200-000004000000}">
          <x14:formula1>
            <xm:f>Catalogos!$E$2:$E$6</xm:f>
          </x14:formula1>
          <xm:sqref>O5:O204</xm:sqref>
        </x14:dataValidation>
        <x14:dataValidation type="list" xr:uid="{00000000-0002-0000-0200-000005000000}">
          <x14:formula1>
            <xm:f>Catalogos!$F$2:$F$4</xm:f>
          </x14:formula1>
          <xm:sqref>T5:T204</xm:sqref>
        </x14:dataValidation>
        <x14:dataValidation type="list" xr:uid="{00000000-0002-0000-0200-000006000000}">
          <x14:formula1>
            <xm:f>Catalogos!$G$2:$G$11</xm:f>
          </x14:formula1>
          <xm:sqref>U5:U204</xm:sqref>
        </x14:dataValidation>
        <x14:dataValidation type="list" xr:uid="{00000000-0002-0000-0200-000007000000}">
          <x14:formula1>
            <xm:f>Catalogos!$H$2:$H$11</xm:f>
          </x14:formula1>
          <xm:sqref>L5:L204 R5:R204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2"/>
  <sheetViews>
    <sheetView workbookViewId="0">
      <selection sqref="A1:AE1"/>
    </sheetView>
  </sheetViews>
  <sheetFormatPr baseColWidth="10" defaultColWidth="8.83203125" defaultRowHeight="14"/>
  <cols>
    <col min="1" max="1" width="14" customWidth="1"/>
    <col min="2" max="2" width="8" customWidth="1"/>
    <col min="3" max="3" width="12" customWidth="1"/>
    <col min="4" max="4" width="14" customWidth="1"/>
    <col min="5" max="5" width="18" customWidth="1"/>
    <col min="6" max="6" width="12" customWidth="1"/>
    <col min="7" max="8" width="18" customWidth="1"/>
    <col min="9" max="9" width="34" customWidth="1"/>
    <col min="10" max="10" width="26" customWidth="1"/>
    <col min="11" max="11" width="30" customWidth="1"/>
    <col min="12" max="12" width="18" customWidth="1"/>
    <col min="13" max="14" width="12" customWidth="1"/>
    <col min="15" max="15" width="13" customWidth="1"/>
    <col min="16" max="16" width="10" customWidth="1"/>
    <col min="17" max="17" width="16" customWidth="1"/>
    <col min="18" max="18" width="18" customWidth="1"/>
    <col min="19" max="19" width="12" customWidth="1"/>
    <col min="20" max="20" width="10" customWidth="1"/>
    <col min="21" max="21" width="14" customWidth="1"/>
    <col min="22" max="22" width="16" customWidth="1"/>
    <col min="23" max="24" width="14" customWidth="1"/>
    <col min="25" max="25" width="22" customWidth="1"/>
    <col min="26" max="26" width="26" customWidth="1"/>
    <col min="27" max="29" width="12" customWidth="1"/>
    <col min="30" max="31" width="10" customWidth="1"/>
  </cols>
  <sheetData>
    <row r="1" spans="1:31" ht="32" customHeight="1">
      <c r="A1" s="29" t="s">
        <v>120</v>
      </c>
      <c r="B1" s="30"/>
      <c r="C1" s="32"/>
      <c r="D1" s="30"/>
      <c r="E1" s="30"/>
      <c r="F1" s="30"/>
      <c r="G1" s="30"/>
      <c r="H1" s="30"/>
      <c r="I1" s="30"/>
      <c r="J1" s="30"/>
      <c r="K1" s="30"/>
      <c r="L1" s="30"/>
      <c r="M1" s="32"/>
      <c r="N1" s="32"/>
      <c r="O1" s="30"/>
      <c r="P1" s="33"/>
      <c r="Q1" s="30"/>
      <c r="R1" s="30"/>
      <c r="S1" s="32"/>
      <c r="T1" s="30"/>
      <c r="U1" s="30"/>
      <c r="V1" s="30"/>
      <c r="W1" s="34"/>
      <c r="X1" s="34"/>
      <c r="Y1" s="30"/>
      <c r="Z1" s="30"/>
      <c r="AA1" s="35"/>
      <c r="AB1" s="35"/>
      <c r="AC1" s="35"/>
      <c r="AD1" s="30"/>
      <c r="AE1" s="30"/>
    </row>
    <row r="2" spans="1:31" ht="26.75" customHeight="1">
      <c r="A2" s="31" t="s">
        <v>121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4" spans="1:31" ht="50.75" customHeight="1">
      <c r="A4" s="1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</v>
      </c>
      <c r="G4" s="2" t="s">
        <v>24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12</v>
      </c>
      <c r="P4" s="2" t="s">
        <v>108</v>
      </c>
      <c r="Q4" s="2" t="s">
        <v>16</v>
      </c>
      <c r="R4" s="2" t="s">
        <v>109</v>
      </c>
      <c r="S4" s="2" t="s">
        <v>110</v>
      </c>
      <c r="T4" s="2" t="s">
        <v>25</v>
      </c>
      <c r="U4" s="2" t="s">
        <v>26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14</v>
      </c>
      <c r="AC4" s="2" t="s">
        <v>117</v>
      </c>
      <c r="AD4" s="2" t="s">
        <v>118</v>
      </c>
      <c r="AE4" s="3" t="s">
        <v>119</v>
      </c>
    </row>
    <row r="5" spans="1:31" ht="45">
      <c r="A5" s="4" t="s">
        <v>122</v>
      </c>
      <c r="B5" s="5">
        <v>2023</v>
      </c>
      <c r="C5" s="5">
        <v>44939</v>
      </c>
      <c r="D5" s="5" t="s">
        <v>79</v>
      </c>
      <c r="E5" s="5" t="s">
        <v>80</v>
      </c>
      <c r="F5" s="5" t="s">
        <v>30</v>
      </c>
      <c r="G5" s="5" t="s">
        <v>92</v>
      </c>
      <c r="H5" s="5" t="s">
        <v>123</v>
      </c>
      <c r="I5" s="5" t="s">
        <v>124</v>
      </c>
      <c r="J5" s="5" t="s">
        <v>125</v>
      </c>
      <c r="K5" s="5" t="s">
        <v>126</v>
      </c>
      <c r="L5" s="5" t="s">
        <v>73</v>
      </c>
      <c r="M5" s="5">
        <v>44959</v>
      </c>
      <c r="N5" s="5">
        <v>44959</v>
      </c>
      <c r="O5" s="5" t="s">
        <v>48</v>
      </c>
      <c r="P5" s="5">
        <v>1</v>
      </c>
      <c r="Q5" s="5" t="s">
        <v>127</v>
      </c>
      <c r="R5" s="5" t="s">
        <v>128</v>
      </c>
      <c r="S5" s="5">
        <v>44974</v>
      </c>
      <c r="T5" s="5" t="s">
        <v>33</v>
      </c>
      <c r="U5" s="5" t="s">
        <v>77</v>
      </c>
      <c r="V5" s="5" t="s">
        <v>129</v>
      </c>
      <c r="W5" s="5">
        <v>250000</v>
      </c>
      <c r="X5" s="5">
        <v>195894</v>
      </c>
      <c r="Y5" s="5" t="s">
        <v>130</v>
      </c>
      <c r="Z5" s="5" t="s">
        <v>131</v>
      </c>
      <c r="AA5" s="5">
        <v>20</v>
      </c>
      <c r="AB5" s="5" t="s">
        <v>132</v>
      </c>
      <c r="AC5" s="5">
        <v>0</v>
      </c>
      <c r="AD5" s="5" t="s">
        <v>133</v>
      </c>
      <c r="AE5" s="6" t="s">
        <v>134</v>
      </c>
    </row>
    <row r="6" spans="1:31" ht="45">
      <c r="A6" s="7" t="s">
        <v>135</v>
      </c>
      <c r="B6" s="8">
        <v>2023</v>
      </c>
      <c r="C6" s="8">
        <v>44949</v>
      </c>
      <c r="D6" s="8" t="s">
        <v>64</v>
      </c>
      <c r="E6" s="8" t="s">
        <v>70</v>
      </c>
      <c r="F6" s="8" t="s">
        <v>38</v>
      </c>
      <c r="G6" s="8" t="s">
        <v>86</v>
      </c>
      <c r="H6" s="8" t="s">
        <v>136</v>
      </c>
      <c r="I6" s="8" t="s">
        <v>137</v>
      </c>
      <c r="J6" s="8" t="s">
        <v>138</v>
      </c>
      <c r="K6" s="8" t="s">
        <v>139</v>
      </c>
      <c r="L6" s="8" t="s">
        <v>57</v>
      </c>
      <c r="M6" s="8">
        <v>44979</v>
      </c>
      <c r="N6" s="8">
        <v>44978</v>
      </c>
      <c r="O6" s="8" t="s">
        <v>48</v>
      </c>
      <c r="P6" s="8">
        <v>1</v>
      </c>
      <c r="Q6" s="8" t="s">
        <v>132</v>
      </c>
      <c r="R6" s="8" t="s">
        <v>86</v>
      </c>
      <c r="S6" s="8">
        <v>44985</v>
      </c>
      <c r="T6" s="8" t="s">
        <v>49</v>
      </c>
      <c r="U6" s="8" t="s">
        <v>72</v>
      </c>
      <c r="V6" s="8" t="s">
        <v>140</v>
      </c>
      <c r="W6" s="8">
        <v>1200000</v>
      </c>
      <c r="X6" s="8">
        <v>1199114</v>
      </c>
      <c r="Y6" s="8" t="s">
        <v>141</v>
      </c>
      <c r="Z6" s="8" t="s">
        <v>142</v>
      </c>
      <c r="AA6" s="8">
        <v>29</v>
      </c>
      <c r="AB6" s="8" t="s">
        <v>132</v>
      </c>
      <c r="AC6" s="8">
        <v>0</v>
      </c>
      <c r="AD6" s="8" t="s">
        <v>133</v>
      </c>
      <c r="AE6" s="9" t="s">
        <v>134</v>
      </c>
    </row>
    <row r="7" spans="1:31" ht="45">
      <c r="A7" s="7" t="s">
        <v>143</v>
      </c>
      <c r="B7" s="8">
        <v>2023</v>
      </c>
      <c r="C7" s="8">
        <v>44950</v>
      </c>
      <c r="D7" s="8" t="s">
        <v>69</v>
      </c>
      <c r="E7" s="8" t="s">
        <v>80</v>
      </c>
      <c r="F7" s="8" t="s">
        <v>30</v>
      </c>
      <c r="G7" s="8" t="s">
        <v>90</v>
      </c>
      <c r="H7" s="8" t="s">
        <v>123</v>
      </c>
      <c r="I7" s="8" t="s">
        <v>124</v>
      </c>
      <c r="J7" s="8" t="s">
        <v>144</v>
      </c>
      <c r="K7" s="8" t="s">
        <v>145</v>
      </c>
      <c r="L7" s="8" t="s">
        <v>35</v>
      </c>
      <c r="M7" s="8">
        <v>44970</v>
      </c>
      <c r="N7" s="8">
        <v>44973</v>
      </c>
      <c r="O7" s="8" t="s">
        <v>48</v>
      </c>
      <c r="P7" s="8">
        <v>1</v>
      </c>
      <c r="Q7" s="8" t="s">
        <v>132</v>
      </c>
      <c r="R7" s="8" t="s">
        <v>128</v>
      </c>
      <c r="S7" s="8">
        <v>44980</v>
      </c>
      <c r="T7" s="8" t="s">
        <v>33</v>
      </c>
      <c r="U7" s="8" t="s">
        <v>56</v>
      </c>
      <c r="V7" s="8" t="s">
        <v>146</v>
      </c>
      <c r="W7" s="8">
        <v>380000</v>
      </c>
      <c r="X7" s="8">
        <v>375445</v>
      </c>
      <c r="Y7" s="8" t="s">
        <v>141</v>
      </c>
      <c r="Z7" s="8" t="s">
        <v>131</v>
      </c>
      <c r="AA7" s="8">
        <v>23</v>
      </c>
      <c r="AB7" s="8" t="s">
        <v>127</v>
      </c>
      <c r="AC7" s="8">
        <v>0</v>
      </c>
      <c r="AD7" s="8" t="s">
        <v>133</v>
      </c>
      <c r="AE7" s="9" t="s">
        <v>134</v>
      </c>
    </row>
    <row r="8" spans="1:31" ht="45">
      <c r="A8" s="7" t="s">
        <v>147</v>
      </c>
      <c r="B8" s="8">
        <v>2023</v>
      </c>
      <c r="C8" s="8">
        <v>44952</v>
      </c>
      <c r="D8" s="8" t="s">
        <v>69</v>
      </c>
      <c r="E8" s="8" t="s">
        <v>59</v>
      </c>
      <c r="F8" s="8" t="s">
        <v>30</v>
      </c>
      <c r="G8" s="8" t="s">
        <v>90</v>
      </c>
      <c r="H8" s="8" t="s">
        <v>123</v>
      </c>
      <c r="I8" s="8" t="s">
        <v>148</v>
      </c>
      <c r="J8" s="8" t="s">
        <v>149</v>
      </c>
      <c r="K8" s="8" t="s">
        <v>126</v>
      </c>
      <c r="L8" s="8" t="s">
        <v>35</v>
      </c>
      <c r="M8" s="8">
        <v>44972</v>
      </c>
      <c r="N8" s="8">
        <v>44962</v>
      </c>
      <c r="O8" s="8" t="s">
        <v>48</v>
      </c>
      <c r="P8" s="8">
        <v>1</v>
      </c>
      <c r="Q8" s="8" t="s">
        <v>132</v>
      </c>
      <c r="R8" s="8" t="s">
        <v>150</v>
      </c>
      <c r="S8" s="8">
        <v>44972</v>
      </c>
      <c r="T8" s="8" t="s">
        <v>41</v>
      </c>
      <c r="U8" s="8" t="s">
        <v>67</v>
      </c>
      <c r="V8" s="8" t="s">
        <v>151</v>
      </c>
      <c r="W8" s="8">
        <v>2500000</v>
      </c>
      <c r="X8" s="8">
        <v>2017871</v>
      </c>
      <c r="Y8" s="8" t="s">
        <v>152</v>
      </c>
      <c r="Z8" s="8" t="s">
        <v>131</v>
      </c>
      <c r="AA8" s="8">
        <v>10</v>
      </c>
      <c r="AB8" s="8" t="s">
        <v>132</v>
      </c>
      <c r="AC8" s="8">
        <v>0</v>
      </c>
      <c r="AD8" s="8" t="s">
        <v>133</v>
      </c>
      <c r="AE8" s="9" t="s">
        <v>134</v>
      </c>
    </row>
    <row r="9" spans="1:31" ht="45">
      <c r="A9" s="7" t="s">
        <v>153</v>
      </c>
      <c r="B9" s="8">
        <v>2023</v>
      </c>
      <c r="C9" s="8">
        <v>44959</v>
      </c>
      <c r="D9" s="8" t="s">
        <v>28</v>
      </c>
      <c r="E9" s="8" t="s">
        <v>85</v>
      </c>
      <c r="F9" s="8" t="s">
        <v>38</v>
      </c>
      <c r="G9" s="8" t="s">
        <v>81</v>
      </c>
      <c r="H9" s="8" t="s">
        <v>123</v>
      </c>
      <c r="I9" s="8" t="s">
        <v>154</v>
      </c>
      <c r="J9" s="8" t="s">
        <v>155</v>
      </c>
      <c r="K9" s="8" t="s">
        <v>156</v>
      </c>
      <c r="L9" s="8" t="s">
        <v>35</v>
      </c>
      <c r="M9" s="8">
        <v>44979</v>
      </c>
      <c r="N9" s="8">
        <v>44974</v>
      </c>
      <c r="O9" s="8" t="s">
        <v>48</v>
      </c>
      <c r="P9" s="8">
        <v>1</v>
      </c>
      <c r="Q9" s="8" t="s">
        <v>132</v>
      </c>
      <c r="R9" s="8" t="s">
        <v>35</v>
      </c>
      <c r="S9" s="8">
        <v>44989</v>
      </c>
      <c r="T9" s="8" t="s">
        <v>33</v>
      </c>
      <c r="U9" s="8" t="s">
        <v>34</v>
      </c>
      <c r="V9" s="8" t="s">
        <v>151</v>
      </c>
      <c r="W9" s="8">
        <v>600000</v>
      </c>
      <c r="X9" s="8">
        <v>638308</v>
      </c>
      <c r="Y9" s="8" t="s">
        <v>130</v>
      </c>
      <c r="Z9" s="8" t="s">
        <v>131</v>
      </c>
      <c r="AA9" s="8">
        <v>15</v>
      </c>
      <c r="AB9" s="8" t="s">
        <v>132</v>
      </c>
      <c r="AC9" s="8">
        <v>0</v>
      </c>
      <c r="AD9" s="8" t="s">
        <v>157</v>
      </c>
      <c r="AE9" s="9" t="s">
        <v>134</v>
      </c>
    </row>
    <row r="10" spans="1:31" ht="45">
      <c r="A10" s="7" t="s">
        <v>158</v>
      </c>
      <c r="B10" s="8">
        <v>2023</v>
      </c>
      <c r="C10" s="8">
        <v>44964</v>
      </c>
      <c r="D10" s="8" t="s">
        <v>79</v>
      </c>
      <c r="E10" s="8" t="s">
        <v>45</v>
      </c>
      <c r="F10" s="8" t="s">
        <v>38</v>
      </c>
      <c r="G10" s="8" t="s">
        <v>54</v>
      </c>
      <c r="H10" s="8" t="s">
        <v>159</v>
      </c>
      <c r="I10" s="8" t="s">
        <v>160</v>
      </c>
      <c r="J10" s="8" t="s">
        <v>125</v>
      </c>
      <c r="K10" s="8" t="s">
        <v>161</v>
      </c>
      <c r="L10" s="8" t="s">
        <v>83</v>
      </c>
      <c r="M10" s="8">
        <v>44984</v>
      </c>
      <c r="N10" s="8">
        <v>44977</v>
      </c>
      <c r="O10" s="8" t="s">
        <v>48</v>
      </c>
      <c r="P10" s="8">
        <v>1</v>
      </c>
      <c r="Q10" s="8" t="s">
        <v>132</v>
      </c>
      <c r="R10" s="8" t="s">
        <v>35</v>
      </c>
      <c r="S10" s="8">
        <v>44984</v>
      </c>
      <c r="T10" s="8" t="s">
        <v>41</v>
      </c>
      <c r="U10" s="8" t="s">
        <v>62</v>
      </c>
      <c r="V10" s="8" t="s">
        <v>140</v>
      </c>
      <c r="W10" s="8">
        <v>850000</v>
      </c>
      <c r="X10" s="8">
        <v>874621</v>
      </c>
      <c r="Y10" s="8" t="s">
        <v>152</v>
      </c>
      <c r="Z10" s="8" t="s">
        <v>162</v>
      </c>
      <c r="AA10" s="8">
        <v>13</v>
      </c>
      <c r="AB10" s="8" t="s">
        <v>132</v>
      </c>
      <c r="AC10" s="8">
        <v>0</v>
      </c>
      <c r="AD10" s="8" t="s">
        <v>157</v>
      </c>
      <c r="AE10" s="9" t="s">
        <v>134</v>
      </c>
    </row>
    <row r="11" spans="1:31" ht="45">
      <c r="A11" s="7" t="s">
        <v>163</v>
      </c>
      <c r="B11" s="8">
        <v>2023</v>
      </c>
      <c r="C11" s="8">
        <v>44969</v>
      </c>
      <c r="D11" s="8" t="s">
        <v>44</v>
      </c>
      <c r="E11" s="8" t="s">
        <v>65</v>
      </c>
      <c r="F11" s="8" t="s">
        <v>38</v>
      </c>
      <c r="G11" s="8" t="s">
        <v>92</v>
      </c>
      <c r="H11" s="8" t="s">
        <v>164</v>
      </c>
      <c r="I11" s="8" t="s">
        <v>165</v>
      </c>
      <c r="J11" s="8" t="s">
        <v>144</v>
      </c>
      <c r="K11" s="8" t="s">
        <v>156</v>
      </c>
      <c r="L11" s="8" t="s">
        <v>78</v>
      </c>
      <c r="M11" s="8">
        <v>44989</v>
      </c>
      <c r="N11" s="8">
        <v>44984</v>
      </c>
      <c r="O11" s="8" t="s">
        <v>48</v>
      </c>
      <c r="P11" s="8">
        <v>1</v>
      </c>
      <c r="Q11" s="8" t="s">
        <v>166</v>
      </c>
      <c r="R11" s="8" t="s">
        <v>43</v>
      </c>
      <c r="S11" s="8"/>
      <c r="T11" s="8" t="s">
        <v>41</v>
      </c>
      <c r="U11" s="8" t="s">
        <v>34</v>
      </c>
      <c r="V11" s="8" t="s">
        <v>167</v>
      </c>
      <c r="W11" s="8">
        <v>380000</v>
      </c>
      <c r="X11" s="8">
        <v>433653</v>
      </c>
      <c r="Y11" s="8" t="s">
        <v>168</v>
      </c>
      <c r="Z11" s="8" t="s">
        <v>131</v>
      </c>
      <c r="AA11" s="8">
        <v>15</v>
      </c>
      <c r="AB11" s="8" t="s">
        <v>132</v>
      </c>
      <c r="AC11" s="8">
        <v>0</v>
      </c>
      <c r="AD11" s="8" t="s">
        <v>157</v>
      </c>
      <c r="AE11" s="9" t="s">
        <v>134</v>
      </c>
    </row>
    <row r="12" spans="1:31" ht="45">
      <c r="A12" s="7" t="s">
        <v>169</v>
      </c>
      <c r="B12" s="8">
        <v>2023</v>
      </c>
      <c r="C12" s="8">
        <v>44970</v>
      </c>
      <c r="D12" s="8" t="s">
        <v>84</v>
      </c>
      <c r="E12" s="8" t="s">
        <v>53</v>
      </c>
      <c r="F12" s="8" t="s">
        <v>46</v>
      </c>
      <c r="G12" s="8" t="s">
        <v>91</v>
      </c>
      <c r="H12" s="8" t="s">
        <v>170</v>
      </c>
      <c r="I12" s="8" t="s">
        <v>171</v>
      </c>
      <c r="J12" s="8" t="s">
        <v>172</v>
      </c>
      <c r="K12" s="8" t="s">
        <v>139</v>
      </c>
      <c r="L12" s="8" t="s">
        <v>43</v>
      </c>
      <c r="M12" s="8">
        <v>44990</v>
      </c>
      <c r="N12" s="8">
        <v>44989</v>
      </c>
      <c r="O12" s="8" t="s">
        <v>48</v>
      </c>
      <c r="P12" s="8">
        <v>1</v>
      </c>
      <c r="Q12" s="8" t="s">
        <v>132</v>
      </c>
      <c r="R12" s="8" t="s">
        <v>128</v>
      </c>
      <c r="S12" s="8">
        <v>44999</v>
      </c>
      <c r="T12" s="8" t="s">
        <v>41</v>
      </c>
      <c r="U12" s="8" t="s">
        <v>56</v>
      </c>
      <c r="V12" s="8" t="s">
        <v>151</v>
      </c>
      <c r="W12" s="8">
        <v>450000</v>
      </c>
      <c r="X12" s="8">
        <v>433645</v>
      </c>
      <c r="Y12" s="8" t="s">
        <v>152</v>
      </c>
      <c r="Z12" s="8" t="s">
        <v>131</v>
      </c>
      <c r="AA12" s="8">
        <v>19</v>
      </c>
      <c r="AB12" s="8" t="s">
        <v>132</v>
      </c>
      <c r="AC12" s="8">
        <v>0</v>
      </c>
      <c r="AD12" s="8" t="s">
        <v>157</v>
      </c>
      <c r="AE12" s="9" t="s">
        <v>134</v>
      </c>
    </row>
    <row r="13" spans="1:31" ht="45">
      <c r="A13" s="7" t="s">
        <v>173</v>
      </c>
      <c r="B13" s="8">
        <v>2023</v>
      </c>
      <c r="C13" s="8">
        <v>44976</v>
      </c>
      <c r="D13" s="8" t="s">
        <v>89</v>
      </c>
      <c r="E13" s="8" t="s">
        <v>37</v>
      </c>
      <c r="F13" s="8" t="s">
        <v>30</v>
      </c>
      <c r="G13" s="8" t="s">
        <v>31</v>
      </c>
      <c r="H13" s="8" t="s">
        <v>123</v>
      </c>
      <c r="I13" s="8" t="s">
        <v>174</v>
      </c>
      <c r="J13" s="8" t="s">
        <v>175</v>
      </c>
      <c r="K13" s="8" t="s">
        <v>126</v>
      </c>
      <c r="L13" s="8" t="s">
        <v>43</v>
      </c>
      <c r="M13" s="8">
        <v>45006</v>
      </c>
      <c r="N13" s="8">
        <v>44990</v>
      </c>
      <c r="O13" s="8" t="s">
        <v>48</v>
      </c>
      <c r="P13" s="8">
        <v>1</v>
      </c>
      <c r="Q13" s="8" t="s">
        <v>132</v>
      </c>
      <c r="R13" s="8" t="s">
        <v>43</v>
      </c>
      <c r="S13" s="8">
        <v>44993</v>
      </c>
      <c r="T13" s="8" t="s">
        <v>33</v>
      </c>
      <c r="U13" s="8" t="s">
        <v>56</v>
      </c>
      <c r="V13" s="8" t="s">
        <v>146</v>
      </c>
      <c r="W13" s="8">
        <v>600000</v>
      </c>
      <c r="X13" s="8">
        <v>557810</v>
      </c>
      <c r="Y13" s="8" t="s">
        <v>176</v>
      </c>
      <c r="Z13" s="8" t="s">
        <v>142</v>
      </c>
      <c r="AA13" s="8">
        <v>14</v>
      </c>
      <c r="AB13" s="8" t="s">
        <v>132</v>
      </c>
      <c r="AC13" s="8">
        <v>0</v>
      </c>
      <c r="AD13" s="8" t="s">
        <v>157</v>
      </c>
      <c r="AE13" s="9" t="s">
        <v>134</v>
      </c>
    </row>
    <row r="14" spans="1:31" ht="45">
      <c r="A14" s="7" t="s">
        <v>177</v>
      </c>
      <c r="B14" s="8">
        <v>2023</v>
      </c>
      <c r="C14" s="8">
        <v>44980</v>
      </c>
      <c r="D14" s="8" t="s">
        <v>58</v>
      </c>
      <c r="E14" s="8" t="s">
        <v>53</v>
      </c>
      <c r="F14" s="8" t="s">
        <v>46</v>
      </c>
      <c r="G14" s="8" t="s">
        <v>93</v>
      </c>
      <c r="H14" s="8" t="s">
        <v>170</v>
      </c>
      <c r="I14" s="8" t="s">
        <v>171</v>
      </c>
      <c r="J14" s="8" t="s">
        <v>155</v>
      </c>
      <c r="K14" s="8" t="s">
        <v>178</v>
      </c>
      <c r="L14" s="8" t="s">
        <v>63</v>
      </c>
      <c r="M14" s="8">
        <v>45000</v>
      </c>
      <c r="N14" s="8">
        <v>44998</v>
      </c>
      <c r="O14" s="8" t="s">
        <v>48</v>
      </c>
      <c r="P14" s="8">
        <v>1</v>
      </c>
      <c r="Q14" s="8" t="s">
        <v>132</v>
      </c>
      <c r="R14" s="8" t="s">
        <v>35</v>
      </c>
      <c r="S14" s="8">
        <v>45001</v>
      </c>
      <c r="T14" s="8" t="s">
        <v>41</v>
      </c>
      <c r="U14" s="8" t="s">
        <v>77</v>
      </c>
      <c r="V14" s="8" t="s">
        <v>129</v>
      </c>
      <c r="W14" s="8">
        <v>1800000</v>
      </c>
      <c r="X14" s="8">
        <v>1849643</v>
      </c>
      <c r="Y14" s="8" t="s">
        <v>141</v>
      </c>
      <c r="Z14" s="8" t="s">
        <v>131</v>
      </c>
      <c r="AA14" s="8">
        <v>18</v>
      </c>
      <c r="AB14" s="8" t="s">
        <v>132</v>
      </c>
      <c r="AC14" s="8">
        <v>0</v>
      </c>
      <c r="AD14" s="8" t="s">
        <v>157</v>
      </c>
      <c r="AE14" s="9" t="s">
        <v>134</v>
      </c>
    </row>
    <row r="15" spans="1:31" ht="45">
      <c r="A15" s="7" t="s">
        <v>179</v>
      </c>
      <c r="B15" s="8">
        <v>2023</v>
      </c>
      <c r="C15" s="8">
        <v>44982</v>
      </c>
      <c r="D15" s="8" t="s">
        <v>52</v>
      </c>
      <c r="E15" s="8" t="s">
        <v>37</v>
      </c>
      <c r="F15" s="8" t="s">
        <v>38</v>
      </c>
      <c r="G15" s="8" t="s">
        <v>76</v>
      </c>
      <c r="H15" s="8" t="s">
        <v>164</v>
      </c>
      <c r="I15" s="8" t="s">
        <v>180</v>
      </c>
      <c r="J15" s="8" t="s">
        <v>155</v>
      </c>
      <c r="K15" s="8" t="s">
        <v>126</v>
      </c>
      <c r="L15" s="8" t="s">
        <v>83</v>
      </c>
      <c r="M15" s="8">
        <v>44997</v>
      </c>
      <c r="N15" s="8">
        <v>44995</v>
      </c>
      <c r="O15" s="8" t="s">
        <v>48</v>
      </c>
      <c r="P15" s="8">
        <v>1</v>
      </c>
      <c r="Q15" s="8" t="s">
        <v>132</v>
      </c>
      <c r="R15" s="8" t="s">
        <v>86</v>
      </c>
      <c r="S15" s="8">
        <v>45010</v>
      </c>
      <c r="T15" s="8" t="s">
        <v>33</v>
      </c>
      <c r="U15" s="8" t="s">
        <v>42</v>
      </c>
      <c r="V15" s="8" t="s">
        <v>167</v>
      </c>
      <c r="W15" s="8">
        <v>250000</v>
      </c>
      <c r="X15" s="8">
        <v>286030</v>
      </c>
      <c r="Y15" s="8" t="s">
        <v>176</v>
      </c>
      <c r="Z15" s="8" t="s">
        <v>162</v>
      </c>
      <c r="AA15" s="8">
        <v>13</v>
      </c>
      <c r="AB15" s="8" t="s">
        <v>132</v>
      </c>
      <c r="AC15" s="8">
        <v>0</v>
      </c>
      <c r="AD15" s="8" t="s">
        <v>157</v>
      </c>
      <c r="AE15" s="9" t="s">
        <v>134</v>
      </c>
    </row>
    <row r="16" spans="1:31" ht="30">
      <c r="A16" s="7" t="s">
        <v>181</v>
      </c>
      <c r="B16" s="8">
        <v>2023</v>
      </c>
      <c r="C16" s="8">
        <v>44999</v>
      </c>
      <c r="D16" s="8" t="s">
        <v>79</v>
      </c>
      <c r="E16" s="8" t="s">
        <v>29</v>
      </c>
      <c r="F16" s="8" t="s">
        <v>46</v>
      </c>
      <c r="G16" s="8" t="s">
        <v>39</v>
      </c>
      <c r="H16" s="8" t="s">
        <v>170</v>
      </c>
      <c r="I16" s="8" t="s">
        <v>182</v>
      </c>
      <c r="J16" s="8" t="s">
        <v>183</v>
      </c>
      <c r="K16" s="8" t="s">
        <v>178</v>
      </c>
      <c r="L16" s="8" t="s">
        <v>68</v>
      </c>
      <c r="M16" s="8">
        <v>45014</v>
      </c>
      <c r="N16" s="8">
        <v>45010</v>
      </c>
      <c r="O16" s="8" t="s">
        <v>48</v>
      </c>
      <c r="P16" s="8">
        <v>1</v>
      </c>
      <c r="Q16" s="8" t="s">
        <v>166</v>
      </c>
      <c r="R16" s="8" t="s">
        <v>128</v>
      </c>
      <c r="S16" s="8"/>
      <c r="T16" s="8" t="s">
        <v>41</v>
      </c>
      <c r="U16" s="8" t="s">
        <v>50</v>
      </c>
      <c r="V16" s="8" t="s">
        <v>146</v>
      </c>
      <c r="W16" s="8">
        <v>600000</v>
      </c>
      <c r="X16" s="8">
        <v>610064</v>
      </c>
      <c r="Y16" s="8" t="s">
        <v>176</v>
      </c>
      <c r="Z16" s="8" t="s">
        <v>184</v>
      </c>
      <c r="AA16" s="8">
        <v>11</v>
      </c>
      <c r="AB16" s="8" t="s">
        <v>132</v>
      </c>
      <c r="AC16" s="8">
        <v>0</v>
      </c>
      <c r="AD16" s="8" t="s">
        <v>185</v>
      </c>
      <c r="AE16" s="9" t="s">
        <v>134</v>
      </c>
    </row>
    <row r="17" spans="1:31" ht="30">
      <c r="A17" s="7" t="s">
        <v>186</v>
      </c>
      <c r="B17" s="8">
        <v>2023</v>
      </c>
      <c r="C17" s="8">
        <v>45028</v>
      </c>
      <c r="D17" s="8" t="s">
        <v>84</v>
      </c>
      <c r="E17" s="8" t="s">
        <v>85</v>
      </c>
      <c r="F17" s="8" t="s">
        <v>46</v>
      </c>
      <c r="G17" s="8" t="s">
        <v>39</v>
      </c>
      <c r="H17" s="8" t="s">
        <v>159</v>
      </c>
      <c r="I17" s="8" t="s">
        <v>187</v>
      </c>
      <c r="J17" s="8" t="s">
        <v>172</v>
      </c>
      <c r="K17" s="8" t="s">
        <v>139</v>
      </c>
      <c r="L17" s="8" t="s">
        <v>68</v>
      </c>
      <c r="M17" s="8">
        <v>45048</v>
      </c>
      <c r="N17" s="8">
        <v>45045</v>
      </c>
      <c r="O17" s="8" t="s">
        <v>48</v>
      </c>
      <c r="P17" s="8">
        <v>1</v>
      </c>
      <c r="Q17" s="8" t="s">
        <v>132</v>
      </c>
      <c r="R17" s="8" t="s">
        <v>43</v>
      </c>
      <c r="S17" s="8">
        <v>45048</v>
      </c>
      <c r="T17" s="8" t="s">
        <v>33</v>
      </c>
      <c r="U17" s="8" t="s">
        <v>82</v>
      </c>
      <c r="V17" s="8" t="s">
        <v>188</v>
      </c>
      <c r="W17" s="8">
        <v>450000</v>
      </c>
      <c r="X17" s="8">
        <v>385103</v>
      </c>
      <c r="Y17" s="8" t="s">
        <v>189</v>
      </c>
      <c r="Z17" s="8" t="s">
        <v>184</v>
      </c>
      <c r="AA17" s="8">
        <v>17</v>
      </c>
      <c r="AB17" s="8" t="s">
        <v>132</v>
      </c>
      <c r="AC17" s="8">
        <v>0</v>
      </c>
      <c r="AD17" s="8" t="s">
        <v>190</v>
      </c>
      <c r="AE17" s="9" t="s">
        <v>191</v>
      </c>
    </row>
    <row r="18" spans="1:31" ht="45">
      <c r="A18" s="7" t="s">
        <v>192</v>
      </c>
      <c r="B18" s="8">
        <v>2023</v>
      </c>
      <c r="C18" s="8">
        <v>45028</v>
      </c>
      <c r="D18" s="8" t="s">
        <v>84</v>
      </c>
      <c r="E18" s="8" t="s">
        <v>85</v>
      </c>
      <c r="F18" s="8" t="s">
        <v>46</v>
      </c>
      <c r="G18" s="8" t="s">
        <v>90</v>
      </c>
      <c r="H18" s="8" t="s">
        <v>159</v>
      </c>
      <c r="I18" s="8" t="s">
        <v>154</v>
      </c>
      <c r="J18" s="8" t="s">
        <v>175</v>
      </c>
      <c r="K18" s="8" t="s">
        <v>126</v>
      </c>
      <c r="L18" s="8" t="s">
        <v>51</v>
      </c>
      <c r="M18" s="8">
        <v>45048</v>
      </c>
      <c r="N18" s="8">
        <v>45044</v>
      </c>
      <c r="O18" s="8" t="s">
        <v>48</v>
      </c>
      <c r="P18" s="8">
        <v>1</v>
      </c>
      <c r="Q18" s="8" t="s">
        <v>132</v>
      </c>
      <c r="R18" s="8" t="s">
        <v>128</v>
      </c>
      <c r="S18" s="8">
        <v>45051</v>
      </c>
      <c r="T18" s="8" t="s">
        <v>49</v>
      </c>
      <c r="U18" s="8" t="s">
        <v>77</v>
      </c>
      <c r="V18" s="8" t="s">
        <v>129</v>
      </c>
      <c r="W18" s="8">
        <v>2500000</v>
      </c>
      <c r="X18" s="8">
        <v>2430176</v>
      </c>
      <c r="Y18" s="8" t="s">
        <v>152</v>
      </c>
      <c r="Z18" s="8" t="s">
        <v>162</v>
      </c>
      <c r="AA18" s="8">
        <v>16</v>
      </c>
      <c r="AB18" s="8" t="s">
        <v>132</v>
      </c>
      <c r="AC18" s="8">
        <v>0</v>
      </c>
      <c r="AD18" s="8" t="s">
        <v>190</v>
      </c>
      <c r="AE18" s="9" t="s">
        <v>191</v>
      </c>
    </row>
    <row r="19" spans="1:31" ht="45">
      <c r="A19" s="7" t="s">
        <v>193</v>
      </c>
      <c r="B19" s="8">
        <v>2023</v>
      </c>
      <c r="C19" s="8">
        <v>45069</v>
      </c>
      <c r="D19" s="8" t="s">
        <v>44</v>
      </c>
      <c r="E19" s="8" t="s">
        <v>29</v>
      </c>
      <c r="F19" s="8" t="s">
        <v>38</v>
      </c>
      <c r="G19" s="8" t="s">
        <v>71</v>
      </c>
      <c r="H19" s="8" t="s">
        <v>159</v>
      </c>
      <c r="I19" s="8" t="s">
        <v>194</v>
      </c>
      <c r="J19" s="8" t="s">
        <v>175</v>
      </c>
      <c r="K19" s="8" t="s">
        <v>126</v>
      </c>
      <c r="L19" s="8" t="s">
        <v>35</v>
      </c>
      <c r="M19" s="8">
        <v>45089</v>
      </c>
      <c r="N19" s="8">
        <v>45091</v>
      </c>
      <c r="O19" s="8" t="s">
        <v>48</v>
      </c>
      <c r="P19" s="8">
        <v>1</v>
      </c>
      <c r="Q19" s="8" t="s">
        <v>132</v>
      </c>
      <c r="R19" s="8" t="s">
        <v>86</v>
      </c>
      <c r="S19" s="8">
        <v>45098</v>
      </c>
      <c r="T19" s="8" t="s">
        <v>33</v>
      </c>
      <c r="U19" s="8" t="s">
        <v>87</v>
      </c>
      <c r="V19" s="8" t="s">
        <v>151</v>
      </c>
      <c r="W19" s="8">
        <v>380000</v>
      </c>
      <c r="X19" s="8">
        <v>367773</v>
      </c>
      <c r="Y19" s="8" t="s">
        <v>141</v>
      </c>
      <c r="Z19" s="8" t="s">
        <v>131</v>
      </c>
      <c r="AA19" s="8">
        <v>22</v>
      </c>
      <c r="AB19" s="8" t="s">
        <v>127</v>
      </c>
      <c r="AC19" s="8">
        <v>0</v>
      </c>
      <c r="AD19" s="8" t="s">
        <v>195</v>
      </c>
      <c r="AE19" s="9" t="s">
        <v>191</v>
      </c>
    </row>
    <row r="20" spans="1:31" ht="45">
      <c r="A20" s="7" t="s">
        <v>196</v>
      </c>
      <c r="B20" s="8">
        <v>2023</v>
      </c>
      <c r="C20" s="8">
        <v>45083</v>
      </c>
      <c r="D20" s="8" t="s">
        <v>44</v>
      </c>
      <c r="E20" s="8" t="s">
        <v>53</v>
      </c>
      <c r="F20" s="8" t="s">
        <v>30</v>
      </c>
      <c r="G20" s="8" t="s">
        <v>47</v>
      </c>
      <c r="H20" s="8" t="s">
        <v>136</v>
      </c>
      <c r="I20" s="8" t="s">
        <v>197</v>
      </c>
      <c r="J20" s="8" t="s">
        <v>144</v>
      </c>
      <c r="K20" s="8" t="s">
        <v>161</v>
      </c>
      <c r="L20" s="8" t="s">
        <v>78</v>
      </c>
      <c r="M20" s="8">
        <v>45128</v>
      </c>
      <c r="N20" s="8">
        <v>45108</v>
      </c>
      <c r="O20" s="8" t="s">
        <v>48</v>
      </c>
      <c r="P20" s="8">
        <v>1</v>
      </c>
      <c r="Q20" s="8" t="s">
        <v>127</v>
      </c>
      <c r="R20" s="8" t="s">
        <v>43</v>
      </c>
      <c r="S20" s="8">
        <v>45115</v>
      </c>
      <c r="T20" s="8" t="s">
        <v>49</v>
      </c>
      <c r="U20" s="8" t="s">
        <v>87</v>
      </c>
      <c r="V20" s="8" t="s">
        <v>140</v>
      </c>
      <c r="W20" s="8">
        <v>850000</v>
      </c>
      <c r="X20" s="8">
        <v>833270</v>
      </c>
      <c r="Y20" s="8" t="s">
        <v>130</v>
      </c>
      <c r="Z20" s="8" t="s">
        <v>162</v>
      </c>
      <c r="AA20" s="8">
        <v>25</v>
      </c>
      <c r="AB20" s="8" t="s">
        <v>132</v>
      </c>
      <c r="AC20" s="8">
        <v>0</v>
      </c>
      <c r="AD20" s="8" t="s">
        <v>198</v>
      </c>
      <c r="AE20" s="9" t="s">
        <v>191</v>
      </c>
    </row>
    <row r="21" spans="1:31" ht="30">
      <c r="A21" s="7" t="s">
        <v>199</v>
      </c>
      <c r="B21" s="8">
        <v>2023</v>
      </c>
      <c r="C21" s="8">
        <v>45086</v>
      </c>
      <c r="D21" s="8" t="s">
        <v>36</v>
      </c>
      <c r="E21" s="8" t="s">
        <v>85</v>
      </c>
      <c r="F21" s="8" t="s">
        <v>30</v>
      </c>
      <c r="G21" s="8" t="s">
        <v>54</v>
      </c>
      <c r="H21" s="8" t="s">
        <v>136</v>
      </c>
      <c r="I21" s="8" t="s">
        <v>154</v>
      </c>
      <c r="J21" s="8" t="s">
        <v>172</v>
      </c>
      <c r="K21" s="8" t="s">
        <v>156</v>
      </c>
      <c r="L21" s="8" t="s">
        <v>88</v>
      </c>
      <c r="M21" s="8">
        <v>45101</v>
      </c>
      <c r="N21" s="8">
        <v>45097</v>
      </c>
      <c r="O21" s="8" t="s">
        <v>48</v>
      </c>
      <c r="P21" s="8">
        <v>1</v>
      </c>
      <c r="Q21" s="8" t="s">
        <v>132</v>
      </c>
      <c r="R21" s="8" t="s">
        <v>128</v>
      </c>
      <c r="S21" s="8">
        <v>45112</v>
      </c>
      <c r="T21" s="8" t="s">
        <v>33</v>
      </c>
      <c r="U21" s="8" t="s">
        <v>87</v>
      </c>
      <c r="V21" s="8" t="s">
        <v>146</v>
      </c>
      <c r="W21" s="8">
        <v>1200000</v>
      </c>
      <c r="X21" s="8">
        <v>1345928</v>
      </c>
      <c r="Y21" s="8" t="s">
        <v>189</v>
      </c>
      <c r="Z21" s="8" t="s">
        <v>142</v>
      </c>
      <c r="AA21" s="8">
        <v>11</v>
      </c>
      <c r="AB21" s="8" t="s">
        <v>132</v>
      </c>
      <c r="AC21" s="8">
        <v>0</v>
      </c>
      <c r="AD21" s="8" t="s">
        <v>198</v>
      </c>
      <c r="AE21" s="9" t="s">
        <v>191</v>
      </c>
    </row>
    <row r="22" spans="1:31" ht="45">
      <c r="A22" s="7" t="s">
        <v>200</v>
      </c>
      <c r="B22" s="8">
        <v>2023</v>
      </c>
      <c r="C22" s="8">
        <v>45097</v>
      </c>
      <c r="D22" s="8" t="s">
        <v>69</v>
      </c>
      <c r="E22" s="8" t="s">
        <v>65</v>
      </c>
      <c r="F22" s="8" t="s">
        <v>38</v>
      </c>
      <c r="G22" s="8" t="s">
        <v>60</v>
      </c>
      <c r="H22" s="8" t="s">
        <v>170</v>
      </c>
      <c r="I22" s="8" t="s">
        <v>201</v>
      </c>
      <c r="J22" s="8" t="s">
        <v>144</v>
      </c>
      <c r="K22" s="8" t="s">
        <v>126</v>
      </c>
      <c r="L22" s="8" t="s">
        <v>43</v>
      </c>
      <c r="M22" s="8">
        <v>45117</v>
      </c>
      <c r="N22" s="8"/>
      <c r="O22" s="8" t="s">
        <v>40</v>
      </c>
      <c r="P22" s="8">
        <v>0.85</v>
      </c>
      <c r="Q22" s="8" t="s">
        <v>166</v>
      </c>
      <c r="R22" s="8" t="s">
        <v>86</v>
      </c>
      <c r="S22" s="8"/>
      <c r="T22" s="8" t="s">
        <v>33</v>
      </c>
      <c r="U22" s="8" t="s">
        <v>42</v>
      </c>
      <c r="V22" s="8" t="s">
        <v>72</v>
      </c>
      <c r="W22" s="8">
        <v>380000</v>
      </c>
      <c r="X22" s="8">
        <v>368910</v>
      </c>
      <c r="Y22" s="8" t="s">
        <v>141</v>
      </c>
      <c r="Z22" s="8" t="s">
        <v>184</v>
      </c>
      <c r="AA22" s="8">
        <v>1081</v>
      </c>
      <c r="AB22" s="8" t="s">
        <v>202</v>
      </c>
      <c r="AC22" s="8">
        <v>1061</v>
      </c>
      <c r="AD22" s="8" t="s">
        <v>198</v>
      </c>
      <c r="AE22" s="9" t="s">
        <v>191</v>
      </c>
    </row>
    <row r="23" spans="1:31" ht="45">
      <c r="A23" s="7" t="s">
        <v>203</v>
      </c>
      <c r="B23" s="8">
        <v>2023</v>
      </c>
      <c r="C23" s="8">
        <v>45098</v>
      </c>
      <c r="D23" s="8" t="s">
        <v>52</v>
      </c>
      <c r="E23" s="8" t="s">
        <v>53</v>
      </c>
      <c r="F23" s="8" t="s">
        <v>30</v>
      </c>
      <c r="G23" s="8" t="s">
        <v>31</v>
      </c>
      <c r="H23" s="8" t="s">
        <v>159</v>
      </c>
      <c r="I23" s="8" t="s">
        <v>171</v>
      </c>
      <c r="J23" s="8" t="s">
        <v>172</v>
      </c>
      <c r="K23" s="8" t="s">
        <v>145</v>
      </c>
      <c r="L23" s="8" t="s">
        <v>43</v>
      </c>
      <c r="M23" s="8">
        <v>45143</v>
      </c>
      <c r="N23" s="8">
        <v>45150</v>
      </c>
      <c r="O23" s="8" t="s">
        <v>48</v>
      </c>
      <c r="P23" s="8">
        <v>1</v>
      </c>
      <c r="Q23" s="8" t="s">
        <v>132</v>
      </c>
      <c r="R23" s="8" t="s">
        <v>86</v>
      </c>
      <c r="S23" s="8">
        <v>45153</v>
      </c>
      <c r="T23" s="8" t="s">
        <v>33</v>
      </c>
      <c r="U23" s="8" t="s">
        <v>67</v>
      </c>
      <c r="V23" s="8" t="s">
        <v>140</v>
      </c>
      <c r="W23" s="8">
        <v>850000</v>
      </c>
      <c r="X23" s="8">
        <v>650507</v>
      </c>
      <c r="Y23" s="8" t="s">
        <v>168</v>
      </c>
      <c r="Z23" s="8" t="s">
        <v>162</v>
      </c>
      <c r="AA23" s="8">
        <v>52</v>
      </c>
      <c r="AB23" s="8" t="s">
        <v>127</v>
      </c>
      <c r="AC23" s="8">
        <v>0</v>
      </c>
      <c r="AD23" s="8" t="s">
        <v>198</v>
      </c>
      <c r="AE23" s="9" t="s">
        <v>191</v>
      </c>
    </row>
    <row r="24" spans="1:31" ht="45">
      <c r="A24" s="7" t="s">
        <v>204</v>
      </c>
      <c r="B24" s="8">
        <v>2023</v>
      </c>
      <c r="C24" s="8">
        <v>45116</v>
      </c>
      <c r="D24" s="8" t="s">
        <v>44</v>
      </c>
      <c r="E24" s="8" t="s">
        <v>29</v>
      </c>
      <c r="F24" s="8" t="s">
        <v>38</v>
      </c>
      <c r="G24" s="8" t="s">
        <v>60</v>
      </c>
      <c r="H24" s="8" t="s">
        <v>123</v>
      </c>
      <c r="I24" s="8" t="s">
        <v>205</v>
      </c>
      <c r="J24" s="8" t="s">
        <v>144</v>
      </c>
      <c r="K24" s="8" t="s">
        <v>161</v>
      </c>
      <c r="L24" s="8" t="s">
        <v>73</v>
      </c>
      <c r="M24" s="8">
        <v>45126</v>
      </c>
      <c r="N24" s="8">
        <v>45128</v>
      </c>
      <c r="O24" s="8" t="s">
        <v>48</v>
      </c>
      <c r="P24" s="8">
        <v>1</v>
      </c>
      <c r="Q24" s="8" t="s">
        <v>132</v>
      </c>
      <c r="R24" s="8" t="s">
        <v>150</v>
      </c>
      <c r="S24" s="8">
        <v>45138</v>
      </c>
      <c r="T24" s="8" t="s">
        <v>33</v>
      </c>
      <c r="U24" s="8" t="s">
        <v>77</v>
      </c>
      <c r="V24" s="8" t="s">
        <v>140</v>
      </c>
      <c r="W24" s="8">
        <v>250000</v>
      </c>
      <c r="X24" s="8">
        <v>282461</v>
      </c>
      <c r="Y24" s="8" t="s">
        <v>152</v>
      </c>
      <c r="Z24" s="8" t="s">
        <v>142</v>
      </c>
      <c r="AA24" s="8">
        <v>12</v>
      </c>
      <c r="AB24" s="8" t="s">
        <v>127</v>
      </c>
      <c r="AC24" s="8">
        <v>0</v>
      </c>
      <c r="AD24" s="8" t="s">
        <v>206</v>
      </c>
      <c r="AE24" s="9" t="s">
        <v>207</v>
      </c>
    </row>
    <row r="25" spans="1:31" ht="45">
      <c r="A25" s="7" t="s">
        <v>208</v>
      </c>
      <c r="B25" s="8">
        <v>2023</v>
      </c>
      <c r="C25" s="8">
        <v>45131</v>
      </c>
      <c r="D25" s="8" t="s">
        <v>36</v>
      </c>
      <c r="E25" s="8" t="s">
        <v>70</v>
      </c>
      <c r="F25" s="8" t="s">
        <v>38</v>
      </c>
      <c r="G25" s="8" t="s">
        <v>66</v>
      </c>
      <c r="H25" s="8" t="s">
        <v>159</v>
      </c>
      <c r="I25" s="8" t="s">
        <v>209</v>
      </c>
      <c r="J25" s="8" t="s">
        <v>175</v>
      </c>
      <c r="K25" s="8" t="s">
        <v>178</v>
      </c>
      <c r="L25" s="8" t="s">
        <v>43</v>
      </c>
      <c r="M25" s="8">
        <v>45151</v>
      </c>
      <c r="N25" s="8"/>
      <c r="O25" s="8" t="s">
        <v>40</v>
      </c>
      <c r="P25" s="8">
        <v>0.25</v>
      </c>
      <c r="Q25" s="8" t="s">
        <v>166</v>
      </c>
      <c r="R25" s="8" t="s">
        <v>128</v>
      </c>
      <c r="S25" s="8"/>
      <c r="T25" s="8" t="s">
        <v>41</v>
      </c>
      <c r="U25" s="8" t="s">
        <v>34</v>
      </c>
      <c r="V25" s="8" t="s">
        <v>167</v>
      </c>
      <c r="W25" s="8">
        <v>2500000</v>
      </c>
      <c r="X25" s="8">
        <v>2015182</v>
      </c>
      <c r="Y25" s="8" t="s">
        <v>152</v>
      </c>
      <c r="Z25" s="8" t="s">
        <v>210</v>
      </c>
      <c r="AA25" s="8">
        <v>1047</v>
      </c>
      <c r="AB25" s="8" t="s">
        <v>202</v>
      </c>
      <c r="AC25" s="8">
        <v>1027</v>
      </c>
      <c r="AD25" s="8" t="s">
        <v>206</v>
      </c>
      <c r="AE25" s="9" t="s">
        <v>207</v>
      </c>
    </row>
    <row r="26" spans="1:31" ht="45">
      <c r="A26" s="7" t="s">
        <v>211</v>
      </c>
      <c r="B26" s="8">
        <v>2023</v>
      </c>
      <c r="C26" s="8">
        <v>45141</v>
      </c>
      <c r="D26" s="8" t="s">
        <v>79</v>
      </c>
      <c r="E26" s="8" t="s">
        <v>59</v>
      </c>
      <c r="F26" s="8" t="s">
        <v>30</v>
      </c>
      <c r="G26" s="8" t="s">
        <v>91</v>
      </c>
      <c r="H26" s="8" t="s">
        <v>164</v>
      </c>
      <c r="I26" s="8" t="s">
        <v>212</v>
      </c>
      <c r="J26" s="8" t="s">
        <v>155</v>
      </c>
      <c r="K26" s="8" t="s">
        <v>126</v>
      </c>
      <c r="L26" s="8" t="s">
        <v>51</v>
      </c>
      <c r="M26" s="8">
        <v>45151</v>
      </c>
      <c r="N26" s="8"/>
      <c r="O26" s="8" t="s">
        <v>55</v>
      </c>
      <c r="P26" s="8">
        <v>0.45</v>
      </c>
      <c r="Q26" s="8" t="s">
        <v>166</v>
      </c>
      <c r="R26" s="8" t="s">
        <v>150</v>
      </c>
      <c r="S26" s="8"/>
      <c r="T26" s="8" t="s">
        <v>41</v>
      </c>
      <c r="U26" s="8" t="s">
        <v>72</v>
      </c>
      <c r="V26" s="8" t="s">
        <v>146</v>
      </c>
      <c r="W26" s="8">
        <v>380000</v>
      </c>
      <c r="X26" s="8">
        <v>0</v>
      </c>
      <c r="Y26" s="8" t="s">
        <v>130</v>
      </c>
      <c r="Z26" s="8" t="s">
        <v>162</v>
      </c>
      <c r="AA26" s="8">
        <v>1037</v>
      </c>
      <c r="AB26" s="8" t="s">
        <v>202</v>
      </c>
      <c r="AC26" s="8">
        <v>1027</v>
      </c>
      <c r="AD26" s="8" t="s">
        <v>213</v>
      </c>
      <c r="AE26" s="9" t="s">
        <v>207</v>
      </c>
    </row>
    <row r="27" spans="1:31" ht="45">
      <c r="A27" s="7" t="s">
        <v>214</v>
      </c>
      <c r="B27" s="8">
        <v>2023</v>
      </c>
      <c r="C27" s="8">
        <v>45142</v>
      </c>
      <c r="D27" s="8" t="s">
        <v>28</v>
      </c>
      <c r="E27" s="8" t="s">
        <v>85</v>
      </c>
      <c r="F27" s="8" t="s">
        <v>30</v>
      </c>
      <c r="G27" s="8" t="s">
        <v>60</v>
      </c>
      <c r="H27" s="8" t="s">
        <v>159</v>
      </c>
      <c r="I27" s="8" t="s">
        <v>154</v>
      </c>
      <c r="J27" s="8" t="s">
        <v>155</v>
      </c>
      <c r="K27" s="8" t="s">
        <v>215</v>
      </c>
      <c r="L27" s="8" t="s">
        <v>35</v>
      </c>
      <c r="M27" s="8">
        <v>45152</v>
      </c>
      <c r="N27" s="8">
        <v>45147</v>
      </c>
      <c r="O27" s="8" t="s">
        <v>48</v>
      </c>
      <c r="P27" s="8">
        <v>1</v>
      </c>
      <c r="Q27" s="8" t="s">
        <v>132</v>
      </c>
      <c r="R27" s="8" t="s">
        <v>128</v>
      </c>
      <c r="S27" s="8">
        <v>45150</v>
      </c>
      <c r="T27" s="8" t="s">
        <v>33</v>
      </c>
      <c r="U27" s="8" t="s">
        <v>67</v>
      </c>
      <c r="V27" s="8" t="s">
        <v>140</v>
      </c>
      <c r="W27" s="8">
        <v>380000</v>
      </c>
      <c r="X27" s="8">
        <v>436075</v>
      </c>
      <c r="Y27" s="8" t="s">
        <v>189</v>
      </c>
      <c r="Z27" s="8" t="s">
        <v>184</v>
      </c>
      <c r="AA27" s="8">
        <v>5</v>
      </c>
      <c r="AB27" s="8" t="s">
        <v>132</v>
      </c>
      <c r="AC27" s="8">
        <v>0</v>
      </c>
      <c r="AD27" s="8" t="s">
        <v>213</v>
      </c>
      <c r="AE27" s="9" t="s">
        <v>207</v>
      </c>
    </row>
    <row r="28" spans="1:31" ht="45">
      <c r="A28" s="7" t="s">
        <v>216</v>
      </c>
      <c r="B28" s="8">
        <v>2023</v>
      </c>
      <c r="C28" s="8">
        <v>45142</v>
      </c>
      <c r="D28" s="8" t="s">
        <v>44</v>
      </c>
      <c r="E28" s="8" t="s">
        <v>37</v>
      </c>
      <c r="F28" s="8" t="s">
        <v>38</v>
      </c>
      <c r="G28" s="8" t="s">
        <v>31</v>
      </c>
      <c r="H28" s="8" t="s">
        <v>170</v>
      </c>
      <c r="I28" s="8" t="s">
        <v>174</v>
      </c>
      <c r="J28" s="8" t="s">
        <v>149</v>
      </c>
      <c r="K28" s="8" t="s">
        <v>156</v>
      </c>
      <c r="L28" s="8" t="s">
        <v>88</v>
      </c>
      <c r="M28" s="8">
        <v>45172</v>
      </c>
      <c r="N28" s="8">
        <v>45176</v>
      </c>
      <c r="O28" s="8" t="s">
        <v>48</v>
      </c>
      <c r="P28" s="8">
        <v>1</v>
      </c>
      <c r="Q28" s="8" t="s">
        <v>132</v>
      </c>
      <c r="R28" s="8" t="s">
        <v>150</v>
      </c>
      <c r="S28" s="8">
        <v>45186</v>
      </c>
      <c r="T28" s="8" t="s">
        <v>41</v>
      </c>
      <c r="U28" s="8" t="s">
        <v>87</v>
      </c>
      <c r="V28" s="8" t="s">
        <v>140</v>
      </c>
      <c r="W28" s="8">
        <v>380000</v>
      </c>
      <c r="X28" s="8">
        <v>375901</v>
      </c>
      <c r="Y28" s="8" t="s">
        <v>130</v>
      </c>
      <c r="Z28" s="8" t="s">
        <v>210</v>
      </c>
      <c r="AA28" s="8">
        <v>34</v>
      </c>
      <c r="AB28" s="8" t="s">
        <v>127</v>
      </c>
      <c r="AC28" s="8">
        <v>0</v>
      </c>
      <c r="AD28" s="8" t="s">
        <v>213</v>
      </c>
      <c r="AE28" s="9" t="s">
        <v>207</v>
      </c>
    </row>
    <row r="29" spans="1:31" ht="45">
      <c r="A29" s="7" t="s">
        <v>217</v>
      </c>
      <c r="B29" s="8">
        <v>2023</v>
      </c>
      <c r="C29" s="8">
        <v>45147</v>
      </c>
      <c r="D29" s="8" t="s">
        <v>58</v>
      </c>
      <c r="E29" s="8" t="s">
        <v>59</v>
      </c>
      <c r="F29" s="8" t="s">
        <v>30</v>
      </c>
      <c r="G29" s="8" t="s">
        <v>86</v>
      </c>
      <c r="H29" s="8" t="s">
        <v>170</v>
      </c>
      <c r="I29" s="8" t="s">
        <v>148</v>
      </c>
      <c r="J29" s="8" t="s">
        <v>183</v>
      </c>
      <c r="K29" s="8" t="s">
        <v>145</v>
      </c>
      <c r="L29" s="8" t="s">
        <v>63</v>
      </c>
      <c r="M29" s="8">
        <v>45157</v>
      </c>
      <c r="N29" s="8">
        <v>45157</v>
      </c>
      <c r="O29" s="8" t="s">
        <v>48</v>
      </c>
      <c r="P29" s="8">
        <v>1</v>
      </c>
      <c r="Q29" s="8" t="s">
        <v>127</v>
      </c>
      <c r="R29" s="8" t="s">
        <v>128</v>
      </c>
      <c r="S29" s="8">
        <v>45160</v>
      </c>
      <c r="T29" s="8" t="s">
        <v>41</v>
      </c>
      <c r="U29" s="8" t="s">
        <v>56</v>
      </c>
      <c r="V29" s="8" t="s">
        <v>146</v>
      </c>
      <c r="W29" s="8">
        <v>850000</v>
      </c>
      <c r="X29" s="8">
        <v>692437</v>
      </c>
      <c r="Y29" s="8" t="s">
        <v>130</v>
      </c>
      <c r="Z29" s="8" t="s">
        <v>184</v>
      </c>
      <c r="AA29" s="8">
        <v>10</v>
      </c>
      <c r="AB29" s="8" t="s">
        <v>132</v>
      </c>
      <c r="AC29" s="8">
        <v>0</v>
      </c>
      <c r="AD29" s="8" t="s">
        <v>213</v>
      </c>
      <c r="AE29" s="9" t="s">
        <v>207</v>
      </c>
    </row>
    <row r="30" spans="1:31" ht="45">
      <c r="A30" s="7" t="s">
        <v>218</v>
      </c>
      <c r="B30" s="8">
        <v>2023</v>
      </c>
      <c r="C30" s="8">
        <v>45153</v>
      </c>
      <c r="D30" s="8" t="s">
        <v>89</v>
      </c>
      <c r="E30" s="8" t="s">
        <v>75</v>
      </c>
      <c r="F30" s="8" t="s">
        <v>46</v>
      </c>
      <c r="G30" s="8" t="s">
        <v>91</v>
      </c>
      <c r="H30" s="8" t="s">
        <v>159</v>
      </c>
      <c r="I30" s="8" t="s">
        <v>219</v>
      </c>
      <c r="J30" s="8" t="s">
        <v>183</v>
      </c>
      <c r="K30" s="8" t="s">
        <v>178</v>
      </c>
      <c r="L30" s="8" t="s">
        <v>63</v>
      </c>
      <c r="M30" s="8">
        <v>45183</v>
      </c>
      <c r="N30" s="8"/>
      <c r="O30" s="8" t="s">
        <v>40</v>
      </c>
      <c r="P30" s="8">
        <v>0.75</v>
      </c>
      <c r="Q30" s="8" t="s">
        <v>166</v>
      </c>
      <c r="R30" s="8" t="s">
        <v>128</v>
      </c>
      <c r="S30" s="8"/>
      <c r="T30" s="8" t="s">
        <v>49</v>
      </c>
      <c r="U30" s="8" t="s">
        <v>82</v>
      </c>
      <c r="V30" s="8" t="s">
        <v>146</v>
      </c>
      <c r="W30" s="8">
        <v>380000</v>
      </c>
      <c r="X30" s="8">
        <v>327397</v>
      </c>
      <c r="Y30" s="8" t="s">
        <v>130</v>
      </c>
      <c r="Z30" s="8" t="s">
        <v>131</v>
      </c>
      <c r="AA30" s="8">
        <v>1025</v>
      </c>
      <c r="AB30" s="8" t="s">
        <v>202</v>
      </c>
      <c r="AC30" s="8">
        <v>995</v>
      </c>
      <c r="AD30" s="8" t="s">
        <v>213</v>
      </c>
      <c r="AE30" s="9" t="s">
        <v>207</v>
      </c>
    </row>
    <row r="31" spans="1:31" ht="45">
      <c r="A31" s="7" t="s">
        <v>220</v>
      </c>
      <c r="B31" s="8">
        <v>2023</v>
      </c>
      <c r="C31" s="8">
        <v>45156</v>
      </c>
      <c r="D31" s="8" t="s">
        <v>74</v>
      </c>
      <c r="E31" s="8" t="s">
        <v>29</v>
      </c>
      <c r="F31" s="8" t="s">
        <v>46</v>
      </c>
      <c r="G31" s="8" t="s">
        <v>39</v>
      </c>
      <c r="H31" s="8" t="s">
        <v>123</v>
      </c>
      <c r="I31" s="8" t="s">
        <v>221</v>
      </c>
      <c r="J31" s="8" t="s">
        <v>172</v>
      </c>
      <c r="K31" s="8" t="s">
        <v>215</v>
      </c>
      <c r="L31" s="8" t="s">
        <v>88</v>
      </c>
      <c r="M31" s="8">
        <v>45201</v>
      </c>
      <c r="N31" s="8">
        <v>45209</v>
      </c>
      <c r="O31" s="8" t="s">
        <v>48</v>
      </c>
      <c r="P31" s="8">
        <v>1</v>
      </c>
      <c r="Q31" s="8" t="s">
        <v>132</v>
      </c>
      <c r="R31" s="8" t="s">
        <v>35</v>
      </c>
      <c r="S31" s="8">
        <v>45224</v>
      </c>
      <c r="T31" s="8" t="s">
        <v>33</v>
      </c>
      <c r="U31" s="8" t="s">
        <v>56</v>
      </c>
      <c r="V31" s="8" t="s">
        <v>72</v>
      </c>
      <c r="W31" s="8">
        <v>600000</v>
      </c>
      <c r="X31" s="8">
        <v>478957</v>
      </c>
      <c r="Y31" s="8" t="s">
        <v>152</v>
      </c>
      <c r="Z31" s="8" t="s">
        <v>210</v>
      </c>
      <c r="AA31" s="8">
        <v>53</v>
      </c>
      <c r="AB31" s="8" t="s">
        <v>127</v>
      </c>
      <c r="AC31" s="8">
        <v>0</v>
      </c>
      <c r="AD31" s="8" t="s">
        <v>213</v>
      </c>
      <c r="AE31" s="9" t="s">
        <v>207</v>
      </c>
    </row>
    <row r="32" spans="1:31" ht="45">
      <c r="A32" s="7" t="s">
        <v>222</v>
      </c>
      <c r="B32" s="8">
        <v>2023</v>
      </c>
      <c r="C32" s="8">
        <v>45189</v>
      </c>
      <c r="D32" s="8" t="s">
        <v>28</v>
      </c>
      <c r="E32" s="8" t="s">
        <v>80</v>
      </c>
      <c r="F32" s="8" t="s">
        <v>46</v>
      </c>
      <c r="G32" s="8" t="s">
        <v>54</v>
      </c>
      <c r="H32" s="8" t="s">
        <v>159</v>
      </c>
      <c r="I32" s="8" t="s">
        <v>223</v>
      </c>
      <c r="J32" s="8" t="s">
        <v>138</v>
      </c>
      <c r="K32" s="8" t="s">
        <v>156</v>
      </c>
      <c r="L32" s="8" t="s">
        <v>78</v>
      </c>
      <c r="M32" s="8">
        <v>45209</v>
      </c>
      <c r="N32" s="8"/>
      <c r="O32" s="8" t="s">
        <v>55</v>
      </c>
      <c r="P32" s="8">
        <v>0.7</v>
      </c>
      <c r="Q32" s="8" t="s">
        <v>166</v>
      </c>
      <c r="R32" s="8" t="s">
        <v>128</v>
      </c>
      <c r="S32" s="8"/>
      <c r="T32" s="8" t="s">
        <v>33</v>
      </c>
      <c r="U32" s="8" t="s">
        <v>77</v>
      </c>
      <c r="V32" s="8" t="s">
        <v>146</v>
      </c>
      <c r="W32" s="8">
        <v>450000</v>
      </c>
      <c r="X32" s="8">
        <v>0</v>
      </c>
      <c r="Y32" s="8" t="s">
        <v>141</v>
      </c>
      <c r="Z32" s="8" t="s">
        <v>162</v>
      </c>
      <c r="AA32" s="8">
        <v>989</v>
      </c>
      <c r="AB32" s="8" t="s">
        <v>202</v>
      </c>
      <c r="AC32" s="8">
        <v>969</v>
      </c>
      <c r="AD32" s="8" t="s">
        <v>224</v>
      </c>
      <c r="AE32" s="9" t="s">
        <v>207</v>
      </c>
    </row>
    <row r="33" spans="1:31" ht="45">
      <c r="A33" s="7" t="s">
        <v>225</v>
      </c>
      <c r="B33" s="8">
        <v>2023</v>
      </c>
      <c r="C33" s="8">
        <v>45201</v>
      </c>
      <c r="D33" s="8" t="s">
        <v>58</v>
      </c>
      <c r="E33" s="8" t="s">
        <v>29</v>
      </c>
      <c r="F33" s="8" t="s">
        <v>46</v>
      </c>
      <c r="G33" s="8" t="s">
        <v>39</v>
      </c>
      <c r="H33" s="8" t="s">
        <v>170</v>
      </c>
      <c r="I33" s="8" t="s">
        <v>226</v>
      </c>
      <c r="J33" s="8" t="s">
        <v>138</v>
      </c>
      <c r="K33" s="8" t="s">
        <v>156</v>
      </c>
      <c r="L33" s="8" t="s">
        <v>35</v>
      </c>
      <c r="M33" s="8">
        <v>45216</v>
      </c>
      <c r="N33" s="8">
        <v>45217</v>
      </c>
      <c r="O33" s="8" t="s">
        <v>48</v>
      </c>
      <c r="P33" s="8">
        <v>1</v>
      </c>
      <c r="Q33" s="8" t="s">
        <v>132</v>
      </c>
      <c r="R33" s="8" t="s">
        <v>86</v>
      </c>
      <c r="S33" s="8">
        <v>45227</v>
      </c>
      <c r="T33" s="8" t="s">
        <v>41</v>
      </c>
      <c r="U33" s="8" t="s">
        <v>87</v>
      </c>
      <c r="V33" s="8" t="s">
        <v>140</v>
      </c>
      <c r="W33" s="8">
        <v>380000</v>
      </c>
      <c r="X33" s="8">
        <v>356441</v>
      </c>
      <c r="Y33" s="8" t="s">
        <v>130</v>
      </c>
      <c r="Z33" s="8" t="s">
        <v>210</v>
      </c>
      <c r="AA33" s="8">
        <v>16</v>
      </c>
      <c r="AB33" s="8" t="s">
        <v>127</v>
      </c>
      <c r="AC33" s="8">
        <v>0</v>
      </c>
      <c r="AD33" s="8" t="s">
        <v>227</v>
      </c>
      <c r="AE33" s="9" t="s">
        <v>228</v>
      </c>
    </row>
    <row r="34" spans="1:31" ht="45">
      <c r="A34" s="7" t="s">
        <v>229</v>
      </c>
      <c r="B34" s="8">
        <v>2023</v>
      </c>
      <c r="C34" s="8">
        <v>45213</v>
      </c>
      <c r="D34" s="8" t="s">
        <v>84</v>
      </c>
      <c r="E34" s="8" t="s">
        <v>85</v>
      </c>
      <c r="F34" s="8" t="s">
        <v>30</v>
      </c>
      <c r="G34" s="8" t="s">
        <v>92</v>
      </c>
      <c r="H34" s="8" t="s">
        <v>164</v>
      </c>
      <c r="I34" s="8" t="s">
        <v>154</v>
      </c>
      <c r="J34" s="8" t="s">
        <v>175</v>
      </c>
      <c r="K34" s="8" t="s">
        <v>215</v>
      </c>
      <c r="L34" s="8" t="s">
        <v>78</v>
      </c>
      <c r="M34" s="8">
        <v>45233</v>
      </c>
      <c r="N34" s="8">
        <v>45222</v>
      </c>
      <c r="O34" s="8" t="s">
        <v>48</v>
      </c>
      <c r="P34" s="8">
        <v>1</v>
      </c>
      <c r="Q34" s="8" t="s">
        <v>132</v>
      </c>
      <c r="R34" s="8" t="s">
        <v>35</v>
      </c>
      <c r="S34" s="8">
        <v>45225</v>
      </c>
      <c r="T34" s="8" t="s">
        <v>41</v>
      </c>
      <c r="U34" s="8" t="s">
        <v>72</v>
      </c>
      <c r="V34" s="8" t="s">
        <v>140</v>
      </c>
      <c r="W34" s="8">
        <v>380000</v>
      </c>
      <c r="X34" s="8">
        <v>308872</v>
      </c>
      <c r="Y34" s="8" t="s">
        <v>152</v>
      </c>
      <c r="Z34" s="8" t="s">
        <v>184</v>
      </c>
      <c r="AA34" s="8">
        <v>9</v>
      </c>
      <c r="AB34" s="8" t="s">
        <v>132</v>
      </c>
      <c r="AC34" s="8">
        <v>0</v>
      </c>
      <c r="AD34" s="8" t="s">
        <v>227</v>
      </c>
      <c r="AE34" s="9" t="s">
        <v>228</v>
      </c>
    </row>
    <row r="35" spans="1:31" ht="45">
      <c r="A35" s="7" t="s">
        <v>230</v>
      </c>
      <c r="B35" s="8">
        <v>2023</v>
      </c>
      <c r="C35" s="8">
        <v>45222</v>
      </c>
      <c r="D35" s="8" t="s">
        <v>69</v>
      </c>
      <c r="E35" s="8" t="s">
        <v>70</v>
      </c>
      <c r="F35" s="8" t="s">
        <v>30</v>
      </c>
      <c r="G35" s="8" t="s">
        <v>66</v>
      </c>
      <c r="H35" s="8" t="s">
        <v>159</v>
      </c>
      <c r="I35" s="8" t="s">
        <v>137</v>
      </c>
      <c r="J35" s="8" t="s">
        <v>149</v>
      </c>
      <c r="K35" s="8" t="s">
        <v>161</v>
      </c>
      <c r="L35" s="8" t="s">
        <v>73</v>
      </c>
      <c r="M35" s="8">
        <v>45232</v>
      </c>
      <c r="N35" s="8"/>
      <c r="O35" s="8" t="s">
        <v>55</v>
      </c>
      <c r="P35" s="8">
        <v>0.8</v>
      </c>
      <c r="Q35" s="8" t="s">
        <v>166</v>
      </c>
      <c r="R35" s="8" t="s">
        <v>128</v>
      </c>
      <c r="S35" s="8"/>
      <c r="T35" s="8" t="s">
        <v>33</v>
      </c>
      <c r="U35" s="8" t="s">
        <v>34</v>
      </c>
      <c r="V35" s="8" t="s">
        <v>231</v>
      </c>
      <c r="W35" s="8">
        <v>1200000</v>
      </c>
      <c r="X35" s="8">
        <v>0</v>
      </c>
      <c r="Y35" s="8" t="s">
        <v>176</v>
      </c>
      <c r="Z35" s="8" t="s">
        <v>162</v>
      </c>
      <c r="AA35" s="8">
        <v>956</v>
      </c>
      <c r="AB35" s="8" t="s">
        <v>202</v>
      </c>
      <c r="AC35" s="8">
        <v>946</v>
      </c>
      <c r="AD35" s="8" t="s">
        <v>227</v>
      </c>
      <c r="AE35" s="9" t="s">
        <v>228</v>
      </c>
    </row>
    <row r="36" spans="1:31" ht="45">
      <c r="A36" s="7" t="s">
        <v>232</v>
      </c>
      <c r="B36" s="8">
        <v>2023</v>
      </c>
      <c r="C36" s="8">
        <v>45225</v>
      </c>
      <c r="D36" s="8" t="s">
        <v>36</v>
      </c>
      <c r="E36" s="8" t="s">
        <v>85</v>
      </c>
      <c r="F36" s="8" t="s">
        <v>38</v>
      </c>
      <c r="G36" s="8" t="s">
        <v>91</v>
      </c>
      <c r="H36" s="8" t="s">
        <v>123</v>
      </c>
      <c r="I36" s="8" t="s">
        <v>187</v>
      </c>
      <c r="J36" s="8" t="s">
        <v>183</v>
      </c>
      <c r="K36" s="8" t="s">
        <v>161</v>
      </c>
      <c r="L36" s="8" t="s">
        <v>63</v>
      </c>
      <c r="M36" s="8">
        <v>45235</v>
      </c>
      <c r="N36" s="8">
        <v>45235</v>
      </c>
      <c r="O36" s="8" t="s">
        <v>48</v>
      </c>
      <c r="P36" s="8">
        <v>1</v>
      </c>
      <c r="Q36" s="8" t="s">
        <v>132</v>
      </c>
      <c r="R36" s="8" t="s">
        <v>86</v>
      </c>
      <c r="S36" s="8">
        <v>45238</v>
      </c>
      <c r="T36" s="8" t="s">
        <v>41</v>
      </c>
      <c r="U36" s="8" t="s">
        <v>42</v>
      </c>
      <c r="V36" s="8" t="s">
        <v>188</v>
      </c>
      <c r="W36" s="8">
        <v>1800000</v>
      </c>
      <c r="X36" s="8">
        <v>1942078</v>
      </c>
      <c r="Y36" s="8" t="s">
        <v>189</v>
      </c>
      <c r="Z36" s="8" t="s">
        <v>162</v>
      </c>
      <c r="AA36" s="8">
        <v>10</v>
      </c>
      <c r="AB36" s="8" t="s">
        <v>132</v>
      </c>
      <c r="AC36" s="8">
        <v>0</v>
      </c>
      <c r="AD36" s="8" t="s">
        <v>227</v>
      </c>
      <c r="AE36" s="9" t="s">
        <v>228</v>
      </c>
    </row>
    <row r="37" spans="1:31" ht="45">
      <c r="A37" s="7" t="s">
        <v>233</v>
      </c>
      <c r="B37" s="8">
        <v>2023</v>
      </c>
      <c r="C37" s="8">
        <v>45241</v>
      </c>
      <c r="D37" s="8" t="s">
        <v>74</v>
      </c>
      <c r="E37" s="8" t="s">
        <v>80</v>
      </c>
      <c r="F37" s="8" t="s">
        <v>46</v>
      </c>
      <c r="G37" s="8" t="s">
        <v>60</v>
      </c>
      <c r="H37" s="8" t="s">
        <v>159</v>
      </c>
      <c r="I37" s="8" t="s">
        <v>223</v>
      </c>
      <c r="J37" s="8" t="s">
        <v>155</v>
      </c>
      <c r="K37" s="8" t="s">
        <v>139</v>
      </c>
      <c r="L37" s="8" t="s">
        <v>83</v>
      </c>
      <c r="M37" s="8">
        <v>45251</v>
      </c>
      <c r="N37" s="8">
        <v>45247</v>
      </c>
      <c r="O37" s="8" t="s">
        <v>48</v>
      </c>
      <c r="P37" s="8">
        <v>1</v>
      </c>
      <c r="Q37" s="8" t="s">
        <v>132</v>
      </c>
      <c r="R37" s="8" t="s">
        <v>43</v>
      </c>
      <c r="S37" s="8">
        <v>45257</v>
      </c>
      <c r="T37" s="8" t="s">
        <v>49</v>
      </c>
      <c r="U37" s="8" t="s">
        <v>42</v>
      </c>
      <c r="V37" s="8" t="s">
        <v>140</v>
      </c>
      <c r="W37" s="8">
        <v>850000</v>
      </c>
      <c r="X37" s="8">
        <v>923667</v>
      </c>
      <c r="Y37" s="8" t="s">
        <v>168</v>
      </c>
      <c r="Z37" s="8" t="s">
        <v>184</v>
      </c>
      <c r="AA37" s="8">
        <v>6</v>
      </c>
      <c r="AB37" s="8" t="s">
        <v>132</v>
      </c>
      <c r="AC37" s="8">
        <v>0</v>
      </c>
      <c r="AD37" s="8" t="s">
        <v>234</v>
      </c>
      <c r="AE37" s="9" t="s">
        <v>228</v>
      </c>
    </row>
    <row r="38" spans="1:31" ht="45">
      <c r="A38" s="7" t="s">
        <v>235</v>
      </c>
      <c r="B38" s="8">
        <v>2023</v>
      </c>
      <c r="C38" s="8">
        <v>45243</v>
      </c>
      <c r="D38" s="8" t="s">
        <v>79</v>
      </c>
      <c r="E38" s="8" t="s">
        <v>59</v>
      </c>
      <c r="F38" s="8" t="s">
        <v>46</v>
      </c>
      <c r="G38" s="8" t="s">
        <v>90</v>
      </c>
      <c r="H38" s="8" t="s">
        <v>123</v>
      </c>
      <c r="I38" s="8" t="s">
        <v>212</v>
      </c>
      <c r="J38" s="8" t="s">
        <v>172</v>
      </c>
      <c r="K38" s="8" t="s">
        <v>126</v>
      </c>
      <c r="L38" s="8" t="s">
        <v>57</v>
      </c>
      <c r="M38" s="8">
        <v>45303</v>
      </c>
      <c r="N38" s="8"/>
      <c r="O38" s="8" t="s">
        <v>40</v>
      </c>
      <c r="P38" s="8">
        <v>0.4</v>
      </c>
      <c r="Q38" s="8" t="s">
        <v>166</v>
      </c>
      <c r="R38" s="8" t="s">
        <v>150</v>
      </c>
      <c r="S38" s="8"/>
      <c r="T38" s="8" t="s">
        <v>41</v>
      </c>
      <c r="U38" s="8" t="s">
        <v>62</v>
      </c>
      <c r="V38" s="8" t="s">
        <v>231</v>
      </c>
      <c r="W38" s="8">
        <v>250000</v>
      </c>
      <c r="X38" s="8">
        <v>217887</v>
      </c>
      <c r="Y38" s="8" t="s">
        <v>152</v>
      </c>
      <c r="Z38" s="8" t="s">
        <v>162</v>
      </c>
      <c r="AA38" s="8">
        <v>935</v>
      </c>
      <c r="AB38" s="8" t="s">
        <v>202</v>
      </c>
      <c r="AC38" s="8">
        <v>875</v>
      </c>
      <c r="AD38" s="8" t="s">
        <v>234</v>
      </c>
      <c r="AE38" s="9" t="s">
        <v>228</v>
      </c>
    </row>
    <row r="39" spans="1:31" ht="30">
      <c r="A39" s="7" t="s">
        <v>236</v>
      </c>
      <c r="B39" s="8">
        <v>2023</v>
      </c>
      <c r="C39" s="8">
        <v>45254</v>
      </c>
      <c r="D39" s="8" t="s">
        <v>84</v>
      </c>
      <c r="E39" s="8" t="s">
        <v>45</v>
      </c>
      <c r="F39" s="8" t="s">
        <v>46</v>
      </c>
      <c r="G39" s="8" t="s">
        <v>54</v>
      </c>
      <c r="H39" s="8" t="s">
        <v>159</v>
      </c>
      <c r="I39" s="8" t="s">
        <v>237</v>
      </c>
      <c r="J39" s="8" t="s">
        <v>149</v>
      </c>
      <c r="K39" s="8" t="s">
        <v>178</v>
      </c>
      <c r="L39" s="8" t="s">
        <v>68</v>
      </c>
      <c r="M39" s="8">
        <v>45269</v>
      </c>
      <c r="N39" s="8">
        <v>45272</v>
      </c>
      <c r="O39" s="8" t="s">
        <v>48</v>
      </c>
      <c r="P39" s="8">
        <v>1</v>
      </c>
      <c r="Q39" s="8" t="s">
        <v>132</v>
      </c>
      <c r="R39" s="8" t="s">
        <v>86</v>
      </c>
      <c r="S39" s="8">
        <v>45287</v>
      </c>
      <c r="T39" s="8" t="s">
        <v>33</v>
      </c>
      <c r="U39" s="8" t="s">
        <v>72</v>
      </c>
      <c r="V39" s="8" t="s">
        <v>231</v>
      </c>
      <c r="W39" s="8">
        <v>600000</v>
      </c>
      <c r="X39" s="8">
        <v>645980</v>
      </c>
      <c r="Y39" s="8" t="s">
        <v>130</v>
      </c>
      <c r="Z39" s="8" t="s">
        <v>210</v>
      </c>
      <c r="AA39" s="8">
        <v>18</v>
      </c>
      <c r="AB39" s="8" t="s">
        <v>127</v>
      </c>
      <c r="AC39" s="8">
        <v>0</v>
      </c>
      <c r="AD39" s="8" t="s">
        <v>234</v>
      </c>
      <c r="AE39" s="9" t="s">
        <v>228</v>
      </c>
    </row>
    <row r="40" spans="1:31" ht="45">
      <c r="A40" s="7" t="s">
        <v>238</v>
      </c>
      <c r="B40" s="8">
        <v>2023</v>
      </c>
      <c r="C40" s="8">
        <v>45266</v>
      </c>
      <c r="D40" s="8" t="s">
        <v>84</v>
      </c>
      <c r="E40" s="8" t="s">
        <v>65</v>
      </c>
      <c r="F40" s="8" t="s">
        <v>38</v>
      </c>
      <c r="G40" s="8" t="s">
        <v>76</v>
      </c>
      <c r="H40" s="8" t="s">
        <v>159</v>
      </c>
      <c r="I40" s="8" t="s">
        <v>165</v>
      </c>
      <c r="J40" s="8" t="s">
        <v>175</v>
      </c>
      <c r="K40" s="8" t="s">
        <v>215</v>
      </c>
      <c r="L40" s="8" t="s">
        <v>83</v>
      </c>
      <c r="M40" s="8">
        <v>45326</v>
      </c>
      <c r="N40" s="8">
        <v>45322</v>
      </c>
      <c r="O40" s="8" t="s">
        <v>48</v>
      </c>
      <c r="P40" s="8">
        <v>1</v>
      </c>
      <c r="Q40" s="8" t="s">
        <v>132</v>
      </c>
      <c r="R40" s="8" t="s">
        <v>35</v>
      </c>
      <c r="S40" s="8">
        <v>45332</v>
      </c>
      <c r="T40" s="8" t="s">
        <v>41</v>
      </c>
      <c r="U40" s="8" t="s">
        <v>77</v>
      </c>
      <c r="V40" s="8" t="s">
        <v>129</v>
      </c>
      <c r="W40" s="8">
        <v>600000</v>
      </c>
      <c r="X40" s="8">
        <v>643575</v>
      </c>
      <c r="Y40" s="8" t="s">
        <v>152</v>
      </c>
      <c r="Z40" s="8" t="s">
        <v>142</v>
      </c>
      <c r="AA40" s="8">
        <v>56</v>
      </c>
      <c r="AB40" s="8" t="s">
        <v>132</v>
      </c>
      <c r="AC40" s="8">
        <v>0</v>
      </c>
      <c r="AD40" s="8" t="s">
        <v>239</v>
      </c>
      <c r="AE40" s="9" t="s">
        <v>228</v>
      </c>
    </row>
    <row r="41" spans="1:31" ht="45">
      <c r="A41" s="7" t="s">
        <v>240</v>
      </c>
      <c r="B41" s="8">
        <v>2023</v>
      </c>
      <c r="C41" s="8">
        <v>45283</v>
      </c>
      <c r="D41" s="8" t="s">
        <v>52</v>
      </c>
      <c r="E41" s="8" t="s">
        <v>75</v>
      </c>
      <c r="F41" s="8" t="s">
        <v>38</v>
      </c>
      <c r="G41" s="8" t="s">
        <v>86</v>
      </c>
      <c r="H41" s="8" t="s">
        <v>136</v>
      </c>
      <c r="I41" s="8" t="s">
        <v>241</v>
      </c>
      <c r="J41" s="8" t="s">
        <v>138</v>
      </c>
      <c r="K41" s="8" t="s">
        <v>178</v>
      </c>
      <c r="L41" s="8" t="s">
        <v>88</v>
      </c>
      <c r="M41" s="8">
        <v>45313</v>
      </c>
      <c r="N41" s="8">
        <v>45302</v>
      </c>
      <c r="O41" s="8" t="s">
        <v>48</v>
      </c>
      <c r="P41" s="8">
        <v>1</v>
      </c>
      <c r="Q41" s="8" t="s">
        <v>132</v>
      </c>
      <c r="R41" s="8" t="s">
        <v>128</v>
      </c>
      <c r="S41" s="8">
        <v>45305</v>
      </c>
      <c r="T41" s="8" t="s">
        <v>33</v>
      </c>
      <c r="U41" s="8" t="s">
        <v>77</v>
      </c>
      <c r="V41" s="8" t="s">
        <v>151</v>
      </c>
      <c r="W41" s="8">
        <v>450000</v>
      </c>
      <c r="X41" s="8">
        <v>482239</v>
      </c>
      <c r="Y41" s="8" t="s">
        <v>141</v>
      </c>
      <c r="Z41" s="8" t="s">
        <v>184</v>
      </c>
      <c r="AA41" s="8">
        <v>19</v>
      </c>
      <c r="AB41" s="8" t="s">
        <v>132</v>
      </c>
      <c r="AC41" s="8">
        <v>0</v>
      </c>
      <c r="AD41" s="8" t="s">
        <v>239</v>
      </c>
      <c r="AE41" s="9" t="s">
        <v>228</v>
      </c>
    </row>
    <row r="42" spans="1:31" ht="30">
      <c r="A42" s="10" t="s">
        <v>242</v>
      </c>
      <c r="B42" s="11">
        <v>2023</v>
      </c>
      <c r="C42" s="11">
        <v>45283</v>
      </c>
      <c r="D42" s="11" t="s">
        <v>89</v>
      </c>
      <c r="E42" s="11" t="s">
        <v>75</v>
      </c>
      <c r="F42" s="11" t="s">
        <v>38</v>
      </c>
      <c r="G42" s="11" t="s">
        <v>81</v>
      </c>
      <c r="H42" s="11" t="s">
        <v>164</v>
      </c>
      <c r="I42" s="11" t="s">
        <v>243</v>
      </c>
      <c r="J42" s="11" t="s">
        <v>183</v>
      </c>
      <c r="K42" s="11" t="s">
        <v>156</v>
      </c>
      <c r="L42" s="11" t="s">
        <v>57</v>
      </c>
      <c r="M42" s="11">
        <v>45298</v>
      </c>
      <c r="N42" s="11">
        <v>45295</v>
      </c>
      <c r="O42" s="11" t="s">
        <v>48</v>
      </c>
      <c r="P42" s="11">
        <v>1</v>
      </c>
      <c r="Q42" s="11" t="s">
        <v>166</v>
      </c>
      <c r="R42" s="11" t="s">
        <v>86</v>
      </c>
      <c r="S42" s="11"/>
      <c r="T42" s="11" t="s">
        <v>33</v>
      </c>
      <c r="U42" s="11" t="s">
        <v>87</v>
      </c>
      <c r="V42" s="11" t="s">
        <v>146</v>
      </c>
      <c r="W42" s="11">
        <v>2500000</v>
      </c>
      <c r="X42" s="11">
        <v>1996004</v>
      </c>
      <c r="Y42" s="11" t="s">
        <v>152</v>
      </c>
      <c r="Z42" s="11" t="s">
        <v>142</v>
      </c>
      <c r="AA42" s="11">
        <v>12</v>
      </c>
      <c r="AB42" s="11" t="s">
        <v>132</v>
      </c>
      <c r="AC42" s="11">
        <v>0</v>
      </c>
      <c r="AD42" s="11" t="s">
        <v>239</v>
      </c>
      <c r="AE42" s="12" t="s">
        <v>228</v>
      </c>
    </row>
  </sheetData>
  <mergeCells count="2">
    <mergeCell ref="A1:AE1"/>
    <mergeCell ref="A2:AE2"/>
  </mergeCells>
  <conditionalFormatting sqref="O5:O42">
    <cfRule type="expression" dxfId="39" priority="1">
      <formula>O5="Cerrada"</formula>
    </cfRule>
    <cfRule type="expression" dxfId="38" priority="2">
      <formula>O5="En progreso"</formula>
    </cfRule>
    <cfRule type="expression" dxfId="37" priority="3">
      <formula>O5="Vencida"</formula>
    </cfRule>
    <cfRule type="expression" dxfId="36" priority="4">
      <formula>O5="Abierta"</formula>
    </cfRule>
    <cfRule type="expression" dxfId="35" priority="5">
      <formula>O5="Cancelada"</formula>
    </cfRule>
  </conditionalFormatting>
  <conditionalFormatting sqref="T5:T42">
    <cfRule type="expression" dxfId="34" priority="6">
      <formula>T5="Alta"</formula>
    </cfRule>
    <cfRule type="expression" dxfId="33" priority="7">
      <formula>T5="Media"</formula>
    </cfRule>
    <cfRule type="expression" dxfId="32" priority="8">
      <formula>T5="Baja"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workbookViewId="0"/>
  </sheetViews>
  <sheetFormatPr baseColWidth="10" defaultColWidth="8.83203125" defaultRowHeight="14"/>
  <cols>
    <col min="1" max="1" width="14" customWidth="1"/>
    <col min="2" max="2" width="8" customWidth="1"/>
    <col min="3" max="3" width="12" customWidth="1"/>
    <col min="4" max="4" width="14" customWidth="1"/>
    <col min="5" max="5" width="18" customWidth="1"/>
    <col min="6" max="6" width="12" customWidth="1"/>
    <col min="7" max="8" width="18" customWidth="1"/>
    <col min="9" max="9" width="34" customWidth="1"/>
    <col min="10" max="10" width="26" customWidth="1"/>
    <col min="11" max="11" width="30" customWidth="1"/>
    <col min="12" max="12" width="18" customWidth="1"/>
    <col min="13" max="14" width="12" customWidth="1"/>
    <col min="15" max="15" width="13" customWidth="1"/>
    <col min="16" max="16" width="10" customWidth="1"/>
    <col min="17" max="17" width="16" customWidth="1"/>
    <col min="18" max="18" width="18" customWidth="1"/>
    <col min="19" max="19" width="12" customWidth="1"/>
    <col min="20" max="20" width="10" customWidth="1"/>
    <col min="21" max="21" width="14" customWidth="1"/>
    <col min="22" max="22" width="16" customWidth="1"/>
    <col min="23" max="24" width="14" customWidth="1"/>
    <col min="25" max="25" width="22" customWidth="1"/>
    <col min="26" max="26" width="26" customWidth="1"/>
    <col min="27" max="29" width="12" customWidth="1"/>
    <col min="30" max="31" width="10" customWidth="1"/>
  </cols>
  <sheetData>
    <row r="1" spans="1:31" ht="32" customHeight="1">
      <c r="A1" s="29" t="s">
        <v>244</v>
      </c>
      <c r="B1" s="30"/>
      <c r="C1" s="32"/>
      <c r="D1" s="30"/>
      <c r="E1" s="30"/>
      <c r="F1" s="30"/>
      <c r="G1" s="30"/>
      <c r="H1" s="30"/>
      <c r="I1" s="30"/>
      <c r="J1" s="30"/>
      <c r="K1" s="30"/>
      <c r="L1" s="30"/>
      <c r="M1" s="32"/>
      <c r="N1" s="32"/>
      <c r="O1" s="30"/>
      <c r="P1" s="33"/>
      <c r="Q1" s="30"/>
      <c r="R1" s="30"/>
      <c r="S1" s="32"/>
      <c r="T1" s="30"/>
      <c r="U1" s="30"/>
      <c r="V1" s="30"/>
      <c r="W1" s="34"/>
      <c r="X1" s="34"/>
      <c r="Y1" s="30"/>
      <c r="Z1" s="30"/>
      <c r="AA1" s="35"/>
      <c r="AB1" s="35"/>
      <c r="AC1" s="35"/>
      <c r="AD1" s="30"/>
      <c r="AE1" s="30"/>
    </row>
    <row r="2" spans="1:31" ht="26.75" customHeight="1">
      <c r="A2" s="31" t="s">
        <v>121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4" spans="1:31" ht="50.75" customHeight="1">
      <c r="A4" s="1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</v>
      </c>
      <c r="G4" s="2" t="s">
        <v>24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12</v>
      </c>
      <c r="P4" s="2" t="s">
        <v>108</v>
      </c>
      <c r="Q4" s="2" t="s">
        <v>16</v>
      </c>
      <c r="R4" s="2" t="s">
        <v>109</v>
      </c>
      <c r="S4" s="2" t="s">
        <v>110</v>
      </c>
      <c r="T4" s="2" t="s">
        <v>25</v>
      </c>
      <c r="U4" s="2" t="s">
        <v>26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14</v>
      </c>
      <c r="AC4" s="2" t="s">
        <v>117</v>
      </c>
      <c r="AD4" s="2" t="s">
        <v>118</v>
      </c>
      <c r="AE4" s="3" t="s">
        <v>119</v>
      </c>
    </row>
    <row r="5" spans="1:31" ht="30">
      <c r="A5" s="4" t="s">
        <v>245</v>
      </c>
      <c r="B5" s="5">
        <v>2024</v>
      </c>
      <c r="C5" s="5">
        <v>45293</v>
      </c>
      <c r="D5" s="5" t="s">
        <v>84</v>
      </c>
      <c r="E5" s="5" t="s">
        <v>53</v>
      </c>
      <c r="F5" s="5" t="s">
        <v>46</v>
      </c>
      <c r="G5" s="5" t="s">
        <v>90</v>
      </c>
      <c r="H5" s="5" t="s">
        <v>123</v>
      </c>
      <c r="I5" s="5" t="s">
        <v>171</v>
      </c>
      <c r="J5" s="5" t="s">
        <v>155</v>
      </c>
      <c r="K5" s="5" t="s">
        <v>126</v>
      </c>
      <c r="L5" s="5" t="s">
        <v>43</v>
      </c>
      <c r="M5" s="5">
        <v>45313</v>
      </c>
      <c r="N5" s="5">
        <v>45296</v>
      </c>
      <c r="O5" s="5" t="s">
        <v>61</v>
      </c>
      <c r="P5" s="5">
        <v>0</v>
      </c>
      <c r="Q5" s="5" t="s">
        <v>246</v>
      </c>
      <c r="R5" s="5" t="s">
        <v>128</v>
      </c>
      <c r="S5" s="5"/>
      <c r="T5" s="5" t="s">
        <v>49</v>
      </c>
      <c r="U5" s="5" t="s">
        <v>62</v>
      </c>
      <c r="V5" s="5" t="s">
        <v>247</v>
      </c>
      <c r="W5" s="5">
        <v>2500000</v>
      </c>
      <c r="X5" s="5">
        <v>2246011</v>
      </c>
      <c r="Y5" s="5" t="s">
        <v>141</v>
      </c>
      <c r="Z5" s="5" t="s">
        <v>184</v>
      </c>
      <c r="AA5" s="5">
        <v>3</v>
      </c>
      <c r="AB5" s="5" t="s">
        <v>246</v>
      </c>
      <c r="AC5" s="5">
        <v>0</v>
      </c>
      <c r="AD5" s="5" t="s">
        <v>133</v>
      </c>
      <c r="AE5" s="6" t="s">
        <v>134</v>
      </c>
    </row>
    <row r="6" spans="1:31" ht="45">
      <c r="A6" s="7" t="s">
        <v>248</v>
      </c>
      <c r="B6" s="8">
        <v>2024</v>
      </c>
      <c r="C6" s="8">
        <v>45297</v>
      </c>
      <c r="D6" s="8" t="s">
        <v>58</v>
      </c>
      <c r="E6" s="8" t="s">
        <v>45</v>
      </c>
      <c r="F6" s="8" t="s">
        <v>30</v>
      </c>
      <c r="G6" s="8" t="s">
        <v>39</v>
      </c>
      <c r="H6" s="8" t="s">
        <v>136</v>
      </c>
      <c r="I6" s="8" t="s">
        <v>160</v>
      </c>
      <c r="J6" s="8" t="s">
        <v>149</v>
      </c>
      <c r="K6" s="8" t="s">
        <v>249</v>
      </c>
      <c r="L6" s="8" t="s">
        <v>57</v>
      </c>
      <c r="M6" s="8">
        <v>45317</v>
      </c>
      <c r="N6" s="8">
        <v>45318</v>
      </c>
      <c r="O6" s="8" t="s">
        <v>48</v>
      </c>
      <c r="P6" s="8">
        <v>1</v>
      </c>
      <c r="Q6" s="8" t="s">
        <v>132</v>
      </c>
      <c r="R6" s="8" t="s">
        <v>35</v>
      </c>
      <c r="S6" s="8">
        <v>45321</v>
      </c>
      <c r="T6" s="8" t="s">
        <v>33</v>
      </c>
      <c r="U6" s="8" t="s">
        <v>50</v>
      </c>
      <c r="V6" s="8" t="s">
        <v>72</v>
      </c>
      <c r="W6" s="8">
        <v>380000</v>
      </c>
      <c r="X6" s="8">
        <v>353704</v>
      </c>
      <c r="Y6" s="8" t="s">
        <v>152</v>
      </c>
      <c r="Z6" s="8" t="s">
        <v>184</v>
      </c>
      <c r="AA6" s="8">
        <v>21</v>
      </c>
      <c r="AB6" s="8" t="s">
        <v>127</v>
      </c>
      <c r="AC6" s="8">
        <v>0</v>
      </c>
      <c r="AD6" s="8" t="s">
        <v>133</v>
      </c>
      <c r="AE6" s="9" t="s">
        <v>134</v>
      </c>
    </row>
    <row r="7" spans="1:31" ht="45">
      <c r="A7" s="7" t="s">
        <v>250</v>
      </c>
      <c r="B7" s="8">
        <v>2024</v>
      </c>
      <c r="C7" s="8">
        <v>45302</v>
      </c>
      <c r="D7" s="8" t="s">
        <v>36</v>
      </c>
      <c r="E7" s="8" t="s">
        <v>70</v>
      </c>
      <c r="F7" s="8" t="s">
        <v>30</v>
      </c>
      <c r="G7" s="8" t="s">
        <v>39</v>
      </c>
      <c r="H7" s="8" t="s">
        <v>251</v>
      </c>
      <c r="I7" s="8" t="s">
        <v>252</v>
      </c>
      <c r="J7" s="8" t="s">
        <v>138</v>
      </c>
      <c r="K7" s="8" t="s">
        <v>145</v>
      </c>
      <c r="L7" s="8" t="s">
        <v>63</v>
      </c>
      <c r="M7" s="8">
        <v>45312</v>
      </c>
      <c r="N7" s="8">
        <v>45311</v>
      </c>
      <c r="O7" s="8" t="s">
        <v>48</v>
      </c>
      <c r="P7" s="8">
        <v>1</v>
      </c>
      <c r="Q7" s="8" t="s">
        <v>132</v>
      </c>
      <c r="R7" s="8" t="s">
        <v>150</v>
      </c>
      <c r="S7" s="8">
        <v>45318</v>
      </c>
      <c r="T7" s="8" t="s">
        <v>41</v>
      </c>
      <c r="U7" s="8" t="s">
        <v>42</v>
      </c>
      <c r="V7" s="8" t="s">
        <v>167</v>
      </c>
      <c r="W7" s="8">
        <v>450000</v>
      </c>
      <c r="X7" s="8">
        <v>369012</v>
      </c>
      <c r="Y7" s="8" t="s">
        <v>168</v>
      </c>
      <c r="Z7" s="8" t="s">
        <v>162</v>
      </c>
      <c r="AA7" s="8">
        <v>9</v>
      </c>
      <c r="AB7" s="8" t="s">
        <v>132</v>
      </c>
      <c r="AC7" s="8">
        <v>0</v>
      </c>
      <c r="AD7" s="8" t="s">
        <v>133</v>
      </c>
      <c r="AE7" s="9" t="s">
        <v>134</v>
      </c>
    </row>
    <row r="8" spans="1:31" ht="45">
      <c r="A8" s="7" t="s">
        <v>253</v>
      </c>
      <c r="B8" s="8">
        <v>2024</v>
      </c>
      <c r="C8" s="8">
        <v>45303</v>
      </c>
      <c r="D8" s="8" t="s">
        <v>64</v>
      </c>
      <c r="E8" s="8" t="s">
        <v>53</v>
      </c>
      <c r="F8" s="8" t="s">
        <v>30</v>
      </c>
      <c r="G8" s="8" t="s">
        <v>91</v>
      </c>
      <c r="H8" s="8" t="s">
        <v>136</v>
      </c>
      <c r="I8" s="8" t="s">
        <v>254</v>
      </c>
      <c r="J8" s="8" t="s">
        <v>149</v>
      </c>
      <c r="K8" s="8" t="s">
        <v>145</v>
      </c>
      <c r="L8" s="8" t="s">
        <v>68</v>
      </c>
      <c r="M8" s="8">
        <v>45348</v>
      </c>
      <c r="N8" s="8">
        <v>45332</v>
      </c>
      <c r="O8" s="8" t="s">
        <v>48</v>
      </c>
      <c r="P8" s="8">
        <v>1</v>
      </c>
      <c r="Q8" s="8" t="s">
        <v>127</v>
      </c>
      <c r="R8" s="8" t="s">
        <v>86</v>
      </c>
      <c r="S8" s="8">
        <v>45347</v>
      </c>
      <c r="T8" s="8" t="s">
        <v>41</v>
      </c>
      <c r="U8" s="8" t="s">
        <v>87</v>
      </c>
      <c r="V8" s="8" t="s">
        <v>247</v>
      </c>
      <c r="W8" s="8">
        <v>450000</v>
      </c>
      <c r="X8" s="8">
        <v>348858</v>
      </c>
      <c r="Y8" s="8" t="s">
        <v>130</v>
      </c>
      <c r="Z8" s="8" t="s">
        <v>142</v>
      </c>
      <c r="AA8" s="8">
        <v>29</v>
      </c>
      <c r="AB8" s="8" t="s">
        <v>132</v>
      </c>
      <c r="AC8" s="8">
        <v>0</v>
      </c>
      <c r="AD8" s="8" t="s">
        <v>133</v>
      </c>
      <c r="AE8" s="9" t="s">
        <v>134</v>
      </c>
    </row>
    <row r="9" spans="1:31" ht="45">
      <c r="A9" s="7" t="s">
        <v>255</v>
      </c>
      <c r="B9" s="8">
        <v>2024</v>
      </c>
      <c r="C9" s="8">
        <v>45306</v>
      </c>
      <c r="D9" s="8" t="s">
        <v>89</v>
      </c>
      <c r="E9" s="8" t="s">
        <v>37</v>
      </c>
      <c r="F9" s="8" t="s">
        <v>30</v>
      </c>
      <c r="G9" s="8" t="s">
        <v>93</v>
      </c>
      <c r="H9" s="8" t="s">
        <v>159</v>
      </c>
      <c r="I9" s="8" t="s">
        <v>174</v>
      </c>
      <c r="J9" s="8" t="s">
        <v>125</v>
      </c>
      <c r="K9" s="8" t="s">
        <v>156</v>
      </c>
      <c r="L9" s="8" t="s">
        <v>73</v>
      </c>
      <c r="M9" s="8">
        <v>45316</v>
      </c>
      <c r="N9" s="8">
        <v>45315</v>
      </c>
      <c r="O9" s="8" t="s">
        <v>48</v>
      </c>
      <c r="P9" s="8">
        <v>1</v>
      </c>
      <c r="Q9" s="8" t="s">
        <v>132</v>
      </c>
      <c r="R9" s="8" t="s">
        <v>150</v>
      </c>
      <c r="S9" s="8">
        <v>45330</v>
      </c>
      <c r="T9" s="8" t="s">
        <v>33</v>
      </c>
      <c r="U9" s="8" t="s">
        <v>77</v>
      </c>
      <c r="V9" s="8" t="s">
        <v>146</v>
      </c>
      <c r="W9" s="8">
        <v>1800000</v>
      </c>
      <c r="X9" s="8">
        <v>1389026</v>
      </c>
      <c r="Y9" s="8" t="s">
        <v>168</v>
      </c>
      <c r="Z9" s="8" t="s">
        <v>210</v>
      </c>
      <c r="AA9" s="8">
        <v>9</v>
      </c>
      <c r="AB9" s="8" t="s">
        <v>132</v>
      </c>
      <c r="AC9" s="8">
        <v>0</v>
      </c>
      <c r="AD9" s="8" t="s">
        <v>133</v>
      </c>
      <c r="AE9" s="9" t="s">
        <v>134</v>
      </c>
    </row>
    <row r="10" spans="1:31" ht="45">
      <c r="A10" s="7" t="s">
        <v>256</v>
      </c>
      <c r="B10" s="8">
        <v>2024</v>
      </c>
      <c r="C10" s="8">
        <v>45325</v>
      </c>
      <c r="D10" s="8" t="s">
        <v>36</v>
      </c>
      <c r="E10" s="8" t="s">
        <v>65</v>
      </c>
      <c r="F10" s="8" t="s">
        <v>38</v>
      </c>
      <c r="G10" s="8" t="s">
        <v>71</v>
      </c>
      <c r="H10" s="8" t="s">
        <v>170</v>
      </c>
      <c r="I10" s="8" t="s">
        <v>165</v>
      </c>
      <c r="J10" s="8" t="s">
        <v>125</v>
      </c>
      <c r="K10" s="8" t="s">
        <v>249</v>
      </c>
      <c r="L10" s="8" t="s">
        <v>51</v>
      </c>
      <c r="M10" s="8">
        <v>45335</v>
      </c>
      <c r="N10" s="8">
        <v>45330</v>
      </c>
      <c r="O10" s="8" t="s">
        <v>48</v>
      </c>
      <c r="P10" s="8">
        <v>1</v>
      </c>
      <c r="Q10" s="8" t="s">
        <v>127</v>
      </c>
      <c r="R10" s="8" t="s">
        <v>35</v>
      </c>
      <c r="S10" s="8">
        <v>45340</v>
      </c>
      <c r="T10" s="8" t="s">
        <v>33</v>
      </c>
      <c r="U10" s="8" t="s">
        <v>62</v>
      </c>
      <c r="V10" s="8" t="s">
        <v>129</v>
      </c>
      <c r="W10" s="8">
        <v>380000</v>
      </c>
      <c r="X10" s="8">
        <v>347442</v>
      </c>
      <c r="Y10" s="8" t="s">
        <v>141</v>
      </c>
      <c r="Z10" s="8" t="s">
        <v>162</v>
      </c>
      <c r="AA10" s="8">
        <v>5</v>
      </c>
      <c r="AB10" s="8" t="s">
        <v>132</v>
      </c>
      <c r="AC10" s="8">
        <v>0</v>
      </c>
      <c r="AD10" s="8" t="s">
        <v>157</v>
      </c>
      <c r="AE10" s="9" t="s">
        <v>134</v>
      </c>
    </row>
    <row r="11" spans="1:31" ht="45">
      <c r="A11" s="7" t="s">
        <v>257</v>
      </c>
      <c r="B11" s="8">
        <v>2024</v>
      </c>
      <c r="C11" s="8">
        <v>45334</v>
      </c>
      <c r="D11" s="8" t="s">
        <v>58</v>
      </c>
      <c r="E11" s="8" t="s">
        <v>85</v>
      </c>
      <c r="F11" s="8" t="s">
        <v>38</v>
      </c>
      <c r="G11" s="8" t="s">
        <v>60</v>
      </c>
      <c r="H11" s="8" t="s">
        <v>164</v>
      </c>
      <c r="I11" s="8" t="s">
        <v>187</v>
      </c>
      <c r="J11" s="8" t="s">
        <v>125</v>
      </c>
      <c r="K11" s="8" t="s">
        <v>215</v>
      </c>
      <c r="L11" s="8" t="s">
        <v>78</v>
      </c>
      <c r="M11" s="8">
        <v>45379</v>
      </c>
      <c r="N11" s="8">
        <v>45369</v>
      </c>
      <c r="O11" s="8" t="s">
        <v>48</v>
      </c>
      <c r="P11" s="8">
        <v>1</v>
      </c>
      <c r="Q11" s="8" t="s">
        <v>132</v>
      </c>
      <c r="R11" s="8" t="s">
        <v>86</v>
      </c>
      <c r="S11" s="8">
        <v>45384</v>
      </c>
      <c r="T11" s="8" t="s">
        <v>33</v>
      </c>
      <c r="U11" s="8" t="s">
        <v>82</v>
      </c>
      <c r="V11" s="8" t="s">
        <v>151</v>
      </c>
      <c r="W11" s="8">
        <v>250000</v>
      </c>
      <c r="X11" s="8">
        <v>205541</v>
      </c>
      <c r="Y11" s="8" t="s">
        <v>141</v>
      </c>
      <c r="Z11" s="8" t="s">
        <v>210</v>
      </c>
      <c r="AA11" s="8">
        <v>35</v>
      </c>
      <c r="AB11" s="8" t="s">
        <v>132</v>
      </c>
      <c r="AC11" s="8">
        <v>0</v>
      </c>
      <c r="AD11" s="8" t="s">
        <v>157</v>
      </c>
      <c r="AE11" s="9" t="s">
        <v>134</v>
      </c>
    </row>
    <row r="12" spans="1:31" ht="45">
      <c r="A12" s="7" t="s">
        <v>258</v>
      </c>
      <c r="B12" s="8">
        <v>2024</v>
      </c>
      <c r="C12" s="8">
        <v>45334</v>
      </c>
      <c r="D12" s="8" t="s">
        <v>58</v>
      </c>
      <c r="E12" s="8" t="s">
        <v>75</v>
      </c>
      <c r="F12" s="8" t="s">
        <v>46</v>
      </c>
      <c r="G12" s="8" t="s">
        <v>90</v>
      </c>
      <c r="H12" s="8" t="s">
        <v>170</v>
      </c>
      <c r="I12" s="8" t="s">
        <v>243</v>
      </c>
      <c r="J12" s="8" t="s">
        <v>172</v>
      </c>
      <c r="K12" s="8" t="s">
        <v>161</v>
      </c>
      <c r="L12" s="8" t="s">
        <v>57</v>
      </c>
      <c r="M12" s="8">
        <v>45364</v>
      </c>
      <c r="N12" s="8">
        <v>45367</v>
      </c>
      <c r="O12" s="8" t="s">
        <v>48</v>
      </c>
      <c r="P12" s="8">
        <v>1</v>
      </c>
      <c r="Q12" s="8" t="s">
        <v>132</v>
      </c>
      <c r="R12" s="8" t="s">
        <v>35</v>
      </c>
      <c r="S12" s="8">
        <v>45382</v>
      </c>
      <c r="T12" s="8" t="s">
        <v>33</v>
      </c>
      <c r="U12" s="8" t="s">
        <v>77</v>
      </c>
      <c r="V12" s="8" t="s">
        <v>146</v>
      </c>
      <c r="W12" s="8">
        <v>600000</v>
      </c>
      <c r="X12" s="8">
        <v>544863</v>
      </c>
      <c r="Y12" s="8" t="s">
        <v>168</v>
      </c>
      <c r="Z12" s="8" t="s">
        <v>142</v>
      </c>
      <c r="AA12" s="8">
        <v>33</v>
      </c>
      <c r="AB12" s="8" t="s">
        <v>127</v>
      </c>
      <c r="AC12" s="8">
        <v>0</v>
      </c>
      <c r="AD12" s="8" t="s">
        <v>157</v>
      </c>
      <c r="AE12" s="9" t="s">
        <v>134</v>
      </c>
    </row>
    <row r="13" spans="1:31" ht="45">
      <c r="A13" s="7" t="s">
        <v>259</v>
      </c>
      <c r="B13" s="8">
        <v>2024</v>
      </c>
      <c r="C13" s="8">
        <v>45346</v>
      </c>
      <c r="D13" s="8" t="s">
        <v>64</v>
      </c>
      <c r="E13" s="8" t="s">
        <v>45</v>
      </c>
      <c r="F13" s="8" t="s">
        <v>38</v>
      </c>
      <c r="G13" s="8" t="s">
        <v>76</v>
      </c>
      <c r="H13" s="8" t="s">
        <v>251</v>
      </c>
      <c r="I13" s="8" t="s">
        <v>237</v>
      </c>
      <c r="J13" s="8" t="s">
        <v>172</v>
      </c>
      <c r="K13" s="8" t="s">
        <v>249</v>
      </c>
      <c r="L13" s="8" t="s">
        <v>83</v>
      </c>
      <c r="M13" s="8">
        <v>45376</v>
      </c>
      <c r="N13" s="8">
        <v>45377</v>
      </c>
      <c r="O13" s="8" t="s">
        <v>48</v>
      </c>
      <c r="P13" s="8">
        <v>1</v>
      </c>
      <c r="Q13" s="8" t="s">
        <v>166</v>
      </c>
      <c r="R13" s="8" t="s">
        <v>86</v>
      </c>
      <c r="S13" s="8"/>
      <c r="T13" s="8" t="s">
        <v>33</v>
      </c>
      <c r="U13" s="8" t="s">
        <v>77</v>
      </c>
      <c r="V13" s="8" t="s">
        <v>140</v>
      </c>
      <c r="W13" s="8">
        <v>380000</v>
      </c>
      <c r="X13" s="8">
        <v>297170</v>
      </c>
      <c r="Y13" s="8" t="s">
        <v>141</v>
      </c>
      <c r="Z13" s="8" t="s">
        <v>210</v>
      </c>
      <c r="AA13" s="8">
        <v>31</v>
      </c>
      <c r="AB13" s="8" t="s">
        <v>127</v>
      </c>
      <c r="AC13" s="8">
        <v>0</v>
      </c>
      <c r="AD13" s="8" t="s">
        <v>157</v>
      </c>
      <c r="AE13" s="9" t="s">
        <v>134</v>
      </c>
    </row>
    <row r="14" spans="1:31" ht="45">
      <c r="A14" s="7" t="s">
        <v>260</v>
      </c>
      <c r="B14" s="8">
        <v>2024</v>
      </c>
      <c r="C14" s="8">
        <v>45374</v>
      </c>
      <c r="D14" s="8" t="s">
        <v>79</v>
      </c>
      <c r="E14" s="8" t="s">
        <v>29</v>
      </c>
      <c r="F14" s="8" t="s">
        <v>46</v>
      </c>
      <c r="G14" s="8" t="s">
        <v>90</v>
      </c>
      <c r="H14" s="8" t="s">
        <v>170</v>
      </c>
      <c r="I14" s="8" t="s">
        <v>261</v>
      </c>
      <c r="J14" s="8" t="s">
        <v>125</v>
      </c>
      <c r="K14" s="8" t="s">
        <v>126</v>
      </c>
      <c r="L14" s="8" t="s">
        <v>51</v>
      </c>
      <c r="M14" s="8">
        <v>45419</v>
      </c>
      <c r="N14" s="8"/>
      <c r="O14" s="8" t="s">
        <v>40</v>
      </c>
      <c r="P14" s="8">
        <v>0.4</v>
      </c>
      <c r="Q14" s="8" t="s">
        <v>166</v>
      </c>
      <c r="R14" s="8" t="s">
        <v>150</v>
      </c>
      <c r="S14" s="8"/>
      <c r="T14" s="8" t="s">
        <v>41</v>
      </c>
      <c r="U14" s="8" t="s">
        <v>50</v>
      </c>
      <c r="V14" s="8" t="s">
        <v>247</v>
      </c>
      <c r="W14" s="8">
        <v>1200000</v>
      </c>
      <c r="X14" s="8">
        <v>1224654</v>
      </c>
      <c r="Y14" s="8" t="s">
        <v>152</v>
      </c>
      <c r="Z14" s="8" t="s">
        <v>162</v>
      </c>
      <c r="AA14" s="8">
        <v>804</v>
      </c>
      <c r="AB14" s="8" t="s">
        <v>202</v>
      </c>
      <c r="AC14" s="8">
        <v>759</v>
      </c>
      <c r="AD14" s="8" t="s">
        <v>185</v>
      </c>
      <c r="AE14" s="9" t="s">
        <v>134</v>
      </c>
    </row>
    <row r="15" spans="1:31" ht="45">
      <c r="A15" s="7" t="s">
        <v>262</v>
      </c>
      <c r="B15" s="8">
        <v>2024</v>
      </c>
      <c r="C15" s="8">
        <v>45387</v>
      </c>
      <c r="D15" s="8" t="s">
        <v>74</v>
      </c>
      <c r="E15" s="8" t="s">
        <v>37</v>
      </c>
      <c r="F15" s="8" t="s">
        <v>46</v>
      </c>
      <c r="G15" s="8" t="s">
        <v>90</v>
      </c>
      <c r="H15" s="8" t="s">
        <v>170</v>
      </c>
      <c r="I15" s="8" t="s">
        <v>180</v>
      </c>
      <c r="J15" s="8" t="s">
        <v>183</v>
      </c>
      <c r="K15" s="8" t="s">
        <v>145</v>
      </c>
      <c r="L15" s="8" t="s">
        <v>35</v>
      </c>
      <c r="M15" s="8">
        <v>45432</v>
      </c>
      <c r="N15" s="8">
        <v>45440</v>
      </c>
      <c r="O15" s="8" t="s">
        <v>48</v>
      </c>
      <c r="P15" s="8">
        <v>1</v>
      </c>
      <c r="Q15" s="8" t="s">
        <v>132</v>
      </c>
      <c r="R15" s="8" t="s">
        <v>150</v>
      </c>
      <c r="S15" s="8">
        <v>45447</v>
      </c>
      <c r="T15" s="8" t="s">
        <v>49</v>
      </c>
      <c r="U15" s="8" t="s">
        <v>87</v>
      </c>
      <c r="V15" s="8" t="s">
        <v>72</v>
      </c>
      <c r="W15" s="8">
        <v>250000</v>
      </c>
      <c r="X15" s="8">
        <v>215227</v>
      </c>
      <c r="Y15" s="8" t="s">
        <v>152</v>
      </c>
      <c r="Z15" s="8" t="s">
        <v>131</v>
      </c>
      <c r="AA15" s="8">
        <v>53</v>
      </c>
      <c r="AB15" s="8" t="s">
        <v>127</v>
      </c>
      <c r="AC15" s="8">
        <v>0</v>
      </c>
      <c r="AD15" s="8" t="s">
        <v>190</v>
      </c>
      <c r="AE15" s="9" t="s">
        <v>191</v>
      </c>
    </row>
    <row r="16" spans="1:31" ht="30">
      <c r="A16" s="7" t="s">
        <v>263</v>
      </c>
      <c r="B16" s="8">
        <v>2024</v>
      </c>
      <c r="C16" s="8">
        <v>45395</v>
      </c>
      <c r="D16" s="8" t="s">
        <v>89</v>
      </c>
      <c r="E16" s="8" t="s">
        <v>70</v>
      </c>
      <c r="F16" s="8" t="s">
        <v>46</v>
      </c>
      <c r="G16" s="8" t="s">
        <v>91</v>
      </c>
      <c r="H16" s="8" t="s">
        <v>123</v>
      </c>
      <c r="I16" s="8" t="s">
        <v>137</v>
      </c>
      <c r="J16" s="8" t="s">
        <v>125</v>
      </c>
      <c r="K16" s="8" t="s">
        <v>126</v>
      </c>
      <c r="L16" s="8" t="s">
        <v>78</v>
      </c>
      <c r="M16" s="8">
        <v>45440</v>
      </c>
      <c r="N16" s="8">
        <v>45431</v>
      </c>
      <c r="O16" s="8" t="s">
        <v>48</v>
      </c>
      <c r="P16" s="8">
        <v>1</v>
      </c>
      <c r="Q16" s="8" t="s">
        <v>166</v>
      </c>
      <c r="R16" s="8" t="s">
        <v>150</v>
      </c>
      <c r="S16" s="8"/>
      <c r="T16" s="8" t="s">
        <v>49</v>
      </c>
      <c r="U16" s="8" t="s">
        <v>56</v>
      </c>
      <c r="V16" s="8" t="s">
        <v>188</v>
      </c>
      <c r="W16" s="8">
        <v>850000</v>
      </c>
      <c r="X16" s="8">
        <v>640253</v>
      </c>
      <c r="Y16" s="8" t="s">
        <v>141</v>
      </c>
      <c r="Z16" s="8" t="s">
        <v>142</v>
      </c>
      <c r="AA16" s="8">
        <v>36</v>
      </c>
      <c r="AB16" s="8" t="s">
        <v>132</v>
      </c>
      <c r="AC16" s="8">
        <v>0</v>
      </c>
      <c r="AD16" s="8" t="s">
        <v>190</v>
      </c>
      <c r="AE16" s="9" t="s">
        <v>191</v>
      </c>
    </row>
    <row r="17" spans="1:31" ht="45">
      <c r="A17" s="7" t="s">
        <v>264</v>
      </c>
      <c r="B17" s="8">
        <v>2024</v>
      </c>
      <c r="C17" s="8">
        <v>45396</v>
      </c>
      <c r="D17" s="8" t="s">
        <v>84</v>
      </c>
      <c r="E17" s="8" t="s">
        <v>80</v>
      </c>
      <c r="F17" s="8" t="s">
        <v>38</v>
      </c>
      <c r="G17" s="8" t="s">
        <v>71</v>
      </c>
      <c r="H17" s="8" t="s">
        <v>136</v>
      </c>
      <c r="I17" s="8" t="s">
        <v>124</v>
      </c>
      <c r="J17" s="8" t="s">
        <v>144</v>
      </c>
      <c r="K17" s="8" t="s">
        <v>156</v>
      </c>
      <c r="L17" s="8" t="s">
        <v>43</v>
      </c>
      <c r="M17" s="8">
        <v>45456</v>
      </c>
      <c r="N17" s="8"/>
      <c r="O17" s="8" t="s">
        <v>40</v>
      </c>
      <c r="P17" s="8">
        <v>0.6</v>
      </c>
      <c r="Q17" s="8" t="s">
        <v>166</v>
      </c>
      <c r="R17" s="8" t="s">
        <v>43</v>
      </c>
      <c r="S17" s="8"/>
      <c r="T17" s="8" t="s">
        <v>33</v>
      </c>
      <c r="U17" s="8" t="s">
        <v>62</v>
      </c>
      <c r="V17" s="8" t="s">
        <v>167</v>
      </c>
      <c r="W17" s="8">
        <v>250000</v>
      </c>
      <c r="X17" s="8">
        <v>250695</v>
      </c>
      <c r="Y17" s="8" t="s">
        <v>168</v>
      </c>
      <c r="Z17" s="8" t="s">
        <v>131</v>
      </c>
      <c r="AA17" s="8">
        <v>782</v>
      </c>
      <c r="AB17" s="8" t="s">
        <v>202</v>
      </c>
      <c r="AC17" s="8">
        <v>722</v>
      </c>
      <c r="AD17" s="8" t="s">
        <v>190</v>
      </c>
      <c r="AE17" s="9" t="s">
        <v>191</v>
      </c>
    </row>
    <row r="18" spans="1:31" ht="45">
      <c r="A18" s="7" t="s">
        <v>265</v>
      </c>
      <c r="B18" s="8">
        <v>2024</v>
      </c>
      <c r="C18" s="8">
        <v>45405</v>
      </c>
      <c r="D18" s="8" t="s">
        <v>74</v>
      </c>
      <c r="E18" s="8" t="s">
        <v>37</v>
      </c>
      <c r="F18" s="8" t="s">
        <v>46</v>
      </c>
      <c r="G18" s="8" t="s">
        <v>92</v>
      </c>
      <c r="H18" s="8" t="s">
        <v>123</v>
      </c>
      <c r="I18" s="8" t="s">
        <v>174</v>
      </c>
      <c r="J18" s="8" t="s">
        <v>155</v>
      </c>
      <c r="K18" s="8" t="s">
        <v>249</v>
      </c>
      <c r="L18" s="8" t="s">
        <v>51</v>
      </c>
      <c r="M18" s="8">
        <v>45435</v>
      </c>
      <c r="N18" s="8">
        <v>45415</v>
      </c>
      <c r="O18" s="8" t="s">
        <v>61</v>
      </c>
      <c r="P18" s="8">
        <v>0.15</v>
      </c>
      <c r="Q18" s="8" t="s">
        <v>246</v>
      </c>
      <c r="R18" s="8" t="s">
        <v>86</v>
      </c>
      <c r="S18" s="8"/>
      <c r="T18" s="8" t="s">
        <v>41</v>
      </c>
      <c r="U18" s="8" t="s">
        <v>42</v>
      </c>
      <c r="V18" s="8" t="s">
        <v>167</v>
      </c>
      <c r="W18" s="8">
        <v>1200000</v>
      </c>
      <c r="X18" s="8">
        <v>1340609</v>
      </c>
      <c r="Y18" s="8" t="s">
        <v>130</v>
      </c>
      <c r="Z18" s="8" t="s">
        <v>162</v>
      </c>
      <c r="AA18" s="8">
        <v>10</v>
      </c>
      <c r="AB18" s="8" t="s">
        <v>246</v>
      </c>
      <c r="AC18" s="8">
        <v>0</v>
      </c>
      <c r="AD18" s="8" t="s">
        <v>190</v>
      </c>
      <c r="AE18" s="9" t="s">
        <v>191</v>
      </c>
    </row>
    <row r="19" spans="1:31" ht="45">
      <c r="A19" s="7" t="s">
        <v>266</v>
      </c>
      <c r="B19" s="8">
        <v>2024</v>
      </c>
      <c r="C19" s="8">
        <v>45414</v>
      </c>
      <c r="D19" s="8" t="s">
        <v>84</v>
      </c>
      <c r="E19" s="8" t="s">
        <v>45</v>
      </c>
      <c r="F19" s="8" t="s">
        <v>38</v>
      </c>
      <c r="G19" s="8" t="s">
        <v>71</v>
      </c>
      <c r="H19" s="8" t="s">
        <v>251</v>
      </c>
      <c r="I19" s="8" t="s">
        <v>160</v>
      </c>
      <c r="J19" s="8" t="s">
        <v>144</v>
      </c>
      <c r="K19" s="8" t="s">
        <v>249</v>
      </c>
      <c r="L19" s="8" t="s">
        <v>88</v>
      </c>
      <c r="M19" s="8">
        <v>45474</v>
      </c>
      <c r="N19" s="8">
        <v>45466</v>
      </c>
      <c r="O19" s="8" t="s">
        <v>48</v>
      </c>
      <c r="P19" s="8">
        <v>1</v>
      </c>
      <c r="Q19" s="8" t="s">
        <v>132</v>
      </c>
      <c r="R19" s="8" t="s">
        <v>35</v>
      </c>
      <c r="S19" s="8">
        <v>45473</v>
      </c>
      <c r="T19" s="8" t="s">
        <v>41</v>
      </c>
      <c r="U19" s="8" t="s">
        <v>42</v>
      </c>
      <c r="V19" s="8" t="s">
        <v>231</v>
      </c>
      <c r="W19" s="8">
        <v>1200000</v>
      </c>
      <c r="X19" s="8">
        <v>929064</v>
      </c>
      <c r="Y19" s="8" t="s">
        <v>176</v>
      </c>
      <c r="Z19" s="8" t="s">
        <v>131</v>
      </c>
      <c r="AA19" s="8">
        <v>52</v>
      </c>
      <c r="AB19" s="8" t="s">
        <v>132</v>
      </c>
      <c r="AC19" s="8">
        <v>0</v>
      </c>
      <c r="AD19" s="8" t="s">
        <v>195</v>
      </c>
      <c r="AE19" s="9" t="s">
        <v>191</v>
      </c>
    </row>
    <row r="20" spans="1:31" ht="45">
      <c r="A20" s="7" t="s">
        <v>267</v>
      </c>
      <c r="B20" s="8">
        <v>2024</v>
      </c>
      <c r="C20" s="8">
        <v>45428</v>
      </c>
      <c r="D20" s="8" t="s">
        <v>64</v>
      </c>
      <c r="E20" s="8" t="s">
        <v>53</v>
      </c>
      <c r="F20" s="8" t="s">
        <v>38</v>
      </c>
      <c r="G20" s="8" t="s">
        <v>31</v>
      </c>
      <c r="H20" s="8" t="s">
        <v>136</v>
      </c>
      <c r="I20" s="8" t="s">
        <v>197</v>
      </c>
      <c r="J20" s="8" t="s">
        <v>149</v>
      </c>
      <c r="K20" s="8" t="s">
        <v>161</v>
      </c>
      <c r="L20" s="8" t="s">
        <v>51</v>
      </c>
      <c r="M20" s="8">
        <v>45488</v>
      </c>
      <c r="N20" s="8"/>
      <c r="O20" s="8" t="s">
        <v>40</v>
      </c>
      <c r="P20" s="8">
        <v>0.85</v>
      </c>
      <c r="Q20" s="8" t="s">
        <v>166</v>
      </c>
      <c r="R20" s="8" t="s">
        <v>150</v>
      </c>
      <c r="S20" s="8"/>
      <c r="T20" s="8" t="s">
        <v>41</v>
      </c>
      <c r="U20" s="8" t="s">
        <v>67</v>
      </c>
      <c r="V20" s="8" t="s">
        <v>167</v>
      </c>
      <c r="W20" s="8">
        <v>380000</v>
      </c>
      <c r="X20" s="8">
        <v>287888</v>
      </c>
      <c r="Y20" s="8" t="s">
        <v>152</v>
      </c>
      <c r="Z20" s="8" t="s">
        <v>131</v>
      </c>
      <c r="AA20" s="8">
        <v>750</v>
      </c>
      <c r="AB20" s="8" t="s">
        <v>202</v>
      </c>
      <c r="AC20" s="8">
        <v>690</v>
      </c>
      <c r="AD20" s="8" t="s">
        <v>195</v>
      </c>
      <c r="AE20" s="9" t="s">
        <v>191</v>
      </c>
    </row>
    <row r="21" spans="1:31" ht="30">
      <c r="A21" s="7" t="s">
        <v>268</v>
      </c>
      <c r="B21" s="8">
        <v>2024</v>
      </c>
      <c r="C21" s="8">
        <v>45434</v>
      </c>
      <c r="D21" s="8" t="s">
        <v>89</v>
      </c>
      <c r="E21" s="8" t="s">
        <v>53</v>
      </c>
      <c r="F21" s="8" t="s">
        <v>38</v>
      </c>
      <c r="G21" s="8" t="s">
        <v>76</v>
      </c>
      <c r="H21" s="8" t="s">
        <v>164</v>
      </c>
      <c r="I21" s="8" t="s">
        <v>197</v>
      </c>
      <c r="J21" s="8" t="s">
        <v>155</v>
      </c>
      <c r="K21" s="8" t="s">
        <v>139</v>
      </c>
      <c r="L21" s="8" t="s">
        <v>63</v>
      </c>
      <c r="M21" s="8">
        <v>45444</v>
      </c>
      <c r="N21" s="8"/>
      <c r="O21" s="8" t="s">
        <v>55</v>
      </c>
      <c r="P21" s="8">
        <v>0.7</v>
      </c>
      <c r="Q21" s="8" t="s">
        <v>166</v>
      </c>
      <c r="R21" s="8" t="s">
        <v>86</v>
      </c>
      <c r="S21" s="8"/>
      <c r="T21" s="8" t="s">
        <v>33</v>
      </c>
      <c r="U21" s="8" t="s">
        <v>50</v>
      </c>
      <c r="V21" s="8" t="s">
        <v>129</v>
      </c>
      <c r="W21" s="8">
        <v>2500000</v>
      </c>
      <c r="X21" s="8">
        <v>0</v>
      </c>
      <c r="Y21" s="8" t="s">
        <v>176</v>
      </c>
      <c r="Z21" s="8" t="s">
        <v>184</v>
      </c>
      <c r="AA21" s="8">
        <v>744</v>
      </c>
      <c r="AB21" s="8" t="s">
        <v>202</v>
      </c>
      <c r="AC21" s="8">
        <v>734</v>
      </c>
      <c r="AD21" s="8" t="s">
        <v>195</v>
      </c>
      <c r="AE21" s="9" t="s">
        <v>191</v>
      </c>
    </row>
    <row r="22" spans="1:31" ht="45">
      <c r="A22" s="7" t="s">
        <v>269</v>
      </c>
      <c r="B22" s="8">
        <v>2024</v>
      </c>
      <c r="C22" s="8">
        <v>45435</v>
      </c>
      <c r="D22" s="8" t="s">
        <v>28</v>
      </c>
      <c r="E22" s="8" t="s">
        <v>45</v>
      </c>
      <c r="F22" s="8" t="s">
        <v>38</v>
      </c>
      <c r="G22" s="8" t="s">
        <v>76</v>
      </c>
      <c r="H22" s="8" t="s">
        <v>164</v>
      </c>
      <c r="I22" s="8" t="s">
        <v>237</v>
      </c>
      <c r="J22" s="8" t="s">
        <v>144</v>
      </c>
      <c r="K22" s="8" t="s">
        <v>145</v>
      </c>
      <c r="L22" s="8" t="s">
        <v>43</v>
      </c>
      <c r="M22" s="8">
        <v>45465</v>
      </c>
      <c r="N22" s="8">
        <v>45466</v>
      </c>
      <c r="O22" s="8" t="s">
        <v>48</v>
      </c>
      <c r="P22" s="8">
        <v>1</v>
      </c>
      <c r="Q22" s="8" t="s">
        <v>132</v>
      </c>
      <c r="R22" s="8" t="s">
        <v>35</v>
      </c>
      <c r="S22" s="8">
        <v>45481</v>
      </c>
      <c r="T22" s="8" t="s">
        <v>49</v>
      </c>
      <c r="U22" s="8" t="s">
        <v>72</v>
      </c>
      <c r="V22" s="8" t="s">
        <v>140</v>
      </c>
      <c r="W22" s="8">
        <v>380000</v>
      </c>
      <c r="X22" s="8">
        <v>353710</v>
      </c>
      <c r="Y22" s="8" t="s">
        <v>141</v>
      </c>
      <c r="Z22" s="8" t="s">
        <v>162</v>
      </c>
      <c r="AA22" s="8">
        <v>31</v>
      </c>
      <c r="AB22" s="8" t="s">
        <v>127</v>
      </c>
      <c r="AC22" s="8">
        <v>0</v>
      </c>
      <c r="AD22" s="8" t="s">
        <v>195</v>
      </c>
      <c r="AE22" s="9" t="s">
        <v>191</v>
      </c>
    </row>
    <row r="23" spans="1:31" ht="45">
      <c r="A23" s="7" t="s">
        <v>270</v>
      </c>
      <c r="B23" s="8">
        <v>2024</v>
      </c>
      <c r="C23" s="8">
        <v>45444</v>
      </c>
      <c r="D23" s="8" t="s">
        <v>69</v>
      </c>
      <c r="E23" s="8" t="s">
        <v>65</v>
      </c>
      <c r="F23" s="8" t="s">
        <v>30</v>
      </c>
      <c r="G23" s="8" t="s">
        <v>93</v>
      </c>
      <c r="H23" s="8" t="s">
        <v>251</v>
      </c>
      <c r="I23" s="8" t="s">
        <v>165</v>
      </c>
      <c r="J23" s="8" t="s">
        <v>175</v>
      </c>
      <c r="K23" s="8" t="s">
        <v>145</v>
      </c>
      <c r="L23" s="8" t="s">
        <v>73</v>
      </c>
      <c r="M23" s="8">
        <v>45464</v>
      </c>
      <c r="N23" s="8">
        <v>45458</v>
      </c>
      <c r="O23" s="8" t="s">
        <v>48</v>
      </c>
      <c r="P23" s="8">
        <v>1</v>
      </c>
      <c r="Q23" s="8" t="s">
        <v>132</v>
      </c>
      <c r="R23" s="8" t="s">
        <v>150</v>
      </c>
      <c r="S23" s="8">
        <v>45473</v>
      </c>
      <c r="T23" s="8" t="s">
        <v>33</v>
      </c>
      <c r="U23" s="8" t="s">
        <v>82</v>
      </c>
      <c r="V23" s="8" t="s">
        <v>146</v>
      </c>
      <c r="W23" s="8">
        <v>450000</v>
      </c>
      <c r="X23" s="8">
        <v>351389</v>
      </c>
      <c r="Y23" s="8" t="s">
        <v>189</v>
      </c>
      <c r="Z23" s="8" t="s">
        <v>184</v>
      </c>
      <c r="AA23" s="8">
        <v>14</v>
      </c>
      <c r="AB23" s="8" t="s">
        <v>132</v>
      </c>
      <c r="AC23" s="8">
        <v>0</v>
      </c>
      <c r="AD23" s="8" t="s">
        <v>198</v>
      </c>
      <c r="AE23" s="9" t="s">
        <v>191</v>
      </c>
    </row>
    <row r="24" spans="1:31" ht="30">
      <c r="A24" s="7" t="s">
        <v>271</v>
      </c>
      <c r="B24" s="8">
        <v>2024</v>
      </c>
      <c r="C24" s="8">
        <v>45446</v>
      </c>
      <c r="D24" s="8" t="s">
        <v>58</v>
      </c>
      <c r="E24" s="8" t="s">
        <v>70</v>
      </c>
      <c r="F24" s="8" t="s">
        <v>30</v>
      </c>
      <c r="G24" s="8" t="s">
        <v>31</v>
      </c>
      <c r="H24" s="8" t="s">
        <v>123</v>
      </c>
      <c r="I24" s="8" t="s">
        <v>137</v>
      </c>
      <c r="J24" s="8" t="s">
        <v>125</v>
      </c>
      <c r="K24" s="8" t="s">
        <v>126</v>
      </c>
      <c r="L24" s="8" t="s">
        <v>43</v>
      </c>
      <c r="M24" s="8">
        <v>45491</v>
      </c>
      <c r="N24" s="8">
        <v>45496</v>
      </c>
      <c r="O24" s="8" t="s">
        <v>48</v>
      </c>
      <c r="P24" s="8">
        <v>1</v>
      </c>
      <c r="Q24" s="8" t="s">
        <v>132</v>
      </c>
      <c r="R24" s="8" t="s">
        <v>35</v>
      </c>
      <c r="S24" s="8">
        <v>45511</v>
      </c>
      <c r="T24" s="8" t="s">
        <v>33</v>
      </c>
      <c r="U24" s="8" t="s">
        <v>87</v>
      </c>
      <c r="V24" s="8" t="s">
        <v>146</v>
      </c>
      <c r="W24" s="8">
        <v>1200000</v>
      </c>
      <c r="X24" s="8">
        <v>1021752</v>
      </c>
      <c r="Y24" s="8" t="s">
        <v>189</v>
      </c>
      <c r="Z24" s="8" t="s">
        <v>210</v>
      </c>
      <c r="AA24" s="8">
        <v>50</v>
      </c>
      <c r="AB24" s="8" t="s">
        <v>127</v>
      </c>
      <c r="AC24" s="8">
        <v>0</v>
      </c>
      <c r="AD24" s="8" t="s">
        <v>198</v>
      </c>
      <c r="AE24" s="9" t="s">
        <v>191</v>
      </c>
    </row>
    <row r="25" spans="1:31" ht="45">
      <c r="A25" s="7" t="s">
        <v>272</v>
      </c>
      <c r="B25" s="8">
        <v>2024</v>
      </c>
      <c r="C25" s="8">
        <v>45449</v>
      </c>
      <c r="D25" s="8" t="s">
        <v>69</v>
      </c>
      <c r="E25" s="8" t="s">
        <v>85</v>
      </c>
      <c r="F25" s="8" t="s">
        <v>38</v>
      </c>
      <c r="G25" s="8" t="s">
        <v>71</v>
      </c>
      <c r="H25" s="8" t="s">
        <v>251</v>
      </c>
      <c r="I25" s="8" t="s">
        <v>154</v>
      </c>
      <c r="J25" s="8" t="s">
        <v>138</v>
      </c>
      <c r="K25" s="8" t="s">
        <v>126</v>
      </c>
      <c r="L25" s="8" t="s">
        <v>73</v>
      </c>
      <c r="M25" s="8">
        <v>45494</v>
      </c>
      <c r="N25" s="8">
        <v>45490</v>
      </c>
      <c r="O25" s="8" t="s">
        <v>48</v>
      </c>
      <c r="P25" s="8">
        <v>1</v>
      </c>
      <c r="Q25" s="8" t="s">
        <v>132</v>
      </c>
      <c r="R25" s="8" t="s">
        <v>43</v>
      </c>
      <c r="S25" s="8">
        <v>45493</v>
      </c>
      <c r="T25" s="8" t="s">
        <v>33</v>
      </c>
      <c r="U25" s="8" t="s">
        <v>72</v>
      </c>
      <c r="V25" s="8" t="s">
        <v>167</v>
      </c>
      <c r="W25" s="8">
        <v>380000</v>
      </c>
      <c r="X25" s="8">
        <v>345156</v>
      </c>
      <c r="Y25" s="8" t="s">
        <v>176</v>
      </c>
      <c r="Z25" s="8" t="s">
        <v>210</v>
      </c>
      <c r="AA25" s="8">
        <v>41</v>
      </c>
      <c r="AB25" s="8" t="s">
        <v>132</v>
      </c>
      <c r="AC25" s="8">
        <v>0</v>
      </c>
      <c r="AD25" s="8" t="s">
        <v>198</v>
      </c>
      <c r="AE25" s="9" t="s">
        <v>191</v>
      </c>
    </row>
    <row r="26" spans="1:31" ht="45">
      <c r="A26" s="7" t="s">
        <v>273</v>
      </c>
      <c r="B26" s="8">
        <v>2024</v>
      </c>
      <c r="C26" s="8">
        <v>45464</v>
      </c>
      <c r="D26" s="8" t="s">
        <v>74</v>
      </c>
      <c r="E26" s="8" t="s">
        <v>59</v>
      </c>
      <c r="F26" s="8" t="s">
        <v>30</v>
      </c>
      <c r="G26" s="8" t="s">
        <v>66</v>
      </c>
      <c r="H26" s="8" t="s">
        <v>159</v>
      </c>
      <c r="I26" s="8" t="s">
        <v>212</v>
      </c>
      <c r="J26" s="8" t="s">
        <v>125</v>
      </c>
      <c r="K26" s="8" t="s">
        <v>139</v>
      </c>
      <c r="L26" s="8" t="s">
        <v>83</v>
      </c>
      <c r="M26" s="8">
        <v>45524</v>
      </c>
      <c r="N26" s="8"/>
      <c r="O26" s="8" t="s">
        <v>55</v>
      </c>
      <c r="P26" s="8">
        <v>0.7</v>
      </c>
      <c r="Q26" s="8" t="s">
        <v>166</v>
      </c>
      <c r="R26" s="8" t="s">
        <v>43</v>
      </c>
      <c r="S26" s="8"/>
      <c r="T26" s="8" t="s">
        <v>49</v>
      </c>
      <c r="U26" s="8" t="s">
        <v>42</v>
      </c>
      <c r="V26" s="8" t="s">
        <v>231</v>
      </c>
      <c r="W26" s="8">
        <v>600000</v>
      </c>
      <c r="X26" s="8">
        <v>0</v>
      </c>
      <c r="Y26" s="8" t="s">
        <v>141</v>
      </c>
      <c r="Z26" s="8" t="s">
        <v>210</v>
      </c>
      <c r="AA26" s="8">
        <v>714</v>
      </c>
      <c r="AB26" s="8" t="s">
        <v>202</v>
      </c>
      <c r="AC26" s="8">
        <v>654</v>
      </c>
      <c r="AD26" s="8" t="s">
        <v>198</v>
      </c>
      <c r="AE26" s="9" t="s">
        <v>191</v>
      </c>
    </row>
    <row r="27" spans="1:31" ht="45">
      <c r="A27" s="7" t="s">
        <v>274</v>
      </c>
      <c r="B27" s="8">
        <v>2024</v>
      </c>
      <c r="C27" s="8">
        <v>45476</v>
      </c>
      <c r="D27" s="8" t="s">
        <v>36</v>
      </c>
      <c r="E27" s="8" t="s">
        <v>80</v>
      </c>
      <c r="F27" s="8" t="s">
        <v>30</v>
      </c>
      <c r="G27" s="8" t="s">
        <v>93</v>
      </c>
      <c r="H27" s="8" t="s">
        <v>136</v>
      </c>
      <c r="I27" s="8" t="s">
        <v>124</v>
      </c>
      <c r="J27" s="8" t="s">
        <v>138</v>
      </c>
      <c r="K27" s="8" t="s">
        <v>161</v>
      </c>
      <c r="L27" s="8" t="s">
        <v>83</v>
      </c>
      <c r="M27" s="8">
        <v>45491</v>
      </c>
      <c r="N27" s="8"/>
      <c r="O27" s="8" t="s">
        <v>40</v>
      </c>
      <c r="P27" s="8">
        <v>0.5</v>
      </c>
      <c r="Q27" s="8" t="s">
        <v>166</v>
      </c>
      <c r="R27" s="8" t="s">
        <v>35</v>
      </c>
      <c r="S27" s="8"/>
      <c r="T27" s="8" t="s">
        <v>41</v>
      </c>
      <c r="U27" s="8" t="s">
        <v>50</v>
      </c>
      <c r="V27" s="8" t="s">
        <v>247</v>
      </c>
      <c r="W27" s="8">
        <v>1800000</v>
      </c>
      <c r="X27" s="8">
        <v>1711445</v>
      </c>
      <c r="Y27" s="8" t="s">
        <v>152</v>
      </c>
      <c r="Z27" s="8" t="s">
        <v>162</v>
      </c>
      <c r="AA27" s="8">
        <v>702</v>
      </c>
      <c r="AB27" s="8" t="s">
        <v>202</v>
      </c>
      <c r="AC27" s="8">
        <v>687</v>
      </c>
      <c r="AD27" s="8" t="s">
        <v>206</v>
      </c>
      <c r="AE27" s="9" t="s">
        <v>207</v>
      </c>
    </row>
    <row r="28" spans="1:31" ht="30">
      <c r="A28" s="7" t="s">
        <v>275</v>
      </c>
      <c r="B28" s="8">
        <v>2024</v>
      </c>
      <c r="C28" s="8">
        <v>45498</v>
      </c>
      <c r="D28" s="8" t="s">
        <v>74</v>
      </c>
      <c r="E28" s="8" t="s">
        <v>80</v>
      </c>
      <c r="F28" s="8" t="s">
        <v>30</v>
      </c>
      <c r="G28" s="8" t="s">
        <v>47</v>
      </c>
      <c r="H28" s="8" t="s">
        <v>136</v>
      </c>
      <c r="I28" s="8" t="s">
        <v>124</v>
      </c>
      <c r="J28" s="8" t="s">
        <v>183</v>
      </c>
      <c r="K28" s="8" t="s">
        <v>139</v>
      </c>
      <c r="L28" s="8" t="s">
        <v>78</v>
      </c>
      <c r="M28" s="8">
        <v>45528</v>
      </c>
      <c r="N28" s="8"/>
      <c r="O28" s="8" t="s">
        <v>40</v>
      </c>
      <c r="P28" s="8">
        <v>0.25</v>
      </c>
      <c r="Q28" s="8" t="s">
        <v>166</v>
      </c>
      <c r="R28" s="8" t="s">
        <v>43</v>
      </c>
      <c r="S28" s="8"/>
      <c r="T28" s="8" t="s">
        <v>41</v>
      </c>
      <c r="U28" s="8" t="s">
        <v>42</v>
      </c>
      <c r="V28" s="8" t="s">
        <v>146</v>
      </c>
      <c r="W28" s="8">
        <v>2500000</v>
      </c>
      <c r="X28" s="8">
        <v>2340833</v>
      </c>
      <c r="Y28" s="8" t="s">
        <v>168</v>
      </c>
      <c r="Z28" s="8" t="s">
        <v>210</v>
      </c>
      <c r="AA28" s="8">
        <v>680</v>
      </c>
      <c r="AB28" s="8" t="s">
        <v>202</v>
      </c>
      <c r="AC28" s="8">
        <v>650</v>
      </c>
      <c r="AD28" s="8" t="s">
        <v>206</v>
      </c>
      <c r="AE28" s="9" t="s">
        <v>207</v>
      </c>
    </row>
    <row r="29" spans="1:31" ht="30">
      <c r="A29" s="7" t="s">
        <v>276</v>
      </c>
      <c r="B29" s="8">
        <v>2024</v>
      </c>
      <c r="C29" s="8">
        <v>45516</v>
      </c>
      <c r="D29" s="8" t="s">
        <v>58</v>
      </c>
      <c r="E29" s="8" t="s">
        <v>59</v>
      </c>
      <c r="F29" s="8" t="s">
        <v>46</v>
      </c>
      <c r="G29" s="8" t="s">
        <v>93</v>
      </c>
      <c r="H29" s="8" t="s">
        <v>170</v>
      </c>
      <c r="I29" s="8" t="s">
        <v>148</v>
      </c>
      <c r="J29" s="8" t="s">
        <v>175</v>
      </c>
      <c r="K29" s="8" t="s">
        <v>126</v>
      </c>
      <c r="L29" s="8" t="s">
        <v>78</v>
      </c>
      <c r="M29" s="8">
        <v>45536</v>
      </c>
      <c r="N29" s="8">
        <v>45536</v>
      </c>
      <c r="O29" s="8" t="s">
        <v>48</v>
      </c>
      <c r="P29" s="8">
        <v>1</v>
      </c>
      <c r="Q29" s="8" t="s">
        <v>132</v>
      </c>
      <c r="R29" s="8" t="s">
        <v>86</v>
      </c>
      <c r="S29" s="8">
        <v>45546</v>
      </c>
      <c r="T29" s="8" t="s">
        <v>49</v>
      </c>
      <c r="U29" s="8" t="s">
        <v>77</v>
      </c>
      <c r="V29" s="8" t="s">
        <v>146</v>
      </c>
      <c r="W29" s="8">
        <v>600000</v>
      </c>
      <c r="X29" s="8">
        <v>655443</v>
      </c>
      <c r="Y29" s="8" t="s">
        <v>130</v>
      </c>
      <c r="Z29" s="8" t="s">
        <v>142</v>
      </c>
      <c r="AA29" s="8">
        <v>20</v>
      </c>
      <c r="AB29" s="8" t="s">
        <v>132</v>
      </c>
      <c r="AC29" s="8">
        <v>0</v>
      </c>
      <c r="AD29" s="8" t="s">
        <v>213</v>
      </c>
      <c r="AE29" s="9" t="s">
        <v>207</v>
      </c>
    </row>
    <row r="30" spans="1:31" ht="30">
      <c r="A30" s="7" t="s">
        <v>277</v>
      </c>
      <c r="B30" s="8">
        <v>2024</v>
      </c>
      <c r="C30" s="8">
        <v>45520</v>
      </c>
      <c r="D30" s="8" t="s">
        <v>89</v>
      </c>
      <c r="E30" s="8" t="s">
        <v>45</v>
      </c>
      <c r="F30" s="8" t="s">
        <v>38</v>
      </c>
      <c r="G30" s="8" t="s">
        <v>76</v>
      </c>
      <c r="H30" s="8" t="s">
        <v>251</v>
      </c>
      <c r="I30" s="8" t="s">
        <v>237</v>
      </c>
      <c r="J30" s="8" t="s">
        <v>172</v>
      </c>
      <c r="K30" s="8" t="s">
        <v>126</v>
      </c>
      <c r="L30" s="8" t="s">
        <v>63</v>
      </c>
      <c r="M30" s="8">
        <v>45535</v>
      </c>
      <c r="N30" s="8">
        <v>45528</v>
      </c>
      <c r="O30" s="8" t="s">
        <v>48</v>
      </c>
      <c r="P30" s="8">
        <v>1</v>
      </c>
      <c r="Q30" s="8" t="s">
        <v>132</v>
      </c>
      <c r="R30" s="8" t="s">
        <v>35</v>
      </c>
      <c r="S30" s="8">
        <v>45535</v>
      </c>
      <c r="T30" s="8" t="s">
        <v>41</v>
      </c>
      <c r="U30" s="8" t="s">
        <v>62</v>
      </c>
      <c r="V30" s="8" t="s">
        <v>231</v>
      </c>
      <c r="W30" s="8">
        <v>1200000</v>
      </c>
      <c r="X30" s="8">
        <v>1348439</v>
      </c>
      <c r="Y30" s="8" t="s">
        <v>168</v>
      </c>
      <c r="Z30" s="8" t="s">
        <v>210</v>
      </c>
      <c r="AA30" s="8">
        <v>8</v>
      </c>
      <c r="AB30" s="8" t="s">
        <v>132</v>
      </c>
      <c r="AC30" s="8">
        <v>0</v>
      </c>
      <c r="AD30" s="8" t="s">
        <v>213</v>
      </c>
      <c r="AE30" s="9" t="s">
        <v>207</v>
      </c>
    </row>
    <row r="31" spans="1:31" ht="30">
      <c r="A31" s="7" t="s">
        <v>278</v>
      </c>
      <c r="B31" s="8">
        <v>2024</v>
      </c>
      <c r="C31" s="8">
        <v>45539</v>
      </c>
      <c r="D31" s="8" t="s">
        <v>89</v>
      </c>
      <c r="E31" s="8" t="s">
        <v>70</v>
      </c>
      <c r="F31" s="8" t="s">
        <v>38</v>
      </c>
      <c r="G31" s="8" t="s">
        <v>93</v>
      </c>
      <c r="H31" s="8" t="s">
        <v>170</v>
      </c>
      <c r="I31" s="8" t="s">
        <v>252</v>
      </c>
      <c r="J31" s="8" t="s">
        <v>183</v>
      </c>
      <c r="K31" s="8" t="s">
        <v>139</v>
      </c>
      <c r="L31" s="8" t="s">
        <v>35</v>
      </c>
      <c r="M31" s="8">
        <v>45569</v>
      </c>
      <c r="N31" s="8">
        <v>45574</v>
      </c>
      <c r="O31" s="8" t="s">
        <v>48</v>
      </c>
      <c r="P31" s="8">
        <v>1</v>
      </c>
      <c r="Q31" s="8" t="s">
        <v>132</v>
      </c>
      <c r="R31" s="8" t="s">
        <v>86</v>
      </c>
      <c r="S31" s="8">
        <v>45589</v>
      </c>
      <c r="T31" s="8" t="s">
        <v>41</v>
      </c>
      <c r="U31" s="8" t="s">
        <v>42</v>
      </c>
      <c r="V31" s="8" t="s">
        <v>140</v>
      </c>
      <c r="W31" s="8">
        <v>600000</v>
      </c>
      <c r="X31" s="8">
        <v>563154</v>
      </c>
      <c r="Y31" s="8" t="s">
        <v>168</v>
      </c>
      <c r="Z31" s="8" t="s">
        <v>184</v>
      </c>
      <c r="AA31" s="8">
        <v>35</v>
      </c>
      <c r="AB31" s="8" t="s">
        <v>127</v>
      </c>
      <c r="AC31" s="8">
        <v>0</v>
      </c>
      <c r="AD31" s="8" t="s">
        <v>224</v>
      </c>
      <c r="AE31" s="9" t="s">
        <v>207</v>
      </c>
    </row>
    <row r="32" spans="1:31" ht="45">
      <c r="A32" s="7" t="s">
        <v>279</v>
      </c>
      <c r="B32" s="8">
        <v>2024</v>
      </c>
      <c r="C32" s="8">
        <v>45551</v>
      </c>
      <c r="D32" s="8" t="s">
        <v>52</v>
      </c>
      <c r="E32" s="8" t="s">
        <v>29</v>
      </c>
      <c r="F32" s="8" t="s">
        <v>38</v>
      </c>
      <c r="G32" s="8" t="s">
        <v>92</v>
      </c>
      <c r="H32" s="8" t="s">
        <v>136</v>
      </c>
      <c r="I32" s="8" t="s">
        <v>280</v>
      </c>
      <c r="J32" s="8" t="s">
        <v>172</v>
      </c>
      <c r="K32" s="8" t="s">
        <v>139</v>
      </c>
      <c r="L32" s="8" t="s">
        <v>83</v>
      </c>
      <c r="M32" s="8">
        <v>45571</v>
      </c>
      <c r="N32" s="8">
        <v>45565</v>
      </c>
      <c r="O32" s="8" t="s">
        <v>48</v>
      </c>
      <c r="P32" s="8">
        <v>1</v>
      </c>
      <c r="Q32" s="8" t="s">
        <v>132</v>
      </c>
      <c r="R32" s="8" t="s">
        <v>128</v>
      </c>
      <c r="S32" s="8">
        <v>45568</v>
      </c>
      <c r="T32" s="8" t="s">
        <v>49</v>
      </c>
      <c r="U32" s="8" t="s">
        <v>67</v>
      </c>
      <c r="V32" s="8" t="s">
        <v>231</v>
      </c>
      <c r="W32" s="8">
        <v>1200000</v>
      </c>
      <c r="X32" s="8">
        <v>1109736</v>
      </c>
      <c r="Y32" s="8" t="s">
        <v>130</v>
      </c>
      <c r="Z32" s="8" t="s">
        <v>162</v>
      </c>
      <c r="AA32" s="8">
        <v>14</v>
      </c>
      <c r="AB32" s="8" t="s">
        <v>132</v>
      </c>
      <c r="AC32" s="8">
        <v>0</v>
      </c>
      <c r="AD32" s="8" t="s">
        <v>224</v>
      </c>
      <c r="AE32" s="9" t="s">
        <v>207</v>
      </c>
    </row>
    <row r="33" spans="1:31" ht="45">
      <c r="A33" s="7" t="s">
        <v>281</v>
      </c>
      <c r="B33" s="8">
        <v>2024</v>
      </c>
      <c r="C33" s="8">
        <v>45552</v>
      </c>
      <c r="D33" s="8" t="s">
        <v>44</v>
      </c>
      <c r="E33" s="8" t="s">
        <v>37</v>
      </c>
      <c r="F33" s="8" t="s">
        <v>38</v>
      </c>
      <c r="G33" s="8" t="s">
        <v>60</v>
      </c>
      <c r="H33" s="8" t="s">
        <v>159</v>
      </c>
      <c r="I33" s="8" t="s">
        <v>282</v>
      </c>
      <c r="J33" s="8" t="s">
        <v>172</v>
      </c>
      <c r="K33" s="8" t="s">
        <v>249</v>
      </c>
      <c r="L33" s="8" t="s">
        <v>83</v>
      </c>
      <c r="M33" s="8">
        <v>45572</v>
      </c>
      <c r="N33" s="8"/>
      <c r="O33" s="8" t="s">
        <v>40</v>
      </c>
      <c r="P33" s="8">
        <v>0.5</v>
      </c>
      <c r="Q33" s="8" t="s">
        <v>166</v>
      </c>
      <c r="R33" s="8" t="s">
        <v>43</v>
      </c>
      <c r="S33" s="8"/>
      <c r="T33" s="8" t="s">
        <v>33</v>
      </c>
      <c r="U33" s="8" t="s">
        <v>50</v>
      </c>
      <c r="V33" s="8" t="s">
        <v>72</v>
      </c>
      <c r="W33" s="8">
        <v>380000</v>
      </c>
      <c r="X33" s="8">
        <v>356186</v>
      </c>
      <c r="Y33" s="8" t="s">
        <v>189</v>
      </c>
      <c r="Z33" s="8" t="s">
        <v>131</v>
      </c>
      <c r="AA33" s="8">
        <v>626</v>
      </c>
      <c r="AB33" s="8" t="s">
        <v>202</v>
      </c>
      <c r="AC33" s="8">
        <v>606</v>
      </c>
      <c r="AD33" s="8" t="s">
        <v>224</v>
      </c>
      <c r="AE33" s="9" t="s">
        <v>207</v>
      </c>
    </row>
    <row r="34" spans="1:31" ht="45">
      <c r="A34" s="7" t="s">
        <v>283</v>
      </c>
      <c r="B34" s="8">
        <v>2024</v>
      </c>
      <c r="C34" s="8">
        <v>45554</v>
      </c>
      <c r="D34" s="8" t="s">
        <v>74</v>
      </c>
      <c r="E34" s="8" t="s">
        <v>70</v>
      </c>
      <c r="F34" s="8" t="s">
        <v>38</v>
      </c>
      <c r="G34" s="8" t="s">
        <v>71</v>
      </c>
      <c r="H34" s="8" t="s">
        <v>251</v>
      </c>
      <c r="I34" s="8" t="s">
        <v>209</v>
      </c>
      <c r="J34" s="8" t="s">
        <v>149</v>
      </c>
      <c r="K34" s="8" t="s">
        <v>161</v>
      </c>
      <c r="L34" s="8" t="s">
        <v>35</v>
      </c>
      <c r="M34" s="8">
        <v>45574</v>
      </c>
      <c r="N34" s="8"/>
      <c r="O34" s="8" t="s">
        <v>55</v>
      </c>
      <c r="P34" s="8">
        <v>0.7</v>
      </c>
      <c r="Q34" s="8" t="s">
        <v>166</v>
      </c>
      <c r="R34" s="8" t="s">
        <v>35</v>
      </c>
      <c r="S34" s="8"/>
      <c r="T34" s="8" t="s">
        <v>33</v>
      </c>
      <c r="U34" s="8" t="s">
        <v>50</v>
      </c>
      <c r="V34" s="8" t="s">
        <v>247</v>
      </c>
      <c r="W34" s="8">
        <v>450000</v>
      </c>
      <c r="X34" s="8">
        <v>0</v>
      </c>
      <c r="Y34" s="8" t="s">
        <v>130</v>
      </c>
      <c r="Z34" s="8" t="s">
        <v>131</v>
      </c>
      <c r="AA34" s="8">
        <v>624</v>
      </c>
      <c r="AB34" s="8" t="s">
        <v>202</v>
      </c>
      <c r="AC34" s="8">
        <v>604</v>
      </c>
      <c r="AD34" s="8" t="s">
        <v>224</v>
      </c>
      <c r="AE34" s="9" t="s">
        <v>207</v>
      </c>
    </row>
    <row r="35" spans="1:31" ht="45">
      <c r="A35" s="7" t="s">
        <v>284</v>
      </c>
      <c r="B35" s="8">
        <v>2024</v>
      </c>
      <c r="C35" s="8">
        <v>45570</v>
      </c>
      <c r="D35" s="8" t="s">
        <v>44</v>
      </c>
      <c r="E35" s="8" t="s">
        <v>37</v>
      </c>
      <c r="F35" s="8" t="s">
        <v>30</v>
      </c>
      <c r="G35" s="8" t="s">
        <v>54</v>
      </c>
      <c r="H35" s="8" t="s">
        <v>170</v>
      </c>
      <c r="I35" s="8" t="s">
        <v>174</v>
      </c>
      <c r="J35" s="8" t="s">
        <v>155</v>
      </c>
      <c r="K35" s="8" t="s">
        <v>249</v>
      </c>
      <c r="L35" s="8" t="s">
        <v>88</v>
      </c>
      <c r="M35" s="8">
        <v>45630</v>
      </c>
      <c r="N35" s="8">
        <v>45617</v>
      </c>
      <c r="O35" s="8" t="s">
        <v>48</v>
      </c>
      <c r="P35" s="8">
        <v>1</v>
      </c>
      <c r="Q35" s="8" t="s">
        <v>132</v>
      </c>
      <c r="R35" s="8" t="s">
        <v>35</v>
      </c>
      <c r="S35" s="8">
        <v>45620</v>
      </c>
      <c r="T35" s="8" t="s">
        <v>33</v>
      </c>
      <c r="U35" s="8" t="s">
        <v>67</v>
      </c>
      <c r="V35" s="8" t="s">
        <v>167</v>
      </c>
      <c r="W35" s="8">
        <v>1800000</v>
      </c>
      <c r="X35" s="8">
        <v>1576357</v>
      </c>
      <c r="Y35" s="8" t="s">
        <v>176</v>
      </c>
      <c r="Z35" s="8" t="s">
        <v>131</v>
      </c>
      <c r="AA35" s="8">
        <v>47</v>
      </c>
      <c r="AB35" s="8" t="s">
        <v>132</v>
      </c>
      <c r="AC35" s="8">
        <v>0</v>
      </c>
      <c r="AD35" s="8" t="s">
        <v>227</v>
      </c>
      <c r="AE35" s="9" t="s">
        <v>228</v>
      </c>
    </row>
    <row r="36" spans="1:31" ht="45">
      <c r="A36" s="7" t="s">
        <v>285</v>
      </c>
      <c r="B36" s="8">
        <v>2024</v>
      </c>
      <c r="C36" s="8">
        <v>45579</v>
      </c>
      <c r="D36" s="8" t="s">
        <v>74</v>
      </c>
      <c r="E36" s="8" t="s">
        <v>85</v>
      </c>
      <c r="F36" s="8" t="s">
        <v>46</v>
      </c>
      <c r="G36" s="8" t="s">
        <v>91</v>
      </c>
      <c r="H36" s="8" t="s">
        <v>170</v>
      </c>
      <c r="I36" s="8" t="s">
        <v>286</v>
      </c>
      <c r="J36" s="8" t="s">
        <v>155</v>
      </c>
      <c r="K36" s="8" t="s">
        <v>161</v>
      </c>
      <c r="L36" s="8" t="s">
        <v>35</v>
      </c>
      <c r="M36" s="8">
        <v>45599</v>
      </c>
      <c r="N36" s="8">
        <v>45588</v>
      </c>
      <c r="O36" s="8" t="s">
        <v>48</v>
      </c>
      <c r="P36" s="8">
        <v>1</v>
      </c>
      <c r="Q36" s="8" t="s">
        <v>132</v>
      </c>
      <c r="R36" s="8" t="s">
        <v>35</v>
      </c>
      <c r="S36" s="8">
        <v>45603</v>
      </c>
      <c r="T36" s="8" t="s">
        <v>33</v>
      </c>
      <c r="U36" s="8" t="s">
        <v>77</v>
      </c>
      <c r="V36" s="8" t="s">
        <v>72</v>
      </c>
      <c r="W36" s="8">
        <v>450000</v>
      </c>
      <c r="X36" s="8">
        <v>490260</v>
      </c>
      <c r="Y36" s="8" t="s">
        <v>141</v>
      </c>
      <c r="Z36" s="8" t="s">
        <v>162</v>
      </c>
      <c r="AA36" s="8">
        <v>9</v>
      </c>
      <c r="AB36" s="8" t="s">
        <v>132</v>
      </c>
      <c r="AC36" s="8">
        <v>0</v>
      </c>
      <c r="AD36" s="8" t="s">
        <v>227</v>
      </c>
      <c r="AE36" s="9" t="s">
        <v>228</v>
      </c>
    </row>
    <row r="37" spans="1:31" ht="45">
      <c r="A37" s="7" t="s">
        <v>287</v>
      </c>
      <c r="B37" s="8">
        <v>2024</v>
      </c>
      <c r="C37" s="8">
        <v>45583</v>
      </c>
      <c r="D37" s="8" t="s">
        <v>64</v>
      </c>
      <c r="E37" s="8" t="s">
        <v>59</v>
      </c>
      <c r="F37" s="8" t="s">
        <v>30</v>
      </c>
      <c r="G37" s="8" t="s">
        <v>39</v>
      </c>
      <c r="H37" s="8" t="s">
        <v>136</v>
      </c>
      <c r="I37" s="8" t="s">
        <v>212</v>
      </c>
      <c r="J37" s="8" t="s">
        <v>175</v>
      </c>
      <c r="K37" s="8" t="s">
        <v>249</v>
      </c>
      <c r="L37" s="8" t="s">
        <v>73</v>
      </c>
      <c r="M37" s="8">
        <v>45643</v>
      </c>
      <c r="N37" s="8"/>
      <c r="O37" s="8" t="s">
        <v>55</v>
      </c>
      <c r="P37" s="8">
        <v>0.7</v>
      </c>
      <c r="Q37" s="8" t="s">
        <v>166</v>
      </c>
      <c r="R37" s="8" t="s">
        <v>35</v>
      </c>
      <c r="S37" s="8"/>
      <c r="T37" s="8" t="s">
        <v>41</v>
      </c>
      <c r="U37" s="8" t="s">
        <v>87</v>
      </c>
      <c r="V37" s="8" t="s">
        <v>129</v>
      </c>
      <c r="W37" s="8">
        <v>2500000</v>
      </c>
      <c r="X37" s="8">
        <v>0</v>
      </c>
      <c r="Y37" s="8" t="s">
        <v>168</v>
      </c>
      <c r="Z37" s="8" t="s">
        <v>131</v>
      </c>
      <c r="AA37" s="8">
        <v>595</v>
      </c>
      <c r="AB37" s="8" t="s">
        <v>202</v>
      </c>
      <c r="AC37" s="8">
        <v>535</v>
      </c>
      <c r="AD37" s="8" t="s">
        <v>227</v>
      </c>
      <c r="AE37" s="9" t="s">
        <v>228</v>
      </c>
    </row>
    <row r="38" spans="1:31" ht="45">
      <c r="A38" s="7" t="s">
        <v>288</v>
      </c>
      <c r="B38" s="8">
        <v>2024</v>
      </c>
      <c r="C38" s="8">
        <v>45600</v>
      </c>
      <c r="D38" s="8" t="s">
        <v>89</v>
      </c>
      <c r="E38" s="8" t="s">
        <v>80</v>
      </c>
      <c r="F38" s="8" t="s">
        <v>30</v>
      </c>
      <c r="G38" s="8" t="s">
        <v>60</v>
      </c>
      <c r="H38" s="8" t="s">
        <v>136</v>
      </c>
      <c r="I38" s="8" t="s">
        <v>289</v>
      </c>
      <c r="J38" s="8" t="s">
        <v>155</v>
      </c>
      <c r="K38" s="8" t="s">
        <v>139</v>
      </c>
      <c r="L38" s="8" t="s">
        <v>73</v>
      </c>
      <c r="M38" s="8">
        <v>45630</v>
      </c>
      <c r="N38" s="8">
        <v>45626</v>
      </c>
      <c r="O38" s="8" t="s">
        <v>48</v>
      </c>
      <c r="P38" s="8">
        <v>1</v>
      </c>
      <c r="Q38" s="8" t="s">
        <v>132</v>
      </c>
      <c r="R38" s="8" t="s">
        <v>150</v>
      </c>
      <c r="S38" s="8">
        <v>45629</v>
      </c>
      <c r="T38" s="8" t="s">
        <v>49</v>
      </c>
      <c r="U38" s="8" t="s">
        <v>34</v>
      </c>
      <c r="V38" s="8" t="s">
        <v>231</v>
      </c>
      <c r="W38" s="8">
        <v>450000</v>
      </c>
      <c r="X38" s="8">
        <v>387002</v>
      </c>
      <c r="Y38" s="8" t="s">
        <v>141</v>
      </c>
      <c r="Z38" s="8" t="s">
        <v>184</v>
      </c>
      <c r="AA38" s="8">
        <v>26</v>
      </c>
      <c r="AB38" s="8" t="s">
        <v>132</v>
      </c>
      <c r="AC38" s="8">
        <v>0</v>
      </c>
      <c r="AD38" s="8" t="s">
        <v>234</v>
      </c>
      <c r="AE38" s="9" t="s">
        <v>228</v>
      </c>
    </row>
    <row r="39" spans="1:31" ht="45">
      <c r="A39" s="7" t="s">
        <v>290</v>
      </c>
      <c r="B39" s="8">
        <v>2024</v>
      </c>
      <c r="C39" s="8">
        <v>45607</v>
      </c>
      <c r="D39" s="8" t="s">
        <v>84</v>
      </c>
      <c r="E39" s="8" t="s">
        <v>85</v>
      </c>
      <c r="F39" s="8" t="s">
        <v>38</v>
      </c>
      <c r="G39" s="8" t="s">
        <v>76</v>
      </c>
      <c r="H39" s="8" t="s">
        <v>251</v>
      </c>
      <c r="I39" s="8" t="s">
        <v>286</v>
      </c>
      <c r="J39" s="8" t="s">
        <v>125</v>
      </c>
      <c r="K39" s="8" t="s">
        <v>249</v>
      </c>
      <c r="L39" s="8" t="s">
        <v>88</v>
      </c>
      <c r="M39" s="8">
        <v>45622</v>
      </c>
      <c r="N39" s="8">
        <v>45620</v>
      </c>
      <c r="O39" s="8" t="s">
        <v>48</v>
      </c>
      <c r="P39" s="8">
        <v>1</v>
      </c>
      <c r="Q39" s="8" t="s">
        <v>132</v>
      </c>
      <c r="R39" s="8" t="s">
        <v>35</v>
      </c>
      <c r="S39" s="8">
        <v>45630</v>
      </c>
      <c r="T39" s="8" t="s">
        <v>41</v>
      </c>
      <c r="U39" s="8" t="s">
        <v>87</v>
      </c>
      <c r="V39" s="8" t="s">
        <v>72</v>
      </c>
      <c r="W39" s="8">
        <v>380000</v>
      </c>
      <c r="X39" s="8">
        <v>332181</v>
      </c>
      <c r="Y39" s="8" t="s">
        <v>130</v>
      </c>
      <c r="Z39" s="8" t="s">
        <v>142</v>
      </c>
      <c r="AA39" s="8">
        <v>13</v>
      </c>
      <c r="AB39" s="8" t="s">
        <v>132</v>
      </c>
      <c r="AC39" s="8">
        <v>0</v>
      </c>
      <c r="AD39" s="8" t="s">
        <v>234</v>
      </c>
      <c r="AE39" s="9" t="s">
        <v>228</v>
      </c>
    </row>
    <row r="40" spans="1:31" ht="30">
      <c r="A40" s="7" t="s">
        <v>291</v>
      </c>
      <c r="B40" s="8">
        <v>2024</v>
      </c>
      <c r="C40" s="8">
        <v>45609</v>
      </c>
      <c r="D40" s="8" t="s">
        <v>89</v>
      </c>
      <c r="E40" s="8" t="s">
        <v>85</v>
      </c>
      <c r="F40" s="8" t="s">
        <v>30</v>
      </c>
      <c r="G40" s="8" t="s">
        <v>31</v>
      </c>
      <c r="H40" s="8" t="s">
        <v>251</v>
      </c>
      <c r="I40" s="8" t="s">
        <v>286</v>
      </c>
      <c r="J40" s="8" t="s">
        <v>172</v>
      </c>
      <c r="K40" s="8" t="s">
        <v>126</v>
      </c>
      <c r="L40" s="8" t="s">
        <v>43</v>
      </c>
      <c r="M40" s="8">
        <v>45629</v>
      </c>
      <c r="N40" s="8">
        <v>45621</v>
      </c>
      <c r="O40" s="8" t="s">
        <v>48</v>
      </c>
      <c r="P40" s="8">
        <v>1</v>
      </c>
      <c r="Q40" s="8" t="s">
        <v>132</v>
      </c>
      <c r="R40" s="8" t="s">
        <v>150</v>
      </c>
      <c r="S40" s="8">
        <v>45628</v>
      </c>
      <c r="T40" s="8" t="s">
        <v>33</v>
      </c>
      <c r="U40" s="8" t="s">
        <v>67</v>
      </c>
      <c r="V40" s="8" t="s">
        <v>146</v>
      </c>
      <c r="W40" s="8">
        <v>450000</v>
      </c>
      <c r="X40" s="8">
        <v>444607</v>
      </c>
      <c r="Y40" s="8" t="s">
        <v>189</v>
      </c>
      <c r="Z40" s="8" t="s">
        <v>210</v>
      </c>
      <c r="AA40" s="8">
        <v>12</v>
      </c>
      <c r="AB40" s="8" t="s">
        <v>132</v>
      </c>
      <c r="AC40" s="8">
        <v>0</v>
      </c>
      <c r="AD40" s="8" t="s">
        <v>234</v>
      </c>
      <c r="AE40" s="9" t="s">
        <v>228</v>
      </c>
    </row>
    <row r="41" spans="1:31" ht="45">
      <c r="A41" s="7" t="s">
        <v>292</v>
      </c>
      <c r="B41" s="8">
        <v>2024</v>
      </c>
      <c r="C41" s="8">
        <v>45615</v>
      </c>
      <c r="D41" s="8" t="s">
        <v>58</v>
      </c>
      <c r="E41" s="8" t="s">
        <v>75</v>
      </c>
      <c r="F41" s="8" t="s">
        <v>30</v>
      </c>
      <c r="G41" s="8" t="s">
        <v>54</v>
      </c>
      <c r="H41" s="8" t="s">
        <v>170</v>
      </c>
      <c r="I41" s="8" t="s">
        <v>241</v>
      </c>
      <c r="J41" s="8" t="s">
        <v>175</v>
      </c>
      <c r="K41" s="8" t="s">
        <v>145</v>
      </c>
      <c r="L41" s="8" t="s">
        <v>57</v>
      </c>
      <c r="M41" s="8">
        <v>45645</v>
      </c>
      <c r="N41" s="8">
        <v>45636</v>
      </c>
      <c r="O41" s="8" t="s">
        <v>48</v>
      </c>
      <c r="P41" s="8">
        <v>1</v>
      </c>
      <c r="Q41" s="8" t="s">
        <v>127</v>
      </c>
      <c r="R41" s="8" t="s">
        <v>150</v>
      </c>
      <c r="S41" s="8">
        <v>45651</v>
      </c>
      <c r="T41" s="8" t="s">
        <v>49</v>
      </c>
      <c r="U41" s="8" t="s">
        <v>77</v>
      </c>
      <c r="V41" s="8" t="s">
        <v>72</v>
      </c>
      <c r="W41" s="8">
        <v>850000</v>
      </c>
      <c r="X41" s="8">
        <v>655241</v>
      </c>
      <c r="Y41" s="8" t="s">
        <v>130</v>
      </c>
      <c r="Z41" s="8" t="s">
        <v>210</v>
      </c>
      <c r="AA41" s="8">
        <v>21</v>
      </c>
      <c r="AB41" s="8" t="s">
        <v>132</v>
      </c>
      <c r="AC41" s="8">
        <v>0</v>
      </c>
      <c r="AD41" s="8" t="s">
        <v>234</v>
      </c>
      <c r="AE41" s="9" t="s">
        <v>228</v>
      </c>
    </row>
    <row r="42" spans="1:31" ht="45">
      <c r="A42" s="7" t="s">
        <v>293</v>
      </c>
      <c r="B42" s="8">
        <v>2024</v>
      </c>
      <c r="C42" s="8">
        <v>45617</v>
      </c>
      <c r="D42" s="8" t="s">
        <v>64</v>
      </c>
      <c r="E42" s="8" t="s">
        <v>70</v>
      </c>
      <c r="F42" s="8" t="s">
        <v>46</v>
      </c>
      <c r="G42" s="8" t="s">
        <v>86</v>
      </c>
      <c r="H42" s="8" t="s">
        <v>123</v>
      </c>
      <c r="I42" s="8" t="s">
        <v>137</v>
      </c>
      <c r="J42" s="8" t="s">
        <v>149</v>
      </c>
      <c r="K42" s="8" t="s">
        <v>178</v>
      </c>
      <c r="L42" s="8" t="s">
        <v>43</v>
      </c>
      <c r="M42" s="8">
        <v>45662</v>
      </c>
      <c r="N42" s="8"/>
      <c r="O42" s="8" t="s">
        <v>40</v>
      </c>
      <c r="P42" s="8">
        <v>0.4</v>
      </c>
      <c r="Q42" s="8" t="s">
        <v>166</v>
      </c>
      <c r="R42" s="8" t="s">
        <v>128</v>
      </c>
      <c r="S42" s="8"/>
      <c r="T42" s="8" t="s">
        <v>41</v>
      </c>
      <c r="U42" s="8" t="s">
        <v>82</v>
      </c>
      <c r="V42" s="8" t="s">
        <v>188</v>
      </c>
      <c r="W42" s="8">
        <v>1800000</v>
      </c>
      <c r="X42" s="8">
        <v>1594030</v>
      </c>
      <c r="Y42" s="8" t="s">
        <v>130</v>
      </c>
      <c r="Z42" s="8" t="s">
        <v>162</v>
      </c>
      <c r="AA42" s="8">
        <v>561</v>
      </c>
      <c r="AB42" s="8" t="s">
        <v>202</v>
      </c>
      <c r="AC42" s="8">
        <v>516</v>
      </c>
      <c r="AD42" s="8" t="s">
        <v>234</v>
      </c>
      <c r="AE42" s="9" t="s">
        <v>228</v>
      </c>
    </row>
    <row r="43" spans="1:31" ht="45">
      <c r="A43" s="7" t="s">
        <v>294</v>
      </c>
      <c r="B43" s="8">
        <v>2024</v>
      </c>
      <c r="C43" s="8">
        <v>45621</v>
      </c>
      <c r="D43" s="8" t="s">
        <v>74</v>
      </c>
      <c r="E43" s="8" t="s">
        <v>59</v>
      </c>
      <c r="F43" s="8" t="s">
        <v>30</v>
      </c>
      <c r="G43" s="8" t="s">
        <v>92</v>
      </c>
      <c r="H43" s="8" t="s">
        <v>164</v>
      </c>
      <c r="I43" s="8" t="s">
        <v>148</v>
      </c>
      <c r="J43" s="8" t="s">
        <v>144</v>
      </c>
      <c r="K43" s="8" t="s">
        <v>161</v>
      </c>
      <c r="L43" s="8" t="s">
        <v>57</v>
      </c>
      <c r="M43" s="8">
        <v>45681</v>
      </c>
      <c r="N43" s="8"/>
      <c r="O43" s="8" t="s">
        <v>40</v>
      </c>
      <c r="P43" s="8">
        <v>0.85</v>
      </c>
      <c r="Q43" s="8" t="s">
        <v>166</v>
      </c>
      <c r="R43" s="8" t="s">
        <v>86</v>
      </c>
      <c r="S43" s="8"/>
      <c r="T43" s="8" t="s">
        <v>33</v>
      </c>
      <c r="U43" s="8" t="s">
        <v>67</v>
      </c>
      <c r="V43" s="8" t="s">
        <v>140</v>
      </c>
      <c r="W43" s="8">
        <v>850000</v>
      </c>
      <c r="X43" s="8">
        <v>905627</v>
      </c>
      <c r="Y43" s="8" t="s">
        <v>189</v>
      </c>
      <c r="Z43" s="8" t="s">
        <v>184</v>
      </c>
      <c r="AA43" s="8">
        <v>557</v>
      </c>
      <c r="AB43" s="8" t="s">
        <v>202</v>
      </c>
      <c r="AC43" s="8">
        <v>497</v>
      </c>
      <c r="AD43" s="8" t="s">
        <v>234</v>
      </c>
      <c r="AE43" s="9" t="s">
        <v>228</v>
      </c>
    </row>
    <row r="44" spans="1:31" ht="45">
      <c r="A44" s="7" t="s">
        <v>295</v>
      </c>
      <c r="B44" s="8">
        <v>2024</v>
      </c>
      <c r="C44" s="8">
        <v>45640</v>
      </c>
      <c r="D44" s="8" t="s">
        <v>52</v>
      </c>
      <c r="E44" s="8" t="s">
        <v>59</v>
      </c>
      <c r="F44" s="8" t="s">
        <v>30</v>
      </c>
      <c r="G44" s="8" t="s">
        <v>54</v>
      </c>
      <c r="H44" s="8" t="s">
        <v>170</v>
      </c>
      <c r="I44" s="8" t="s">
        <v>148</v>
      </c>
      <c r="J44" s="8" t="s">
        <v>138</v>
      </c>
      <c r="K44" s="8" t="s">
        <v>161</v>
      </c>
      <c r="L44" s="8" t="s">
        <v>35</v>
      </c>
      <c r="M44" s="8">
        <v>45655</v>
      </c>
      <c r="N44" s="8">
        <v>45654</v>
      </c>
      <c r="O44" s="8" t="s">
        <v>48</v>
      </c>
      <c r="P44" s="8">
        <v>1</v>
      </c>
      <c r="Q44" s="8" t="s">
        <v>132</v>
      </c>
      <c r="R44" s="8" t="s">
        <v>150</v>
      </c>
      <c r="S44" s="8">
        <v>45664</v>
      </c>
      <c r="T44" s="8" t="s">
        <v>41</v>
      </c>
      <c r="U44" s="8" t="s">
        <v>62</v>
      </c>
      <c r="V44" s="8" t="s">
        <v>129</v>
      </c>
      <c r="W44" s="8">
        <v>1800000</v>
      </c>
      <c r="X44" s="8">
        <v>1363493</v>
      </c>
      <c r="Y44" s="8" t="s">
        <v>189</v>
      </c>
      <c r="Z44" s="8" t="s">
        <v>210</v>
      </c>
      <c r="AA44" s="8">
        <v>14</v>
      </c>
      <c r="AB44" s="8" t="s">
        <v>132</v>
      </c>
      <c r="AC44" s="8">
        <v>0</v>
      </c>
      <c r="AD44" s="8" t="s">
        <v>239</v>
      </c>
      <c r="AE44" s="9" t="s">
        <v>228</v>
      </c>
    </row>
    <row r="45" spans="1:31" ht="45">
      <c r="A45" s="7" t="s">
        <v>296</v>
      </c>
      <c r="B45" s="8">
        <v>2024</v>
      </c>
      <c r="C45" s="8">
        <v>45642</v>
      </c>
      <c r="D45" s="8" t="s">
        <v>74</v>
      </c>
      <c r="E45" s="8" t="s">
        <v>75</v>
      </c>
      <c r="F45" s="8" t="s">
        <v>38</v>
      </c>
      <c r="G45" s="8" t="s">
        <v>92</v>
      </c>
      <c r="H45" s="8" t="s">
        <v>170</v>
      </c>
      <c r="I45" s="8" t="s">
        <v>243</v>
      </c>
      <c r="J45" s="8" t="s">
        <v>125</v>
      </c>
      <c r="K45" s="8" t="s">
        <v>126</v>
      </c>
      <c r="L45" s="8" t="s">
        <v>63</v>
      </c>
      <c r="M45" s="8">
        <v>45652</v>
      </c>
      <c r="N45" s="8">
        <v>45649</v>
      </c>
      <c r="O45" s="8" t="s">
        <v>48</v>
      </c>
      <c r="P45" s="8">
        <v>1</v>
      </c>
      <c r="Q45" s="8" t="s">
        <v>132</v>
      </c>
      <c r="R45" s="8" t="s">
        <v>35</v>
      </c>
      <c r="S45" s="8">
        <v>45659</v>
      </c>
      <c r="T45" s="8" t="s">
        <v>33</v>
      </c>
      <c r="U45" s="8" t="s">
        <v>82</v>
      </c>
      <c r="V45" s="8" t="s">
        <v>129</v>
      </c>
      <c r="W45" s="8">
        <v>380000</v>
      </c>
      <c r="X45" s="8">
        <v>319154</v>
      </c>
      <c r="Y45" s="8" t="s">
        <v>189</v>
      </c>
      <c r="Z45" s="8" t="s">
        <v>162</v>
      </c>
      <c r="AA45" s="8">
        <v>7</v>
      </c>
      <c r="AB45" s="8" t="s">
        <v>132</v>
      </c>
      <c r="AC45" s="8">
        <v>0</v>
      </c>
      <c r="AD45" s="8" t="s">
        <v>239</v>
      </c>
      <c r="AE45" s="9" t="s">
        <v>228</v>
      </c>
    </row>
    <row r="46" spans="1:31" ht="45">
      <c r="A46" s="7" t="s">
        <v>297</v>
      </c>
      <c r="B46" s="8">
        <v>2024</v>
      </c>
      <c r="C46" s="8">
        <v>45643</v>
      </c>
      <c r="D46" s="8" t="s">
        <v>64</v>
      </c>
      <c r="E46" s="8" t="s">
        <v>29</v>
      </c>
      <c r="F46" s="8" t="s">
        <v>46</v>
      </c>
      <c r="G46" s="8" t="s">
        <v>47</v>
      </c>
      <c r="H46" s="8" t="s">
        <v>170</v>
      </c>
      <c r="I46" s="8" t="s">
        <v>298</v>
      </c>
      <c r="J46" s="8" t="s">
        <v>183</v>
      </c>
      <c r="K46" s="8" t="s">
        <v>139</v>
      </c>
      <c r="L46" s="8" t="s">
        <v>35</v>
      </c>
      <c r="M46" s="8">
        <v>45658</v>
      </c>
      <c r="N46" s="8">
        <v>45656</v>
      </c>
      <c r="O46" s="8" t="s">
        <v>48</v>
      </c>
      <c r="P46" s="8">
        <v>1</v>
      </c>
      <c r="Q46" s="8" t="s">
        <v>132</v>
      </c>
      <c r="R46" s="8" t="s">
        <v>35</v>
      </c>
      <c r="S46" s="8">
        <v>45666</v>
      </c>
      <c r="T46" s="8" t="s">
        <v>33</v>
      </c>
      <c r="U46" s="8" t="s">
        <v>72</v>
      </c>
      <c r="V46" s="8" t="s">
        <v>188</v>
      </c>
      <c r="W46" s="8">
        <v>250000</v>
      </c>
      <c r="X46" s="8">
        <v>203057</v>
      </c>
      <c r="Y46" s="8" t="s">
        <v>168</v>
      </c>
      <c r="Z46" s="8" t="s">
        <v>142</v>
      </c>
      <c r="AA46" s="8">
        <v>13</v>
      </c>
      <c r="AB46" s="8" t="s">
        <v>132</v>
      </c>
      <c r="AC46" s="8">
        <v>0</v>
      </c>
      <c r="AD46" s="8" t="s">
        <v>239</v>
      </c>
      <c r="AE46" s="9" t="s">
        <v>228</v>
      </c>
    </row>
    <row r="47" spans="1:31" ht="45">
      <c r="A47" s="7" t="s">
        <v>299</v>
      </c>
      <c r="B47" s="8">
        <v>2024</v>
      </c>
      <c r="C47" s="8">
        <v>45647</v>
      </c>
      <c r="D47" s="8" t="s">
        <v>64</v>
      </c>
      <c r="E47" s="8" t="s">
        <v>45</v>
      </c>
      <c r="F47" s="8" t="s">
        <v>30</v>
      </c>
      <c r="G47" s="8" t="s">
        <v>39</v>
      </c>
      <c r="H47" s="8" t="s">
        <v>136</v>
      </c>
      <c r="I47" s="8" t="s">
        <v>300</v>
      </c>
      <c r="J47" s="8" t="s">
        <v>155</v>
      </c>
      <c r="K47" s="8" t="s">
        <v>139</v>
      </c>
      <c r="L47" s="8" t="s">
        <v>68</v>
      </c>
      <c r="M47" s="8">
        <v>45662</v>
      </c>
      <c r="N47" s="8">
        <v>45655</v>
      </c>
      <c r="O47" s="8" t="s">
        <v>48</v>
      </c>
      <c r="P47" s="8">
        <v>1</v>
      </c>
      <c r="Q47" s="8" t="s">
        <v>132</v>
      </c>
      <c r="R47" s="8" t="s">
        <v>128</v>
      </c>
      <c r="S47" s="8">
        <v>45662</v>
      </c>
      <c r="T47" s="8" t="s">
        <v>41</v>
      </c>
      <c r="U47" s="8" t="s">
        <v>82</v>
      </c>
      <c r="V47" s="8" t="s">
        <v>72</v>
      </c>
      <c r="W47" s="8">
        <v>450000</v>
      </c>
      <c r="X47" s="8">
        <v>508732</v>
      </c>
      <c r="Y47" s="8" t="s">
        <v>141</v>
      </c>
      <c r="Z47" s="8" t="s">
        <v>162</v>
      </c>
      <c r="AA47" s="8">
        <v>8</v>
      </c>
      <c r="AB47" s="8" t="s">
        <v>132</v>
      </c>
      <c r="AC47" s="8">
        <v>0</v>
      </c>
      <c r="AD47" s="8" t="s">
        <v>239</v>
      </c>
      <c r="AE47" s="9" t="s">
        <v>228</v>
      </c>
    </row>
    <row r="48" spans="1:31" ht="30">
      <c r="A48" s="10" t="s">
        <v>301</v>
      </c>
      <c r="B48" s="11">
        <v>2024</v>
      </c>
      <c r="C48" s="11">
        <v>45649</v>
      </c>
      <c r="D48" s="11" t="s">
        <v>89</v>
      </c>
      <c r="E48" s="11" t="s">
        <v>65</v>
      </c>
      <c r="F48" s="11" t="s">
        <v>46</v>
      </c>
      <c r="G48" s="11" t="s">
        <v>90</v>
      </c>
      <c r="H48" s="11" t="s">
        <v>159</v>
      </c>
      <c r="I48" s="11" t="s">
        <v>165</v>
      </c>
      <c r="J48" s="11" t="s">
        <v>155</v>
      </c>
      <c r="K48" s="11" t="s">
        <v>178</v>
      </c>
      <c r="L48" s="11" t="s">
        <v>63</v>
      </c>
      <c r="M48" s="11">
        <v>45709</v>
      </c>
      <c r="N48" s="11">
        <v>45696</v>
      </c>
      <c r="O48" s="11" t="s">
        <v>48</v>
      </c>
      <c r="P48" s="11">
        <v>1</v>
      </c>
      <c r="Q48" s="11" t="s">
        <v>132</v>
      </c>
      <c r="R48" s="11" t="s">
        <v>86</v>
      </c>
      <c r="S48" s="11">
        <v>45699</v>
      </c>
      <c r="T48" s="11" t="s">
        <v>41</v>
      </c>
      <c r="U48" s="11" t="s">
        <v>82</v>
      </c>
      <c r="V48" s="11" t="s">
        <v>247</v>
      </c>
      <c r="W48" s="11">
        <v>2500000</v>
      </c>
      <c r="X48" s="11">
        <v>1901284</v>
      </c>
      <c r="Y48" s="11" t="s">
        <v>168</v>
      </c>
      <c r="Z48" s="11" t="s">
        <v>184</v>
      </c>
      <c r="AA48" s="11">
        <v>47</v>
      </c>
      <c r="AB48" s="11" t="s">
        <v>132</v>
      </c>
      <c r="AC48" s="11">
        <v>0</v>
      </c>
      <c r="AD48" s="11" t="s">
        <v>239</v>
      </c>
      <c r="AE48" s="12" t="s">
        <v>228</v>
      </c>
    </row>
  </sheetData>
  <mergeCells count="2">
    <mergeCell ref="A1:AE1"/>
    <mergeCell ref="A2:AE2"/>
  </mergeCells>
  <conditionalFormatting sqref="O5:O48">
    <cfRule type="expression" dxfId="31" priority="1">
      <formula>O5="Cerrada"</formula>
    </cfRule>
    <cfRule type="expression" dxfId="30" priority="2">
      <formula>O5="En progreso"</formula>
    </cfRule>
    <cfRule type="expression" dxfId="29" priority="3">
      <formula>O5="Vencida"</formula>
    </cfRule>
    <cfRule type="expression" dxfId="28" priority="4">
      <formula>O5="Abierta"</formula>
    </cfRule>
    <cfRule type="expression" dxfId="27" priority="5">
      <formula>O5="Cancelada"</formula>
    </cfRule>
  </conditionalFormatting>
  <conditionalFormatting sqref="T5:T48">
    <cfRule type="expression" dxfId="26" priority="6">
      <formula>T5="Alta"</formula>
    </cfRule>
    <cfRule type="expression" dxfId="25" priority="7">
      <formula>T5="Media"</formula>
    </cfRule>
    <cfRule type="expression" dxfId="24" priority="8">
      <formula>T5="Baja"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2"/>
  <sheetViews>
    <sheetView workbookViewId="0"/>
  </sheetViews>
  <sheetFormatPr baseColWidth="10" defaultColWidth="8.83203125" defaultRowHeight="14"/>
  <cols>
    <col min="1" max="1" width="14" customWidth="1"/>
    <col min="2" max="2" width="8" customWidth="1"/>
    <col min="3" max="3" width="12" customWidth="1"/>
    <col min="4" max="4" width="14" customWidth="1"/>
    <col min="5" max="5" width="18" customWidth="1"/>
    <col min="6" max="6" width="12" customWidth="1"/>
    <col min="7" max="8" width="18" customWidth="1"/>
    <col min="9" max="9" width="34" customWidth="1"/>
    <col min="10" max="10" width="26" customWidth="1"/>
    <col min="11" max="11" width="30" customWidth="1"/>
    <col min="12" max="12" width="18" customWidth="1"/>
    <col min="13" max="14" width="12" customWidth="1"/>
    <col min="15" max="15" width="13" customWidth="1"/>
    <col min="16" max="16" width="10" customWidth="1"/>
    <col min="17" max="17" width="16" customWidth="1"/>
    <col min="18" max="18" width="18" customWidth="1"/>
    <col min="19" max="19" width="12" customWidth="1"/>
    <col min="20" max="20" width="10" customWidth="1"/>
    <col min="21" max="21" width="14" customWidth="1"/>
    <col min="22" max="22" width="16" customWidth="1"/>
    <col min="23" max="24" width="14" customWidth="1"/>
    <col min="25" max="25" width="22" customWidth="1"/>
    <col min="26" max="26" width="26" customWidth="1"/>
    <col min="27" max="29" width="12" customWidth="1"/>
    <col min="30" max="31" width="10" customWidth="1"/>
  </cols>
  <sheetData>
    <row r="1" spans="1:31" ht="32" customHeight="1">
      <c r="A1" s="29" t="s">
        <v>302</v>
      </c>
      <c r="B1" s="30"/>
      <c r="C1" s="32"/>
      <c r="D1" s="30"/>
      <c r="E1" s="30"/>
      <c r="F1" s="30"/>
      <c r="G1" s="30"/>
      <c r="H1" s="30"/>
      <c r="I1" s="30"/>
      <c r="J1" s="30"/>
      <c r="K1" s="30"/>
      <c r="L1" s="30"/>
      <c r="M1" s="32"/>
      <c r="N1" s="32"/>
      <c r="O1" s="30"/>
      <c r="P1" s="33"/>
      <c r="Q1" s="30"/>
      <c r="R1" s="30"/>
      <c r="S1" s="32"/>
      <c r="T1" s="30"/>
      <c r="U1" s="30"/>
      <c r="V1" s="30"/>
      <c r="W1" s="34"/>
      <c r="X1" s="34"/>
      <c r="Y1" s="30"/>
      <c r="Z1" s="30"/>
      <c r="AA1" s="35"/>
      <c r="AB1" s="35"/>
      <c r="AC1" s="35"/>
      <c r="AD1" s="30"/>
      <c r="AE1" s="30"/>
    </row>
    <row r="2" spans="1:31" ht="26.75" customHeight="1">
      <c r="A2" s="31" t="s">
        <v>121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4" spans="1:31" ht="50.75" customHeight="1">
      <c r="A4" s="1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</v>
      </c>
      <c r="G4" s="2" t="s">
        <v>24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12</v>
      </c>
      <c r="P4" s="2" t="s">
        <v>108</v>
      </c>
      <c r="Q4" s="2" t="s">
        <v>16</v>
      </c>
      <c r="R4" s="2" t="s">
        <v>109</v>
      </c>
      <c r="S4" s="2" t="s">
        <v>110</v>
      </c>
      <c r="T4" s="2" t="s">
        <v>25</v>
      </c>
      <c r="U4" s="2" t="s">
        <v>26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14</v>
      </c>
      <c r="AC4" s="2" t="s">
        <v>117</v>
      </c>
      <c r="AD4" s="2" t="s">
        <v>118</v>
      </c>
      <c r="AE4" s="3" t="s">
        <v>119</v>
      </c>
    </row>
    <row r="5" spans="1:31" ht="45">
      <c r="A5" s="4" t="s">
        <v>303</v>
      </c>
      <c r="B5" s="5">
        <v>2025</v>
      </c>
      <c r="C5" s="5">
        <v>45666</v>
      </c>
      <c r="D5" s="5" t="s">
        <v>74</v>
      </c>
      <c r="E5" s="5" t="s">
        <v>65</v>
      </c>
      <c r="F5" s="5" t="s">
        <v>38</v>
      </c>
      <c r="G5" s="5" t="s">
        <v>54</v>
      </c>
      <c r="H5" s="5" t="s">
        <v>159</v>
      </c>
      <c r="I5" s="5" t="s">
        <v>304</v>
      </c>
      <c r="J5" s="5" t="s">
        <v>138</v>
      </c>
      <c r="K5" s="5" t="s">
        <v>215</v>
      </c>
      <c r="L5" s="5" t="s">
        <v>57</v>
      </c>
      <c r="M5" s="5">
        <v>45711</v>
      </c>
      <c r="N5" s="5"/>
      <c r="O5" s="5" t="s">
        <v>55</v>
      </c>
      <c r="P5" s="5">
        <v>0.8</v>
      </c>
      <c r="Q5" s="5" t="s">
        <v>166</v>
      </c>
      <c r="R5" s="5" t="s">
        <v>43</v>
      </c>
      <c r="S5" s="5"/>
      <c r="T5" s="5" t="s">
        <v>41</v>
      </c>
      <c r="U5" s="5" t="s">
        <v>34</v>
      </c>
      <c r="V5" s="5" t="s">
        <v>247</v>
      </c>
      <c r="W5" s="5">
        <v>450000</v>
      </c>
      <c r="X5" s="5">
        <v>0</v>
      </c>
      <c r="Y5" s="5" t="s">
        <v>152</v>
      </c>
      <c r="Z5" s="5" t="s">
        <v>210</v>
      </c>
      <c r="AA5" s="5">
        <v>512</v>
      </c>
      <c r="AB5" s="5" t="s">
        <v>202</v>
      </c>
      <c r="AC5" s="5">
        <v>467</v>
      </c>
      <c r="AD5" s="5" t="s">
        <v>133</v>
      </c>
      <c r="AE5" s="6" t="s">
        <v>134</v>
      </c>
    </row>
    <row r="6" spans="1:31" ht="45">
      <c r="A6" s="7" t="s">
        <v>305</v>
      </c>
      <c r="B6" s="8">
        <v>2025</v>
      </c>
      <c r="C6" s="8">
        <v>45667</v>
      </c>
      <c r="D6" s="8" t="s">
        <v>36</v>
      </c>
      <c r="E6" s="8" t="s">
        <v>85</v>
      </c>
      <c r="F6" s="8" t="s">
        <v>30</v>
      </c>
      <c r="G6" s="8" t="s">
        <v>90</v>
      </c>
      <c r="H6" s="8" t="s">
        <v>159</v>
      </c>
      <c r="I6" s="8" t="s">
        <v>154</v>
      </c>
      <c r="J6" s="8" t="s">
        <v>175</v>
      </c>
      <c r="K6" s="8" t="s">
        <v>215</v>
      </c>
      <c r="L6" s="8" t="s">
        <v>51</v>
      </c>
      <c r="M6" s="8">
        <v>45727</v>
      </c>
      <c r="N6" s="8">
        <v>45719</v>
      </c>
      <c r="O6" s="8" t="s">
        <v>48</v>
      </c>
      <c r="P6" s="8">
        <v>1</v>
      </c>
      <c r="Q6" s="8" t="s">
        <v>132</v>
      </c>
      <c r="R6" s="8" t="s">
        <v>43</v>
      </c>
      <c r="S6" s="8">
        <v>45734</v>
      </c>
      <c r="T6" s="8" t="s">
        <v>49</v>
      </c>
      <c r="U6" s="8" t="s">
        <v>67</v>
      </c>
      <c r="V6" s="8" t="s">
        <v>140</v>
      </c>
      <c r="W6" s="8">
        <v>850000</v>
      </c>
      <c r="X6" s="8">
        <v>684172</v>
      </c>
      <c r="Y6" s="8" t="s">
        <v>168</v>
      </c>
      <c r="Z6" s="8" t="s">
        <v>184</v>
      </c>
      <c r="AA6" s="8">
        <v>52</v>
      </c>
      <c r="AB6" s="8" t="s">
        <v>132</v>
      </c>
      <c r="AC6" s="8">
        <v>0</v>
      </c>
      <c r="AD6" s="8" t="s">
        <v>133</v>
      </c>
      <c r="AE6" s="9" t="s">
        <v>134</v>
      </c>
    </row>
    <row r="7" spans="1:31" ht="45">
      <c r="A7" s="7" t="s">
        <v>306</v>
      </c>
      <c r="B7" s="8">
        <v>2025</v>
      </c>
      <c r="C7" s="8">
        <v>45702</v>
      </c>
      <c r="D7" s="8" t="s">
        <v>69</v>
      </c>
      <c r="E7" s="8" t="s">
        <v>45</v>
      </c>
      <c r="F7" s="8" t="s">
        <v>46</v>
      </c>
      <c r="G7" s="8" t="s">
        <v>92</v>
      </c>
      <c r="H7" s="8" t="s">
        <v>170</v>
      </c>
      <c r="I7" s="8" t="s">
        <v>300</v>
      </c>
      <c r="J7" s="8" t="s">
        <v>138</v>
      </c>
      <c r="K7" s="8" t="s">
        <v>249</v>
      </c>
      <c r="L7" s="8" t="s">
        <v>68</v>
      </c>
      <c r="M7" s="8">
        <v>45717</v>
      </c>
      <c r="N7" s="8"/>
      <c r="O7" s="8" t="s">
        <v>40</v>
      </c>
      <c r="P7" s="8">
        <v>0.5</v>
      </c>
      <c r="Q7" s="8" t="s">
        <v>166</v>
      </c>
      <c r="R7" s="8" t="s">
        <v>43</v>
      </c>
      <c r="S7" s="8"/>
      <c r="T7" s="8" t="s">
        <v>41</v>
      </c>
      <c r="U7" s="8" t="s">
        <v>42</v>
      </c>
      <c r="V7" s="8" t="s">
        <v>167</v>
      </c>
      <c r="W7" s="8">
        <v>250000</v>
      </c>
      <c r="X7" s="8">
        <v>250912</v>
      </c>
      <c r="Y7" s="8" t="s">
        <v>130</v>
      </c>
      <c r="Z7" s="8" t="s">
        <v>162</v>
      </c>
      <c r="AA7" s="8">
        <v>476</v>
      </c>
      <c r="AB7" s="8" t="s">
        <v>202</v>
      </c>
      <c r="AC7" s="8">
        <v>461</v>
      </c>
      <c r="AD7" s="8" t="s">
        <v>157</v>
      </c>
      <c r="AE7" s="9" t="s">
        <v>134</v>
      </c>
    </row>
    <row r="8" spans="1:31" ht="45">
      <c r="A8" s="7" t="s">
        <v>307</v>
      </c>
      <c r="B8" s="8">
        <v>2025</v>
      </c>
      <c r="C8" s="8">
        <v>45707</v>
      </c>
      <c r="D8" s="8" t="s">
        <v>89</v>
      </c>
      <c r="E8" s="8" t="s">
        <v>53</v>
      </c>
      <c r="F8" s="8" t="s">
        <v>38</v>
      </c>
      <c r="G8" s="8" t="s">
        <v>92</v>
      </c>
      <c r="H8" s="8" t="s">
        <v>164</v>
      </c>
      <c r="I8" s="8" t="s">
        <v>171</v>
      </c>
      <c r="J8" s="8" t="s">
        <v>155</v>
      </c>
      <c r="K8" s="8" t="s">
        <v>145</v>
      </c>
      <c r="L8" s="8" t="s">
        <v>83</v>
      </c>
      <c r="M8" s="8">
        <v>45717</v>
      </c>
      <c r="N8" s="8">
        <v>45719</v>
      </c>
      <c r="O8" s="8" t="s">
        <v>48</v>
      </c>
      <c r="P8" s="8">
        <v>1</v>
      </c>
      <c r="Q8" s="8" t="s">
        <v>166</v>
      </c>
      <c r="R8" s="8" t="s">
        <v>43</v>
      </c>
      <c r="S8" s="8"/>
      <c r="T8" s="8" t="s">
        <v>41</v>
      </c>
      <c r="U8" s="8" t="s">
        <v>42</v>
      </c>
      <c r="V8" s="8" t="s">
        <v>72</v>
      </c>
      <c r="W8" s="8">
        <v>1200000</v>
      </c>
      <c r="X8" s="8">
        <v>1310153</v>
      </c>
      <c r="Y8" s="8" t="s">
        <v>130</v>
      </c>
      <c r="Z8" s="8" t="s">
        <v>142</v>
      </c>
      <c r="AA8" s="8">
        <v>12</v>
      </c>
      <c r="AB8" s="8" t="s">
        <v>127</v>
      </c>
      <c r="AC8" s="8">
        <v>0</v>
      </c>
      <c r="AD8" s="8" t="s">
        <v>157</v>
      </c>
      <c r="AE8" s="9" t="s">
        <v>134</v>
      </c>
    </row>
    <row r="9" spans="1:31" ht="30">
      <c r="A9" s="7" t="s">
        <v>308</v>
      </c>
      <c r="B9" s="8">
        <v>2025</v>
      </c>
      <c r="C9" s="8">
        <v>45720</v>
      </c>
      <c r="D9" s="8" t="s">
        <v>58</v>
      </c>
      <c r="E9" s="8" t="s">
        <v>37</v>
      </c>
      <c r="F9" s="8" t="s">
        <v>38</v>
      </c>
      <c r="G9" s="8" t="s">
        <v>71</v>
      </c>
      <c r="H9" s="8" t="s">
        <v>164</v>
      </c>
      <c r="I9" s="8" t="s">
        <v>180</v>
      </c>
      <c r="J9" s="8" t="s">
        <v>175</v>
      </c>
      <c r="K9" s="8" t="s">
        <v>126</v>
      </c>
      <c r="L9" s="8" t="s">
        <v>63</v>
      </c>
      <c r="M9" s="8">
        <v>45750</v>
      </c>
      <c r="N9" s="8">
        <v>45742</v>
      </c>
      <c r="O9" s="8" t="s">
        <v>48</v>
      </c>
      <c r="P9" s="8">
        <v>1</v>
      </c>
      <c r="Q9" s="8" t="s">
        <v>132</v>
      </c>
      <c r="R9" s="8" t="s">
        <v>128</v>
      </c>
      <c r="S9" s="8">
        <v>45752</v>
      </c>
      <c r="T9" s="8" t="s">
        <v>41</v>
      </c>
      <c r="U9" s="8" t="s">
        <v>77</v>
      </c>
      <c r="V9" s="8" t="s">
        <v>188</v>
      </c>
      <c r="W9" s="8">
        <v>250000</v>
      </c>
      <c r="X9" s="8">
        <v>192030</v>
      </c>
      <c r="Y9" s="8" t="s">
        <v>152</v>
      </c>
      <c r="Z9" s="8" t="s">
        <v>210</v>
      </c>
      <c r="AA9" s="8">
        <v>22</v>
      </c>
      <c r="AB9" s="8" t="s">
        <v>132</v>
      </c>
      <c r="AC9" s="8">
        <v>0</v>
      </c>
      <c r="AD9" s="8" t="s">
        <v>185</v>
      </c>
      <c r="AE9" s="9" t="s">
        <v>134</v>
      </c>
    </row>
    <row r="10" spans="1:31" ht="45">
      <c r="A10" s="7" t="s">
        <v>309</v>
      </c>
      <c r="B10" s="8">
        <v>2025</v>
      </c>
      <c r="C10" s="8">
        <v>45724</v>
      </c>
      <c r="D10" s="8" t="s">
        <v>28</v>
      </c>
      <c r="E10" s="8" t="s">
        <v>80</v>
      </c>
      <c r="F10" s="8" t="s">
        <v>46</v>
      </c>
      <c r="G10" s="8" t="s">
        <v>93</v>
      </c>
      <c r="H10" s="8" t="s">
        <v>123</v>
      </c>
      <c r="I10" s="8" t="s">
        <v>289</v>
      </c>
      <c r="J10" s="8" t="s">
        <v>144</v>
      </c>
      <c r="K10" s="8" t="s">
        <v>249</v>
      </c>
      <c r="L10" s="8" t="s">
        <v>43</v>
      </c>
      <c r="M10" s="8">
        <v>45739</v>
      </c>
      <c r="N10" s="8">
        <v>45734</v>
      </c>
      <c r="O10" s="8" t="s">
        <v>48</v>
      </c>
      <c r="P10" s="8">
        <v>1</v>
      </c>
      <c r="Q10" s="8" t="s">
        <v>127</v>
      </c>
      <c r="R10" s="8" t="s">
        <v>86</v>
      </c>
      <c r="S10" s="8">
        <v>45744</v>
      </c>
      <c r="T10" s="8" t="s">
        <v>33</v>
      </c>
      <c r="U10" s="8" t="s">
        <v>50</v>
      </c>
      <c r="V10" s="8" t="s">
        <v>146</v>
      </c>
      <c r="W10" s="8">
        <v>1800000</v>
      </c>
      <c r="X10" s="8">
        <v>1680478</v>
      </c>
      <c r="Y10" s="8" t="s">
        <v>152</v>
      </c>
      <c r="Z10" s="8" t="s">
        <v>131</v>
      </c>
      <c r="AA10" s="8">
        <v>10</v>
      </c>
      <c r="AB10" s="8" t="s">
        <v>132</v>
      </c>
      <c r="AC10" s="8">
        <v>0</v>
      </c>
      <c r="AD10" s="8" t="s">
        <v>185</v>
      </c>
      <c r="AE10" s="9" t="s">
        <v>134</v>
      </c>
    </row>
    <row r="11" spans="1:31" ht="30">
      <c r="A11" s="7" t="s">
        <v>310</v>
      </c>
      <c r="B11" s="8">
        <v>2025</v>
      </c>
      <c r="C11" s="8">
        <v>45729</v>
      </c>
      <c r="D11" s="8" t="s">
        <v>79</v>
      </c>
      <c r="E11" s="8" t="s">
        <v>75</v>
      </c>
      <c r="F11" s="8" t="s">
        <v>30</v>
      </c>
      <c r="G11" s="8" t="s">
        <v>47</v>
      </c>
      <c r="H11" s="8" t="s">
        <v>164</v>
      </c>
      <c r="I11" s="8" t="s">
        <v>243</v>
      </c>
      <c r="J11" s="8" t="s">
        <v>183</v>
      </c>
      <c r="K11" s="8" t="s">
        <v>156</v>
      </c>
      <c r="L11" s="8" t="s">
        <v>88</v>
      </c>
      <c r="M11" s="8">
        <v>45774</v>
      </c>
      <c r="N11" s="8"/>
      <c r="O11" s="8" t="s">
        <v>40</v>
      </c>
      <c r="P11" s="8">
        <v>0.5</v>
      </c>
      <c r="Q11" s="8" t="s">
        <v>166</v>
      </c>
      <c r="R11" s="8" t="s">
        <v>86</v>
      </c>
      <c r="S11" s="8"/>
      <c r="T11" s="8" t="s">
        <v>41</v>
      </c>
      <c r="U11" s="8" t="s">
        <v>50</v>
      </c>
      <c r="V11" s="8" t="s">
        <v>72</v>
      </c>
      <c r="W11" s="8">
        <v>850000</v>
      </c>
      <c r="X11" s="8">
        <v>798963</v>
      </c>
      <c r="Y11" s="8" t="s">
        <v>189</v>
      </c>
      <c r="Z11" s="8" t="s">
        <v>210</v>
      </c>
      <c r="AA11" s="8">
        <v>449</v>
      </c>
      <c r="AB11" s="8" t="s">
        <v>202</v>
      </c>
      <c r="AC11" s="8">
        <v>404</v>
      </c>
      <c r="AD11" s="8" t="s">
        <v>185</v>
      </c>
      <c r="AE11" s="9" t="s">
        <v>134</v>
      </c>
    </row>
    <row r="12" spans="1:31" ht="45">
      <c r="A12" s="7" t="s">
        <v>311</v>
      </c>
      <c r="B12" s="8">
        <v>2025</v>
      </c>
      <c r="C12" s="8">
        <v>45738</v>
      </c>
      <c r="D12" s="8" t="s">
        <v>44</v>
      </c>
      <c r="E12" s="8" t="s">
        <v>59</v>
      </c>
      <c r="F12" s="8" t="s">
        <v>46</v>
      </c>
      <c r="G12" s="8" t="s">
        <v>86</v>
      </c>
      <c r="H12" s="8" t="s">
        <v>170</v>
      </c>
      <c r="I12" s="8" t="s">
        <v>312</v>
      </c>
      <c r="J12" s="8" t="s">
        <v>125</v>
      </c>
      <c r="K12" s="8" t="s">
        <v>161</v>
      </c>
      <c r="L12" s="8" t="s">
        <v>88</v>
      </c>
      <c r="M12" s="8">
        <v>45783</v>
      </c>
      <c r="N12" s="8"/>
      <c r="O12" s="8" t="s">
        <v>40</v>
      </c>
      <c r="P12" s="8">
        <v>0.75</v>
      </c>
      <c r="Q12" s="8" t="s">
        <v>166</v>
      </c>
      <c r="R12" s="8" t="s">
        <v>86</v>
      </c>
      <c r="S12" s="8"/>
      <c r="T12" s="8" t="s">
        <v>41</v>
      </c>
      <c r="U12" s="8" t="s">
        <v>50</v>
      </c>
      <c r="V12" s="8" t="s">
        <v>247</v>
      </c>
      <c r="W12" s="8">
        <v>380000</v>
      </c>
      <c r="X12" s="8">
        <v>291910</v>
      </c>
      <c r="Y12" s="8" t="s">
        <v>141</v>
      </c>
      <c r="Z12" s="8" t="s">
        <v>184</v>
      </c>
      <c r="AA12" s="8">
        <v>440</v>
      </c>
      <c r="AB12" s="8" t="s">
        <v>202</v>
      </c>
      <c r="AC12" s="8">
        <v>395</v>
      </c>
      <c r="AD12" s="8" t="s">
        <v>185</v>
      </c>
      <c r="AE12" s="9" t="s">
        <v>134</v>
      </c>
    </row>
    <row r="13" spans="1:31" ht="45">
      <c r="A13" s="7" t="s">
        <v>313</v>
      </c>
      <c r="B13" s="8">
        <v>2025</v>
      </c>
      <c r="C13" s="8">
        <v>45748</v>
      </c>
      <c r="D13" s="8" t="s">
        <v>79</v>
      </c>
      <c r="E13" s="8" t="s">
        <v>65</v>
      </c>
      <c r="F13" s="8" t="s">
        <v>46</v>
      </c>
      <c r="G13" s="8" t="s">
        <v>39</v>
      </c>
      <c r="H13" s="8" t="s">
        <v>159</v>
      </c>
      <c r="I13" s="8" t="s">
        <v>201</v>
      </c>
      <c r="J13" s="8" t="s">
        <v>125</v>
      </c>
      <c r="K13" s="8" t="s">
        <v>215</v>
      </c>
      <c r="L13" s="8" t="s">
        <v>78</v>
      </c>
      <c r="M13" s="8">
        <v>45768</v>
      </c>
      <c r="N13" s="8">
        <v>45770</v>
      </c>
      <c r="O13" s="8" t="s">
        <v>48</v>
      </c>
      <c r="P13" s="8">
        <v>1</v>
      </c>
      <c r="Q13" s="8" t="s">
        <v>127</v>
      </c>
      <c r="R13" s="8" t="s">
        <v>128</v>
      </c>
      <c r="S13" s="8">
        <v>45780</v>
      </c>
      <c r="T13" s="8" t="s">
        <v>49</v>
      </c>
      <c r="U13" s="8" t="s">
        <v>50</v>
      </c>
      <c r="V13" s="8" t="s">
        <v>72</v>
      </c>
      <c r="W13" s="8">
        <v>1200000</v>
      </c>
      <c r="X13" s="8">
        <v>1232528</v>
      </c>
      <c r="Y13" s="8" t="s">
        <v>189</v>
      </c>
      <c r="Z13" s="8" t="s">
        <v>142</v>
      </c>
      <c r="AA13" s="8">
        <v>22</v>
      </c>
      <c r="AB13" s="8" t="s">
        <v>127</v>
      </c>
      <c r="AC13" s="8">
        <v>0</v>
      </c>
      <c r="AD13" s="8" t="s">
        <v>190</v>
      </c>
      <c r="AE13" s="9" t="s">
        <v>191</v>
      </c>
    </row>
    <row r="14" spans="1:31" ht="30">
      <c r="A14" s="7" t="s">
        <v>314</v>
      </c>
      <c r="B14" s="8">
        <v>2025</v>
      </c>
      <c r="C14" s="8">
        <v>45755</v>
      </c>
      <c r="D14" s="8" t="s">
        <v>64</v>
      </c>
      <c r="E14" s="8" t="s">
        <v>70</v>
      </c>
      <c r="F14" s="8" t="s">
        <v>38</v>
      </c>
      <c r="G14" s="8" t="s">
        <v>71</v>
      </c>
      <c r="H14" s="8" t="s">
        <v>123</v>
      </c>
      <c r="I14" s="8" t="s">
        <v>137</v>
      </c>
      <c r="J14" s="8" t="s">
        <v>125</v>
      </c>
      <c r="K14" s="8" t="s">
        <v>126</v>
      </c>
      <c r="L14" s="8" t="s">
        <v>83</v>
      </c>
      <c r="M14" s="8">
        <v>45775</v>
      </c>
      <c r="N14" s="8"/>
      <c r="O14" s="8" t="s">
        <v>55</v>
      </c>
      <c r="P14" s="8">
        <v>0.45</v>
      </c>
      <c r="Q14" s="8" t="s">
        <v>166</v>
      </c>
      <c r="R14" s="8" t="s">
        <v>43</v>
      </c>
      <c r="S14" s="8"/>
      <c r="T14" s="8" t="s">
        <v>33</v>
      </c>
      <c r="U14" s="8" t="s">
        <v>62</v>
      </c>
      <c r="V14" s="8" t="s">
        <v>129</v>
      </c>
      <c r="W14" s="8">
        <v>1800000</v>
      </c>
      <c r="X14" s="8">
        <v>0</v>
      </c>
      <c r="Y14" s="8" t="s">
        <v>168</v>
      </c>
      <c r="Z14" s="8" t="s">
        <v>184</v>
      </c>
      <c r="AA14" s="8">
        <v>423</v>
      </c>
      <c r="AB14" s="8" t="s">
        <v>202</v>
      </c>
      <c r="AC14" s="8">
        <v>403</v>
      </c>
      <c r="AD14" s="8" t="s">
        <v>190</v>
      </c>
      <c r="AE14" s="9" t="s">
        <v>191</v>
      </c>
    </row>
    <row r="15" spans="1:31" ht="45">
      <c r="A15" s="7" t="s">
        <v>315</v>
      </c>
      <c r="B15" s="8">
        <v>2025</v>
      </c>
      <c r="C15" s="8">
        <v>45765</v>
      </c>
      <c r="D15" s="8" t="s">
        <v>52</v>
      </c>
      <c r="E15" s="8" t="s">
        <v>53</v>
      </c>
      <c r="F15" s="8" t="s">
        <v>46</v>
      </c>
      <c r="G15" s="8" t="s">
        <v>91</v>
      </c>
      <c r="H15" s="8" t="s">
        <v>123</v>
      </c>
      <c r="I15" s="8" t="s">
        <v>197</v>
      </c>
      <c r="J15" s="8" t="s">
        <v>183</v>
      </c>
      <c r="K15" s="8" t="s">
        <v>215</v>
      </c>
      <c r="L15" s="8" t="s">
        <v>57</v>
      </c>
      <c r="M15" s="8">
        <v>45785</v>
      </c>
      <c r="N15" s="8"/>
      <c r="O15" s="8" t="s">
        <v>40</v>
      </c>
      <c r="P15" s="8">
        <v>0.6</v>
      </c>
      <c r="Q15" s="8" t="s">
        <v>166</v>
      </c>
      <c r="R15" s="8" t="s">
        <v>35</v>
      </c>
      <c r="S15" s="8"/>
      <c r="T15" s="8" t="s">
        <v>41</v>
      </c>
      <c r="U15" s="8" t="s">
        <v>56</v>
      </c>
      <c r="V15" s="8" t="s">
        <v>231</v>
      </c>
      <c r="W15" s="8">
        <v>850000</v>
      </c>
      <c r="X15" s="8">
        <v>759779</v>
      </c>
      <c r="Y15" s="8" t="s">
        <v>130</v>
      </c>
      <c r="Z15" s="8" t="s">
        <v>162</v>
      </c>
      <c r="AA15" s="8">
        <v>413</v>
      </c>
      <c r="AB15" s="8" t="s">
        <v>202</v>
      </c>
      <c r="AC15" s="8">
        <v>393</v>
      </c>
      <c r="AD15" s="8" t="s">
        <v>190</v>
      </c>
      <c r="AE15" s="9" t="s">
        <v>191</v>
      </c>
    </row>
    <row r="16" spans="1:31" ht="45">
      <c r="A16" s="7" t="s">
        <v>316</v>
      </c>
      <c r="B16" s="8">
        <v>2025</v>
      </c>
      <c r="C16" s="8">
        <v>45773</v>
      </c>
      <c r="D16" s="8" t="s">
        <v>28</v>
      </c>
      <c r="E16" s="8" t="s">
        <v>75</v>
      </c>
      <c r="F16" s="8" t="s">
        <v>38</v>
      </c>
      <c r="G16" s="8" t="s">
        <v>60</v>
      </c>
      <c r="H16" s="8" t="s">
        <v>136</v>
      </c>
      <c r="I16" s="8" t="s">
        <v>243</v>
      </c>
      <c r="J16" s="8" t="s">
        <v>138</v>
      </c>
      <c r="K16" s="8" t="s">
        <v>145</v>
      </c>
      <c r="L16" s="8" t="s">
        <v>43</v>
      </c>
      <c r="M16" s="8">
        <v>45833</v>
      </c>
      <c r="N16" s="8">
        <v>45819</v>
      </c>
      <c r="O16" s="8" t="s">
        <v>48</v>
      </c>
      <c r="P16" s="8">
        <v>1</v>
      </c>
      <c r="Q16" s="8" t="s">
        <v>166</v>
      </c>
      <c r="R16" s="8" t="s">
        <v>150</v>
      </c>
      <c r="S16" s="8"/>
      <c r="T16" s="8" t="s">
        <v>49</v>
      </c>
      <c r="U16" s="8" t="s">
        <v>77</v>
      </c>
      <c r="V16" s="8" t="s">
        <v>151</v>
      </c>
      <c r="W16" s="8">
        <v>450000</v>
      </c>
      <c r="X16" s="8">
        <v>478772</v>
      </c>
      <c r="Y16" s="8" t="s">
        <v>152</v>
      </c>
      <c r="Z16" s="8" t="s">
        <v>142</v>
      </c>
      <c r="AA16" s="8">
        <v>46</v>
      </c>
      <c r="AB16" s="8" t="s">
        <v>132</v>
      </c>
      <c r="AC16" s="8">
        <v>0</v>
      </c>
      <c r="AD16" s="8" t="s">
        <v>190</v>
      </c>
      <c r="AE16" s="9" t="s">
        <v>191</v>
      </c>
    </row>
    <row r="17" spans="1:31" ht="45">
      <c r="A17" s="7" t="s">
        <v>317</v>
      </c>
      <c r="B17" s="8">
        <v>2025</v>
      </c>
      <c r="C17" s="8">
        <v>45773</v>
      </c>
      <c r="D17" s="8" t="s">
        <v>58</v>
      </c>
      <c r="E17" s="8" t="s">
        <v>75</v>
      </c>
      <c r="F17" s="8" t="s">
        <v>30</v>
      </c>
      <c r="G17" s="8" t="s">
        <v>90</v>
      </c>
      <c r="H17" s="8" t="s">
        <v>159</v>
      </c>
      <c r="I17" s="8" t="s">
        <v>241</v>
      </c>
      <c r="J17" s="8" t="s">
        <v>183</v>
      </c>
      <c r="K17" s="8" t="s">
        <v>215</v>
      </c>
      <c r="L17" s="8" t="s">
        <v>78</v>
      </c>
      <c r="M17" s="8">
        <v>45783</v>
      </c>
      <c r="N17" s="8">
        <v>45784</v>
      </c>
      <c r="O17" s="8" t="s">
        <v>48</v>
      </c>
      <c r="P17" s="8">
        <v>1</v>
      </c>
      <c r="Q17" s="8" t="s">
        <v>132</v>
      </c>
      <c r="R17" s="8" t="s">
        <v>128</v>
      </c>
      <c r="S17" s="8">
        <v>45791</v>
      </c>
      <c r="T17" s="8" t="s">
        <v>49</v>
      </c>
      <c r="U17" s="8" t="s">
        <v>50</v>
      </c>
      <c r="V17" s="8" t="s">
        <v>140</v>
      </c>
      <c r="W17" s="8">
        <v>600000</v>
      </c>
      <c r="X17" s="8">
        <v>492118</v>
      </c>
      <c r="Y17" s="8" t="s">
        <v>141</v>
      </c>
      <c r="Z17" s="8" t="s">
        <v>162</v>
      </c>
      <c r="AA17" s="8">
        <v>11</v>
      </c>
      <c r="AB17" s="8" t="s">
        <v>127</v>
      </c>
      <c r="AC17" s="8">
        <v>0</v>
      </c>
      <c r="AD17" s="8" t="s">
        <v>190</v>
      </c>
      <c r="AE17" s="9" t="s">
        <v>191</v>
      </c>
    </row>
    <row r="18" spans="1:31" ht="45">
      <c r="A18" s="7" t="s">
        <v>318</v>
      </c>
      <c r="B18" s="8">
        <v>2025</v>
      </c>
      <c r="C18" s="8">
        <v>45782</v>
      </c>
      <c r="D18" s="8" t="s">
        <v>58</v>
      </c>
      <c r="E18" s="8" t="s">
        <v>53</v>
      </c>
      <c r="F18" s="8" t="s">
        <v>38</v>
      </c>
      <c r="G18" s="8" t="s">
        <v>93</v>
      </c>
      <c r="H18" s="8" t="s">
        <v>164</v>
      </c>
      <c r="I18" s="8" t="s">
        <v>254</v>
      </c>
      <c r="J18" s="8" t="s">
        <v>155</v>
      </c>
      <c r="K18" s="8" t="s">
        <v>126</v>
      </c>
      <c r="L18" s="8" t="s">
        <v>68</v>
      </c>
      <c r="M18" s="8">
        <v>45842</v>
      </c>
      <c r="N18" s="8">
        <v>45832</v>
      </c>
      <c r="O18" s="8" t="s">
        <v>48</v>
      </c>
      <c r="P18" s="8">
        <v>1</v>
      </c>
      <c r="Q18" s="8" t="s">
        <v>132</v>
      </c>
      <c r="R18" s="8" t="s">
        <v>150</v>
      </c>
      <c r="S18" s="8">
        <v>45835</v>
      </c>
      <c r="T18" s="8" t="s">
        <v>41</v>
      </c>
      <c r="U18" s="8" t="s">
        <v>67</v>
      </c>
      <c r="V18" s="8" t="s">
        <v>151</v>
      </c>
      <c r="W18" s="8">
        <v>2500000</v>
      </c>
      <c r="X18" s="8">
        <v>1921884</v>
      </c>
      <c r="Y18" s="8" t="s">
        <v>176</v>
      </c>
      <c r="Z18" s="8" t="s">
        <v>162</v>
      </c>
      <c r="AA18" s="8">
        <v>50</v>
      </c>
      <c r="AB18" s="8" t="s">
        <v>132</v>
      </c>
      <c r="AC18" s="8">
        <v>0</v>
      </c>
      <c r="AD18" s="8" t="s">
        <v>195</v>
      </c>
      <c r="AE18" s="9" t="s">
        <v>191</v>
      </c>
    </row>
    <row r="19" spans="1:31" ht="45">
      <c r="A19" s="7" t="s">
        <v>319</v>
      </c>
      <c r="B19" s="8">
        <v>2025</v>
      </c>
      <c r="C19" s="8">
        <v>45795</v>
      </c>
      <c r="D19" s="8" t="s">
        <v>79</v>
      </c>
      <c r="E19" s="8" t="s">
        <v>65</v>
      </c>
      <c r="F19" s="8" t="s">
        <v>30</v>
      </c>
      <c r="G19" s="8" t="s">
        <v>90</v>
      </c>
      <c r="H19" s="8" t="s">
        <v>251</v>
      </c>
      <c r="I19" s="8" t="s">
        <v>304</v>
      </c>
      <c r="J19" s="8" t="s">
        <v>149</v>
      </c>
      <c r="K19" s="8" t="s">
        <v>249</v>
      </c>
      <c r="L19" s="8" t="s">
        <v>57</v>
      </c>
      <c r="M19" s="8">
        <v>45815</v>
      </c>
      <c r="N19" s="8">
        <v>45812</v>
      </c>
      <c r="O19" s="8" t="s">
        <v>48</v>
      </c>
      <c r="P19" s="8">
        <v>1</v>
      </c>
      <c r="Q19" s="8" t="s">
        <v>127</v>
      </c>
      <c r="R19" s="8" t="s">
        <v>86</v>
      </c>
      <c r="S19" s="8">
        <v>45819</v>
      </c>
      <c r="T19" s="8" t="s">
        <v>41</v>
      </c>
      <c r="U19" s="8" t="s">
        <v>62</v>
      </c>
      <c r="V19" s="8" t="s">
        <v>151</v>
      </c>
      <c r="W19" s="8">
        <v>2500000</v>
      </c>
      <c r="X19" s="8">
        <v>2223803</v>
      </c>
      <c r="Y19" s="8" t="s">
        <v>141</v>
      </c>
      <c r="Z19" s="8" t="s">
        <v>210</v>
      </c>
      <c r="AA19" s="8">
        <v>17</v>
      </c>
      <c r="AB19" s="8" t="s">
        <v>132</v>
      </c>
      <c r="AC19" s="8">
        <v>0</v>
      </c>
      <c r="AD19" s="8" t="s">
        <v>195</v>
      </c>
      <c r="AE19" s="9" t="s">
        <v>191</v>
      </c>
    </row>
    <row r="20" spans="1:31" ht="45">
      <c r="A20" s="7" t="s">
        <v>320</v>
      </c>
      <c r="B20" s="8">
        <v>2025</v>
      </c>
      <c r="C20" s="8">
        <v>45798</v>
      </c>
      <c r="D20" s="8" t="s">
        <v>89</v>
      </c>
      <c r="E20" s="8" t="s">
        <v>37</v>
      </c>
      <c r="F20" s="8" t="s">
        <v>38</v>
      </c>
      <c r="G20" s="8" t="s">
        <v>71</v>
      </c>
      <c r="H20" s="8" t="s">
        <v>164</v>
      </c>
      <c r="I20" s="8" t="s">
        <v>174</v>
      </c>
      <c r="J20" s="8" t="s">
        <v>138</v>
      </c>
      <c r="K20" s="8" t="s">
        <v>145</v>
      </c>
      <c r="L20" s="8" t="s">
        <v>35</v>
      </c>
      <c r="M20" s="8">
        <v>45843</v>
      </c>
      <c r="N20" s="8">
        <v>45819</v>
      </c>
      <c r="O20" s="8" t="s">
        <v>48</v>
      </c>
      <c r="P20" s="8">
        <v>1</v>
      </c>
      <c r="Q20" s="8" t="s">
        <v>132</v>
      </c>
      <c r="R20" s="8" t="s">
        <v>43</v>
      </c>
      <c r="S20" s="8">
        <v>45826</v>
      </c>
      <c r="T20" s="8" t="s">
        <v>41</v>
      </c>
      <c r="U20" s="8" t="s">
        <v>62</v>
      </c>
      <c r="V20" s="8" t="s">
        <v>129</v>
      </c>
      <c r="W20" s="8">
        <v>600000</v>
      </c>
      <c r="X20" s="8">
        <v>457576</v>
      </c>
      <c r="Y20" s="8" t="s">
        <v>141</v>
      </c>
      <c r="Z20" s="8" t="s">
        <v>142</v>
      </c>
      <c r="AA20" s="8">
        <v>21</v>
      </c>
      <c r="AB20" s="8" t="s">
        <v>132</v>
      </c>
      <c r="AC20" s="8">
        <v>0</v>
      </c>
      <c r="AD20" s="8" t="s">
        <v>195</v>
      </c>
      <c r="AE20" s="9" t="s">
        <v>191</v>
      </c>
    </row>
    <row r="21" spans="1:31" ht="45">
      <c r="A21" s="7" t="s">
        <v>321</v>
      </c>
      <c r="B21" s="8">
        <v>2025</v>
      </c>
      <c r="C21" s="8">
        <v>45802</v>
      </c>
      <c r="D21" s="8" t="s">
        <v>44</v>
      </c>
      <c r="E21" s="8" t="s">
        <v>75</v>
      </c>
      <c r="F21" s="8" t="s">
        <v>46</v>
      </c>
      <c r="G21" s="8" t="s">
        <v>86</v>
      </c>
      <c r="H21" s="8" t="s">
        <v>123</v>
      </c>
      <c r="I21" s="8" t="s">
        <v>243</v>
      </c>
      <c r="J21" s="8" t="s">
        <v>125</v>
      </c>
      <c r="K21" s="8" t="s">
        <v>156</v>
      </c>
      <c r="L21" s="8" t="s">
        <v>88</v>
      </c>
      <c r="M21" s="8">
        <v>45847</v>
      </c>
      <c r="N21" s="8"/>
      <c r="O21" s="8" t="s">
        <v>40</v>
      </c>
      <c r="P21" s="8">
        <v>0.5</v>
      </c>
      <c r="Q21" s="8" t="s">
        <v>166</v>
      </c>
      <c r="R21" s="8" t="s">
        <v>86</v>
      </c>
      <c r="S21" s="8"/>
      <c r="T21" s="8" t="s">
        <v>41</v>
      </c>
      <c r="U21" s="8" t="s">
        <v>82</v>
      </c>
      <c r="V21" s="8" t="s">
        <v>188</v>
      </c>
      <c r="W21" s="8">
        <v>600000</v>
      </c>
      <c r="X21" s="8">
        <v>687546</v>
      </c>
      <c r="Y21" s="8" t="s">
        <v>189</v>
      </c>
      <c r="Z21" s="8" t="s">
        <v>131</v>
      </c>
      <c r="AA21" s="8">
        <v>376</v>
      </c>
      <c r="AB21" s="8" t="s">
        <v>202</v>
      </c>
      <c r="AC21" s="8">
        <v>331</v>
      </c>
      <c r="AD21" s="8" t="s">
        <v>195</v>
      </c>
      <c r="AE21" s="9" t="s">
        <v>191</v>
      </c>
    </row>
    <row r="22" spans="1:31" ht="45">
      <c r="A22" s="7" t="s">
        <v>322</v>
      </c>
      <c r="B22" s="8">
        <v>2025</v>
      </c>
      <c r="C22" s="8">
        <v>45802</v>
      </c>
      <c r="D22" s="8" t="s">
        <v>84</v>
      </c>
      <c r="E22" s="8" t="s">
        <v>53</v>
      </c>
      <c r="F22" s="8" t="s">
        <v>38</v>
      </c>
      <c r="G22" s="8" t="s">
        <v>76</v>
      </c>
      <c r="H22" s="8" t="s">
        <v>164</v>
      </c>
      <c r="I22" s="8" t="s">
        <v>254</v>
      </c>
      <c r="J22" s="8" t="s">
        <v>144</v>
      </c>
      <c r="K22" s="8" t="s">
        <v>145</v>
      </c>
      <c r="L22" s="8" t="s">
        <v>57</v>
      </c>
      <c r="M22" s="8">
        <v>45862</v>
      </c>
      <c r="N22" s="8"/>
      <c r="O22" s="8" t="s">
        <v>40</v>
      </c>
      <c r="P22" s="8">
        <v>0.25</v>
      </c>
      <c r="Q22" s="8" t="s">
        <v>166</v>
      </c>
      <c r="R22" s="8" t="s">
        <v>86</v>
      </c>
      <c r="S22" s="8"/>
      <c r="T22" s="8" t="s">
        <v>33</v>
      </c>
      <c r="U22" s="8" t="s">
        <v>72</v>
      </c>
      <c r="V22" s="8" t="s">
        <v>151</v>
      </c>
      <c r="W22" s="8">
        <v>1200000</v>
      </c>
      <c r="X22" s="8">
        <v>1056472</v>
      </c>
      <c r="Y22" s="8" t="s">
        <v>130</v>
      </c>
      <c r="Z22" s="8" t="s">
        <v>142</v>
      </c>
      <c r="AA22" s="8">
        <v>376</v>
      </c>
      <c r="AB22" s="8" t="s">
        <v>202</v>
      </c>
      <c r="AC22" s="8">
        <v>316</v>
      </c>
      <c r="AD22" s="8" t="s">
        <v>195</v>
      </c>
      <c r="AE22" s="9" t="s">
        <v>191</v>
      </c>
    </row>
    <row r="23" spans="1:31" ht="45">
      <c r="A23" s="7" t="s">
        <v>323</v>
      </c>
      <c r="B23" s="8">
        <v>2025</v>
      </c>
      <c r="C23" s="8">
        <v>45809</v>
      </c>
      <c r="D23" s="8" t="s">
        <v>58</v>
      </c>
      <c r="E23" s="8" t="s">
        <v>29</v>
      </c>
      <c r="F23" s="8" t="s">
        <v>30</v>
      </c>
      <c r="G23" s="8" t="s">
        <v>39</v>
      </c>
      <c r="H23" s="8" t="s">
        <v>170</v>
      </c>
      <c r="I23" s="8" t="s">
        <v>324</v>
      </c>
      <c r="J23" s="8" t="s">
        <v>172</v>
      </c>
      <c r="K23" s="8" t="s">
        <v>145</v>
      </c>
      <c r="L23" s="8" t="s">
        <v>35</v>
      </c>
      <c r="M23" s="8">
        <v>45824</v>
      </c>
      <c r="N23" s="8">
        <v>45827</v>
      </c>
      <c r="O23" s="8" t="s">
        <v>48</v>
      </c>
      <c r="P23" s="8">
        <v>1</v>
      </c>
      <c r="Q23" s="8" t="s">
        <v>127</v>
      </c>
      <c r="R23" s="8" t="s">
        <v>86</v>
      </c>
      <c r="S23" s="8">
        <v>45842</v>
      </c>
      <c r="T23" s="8" t="s">
        <v>41</v>
      </c>
      <c r="U23" s="8" t="s">
        <v>82</v>
      </c>
      <c r="V23" s="8" t="s">
        <v>247</v>
      </c>
      <c r="W23" s="8">
        <v>600000</v>
      </c>
      <c r="X23" s="8">
        <v>586007</v>
      </c>
      <c r="Y23" s="8" t="s">
        <v>130</v>
      </c>
      <c r="Z23" s="8" t="s">
        <v>184</v>
      </c>
      <c r="AA23" s="8">
        <v>18</v>
      </c>
      <c r="AB23" s="8" t="s">
        <v>127</v>
      </c>
      <c r="AC23" s="8">
        <v>0</v>
      </c>
      <c r="AD23" s="8" t="s">
        <v>198</v>
      </c>
      <c r="AE23" s="9" t="s">
        <v>191</v>
      </c>
    </row>
    <row r="24" spans="1:31" ht="45">
      <c r="A24" s="7" t="s">
        <v>325</v>
      </c>
      <c r="B24" s="8">
        <v>2025</v>
      </c>
      <c r="C24" s="8">
        <v>45810</v>
      </c>
      <c r="D24" s="8" t="s">
        <v>69</v>
      </c>
      <c r="E24" s="8" t="s">
        <v>45</v>
      </c>
      <c r="F24" s="8" t="s">
        <v>46</v>
      </c>
      <c r="G24" s="8" t="s">
        <v>93</v>
      </c>
      <c r="H24" s="8" t="s">
        <v>159</v>
      </c>
      <c r="I24" s="8" t="s">
        <v>237</v>
      </c>
      <c r="J24" s="8" t="s">
        <v>138</v>
      </c>
      <c r="K24" s="8" t="s">
        <v>161</v>
      </c>
      <c r="L24" s="8" t="s">
        <v>83</v>
      </c>
      <c r="M24" s="8">
        <v>45855</v>
      </c>
      <c r="N24" s="8">
        <v>45858</v>
      </c>
      <c r="O24" s="8" t="s">
        <v>48</v>
      </c>
      <c r="P24" s="8">
        <v>1</v>
      </c>
      <c r="Q24" s="8" t="s">
        <v>132</v>
      </c>
      <c r="R24" s="8" t="s">
        <v>86</v>
      </c>
      <c r="S24" s="8">
        <v>45861</v>
      </c>
      <c r="T24" s="8" t="s">
        <v>33</v>
      </c>
      <c r="U24" s="8" t="s">
        <v>50</v>
      </c>
      <c r="V24" s="8" t="s">
        <v>129</v>
      </c>
      <c r="W24" s="8">
        <v>250000</v>
      </c>
      <c r="X24" s="8">
        <v>240441</v>
      </c>
      <c r="Y24" s="8" t="s">
        <v>176</v>
      </c>
      <c r="Z24" s="8" t="s">
        <v>184</v>
      </c>
      <c r="AA24" s="8">
        <v>48</v>
      </c>
      <c r="AB24" s="8" t="s">
        <v>127</v>
      </c>
      <c r="AC24" s="8">
        <v>0</v>
      </c>
      <c r="AD24" s="8" t="s">
        <v>198</v>
      </c>
      <c r="AE24" s="9" t="s">
        <v>191</v>
      </c>
    </row>
    <row r="25" spans="1:31" ht="45">
      <c r="A25" s="7" t="s">
        <v>326</v>
      </c>
      <c r="B25" s="8">
        <v>2025</v>
      </c>
      <c r="C25" s="8">
        <v>45820</v>
      </c>
      <c r="D25" s="8" t="s">
        <v>89</v>
      </c>
      <c r="E25" s="8" t="s">
        <v>75</v>
      </c>
      <c r="F25" s="8" t="s">
        <v>46</v>
      </c>
      <c r="G25" s="8" t="s">
        <v>81</v>
      </c>
      <c r="H25" s="8" t="s">
        <v>123</v>
      </c>
      <c r="I25" s="8" t="s">
        <v>243</v>
      </c>
      <c r="J25" s="8" t="s">
        <v>144</v>
      </c>
      <c r="K25" s="8" t="s">
        <v>145</v>
      </c>
      <c r="L25" s="8" t="s">
        <v>73</v>
      </c>
      <c r="M25" s="8">
        <v>45850</v>
      </c>
      <c r="N25" s="8">
        <v>45853</v>
      </c>
      <c r="O25" s="8" t="s">
        <v>48</v>
      </c>
      <c r="P25" s="8">
        <v>1</v>
      </c>
      <c r="Q25" s="8" t="s">
        <v>132</v>
      </c>
      <c r="R25" s="8" t="s">
        <v>43</v>
      </c>
      <c r="S25" s="8">
        <v>45863</v>
      </c>
      <c r="T25" s="8" t="s">
        <v>33</v>
      </c>
      <c r="U25" s="8" t="s">
        <v>87</v>
      </c>
      <c r="V25" s="8" t="s">
        <v>188</v>
      </c>
      <c r="W25" s="8">
        <v>1200000</v>
      </c>
      <c r="X25" s="8">
        <v>956573</v>
      </c>
      <c r="Y25" s="8" t="s">
        <v>176</v>
      </c>
      <c r="Z25" s="8" t="s">
        <v>142</v>
      </c>
      <c r="AA25" s="8">
        <v>33</v>
      </c>
      <c r="AB25" s="8" t="s">
        <v>127</v>
      </c>
      <c r="AC25" s="8">
        <v>0</v>
      </c>
      <c r="AD25" s="8" t="s">
        <v>198</v>
      </c>
      <c r="AE25" s="9" t="s">
        <v>191</v>
      </c>
    </row>
    <row r="26" spans="1:31" ht="45">
      <c r="A26" s="7" t="s">
        <v>327</v>
      </c>
      <c r="B26" s="8">
        <v>2025</v>
      </c>
      <c r="C26" s="8">
        <v>45821</v>
      </c>
      <c r="D26" s="8" t="s">
        <v>28</v>
      </c>
      <c r="E26" s="8" t="s">
        <v>37</v>
      </c>
      <c r="F26" s="8" t="s">
        <v>38</v>
      </c>
      <c r="G26" s="8" t="s">
        <v>76</v>
      </c>
      <c r="H26" s="8" t="s">
        <v>136</v>
      </c>
      <c r="I26" s="8" t="s">
        <v>282</v>
      </c>
      <c r="J26" s="8" t="s">
        <v>144</v>
      </c>
      <c r="K26" s="8" t="s">
        <v>145</v>
      </c>
      <c r="L26" s="8" t="s">
        <v>51</v>
      </c>
      <c r="M26" s="8">
        <v>45851</v>
      </c>
      <c r="N26" s="8"/>
      <c r="O26" s="8" t="s">
        <v>55</v>
      </c>
      <c r="P26" s="8">
        <v>0.7</v>
      </c>
      <c r="Q26" s="8" t="s">
        <v>166</v>
      </c>
      <c r="R26" s="8" t="s">
        <v>150</v>
      </c>
      <c r="S26" s="8"/>
      <c r="T26" s="8" t="s">
        <v>33</v>
      </c>
      <c r="U26" s="8" t="s">
        <v>62</v>
      </c>
      <c r="V26" s="8" t="s">
        <v>231</v>
      </c>
      <c r="W26" s="8">
        <v>1200000</v>
      </c>
      <c r="X26" s="8">
        <v>0</v>
      </c>
      <c r="Y26" s="8" t="s">
        <v>189</v>
      </c>
      <c r="Z26" s="8" t="s">
        <v>131</v>
      </c>
      <c r="AA26" s="8">
        <v>357</v>
      </c>
      <c r="AB26" s="8" t="s">
        <v>202</v>
      </c>
      <c r="AC26" s="8">
        <v>327</v>
      </c>
      <c r="AD26" s="8" t="s">
        <v>198</v>
      </c>
      <c r="AE26" s="9" t="s">
        <v>191</v>
      </c>
    </row>
    <row r="27" spans="1:31" ht="45">
      <c r="A27" s="7" t="s">
        <v>328</v>
      </c>
      <c r="B27" s="8">
        <v>2025</v>
      </c>
      <c r="C27" s="8">
        <v>45823</v>
      </c>
      <c r="D27" s="8" t="s">
        <v>52</v>
      </c>
      <c r="E27" s="8" t="s">
        <v>75</v>
      </c>
      <c r="F27" s="8" t="s">
        <v>46</v>
      </c>
      <c r="G27" s="8" t="s">
        <v>39</v>
      </c>
      <c r="H27" s="8" t="s">
        <v>159</v>
      </c>
      <c r="I27" s="8" t="s">
        <v>219</v>
      </c>
      <c r="J27" s="8" t="s">
        <v>183</v>
      </c>
      <c r="K27" s="8" t="s">
        <v>145</v>
      </c>
      <c r="L27" s="8" t="s">
        <v>88</v>
      </c>
      <c r="M27" s="8">
        <v>45843</v>
      </c>
      <c r="N27" s="8">
        <v>45835</v>
      </c>
      <c r="O27" s="8" t="s">
        <v>48</v>
      </c>
      <c r="P27" s="8">
        <v>1</v>
      </c>
      <c r="Q27" s="8" t="s">
        <v>132</v>
      </c>
      <c r="R27" s="8" t="s">
        <v>150</v>
      </c>
      <c r="S27" s="8">
        <v>45842</v>
      </c>
      <c r="T27" s="8" t="s">
        <v>41</v>
      </c>
      <c r="U27" s="8" t="s">
        <v>72</v>
      </c>
      <c r="V27" s="8" t="s">
        <v>231</v>
      </c>
      <c r="W27" s="8">
        <v>1800000</v>
      </c>
      <c r="X27" s="8">
        <v>2047482</v>
      </c>
      <c r="Y27" s="8" t="s">
        <v>176</v>
      </c>
      <c r="Z27" s="8" t="s">
        <v>162</v>
      </c>
      <c r="AA27" s="8">
        <v>12</v>
      </c>
      <c r="AB27" s="8" t="s">
        <v>132</v>
      </c>
      <c r="AC27" s="8">
        <v>0</v>
      </c>
      <c r="AD27" s="8" t="s">
        <v>198</v>
      </c>
      <c r="AE27" s="9" t="s">
        <v>191</v>
      </c>
    </row>
    <row r="28" spans="1:31" ht="30">
      <c r="A28" s="7" t="s">
        <v>329</v>
      </c>
      <c r="B28" s="8">
        <v>2025</v>
      </c>
      <c r="C28" s="8">
        <v>45842</v>
      </c>
      <c r="D28" s="8" t="s">
        <v>36</v>
      </c>
      <c r="E28" s="8" t="s">
        <v>53</v>
      </c>
      <c r="F28" s="8" t="s">
        <v>30</v>
      </c>
      <c r="G28" s="8" t="s">
        <v>90</v>
      </c>
      <c r="H28" s="8" t="s">
        <v>123</v>
      </c>
      <c r="I28" s="8" t="s">
        <v>197</v>
      </c>
      <c r="J28" s="8" t="s">
        <v>183</v>
      </c>
      <c r="K28" s="8" t="s">
        <v>126</v>
      </c>
      <c r="L28" s="8" t="s">
        <v>73</v>
      </c>
      <c r="M28" s="8">
        <v>45852</v>
      </c>
      <c r="N28" s="8">
        <v>45849</v>
      </c>
      <c r="O28" s="8" t="s">
        <v>48</v>
      </c>
      <c r="P28" s="8">
        <v>1</v>
      </c>
      <c r="Q28" s="8" t="s">
        <v>132</v>
      </c>
      <c r="R28" s="8" t="s">
        <v>43</v>
      </c>
      <c r="S28" s="8">
        <v>45856</v>
      </c>
      <c r="T28" s="8" t="s">
        <v>33</v>
      </c>
      <c r="U28" s="8" t="s">
        <v>87</v>
      </c>
      <c r="V28" s="8" t="s">
        <v>72</v>
      </c>
      <c r="W28" s="8">
        <v>2500000</v>
      </c>
      <c r="X28" s="8">
        <v>2647342</v>
      </c>
      <c r="Y28" s="8" t="s">
        <v>168</v>
      </c>
      <c r="Z28" s="8" t="s">
        <v>184</v>
      </c>
      <c r="AA28" s="8">
        <v>7</v>
      </c>
      <c r="AB28" s="8" t="s">
        <v>132</v>
      </c>
      <c r="AC28" s="8">
        <v>0</v>
      </c>
      <c r="AD28" s="8" t="s">
        <v>206</v>
      </c>
      <c r="AE28" s="9" t="s">
        <v>207</v>
      </c>
    </row>
    <row r="29" spans="1:31" ht="45">
      <c r="A29" s="7" t="s">
        <v>330</v>
      </c>
      <c r="B29" s="8">
        <v>2025</v>
      </c>
      <c r="C29" s="8">
        <v>45843</v>
      </c>
      <c r="D29" s="8" t="s">
        <v>64</v>
      </c>
      <c r="E29" s="8" t="s">
        <v>29</v>
      </c>
      <c r="F29" s="8" t="s">
        <v>38</v>
      </c>
      <c r="G29" s="8" t="s">
        <v>31</v>
      </c>
      <c r="H29" s="8" t="s">
        <v>164</v>
      </c>
      <c r="I29" s="8" t="s">
        <v>298</v>
      </c>
      <c r="J29" s="8" t="s">
        <v>125</v>
      </c>
      <c r="K29" s="8" t="s">
        <v>126</v>
      </c>
      <c r="L29" s="8" t="s">
        <v>35</v>
      </c>
      <c r="M29" s="8">
        <v>45863</v>
      </c>
      <c r="N29" s="8"/>
      <c r="O29" s="8" t="s">
        <v>40</v>
      </c>
      <c r="P29" s="8">
        <v>0.6</v>
      </c>
      <c r="Q29" s="8" t="s">
        <v>166</v>
      </c>
      <c r="R29" s="8" t="s">
        <v>150</v>
      </c>
      <c r="S29" s="8"/>
      <c r="T29" s="8" t="s">
        <v>33</v>
      </c>
      <c r="U29" s="8" t="s">
        <v>77</v>
      </c>
      <c r="V29" s="8" t="s">
        <v>188</v>
      </c>
      <c r="W29" s="8">
        <v>250000</v>
      </c>
      <c r="X29" s="8">
        <v>244528</v>
      </c>
      <c r="Y29" s="8" t="s">
        <v>152</v>
      </c>
      <c r="Z29" s="8" t="s">
        <v>210</v>
      </c>
      <c r="AA29" s="8">
        <v>335</v>
      </c>
      <c r="AB29" s="8" t="s">
        <v>202</v>
      </c>
      <c r="AC29" s="8">
        <v>315</v>
      </c>
      <c r="AD29" s="8" t="s">
        <v>206</v>
      </c>
      <c r="AE29" s="9" t="s">
        <v>207</v>
      </c>
    </row>
    <row r="30" spans="1:31" ht="45">
      <c r="A30" s="7" t="s">
        <v>331</v>
      </c>
      <c r="B30" s="8">
        <v>2025</v>
      </c>
      <c r="C30" s="8">
        <v>45844</v>
      </c>
      <c r="D30" s="8" t="s">
        <v>89</v>
      </c>
      <c r="E30" s="8" t="s">
        <v>29</v>
      </c>
      <c r="F30" s="8" t="s">
        <v>38</v>
      </c>
      <c r="G30" s="8" t="s">
        <v>92</v>
      </c>
      <c r="H30" s="8" t="s">
        <v>164</v>
      </c>
      <c r="I30" s="8" t="s">
        <v>332</v>
      </c>
      <c r="J30" s="8" t="s">
        <v>172</v>
      </c>
      <c r="K30" s="8" t="s">
        <v>161</v>
      </c>
      <c r="L30" s="8" t="s">
        <v>35</v>
      </c>
      <c r="M30" s="8">
        <v>45854</v>
      </c>
      <c r="N30" s="8">
        <v>45852</v>
      </c>
      <c r="O30" s="8" t="s">
        <v>61</v>
      </c>
      <c r="P30" s="8">
        <v>0.1</v>
      </c>
      <c r="Q30" s="8" t="s">
        <v>246</v>
      </c>
      <c r="R30" s="8" t="s">
        <v>86</v>
      </c>
      <c r="S30" s="8"/>
      <c r="T30" s="8" t="s">
        <v>41</v>
      </c>
      <c r="U30" s="8" t="s">
        <v>56</v>
      </c>
      <c r="V30" s="8" t="s">
        <v>247</v>
      </c>
      <c r="W30" s="8">
        <v>250000</v>
      </c>
      <c r="X30" s="8">
        <v>217339</v>
      </c>
      <c r="Y30" s="8" t="s">
        <v>168</v>
      </c>
      <c r="Z30" s="8" t="s">
        <v>142</v>
      </c>
      <c r="AA30" s="8">
        <v>8</v>
      </c>
      <c r="AB30" s="8" t="s">
        <v>246</v>
      </c>
      <c r="AC30" s="8">
        <v>0</v>
      </c>
      <c r="AD30" s="8" t="s">
        <v>206</v>
      </c>
      <c r="AE30" s="9" t="s">
        <v>207</v>
      </c>
    </row>
    <row r="31" spans="1:31" ht="45">
      <c r="A31" s="7" t="s">
        <v>333</v>
      </c>
      <c r="B31" s="8">
        <v>2025</v>
      </c>
      <c r="C31" s="8">
        <v>45874</v>
      </c>
      <c r="D31" s="8" t="s">
        <v>52</v>
      </c>
      <c r="E31" s="8" t="s">
        <v>85</v>
      </c>
      <c r="F31" s="8" t="s">
        <v>38</v>
      </c>
      <c r="G31" s="8" t="s">
        <v>81</v>
      </c>
      <c r="H31" s="8" t="s">
        <v>159</v>
      </c>
      <c r="I31" s="8" t="s">
        <v>154</v>
      </c>
      <c r="J31" s="8" t="s">
        <v>183</v>
      </c>
      <c r="K31" s="8" t="s">
        <v>215</v>
      </c>
      <c r="L31" s="8" t="s">
        <v>63</v>
      </c>
      <c r="M31" s="8">
        <v>45884</v>
      </c>
      <c r="N31" s="8">
        <v>45882</v>
      </c>
      <c r="O31" s="8" t="s">
        <v>48</v>
      </c>
      <c r="P31" s="8">
        <v>1</v>
      </c>
      <c r="Q31" s="8" t="s">
        <v>132</v>
      </c>
      <c r="R31" s="8" t="s">
        <v>150</v>
      </c>
      <c r="S31" s="8">
        <v>45897</v>
      </c>
      <c r="T31" s="8" t="s">
        <v>33</v>
      </c>
      <c r="U31" s="8" t="s">
        <v>50</v>
      </c>
      <c r="V31" s="8" t="s">
        <v>140</v>
      </c>
      <c r="W31" s="8">
        <v>600000</v>
      </c>
      <c r="X31" s="8">
        <v>623015</v>
      </c>
      <c r="Y31" s="8" t="s">
        <v>130</v>
      </c>
      <c r="Z31" s="8" t="s">
        <v>184</v>
      </c>
      <c r="AA31" s="8">
        <v>8</v>
      </c>
      <c r="AB31" s="8" t="s">
        <v>132</v>
      </c>
      <c r="AC31" s="8">
        <v>0</v>
      </c>
      <c r="AD31" s="8" t="s">
        <v>213</v>
      </c>
      <c r="AE31" s="9" t="s">
        <v>207</v>
      </c>
    </row>
    <row r="32" spans="1:31" ht="45">
      <c r="A32" s="7" t="s">
        <v>334</v>
      </c>
      <c r="B32" s="8">
        <v>2025</v>
      </c>
      <c r="C32" s="8">
        <v>45875</v>
      </c>
      <c r="D32" s="8" t="s">
        <v>69</v>
      </c>
      <c r="E32" s="8" t="s">
        <v>85</v>
      </c>
      <c r="F32" s="8" t="s">
        <v>30</v>
      </c>
      <c r="G32" s="8" t="s">
        <v>93</v>
      </c>
      <c r="H32" s="8" t="s">
        <v>164</v>
      </c>
      <c r="I32" s="8" t="s">
        <v>154</v>
      </c>
      <c r="J32" s="8" t="s">
        <v>149</v>
      </c>
      <c r="K32" s="8" t="s">
        <v>145</v>
      </c>
      <c r="L32" s="8" t="s">
        <v>78</v>
      </c>
      <c r="M32" s="8">
        <v>45935</v>
      </c>
      <c r="N32" s="8"/>
      <c r="O32" s="8" t="s">
        <v>40</v>
      </c>
      <c r="P32" s="8">
        <v>0.4</v>
      </c>
      <c r="Q32" s="8" t="s">
        <v>166</v>
      </c>
      <c r="R32" s="8" t="s">
        <v>35</v>
      </c>
      <c r="S32" s="8"/>
      <c r="T32" s="8" t="s">
        <v>33</v>
      </c>
      <c r="U32" s="8" t="s">
        <v>67</v>
      </c>
      <c r="V32" s="8" t="s">
        <v>129</v>
      </c>
      <c r="W32" s="8">
        <v>250000</v>
      </c>
      <c r="X32" s="8">
        <v>239894</v>
      </c>
      <c r="Y32" s="8" t="s">
        <v>189</v>
      </c>
      <c r="Z32" s="8" t="s">
        <v>142</v>
      </c>
      <c r="AA32" s="8">
        <v>303</v>
      </c>
      <c r="AB32" s="8" t="s">
        <v>202</v>
      </c>
      <c r="AC32" s="8">
        <v>243</v>
      </c>
      <c r="AD32" s="8" t="s">
        <v>213</v>
      </c>
      <c r="AE32" s="9" t="s">
        <v>207</v>
      </c>
    </row>
    <row r="33" spans="1:31" ht="30">
      <c r="A33" s="7" t="s">
        <v>335</v>
      </c>
      <c r="B33" s="8">
        <v>2025</v>
      </c>
      <c r="C33" s="8">
        <v>45888</v>
      </c>
      <c r="D33" s="8" t="s">
        <v>84</v>
      </c>
      <c r="E33" s="8" t="s">
        <v>75</v>
      </c>
      <c r="F33" s="8" t="s">
        <v>38</v>
      </c>
      <c r="G33" s="8" t="s">
        <v>39</v>
      </c>
      <c r="H33" s="8" t="s">
        <v>159</v>
      </c>
      <c r="I33" s="8" t="s">
        <v>219</v>
      </c>
      <c r="J33" s="8" t="s">
        <v>125</v>
      </c>
      <c r="K33" s="8" t="s">
        <v>178</v>
      </c>
      <c r="L33" s="8" t="s">
        <v>83</v>
      </c>
      <c r="M33" s="8">
        <v>45898</v>
      </c>
      <c r="N33" s="8">
        <v>45896</v>
      </c>
      <c r="O33" s="8" t="s">
        <v>48</v>
      </c>
      <c r="P33" s="8">
        <v>1</v>
      </c>
      <c r="Q33" s="8" t="s">
        <v>127</v>
      </c>
      <c r="R33" s="8" t="s">
        <v>150</v>
      </c>
      <c r="S33" s="8">
        <v>45911</v>
      </c>
      <c r="T33" s="8" t="s">
        <v>33</v>
      </c>
      <c r="U33" s="8" t="s">
        <v>34</v>
      </c>
      <c r="V33" s="8" t="s">
        <v>231</v>
      </c>
      <c r="W33" s="8">
        <v>380000</v>
      </c>
      <c r="X33" s="8">
        <v>291884</v>
      </c>
      <c r="Y33" s="8" t="s">
        <v>176</v>
      </c>
      <c r="Z33" s="8" t="s">
        <v>142</v>
      </c>
      <c r="AA33" s="8">
        <v>8</v>
      </c>
      <c r="AB33" s="8" t="s">
        <v>132</v>
      </c>
      <c r="AC33" s="8">
        <v>0</v>
      </c>
      <c r="AD33" s="8" t="s">
        <v>213</v>
      </c>
      <c r="AE33" s="9" t="s">
        <v>207</v>
      </c>
    </row>
    <row r="34" spans="1:31" ht="45">
      <c r="A34" s="7" t="s">
        <v>336</v>
      </c>
      <c r="B34" s="8">
        <v>2025</v>
      </c>
      <c r="C34" s="8">
        <v>45889</v>
      </c>
      <c r="D34" s="8" t="s">
        <v>89</v>
      </c>
      <c r="E34" s="8" t="s">
        <v>70</v>
      </c>
      <c r="F34" s="8" t="s">
        <v>46</v>
      </c>
      <c r="G34" s="8" t="s">
        <v>86</v>
      </c>
      <c r="H34" s="8" t="s">
        <v>159</v>
      </c>
      <c r="I34" s="8" t="s">
        <v>137</v>
      </c>
      <c r="J34" s="8" t="s">
        <v>149</v>
      </c>
      <c r="K34" s="8" t="s">
        <v>178</v>
      </c>
      <c r="L34" s="8" t="s">
        <v>43</v>
      </c>
      <c r="M34" s="8">
        <v>45949</v>
      </c>
      <c r="N34" s="8">
        <v>45916</v>
      </c>
      <c r="O34" s="8" t="s">
        <v>48</v>
      </c>
      <c r="P34" s="8">
        <v>1</v>
      </c>
      <c r="Q34" s="8" t="s">
        <v>132</v>
      </c>
      <c r="R34" s="8" t="s">
        <v>150</v>
      </c>
      <c r="S34" s="8">
        <v>45919</v>
      </c>
      <c r="T34" s="8" t="s">
        <v>33</v>
      </c>
      <c r="U34" s="8" t="s">
        <v>56</v>
      </c>
      <c r="V34" s="8" t="s">
        <v>167</v>
      </c>
      <c r="W34" s="8">
        <v>600000</v>
      </c>
      <c r="X34" s="8">
        <v>631052</v>
      </c>
      <c r="Y34" s="8" t="s">
        <v>189</v>
      </c>
      <c r="Z34" s="8" t="s">
        <v>131</v>
      </c>
      <c r="AA34" s="8">
        <v>27</v>
      </c>
      <c r="AB34" s="8" t="s">
        <v>132</v>
      </c>
      <c r="AC34" s="8">
        <v>0</v>
      </c>
      <c r="AD34" s="8" t="s">
        <v>213</v>
      </c>
      <c r="AE34" s="9" t="s">
        <v>207</v>
      </c>
    </row>
    <row r="35" spans="1:31" ht="45">
      <c r="A35" s="7" t="s">
        <v>337</v>
      </c>
      <c r="B35" s="8">
        <v>2025</v>
      </c>
      <c r="C35" s="8">
        <v>45890</v>
      </c>
      <c r="D35" s="8" t="s">
        <v>64</v>
      </c>
      <c r="E35" s="8" t="s">
        <v>45</v>
      </c>
      <c r="F35" s="8" t="s">
        <v>38</v>
      </c>
      <c r="G35" s="8" t="s">
        <v>81</v>
      </c>
      <c r="H35" s="8" t="s">
        <v>164</v>
      </c>
      <c r="I35" s="8" t="s">
        <v>160</v>
      </c>
      <c r="J35" s="8" t="s">
        <v>155</v>
      </c>
      <c r="K35" s="8" t="s">
        <v>145</v>
      </c>
      <c r="L35" s="8" t="s">
        <v>73</v>
      </c>
      <c r="M35" s="8">
        <v>45935</v>
      </c>
      <c r="N35" s="8">
        <v>45919</v>
      </c>
      <c r="O35" s="8" t="s">
        <v>48</v>
      </c>
      <c r="P35" s="8">
        <v>1</v>
      </c>
      <c r="Q35" s="8" t="s">
        <v>132</v>
      </c>
      <c r="R35" s="8" t="s">
        <v>86</v>
      </c>
      <c r="S35" s="8">
        <v>45934</v>
      </c>
      <c r="T35" s="8" t="s">
        <v>41</v>
      </c>
      <c r="U35" s="8" t="s">
        <v>50</v>
      </c>
      <c r="V35" s="8" t="s">
        <v>247</v>
      </c>
      <c r="W35" s="8">
        <v>1200000</v>
      </c>
      <c r="X35" s="8">
        <v>1304152</v>
      </c>
      <c r="Y35" s="8" t="s">
        <v>168</v>
      </c>
      <c r="Z35" s="8" t="s">
        <v>142</v>
      </c>
      <c r="AA35" s="8">
        <v>29</v>
      </c>
      <c r="AB35" s="8" t="s">
        <v>132</v>
      </c>
      <c r="AC35" s="8">
        <v>0</v>
      </c>
      <c r="AD35" s="8" t="s">
        <v>213</v>
      </c>
      <c r="AE35" s="9" t="s">
        <v>207</v>
      </c>
    </row>
    <row r="36" spans="1:31" ht="45">
      <c r="A36" s="7" t="s">
        <v>338</v>
      </c>
      <c r="B36" s="8">
        <v>2025</v>
      </c>
      <c r="C36" s="8">
        <v>45905</v>
      </c>
      <c r="D36" s="8" t="s">
        <v>79</v>
      </c>
      <c r="E36" s="8" t="s">
        <v>85</v>
      </c>
      <c r="F36" s="8" t="s">
        <v>30</v>
      </c>
      <c r="G36" s="8" t="s">
        <v>47</v>
      </c>
      <c r="H36" s="8" t="s">
        <v>123</v>
      </c>
      <c r="I36" s="8" t="s">
        <v>154</v>
      </c>
      <c r="J36" s="8" t="s">
        <v>183</v>
      </c>
      <c r="K36" s="8" t="s">
        <v>215</v>
      </c>
      <c r="L36" s="8" t="s">
        <v>35</v>
      </c>
      <c r="M36" s="8">
        <v>45925</v>
      </c>
      <c r="N36" s="8">
        <v>45923</v>
      </c>
      <c r="O36" s="8" t="s">
        <v>48</v>
      </c>
      <c r="P36" s="8">
        <v>1</v>
      </c>
      <c r="Q36" s="8" t="s">
        <v>166</v>
      </c>
      <c r="R36" s="8" t="s">
        <v>86</v>
      </c>
      <c r="S36" s="8"/>
      <c r="T36" s="8" t="s">
        <v>41</v>
      </c>
      <c r="U36" s="8" t="s">
        <v>72</v>
      </c>
      <c r="V36" s="8" t="s">
        <v>188</v>
      </c>
      <c r="W36" s="8">
        <v>380000</v>
      </c>
      <c r="X36" s="8">
        <v>323092</v>
      </c>
      <c r="Y36" s="8" t="s">
        <v>141</v>
      </c>
      <c r="Z36" s="8" t="s">
        <v>184</v>
      </c>
      <c r="AA36" s="8">
        <v>18</v>
      </c>
      <c r="AB36" s="8" t="s">
        <v>132</v>
      </c>
      <c r="AC36" s="8">
        <v>0</v>
      </c>
      <c r="AD36" s="8" t="s">
        <v>224</v>
      </c>
      <c r="AE36" s="9" t="s">
        <v>207</v>
      </c>
    </row>
    <row r="37" spans="1:31" ht="45">
      <c r="A37" s="7" t="s">
        <v>339</v>
      </c>
      <c r="B37" s="8">
        <v>2025</v>
      </c>
      <c r="C37" s="8">
        <v>45906</v>
      </c>
      <c r="D37" s="8" t="s">
        <v>58</v>
      </c>
      <c r="E37" s="8" t="s">
        <v>29</v>
      </c>
      <c r="F37" s="8" t="s">
        <v>30</v>
      </c>
      <c r="G37" s="8" t="s">
        <v>92</v>
      </c>
      <c r="H37" s="8" t="s">
        <v>136</v>
      </c>
      <c r="I37" s="8" t="s">
        <v>226</v>
      </c>
      <c r="J37" s="8" t="s">
        <v>138</v>
      </c>
      <c r="K37" s="8" t="s">
        <v>145</v>
      </c>
      <c r="L37" s="8" t="s">
        <v>51</v>
      </c>
      <c r="M37" s="8">
        <v>45951</v>
      </c>
      <c r="N37" s="8">
        <v>45959</v>
      </c>
      <c r="O37" s="8" t="s">
        <v>48</v>
      </c>
      <c r="P37" s="8">
        <v>1</v>
      </c>
      <c r="Q37" s="8" t="s">
        <v>132</v>
      </c>
      <c r="R37" s="8" t="s">
        <v>35</v>
      </c>
      <c r="S37" s="8">
        <v>45974</v>
      </c>
      <c r="T37" s="8" t="s">
        <v>41</v>
      </c>
      <c r="U37" s="8" t="s">
        <v>67</v>
      </c>
      <c r="V37" s="8" t="s">
        <v>151</v>
      </c>
      <c r="W37" s="8">
        <v>450000</v>
      </c>
      <c r="X37" s="8">
        <v>452786</v>
      </c>
      <c r="Y37" s="8" t="s">
        <v>130</v>
      </c>
      <c r="Z37" s="8" t="s">
        <v>162</v>
      </c>
      <c r="AA37" s="8">
        <v>53</v>
      </c>
      <c r="AB37" s="8" t="s">
        <v>127</v>
      </c>
      <c r="AC37" s="8">
        <v>0</v>
      </c>
      <c r="AD37" s="8" t="s">
        <v>224</v>
      </c>
      <c r="AE37" s="9" t="s">
        <v>207</v>
      </c>
    </row>
    <row r="38" spans="1:31" ht="45">
      <c r="A38" s="7" t="s">
        <v>340</v>
      </c>
      <c r="B38" s="8">
        <v>2025</v>
      </c>
      <c r="C38" s="8">
        <v>45915</v>
      </c>
      <c r="D38" s="8" t="s">
        <v>52</v>
      </c>
      <c r="E38" s="8" t="s">
        <v>45</v>
      </c>
      <c r="F38" s="8" t="s">
        <v>30</v>
      </c>
      <c r="G38" s="8" t="s">
        <v>93</v>
      </c>
      <c r="H38" s="8" t="s">
        <v>164</v>
      </c>
      <c r="I38" s="8" t="s">
        <v>237</v>
      </c>
      <c r="J38" s="8" t="s">
        <v>144</v>
      </c>
      <c r="K38" s="8" t="s">
        <v>126</v>
      </c>
      <c r="L38" s="8" t="s">
        <v>51</v>
      </c>
      <c r="M38" s="8">
        <v>45945</v>
      </c>
      <c r="N38" s="8"/>
      <c r="O38" s="8" t="s">
        <v>55</v>
      </c>
      <c r="P38" s="8">
        <v>0.7</v>
      </c>
      <c r="Q38" s="8" t="s">
        <v>166</v>
      </c>
      <c r="R38" s="8" t="s">
        <v>150</v>
      </c>
      <c r="S38" s="8"/>
      <c r="T38" s="8" t="s">
        <v>33</v>
      </c>
      <c r="U38" s="8" t="s">
        <v>67</v>
      </c>
      <c r="V38" s="8" t="s">
        <v>129</v>
      </c>
      <c r="W38" s="8">
        <v>2500000</v>
      </c>
      <c r="X38" s="8">
        <v>0</v>
      </c>
      <c r="Y38" s="8" t="s">
        <v>152</v>
      </c>
      <c r="Z38" s="8" t="s">
        <v>131</v>
      </c>
      <c r="AA38" s="8">
        <v>263</v>
      </c>
      <c r="AB38" s="8" t="s">
        <v>202</v>
      </c>
      <c r="AC38" s="8">
        <v>233</v>
      </c>
      <c r="AD38" s="8" t="s">
        <v>224</v>
      </c>
      <c r="AE38" s="9" t="s">
        <v>207</v>
      </c>
    </row>
    <row r="39" spans="1:31" ht="45">
      <c r="A39" s="7" t="s">
        <v>341</v>
      </c>
      <c r="B39" s="8">
        <v>2025</v>
      </c>
      <c r="C39" s="8">
        <v>45916</v>
      </c>
      <c r="D39" s="8" t="s">
        <v>89</v>
      </c>
      <c r="E39" s="8" t="s">
        <v>37</v>
      </c>
      <c r="F39" s="8" t="s">
        <v>38</v>
      </c>
      <c r="G39" s="8" t="s">
        <v>90</v>
      </c>
      <c r="H39" s="8" t="s">
        <v>251</v>
      </c>
      <c r="I39" s="8" t="s">
        <v>174</v>
      </c>
      <c r="J39" s="8" t="s">
        <v>183</v>
      </c>
      <c r="K39" s="8" t="s">
        <v>139</v>
      </c>
      <c r="L39" s="8" t="s">
        <v>73</v>
      </c>
      <c r="M39" s="8">
        <v>45926</v>
      </c>
      <c r="N39" s="8">
        <v>45922</v>
      </c>
      <c r="O39" s="8" t="s">
        <v>48</v>
      </c>
      <c r="P39" s="8">
        <v>1</v>
      </c>
      <c r="Q39" s="8" t="s">
        <v>132</v>
      </c>
      <c r="R39" s="8" t="s">
        <v>128</v>
      </c>
      <c r="S39" s="8">
        <v>45937</v>
      </c>
      <c r="T39" s="8" t="s">
        <v>33</v>
      </c>
      <c r="U39" s="8" t="s">
        <v>34</v>
      </c>
      <c r="V39" s="8" t="s">
        <v>231</v>
      </c>
      <c r="W39" s="8">
        <v>250000</v>
      </c>
      <c r="X39" s="8">
        <v>210476</v>
      </c>
      <c r="Y39" s="8" t="s">
        <v>141</v>
      </c>
      <c r="Z39" s="8" t="s">
        <v>184</v>
      </c>
      <c r="AA39" s="8">
        <v>6</v>
      </c>
      <c r="AB39" s="8" t="s">
        <v>132</v>
      </c>
      <c r="AC39" s="8">
        <v>0</v>
      </c>
      <c r="AD39" s="8" t="s">
        <v>224</v>
      </c>
      <c r="AE39" s="9" t="s">
        <v>207</v>
      </c>
    </row>
    <row r="40" spans="1:31" ht="30">
      <c r="A40" s="7" t="s">
        <v>342</v>
      </c>
      <c r="B40" s="8">
        <v>2025</v>
      </c>
      <c r="C40" s="8">
        <v>45917</v>
      </c>
      <c r="D40" s="8" t="s">
        <v>74</v>
      </c>
      <c r="E40" s="8" t="s">
        <v>65</v>
      </c>
      <c r="F40" s="8" t="s">
        <v>38</v>
      </c>
      <c r="G40" s="8" t="s">
        <v>92</v>
      </c>
      <c r="H40" s="8" t="s">
        <v>123</v>
      </c>
      <c r="I40" s="8" t="s">
        <v>304</v>
      </c>
      <c r="J40" s="8" t="s">
        <v>183</v>
      </c>
      <c r="K40" s="8" t="s">
        <v>126</v>
      </c>
      <c r="L40" s="8" t="s">
        <v>78</v>
      </c>
      <c r="M40" s="8">
        <v>45947</v>
      </c>
      <c r="N40" s="8">
        <v>45931</v>
      </c>
      <c r="O40" s="8" t="s">
        <v>48</v>
      </c>
      <c r="P40" s="8">
        <v>1</v>
      </c>
      <c r="Q40" s="8" t="s">
        <v>132</v>
      </c>
      <c r="R40" s="8" t="s">
        <v>150</v>
      </c>
      <c r="S40" s="8">
        <v>45934</v>
      </c>
      <c r="T40" s="8" t="s">
        <v>33</v>
      </c>
      <c r="U40" s="8" t="s">
        <v>42</v>
      </c>
      <c r="V40" s="8" t="s">
        <v>146</v>
      </c>
      <c r="W40" s="8">
        <v>250000</v>
      </c>
      <c r="X40" s="8">
        <v>216684</v>
      </c>
      <c r="Y40" s="8" t="s">
        <v>130</v>
      </c>
      <c r="Z40" s="8" t="s">
        <v>142</v>
      </c>
      <c r="AA40" s="8">
        <v>14</v>
      </c>
      <c r="AB40" s="8" t="s">
        <v>132</v>
      </c>
      <c r="AC40" s="8">
        <v>0</v>
      </c>
      <c r="AD40" s="8" t="s">
        <v>224</v>
      </c>
      <c r="AE40" s="9" t="s">
        <v>207</v>
      </c>
    </row>
    <row r="41" spans="1:31" ht="45">
      <c r="A41" s="7" t="s">
        <v>343</v>
      </c>
      <c r="B41" s="8">
        <v>2025</v>
      </c>
      <c r="C41" s="8">
        <v>45918</v>
      </c>
      <c r="D41" s="8" t="s">
        <v>84</v>
      </c>
      <c r="E41" s="8" t="s">
        <v>45</v>
      </c>
      <c r="F41" s="8" t="s">
        <v>46</v>
      </c>
      <c r="G41" s="8" t="s">
        <v>66</v>
      </c>
      <c r="H41" s="8" t="s">
        <v>123</v>
      </c>
      <c r="I41" s="8" t="s">
        <v>237</v>
      </c>
      <c r="J41" s="8" t="s">
        <v>155</v>
      </c>
      <c r="K41" s="8" t="s">
        <v>139</v>
      </c>
      <c r="L41" s="8" t="s">
        <v>51</v>
      </c>
      <c r="M41" s="8">
        <v>45928</v>
      </c>
      <c r="N41" s="8">
        <v>45929</v>
      </c>
      <c r="O41" s="8" t="s">
        <v>48</v>
      </c>
      <c r="P41" s="8">
        <v>1</v>
      </c>
      <c r="Q41" s="8" t="s">
        <v>132</v>
      </c>
      <c r="R41" s="8" t="s">
        <v>128</v>
      </c>
      <c r="S41" s="8">
        <v>45944</v>
      </c>
      <c r="T41" s="8" t="s">
        <v>49</v>
      </c>
      <c r="U41" s="8" t="s">
        <v>67</v>
      </c>
      <c r="V41" s="8" t="s">
        <v>72</v>
      </c>
      <c r="W41" s="8">
        <v>250000</v>
      </c>
      <c r="X41" s="8">
        <v>216521</v>
      </c>
      <c r="Y41" s="8" t="s">
        <v>130</v>
      </c>
      <c r="Z41" s="8" t="s">
        <v>184</v>
      </c>
      <c r="AA41" s="8">
        <v>11</v>
      </c>
      <c r="AB41" s="8" t="s">
        <v>127</v>
      </c>
      <c r="AC41" s="8">
        <v>0</v>
      </c>
      <c r="AD41" s="8" t="s">
        <v>224</v>
      </c>
      <c r="AE41" s="9" t="s">
        <v>207</v>
      </c>
    </row>
    <row r="42" spans="1:31" ht="45">
      <c r="A42" s="7" t="s">
        <v>344</v>
      </c>
      <c r="B42" s="8">
        <v>2025</v>
      </c>
      <c r="C42" s="8">
        <v>45924</v>
      </c>
      <c r="D42" s="8" t="s">
        <v>69</v>
      </c>
      <c r="E42" s="8" t="s">
        <v>53</v>
      </c>
      <c r="F42" s="8" t="s">
        <v>38</v>
      </c>
      <c r="G42" s="8" t="s">
        <v>60</v>
      </c>
      <c r="H42" s="8" t="s">
        <v>251</v>
      </c>
      <c r="I42" s="8" t="s">
        <v>171</v>
      </c>
      <c r="J42" s="8" t="s">
        <v>175</v>
      </c>
      <c r="K42" s="8" t="s">
        <v>178</v>
      </c>
      <c r="L42" s="8" t="s">
        <v>68</v>
      </c>
      <c r="M42" s="8">
        <v>45939</v>
      </c>
      <c r="N42" s="8">
        <v>45936</v>
      </c>
      <c r="O42" s="8" t="s">
        <v>48</v>
      </c>
      <c r="P42" s="8">
        <v>1</v>
      </c>
      <c r="Q42" s="8" t="s">
        <v>132</v>
      </c>
      <c r="R42" s="8" t="s">
        <v>35</v>
      </c>
      <c r="S42" s="8">
        <v>45939</v>
      </c>
      <c r="T42" s="8" t="s">
        <v>49</v>
      </c>
      <c r="U42" s="8" t="s">
        <v>42</v>
      </c>
      <c r="V42" s="8" t="s">
        <v>188</v>
      </c>
      <c r="W42" s="8">
        <v>2500000</v>
      </c>
      <c r="X42" s="8">
        <v>2083889</v>
      </c>
      <c r="Y42" s="8" t="s">
        <v>176</v>
      </c>
      <c r="Z42" s="8" t="s">
        <v>210</v>
      </c>
      <c r="AA42" s="8">
        <v>12</v>
      </c>
      <c r="AB42" s="8" t="s">
        <v>132</v>
      </c>
      <c r="AC42" s="8">
        <v>0</v>
      </c>
      <c r="AD42" s="8" t="s">
        <v>224</v>
      </c>
      <c r="AE42" s="9" t="s">
        <v>207</v>
      </c>
    </row>
    <row r="43" spans="1:31" ht="30">
      <c r="A43" s="7" t="s">
        <v>345</v>
      </c>
      <c r="B43" s="8">
        <v>2025</v>
      </c>
      <c r="C43" s="8">
        <v>45940</v>
      </c>
      <c r="D43" s="8" t="s">
        <v>64</v>
      </c>
      <c r="E43" s="8" t="s">
        <v>80</v>
      </c>
      <c r="F43" s="8" t="s">
        <v>38</v>
      </c>
      <c r="G43" s="8" t="s">
        <v>71</v>
      </c>
      <c r="H43" s="8" t="s">
        <v>159</v>
      </c>
      <c r="I43" s="8" t="s">
        <v>223</v>
      </c>
      <c r="J43" s="8" t="s">
        <v>155</v>
      </c>
      <c r="K43" s="8" t="s">
        <v>126</v>
      </c>
      <c r="L43" s="8" t="s">
        <v>73</v>
      </c>
      <c r="M43" s="8">
        <v>45955</v>
      </c>
      <c r="N43" s="8">
        <v>45947</v>
      </c>
      <c r="O43" s="8" t="s">
        <v>48</v>
      </c>
      <c r="P43" s="8">
        <v>1</v>
      </c>
      <c r="Q43" s="8" t="s">
        <v>132</v>
      </c>
      <c r="R43" s="8" t="s">
        <v>86</v>
      </c>
      <c r="S43" s="8">
        <v>45962</v>
      </c>
      <c r="T43" s="8" t="s">
        <v>41</v>
      </c>
      <c r="U43" s="8" t="s">
        <v>50</v>
      </c>
      <c r="V43" s="8" t="s">
        <v>188</v>
      </c>
      <c r="W43" s="8">
        <v>1200000</v>
      </c>
      <c r="X43" s="8">
        <v>1073136</v>
      </c>
      <c r="Y43" s="8" t="s">
        <v>189</v>
      </c>
      <c r="Z43" s="8" t="s">
        <v>142</v>
      </c>
      <c r="AA43" s="8">
        <v>7</v>
      </c>
      <c r="AB43" s="8" t="s">
        <v>132</v>
      </c>
      <c r="AC43" s="8">
        <v>0</v>
      </c>
      <c r="AD43" s="8" t="s">
        <v>227</v>
      </c>
      <c r="AE43" s="9" t="s">
        <v>228</v>
      </c>
    </row>
    <row r="44" spans="1:31" ht="45">
      <c r="A44" s="7" t="s">
        <v>346</v>
      </c>
      <c r="B44" s="8">
        <v>2025</v>
      </c>
      <c r="C44" s="8">
        <v>45946</v>
      </c>
      <c r="D44" s="8" t="s">
        <v>44</v>
      </c>
      <c r="E44" s="8" t="s">
        <v>59</v>
      </c>
      <c r="F44" s="8" t="s">
        <v>38</v>
      </c>
      <c r="G44" s="8" t="s">
        <v>54</v>
      </c>
      <c r="H44" s="8" t="s">
        <v>123</v>
      </c>
      <c r="I44" s="8" t="s">
        <v>212</v>
      </c>
      <c r="J44" s="8" t="s">
        <v>138</v>
      </c>
      <c r="K44" s="8" t="s">
        <v>161</v>
      </c>
      <c r="L44" s="8" t="s">
        <v>43</v>
      </c>
      <c r="M44" s="8">
        <v>45991</v>
      </c>
      <c r="N44" s="8">
        <v>45996</v>
      </c>
      <c r="O44" s="8" t="s">
        <v>48</v>
      </c>
      <c r="P44" s="8">
        <v>1</v>
      </c>
      <c r="Q44" s="8" t="s">
        <v>166</v>
      </c>
      <c r="R44" s="8" t="s">
        <v>35</v>
      </c>
      <c r="S44" s="8"/>
      <c r="T44" s="8" t="s">
        <v>41</v>
      </c>
      <c r="U44" s="8" t="s">
        <v>72</v>
      </c>
      <c r="V44" s="8" t="s">
        <v>129</v>
      </c>
      <c r="W44" s="8">
        <v>1200000</v>
      </c>
      <c r="X44" s="8">
        <v>1236784</v>
      </c>
      <c r="Y44" s="8" t="s">
        <v>168</v>
      </c>
      <c r="Z44" s="8" t="s">
        <v>184</v>
      </c>
      <c r="AA44" s="8">
        <v>50</v>
      </c>
      <c r="AB44" s="8" t="s">
        <v>127</v>
      </c>
      <c r="AC44" s="8">
        <v>0</v>
      </c>
      <c r="AD44" s="8" t="s">
        <v>227</v>
      </c>
      <c r="AE44" s="9" t="s">
        <v>228</v>
      </c>
    </row>
    <row r="45" spans="1:31" ht="45">
      <c r="A45" s="7" t="s">
        <v>347</v>
      </c>
      <c r="B45" s="8">
        <v>2025</v>
      </c>
      <c r="C45" s="8">
        <v>45948</v>
      </c>
      <c r="D45" s="8" t="s">
        <v>52</v>
      </c>
      <c r="E45" s="8" t="s">
        <v>65</v>
      </c>
      <c r="F45" s="8" t="s">
        <v>38</v>
      </c>
      <c r="G45" s="8" t="s">
        <v>71</v>
      </c>
      <c r="H45" s="8" t="s">
        <v>170</v>
      </c>
      <c r="I45" s="8" t="s">
        <v>304</v>
      </c>
      <c r="J45" s="8" t="s">
        <v>175</v>
      </c>
      <c r="K45" s="8" t="s">
        <v>156</v>
      </c>
      <c r="L45" s="8" t="s">
        <v>88</v>
      </c>
      <c r="M45" s="8">
        <v>45963</v>
      </c>
      <c r="N45" s="8">
        <v>45962</v>
      </c>
      <c r="O45" s="8" t="s">
        <v>48</v>
      </c>
      <c r="P45" s="8">
        <v>1</v>
      </c>
      <c r="Q45" s="8" t="s">
        <v>132</v>
      </c>
      <c r="R45" s="8" t="s">
        <v>128</v>
      </c>
      <c r="S45" s="8">
        <v>45977</v>
      </c>
      <c r="T45" s="8" t="s">
        <v>33</v>
      </c>
      <c r="U45" s="8" t="s">
        <v>72</v>
      </c>
      <c r="V45" s="8" t="s">
        <v>151</v>
      </c>
      <c r="W45" s="8">
        <v>850000</v>
      </c>
      <c r="X45" s="8">
        <v>920135</v>
      </c>
      <c r="Y45" s="8" t="s">
        <v>189</v>
      </c>
      <c r="Z45" s="8" t="s">
        <v>162</v>
      </c>
      <c r="AA45" s="8">
        <v>14</v>
      </c>
      <c r="AB45" s="8" t="s">
        <v>132</v>
      </c>
      <c r="AC45" s="8">
        <v>0</v>
      </c>
      <c r="AD45" s="8" t="s">
        <v>227</v>
      </c>
      <c r="AE45" s="9" t="s">
        <v>228</v>
      </c>
    </row>
    <row r="46" spans="1:31" ht="45">
      <c r="A46" s="7" t="s">
        <v>348</v>
      </c>
      <c r="B46" s="8">
        <v>2025</v>
      </c>
      <c r="C46" s="8">
        <v>45971</v>
      </c>
      <c r="D46" s="8" t="s">
        <v>89</v>
      </c>
      <c r="E46" s="8" t="s">
        <v>53</v>
      </c>
      <c r="F46" s="8" t="s">
        <v>30</v>
      </c>
      <c r="G46" s="8" t="s">
        <v>92</v>
      </c>
      <c r="H46" s="8" t="s">
        <v>164</v>
      </c>
      <c r="I46" s="8" t="s">
        <v>171</v>
      </c>
      <c r="J46" s="8" t="s">
        <v>125</v>
      </c>
      <c r="K46" s="8" t="s">
        <v>145</v>
      </c>
      <c r="L46" s="8" t="s">
        <v>83</v>
      </c>
      <c r="M46" s="8">
        <v>46001</v>
      </c>
      <c r="N46" s="8">
        <v>46004</v>
      </c>
      <c r="O46" s="8" t="s">
        <v>48</v>
      </c>
      <c r="P46" s="8">
        <v>1</v>
      </c>
      <c r="Q46" s="8" t="s">
        <v>132</v>
      </c>
      <c r="R46" s="8" t="s">
        <v>86</v>
      </c>
      <c r="S46" s="8">
        <v>46019</v>
      </c>
      <c r="T46" s="8" t="s">
        <v>41</v>
      </c>
      <c r="U46" s="8" t="s">
        <v>34</v>
      </c>
      <c r="V46" s="8" t="s">
        <v>140</v>
      </c>
      <c r="W46" s="8">
        <v>2500000</v>
      </c>
      <c r="X46" s="8">
        <v>2290621</v>
      </c>
      <c r="Y46" s="8" t="s">
        <v>130</v>
      </c>
      <c r="Z46" s="8" t="s">
        <v>131</v>
      </c>
      <c r="AA46" s="8">
        <v>33</v>
      </c>
      <c r="AB46" s="8" t="s">
        <v>127</v>
      </c>
      <c r="AC46" s="8">
        <v>0</v>
      </c>
      <c r="AD46" s="8" t="s">
        <v>234</v>
      </c>
      <c r="AE46" s="9" t="s">
        <v>228</v>
      </c>
    </row>
    <row r="47" spans="1:31" ht="45">
      <c r="A47" s="7" t="s">
        <v>349</v>
      </c>
      <c r="B47" s="8">
        <v>2025</v>
      </c>
      <c r="C47" s="8">
        <v>45971</v>
      </c>
      <c r="D47" s="8" t="s">
        <v>58</v>
      </c>
      <c r="E47" s="8" t="s">
        <v>45</v>
      </c>
      <c r="F47" s="8" t="s">
        <v>38</v>
      </c>
      <c r="G47" s="8" t="s">
        <v>71</v>
      </c>
      <c r="H47" s="8" t="s">
        <v>251</v>
      </c>
      <c r="I47" s="8" t="s">
        <v>160</v>
      </c>
      <c r="J47" s="8" t="s">
        <v>155</v>
      </c>
      <c r="K47" s="8" t="s">
        <v>156</v>
      </c>
      <c r="L47" s="8" t="s">
        <v>63</v>
      </c>
      <c r="M47" s="8">
        <v>45991</v>
      </c>
      <c r="N47" s="8">
        <v>45986</v>
      </c>
      <c r="O47" s="8" t="s">
        <v>48</v>
      </c>
      <c r="P47" s="8">
        <v>1</v>
      </c>
      <c r="Q47" s="8" t="s">
        <v>166</v>
      </c>
      <c r="R47" s="8" t="s">
        <v>150</v>
      </c>
      <c r="S47" s="8"/>
      <c r="T47" s="8" t="s">
        <v>49</v>
      </c>
      <c r="U47" s="8" t="s">
        <v>82</v>
      </c>
      <c r="V47" s="8" t="s">
        <v>188</v>
      </c>
      <c r="W47" s="8">
        <v>1200000</v>
      </c>
      <c r="X47" s="8">
        <v>1099605</v>
      </c>
      <c r="Y47" s="8" t="s">
        <v>168</v>
      </c>
      <c r="Z47" s="8" t="s">
        <v>162</v>
      </c>
      <c r="AA47" s="8">
        <v>15</v>
      </c>
      <c r="AB47" s="8" t="s">
        <v>132</v>
      </c>
      <c r="AC47" s="8">
        <v>0</v>
      </c>
      <c r="AD47" s="8" t="s">
        <v>234</v>
      </c>
      <c r="AE47" s="9" t="s">
        <v>228</v>
      </c>
    </row>
    <row r="48" spans="1:31" ht="30">
      <c r="A48" s="7" t="s">
        <v>350</v>
      </c>
      <c r="B48" s="8">
        <v>2025</v>
      </c>
      <c r="C48" s="8">
        <v>45977</v>
      </c>
      <c r="D48" s="8" t="s">
        <v>28</v>
      </c>
      <c r="E48" s="8" t="s">
        <v>75</v>
      </c>
      <c r="F48" s="8" t="s">
        <v>38</v>
      </c>
      <c r="G48" s="8" t="s">
        <v>47</v>
      </c>
      <c r="H48" s="8" t="s">
        <v>159</v>
      </c>
      <c r="I48" s="8" t="s">
        <v>243</v>
      </c>
      <c r="J48" s="8" t="s">
        <v>125</v>
      </c>
      <c r="K48" s="8" t="s">
        <v>178</v>
      </c>
      <c r="L48" s="8" t="s">
        <v>78</v>
      </c>
      <c r="M48" s="8">
        <v>46007</v>
      </c>
      <c r="N48" s="8">
        <v>46003</v>
      </c>
      <c r="O48" s="8" t="s">
        <v>48</v>
      </c>
      <c r="P48" s="8">
        <v>1</v>
      </c>
      <c r="Q48" s="8" t="s">
        <v>132</v>
      </c>
      <c r="R48" s="8" t="s">
        <v>86</v>
      </c>
      <c r="S48" s="8">
        <v>46006</v>
      </c>
      <c r="T48" s="8" t="s">
        <v>41</v>
      </c>
      <c r="U48" s="8" t="s">
        <v>82</v>
      </c>
      <c r="V48" s="8" t="s">
        <v>231</v>
      </c>
      <c r="W48" s="8">
        <v>850000</v>
      </c>
      <c r="X48" s="8">
        <v>648616</v>
      </c>
      <c r="Y48" s="8" t="s">
        <v>152</v>
      </c>
      <c r="Z48" s="8" t="s">
        <v>184</v>
      </c>
      <c r="AA48" s="8">
        <v>26</v>
      </c>
      <c r="AB48" s="8" t="s">
        <v>132</v>
      </c>
      <c r="AC48" s="8">
        <v>0</v>
      </c>
      <c r="AD48" s="8" t="s">
        <v>234</v>
      </c>
      <c r="AE48" s="9" t="s">
        <v>228</v>
      </c>
    </row>
    <row r="49" spans="1:31" ht="45">
      <c r="A49" s="7" t="s">
        <v>351</v>
      </c>
      <c r="B49" s="8">
        <v>2025</v>
      </c>
      <c r="C49" s="8">
        <v>45985</v>
      </c>
      <c r="D49" s="8" t="s">
        <v>69</v>
      </c>
      <c r="E49" s="8" t="s">
        <v>80</v>
      </c>
      <c r="F49" s="8" t="s">
        <v>30</v>
      </c>
      <c r="G49" s="8" t="s">
        <v>47</v>
      </c>
      <c r="H49" s="8" t="s">
        <v>123</v>
      </c>
      <c r="I49" s="8" t="s">
        <v>289</v>
      </c>
      <c r="J49" s="8" t="s">
        <v>183</v>
      </c>
      <c r="K49" s="8" t="s">
        <v>145</v>
      </c>
      <c r="L49" s="8" t="s">
        <v>63</v>
      </c>
      <c r="M49" s="8">
        <v>46030</v>
      </c>
      <c r="N49" s="8">
        <v>46027</v>
      </c>
      <c r="O49" s="8" t="s">
        <v>48</v>
      </c>
      <c r="P49" s="8">
        <v>1</v>
      </c>
      <c r="Q49" s="8" t="s">
        <v>127</v>
      </c>
      <c r="R49" s="8" t="s">
        <v>35</v>
      </c>
      <c r="S49" s="8">
        <v>46034</v>
      </c>
      <c r="T49" s="8" t="s">
        <v>49</v>
      </c>
      <c r="U49" s="8" t="s">
        <v>34</v>
      </c>
      <c r="V49" s="8" t="s">
        <v>129</v>
      </c>
      <c r="W49" s="8">
        <v>850000</v>
      </c>
      <c r="X49" s="8">
        <v>701583</v>
      </c>
      <c r="Y49" s="8" t="s">
        <v>141</v>
      </c>
      <c r="Z49" s="8" t="s">
        <v>142</v>
      </c>
      <c r="AA49" s="8">
        <v>42</v>
      </c>
      <c r="AB49" s="8" t="s">
        <v>132</v>
      </c>
      <c r="AC49" s="8">
        <v>0</v>
      </c>
      <c r="AD49" s="8" t="s">
        <v>234</v>
      </c>
      <c r="AE49" s="9" t="s">
        <v>228</v>
      </c>
    </row>
    <row r="50" spans="1:31" ht="45">
      <c r="A50" s="7" t="s">
        <v>352</v>
      </c>
      <c r="B50" s="8">
        <v>2025</v>
      </c>
      <c r="C50" s="8">
        <v>45996</v>
      </c>
      <c r="D50" s="8" t="s">
        <v>64</v>
      </c>
      <c r="E50" s="8" t="s">
        <v>29</v>
      </c>
      <c r="F50" s="8" t="s">
        <v>38</v>
      </c>
      <c r="G50" s="8" t="s">
        <v>76</v>
      </c>
      <c r="H50" s="8" t="s">
        <v>136</v>
      </c>
      <c r="I50" s="8" t="s">
        <v>298</v>
      </c>
      <c r="J50" s="8" t="s">
        <v>149</v>
      </c>
      <c r="K50" s="8" t="s">
        <v>139</v>
      </c>
      <c r="L50" s="8" t="s">
        <v>43</v>
      </c>
      <c r="M50" s="8">
        <v>46016</v>
      </c>
      <c r="N50" s="8">
        <v>46018</v>
      </c>
      <c r="O50" s="8" t="s">
        <v>48</v>
      </c>
      <c r="P50" s="8">
        <v>1</v>
      </c>
      <c r="Q50" s="8" t="s">
        <v>127</v>
      </c>
      <c r="R50" s="8" t="s">
        <v>35</v>
      </c>
      <c r="S50" s="8">
        <v>46033</v>
      </c>
      <c r="T50" s="8" t="s">
        <v>33</v>
      </c>
      <c r="U50" s="8" t="s">
        <v>62</v>
      </c>
      <c r="V50" s="8" t="s">
        <v>188</v>
      </c>
      <c r="W50" s="8">
        <v>2500000</v>
      </c>
      <c r="X50" s="8">
        <v>2596993</v>
      </c>
      <c r="Y50" s="8" t="s">
        <v>130</v>
      </c>
      <c r="Z50" s="8" t="s">
        <v>210</v>
      </c>
      <c r="AA50" s="8">
        <v>22</v>
      </c>
      <c r="AB50" s="8" t="s">
        <v>127</v>
      </c>
      <c r="AC50" s="8">
        <v>0</v>
      </c>
      <c r="AD50" s="8" t="s">
        <v>239</v>
      </c>
      <c r="AE50" s="9" t="s">
        <v>228</v>
      </c>
    </row>
    <row r="51" spans="1:31" ht="30">
      <c r="A51" s="7" t="s">
        <v>353</v>
      </c>
      <c r="B51" s="8">
        <v>2025</v>
      </c>
      <c r="C51" s="8">
        <v>46007</v>
      </c>
      <c r="D51" s="8" t="s">
        <v>52</v>
      </c>
      <c r="E51" s="8" t="s">
        <v>29</v>
      </c>
      <c r="F51" s="8" t="s">
        <v>38</v>
      </c>
      <c r="G51" s="8" t="s">
        <v>90</v>
      </c>
      <c r="H51" s="8" t="s">
        <v>123</v>
      </c>
      <c r="I51" s="8" t="s">
        <v>354</v>
      </c>
      <c r="J51" s="8" t="s">
        <v>149</v>
      </c>
      <c r="K51" s="8" t="s">
        <v>156</v>
      </c>
      <c r="L51" s="8" t="s">
        <v>73</v>
      </c>
      <c r="M51" s="8">
        <v>46017</v>
      </c>
      <c r="N51" s="8">
        <v>46013</v>
      </c>
      <c r="O51" s="8" t="s">
        <v>48</v>
      </c>
      <c r="P51" s="8">
        <v>1</v>
      </c>
      <c r="Q51" s="8" t="s">
        <v>132</v>
      </c>
      <c r="R51" s="8" t="s">
        <v>86</v>
      </c>
      <c r="S51" s="8">
        <v>46020</v>
      </c>
      <c r="T51" s="8" t="s">
        <v>33</v>
      </c>
      <c r="U51" s="8" t="s">
        <v>56</v>
      </c>
      <c r="V51" s="8" t="s">
        <v>72</v>
      </c>
      <c r="W51" s="8">
        <v>600000</v>
      </c>
      <c r="X51" s="8">
        <v>631418</v>
      </c>
      <c r="Y51" s="8" t="s">
        <v>176</v>
      </c>
      <c r="Z51" s="8" t="s">
        <v>210</v>
      </c>
      <c r="AA51" s="8">
        <v>6</v>
      </c>
      <c r="AB51" s="8" t="s">
        <v>132</v>
      </c>
      <c r="AC51" s="8">
        <v>0</v>
      </c>
      <c r="AD51" s="8" t="s">
        <v>239</v>
      </c>
      <c r="AE51" s="9" t="s">
        <v>228</v>
      </c>
    </row>
    <row r="52" spans="1:31" ht="45">
      <c r="A52" s="10" t="s">
        <v>355</v>
      </c>
      <c r="B52" s="11">
        <v>2025</v>
      </c>
      <c r="C52" s="11">
        <v>46015</v>
      </c>
      <c r="D52" s="11" t="s">
        <v>28</v>
      </c>
      <c r="E52" s="11" t="s">
        <v>75</v>
      </c>
      <c r="F52" s="11" t="s">
        <v>38</v>
      </c>
      <c r="G52" s="11" t="s">
        <v>66</v>
      </c>
      <c r="H52" s="11" t="s">
        <v>159</v>
      </c>
      <c r="I52" s="11" t="s">
        <v>243</v>
      </c>
      <c r="J52" s="11" t="s">
        <v>149</v>
      </c>
      <c r="K52" s="11" t="s">
        <v>126</v>
      </c>
      <c r="L52" s="11" t="s">
        <v>88</v>
      </c>
      <c r="M52" s="11">
        <v>46025</v>
      </c>
      <c r="N52" s="11">
        <v>46027</v>
      </c>
      <c r="O52" s="11" t="s">
        <v>48</v>
      </c>
      <c r="P52" s="11">
        <v>1</v>
      </c>
      <c r="Q52" s="11" t="s">
        <v>132</v>
      </c>
      <c r="R52" s="11" t="s">
        <v>86</v>
      </c>
      <c r="S52" s="11">
        <v>46037</v>
      </c>
      <c r="T52" s="11" t="s">
        <v>33</v>
      </c>
      <c r="U52" s="11" t="s">
        <v>56</v>
      </c>
      <c r="V52" s="11" t="s">
        <v>129</v>
      </c>
      <c r="W52" s="11">
        <v>1200000</v>
      </c>
      <c r="X52" s="11">
        <v>1359209</v>
      </c>
      <c r="Y52" s="11" t="s">
        <v>130</v>
      </c>
      <c r="Z52" s="11" t="s">
        <v>184</v>
      </c>
      <c r="AA52" s="11">
        <v>12</v>
      </c>
      <c r="AB52" s="11" t="s">
        <v>127</v>
      </c>
      <c r="AC52" s="11">
        <v>0</v>
      </c>
      <c r="AD52" s="11" t="s">
        <v>239</v>
      </c>
      <c r="AE52" s="12" t="s">
        <v>228</v>
      </c>
    </row>
  </sheetData>
  <mergeCells count="2">
    <mergeCell ref="A1:AE1"/>
    <mergeCell ref="A2:AE2"/>
  </mergeCells>
  <conditionalFormatting sqref="O5:O52">
    <cfRule type="expression" dxfId="23" priority="1">
      <formula>O5="Cerrada"</formula>
    </cfRule>
    <cfRule type="expression" dxfId="22" priority="2">
      <formula>O5="En progreso"</formula>
    </cfRule>
    <cfRule type="expression" dxfId="21" priority="3">
      <formula>O5="Vencida"</formula>
    </cfRule>
    <cfRule type="expression" dxfId="20" priority="4">
      <formula>O5="Abierta"</formula>
    </cfRule>
    <cfRule type="expression" dxfId="19" priority="5">
      <formula>O5="Cancelada"</formula>
    </cfRule>
  </conditionalFormatting>
  <conditionalFormatting sqref="T5:T52">
    <cfRule type="expression" dxfId="18" priority="6">
      <formula>T5="Alta"</formula>
    </cfRule>
    <cfRule type="expression" dxfId="17" priority="7">
      <formula>T5="Media"</formula>
    </cfRule>
    <cfRule type="expression" dxfId="16" priority="8">
      <formula>T5="Baja"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0"/>
  <sheetViews>
    <sheetView workbookViewId="0">
      <selection sqref="A1:AE1"/>
    </sheetView>
  </sheetViews>
  <sheetFormatPr baseColWidth="10" defaultColWidth="8.83203125" defaultRowHeight="14"/>
  <cols>
    <col min="1" max="1" width="14" customWidth="1"/>
    <col min="2" max="2" width="8" customWidth="1"/>
    <col min="3" max="3" width="12" customWidth="1"/>
    <col min="4" max="4" width="14" customWidth="1"/>
    <col min="5" max="5" width="18" customWidth="1"/>
    <col min="6" max="6" width="12" customWidth="1"/>
    <col min="7" max="8" width="18" customWidth="1"/>
    <col min="9" max="9" width="34" customWidth="1"/>
    <col min="10" max="10" width="26" customWidth="1"/>
    <col min="11" max="11" width="30" customWidth="1"/>
    <col min="12" max="12" width="18" customWidth="1"/>
    <col min="13" max="14" width="12" customWidth="1"/>
    <col min="15" max="15" width="13" customWidth="1"/>
    <col min="16" max="16" width="10" customWidth="1"/>
    <col min="17" max="17" width="16" customWidth="1"/>
    <col min="18" max="18" width="18" customWidth="1"/>
    <col min="19" max="19" width="12" customWidth="1"/>
    <col min="20" max="20" width="10" customWidth="1"/>
    <col min="21" max="21" width="14" customWidth="1"/>
    <col min="22" max="22" width="16" customWidth="1"/>
    <col min="23" max="24" width="14" customWidth="1"/>
    <col min="25" max="25" width="22" customWidth="1"/>
    <col min="26" max="26" width="26" customWidth="1"/>
    <col min="27" max="29" width="12" customWidth="1"/>
    <col min="30" max="31" width="10" customWidth="1"/>
  </cols>
  <sheetData>
    <row r="1" spans="1:31" ht="32" customHeight="1">
      <c r="A1" s="29" t="s">
        <v>356</v>
      </c>
      <c r="B1" s="30"/>
      <c r="C1" s="32"/>
      <c r="D1" s="30"/>
      <c r="E1" s="30"/>
      <c r="F1" s="30"/>
      <c r="G1" s="30"/>
      <c r="H1" s="30"/>
      <c r="I1" s="30"/>
      <c r="J1" s="30"/>
      <c r="K1" s="30"/>
      <c r="L1" s="30"/>
      <c r="M1" s="32"/>
      <c r="N1" s="32"/>
      <c r="O1" s="30"/>
      <c r="P1" s="33"/>
      <c r="Q1" s="30"/>
      <c r="R1" s="30"/>
      <c r="S1" s="32"/>
      <c r="T1" s="30"/>
      <c r="U1" s="30"/>
      <c r="V1" s="30"/>
      <c r="W1" s="34"/>
      <c r="X1" s="34"/>
      <c r="Y1" s="30"/>
      <c r="Z1" s="30"/>
      <c r="AA1" s="35"/>
      <c r="AB1" s="35"/>
      <c r="AC1" s="35"/>
      <c r="AD1" s="30"/>
      <c r="AE1" s="30"/>
    </row>
    <row r="2" spans="1:31" ht="26.75" customHeight="1">
      <c r="A2" s="31" t="s">
        <v>121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4" spans="1:31" ht="50.75" customHeight="1">
      <c r="A4" s="1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</v>
      </c>
      <c r="G4" s="2" t="s">
        <v>24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12</v>
      </c>
      <c r="P4" s="2" t="s">
        <v>108</v>
      </c>
      <c r="Q4" s="2" t="s">
        <v>16</v>
      </c>
      <c r="R4" s="2" t="s">
        <v>109</v>
      </c>
      <c r="S4" s="2" t="s">
        <v>110</v>
      </c>
      <c r="T4" s="2" t="s">
        <v>25</v>
      </c>
      <c r="U4" s="2" t="s">
        <v>26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14</v>
      </c>
      <c r="AC4" s="2" t="s">
        <v>117</v>
      </c>
      <c r="AD4" s="2" t="s">
        <v>118</v>
      </c>
      <c r="AE4" s="3" t="s">
        <v>119</v>
      </c>
    </row>
    <row r="5" spans="1:31" ht="45">
      <c r="A5" s="4" t="s">
        <v>357</v>
      </c>
      <c r="B5" s="5">
        <v>2026</v>
      </c>
      <c r="C5" s="5">
        <v>46028</v>
      </c>
      <c r="D5" s="5" t="s">
        <v>36</v>
      </c>
      <c r="E5" s="5" t="s">
        <v>80</v>
      </c>
      <c r="F5" s="5" t="s">
        <v>46</v>
      </c>
      <c r="G5" s="5" t="s">
        <v>66</v>
      </c>
      <c r="H5" s="5" t="s">
        <v>159</v>
      </c>
      <c r="I5" s="5" t="s">
        <v>124</v>
      </c>
      <c r="J5" s="5" t="s">
        <v>183</v>
      </c>
      <c r="K5" s="5" t="s">
        <v>145</v>
      </c>
      <c r="L5" s="5" t="s">
        <v>63</v>
      </c>
      <c r="M5" s="5">
        <v>46088</v>
      </c>
      <c r="N5" s="5">
        <v>46097</v>
      </c>
      <c r="O5" s="5" t="s">
        <v>48</v>
      </c>
      <c r="P5" s="5">
        <v>1</v>
      </c>
      <c r="Q5" s="5" t="s">
        <v>132</v>
      </c>
      <c r="R5" s="5" t="s">
        <v>150</v>
      </c>
      <c r="S5" s="5">
        <v>46100</v>
      </c>
      <c r="T5" s="5" t="s">
        <v>33</v>
      </c>
      <c r="U5" s="5" t="s">
        <v>77</v>
      </c>
      <c r="V5" s="5" t="s">
        <v>188</v>
      </c>
      <c r="W5" s="5">
        <v>380000</v>
      </c>
      <c r="X5" s="5">
        <v>393095</v>
      </c>
      <c r="Y5" s="5" t="s">
        <v>176</v>
      </c>
      <c r="Z5" s="5" t="s">
        <v>162</v>
      </c>
      <c r="AA5" s="5">
        <v>69</v>
      </c>
      <c r="AB5" s="5" t="s">
        <v>127</v>
      </c>
      <c r="AC5" s="5">
        <v>0</v>
      </c>
      <c r="AD5" s="5" t="s">
        <v>133</v>
      </c>
      <c r="AE5" s="6" t="s">
        <v>134</v>
      </c>
    </row>
    <row r="6" spans="1:31" ht="45">
      <c r="A6" s="7" t="s">
        <v>358</v>
      </c>
      <c r="B6" s="8">
        <v>2026</v>
      </c>
      <c r="C6" s="8">
        <v>46034</v>
      </c>
      <c r="D6" s="8" t="s">
        <v>44</v>
      </c>
      <c r="E6" s="8" t="s">
        <v>65</v>
      </c>
      <c r="F6" s="8" t="s">
        <v>38</v>
      </c>
      <c r="G6" s="8" t="s">
        <v>31</v>
      </c>
      <c r="H6" s="8" t="s">
        <v>164</v>
      </c>
      <c r="I6" s="8" t="s">
        <v>304</v>
      </c>
      <c r="J6" s="8" t="s">
        <v>144</v>
      </c>
      <c r="K6" s="8" t="s">
        <v>249</v>
      </c>
      <c r="L6" s="8" t="s">
        <v>83</v>
      </c>
      <c r="M6" s="8">
        <v>46094</v>
      </c>
      <c r="N6" s="8"/>
      <c r="O6" s="8" t="s">
        <v>32</v>
      </c>
      <c r="P6" s="8">
        <v>0.2</v>
      </c>
      <c r="Q6" s="8" t="s">
        <v>166</v>
      </c>
      <c r="R6" s="8" t="s">
        <v>43</v>
      </c>
      <c r="S6" s="8"/>
      <c r="T6" s="8" t="s">
        <v>41</v>
      </c>
      <c r="U6" s="8" t="s">
        <v>50</v>
      </c>
      <c r="V6" s="8" t="s">
        <v>72</v>
      </c>
      <c r="W6" s="8">
        <v>850000</v>
      </c>
      <c r="X6" s="8">
        <v>0</v>
      </c>
      <c r="Y6" s="8" t="s">
        <v>176</v>
      </c>
      <c r="Z6" s="8" t="s">
        <v>131</v>
      </c>
      <c r="AA6" s="8">
        <v>144</v>
      </c>
      <c r="AB6" s="8" t="s">
        <v>202</v>
      </c>
      <c r="AC6" s="8">
        <v>84</v>
      </c>
      <c r="AD6" s="8" t="s">
        <v>133</v>
      </c>
      <c r="AE6" s="9" t="s">
        <v>134</v>
      </c>
    </row>
    <row r="7" spans="1:31" ht="45">
      <c r="A7" s="7" t="s">
        <v>359</v>
      </c>
      <c r="B7" s="8">
        <v>2026</v>
      </c>
      <c r="C7" s="8">
        <v>46048</v>
      </c>
      <c r="D7" s="8" t="s">
        <v>84</v>
      </c>
      <c r="E7" s="8" t="s">
        <v>59</v>
      </c>
      <c r="F7" s="8" t="s">
        <v>30</v>
      </c>
      <c r="G7" s="8" t="s">
        <v>93</v>
      </c>
      <c r="H7" s="8" t="s">
        <v>136</v>
      </c>
      <c r="I7" s="8" t="s">
        <v>212</v>
      </c>
      <c r="J7" s="8" t="s">
        <v>138</v>
      </c>
      <c r="K7" s="8" t="s">
        <v>156</v>
      </c>
      <c r="L7" s="8" t="s">
        <v>78</v>
      </c>
      <c r="M7" s="8">
        <v>46068</v>
      </c>
      <c r="N7" s="8">
        <v>46070</v>
      </c>
      <c r="O7" s="8" t="s">
        <v>48</v>
      </c>
      <c r="P7" s="8">
        <v>1</v>
      </c>
      <c r="Q7" s="8" t="s">
        <v>132</v>
      </c>
      <c r="R7" s="8" t="s">
        <v>86</v>
      </c>
      <c r="S7" s="8">
        <v>46085</v>
      </c>
      <c r="T7" s="8" t="s">
        <v>49</v>
      </c>
      <c r="U7" s="8" t="s">
        <v>56</v>
      </c>
      <c r="V7" s="8" t="s">
        <v>247</v>
      </c>
      <c r="W7" s="8">
        <v>250000</v>
      </c>
      <c r="X7" s="8">
        <v>225772</v>
      </c>
      <c r="Y7" s="8" t="s">
        <v>130</v>
      </c>
      <c r="Z7" s="8" t="s">
        <v>131</v>
      </c>
      <c r="AA7" s="8">
        <v>22</v>
      </c>
      <c r="AB7" s="8" t="s">
        <v>127</v>
      </c>
      <c r="AC7" s="8">
        <v>0</v>
      </c>
      <c r="AD7" s="8" t="s">
        <v>133</v>
      </c>
      <c r="AE7" s="9" t="s">
        <v>134</v>
      </c>
    </row>
    <row r="8" spans="1:31" ht="45">
      <c r="A8" s="7" t="s">
        <v>360</v>
      </c>
      <c r="B8" s="8">
        <v>2026</v>
      </c>
      <c r="C8" s="8">
        <v>46055</v>
      </c>
      <c r="D8" s="8" t="s">
        <v>79</v>
      </c>
      <c r="E8" s="8" t="s">
        <v>45</v>
      </c>
      <c r="F8" s="8" t="s">
        <v>30</v>
      </c>
      <c r="G8" s="8" t="s">
        <v>92</v>
      </c>
      <c r="H8" s="8" t="s">
        <v>136</v>
      </c>
      <c r="I8" s="8" t="s">
        <v>300</v>
      </c>
      <c r="J8" s="8" t="s">
        <v>172</v>
      </c>
      <c r="K8" s="8" t="s">
        <v>126</v>
      </c>
      <c r="L8" s="8" t="s">
        <v>35</v>
      </c>
      <c r="M8" s="8">
        <v>46065</v>
      </c>
      <c r="N8" s="8"/>
      <c r="O8" s="8" t="s">
        <v>32</v>
      </c>
      <c r="P8" s="8">
        <v>0.2</v>
      </c>
      <c r="Q8" s="8" t="s">
        <v>166</v>
      </c>
      <c r="R8" s="8" t="s">
        <v>35</v>
      </c>
      <c r="S8" s="8"/>
      <c r="T8" s="8" t="s">
        <v>41</v>
      </c>
      <c r="U8" s="8" t="s">
        <v>34</v>
      </c>
      <c r="V8" s="8" t="s">
        <v>140</v>
      </c>
      <c r="W8" s="8">
        <v>1800000</v>
      </c>
      <c r="X8" s="8">
        <v>0</v>
      </c>
      <c r="Y8" s="8" t="s">
        <v>141</v>
      </c>
      <c r="Z8" s="8" t="s">
        <v>162</v>
      </c>
      <c r="AA8" s="8">
        <v>123</v>
      </c>
      <c r="AB8" s="8" t="s">
        <v>202</v>
      </c>
      <c r="AC8" s="8">
        <v>113</v>
      </c>
      <c r="AD8" s="8" t="s">
        <v>157</v>
      </c>
      <c r="AE8" s="9" t="s">
        <v>134</v>
      </c>
    </row>
    <row r="9" spans="1:31" ht="45">
      <c r="A9" s="7" t="s">
        <v>361</v>
      </c>
      <c r="B9" s="8">
        <v>2026</v>
      </c>
      <c r="C9" s="8">
        <v>46059</v>
      </c>
      <c r="D9" s="8" t="s">
        <v>79</v>
      </c>
      <c r="E9" s="8" t="s">
        <v>29</v>
      </c>
      <c r="F9" s="8" t="s">
        <v>46</v>
      </c>
      <c r="G9" s="8" t="s">
        <v>31</v>
      </c>
      <c r="H9" s="8" t="s">
        <v>159</v>
      </c>
      <c r="I9" s="8" t="s">
        <v>261</v>
      </c>
      <c r="J9" s="8" t="s">
        <v>175</v>
      </c>
      <c r="K9" s="8" t="s">
        <v>249</v>
      </c>
      <c r="L9" s="8" t="s">
        <v>68</v>
      </c>
      <c r="M9" s="8">
        <v>46069</v>
      </c>
      <c r="N9" s="8"/>
      <c r="O9" s="8" t="s">
        <v>40</v>
      </c>
      <c r="P9" s="8">
        <v>0.85</v>
      </c>
      <c r="Q9" s="8" t="s">
        <v>166</v>
      </c>
      <c r="R9" s="8" t="s">
        <v>86</v>
      </c>
      <c r="S9" s="8"/>
      <c r="T9" s="8" t="s">
        <v>33</v>
      </c>
      <c r="U9" s="8" t="s">
        <v>56</v>
      </c>
      <c r="V9" s="8" t="s">
        <v>231</v>
      </c>
      <c r="W9" s="8">
        <v>600000</v>
      </c>
      <c r="X9" s="8">
        <v>549901</v>
      </c>
      <c r="Y9" s="8" t="s">
        <v>141</v>
      </c>
      <c r="Z9" s="8" t="s">
        <v>210</v>
      </c>
      <c r="AA9" s="8">
        <v>119</v>
      </c>
      <c r="AB9" s="8" t="s">
        <v>202</v>
      </c>
      <c r="AC9" s="8">
        <v>109</v>
      </c>
      <c r="AD9" s="8" t="s">
        <v>157</v>
      </c>
      <c r="AE9" s="9" t="s">
        <v>134</v>
      </c>
    </row>
    <row r="10" spans="1:31" ht="45">
      <c r="A10" s="7" t="s">
        <v>362</v>
      </c>
      <c r="B10" s="8">
        <v>2026</v>
      </c>
      <c r="C10" s="8">
        <v>46069</v>
      </c>
      <c r="D10" s="8" t="s">
        <v>84</v>
      </c>
      <c r="E10" s="8" t="s">
        <v>85</v>
      </c>
      <c r="F10" s="8" t="s">
        <v>38</v>
      </c>
      <c r="G10" s="8" t="s">
        <v>31</v>
      </c>
      <c r="H10" s="8" t="s">
        <v>251</v>
      </c>
      <c r="I10" s="8" t="s">
        <v>286</v>
      </c>
      <c r="J10" s="8" t="s">
        <v>155</v>
      </c>
      <c r="K10" s="8" t="s">
        <v>249</v>
      </c>
      <c r="L10" s="8" t="s">
        <v>51</v>
      </c>
      <c r="M10" s="8">
        <v>46089</v>
      </c>
      <c r="N10" s="8"/>
      <c r="O10" s="8" t="s">
        <v>40</v>
      </c>
      <c r="P10" s="8">
        <v>0.85</v>
      </c>
      <c r="Q10" s="8" t="s">
        <v>166</v>
      </c>
      <c r="R10" s="8" t="s">
        <v>35</v>
      </c>
      <c r="S10" s="8"/>
      <c r="T10" s="8" t="s">
        <v>33</v>
      </c>
      <c r="U10" s="8" t="s">
        <v>50</v>
      </c>
      <c r="V10" s="8" t="s">
        <v>167</v>
      </c>
      <c r="W10" s="8">
        <v>450000</v>
      </c>
      <c r="X10" s="8">
        <v>472459</v>
      </c>
      <c r="Y10" s="8" t="s">
        <v>176</v>
      </c>
      <c r="Z10" s="8" t="s">
        <v>142</v>
      </c>
      <c r="AA10" s="8">
        <v>109</v>
      </c>
      <c r="AB10" s="8" t="s">
        <v>202</v>
      </c>
      <c r="AC10" s="8">
        <v>89</v>
      </c>
      <c r="AD10" s="8" t="s">
        <v>157</v>
      </c>
      <c r="AE10" s="9" t="s">
        <v>134</v>
      </c>
    </row>
    <row r="11" spans="1:31" ht="45">
      <c r="A11" s="7" t="s">
        <v>363</v>
      </c>
      <c r="B11" s="8">
        <v>2026</v>
      </c>
      <c r="C11" s="8">
        <v>46070</v>
      </c>
      <c r="D11" s="8" t="s">
        <v>52</v>
      </c>
      <c r="E11" s="8" t="s">
        <v>80</v>
      </c>
      <c r="F11" s="8" t="s">
        <v>38</v>
      </c>
      <c r="G11" s="8" t="s">
        <v>54</v>
      </c>
      <c r="H11" s="8" t="s">
        <v>136</v>
      </c>
      <c r="I11" s="8" t="s">
        <v>289</v>
      </c>
      <c r="J11" s="8" t="s">
        <v>144</v>
      </c>
      <c r="K11" s="8" t="s">
        <v>139</v>
      </c>
      <c r="L11" s="8" t="s">
        <v>43</v>
      </c>
      <c r="M11" s="8">
        <v>46100</v>
      </c>
      <c r="N11" s="8"/>
      <c r="O11" s="8" t="s">
        <v>55</v>
      </c>
      <c r="P11" s="8">
        <v>0.6</v>
      </c>
      <c r="Q11" s="8" t="s">
        <v>166</v>
      </c>
      <c r="R11" s="8" t="s">
        <v>35</v>
      </c>
      <c r="S11" s="8"/>
      <c r="T11" s="8" t="s">
        <v>41</v>
      </c>
      <c r="U11" s="8" t="s">
        <v>50</v>
      </c>
      <c r="V11" s="8" t="s">
        <v>167</v>
      </c>
      <c r="W11" s="8">
        <v>450000</v>
      </c>
      <c r="X11" s="8">
        <v>0</v>
      </c>
      <c r="Y11" s="8" t="s">
        <v>141</v>
      </c>
      <c r="Z11" s="8" t="s">
        <v>162</v>
      </c>
      <c r="AA11" s="8">
        <v>108</v>
      </c>
      <c r="AB11" s="8" t="s">
        <v>202</v>
      </c>
      <c r="AC11" s="8">
        <v>78</v>
      </c>
      <c r="AD11" s="8" t="s">
        <v>157</v>
      </c>
      <c r="AE11" s="9" t="s">
        <v>134</v>
      </c>
    </row>
    <row r="12" spans="1:31" ht="45">
      <c r="A12" s="7" t="s">
        <v>364</v>
      </c>
      <c r="B12" s="8">
        <v>2026</v>
      </c>
      <c r="C12" s="8">
        <v>46071</v>
      </c>
      <c r="D12" s="8" t="s">
        <v>89</v>
      </c>
      <c r="E12" s="8" t="s">
        <v>80</v>
      </c>
      <c r="F12" s="8" t="s">
        <v>30</v>
      </c>
      <c r="G12" s="8" t="s">
        <v>81</v>
      </c>
      <c r="H12" s="8" t="s">
        <v>170</v>
      </c>
      <c r="I12" s="8" t="s">
        <v>223</v>
      </c>
      <c r="J12" s="8" t="s">
        <v>175</v>
      </c>
      <c r="K12" s="8" t="s">
        <v>161</v>
      </c>
      <c r="L12" s="8" t="s">
        <v>83</v>
      </c>
      <c r="M12" s="8">
        <v>46091</v>
      </c>
      <c r="N12" s="8">
        <v>46081</v>
      </c>
      <c r="O12" s="8" t="s">
        <v>48</v>
      </c>
      <c r="P12" s="8">
        <v>1</v>
      </c>
      <c r="Q12" s="8" t="s">
        <v>132</v>
      </c>
      <c r="R12" s="8" t="s">
        <v>128</v>
      </c>
      <c r="S12" s="8">
        <v>46096</v>
      </c>
      <c r="T12" s="8" t="s">
        <v>41</v>
      </c>
      <c r="U12" s="8" t="s">
        <v>42</v>
      </c>
      <c r="V12" s="8" t="s">
        <v>151</v>
      </c>
      <c r="W12" s="8">
        <v>600000</v>
      </c>
      <c r="X12" s="8">
        <v>470691</v>
      </c>
      <c r="Y12" s="8" t="s">
        <v>130</v>
      </c>
      <c r="Z12" s="8" t="s">
        <v>142</v>
      </c>
      <c r="AA12" s="8">
        <v>10</v>
      </c>
      <c r="AB12" s="8" t="s">
        <v>132</v>
      </c>
      <c r="AC12" s="8">
        <v>0</v>
      </c>
      <c r="AD12" s="8" t="s">
        <v>157</v>
      </c>
      <c r="AE12" s="9" t="s">
        <v>134</v>
      </c>
    </row>
    <row r="13" spans="1:31" ht="45">
      <c r="A13" s="7" t="s">
        <v>365</v>
      </c>
      <c r="B13" s="8">
        <v>2026</v>
      </c>
      <c r="C13" s="8">
        <v>46074</v>
      </c>
      <c r="D13" s="8" t="s">
        <v>36</v>
      </c>
      <c r="E13" s="8" t="s">
        <v>75</v>
      </c>
      <c r="F13" s="8" t="s">
        <v>38</v>
      </c>
      <c r="G13" s="8" t="s">
        <v>31</v>
      </c>
      <c r="H13" s="8" t="s">
        <v>123</v>
      </c>
      <c r="I13" s="8" t="s">
        <v>219</v>
      </c>
      <c r="J13" s="8" t="s">
        <v>144</v>
      </c>
      <c r="K13" s="8" t="s">
        <v>249</v>
      </c>
      <c r="L13" s="8" t="s">
        <v>73</v>
      </c>
      <c r="M13" s="8">
        <v>46094</v>
      </c>
      <c r="N13" s="8">
        <v>46090</v>
      </c>
      <c r="O13" s="8" t="s">
        <v>48</v>
      </c>
      <c r="P13" s="8">
        <v>1</v>
      </c>
      <c r="Q13" s="8" t="s">
        <v>132</v>
      </c>
      <c r="R13" s="8" t="s">
        <v>43</v>
      </c>
      <c r="S13" s="8">
        <v>46100</v>
      </c>
      <c r="T13" s="8" t="s">
        <v>33</v>
      </c>
      <c r="U13" s="8" t="s">
        <v>77</v>
      </c>
      <c r="V13" s="8" t="s">
        <v>151</v>
      </c>
      <c r="W13" s="8">
        <v>450000</v>
      </c>
      <c r="X13" s="8">
        <v>346821</v>
      </c>
      <c r="Y13" s="8" t="s">
        <v>141</v>
      </c>
      <c r="Z13" s="8" t="s">
        <v>210</v>
      </c>
      <c r="AA13" s="8">
        <v>16</v>
      </c>
      <c r="AB13" s="8" t="s">
        <v>132</v>
      </c>
      <c r="AC13" s="8">
        <v>0</v>
      </c>
      <c r="AD13" s="8" t="s">
        <v>157</v>
      </c>
      <c r="AE13" s="9" t="s">
        <v>134</v>
      </c>
    </row>
    <row r="14" spans="1:31" ht="45">
      <c r="A14" s="7" t="s">
        <v>366</v>
      </c>
      <c r="B14" s="8">
        <v>2026</v>
      </c>
      <c r="C14" s="8">
        <v>46075</v>
      </c>
      <c r="D14" s="8" t="s">
        <v>69</v>
      </c>
      <c r="E14" s="8" t="s">
        <v>75</v>
      </c>
      <c r="F14" s="8" t="s">
        <v>46</v>
      </c>
      <c r="G14" s="8" t="s">
        <v>90</v>
      </c>
      <c r="H14" s="8" t="s">
        <v>170</v>
      </c>
      <c r="I14" s="8" t="s">
        <v>219</v>
      </c>
      <c r="J14" s="8" t="s">
        <v>172</v>
      </c>
      <c r="K14" s="8" t="s">
        <v>145</v>
      </c>
      <c r="L14" s="8" t="s">
        <v>88</v>
      </c>
      <c r="M14" s="8">
        <v>46120</v>
      </c>
      <c r="N14" s="8"/>
      <c r="O14" s="8" t="s">
        <v>55</v>
      </c>
      <c r="P14" s="8">
        <v>0.7</v>
      </c>
      <c r="Q14" s="8" t="s">
        <v>166</v>
      </c>
      <c r="R14" s="8" t="s">
        <v>150</v>
      </c>
      <c r="S14" s="8"/>
      <c r="T14" s="8" t="s">
        <v>41</v>
      </c>
      <c r="U14" s="8" t="s">
        <v>82</v>
      </c>
      <c r="V14" s="8" t="s">
        <v>72</v>
      </c>
      <c r="W14" s="8">
        <v>450000</v>
      </c>
      <c r="X14" s="8">
        <v>0</v>
      </c>
      <c r="Y14" s="8" t="s">
        <v>141</v>
      </c>
      <c r="Z14" s="8" t="s">
        <v>142</v>
      </c>
      <c r="AA14" s="8">
        <v>103</v>
      </c>
      <c r="AB14" s="8" t="s">
        <v>202</v>
      </c>
      <c r="AC14" s="8">
        <v>58</v>
      </c>
      <c r="AD14" s="8" t="s">
        <v>157</v>
      </c>
      <c r="AE14" s="9" t="s">
        <v>134</v>
      </c>
    </row>
    <row r="15" spans="1:31" ht="45">
      <c r="A15" s="7" t="s">
        <v>367</v>
      </c>
      <c r="B15" s="8">
        <v>2026</v>
      </c>
      <c r="C15" s="8">
        <v>46087</v>
      </c>
      <c r="D15" s="8" t="s">
        <v>28</v>
      </c>
      <c r="E15" s="8" t="s">
        <v>65</v>
      </c>
      <c r="F15" s="8" t="s">
        <v>46</v>
      </c>
      <c r="G15" s="8" t="s">
        <v>86</v>
      </c>
      <c r="H15" s="8" t="s">
        <v>170</v>
      </c>
      <c r="I15" s="8" t="s">
        <v>165</v>
      </c>
      <c r="J15" s="8" t="s">
        <v>149</v>
      </c>
      <c r="K15" s="8" t="s">
        <v>161</v>
      </c>
      <c r="L15" s="8" t="s">
        <v>78</v>
      </c>
      <c r="M15" s="8">
        <v>46117</v>
      </c>
      <c r="N15" s="8">
        <v>46100</v>
      </c>
      <c r="O15" s="8" t="s">
        <v>48</v>
      </c>
      <c r="P15" s="8">
        <v>1</v>
      </c>
      <c r="Q15" s="8" t="s">
        <v>132</v>
      </c>
      <c r="R15" s="8" t="s">
        <v>86</v>
      </c>
      <c r="S15" s="8">
        <v>46107</v>
      </c>
      <c r="T15" s="8" t="s">
        <v>41</v>
      </c>
      <c r="U15" s="8" t="s">
        <v>56</v>
      </c>
      <c r="V15" s="8" t="s">
        <v>146</v>
      </c>
      <c r="W15" s="8">
        <v>1200000</v>
      </c>
      <c r="X15" s="8">
        <v>1340590</v>
      </c>
      <c r="Y15" s="8" t="s">
        <v>152</v>
      </c>
      <c r="Z15" s="8" t="s">
        <v>131</v>
      </c>
      <c r="AA15" s="8">
        <v>13</v>
      </c>
      <c r="AB15" s="8" t="s">
        <v>132</v>
      </c>
      <c r="AC15" s="8">
        <v>0</v>
      </c>
      <c r="AD15" s="8" t="s">
        <v>185</v>
      </c>
      <c r="AE15" s="9" t="s">
        <v>134</v>
      </c>
    </row>
    <row r="16" spans="1:31" ht="45">
      <c r="A16" s="7" t="s">
        <v>368</v>
      </c>
      <c r="B16" s="8">
        <v>2026</v>
      </c>
      <c r="C16" s="8">
        <v>46092</v>
      </c>
      <c r="D16" s="8" t="s">
        <v>84</v>
      </c>
      <c r="E16" s="8" t="s">
        <v>85</v>
      </c>
      <c r="F16" s="8" t="s">
        <v>38</v>
      </c>
      <c r="G16" s="8" t="s">
        <v>31</v>
      </c>
      <c r="H16" s="8" t="s">
        <v>123</v>
      </c>
      <c r="I16" s="8" t="s">
        <v>154</v>
      </c>
      <c r="J16" s="8" t="s">
        <v>144</v>
      </c>
      <c r="K16" s="8" t="s">
        <v>145</v>
      </c>
      <c r="L16" s="8" t="s">
        <v>68</v>
      </c>
      <c r="M16" s="8">
        <v>46122</v>
      </c>
      <c r="N16" s="8">
        <v>46106</v>
      </c>
      <c r="O16" s="8" t="s">
        <v>48</v>
      </c>
      <c r="P16" s="8">
        <v>1</v>
      </c>
      <c r="Q16" s="8" t="s">
        <v>166</v>
      </c>
      <c r="R16" s="8" t="s">
        <v>128</v>
      </c>
      <c r="S16" s="8"/>
      <c r="T16" s="8" t="s">
        <v>33</v>
      </c>
      <c r="U16" s="8" t="s">
        <v>56</v>
      </c>
      <c r="V16" s="8" t="s">
        <v>231</v>
      </c>
      <c r="W16" s="8">
        <v>380000</v>
      </c>
      <c r="X16" s="8">
        <v>309984</v>
      </c>
      <c r="Y16" s="8" t="s">
        <v>130</v>
      </c>
      <c r="Z16" s="8" t="s">
        <v>210</v>
      </c>
      <c r="AA16" s="8">
        <v>14</v>
      </c>
      <c r="AB16" s="8" t="s">
        <v>132</v>
      </c>
      <c r="AC16" s="8">
        <v>0</v>
      </c>
      <c r="AD16" s="8" t="s">
        <v>185</v>
      </c>
      <c r="AE16" s="9" t="s">
        <v>134</v>
      </c>
    </row>
    <row r="17" spans="1:31" ht="45">
      <c r="A17" s="7" t="s">
        <v>369</v>
      </c>
      <c r="B17" s="8">
        <v>2026</v>
      </c>
      <c r="C17" s="8">
        <v>46097</v>
      </c>
      <c r="D17" s="8" t="s">
        <v>52</v>
      </c>
      <c r="E17" s="8" t="s">
        <v>45</v>
      </c>
      <c r="F17" s="8" t="s">
        <v>38</v>
      </c>
      <c r="G17" s="8" t="s">
        <v>60</v>
      </c>
      <c r="H17" s="8" t="s">
        <v>123</v>
      </c>
      <c r="I17" s="8" t="s">
        <v>237</v>
      </c>
      <c r="J17" s="8" t="s">
        <v>144</v>
      </c>
      <c r="K17" s="8" t="s">
        <v>215</v>
      </c>
      <c r="L17" s="8" t="s">
        <v>88</v>
      </c>
      <c r="M17" s="8">
        <v>46127</v>
      </c>
      <c r="N17" s="8"/>
      <c r="O17" s="8" t="s">
        <v>32</v>
      </c>
      <c r="P17" s="8">
        <v>0.2</v>
      </c>
      <c r="Q17" s="8" t="s">
        <v>166</v>
      </c>
      <c r="R17" s="8" t="s">
        <v>43</v>
      </c>
      <c r="S17" s="8"/>
      <c r="T17" s="8" t="s">
        <v>41</v>
      </c>
      <c r="U17" s="8" t="s">
        <v>34</v>
      </c>
      <c r="V17" s="8" t="s">
        <v>151</v>
      </c>
      <c r="W17" s="8">
        <v>1800000</v>
      </c>
      <c r="X17" s="8">
        <v>0</v>
      </c>
      <c r="Y17" s="8" t="s">
        <v>152</v>
      </c>
      <c r="Z17" s="8" t="s">
        <v>162</v>
      </c>
      <c r="AA17" s="8">
        <v>81</v>
      </c>
      <c r="AB17" s="8" t="s">
        <v>202</v>
      </c>
      <c r="AC17" s="8">
        <v>51</v>
      </c>
      <c r="AD17" s="8" t="s">
        <v>185</v>
      </c>
      <c r="AE17" s="9" t="s">
        <v>134</v>
      </c>
    </row>
    <row r="18" spans="1:31" ht="45">
      <c r="A18" s="7" t="s">
        <v>370</v>
      </c>
      <c r="B18" s="8">
        <v>2026</v>
      </c>
      <c r="C18" s="8">
        <v>46115</v>
      </c>
      <c r="D18" s="8" t="s">
        <v>36</v>
      </c>
      <c r="E18" s="8" t="s">
        <v>85</v>
      </c>
      <c r="F18" s="8" t="s">
        <v>38</v>
      </c>
      <c r="G18" s="8" t="s">
        <v>66</v>
      </c>
      <c r="H18" s="8" t="s">
        <v>251</v>
      </c>
      <c r="I18" s="8" t="s">
        <v>286</v>
      </c>
      <c r="J18" s="8" t="s">
        <v>144</v>
      </c>
      <c r="K18" s="8" t="s">
        <v>156</v>
      </c>
      <c r="L18" s="8" t="s">
        <v>83</v>
      </c>
      <c r="M18" s="8">
        <v>46145</v>
      </c>
      <c r="N18" s="8"/>
      <c r="O18" s="8" t="s">
        <v>32</v>
      </c>
      <c r="P18" s="8">
        <v>0.15</v>
      </c>
      <c r="Q18" s="8" t="s">
        <v>166</v>
      </c>
      <c r="R18" s="8" t="s">
        <v>86</v>
      </c>
      <c r="S18" s="8"/>
      <c r="T18" s="8" t="s">
        <v>33</v>
      </c>
      <c r="U18" s="8" t="s">
        <v>34</v>
      </c>
      <c r="V18" s="8" t="s">
        <v>167</v>
      </c>
      <c r="W18" s="8">
        <v>250000</v>
      </c>
      <c r="X18" s="8">
        <v>0</v>
      </c>
      <c r="Y18" s="8" t="s">
        <v>176</v>
      </c>
      <c r="Z18" s="8" t="s">
        <v>131</v>
      </c>
      <c r="AA18" s="8">
        <v>63</v>
      </c>
      <c r="AB18" s="8" t="s">
        <v>202</v>
      </c>
      <c r="AC18" s="8">
        <v>33</v>
      </c>
      <c r="AD18" s="8" t="s">
        <v>190</v>
      </c>
      <c r="AE18" s="9" t="s">
        <v>191</v>
      </c>
    </row>
    <row r="19" spans="1:31" ht="30">
      <c r="A19" s="7" t="s">
        <v>371</v>
      </c>
      <c r="B19" s="8">
        <v>2026</v>
      </c>
      <c r="C19" s="8">
        <v>46121</v>
      </c>
      <c r="D19" s="8" t="s">
        <v>89</v>
      </c>
      <c r="E19" s="8" t="s">
        <v>65</v>
      </c>
      <c r="F19" s="8" t="s">
        <v>30</v>
      </c>
      <c r="G19" s="8" t="s">
        <v>93</v>
      </c>
      <c r="H19" s="8" t="s">
        <v>164</v>
      </c>
      <c r="I19" s="8" t="s">
        <v>304</v>
      </c>
      <c r="J19" s="8" t="s">
        <v>155</v>
      </c>
      <c r="K19" s="8" t="s">
        <v>156</v>
      </c>
      <c r="L19" s="8" t="s">
        <v>73</v>
      </c>
      <c r="M19" s="8">
        <v>46141</v>
      </c>
      <c r="N19" s="8"/>
      <c r="O19" s="8" t="s">
        <v>55</v>
      </c>
      <c r="P19" s="8">
        <v>0.6</v>
      </c>
      <c r="Q19" s="8" t="s">
        <v>166</v>
      </c>
      <c r="R19" s="8" t="s">
        <v>35</v>
      </c>
      <c r="S19" s="8"/>
      <c r="T19" s="8" t="s">
        <v>33</v>
      </c>
      <c r="U19" s="8" t="s">
        <v>72</v>
      </c>
      <c r="V19" s="8" t="s">
        <v>151</v>
      </c>
      <c r="W19" s="8">
        <v>1200000</v>
      </c>
      <c r="X19" s="8">
        <v>0</v>
      </c>
      <c r="Y19" s="8" t="s">
        <v>141</v>
      </c>
      <c r="Z19" s="8" t="s">
        <v>142</v>
      </c>
      <c r="AA19" s="8">
        <v>57</v>
      </c>
      <c r="AB19" s="8" t="s">
        <v>202</v>
      </c>
      <c r="AC19" s="8">
        <v>37</v>
      </c>
      <c r="AD19" s="8" t="s">
        <v>190</v>
      </c>
      <c r="AE19" s="9" t="s">
        <v>191</v>
      </c>
    </row>
    <row r="20" spans="1:31" ht="30">
      <c r="A20" s="7" t="s">
        <v>372</v>
      </c>
      <c r="B20" s="8">
        <v>2026</v>
      </c>
      <c r="C20" s="8">
        <v>46125</v>
      </c>
      <c r="D20" s="8" t="s">
        <v>44</v>
      </c>
      <c r="E20" s="8" t="s">
        <v>65</v>
      </c>
      <c r="F20" s="8" t="s">
        <v>30</v>
      </c>
      <c r="G20" s="8" t="s">
        <v>93</v>
      </c>
      <c r="H20" s="8" t="s">
        <v>251</v>
      </c>
      <c r="I20" s="8" t="s">
        <v>304</v>
      </c>
      <c r="J20" s="8" t="s">
        <v>183</v>
      </c>
      <c r="K20" s="8" t="s">
        <v>156</v>
      </c>
      <c r="L20" s="8" t="s">
        <v>88</v>
      </c>
      <c r="M20" s="8">
        <v>46155</v>
      </c>
      <c r="N20" s="8">
        <v>46161</v>
      </c>
      <c r="O20" s="8" t="s">
        <v>48</v>
      </c>
      <c r="P20" s="8">
        <v>1</v>
      </c>
      <c r="Q20" s="8" t="s">
        <v>132</v>
      </c>
      <c r="R20" s="8" t="s">
        <v>128</v>
      </c>
      <c r="S20" s="8">
        <v>46171</v>
      </c>
      <c r="T20" s="8" t="s">
        <v>41</v>
      </c>
      <c r="U20" s="8" t="s">
        <v>72</v>
      </c>
      <c r="V20" s="8" t="s">
        <v>140</v>
      </c>
      <c r="W20" s="8">
        <v>2500000</v>
      </c>
      <c r="X20" s="8">
        <v>2202289</v>
      </c>
      <c r="Y20" s="8" t="s">
        <v>189</v>
      </c>
      <c r="Z20" s="8" t="s">
        <v>142</v>
      </c>
      <c r="AA20" s="8">
        <v>36</v>
      </c>
      <c r="AB20" s="8" t="s">
        <v>127</v>
      </c>
      <c r="AC20" s="8">
        <v>0</v>
      </c>
      <c r="AD20" s="8" t="s">
        <v>190</v>
      </c>
      <c r="AE20" s="9" t="s">
        <v>191</v>
      </c>
    </row>
    <row r="21" spans="1:31" ht="45">
      <c r="A21" s="7" t="s">
        <v>373</v>
      </c>
      <c r="B21" s="8">
        <v>2026</v>
      </c>
      <c r="C21" s="8">
        <v>46145</v>
      </c>
      <c r="D21" s="8" t="s">
        <v>52</v>
      </c>
      <c r="E21" s="8" t="s">
        <v>70</v>
      </c>
      <c r="F21" s="8" t="s">
        <v>30</v>
      </c>
      <c r="G21" s="8" t="s">
        <v>60</v>
      </c>
      <c r="H21" s="8" t="s">
        <v>123</v>
      </c>
      <c r="I21" s="8" t="s">
        <v>137</v>
      </c>
      <c r="J21" s="8" t="s">
        <v>183</v>
      </c>
      <c r="K21" s="8" t="s">
        <v>145</v>
      </c>
      <c r="L21" s="8" t="s">
        <v>57</v>
      </c>
      <c r="M21" s="8">
        <v>46190</v>
      </c>
      <c r="N21" s="8"/>
      <c r="O21" s="8" t="s">
        <v>32</v>
      </c>
      <c r="P21" s="8">
        <v>0</v>
      </c>
      <c r="Q21" s="8" t="s">
        <v>166</v>
      </c>
      <c r="R21" s="8" t="s">
        <v>86</v>
      </c>
      <c r="S21" s="8"/>
      <c r="T21" s="8" t="s">
        <v>33</v>
      </c>
      <c r="U21" s="8" t="s">
        <v>77</v>
      </c>
      <c r="V21" s="8" t="s">
        <v>129</v>
      </c>
      <c r="W21" s="8">
        <v>1800000</v>
      </c>
      <c r="X21" s="8">
        <v>0</v>
      </c>
      <c r="Y21" s="8" t="s">
        <v>168</v>
      </c>
      <c r="Z21" s="8" t="s">
        <v>162</v>
      </c>
      <c r="AA21" s="8">
        <v>33</v>
      </c>
      <c r="AB21" s="8" t="s">
        <v>202</v>
      </c>
      <c r="AC21" s="8">
        <v>0</v>
      </c>
      <c r="AD21" s="8" t="s">
        <v>195</v>
      </c>
      <c r="AE21" s="9" t="s">
        <v>191</v>
      </c>
    </row>
    <row r="22" spans="1:31" ht="45">
      <c r="A22" s="7" t="s">
        <v>374</v>
      </c>
      <c r="B22" s="8">
        <v>2026</v>
      </c>
      <c r="C22" s="8">
        <v>46150</v>
      </c>
      <c r="D22" s="8" t="s">
        <v>28</v>
      </c>
      <c r="E22" s="8" t="s">
        <v>59</v>
      </c>
      <c r="F22" s="8" t="s">
        <v>46</v>
      </c>
      <c r="G22" s="8" t="s">
        <v>60</v>
      </c>
      <c r="H22" s="8" t="s">
        <v>159</v>
      </c>
      <c r="I22" s="8" t="s">
        <v>148</v>
      </c>
      <c r="J22" s="8" t="s">
        <v>155</v>
      </c>
      <c r="K22" s="8" t="s">
        <v>178</v>
      </c>
      <c r="L22" s="8" t="s">
        <v>78</v>
      </c>
      <c r="M22" s="8">
        <v>46160</v>
      </c>
      <c r="N22" s="8">
        <v>46156</v>
      </c>
      <c r="O22" s="8" t="s">
        <v>48</v>
      </c>
      <c r="P22" s="8">
        <v>1</v>
      </c>
      <c r="Q22" s="8" t="s">
        <v>132</v>
      </c>
      <c r="R22" s="8" t="s">
        <v>150</v>
      </c>
      <c r="S22" s="8">
        <v>46159</v>
      </c>
      <c r="T22" s="8" t="s">
        <v>49</v>
      </c>
      <c r="U22" s="8" t="s">
        <v>34</v>
      </c>
      <c r="V22" s="8" t="s">
        <v>146</v>
      </c>
      <c r="W22" s="8">
        <v>1800000</v>
      </c>
      <c r="X22" s="8">
        <v>1618012</v>
      </c>
      <c r="Y22" s="8" t="s">
        <v>141</v>
      </c>
      <c r="Z22" s="8" t="s">
        <v>142</v>
      </c>
      <c r="AA22" s="8">
        <v>6</v>
      </c>
      <c r="AB22" s="8" t="s">
        <v>132</v>
      </c>
      <c r="AC22" s="8">
        <v>0</v>
      </c>
      <c r="AD22" s="8" t="s">
        <v>195</v>
      </c>
      <c r="AE22" s="9" t="s">
        <v>191</v>
      </c>
    </row>
    <row r="23" spans="1:31" ht="45">
      <c r="A23" s="7" t="s">
        <v>375</v>
      </c>
      <c r="B23" s="8">
        <v>2026</v>
      </c>
      <c r="C23" s="8">
        <v>46151</v>
      </c>
      <c r="D23" s="8" t="s">
        <v>64</v>
      </c>
      <c r="E23" s="8" t="s">
        <v>80</v>
      </c>
      <c r="F23" s="8" t="s">
        <v>30</v>
      </c>
      <c r="G23" s="8" t="s">
        <v>60</v>
      </c>
      <c r="H23" s="8" t="s">
        <v>123</v>
      </c>
      <c r="I23" s="8" t="s">
        <v>124</v>
      </c>
      <c r="J23" s="8" t="s">
        <v>138</v>
      </c>
      <c r="K23" s="8" t="s">
        <v>161</v>
      </c>
      <c r="L23" s="8" t="s">
        <v>63</v>
      </c>
      <c r="M23" s="8">
        <v>46196</v>
      </c>
      <c r="N23" s="8">
        <v>46163</v>
      </c>
      <c r="O23" s="8" t="s">
        <v>61</v>
      </c>
      <c r="P23" s="8">
        <v>0</v>
      </c>
      <c r="Q23" s="8" t="s">
        <v>246</v>
      </c>
      <c r="R23" s="8" t="s">
        <v>43</v>
      </c>
      <c r="S23" s="8"/>
      <c r="T23" s="8" t="s">
        <v>49</v>
      </c>
      <c r="U23" s="8" t="s">
        <v>67</v>
      </c>
      <c r="V23" s="8" t="s">
        <v>140</v>
      </c>
      <c r="W23" s="8">
        <v>850000</v>
      </c>
      <c r="X23" s="8">
        <v>932296</v>
      </c>
      <c r="Y23" s="8" t="s">
        <v>152</v>
      </c>
      <c r="Z23" s="8" t="s">
        <v>131</v>
      </c>
      <c r="AA23" s="8">
        <v>12</v>
      </c>
      <c r="AB23" s="8" t="s">
        <v>246</v>
      </c>
      <c r="AC23" s="8">
        <v>0</v>
      </c>
      <c r="AD23" s="8" t="s">
        <v>195</v>
      </c>
      <c r="AE23" s="9" t="s">
        <v>191</v>
      </c>
    </row>
    <row r="24" spans="1:31" ht="45">
      <c r="A24" s="7" t="s">
        <v>376</v>
      </c>
      <c r="B24" s="8">
        <v>2026</v>
      </c>
      <c r="C24" s="8">
        <v>46154</v>
      </c>
      <c r="D24" s="8" t="s">
        <v>64</v>
      </c>
      <c r="E24" s="8" t="s">
        <v>70</v>
      </c>
      <c r="F24" s="8" t="s">
        <v>30</v>
      </c>
      <c r="G24" s="8" t="s">
        <v>60</v>
      </c>
      <c r="H24" s="8" t="s">
        <v>170</v>
      </c>
      <c r="I24" s="8" t="s">
        <v>209</v>
      </c>
      <c r="J24" s="8" t="s">
        <v>183</v>
      </c>
      <c r="K24" s="8" t="s">
        <v>145</v>
      </c>
      <c r="L24" s="8" t="s">
        <v>78</v>
      </c>
      <c r="M24" s="8">
        <v>46164</v>
      </c>
      <c r="N24" s="8"/>
      <c r="O24" s="8" t="s">
        <v>40</v>
      </c>
      <c r="P24" s="8">
        <v>0.75</v>
      </c>
      <c r="Q24" s="8" t="s">
        <v>166</v>
      </c>
      <c r="R24" s="8" t="s">
        <v>43</v>
      </c>
      <c r="S24" s="8"/>
      <c r="T24" s="8" t="s">
        <v>41</v>
      </c>
      <c r="U24" s="8" t="s">
        <v>87</v>
      </c>
      <c r="V24" s="8" t="s">
        <v>129</v>
      </c>
      <c r="W24" s="8">
        <v>850000</v>
      </c>
      <c r="X24" s="8">
        <v>900431</v>
      </c>
      <c r="Y24" s="8" t="s">
        <v>168</v>
      </c>
      <c r="Z24" s="8" t="s">
        <v>142</v>
      </c>
      <c r="AA24" s="8">
        <v>24</v>
      </c>
      <c r="AB24" s="8" t="s">
        <v>202</v>
      </c>
      <c r="AC24" s="8">
        <v>14</v>
      </c>
      <c r="AD24" s="8" t="s">
        <v>195</v>
      </c>
      <c r="AE24" s="9" t="s">
        <v>191</v>
      </c>
    </row>
    <row r="25" spans="1:31" ht="45">
      <c r="A25" s="7" t="s">
        <v>377</v>
      </c>
      <c r="B25" s="8">
        <v>2026</v>
      </c>
      <c r="C25" s="8">
        <v>46162</v>
      </c>
      <c r="D25" s="8" t="s">
        <v>69</v>
      </c>
      <c r="E25" s="8" t="s">
        <v>65</v>
      </c>
      <c r="F25" s="8" t="s">
        <v>38</v>
      </c>
      <c r="G25" s="8" t="s">
        <v>71</v>
      </c>
      <c r="H25" s="8" t="s">
        <v>170</v>
      </c>
      <c r="I25" s="8" t="s">
        <v>304</v>
      </c>
      <c r="J25" s="8" t="s">
        <v>125</v>
      </c>
      <c r="K25" s="8" t="s">
        <v>215</v>
      </c>
      <c r="L25" s="8" t="s">
        <v>43</v>
      </c>
      <c r="M25" s="8">
        <v>46207</v>
      </c>
      <c r="N25" s="8"/>
      <c r="O25" s="8" t="s">
        <v>55</v>
      </c>
      <c r="P25" s="8">
        <v>0.6</v>
      </c>
      <c r="Q25" s="8" t="s">
        <v>166</v>
      </c>
      <c r="R25" s="8" t="s">
        <v>150</v>
      </c>
      <c r="S25" s="8"/>
      <c r="T25" s="8" t="s">
        <v>33</v>
      </c>
      <c r="U25" s="8" t="s">
        <v>50</v>
      </c>
      <c r="V25" s="8" t="s">
        <v>151</v>
      </c>
      <c r="W25" s="8">
        <v>600000</v>
      </c>
      <c r="X25" s="8">
        <v>0</v>
      </c>
      <c r="Y25" s="8" t="s">
        <v>168</v>
      </c>
      <c r="Z25" s="8" t="s">
        <v>184</v>
      </c>
      <c r="AA25" s="8">
        <v>16</v>
      </c>
      <c r="AB25" s="8" t="s">
        <v>202</v>
      </c>
      <c r="AC25" s="8">
        <v>0</v>
      </c>
      <c r="AD25" s="8" t="s">
        <v>195</v>
      </c>
      <c r="AE25" s="9" t="s">
        <v>191</v>
      </c>
    </row>
    <row r="26" spans="1:31" ht="45">
      <c r="A26" s="7" t="s">
        <v>378</v>
      </c>
      <c r="B26" s="8">
        <v>2026</v>
      </c>
      <c r="C26" s="8">
        <v>46163</v>
      </c>
      <c r="D26" s="8" t="s">
        <v>64</v>
      </c>
      <c r="E26" s="8" t="s">
        <v>65</v>
      </c>
      <c r="F26" s="8" t="s">
        <v>38</v>
      </c>
      <c r="G26" s="8" t="s">
        <v>60</v>
      </c>
      <c r="H26" s="8" t="s">
        <v>123</v>
      </c>
      <c r="I26" s="8" t="s">
        <v>201</v>
      </c>
      <c r="J26" s="8" t="s">
        <v>149</v>
      </c>
      <c r="K26" s="8" t="s">
        <v>178</v>
      </c>
      <c r="L26" s="8" t="s">
        <v>88</v>
      </c>
      <c r="M26" s="8">
        <v>46178</v>
      </c>
      <c r="N26" s="8">
        <v>46180</v>
      </c>
      <c r="O26" s="8" t="s">
        <v>48</v>
      </c>
      <c r="P26" s="8">
        <v>1</v>
      </c>
      <c r="Q26" s="8" t="s">
        <v>132</v>
      </c>
      <c r="R26" s="8" t="s">
        <v>150</v>
      </c>
      <c r="S26" s="8">
        <v>46187</v>
      </c>
      <c r="T26" s="8" t="s">
        <v>33</v>
      </c>
      <c r="U26" s="8" t="s">
        <v>50</v>
      </c>
      <c r="V26" s="8" t="s">
        <v>167</v>
      </c>
      <c r="W26" s="8">
        <v>380000</v>
      </c>
      <c r="X26" s="8">
        <v>421282</v>
      </c>
      <c r="Y26" s="8" t="s">
        <v>152</v>
      </c>
      <c r="Z26" s="8" t="s">
        <v>142</v>
      </c>
      <c r="AA26" s="8">
        <v>17</v>
      </c>
      <c r="AB26" s="8" t="s">
        <v>127</v>
      </c>
      <c r="AC26" s="8">
        <v>0</v>
      </c>
      <c r="AD26" s="8" t="s">
        <v>195</v>
      </c>
      <c r="AE26" s="9" t="s">
        <v>191</v>
      </c>
    </row>
    <row r="27" spans="1:31" ht="30">
      <c r="A27" s="7" t="s">
        <v>379</v>
      </c>
      <c r="B27" s="8">
        <v>2026</v>
      </c>
      <c r="C27" s="8">
        <v>46164</v>
      </c>
      <c r="D27" s="8" t="s">
        <v>69</v>
      </c>
      <c r="E27" s="8" t="s">
        <v>37</v>
      </c>
      <c r="F27" s="8" t="s">
        <v>46</v>
      </c>
      <c r="G27" s="8" t="s">
        <v>91</v>
      </c>
      <c r="H27" s="8" t="s">
        <v>159</v>
      </c>
      <c r="I27" s="8" t="s">
        <v>282</v>
      </c>
      <c r="J27" s="8" t="s">
        <v>155</v>
      </c>
      <c r="K27" s="8" t="s">
        <v>156</v>
      </c>
      <c r="L27" s="8" t="s">
        <v>88</v>
      </c>
      <c r="M27" s="8">
        <v>46194</v>
      </c>
      <c r="N27" s="8">
        <v>46198</v>
      </c>
      <c r="O27" s="8" t="s">
        <v>48</v>
      </c>
      <c r="P27" s="8">
        <v>1</v>
      </c>
      <c r="Q27" s="8" t="s">
        <v>132</v>
      </c>
      <c r="R27" s="8" t="s">
        <v>35</v>
      </c>
      <c r="S27" s="8">
        <v>46201</v>
      </c>
      <c r="T27" s="8" t="s">
        <v>33</v>
      </c>
      <c r="U27" s="8" t="s">
        <v>77</v>
      </c>
      <c r="V27" s="8" t="s">
        <v>151</v>
      </c>
      <c r="W27" s="8">
        <v>380000</v>
      </c>
      <c r="X27" s="8">
        <v>319799</v>
      </c>
      <c r="Y27" s="8" t="s">
        <v>189</v>
      </c>
      <c r="Z27" s="8" t="s">
        <v>142</v>
      </c>
      <c r="AA27" s="8">
        <v>34</v>
      </c>
      <c r="AB27" s="8" t="s">
        <v>127</v>
      </c>
      <c r="AC27" s="8">
        <v>0</v>
      </c>
      <c r="AD27" s="8" t="s">
        <v>195</v>
      </c>
      <c r="AE27" s="9" t="s">
        <v>191</v>
      </c>
    </row>
    <row r="28" spans="1:31" ht="45">
      <c r="A28" s="7" t="s">
        <v>380</v>
      </c>
      <c r="B28" s="8">
        <v>2026</v>
      </c>
      <c r="C28" s="8">
        <v>46167</v>
      </c>
      <c r="D28" s="8" t="s">
        <v>84</v>
      </c>
      <c r="E28" s="8" t="s">
        <v>59</v>
      </c>
      <c r="F28" s="8" t="s">
        <v>30</v>
      </c>
      <c r="G28" s="8" t="s">
        <v>91</v>
      </c>
      <c r="H28" s="8" t="s">
        <v>159</v>
      </c>
      <c r="I28" s="8" t="s">
        <v>212</v>
      </c>
      <c r="J28" s="8" t="s">
        <v>125</v>
      </c>
      <c r="K28" s="8" t="s">
        <v>249</v>
      </c>
      <c r="L28" s="8" t="s">
        <v>78</v>
      </c>
      <c r="M28" s="8">
        <v>46182</v>
      </c>
      <c r="N28" s="8">
        <v>46179</v>
      </c>
      <c r="O28" s="8" t="s">
        <v>48</v>
      </c>
      <c r="P28" s="8">
        <v>1</v>
      </c>
      <c r="Q28" s="8" t="s">
        <v>132</v>
      </c>
      <c r="R28" s="8" t="s">
        <v>35</v>
      </c>
      <c r="S28" s="8">
        <v>46189</v>
      </c>
      <c r="T28" s="8" t="s">
        <v>41</v>
      </c>
      <c r="U28" s="8" t="s">
        <v>67</v>
      </c>
      <c r="V28" s="8" t="s">
        <v>151</v>
      </c>
      <c r="W28" s="8">
        <v>250000</v>
      </c>
      <c r="X28" s="8">
        <v>263392</v>
      </c>
      <c r="Y28" s="8" t="s">
        <v>130</v>
      </c>
      <c r="Z28" s="8" t="s">
        <v>210</v>
      </c>
      <c r="AA28" s="8">
        <v>12</v>
      </c>
      <c r="AB28" s="8" t="s">
        <v>132</v>
      </c>
      <c r="AC28" s="8">
        <v>0</v>
      </c>
      <c r="AD28" s="8" t="s">
        <v>195</v>
      </c>
      <c r="AE28" s="9" t="s">
        <v>191</v>
      </c>
    </row>
    <row r="29" spans="1:31" ht="45">
      <c r="A29" s="7" t="s">
        <v>381</v>
      </c>
      <c r="B29" s="8">
        <v>2026</v>
      </c>
      <c r="C29" s="8">
        <v>46168</v>
      </c>
      <c r="D29" s="8" t="s">
        <v>89</v>
      </c>
      <c r="E29" s="8" t="s">
        <v>80</v>
      </c>
      <c r="F29" s="8" t="s">
        <v>30</v>
      </c>
      <c r="G29" s="8" t="s">
        <v>54</v>
      </c>
      <c r="H29" s="8" t="s">
        <v>164</v>
      </c>
      <c r="I29" s="8" t="s">
        <v>289</v>
      </c>
      <c r="J29" s="8" t="s">
        <v>155</v>
      </c>
      <c r="K29" s="8" t="s">
        <v>161</v>
      </c>
      <c r="L29" s="8" t="s">
        <v>68</v>
      </c>
      <c r="M29" s="8">
        <v>46198</v>
      </c>
      <c r="N29" s="8">
        <v>46198</v>
      </c>
      <c r="O29" s="8" t="s">
        <v>48</v>
      </c>
      <c r="P29" s="8">
        <v>1</v>
      </c>
      <c r="Q29" s="8" t="s">
        <v>132</v>
      </c>
      <c r="R29" s="8" t="s">
        <v>35</v>
      </c>
      <c r="S29" s="8">
        <v>46213</v>
      </c>
      <c r="T29" s="8" t="s">
        <v>49</v>
      </c>
      <c r="U29" s="8" t="s">
        <v>34</v>
      </c>
      <c r="V29" s="8" t="s">
        <v>129</v>
      </c>
      <c r="W29" s="8">
        <v>1200000</v>
      </c>
      <c r="X29" s="8">
        <v>1186615</v>
      </c>
      <c r="Y29" s="8" t="s">
        <v>189</v>
      </c>
      <c r="Z29" s="8" t="s">
        <v>210</v>
      </c>
      <c r="AA29" s="8">
        <v>30</v>
      </c>
      <c r="AB29" s="8" t="s">
        <v>132</v>
      </c>
      <c r="AC29" s="8">
        <v>0</v>
      </c>
      <c r="AD29" s="8" t="s">
        <v>195</v>
      </c>
      <c r="AE29" s="9" t="s">
        <v>191</v>
      </c>
    </row>
    <row r="30" spans="1:31" ht="45">
      <c r="A30" s="10" t="s">
        <v>382</v>
      </c>
      <c r="B30" s="11">
        <v>2026</v>
      </c>
      <c r="C30" s="11">
        <v>46168</v>
      </c>
      <c r="D30" s="11" t="s">
        <v>74</v>
      </c>
      <c r="E30" s="11" t="s">
        <v>80</v>
      </c>
      <c r="F30" s="11" t="s">
        <v>30</v>
      </c>
      <c r="G30" s="11" t="s">
        <v>66</v>
      </c>
      <c r="H30" s="11" t="s">
        <v>123</v>
      </c>
      <c r="I30" s="11" t="s">
        <v>289</v>
      </c>
      <c r="J30" s="11" t="s">
        <v>155</v>
      </c>
      <c r="K30" s="11" t="s">
        <v>145</v>
      </c>
      <c r="L30" s="11" t="s">
        <v>57</v>
      </c>
      <c r="M30" s="11">
        <v>46228</v>
      </c>
      <c r="N30" s="11">
        <v>46206</v>
      </c>
      <c r="O30" s="11" t="s">
        <v>48</v>
      </c>
      <c r="P30" s="11">
        <v>1</v>
      </c>
      <c r="Q30" s="11" t="s">
        <v>132</v>
      </c>
      <c r="R30" s="11" t="s">
        <v>150</v>
      </c>
      <c r="S30" s="11">
        <v>46221</v>
      </c>
      <c r="T30" s="11" t="s">
        <v>33</v>
      </c>
      <c r="U30" s="11" t="s">
        <v>50</v>
      </c>
      <c r="V30" s="11" t="s">
        <v>140</v>
      </c>
      <c r="W30" s="11">
        <v>600000</v>
      </c>
      <c r="X30" s="11">
        <v>592204</v>
      </c>
      <c r="Y30" s="11" t="s">
        <v>141</v>
      </c>
      <c r="Z30" s="11" t="s">
        <v>210</v>
      </c>
      <c r="AA30" s="11">
        <v>38</v>
      </c>
      <c r="AB30" s="11" t="s">
        <v>132</v>
      </c>
      <c r="AC30" s="11">
        <v>0</v>
      </c>
      <c r="AD30" s="11" t="s">
        <v>195</v>
      </c>
      <c r="AE30" s="12" t="s">
        <v>191</v>
      </c>
    </row>
  </sheetData>
  <mergeCells count="2">
    <mergeCell ref="A1:AE1"/>
    <mergeCell ref="A2:AE2"/>
  </mergeCells>
  <conditionalFormatting sqref="O5:O30">
    <cfRule type="expression" dxfId="15" priority="1">
      <formula>O5="Cerrada"</formula>
    </cfRule>
    <cfRule type="expression" dxfId="14" priority="2">
      <formula>O5="En progreso"</formula>
    </cfRule>
    <cfRule type="expression" dxfId="13" priority="3">
      <formula>O5="Vencida"</formula>
    </cfRule>
    <cfRule type="expression" dxfId="12" priority="4">
      <formula>O5="Abierta"</formula>
    </cfRule>
    <cfRule type="expression" dxfId="11" priority="5">
      <formula>O5="Cancelada"</formula>
    </cfRule>
  </conditionalFormatting>
  <conditionalFormatting sqref="T5:T30">
    <cfRule type="expression" dxfId="10" priority="6">
      <formula>T5="Alta"</formula>
    </cfRule>
    <cfRule type="expression" dxfId="9" priority="7">
      <formula>T5="Media"</formula>
    </cfRule>
    <cfRule type="expression" dxfId="8" priority="8">
      <formula>T5="Baja"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60"/>
  <sheetViews>
    <sheetView topLeftCell="L2" workbookViewId="0">
      <selection sqref="A1:AE1"/>
    </sheetView>
  </sheetViews>
  <sheetFormatPr baseColWidth="10" defaultColWidth="8.83203125" defaultRowHeight="14"/>
  <cols>
    <col min="1" max="1" width="14" customWidth="1"/>
    <col min="2" max="2" width="8" customWidth="1"/>
    <col min="3" max="3" width="12" customWidth="1"/>
    <col min="4" max="4" width="14" customWidth="1"/>
    <col min="5" max="5" width="18" customWidth="1"/>
    <col min="6" max="6" width="12" customWidth="1"/>
    <col min="7" max="8" width="18" customWidth="1"/>
    <col min="9" max="9" width="34" customWidth="1"/>
    <col min="10" max="10" width="26" customWidth="1"/>
    <col min="11" max="11" width="30" customWidth="1"/>
    <col min="12" max="12" width="18" customWidth="1"/>
    <col min="13" max="14" width="12" customWidth="1"/>
    <col min="15" max="15" width="13" customWidth="1"/>
    <col min="16" max="16" width="10" customWidth="1"/>
    <col min="17" max="17" width="16" customWidth="1"/>
    <col min="18" max="18" width="18" customWidth="1"/>
    <col min="19" max="19" width="12" customWidth="1"/>
    <col min="20" max="20" width="10" customWidth="1"/>
    <col min="21" max="21" width="14" customWidth="1"/>
    <col min="22" max="22" width="16" customWidth="1"/>
    <col min="23" max="24" width="14" customWidth="1"/>
    <col min="25" max="25" width="22" customWidth="1"/>
    <col min="26" max="26" width="26" customWidth="1"/>
    <col min="27" max="29" width="12" customWidth="1"/>
    <col min="30" max="31" width="10" customWidth="1"/>
  </cols>
  <sheetData>
    <row r="1" spans="1:31" ht="32" customHeight="1">
      <c r="A1" s="29" t="s">
        <v>383</v>
      </c>
      <c r="B1" s="30"/>
      <c r="C1" s="32"/>
      <c r="D1" s="30"/>
      <c r="E1" s="30"/>
      <c r="F1" s="30"/>
      <c r="G1" s="30"/>
      <c r="H1" s="30"/>
      <c r="I1" s="30"/>
      <c r="J1" s="30"/>
      <c r="K1" s="30"/>
      <c r="L1" s="30"/>
      <c r="M1" s="32"/>
      <c r="N1" s="32"/>
      <c r="O1" s="30"/>
      <c r="P1" s="33"/>
      <c r="Q1" s="30"/>
      <c r="R1" s="30"/>
      <c r="S1" s="32"/>
      <c r="T1" s="30"/>
      <c r="U1" s="30"/>
      <c r="V1" s="30"/>
      <c r="W1" s="34"/>
      <c r="X1" s="34"/>
      <c r="Y1" s="30"/>
      <c r="Z1" s="30"/>
      <c r="AA1" s="35"/>
      <c r="AB1" s="35"/>
      <c r="AC1" s="35"/>
      <c r="AD1" s="30"/>
      <c r="AE1" s="30"/>
    </row>
    <row r="2" spans="1:31" ht="26.75" customHeight="1">
      <c r="A2" s="31" t="s">
        <v>121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4" spans="1:31" ht="50.75" customHeight="1">
      <c r="A4" s="1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</v>
      </c>
      <c r="G4" s="2" t="s">
        <v>24</v>
      </c>
      <c r="H4" s="2" t="s">
        <v>101</v>
      </c>
      <c r="I4" s="2" t="s">
        <v>102</v>
      </c>
      <c r="J4" s="2" t="s">
        <v>103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12</v>
      </c>
      <c r="P4" s="2" t="s">
        <v>108</v>
      </c>
      <c r="Q4" s="2" t="s">
        <v>16</v>
      </c>
      <c r="R4" s="2" t="s">
        <v>109</v>
      </c>
      <c r="S4" s="2" t="s">
        <v>110</v>
      </c>
      <c r="T4" s="2" t="s">
        <v>25</v>
      </c>
      <c r="U4" s="2" t="s">
        <v>26</v>
      </c>
      <c r="V4" s="2" t="s">
        <v>111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14</v>
      </c>
      <c r="AC4" s="2" t="s">
        <v>117</v>
      </c>
      <c r="AD4" s="2" t="s">
        <v>118</v>
      </c>
      <c r="AE4" s="3" t="s">
        <v>119</v>
      </c>
    </row>
    <row r="5" spans="1:31" ht="45">
      <c r="A5" s="4" t="s">
        <v>122</v>
      </c>
      <c r="B5" s="5">
        <v>2023</v>
      </c>
      <c r="C5" s="5">
        <v>44939</v>
      </c>
      <c r="D5" s="5" t="s">
        <v>79</v>
      </c>
      <c r="E5" s="5" t="s">
        <v>80</v>
      </c>
      <c r="F5" s="5" t="s">
        <v>30</v>
      </c>
      <c r="G5" s="5" t="s">
        <v>92</v>
      </c>
      <c r="H5" s="5" t="s">
        <v>123</v>
      </c>
      <c r="I5" s="5" t="s">
        <v>124</v>
      </c>
      <c r="J5" s="5" t="s">
        <v>125</v>
      </c>
      <c r="K5" s="5" t="s">
        <v>126</v>
      </c>
      <c r="L5" s="5" t="s">
        <v>73</v>
      </c>
      <c r="M5" s="5">
        <v>44959</v>
      </c>
      <c r="N5" s="5">
        <v>44959</v>
      </c>
      <c r="O5" s="5" t="s">
        <v>48</v>
      </c>
      <c r="P5" s="5">
        <v>1</v>
      </c>
      <c r="Q5" s="5" t="s">
        <v>127</v>
      </c>
      <c r="R5" s="5" t="s">
        <v>128</v>
      </c>
      <c r="S5" s="5">
        <v>44974</v>
      </c>
      <c r="T5" s="5" t="s">
        <v>33</v>
      </c>
      <c r="U5" s="5" t="s">
        <v>77</v>
      </c>
      <c r="V5" s="5" t="s">
        <v>129</v>
      </c>
      <c r="W5" s="5">
        <v>250000</v>
      </c>
      <c r="X5" s="5">
        <v>195894</v>
      </c>
      <c r="Y5" s="5" t="s">
        <v>130</v>
      </c>
      <c r="Z5" s="5" t="s">
        <v>131</v>
      </c>
      <c r="AA5" s="5">
        <v>20</v>
      </c>
      <c r="AB5" s="5" t="s">
        <v>132</v>
      </c>
      <c r="AC5" s="5">
        <v>0</v>
      </c>
      <c r="AD5" s="5" t="s">
        <v>133</v>
      </c>
      <c r="AE5" s="6" t="s">
        <v>134</v>
      </c>
    </row>
    <row r="6" spans="1:31" ht="45">
      <c r="A6" s="7" t="s">
        <v>135</v>
      </c>
      <c r="B6" s="8">
        <v>2023</v>
      </c>
      <c r="C6" s="8">
        <v>44949</v>
      </c>
      <c r="D6" s="8" t="s">
        <v>64</v>
      </c>
      <c r="E6" s="8" t="s">
        <v>70</v>
      </c>
      <c r="F6" s="8" t="s">
        <v>38</v>
      </c>
      <c r="G6" s="8" t="s">
        <v>86</v>
      </c>
      <c r="H6" s="8" t="s">
        <v>136</v>
      </c>
      <c r="I6" s="8" t="s">
        <v>137</v>
      </c>
      <c r="J6" s="8" t="s">
        <v>138</v>
      </c>
      <c r="K6" s="8" t="s">
        <v>139</v>
      </c>
      <c r="L6" s="8" t="s">
        <v>57</v>
      </c>
      <c r="M6" s="8">
        <v>44979</v>
      </c>
      <c r="N6" s="8">
        <v>44978</v>
      </c>
      <c r="O6" s="8" t="s">
        <v>48</v>
      </c>
      <c r="P6" s="8">
        <v>1</v>
      </c>
      <c r="Q6" s="8" t="s">
        <v>132</v>
      </c>
      <c r="R6" s="8" t="s">
        <v>86</v>
      </c>
      <c r="S6" s="8">
        <v>44985</v>
      </c>
      <c r="T6" s="8" t="s">
        <v>49</v>
      </c>
      <c r="U6" s="8" t="s">
        <v>72</v>
      </c>
      <c r="V6" s="8" t="s">
        <v>140</v>
      </c>
      <c r="W6" s="8">
        <v>1200000</v>
      </c>
      <c r="X6" s="8">
        <v>1199114</v>
      </c>
      <c r="Y6" s="8" t="s">
        <v>141</v>
      </c>
      <c r="Z6" s="8" t="s">
        <v>142</v>
      </c>
      <c r="AA6" s="8">
        <v>29</v>
      </c>
      <c r="AB6" s="8" t="s">
        <v>132</v>
      </c>
      <c r="AC6" s="8">
        <v>0</v>
      </c>
      <c r="AD6" s="8" t="s">
        <v>133</v>
      </c>
      <c r="AE6" s="9" t="s">
        <v>134</v>
      </c>
    </row>
    <row r="7" spans="1:31" ht="45">
      <c r="A7" s="7" t="s">
        <v>143</v>
      </c>
      <c r="B7" s="8">
        <v>2023</v>
      </c>
      <c r="C7" s="8">
        <v>44950</v>
      </c>
      <c r="D7" s="8" t="s">
        <v>69</v>
      </c>
      <c r="E7" s="8" t="s">
        <v>80</v>
      </c>
      <c r="F7" s="8" t="s">
        <v>30</v>
      </c>
      <c r="G7" s="8" t="s">
        <v>90</v>
      </c>
      <c r="H7" s="8" t="s">
        <v>123</v>
      </c>
      <c r="I7" s="8" t="s">
        <v>124</v>
      </c>
      <c r="J7" s="8" t="s">
        <v>144</v>
      </c>
      <c r="K7" s="8" t="s">
        <v>145</v>
      </c>
      <c r="L7" s="8" t="s">
        <v>35</v>
      </c>
      <c r="M7" s="8">
        <v>44970</v>
      </c>
      <c r="N7" s="8">
        <v>44973</v>
      </c>
      <c r="O7" s="8" t="s">
        <v>48</v>
      </c>
      <c r="P7" s="8">
        <v>1</v>
      </c>
      <c r="Q7" s="8" t="s">
        <v>132</v>
      </c>
      <c r="R7" s="8" t="s">
        <v>128</v>
      </c>
      <c r="S7" s="8">
        <v>44980</v>
      </c>
      <c r="T7" s="8" t="s">
        <v>33</v>
      </c>
      <c r="U7" s="8" t="s">
        <v>56</v>
      </c>
      <c r="V7" s="8" t="s">
        <v>146</v>
      </c>
      <c r="W7" s="8">
        <v>380000</v>
      </c>
      <c r="X7" s="8">
        <v>375445</v>
      </c>
      <c r="Y7" s="8" t="s">
        <v>141</v>
      </c>
      <c r="Z7" s="8" t="s">
        <v>131</v>
      </c>
      <c r="AA7" s="8">
        <v>23</v>
      </c>
      <c r="AB7" s="8" t="s">
        <v>127</v>
      </c>
      <c r="AC7" s="8">
        <v>0</v>
      </c>
      <c r="AD7" s="8" t="s">
        <v>133</v>
      </c>
      <c r="AE7" s="9" t="s">
        <v>134</v>
      </c>
    </row>
    <row r="8" spans="1:31" ht="45">
      <c r="A8" s="7" t="s">
        <v>147</v>
      </c>
      <c r="B8" s="8">
        <v>2023</v>
      </c>
      <c r="C8" s="8">
        <v>44952</v>
      </c>
      <c r="D8" s="8" t="s">
        <v>69</v>
      </c>
      <c r="E8" s="8" t="s">
        <v>59</v>
      </c>
      <c r="F8" s="8" t="s">
        <v>30</v>
      </c>
      <c r="G8" s="8" t="s">
        <v>90</v>
      </c>
      <c r="H8" s="8" t="s">
        <v>123</v>
      </c>
      <c r="I8" s="8" t="s">
        <v>148</v>
      </c>
      <c r="J8" s="8" t="s">
        <v>149</v>
      </c>
      <c r="K8" s="8" t="s">
        <v>126</v>
      </c>
      <c r="L8" s="8" t="s">
        <v>35</v>
      </c>
      <c r="M8" s="8">
        <v>44972</v>
      </c>
      <c r="N8" s="8">
        <v>44962</v>
      </c>
      <c r="O8" s="8" t="s">
        <v>48</v>
      </c>
      <c r="P8" s="8">
        <v>1</v>
      </c>
      <c r="Q8" s="8" t="s">
        <v>132</v>
      </c>
      <c r="R8" s="8" t="s">
        <v>150</v>
      </c>
      <c r="S8" s="8">
        <v>44972</v>
      </c>
      <c r="T8" s="8" t="s">
        <v>41</v>
      </c>
      <c r="U8" s="8" t="s">
        <v>67</v>
      </c>
      <c r="V8" s="8" t="s">
        <v>151</v>
      </c>
      <c r="W8" s="8">
        <v>2500000</v>
      </c>
      <c r="X8" s="8">
        <v>2017871</v>
      </c>
      <c r="Y8" s="8" t="s">
        <v>152</v>
      </c>
      <c r="Z8" s="8" t="s">
        <v>131</v>
      </c>
      <c r="AA8" s="8">
        <v>10</v>
      </c>
      <c r="AB8" s="8" t="s">
        <v>132</v>
      </c>
      <c r="AC8" s="8">
        <v>0</v>
      </c>
      <c r="AD8" s="8" t="s">
        <v>133</v>
      </c>
      <c r="AE8" s="9" t="s">
        <v>134</v>
      </c>
    </row>
    <row r="9" spans="1:31" ht="45">
      <c r="A9" s="7" t="s">
        <v>153</v>
      </c>
      <c r="B9" s="8">
        <v>2023</v>
      </c>
      <c r="C9" s="8">
        <v>44959</v>
      </c>
      <c r="D9" s="8" t="s">
        <v>28</v>
      </c>
      <c r="E9" s="8" t="s">
        <v>85</v>
      </c>
      <c r="F9" s="8" t="s">
        <v>38</v>
      </c>
      <c r="G9" s="8" t="s">
        <v>81</v>
      </c>
      <c r="H9" s="8" t="s">
        <v>123</v>
      </c>
      <c r="I9" s="8" t="s">
        <v>154</v>
      </c>
      <c r="J9" s="8" t="s">
        <v>155</v>
      </c>
      <c r="K9" s="8" t="s">
        <v>156</v>
      </c>
      <c r="L9" s="8" t="s">
        <v>35</v>
      </c>
      <c r="M9" s="8">
        <v>44979</v>
      </c>
      <c r="N9" s="8">
        <v>44974</v>
      </c>
      <c r="O9" s="8" t="s">
        <v>48</v>
      </c>
      <c r="P9" s="8">
        <v>1</v>
      </c>
      <c r="Q9" s="8" t="s">
        <v>132</v>
      </c>
      <c r="R9" s="8" t="s">
        <v>35</v>
      </c>
      <c r="S9" s="8">
        <v>44989</v>
      </c>
      <c r="T9" s="8" t="s">
        <v>33</v>
      </c>
      <c r="U9" s="8" t="s">
        <v>34</v>
      </c>
      <c r="V9" s="8" t="s">
        <v>151</v>
      </c>
      <c r="W9" s="8">
        <v>600000</v>
      </c>
      <c r="X9" s="8">
        <v>638308</v>
      </c>
      <c r="Y9" s="8" t="s">
        <v>130</v>
      </c>
      <c r="Z9" s="8" t="s">
        <v>131</v>
      </c>
      <c r="AA9" s="8">
        <v>15</v>
      </c>
      <c r="AB9" s="8" t="s">
        <v>132</v>
      </c>
      <c r="AC9" s="8">
        <v>0</v>
      </c>
      <c r="AD9" s="8" t="s">
        <v>157</v>
      </c>
      <c r="AE9" s="9" t="s">
        <v>134</v>
      </c>
    </row>
    <row r="10" spans="1:31" ht="45">
      <c r="A10" s="7" t="s">
        <v>158</v>
      </c>
      <c r="B10" s="8">
        <v>2023</v>
      </c>
      <c r="C10" s="8">
        <v>44964</v>
      </c>
      <c r="D10" s="8" t="s">
        <v>79</v>
      </c>
      <c r="E10" s="8" t="s">
        <v>45</v>
      </c>
      <c r="F10" s="8" t="s">
        <v>38</v>
      </c>
      <c r="G10" s="8" t="s">
        <v>54</v>
      </c>
      <c r="H10" s="8" t="s">
        <v>159</v>
      </c>
      <c r="I10" s="8" t="s">
        <v>160</v>
      </c>
      <c r="J10" s="8" t="s">
        <v>125</v>
      </c>
      <c r="K10" s="8" t="s">
        <v>161</v>
      </c>
      <c r="L10" s="8" t="s">
        <v>83</v>
      </c>
      <c r="M10" s="8">
        <v>44984</v>
      </c>
      <c r="N10" s="8">
        <v>44977</v>
      </c>
      <c r="O10" s="8" t="s">
        <v>48</v>
      </c>
      <c r="P10" s="8">
        <v>1</v>
      </c>
      <c r="Q10" s="8" t="s">
        <v>132</v>
      </c>
      <c r="R10" s="8" t="s">
        <v>35</v>
      </c>
      <c r="S10" s="8">
        <v>44984</v>
      </c>
      <c r="T10" s="8" t="s">
        <v>41</v>
      </c>
      <c r="U10" s="8" t="s">
        <v>62</v>
      </c>
      <c r="V10" s="8" t="s">
        <v>140</v>
      </c>
      <c r="W10" s="8">
        <v>850000</v>
      </c>
      <c r="X10" s="8">
        <v>874621</v>
      </c>
      <c r="Y10" s="8" t="s">
        <v>152</v>
      </c>
      <c r="Z10" s="8" t="s">
        <v>162</v>
      </c>
      <c r="AA10" s="8">
        <v>13</v>
      </c>
      <c r="AB10" s="8" t="s">
        <v>132</v>
      </c>
      <c r="AC10" s="8">
        <v>0</v>
      </c>
      <c r="AD10" s="8" t="s">
        <v>157</v>
      </c>
      <c r="AE10" s="9" t="s">
        <v>134</v>
      </c>
    </row>
    <row r="11" spans="1:31" ht="45">
      <c r="A11" s="7" t="s">
        <v>163</v>
      </c>
      <c r="B11" s="8">
        <v>2023</v>
      </c>
      <c r="C11" s="8">
        <v>44969</v>
      </c>
      <c r="D11" s="8" t="s">
        <v>44</v>
      </c>
      <c r="E11" s="8" t="s">
        <v>65</v>
      </c>
      <c r="F11" s="8" t="s">
        <v>38</v>
      </c>
      <c r="G11" s="8" t="s">
        <v>92</v>
      </c>
      <c r="H11" s="8" t="s">
        <v>164</v>
      </c>
      <c r="I11" s="8" t="s">
        <v>165</v>
      </c>
      <c r="J11" s="8" t="s">
        <v>144</v>
      </c>
      <c r="K11" s="8" t="s">
        <v>156</v>
      </c>
      <c r="L11" s="8" t="s">
        <v>78</v>
      </c>
      <c r="M11" s="8">
        <v>44989</v>
      </c>
      <c r="N11" s="8">
        <v>44984</v>
      </c>
      <c r="O11" s="8" t="s">
        <v>48</v>
      </c>
      <c r="P11" s="8">
        <v>1</v>
      </c>
      <c r="Q11" s="8" t="s">
        <v>166</v>
      </c>
      <c r="R11" s="8" t="s">
        <v>43</v>
      </c>
      <c r="S11" s="8"/>
      <c r="T11" s="8" t="s">
        <v>41</v>
      </c>
      <c r="U11" s="8" t="s">
        <v>34</v>
      </c>
      <c r="V11" s="8" t="s">
        <v>167</v>
      </c>
      <c r="W11" s="8">
        <v>380000</v>
      </c>
      <c r="X11" s="8">
        <v>433653</v>
      </c>
      <c r="Y11" s="8" t="s">
        <v>168</v>
      </c>
      <c r="Z11" s="8" t="s">
        <v>131</v>
      </c>
      <c r="AA11" s="8">
        <v>15</v>
      </c>
      <c r="AB11" s="8" t="s">
        <v>132</v>
      </c>
      <c r="AC11" s="8">
        <v>0</v>
      </c>
      <c r="AD11" s="8" t="s">
        <v>157</v>
      </c>
      <c r="AE11" s="9" t="s">
        <v>134</v>
      </c>
    </row>
    <row r="12" spans="1:31" ht="45">
      <c r="A12" s="7" t="s">
        <v>169</v>
      </c>
      <c r="B12" s="8">
        <v>2023</v>
      </c>
      <c r="C12" s="8">
        <v>44970</v>
      </c>
      <c r="D12" s="8" t="s">
        <v>84</v>
      </c>
      <c r="E12" s="8" t="s">
        <v>53</v>
      </c>
      <c r="F12" s="8" t="s">
        <v>46</v>
      </c>
      <c r="G12" s="8" t="s">
        <v>91</v>
      </c>
      <c r="H12" s="8" t="s">
        <v>170</v>
      </c>
      <c r="I12" s="8" t="s">
        <v>171</v>
      </c>
      <c r="J12" s="8" t="s">
        <v>172</v>
      </c>
      <c r="K12" s="8" t="s">
        <v>139</v>
      </c>
      <c r="L12" s="8" t="s">
        <v>43</v>
      </c>
      <c r="M12" s="8">
        <v>44990</v>
      </c>
      <c r="N12" s="8">
        <v>44989</v>
      </c>
      <c r="O12" s="8" t="s">
        <v>48</v>
      </c>
      <c r="P12" s="8">
        <v>1</v>
      </c>
      <c r="Q12" s="8" t="s">
        <v>132</v>
      </c>
      <c r="R12" s="8" t="s">
        <v>128</v>
      </c>
      <c r="S12" s="8">
        <v>44999</v>
      </c>
      <c r="T12" s="8" t="s">
        <v>41</v>
      </c>
      <c r="U12" s="8" t="s">
        <v>56</v>
      </c>
      <c r="V12" s="8" t="s">
        <v>151</v>
      </c>
      <c r="W12" s="8">
        <v>450000</v>
      </c>
      <c r="X12" s="8">
        <v>433645</v>
      </c>
      <c r="Y12" s="8" t="s">
        <v>152</v>
      </c>
      <c r="Z12" s="8" t="s">
        <v>131</v>
      </c>
      <c r="AA12" s="8">
        <v>19</v>
      </c>
      <c r="AB12" s="8" t="s">
        <v>132</v>
      </c>
      <c r="AC12" s="8">
        <v>0</v>
      </c>
      <c r="AD12" s="8" t="s">
        <v>157</v>
      </c>
      <c r="AE12" s="9" t="s">
        <v>134</v>
      </c>
    </row>
    <row r="13" spans="1:31" ht="45">
      <c r="A13" s="7" t="s">
        <v>173</v>
      </c>
      <c r="B13" s="8">
        <v>2023</v>
      </c>
      <c r="C13" s="8">
        <v>44976</v>
      </c>
      <c r="D13" s="8" t="s">
        <v>89</v>
      </c>
      <c r="E13" s="8" t="s">
        <v>37</v>
      </c>
      <c r="F13" s="8" t="s">
        <v>30</v>
      </c>
      <c r="G13" s="8" t="s">
        <v>31</v>
      </c>
      <c r="H13" s="8" t="s">
        <v>123</v>
      </c>
      <c r="I13" s="8" t="s">
        <v>174</v>
      </c>
      <c r="J13" s="8" t="s">
        <v>175</v>
      </c>
      <c r="K13" s="8" t="s">
        <v>126</v>
      </c>
      <c r="L13" s="8" t="s">
        <v>43</v>
      </c>
      <c r="M13" s="8">
        <v>45006</v>
      </c>
      <c r="N13" s="8">
        <v>44990</v>
      </c>
      <c r="O13" s="8" t="s">
        <v>48</v>
      </c>
      <c r="P13" s="8">
        <v>1</v>
      </c>
      <c r="Q13" s="8" t="s">
        <v>132</v>
      </c>
      <c r="R13" s="8" t="s">
        <v>43</v>
      </c>
      <c r="S13" s="8">
        <v>44993</v>
      </c>
      <c r="T13" s="8" t="s">
        <v>33</v>
      </c>
      <c r="U13" s="8" t="s">
        <v>56</v>
      </c>
      <c r="V13" s="8" t="s">
        <v>146</v>
      </c>
      <c r="W13" s="8">
        <v>600000</v>
      </c>
      <c r="X13" s="8">
        <v>557810</v>
      </c>
      <c r="Y13" s="8" t="s">
        <v>176</v>
      </c>
      <c r="Z13" s="8" t="s">
        <v>142</v>
      </c>
      <c r="AA13" s="8">
        <v>14</v>
      </c>
      <c r="AB13" s="8" t="s">
        <v>132</v>
      </c>
      <c r="AC13" s="8">
        <v>0</v>
      </c>
      <c r="AD13" s="8" t="s">
        <v>157</v>
      </c>
      <c r="AE13" s="9" t="s">
        <v>134</v>
      </c>
    </row>
    <row r="14" spans="1:31" ht="45">
      <c r="A14" s="7" t="s">
        <v>177</v>
      </c>
      <c r="B14" s="8">
        <v>2023</v>
      </c>
      <c r="C14" s="8">
        <v>44980</v>
      </c>
      <c r="D14" s="8" t="s">
        <v>58</v>
      </c>
      <c r="E14" s="8" t="s">
        <v>53</v>
      </c>
      <c r="F14" s="8" t="s">
        <v>46</v>
      </c>
      <c r="G14" s="8" t="s">
        <v>93</v>
      </c>
      <c r="H14" s="8" t="s">
        <v>170</v>
      </c>
      <c r="I14" s="8" t="s">
        <v>171</v>
      </c>
      <c r="J14" s="8" t="s">
        <v>155</v>
      </c>
      <c r="K14" s="8" t="s">
        <v>178</v>
      </c>
      <c r="L14" s="8" t="s">
        <v>63</v>
      </c>
      <c r="M14" s="8">
        <v>45000</v>
      </c>
      <c r="N14" s="8">
        <v>44998</v>
      </c>
      <c r="O14" s="8" t="s">
        <v>48</v>
      </c>
      <c r="P14" s="8">
        <v>1</v>
      </c>
      <c r="Q14" s="8" t="s">
        <v>132</v>
      </c>
      <c r="R14" s="8" t="s">
        <v>35</v>
      </c>
      <c r="S14" s="8">
        <v>45001</v>
      </c>
      <c r="T14" s="8" t="s">
        <v>41</v>
      </c>
      <c r="U14" s="8" t="s">
        <v>77</v>
      </c>
      <c r="V14" s="8" t="s">
        <v>129</v>
      </c>
      <c r="W14" s="8">
        <v>1800000</v>
      </c>
      <c r="X14" s="8">
        <v>1849643</v>
      </c>
      <c r="Y14" s="8" t="s">
        <v>141</v>
      </c>
      <c r="Z14" s="8" t="s">
        <v>131</v>
      </c>
      <c r="AA14" s="8">
        <v>18</v>
      </c>
      <c r="AB14" s="8" t="s">
        <v>132</v>
      </c>
      <c r="AC14" s="8">
        <v>0</v>
      </c>
      <c r="AD14" s="8" t="s">
        <v>157</v>
      </c>
      <c r="AE14" s="9" t="s">
        <v>134</v>
      </c>
    </row>
    <row r="15" spans="1:31" ht="45">
      <c r="A15" s="7" t="s">
        <v>179</v>
      </c>
      <c r="B15" s="8">
        <v>2023</v>
      </c>
      <c r="C15" s="8">
        <v>44982</v>
      </c>
      <c r="D15" s="8" t="s">
        <v>52</v>
      </c>
      <c r="E15" s="8" t="s">
        <v>37</v>
      </c>
      <c r="F15" s="8" t="s">
        <v>38</v>
      </c>
      <c r="G15" s="8" t="s">
        <v>76</v>
      </c>
      <c r="H15" s="8" t="s">
        <v>164</v>
      </c>
      <c r="I15" s="8" t="s">
        <v>180</v>
      </c>
      <c r="J15" s="8" t="s">
        <v>155</v>
      </c>
      <c r="K15" s="8" t="s">
        <v>126</v>
      </c>
      <c r="L15" s="8" t="s">
        <v>83</v>
      </c>
      <c r="M15" s="8">
        <v>44997</v>
      </c>
      <c r="N15" s="8">
        <v>44995</v>
      </c>
      <c r="O15" s="8" t="s">
        <v>48</v>
      </c>
      <c r="P15" s="8">
        <v>1</v>
      </c>
      <c r="Q15" s="8" t="s">
        <v>132</v>
      </c>
      <c r="R15" s="8" t="s">
        <v>86</v>
      </c>
      <c r="S15" s="8">
        <v>45010</v>
      </c>
      <c r="T15" s="8" t="s">
        <v>33</v>
      </c>
      <c r="U15" s="8" t="s">
        <v>42</v>
      </c>
      <c r="V15" s="8" t="s">
        <v>167</v>
      </c>
      <c r="W15" s="8">
        <v>250000</v>
      </c>
      <c r="X15" s="8">
        <v>286030</v>
      </c>
      <c r="Y15" s="8" t="s">
        <v>176</v>
      </c>
      <c r="Z15" s="8" t="s">
        <v>162</v>
      </c>
      <c r="AA15" s="8">
        <v>13</v>
      </c>
      <c r="AB15" s="8" t="s">
        <v>132</v>
      </c>
      <c r="AC15" s="8">
        <v>0</v>
      </c>
      <c r="AD15" s="8" t="s">
        <v>157</v>
      </c>
      <c r="AE15" s="9" t="s">
        <v>134</v>
      </c>
    </row>
    <row r="16" spans="1:31" ht="30">
      <c r="A16" s="7" t="s">
        <v>181</v>
      </c>
      <c r="B16" s="8">
        <v>2023</v>
      </c>
      <c r="C16" s="8">
        <v>44999</v>
      </c>
      <c r="D16" s="8" t="s">
        <v>79</v>
      </c>
      <c r="E16" s="8" t="s">
        <v>29</v>
      </c>
      <c r="F16" s="8" t="s">
        <v>46</v>
      </c>
      <c r="G16" s="8" t="s">
        <v>39</v>
      </c>
      <c r="H16" s="8" t="s">
        <v>170</v>
      </c>
      <c r="I16" s="8" t="s">
        <v>182</v>
      </c>
      <c r="J16" s="8" t="s">
        <v>183</v>
      </c>
      <c r="K16" s="8" t="s">
        <v>178</v>
      </c>
      <c r="L16" s="8" t="s">
        <v>68</v>
      </c>
      <c r="M16" s="8">
        <v>45014</v>
      </c>
      <c r="N16" s="8">
        <v>45010</v>
      </c>
      <c r="O16" s="8" t="s">
        <v>48</v>
      </c>
      <c r="P16" s="8">
        <v>1</v>
      </c>
      <c r="Q16" s="8" t="s">
        <v>166</v>
      </c>
      <c r="R16" s="8" t="s">
        <v>128</v>
      </c>
      <c r="S16" s="8"/>
      <c r="T16" s="8" t="s">
        <v>41</v>
      </c>
      <c r="U16" s="8" t="s">
        <v>50</v>
      </c>
      <c r="V16" s="8" t="s">
        <v>146</v>
      </c>
      <c r="W16" s="8">
        <v>600000</v>
      </c>
      <c r="X16" s="8">
        <v>610064</v>
      </c>
      <c r="Y16" s="8" t="s">
        <v>176</v>
      </c>
      <c r="Z16" s="8" t="s">
        <v>184</v>
      </c>
      <c r="AA16" s="8">
        <v>11</v>
      </c>
      <c r="AB16" s="8" t="s">
        <v>132</v>
      </c>
      <c r="AC16" s="8">
        <v>0</v>
      </c>
      <c r="AD16" s="8" t="s">
        <v>185</v>
      </c>
      <c r="AE16" s="9" t="s">
        <v>134</v>
      </c>
    </row>
    <row r="17" spans="1:31" ht="30">
      <c r="A17" s="7" t="s">
        <v>186</v>
      </c>
      <c r="B17" s="8">
        <v>2023</v>
      </c>
      <c r="C17" s="8">
        <v>45028</v>
      </c>
      <c r="D17" s="8" t="s">
        <v>84</v>
      </c>
      <c r="E17" s="8" t="s">
        <v>85</v>
      </c>
      <c r="F17" s="8" t="s">
        <v>46</v>
      </c>
      <c r="G17" s="8" t="s">
        <v>39</v>
      </c>
      <c r="H17" s="8" t="s">
        <v>159</v>
      </c>
      <c r="I17" s="8" t="s">
        <v>187</v>
      </c>
      <c r="J17" s="8" t="s">
        <v>172</v>
      </c>
      <c r="K17" s="8" t="s">
        <v>139</v>
      </c>
      <c r="L17" s="8" t="s">
        <v>68</v>
      </c>
      <c r="M17" s="8">
        <v>45048</v>
      </c>
      <c r="N17" s="8">
        <v>45045</v>
      </c>
      <c r="O17" s="8" t="s">
        <v>48</v>
      </c>
      <c r="P17" s="8">
        <v>1</v>
      </c>
      <c r="Q17" s="8" t="s">
        <v>132</v>
      </c>
      <c r="R17" s="8" t="s">
        <v>43</v>
      </c>
      <c r="S17" s="8">
        <v>45048</v>
      </c>
      <c r="T17" s="8" t="s">
        <v>33</v>
      </c>
      <c r="U17" s="8" t="s">
        <v>82</v>
      </c>
      <c r="V17" s="8" t="s">
        <v>188</v>
      </c>
      <c r="W17" s="8">
        <v>450000</v>
      </c>
      <c r="X17" s="8">
        <v>385103</v>
      </c>
      <c r="Y17" s="8" t="s">
        <v>189</v>
      </c>
      <c r="Z17" s="8" t="s">
        <v>184</v>
      </c>
      <c r="AA17" s="8">
        <v>17</v>
      </c>
      <c r="AB17" s="8" t="s">
        <v>132</v>
      </c>
      <c r="AC17" s="8">
        <v>0</v>
      </c>
      <c r="AD17" s="8" t="s">
        <v>190</v>
      </c>
      <c r="AE17" s="9" t="s">
        <v>191</v>
      </c>
    </row>
    <row r="18" spans="1:31" ht="45">
      <c r="A18" s="7" t="s">
        <v>192</v>
      </c>
      <c r="B18" s="8">
        <v>2023</v>
      </c>
      <c r="C18" s="8">
        <v>45028</v>
      </c>
      <c r="D18" s="8" t="s">
        <v>84</v>
      </c>
      <c r="E18" s="8" t="s">
        <v>85</v>
      </c>
      <c r="F18" s="8" t="s">
        <v>46</v>
      </c>
      <c r="G18" s="8" t="s">
        <v>90</v>
      </c>
      <c r="H18" s="8" t="s">
        <v>159</v>
      </c>
      <c r="I18" s="8" t="s">
        <v>154</v>
      </c>
      <c r="J18" s="8" t="s">
        <v>175</v>
      </c>
      <c r="K18" s="8" t="s">
        <v>126</v>
      </c>
      <c r="L18" s="8" t="s">
        <v>51</v>
      </c>
      <c r="M18" s="8">
        <v>45048</v>
      </c>
      <c r="N18" s="8">
        <v>45044</v>
      </c>
      <c r="O18" s="8" t="s">
        <v>48</v>
      </c>
      <c r="P18" s="8">
        <v>1</v>
      </c>
      <c r="Q18" s="8" t="s">
        <v>132</v>
      </c>
      <c r="R18" s="8" t="s">
        <v>128</v>
      </c>
      <c r="S18" s="8">
        <v>45051</v>
      </c>
      <c r="T18" s="8" t="s">
        <v>49</v>
      </c>
      <c r="U18" s="8" t="s">
        <v>77</v>
      </c>
      <c r="V18" s="8" t="s">
        <v>129</v>
      </c>
      <c r="W18" s="8">
        <v>2500000</v>
      </c>
      <c r="X18" s="8">
        <v>2430176</v>
      </c>
      <c r="Y18" s="8" t="s">
        <v>152</v>
      </c>
      <c r="Z18" s="8" t="s">
        <v>162</v>
      </c>
      <c r="AA18" s="8">
        <v>16</v>
      </c>
      <c r="AB18" s="8" t="s">
        <v>132</v>
      </c>
      <c r="AC18" s="8">
        <v>0</v>
      </c>
      <c r="AD18" s="8" t="s">
        <v>190</v>
      </c>
      <c r="AE18" s="9" t="s">
        <v>191</v>
      </c>
    </row>
    <row r="19" spans="1:31" ht="45">
      <c r="A19" s="7" t="s">
        <v>193</v>
      </c>
      <c r="B19" s="8">
        <v>2023</v>
      </c>
      <c r="C19" s="8">
        <v>45069</v>
      </c>
      <c r="D19" s="8" t="s">
        <v>44</v>
      </c>
      <c r="E19" s="8" t="s">
        <v>29</v>
      </c>
      <c r="F19" s="8" t="s">
        <v>38</v>
      </c>
      <c r="G19" s="8" t="s">
        <v>71</v>
      </c>
      <c r="H19" s="8" t="s">
        <v>159</v>
      </c>
      <c r="I19" s="8" t="s">
        <v>194</v>
      </c>
      <c r="J19" s="8" t="s">
        <v>175</v>
      </c>
      <c r="K19" s="8" t="s">
        <v>126</v>
      </c>
      <c r="L19" s="8" t="s">
        <v>35</v>
      </c>
      <c r="M19" s="8">
        <v>45089</v>
      </c>
      <c r="N19" s="8">
        <v>45091</v>
      </c>
      <c r="O19" s="8" t="s">
        <v>48</v>
      </c>
      <c r="P19" s="8">
        <v>1</v>
      </c>
      <c r="Q19" s="8" t="s">
        <v>132</v>
      </c>
      <c r="R19" s="8" t="s">
        <v>86</v>
      </c>
      <c r="S19" s="8">
        <v>45098</v>
      </c>
      <c r="T19" s="8" t="s">
        <v>33</v>
      </c>
      <c r="U19" s="8" t="s">
        <v>87</v>
      </c>
      <c r="V19" s="8" t="s">
        <v>151</v>
      </c>
      <c r="W19" s="8">
        <v>380000</v>
      </c>
      <c r="X19" s="8">
        <v>367773</v>
      </c>
      <c r="Y19" s="8" t="s">
        <v>141</v>
      </c>
      <c r="Z19" s="8" t="s">
        <v>131</v>
      </c>
      <c r="AA19" s="8">
        <v>22</v>
      </c>
      <c r="AB19" s="8" t="s">
        <v>127</v>
      </c>
      <c r="AC19" s="8">
        <v>0</v>
      </c>
      <c r="AD19" s="8" t="s">
        <v>195</v>
      </c>
      <c r="AE19" s="9" t="s">
        <v>191</v>
      </c>
    </row>
    <row r="20" spans="1:31" ht="45">
      <c r="A20" s="7" t="s">
        <v>196</v>
      </c>
      <c r="B20" s="8">
        <v>2023</v>
      </c>
      <c r="C20" s="8">
        <v>45083</v>
      </c>
      <c r="D20" s="8" t="s">
        <v>44</v>
      </c>
      <c r="E20" s="8" t="s">
        <v>53</v>
      </c>
      <c r="F20" s="8" t="s">
        <v>30</v>
      </c>
      <c r="G20" s="8" t="s">
        <v>47</v>
      </c>
      <c r="H20" s="8" t="s">
        <v>136</v>
      </c>
      <c r="I20" s="8" t="s">
        <v>197</v>
      </c>
      <c r="J20" s="8" t="s">
        <v>144</v>
      </c>
      <c r="K20" s="8" t="s">
        <v>161</v>
      </c>
      <c r="L20" s="8" t="s">
        <v>78</v>
      </c>
      <c r="M20" s="8">
        <v>45128</v>
      </c>
      <c r="N20" s="8">
        <v>45108</v>
      </c>
      <c r="O20" s="8" t="s">
        <v>48</v>
      </c>
      <c r="P20" s="8">
        <v>1</v>
      </c>
      <c r="Q20" s="8" t="s">
        <v>127</v>
      </c>
      <c r="R20" s="8" t="s">
        <v>43</v>
      </c>
      <c r="S20" s="8">
        <v>45115</v>
      </c>
      <c r="T20" s="8" t="s">
        <v>49</v>
      </c>
      <c r="U20" s="8" t="s">
        <v>87</v>
      </c>
      <c r="V20" s="8" t="s">
        <v>140</v>
      </c>
      <c r="W20" s="8">
        <v>850000</v>
      </c>
      <c r="X20" s="8">
        <v>833270</v>
      </c>
      <c r="Y20" s="8" t="s">
        <v>130</v>
      </c>
      <c r="Z20" s="8" t="s">
        <v>162</v>
      </c>
      <c r="AA20" s="8">
        <v>25</v>
      </c>
      <c r="AB20" s="8" t="s">
        <v>132</v>
      </c>
      <c r="AC20" s="8">
        <v>0</v>
      </c>
      <c r="AD20" s="8" t="s">
        <v>198</v>
      </c>
      <c r="AE20" s="9" t="s">
        <v>191</v>
      </c>
    </row>
    <row r="21" spans="1:31" ht="30">
      <c r="A21" s="7" t="s">
        <v>199</v>
      </c>
      <c r="B21" s="8">
        <v>2023</v>
      </c>
      <c r="C21" s="8">
        <v>45086</v>
      </c>
      <c r="D21" s="8" t="s">
        <v>36</v>
      </c>
      <c r="E21" s="8" t="s">
        <v>85</v>
      </c>
      <c r="F21" s="8" t="s">
        <v>30</v>
      </c>
      <c r="G21" s="8" t="s">
        <v>54</v>
      </c>
      <c r="H21" s="8" t="s">
        <v>136</v>
      </c>
      <c r="I21" s="8" t="s">
        <v>154</v>
      </c>
      <c r="J21" s="8" t="s">
        <v>172</v>
      </c>
      <c r="K21" s="8" t="s">
        <v>156</v>
      </c>
      <c r="L21" s="8" t="s">
        <v>88</v>
      </c>
      <c r="M21" s="8">
        <v>45101</v>
      </c>
      <c r="N21" s="8">
        <v>45097</v>
      </c>
      <c r="O21" s="8" t="s">
        <v>48</v>
      </c>
      <c r="P21" s="8">
        <v>1</v>
      </c>
      <c r="Q21" s="8" t="s">
        <v>132</v>
      </c>
      <c r="R21" s="8" t="s">
        <v>128</v>
      </c>
      <c r="S21" s="8">
        <v>45112</v>
      </c>
      <c r="T21" s="8" t="s">
        <v>33</v>
      </c>
      <c r="U21" s="8" t="s">
        <v>87</v>
      </c>
      <c r="V21" s="8" t="s">
        <v>146</v>
      </c>
      <c r="W21" s="8">
        <v>1200000</v>
      </c>
      <c r="X21" s="8">
        <v>1345928</v>
      </c>
      <c r="Y21" s="8" t="s">
        <v>189</v>
      </c>
      <c r="Z21" s="8" t="s">
        <v>142</v>
      </c>
      <c r="AA21" s="8">
        <v>11</v>
      </c>
      <c r="AB21" s="8" t="s">
        <v>132</v>
      </c>
      <c r="AC21" s="8">
        <v>0</v>
      </c>
      <c r="AD21" s="8" t="s">
        <v>198</v>
      </c>
      <c r="AE21" s="9" t="s">
        <v>191</v>
      </c>
    </row>
    <row r="22" spans="1:31" ht="45">
      <c r="A22" s="7" t="s">
        <v>200</v>
      </c>
      <c r="B22" s="8">
        <v>2023</v>
      </c>
      <c r="C22" s="8">
        <v>45097</v>
      </c>
      <c r="D22" s="8" t="s">
        <v>69</v>
      </c>
      <c r="E22" s="8" t="s">
        <v>65</v>
      </c>
      <c r="F22" s="8" t="s">
        <v>38</v>
      </c>
      <c r="G22" s="8" t="s">
        <v>60</v>
      </c>
      <c r="H22" s="8" t="s">
        <v>170</v>
      </c>
      <c r="I22" s="8" t="s">
        <v>201</v>
      </c>
      <c r="J22" s="8" t="s">
        <v>144</v>
      </c>
      <c r="K22" s="8" t="s">
        <v>126</v>
      </c>
      <c r="L22" s="8" t="s">
        <v>43</v>
      </c>
      <c r="M22" s="8">
        <v>45117</v>
      </c>
      <c r="N22" s="8"/>
      <c r="O22" s="8" t="s">
        <v>40</v>
      </c>
      <c r="P22" s="8">
        <v>0.85</v>
      </c>
      <c r="Q22" s="8" t="s">
        <v>166</v>
      </c>
      <c r="R22" s="8" t="s">
        <v>86</v>
      </c>
      <c r="S22" s="8"/>
      <c r="T22" s="8" t="s">
        <v>33</v>
      </c>
      <c r="U22" s="8" t="s">
        <v>42</v>
      </c>
      <c r="V22" s="8" t="s">
        <v>72</v>
      </c>
      <c r="W22" s="8">
        <v>380000</v>
      </c>
      <c r="X22" s="8">
        <v>368910</v>
      </c>
      <c r="Y22" s="8" t="s">
        <v>141</v>
      </c>
      <c r="Z22" s="8" t="s">
        <v>184</v>
      </c>
      <c r="AA22" s="8">
        <v>1081</v>
      </c>
      <c r="AB22" s="8" t="s">
        <v>202</v>
      </c>
      <c r="AC22" s="8">
        <v>1061</v>
      </c>
      <c r="AD22" s="8" t="s">
        <v>198</v>
      </c>
      <c r="AE22" s="9" t="s">
        <v>191</v>
      </c>
    </row>
    <row r="23" spans="1:31" ht="45">
      <c r="A23" s="7" t="s">
        <v>203</v>
      </c>
      <c r="B23" s="8">
        <v>2023</v>
      </c>
      <c r="C23" s="8">
        <v>45098</v>
      </c>
      <c r="D23" s="8" t="s">
        <v>52</v>
      </c>
      <c r="E23" s="8" t="s">
        <v>53</v>
      </c>
      <c r="F23" s="8" t="s">
        <v>30</v>
      </c>
      <c r="G23" s="8" t="s">
        <v>31</v>
      </c>
      <c r="H23" s="8" t="s">
        <v>159</v>
      </c>
      <c r="I23" s="8" t="s">
        <v>171</v>
      </c>
      <c r="J23" s="8" t="s">
        <v>172</v>
      </c>
      <c r="K23" s="8" t="s">
        <v>145</v>
      </c>
      <c r="L23" s="8" t="s">
        <v>43</v>
      </c>
      <c r="M23" s="8">
        <v>45143</v>
      </c>
      <c r="N23" s="8">
        <v>45150</v>
      </c>
      <c r="O23" s="8" t="s">
        <v>48</v>
      </c>
      <c r="P23" s="8">
        <v>1</v>
      </c>
      <c r="Q23" s="8" t="s">
        <v>132</v>
      </c>
      <c r="R23" s="8" t="s">
        <v>86</v>
      </c>
      <c r="S23" s="8">
        <v>45153</v>
      </c>
      <c r="T23" s="8" t="s">
        <v>33</v>
      </c>
      <c r="U23" s="8" t="s">
        <v>67</v>
      </c>
      <c r="V23" s="8" t="s">
        <v>140</v>
      </c>
      <c r="W23" s="8">
        <v>850000</v>
      </c>
      <c r="X23" s="8">
        <v>650507</v>
      </c>
      <c r="Y23" s="8" t="s">
        <v>168</v>
      </c>
      <c r="Z23" s="8" t="s">
        <v>162</v>
      </c>
      <c r="AA23" s="8">
        <v>52</v>
      </c>
      <c r="AB23" s="8" t="s">
        <v>127</v>
      </c>
      <c r="AC23" s="8">
        <v>0</v>
      </c>
      <c r="AD23" s="8" t="s">
        <v>198</v>
      </c>
      <c r="AE23" s="9" t="s">
        <v>191</v>
      </c>
    </row>
    <row r="24" spans="1:31" ht="45">
      <c r="A24" s="7" t="s">
        <v>204</v>
      </c>
      <c r="B24" s="8">
        <v>2023</v>
      </c>
      <c r="C24" s="8">
        <v>45116</v>
      </c>
      <c r="D24" s="8" t="s">
        <v>44</v>
      </c>
      <c r="E24" s="8" t="s">
        <v>29</v>
      </c>
      <c r="F24" s="8" t="s">
        <v>38</v>
      </c>
      <c r="G24" s="8" t="s">
        <v>60</v>
      </c>
      <c r="H24" s="8" t="s">
        <v>123</v>
      </c>
      <c r="I24" s="8" t="s">
        <v>205</v>
      </c>
      <c r="J24" s="8" t="s">
        <v>144</v>
      </c>
      <c r="K24" s="8" t="s">
        <v>161</v>
      </c>
      <c r="L24" s="8" t="s">
        <v>73</v>
      </c>
      <c r="M24" s="8">
        <v>45126</v>
      </c>
      <c r="N24" s="8">
        <v>45128</v>
      </c>
      <c r="O24" s="8" t="s">
        <v>48</v>
      </c>
      <c r="P24" s="8">
        <v>1</v>
      </c>
      <c r="Q24" s="8" t="s">
        <v>132</v>
      </c>
      <c r="R24" s="8" t="s">
        <v>150</v>
      </c>
      <c r="S24" s="8">
        <v>45138</v>
      </c>
      <c r="T24" s="8" t="s">
        <v>33</v>
      </c>
      <c r="U24" s="8" t="s">
        <v>77</v>
      </c>
      <c r="V24" s="8" t="s">
        <v>140</v>
      </c>
      <c r="W24" s="8">
        <v>250000</v>
      </c>
      <c r="X24" s="8">
        <v>282461</v>
      </c>
      <c r="Y24" s="8" t="s">
        <v>152</v>
      </c>
      <c r="Z24" s="8" t="s">
        <v>142</v>
      </c>
      <c r="AA24" s="8">
        <v>12</v>
      </c>
      <c r="AB24" s="8" t="s">
        <v>127</v>
      </c>
      <c r="AC24" s="8">
        <v>0</v>
      </c>
      <c r="AD24" s="8" t="s">
        <v>206</v>
      </c>
      <c r="AE24" s="9" t="s">
        <v>207</v>
      </c>
    </row>
    <row r="25" spans="1:31" ht="45">
      <c r="A25" s="7" t="s">
        <v>208</v>
      </c>
      <c r="B25" s="8">
        <v>2023</v>
      </c>
      <c r="C25" s="8">
        <v>45131</v>
      </c>
      <c r="D25" s="8" t="s">
        <v>36</v>
      </c>
      <c r="E25" s="8" t="s">
        <v>70</v>
      </c>
      <c r="F25" s="8" t="s">
        <v>38</v>
      </c>
      <c r="G25" s="8" t="s">
        <v>66</v>
      </c>
      <c r="H25" s="8" t="s">
        <v>159</v>
      </c>
      <c r="I25" s="8" t="s">
        <v>209</v>
      </c>
      <c r="J25" s="8" t="s">
        <v>175</v>
      </c>
      <c r="K25" s="8" t="s">
        <v>178</v>
      </c>
      <c r="L25" s="8" t="s">
        <v>43</v>
      </c>
      <c r="M25" s="8">
        <v>45151</v>
      </c>
      <c r="N25" s="8"/>
      <c r="O25" s="8" t="s">
        <v>40</v>
      </c>
      <c r="P25" s="8">
        <v>0.25</v>
      </c>
      <c r="Q25" s="8" t="s">
        <v>166</v>
      </c>
      <c r="R25" s="8" t="s">
        <v>128</v>
      </c>
      <c r="S25" s="8"/>
      <c r="T25" s="8" t="s">
        <v>41</v>
      </c>
      <c r="U25" s="8" t="s">
        <v>34</v>
      </c>
      <c r="V25" s="8" t="s">
        <v>167</v>
      </c>
      <c r="W25" s="8">
        <v>2500000</v>
      </c>
      <c r="X25" s="8">
        <v>2015182</v>
      </c>
      <c r="Y25" s="8" t="s">
        <v>152</v>
      </c>
      <c r="Z25" s="8" t="s">
        <v>210</v>
      </c>
      <c r="AA25" s="8">
        <v>1047</v>
      </c>
      <c r="AB25" s="8" t="s">
        <v>202</v>
      </c>
      <c r="AC25" s="8">
        <v>1027</v>
      </c>
      <c r="AD25" s="8" t="s">
        <v>206</v>
      </c>
      <c r="AE25" s="9" t="s">
        <v>207</v>
      </c>
    </row>
    <row r="26" spans="1:31" ht="45">
      <c r="A26" s="7" t="s">
        <v>211</v>
      </c>
      <c r="B26" s="8">
        <v>2023</v>
      </c>
      <c r="C26" s="8">
        <v>45141</v>
      </c>
      <c r="D26" s="8" t="s">
        <v>79</v>
      </c>
      <c r="E26" s="8" t="s">
        <v>59</v>
      </c>
      <c r="F26" s="8" t="s">
        <v>30</v>
      </c>
      <c r="G26" s="8" t="s">
        <v>91</v>
      </c>
      <c r="H26" s="8" t="s">
        <v>164</v>
      </c>
      <c r="I26" s="8" t="s">
        <v>212</v>
      </c>
      <c r="J26" s="8" t="s">
        <v>155</v>
      </c>
      <c r="K26" s="8" t="s">
        <v>126</v>
      </c>
      <c r="L26" s="8" t="s">
        <v>51</v>
      </c>
      <c r="M26" s="8">
        <v>45151</v>
      </c>
      <c r="N26" s="8"/>
      <c r="O26" s="8" t="s">
        <v>55</v>
      </c>
      <c r="P26" s="8">
        <v>0.45</v>
      </c>
      <c r="Q26" s="8" t="s">
        <v>166</v>
      </c>
      <c r="R26" s="8" t="s">
        <v>150</v>
      </c>
      <c r="S26" s="8"/>
      <c r="T26" s="8" t="s">
        <v>41</v>
      </c>
      <c r="U26" s="8" t="s">
        <v>72</v>
      </c>
      <c r="V26" s="8" t="s">
        <v>146</v>
      </c>
      <c r="W26" s="8">
        <v>380000</v>
      </c>
      <c r="X26" s="8">
        <v>0</v>
      </c>
      <c r="Y26" s="8" t="s">
        <v>130</v>
      </c>
      <c r="Z26" s="8" t="s">
        <v>162</v>
      </c>
      <c r="AA26" s="8">
        <v>1037</v>
      </c>
      <c r="AB26" s="8" t="s">
        <v>202</v>
      </c>
      <c r="AC26" s="8">
        <v>1027</v>
      </c>
      <c r="AD26" s="8" t="s">
        <v>213</v>
      </c>
      <c r="AE26" s="9" t="s">
        <v>207</v>
      </c>
    </row>
    <row r="27" spans="1:31" ht="45">
      <c r="A27" s="7" t="s">
        <v>214</v>
      </c>
      <c r="B27" s="8">
        <v>2023</v>
      </c>
      <c r="C27" s="8">
        <v>45142</v>
      </c>
      <c r="D27" s="8" t="s">
        <v>28</v>
      </c>
      <c r="E27" s="8" t="s">
        <v>85</v>
      </c>
      <c r="F27" s="8" t="s">
        <v>30</v>
      </c>
      <c r="G27" s="8" t="s">
        <v>60</v>
      </c>
      <c r="H27" s="8" t="s">
        <v>159</v>
      </c>
      <c r="I27" s="8" t="s">
        <v>154</v>
      </c>
      <c r="J27" s="8" t="s">
        <v>155</v>
      </c>
      <c r="K27" s="8" t="s">
        <v>215</v>
      </c>
      <c r="L27" s="8" t="s">
        <v>35</v>
      </c>
      <c r="M27" s="8">
        <v>45152</v>
      </c>
      <c r="N27" s="8">
        <v>45147</v>
      </c>
      <c r="O27" s="8" t="s">
        <v>48</v>
      </c>
      <c r="P27" s="8">
        <v>1</v>
      </c>
      <c r="Q27" s="8" t="s">
        <v>132</v>
      </c>
      <c r="R27" s="8" t="s">
        <v>128</v>
      </c>
      <c r="S27" s="8">
        <v>45150</v>
      </c>
      <c r="T27" s="8" t="s">
        <v>33</v>
      </c>
      <c r="U27" s="8" t="s">
        <v>67</v>
      </c>
      <c r="V27" s="8" t="s">
        <v>140</v>
      </c>
      <c r="W27" s="8">
        <v>380000</v>
      </c>
      <c r="X27" s="8">
        <v>436075</v>
      </c>
      <c r="Y27" s="8" t="s">
        <v>189</v>
      </c>
      <c r="Z27" s="8" t="s">
        <v>184</v>
      </c>
      <c r="AA27" s="8">
        <v>5</v>
      </c>
      <c r="AB27" s="8" t="s">
        <v>132</v>
      </c>
      <c r="AC27" s="8">
        <v>0</v>
      </c>
      <c r="AD27" s="8" t="s">
        <v>213</v>
      </c>
      <c r="AE27" s="9" t="s">
        <v>207</v>
      </c>
    </row>
    <row r="28" spans="1:31" ht="45">
      <c r="A28" s="7" t="s">
        <v>216</v>
      </c>
      <c r="B28" s="8">
        <v>2023</v>
      </c>
      <c r="C28" s="8">
        <v>45142</v>
      </c>
      <c r="D28" s="8" t="s">
        <v>44</v>
      </c>
      <c r="E28" s="8" t="s">
        <v>37</v>
      </c>
      <c r="F28" s="8" t="s">
        <v>38</v>
      </c>
      <c r="G28" s="8" t="s">
        <v>31</v>
      </c>
      <c r="H28" s="8" t="s">
        <v>170</v>
      </c>
      <c r="I28" s="8" t="s">
        <v>174</v>
      </c>
      <c r="J28" s="8" t="s">
        <v>149</v>
      </c>
      <c r="K28" s="8" t="s">
        <v>156</v>
      </c>
      <c r="L28" s="8" t="s">
        <v>88</v>
      </c>
      <c r="M28" s="8">
        <v>45172</v>
      </c>
      <c r="N28" s="8">
        <v>45176</v>
      </c>
      <c r="O28" s="8" t="s">
        <v>48</v>
      </c>
      <c r="P28" s="8">
        <v>1</v>
      </c>
      <c r="Q28" s="8" t="s">
        <v>132</v>
      </c>
      <c r="R28" s="8" t="s">
        <v>150</v>
      </c>
      <c r="S28" s="8">
        <v>45186</v>
      </c>
      <c r="T28" s="8" t="s">
        <v>41</v>
      </c>
      <c r="U28" s="8" t="s">
        <v>87</v>
      </c>
      <c r="V28" s="8" t="s">
        <v>140</v>
      </c>
      <c r="W28" s="8">
        <v>380000</v>
      </c>
      <c r="X28" s="8">
        <v>375901</v>
      </c>
      <c r="Y28" s="8" t="s">
        <v>130</v>
      </c>
      <c r="Z28" s="8" t="s">
        <v>210</v>
      </c>
      <c r="AA28" s="8">
        <v>34</v>
      </c>
      <c r="AB28" s="8" t="s">
        <v>127</v>
      </c>
      <c r="AC28" s="8">
        <v>0</v>
      </c>
      <c r="AD28" s="8" t="s">
        <v>213</v>
      </c>
      <c r="AE28" s="9" t="s">
        <v>207</v>
      </c>
    </row>
    <row r="29" spans="1:31" ht="45">
      <c r="A29" s="7" t="s">
        <v>217</v>
      </c>
      <c r="B29" s="8">
        <v>2023</v>
      </c>
      <c r="C29" s="8">
        <v>45147</v>
      </c>
      <c r="D29" s="8" t="s">
        <v>58</v>
      </c>
      <c r="E29" s="8" t="s">
        <v>59</v>
      </c>
      <c r="F29" s="8" t="s">
        <v>30</v>
      </c>
      <c r="G29" s="8" t="s">
        <v>86</v>
      </c>
      <c r="H29" s="8" t="s">
        <v>170</v>
      </c>
      <c r="I29" s="8" t="s">
        <v>148</v>
      </c>
      <c r="J29" s="8" t="s">
        <v>183</v>
      </c>
      <c r="K29" s="8" t="s">
        <v>145</v>
      </c>
      <c r="L29" s="8" t="s">
        <v>63</v>
      </c>
      <c r="M29" s="8">
        <v>45157</v>
      </c>
      <c r="N29" s="8">
        <v>45157</v>
      </c>
      <c r="O29" s="8" t="s">
        <v>48</v>
      </c>
      <c r="P29" s="8">
        <v>1</v>
      </c>
      <c r="Q29" s="8" t="s">
        <v>127</v>
      </c>
      <c r="R29" s="8" t="s">
        <v>128</v>
      </c>
      <c r="S29" s="8">
        <v>45160</v>
      </c>
      <c r="T29" s="8" t="s">
        <v>41</v>
      </c>
      <c r="U29" s="8" t="s">
        <v>56</v>
      </c>
      <c r="V29" s="8" t="s">
        <v>146</v>
      </c>
      <c r="W29" s="8">
        <v>850000</v>
      </c>
      <c r="X29" s="8">
        <v>692437</v>
      </c>
      <c r="Y29" s="8" t="s">
        <v>130</v>
      </c>
      <c r="Z29" s="8" t="s">
        <v>184</v>
      </c>
      <c r="AA29" s="8">
        <v>10</v>
      </c>
      <c r="AB29" s="8" t="s">
        <v>132</v>
      </c>
      <c r="AC29" s="8">
        <v>0</v>
      </c>
      <c r="AD29" s="8" t="s">
        <v>213</v>
      </c>
      <c r="AE29" s="9" t="s">
        <v>207</v>
      </c>
    </row>
    <row r="30" spans="1:31" ht="45">
      <c r="A30" s="7" t="s">
        <v>218</v>
      </c>
      <c r="B30" s="8">
        <v>2023</v>
      </c>
      <c r="C30" s="8">
        <v>45153</v>
      </c>
      <c r="D30" s="8" t="s">
        <v>89</v>
      </c>
      <c r="E30" s="8" t="s">
        <v>75</v>
      </c>
      <c r="F30" s="8" t="s">
        <v>46</v>
      </c>
      <c r="G30" s="8" t="s">
        <v>91</v>
      </c>
      <c r="H30" s="8" t="s">
        <v>159</v>
      </c>
      <c r="I30" s="8" t="s">
        <v>219</v>
      </c>
      <c r="J30" s="8" t="s">
        <v>183</v>
      </c>
      <c r="K30" s="8" t="s">
        <v>178</v>
      </c>
      <c r="L30" s="8" t="s">
        <v>63</v>
      </c>
      <c r="M30" s="8">
        <v>45183</v>
      </c>
      <c r="N30" s="8"/>
      <c r="O30" s="8" t="s">
        <v>40</v>
      </c>
      <c r="P30" s="8">
        <v>0.75</v>
      </c>
      <c r="Q30" s="8" t="s">
        <v>166</v>
      </c>
      <c r="R30" s="8" t="s">
        <v>128</v>
      </c>
      <c r="S30" s="8"/>
      <c r="T30" s="8" t="s">
        <v>49</v>
      </c>
      <c r="U30" s="8" t="s">
        <v>82</v>
      </c>
      <c r="V30" s="8" t="s">
        <v>146</v>
      </c>
      <c r="W30" s="8">
        <v>380000</v>
      </c>
      <c r="X30" s="8">
        <v>327397</v>
      </c>
      <c r="Y30" s="8" t="s">
        <v>130</v>
      </c>
      <c r="Z30" s="8" t="s">
        <v>131</v>
      </c>
      <c r="AA30" s="8">
        <v>1025</v>
      </c>
      <c r="AB30" s="8" t="s">
        <v>202</v>
      </c>
      <c r="AC30" s="8">
        <v>995</v>
      </c>
      <c r="AD30" s="8" t="s">
        <v>213</v>
      </c>
      <c r="AE30" s="9" t="s">
        <v>207</v>
      </c>
    </row>
    <row r="31" spans="1:31" ht="45">
      <c r="A31" s="7" t="s">
        <v>220</v>
      </c>
      <c r="B31" s="8">
        <v>2023</v>
      </c>
      <c r="C31" s="8">
        <v>45156</v>
      </c>
      <c r="D31" s="8" t="s">
        <v>74</v>
      </c>
      <c r="E31" s="8" t="s">
        <v>29</v>
      </c>
      <c r="F31" s="8" t="s">
        <v>46</v>
      </c>
      <c r="G31" s="8" t="s">
        <v>39</v>
      </c>
      <c r="H31" s="8" t="s">
        <v>123</v>
      </c>
      <c r="I31" s="8" t="s">
        <v>221</v>
      </c>
      <c r="J31" s="8" t="s">
        <v>172</v>
      </c>
      <c r="K31" s="8" t="s">
        <v>215</v>
      </c>
      <c r="L31" s="8" t="s">
        <v>88</v>
      </c>
      <c r="M31" s="8">
        <v>45201</v>
      </c>
      <c r="N31" s="8">
        <v>45209</v>
      </c>
      <c r="O31" s="8" t="s">
        <v>48</v>
      </c>
      <c r="P31" s="8">
        <v>1</v>
      </c>
      <c r="Q31" s="8" t="s">
        <v>132</v>
      </c>
      <c r="R31" s="8" t="s">
        <v>35</v>
      </c>
      <c r="S31" s="8">
        <v>45224</v>
      </c>
      <c r="T31" s="8" t="s">
        <v>33</v>
      </c>
      <c r="U31" s="8" t="s">
        <v>56</v>
      </c>
      <c r="V31" s="8" t="s">
        <v>72</v>
      </c>
      <c r="W31" s="8">
        <v>600000</v>
      </c>
      <c r="X31" s="8">
        <v>478957</v>
      </c>
      <c r="Y31" s="8" t="s">
        <v>152</v>
      </c>
      <c r="Z31" s="8" t="s">
        <v>210</v>
      </c>
      <c r="AA31" s="8">
        <v>53</v>
      </c>
      <c r="AB31" s="8" t="s">
        <v>127</v>
      </c>
      <c r="AC31" s="8">
        <v>0</v>
      </c>
      <c r="AD31" s="8" t="s">
        <v>213</v>
      </c>
      <c r="AE31" s="9" t="s">
        <v>207</v>
      </c>
    </row>
    <row r="32" spans="1:31" ht="45">
      <c r="A32" s="7" t="s">
        <v>222</v>
      </c>
      <c r="B32" s="8">
        <v>2023</v>
      </c>
      <c r="C32" s="8">
        <v>45189</v>
      </c>
      <c r="D32" s="8" t="s">
        <v>28</v>
      </c>
      <c r="E32" s="8" t="s">
        <v>80</v>
      </c>
      <c r="F32" s="8" t="s">
        <v>46</v>
      </c>
      <c r="G32" s="8" t="s">
        <v>54</v>
      </c>
      <c r="H32" s="8" t="s">
        <v>159</v>
      </c>
      <c r="I32" s="8" t="s">
        <v>223</v>
      </c>
      <c r="J32" s="8" t="s">
        <v>138</v>
      </c>
      <c r="K32" s="8" t="s">
        <v>156</v>
      </c>
      <c r="L32" s="8" t="s">
        <v>78</v>
      </c>
      <c r="M32" s="8">
        <v>45209</v>
      </c>
      <c r="N32" s="8"/>
      <c r="O32" s="8" t="s">
        <v>55</v>
      </c>
      <c r="P32" s="8">
        <v>0.7</v>
      </c>
      <c r="Q32" s="8" t="s">
        <v>166</v>
      </c>
      <c r="R32" s="8" t="s">
        <v>128</v>
      </c>
      <c r="S32" s="8"/>
      <c r="T32" s="8" t="s">
        <v>33</v>
      </c>
      <c r="U32" s="8" t="s">
        <v>77</v>
      </c>
      <c r="V32" s="8" t="s">
        <v>146</v>
      </c>
      <c r="W32" s="8">
        <v>450000</v>
      </c>
      <c r="X32" s="8">
        <v>0</v>
      </c>
      <c r="Y32" s="8" t="s">
        <v>141</v>
      </c>
      <c r="Z32" s="8" t="s">
        <v>162</v>
      </c>
      <c r="AA32" s="8">
        <v>989</v>
      </c>
      <c r="AB32" s="8" t="s">
        <v>202</v>
      </c>
      <c r="AC32" s="8">
        <v>969</v>
      </c>
      <c r="AD32" s="8" t="s">
        <v>224</v>
      </c>
      <c r="AE32" s="9" t="s">
        <v>207</v>
      </c>
    </row>
    <row r="33" spans="1:31" ht="45">
      <c r="A33" s="7" t="s">
        <v>225</v>
      </c>
      <c r="B33" s="8">
        <v>2023</v>
      </c>
      <c r="C33" s="8">
        <v>45201</v>
      </c>
      <c r="D33" s="8" t="s">
        <v>58</v>
      </c>
      <c r="E33" s="8" t="s">
        <v>29</v>
      </c>
      <c r="F33" s="8" t="s">
        <v>46</v>
      </c>
      <c r="G33" s="8" t="s">
        <v>39</v>
      </c>
      <c r="H33" s="8" t="s">
        <v>170</v>
      </c>
      <c r="I33" s="8" t="s">
        <v>226</v>
      </c>
      <c r="J33" s="8" t="s">
        <v>138</v>
      </c>
      <c r="K33" s="8" t="s">
        <v>156</v>
      </c>
      <c r="L33" s="8" t="s">
        <v>35</v>
      </c>
      <c r="M33" s="8">
        <v>45216</v>
      </c>
      <c r="N33" s="8">
        <v>45217</v>
      </c>
      <c r="O33" s="8" t="s">
        <v>48</v>
      </c>
      <c r="P33" s="8">
        <v>1</v>
      </c>
      <c r="Q33" s="8" t="s">
        <v>132</v>
      </c>
      <c r="R33" s="8" t="s">
        <v>86</v>
      </c>
      <c r="S33" s="8">
        <v>45227</v>
      </c>
      <c r="T33" s="8" t="s">
        <v>41</v>
      </c>
      <c r="U33" s="8" t="s">
        <v>87</v>
      </c>
      <c r="V33" s="8" t="s">
        <v>140</v>
      </c>
      <c r="W33" s="8">
        <v>380000</v>
      </c>
      <c r="X33" s="8">
        <v>356441</v>
      </c>
      <c r="Y33" s="8" t="s">
        <v>130</v>
      </c>
      <c r="Z33" s="8" t="s">
        <v>210</v>
      </c>
      <c r="AA33" s="8">
        <v>16</v>
      </c>
      <c r="AB33" s="8" t="s">
        <v>127</v>
      </c>
      <c r="AC33" s="8">
        <v>0</v>
      </c>
      <c r="AD33" s="8" t="s">
        <v>227</v>
      </c>
      <c r="AE33" s="9" t="s">
        <v>228</v>
      </c>
    </row>
    <row r="34" spans="1:31" ht="45">
      <c r="A34" s="7" t="s">
        <v>229</v>
      </c>
      <c r="B34" s="8">
        <v>2023</v>
      </c>
      <c r="C34" s="8">
        <v>45213</v>
      </c>
      <c r="D34" s="8" t="s">
        <v>84</v>
      </c>
      <c r="E34" s="8" t="s">
        <v>85</v>
      </c>
      <c r="F34" s="8" t="s">
        <v>30</v>
      </c>
      <c r="G34" s="8" t="s">
        <v>92</v>
      </c>
      <c r="H34" s="8" t="s">
        <v>164</v>
      </c>
      <c r="I34" s="8" t="s">
        <v>154</v>
      </c>
      <c r="J34" s="8" t="s">
        <v>175</v>
      </c>
      <c r="K34" s="8" t="s">
        <v>215</v>
      </c>
      <c r="L34" s="8" t="s">
        <v>78</v>
      </c>
      <c r="M34" s="8">
        <v>45233</v>
      </c>
      <c r="N34" s="8">
        <v>45222</v>
      </c>
      <c r="O34" s="8" t="s">
        <v>48</v>
      </c>
      <c r="P34" s="8">
        <v>1</v>
      </c>
      <c r="Q34" s="8" t="s">
        <v>132</v>
      </c>
      <c r="R34" s="8" t="s">
        <v>35</v>
      </c>
      <c r="S34" s="8">
        <v>45225</v>
      </c>
      <c r="T34" s="8" t="s">
        <v>41</v>
      </c>
      <c r="U34" s="8" t="s">
        <v>72</v>
      </c>
      <c r="V34" s="8" t="s">
        <v>140</v>
      </c>
      <c r="W34" s="8">
        <v>380000</v>
      </c>
      <c r="X34" s="8">
        <v>308872</v>
      </c>
      <c r="Y34" s="8" t="s">
        <v>152</v>
      </c>
      <c r="Z34" s="8" t="s">
        <v>184</v>
      </c>
      <c r="AA34" s="8">
        <v>9</v>
      </c>
      <c r="AB34" s="8" t="s">
        <v>132</v>
      </c>
      <c r="AC34" s="8">
        <v>0</v>
      </c>
      <c r="AD34" s="8" t="s">
        <v>227</v>
      </c>
      <c r="AE34" s="9" t="s">
        <v>228</v>
      </c>
    </row>
    <row r="35" spans="1:31" ht="45">
      <c r="A35" s="7" t="s">
        <v>230</v>
      </c>
      <c r="B35" s="8">
        <v>2023</v>
      </c>
      <c r="C35" s="8">
        <v>45222</v>
      </c>
      <c r="D35" s="8" t="s">
        <v>69</v>
      </c>
      <c r="E35" s="8" t="s">
        <v>70</v>
      </c>
      <c r="F35" s="8" t="s">
        <v>30</v>
      </c>
      <c r="G35" s="8" t="s">
        <v>66</v>
      </c>
      <c r="H35" s="8" t="s">
        <v>159</v>
      </c>
      <c r="I35" s="8" t="s">
        <v>137</v>
      </c>
      <c r="J35" s="8" t="s">
        <v>149</v>
      </c>
      <c r="K35" s="8" t="s">
        <v>161</v>
      </c>
      <c r="L35" s="8" t="s">
        <v>73</v>
      </c>
      <c r="M35" s="8">
        <v>45232</v>
      </c>
      <c r="N35" s="8"/>
      <c r="O35" s="8" t="s">
        <v>55</v>
      </c>
      <c r="P35" s="8">
        <v>0.8</v>
      </c>
      <c r="Q35" s="8" t="s">
        <v>166</v>
      </c>
      <c r="R35" s="8" t="s">
        <v>128</v>
      </c>
      <c r="S35" s="8"/>
      <c r="T35" s="8" t="s">
        <v>33</v>
      </c>
      <c r="U35" s="8" t="s">
        <v>34</v>
      </c>
      <c r="V35" s="8" t="s">
        <v>231</v>
      </c>
      <c r="W35" s="8">
        <v>1200000</v>
      </c>
      <c r="X35" s="8">
        <v>0</v>
      </c>
      <c r="Y35" s="8" t="s">
        <v>176</v>
      </c>
      <c r="Z35" s="8" t="s">
        <v>162</v>
      </c>
      <c r="AA35" s="8">
        <v>956</v>
      </c>
      <c r="AB35" s="8" t="s">
        <v>202</v>
      </c>
      <c r="AC35" s="8">
        <v>946</v>
      </c>
      <c r="AD35" s="8" t="s">
        <v>227</v>
      </c>
      <c r="AE35" s="9" t="s">
        <v>228</v>
      </c>
    </row>
    <row r="36" spans="1:31" ht="45">
      <c r="A36" s="7" t="s">
        <v>232</v>
      </c>
      <c r="B36" s="8">
        <v>2023</v>
      </c>
      <c r="C36" s="8">
        <v>45225</v>
      </c>
      <c r="D36" s="8" t="s">
        <v>36</v>
      </c>
      <c r="E36" s="8" t="s">
        <v>85</v>
      </c>
      <c r="F36" s="8" t="s">
        <v>38</v>
      </c>
      <c r="G36" s="8" t="s">
        <v>91</v>
      </c>
      <c r="H36" s="8" t="s">
        <v>123</v>
      </c>
      <c r="I36" s="8" t="s">
        <v>187</v>
      </c>
      <c r="J36" s="8" t="s">
        <v>183</v>
      </c>
      <c r="K36" s="8" t="s">
        <v>161</v>
      </c>
      <c r="L36" s="8" t="s">
        <v>63</v>
      </c>
      <c r="M36" s="8">
        <v>45235</v>
      </c>
      <c r="N36" s="8">
        <v>45235</v>
      </c>
      <c r="O36" s="8" t="s">
        <v>48</v>
      </c>
      <c r="P36" s="8">
        <v>1</v>
      </c>
      <c r="Q36" s="8" t="s">
        <v>132</v>
      </c>
      <c r="R36" s="8" t="s">
        <v>86</v>
      </c>
      <c r="S36" s="8">
        <v>45238</v>
      </c>
      <c r="T36" s="8" t="s">
        <v>41</v>
      </c>
      <c r="U36" s="8" t="s">
        <v>42</v>
      </c>
      <c r="V36" s="8" t="s">
        <v>188</v>
      </c>
      <c r="W36" s="8">
        <v>1800000</v>
      </c>
      <c r="X36" s="8">
        <v>1942078</v>
      </c>
      <c r="Y36" s="8" t="s">
        <v>189</v>
      </c>
      <c r="Z36" s="8" t="s">
        <v>162</v>
      </c>
      <c r="AA36" s="8">
        <v>10</v>
      </c>
      <c r="AB36" s="8" t="s">
        <v>132</v>
      </c>
      <c r="AC36" s="8">
        <v>0</v>
      </c>
      <c r="AD36" s="8" t="s">
        <v>227</v>
      </c>
      <c r="AE36" s="9" t="s">
        <v>228</v>
      </c>
    </row>
    <row r="37" spans="1:31" ht="45">
      <c r="A37" s="7" t="s">
        <v>233</v>
      </c>
      <c r="B37" s="8">
        <v>2023</v>
      </c>
      <c r="C37" s="8">
        <v>45241</v>
      </c>
      <c r="D37" s="8" t="s">
        <v>74</v>
      </c>
      <c r="E37" s="8" t="s">
        <v>80</v>
      </c>
      <c r="F37" s="8" t="s">
        <v>46</v>
      </c>
      <c r="G37" s="8" t="s">
        <v>60</v>
      </c>
      <c r="H37" s="8" t="s">
        <v>159</v>
      </c>
      <c r="I37" s="8" t="s">
        <v>223</v>
      </c>
      <c r="J37" s="8" t="s">
        <v>155</v>
      </c>
      <c r="K37" s="8" t="s">
        <v>139</v>
      </c>
      <c r="L37" s="8" t="s">
        <v>83</v>
      </c>
      <c r="M37" s="8">
        <v>45251</v>
      </c>
      <c r="N37" s="8">
        <v>45247</v>
      </c>
      <c r="O37" s="8" t="s">
        <v>48</v>
      </c>
      <c r="P37" s="8">
        <v>1</v>
      </c>
      <c r="Q37" s="8" t="s">
        <v>132</v>
      </c>
      <c r="R37" s="8" t="s">
        <v>43</v>
      </c>
      <c r="S37" s="8">
        <v>45257</v>
      </c>
      <c r="T37" s="8" t="s">
        <v>49</v>
      </c>
      <c r="U37" s="8" t="s">
        <v>42</v>
      </c>
      <c r="V37" s="8" t="s">
        <v>140</v>
      </c>
      <c r="W37" s="8">
        <v>850000</v>
      </c>
      <c r="X37" s="8">
        <v>923667</v>
      </c>
      <c r="Y37" s="8" t="s">
        <v>168</v>
      </c>
      <c r="Z37" s="8" t="s">
        <v>184</v>
      </c>
      <c r="AA37" s="8">
        <v>6</v>
      </c>
      <c r="AB37" s="8" t="s">
        <v>132</v>
      </c>
      <c r="AC37" s="8">
        <v>0</v>
      </c>
      <c r="AD37" s="8" t="s">
        <v>234</v>
      </c>
      <c r="AE37" s="9" t="s">
        <v>228</v>
      </c>
    </row>
    <row r="38" spans="1:31" ht="45">
      <c r="A38" s="7" t="s">
        <v>235</v>
      </c>
      <c r="B38" s="8">
        <v>2023</v>
      </c>
      <c r="C38" s="8">
        <v>45243</v>
      </c>
      <c r="D38" s="8" t="s">
        <v>79</v>
      </c>
      <c r="E38" s="8" t="s">
        <v>59</v>
      </c>
      <c r="F38" s="8" t="s">
        <v>46</v>
      </c>
      <c r="G38" s="8" t="s">
        <v>90</v>
      </c>
      <c r="H38" s="8" t="s">
        <v>123</v>
      </c>
      <c r="I38" s="8" t="s">
        <v>212</v>
      </c>
      <c r="J38" s="8" t="s">
        <v>172</v>
      </c>
      <c r="K38" s="8" t="s">
        <v>126</v>
      </c>
      <c r="L38" s="8" t="s">
        <v>57</v>
      </c>
      <c r="M38" s="8">
        <v>45303</v>
      </c>
      <c r="N38" s="8"/>
      <c r="O38" s="8" t="s">
        <v>40</v>
      </c>
      <c r="P38" s="8">
        <v>0.4</v>
      </c>
      <c r="Q38" s="8" t="s">
        <v>166</v>
      </c>
      <c r="R38" s="8" t="s">
        <v>150</v>
      </c>
      <c r="S38" s="8"/>
      <c r="T38" s="8" t="s">
        <v>41</v>
      </c>
      <c r="U38" s="8" t="s">
        <v>62</v>
      </c>
      <c r="V38" s="8" t="s">
        <v>231</v>
      </c>
      <c r="W38" s="8">
        <v>250000</v>
      </c>
      <c r="X38" s="8">
        <v>217887</v>
      </c>
      <c r="Y38" s="8" t="s">
        <v>152</v>
      </c>
      <c r="Z38" s="8" t="s">
        <v>162</v>
      </c>
      <c r="AA38" s="8">
        <v>935</v>
      </c>
      <c r="AB38" s="8" t="s">
        <v>202</v>
      </c>
      <c r="AC38" s="8">
        <v>875</v>
      </c>
      <c r="AD38" s="8" t="s">
        <v>234</v>
      </c>
      <c r="AE38" s="9" t="s">
        <v>228</v>
      </c>
    </row>
    <row r="39" spans="1:31" ht="30">
      <c r="A39" s="7" t="s">
        <v>236</v>
      </c>
      <c r="B39" s="8">
        <v>2023</v>
      </c>
      <c r="C39" s="8">
        <v>45254</v>
      </c>
      <c r="D39" s="8" t="s">
        <v>84</v>
      </c>
      <c r="E39" s="8" t="s">
        <v>45</v>
      </c>
      <c r="F39" s="8" t="s">
        <v>46</v>
      </c>
      <c r="G39" s="8" t="s">
        <v>54</v>
      </c>
      <c r="H39" s="8" t="s">
        <v>159</v>
      </c>
      <c r="I39" s="8" t="s">
        <v>237</v>
      </c>
      <c r="J39" s="8" t="s">
        <v>149</v>
      </c>
      <c r="K39" s="8" t="s">
        <v>178</v>
      </c>
      <c r="L39" s="8" t="s">
        <v>68</v>
      </c>
      <c r="M39" s="8">
        <v>45269</v>
      </c>
      <c r="N39" s="8">
        <v>45272</v>
      </c>
      <c r="O39" s="8" t="s">
        <v>48</v>
      </c>
      <c r="P39" s="8">
        <v>1</v>
      </c>
      <c r="Q39" s="8" t="s">
        <v>132</v>
      </c>
      <c r="R39" s="8" t="s">
        <v>86</v>
      </c>
      <c r="S39" s="8">
        <v>45287</v>
      </c>
      <c r="T39" s="8" t="s">
        <v>33</v>
      </c>
      <c r="U39" s="8" t="s">
        <v>72</v>
      </c>
      <c r="V39" s="8" t="s">
        <v>231</v>
      </c>
      <c r="W39" s="8">
        <v>600000</v>
      </c>
      <c r="X39" s="8">
        <v>645980</v>
      </c>
      <c r="Y39" s="8" t="s">
        <v>130</v>
      </c>
      <c r="Z39" s="8" t="s">
        <v>210</v>
      </c>
      <c r="AA39" s="8">
        <v>18</v>
      </c>
      <c r="AB39" s="8" t="s">
        <v>127</v>
      </c>
      <c r="AC39" s="8">
        <v>0</v>
      </c>
      <c r="AD39" s="8" t="s">
        <v>234</v>
      </c>
      <c r="AE39" s="9" t="s">
        <v>228</v>
      </c>
    </row>
    <row r="40" spans="1:31" ht="45">
      <c r="A40" s="7" t="s">
        <v>238</v>
      </c>
      <c r="B40" s="8">
        <v>2023</v>
      </c>
      <c r="C40" s="8">
        <v>45266</v>
      </c>
      <c r="D40" s="8" t="s">
        <v>84</v>
      </c>
      <c r="E40" s="8" t="s">
        <v>65</v>
      </c>
      <c r="F40" s="8" t="s">
        <v>38</v>
      </c>
      <c r="G40" s="8" t="s">
        <v>76</v>
      </c>
      <c r="H40" s="8" t="s">
        <v>159</v>
      </c>
      <c r="I40" s="8" t="s">
        <v>165</v>
      </c>
      <c r="J40" s="8" t="s">
        <v>175</v>
      </c>
      <c r="K40" s="8" t="s">
        <v>215</v>
      </c>
      <c r="L40" s="8" t="s">
        <v>83</v>
      </c>
      <c r="M40" s="8">
        <v>45326</v>
      </c>
      <c r="N40" s="8">
        <v>45322</v>
      </c>
      <c r="O40" s="8" t="s">
        <v>48</v>
      </c>
      <c r="P40" s="8">
        <v>1</v>
      </c>
      <c r="Q40" s="8" t="s">
        <v>132</v>
      </c>
      <c r="R40" s="8" t="s">
        <v>35</v>
      </c>
      <c r="S40" s="8">
        <v>45332</v>
      </c>
      <c r="T40" s="8" t="s">
        <v>41</v>
      </c>
      <c r="U40" s="8" t="s">
        <v>77</v>
      </c>
      <c r="V40" s="8" t="s">
        <v>129</v>
      </c>
      <c r="W40" s="8">
        <v>600000</v>
      </c>
      <c r="X40" s="8">
        <v>643575</v>
      </c>
      <c r="Y40" s="8" t="s">
        <v>152</v>
      </c>
      <c r="Z40" s="8" t="s">
        <v>142</v>
      </c>
      <c r="AA40" s="8">
        <v>56</v>
      </c>
      <c r="AB40" s="8" t="s">
        <v>132</v>
      </c>
      <c r="AC40" s="8">
        <v>0</v>
      </c>
      <c r="AD40" s="8" t="s">
        <v>239</v>
      </c>
      <c r="AE40" s="9" t="s">
        <v>228</v>
      </c>
    </row>
    <row r="41" spans="1:31" ht="45">
      <c r="A41" s="7" t="s">
        <v>240</v>
      </c>
      <c r="B41" s="8">
        <v>2023</v>
      </c>
      <c r="C41" s="8">
        <v>45283</v>
      </c>
      <c r="D41" s="8" t="s">
        <v>52</v>
      </c>
      <c r="E41" s="8" t="s">
        <v>75</v>
      </c>
      <c r="F41" s="8" t="s">
        <v>38</v>
      </c>
      <c r="G41" s="8" t="s">
        <v>86</v>
      </c>
      <c r="H41" s="8" t="s">
        <v>136</v>
      </c>
      <c r="I41" s="8" t="s">
        <v>241</v>
      </c>
      <c r="J41" s="8" t="s">
        <v>138</v>
      </c>
      <c r="K41" s="8" t="s">
        <v>178</v>
      </c>
      <c r="L41" s="8" t="s">
        <v>88</v>
      </c>
      <c r="M41" s="8">
        <v>45313</v>
      </c>
      <c r="N41" s="8">
        <v>45302</v>
      </c>
      <c r="O41" s="8" t="s">
        <v>48</v>
      </c>
      <c r="P41" s="8">
        <v>1</v>
      </c>
      <c r="Q41" s="8" t="s">
        <v>132</v>
      </c>
      <c r="R41" s="8" t="s">
        <v>128</v>
      </c>
      <c r="S41" s="8">
        <v>45305</v>
      </c>
      <c r="T41" s="8" t="s">
        <v>33</v>
      </c>
      <c r="U41" s="8" t="s">
        <v>77</v>
      </c>
      <c r="V41" s="8" t="s">
        <v>151</v>
      </c>
      <c r="W41" s="8">
        <v>450000</v>
      </c>
      <c r="X41" s="8">
        <v>482239</v>
      </c>
      <c r="Y41" s="8" t="s">
        <v>141</v>
      </c>
      <c r="Z41" s="8" t="s">
        <v>184</v>
      </c>
      <c r="AA41" s="8">
        <v>19</v>
      </c>
      <c r="AB41" s="8" t="s">
        <v>132</v>
      </c>
      <c r="AC41" s="8">
        <v>0</v>
      </c>
      <c r="AD41" s="8" t="s">
        <v>239</v>
      </c>
      <c r="AE41" s="9" t="s">
        <v>228</v>
      </c>
    </row>
    <row r="42" spans="1:31" ht="30">
      <c r="A42" s="7" t="s">
        <v>242</v>
      </c>
      <c r="B42" s="8">
        <v>2023</v>
      </c>
      <c r="C42" s="8">
        <v>45283</v>
      </c>
      <c r="D42" s="8" t="s">
        <v>89</v>
      </c>
      <c r="E42" s="8" t="s">
        <v>75</v>
      </c>
      <c r="F42" s="8" t="s">
        <v>38</v>
      </c>
      <c r="G42" s="8" t="s">
        <v>81</v>
      </c>
      <c r="H42" s="8" t="s">
        <v>164</v>
      </c>
      <c r="I42" s="8" t="s">
        <v>243</v>
      </c>
      <c r="J42" s="8" t="s">
        <v>183</v>
      </c>
      <c r="K42" s="8" t="s">
        <v>156</v>
      </c>
      <c r="L42" s="8" t="s">
        <v>57</v>
      </c>
      <c r="M42" s="8">
        <v>45298</v>
      </c>
      <c r="N42" s="8">
        <v>45295</v>
      </c>
      <c r="O42" s="8" t="s">
        <v>48</v>
      </c>
      <c r="P42" s="8">
        <v>1</v>
      </c>
      <c r="Q42" s="8" t="s">
        <v>166</v>
      </c>
      <c r="R42" s="8" t="s">
        <v>86</v>
      </c>
      <c r="S42" s="8"/>
      <c r="T42" s="8" t="s">
        <v>33</v>
      </c>
      <c r="U42" s="8" t="s">
        <v>87</v>
      </c>
      <c r="V42" s="8" t="s">
        <v>146</v>
      </c>
      <c r="W42" s="8">
        <v>2500000</v>
      </c>
      <c r="X42" s="8">
        <v>1996004</v>
      </c>
      <c r="Y42" s="8" t="s">
        <v>152</v>
      </c>
      <c r="Z42" s="8" t="s">
        <v>142</v>
      </c>
      <c r="AA42" s="8">
        <v>12</v>
      </c>
      <c r="AB42" s="8" t="s">
        <v>132</v>
      </c>
      <c r="AC42" s="8">
        <v>0</v>
      </c>
      <c r="AD42" s="8" t="s">
        <v>239</v>
      </c>
      <c r="AE42" s="9" t="s">
        <v>228</v>
      </c>
    </row>
    <row r="43" spans="1:31" ht="30">
      <c r="A43" s="7" t="s">
        <v>245</v>
      </c>
      <c r="B43" s="8">
        <v>2024</v>
      </c>
      <c r="C43" s="8">
        <v>45293</v>
      </c>
      <c r="D43" s="8" t="s">
        <v>84</v>
      </c>
      <c r="E43" s="8" t="s">
        <v>53</v>
      </c>
      <c r="F43" s="8" t="s">
        <v>46</v>
      </c>
      <c r="G43" s="8" t="s">
        <v>90</v>
      </c>
      <c r="H43" s="8" t="s">
        <v>123</v>
      </c>
      <c r="I43" s="8" t="s">
        <v>171</v>
      </c>
      <c r="J43" s="8" t="s">
        <v>155</v>
      </c>
      <c r="K43" s="8" t="s">
        <v>126</v>
      </c>
      <c r="L43" s="8" t="s">
        <v>43</v>
      </c>
      <c r="M43" s="8">
        <v>45313</v>
      </c>
      <c r="N43" s="8">
        <v>45296</v>
      </c>
      <c r="O43" s="8" t="s">
        <v>61</v>
      </c>
      <c r="P43" s="8">
        <v>0</v>
      </c>
      <c r="Q43" s="8" t="s">
        <v>246</v>
      </c>
      <c r="R43" s="8" t="s">
        <v>128</v>
      </c>
      <c r="S43" s="8"/>
      <c r="T43" s="8" t="s">
        <v>49</v>
      </c>
      <c r="U43" s="8" t="s">
        <v>62</v>
      </c>
      <c r="V43" s="8" t="s">
        <v>247</v>
      </c>
      <c r="W43" s="8">
        <v>2500000</v>
      </c>
      <c r="X43" s="8">
        <v>2246011</v>
      </c>
      <c r="Y43" s="8" t="s">
        <v>141</v>
      </c>
      <c r="Z43" s="8" t="s">
        <v>184</v>
      </c>
      <c r="AA43" s="8">
        <v>3</v>
      </c>
      <c r="AB43" s="8" t="s">
        <v>246</v>
      </c>
      <c r="AC43" s="8">
        <v>0</v>
      </c>
      <c r="AD43" s="8" t="s">
        <v>133</v>
      </c>
      <c r="AE43" s="9" t="s">
        <v>134</v>
      </c>
    </row>
    <row r="44" spans="1:31" ht="45">
      <c r="A44" s="7" t="s">
        <v>248</v>
      </c>
      <c r="B44" s="8">
        <v>2024</v>
      </c>
      <c r="C44" s="8">
        <v>45297</v>
      </c>
      <c r="D44" s="8" t="s">
        <v>58</v>
      </c>
      <c r="E44" s="8" t="s">
        <v>45</v>
      </c>
      <c r="F44" s="8" t="s">
        <v>30</v>
      </c>
      <c r="G44" s="8" t="s">
        <v>39</v>
      </c>
      <c r="H44" s="8" t="s">
        <v>136</v>
      </c>
      <c r="I44" s="8" t="s">
        <v>160</v>
      </c>
      <c r="J44" s="8" t="s">
        <v>149</v>
      </c>
      <c r="K44" s="8" t="s">
        <v>249</v>
      </c>
      <c r="L44" s="8" t="s">
        <v>57</v>
      </c>
      <c r="M44" s="8">
        <v>45317</v>
      </c>
      <c r="N44" s="8">
        <v>45318</v>
      </c>
      <c r="O44" s="8" t="s">
        <v>48</v>
      </c>
      <c r="P44" s="8">
        <v>1</v>
      </c>
      <c r="Q44" s="8" t="s">
        <v>132</v>
      </c>
      <c r="R44" s="8" t="s">
        <v>35</v>
      </c>
      <c r="S44" s="8">
        <v>45321</v>
      </c>
      <c r="T44" s="8" t="s">
        <v>33</v>
      </c>
      <c r="U44" s="8" t="s">
        <v>50</v>
      </c>
      <c r="V44" s="8" t="s">
        <v>72</v>
      </c>
      <c r="W44" s="8">
        <v>380000</v>
      </c>
      <c r="X44" s="8">
        <v>353704</v>
      </c>
      <c r="Y44" s="8" t="s">
        <v>152</v>
      </c>
      <c r="Z44" s="8" t="s">
        <v>184</v>
      </c>
      <c r="AA44" s="8">
        <v>21</v>
      </c>
      <c r="AB44" s="8" t="s">
        <v>127</v>
      </c>
      <c r="AC44" s="8">
        <v>0</v>
      </c>
      <c r="AD44" s="8" t="s">
        <v>133</v>
      </c>
      <c r="AE44" s="9" t="s">
        <v>134</v>
      </c>
    </row>
    <row r="45" spans="1:31" ht="45">
      <c r="A45" s="7" t="s">
        <v>250</v>
      </c>
      <c r="B45" s="8">
        <v>2024</v>
      </c>
      <c r="C45" s="8">
        <v>45302</v>
      </c>
      <c r="D45" s="8" t="s">
        <v>36</v>
      </c>
      <c r="E45" s="8" t="s">
        <v>70</v>
      </c>
      <c r="F45" s="8" t="s">
        <v>30</v>
      </c>
      <c r="G45" s="8" t="s">
        <v>39</v>
      </c>
      <c r="H45" s="8" t="s">
        <v>251</v>
      </c>
      <c r="I45" s="8" t="s">
        <v>252</v>
      </c>
      <c r="J45" s="8" t="s">
        <v>138</v>
      </c>
      <c r="K45" s="8" t="s">
        <v>145</v>
      </c>
      <c r="L45" s="8" t="s">
        <v>63</v>
      </c>
      <c r="M45" s="8">
        <v>45312</v>
      </c>
      <c r="N45" s="8">
        <v>45311</v>
      </c>
      <c r="O45" s="8" t="s">
        <v>48</v>
      </c>
      <c r="P45" s="8">
        <v>1</v>
      </c>
      <c r="Q45" s="8" t="s">
        <v>132</v>
      </c>
      <c r="R45" s="8" t="s">
        <v>150</v>
      </c>
      <c r="S45" s="8">
        <v>45318</v>
      </c>
      <c r="T45" s="8" t="s">
        <v>41</v>
      </c>
      <c r="U45" s="8" t="s">
        <v>42</v>
      </c>
      <c r="V45" s="8" t="s">
        <v>167</v>
      </c>
      <c r="W45" s="8">
        <v>450000</v>
      </c>
      <c r="X45" s="8">
        <v>369012</v>
      </c>
      <c r="Y45" s="8" t="s">
        <v>168</v>
      </c>
      <c r="Z45" s="8" t="s">
        <v>162</v>
      </c>
      <c r="AA45" s="8">
        <v>9</v>
      </c>
      <c r="AB45" s="8" t="s">
        <v>132</v>
      </c>
      <c r="AC45" s="8">
        <v>0</v>
      </c>
      <c r="AD45" s="8" t="s">
        <v>133</v>
      </c>
      <c r="AE45" s="9" t="s">
        <v>134</v>
      </c>
    </row>
    <row r="46" spans="1:31" ht="45">
      <c r="A46" s="7" t="s">
        <v>253</v>
      </c>
      <c r="B46" s="8">
        <v>2024</v>
      </c>
      <c r="C46" s="8">
        <v>45303</v>
      </c>
      <c r="D46" s="8" t="s">
        <v>64</v>
      </c>
      <c r="E46" s="8" t="s">
        <v>53</v>
      </c>
      <c r="F46" s="8" t="s">
        <v>30</v>
      </c>
      <c r="G46" s="8" t="s">
        <v>91</v>
      </c>
      <c r="H46" s="8" t="s">
        <v>136</v>
      </c>
      <c r="I46" s="8" t="s">
        <v>254</v>
      </c>
      <c r="J46" s="8" t="s">
        <v>149</v>
      </c>
      <c r="K46" s="8" t="s">
        <v>145</v>
      </c>
      <c r="L46" s="8" t="s">
        <v>68</v>
      </c>
      <c r="M46" s="8">
        <v>45348</v>
      </c>
      <c r="N46" s="8">
        <v>45332</v>
      </c>
      <c r="O46" s="8" t="s">
        <v>48</v>
      </c>
      <c r="P46" s="8">
        <v>1</v>
      </c>
      <c r="Q46" s="8" t="s">
        <v>127</v>
      </c>
      <c r="R46" s="8" t="s">
        <v>86</v>
      </c>
      <c r="S46" s="8">
        <v>45347</v>
      </c>
      <c r="T46" s="8" t="s">
        <v>41</v>
      </c>
      <c r="U46" s="8" t="s">
        <v>87</v>
      </c>
      <c r="V46" s="8" t="s">
        <v>247</v>
      </c>
      <c r="W46" s="8">
        <v>450000</v>
      </c>
      <c r="X46" s="8">
        <v>348858</v>
      </c>
      <c r="Y46" s="8" t="s">
        <v>130</v>
      </c>
      <c r="Z46" s="8" t="s">
        <v>142</v>
      </c>
      <c r="AA46" s="8">
        <v>29</v>
      </c>
      <c r="AB46" s="8" t="s">
        <v>132</v>
      </c>
      <c r="AC46" s="8">
        <v>0</v>
      </c>
      <c r="AD46" s="8" t="s">
        <v>133</v>
      </c>
      <c r="AE46" s="9" t="s">
        <v>134</v>
      </c>
    </row>
    <row r="47" spans="1:31" ht="45">
      <c r="A47" s="7" t="s">
        <v>255</v>
      </c>
      <c r="B47" s="8">
        <v>2024</v>
      </c>
      <c r="C47" s="8">
        <v>45306</v>
      </c>
      <c r="D47" s="8" t="s">
        <v>89</v>
      </c>
      <c r="E47" s="8" t="s">
        <v>37</v>
      </c>
      <c r="F47" s="8" t="s">
        <v>30</v>
      </c>
      <c r="G47" s="8" t="s">
        <v>93</v>
      </c>
      <c r="H47" s="8" t="s">
        <v>159</v>
      </c>
      <c r="I47" s="8" t="s">
        <v>174</v>
      </c>
      <c r="J47" s="8" t="s">
        <v>125</v>
      </c>
      <c r="K47" s="8" t="s">
        <v>156</v>
      </c>
      <c r="L47" s="8" t="s">
        <v>73</v>
      </c>
      <c r="M47" s="8">
        <v>45316</v>
      </c>
      <c r="N47" s="8">
        <v>45315</v>
      </c>
      <c r="O47" s="8" t="s">
        <v>48</v>
      </c>
      <c r="P47" s="8">
        <v>1</v>
      </c>
      <c r="Q47" s="8" t="s">
        <v>132</v>
      </c>
      <c r="R47" s="8" t="s">
        <v>150</v>
      </c>
      <c r="S47" s="8">
        <v>45330</v>
      </c>
      <c r="T47" s="8" t="s">
        <v>33</v>
      </c>
      <c r="U47" s="8" t="s">
        <v>77</v>
      </c>
      <c r="V47" s="8" t="s">
        <v>146</v>
      </c>
      <c r="W47" s="8">
        <v>1800000</v>
      </c>
      <c r="X47" s="8">
        <v>1389026</v>
      </c>
      <c r="Y47" s="8" t="s">
        <v>168</v>
      </c>
      <c r="Z47" s="8" t="s">
        <v>210</v>
      </c>
      <c r="AA47" s="8">
        <v>9</v>
      </c>
      <c r="AB47" s="8" t="s">
        <v>132</v>
      </c>
      <c r="AC47" s="8">
        <v>0</v>
      </c>
      <c r="AD47" s="8" t="s">
        <v>133</v>
      </c>
      <c r="AE47" s="9" t="s">
        <v>134</v>
      </c>
    </row>
    <row r="48" spans="1:31" ht="45">
      <c r="A48" s="7" t="s">
        <v>256</v>
      </c>
      <c r="B48" s="8">
        <v>2024</v>
      </c>
      <c r="C48" s="8">
        <v>45325</v>
      </c>
      <c r="D48" s="8" t="s">
        <v>36</v>
      </c>
      <c r="E48" s="8" t="s">
        <v>65</v>
      </c>
      <c r="F48" s="8" t="s">
        <v>38</v>
      </c>
      <c r="G48" s="8" t="s">
        <v>71</v>
      </c>
      <c r="H48" s="8" t="s">
        <v>170</v>
      </c>
      <c r="I48" s="8" t="s">
        <v>165</v>
      </c>
      <c r="J48" s="8" t="s">
        <v>125</v>
      </c>
      <c r="K48" s="8" t="s">
        <v>249</v>
      </c>
      <c r="L48" s="8" t="s">
        <v>51</v>
      </c>
      <c r="M48" s="8">
        <v>45335</v>
      </c>
      <c r="N48" s="8">
        <v>45330</v>
      </c>
      <c r="O48" s="8" t="s">
        <v>48</v>
      </c>
      <c r="P48" s="8">
        <v>1</v>
      </c>
      <c r="Q48" s="8" t="s">
        <v>127</v>
      </c>
      <c r="R48" s="8" t="s">
        <v>35</v>
      </c>
      <c r="S48" s="8">
        <v>45340</v>
      </c>
      <c r="T48" s="8" t="s">
        <v>33</v>
      </c>
      <c r="U48" s="8" t="s">
        <v>62</v>
      </c>
      <c r="V48" s="8" t="s">
        <v>129</v>
      </c>
      <c r="W48" s="8">
        <v>380000</v>
      </c>
      <c r="X48" s="8">
        <v>347442</v>
      </c>
      <c r="Y48" s="8" t="s">
        <v>141</v>
      </c>
      <c r="Z48" s="8" t="s">
        <v>162</v>
      </c>
      <c r="AA48" s="8">
        <v>5</v>
      </c>
      <c r="AB48" s="8" t="s">
        <v>132</v>
      </c>
      <c r="AC48" s="8">
        <v>0</v>
      </c>
      <c r="AD48" s="8" t="s">
        <v>157</v>
      </c>
      <c r="AE48" s="9" t="s">
        <v>134</v>
      </c>
    </row>
    <row r="49" spans="1:31" ht="45">
      <c r="A49" s="7" t="s">
        <v>257</v>
      </c>
      <c r="B49" s="8">
        <v>2024</v>
      </c>
      <c r="C49" s="8">
        <v>45334</v>
      </c>
      <c r="D49" s="8" t="s">
        <v>58</v>
      </c>
      <c r="E49" s="8" t="s">
        <v>85</v>
      </c>
      <c r="F49" s="8" t="s">
        <v>38</v>
      </c>
      <c r="G49" s="8" t="s">
        <v>60</v>
      </c>
      <c r="H49" s="8" t="s">
        <v>164</v>
      </c>
      <c r="I49" s="8" t="s">
        <v>187</v>
      </c>
      <c r="J49" s="8" t="s">
        <v>125</v>
      </c>
      <c r="K49" s="8" t="s">
        <v>215</v>
      </c>
      <c r="L49" s="8" t="s">
        <v>78</v>
      </c>
      <c r="M49" s="8">
        <v>45379</v>
      </c>
      <c r="N49" s="8">
        <v>45369</v>
      </c>
      <c r="O49" s="8" t="s">
        <v>48</v>
      </c>
      <c r="P49" s="8">
        <v>1</v>
      </c>
      <c r="Q49" s="8" t="s">
        <v>132</v>
      </c>
      <c r="R49" s="8" t="s">
        <v>86</v>
      </c>
      <c r="S49" s="8">
        <v>45384</v>
      </c>
      <c r="T49" s="8" t="s">
        <v>33</v>
      </c>
      <c r="U49" s="8" t="s">
        <v>82</v>
      </c>
      <c r="V49" s="8" t="s">
        <v>151</v>
      </c>
      <c r="W49" s="8">
        <v>250000</v>
      </c>
      <c r="X49" s="8">
        <v>205541</v>
      </c>
      <c r="Y49" s="8" t="s">
        <v>141</v>
      </c>
      <c r="Z49" s="8" t="s">
        <v>210</v>
      </c>
      <c r="AA49" s="8">
        <v>35</v>
      </c>
      <c r="AB49" s="8" t="s">
        <v>132</v>
      </c>
      <c r="AC49" s="8">
        <v>0</v>
      </c>
      <c r="AD49" s="8" t="s">
        <v>157</v>
      </c>
      <c r="AE49" s="9" t="s">
        <v>134</v>
      </c>
    </row>
    <row r="50" spans="1:31" ht="45">
      <c r="A50" s="7" t="s">
        <v>258</v>
      </c>
      <c r="B50" s="8">
        <v>2024</v>
      </c>
      <c r="C50" s="8">
        <v>45334</v>
      </c>
      <c r="D50" s="8" t="s">
        <v>58</v>
      </c>
      <c r="E50" s="8" t="s">
        <v>75</v>
      </c>
      <c r="F50" s="8" t="s">
        <v>46</v>
      </c>
      <c r="G50" s="8" t="s">
        <v>90</v>
      </c>
      <c r="H50" s="8" t="s">
        <v>170</v>
      </c>
      <c r="I50" s="8" t="s">
        <v>243</v>
      </c>
      <c r="J50" s="8" t="s">
        <v>172</v>
      </c>
      <c r="K50" s="8" t="s">
        <v>161</v>
      </c>
      <c r="L50" s="8" t="s">
        <v>57</v>
      </c>
      <c r="M50" s="8">
        <v>45364</v>
      </c>
      <c r="N50" s="8">
        <v>45367</v>
      </c>
      <c r="O50" s="8" t="s">
        <v>48</v>
      </c>
      <c r="P50" s="8">
        <v>1</v>
      </c>
      <c r="Q50" s="8" t="s">
        <v>132</v>
      </c>
      <c r="R50" s="8" t="s">
        <v>35</v>
      </c>
      <c r="S50" s="8">
        <v>45382</v>
      </c>
      <c r="T50" s="8" t="s">
        <v>33</v>
      </c>
      <c r="U50" s="8" t="s">
        <v>77</v>
      </c>
      <c r="V50" s="8" t="s">
        <v>146</v>
      </c>
      <c r="W50" s="8">
        <v>600000</v>
      </c>
      <c r="X50" s="8">
        <v>544863</v>
      </c>
      <c r="Y50" s="8" t="s">
        <v>168</v>
      </c>
      <c r="Z50" s="8" t="s">
        <v>142</v>
      </c>
      <c r="AA50" s="8">
        <v>33</v>
      </c>
      <c r="AB50" s="8" t="s">
        <v>127</v>
      </c>
      <c r="AC50" s="8">
        <v>0</v>
      </c>
      <c r="AD50" s="8" t="s">
        <v>157</v>
      </c>
      <c r="AE50" s="9" t="s">
        <v>134</v>
      </c>
    </row>
    <row r="51" spans="1:31" ht="45">
      <c r="A51" s="7" t="s">
        <v>259</v>
      </c>
      <c r="B51" s="8">
        <v>2024</v>
      </c>
      <c r="C51" s="8">
        <v>45346</v>
      </c>
      <c r="D51" s="8" t="s">
        <v>64</v>
      </c>
      <c r="E51" s="8" t="s">
        <v>45</v>
      </c>
      <c r="F51" s="8" t="s">
        <v>38</v>
      </c>
      <c r="G51" s="8" t="s">
        <v>76</v>
      </c>
      <c r="H51" s="8" t="s">
        <v>251</v>
      </c>
      <c r="I51" s="8" t="s">
        <v>237</v>
      </c>
      <c r="J51" s="8" t="s">
        <v>172</v>
      </c>
      <c r="K51" s="8" t="s">
        <v>249</v>
      </c>
      <c r="L51" s="8" t="s">
        <v>83</v>
      </c>
      <c r="M51" s="8">
        <v>45376</v>
      </c>
      <c r="N51" s="8">
        <v>45377</v>
      </c>
      <c r="O51" s="8" t="s">
        <v>48</v>
      </c>
      <c r="P51" s="8">
        <v>1</v>
      </c>
      <c r="Q51" s="8" t="s">
        <v>166</v>
      </c>
      <c r="R51" s="8" t="s">
        <v>86</v>
      </c>
      <c r="S51" s="8"/>
      <c r="T51" s="8" t="s">
        <v>33</v>
      </c>
      <c r="U51" s="8" t="s">
        <v>77</v>
      </c>
      <c r="V51" s="8" t="s">
        <v>140</v>
      </c>
      <c r="W51" s="8">
        <v>380000</v>
      </c>
      <c r="X51" s="8">
        <v>297170</v>
      </c>
      <c r="Y51" s="8" t="s">
        <v>141</v>
      </c>
      <c r="Z51" s="8" t="s">
        <v>210</v>
      </c>
      <c r="AA51" s="8">
        <v>31</v>
      </c>
      <c r="AB51" s="8" t="s">
        <v>127</v>
      </c>
      <c r="AC51" s="8">
        <v>0</v>
      </c>
      <c r="AD51" s="8" t="s">
        <v>157</v>
      </c>
      <c r="AE51" s="9" t="s">
        <v>134</v>
      </c>
    </row>
    <row r="52" spans="1:31" ht="45">
      <c r="A52" s="7" t="s">
        <v>260</v>
      </c>
      <c r="B52" s="8">
        <v>2024</v>
      </c>
      <c r="C52" s="8">
        <v>45374</v>
      </c>
      <c r="D52" s="8" t="s">
        <v>79</v>
      </c>
      <c r="E52" s="8" t="s">
        <v>29</v>
      </c>
      <c r="F52" s="8" t="s">
        <v>46</v>
      </c>
      <c r="G52" s="8" t="s">
        <v>90</v>
      </c>
      <c r="H52" s="8" t="s">
        <v>170</v>
      </c>
      <c r="I52" s="8" t="s">
        <v>261</v>
      </c>
      <c r="J52" s="8" t="s">
        <v>125</v>
      </c>
      <c r="K52" s="8" t="s">
        <v>126</v>
      </c>
      <c r="L52" s="8" t="s">
        <v>51</v>
      </c>
      <c r="M52" s="8">
        <v>45419</v>
      </c>
      <c r="N52" s="8"/>
      <c r="O52" s="8" t="s">
        <v>40</v>
      </c>
      <c r="P52" s="8">
        <v>0.4</v>
      </c>
      <c r="Q52" s="8" t="s">
        <v>166</v>
      </c>
      <c r="R52" s="8" t="s">
        <v>150</v>
      </c>
      <c r="S52" s="8"/>
      <c r="T52" s="8" t="s">
        <v>41</v>
      </c>
      <c r="U52" s="8" t="s">
        <v>50</v>
      </c>
      <c r="V52" s="8" t="s">
        <v>247</v>
      </c>
      <c r="W52" s="8">
        <v>1200000</v>
      </c>
      <c r="X52" s="8">
        <v>1224654</v>
      </c>
      <c r="Y52" s="8" t="s">
        <v>152</v>
      </c>
      <c r="Z52" s="8" t="s">
        <v>162</v>
      </c>
      <c r="AA52" s="8">
        <v>804</v>
      </c>
      <c r="AB52" s="8" t="s">
        <v>202</v>
      </c>
      <c r="AC52" s="8">
        <v>759</v>
      </c>
      <c r="AD52" s="8" t="s">
        <v>185</v>
      </c>
      <c r="AE52" s="9" t="s">
        <v>134</v>
      </c>
    </row>
    <row r="53" spans="1:31" ht="45">
      <c r="A53" s="7" t="s">
        <v>262</v>
      </c>
      <c r="B53" s="8">
        <v>2024</v>
      </c>
      <c r="C53" s="8">
        <v>45387</v>
      </c>
      <c r="D53" s="8" t="s">
        <v>74</v>
      </c>
      <c r="E53" s="8" t="s">
        <v>37</v>
      </c>
      <c r="F53" s="8" t="s">
        <v>46</v>
      </c>
      <c r="G53" s="8" t="s">
        <v>90</v>
      </c>
      <c r="H53" s="8" t="s">
        <v>170</v>
      </c>
      <c r="I53" s="8" t="s">
        <v>180</v>
      </c>
      <c r="J53" s="8" t="s">
        <v>183</v>
      </c>
      <c r="K53" s="8" t="s">
        <v>145</v>
      </c>
      <c r="L53" s="8" t="s">
        <v>35</v>
      </c>
      <c r="M53" s="8">
        <v>45432</v>
      </c>
      <c r="N53" s="8">
        <v>45440</v>
      </c>
      <c r="O53" s="8" t="s">
        <v>48</v>
      </c>
      <c r="P53" s="8">
        <v>1</v>
      </c>
      <c r="Q53" s="8" t="s">
        <v>132</v>
      </c>
      <c r="R53" s="8" t="s">
        <v>150</v>
      </c>
      <c r="S53" s="8">
        <v>45447</v>
      </c>
      <c r="T53" s="8" t="s">
        <v>49</v>
      </c>
      <c r="U53" s="8" t="s">
        <v>87</v>
      </c>
      <c r="V53" s="8" t="s">
        <v>72</v>
      </c>
      <c r="W53" s="8">
        <v>250000</v>
      </c>
      <c r="X53" s="8">
        <v>215227</v>
      </c>
      <c r="Y53" s="8" t="s">
        <v>152</v>
      </c>
      <c r="Z53" s="8" t="s">
        <v>131</v>
      </c>
      <c r="AA53" s="8">
        <v>53</v>
      </c>
      <c r="AB53" s="8" t="s">
        <v>127</v>
      </c>
      <c r="AC53" s="8">
        <v>0</v>
      </c>
      <c r="AD53" s="8" t="s">
        <v>190</v>
      </c>
      <c r="AE53" s="9" t="s">
        <v>191</v>
      </c>
    </row>
    <row r="54" spans="1:31" ht="30">
      <c r="A54" s="7" t="s">
        <v>263</v>
      </c>
      <c r="B54" s="8">
        <v>2024</v>
      </c>
      <c r="C54" s="8">
        <v>45395</v>
      </c>
      <c r="D54" s="8" t="s">
        <v>89</v>
      </c>
      <c r="E54" s="8" t="s">
        <v>70</v>
      </c>
      <c r="F54" s="8" t="s">
        <v>46</v>
      </c>
      <c r="G54" s="8" t="s">
        <v>91</v>
      </c>
      <c r="H54" s="8" t="s">
        <v>123</v>
      </c>
      <c r="I54" s="8" t="s">
        <v>137</v>
      </c>
      <c r="J54" s="8" t="s">
        <v>125</v>
      </c>
      <c r="K54" s="8" t="s">
        <v>126</v>
      </c>
      <c r="L54" s="8" t="s">
        <v>78</v>
      </c>
      <c r="M54" s="8">
        <v>45440</v>
      </c>
      <c r="N54" s="8">
        <v>45431</v>
      </c>
      <c r="O54" s="8" t="s">
        <v>48</v>
      </c>
      <c r="P54" s="8">
        <v>1</v>
      </c>
      <c r="Q54" s="8" t="s">
        <v>166</v>
      </c>
      <c r="R54" s="8" t="s">
        <v>150</v>
      </c>
      <c r="S54" s="8"/>
      <c r="T54" s="8" t="s">
        <v>49</v>
      </c>
      <c r="U54" s="8" t="s">
        <v>56</v>
      </c>
      <c r="V54" s="8" t="s">
        <v>188</v>
      </c>
      <c r="W54" s="8">
        <v>850000</v>
      </c>
      <c r="X54" s="8">
        <v>640253</v>
      </c>
      <c r="Y54" s="8" t="s">
        <v>141</v>
      </c>
      <c r="Z54" s="8" t="s">
        <v>142</v>
      </c>
      <c r="AA54" s="8">
        <v>36</v>
      </c>
      <c r="AB54" s="8" t="s">
        <v>132</v>
      </c>
      <c r="AC54" s="8">
        <v>0</v>
      </c>
      <c r="AD54" s="8" t="s">
        <v>190</v>
      </c>
      <c r="AE54" s="9" t="s">
        <v>191</v>
      </c>
    </row>
    <row r="55" spans="1:31" ht="45">
      <c r="A55" s="7" t="s">
        <v>264</v>
      </c>
      <c r="B55" s="8">
        <v>2024</v>
      </c>
      <c r="C55" s="8">
        <v>45396</v>
      </c>
      <c r="D55" s="8" t="s">
        <v>84</v>
      </c>
      <c r="E55" s="8" t="s">
        <v>80</v>
      </c>
      <c r="F55" s="8" t="s">
        <v>38</v>
      </c>
      <c r="G55" s="8" t="s">
        <v>71</v>
      </c>
      <c r="H55" s="8" t="s">
        <v>136</v>
      </c>
      <c r="I55" s="8" t="s">
        <v>124</v>
      </c>
      <c r="J55" s="8" t="s">
        <v>144</v>
      </c>
      <c r="K55" s="8" t="s">
        <v>156</v>
      </c>
      <c r="L55" s="8" t="s">
        <v>43</v>
      </c>
      <c r="M55" s="8">
        <v>45456</v>
      </c>
      <c r="N55" s="8"/>
      <c r="O55" s="8" t="s">
        <v>40</v>
      </c>
      <c r="P55" s="8">
        <v>0.6</v>
      </c>
      <c r="Q55" s="8" t="s">
        <v>166</v>
      </c>
      <c r="R55" s="8" t="s">
        <v>43</v>
      </c>
      <c r="S55" s="8"/>
      <c r="T55" s="8" t="s">
        <v>33</v>
      </c>
      <c r="U55" s="8" t="s">
        <v>62</v>
      </c>
      <c r="V55" s="8" t="s">
        <v>167</v>
      </c>
      <c r="W55" s="8">
        <v>250000</v>
      </c>
      <c r="X55" s="8">
        <v>250695</v>
      </c>
      <c r="Y55" s="8" t="s">
        <v>168</v>
      </c>
      <c r="Z55" s="8" t="s">
        <v>131</v>
      </c>
      <c r="AA55" s="8">
        <v>782</v>
      </c>
      <c r="AB55" s="8" t="s">
        <v>202</v>
      </c>
      <c r="AC55" s="8">
        <v>722</v>
      </c>
      <c r="AD55" s="8" t="s">
        <v>190</v>
      </c>
      <c r="AE55" s="9" t="s">
        <v>191</v>
      </c>
    </row>
    <row r="56" spans="1:31" ht="45">
      <c r="A56" s="7" t="s">
        <v>265</v>
      </c>
      <c r="B56" s="8">
        <v>2024</v>
      </c>
      <c r="C56" s="8">
        <v>45405</v>
      </c>
      <c r="D56" s="8" t="s">
        <v>74</v>
      </c>
      <c r="E56" s="8" t="s">
        <v>37</v>
      </c>
      <c r="F56" s="8" t="s">
        <v>46</v>
      </c>
      <c r="G56" s="8" t="s">
        <v>92</v>
      </c>
      <c r="H56" s="8" t="s">
        <v>123</v>
      </c>
      <c r="I56" s="8" t="s">
        <v>174</v>
      </c>
      <c r="J56" s="8" t="s">
        <v>155</v>
      </c>
      <c r="K56" s="8" t="s">
        <v>249</v>
      </c>
      <c r="L56" s="8" t="s">
        <v>51</v>
      </c>
      <c r="M56" s="8">
        <v>45435</v>
      </c>
      <c r="N56" s="8">
        <v>45415</v>
      </c>
      <c r="O56" s="8" t="s">
        <v>61</v>
      </c>
      <c r="P56" s="8">
        <v>0.15</v>
      </c>
      <c r="Q56" s="8" t="s">
        <v>246</v>
      </c>
      <c r="R56" s="8" t="s">
        <v>86</v>
      </c>
      <c r="S56" s="8"/>
      <c r="T56" s="8" t="s">
        <v>41</v>
      </c>
      <c r="U56" s="8" t="s">
        <v>42</v>
      </c>
      <c r="V56" s="8" t="s">
        <v>167</v>
      </c>
      <c r="W56" s="8">
        <v>1200000</v>
      </c>
      <c r="X56" s="8">
        <v>1340609</v>
      </c>
      <c r="Y56" s="8" t="s">
        <v>130</v>
      </c>
      <c r="Z56" s="8" t="s">
        <v>162</v>
      </c>
      <c r="AA56" s="8">
        <v>10</v>
      </c>
      <c r="AB56" s="8" t="s">
        <v>246</v>
      </c>
      <c r="AC56" s="8">
        <v>0</v>
      </c>
      <c r="AD56" s="8" t="s">
        <v>190</v>
      </c>
      <c r="AE56" s="9" t="s">
        <v>191</v>
      </c>
    </row>
    <row r="57" spans="1:31" ht="45">
      <c r="A57" s="7" t="s">
        <v>266</v>
      </c>
      <c r="B57" s="8">
        <v>2024</v>
      </c>
      <c r="C57" s="8">
        <v>45414</v>
      </c>
      <c r="D57" s="8" t="s">
        <v>84</v>
      </c>
      <c r="E57" s="8" t="s">
        <v>45</v>
      </c>
      <c r="F57" s="8" t="s">
        <v>38</v>
      </c>
      <c r="G57" s="8" t="s">
        <v>71</v>
      </c>
      <c r="H57" s="8" t="s">
        <v>251</v>
      </c>
      <c r="I57" s="8" t="s">
        <v>160</v>
      </c>
      <c r="J57" s="8" t="s">
        <v>144</v>
      </c>
      <c r="K57" s="8" t="s">
        <v>249</v>
      </c>
      <c r="L57" s="8" t="s">
        <v>88</v>
      </c>
      <c r="M57" s="8">
        <v>45474</v>
      </c>
      <c r="N57" s="8">
        <v>45466</v>
      </c>
      <c r="O57" s="8" t="s">
        <v>48</v>
      </c>
      <c r="P57" s="8">
        <v>1</v>
      </c>
      <c r="Q57" s="8" t="s">
        <v>132</v>
      </c>
      <c r="R57" s="8" t="s">
        <v>35</v>
      </c>
      <c r="S57" s="8">
        <v>45473</v>
      </c>
      <c r="T57" s="8" t="s">
        <v>41</v>
      </c>
      <c r="U57" s="8" t="s">
        <v>42</v>
      </c>
      <c r="V57" s="8" t="s">
        <v>231</v>
      </c>
      <c r="W57" s="8">
        <v>1200000</v>
      </c>
      <c r="X57" s="8">
        <v>929064</v>
      </c>
      <c r="Y57" s="8" t="s">
        <v>176</v>
      </c>
      <c r="Z57" s="8" t="s">
        <v>131</v>
      </c>
      <c r="AA57" s="8">
        <v>52</v>
      </c>
      <c r="AB57" s="8" t="s">
        <v>132</v>
      </c>
      <c r="AC57" s="8">
        <v>0</v>
      </c>
      <c r="AD57" s="8" t="s">
        <v>195</v>
      </c>
      <c r="AE57" s="9" t="s">
        <v>191</v>
      </c>
    </row>
    <row r="58" spans="1:31" ht="45">
      <c r="A58" s="7" t="s">
        <v>267</v>
      </c>
      <c r="B58" s="8">
        <v>2024</v>
      </c>
      <c r="C58" s="8">
        <v>45428</v>
      </c>
      <c r="D58" s="8" t="s">
        <v>64</v>
      </c>
      <c r="E58" s="8" t="s">
        <v>53</v>
      </c>
      <c r="F58" s="8" t="s">
        <v>38</v>
      </c>
      <c r="G58" s="8" t="s">
        <v>31</v>
      </c>
      <c r="H58" s="8" t="s">
        <v>136</v>
      </c>
      <c r="I58" s="8" t="s">
        <v>197</v>
      </c>
      <c r="J58" s="8" t="s">
        <v>149</v>
      </c>
      <c r="K58" s="8" t="s">
        <v>161</v>
      </c>
      <c r="L58" s="8" t="s">
        <v>51</v>
      </c>
      <c r="M58" s="8">
        <v>45488</v>
      </c>
      <c r="N58" s="8"/>
      <c r="O58" s="8" t="s">
        <v>40</v>
      </c>
      <c r="P58" s="8">
        <v>0.85</v>
      </c>
      <c r="Q58" s="8" t="s">
        <v>166</v>
      </c>
      <c r="R58" s="8" t="s">
        <v>150</v>
      </c>
      <c r="S58" s="8"/>
      <c r="T58" s="8" t="s">
        <v>41</v>
      </c>
      <c r="U58" s="8" t="s">
        <v>67</v>
      </c>
      <c r="V58" s="8" t="s">
        <v>167</v>
      </c>
      <c r="W58" s="8">
        <v>380000</v>
      </c>
      <c r="X58" s="8">
        <v>287888</v>
      </c>
      <c r="Y58" s="8" t="s">
        <v>152</v>
      </c>
      <c r="Z58" s="8" t="s">
        <v>131</v>
      </c>
      <c r="AA58" s="8">
        <v>750</v>
      </c>
      <c r="AB58" s="8" t="s">
        <v>202</v>
      </c>
      <c r="AC58" s="8">
        <v>690</v>
      </c>
      <c r="AD58" s="8" t="s">
        <v>195</v>
      </c>
      <c r="AE58" s="9" t="s">
        <v>191</v>
      </c>
    </row>
    <row r="59" spans="1:31" ht="30">
      <c r="A59" s="7" t="s">
        <v>268</v>
      </c>
      <c r="B59" s="8">
        <v>2024</v>
      </c>
      <c r="C59" s="8">
        <v>45434</v>
      </c>
      <c r="D59" s="8" t="s">
        <v>89</v>
      </c>
      <c r="E59" s="8" t="s">
        <v>53</v>
      </c>
      <c r="F59" s="8" t="s">
        <v>38</v>
      </c>
      <c r="G59" s="8" t="s">
        <v>76</v>
      </c>
      <c r="H59" s="8" t="s">
        <v>164</v>
      </c>
      <c r="I59" s="8" t="s">
        <v>197</v>
      </c>
      <c r="J59" s="8" t="s">
        <v>155</v>
      </c>
      <c r="K59" s="8" t="s">
        <v>139</v>
      </c>
      <c r="L59" s="8" t="s">
        <v>63</v>
      </c>
      <c r="M59" s="8">
        <v>45444</v>
      </c>
      <c r="N59" s="8"/>
      <c r="O59" s="8" t="s">
        <v>55</v>
      </c>
      <c r="P59" s="8">
        <v>0.7</v>
      </c>
      <c r="Q59" s="8" t="s">
        <v>166</v>
      </c>
      <c r="R59" s="8" t="s">
        <v>86</v>
      </c>
      <c r="S59" s="8"/>
      <c r="T59" s="8" t="s">
        <v>33</v>
      </c>
      <c r="U59" s="8" t="s">
        <v>50</v>
      </c>
      <c r="V59" s="8" t="s">
        <v>129</v>
      </c>
      <c r="W59" s="8">
        <v>2500000</v>
      </c>
      <c r="X59" s="8">
        <v>0</v>
      </c>
      <c r="Y59" s="8" t="s">
        <v>176</v>
      </c>
      <c r="Z59" s="8" t="s">
        <v>184</v>
      </c>
      <c r="AA59" s="8">
        <v>744</v>
      </c>
      <c r="AB59" s="8" t="s">
        <v>202</v>
      </c>
      <c r="AC59" s="8">
        <v>734</v>
      </c>
      <c r="AD59" s="8" t="s">
        <v>195</v>
      </c>
      <c r="AE59" s="9" t="s">
        <v>191</v>
      </c>
    </row>
    <row r="60" spans="1:31" ht="45">
      <c r="A60" s="7" t="s">
        <v>269</v>
      </c>
      <c r="B60" s="8">
        <v>2024</v>
      </c>
      <c r="C60" s="8">
        <v>45435</v>
      </c>
      <c r="D60" s="8" t="s">
        <v>28</v>
      </c>
      <c r="E60" s="8" t="s">
        <v>45</v>
      </c>
      <c r="F60" s="8" t="s">
        <v>38</v>
      </c>
      <c r="G60" s="8" t="s">
        <v>76</v>
      </c>
      <c r="H60" s="8" t="s">
        <v>164</v>
      </c>
      <c r="I60" s="8" t="s">
        <v>237</v>
      </c>
      <c r="J60" s="8" t="s">
        <v>144</v>
      </c>
      <c r="K60" s="8" t="s">
        <v>145</v>
      </c>
      <c r="L60" s="8" t="s">
        <v>43</v>
      </c>
      <c r="M60" s="8">
        <v>45465</v>
      </c>
      <c r="N60" s="8">
        <v>45466</v>
      </c>
      <c r="O60" s="8" t="s">
        <v>48</v>
      </c>
      <c r="P60" s="8">
        <v>1</v>
      </c>
      <c r="Q60" s="8" t="s">
        <v>132</v>
      </c>
      <c r="R60" s="8" t="s">
        <v>35</v>
      </c>
      <c r="S60" s="8">
        <v>45481</v>
      </c>
      <c r="T60" s="8" t="s">
        <v>49</v>
      </c>
      <c r="U60" s="8" t="s">
        <v>72</v>
      </c>
      <c r="V60" s="8" t="s">
        <v>140</v>
      </c>
      <c r="W60" s="8">
        <v>380000</v>
      </c>
      <c r="X60" s="8">
        <v>353710</v>
      </c>
      <c r="Y60" s="8" t="s">
        <v>141</v>
      </c>
      <c r="Z60" s="8" t="s">
        <v>162</v>
      </c>
      <c r="AA60" s="8">
        <v>31</v>
      </c>
      <c r="AB60" s="8" t="s">
        <v>127</v>
      </c>
      <c r="AC60" s="8">
        <v>0</v>
      </c>
      <c r="AD60" s="8" t="s">
        <v>195</v>
      </c>
      <c r="AE60" s="9" t="s">
        <v>191</v>
      </c>
    </row>
    <row r="61" spans="1:31" ht="45">
      <c r="A61" s="7" t="s">
        <v>270</v>
      </c>
      <c r="B61" s="8">
        <v>2024</v>
      </c>
      <c r="C61" s="8">
        <v>45444</v>
      </c>
      <c r="D61" s="8" t="s">
        <v>69</v>
      </c>
      <c r="E61" s="8" t="s">
        <v>65</v>
      </c>
      <c r="F61" s="8" t="s">
        <v>30</v>
      </c>
      <c r="G61" s="8" t="s">
        <v>93</v>
      </c>
      <c r="H61" s="8" t="s">
        <v>251</v>
      </c>
      <c r="I61" s="8" t="s">
        <v>165</v>
      </c>
      <c r="J61" s="8" t="s">
        <v>175</v>
      </c>
      <c r="K61" s="8" t="s">
        <v>145</v>
      </c>
      <c r="L61" s="8" t="s">
        <v>73</v>
      </c>
      <c r="M61" s="8">
        <v>45464</v>
      </c>
      <c r="N61" s="8">
        <v>45458</v>
      </c>
      <c r="O61" s="8" t="s">
        <v>48</v>
      </c>
      <c r="P61" s="8">
        <v>1</v>
      </c>
      <c r="Q61" s="8" t="s">
        <v>132</v>
      </c>
      <c r="R61" s="8" t="s">
        <v>150</v>
      </c>
      <c r="S61" s="8">
        <v>45473</v>
      </c>
      <c r="T61" s="8" t="s">
        <v>33</v>
      </c>
      <c r="U61" s="8" t="s">
        <v>82</v>
      </c>
      <c r="V61" s="8" t="s">
        <v>146</v>
      </c>
      <c r="W61" s="8">
        <v>450000</v>
      </c>
      <c r="X61" s="8">
        <v>351389</v>
      </c>
      <c r="Y61" s="8" t="s">
        <v>189</v>
      </c>
      <c r="Z61" s="8" t="s">
        <v>184</v>
      </c>
      <c r="AA61" s="8">
        <v>14</v>
      </c>
      <c r="AB61" s="8" t="s">
        <v>132</v>
      </c>
      <c r="AC61" s="8">
        <v>0</v>
      </c>
      <c r="AD61" s="8" t="s">
        <v>198</v>
      </c>
      <c r="AE61" s="9" t="s">
        <v>191</v>
      </c>
    </row>
    <row r="62" spans="1:31" ht="30">
      <c r="A62" s="7" t="s">
        <v>271</v>
      </c>
      <c r="B62" s="8">
        <v>2024</v>
      </c>
      <c r="C62" s="8">
        <v>45446</v>
      </c>
      <c r="D62" s="8" t="s">
        <v>58</v>
      </c>
      <c r="E62" s="8" t="s">
        <v>70</v>
      </c>
      <c r="F62" s="8" t="s">
        <v>30</v>
      </c>
      <c r="G62" s="8" t="s">
        <v>31</v>
      </c>
      <c r="H62" s="8" t="s">
        <v>123</v>
      </c>
      <c r="I62" s="8" t="s">
        <v>137</v>
      </c>
      <c r="J62" s="8" t="s">
        <v>125</v>
      </c>
      <c r="K62" s="8" t="s">
        <v>126</v>
      </c>
      <c r="L62" s="8" t="s">
        <v>43</v>
      </c>
      <c r="M62" s="8">
        <v>45491</v>
      </c>
      <c r="N62" s="8">
        <v>45496</v>
      </c>
      <c r="O62" s="8" t="s">
        <v>48</v>
      </c>
      <c r="P62" s="8">
        <v>1</v>
      </c>
      <c r="Q62" s="8" t="s">
        <v>132</v>
      </c>
      <c r="R62" s="8" t="s">
        <v>35</v>
      </c>
      <c r="S62" s="8">
        <v>45511</v>
      </c>
      <c r="T62" s="8" t="s">
        <v>33</v>
      </c>
      <c r="U62" s="8" t="s">
        <v>87</v>
      </c>
      <c r="V62" s="8" t="s">
        <v>146</v>
      </c>
      <c r="W62" s="8">
        <v>1200000</v>
      </c>
      <c r="X62" s="8">
        <v>1021752</v>
      </c>
      <c r="Y62" s="8" t="s">
        <v>189</v>
      </c>
      <c r="Z62" s="8" t="s">
        <v>210</v>
      </c>
      <c r="AA62" s="8">
        <v>50</v>
      </c>
      <c r="AB62" s="8" t="s">
        <v>127</v>
      </c>
      <c r="AC62" s="8">
        <v>0</v>
      </c>
      <c r="AD62" s="8" t="s">
        <v>198</v>
      </c>
      <c r="AE62" s="9" t="s">
        <v>191</v>
      </c>
    </row>
    <row r="63" spans="1:31" ht="45">
      <c r="A63" s="7" t="s">
        <v>272</v>
      </c>
      <c r="B63" s="8">
        <v>2024</v>
      </c>
      <c r="C63" s="8">
        <v>45449</v>
      </c>
      <c r="D63" s="8" t="s">
        <v>69</v>
      </c>
      <c r="E63" s="8" t="s">
        <v>85</v>
      </c>
      <c r="F63" s="8" t="s">
        <v>38</v>
      </c>
      <c r="G63" s="8" t="s">
        <v>71</v>
      </c>
      <c r="H63" s="8" t="s">
        <v>251</v>
      </c>
      <c r="I63" s="8" t="s">
        <v>154</v>
      </c>
      <c r="J63" s="8" t="s">
        <v>138</v>
      </c>
      <c r="K63" s="8" t="s">
        <v>126</v>
      </c>
      <c r="L63" s="8" t="s">
        <v>73</v>
      </c>
      <c r="M63" s="8">
        <v>45494</v>
      </c>
      <c r="N63" s="8">
        <v>45490</v>
      </c>
      <c r="O63" s="8" t="s">
        <v>48</v>
      </c>
      <c r="P63" s="8">
        <v>1</v>
      </c>
      <c r="Q63" s="8" t="s">
        <v>132</v>
      </c>
      <c r="R63" s="8" t="s">
        <v>43</v>
      </c>
      <c r="S63" s="8">
        <v>45493</v>
      </c>
      <c r="T63" s="8" t="s">
        <v>33</v>
      </c>
      <c r="U63" s="8" t="s">
        <v>72</v>
      </c>
      <c r="V63" s="8" t="s">
        <v>167</v>
      </c>
      <c r="W63" s="8">
        <v>380000</v>
      </c>
      <c r="X63" s="8">
        <v>345156</v>
      </c>
      <c r="Y63" s="8" t="s">
        <v>176</v>
      </c>
      <c r="Z63" s="8" t="s">
        <v>210</v>
      </c>
      <c r="AA63" s="8">
        <v>41</v>
      </c>
      <c r="AB63" s="8" t="s">
        <v>132</v>
      </c>
      <c r="AC63" s="8">
        <v>0</v>
      </c>
      <c r="AD63" s="8" t="s">
        <v>198</v>
      </c>
      <c r="AE63" s="9" t="s">
        <v>191</v>
      </c>
    </row>
    <row r="64" spans="1:31" ht="45">
      <c r="A64" s="7" t="s">
        <v>273</v>
      </c>
      <c r="B64" s="8">
        <v>2024</v>
      </c>
      <c r="C64" s="8">
        <v>45464</v>
      </c>
      <c r="D64" s="8" t="s">
        <v>74</v>
      </c>
      <c r="E64" s="8" t="s">
        <v>59</v>
      </c>
      <c r="F64" s="8" t="s">
        <v>30</v>
      </c>
      <c r="G64" s="8" t="s">
        <v>66</v>
      </c>
      <c r="H64" s="8" t="s">
        <v>159</v>
      </c>
      <c r="I64" s="8" t="s">
        <v>212</v>
      </c>
      <c r="J64" s="8" t="s">
        <v>125</v>
      </c>
      <c r="K64" s="8" t="s">
        <v>139</v>
      </c>
      <c r="L64" s="8" t="s">
        <v>83</v>
      </c>
      <c r="M64" s="8">
        <v>45524</v>
      </c>
      <c r="N64" s="8"/>
      <c r="O64" s="8" t="s">
        <v>55</v>
      </c>
      <c r="P64" s="8">
        <v>0.7</v>
      </c>
      <c r="Q64" s="8" t="s">
        <v>166</v>
      </c>
      <c r="R64" s="8" t="s">
        <v>43</v>
      </c>
      <c r="S64" s="8"/>
      <c r="T64" s="8" t="s">
        <v>49</v>
      </c>
      <c r="U64" s="8" t="s">
        <v>42</v>
      </c>
      <c r="V64" s="8" t="s">
        <v>231</v>
      </c>
      <c r="W64" s="8">
        <v>600000</v>
      </c>
      <c r="X64" s="8">
        <v>0</v>
      </c>
      <c r="Y64" s="8" t="s">
        <v>141</v>
      </c>
      <c r="Z64" s="8" t="s">
        <v>210</v>
      </c>
      <c r="AA64" s="8">
        <v>714</v>
      </c>
      <c r="AB64" s="8" t="s">
        <v>202</v>
      </c>
      <c r="AC64" s="8">
        <v>654</v>
      </c>
      <c r="AD64" s="8" t="s">
        <v>198</v>
      </c>
      <c r="AE64" s="9" t="s">
        <v>191</v>
      </c>
    </row>
    <row r="65" spans="1:31" ht="45">
      <c r="A65" s="7" t="s">
        <v>274</v>
      </c>
      <c r="B65" s="8">
        <v>2024</v>
      </c>
      <c r="C65" s="8">
        <v>45476</v>
      </c>
      <c r="D65" s="8" t="s">
        <v>36</v>
      </c>
      <c r="E65" s="8" t="s">
        <v>80</v>
      </c>
      <c r="F65" s="8" t="s">
        <v>30</v>
      </c>
      <c r="G65" s="8" t="s">
        <v>93</v>
      </c>
      <c r="H65" s="8" t="s">
        <v>136</v>
      </c>
      <c r="I65" s="8" t="s">
        <v>124</v>
      </c>
      <c r="J65" s="8" t="s">
        <v>138</v>
      </c>
      <c r="K65" s="8" t="s">
        <v>161</v>
      </c>
      <c r="L65" s="8" t="s">
        <v>83</v>
      </c>
      <c r="M65" s="8">
        <v>45491</v>
      </c>
      <c r="N65" s="8"/>
      <c r="O65" s="8" t="s">
        <v>40</v>
      </c>
      <c r="P65" s="8">
        <v>0.5</v>
      </c>
      <c r="Q65" s="8" t="s">
        <v>166</v>
      </c>
      <c r="R65" s="8" t="s">
        <v>35</v>
      </c>
      <c r="S65" s="8"/>
      <c r="T65" s="8" t="s">
        <v>41</v>
      </c>
      <c r="U65" s="8" t="s">
        <v>50</v>
      </c>
      <c r="V65" s="8" t="s">
        <v>247</v>
      </c>
      <c r="W65" s="8">
        <v>1800000</v>
      </c>
      <c r="X65" s="8">
        <v>1711445</v>
      </c>
      <c r="Y65" s="8" t="s">
        <v>152</v>
      </c>
      <c r="Z65" s="8" t="s">
        <v>162</v>
      </c>
      <c r="AA65" s="8">
        <v>702</v>
      </c>
      <c r="AB65" s="8" t="s">
        <v>202</v>
      </c>
      <c r="AC65" s="8">
        <v>687</v>
      </c>
      <c r="AD65" s="8" t="s">
        <v>206</v>
      </c>
      <c r="AE65" s="9" t="s">
        <v>207</v>
      </c>
    </row>
    <row r="66" spans="1:31" ht="30">
      <c r="A66" s="7" t="s">
        <v>275</v>
      </c>
      <c r="B66" s="8">
        <v>2024</v>
      </c>
      <c r="C66" s="8">
        <v>45498</v>
      </c>
      <c r="D66" s="8" t="s">
        <v>74</v>
      </c>
      <c r="E66" s="8" t="s">
        <v>80</v>
      </c>
      <c r="F66" s="8" t="s">
        <v>30</v>
      </c>
      <c r="G66" s="8" t="s">
        <v>47</v>
      </c>
      <c r="H66" s="8" t="s">
        <v>136</v>
      </c>
      <c r="I66" s="8" t="s">
        <v>124</v>
      </c>
      <c r="J66" s="8" t="s">
        <v>183</v>
      </c>
      <c r="K66" s="8" t="s">
        <v>139</v>
      </c>
      <c r="L66" s="8" t="s">
        <v>78</v>
      </c>
      <c r="M66" s="8">
        <v>45528</v>
      </c>
      <c r="N66" s="8"/>
      <c r="O66" s="8" t="s">
        <v>40</v>
      </c>
      <c r="P66" s="8">
        <v>0.25</v>
      </c>
      <c r="Q66" s="8" t="s">
        <v>166</v>
      </c>
      <c r="R66" s="8" t="s">
        <v>43</v>
      </c>
      <c r="S66" s="8"/>
      <c r="T66" s="8" t="s">
        <v>41</v>
      </c>
      <c r="U66" s="8" t="s">
        <v>42</v>
      </c>
      <c r="V66" s="8" t="s">
        <v>146</v>
      </c>
      <c r="W66" s="8">
        <v>2500000</v>
      </c>
      <c r="X66" s="8">
        <v>2340833</v>
      </c>
      <c r="Y66" s="8" t="s">
        <v>168</v>
      </c>
      <c r="Z66" s="8" t="s">
        <v>210</v>
      </c>
      <c r="AA66" s="8">
        <v>680</v>
      </c>
      <c r="AB66" s="8" t="s">
        <v>202</v>
      </c>
      <c r="AC66" s="8">
        <v>650</v>
      </c>
      <c r="AD66" s="8" t="s">
        <v>206</v>
      </c>
      <c r="AE66" s="9" t="s">
        <v>207</v>
      </c>
    </row>
    <row r="67" spans="1:31" ht="30">
      <c r="A67" s="7" t="s">
        <v>276</v>
      </c>
      <c r="B67" s="8">
        <v>2024</v>
      </c>
      <c r="C67" s="8">
        <v>45516</v>
      </c>
      <c r="D67" s="8" t="s">
        <v>58</v>
      </c>
      <c r="E67" s="8" t="s">
        <v>59</v>
      </c>
      <c r="F67" s="8" t="s">
        <v>46</v>
      </c>
      <c r="G67" s="8" t="s">
        <v>93</v>
      </c>
      <c r="H67" s="8" t="s">
        <v>170</v>
      </c>
      <c r="I67" s="8" t="s">
        <v>148</v>
      </c>
      <c r="J67" s="8" t="s">
        <v>175</v>
      </c>
      <c r="K67" s="8" t="s">
        <v>126</v>
      </c>
      <c r="L67" s="8" t="s">
        <v>78</v>
      </c>
      <c r="M67" s="8">
        <v>45536</v>
      </c>
      <c r="N67" s="8">
        <v>45536</v>
      </c>
      <c r="O67" s="8" t="s">
        <v>48</v>
      </c>
      <c r="P67" s="8">
        <v>1</v>
      </c>
      <c r="Q67" s="8" t="s">
        <v>132</v>
      </c>
      <c r="R67" s="8" t="s">
        <v>86</v>
      </c>
      <c r="S67" s="8">
        <v>45546</v>
      </c>
      <c r="T67" s="8" t="s">
        <v>49</v>
      </c>
      <c r="U67" s="8" t="s">
        <v>77</v>
      </c>
      <c r="V67" s="8" t="s">
        <v>146</v>
      </c>
      <c r="W67" s="8">
        <v>600000</v>
      </c>
      <c r="X67" s="8">
        <v>655443</v>
      </c>
      <c r="Y67" s="8" t="s">
        <v>130</v>
      </c>
      <c r="Z67" s="8" t="s">
        <v>142</v>
      </c>
      <c r="AA67" s="8">
        <v>20</v>
      </c>
      <c r="AB67" s="8" t="s">
        <v>132</v>
      </c>
      <c r="AC67" s="8">
        <v>0</v>
      </c>
      <c r="AD67" s="8" t="s">
        <v>213</v>
      </c>
      <c r="AE67" s="9" t="s">
        <v>207</v>
      </c>
    </row>
    <row r="68" spans="1:31" ht="30">
      <c r="A68" s="7" t="s">
        <v>277</v>
      </c>
      <c r="B68" s="8">
        <v>2024</v>
      </c>
      <c r="C68" s="8">
        <v>45520</v>
      </c>
      <c r="D68" s="8" t="s">
        <v>89</v>
      </c>
      <c r="E68" s="8" t="s">
        <v>45</v>
      </c>
      <c r="F68" s="8" t="s">
        <v>38</v>
      </c>
      <c r="G68" s="8" t="s">
        <v>76</v>
      </c>
      <c r="H68" s="8" t="s">
        <v>251</v>
      </c>
      <c r="I68" s="8" t="s">
        <v>237</v>
      </c>
      <c r="J68" s="8" t="s">
        <v>172</v>
      </c>
      <c r="K68" s="8" t="s">
        <v>126</v>
      </c>
      <c r="L68" s="8" t="s">
        <v>63</v>
      </c>
      <c r="M68" s="8">
        <v>45535</v>
      </c>
      <c r="N68" s="8">
        <v>45528</v>
      </c>
      <c r="O68" s="8" t="s">
        <v>48</v>
      </c>
      <c r="P68" s="8">
        <v>1</v>
      </c>
      <c r="Q68" s="8" t="s">
        <v>132</v>
      </c>
      <c r="R68" s="8" t="s">
        <v>35</v>
      </c>
      <c r="S68" s="8">
        <v>45535</v>
      </c>
      <c r="T68" s="8" t="s">
        <v>41</v>
      </c>
      <c r="U68" s="8" t="s">
        <v>62</v>
      </c>
      <c r="V68" s="8" t="s">
        <v>231</v>
      </c>
      <c r="W68" s="8">
        <v>1200000</v>
      </c>
      <c r="X68" s="8">
        <v>1348439</v>
      </c>
      <c r="Y68" s="8" t="s">
        <v>168</v>
      </c>
      <c r="Z68" s="8" t="s">
        <v>210</v>
      </c>
      <c r="AA68" s="8">
        <v>8</v>
      </c>
      <c r="AB68" s="8" t="s">
        <v>132</v>
      </c>
      <c r="AC68" s="8">
        <v>0</v>
      </c>
      <c r="AD68" s="8" t="s">
        <v>213</v>
      </c>
      <c r="AE68" s="9" t="s">
        <v>207</v>
      </c>
    </row>
    <row r="69" spans="1:31" ht="30">
      <c r="A69" s="7" t="s">
        <v>278</v>
      </c>
      <c r="B69" s="8">
        <v>2024</v>
      </c>
      <c r="C69" s="8">
        <v>45539</v>
      </c>
      <c r="D69" s="8" t="s">
        <v>89</v>
      </c>
      <c r="E69" s="8" t="s">
        <v>70</v>
      </c>
      <c r="F69" s="8" t="s">
        <v>38</v>
      </c>
      <c r="G69" s="8" t="s">
        <v>93</v>
      </c>
      <c r="H69" s="8" t="s">
        <v>170</v>
      </c>
      <c r="I69" s="8" t="s">
        <v>252</v>
      </c>
      <c r="J69" s="8" t="s">
        <v>183</v>
      </c>
      <c r="K69" s="8" t="s">
        <v>139</v>
      </c>
      <c r="L69" s="8" t="s">
        <v>35</v>
      </c>
      <c r="M69" s="8">
        <v>45569</v>
      </c>
      <c r="N69" s="8">
        <v>45574</v>
      </c>
      <c r="O69" s="8" t="s">
        <v>48</v>
      </c>
      <c r="P69" s="8">
        <v>1</v>
      </c>
      <c r="Q69" s="8" t="s">
        <v>132</v>
      </c>
      <c r="R69" s="8" t="s">
        <v>86</v>
      </c>
      <c r="S69" s="8">
        <v>45589</v>
      </c>
      <c r="T69" s="8" t="s">
        <v>41</v>
      </c>
      <c r="U69" s="8" t="s">
        <v>42</v>
      </c>
      <c r="V69" s="8" t="s">
        <v>140</v>
      </c>
      <c r="W69" s="8">
        <v>600000</v>
      </c>
      <c r="X69" s="8">
        <v>563154</v>
      </c>
      <c r="Y69" s="8" t="s">
        <v>168</v>
      </c>
      <c r="Z69" s="8" t="s">
        <v>184</v>
      </c>
      <c r="AA69" s="8">
        <v>35</v>
      </c>
      <c r="AB69" s="8" t="s">
        <v>127</v>
      </c>
      <c r="AC69" s="8">
        <v>0</v>
      </c>
      <c r="AD69" s="8" t="s">
        <v>224</v>
      </c>
      <c r="AE69" s="9" t="s">
        <v>207</v>
      </c>
    </row>
    <row r="70" spans="1:31" ht="45">
      <c r="A70" s="7" t="s">
        <v>279</v>
      </c>
      <c r="B70" s="8">
        <v>2024</v>
      </c>
      <c r="C70" s="8">
        <v>45551</v>
      </c>
      <c r="D70" s="8" t="s">
        <v>52</v>
      </c>
      <c r="E70" s="8" t="s">
        <v>29</v>
      </c>
      <c r="F70" s="8" t="s">
        <v>38</v>
      </c>
      <c r="G70" s="8" t="s">
        <v>92</v>
      </c>
      <c r="H70" s="8" t="s">
        <v>136</v>
      </c>
      <c r="I70" s="8" t="s">
        <v>280</v>
      </c>
      <c r="J70" s="8" t="s">
        <v>172</v>
      </c>
      <c r="K70" s="8" t="s">
        <v>139</v>
      </c>
      <c r="L70" s="8" t="s">
        <v>83</v>
      </c>
      <c r="M70" s="8">
        <v>45571</v>
      </c>
      <c r="N70" s="8">
        <v>45565</v>
      </c>
      <c r="O70" s="8" t="s">
        <v>48</v>
      </c>
      <c r="P70" s="8">
        <v>1</v>
      </c>
      <c r="Q70" s="8" t="s">
        <v>132</v>
      </c>
      <c r="R70" s="8" t="s">
        <v>128</v>
      </c>
      <c r="S70" s="8">
        <v>45568</v>
      </c>
      <c r="T70" s="8" t="s">
        <v>49</v>
      </c>
      <c r="U70" s="8" t="s">
        <v>67</v>
      </c>
      <c r="V70" s="8" t="s">
        <v>231</v>
      </c>
      <c r="W70" s="8">
        <v>1200000</v>
      </c>
      <c r="X70" s="8">
        <v>1109736</v>
      </c>
      <c r="Y70" s="8" t="s">
        <v>130</v>
      </c>
      <c r="Z70" s="8" t="s">
        <v>162</v>
      </c>
      <c r="AA70" s="8">
        <v>14</v>
      </c>
      <c r="AB70" s="8" t="s">
        <v>132</v>
      </c>
      <c r="AC70" s="8">
        <v>0</v>
      </c>
      <c r="AD70" s="8" t="s">
        <v>224</v>
      </c>
      <c r="AE70" s="9" t="s">
        <v>207</v>
      </c>
    </row>
    <row r="71" spans="1:31" ht="45">
      <c r="A71" s="7" t="s">
        <v>281</v>
      </c>
      <c r="B71" s="8">
        <v>2024</v>
      </c>
      <c r="C71" s="8">
        <v>45552</v>
      </c>
      <c r="D71" s="8" t="s">
        <v>44</v>
      </c>
      <c r="E71" s="8" t="s">
        <v>37</v>
      </c>
      <c r="F71" s="8" t="s">
        <v>38</v>
      </c>
      <c r="G71" s="8" t="s">
        <v>60</v>
      </c>
      <c r="H71" s="8" t="s">
        <v>159</v>
      </c>
      <c r="I71" s="8" t="s">
        <v>282</v>
      </c>
      <c r="J71" s="8" t="s">
        <v>172</v>
      </c>
      <c r="K71" s="8" t="s">
        <v>249</v>
      </c>
      <c r="L71" s="8" t="s">
        <v>83</v>
      </c>
      <c r="M71" s="8">
        <v>45572</v>
      </c>
      <c r="N71" s="8"/>
      <c r="O71" s="8" t="s">
        <v>40</v>
      </c>
      <c r="P71" s="8">
        <v>0.5</v>
      </c>
      <c r="Q71" s="8" t="s">
        <v>166</v>
      </c>
      <c r="R71" s="8" t="s">
        <v>43</v>
      </c>
      <c r="S71" s="8"/>
      <c r="T71" s="8" t="s">
        <v>33</v>
      </c>
      <c r="U71" s="8" t="s">
        <v>50</v>
      </c>
      <c r="V71" s="8" t="s">
        <v>72</v>
      </c>
      <c r="W71" s="8">
        <v>380000</v>
      </c>
      <c r="X71" s="8">
        <v>356186</v>
      </c>
      <c r="Y71" s="8" t="s">
        <v>189</v>
      </c>
      <c r="Z71" s="8" t="s">
        <v>131</v>
      </c>
      <c r="AA71" s="8">
        <v>626</v>
      </c>
      <c r="AB71" s="8" t="s">
        <v>202</v>
      </c>
      <c r="AC71" s="8">
        <v>606</v>
      </c>
      <c r="AD71" s="8" t="s">
        <v>224</v>
      </c>
      <c r="AE71" s="9" t="s">
        <v>207</v>
      </c>
    </row>
    <row r="72" spans="1:31" ht="45">
      <c r="A72" s="7" t="s">
        <v>283</v>
      </c>
      <c r="B72" s="8">
        <v>2024</v>
      </c>
      <c r="C72" s="8">
        <v>45554</v>
      </c>
      <c r="D72" s="8" t="s">
        <v>74</v>
      </c>
      <c r="E72" s="8" t="s">
        <v>70</v>
      </c>
      <c r="F72" s="8" t="s">
        <v>38</v>
      </c>
      <c r="G72" s="8" t="s">
        <v>71</v>
      </c>
      <c r="H72" s="8" t="s">
        <v>251</v>
      </c>
      <c r="I72" s="8" t="s">
        <v>209</v>
      </c>
      <c r="J72" s="8" t="s">
        <v>149</v>
      </c>
      <c r="K72" s="8" t="s">
        <v>161</v>
      </c>
      <c r="L72" s="8" t="s">
        <v>35</v>
      </c>
      <c r="M72" s="8">
        <v>45574</v>
      </c>
      <c r="N72" s="8"/>
      <c r="O72" s="8" t="s">
        <v>55</v>
      </c>
      <c r="P72" s="8">
        <v>0.7</v>
      </c>
      <c r="Q72" s="8" t="s">
        <v>166</v>
      </c>
      <c r="R72" s="8" t="s">
        <v>35</v>
      </c>
      <c r="S72" s="8"/>
      <c r="T72" s="8" t="s">
        <v>33</v>
      </c>
      <c r="U72" s="8" t="s">
        <v>50</v>
      </c>
      <c r="V72" s="8" t="s">
        <v>247</v>
      </c>
      <c r="W72" s="8">
        <v>450000</v>
      </c>
      <c r="X72" s="8">
        <v>0</v>
      </c>
      <c r="Y72" s="8" t="s">
        <v>130</v>
      </c>
      <c r="Z72" s="8" t="s">
        <v>131</v>
      </c>
      <c r="AA72" s="8">
        <v>624</v>
      </c>
      <c r="AB72" s="8" t="s">
        <v>202</v>
      </c>
      <c r="AC72" s="8">
        <v>604</v>
      </c>
      <c r="AD72" s="8" t="s">
        <v>224</v>
      </c>
      <c r="AE72" s="9" t="s">
        <v>207</v>
      </c>
    </row>
    <row r="73" spans="1:31" ht="45">
      <c r="A73" s="7" t="s">
        <v>284</v>
      </c>
      <c r="B73" s="8">
        <v>2024</v>
      </c>
      <c r="C73" s="8">
        <v>45570</v>
      </c>
      <c r="D73" s="8" t="s">
        <v>44</v>
      </c>
      <c r="E73" s="8" t="s">
        <v>37</v>
      </c>
      <c r="F73" s="8" t="s">
        <v>30</v>
      </c>
      <c r="G73" s="8" t="s">
        <v>54</v>
      </c>
      <c r="H73" s="8" t="s">
        <v>170</v>
      </c>
      <c r="I73" s="8" t="s">
        <v>174</v>
      </c>
      <c r="J73" s="8" t="s">
        <v>155</v>
      </c>
      <c r="K73" s="8" t="s">
        <v>249</v>
      </c>
      <c r="L73" s="8" t="s">
        <v>88</v>
      </c>
      <c r="M73" s="8">
        <v>45630</v>
      </c>
      <c r="N73" s="8">
        <v>45617</v>
      </c>
      <c r="O73" s="8" t="s">
        <v>48</v>
      </c>
      <c r="P73" s="8">
        <v>1</v>
      </c>
      <c r="Q73" s="8" t="s">
        <v>132</v>
      </c>
      <c r="R73" s="8" t="s">
        <v>35</v>
      </c>
      <c r="S73" s="8">
        <v>45620</v>
      </c>
      <c r="T73" s="8" t="s">
        <v>33</v>
      </c>
      <c r="U73" s="8" t="s">
        <v>67</v>
      </c>
      <c r="V73" s="8" t="s">
        <v>167</v>
      </c>
      <c r="W73" s="8">
        <v>1800000</v>
      </c>
      <c r="X73" s="8">
        <v>1576357</v>
      </c>
      <c r="Y73" s="8" t="s">
        <v>176</v>
      </c>
      <c r="Z73" s="8" t="s">
        <v>131</v>
      </c>
      <c r="AA73" s="8">
        <v>47</v>
      </c>
      <c r="AB73" s="8" t="s">
        <v>132</v>
      </c>
      <c r="AC73" s="8">
        <v>0</v>
      </c>
      <c r="AD73" s="8" t="s">
        <v>227</v>
      </c>
      <c r="AE73" s="9" t="s">
        <v>228</v>
      </c>
    </row>
    <row r="74" spans="1:31" ht="45">
      <c r="A74" s="7" t="s">
        <v>285</v>
      </c>
      <c r="B74" s="8">
        <v>2024</v>
      </c>
      <c r="C74" s="8">
        <v>45579</v>
      </c>
      <c r="D74" s="8" t="s">
        <v>74</v>
      </c>
      <c r="E74" s="8" t="s">
        <v>85</v>
      </c>
      <c r="F74" s="8" t="s">
        <v>46</v>
      </c>
      <c r="G74" s="8" t="s">
        <v>91</v>
      </c>
      <c r="H74" s="8" t="s">
        <v>170</v>
      </c>
      <c r="I74" s="8" t="s">
        <v>286</v>
      </c>
      <c r="J74" s="8" t="s">
        <v>155</v>
      </c>
      <c r="K74" s="8" t="s">
        <v>161</v>
      </c>
      <c r="L74" s="8" t="s">
        <v>35</v>
      </c>
      <c r="M74" s="8">
        <v>45599</v>
      </c>
      <c r="N74" s="8">
        <v>45588</v>
      </c>
      <c r="O74" s="8" t="s">
        <v>48</v>
      </c>
      <c r="P74" s="8">
        <v>1</v>
      </c>
      <c r="Q74" s="8" t="s">
        <v>132</v>
      </c>
      <c r="R74" s="8" t="s">
        <v>35</v>
      </c>
      <c r="S74" s="8">
        <v>45603</v>
      </c>
      <c r="T74" s="8" t="s">
        <v>33</v>
      </c>
      <c r="U74" s="8" t="s">
        <v>77</v>
      </c>
      <c r="V74" s="8" t="s">
        <v>72</v>
      </c>
      <c r="W74" s="8">
        <v>450000</v>
      </c>
      <c r="X74" s="8">
        <v>490260</v>
      </c>
      <c r="Y74" s="8" t="s">
        <v>141</v>
      </c>
      <c r="Z74" s="8" t="s">
        <v>162</v>
      </c>
      <c r="AA74" s="8">
        <v>9</v>
      </c>
      <c r="AB74" s="8" t="s">
        <v>132</v>
      </c>
      <c r="AC74" s="8">
        <v>0</v>
      </c>
      <c r="AD74" s="8" t="s">
        <v>227</v>
      </c>
      <c r="AE74" s="9" t="s">
        <v>228</v>
      </c>
    </row>
    <row r="75" spans="1:31" ht="45">
      <c r="A75" s="7" t="s">
        <v>287</v>
      </c>
      <c r="B75" s="8">
        <v>2024</v>
      </c>
      <c r="C75" s="8">
        <v>45583</v>
      </c>
      <c r="D75" s="8" t="s">
        <v>64</v>
      </c>
      <c r="E75" s="8" t="s">
        <v>59</v>
      </c>
      <c r="F75" s="8" t="s">
        <v>30</v>
      </c>
      <c r="G75" s="8" t="s">
        <v>39</v>
      </c>
      <c r="H75" s="8" t="s">
        <v>136</v>
      </c>
      <c r="I75" s="8" t="s">
        <v>212</v>
      </c>
      <c r="J75" s="8" t="s">
        <v>175</v>
      </c>
      <c r="K75" s="8" t="s">
        <v>249</v>
      </c>
      <c r="L75" s="8" t="s">
        <v>73</v>
      </c>
      <c r="M75" s="8">
        <v>45643</v>
      </c>
      <c r="N75" s="8"/>
      <c r="O75" s="8" t="s">
        <v>55</v>
      </c>
      <c r="P75" s="8">
        <v>0.7</v>
      </c>
      <c r="Q75" s="8" t="s">
        <v>166</v>
      </c>
      <c r="R75" s="8" t="s">
        <v>35</v>
      </c>
      <c r="S75" s="8"/>
      <c r="T75" s="8" t="s">
        <v>41</v>
      </c>
      <c r="U75" s="8" t="s">
        <v>87</v>
      </c>
      <c r="V75" s="8" t="s">
        <v>129</v>
      </c>
      <c r="W75" s="8">
        <v>2500000</v>
      </c>
      <c r="X75" s="8">
        <v>0</v>
      </c>
      <c r="Y75" s="8" t="s">
        <v>168</v>
      </c>
      <c r="Z75" s="8" t="s">
        <v>131</v>
      </c>
      <c r="AA75" s="8">
        <v>595</v>
      </c>
      <c r="AB75" s="8" t="s">
        <v>202</v>
      </c>
      <c r="AC75" s="8">
        <v>535</v>
      </c>
      <c r="AD75" s="8" t="s">
        <v>227</v>
      </c>
      <c r="AE75" s="9" t="s">
        <v>228</v>
      </c>
    </row>
    <row r="76" spans="1:31" ht="45">
      <c r="A76" s="7" t="s">
        <v>288</v>
      </c>
      <c r="B76" s="8">
        <v>2024</v>
      </c>
      <c r="C76" s="8">
        <v>45600</v>
      </c>
      <c r="D76" s="8" t="s">
        <v>89</v>
      </c>
      <c r="E76" s="8" t="s">
        <v>80</v>
      </c>
      <c r="F76" s="8" t="s">
        <v>30</v>
      </c>
      <c r="G76" s="8" t="s">
        <v>60</v>
      </c>
      <c r="H76" s="8" t="s">
        <v>136</v>
      </c>
      <c r="I76" s="8" t="s">
        <v>289</v>
      </c>
      <c r="J76" s="8" t="s">
        <v>155</v>
      </c>
      <c r="K76" s="8" t="s">
        <v>139</v>
      </c>
      <c r="L76" s="8" t="s">
        <v>73</v>
      </c>
      <c r="M76" s="8">
        <v>45630</v>
      </c>
      <c r="N76" s="8">
        <v>45626</v>
      </c>
      <c r="O76" s="8" t="s">
        <v>48</v>
      </c>
      <c r="P76" s="8">
        <v>1</v>
      </c>
      <c r="Q76" s="8" t="s">
        <v>132</v>
      </c>
      <c r="R76" s="8" t="s">
        <v>150</v>
      </c>
      <c r="S76" s="8">
        <v>45629</v>
      </c>
      <c r="T76" s="8" t="s">
        <v>49</v>
      </c>
      <c r="U76" s="8" t="s">
        <v>34</v>
      </c>
      <c r="V76" s="8" t="s">
        <v>231</v>
      </c>
      <c r="W76" s="8">
        <v>450000</v>
      </c>
      <c r="X76" s="8">
        <v>387002</v>
      </c>
      <c r="Y76" s="8" t="s">
        <v>141</v>
      </c>
      <c r="Z76" s="8" t="s">
        <v>184</v>
      </c>
      <c r="AA76" s="8">
        <v>26</v>
      </c>
      <c r="AB76" s="8" t="s">
        <v>132</v>
      </c>
      <c r="AC76" s="8">
        <v>0</v>
      </c>
      <c r="AD76" s="8" t="s">
        <v>234</v>
      </c>
      <c r="AE76" s="9" t="s">
        <v>228</v>
      </c>
    </row>
    <row r="77" spans="1:31" ht="45">
      <c r="A77" s="7" t="s">
        <v>290</v>
      </c>
      <c r="B77" s="8">
        <v>2024</v>
      </c>
      <c r="C77" s="8">
        <v>45607</v>
      </c>
      <c r="D77" s="8" t="s">
        <v>84</v>
      </c>
      <c r="E77" s="8" t="s">
        <v>85</v>
      </c>
      <c r="F77" s="8" t="s">
        <v>38</v>
      </c>
      <c r="G77" s="8" t="s">
        <v>76</v>
      </c>
      <c r="H77" s="8" t="s">
        <v>251</v>
      </c>
      <c r="I77" s="8" t="s">
        <v>286</v>
      </c>
      <c r="J77" s="8" t="s">
        <v>125</v>
      </c>
      <c r="K77" s="8" t="s">
        <v>249</v>
      </c>
      <c r="L77" s="8" t="s">
        <v>88</v>
      </c>
      <c r="M77" s="8">
        <v>45622</v>
      </c>
      <c r="N77" s="8">
        <v>45620</v>
      </c>
      <c r="O77" s="8" t="s">
        <v>48</v>
      </c>
      <c r="P77" s="8">
        <v>1</v>
      </c>
      <c r="Q77" s="8" t="s">
        <v>132</v>
      </c>
      <c r="R77" s="8" t="s">
        <v>35</v>
      </c>
      <c r="S77" s="8">
        <v>45630</v>
      </c>
      <c r="T77" s="8" t="s">
        <v>41</v>
      </c>
      <c r="U77" s="8" t="s">
        <v>87</v>
      </c>
      <c r="V77" s="8" t="s">
        <v>72</v>
      </c>
      <c r="W77" s="8">
        <v>380000</v>
      </c>
      <c r="X77" s="8">
        <v>332181</v>
      </c>
      <c r="Y77" s="8" t="s">
        <v>130</v>
      </c>
      <c r="Z77" s="8" t="s">
        <v>142</v>
      </c>
      <c r="AA77" s="8">
        <v>13</v>
      </c>
      <c r="AB77" s="8" t="s">
        <v>132</v>
      </c>
      <c r="AC77" s="8">
        <v>0</v>
      </c>
      <c r="AD77" s="8" t="s">
        <v>234</v>
      </c>
      <c r="AE77" s="9" t="s">
        <v>228</v>
      </c>
    </row>
    <row r="78" spans="1:31" ht="30">
      <c r="A78" s="7" t="s">
        <v>291</v>
      </c>
      <c r="B78" s="8">
        <v>2024</v>
      </c>
      <c r="C78" s="8">
        <v>45609</v>
      </c>
      <c r="D78" s="8" t="s">
        <v>89</v>
      </c>
      <c r="E78" s="8" t="s">
        <v>85</v>
      </c>
      <c r="F78" s="8" t="s">
        <v>30</v>
      </c>
      <c r="G78" s="8" t="s">
        <v>31</v>
      </c>
      <c r="H78" s="8" t="s">
        <v>251</v>
      </c>
      <c r="I78" s="8" t="s">
        <v>286</v>
      </c>
      <c r="J78" s="8" t="s">
        <v>172</v>
      </c>
      <c r="K78" s="8" t="s">
        <v>126</v>
      </c>
      <c r="L78" s="8" t="s">
        <v>43</v>
      </c>
      <c r="M78" s="8">
        <v>45629</v>
      </c>
      <c r="N78" s="8">
        <v>45621</v>
      </c>
      <c r="O78" s="8" t="s">
        <v>48</v>
      </c>
      <c r="P78" s="8">
        <v>1</v>
      </c>
      <c r="Q78" s="8" t="s">
        <v>132</v>
      </c>
      <c r="R78" s="8" t="s">
        <v>150</v>
      </c>
      <c r="S78" s="8">
        <v>45628</v>
      </c>
      <c r="T78" s="8" t="s">
        <v>33</v>
      </c>
      <c r="U78" s="8" t="s">
        <v>67</v>
      </c>
      <c r="V78" s="8" t="s">
        <v>146</v>
      </c>
      <c r="W78" s="8">
        <v>450000</v>
      </c>
      <c r="X78" s="8">
        <v>444607</v>
      </c>
      <c r="Y78" s="8" t="s">
        <v>189</v>
      </c>
      <c r="Z78" s="8" t="s">
        <v>210</v>
      </c>
      <c r="AA78" s="8">
        <v>12</v>
      </c>
      <c r="AB78" s="8" t="s">
        <v>132</v>
      </c>
      <c r="AC78" s="8">
        <v>0</v>
      </c>
      <c r="AD78" s="8" t="s">
        <v>234</v>
      </c>
      <c r="AE78" s="9" t="s">
        <v>228</v>
      </c>
    </row>
    <row r="79" spans="1:31" ht="45">
      <c r="A79" s="7" t="s">
        <v>292</v>
      </c>
      <c r="B79" s="8">
        <v>2024</v>
      </c>
      <c r="C79" s="8">
        <v>45615</v>
      </c>
      <c r="D79" s="8" t="s">
        <v>58</v>
      </c>
      <c r="E79" s="8" t="s">
        <v>75</v>
      </c>
      <c r="F79" s="8" t="s">
        <v>30</v>
      </c>
      <c r="G79" s="8" t="s">
        <v>54</v>
      </c>
      <c r="H79" s="8" t="s">
        <v>170</v>
      </c>
      <c r="I79" s="8" t="s">
        <v>241</v>
      </c>
      <c r="J79" s="8" t="s">
        <v>175</v>
      </c>
      <c r="K79" s="8" t="s">
        <v>145</v>
      </c>
      <c r="L79" s="8" t="s">
        <v>57</v>
      </c>
      <c r="M79" s="8">
        <v>45645</v>
      </c>
      <c r="N79" s="8">
        <v>45636</v>
      </c>
      <c r="O79" s="8" t="s">
        <v>48</v>
      </c>
      <c r="P79" s="8">
        <v>1</v>
      </c>
      <c r="Q79" s="8" t="s">
        <v>127</v>
      </c>
      <c r="R79" s="8" t="s">
        <v>150</v>
      </c>
      <c r="S79" s="8">
        <v>45651</v>
      </c>
      <c r="T79" s="8" t="s">
        <v>49</v>
      </c>
      <c r="U79" s="8" t="s">
        <v>77</v>
      </c>
      <c r="V79" s="8" t="s">
        <v>72</v>
      </c>
      <c r="W79" s="8">
        <v>850000</v>
      </c>
      <c r="X79" s="8">
        <v>655241</v>
      </c>
      <c r="Y79" s="8" t="s">
        <v>130</v>
      </c>
      <c r="Z79" s="8" t="s">
        <v>210</v>
      </c>
      <c r="AA79" s="8">
        <v>21</v>
      </c>
      <c r="AB79" s="8" t="s">
        <v>132</v>
      </c>
      <c r="AC79" s="8">
        <v>0</v>
      </c>
      <c r="AD79" s="8" t="s">
        <v>234</v>
      </c>
      <c r="AE79" s="9" t="s">
        <v>228</v>
      </c>
    </row>
    <row r="80" spans="1:31" ht="45">
      <c r="A80" s="7" t="s">
        <v>293</v>
      </c>
      <c r="B80" s="8">
        <v>2024</v>
      </c>
      <c r="C80" s="8">
        <v>45617</v>
      </c>
      <c r="D80" s="8" t="s">
        <v>64</v>
      </c>
      <c r="E80" s="8" t="s">
        <v>70</v>
      </c>
      <c r="F80" s="8" t="s">
        <v>46</v>
      </c>
      <c r="G80" s="8" t="s">
        <v>86</v>
      </c>
      <c r="H80" s="8" t="s">
        <v>123</v>
      </c>
      <c r="I80" s="8" t="s">
        <v>137</v>
      </c>
      <c r="J80" s="8" t="s">
        <v>149</v>
      </c>
      <c r="K80" s="8" t="s">
        <v>178</v>
      </c>
      <c r="L80" s="8" t="s">
        <v>43</v>
      </c>
      <c r="M80" s="8">
        <v>45662</v>
      </c>
      <c r="N80" s="8"/>
      <c r="O80" s="8" t="s">
        <v>40</v>
      </c>
      <c r="P80" s="8">
        <v>0.4</v>
      </c>
      <c r="Q80" s="8" t="s">
        <v>166</v>
      </c>
      <c r="R80" s="8" t="s">
        <v>128</v>
      </c>
      <c r="S80" s="8"/>
      <c r="T80" s="8" t="s">
        <v>41</v>
      </c>
      <c r="U80" s="8" t="s">
        <v>82</v>
      </c>
      <c r="V80" s="8" t="s">
        <v>188</v>
      </c>
      <c r="W80" s="8">
        <v>1800000</v>
      </c>
      <c r="X80" s="8">
        <v>1594030</v>
      </c>
      <c r="Y80" s="8" t="s">
        <v>130</v>
      </c>
      <c r="Z80" s="8" t="s">
        <v>162</v>
      </c>
      <c r="AA80" s="8">
        <v>561</v>
      </c>
      <c r="AB80" s="8" t="s">
        <v>202</v>
      </c>
      <c r="AC80" s="8">
        <v>516</v>
      </c>
      <c r="AD80" s="8" t="s">
        <v>234</v>
      </c>
      <c r="AE80" s="9" t="s">
        <v>228</v>
      </c>
    </row>
    <row r="81" spans="1:31" ht="45">
      <c r="A81" s="7" t="s">
        <v>294</v>
      </c>
      <c r="B81" s="8">
        <v>2024</v>
      </c>
      <c r="C81" s="8">
        <v>45621</v>
      </c>
      <c r="D81" s="8" t="s">
        <v>74</v>
      </c>
      <c r="E81" s="8" t="s">
        <v>59</v>
      </c>
      <c r="F81" s="8" t="s">
        <v>30</v>
      </c>
      <c r="G81" s="8" t="s">
        <v>92</v>
      </c>
      <c r="H81" s="8" t="s">
        <v>164</v>
      </c>
      <c r="I81" s="8" t="s">
        <v>148</v>
      </c>
      <c r="J81" s="8" t="s">
        <v>144</v>
      </c>
      <c r="K81" s="8" t="s">
        <v>161</v>
      </c>
      <c r="L81" s="8" t="s">
        <v>57</v>
      </c>
      <c r="M81" s="8">
        <v>45681</v>
      </c>
      <c r="N81" s="8"/>
      <c r="O81" s="8" t="s">
        <v>40</v>
      </c>
      <c r="P81" s="8">
        <v>0.85</v>
      </c>
      <c r="Q81" s="8" t="s">
        <v>166</v>
      </c>
      <c r="R81" s="8" t="s">
        <v>86</v>
      </c>
      <c r="S81" s="8"/>
      <c r="T81" s="8" t="s">
        <v>33</v>
      </c>
      <c r="U81" s="8" t="s">
        <v>67</v>
      </c>
      <c r="V81" s="8" t="s">
        <v>140</v>
      </c>
      <c r="W81" s="8">
        <v>850000</v>
      </c>
      <c r="X81" s="8">
        <v>905627</v>
      </c>
      <c r="Y81" s="8" t="s">
        <v>189</v>
      </c>
      <c r="Z81" s="8" t="s">
        <v>184</v>
      </c>
      <c r="AA81" s="8">
        <v>557</v>
      </c>
      <c r="AB81" s="8" t="s">
        <v>202</v>
      </c>
      <c r="AC81" s="8">
        <v>497</v>
      </c>
      <c r="AD81" s="8" t="s">
        <v>234</v>
      </c>
      <c r="AE81" s="9" t="s">
        <v>228</v>
      </c>
    </row>
    <row r="82" spans="1:31" ht="45">
      <c r="A82" s="7" t="s">
        <v>295</v>
      </c>
      <c r="B82" s="8">
        <v>2024</v>
      </c>
      <c r="C82" s="8">
        <v>45640</v>
      </c>
      <c r="D82" s="8" t="s">
        <v>52</v>
      </c>
      <c r="E82" s="8" t="s">
        <v>59</v>
      </c>
      <c r="F82" s="8" t="s">
        <v>30</v>
      </c>
      <c r="G82" s="8" t="s">
        <v>54</v>
      </c>
      <c r="H82" s="8" t="s">
        <v>170</v>
      </c>
      <c r="I82" s="8" t="s">
        <v>148</v>
      </c>
      <c r="J82" s="8" t="s">
        <v>138</v>
      </c>
      <c r="K82" s="8" t="s">
        <v>161</v>
      </c>
      <c r="L82" s="8" t="s">
        <v>35</v>
      </c>
      <c r="M82" s="8">
        <v>45655</v>
      </c>
      <c r="N82" s="8">
        <v>45654</v>
      </c>
      <c r="O82" s="8" t="s">
        <v>48</v>
      </c>
      <c r="P82" s="8">
        <v>1</v>
      </c>
      <c r="Q82" s="8" t="s">
        <v>132</v>
      </c>
      <c r="R82" s="8" t="s">
        <v>150</v>
      </c>
      <c r="S82" s="8">
        <v>45664</v>
      </c>
      <c r="T82" s="8" t="s">
        <v>41</v>
      </c>
      <c r="U82" s="8" t="s">
        <v>62</v>
      </c>
      <c r="V82" s="8" t="s">
        <v>129</v>
      </c>
      <c r="W82" s="8">
        <v>1800000</v>
      </c>
      <c r="X82" s="8">
        <v>1363493</v>
      </c>
      <c r="Y82" s="8" t="s">
        <v>189</v>
      </c>
      <c r="Z82" s="8" t="s">
        <v>210</v>
      </c>
      <c r="AA82" s="8">
        <v>14</v>
      </c>
      <c r="AB82" s="8" t="s">
        <v>132</v>
      </c>
      <c r="AC82" s="8">
        <v>0</v>
      </c>
      <c r="AD82" s="8" t="s">
        <v>239</v>
      </c>
      <c r="AE82" s="9" t="s">
        <v>228</v>
      </c>
    </row>
    <row r="83" spans="1:31" ht="45">
      <c r="A83" s="7" t="s">
        <v>296</v>
      </c>
      <c r="B83" s="8">
        <v>2024</v>
      </c>
      <c r="C83" s="8">
        <v>45642</v>
      </c>
      <c r="D83" s="8" t="s">
        <v>74</v>
      </c>
      <c r="E83" s="8" t="s">
        <v>75</v>
      </c>
      <c r="F83" s="8" t="s">
        <v>38</v>
      </c>
      <c r="G83" s="8" t="s">
        <v>92</v>
      </c>
      <c r="H83" s="8" t="s">
        <v>170</v>
      </c>
      <c r="I83" s="8" t="s">
        <v>243</v>
      </c>
      <c r="J83" s="8" t="s">
        <v>125</v>
      </c>
      <c r="K83" s="8" t="s">
        <v>126</v>
      </c>
      <c r="L83" s="8" t="s">
        <v>63</v>
      </c>
      <c r="M83" s="8">
        <v>45652</v>
      </c>
      <c r="N83" s="8">
        <v>45649</v>
      </c>
      <c r="O83" s="8" t="s">
        <v>48</v>
      </c>
      <c r="P83" s="8">
        <v>1</v>
      </c>
      <c r="Q83" s="8" t="s">
        <v>132</v>
      </c>
      <c r="R83" s="8" t="s">
        <v>35</v>
      </c>
      <c r="S83" s="8">
        <v>45659</v>
      </c>
      <c r="T83" s="8" t="s">
        <v>33</v>
      </c>
      <c r="U83" s="8" t="s">
        <v>82</v>
      </c>
      <c r="V83" s="8" t="s">
        <v>129</v>
      </c>
      <c r="W83" s="8">
        <v>380000</v>
      </c>
      <c r="X83" s="8">
        <v>319154</v>
      </c>
      <c r="Y83" s="8" t="s">
        <v>189</v>
      </c>
      <c r="Z83" s="8" t="s">
        <v>162</v>
      </c>
      <c r="AA83" s="8">
        <v>7</v>
      </c>
      <c r="AB83" s="8" t="s">
        <v>132</v>
      </c>
      <c r="AC83" s="8">
        <v>0</v>
      </c>
      <c r="AD83" s="8" t="s">
        <v>239</v>
      </c>
      <c r="AE83" s="9" t="s">
        <v>228</v>
      </c>
    </row>
    <row r="84" spans="1:31" ht="45">
      <c r="A84" s="7" t="s">
        <v>297</v>
      </c>
      <c r="B84" s="8">
        <v>2024</v>
      </c>
      <c r="C84" s="8">
        <v>45643</v>
      </c>
      <c r="D84" s="8" t="s">
        <v>64</v>
      </c>
      <c r="E84" s="8" t="s">
        <v>29</v>
      </c>
      <c r="F84" s="8" t="s">
        <v>46</v>
      </c>
      <c r="G84" s="8" t="s">
        <v>47</v>
      </c>
      <c r="H84" s="8" t="s">
        <v>170</v>
      </c>
      <c r="I84" s="8" t="s">
        <v>298</v>
      </c>
      <c r="J84" s="8" t="s">
        <v>183</v>
      </c>
      <c r="K84" s="8" t="s">
        <v>139</v>
      </c>
      <c r="L84" s="8" t="s">
        <v>35</v>
      </c>
      <c r="M84" s="8">
        <v>45658</v>
      </c>
      <c r="N84" s="8">
        <v>45656</v>
      </c>
      <c r="O84" s="8" t="s">
        <v>48</v>
      </c>
      <c r="P84" s="8">
        <v>1</v>
      </c>
      <c r="Q84" s="8" t="s">
        <v>132</v>
      </c>
      <c r="R84" s="8" t="s">
        <v>35</v>
      </c>
      <c r="S84" s="8">
        <v>45666</v>
      </c>
      <c r="T84" s="8" t="s">
        <v>33</v>
      </c>
      <c r="U84" s="8" t="s">
        <v>72</v>
      </c>
      <c r="V84" s="8" t="s">
        <v>188</v>
      </c>
      <c r="W84" s="8">
        <v>250000</v>
      </c>
      <c r="X84" s="8">
        <v>203057</v>
      </c>
      <c r="Y84" s="8" t="s">
        <v>168</v>
      </c>
      <c r="Z84" s="8" t="s">
        <v>142</v>
      </c>
      <c r="AA84" s="8">
        <v>13</v>
      </c>
      <c r="AB84" s="8" t="s">
        <v>132</v>
      </c>
      <c r="AC84" s="8">
        <v>0</v>
      </c>
      <c r="AD84" s="8" t="s">
        <v>239</v>
      </c>
      <c r="AE84" s="9" t="s">
        <v>228</v>
      </c>
    </row>
    <row r="85" spans="1:31" ht="45">
      <c r="A85" s="7" t="s">
        <v>299</v>
      </c>
      <c r="B85" s="8">
        <v>2024</v>
      </c>
      <c r="C85" s="8">
        <v>45647</v>
      </c>
      <c r="D85" s="8" t="s">
        <v>64</v>
      </c>
      <c r="E85" s="8" t="s">
        <v>45</v>
      </c>
      <c r="F85" s="8" t="s">
        <v>30</v>
      </c>
      <c r="G85" s="8" t="s">
        <v>39</v>
      </c>
      <c r="H85" s="8" t="s">
        <v>136</v>
      </c>
      <c r="I85" s="8" t="s">
        <v>300</v>
      </c>
      <c r="J85" s="8" t="s">
        <v>155</v>
      </c>
      <c r="K85" s="8" t="s">
        <v>139</v>
      </c>
      <c r="L85" s="8" t="s">
        <v>68</v>
      </c>
      <c r="M85" s="8">
        <v>45662</v>
      </c>
      <c r="N85" s="8">
        <v>45655</v>
      </c>
      <c r="O85" s="8" t="s">
        <v>48</v>
      </c>
      <c r="P85" s="8">
        <v>1</v>
      </c>
      <c r="Q85" s="8" t="s">
        <v>132</v>
      </c>
      <c r="R85" s="8" t="s">
        <v>128</v>
      </c>
      <c r="S85" s="8">
        <v>45662</v>
      </c>
      <c r="T85" s="8" t="s">
        <v>41</v>
      </c>
      <c r="U85" s="8" t="s">
        <v>82</v>
      </c>
      <c r="V85" s="8" t="s">
        <v>72</v>
      </c>
      <c r="W85" s="8">
        <v>450000</v>
      </c>
      <c r="X85" s="8">
        <v>508732</v>
      </c>
      <c r="Y85" s="8" t="s">
        <v>141</v>
      </c>
      <c r="Z85" s="8" t="s">
        <v>162</v>
      </c>
      <c r="AA85" s="8">
        <v>8</v>
      </c>
      <c r="AB85" s="8" t="s">
        <v>132</v>
      </c>
      <c r="AC85" s="8">
        <v>0</v>
      </c>
      <c r="AD85" s="8" t="s">
        <v>239</v>
      </c>
      <c r="AE85" s="9" t="s">
        <v>228</v>
      </c>
    </row>
    <row r="86" spans="1:31" ht="30">
      <c r="A86" s="7" t="s">
        <v>301</v>
      </c>
      <c r="B86" s="8">
        <v>2024</v>
      </c>
      <c r="C86" s="8">
        <v>45649</v>
      </c>
      <c r="D86" s="8" t="s">
        <v>89</v>
      </c>
      <c r="E86" s="8" t="s">
        <v>65</v>
      </c>
      <c r="F86" s="8" t="s">
        <v>46</v>
      </c>
      <c r="G86" s="8" t="s">
        <v>90</v>
      </c>
      <c r="H86" s="8" t="s">
        <v>159</v>
      </c>
      <c r="I86" s="8" t="s">
        <v>165</v>
      </c>
      <c r="J86" s="8" t="s">
        <v>155</v>
      </c>
      <c r="K86" s="8" t="s">
        <v>178</v>
      </c>
      <c r="L86" s="8" t="s">
        <v>63</v>
      </c>
      <c r="M86" s="8">
        <v>45709</v>
      </c>
      <c r="N86" s="8">
        <v>45696</v>
      </c>
      <c r="O86" s="8" t="s">
        <v>48</v>
      </c>
      <c r="P86" s="8">
        <v>1</v>
      </c>
      <c r="Q86" s="8" t="s">
        <v>132</v>
      </c>
      <c r="R86" s="8" t="s">
        <v>86</v>
      </c>
      <c r="S86" s="8">
        <v>45699</v>
      </c>
      <c r="T86" s="8" t="s">
        <v>41</v>
      </c>
      <c r="U86" s="8" t="s">
        <v>82</v>
      </c>
      <c r="V86" s="8" t="s">
        <v>247</v>
      </c>
      <c r="W86" s="8">
        <v>2500000</v>
      </c>
      <c r="X86" s="8">
        <v>1901284</v>
      </c>
      <c r="Y86" s="8" t="s">
        <v>168</v>
      </c>
      <c r="Z86" s="8" t="s">
        <v>184</v>
      </c>
      <c r="AA86" s="8">
        <v>47</v>
      </c>
      <c r="AB86" s="8" t="s">
        <v>132</v>
      </c>
      <c r="AC86" s="8">
        <v>0</v>
      </c>
      <c r="AD86" s="8" t="s">
        <v>239</v>
      </c>
      <c r="AE86" s="9" t="s">
        <v>228</v>
      </c>
    </row>
    <row r="87" spans="1:31" ht="45">
      <c r="A87" s="7" t="s">
        <v>303</v>
      </c>
      <c r="B87" s="8">
        <v>2025</v>
      </c>
      <c r="C87" s="8">
        <v>45666</v>
      </c>
      <c r="D87" s="8" t="s">
        <v>74</v>
      </c>
      <c r="E87" s="8" t="s">
        <v>65</v>
      </c>
      <c r="F87" s="8" t="s">
        <v>38</v>
      </c>
      <c r="G87" s="8" t="s">
        <v>54</v>
      </c>
      <c r="H87" s="8" t="s">
        <v>159</v>
      </c>
      <c r="I87" s="8" t="s">
        <v>304</v>
      </c>
      <c r="J87" s="8" t="s">
        <v>138</v>
      </c>
      <c r="K87" s="8" t="s">
        <v>215</v>
      </c>
      <c r="L87" s="8" t="s">
        <v>57</v>
      </c>
      <c r="M87" s="8">
        <v>45711</v>
      </c>
      <c r="N87" s="8"/>
      <c r="O87" s="8" t="s">
        <v>55</v>
      </c>
      <c r="P87" s="8">
        <v>0.8</v>
      </c>
      <c r="Q87" s="8" t="s">
        <v>166</v>
      </c>
      <c r="R87" s="8" t="s">
        <v>43</v>
      </c>
      <c r="S87" s="8"/>
      <c r="T87" s="8" t="s">
        <v>41</v>
      </c>
      <c r="U87" s="8" t="s">
        <v>34</v>
      </c>
      <c r="V87" s="8" t="s">
        <v>247</v>
      </c>
      <c r="W87" s="8">
        <v>450000</v>
      </c>
      <c r="X87" s="8">
        <v>0</v>
      </c>
      <c r="Y87" s="8" t="s">
        <v>152</v>
      </c>
      <c r="Z87" s="8" t="s">
        <v>210</v>
      </c>
      <c r="AA87" s="8">
        <v>512</v>
      </c>
      <c r="AB87" s="8" t="s">
        <v>202</v>
      </c>
      <c r="AC87" s="8">
        <v>467</v>
      </c>
      <c r="AD87" s="8" t="s">
        <v>133</v>
      </c>
      <c r="AE87" s="9" t="s">
        <v>134</v>
      </c>
    </row>
    <row r="88" spans="1:31" ht="45">
      <c r="A88" s="7" t="s">
        <v>305</v>
      </c>
      <c r="B88" s="8">
        <v>2025</v>
      </c>
      <c r="C88" s="8">
        <v>45667</v>
      </c>
      <c r="D88" s="8" t="s">
        <v>36</v>
      </c>
      <c r="E88" s="8" t="s">
        <v>85</v>
      </c>
      <c r="F88" s="8" t="s">
        <v>30</v>
      </c>
      <c r="G88" s="8" t="s">
        <v>90</v>
      </c>
      <c r="H88" s="8" t="s">
        <v>159</v>
      </c>
      <c r="I88" s="8" t="s">
        <v>154</v>
      </c>
      <c r="J88" s="8" t="s">
        <v>175</v>
      </c>
      <c r="K88" s="8" t="s">
        <v>215</v>
      </c>
      <c r="L88" s="8" t="s">
        <v>51</v>
      </c>
      <c r="M88" s="8">
        <v>45727</v>
      </c>
      <c r="N88" s="8">
        <v>45719</v>
      </c>
      <c r="O88" s="8" t="s">
        <v>48</v>
      </c>
      <c r="P88" s="8">
        <v>1</v>
      </c>
      <c r="Q88" s="8" t="s">
        <v>132</v>
      </c>
      <c r="R88" s="8" t="s">
        <v>43</v>
      </c>
      <c r="S88" s="8">
        <v>45734</v>
      </c>
      <c r="T88" s="8" t="s">
        <v>49</v>
      </c>
      <c r="U88" s="8" t="s">
        <v>67</v>
      </c>
      <c r="V88" s="8" t="s">
        <v>140</v>
      </c>
      <c r="W88" s="8">
        <v>850000</v>
      </c>
      <c r="X88" s="8">
        <v>684172</v>
      </c>
      <c r="Y88" s="8" t="s">
        <v>168</v>
      </c>
      <c r="Z88" s="8" t="s">
        <v>184</v>
      </c>
      <c r="AA88" s="8">
        <v>52</v>
      </c>
      <c r="AB88" s="8" t="s">
        <v>132</v>
      </c>
      <c r="AC88" s="8">
        <v>0</v>
      </c>
      <c r="AD88" s="8" t="s">
        <v>133</v>
      </c>
      <c r="AE88" s="9" t="s">
        <v>134</v>
      </c>
    </row>
    <row r="89" spans="1:31" ht="45">
      <c r="A89" s="7" t="s">
        <v>306</v>
      </c>
      <c r="B89" s="8">
        <v>2025</v>
      </c>
      <c r="C89" s="8">
        <v>45702</v>
      </c>
      <c r="D89" s="8" t="s">
        <v>69</v>
      </c>
      <c r="E89" s="8" t="s">
        <v>45</v>
      </c>
      <c r="F89" s="8" t="s">
        <v>46</v>
      </c>
      <c r="G89" s="8" t="s">
        <v>92</v>
      </c>
      <c r="H89" s="8" t="s">
        <v>170</v>
      </c>
      <c r="I89" s="8" t="s">
        <v>300</v>
      </c>
      <c r="J89" s="8" t="s">
        <v>138</v>
      </c>
      <c r="K89" s="8" t="s">
        <v>249</v>
      </c>
      <c r="L89" s="8" t="s">
        <v>68</v>
      </c>
      <c r="M89" s="8">
        <v>45717</v>
      </c>
      <c r="N89" s="8"/>
      <c r="O89" s="8" t="s">
        <v>40</v>
      </c>
      <c r="P89" s="8">
        <v>0.5</v>
      </c>
      <c r="Q89" s="8" t="s">
        <v>166</v>
      </c>
      <c r="R89" s="8" t="s">
        <v>43</v>
      </c>
      <c r="S89" s="8"/>
      <c r="T89" s="8" t="s">
        <v>41</v>
      </c>
      <c r="U89" s="8" t="s">
        <v>42</v>
      </c>
      <c r="V89" s="8" t="s">
        <v>167</v>
      </c>
      <c r="W89" s="8">
        <v>250000</v>
      </c>
      <c r="X89" s="8">
        <v>250912</v>
      </c>
      <c r="Y89" s="8" t="s">
        <v>130</v>
      </c>
      <c r="Z89" s="8" t="s">
        <v>162</v>
      </c>
      <c r="AA89" s="8">
        <v>476</v>
      </c>
      <c r="AB89" s="8" t="s">
        <v>202</v>
      </c>
      <c r="AC89" s="8">
        <v>461</v>
      </c>
      <c r="AD89" s="8" t="s">
        <v>157</v>
      </c>
      <c r="AE89" s="9" t="s">
        <v>134</v>
      </c>
    </row>
    <row r="90" spans="1:31" ht="45">
      <c r="A90" s="7" t="s">
        <v>307</v>
      </c>
      <c r="B90" s="8">
        <v>2025</v>
      </c>
      <c r="C90" s="8">
        <v>45707</v>
      </c>
      <c r="D90" s="8" t="s">
        <v>89</v>
      </c>
      <c r="E90" s="8" t="s">
        <v>53</v>
      </c>
      <c r="F90" s="8" t="s">
        <v>38</v>
      </c>
      <c r="G90" s="8" t="s">
        <v>92</v>
      </c>
      <c r="H90" s="8" t="s">
        <v>164</v>
      </c>
      <c r="I90" s="8" t="s">
        <v>171</v>
      </c>
      <c r="J90" s="8" t="s">
        <v>155</v>
      </c>
      <c r="K90" s="8" t="s">
        <v>145</v>
      </c>
      <c r="L90" s="8" t="s">
        <v>83</v>
      </c>
      <c r="M90" s="8">
        <v>45717</v>
      </c>
      <c r="N90" s="8">
        <v>45719</v>
      </c>
      <c r="O90" s="8" t="s">
        <v>48</v>
      </c>
      <c r="P90" s="8">
        <v>1</v>
      </c>
      <c r="Q90" s="8" t="s">
        <v>166</v>
      </c>
      <c r="R90" s="8" t="s">
        <v>43</v>
      </c>
      <c r="S90" s="8"/>
      <c r="T90" s="8" t="s">
        <v>41</v>
      </c>
      <c r="U90" s="8" t="s">
        <v>42</v>
      </c>
      <c r="V90" s="8" t="s">
        <v>72</v>
      </c>
      <c r="W90" s="8">
        <v>1200000</v>
      </c>
      <c r="X90" s="8">
        <v>1310153</v>
      </c>
      <c r="Y90" s="8" t="s">
        <v>130</v>
      </c>
      <c r="Z90" s="8" t="s">
        <v>142</v>
      </c>
      <c r="AA90" s="8">
        <v>12</v>
      </c>
      <c r="AB90" s="8" t="s">
        <v>127</v>
      </c>
      <c r="AC90" s="8">
        <v>0</v>
      </c>
      <c r="AD90" s="8" t="s">
        <v>157</v>
      </c>
      <c r="AE90" s="9" t="s">
        <v>134</v>
      </c>
    </row>
    <row r="91" spans="1:31" ht="30">
      <c r="A91" s="7" t="s">
        <v>308</v>
      </c>
      <c r="B91" s="8">
        <v>2025</v>
      </c>
      <c r="C91" s="8">
        <v>45720</v>
      </c>
      <c r="D91" s="8" t="s">
        <v>58</v>
      </c>
      <c r="E91" s="8" t="s">
        <v>37</v>
      </c>
      <c r="F91" s="8" t="s">
        <v>38</v>
      </c>
      <c r="G91" s="8" t="s">
        <v>71</v>
      </c>
      <c r="H91" s="8" t="s">
        <v>164</v>
      </c>
      <c r="I91" s="8" t="s">
        <v>180</v>
      </c>
      <c r="J91" s="8" t="s">
        <v>175</v>
      </c>
      <c r="K91" s="8" t="s">
        <v>126</v>
      </c>
      <c r="L91" s="8" t="s">
        <v>63</v>
      </c>
      <c r="M91" s="8">
        <v>45750</v>
      </c>
      <c r="N91" s="8">
        <v>45742</v>
      </c>
      <c r="O91" s="8" t="s">
        <v>48</v>
      </c>
      <c r="P91" s="8">
        <v>1</v>
      </c>
      <c r="Q91" s="8" t="s">
        <v>132</v>
      </c>
      <c r="R91" s="8" t="s">
        <v>128</v>
      </c>
      <c r="S91" s="8">
        <v>45752</v>
      </c>
      <c r="T91" s="8" t="s">
        <v>41</v>
      </c>
      <c r="U91" s="8" t="s">
        <v>77</v>
      </c>
      <c r="V91" s="8" t="s">
        <v>188</v>
      </c>
      <c r="W91" s="8">
        <v>250000</v>
      </c>
      <c r="X91" s="8">
        <v>192030</v>
      </c>
      <c r="Y91" s="8" t="s">
        <v>152</v>
      </c>
      <c r="Z91" s="8" t="s">
        <v>210</v>
      </c>
      <c r="AA91" s="8">
        <v>22</v>
      </c>
      <c r="AB91" s="8" t="s">
        <v>132</v>
      </c>
      <c r="AC91" s="8">
        <v>0</v>
      </c>
      <c r="AD91" s="8" t="s">
        <v>185</v>
      </c>
      <c r="AE91" s="9" t="s">
        <v>134</v>
      </c>
    </row>
    <row r="92" spans="1:31" ht="45">
      <c r="A92" s="7" t="s">
        <v>309</v>
      </c>
      <c r="B92" s="8">
        <v>2025</v>
      </c>
      <c r="C92" s="8">
        <v>45724</v>
      </c>
      <c r="D92" s="8" t="s">
        <v>28</v>
      </c>
      <c r="E92" s="8" t="s">
        <v>80</v>
      </c>
      <c r="F92" s="8" t="s">
        <v>46</v>
      </c>
      <c r="G92" s="8" t="s">
        <v>93</v>
      </c>
      <c r="H92" s="8" t="s">
        <v>123</v>
      </c>
      <c r="I92" s="8" t="s">
        <v>289</v>
      </c>
      <c r="J92" s="8" t="s">
        <v>144</v>
      </c>
      <c r="K92" s="8" t="s">
        <v>249</v>
      </c>
      <c r="L92" s="8" t="s">
        <v>43</v>
      </c>
      <c r="M92" s="8">
        <v>45739</v>
      </c>
      <c r="N92" s="8">
        <v>45734</v>
      </c>
      <c r="O92" s="8" t="s">
        <v>48</v>
      </c>
      <c r="P92" s="8">
        <v>1</v>
      </c>
      <c r="Q92" s="8" t="s">
        <v>127</v>
      </c>
      <c r="R92" s="8" t="s">
        <v>86</v>
      </c>
      <c r="S92" s="8">
        <v>45744</v>
      </c>
      <c r="T92" s="8" t="s">
        <v>33</v>
      </c>
      <c r="U92" s="8" t="s">
        <v>50</v>
      </c>
      <c r="V92" s="8" t="s">
        <v>146</v>
      </c>
      <c r="W92" s="8">
        <v>1800000</v>
      </c>
      <c r="X92" s="8">
        <v>1680478</v>
      </c>
      <c r="Y92" s="8" t="s">
        <v>152</v>
      </c>
      <c r="Z92" s="8" t="s">
        <v>131</v>
      </c>
      <c r="AA92" s="8">
        <v>10</v>
      </c>
      <c r="AB92" s="8" t="s">
        <v>132</v>
      </c>
      <c r="AC92" s="8">
        <v>0</v>
      </c>
      <c r="AD92" s="8" t="s">
        <v>185</v>
      </c>
      <c r="AE92" s="9" t="s">
        <v>134</v>
      </c>
    </row>
    <row r="93" spans="1:31" ht="30">
      <c r="A93" s="7" t="s">
        <v>310</v>
      </c>
      <c r="B93" s="8">
        <v>2025</v>
      </c>
      <c r="C93" s="8">
        <v>45729</v>
      </c>
      <c r="D93" s="8" t="s">
        <v>79</v>
      </c>
      <c r="E93" s="8" t="s">
        <v>75</v>
      </c>
      <c r="F93" s="8" t="s">
        <v>30</v>
      </c>
      <c r="G93" s="8" t="s">
        <v>47</v>
      </c>
      <c r="H93" s="8" t="s">
        <v>164</v>
      </c>
      <c r="I93" s="8" t="s">
        <v>243</v>
      </c>
      <c r="J93" s="8" t="s">
        <v>183</v>
      </c>
      <c r="K93" s="8" t="s">
        <v>156</v>
      </c>
      <c r="L93" s="8" t="s">
        <v>88</v>
      </c>
      <c r="M93" s="8">
        <v>45774</v>
      </c>
      <c r="N93" s="8"/>
      <c r="O93" s="8" t="s">
        <v>40</v>
      </c>
      <c r="P93" s="8">
        <v>0.5</v>
      </c>
      <c r="Q93" s="8" t="s">
        <v>166</v>
      </c>
      <c r="R93" s="8" t="s">
        <v>86</v>
      </c>
      <c r="S93" s="8"/>
      <c r="T93" s="8" t="s">
        <v>41</v>
      </c>
      <c r="U93" s="8" t="s">
        <v>50</v>
      </c>
      <c r="V93" s="8" t="s">
        <v>72</v>
      </c>
      <c r="W93" s="8">
        <v>850000</v>
      </c>
      <c r="X93" s="8">
        <v>798963</v>
      </c>
      <c r="Y93" s="8" t="s">
        <v>189</v>
      </c>
      <c r="Z93" s="8" t="s">
        <v>210</v>
      </c>
      <c r="AA93" s="8">
        <v>449</v>
      </c>
      <c r="AB93" s="8" t="s">
        <v>202</v>
      </c>
      <c r="AC93" s="8">
        <v>404</v>
      </c>
      <c r="AD93" s="8" t="s">
        <v>185</v>
      </c>
      <c r="AE93" s="9" t="s">
        <v>134</v>
      </c>
    </row>
    <row r="94" spans="1:31" ht="45">
      <c r="A94" s="7" t="s">
        <v>311</v>
      </c>
      <c r="B94" s="8">
        <v>2025</v>
      </c>
      <c r="C94" s="8">
        <v>45738</v>
      </c>
      <c r="D94" s="8" t="s">
        <v>44</v>
      </c>
      <c r="E94" s="8" t="s">
        <v>59</v>
      </c>
      <c r="F94" s="8" t="s">
        <v>46</v>
      </c>
      <c r="G94" s="8" t="s">
        <v>86</v>
      </c>
      <c r="H94" s="8" t="s">
        <v>170</v>
      </c>
      <c r="I94" s="8" t="s">
        <v>312</v>
      </c>
      <c r="J94" s="8" t="s">
        <v>125</v>
      </c>
      <c r="K94" s="8" t="s">
        <v>161</v>
      </c>
      <c r="L94" s="8" t="s">
        <v>88</v>
      </c>
      <c r="M94" s="8">
        <v>45783</v>
      </c>
      <c r="N94" s="8"/>
      <c r="O94" s="8" t="s">
        <v>40</v>
      </c>
      <c r="P94" s="8">
        <v>0.75</v>
      </c>
      <c r="Q94" s="8" t="s">
        <v>166</v>
      </c>
      <c r="R94" s="8" t="s">
        <v>86</v>
      </c>
      <c r="S94" s="8"/>
      <c r="T94" s="8" t="s">
        <v>41</v>
      </c>
      <c r="U94" s="8" t="s">
        <v>50</v>
      </c>
      <c r="V94" s="8" t="s">
        <v>247</v>
      </c>
      <c r="W94" s="8">
        <v>380000</v>
      </c>
      <c r="X94" s="8">
        <v>291910</v>
      </c>
      <c r="Y94" s="8" t="s">
        <v>141</v>
      </c>
      <c r="Z94" s="8" t="s">
        <v>184</v>
      </c>
      <c r="AA94" s="8">
        <v>440</v>
      </c>
      <c r="AB94" s="8" t="s">
        <v>202</v>
      </c>
      <c r="AC94" s="8">
        <v>395</v>
      </c>
      <c r="AD94" s="8" t="s">
        <v>185</v>
      </c>
      <c r="AE94" s="9" t="s">
        <v>134</v>
      </c>
    </row>
    <row r="95" spans="1:31" ht="45">
      <c r="A95" s="7" t="s">
        <v>313</v>
      </c>
      <c r="B95" s="8">
        <v>2025</v>
      </c>
      <c r="C95" s="8">
        <v>45748</v>
      </c>
      <c r="D95" s="8" t="s">
        <v>79</v>
      </c>
      <c r="E95" s="8" t="s">
        <v>65</v>
      </c>
      <c r="F95" s="8" t="s">
        <v>46</v>
      </c>
      <c r="G95" s="8" t="s">
        <v>39</v>
      </c>
      <c r="H95" s="8" t="s">
        <v>159</v>
      </c>
      <c r="I95" s="8" t="s">
        <v>201</v>
      </c>
      <c r="J95" s="8" t="s">
        <v>125</v>
      </c>
      <c r="K95" s="8" t="s">
        <v>215</v>
      </c>
      <c r="L95" s="8" t="s">
        <v>78</v>
      </c>
      <c r="M95" s="8">
        <v>45768</v>
      </c>
      <c r="N95" s="8">
        <v>45770</v>
      </c>
      <c r="O95" s="8" t="s">
        <v>48</v>
      </c>
      <c r="P95" s="8">
        <v>1</v>
      </c>
      <c r="Q95" s="8" t="s">
        <v>127</v>
      </c>
      <c r="R95" s="8" t="s">
        <v>128</v>
      </c>
      <c r="S95" s="8">
        <v>45780</v>
      </c>
      <c r="T95" s="8" t="s">
        <v>49</v>
      </c>
      <c r="U95" s="8" t="s">
        <v>50</v>
      </c>
      <c r="V95" s="8" t="s">
        <v>72</v>
      </c>
      <c r="W95" s="8">
        <v>1200000</v>
      </c>
      <c r="X95" s="8">
        <v>1232528</v>
      </c>
      <c r="Y95" s="8" t="s">
        <v>189</v>
      </c>
      <c r="Z95" s="8" t="s">
        <v>142</v>
      </c>
      <c r="AA95" s="8">
        <v>22</v>
      </c>
      <c r="AB95" s="8" t="s">
        <v>127</v>
      </c>
      <c r="AC95" s="8">
        <v>0</v>
      </c>
      <c r="AD95" s="8" t="s">
        <v>190</v>
      </c>
      <c r="AE95" s="9" t="s">
        <v>191</v>
      </c>
    </row>
    <row r="96" spans="1:31" ht="30">
      <c r="A96" s="7" t="s">
        <v>314</v>
      </c>
      <c r="B96" s="8">
        <v>2025</v>
      </c>
      <c r="C96" s="8">
        <v>45755</v>
      </c>
      <c r="D96" s="8" t="s">
        <v>64</v>
      </c>
      <c r="E96" s="8" t="s">
        <v>70</v>
      </c>
      <c r="F96" s="8" t="s">
        <v>38</v>
      </c>
      <c r="G96" s="8" t="s">
        <v>71</v>
      </c>
      <c r="H96" s="8" t="s">
        <v>123</v>
      </c>
      <c r="I96" s="8" t="s">
        <v>137</v>
      </c>
      <c r="J96" s="8" t="s">
        <v>125</v>
      </c>
      <c r="K96" s="8" t="s">
        <v>126</v>
      </c>
      <c r="L96" s="8" t="s">
        <v>83</v>
      </c>
      <c r="M96" s="8">
        <v>45775</v>
      </c>
      <c r="N96" s="8"/>
      <c r="O96" s="8" t="s">
        <v>55</v>
      </c>
      <c r="P96" s="8">
        <v>0.45</v>
      </c>
      <c r="Q96" s="8" t="s">
        <v>166</v>
      </c>
      <c r="R96" s="8" t="s">
        <v>43</v>
      </c>
      <c r="S96" s="8"/>
      <c r="T96" s="8" t="s">
        <v>33</v>
      </c>
      <c r="U96" s="8" t="s">
        <v>62</v>
      </c>
      <c r="V96" s="8" t="s">
        <v>129</v>
      </c>
      <c r="W96" s="8">
        <v>1800000</v>
      </c>
      <c r="X96" s="8">
        <v>0</v>
      </c>
      <c r="Y96" s="8" t="s">
        <v>168</v>
      </c>
      <c r="Z96" s="8" t="s">
        <v>184</v>
      </c>
      <c r="AA96" s="8">
        <v>423</v>
      </c>
      <c r="AB96" s="8" t="s">
        <v>202</v>
      </c>
      <c r="AC96" s="8">
        <v>403</v>
      </c>
      <c r="AD96" s="8" t="s">
        <v>190</v>
      </c>
      <c r="AE96" s="9" t="s">
        <v>191</v>
      </c>
    </row>
    <row r="97" spans="1:31" ht="45">
      <c r="A97" s="7" t="s">
        <v>315</v>
      </c>
      <c r="B97" s="8">
        <v>2025</v>
      </c>
      <c r="C97" s="8">
        <v>45765</v>
      </c>
      <c r="D97" s="8" t="s">
        <v>52</v>
      </c>
      <c r="E97" s="8" t="s">
        <v>53</v>
      </c>
      <c r="F97" s="8" t="s">
        <v>46</v>
      </c>
      <c r="G97" s="8" t="s">
        <v>91</v>
      </c>
      <c r="H97" s="8" t="s">
        <v>123</v>
      </c>
      <c r="I97" s="8" t="s">
        <v>197</v>
      </c>
      <c r="J97" s="8" t="s">
        <v>183</v>
      </c>
      <c r="K97" s="8" t="s">
        <v>215</v>
      </c>
      <c r="L97" s="8" t="s">
        <v>57</v>
      </c>
      <c r="M97" s="8">
        <v>45785</v>
      </c>
      <c r="N97" s="8"/>
      <c r="O97" s="8" t="s">
        <v>40</v>
      </c>
      <c r="P97" s="8">
        <v>0.6</v>
      </c>
      <c r="Q97" s="8" t="s">
        <v>166</v>
      </c>
      <c r="R97" s="8" t="s">
        <v>35</v>
      </c>
      <c r="S97" s="8"/>
      <c r="T97" s="8" t="s">
        <v>41</v>
      </c>
      <c r="U97" s="8" t="s">
        <v>56</v>
      </c>
      <c r="V97" s="8" t="s">
        <v>231</v>
      </c>
      <c r="W97" s="8">
        <v>850000</v>
      </c>
      <c r="X97" s="8">
        <v>759779</v>
      </c>
      <c r="Y97" s="8" t="s">
        <v>130</v>
      </c>
      <c r="Z97" s="8" t="s">
        <v>162</v>
      </c>
      <c r="AA97" s="8">
        <v>413</v>
      </c>
      <c r="AB97" s="8" t="s">
        <v>202</v>
      </c>
      <c r="AC97" s="8">
        <v>393</v>
      </c>
      <c r="AD97" s="8" t="s">
        <v>190</v>
      </c>
      <c r="AE97" s="9" t="s">
        <v>191</v>
      </c>
    </row>
    <row r="98" spans="1:31" ht="45">
      <c r="A98" s="7" t="s">
        <v>316</v>
      </c>
      <c r="B98" s="8">
        <v>2025</v>
      </c>
      <c r="C98" s="8">
        <v>45773</v>
      </c>
      <c r="D98" s="8" t="s">
        <v>28</v>
      </c>
      <c r="E98" s="8" t="s">
        <v>75</v>
      </c>
      <c r="F98" s="8" t="s">
        <v>38</v>
      </c>
      <c r="G98" s="8" t="s">
        <v>60</v>
      </c>
      <c r="H98" s="8" t="s">
        <v>136</v>
      </c>
      <c r="I98" s="8" t="s">
        <v>243</v>
      </c>
      <c r="J98" s="8" t="s">
        <v>138</v>
      </c>
      <c r="K98" s="8" t="s">
        <v>145</v>
      </c>
      <c r="L98" s="8" t="s">
        <v>43</v>
      </c>
      <c r="M98" s="8">
        <v>45833</v>
      </c>
      <c r="N98" s="8">
        <v>45819</v>
      </c>
      <c r="O98" s="8" t="s">
        <v>48</v>
      </c>
      <c r="P98" s="8">
        <v>1</v>
      </c>
      <c r="Q98" s="8" t="s">
        <v>166</v>
      </c>
      <c r="R98" s="8" t="s">
        <v>150</v>
      </c>
      <c r="S98" s="8"/>
      <c r="T98" s="8" t="s">
        <v>49</v>
      </c>
      <c r="U98" s="8" t="s">
        <v>77</v>
      </c>
      <c r="V98" s="8" t="s">
        <v>151</v>
      </c>
      <c r="W98" s="8">
        <v>450000</v>
      </c>
      <c r="X98" s="8">
        <v>478772</v>
      </c>
      <c r="Y98" s="8" t="s">
        <v>152</v>
      </c>
      <c r="Z98" s="8" t="s">
        <v>142</v>
      </c>
      <c r="AA98" s="8">
        <v>46</v>
      </c>
      <c r="AB98" s="8" t="s">
        <v>132</v>
      </c>
      <c r="AC98" s="8">
        <v>0</v>
      </c>
      <c r="AD98" s="8" t="s">
        <v>190</v>
      </c>
      <c r="AE98" s="9" t="s">
        <v>191</v>
      </c>
    </row>
    <row r="99" spans="1:31" ht="45">
      <c r="A99" s="7" t="s">
        <v>317</v>
      </c>
      <c r="B99" s="8">
        <v>2025</v>
      </c>
      <c r="C99" s="8">
        <v>45773</v>
      </c>
      <c r="D99" s="8" t="s">
        <v>58</v>
      </c>
      <c r="E99" s="8" t="s">
        <v>75</v>
      </c>
      <c r="F99" s="8" t="s">
        <v>30</v>
      </c>
      <c r="G99" s="8" t="s">
        <v>90</v>
      </c>
      <c r="H99" s="8" t="s">
        <v>159</v>
      </c>
      <c r="I99" s="8" t="s">
        <v>241</v>
      </c>
      <c r="J99" s="8" t="s">
        <v>183</v>
      </c>
      <c r="K99" s="8" t="s">
        <v>215</v>
      </c>
      <c r="L99" s="8" t="s">
        <v>78</v>
      </c>
      <c r="M99" s="8">
        <v>45783</v>
      </c>
      <c r="N99" s="8">
        <v>45784</v>
      </c>
      <c r="O99" s="8" t="s">
        <v>48</v>
      </c>
      <c r="P99" s="8">
        <v>1</v>
      </c>
      <c r="Q99" s="8" t="s">
        <v>132</v>
      </c>
      <c r="R99" s="8" t="s">
        <v>128</v>
      </c>
      <c r="S99" s="8">
        <v>45791</v>
      </c>
      <c r="T99" s="8" t="s">
        <v>49</v>
      </c>
      <c r="U99" s="8" t="s">
        <v>50</v>
      </c>
      <c r="V99" s="8" t="s">
        <v>140</v>
      </c>
      <c r="W99" s="8">
        <v>600000</v>
      </c>
      <c r="X99" s="8">
        <v>492118</v>
      </c>
      <c r="Y99" s="8" t="s">
        <v>141</v>
      </c>
      <c r="Z99" s="8" t="s">
        <v>162</v>
      </c>
      <c r="AA99" s="8">
        <v>11</v>
      </c>
      <c r="AB99" s="8" t="s">
        <v>127</v>
      </c>
      <c r="AC99" s="8">
        <v>0</v>
      </c>
      <c r="AD99" s="8" t="s">
        <v>190</v>
      </c>
      <c r="AE99" s="9" t="s">
        <v>191</v>
      </c>
    </row>
    <row r="100" spans="1:31" ht="45">
      <c r="A100" s="7" t="s">
        <v>318</v>
      </c>
      <c r="B100" s="8">
        <v>2025</v>
      </c>
      <c r="C100" s="8">
        <v>45782</v>
      </c>
      <c r="D100" s="8" t="s">
        <v>58</v>
      </c>
      <c r="E100" s="8" t="s">
        <v>53</v>
      </c>
      <c r="F100" s="8" t="s">
        <v>38</v>
      </c>
      <c r="G100" s="8" t="s">
        <v>93</v>
      </c>
      <c r="H100" s="8" t="s">
        <v>164</v>
      </c>
      <c r="I100" s="8" t="s">
        <v>254</v>
      </c>
      <c r="J100" s="8" t="s">
        <v>155</v>
      </c>
      <c r="K100" s="8" t="s">
        <v>126</v>
      </c>
      <c r="L100" s="8" t="s">
        <v>68</v>
      </c>
      <c r="M100" s="8">
        <v>45842</v>
      </c>
      <c r="N100" s="8">
        <v>45832</v>
      </c>
      <c r="O100" s="8" t="s">
        <v>48</v>
      </c>
      <c r="P100" s="8">
        <v>1</v>
      </c>
      <c r="Q100" s="8" t="s">
        <v>132</v>
      </c>
      <c r="R100" s="8" t="s">
        <v>150</v>
      </c>
      <c r="S100" s="8">
        <v>45835</v>
      </c>
      <c r="T100" s="8" t="s">
        <v>41</v>
      </c>
      <c r="U100" s="8" t="s">
        <v>67</v>
      </c>
      <c r="V100" s="8" t="s">
        <v>151</v>
      </c>
      <c r="W100" s="8">
        <v>2500000</v>
      </c>
      <c r="X100" s="8">
        <v>1921884</v>
      </c>
      <c r="Y100" s="8" t="s">
        <v>176</v>
      </c>
      <c r="Z100" s="8" t="s">
        <v>162</v>
      </c>
      <c r="AA100" s="8">
        <v>50</v>
      </c>
      <c r="AB100" s="8" t="s">
        <v>132</v>
      </c>
      <c r="AC100" s="8">
        <v>0</v>
      </c>
      <c r="AD100" s="8" t="s">
        <v>195</v>
      </c>
      <c r="AE100" s="9" t="s">
        <v>191</v>
      </c>
    </row>
    <row r="101" spans="1:31" ht="45">
      <c r="A101" s="7" t="s">
        <v>319</v>
      </c>
      <c r="B101" s="8">
        <v>2025</v>
      </c>
      <c r="C101" s="8">
        <v>45795</v>
      </c>
      <c r="D101" s="8" t="s">
        <v>79</v>
      </c>
      <c r="E101" s="8" t="s">
        <v>65</v>
      </c>
      <c r="F101" s="8" t="s">
        <v>30</v>
      </c>
      <c r="G101" s="8" t="s">
        <v>90</v>
      </c>
      <c r="H101" s="8" t="s">
        <v>251</v>
      </c>
      <c r="I101" s="8" t="s">
        <v>304</v>
      </c>
      <c r="J101" s="8" t="s">
        <v>149</v>
      </c>
      <c r="K101" s="8" t="s">
        <v>249</v>
      </c>
      <c r="L101" s="8" t="s">
        <v>57</v>
      </c>
      <c r="M101" s="8">
        <v>45815</v>
      </c>
      <c r="N101" s="8">
        <v>45812</v>
      </c>
      <c r="O101" s="8" t="s">
        <v>48</v>
      </c>
      <c r="P101" s="8">
        <v>1</v>
      </c>
      <c r="Q101" s="8" t="s">
        <v>127</v>
      </c>
      <c r="R101" s="8" t="s">
        <v>86</v>
      </c>
      <c r="S101" s="8">
        <v>45819</v>
      </c>
      <c r="T101" s="8" t="s">
        <v>41</v>
      </c>
      <c r="U101" s="8" t="s">
        <v>62</v>
      </c>
      <c r="V101" s="8" t="s">
        <v>151</v>
      </c>
      <c r="W101" s="8">
        <v>2500000</v>
      </c>
      <c r="X101" s="8">
        <v>2223803</v>
      </c>
      <c r="Y101" s="8" t="s">
        <v>141</v>
      </c>
      <c r="Z101" s="8" t="s">
        <v>210</v>
      </c>
      <c r="AA101" s="8">
        <v>17</v>
      </c>
      <c r="AB101" s="8" t="s">
        <v>132</v>
      </c>
      <c r="AC101" s="8">
        <v>0</v>
      </c>
      <c r="AD101" s="8" t="s">
        <v>195</v>
      </c>
      <c r="AE101" s="9" t="s">
        <v>191</v>
      </c>
    </row>
    <row r="102" spans="1:31" ht="45">
      <c r="A102" s="7" t="s">
        <v>320</v>
      </c>
      <c r="B102" s="8">
        <v>2025</v>
      </c>
      <c r="C102" s="8">
        <v>45798</v>
      </c>
      <c r="D102" s="8" t="s">
        <v>89</v>
      </c>
      <c r="E102" s="8" t="s">
        <v>37</v>
      </c>
      <c r="F102" s="8" t="s">
        <v>38</v>
      </c>
      <c r="G102" s="8" t="s">
        <v>71</v>
      </c>
      <c r="H102" s="8" t="s">
        <v>164</v>
      </c>
      <c r="I102" s="8" t="s">
        <v>174</v>
      </c>
      <c r="J102" s="8" t="s">
        <v>138</v>
      </c>
      <c r="K102" s="8" t="s">
        <v>145</v>
      </c>
      <c r="L102" s="8" t="s">
        <v>35</v>
      </c>
      <c r="M102" s="8">
        <v>45843</v>
      </c>
      <c r="N102" s="8">
        <v>45819</v>
      </c>
      <c r="O102" s="8" t="s">
        <v>48</v>
      </c>
      <c r="P102" s="8">
        <v>1</v>
      </c>
      <c r="Q102" s="8" t="s">
        <v>132</v>
      </c>
      <c r="R102" s="8" t="s">
        <v>43</v>
      </c>
      <c r="S102" s="8">
        <v>45826</v>
      </c>
      <c r="T102" s="8" t="s">
        <v>41</v>
      </c>
      <c r="U102" s="8" t="s">
        <v>62</v>
      </c>
      <c r="V102" s="8" t="s">
        <v>129</v>
      </c>
      <c r="W102" s="8">
        <v>600000</v>
      </c>
      <c r="X102" s="8">
        <v>457576</v>
      </c>
      <c r="Y102" s="8" t="s">
        <v>141</v>
      </c>
      <c r="Z102" s="8" t="s">
        <v>142</v>
      </c>
      <c r="AA102" s="8">
        <v>21</v>
      </c>
      <c r="AB102" s="8" t="s">
        <v>132</v>
      </c>
      <c r="AC102" s="8">
        <v>0</v>
      </c>
      <c r="AD102" s="8" t="s">
        <v>195</v>
      </c>
      <c r="AE102" s="9" t="s">
        <v>191</v>
      </c>
    </row>
    <row r="103" spans="1:31" ht="45">
      <c r="A103" s="7" t="s">
        <v>321</v>
      </c>
      <c r="B103" s="8">
        <v>2025</v>
      </c>
      <c r="C103" s="8">
        <v>45802</v>
      </c>
      <c r="D103" s="8" t="s">
        <v>44</v>
      </c>
      <c r="E103" s="8" t="s">
        <v>75</v>
      </c>
      <c r="F103" s="8" t="s">
        <v>46</v>
      </c>
      <c r="G103" s="8" t="s">
        <v>86</v>
      </c>
      <c r="H103" s="8" t="s">
        <v>123</v>
      </c>
      <c r="I103" s="8" t="s">
        <v>243</v>
      </c>
      <c r="J103" s="8" t="s">
        <v>125</v>
      </c>
      <c r="K103" s="8" t="s">
        <v>156</v>
      </c>
      <c r="L103" s="8" t="s">
        <v>88</v>
      </c>
      <c r="M103" s="8">
        <v>45847</v>
      </c>
      <c r="N103" s="8"/>
      <c r="O103" s="8" t="s">
        <v>40</v>
      </c>
      <c r="P103" s="8">
        <v>0.5</v>
      </c>
      <c r="Q103" s="8" t="s">
        <v>166</v>
      </c>
      <c r="R103" s="8" t="s">
        <v>86</v>
      </c>
      <c r="S103" s="8"/>
      <c r="T103" s="8" t="s">
        <v>41</v>
      </c>
      <c r="U103" s="8" t="s">
        <v>82</v>
      </c>
      <c r="V103" s="8" t="s">
        <v>188</v>
      </c>
      <c r="W103" s="8">
        <v>600000</v>
      </c>
      <c r="X103" s="8">
        <v>687546</v>
      </c>
      <c r="Y103" s="8" t="s">
        <v>189</v>
      </c>
      <c r="Z103" s="8" t="s">
        <v>131</v>
      </c>
      <c r="AA103" s="8">
        <v>376</v>
      </c>
      <c r="AB103" s="8" t="s">
        <v>202</v>
      </c>
      <c r="AC103" s="8">
        <v>331</v>
      </c>
      <c r="AD103" s="8" t="s">
        <v>195</v>
      </c>
      <c r="AE103" s="9" t="s">
        <v>191</v>
      </c>
    </row>
    <row r="104" spans="1:31" ht="45">
      <c r="A104" s="7" t="s">
        <v>322</v>
      </c>
      <c r="B104" s="8">
        <v>2025</v>
      </c>
      <c r="C104" s="8">
        <v>45802</v>
      </c>
      <c r="D104" s="8" t="s">
        <v>84</v>
      </c>
      <c r="E104" s="8" t="s">
        <v>53</v>
      </c>
      <c r="F104" s="8" t="s">
        <v>38</v>
      </c>
      <c r="G104" s="8" t="s">
        <v>76</v>
      </c>
      <c r="H104" s="8" t="s">
        <v>164</v>
      </c>
      <c r="I104" s="8" t="s">
        <v>254</v>
      </c>
      <c r="J104" s="8" t="s">
        <v>144</v>
      </c>
      <c r="K104" s="8" t="s">
        <v>145</v>
      </c>
      <c r="L104" s="8" t="s">
        <v>57</v>
      </c>
      <c r="M104" s="8">
        <v>45862</v>
      </c>
      <c r="N104" s="8"/>
      <c r="O104" s="8" t="s">
        <v>40</v>
      </c>
      <c r="P104" s="8">
        <v>0.25</v>
      </c>
      <c r="Q104" s="8" t="s">
        <v>166</v>
      </c>
      <c r="R104" s="8" t="s">
        <v>86</v>
      </c>
      <c r="S104" s="8"/>
      <c r="T104" s="8" t="s">
        <v>33</v>
      </c>
      <c r="U104" s="8" t="s">
        <v>72</v>
      </c>
      <c r="V104" s="8" t="s">
        <v>151</v>
      </c>
      <c r="W104" s="8">
        <v>1200000</v>
      </c>
      <c r="X104" s="8">
        <v>1056472</v>
      </c>
      <c r="Y104" s="8" t="s">
        <v>130</v>
      </c>
      <c r="Z104" s="8" t="s">
        <v>142</v>
      </c>
      <c r="AA104" s="8">
        <v>376</v>
      </c>
      <c r="AB104" s="8" t="s">
        <v>202</v>
      </c>
      <c r="AC104" s="8">
        <v>316</v>
      </c>
      <c r="AD104" s="8" t="s">
        <v>195</v>
      </c>
      <c r="AE104" s="9" t="s">
        <v>191</v>
      </c>
    </row>
    <row r="105" spans="1:31" ht="45">
      <c r="A105" s="7" t="s">
        <v>323</v>
      </c>
      <c r="B105" s="8">
        <v>2025</v>
      </c>
      <c r="C105" s="8">
        <v>45809</v>
      </c>
      <c r="D105" s="8" t="s">
        <v>58</v>
      </c>
      <c r="E105" s="8" t="s">
        <v>29</v>
      </c>
      <c r="F105" s="8" t="s">
        <v>30</v>
      </c>
      <c r="G105" s="8" t="s">
        <v>39</v>
      </c>
      <c r="H105" s="8" t="s">
        <v>170</v>
      </c>
      <c r="I105" s="8" t="s">
        <v>324</v>
      </c>
      <c r="J105" s="8" t="s">
        <v>172</v>
      </c>
      <c r="K105" s="8" t="s">
        <v>145</v>
      </c>
      <c r="L105" s="8" t="s">
        <v>35</v>
      </c>
      <c r="M105" s="8">
        <v>45824</v>
      </c>
      <c r="N105" s="8">
        <v>45827</v>
      </c>
      <c r="O105" s="8" t="s">
        <v>48</v>
      </c>
      <c r="P105" s="8">
        <v>1</v>
      </c>
      <c r="Q105" s="8" t="s">
        <v>127</v>
      </c>
      <c r="R105" s="8" t="s">
        <v>86</v>
      </c>
      <c r="S105" s="8">
        <v>45842</v>
      </c>
      <c r="T105" s="8" t="s">
        <v>41</v>
      </c>
      <c r="U105" s="8" t="s">
        <v>82</v>
      </c>
      <c r="V105" s="8" t="s">
        <v>247</v>
      </c>
      <c r="W105" s="8">
        <v>600000</v>
      </c>
      <c r="X105" s="8">
        <v>586007</v>
      </c>
      <c r="Y105" s="8" t="s">
        <v>130</v>
      </c>
      <c r="Z105" s="8" t="s">
        <v>184</v>
      </c>
      <c r="AA105" s="8">
        <v>18</v>
      </c>
      <c r="AB105" s="8" t="s">
        <v>127</v>
      </c>
      <c r="AC105" s="8">
        <v>0</v>
      </c>
      <c r="AD105" s="8" t="s">
        <v>198</v>
      </c>
      <c r="AE105" s="9" t="s">
        <v>191</v>
      </c>
    </row>
    <row r="106" spans="1:31" ht="45">
      <c r="A106" s="7" t="s">
        <v>325</v>
      </c>
      <c r="B106" s="8">
        <v>2025</v>
      </c>
      <c r="C106" s="8">
        <v>45810</v>
      </c>
      <c r="D106" s="8" t="s">
        <v>69</v>
      </c>
      <c r="E106" s="8" t="s">
        <v>45</v>
      </c>
      <c r="F106" s="8" t="s">
        <v>46</v>
      </c>
      <c r="G106" s="8" t="s">
        <v>93</v>
      </c>
      <c r="H106" s="8" t="s">
        <v>159</v>
      </c>
      <c r="I106" s="8" t="s">
        <v>237</v>
      </c>
      <c r="J106" s="8" t="s">
        <v>138</v>
      </c>
      <c r="K106" s="8" t="s">
        <v>161</v>
      </c>
      <c r="L106" s="8" t="s">
        <v>83</v>
      </c>
      <c r="M106" s="8">
        <v>45855</v>
      </c>
      <c r="N106" s="8">
        <v>45858</v>
      </c>
      <c r="O106" s="8" t="s">
        <v>48</v>
      </c>
      <c r="P106" s="8">
        <v>1</v>
      </c>
      <c r="Q106" s="8" t="s">
        <v>132</v>
      </c>
      <c r="R106" s="8" t="s">
        <v>86</v>
      </c>
      <c r="S106" s="8">
        <v>45861</v>
      </c>
      <c r="T106" s="8" t="s">
        <v>33</v>
      </c>
      <c r="U106" s="8" t="s">
        <v>50</v>
      </c>
      <c r="V106" s="8" t="s">
        <v>129</v>
      </c>
      <c r="W106" s="8">
        <v>250000</v>
      </c>
      <c r="X106" s="8">
        <v>240441</v>
      </c>
      <c r="Y106" s="8" t="s">
        <v>176</v>
      </c>
      <c r="Z106" s="8" t="s">
        <v>184</v>
      </c>
      <c r="AA106" s="8">
        <v>48</v>
      </c>
      <c r="AB106" s="8" t="s">
        <v>127</v>
      </c>
      <c r="AC106" s="8">
        <v>0</v>
      </c>
      <c r="AD106" s="8" t="s">
        <v>198</v>
      </c>
      <c r="AE106" s="9" t="s">
        <v>191</v>
      </c>
    </row>
    <row r="107" spans="1:31" ht="45">
      <c r="A107" s="7" t="s">
        <v>326</v>
      </c>
      <c r="B107" s="8">
        <v>2025</v>
      </c>
      <c r="C107" s="8">
        <v>45820</v>
      </c>
      <c r="D107" s="8" t="s">
        <v>89</v>
      </c>
      <c r="E107" s="8" t="s">
        <v>75</v>
      </c>
      <c r="F107" s="8" t="s">
        <v>46</v>
      </c>
      <c r="G107" s="8" t="s">
        <v>81</v>
      </c>
      <c r="H107" s="8" t="s">
        <v>123</v>
      </c>
      <c r="I107" s="8" t="s">
        <v>243</v>
      </c>
      <c r="J107" s="8" t="s">
        <v>144</v>
      </c>
      <c r="K107" s="8" t="s">
        <v>145</v>
      </c>
      <c r="L107" s="8" t="s">
        <v>73</v>
      </c>
      <c r="M107" s="8">
        <v>45850</v>
      </c>
      <c r="N107" s="8">
        <v>45853</v>
      </c>
      <c r="O107" s="8" t="s">
        <v>48</v>
      </c>
      <c r="P107" s="8">
        <v>1</v>
      </c>
      <c r="Q107" s="8" t="s">
        <v>132</v>
      </c>
      <c r="R107" s="8" t="s">
        <v>43</v>
      </c>
      <c r="S107" s="8">
        <v>45863</v>
      </c>
      <c r="T107" s="8" t="s">
        <v>33</v>
      </c>
      <c r="U107" s="8" t="s">
        <v>87</v>
      </c>
      <c r="V107" s="8" t="s">
        <v>188</v>
      </c>
      <c r="W107" s="8">
        <v>1200000</v>
      </c>
      <c r="X107" s="8">
        <v>956573</v>
      </c>
      <c r="Y107" s="8" t="s">
        <v>176</v>
      </c>
      <c r="Z107" s="8" t="s">
        <v>142</v>
      </c>
      <c r="AA107" s="8">
        <v>33</v>
      </c>
      <c r="AB107" s="8" t="s">
        <v>127</v>
      </c>
      <c r="AC107" s="8">
        <v>0</v>
      </c>
      <c r="AD107" s="8" t="s">
        <v>198</v>
      </c>
      <c r="AE107" s="9" t="s">
        <v>191</v>
      </c>
    </row>
    <row r="108" spans="1:31" ht="45">
      <c r="A108" s="7" t="s">
        <v>327</v>
      </c>
      <c r="B108" s="8">
        <v>2025</v>
      </c>
      <c r="C108" s="8">
        <v>45821</v>
      </c>
      <c r="D108" s="8" t="s">
        <v>28</v>
      </c>
      <c r="E108" s="8" t="s">
        <v>37</v>
      </c>
      <c r="F108" s="8" t="s">
        <v>38</v>
      </c>
      <c r="G108" s="8" t="s">
        <v>76</v>
      </c>
      <c r="H108" s="8" t="s">
        <v>136</v>
      </c>
      <c r="I108" s="8" t="s">
        <v>282</v>
      </c>
      <c r="J108" s="8" t="s">
        <v>144</v>
      </c>
      <c r="K108" s="8" t="s">
        <v>145</v>
      </c>
      <c r="L108" s="8" t="s">
        <v>51</v>
      </c>
      <c r="M108" s="8">
        <v>45851</v>
      </c>
      <c r="N108" s="8"/>
      <c r="O108" s="8" t="s">
        <v>55</v>
      </c>
      <c r="P108" s="8">
        <v>0.7</v>
      </c>
      <c r="Q108" s="8" t="s">
        <v>166</v>
      </c>
      <c r="R108" s="8" t="s">
        <v>150</v>
      </c>
      <c r="S108" s="8"/>
      <c r="T108" s="8" t="s">
        <v>33</v>
      </c>
      <c r="U108" s="8" t="s">
        <v>62</v>
      </c>
      <c r="V108" s="8" t="s">
        <v>231</v>
      </c>
      <c r="W108" s="8">
        <v>1200000</v>
      </c>
      <c r="X108" s="8">
        <v>0</v>
      </c>
      <c r="Y108" s="8" t="s">
        <v>189</v>
      </c>
      <c r="Z108" s="8" t="s">
        <v>131</v>
      </c>
      <c r="AA108" s="8">
        <v>357</v>
      </c>
      <c r="AB108" s="8" t="s">
        <v>202</v>
      </c>
      <c r="AC108" s="8">
        <v>327</v>
      </c>
      <c r="AD108" s="8" t="s">
        <v>198</v>
      </c>
      <c r="AE108" s="9" t="s">
        <v>191</v>
      </c>
    </row>
    <row r="109" spans="1:31" ht="45">
      <c r="A109" s="7" t="s">
        <v>328</v>
      </c>
      <c r="B109" s="8">
        <v>2025</v>
      </c>
      <c r="C109" s="8">
        <v>45823</v>
      </c>
      <c r="D109" s="8" t="s">
        <v>52</v>
      </c>
      <c r="E109" s="8" t="s">
        <v>75</v>
      </c>
      <c r="F109" s="8" t="s">
        <v>46</v>
      </c>
      <c r="G109" s="8" t="s">
        <v>39</v>
      </c>
      <c r="H109" s="8" t="s">
        <v>159</v>
      </c>
      <c r="I109" s="8" t="s">
        <v>219</v>
      </c>
      <c r="J109" s="8" t="s">
        <v>183</v>
      </c>
      <c r="K109" s="8" t="s">
        <v>145</v>
      </c>
      <c r="L109" s="8" t="s">
        <v>88</v>
      </c>
      <c r="M109" s="8">
        <v>45843</v>
      </c>
      <c r="N109" s="8">
        <v>45835</v>
      </c>
      <c r="O109" s="8" t="s">
        <v>48</v>
      </c>
      <c r="P109" s="8">
        <v>1</v>
      </c>
      <c r="Q109" s="8" t="s">
        <v>132</v>
      </c>
      <c r="R109" s="8" t="s">
        <v>150</v>
      </c>
      <c r="S109" s="8">
        <v>45842</v>
      </c>
      <c r="T109" s="8" t="s">
        <v>41</v>
      </c>
      <c r="U109" s="8" t="s">
        <v>72</v>
      </c>
      <c r="V109" s="8" t="s">
        <v>231</v>
      </c>
      <c r="W109" s="8">
        <v>1800000</v>
      </c>
      <c r="X109" s="8">
        <v>2047482</v>
      </c>
      <c r="Y109" s="8" t="s">
        <v>176</v>
      </c>
      <c r="Z109" s="8" t="s">
        <v>162</v>
      </c>
      <c r="AA109" s="8">
        <v>12</v>
      </c>
      <c r="AB109" s="8" t="s">
        <v>132</v>
      </c>
      <c r="AC109" s="8">
        <v>0</v>
      </c>
      <c r="AD109" s="8" t="s">
        <v>198</v>
      </c>
      <c r="AE109" s="9" t="s">
        <v>191</v>
      </c>
    </row>
    <row r="110" spans="1:31" ht="30">
      <c r="A110" s="7" t="s">
        <v>329</v>
      </c>
      <c r="B110" s="8">
        <v>2025</v>
      </c>
      <c r="C110" s="8">
        <v>45842</v>
      </c>
      <c r="D110" s="8" t="s">
        <v>36</v>
      </c>
      <c r="E110" s="8" t="s">
        <v>53</v>
      </c>
      <c r="F110" s="8" t="s">
        <v>30</v>
      </c>
      <c r="G110" s="8" t="s">
        <v>90</v>
      </c>
      <c r="H110" s="8" t="s">
        <v>123</v>
      </c>
      <c r="I110" s="8" t="s">
        <v>197</v>
      </c>
      <c r="J110" s="8" t="s">
        <v>183</v>
      </c>
      <c r="K110" s="8" t="s">
        <v>126</v>
      </c>
      <c r="L110" s="8" t="s">
        <v>73</v>
      </c>
      <c r="M110" s="8">
        <v>45852</v>
      </c>
      <c r="N110" s="8">
        <v>45849</v>
      </c>
      <c r="O110" s="8" t="s">
        <v>48</v>
      </c>
      <c r="P110" s="8">
        <v>1</v>
      </c>
      <c r="Q110" s="8" t="s">
        <v>132</v>
      </c>
      <c r="R110" s="8" t="s">
        <v>43</v>
      </c>
      <c r="S110" s="8">
        <v>45856</v>
      </c>
      <c r="T110" s="8" t="s">
        <v>33</v>
      </c>
      <c r="U110" s="8" t="s">
        <v>87</v>
      </c>
      <c r="V110" s="8" t="s">
        <v>72</v>
      </c>
      <c r="W110" s="8">
        <v>2500000</v>
      </c>
      <c r="X110" s="8">
        <v>2647342</v>
      </c>
      <c r="Y110" s="8" t="s">
        <v>168</v>
      </c>
      <c r="Z110" s="8" t="s">
        <v>184</v>
      </c>
      <c r="AA110" s="8">
        <v>7</v>
      </c>
      <c r="AB110" s="8" t="s">
        <v>132</v>
      </c>
      <c r="AC110" s="8">
        <v>0</v>
      </c>
      <c r="AD110" s="8" t="s">
        <v>206</v>
      </c>
      <c r="AE110" s="9" t="s">
        <v>207</v>
      </c>
    </row>
    <row r="111" spans="1:31" ht="45">
      <c r="A111" s="7" t="s">
        <v>330</v>
      </c>
      <c r="B111" s="8">
        <v>2025</v>
      </c>
      <c r="C111" s="8">
        <v>45843</v>
      </c>
      <c r="D111" s="8" t="s">
        <v>64</v>
      </c>
      <c r="E111" s="8" t="s">
        <v>29</v>
      </c>
      <c r="F111" s="8" t="s">
        <v>38</v>
      </c>
      <c r="G111" s="8" t="s">
        <v>31</v>
      </c>
      <c r="H111" s="8" t="s">
        <v>164</v>
      </c>
      <c r="I111" s="8" t="s">
        <v>298</v>
      </c>
      <c r="J111" s="8" t="s">
        <v>125</v>
      </c>
      <c r="K111" s="8" t="s">
        <v>126</v>
      </c>
      <c r="L111" s="8" t="s">
        <v>35</v>
      </c>
      <c r="M111" s="8">
        <v>45863</v>
      </c>
      <c r="N111" s="8"/>
      <c r="O111" s="8" t="s">
        <v>40</v>
      </c>
      <c r="P111" s="8">
        <v>0.6</v>
      </c>
      <c r="Q111" s="8" t="s">
        <v>166</v>
      </c>
      <c r="R111" s="8" t="s">
        <v>150</v>
      </c>
      <c r="S111" s="8"/>
      <c r="T111" s="8" t="s">
        <v>33</v>
      </c>
      <c r="U111" s="8" t="s">
        <v>77</v>
      </c>
      <c r="V111" s="8" t="s">
        <v>188</v>
      </c>
      <c r="W111" s="8">
        <v>250000</v>
      </c>
      <c r="X111" s="8">
        <v>244528</v>
      </c>
      <c r="Y111" s="8" t="s">
        <v>152</v>
      </c>
      <c r="Z111" s="8" t="s">
        <v>210</v>
      </c>
      <c r="AA111" s="8">
        <v>335</v>
      </c>
      <c r="AB111" s="8" t="s">
        <v>202</v>
      </c>
      <c r="AC111" s="8">
        <v>315</v>
      </c>
      <c r="AD111" s="8" t="s">
        <v>206</v>
      </c>
      <c r="AE111" s="9" t="s">
        <v>207</v>
      </c>
    </row>
    <row r="112" spans="1:31" ht="45">
      <c r="A112" s="7" t="s">
        <v>331</v>
      </c>
      <c r="B112" s="8">
        <v>2025</v>
      </c>
      <c r="C112" s="8">
        <v>45844</v>
      </c>
      <c r="D112" s="8" t="s">
        <v>89</v>
      </c>
      <c r="E112" s="8" t="s">
        <v>29</v>
      </c>
      <c r="F112" s="8" t="s">
        <v>38</v>
      </c>
      <c r="G112" s="8" t="s">
        <v>92</v>
      </c>
      <c r="H112" s="8" t="s">
        <v>164</v>
      </c>
      <c r="I112" s="8" t="s">
        <v>332</v>
      </c>
      <c r="J112" s="8" t="s">
        <v>172</v>
      </c>
      <c r="K112" s="8" t="s">
        <v>161</v>
      </c>
      <c r="L112" s="8" t="s">
        <v>35</v>
      </c>
      <c r="M112" s="8">
        <v>45854</v>
      </c>
      <c r="N112" s="8">
        <v>45852</v>
      </c>
      <c r="O112" s="8" t="s">
        <v>61</v>
      </c>
      <c r="P112" s="8">
        <v>0.1</v>
      </c>
      <c r="Q112" s="8" t="s">
        <v>246</v>
      </c>
      <c r="R112" s="8" t="s">
        <v>86</v>
      </c>
      <c r="S112" s="8"/>
      <c r="T112" s="8" t="s">
        <v>41</v>
      </c>
      <c r="U112" s="8" t="s">
        <v>56</v>
      </c>
      <c r="V112" s="8" t="s">
        <v>247</v>
      </c>
      <c r="W112" s="8">
        <v>250000</v>
      </c>
      <c r="X112" s="8">
        <v>217339</v>
      </c>
      <c r="Y112" s="8" t="s">
        <v>168</v>
      </c>
      <c r="Z112" s="8" t="s">
        <v>142</v>
      </c>
      <c r="AA112" s="8">
        <v>8</v>
      </c>
      <c r="AB112" s="8" t="s">
        <v>246</v>
      </c>
      <c r="AC112" s="8">
        <v>0</v>
      </c>
      <c r="AD112" s="8" t="s">
        <v>206</v>
      </c>
      <c r="AE112" s="9" t="s">
        <v>207</v>
      </c>
    </row>
    <row r="113" spans="1:31" ht="45">
      <c r="A113" s="7" t="s">
        <v>333</v>
      </c>
      <c r="B113" s="8">
        <v>2025</v>
      </c>
      <c r="C113" s="8">
        <v>45874</v>
      </c>
      <c r="D113" s="8" t="s">
        <v>52</v>
      </c>
      <c r="E113" s="8" t="s">
        <v>85</v>
      </c>
      <c r="F113" s="8" t="s">
        <v>38</v>
      </c>
      <c r="G113" s="8" t="s">
        <v>81</v>
      </c>
      <c r="H113" s="8" t="s">
        <v>159</v>
      </c>
      <c r="I113" s="8" t="s">
        <v>154</v>
      </c>
      <c r="J113" s="8" t="s">
        <v>183</v>
      </c>
      <c r="K113" s="8" t="s">
        <v>215</v>
      </c>
      <c r="L113" s="8" t="s">
        <v>63</v>
      </c>
      <c r="M113" s="8">
        <v>45884</v>
      </c>
      <c r="N113" s="8">
        <v>45882</v>
      </c>
      <c r="O113" s="8" t="s">
        <v>48</v>
      </c>
      <c r="P113" s="8">
        <v>1</v>
      </c>
      <c r="Q113" s="8" t="s">
        <v>132</v>
      </c>
      <c r="R113" s="8" t="s">
        <v>150</v>
      </c>
      <c r="S113" s="8">
        <v>45897</v>
      </c>
      <c r="T113" s="8" t="s">
        <v>33</v>
      </c>
      <c r="U113" s="8" t="s">
        <v>50</v>
      </c>
      <c r="V113" s="8" t="s">
        <v>140</v>
      </c>
      <c r="W113" s="8">
        <v>600000</v>
      </c>
      <c r="X113" s="8">
        <v>623015</v>
      </c>
      <c r="Y113" s="8" t="s">
        <v>130</v>
      </c>
      <c r="Z113" s="8" t="s">
        <v>184</v>
      </c>
      <c r="AA113" s="8">
        <v>8</v>
      </c>
      <c r="AB113" s="8" t="s">
        <v>132</v>
      </c>
      <c r="AC113" s="8">
        <v>0</v>
      </c>
      <c r="AD113" s="8" t="s">
        <v>213</v>
      </c>
      <c r="AE113" s="9" t="s">
        <v>207</v>
      </c>
    </row>
    <row r="114" spans="1:31" ht="45">
      <c r="A114" s="7" t="s">
        <v>334</v>
      </c>
      <c r="B114" s="8">
        <v>2025</v>
      </c>
      <c r="C114" s="8">
        <v>45875</v>
      </c>
      <c r="D114" s="8" t="s">
        <v>69</v>
      </c>
      <c r="E114" s="8" t="s">
        <v>85</v>
      </c>
      <c r="F114" s="8" t="s">
        <v>30</v>
      </c>
      <c r="G114" s="8" t="s">
        <v>93</v>
      </c>
      <c r="H114" s="8" t="s">
        <v>164</v>
      </c>
      <c r="I114" s="8" t="s">
        <v>154</v>
      </c>
      <c r="J114" s="8" t="s">
        <v>149</v>
      </c>
      <c r="K114" s="8" t="s">
        <v>145</v>
      </c>
      <c r="L114" s="8" t="s">
        <v>78</v>
      </c>
      <c r="M114" s="8">
        <v>45935</v>
      </c>
      <c r="N114" s="8"/>
      <c r="O114" s="8" t="s">
        <v>40</v>
      </c>
      <c r="P114" s="8">
        <v>0.4</v>
      </c>
      <c r="Q114" s="8" t="s">
        <v>166</v>
      </c>
      <c r="R114" s="8" t="s">
        <v>35</v>
      </c>
      <c r="S114" s="8"/>
      <c r="T114" s="8" t="s">
        <v>33</v>
      </c>
      <c r="U114" s="8" t="s">
        <v>67</v>
      </c>
      <c r="V114" s="8" t="s">
        <v>129</v>
      </c>
      <c r="W114" s="8">
        <v>250000</v>
      </c>
      <c r="X114" s="8">
        <v>239894</v>
      </c>
      <c r="Y114" s="8" t="s">
        <v>189</v>
      </c>
      <c r="Z114" s="8" t="s">
        <v>142</v>
      </c>
      <c r="AA114" s="8">
        <v>303</v>
      </c>
      <c r="AB114" s="8" t="s">
        <v>202</v>
      </c>
      <c r="AC114" s="8">
        <v>243</v>
      </c>
      <c r="AD114" s="8" t="s">
        <v>213</v>
      </c>
      <c r="AE114" s="9" t="s">
        <v>207</v>
      </c>
    </row>
    <row r="115" spans="1:31" ht="30">
      <c r="A115" s="7" t="s">
        <v>335</v>
      </c>
      <c r="B115" s="8">
        <v>2025</v>
      </c>
      <c r="C115" s="8">
        <v>45888</v>
      </c>
      <c r="D115" s="8" t="s">
        <v>84</v>
      </c>
      <c r="E115" s="8" t="s">
        <v>75</v>
      </c>
      <c r="F115" s="8" t="s">
        <v>38</v>
      </c>
      <c r="G115" s="8" t="s">
        <v>39</v>
      </c>
      <c r="H115" s="8" t="s">
        <v>159</v>
      </c>
      <c r="I115" s="8" t="s">
        <v>219</v>
      </c>
      <c r="J115" s="8" t="s">
        <v>125</v>
      </c>
      <c r="K115" s="8" t="s">
        <v>178</v>
      </c>
      <c r="L115" s="8" t="s">
        <v>83</v>
      </c>
      <c r="M115" s="8">
        <v>45898</v>
      </c>
      <c r="N115" s="8">
        <v>45896</v>
      </c>
      <c r="O115" s="8" t="s">
        <v>48</v>
      </c>
      <c r="P115" s="8">
        <v>1</v>
      </c>
      <c r="Q115" s="8" t="s">
        <v>127</v>
      </c>
      <c r="R115" s="8" t="s">
        <v>150</v>
      </c>
      <c r="S115" s="8">
        <v>45911</v>
      </c>
      <c r="T115" s="8" t="s">
        <v>33</v>
      </c>
      <c r="U115" s="8" t="s">
        <v>34</v>
      </c>
      <c r="V115" s="8" t="s">
        <v>231</v>
      </c>
      <c r="W115" s="8">
        <v>380000</v>
      </c>
      <c r="X115" s="8">
        <v>291884</v>
      </c>
      <c r="Y115" s="8" t="s">
        <v>176</v>
      </c>
      <c r="Z115" s="8" t="s">
        <v>142</v>
      </c>
      <c r="AA115" s="8">
        <v>8</v>
      </c>
      <c r="AB115" s="8" t="s">
        <v>132</v>
      </c>
      <c r="AC115" s="8">
        <v>0</v>
      </c>
      <c r="AD115" s="8" t="s">
        <v>213</v>
      </c>
      <c r="AE115" s="9" t="s">
        <v>207</v>
      </c>
    </row>
    <row r="116" spans="1:31" ht="45">
      <c r="A116" s="7" t="s">
        <v>336</v>
      </c>
      <c r="B116" s="8">
        <v>2025</v>
      </c>
      <c r="C116" s="8">
        <v>45889</v>
      </c>
      <c r="D116" s="8" t="s">
        <v>89</v>
      </c>
      <c r="E116" s="8" t="s">
        <v>70</v>
      </c>
      <c r="F116" s="8" t="s">
        <v>46</v>
      </c>
      <c r="G116" s="8" t="s">
        <v>86</v>
      </c>
      <c r="H116" s="8" t="s">
        <v>159</v>
      </c>
      <c r="I116" s="8" t="s">
        <v>137</v>
      </c>
      <c r="J116" s="8" t="s">
        <v>149</v>
      </c>
      <c r="K116" s="8" t="s">
        <v>178</v>
      </c>
      <c r="L116" s="8" t="s">
        <v>43</v>
      </c>
      <c r="M116" s="8">
        <v>45949</v>
      </c>
      <c r="N116" s="8">
        <v>45916</v>
      </c>
      <c r="O116" s="8" t="s">
        <v>48</v>
      </c>
      <c r="P116" s="8">
        <v>1</v>
      </c>
      <c r="Q116" s="8" t="s">
        <v>132</v>
      </c>
      <c r="R116" s="8" t="s">
        <v>150</v>
      </c>
      <c r="S116" s="8">
        <v>45919</v>
      </c>
      <c r="T116" s="8" t="s">
        <v>33</v>
      </c>
      <c r="U116" s="8" t="s">
        <v>56</v>
      </c>
      <c r="V116" s="8" t="s">
        <v>167</v>
      </c>
      <c r="W116" s="8">
        <v>600000</v>
      </c>
      <c r="X116" s="8">
        <v>631052</v>
      </c>
      <c r="Y116" s="8" t="s">
        <v>189</v>
      </c>
      <c r="Z116" s="8" t="s">
        <v>131</v>
      </c>
      <c r="AA116" s="8">
        <v>27</v>
      </c>
      <c r="AB116" s="8" t="s">
        <v>132</v>
      </c>
      <c r="AC116" s="8">
        <v>0</v>
      </c>
      <c r="AD116" s="8" t="s">
        <v>213</v>
      </c>
      <c r="AE116" s="9" t="s">
        <v>207</v>
      </c>
    </row>
    <row r="117" spans="1:31" ht="45">
      <c r="A117" s="7" t="s">
        <v>337</v>
      </c>
      <c r="B117" s="8">
        <v>2025</v>
      </c>
      <c r="C117" s="8">
        <v>45890</v>
      </c>
      <c r="D117" s="8" t="s">
        <v>64</v>
      </c>
      <c r="E117" s="8" t="s">
        <v>45</v>
      </c>
      <c r="F117" s="8" t="s">
        <v>38</v>
      </c>
      <c r="G117" s="8" t="s">
        <v>81</v>
      </c>
      <c r="H117" s="8" t="s">
        <v>164</v>
      </c>
      <c r="I117" s="8" t="s">
        <v>160</v>
      </c>
      <c r="J117" s="8" t="s">
        <v>155</v>
      </c>
      <c r="K117" s="8" t="s">
        <v>145</v>
      </c>
      <c r="L117" s="8" t="s">
        <v>73</v>
      </c>
      <c r="M117" s="8">
        <v>45935</v>
      </c>
      <c r="N117" s="8">
        <v>45919</v>
      </c>
      <c r="O117" s="8" t="s">
        <v>48</v>
      </c>
      <c r="P117" s="8">
        <v>1</v>
      </c>
      <c r="Q117" s="8" t="s">
        <v>132</v>
      </c>
      <c r="R117" s="8" t="s">
        <v>86</v>
      </c>
      <c r="S117" s="8">
        <v>45934</v>
      </c>
      <c r="T117" s="8" t="s">
        <v>41</v>
      </c>
      <c r="U117" s="8" t="s">
        <v>50</v>
      </c>
      <c r="V117" s="8" t="s">
        <v>247</v>
      </c>
      <c r="W117" s="8">
        <v>1200000</v>
      </c>
      <c r="X117" s="8">
        <v>1304152</v>
      </c>
      <c r="Y117" s="8" t="s">
        <v>168</v>
      </c>
      <c r="Z117" s="8" t="s">
        <v>142</v>
      </c>
      <c r="AA117" s="8">
        <v>29</v>
      </c>
      <c r="AB117" s="8" t="s">
        <v>132</v>
      </c>
      <c r="AC117" s="8">
        <v>0</v>
      </c>
      <c r="AD117" s="8" t="s">
        <v>213</v>
      </c>
      <c r="AE117" s="9" t="s">
        <v>207</v>
      </c>
    </row>
    <row r="118" spans="1:31" ht="45">
      <c r="A118" s="7" t="s">
        <v>338</v>
      </c>
      <c r="B118" s="8">
        <v>2025</v>
      </c>
      <c r="C118" s="8">
        <v>45905</v>
      </c>
      <c r="D118" s="8" t="s">
        <v>79</v>
      </c>
      <c r="E118" s="8" t="s">
        <v>85</v>
      </c>
      <c r="F118" s="8" t="s">
        <v>30</v>
      </c>
      <c r="G118" s="8" t="s">
        <v>47</v>
      </c>
      <c r="H118" s="8" t="s">
        <v>123</v>
      </c>
      <c r="I118" s="8" t="s">
        <v>154</v>
      </c>
      <c r="J118" s="8" t="s">
        <v>183</v>
      </c>
      <c r="K118" s="8" t="s">
        <v>215</v>
      </c>
      <c r="L118" s="8" t="s">
        <v>35</v>
      </c>
      <c r="M118" s="8">
        <v>45925</v>
      </c>
      <c r="N118" s="8">
        <v>45923</v>
      </c>
      <c r="O118" s="8" t="s">
        <v>48</v>
      </c>
      <c r="P118" s="8">
        <v>1</v>
      </c>
      <c r="Q118" s="8" t="s">
        <v>166</v>
      </c>
      <c r="R118" s="8" t="s">
        <v>86</v>
      </c>
      <c r="S118" s="8"/>
      <c r="T118" s="8" t="s">
        <v>41</v>
      </c>
      <c r="U118" s="8" t="s">
        <v>72</v>
      </c>
      <c r="V118" s="8" t="s">
        <v>188</v>
      </c>
      <c r="W118" s="8">
        <v>380000</v>
      </c>
      <c r="X118" s="8">
        <v>323092</v>
      </c>
      <c r="Y118" s="8" t="s">
        <v>141</v>
      </c>
      <c r="Z118" s="8" t="s">
        <v>184</v>
      </c>
      <c r="AA118" s="8">
        <v>18</v>
      </c>
      <c r="AB118" s="8" t="s">
        <v>132</v>
      </c>
      <c r="AC118" s="8">
        <v>0</v>
      </c>
      <c r="AD118" s="8" t="s">
        <v>224</v>
      </c>
      <c r="AE118" s="9" t="s">
        <v>207</v>
      </c>
    </row>
    <row r="119" spans="1:31" ht="45">
      <c r="A119" s="7" t="s">
        <v>339</v>
      </c>
      <c r="B119" s="8">
        <v>2025</v>
      </c>
      <c r="C119" s="8">
        <v>45906</v>
      </c>
      <c r="D119" s="8" t="s">
        <v>58</v>
      </c>
      <c r="E119" s="8" t="s">
        <v>29</v>
      </c>
      <c r="F119" s="8" t="s">
        <v>30</v>
      </c>
      <c r="G119" s="8" t="s">
        <v>92</v>
      </c>
      <c r="H119" s="8" t="s">
        <v>136</v>
      </c>
      <c r="I119" s="8" t="s">
        <v>226</v>
      </c>
      <c r="J119" s="8" t="s">
        <v>138</v>
      </c>
      <c r="K119" s="8" t="s">
        <v>145</v>
      </c>
      <c r="L119" s="8" t="s">
        <v>51</v>
      </c>
      <c r="M119" s="8">
        <v>45951</v>
      </c>
      <c r="N119" s="8">
        <v>45959</v>
      </c>
      <c r="O119" s="8" t="s">
        <v>48</v>
      </c>
      <c r="P119" s="8">
        <v>1</v>
      </c>
      <c r="Q119" s="8" t="s">
        <v>132</v>
      </c>
      <c r="R119" s="8" t="s">
        <v>35</v>
      </c>
      <c r="S119" s="8">
        <v>45974</v>
      </c>
      <c r="T119" s="8" t="s">
        <v>41</v>
      </c>
      <c r="U119" s="8" t="s">
        <v>67</v>
      </c>
      <c r="V119" s="8" t="s">
        <v>151</v>
      </c>
      <c r="W119" s="8">
        <v>450000</v>
      </c>
      <c r="X119" s="8">
        <v>452786</v>
      </c>
      <c r="Y119" s="8" t="s">
        <v>130</v>
      </c>
      <c r="Z119" s="8" t="s">
        <v>162</v>
      </c>
      <c r="AA119" s="8">
        <v>53</v>
      </c>
      <c r="AB119" s="8" t="s">
        <v>127</v>
      </c>
      <c r="AC119" s="8">
        <v>0</v>
      </c>
      <c r="AD119" s="8" t="s">
        <v>224</v>
      </c>
      <c r="AE119" s="9" t="s">
        <v>207</v>
      </c>
    </row>
    <row r="120" spans="1:31" ht="45">
      <c r="A120" s="7" t="s">
        <v>340</v>
      </c>
      <c r="B120" s="8">
        <v>2025</v>
      </c>
      <c r="C120" s="8">
        <v>45915</v>
      </c>
      <c r="D120" s="8" t="s">
        <v>52</v>
      </c>
      <c r="E120" s="8" t="s">
        <v>45</v>
      </c>
      <c r="F120" s="8" t="s">
        <v>30</v>
      </c>
      <c r="G120" s="8" t="s">
        <v>93</v>
      </c>
      <c r="H120" s="8" t="s">
        <v>164</v>
      </c>
      <c r="I120" s="8" t="s">
        <v>237</v>
      </c>
      <c r="J120" s="8" t="s">
        <v>144</v>
      </c>
      <c r="K120" s="8" t="s">
        <v>126</v>
      </c>
      <c r="L120" s="8" t="s">
        <v>51</v>
      </c>
      <c r="M120" s="8">
        <v>45945</v>
      </c>
      <c r="N120" s="8"/>
      <c r="O120" s="8" t="s">
        <v>55</v>
      </c>
      <c r="P120" s="8">
        <v>0.7</v>
      </c>
      <c r="Q120" s="8" t="s">
        <v>166</v>
      </c>
      <c r="R120" s="8" t="s">
        <v>150</v>
      </c>
      <c r="S120" s="8"/>
      <c r="T120" s="8" t="s">
        <v>33</v>
      </c>
      <c r="U120" s="8" t="s">
        <v>67</v>
      </c>
      <c r="V120" s="8" t="s">
        <v>129</v>
      </c>
      <c r="W120" s="8">
        <v>2500000</v>
      </c>
      <c r="X120" s="8">
        <v>0</v>
      </c>
      <c r="Y120" s="8" t="s">
        <v>152</v>
      </c>
      <c r="Z120" s="8" t="s">
        <v>131</v>
      </c>
      <c r="AA120" s="8">
        <v>263</v>
      </c>
      <c r="AB120" s="8" t="s">
        <v>202</v>
      </c>
      <c r="AC120" s="8">
        <v>233</v>
      </c>
      <c r="AD120" s="8" t="s">
        <v>224</v>
      </c>
      <c r="AE120" s="9" t="s">
        <v>207</v>
      </c>
    </row>
    <row r="121" spans="1:31" ht="45">
      <c r="A121" s="7" t="s">
        <v>341</v>
      </c>
      <c r="B121" s="8">
        <v>2025</v>
      </c>
      <c r="C121" s="8">
        <v>45916</v>
      </c>
      <c r="D121" s="8" t="s">
        <v>89</v>
      </c>
      <c r="E121" s="8" t="s">
        <v>37</v>
      </c>
      <c r="F121" s="8" t="s">
        <v>38</v>
      </c>
      <c r="G121" s="8" t="s">
        <v>90</v>
      </c>
      <c r="H121" s="8" t="s">
        <v>251</v>
      </c>
      <c r="I121" s="8" t="s">
        <v>174</v>
      </c>
      <c r="J121" s="8" t="s">
        <v>183</v>
      </c>
      <c r="K121" s="8" t="s">
        <v>139</v>
      </c>
      <c r="L121" s="8" t="s">
        <v>73</v>
      </c>
      <c r="M121" s="8">
        <v>45926</v>
      </c>
      <c r="N121" s="8">
        <v>45922</v>
      </c>
      <c r="O121" s="8" t="s">
        <v>48</v>
      </c>
      <c r="P121" s="8">
        <v>1</v>
      </c>
      <c r="Q121" s="8" t="s">
        <v>132</v>
      </c>
      <c r="R121" s="8" t="s">
        <v>128</v>
      </c>
      <c r="S121" s="8">
        <v>45937</v>
      </c>
      <c r="T121" s="8" t="s">
        <v>33</v>
      </c>
      <c r="U121" s="8" t="s">
        <v>34</v>
      </c>
      <c r="V121" s="8" t="s">
        <v>231</v>
      </c>
      <c r="W121" s="8">
        <v>250000</v>
      </c>
      <c r="X121" s="8">
        <v>210476</v>
      </c>
      <c r="Y121" s="8" t="s">
        <v>141</v>
      </c>
      <c r="Z121" s="8" t="s">
        <v>184</v>
      </c>
      <c r="AA121" s="8">
        <v>6</v>
      </c>
      <c r="AB121" s="8" t="s">
        <v>132</v>
      </c>
      <c r="AC121" s="8">
        <v>0</v>
      </c>
      <c r="AD121" s="8" t="s">
        <v>224</v>
      </c>
      <c r="AE121" s="9" t="s">
        <v>207</v>
      </c>
    </row>
    <row r="122" spans="1:31" ht="30">
      <c r="A122" s="7" t="s">
        <v>342</v>
      </c>
      <c r="B122" s="8">
        <v>2025</v>
      </c>
      <c r="C122" s="8">
        <v>45917</v>
      </c>
      <c r="D122" s="8" t="s">
        <v>74</v>
      </c>
      <c r="E122" s="8" t="s">
        <v>65</v>
      </c>
      <c r="F122" s="8" t="s">
        <v>38</v>
      </c>
      <c r="G122" s="8" t="s">
        <v>92</v>
      </c>
      <c r="H122" s="8" t="s">
        <v>123</v>
      </c>
      <c r="I122" s="8" t="s">
        <v>304</v>
      </c>
      <c r="J122" s="8" t="s">
        <v>183</v>
      </c>
      <c r="K122" s="8" t="s">
        <v>126</v>
      </c>
      <c r="L122" s="8" t="s">
        <v>78</v>
      </c>
      <c r="M122" s="8">
        <v>45947</v>
      </c>
      <c r="N122" s="8">
        <v>45931</v>
      </c>
      <c r="O122" s="8" t="s">
        <v>48</v>
      </c>
      <c r="P122" s="8">
        <v>1</v>
      </c>
      <c r="Q122" s="8" t="s">
        <v>132</v>
      </c>
      <c r="R122" s="8" t="s">
        <v>150</v>
      </c>
      <c r="S122" s="8">
        <v>45934</v>
      </c>
      <c r="T122" s="8" t="s">
        <v>33</v>
      </c>
      <c r="U122" s="8" t="s">
        <v>42</v>
      </c>
      <c r="V122" s="8" t="s">
        <v>146</v>
      </c>
      <c r="W122" s="8">
        <v>250000</v>
      </c>
      <c r="X122" s="8">
        <v>216684</v>
      </c>
      <c r="Y122" s="8" t="s">
        <v>130</v>
      </c>
      <c r="Z122" s="8" t="s">
        <v>142</v>
      </c>
      <c r="AA122" s="8">
        <v>14</v>
      </c>
      <c r="AB122" s="8" t="s">
        <v>132</v>
      </c>
      <c r="AC122" s="8">
        <v>0</v>
      </c>
      <c r="AD122" s="8" t="s">
        <v>224</v>
      </c>
      <c r="AE122" s="9" t="s">
        <v>207</v>
      </c>
    </row>
    <row r="123" spans="1:31" ht="45">
      <c r="A123" s="7" t="s">
        <v>343</v>
      </c>
      <c r="B123" s="8">
        <v>2025</v>
      </c>
      <c r="C123" s="8">
        <v>45918</v>
      </c>
      <c r="D123" s="8" t="s">
        <v>84</v>
      </c>
      <c r="E123" s="8" t="s">
        <v>45</v>
      </c>
      <c r="F123" s="8" t="s">
        <v>46</v>
      </c>
      <c r="G123" s="8" t="s">
        <v>66</v>
      </c>
      <c r="H123" s="8" t="s">
        <v>123</v>
      </c>
      <c r="I123" s="8" t="s">
        <v>237</v>
      </c>
      <c r="J123" s="8" t="s">
        <v>155</v>
      </c>
      <c r="K123" s="8" t="s">
        <v>139</v>
      </c>
      <c r="L123" s="8" t="s">
        <v>51</v>
      </c>
      <c r="M123" s="8">
        <v>45928</v>
      </c>
      <c r="N123" s="8">
        <v>45929</v>
      </c>
      <c r="O123" s="8" t="s">
        <v>48</v>
      </c>
      <c r="P123" s="8">
        <v>1</v>
      </c>
      <c r="Q123" s="8" t="s">
        <v>132</v>
      </c>
      <c r="R123" s="8" t="s">
        <v>128</v>
      </c>
      <c r="S123" s="8">
        <v>45944</v>
      </c>
      <c r="T123" s="8" t="s">
        <v>49</v>
      </c>
      <c r="U123" s="8" t="s">
        <v>67</v>
      </c>
      <c r="V123" s="8" t="s">
        <v>72</v>
      </c>
      <c r="W123" s="8">
        <v>250000</v>
      </c>
      <c r="X123" s="8">
        <v>216521</v>
      </c>
      <c r="Y123" s="8" t="s">
        <v>130</v>
      </c>
      <c r="Z123" s="8" t="s">
        <v>184</v>
      </c>
      <c r="AA123" s="8">
        <v>11</v>
      </c>
      <c r="AB123" s="8" t="s">
        <v>127</v>
      </c>
      <c r="AC123" s="8">
        <v>0</v>
      </c>
      <c r="AD123" s="8" t="s">
        <v>224</v>
      </c>
      <c r="AE123" s="9" t="s">
        <v>207</v>
      </c>
    </row>
    <row r="124" spans="1:31" ht="45">
      <c r="A124" s="7" t="s">
        <v>344</v>
      </c>
      <c r="B124" s="8">
        <v>2025</v>
      </c>
      <c r="C124" s="8">
        <v>45924</v>
      </c>
      <c r="D124" s="8" t="s">
        <v>69</v>
      </c>
      <c r="E124" s="8" t="s">
        <v>53</v>
      </c>
      <c r="F124" s="8" t="s">
        <v>38</v>
      </c>
      <c r="G124" s="8" t="s">
        <v>60</v>
      </c>
      <c r="H124" s="8" t="s">
        <v>251</v>
      </c>
      <c r="I124" s="8" t="s">
        <v>171</v>
      </c>
      <c r="J124" s="8" t="s">
        <v>175</v>
      </c>
      <c r="K124" s="8" t="s">
        <v>178</v>
      </c>
      <c r="L124" s="8" t="s">
        <v>68</v>
      </c>
      <c r="M124" s="8">
        <v>45939</v>
      </c>
      <c r="N124" s="8">
        <v>45936</v>
      </c>
      <c r="O124" s="8" t="s">
        <v>48</v>
      </c>
      <c r="P124" s="8">
        <v>1</v>
      </c>
      <c r="Q124" s="8" t="s">
        <v>132</v>
      </c>
      <c r="R124" s="8" t="s">
        <v>35</v>
      </c>
      <c r="S124" s="8">
        <v>45939</v>
      </c>
      <c r="T124" s="8" t="s">
        <v>49</v>
      </c>
      <c r="U124" s="8" t="s">
        <v>42</v>
      </c>
      <c r="V124" s="8" t="s">
        <v>188</v>
      </c>
      <c r="W124" s="8">
        <v>2500000</v>
      </c>
      <c r="X124" s="8">
        <v>2083889</v>
      </c>
      <c r="Y124" s="8" t="s">
        <v>176</v>
      </c>
      <c r="Z124" s="8" t="s">
        <v>210</v>
      </c>
      <c r="AA124" s="8">
        <v>12</v>
      </c>
      <c r="AB124" s="8" t="s">
        <v>132</v>
      </c>
      <c r="AC124" s="8">
        <v>0</v>
      </c>
      <c r="AD124" s="8" t="s">
        <v>224</v>
      </c>
      <c r="AE124" s="9" t="s">
        <v>207</v>
      </c>
    </row>
    <row r="125" spans="1:31" ht="30">
      <c r="A125" s="7" t="s">
        <v>345</v>
      </c>
      <c r="B125" s="8">
        <v>2025</v>
      </c>
      <c r="C125" s="8">
        <v>45940</v>
      </c>
      <c r="D125" s="8" t="s">
        <v>64</v>
      </c>
      <c r="E125" s="8" t="s">
        <v>80</v>
      </c>
      <c r="F125" s="8" t="s">
        <v>38</v>
      </c>
      <c r="G125" s="8" t="s">
        <v>71</v>
      </c>
      <c r="H125" s="8" t="s">
        <v>159</v>
      </c>
      <c r="I125" s="8" t="s">
        <v>223</v>
      </c>
      <c r="J125" s="8" t="s">
        <v>155</v>
      </c>
      <c r="K125" s="8" t="s">
        <v>126</v>
      </c>
      <c r="L125" s="8" t="s">
        <v>73</v>
      </c>
      <c r="M125" s="8">
        <v>45955</v>
      </c>
      <c r="N125" s="8">
        <v>45947</v>
      </c>
      <c r="O125" s="8" t="s">
        <v>48</v>
      </c>
      <c r="P125" s="8">
        <v>1</v>
      </c>
      <c r="Q125" s="8" t="s">
        <v>132</v>
      </c>
      <c r="R125" s="8" t="s">
        <v>86</v>
      </c>
      <c r="S125" s="8">
        <v>45962</v>
      </c>
      <c r="T125" s="8" t="s">
        <v>41</v>
      </c>
      <c r="U125" s="8" t="s">
        <v>50</v>
      </c>
      <c r="V125" s="8" t="s">
        <v>188</v>
      </c>
      <c r="W125" s="8">
        <v>1200000</v>
      </c>
      <c r="X125" s="8">
        <v>1073136</v>
      </c>
      <c r="Y125" s="8" t="s">
        <v>189</v>
      </c>
      <c r="Z125" s="8" t="s">
        <v>142</v>
      </c>
      <c r="AA125" s="8">
        <v>7</v>
      </c>
      <c r="AB125" s="8" t="s">
        <v>132</v>
      </c>
      <c r="AC125" s="8">
        <v>0</v>
      </c>
      <c r="AD125" s="8" t="s">
        <v>227</v>
      </c>
      <c r="AE125" s="9" t="s">
        <v>228</v>
      </c>
    </row>
    <row r="126" spans="1:31" ht="45">
      <c r="A126" s="7" t="s">
        <v>346</v>
      </c>
      <c r="B126" s="8">
        <v>2025</v>
      </c>
      <c r="C126" s="8">
        <v>45946</v>
      </c>
      <c r="D126" s="8" t="s">
        <v>44</v>
      </c>
      <c r="E126" s="8" t="s">
        <v>59</v>
      </c>
      <c r="F126" s="8" t="s">
        <v>38</v>
      </c>
      <c r="G126" s="8" t="s">
        <v>54</v>
      </c>
      <c r="H126" s="8" t="s">
        <v>123</v>
      </c>
      <c r="I126" s="8" t="s">
        <v>212</v>
      </c>
      <c r="J126" s="8" t="s">
        <v>138</v>
      </c>
      <c r="K126" s="8" t="s">
        <v>161</v>
      </c>
      <c r="L126" s="8" t="s">
        <v>43</v>
      </c>
      <c r="M126" s="8">
        <v>45991</v>
      </c>
      <c r="N126" s="8">
        <v>45996</v>
      </c>
      <c r="O126" s="8" t="s">
        <v>48</v>
      </c>
      <c r="P126" s="8">
        <v>1</v>
      </c>
      <c r="Q126" s="8" t="s">
        <v>166</v>
      </c>
      <c r="R126" s="8" t="s">
        <v>35</v>
      </c>
      <c r="S126" s="8"/>
      <c r="T126" s="8" t="s">
        <v>41</v>
      </c>
      <c r="U126" s="8" t="s">
        <v>72</v>
      </c>
      <c r="V126" s="8" t="s">
        <v>129</v>
      </c>
      <c r="W126" s="8">
        <v>1200000</v>
      </c>
      <c r="X126" s="8">
        <v>1236784</v>
      </c>
      <c r="Y126" s="8" t="s">
        <v>168</v>
      </c>
      <c r="Z126" s="8" t="s">
        <v>184</v>
      </c>
      <c r="AA126" s="8">
        <v>50</v>
      </c>
      <c r="AB126" s="8" t="s">
        <v>127</v>
      </c>
      <c r="AC126" s="8">
        <v>0</v>
      </c>
      <c r="AD126" s="8" t="s">
        <v>227</v>
      </c>
      <c r="AE126" s="9" t="s">
        <v>228</v>
      </c>
    </row>
    <row r="127" spans="1:31" ht="45">
      <c r="A127" s="7" t="s">
        <v>347</v>
      </c>
      <c r="B127" s="8">
        <v>2025</v>
      </c>
      <c r="C127" s="8">
        <v>45948</v>
      </c>
      <c r="D127" s="8" t="s">
        <v>52</v>
      </c>
      <c r="E127" s="8" t="s">
        <v>65</v>
      </c>
      <c r="F127" s="8" t="s">
        <v>38</v>
      </c>
      <c r="G127" s="8" t="s">
        <v>71</v>
      </c>
      <c r="H127" s="8" t="s">
        <v>170</v>
      </c>
      <c r="I127" s="8" t="s">
        <v>304</v>
      </c>
      <c r="J127" s="8" t="s">
        <v>175</v>
      </c>
      <c r="K127" s="8" t="s">
        <v>156</v>
      </c>
      <c r="L127" s="8" t="s">
        <v>88</v>
      </c>
      <c r="M127" s="8">
        <v>45963</v>
      </c>
      <c r="N127" s="8">
        <v>45962</v>
      </c>
      <c r="O127" s="8" t="s">
        <v>48</v>
      </c>
      <c r="P127" s="8">
        <v>1</v>
      </c>
      <c r="Q127" s="8" t="s">
        <v>132</v>
      </c>
      <c r="R127" s="8" t="s">
        <v>128</v>
      </c>
      <c r="S127" s="8">
        <v>45977</v>
      </c>
      <c r="T127" s="8" t="s">
        <v>33</v>
      </c>
      <c r="U127" s="8" t="s">
        <v>72</v>
      </c>
      <c r="V127" s="8" t="s">
        <v>151</v>
      </c>
      <c r="W127" s="8">
        <v>850000</v>
      </c>
      <c r="X127" s="8">
        <v>920135</v>
      </c>
      <c r="Y127" s="8" t="s">
        <v>189</v>
      </c>
      <c r="Z127" s="8" t="s">
        <v>162</v>
      </c>
      <c r="AA127" s="8">
        <v>14</v>
      </c>
      <c r="AB127" s="8" t="s">
        <v>132</v>
      </c>
      <c r="AC127" s="8">
        <v>0</v>
      </c>
      <c r="AD127" s="8" t="s">
        <v>227</v>
      </c>
      <c r="AE127" s="9" t="s">
        <v>228</v>
      </c>
    </row>
    <row r="128" spans="1:31" ht="45">
      <c r="A128" s="7" t="s">
        <v>348</v>
      </c>
      <c r="B128" s="8">
        <v>2025</v>
      </c>
      <c r="C128" s="8">
        <v>45971</v>
      </c>
      <c r="D128" s="8" t="s">
        <v>89</v>
      </c>
      <c r="E128" s="8" t="s">
        <v>53</v>
      </c>
      <c r="F128" s="8" t="s">
        <v>30</v>
      </c>
      <c r="G128" s="8" t="s">
        <v>92</v>
      </c>
      <c r="H128" s="8" t="s">
        <v>164</v>
      </c>
      <c r="I128" s="8" t="s">
        <v>171</v>
      </c>
      <c r="J128" s="8" t="s">
        <v>125</v>
      </c>
      <c r="K128" s="8" t="s">
        <v>145</v>
      </c>
      <c r="L128" s="8" t="s">
        <v>83</v>
      </c>
      <c r="M128" s="8">
        <v>46001</v>
      </c>
      <c r="N128" s="8">
        <v>46004</v>
      </c>
      <c r="O128" s="8" t="s">
        <v>48</v>
      </c>
      <c r="P128" s="8">
        <v>1</v>
      </c>
      <c r="Q128" s="8" t="s">
        <v>132</v>
      </c>
      <c r="R128" s="8" t="s">
        <v>86</v>
      </c>
      <c r="S128" s="8">
        <v>46019</v>
      </c>
      <c r="T128" s="8" t="s">
        <v>41</v>
      </c>
      <c r="U128" s="8" t="s">
        <v>34</v>
      </c>
      <c r="V128" s="8" t="s">
        <v>140</v>
      </c>
      <c r="W128" s="8">
        <v>2500000</v>
      </c>
      <c r="X128" s="8">
        <v>2290621</v>
      </c>
      <c r="Y128" s="8" t="s">
        <v>130</v>
      </c>
      <c r="Z128" s="8" t="s">
        <v>131</v>
      </c>
      <c r="AA128" s="8">
        <v>33</v>
      </c>
      <c r="AB128" s="8" t="s">
        <v>127</v>
      </c>
      <c r="AC128" s="8">
        <v>0</v>
      </c>
      <c r="AD128" s="8" t="s">
        <v>234</v>
      </c>
      <c r="AE128" s="9" t="s">
        <v>228</v>
      </c>
    </row>
    <row r="129" spans="1:31" ht="45">
      <c r="A129" s="7" t="s">
        <v>349</v>
      </c>
      <c r="B129" s="8">
        <v>2025</v>
      </c>
      <c r="C129" s="8">
        <v>45971</v>
      </c>
      <c r="D129" s="8" t="s">
        <v>58</v>
      </c>
      <c r="E129" s="8" t="s">
        <v>45</v>
      </c>
      <c r="F129" s="8" t="s">
        <v>38</v>
      </c>
      <c r="G129" s="8" t="s">
        <v>71</v>
      </c>
      <c r="H129" s="8" t="s">
        <v>251</v>
      </c>
      <c r="I129" s="8" t="s">
        <v>160</v>
      </c>
      <c r="J129" s="8" t="s">
        <v>155</v>
      </c>
      <c r="K129" s="8" t="s">
        <v>156</v>
      </c>
      <c r="L129" s="8" t="s">
        <v>63</v>
      </c>
      <c r="M129" s="8">
        <v>45991</v>
      </c>
      <c r="N129" s="8">
        <v>45986</v>
      </c>
      <c r="O129" s="8" t="s">
        <v>48</v>
      </c>
      <c r="P129" s="8">
        <v>1</v>
      </c>
      <c r="Q129" s="8" t="s">
        <v>166</v>
      </c>
      <c r="R129" s="8" t="s">
        <v>150</v>
      </c>
      <c r="S129" s="8"/>
      <c r="T129" s="8" t="s">
        <v>49</v>
      </c>
      <c r="U129" s="8" t="s">
        <v>82</v>
      </c>
      <c r="V129" s="8" t="s">
        <v>188</v>
      </c>
      <c r="W129" s="8">
        <v>1200000</v>
      </c>
      <c r="X129" s="8">
        <v>1099605</v>
      </c>
      <c r="Y129" s="8" t="s">
        <v>168</v>
      </c>
      <c r="Z129" s="8" t="s">
        <v>162</v>
      </c>
      <c r="AA129" s="8">
        <v>15</v>
      </c>
      <c r="AB129" s="8" t="s">
        <v>132</v>
      </c>
      <c r="AC129" s="8">
        <v>0</v>
      </c>
      <c r="AD129" s="8" t="s">
        <v>234</v>
      </c>
      <c r="AE129" s="9" t="s">
        <v>228</v>
      </c>
    </row>
    <row r="130" spans="1:31" ht="30">
      <c r="A130" s="7" t="s">
        <v>350</v>
      </c>
      <c r="B130" s="8">
        <v>2025</v>
      </c>
      <c r="C130" s="8">
        <v>45977</v>
      </c>
      <c r="D130" s="8" t="s">
        <v>28</v>
      </c>
      <c r="E130" s="8" t="s">
        <v>75</v>
      </c>
      <c r="F130" s="8" t="s">
        <v>38</v>
      </c>
      <c r="G130" s="8" t="s">
        <v>47</v>
      </c>
      <c r="H130" s="8" t="s">
        <v>159</v>
      </c>
      <c r="I130" s="8" t="s">
        <v>243</v>
      </c>
      <c r="J130" s="8" t="s">
        <v>125</v>
      </c>
      <c r="K130" s="8" t="s">
        <v>178</v>
      </c>
      <c r="L130" s="8" t="s">
        <v>78</v>
      </c>
      <c r="M130" s="8">
        <v>46007</v>
      </c>
      <c r="N130" s="8">
        <v>46003</v>
      </c>
      <c r="O130" s="8" t="s">
        <v>48</v>
      </c>
      <c r="P130" s="8">
        <v>1</v>
      </c>
      <c r="Q130" s="8" t="s">
        <v>132</v>
      </c>
      <c r="R130" s="8" t="s">
        <v>86</v>
      </c>
      <c r="S130" s="8">
        <v>46006</v>
      </c>
      <c r="T130" s="8" t="s">
        <v>41</v>
      </c>
      <c r="U130" s="8" t="s">
        <v>82</v>
      </c>
      <c r="V130" s="8" t="s">
        <v>231</v>
      </c>
      <c r="W130" s="8">
        <v>850000</v>
      </c>
      <c r="X130" s="8">
        <v>648616</v>
      </c>
      <c r="Y130" s="8" t="s">
        <v>152</v>
      </c>
      <c r="Z130" s="8" t="s">
        <v>184</v>
      </c>
      <c r="AA130" s="8">
        <v>26</v>
      </c>
      <c r="AB130" s="8" t="s">
        <v>132</v>
      </c>
      <c r="AC130" s="8">
        <v>0</v>
      </c>
      <c r="AD130" s="8" t="s">
        <v>234</v>
      </c>
      <c r="AE130" s="9" t="s">
        <v>228</v>
      </c>
    </row>
    <row r="131" spans="1:31" ht="45">
      <c r="A131" s="7" t="s">
        <v>351</v>
      </c>
      <c r="B131" s="8">
        <v>2025</v>
      </c>
      <c r="C131" s="8">
        <v>45985</v>
      </c>
      <c r="D131" s="8" t="s">
        <v>69</v>
      </c>
      <c r="E131" s="8" t="s">
        <v>80</v>
      </c>
      <c r="F131" s="8" t="s">
        <v>30</v>
      </c>
      <c r="G131" s="8" t="s">
        <v>47</v>
      </c>
      <c r="H131" s="8" t="s">
        <v>123</v>
      </c>
      <c r="I131" s="8" t="s">
        <v>289</v>
      </c>
      <c r="J131" s="8" t="s">
        <v>183</v>
      </c>
      <c r="K131" s="8" t="s">
        <v>145</v>
      </c>
      <c r="L131" s="8" t="s">
        <v>63</v>
      </c>
      <c r="M131" s="8">
        <v>46030</v>
      </c>
      <c r="N131" s="8">
        <v>46027</v>
      </c>
      <c r="O131" s="8" t="s">
        <v>48</v>
      </c>
      <c r="P131" s="8">
        <v>1</v>
      </c>
      <c r="Q131" s="8" t="s">
        <v>127</v>
      </c>
      <c r="R131" s="8" t="s">
        <v>35</v>
      </c>
      <c r="S131" s="8">
        <v>46034</v>
      </c>
      <c r="T131" s="8" t="s">
        <v>49</v>
      </c>
      <c r="U131" s="8" t="s">
        <v>34</v>
      </c>
      <c r="V131" s="8" t="s">
        <v>129</v>
      </c>
      <c r="W131" s="8">
        <v>850000</v>
      </c>
      <c r="X131" s="8">
        <v>701583</v>
      </c>
      <c r="Y131" s="8" t="s">
        <v>141</v>
      </c>
      <c r="Z131" s="8" t="s">
        <v>142</v>
      </c>
      <c r="AA131" s="8">
        <v>42</v>
      </c>
      <c r="AB131" s="8" t="s">
        <v>132</v>
      </c>
      <c r="AC131" s="8">
        <v>0</v>
      </c>
      <c r="AD131" s="8" t="s">
        <v>234</v>
      </c>
      <c r="AE131" s="9" t="s">
        <v>228</v>
      </c>
    </row>
    <row r="132" spans="1:31" ht="45">
      <c r="A132" s="7" t="s">
        <v>352</v>
      </c>
      <c r="B132" s="8">
        <v>2025</v>
      </c>
      <c r="C132" s="8">
        <v>45996</v>
      </c>
      <c r="D132" s="8" t="s">
        <v>64</v>
      </c>
      <c r="E132" s="8" t="s">
        <v>29</v>
      </c>
      <c r="F132" s="8" t="s">
        <v>38</v>
      </c>
      <c r="G132" s="8" t="s">
        <v>76</v>
      </c>
      <c r="H132" s="8" t="s">
        <v>136</v>
      </c>
      <c r="I132" s="8" t="s">
        <v>298</v>
      </c>
      <c r="J132" s="8" t="s">
        <v>149</v>
      </c>
      <c r="K132" s="8" t="s">
        <v>139</v>
      </c>
      <c r="L132" s="8" t="s">
        <v>43</v>
      </c>
      <c r="M132" s="8">
        <v>46016</v>
      </c>
      <c r="N132" s="8">
        <v>46018</v>
      </c>
      <c r="O132" s="8" t="s">
        <v>48</v>
      </c>
      <c r="P132" s="8">
        <v>1</v>
      </c>
      <c r="Q132" s="8" t="s">
        <v>127</v>
      </c>
      <c r="R132" s="8" t="s">
        <v>35</v>
      </c>
      <c r="S132" s="8">
        <v>46033</v>
      </c>
      <c r="T132" s="8" t="s">
        <v>33</v>
      </c>
      <c r="U132" s="8" t="s">
        <v>62</v>
      </c>
      <c r="V132" s="8" t="s">
        <v>188</v>
      </c>
      <c r="W132" s="8">
        <v>2500000</v>
      </c>
      <c r="X132" s="8">
        <v>2596993</v>
      </c>
      <c r="Y132" s="8" t="s">
        <v>130</v>
      </c>
      <c r="Z132" s="8" t="s">
        <v>210</v>
      </c>
      <c r="AA132" s="8">
        <v>22</v>
      </c>
      <c r="AB132" s="8" t="s">
        <v>127</v>
      </c>
      <c r="AC132" s="8">
        <v>0</v>
      </c>
      <c r="AD132" s="8" t="s">
        <v>239</v>
      </c>
      <c r="AE132" s="9" t="s">
        <v>228</v>
      </c>
    </row>
    <row r="133" spans="1:31" ht="30">
      <c r="A133" s="7" t="s">
        <v>353</v>
      </c>
      <c r="B133" s="8">
        <v>2025</v>
      </c>
      <c r="C133" s="8">
        <v>46007</v>
      </c>
      <c r="D133" s="8" t="s">
        <v>52</v>
      </c>
      <c r="E133" s="8" t="s">
        <v>29</v>
      </c>
      <c r="F133" s="8" t="s">
        <v>38</v>
      </c>
      <c r="G133" s="8" t="s">
        <v>90</v>
      </c>
      <c r="H133" s="8" t="s">
        <v>123</v>
      </c>
      <c r="I133" s="8" t="s">
        <v>354</v>
      </c>
      <c r="J133" s="8" t="s">
        <v>149</v>
      </c>
      <c r="K133" s="8" t="s">
        <v>156</v>
      </c>
      <c r="L133" s="8" t="s">
        <v>73</v>
      </c>
      <c r="M133" s="8">
        <v>46017</v>
      </c>
      <c r="N133" s="8">
        <v>46013</v>
      </c>
      <c r="O133" s="8" t="s">
        <v>48</v>
      </c>
      <c r="P133" s="8">
        <v>1</v>
      </c>
      <c r="Q133" s="8" t="s">
        <v>132</v>
      </c>
      <c r="R133" s="8" t="s">
        <v>86</v>
      </c>
      <c r="S133" s="8">
        <v>46020</v>
      </c>
      <c r="T133" s="8" t="s">
        <v>33</v>
      </c>
      <c r="U133" s="8" t="s">
        <v>56</v>
      </c>
      <c r="V133" s="8" t="s">
        <v>72</v>
      </c>
      <c r="W133" s="8">
        <v>600000</v>
      </c>
      <c r="X133" s="8">
        <v>631418</v>
      </c>
      <c r="Y133" s="8" t="s">
        <v>176</v>
      </c>
      <c r="Z133" s="8" t="s">
        <v>210</v>
      </c>
      <c r="AA133" s="8">
        <v>6</v>
      </c>
      <c r="AB133" s="8" t="s">
        <v>132</v>
      </c>
      <c r="AC133" s="8">
        <v>0</v>
      </c>
      <c r="AD133" s="8" t="s">
        <v>239</v>
      </c>
      <c r="AE133" s="9" t="s">
        <v>228</v>
      </c>
    </row>
    <row r="134" spans="1:31" ht="45">
      <c r="A134" s="7" t="s">
        <v>355</v>
      </c>
      <c r="B134" s="8">
        <v>2025</v>
      </c>
      <c r="C134" s="8">
        <v>46015</v>
      </c>
      <c r="D134" s="8" t="s">
        <v>28</v>
      </c>
      <c r="E134" s="8" t="s">
        <v>75</v>
      </c>
      <c r="F134" s="8" t="s">
        <v>38</v>
      </c>
      <c r="G134" s="8" t="s">
        <v>66</v>
      </c>
      <c r="H134" s="8" t="s">
        <v>159</v>
      </c>
      <c r="I134" s="8" t="s">
        <v>243</v>
      </c>
      <c r="J134" s="8" t="s">
        <v>149</v>
      </c>
      <c r="K134" s="8" t="s">
        <v>126</v>
      </c>
      <c r="L134" s="8" t="s">
        <v>88</v>
      </c>
      <c r="M134" s="8">
        <v>46025</v>
      </c>
      <c r="N134" s="8">
        <v>46027</v>
      </c>
      <c r="O134" s="8" t="s">
        <v>48</v>
      </c>
      <c r="P134" s="8">
        <v>1</v>
      </c>
      <c r="Q134" s="8" t="s">
        <v>132</v>
      </c>
      <c r="R134" s="8" t="s">
        <v>86</v>
      </c>
      <c r="S134" s="8">
        <v>46037</v>
      </c>
      <c r="T134" s="8" t="s">
        <v>33</v>
      </c>
      <c r="U134" s="8" t="s">
        <v>56</v>
      </c>
      <c r="V134" s="8" t="s">
        <v>129</v>
      </c>
      <c r="W134" s="8">
        <v>1200000</v>
      </c>
      <c r="X134" s="8">
        <v>1359209</v>
      </c>
      <c r="Y134" s="8" t="s">
        <v>130</v>
      </c>
      <c r="Z134" s="8" t="s">
        <v>184</v>
      </c>
      <c r="AA134" s="8">
        <v>12</v>
      </c>
      <c r="AB134" s="8" t="s">
        <v>127</v>
      </c>
      <c r="AC134" s="8">
        <v>0</v>
      </c>
      <c r="AD134" s="8" t="s">
        <v>239</v>
      </c>
      <c r="AE134" s="9" t="s">
        <v>228</v>
      </c>
    </row>
    <row r="135" spans="1:31" ht="45">
      <c r="A135" s="7" t="s">
        <v>357</v>
      </c>
      <c r="B135" s="8">
        <v>2026</v>
      </c>
      <c r="C135" s="8">
        <v>46028</v>
      </c>
      <c r="D135" s="8" t="s">
        <v>36</v>
      </c>
      <c r="E135" s="8" t="s">
        <v>80</v>
      </c>
      <c r="F135" s="8" t="s">
        <v>46</v>
      </c>
      <c r="G135" s="8" t="s">
        <v>66</v>
      </c>
      <c r="H135" s="8" t="s">
        <v>159</v>
      </c>
      <c r="I135" s="8" t="s">
        <v>124</v>
      </c>
      <c r="J135" s="8" t="s">
        <v>183</v>
      </c>
      <c r="K135" s="8" t="s">
        <v>145</v>
      </c>
      <c r="L135" s="8" t="s">
        <v>63</v>
      </c>
      <c r="M135" s="8">
        <v>46088</v>
      </c>
      <c r="N135" s="8">
        <v>46097</v>
      </c>
      <c r="O135" s="8" t="s">
        <v>48</v>
      </c>
      <c r="P135" s="8">
        <v>1</v>
      </c>
      <c r="Q135" s="8" t="s">
        <v>132</v>
      </c>
      <c r="R135" s="8" t="s">
        <v>150</v>
      </c>
      <c r="S135" s="8">
        <v>46100</v>
      </c>
      <c r="T135" s="8" t="s">
        <v>33</v>
      </c>
      <c r="U135" s="8" t="s">
        <v>77</v>
      </c>
      <c r="V135" s="8" t="s">
        <v>188</v>
      </c>
      <c r="W135" s="8">
        <v>380000</v>
      </c>
      <c r="X135" s="8">
        <v>393095</v>
      </c>
      <c r="Y135" s="8" t="s">
        <v>176</v>
      </c>
      <c r="Z135" s="8" t="s">
        <v>162</v>
      </c>
      <c r="AA135" s="8">
        <v>69</v>
      </c>
      <c r="AB135" s="8" t="s">
        <v>127</v>
      </c>
      <c r="AC135" s="8">
        <v>0</v>
      </c>
      <c r="AD135" s="8" t="s">
        <v>133</v>
      </c>
      <c r="AE135" s="9" t="s">
        <v>134</v>
      </c>
    </row>
    <row r="136" spans="1:31" ht="45">
      <c r="A136" s="7" t="s">
        <v>358</v>
      </c>
      <c r="B136" s="8">
        <v>2026</v>
      </c>
      <c r="C136" s="8">
        <v>46034</v>
      </c>
      <c r="D136" s="8" t="s">
        <v>44</v>
      </c>
      <c r="E136" s="8" t="s">
        <v>65</v>
      </c>
      <c r="F136" s="8" t="s">
        <v>38</v>
      </c>
      <c r="G136" s="8" t="s">
        <v>31</v>
      </c>
      <c r="H136" s="8" t="s">
        <v>164</v>
      </c>
      <c r="I136" s="8" t="s">
        <v>304</v>
      </c>
      <c r="J136" s="8" t="s">
        <v>144</v>
      </c>
      <c r="K136" s="8" t="s">
        <v>249</v>
      </c>
      <c r="L136" s="8" t="s">
        <v>83</v>
      </c>
      <c r="M136" s="8">
        <v>46094</v>
      </c>
      <c r="N136" s="8"/>
      <c r="O136" s="8" t="s">
        <v>32</v>
      </c>
      <c r="P136" s="8">
        <v>0.2</v>
      </c>
      <c r="Q136" s="8" t="s">
        <v>166</v>
      </c>
      <c r="R136" s="8" t="s">
        <v>43</v>
      </c>
      <c r="S136" s="8"/>
      <c r="T136" s="8" t="s">
        <v>41</v>
      </c>
      <c r="U136" s="8" t="s">
        <v>50</v>
      </c>
      <c r="V136" s="8" t="s">
        <v>72</v>
      </c>
      <c r="W136" s="8">
        <v>850000</v>
      </c>
      <c r="X136" s="8">
        <v>0</v>
      </c>
      <c r="Y136" s="8" t="s">
        <v>176</v>
      </c>
      <c r="Z136" s="8" t="s">
        <v>131</v>
      </c>
      <c r="AA136" s="8">
        <v>144</v>
      </c>
      <c r="AB136" s="8" t="s">
        <v>202</v>
      </c>
      <c r="AC136" s="8">
        <v>84</v>
      </c>
      <c r="AD136" s="8" t="s">
        <v>133</v>
      </c>
      <c r="AE136" s="9" t="s">
        <v>134</v>
      </c>
    </row>
    <row r="137" spans="1:31" ht="45">
      <c r="A137" s="7" t="s">
        <v>359</v>
      </c>
      <c r="B137" s="8">
        <v>2026</v>
      </c>
      <c r="C137" s="8">
        <v>46048</v>
      </c>
      <c r="D137" s="8" t="s">
        <v>84</v>
      </c>
      <c r="E137" s="8" t="s">
        <v>59</v>
      </c>
      <c r="F137" s="8" t="s">
        <v>30</v>
      </c>
      <c r="G137" s="8" t="s">
        <v>93</v>
      </c>
      <c r="H137" s="8" t="s">
        <v>136</v>
      </c>
      <c r="I137" s="8" t="s">
        <v>212</v>
      </c>
      <c r="J137" s="8" t="s">
        <v>138</v>
      </c>
      <c r="K137" s="8" t="s">
        <v>156</v>
      </c>
      <c r="L137" s="8" t="s">
        <v>78</v>
      </c>
      <c r="M137" s="8">
        <v>46068</v>
      </c>
      <c r="N137" s="8">
        <v>46070</v>
      </c>
      <c r="O137" s="8" t="s">
        <v>48</v>
      </c>
      <c r="P137" s="8">
        <v>1</v>
      </c>
      <c r="Q137" s="8" t="s">
        <v>132</v>
      </c>
      <c r="R137" s="8" t="s">
        <v>86</v>
      </c>
      <c r="S137" s="8">
        <v>46085</v>
      </c>
      <c r="T137" s="8" t="s">
        <v>49</v>
      </c>
      <c r="U137" s="8" t="s">
        <v>56</v>
      </c>
      <c r="V137" s="8" t="s">
        <v>247</v>
      </c>
      <c r="W137" s="8">
        <v>250000</v>
      </c>
      <c r="X137" s="8">
        <v>225772</v>
      </c>
      <c r="Y137" s="8" t="s">
        <v>130</v>
      </c>
      <c r="Z137" s="8" t="s">
        <v>131</v>
      </c>
      <c r="AA137" s="8">
        <v>22</v>
      </c>
      <c r="AB137" s="8" t="s">
        <v>127</v>
      </c>
      <c r="AC137" s="8">
        <v>0</v>
      </c>
      <c r="AD137" s="8" t="s">
        <v>133</v>
      </c>
      <c r="AE137" s="9" t="s">
        <v>134</v>
      </c>
    </row>
    <row r="138" spans="1:31" ht="45">
      <c r="A138" s="7" t="s">
        <v>360</v>
      </c>
      <c r="B138" s="8">
        <v>2026</v>
      </c>
      <c r="C138" s="8">
        <v>46055</v>
      </c>
      <c r="D138" s="8" t="s">
        <v>79</v>
      </c>
      <c r="E138" s="8" t="s">
        <v>45</v>
      </c>
      <c r="F138" s="8" t="s">
        <v>30</v>
      </c>
      <c r="G138" s="8" t="s">
        <v>92</v>
      </c>
      <c r="H138" s="8" t="s">
        <v>136</v>
      </c>
      <c r="I138" s="8" t="s">
        <v>300</v>
      </c>
      <c r="J138" s="8" t="s">
        <v>172</v>
      </c>
      <c r="K138" s="8" t="s">
        <v>126</v>
      </c>
      <c r="L138" s="8" t="s">
        <v>35</v>
      </c>
      <c r="M138" s="8">
        <v>46065</v>
      </c>
      <c r="N138" s="8"/>
      <c r="O138" s="8" t="s">
        <v>32</v>
      </c>
      <c r="P138" s="8">
        <v>0.2</v>
      </c>
      <c r="Q138" s="8" t="s">
        <v>166</v>
      </c>
      <c r="R138" s="8" t="s">
        <v>35</v>
      </c>
      <c r="S138" s="8"/>
      <c r="T138" s="8" t="s">
        <v>41</v>
      </c>
      <c r="U138" s="8" t="s">
        <v>34</v>
      </c>
      <c r="V138" s="8" t="s">
        <v>140</v>
      </c>
      <c r="W138" s="8">
        <v>1800000</v>
      </c>
      <c r="X138" s="8">
        <v>0</v>
      </c>
      <c r="Y138" s="8" t="s">
        <v>141</v>
      </c>
      <c r="Z138" s="8" t="s">
        <v>162</v>
      </c>
      <c r="AA138" s="8">
        <v>123</v>
      </c>
      <c r="AB138" s="8" t="s">
        <v>202</v>
      </c>
      <c r="AC138" s="8">
        <v>113</v>
      </c>
      <c r="AD138" s="8" t="s">
        <v>157</v>
      </c>
      <c r="AE138" s="9" t="s">
        <v>134</v>
      </c>
    </row>
    <row r="139" spans="1:31" ht="45">
      <c r="A139" s="7" t="s">
        <v>361</v>
      </c>
      <c r="B139" s="8">
        <v>2026</v>
      </c>
      <c r="C139" s="8">
        <v>46059</v>
      </c>
      <c r="D139" s="8" t="s">
        <v>79</v>
      </c>
      <c r="E139" s="8" t="s">
        <v>29</v>
      </c>
      <c r="F139" s="8" t="s">
        <v>46</v>
      </c>
      <c r="G139" s="8" t="s">
        <v>31</v>
      </c>
      <c r="H139" s="8" t="s">
        <v>159</v>
      </c>
      <c r="I139" s="8" t="s">
        <v>261</v>
      </c>
      <c r="J139" s="8" t="s">
        <v>175</v>
      </c>
      <c r="K139" s="8" t="s">
        <v>249</v>
      </c>
      <c r="L139" s="8" t="s">
        <v>68</v>
      </c>
      <c r="M139" s="8">
        <v>46069</v>
      </c>
      <c r="N139" s="8"/>
      <c r="O139" s="8" t="s">
        <v>40</v>
      </c>
      <c r="P139" s="8">
        <v>0.85</v>
      </c>
      <c r="Q139" s="8" t="s">
        <v>166</v>
      </c>
      <c r="R139" s="8" t="s">
        <v>86</v>
      </c>
      <c r="S139" s="8"/>
      <c r="T139" s="8" t="s">
        <v>33</v>
      </c>
      <c r="U139" s="8" t="s">
        <v>56</v>
      </c>
      <c r="V139" s="8" t="s">
        <v>231</v>
      </c>
      <c r="W139" s="8">
        <v>600000</v>
      </c>
      <c r="X139" s="8">
        <v>549901</v>
      </c>
      <c r="Y139" s="8" t="s">
        <v>141</v>
      </c>
      <c r="Z139" s="8" t="s">
        <v>210</v>
      </c>
      <c r="AA139" s="8">
        <v>119</v>
      </c>
      <c r="AB139" s="8" t="s">
        <v>202</v>
      </c>
      <c r="AC139" s="8">
        <v>109</v>
      </c>
      <c r="AD139" s="8" t="s">
        <v>157</v>
      </c>
      <c r="AE139" s="9" t="s">
        <v>134</v>
      </c>
    </row>
    <row r="140" spans="1:31" ht="45">
      <c r="A140" s="7" t="s">
        <v>362</v>
      </c>
      <c r="B140" s="8">
        <v>2026</v>
      </c>
      <c r="C140" s="8">
        <v>46069</v>
      </c>
      <c r="D140" s="8" t="s">
        <v>84</v>
      </c>
      <c r="E140" s="8" t="s">
        <v>85</v>
      </c>
      <c r="F140" s="8" t="s">
        <v>38</v>
      </c>
      <c r="G140" s="8" t="s">
        <v>31</v>
      </c>
      <c r="H140" s="8" t="s">
        <v>251</v>
      </c>
      <c r="I140" s="8" t="s">
        <v>286</v>
      </c>
      <c r="J140" s="8" t="s">
        <v>155</v>
      </c>
      <c r="K140" s="8" t="s">
        <v>249</v>
      </c>
      <c r="L140" s="8" t="s">
        <v>51</v>
      </c>
      <c r="M140" s="8">
        <v>46089</v>
      </c>
      <c r="N140" s="8"/>
      <c r="O140" s="8" t="s">
        <v>40</v>
      </c>
      <c r="P140" s="8">
        <v>0.85</v>
      </c>
      <c r="Q140" s="8" t="s">
        <v>166</v>
      </c>
      <c r="R140" s="8" t="s">
        <v>35</v>
      </c>
      <c r="S140" s="8"/>
      <c r="T140" s="8" t="s">
        <v>33</v>
      </c>
      <c r="U140" s="8" t="s">
        <v>50</v>
      </c>
      <c r="V140" s="8" t="s">
        <v>167</v>
      </c>
      <c r="W140" s="8">
        <v>450000</v>
      </c>
      <c r="X140" s="8">
        <v>472459</v>
      </c>
      <c r="Y140" s="8" t="s">
        <v>176</v>
      </c>
      <c r="Z140" s="8" t="s">
        <v>142</v>
      </c>
      <c r="AA140" s="8">
        <v>109</v>
      </c>
      <c r="AB140" s="8" t="s">
        <v>202</v>
      </c>
      <c r="AC140" s="8">
        <v>89</v>
      </c>
      <c r="AD140" s="8" t="s">
        <v>157</v>
      </c>
      <c r="AE140" s="9" t="s">
        <v>134</v>
      </c>
    </row>
    <row r="141" spans="1:31" ht="45">
      <c r="A141" s="7" t="s">
        <v>363</v>
      </c>
      <c r="B141" s="8">
        <v>2026</v>
      </c>
      <c r="C141" s="8">
        <v>46070</v>
      </c>
      <c r="D141" s="8" t="s">
        <v>52</v>
      </c>
      <c r="E141" s="8" t="s">
        <v>80</v>
      </c>
      <c r="F141" s="8" t="s">
        <v>38</v>
      </c>
      <c r="G141" s="8" t="s">
        <v>54</v>
      </c>
      <c r="H141" s="8" t="s">
        <v>136</v>
      </c>
      <c r="I141" s="8" t="s">
        <v>289</v>
      </c>
      <c r="J141" s="8" t="s">
        <v>144</v>
      </c>
      <c r="K141" s="8" t="s">
        <v>139</v>
      </c>
      <c r="L141" s="8" t="s">
        <v>43</v>
      </c>
      <c r="M141" s="8">
        <v>46100</v>
      </c>
      <c r="N141" s="8"/>
      <c r="O141" s="8" t="s">
        <v>55</v>
      </c>
      <c r="P141" s="8">
        <v>0.6</v>
      </c>
      <c r="Q141" s="8" t="s">
        <v>166</v>
      </c>
      <c r="R141" s="8" t="s">
        <v>35</v>
      </c>
      <c r="S141" s="8"/>
      <c r="T141" s="8" t="s">
        <v>41</v>
      </c>
      <c r="U141" s="8" t="s">
        <v>50</v>
      </c>
      <c r="V141" s="8" t="s">
        <v>167</v>
      </c>
      <c r="W141" s="8">
        <v>450000</v>
      </c>
      <c r="X141" s="8">
        <v>0</v>
      </c>
      <c r="Y141" s="8" t="s">
        <v>141</v>
      </c>
      <c r="Z141" s="8" t="s">
        <v>162</v>
      </c>
      <c r="AA141" s="8">
        <v>108</v>
      </c>
      <c r="AB141" s="8" t="s">
        <v>202</v>
      </c>
      <c r="AC141" s="8">
        <v>78</v>
      </c>
      <c r="AD141" s="8" t="s">
        <v>157</v>
      </c>
      <c r="AE141" s="9" t="s">
        <v>134</v>
      </c>
    </row>
    <row r="142" spans="1:31" ht="45">
      <c r="A142" s="7" t="s">
        <v>364</v>
      </c>
      <c r="B142" s="8">
        <v>2026</v>
      </c>
      <c r="C142" s="8">
        <v>46071</v>
      </c>
      <c r="D142" s="8" t="s">
        <v>89</v>
      </c>
      <c r="E142" s="8" t="s">
        <v>80</v>
      </c>
      <c r="F142" s="8" t="s">
        <v>30</v>
      </c>
      <c r="G142" s="8" t="s">
        <v>81</v>
      </c>
      <c r="H142" s="8" t="s">
        <v>170</v>
      </c>
      <c r="I142" s="8" t="s">
        <v>223</v>
      </c>
      <c r="J142" s="8" t="s">
        <v>175</v>
      </c>
      <c r="K142" s="8" t="s">
        <v>161</v>
      </c>
      <c r="L142" s="8" t="s">
        <v>83</v>
      </c>
      <c r="M142" s="8">
        <v>46091</v>
      </c>
      <c r="N142" s="8">
        <v>46081</v>
      </c>
      <c r="O142" s="8" t="s">
        <v>48</v>
      </c>
      <c r="P142" s="8">
        <v>1</v>
      </c>
      <c r="Q142" s="8" t="s">
        <v>132</v>
      </c>
      <c r="R142" s="8" t="s">
        <v>128</v>
      </c>
      <c r="S142" s="8">
        <v>46096</v>
      </c>
      <c r="T142" s="8" t="s">
        <v>41</v>
      </c>
      <c r="U142" s="8" t="s">
        <v>42</v>
      </c>
      <c r="V142" s="8" t="s">
        <v>151</v>
      </c>
      <c r="W142" s="8">
        <v>600000</v>
      </c>
      <c r="X142" s="8">
        <v>470691</v>
      </c>
      <c r="Y142" s="8" t="s">
        <v>130</v>
      </c>
      <c r="Z142" s="8" t="s">
        <v>142</v>
      </c>
      <c r="AA142" s="8">
        <v>10</v>
      </c>
      <c r="AB142" s="8" t="s">
        <v>132</v>
      </c>
      <c r="AC142" s="8">
        <v>0</v>
      </c>
      <c r="AD142" s="8" t="s">
        <v>157</v>
      </c>
      <c r="AE142" s="9" t="s">
        <v>134</v>
      </c>
    </row>
    <row r="143" spans="1:31" ht="45">
      <c r="A143" s="7" t="s">
        <v>365</v>
      </c>
      <c r="B143" s="8">
        <v>2026</v>
      </c>
      <c r="C143" s="8">
        <v>46074</v>
      </c>
      <c r="D143" s="8" t="s">
        <v>36</v>
      </c>
      <c r="E143" s="8" t="s">
        <v>75</v>
      </c>
      <c r="F143" s="8" t="s">
        <v>38</v>
      </c>
      <c r="G143" s="8" t="s">
        <v>31</v>
      </c>
      <c r="H143" s="8" t="s">
        <v>123</v>
      </c>
      <c r="I143" s="8" t="s">
        <v>219</v>
      </c>
      <c r="J143" s="8" t="s">
        <v>144</v>
      </c>
      <c r="K143" s="8" t="s">
        <v>249</v>
      </c>
      <c r="L143" s="8" t="s">
        <v>73</v>
      </c>
      <c r="M143" s="8">
        <v>46094</v>
      </c>
      <c r="N143" s="8">
        <v>46090</v>
      </c>
      <c r="O143" s="8" t="s">
        <v>48</v>
      </c>
      <c r="P143" s="8">
        <v>1</v>
      </c>
      <c r="Q143" s="8" t="s">
        <v>132</v>
      </c>
      <c r="R143" s="8" t="s">
        <v>43</v>
      </c>
      <c r="S143" s="8">
        <v>46100</v>
      </c>
      <c r="T143" s="8" t="s">
        <v>33</v>
      </c>
      <c r="U143" s="8" t="s">
        <v>77</v>
      </c>
      <c r="V143" s="8" t="s">
        <v>151</v>
      </c>
      <c r="W143" s="8">
        <v>450000</v>
      </c>
      <c r="X143" s="8">
        <v>346821</v>
      </c>
      <c r="Y143" s="8" t="s">
        <v>141</v>
      </c>
      <c r="Z143" s="8" t="s">
        <v>210</v>
      </c>
      <c r="AA143" s="8">
        <v>16</v>
      </c>
      <c r="AB143" s="8" t="s">
        <v>132</v>
      </c>
      <c r="AC143" s="8">
        <v>0</v>
      </c>
      <c r="AD143" s="8" t="s">
        <v>157</v>
      </c>
      <c r="AE143" s="9" t="s">
        <v>134</v>
      </c>
    </row>
    <row r="144" spans="1:31" ht="45">
      <c r="A144" s="7" t="s">
        <v>366</v>
      </c>
      <c r="B144" s="8">
        <v>2026</v>
      </c>
      <c r="C144" s="8">
        <v>46075</v>
      </c>
      <c r="D144" s="8" t="s">
        <v>69</v>
      </c>
      <c r="E144" s="8" t="s">
        <v>75</v>
      </c>
      <c r="F144" s="8" t="s">
        <v>46</v>
      </c>
      <c r="G144" s="8" t="s">
        <v>90</v>
      </c>
      <c r="H144" s="8" t="s">
        <v>170</v>
      </c>
      <c r="I144" s="8" t="s">
        <v>219</v>
      </c>
      <c r="J144" s="8" t="s">
        <v>172</v>
      </c>
      <c r="K144" s="8" t="s">
        <v>145</v>
      </c>
      <c r="L144" s="8" t="s">
        <v>88</v>
      </c>
      <c r="M144" s="8">
        <v>46120</v>
      </c>
      <c r="N144" s="8"/>
      <c r="O144" s="8" t="s">
        <v>55</v>
      </c>
      <c r="P144" s="8">
        <v>0.7</v>
      </c>
      <c r="Q144" s="8" t="s">
        <v>166</v>
      </c>
      <c r="R144" s="8" t="s">
        <v>150</v>
      </c>
      <c r="S144" s="8"/>
      <c r="T144" s="8" t="s">
        <v>41</v>
      </c>
      <c r="U144" s="8" t="s">
        <v>82</v>
      </c>
      <c r="V144" s="8" t="s">
        <v>72</v>
      </c>
      <c r="W144" s="8">
        <v>450000</v>
      </c>
      <c r="X144" s="8">
        <v>0</v>
      </c>
      <c r="Y144" s="8" t="s">
        <v>141</v>
      </c>
      <c r="Z144" s="8" t="s">
        <v>142</v>
      </c>
      <c r="AA144" s="8">
        <v>103</v>
      </c>
      <c r="AB144" s="8" t="s">
        <v>202</v>
      </c>
      <c r="AC144" s="8">
        <v>58</v>
      </c>
      <c r="AD144" s="8" t="s">
        <v>157</v>
      </c>
      <c r="AE144" s="9" t="s">
        <v>134</v>
      </c>
    </row>
    <row r="145" spans="1:31" ht="45">
      <c r="A145" s="7" t="s">
        <v>367</v>
      </c>
      <c r="B145" s="8">
        <v>2026</v>
      </c>
      <c r="C145" s="8">
        <v>46087</v>
      </c>
      <c r="D145" s="8" t="s">
        <v>28</v>
      </c>
      <c r="E145" s="8" t="s">
        <v>65</v>
      </c>
      <c r="F145" s="8" t="s">
        <v>46</v>
      </c>
      <c r="G145" s="8" t="s">
        <v>86</v>
      </c>
      <c r="H145" s="8" t="s">
        <v>170</v>
      </c>
      <c r="I145" s="8" t="s">
        <v>165</v>
      </c>
      <c r="J145" s="8" t="s">
        <v>149</v>
      </c>
      <c r="K145" s="8" t="s">
        <v>161</v>
      </c>
      <c r="L145" s="8" t="s">
        <v>78</v>
      </c>
      <c r="M145" s="8">
        <v>46117</v>
      </c>
      <c r="N145" s="8">
        <v>46100</v>
      </c>
      <c r="O145" s="8" t="s">
        <v>48</v>
      </c>
      <c r="P145" s="8">
        <v>1</v>
      </c>
      <c r="Q145" s="8" t="s">
        <v>132</v>
      </c>
      <c r="R145" s="8" t="s">
        <v>86</v>
      </c>
      <c r="S145" s="8">
        <v>46107</v>
      </c>
      <c r="T145" s="8" t="s">
        <v>41</v>
      </c>
      <c r="U145" s="8" t="s">
        <v>56</v>
      </c>
      <c r="V145" s="8" t="s">
        <v>146</v>
      </c>
      <c r="W145" s="8">
        <v>1200000</v>
      </c>
      <c r="X145" s="8">
        <v>1340590</v>
      </c>
      <c r="Y145" s="8" t="s">
        <v>152</v>
      </c>
      <c r="Z145" s="8" t="s">
        <v>131</v>
      </c>
      <c r="AA145" s="8">
        <v>13</v>
      </c>
      <c r="AB145" s="8" t="s">
        <v>132</v>
      </c>
      <c r="AC145" s="8">
        <v>0</v>
      </c>
      <c r="AD145" s="8" t="s">
        <v>185</v>
      </c>
      <c r="AE145" s="9" t="s">
        <v>134</v>
      </c>
    </row>
    <row r="146" spans="1:31" ht="45">
      <c r="A146" s="7" t="s">
        <v>368</v>
      </c>
      <c r="B146" s="8">
        <v>2026</v>
      </c>
      <c r="C146" s="8">
        <v>46092</v>
      </c>
      <c r="D146" s="8" t="s">
        <v>84</v>
      </c>
      <c r="E146" s="8" t="s">
        <v>85</v>
      </c>
      <c r="F146" s="8" t="s">
        <v>38</v>
      </c>
      <c r="G146" s="8" t="s">
        <v>31</v>
      </c>
      <c r="H146" s="8" t="s">
        <v>123</v>
      </c>
      <c r="I146" s="8" t="s">
        <v>154</v>
      </c>
      <c r="J146" s="8" t="s">
        <v>144</v>
      </c>
      <c r="K146" s="8" t="s">
        <v>145</v>
      </c>
      <c r="L146" s="8" t="s">
        <v>68</v>
      </c>
      <c r="M146" s="8">
        <v>46122</v>
      </c>
      <c r="N146" s="8">
        <v>46106</v>
      </c>
      <c r="O146" s="8" t="s">
        <v>48</v>
      </c>
      <c r="P146" s="8">
        <v>1</v>
      </c>
      <c r="Q146" s="8" t="s">
        <v>166</v>
      </c>
      <c r="R146" s="8" t="s">
        <v>128</v>
      </c>
      <c r="S146" s="8"/>
      <c r="T146" s="8" t="s">
        <v>33</v>
      </c>
      <c r="U146" s="8" t="s">
        <v>56</v>
      </c>
      <c r="V146" s="8" t="s">
        <v>231</v>
      </c>
      <c r="W146" s="8">
        <v>380000</v>
      </c>
      <c r="X146" s="8">
        <v>309984</v>
      </c>
      <c r="Y146" s="8" t="s">
        <v>130</v>
      </c>
      <c r="Z146" s="8" t="s">
        <v>210</v>
      </c>
      <c r="AA146" s="8">
        <v>14</v>
      </c>
      <c r="AB146" s="8" t="s">
        <v>132</v>
      </c>
      <c r="AC146" s="8">
        <v>0</v>
      </c>
      <c r="AD146" s="8" t="s">
        <v>185</v>
      </c>
      <c r="AE146" s="9" t="s">
        <v>134</v>
      </c>
    </row>
    <row r="147" spans="1:31" ht="45">
      <c r="A147" s="7" t="s">
        <v>369</v>
      </c>
      <c r="B147" s="8">
        <v>2026</v>
      </c>
      <c r="C147" s="8">
        <v>46097</v>
      </c>
      <c r="D147" s="8" t="s">
        <v>52</v>
      </c>
      <c r="E147" s="8" t="s">
        <v>45</v>
      </c>
      <c r="F147" s="8" t="s">
        <v>38</v>
      </c>
      <c r="G147" s="8" t="s">
        <v>60</v>
      </c>
      <c r="H147" s="8" t="s">
        <v>123</v>
      </c>
      <c r="I147" s="8" t="s">
        <v>237</v>
      </c>
      <c r="J147" s="8" t="s">
        <v>144</v>
      </c>
      <c r="K147" s="8" t="s">
        <v>215</v>
      </c>
      <c r="L147" s="8" t="s">
        <v>88</v>
      </c>
      <c r="M147" s="8">
        <v>46127</v>
      </c>
      <c r="N147" s="8"/>
      <c r="O147" s="8" t="s">
        <v>32</v>
      </c>
      <c r="P147" s="8">
        <v>0.2</v>
      </c>
      <c r="Q147" s="8" t="s">
        <v>166</v>
      </c>
      <c r="R147" s="8" t="s">
        <v>43</v>
      </c>
      <c r="S147" s="8"/>
      <c r="T147" s="8" t="s">
        <v>41</v>
      </c>
      <c r="U147" s="8" t="s">
        <v>34</v>
      </c>
      <c r="V147" s="8" t="s">
        <v>151</v>
      </c>
      <c r="W147" s="8">
        <v>1800000</v>
      </c>
      <c r="X147" s="8">
        <v>0</v>
      </c>
      <c r="Y147" s="8" t="s">
        <v>152</v>
      </c>
      <c r="Z147" s="8" t="s">
        <v>162</v>
      </c>
      <c r="AA147" s="8">
        <v>81</v>
      </c>
      <c r="AB147" s="8" t="s">
        <v>202</v>
      </c>
      <c r="AC147" s="8">
        <v>51</v>
      </c>
      <c r="AD147" s="8" t="s">
        <v>185</v>
      </c>
      <c r="AE147" s="9" t="s">
        <v>134</v>
      </c>
    </row>
    <row r="148" spans="1:31" ht="45">
      <c r="A148" s="7" t="s">
        <v>370</v>
      </c>
      <c r="B148" s="8">
        <v>2026</v>
      </c>
      <c r="C148" s="8">
        <v>46115</v>
      </c>
      <c r="D148" s="8" t="s">
        <v>36</v>
      </c>
      <c r="E148" s="8" t="s">
        <v>85</v>
      </c>
      <c r="F148" s="8" t="s">
        <v>38</v>
      </c>
      <c r="G148" s="8" t="s">
        <v>66</v>
      </c>
      <c r="H148" s="8" t="s">
        <v>251</v>
      </c>
      <c r="I148" s="8" t="s">
        <v>286</v>
      </c>
      <c r="J148" s="8" t="s">
        <v>144</v>
      </c>
      <c r="K148" s="8" t="s">
        <v>156</v>
      </c>
      <c r="L148" s="8" t="s">
        <v>83</v>
      </c>
      <c r="M148" s="8">
        <v>46145</v>
      </c>
      <c r="N148" s="8"/>
      <c r="O148" s="8" t="s">
        <v>32</v>
      </c>
      <c r="P148" s="8">
        <v>0.15</v>
      </c>
      <c r="Q148" s="8" t="s">
        <v>166</v>
      </c>
      <c r="R148" s="8" t="s">
        <v>86</v>
      </c>
      <c r="S148" s="8"/>
      <c r="T148" s="8" t="s">
        <v>33</v>
      </c>
      <c r="U148" s="8" t="s">
        <v>34</v>
      </c>
      <c r="V148" s="8" t="s">
        <v>167</v>
      </c>
      <c r="W148" s="8">
        <v>250000</v>
      </c>
      <c r="X148" s="8">
        <v>0</v>
      </c>
      <c r="Y148" s="8" t="s">
        <v>176</v>
      </c>
      <c r="Z148" s="8" t="s">
        <v>131</v>
      </c>
      <c r="AA148" s="8">
        <v>63</v>
      </c>
      <c r="AB148" s="8" t="s">
        <v>202</v>
      </c>
      <c r="AC148" s="8">
        <v>33</v>
      </c>
      <c r="AD148" s="8" t="s">
        <v>190</v>
      </c>
      <c r="AE148" s="9" t="s">
        <v>191</v>
      </c>
    </row>
    <row r="149" spans="1:31" ht="30">
      <c r="A149" s="7" t="s">
        <v>371</v>
      </c>
      <c r="B149" s="8">
        <v>2026</v>
      </c>
      <c r="C149" s="8">
        <v>46121</v>
      </c>
      <c r="D149" s="8" t="s">
        <v>89</v>
      </c>
      <c r="E149" s="8" t="s">
        <v>65</v>
      </c>
      <c r="F149" s="8" t="s">
        <v>30</v>
      </c>
      <c r="G149" s="8" t="s">
        <v>93</v>
      </c>
      <c r="H149" s="8" t="s">
        <v>164</v>
      </c>
      <c r="I149" s="8" t="s">
        <v>304</v>
      </c>
      <c r="J149" s="8" t="s">
        <v>155</v>
      </c>
      <c r="K149" s="8" t="s">
        <v>156</v>
      </c>
      <c r="L149" s="8" t="s">
        <v>73</v>
      </c>
      <c r="M149" s="8">
        <v>46141</v>
      </c>
      <c r="N149" s="8"/>
      <c r="O149" s="8" t="s">
        <v>55</v>
      </c>
      <c r="P149" s="8">
        <v>0.6</v>
      </c>
      <c r="Q149" s="8" t="s">
        <v>166</v>
      </c>
      <c r="R149" s="8" t="s">
        <v>35</v>
      </c>
      <c r="S149" s="8"/>
      <c r="T149" s="8" t="s">
        <v>33</v>
      </c>
      <c r="U149" s="8" t="s">
        <v>72</v>
      </c>
      <c r="V149" s="8" t="s">
        <v>151</v>
      </c>
      <c r="W149" s="8">
        <v>1200000</v>
      </c>
      <c r="X149" s="8">
        <v>0</v>
      </c>
      <c r="Y149" s="8" t="s">
        <v>141</v>
      </c>
      <c r="Z149" s="8" t="s">
        <v>142</v>
      </c>
      <c r="AA149" s="8">
        <v>57</v>
      </c>
      <c r="AB149" s="8" t="s">
        <v>202</v>
      </c>
      <c r="AC149" s="8">
        <v>37</v>
      </c>
      <c r="AD149" s="8" t="s">
        <v>190</v>
      </c>
      <c r="AE149" s="9" t="s">
        <v>191</v>
      </c>
    </row>
    <row r="150" spans="1:31" ht="30">
      <c r="A150" s="7" t="s">
        <v>372</v>
      </c>
      <c r="B150" s="8">
        <v>2026</v>
      </c>
      <c r="C150" s="8">
        <v>46125</v>
      </c>
      <c r="D150" s="8" t="s">
        <v>44</v>
      </c>
      <c r="E150" s="8" t="s">
        <v>65</v>
      </c>
      <c r="F150" s="8" t="s">
        <v>30</v>
      </c>
      <c r="G150" s="8" t="s">
        <v>93</v>
      </c>
      <c r="H150" s="8" t="s">
        <v>251</v>
      </c>
      <c r="I150" s="8" t="s">
        <v>304</v>
      </c>
      <c r="J150" s="8" t="s">
        <v>183</v>
      </c>
      <c r="K150" s="8" t="s">
        <v>156</v>
      </c>
      <c r="L150" s="8" t="s">
        <v>88</v>
      </c>
      <c r="M150" s="8">
        <v>46155</v>
      </c>
      <c r="N150" s="8">
        <v>46161</v>
      </c>
      <c r="O150" s="8" t="s">
        <v>48</v>
      </c>
      <c r="P150" s="8">
        <v>1</v>
      </c>
      <c r="Q150" s="8" t="s">
        <v>132</v>
      </c>
      <c r="R150" s="8" t="s">
        <v>128</v>
      </c>
      <c r="S150" s="8">
        <v>46171</v>
      </c>
      <c r="T150" s="8" t="s">
        <v>41</v>
      </c>
      <c r="U150" s="8" t="s">
        <v>72</v>
      </c>
      <c r="V150" s="8" t="s">
        <v>140</v>
      </c>
      <c r="W150" s="8">
        <v>2500000</v>
      </c>
      <c r="X150" s="8">
        <v>2202289</v>
      </c>
      <c r="Y150" s="8" t="s">
        <v>189</v>
      </c>
      <c r="Z150" s="8" t="s">
        <v>142</v>
      </c>
      <c r="AA150" s="8">
        <v>36</v>
      </c>
      <c r="AB150" s="8" t="s">
        <v>127</v>
      </c>
      <c r="AC150" s="8">
        <v>0</v>
      </c>
      <c r="AD150" s="8" t="s">
        <v>190</v>
      </c>
      <c r="AE150" s="9" t="s">
        <v>191</v>
      </c>
    </row>
    <row r="151" spans="1:31" ht="45">
      <c r="A151" s="7" t="s">
        <v>373</v>
      </c>
      <c r="B151" s="8">
        <v>2026</v>
      </c>
      <c r="C151" s="8">
        <v>46145</v>
      </c>
      <c r="D151" s="8" t="s">
        <v>52</v>
      </c>
      <c r="E151" s="8" t="s">
        <v>70</v>
      </c>
      <c r="F151" s="8" t="s">
        <v>30</v>
      </c>
      <c r="G151" s="8" t="s">
        <v>60</v>
      </c>
      <c r="H151" s="8" t="s">
        <v>123</v>
      </c>
      <c r="I151" s="8" t="s">
        <v>137</v>
      </c>
      <c r="J151" s="8" t="s">
        <v>183</v>
      </c>
      <c r="K151" s="8" t="s">
        <v>145</v>
      </c>
      <c r="L151" s="8" t="s">
        <v>57</v>
      </c>
      <c r="M151" s="8">
        <v>46190</v>
      </c>
      <c r="N151" s="8"/>
      <c r="O151" s="8" t="s">
        <v>32</v>
      </c>
      <c r="P151" s="8">
        <v>0</v>
      </c>
      <c r="Q151" s="8" t="s">
        <v>166</v>
      </c>
      <c r="R151" s="8" t="s">
        <v>86</v>
      </c>
      <c r="S151" s="8"/>
      <c r="T151" s="8" t="s">
        <v>33</v>
      </c>
      <c r="U151" s="8" t="s">
        <v>77</v>
      </c>
      <c r="V151" s="8" t="s">
        <v>129</v>
      </c>
      <c r="W151" s="8">
        <v>1800000</v>
      </c>
      <c r="X151" s="8">
        <v>0</v>
      </c>
      <c r="Y151" s="8" t="s">
        <v>168</v>
      </c>
      <c r="Z151" s="8" t="s">
        <v>162</v>
      </c>
      <c r="AA151" s="8">
        <v>33</v>
      </c>
      <c r="AB151" s="8" t="s">
        <v>202</v>
      </c>
      <c r="AC151" s="8">
        <v>0</v>
      </c>
      <c r="AD151" s="8" t="s">
        <v>195</v>
      </c>
      <c r="AE151" s="9" t="s">
        <v>191</v>
      </c>
    </row>
    <row r="152" spans="1:31" ht="45">
      <c r="A152" s="7" t="s">
        <v>374</v>
      </c>
      <c r="B152" s="8">
        <v>2026</v>
      </c>
      <c r="C152" s="8">
        <v>46150</v>
      </c>
      <c r="D152" s="8" t="s">
        <v>28</v>
      </c>
      <c r="E152" s="8" t="s">
        <v>59</v>
      </c>
      <c r="F152" s="8" t="s">
        <v>46</v>
      </c>
      <c r="G152" s="8" t="s">
        <v>60</v>
      </c>
      <c r="H152" s="8" t="s">
        <v>159</v>
      </c>
      <c r="I152" s="8" t="s">
        <v>148</v>
      </c>
      <c r="J152" s="8" t="s">
        <v>155</v>
      </c>
      <c r="K152" s="8" t="s">
        <v>178</v>
      </c>
      <c r="L152" s="8" t="s">
        <v>78</v>
      </c>
      <c r="M152" s="8">
        <v>46160</v>
      </c>
      <c r="N152" s="8">
        <v>46156</v>
      </c>
      <c r="O152" s="8" t="s">
        <v>48</v>
      </c>
      <c r="P152" s="8">
        <v>1</v>
      </c>
      <c r="Q152" s="8" t="s">
        <v>132</v>
      </c>
      <c r="R152" s="8" t="s">
        <v>150</v>
      </c>
      <c r="S152" s="8">
        <v>46159</v>
      </c>
      <c r="T152" s="8" t="s">
        <v>49</v>
      </c>
      <c r="U152" s="8" t="s">
        <v>34</v>
      </c>
      <c r="V152" s="8" t="s">
        <v>146</v>
      </c>
      <c r="W152" s="8">
        <v>1800000</v>
      </c>
      <c r="X152" s="8">
        <v>1618012</v>
      </c>
      <c r="Y152" s="8" t="s">
        <v>141</v>
      </c>
      <c r="Z152" s="8" t="s">
        <v>142</v>
      </c>
      <c r="AA152" s="8">
        <v>6</v>
      </c>
      <c r="AB152" s="8" t="s">
        <v>132</v>
      </c>
      <c r="AC152" s="8">
        <v>0</v>
      </c>
      <c r="AD152" s="8" t="s">
        <v>195</v>
      </c>
      <c r="AE152" s="9" t="s">
        <v>191</v>
      </c>
    </row>
    <row r="153" spans="1:31" ht="45">
      <c r="A153" s="7" t="s">
        <v>375</v>
      </c>
      <c r="B153" s="8">
        <v>2026</v>
      </c>
      <c r="C153" s="8">
        <v>46151</v>
      </c>
      <c r="D153" s="8" t="s">
        <v>64</v>
      </c>
      <c r="E153" s="8" t="s">
        <v>80</v>
      </c>
      <c r="F153" s="8" t="s">
        <v>30</v>
      </c>
      <c r="G153" s="8" t="s">
        <v>60</v>
      </c>
      <c r="H153" s="8" t="s">
        <v>123</v>
      </c>
      <c r="I153" s="8" t="s">
        <v>124</v>
      </c>
      <c r="J153" s="8" t="s">
        <v>138</v>
      </c>
      <c r="K153" s="8" t="s">
        <v>161</v>
      </c>
      <c r="L153" s="8" t="s">
        <v>63</v>
      </c>
      <c r="M153" s="8">
        <v>46196</v>
      </c>
      <c r="N153" s="8">
        <v>46163</v>
      </c>
      <c r="O153" s="8" t="s">
        <v>61</v>
      </c>
      <c r="P153" s="8">
        <v>0</v>
      </c>
      <c r="Q153" s="8" t="s">
        <v>246</v>
      </c>
      <c r="R153" s="8" t="s">
        <v>43</v>
      </c>
      <c r="S153" s="8"/>
      <c r="T153" s="8" t="s">
        <v>49</v>
      </c>
      <c r="U153" s="8" t="s">
        <v>67</v>
      </c>
      <c r="V153" s="8" t="s">
        <v>140</v>
      </c>
      <c r="W153" s="8">
        <v>850000</v>
      </c>
      <c r="X153" s="8">
        <v>932296</v>
      </c>
      <c r="Y153" s="8" t="s">
        <v>152</v>
      </c>
      <c r="Z153" s="8" t="s">
        <v>131</v>
      </c>
      <c r="AA153" s="8">
        <v>12</v>
      </c>
      <c r="AB153" s="8" t="s">
        <v>246</v>
      </c>
      <c r="AC153" s="8">
        <v>0</v>
      </c>
      <c r="AD153" s="8" t="s">
        <v>195</v>
      </c>
      <c r="AE153" s="9" t="s">
        <v>191</v>
      </c>
    </row>
    <row r="154" spans="1:31" ht="45">
      <c r="A154" s="7" t="s">
        <v>376</v>
      </c>
      <c r="B154" s="8">
        <v>2026</v>
      </c>
      <c r="C154" s="8">
        <v>46154</v>
      </c>
      <c r="D154" s="8" t="s">
        <v>64</v>
      </c>
      <c r="E154" s="8" t="s">
        <v>70</v>
      </c>
      <c r="F154" s="8" t="s">
        <v>30</v>
      </c>
      <c r="G154" s="8" t="s">
        <v>60</v>
      </c>
      <c r="H154" s="8" t="s">
        <v>170</v>
      </c>
      <c r="I154" s="8" t="s">
        <v>209</v>
      </c>
      <c r="J154" s="8" t="s">
        <v>183</v>
      </c>
      <c r="K154" s="8" t="s">
        <v>145</v>
      </c>
      <c r="L154" s="8" t="s">
        <v>78</v>
      </c>
      <c r="M154" s="8">
        <v>46164</v>
      </c>
      <c r="N154" s="8"/>
      <c r="O154" s="8" t="s">
        <v>40</v>
      </c>
      <c r="P154" s="8">
        <v>0.75</v>
      </c>
      <c r="Q154" s="8" t="s">
        <v>166</v>
      </c>
      <c r="R154" s="8" t="s">
        <v>43</v>
      </c>
      <c r="S154" s="8"/>
      <c r="T154" s="8" t="s">
        <v>41</v>
      </c>
      <c r="U154" s="8" t="s">
        <v>87</v>
      </c>
      <c r="V154" s="8" t="s">
        <v>129</v>
      </c>
      <c r="W154" s="8">
        <v>850000</v>
      </c>
      <c r="X154" s="8">
        <v>900431</v>
      </c>
      <c r="Y154" s="8" t="s">
        <v>168</v>
      </c>
      <c r="Z154" s="8" t="s">
        <v>142</v>
      </c>
      <c r="AA154" s="8">
        <v>24</v>
      </c>
      <c r="AB154" s="8" t="s">
        <v>202</v>
      </c>
      <c r="AC154" s="8">
        <v>14</v>
      </c>
      <c r="AD154" s="8" t="s">
        <v>195</v>
      </c>
      <c r="AE154" s="9" t="s">
        <v>191</v>
      </c>
    </row>
    <row r="155" spans="1:31" ht="45">
      <c r="A155" s="7" t="s">
        <v>377</v>
      </c>
      <c r="B155" s="8">
        <v>2026</v>
      </c>
      <c r="C155" s="8">
        <v>46162</v>
      </c>
      <c r="D155" s="8" t="s">
        <v>69</v>
      </c>
      <c r="E155" s="8" t="s">
        <v>65</v>
      </c>
      <c r="F155" s="8" t="s">
        <v>38</v>
      </c>
      <c r="G155" s="8" t="s">
        <v>71</v>
      </c>
      <c r="H155" s="8" t="s">
        <v>170</v>
      </c>
      <c r="I155" s="8" t="s">
        <v>304</v>
      </c>
      <c r="J155" s="8" t="s">
        <v>125</v>
      </c>
      <c r="K155" s="8" t="s">
        <v>215</v>
      </c>
      <c r="L155" s="8" t="s">
        <v>43</v>
      </c>
      <c r="M155" s="8">
        <v>46207</v>
      </c>
      <c r="N155" s="8"/>
      <c r="O155" s="8" t="s">
        <v>55</v>
      </c>
      <c r="P155" s="8">
        <v>0.6</v>
      </c>
      <c r="Q155" s="8" t="s">
        <v>166</v>
      </c>
      <c r="R155" s="8" t="s">
        <v>150</v>
      </c>
      <c r="S155" s="8"/>
      <c r="T155" s="8" t="s">
        <v>33</v>
      </c>
      <c r="U155" s="8" t="s">
        <v>50</v>
      </c>
      <c r="V155" s="8" t="s">
        <v>151</v>
      </c>
      <c r="W155" s="8">
        <v>600000</v>
      </c>
      <c r="X155" s="8">
        <v>0</v>
      </c>
      <c r="Y155" s="8" t="s">
        <v>168</v>
      </c>
      <c r="Z155" s="8" t="s">
        <v>184</v>
      </c>
      <c r="AA155" s="8">
        <v>16</v>
      </c>
      <c r="AB155" s="8" t="s">
        <v>202</v>
      </c>
      <c r="AC155" s="8">
        <v>0</v>
      </c>
      <c r="AD155" s="8" t="s">
        <v>195</v>
      </c>
      <c r="AE155" s="9" t="s">
        <v>191</v>
      </c>
    </row>
    <row r="156" spans="1:31" ht="45">
      <c r="A156" s="7" t="s">
        <v>378</v>
      </c>
      <c r="B156" s="8">
        <v>2026</v>
      </c>
      <c r="C156" s="8">
        <v>46163</v>
      </c>
      <c r="D156" s="8" t="s">
        <v>64</v>
      </c>
      <c r="E156" s="8" t="s">
        <v>65</v>
      </c>
      <c r="F156" s="8" t="s">
        <v>38</v>
      </c>
      <c r="G156" s="8" t="s">
        <v>60</v>
      </c>
      <c r="H156" s="8" t="s">
        <v>123</v>
      </c>
      <c r="I156" s="8" t="s">
        <v>201</v>
      </c>
      <c r="J156" s="8" t="s">
        <v>149</v>
      </c>
      <c r="K156" s="8" t="s">
        <v>178</v>
      </c>
      <c r="L156" s="8" t="s">
        <v>88</v>
      </c>
      <c r="M156" s="8">
        <v>46178</v>
      </c>
      <c r="N156" s="8">
        <v>46180</v>
      </c>
      <c r="O156" s="8" t="s">
        <v>48</v>
      </c>
      <c r="P156" s="8">
        <v>1</v>
      </c>
      <c r="Q156" s="8" t="s">
        <v>132</v>
      </c>
      <c r="R156" s="8" t="s">
        <v>150</v>
      </c>
      <c r="S156" s="8">
        <v>46187</v>
      </c>
      <c r="T156" s="8" t="s">
        <v>33</v>
      </c>
      <c r="U156" s="8" t="s">
        <v>50</v>
      </c>
      <c r="V156" s="8" t="s">
        <v>167</v>
      </c>
      <c r="W156" s="8">
        <v>380000</v>
      </c>
      <c r="X156" s="8">
        <v>421282</v>
      </c>
      <c r="Y156" s="8" t="s">
        <v>152</v>
      </c>
      <c r="Z156" s="8" t="s">
        <v>142</v>
      </c>
      <c r="AA156" s="8">
        <v>17</v>
      </c>
      <c r="AB156" s="8" t="s">
        <v>127</v>
      </c>
      <c r="AC156" s="8">
        <v>0</v>
      </c>
      <c r="AD156" s="8" t="s">
        <v>195</v>
      </c>
      <c r="AE156" s="9" t="s">
        <v>191</v>
      </c>
    </row>
    <row r="157" spans="1:31" ht="30">
      <c r="A157" s="7" t="s">
        <v>379</v>
      </c>
      <c r="B157" s="8">
        <v>2026</v>
      </c>
      <c r="C157" s="8">
        <v>46164</v>
      </c>
      <c r="D157" s="8" t="s">
        <v>69</v>
      </c>
      <c r="E157" s="8" t="s">
        <v>37</v>
      </c>
      <c r="F157" s="8" t="s">
        <v>46</v>
      </c>
      <c r="G157" s="8" t="s">
        <v>91</v>
      </c>
      <c r="H157" s="8" t="s">
        <v>159</v>
      </c>
      <c r="I157" s="8" t="s">
        <v>282</v>
      </c>
      <c r="J157" s="8" t="s">
        <v>155</v>
      </c>
      <c r="K157" s="8" t="s">
        <v>156</v>
      </c>
      <c r="L157" s="8" t="s">
        <v>88</v>
      </c>
      <c r="M157" s="8">
        <v>46194</v>
      </c>
      <c r="N157" s="8">
        <v>46198</v>
      </c>
      <c r="O157" s="8" t="s">
        <v>48</v>
      </c>
      <c r="P157" s="8">
        <v>1</v>
      </c>
      <c r="Q157" s="8" t="s">
        <v>132</v>
      </c>
      <c r="R157" s="8" t="s">
        <v>35</v>
      </c>
      <c r="S157" s="8">
        <v>46201</v>
      </c>
      <c r="T157" s="8" t="s">
        <v>33</v>
      </c>
      <c r="U157" s="8" t="s">
        <v>77</v>
      </c>
      <c r="V157" s="8" t="s">
        <v>151</v>
      </c>
      <c r="W157" s="8">
        <v>380000</v>
      </c>
      <c r="X157" s="8">
        <v>319799</v>
      </c>
      <c r="Y157" s="8" t="s">
        <v>189</v>
      </c>
      <c r="Z157" s="8" t="s">
        <v>142</v>
      </c>
      <c r="AA157" s="8">
        <v>34</v>
      </c>
      <c r="AB157" s="8" t="s">
        <v>127</v>
      </c>
      <c r="AC157" s="8">
        <v>0</v>
      </c>
      <c r="AD157" s="8" t="s">
        <v>195</v>
      </c>
      <c r="AE157" s="9" t="s">
        <v>191</v>
      </c>
    </row>
    <row r="158" spans="1:31" ht="45">
      <c r="A158" s="7" t="s">
        <v>380</v>
      </c>
      <c r="B158" s="8">
        <v>2026</v>
      </c>
      <c r="C158" s="8">
        <v>46167</v>
      </c>
      <c r="D158" s="8" t="s">
        <v>84</v>
      </c>
      <c r="E158" s="8" t="s">
        <v>59</v>
      </c>
      <c r="F158" s="8" t="s">
        <v>30</v>
      </c>
      <c r="G158" s="8" t="s">
        <v>91</v>
      </c>
      <c r="H158" s="8" t="s">
        <v>159</v>
      </c>
      <c r="I158" s="8" t="s">
        <v>212</v>
      </c>
      <c r="J158" s="8" t="s">
        <v>125</v>
      </c>
      <c r="K158" s="8" t="s">
        <v>249</v>
      </c>
      <c r="L158" s="8" t="s">
        <v>78</v>
      </c>
      <c r="M158" s="8">
        <v>46182</v>
      </c>
      <c r="N158" s="8">
        <v>46179</v>
      </c>
      <c r="O158" s="8" t="s">
        <v>48</v>
      </c>
      <c r="P158" s="8">
        <v>1</v>
      </c>
      <c r="Q158" s="8" t="s">
        <v>132</v>
      </c>
      <c r="R158" s="8" t="s">
        <v>35</v>
      </c>
      <c r="S158" s="8">
        <v>46189</v>
      </c>
      <c r="T158" s="8" t="s">
        <v>41</v>
      </c>
      <c r="U158" s="8" t="s">
        <v>67</v>
      </c>
      <c r="V158" s="8" t="s">
        <v>151</v>
      </c>
      <c r="W158" s="8">
        <v>250000</v>
      </c>
      <c r="X158" s="8">
        <v>263392</v>
      </c>
      <c r="Y158" s="8" t="s">
        <v>130</v>
      </c>
      <c r="Z158" s="8" t="s">
        <v>210</v>
      </c>
      <c r="AA158" s="8">
        <v>12</v>
      </c>
      <c r="AB158" s="8" t="s">
        <v>132</v>
      </c>
      <c r="AC158" s="8">
        <v>0</v>
      </c>
      <c r="AD158" s="8" t="s">
        <v>195</v>
      </c>
      <c r="AE158" s="9" t="s">
        <v>191</v>
      </c>
    </row>
    <row r="159" spans="1:31" ht="45">
      <c r="A159" s="7" t="s">
        <v>381</v>
      </c>
      <c r="B159" s="8">
        <v>2026</v>
      </c>
      <c r="C159" s="8">
        <v>46168</v>
      </c>
      <c r="D159" s="8" t="s">
        <v>89</v>
      </c>
      <c r="E159" s="8" t="s">
        <v>80</v>
      </c>
      <c r="F159" s="8" t="s">
        <v>30</v>
      </c>
      <c r="G159" s="8" t="s">
        <v>54</v>
      </c>
      <c r="H159" s="8" t="s">
        <v>164</v>
      </c>
      <c r="I159" s="8" t="s">
        <v>289</v>
      </c>
      <c r="J159" s="8" t="s">
        <v>155</v>
      </c>
      <c r="K159" s="8" t="s">
        <v>161</v>
      </c>
      <c r="L159" s="8" t="s">
        <v>68</v>
      </c>
      <c r="M159" s="8">
        <v>46198</v>
      </c>
      <c r="N159" s="8">
        <v>46198</v>
      </c>
      <c r="O159" s="8" t="s">
        <v>48</v>
      </c>
      <c r="P159" s="8">
        <v>1</v>
      </c>
      <c r="Q159" s="8" t="s">
        <v>132</v>
      </c>
      <c r="R159" s="8" t="s">
        <v>35</v>
      </c>
      <c r="S159" s="8">
        <v>46213</v>
      </c>
      <c r="T159" s="8" t="s">
        <v>49</v>
      </c>
      <c r="U159" s="8" t="s">
        <v>34</v>
      </c>
      <c r="V159" s="8" t="s">
        <v>129</v>
      </c>
      <c r="W159" s="8">
        <v>1200000</v>
      </c>
      <c r="X159" s="8">
        <v>1186615</v>
      </c>
      <c r="Y159" s="8" t="s">
        <v>189</v>
      </c>
      <c r="Z159" s="8" t="s">
        <v>210</v>
      </c>
      <c r="AA159" s="8">
        <v>30</v>
      </c>
      <c r="AB159" s="8" t="s">
        <v>132</v>
      </c>
      <c r="AC159" s="8">
        <v>0</v>
      </c>
      <c r="AD159" s="8" t="s">
        <v>195</v>
      </c>
      <c r="AE159" s="9" t="s">
        <v>191</v>
      </c>
    </row>
    <row r="160" spans="1:31" ht="45">
      <c r="A160" s="10" t="s">
        <v>382</v>
      </c>
      <c r="B160" s="11">
        <v>2026</v>
      </c>
      <c r="C160" s="11">
        <v>46168</v>
      </c>
      <c r="D160" s="11" t="s">
        <v>74</v>
      </c>
      <c r="E160" s="11" t="s">
        <v>80</v>
      </c>
      <c r="F160" s="11" t="s">
        <v>30</v>
      </c>
      <c r="G160" s="11" t="s">
        <v>66</v>
      </c>
      <c r="H160" s="11" t="s">
        <v>123</v>
      </c>
      <c r="I160" s="11" t="s">
        <v>289</v>
      </c>
      <c r="J160" s="11" t="s">
        <v>155</v>
      </c>
      <c r="K160" s="11" t="s">
        <v>145</v>
      </c>
      <c r="L160" s="11" t="s">
        <v>57</v>
      </c>
      <c r="M160" s="11">
        <v>46228</v>
      </c>
      <c r="N160" s="11">
        <v>46206</v>
      </c>
      <c r="O160" s="11" t="s">
        <v>48</v>
      </c>
      <c r="P160" s="11">
        <v>1</v>
      </c>
      <c r="Q160" s="11" t="s">
        <v>132</v>
      </c>
      <c r="R160" s="11" t="s">
        <v>150</v>
      </c>
      <c r="S160" s="11">
        <v>46221</v>
      </c>
      <c r="T160" s="11" t="s">
        <v>33</v>
      </c>
      <c r="U160" s="11" t="s">
        <v>50</v>
      </c>
      <c r="V160" s="11" t="s">
        <v>140</v>
      </c>
      <c r="W160" s="11">
        <v>600000</v>
      </c>
      <c r="X160" s="11">
        <v>592204</v>
      </c>
      <c r="Y160" s="11" t="s">
        <v>141</v>
      </c>
      <c r="Z160" s="11" t="s">
        <v>210</v>
      </c>
      <c r="AA160" s="11">
        <v>38</v>
      </c>
      <c r="AB160" s="11" t="s">
        <v>132</v>
      </c>
      <c r="AC160" s="11">
        <v>0</v>
      </c>
      <c r="AD160" s="11" t="s">
        <v>195</v>
      </c>
      <c r="AE160" s="12" t="s">
        <v>191</v>
      </c>
    </row>
  </sheetData>
  <mergeCells count="2">
    <mergeCell ref="A1:AE1"/>
    <mergeCell ref="A2:AE2"/>
  </mergeCells>
  <conditionalFormatting sqref="O5:O160">
    <cfRule type="expression" dxfId="7" priority="1">
      <formula>O5="Cerrada"</formula>
    </cfRule>
    <cfRule type="expression" dxfId="6" priority="2">
      <formula>O5="En progreso"</formula>
    </cfRule>
    <cfRule type="expression" dxfId="5" priority="3">
      <formula>O5="Vencida"</formula>
    </cfRule>
    <cfRule type="expression" dxfId="4" priority="4">
      <formula>O5="Abierta"</formula>
    </cfRule>
    <cfRule type="expression" dxfId="3" priority="5">
      <formula>O5="Cancelada"</formula>
    </cfRule>
  </conditionalFormatting>
  <conditionalFormatting sqref="T5:T160">
    <cfRule type="expression" dxfId="2" priority="6">
      <formula>T5="Alta"</formula>
    </cfRule>
    <cfRule type="expression" dxfId="1" priority="7">
      <formula>T5="Media"</formula>
    </cfRule>
    <cfRule type="expression" dxfId="0" priority="8">
      <formula>T5="Baja"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orkbookViewId="0"/>
  </sheetViews>
  <sheetFormatPr baseColWidth="10" defaultColWidth="8.83203125" defaultRowHeight="14"/>
  <cols>
    <col min="1" max="1" width="24" customWidth="1"/>
    <col min="2" max="5" width="14" customWidth="1"/>
  </cols>
  <sheetData>
    <row r="1" spans="1:6" ht="18">
      <c r="A1" s="29" t="s">
        <v>384</v>
      </c>
      <c r="B1" s="30"/>
      <c r="C1" s="30"/>
      <c r="D1" s="30"/>
      <c r="E1" s="30"/>
      <c r="F1" s="30"/>
    </row>
    <row r="2" spans="1:6" ht="15">
      <c r="A2" s="31" t="s">
        <v>385</v>
      </c>
      <c r="B2" s="30"/>
      <c r="C2" s="30"/>
      <c r="D2" s="30"/>
      <c r="E2" s="30"/>
      <c r="F2" s="30"/>
    </row>
    <row r="4" spans="1:6" ht="16">
      <c r="A4" s="1" t="s">
        <v>386</v>
      </c>
      <c r="B4" s="2">
        <v>2023</v>
      </c>
      <c r="C4" s="2">
        <v>2024</v>
      </c>
      <c r="D4" s="2">
        <v>2025</v>
      </c>
      <c r="E4" s="3">
        <v>2026</v>
      </c>
    </row>
    <row r="5" spans="1:6" ht="15">
      <c r="A5" s="19" t="s">
        <v>387</v>
      </c>
      <c r="B5" s="8">
        <v>38</v>
      </c>
      <c r="C5" s="8">
        <v>44</v>
      </c>
      <c r="D5" s="8">
        <v>48</v>
      </c>
      <c r="E5" s="9">
        <v>26</v>
      </c>
    </row>
    <row r="6" spans="1:6" ht="15">
      <c r="A6" s="20" t="s">
        <v>388</v>
      </c>
      <c r="B6" s="8">
        <v>12</v>
      </c>
      <c r="C6" s="8">
        <v>17</v>
      </c>
      <c r="D6" s="8">
        <v>12</v>
      </c>
      <c r="E6" s="9">
        <v>11</v>
      </c>
    </row>
    <row r="7" spans="1:6" ht="15">
      <c r="A7" s="20" t="s">
        <v>389</v>
      </c>
      <c r="B7" s="8">
        <v>14</v>
      </c>
      <c r="C7" s="8">
        <v>16</v>
      </c>
      <c r="D7" s="8">
        <v>25</v>
      </c>
      <c r="E7" s="9">
        <v>9</v>
      </c>
    </row>
    <row r="8" spans="1:6" ht="15">
      <c r="A8" s="20" t="s">
        <v>46</v>
      </c>
      <c r="B8" s="8">
        <v>12</v>
      </c>
      <c r="C8" s="8">
        <v>11</v>
      </c>
      <c r="D8" s="8">
        <v>11</v>
      </c>
      <c r="E8" s="9">
        <v>6</v>
      </c>
    </row>
    <row r="9" spans="1:6" ht="15">
      <c r="A9" s="20" t="s">
        <v>390</v>
      </c>
      <c r="B9" s="8">
        <v>31</v>
      </c>
      <c r="C9" s="8">
        <v>30</v>
      </c>
      <c r="D9" s="8">
        <v>35</v>
      </c>
      <c r="E9" s="9">
        <v>13</v>
      </c>
    </row>
    <row r="10" spans="1:6" ht="15">
      <c r="A10" s="20" t="s">
        <v>40</v>
      </c>
      <c r="B10" s="8">
        <v>4</v>
      </c>
      <c r="C10" s="8">
        <v>8</v>
      </c>
      <c r="D10" s="8">
        <v>8</v>
      </c>
      <c r="E10" s="9">
        <v>3</v>
      </c>
    </row>
    <row r="11" spans="1:6" ht="15">
      <c r="A11" s="20" t="s">
        <v>391</v>
      </c>
      <c r="B11" s="8">
        <v>0</v>
      </c>
      <c r="C11" s="8">
        <v>0</v>
      </c>
      <c r="D11" s="8">
        <v>0</v>
      </c>
      <c r="E11" s="9">
        <v>5</v>
      </c>
    </row>
    <row r="12" spans="1:6" ht="15">
      <c r="A12" s="20" t="s">
        <v>392</v>
      </c>
      <c r="B12" s="8">
        <v>3</v>
      </c>
      <c r="C12" s="8">
        <v>4</v>
      </c>
      <c r="D12" s="8">
        <v>4</v>
      </c>
      <c r="E12" s="9">
        <v>4</v>
      </c>
    </row>
    <row r="13" spans="1:6" ht="15">
      <c r="A13" s="20" t="s">
        <v>393</v>
      </c>
      <c r="B13" s="8">
        <v>0</v>
      </c>
      <c r="C13" s="8">
        <v>2</v>
      </c>
      <c r="D13" s="8">
        <v>1</v>
      </c>
      <c r="E13" s="9">
        <v>1</v>
      </c>
    </row>
    <row r="14" spans="1:6" ht="15">
      <c r="A14" s="20" t="s">
        <v>394</v>
      </c>
      <c r="B14" s="17">
        <v>0.74193548387096775</v>
      </c>
      <c r="C14" s="17">
        <v>0.76666666666666672</v>
      </c>
      <c r="D14" s="17">
        <v>0.65714285714285714</v>
      </c>
      <c r="E14" s="22">
        <v>0.61538461538461542</v>
      </c>
    </row>
    <row r="15" spans="1:6" ht="15">
      <c r="A15" s="20" t="s">
        <v>395</v>
      </c>
      <c r="B15" s="17">
        <v>0.80645161290322576</v>
      </c>
      <c r="C15" s="17">
        <v>0.83333333333333337</v>
      </c>
      <c r="D15" s="17">
        <v>0.65714285714285714</v>
      </c>
      <c r="E15" s="22">
        <v>0.92307692307692313</v>
      </c>
    </row>
    <row r="16" spans="1:6" ht="15">
      <c r="A16" s="20" t="s">
        <v>112</v>
      </c>
      <c r="B16" s="24">
        <v>31650000</v>
      </c>
      <c r="C16" s="24">
        <v>41670000</v>
      </c>
      <c r="D16" s="24">
        <v>48940000</v>
      </c>
      <c r="E16" s="25">
        <v>22320000</v>
      </c>
    </row>
    <row r="17" spans="1:5" ht="15">
      <c r="A17" s="20" t="s">
        <v>113</v>
      </c>
      <c r="B17" s="24">
        <v>27978918</v>
      </c>
      <c r="C17" s="24">
        <v>31828285</v>
      </c>
      <c r="D17" s="24">
        <v>40610353</v>
      </c>
      <c r="E17" s="25">
        <v>12545633</v>
      </c>
    </row>
    <row r="18" spans="1:5" ht="15">
      <c r="A18" s="21" t="s">
        <v>396</v>
      </c>
      <c r="B18" s="18">
        <v>0.92631578947368431</v>
      </c>
      <c r="C18" s="18">
        <v>0.84772727272727266</v>
      </c>
      <c r="D18" s="18">
        <v>0.87187500000000007</v>
      </c>
      <c r="E18" s="23">
        <v>0.71923076923076923</v>
      </c>
    </row>
  </sheetData>
  <mergeCells count="2">
    <mergeCell ref="A1:F1"/>
    <mergeCell ref="A2:F2"/>
  </mergeCells>
  <conditionalFormatting sqref="B5:E1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{04F2C728-4471-4D73-32E8-7EF8E86DD8AF}</x14:id>
        </ext>
      </extLst>
    </cfRule>
  </conditionalFormatting>
  <conditionalFormatting sqref="B14:E15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F2C728-4471-4D73-32E8-7EF8E86DD8AF}">
            <x14:dataBar>
              <x14:cfvo type="min"/>
              <x14:cfvo type="max"/>
              <x14:negativeFillColor auto="1"/>
              <x14:axisColor auto="1"/>
            </x14:dataBar>
          </x14:cfRule>
          <xm:sqref>B5:E13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workbookViewId="0"/>
  </sheetViews>
  <sheetFormatPr baseColWidth="10" defaultColWidth="8.83203125" defaultRowHeight="14"/>
  <cols>
    <col min="1" max="1" width="18" customWidth="1"/>
    <col min="2" max="6" width="12" customWidth="1"/>
  </cols>
  <sheetData>
    <row r="1" spans="1:7" ht="18">
      <c r="A1" s="29" t="s">
        <v>397</v>
      </c>
      <c r="B1" s="30"/>
      <c r="C1" s="30"/>
      <c r="D1" s="30"/>
      <c r="E1" s="30"/>
      <c r="F1" s="30"/>
      <c r="G1" s="30"/>
    </row>
    <row r="2" spans="1:7" ht="15">
      <c r="A2" s="31" t="s">
        <v>398</v>
      </c>
      <c r="B2" s="30"/>
      <c r="C2" s="30"/>
      <c r="D2" s="30"/>
      <c r="E2" s="30"/>
      <c r="F2" s="30"/>
      <c r="G2" s="30"/>
    </row>
    <row r="4" spans="1:7" ht="16">
      <c r="A4" s="1" t="s">
        <v>99</v>
      </c>
      <c r="B4" s="2">
        <v>2023</v>
      </c>
      <c r="C4" s="2">
        <v>2024</v>
      </c>
      <c r="D4" s="2">
        <v>2025</v>
      </c>
      <c r="E4" s="2">
        <v>2026</v>
      </c>
      <c r="F4" s="3" t="s">
        <v>399</v>
      </c>
    </row>
    <row r="5" spans="1:7" ht="15">
      <c r="A5" s="7" t="s">
        <v>28</v>
      </c>
      <c r="B5" s="8">
        <v>3</v>
      </c>
      <c r="C5" s="8">
        <v>1</v>
      </c>
      <c r="D5" s="8">
        <v>5</v>
      </c>
      <c r="E5" s="8">
        <v>2</v>
      </c>
      <c r="F5" s="9">
        <v>11</v>
      </c>
    </row>
    <row r="6" spans="1:7" ht="15">
      <c r="A6" s="7" t="s">
        <v>36</v>
      </c>
      <c r="B6" s="8">
        <v>3</v>
      </c>
      <c r="C6" s="8">
        <v>3</v>
      </c>
      <c r="D6" s="8">
        <v>2</v>
      </c>
      <c r="E6" s="8">
        <v>3</v>
      </c>
      <c r="F6" s="9">
        <v>11</v>
      </c>
    </row>
    <row r="7" spans="1:7" ht="15">
      <c r="A7" s="7" t="s">
        <v>44</v>
      </c>
      <c r="B7" s="8">
        <v>5</v>
      </c>
      <c r="C7" s="8">
        <v>2</v>
      </c>
      <c r="D7" s="8">
        <v>3</v>
      </c>
      <c r="E7" s="8">
        <v>2</v>
      </c>
      <c r="F7" s="9">
        <v>12</v>
      </c>
    </row>
    <row r="8" spans="1:7" ht="15">
      <c r="A8" s="7" t="s">
        <v>52</v>
      </c>
      <c r="B8" s="8">
        <v>3</v>
      </c>
      <c r="C8" s="8">
        <v>2</v>
      </c>
      <c r="D8" s="8">
        <v>6</v>
      </c>
      <c r="E8" s="8">
        <v>3</v>
      </c>
      <c r="F8" s="9">
        <v>14</v>
      </c>
    </row>
    <row r="9" spans="1:7" ht="15">
      <c r="A9" s="7" t="s">
        <v>58</v>
      </c>
      <c r="B9" s="8">
        <v>3</v>
      </c>
      <c r="C9" s="8">
        <v>6</v>
      </c>
      <c r="D9" s="8">
        <v>6</v>
      </c>
      <c r="E9" s="8">
        <v>0</v>
      </c>
      <c r="F9" s="9">
        <v>15</v>
      </c>
    </row>
    <row r="10" spans="1:7" ht="15">
      <c r="A10" s="7" t="s">
        <v>64</v>
      </c>
      <c r="B10" s="8">
        <v>1</v>
      </c>
      <c r="C10" s="8">
        <v>7</v>
      </c>
      <c r="D10" s="8">
        <v>5</v>
      </c>
      <c r="E10" s="8">
        <v>3</v>
      </c>
      <c r="F10" s="9">
        <v>16</v>
      </c>
    </row>
    <row r="11" spans="1:7" ht="15">
      <c r="A11" s="7" t="s">
        <v>69</v>
      </c>
      <c r="B11" s="8">
        <v>4</v>
      </c>
      <c r="C11" s="8">
        <v>2</v>
      </c>
      <c r="D11" s="8">
        <v>5</v>
      </c>
      <c r="E11" s="8">
        <v>3</v>
      </c>
      <c r="F11" s="9">
        <v>14</v>
      </c>
    </row>
    <row r="12" spans="1:7" ht="15">
      <c r="A12" s="7" t="s">
        <v>74</v>
      </c>
      <c r="B12" s="8">
        <v>2</v>
      </c>
      <c r="C12" s="8">
        <v>8</v>
      </c>
      <c r="D12" s="8">
        <v>2</v>
      </c>
      <c r="E12" s="8">
        <v>1</v>
      </c>
      <c r="F12" s="9">
        <v>13</v>
      </c>
    </row>
    <row r="13" spans="1:7" ht="15">
      <c r="A13" s="7" t="s">
        <v>79</v>
      </c>
      <c r="B13" s="8">
        <v>5</v>
      </c>
      <c r="C13" s="8">
        <v>1</v>
      </c>
      <c r="D13" s="8">
        <v>4</v>
      </c>
      <c r="E13" s="8">
        <v>2</v>
      </c>
      <c r="F13" s="9">
        <v>12</v>
      </c>
    </row>
    <row r="14" spans="1:7" ht="15">
      <c r="A14" s="7" t="s">
        <v>84</v>
      </c>
      <c r="B14" s="8">
        <v>6</v>
      </c>
      <c r="C14" s="8">
        <v>4</v>
      </c>
      <c r="D14" s="8">
        <v>3</v>
      </c>
      <c r="E14" s="8">
        <v>4</v>
      </c>
      <c r="F14" s="9">
        <v>17</v>
      </c>
    </row>
    <row r="15" spans="1:7" ht="15">
      <c r="A15" s="10" t="s">
        <v>89</v>
      </c>
      <c r="B15" s="11">
        <v>3</v>
      </c>
      <c r="C15" s="11">
        <v>8</v>
      </c>
      <c r="D15" s="11">
        <v>7</v>
      </c>
      <c r="E15" s="11">
        <v>3</v>
      </c>
      <c r="F15" s="12">
        <v>21</v>
      </c>
    </row>
  </sheetData>
  <mergeCells count="2">
    <mergeCell ref="A1:G1"/>
    <mergeCell ref="A2:G2"/>
  </mergeCells>
  <conditionalFormatting sqref="F5:F15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{14928BE6-9E04-E0FE-6BAB-37652A07FB06}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928BE6-9E04-E0FE-6BAB-37652A07FB06}">
            <x14:dataBar>
              <x14:cfvo type="min"/>
              <x14:cfvo type="max"/>
              <x14:negativeFillColor auto="1"/>
              <x14:axisColor auto="1"/>
            </x14:dataBar>
          </x14:cfRule>
          <xm:sqref>F5:F15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tabSelected="1" workbookViewId="0">
      <selection sqref="A1:J1"/>
    </sheetView>
  </sheetViews>
  <sheetFormatPr baseColWidth="10" defaultColWidth="8.83203125" defaultRowHeight="14"/>
  <cols>
    <col min="1" max="1" width="18" customWidth="1"/>
    <col min="2" max="2" width="14" customWidth="1"/>
    <col min="3" max="3" width="12" customWidth="1"/>
    <col min="4" max="4" width="24" customWidth="1"/>
    <col min="5" max="8" width="13" customWidth="1"/>
    <col min="9" max="10" width="14" customWidth="1"/>
  </cols>
  <sheetData>
    <row r="1" spans="1:10" ht="18">
      <c r="A1" s="29" t="s">
        <v>400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">
      <c r="A2" s="31" t="s">
        <v>401</v>
      </c>
      <c r="B2" s="30"/>
      <c r="C2" s="30"/>
      <c r="D2" s="30"/>
      <c r="E2" s="30"/>
      <c r="F2" s="30"/>
      <c r="G2" s="30"/>
      <c r="H2" s="30"/>
      <c r="I2" s="30"/>
      <c r="J2" s="30"/>
    </row>
    <row r="4" spans="1:10">
      <c r="A4" s="36" t="s">
        <v>402</v>
      </c>
      <c r="B4" s="30"/>
      <c r="C4" s="37" t="s">
        <v>403</v>
      </c>
      <c r="D4" s="30"/>
      <c r="E4" s="38" t="s">
        <v>404</v>
      </c>
      <c r="F4" s="30"/>
      <c r="G4" s="39" t="s">
        <v>405</v>
      </c>
      <c r="H4" s="30"/>
      <c r="I4" s="37" t="s">
        <v>406</v>
      </c>
      <c r="J4" s="30"/>
    </row>
    <row r="5" spans="1:10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0">
      <c r="A6" s="30"/>
      <c r="B6" s="30"/>
      <c r="C6" s="30"/>
      <c r="D6" s="30"/>
      <c r="E6" s="30"/>
      <c r="F6" s="30"/>
      <c r="G6" s="30"/>
      <c r="H6" s="30"/>
      <c r="I6" s="30"/>
      <c r="J6" s="30"/>
    </row>
    <row r="7" spans="1:10">
      <c r="A7" s="30"/>
      <c r="B7" s="30"/>
      <c r="C7" s="30"/>
      <c r="D7" s="30"/>
      <c r="E7" s="30"/>
      <c r="F7" s="30"/>
      <c r="G7" s="30"/>
      <c r="H7" s="30"/>
      <c r="I7" s="30"/>
      <c r="J7" s="30"/>
    </row>
    <row r="8" spans="1:10" ht="21">
      <c r="A8" s="40">
        <v>26</v>
      </c>
      <c r="B8" s="30"/>
      <c r="C8" s="40">
        <v>13</v>
      </c>
      <c r="D8" s="30"/>
      <c r="E8" s="40">
        <v>4</v>
      </c>
      <c r="F8" s="30"/>
      <c r="G8" s="41">
        <v>0.61538461538461542</v>
      </c>
      <c r="H8" s="33"/>
      <c r="I8" s="41">
        <v>0.92307692307692313</v>
      </c>
      <c r="J8" s="33"/>
    </row>
    <row r="9" spans="1:10">
      <c r="A9" s="36" t="s">
        <v>407</v>
      </c>
      <c r="B9" s="30"/>
    </row>
    <row r="10" spans="1:10" ht="16">
      <c r="A10" s="30"/>
      <c r="B10" s="30"/>
      <c r="D10" s="1" t="s">
        <v>386</v>
      </c>
      <c r="E10" s="2" t="s">
        <v>408</v>
      </c>
      <c r="F10" s="2" t="s">
        <v>409</v>
      </c>
      <c r="G10" s="2" t="s">
        <v>410</v>
      </c>
      <c r="H10" s="3" t="s">
        <v>411</v>
      </c>
    </row>
    <row r="11" spans="1:10" ht="15">
      <c r="A11" s="30"/>
      <c r="B11" s="30"/>
      <c r="D11" s="4" t="s">
        <v>387</v>
      </c>
      <c r="E11" s="5">
        <v>38</v>
      </c>
      <c r="F11" s="5">
        <v>44</v>
      </c>
      <c r="G11" s="5">
        <v>48</v>
      </c>
      <c r="H11" s="6">
        <v>26</v>
      </c>
    </row>
    <row r="12" spans="1:10" ht="15">
      <c r="A12" s="30"/>
      <c r="B12" s="30"/>
      <c r="D12" s="7" t="s">
        <v>390</v>
      </c>
      <c r="E12" s="8">
        <v>31</v>
      </c>
      <c r="F12" s="8">
        <v>30</v>
      </c>
      <c r="G12" s="8">
        <v>35</v>
      </c>
      <c r="H12" s="9">
        <v>13</v>
      </c>
    </row>
    <row r="13" spans="1:10" ht="21">
      <c r="A13" s="42">
        <v>12545633</v>
      </c>
      <c r="B13" s="34"/>
      <c r="D13" s="7" t="s">
        <v>392</v>
      </c>
      <c r="E13" s="8">
        <v>3</v>
      </c>
      <c r="F13" s="8">
        <v>4</v>
      </c>
      <c r="G13" s="8">
        <v>4</v>
      </c>
      <c r="H13" s="9">
        <v>4</v>
      </c>
    </row>
    <row r="14" spans="1:10" ht="15">
      <c r="D14" s="7" t="s">
        <v>394</v>
      </c>
      <c r="E14" s="17">
        <v>0.74193548387096775</v>
      </c>
      <c r="F14" s="17">
        <v>0.76666666666666672</v>
      </c>
      <c r="G14" s="17">
        <v>0.65714285714285714</v>
      </c>
      <c r="H14" s="22">
        <v>0.61538461538461542</v>
      </c>
    </row>
    <row r="15" spans="1:10" ht="32">
      <c r="A15" s="1" t="s">
        <v>99</v>
      </c>
      <c r="B15" s="2" t="s">
        <v>387</v>
      </c>
      <c r="C15" s="3" t="s">
        <v>412</v>
      </c>
      <c r="D15" s="7" t="s">
        <v>395</v>
      </c>
      <c r="E15" s="17">
        <v>0.80645161290322576</v>
      </c>
      <c r="F15" s="17">
        <v>0.83333333333333337</v>
      </c>
      <c r="G15" s="17">
        <v>0.65714285714285714</v>
      </c>
      <c r="H15" s="22">
        <v>0.92307692307692313</v>
      </c>
    </row>
    <row r="16" spans="1:10" ht="15">
      <c r="A16" s="4" t="s">
        <v>28</v>
      </c>
      <c r="B16" s="5">
        <v>11</v>
      </c>
      <c r="C16" s="28">
        <v>7.0512820512820512E-2</v>
      </c>
      <c r="D16" s="10" t="s">
        <v>113</v>
      </c>
      <c r="E16" s="26">
        <v>27978918</v>
      </c>
      <c r="F16" s="26">
        <v>31828285</v>
      </c>
      <c r="G16" s="26">
        <v>40610353</v>
      </c>
      <c r="H16" s="27">
        <v>12545633</v>
      </c>
    </row>
    <row r="17" spans="1:3" ht="15">
      <c r="A17" s="7" t="s">
        <v>36</v>
      </c>
      <c r="B17" s="8">
        <v>11</v>
      </c>
      <c r="C17" s="22">
        <v>7.0512820512820512E-2</v>
      </c>
    </row>
    <row r="18" spans="1:3" ht="15">
      <c r="A18" s="7" t="s">
        <v>44</v>
      </c>
      <c r="B18" s="8">
        <v>12</v>
      </c>
      <c r="C18" s="22">
        <v>7.6923076923076927E-2</v>
      </c>
    </row>
    <row r="19" spans="1:3" ht="15">
      <c r="A19" s="7" t="s">
        <v>52</v>
      </c>
      <c r="B19" s="8">
        <v>14</v>
      </c>
      <c r="C19" s="22">
        <v>8.9743589743589744E-2</v>
      </c>
    </row>
    <row r="20" spans="1:3" ht="15">
      <c r="A20" s="7" t="s">
        <v>58</v>
      </c>
      <c r="B20" s="8">
        <v>15</v>
      </c>
      <c r="C20" s="22">
        <v>9.6153846153846159E-2</v>
      </c>
    </row>
    <row r="21" spans="1:3" ht="15">
      <c r="A21" s="7" t="s">
        <v>64</v>
      </c>
      <c r="B21" s="8">
        <v>16</v>
      </c>
      <c r="C21" s="22">
        <v>0.10256410256410256</v>
      </c>
    </row>
    <row r="22" spans="1:3" ht="15">
      <c r="A22" s="7" t="s">
        <v>69</v>
      </c>
      <c r="B22" s="8">
        <v>14</v>
      </c>
      <c r="C22" s="22">
        <v>8.9743589743589744E-2</v>
      </c>
    </row>
    <row r="23" spans="1:3" ht="15">
      <c r="A23" s="7" t="s">
        <v>74</v>
      </c>
      <c r="B23" s="8">
        <v>13</v>
      </c>
      <c r="C23" s="22">
        <v>8.3333333333333329E-2</v>
      </c>
    </row>
    <row r="24" spans="1:3" ht="15">
      <c r="A24" s="7" t="s">
        <v>79</v>
      </c>
      <c r="B24" s="8">
        <v>12</v>
      </c>
      <c r="C24" s="22">
        <v>7.6923076923076927E-2</v>
      </c>
    </row>
    <row r="25" spans="1:3" ht="15">
      <c r="A25" s="7" t="s">
        <v>84</v>
      </c>
      <c r="B25" s="8">
        <v>17</v>
      </c>
      <c r="C25" s="22">
        <v>0.10897435897435898</v>
      </c>
    </row>
    <row r="26" spans="1:3" ht="15">
      <c r="A26" s="10" t="s">
        <v>89</v>
      </c>
      <c r="B26" s="11">
        <v>21</v>
      </c>
      <c r="C26" s="23">
        <v>0.13461538461538461</v>
      </c>
    </row>
  </sheetData>
  <mergeCells count="14">
    <mergeCell ref="I8:J8"/>
    <mergeCell ref="A13:B13"/>
    <mergeCell ref="A9:B12"/>
    <mergeCell ref="A8:B8"/>
    <mergeCell ref="C8:D8"/>
    <mergeCell ref="E8:F8"/>
    <mergeCell ref="G8:H8"/>
    <mergeCell ref="A1:J1"/>
    <mergeCell ref="A2:J2"/>
    <mergeCell ref="A4:B7"/>
    <mergeCell ref="C4:D7"/>
    <mergeCell ref="E4:F7"/>
    <mergeCell ref="G4:H7"/>
    <mergeCell ref="I4:J7"/>
  </mergeCells>
  <conditionalFormatting sqref="B16:B26">
    <cfRule type="dataBar" priority="2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C16:C26">
    <cfRule type="colorScale" priority="3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E11:H16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B16:B26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E11:H16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Instructivo</vt:lpstr>
      <vt:lpstr>Catalogos</vt:lpstr>
      <vt:lpstr>Plantilla_Editable</vt:lpstr>
      <vt:lpstr>APCM_2023</vt:lpstr>
      <vt:lpstr>APCM_2024</vt:lpstr>
      <vt:lpstr>APCM_2025</vt:lpstr>
      <vt:lpstr>APCM_2026</vt:lpstr>
      <vt:lpstr>Consolidado</vt:lpstr>
      <vt:lpstr>Resumen_Anual</vt:lpstr>
      <vt:lpstr>Resumen_Sedes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FELIPE PARADA RAMÓN</cp:lastModifiedBy>
  <dcterms:modified xsi:type="dcterms:W3CDTF">2026-06-05T20:01:38Z</dcterms:modified>
</cp:coreProperties>
</file>