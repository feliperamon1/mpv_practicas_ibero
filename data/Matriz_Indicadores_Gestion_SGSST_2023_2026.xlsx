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322e03d61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1be87397fbc645dc"/>
    <x:sheet xmlns:r="http://schemas.openxmlformats.org/officeDocument/2006/relationships" name="Catalogos" sheetId="2" r:id="R00938f4224274e68"/>
    <x:sheet xmlns:r="http://schemas.openxmlformats.org/officeDocument/2006/relationships" name="Ficha_Tecnica" sheetId="3" r:id="R0d4438a30eb749b3"/>
    <x:sheet xmlns:r="http://schemas.openxmlformats.org/officeDocument/2006/relationships" name="Plantilla_Medicion" sheetId="4" r:id="R9c56b834a83345e1"/>
    <x:sheet xmlns:r="http://schemas.openxmlformats.org/officeDocument/2006/relationships" name="Medicion_2023" sheetId="5" r:id="Rc1f3ab4048984cd9"/>
    <x:sheet xmlns:r="http://schemas.openxmlformats.org/officeDocument/2006/relationships" name="Medicion_2024" sheetId="6" r:id="R1321404ba43340f5"/>
    <x:sheet xmlns:r="http://schemas.openxmlformats.org/officeDocument/2006/relationships" name="Medicion_2025" sheetId="7" r:id="R558dd733190a4fcc"/>
    <x:sheet xmlns:r="http://schemas.openxmlformats.org/officeDocument/2006/relationships" name="Medicion_2026" sheetId="8" r:id="R739fdd402a9540ff"/>
    <x:sheet xmlns:r="http://schemas.openxmlformats.org/officeDocument/2006/relationships" name="Consolidado" sheetId="9" r:id="Re7c0647405524ece"/>
    <x:sheet xmlns:r="http://schemas.openxmlformats.org/officeDocument/2006/relationships" name="Resumen_Anual" sheetId="10" r:id="R633b39b596e04b34"/>
    <x:sheet xmlns:r="http://schemas.openxmlformats.org/officeDocument/2006/relationships" name="Dashboard" sheetId="11" r:id="R98bcefc582cd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"/>
  </x:numFmts>
  <x:fonts count="7">
    <x:font>
      <x:sz val="11"/>
      <x:name val="Carlito"/>
    </x:font>
    <x:font>
      <x:b/>
      <x:sz val="16"/>
      <x:color rgb="0F172A"/>
      <x:name val="Carlito"/>
    </x:font>
    <x:font>
      <x:i/>
      <x:sz val="11"/>
      <x:color rgb="374151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4"/>
      <x:color rgb="0F172A"/>
      <x:name val="Carlito"/>
    </x:font>
    <x:font>
      <x:i/>
      <x:sz val="11"/>
      <x:color rgb="115E5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DFF6F3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134E4A"/>
      </x:patternFill>
    </x:fill>
    <x:fill>
      <x:patternFill patternType="solid">
        <x:fgColor rgb="CCFBF1"/>
      </x:patternFill>
    </x:fill>
    <x:fill>
      <x:patternFill patternType="solid">
        <x:fgColor rgb="F0FDFA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9a501383f4af2" /><Relationship Type="http://schemas.openxmlformats.org/officeDocument/2006/relationships/theme" Target="/xl/theme/theme1.xml" Id="R0450f60fca224114" /><Relationship Type="http://schemas.openxmlformats.org/officeDocument/2006/relationships/sharedStrings" Target="/xl/sharedStrings.xml" Id="R4bbba8574c81441c" /><Relationship Type="http://schemas.openxmlformats.org/officeDocument/2006/relationships/worksheet" Target="/xl/worksheets/sheet1.xml" Id="R1be87397fbc645dc" /><Relationship Type="http://schemas.openxmlformats.org/officeDocument/2006/relationships/worksheet" Target="/xl/worksheets/sheet2.xml" Id="R00938f4224274e68" /><Relationship Type="http://schemas.openxmlformats.org/officeDocument/2006/relationships/worksheet" Target="/xl/worksheets/sheet3.xml" Id="R0d4438a30eb749b3" /><Relationship Type="http://schemas.openxmlformats.org/officeDocument/2006/relationships/worksheet" Target="/xl/worksheets/sheet4.xml" Id="R9c56b834a83345e1" /><Relationship Type="http://schemas.openxmlformats.org/officeDocument/2006/relationships/worksheet" Target="/xl/worksheets/sheet5.xml" Id="Rc1f3ab4048984cd9" /><Relationship Type="http://schemas.openxmlformats.org/officeDocument/2006/relationships/worksheet" Target="/xl/worksheets/sheet6.xml" Id="R1321404ba43340f5" /><Relationship Type="http://schemas.openxmlformats.org/officeDocument/2006/relationships/worksheet" Target="/xl/worksheets/sheet7.xml" Id="R558dd733190a4fcc" /><Relationship Type="http://schemas.openxmlformats.org/officeDocument/2006/relationships/worksheet" Target="/xl/worksheets/sheet8.xml" Id="R739fdd402a9540ff" /><Relationship Type="http://schemas.openxmlformats.org/officeDocument/2006/relationships/worksheet" Target="/xl/worksheets/sheet9.xml" Id="Re7c0647405524ece" /><Relationship Type="http://schemas.openxmlformats.org/officeDocument/2006/relationships/worksheet" Target="/xl/worksheets/sheet10.xml" Id="R633b39b596e04b34" /><Relationship Type="http://schemas.openxmlformats.org/officeDocument/2006/relationships/worksheet" Target="/xl/worksheets/sheet11.xml" Id="R98bcefc582cd4f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4" t="str">
        <x:v>Matriz de Indicadores de Gestión del SG-SST (Decreto 1072 de 2015)</x:v>
      </x:c>
    </x:row>
    <x:row r="2">
      <x:c r="A2" s="9" t="str">
        <x:v>Formato integral con ficha técnica del indicador y medición simulada 2023-2026 (2026 con corte a mayo).</x:v>
      </x:c>
    </x:row>
    <x:row r="4">
      <x:c r="A4" s="16" t="str">
        <x:v>1. Objetivo del archivo</x:v>
      </x:c>
      <x:c r="B4" s="22" t="str">
        <x:v>Estructurar los indicadores de estructura, proceso y resultado del SG-SST, incorporando ficha técnica, medición periódica, consolidado anual y tablero ejecutivo.</x:v>
      </x:c>
    </x:row>
    <x:row r="5">
      <x:c r="A5" s="16" t="str">
        <x:v>2. Marco de referencia</x:v>
      </x:c>
      <x:c r="B5" s="22" t="str">
        <x:v>Los indicadores del SG-SST deben evaluar estructura, proceso y resultado, conforme al Decreto 1072 de 2015. En este archivo se propone una batería integral y trazable alineada a la operación del SG-SST.</x:v>
      </x:c>
    </x:row>
    <x:row r="6">
      <x:c r="A6" s="16" t="str">
        <x:v>3. Hojas del archivo</x:v>
      </x:c>
      <x:c r="B6" s="22" t="str">
        <x:v>Instructivo, Catálogos, Ficha_Tecnica, Plantilla_Medicion, Medicion_2023, Medicion_2024, Medicion_2025, Medicion_2026, Consolidado, Resumen_Anual y Dashboard.</x:v>
      </x:c>
    </x:row>
    <x:row r="7">
      <x:c r="A7" s="16" t="str">
        <x:v>4. Cómo registrar una medición</x:v>
      </x:c>
      <x:c r="B7" s="22" t="str">
        <x:v>1) Seleccione el código del indicador. 2) Registre fecha de corte, base 1, base 2 y factor. 3) El resultado se calcula automáticamente. 4) El estado se determina según la meta y el sentido del indicador.</x:v>
      </x:c>
    </x:row>
    <x:row r="8">
      <x:c r="A8" s="16" t="str">
        <x:v>5. Interpretación del estado</x:v>
      </x:c>
      <x:c r="B8" s="22" t="str">
        <x:v>En meta: cumple o supera la meta. Alerta: se aproxima a incumplimiento. Crítico: requiere acción inmediata. Para indicadores en los que 'menor es mejor', la semaforización se invierte.</x:v>
      </x:c>
    </x:row>
    <x:row r="9">
      <x:c r="A9" s="16" t="str">
        <x:v>6. Convenciones de cálculo</x:v>
      </x:c>
      <x:c r="B9" s="22" t="str">
        <x:v>Indicadores porcentuales: (Base 1 / Base 2) x factor. IF e IS: (evento x 200.000) / HHT. ILI: (IF x IS) / 1.000. La hoja Ficha_Tecnica documenta la fórmula oficial de cada indicador.</x:v>
      </x:c>
    </x:row>
    <x:row r="10">
      <x:c r="A10" s="16" t="str">
        <x:v>7. Corte de información</x:v>
      </x:c>
      <x:c r="B10" s="22" t="str">
        <x:v>Años completos: 2023, 2024 y 2025. Año 2026: información simulada de enero a mayo.</x:v>
      </x:c>
    </x:row>
    <x:row r="12">
      <x:c r="A12" s="9" t="str">
        <x:v>Notas de uso: la medición simulada puede reemplazarse por datos reales sin afectar la estructura. El Dashboard se alimenta del Resumen_Anual y del consolidado mensual.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9.220001220703125" hidden="0" customWidth="1"/>
    <x:col min="2" max="2" width="45" hidden="0" customWidth="1"/>
    <x:col min="3" max="3" width="8.75" hidden="0" customWidth="1"/>
    <x:col min="4" max="4" width="4.309999942779541" hidden="0" customWidth="1"/>
    <x:col min="5" max="5" width="12.789999961853027" hidden="0" customWidth="1"/>
    <x:col min="7" max="7" width="9.149999618530273" hidden="0" customWidth="1"/>
  </x:cols>
  <x:sheetData>
    <x:row r="1">
      <x:c r="A1" s="4" t="str">
        <x:v>Catálogos base de la matriz de indicadores SG-SST</x:v>
      </x:c>
    </x:row>
    <x:row r="3">
      <x:c r="A3" s="25" t="str">
        <x:v>Tipo</x:v>
      </x:c>
      <x:c r="C3" s="25" t="str">
        <x:v>Frecuencia</x:v>
      </x:c>
      <x:c r="E3" s="25" t="str">
        <x:v>Sentido</x:v>
      </x:c>
      <x:c r="G3" s="25" t="str">
        <x:v>Mes</x:v>
      </x:c>
    </x:row>
    <x:row r="4">
      <x:c r="A4" s="36" t="str">
        <x:v>Estructura</x:v>
      </x:c>
      <x:c r="C4" s="38" t="str">
        <x:v>Mensual</x:v>
      </x:c>
      <x:c r="E4" s="38" t="str">
        <x:v>Mayor es mejor</x:v>
      </x:c>
      <x:c r="G4" s="38" t="str">
        <x:v>Enero</x:v>
      </x:c>
    </x:row>
    <x:row r="5">
      <x:c r="A5" s="36" t="str">
        <x:v>Proceso</x:v>
      </x:c>
      <x:c r="C5" s="38" t="str">
        <x:v>Trimestral</x:v>
      </x:c>
      <x:c r="E5" s="38" t="str">
        <x:v>Menor es mejor</x:v>
      </x:c>
      <x:c r="G5" s="38" t="str">
        <x:v>Febrero</x:v>
      </x:c>
    </x:row>
    <x:row r="6">
      <x:c r="A6" s="36" t="str">
        <x:v>Resultado</x:v>
      </x:c>
      <x:c r="C6" s="38" t="str">
        <x:v>Anual</x:v>
      </x:c>
      <x:c r="E6" s="38" t="str"/>
      <x:c r="G6" s="38" t="str">
        <x:v>Marzo</x:v>
      </x:c>
    </x:row>
    <x:row r="7">
      <x:c r="G7" s="38" t="str">
        <x:v>Abril</x:v>
      </x:c>
    </x:row>
    <x:row r="8">
      <x:c r="G8" s="38" t="str">
        <x:v>Mayo</x:v>
      </x:c>
    </x:row>
    <x:row r="9">
      <x:c r="G9" s="38" t="str">
        <x:v>Junio</x:v>
      </x:c>
    </x:row>
    <x:row r="10">
      <x:c r="G10" s="38" t="str">
        <x:v>Julio</x:v>
      </x:c>
    </x:row>
    <x:row r="11">
      <x:c r="G11" s="38" t="str">
        <x:v>Agosto</x:v>
      </x:c>
    </x:row>
    <x:row r="12">
      <x:c r="G12" s="38" t="str">
        <x:v>Septiembre</x:v>
      </x:c>
    </x:row>
    <x:row r="13">
      <x:c r="G13" s="38" t="str">
        <x:v>Octubre</x:v>
      </x:c>
    </x:row>
    <x:row r="14">
      <x:c r="G14" s="38" t="str">
        <x:v>Noviembre</x:v>
      </x:c>
    </x:row>
    <x:row r="15">
      <x:c r="G15" s="38" t="str">
        <x:v>Diciembre</x:v>
      </x:c>
    </x:row>
    <x:row r="18">
      <x:c r="A18" s="25" t="str">
        <x:v>Código</x:v>
      </x:c>
      <x:c r="B18" s="25" t="str">
        <x:v>Nombre del indicador</x:v>
      </x:c>
      <x:c r="C18" s="25" t="str">
        <x:v>Tipo</x:v>
      </x:c>
      <x:c r="D18" s="25" t="str">
        <x:v>Meta</x:v>
      </x:c>
      <x:c r="E18" s="25" t="str">
        <x:v>Unidad</x:v>
      </x:c>
    </x:row>
    <x:row r="19">
      <x:c r="A19" s="22" t="str">
        <x:v>E01</x:v>
      </x:c>
      <x:c r="B19" s="22" t="str">
        <x:v>% ejecución presupuestal del SG-SST</x:v>
      </x:c>
      <x:c r="C19" s="22" t="str">
        <x:v>Estructura</x:v>
      </x:c>
      <x:c r="D19" s="22" t="n">
        <x:v>95</x:v>
      </x:c>
      <x:c r="E19" s="22" t="str">
        <x:v>%</x:v>
      </x:c>
    </x:row>
    <x:row r="20">
      <x:c r="A20" s="22" t="str">
        <x:v>E02</x:v>
      </x:c>
      <x:c r="B20" s="22" t="str">
        <x:v>% cobertura del plan de formación y capacitación SG-SST</x:v>
      </x:c>
      <x:c r="C20" s="22" t="str">
        <x:v>Estructura</x:v>
      </x:c>
      <x:c r="D20" s="22" t="n">
        <x:v>90</x:v>
      </x:c>
      <x:c r="E20" s="22" t="str">
        <x:v>%</x:v>
      </x:c>
    </x:row>
    <x:row r="21">
      <x:c r="A21" s="22" t="str">
        <x:v>E03</x:v>
      </x:c>
      <x:c r="B21" s="22" t="str">
        <x:v>% trabajadores con exámenes médicos ocupacionales vigentes</x:v>
      </x:c>
      <x:c r="C21" s="22" t="str">
        <x:v>Estructura</x:v>
      </x:c>
      <x:c r="D21" s="22" t="n">
        <x:v>95</x:v>
      </x:c>
      <x:c r="E21" s="22" t="str">
        <x:v>%</x:v>
      </x:c>
    </x:row>
    <x:row r="22">
      <x:c r="A22" s="22" t="str">
        <x:v>E04</x:v>
      </x:c>
      <x:c r="B22" s="22" t="str">
        <x:v>% cumplimiento de requisitos legales aplicables en SST</x:v>
      </x:c>
      <x:c r="C22" s="22" t="str">
        <x:v>Estructura</x:v>
      </x:c>
      <x:c r="D22" s="22" t="n">
        <x:v>95</x:v>
      </x:c>
      <x:c r="E22" s="22" t="str">
        <x:v>%</x:v>
      </x:c>
    </x:row>
    <x:row r="23">
      <x:c r="A23" s="22" t="str">
        <x:v>E05</x:v>
      </x:c>
      <x:c r="B23" s="22" t="str">
        <x:v>% proveedores y contratistas aprobados en SST</x:v>
      </x:c>
      <x:c r="C23" s="22" t="str">
        <x:v>Estructura</x:v>
      </x:c>
      <x:c r="D23" s="22" t="n">
        <x:v>90</x:v>
      </x:c>
      <x:c r="E23" s="22" t="str">
        <x:v>%</x:v>
      </x:c>
    </x:row>
    <x:row r="24">
      <x:c r="A24" s="22" t="str">
        <x:v>P01</x:v>
      </x:c>
      <x:c r="B24" s="22" t="str">
        <x:v>% ejecución del plan anual de trabajo SG-SST</x:v>
      </x:c>
      <x:c r="C24" s="22" t="str">
        <x:v>Proceso</x:v>
      </x:c>
      <x:c r="D24" s="22" t="n">
        <x:v>90</x:v>
      </x:c>
      <x:c r="E24" s="22" t="str">
        <x:v>%</x:v>
      </x:c>
    </x:row>
    <x:row r="25">
      <x:c r="A25" s="22" t="str">
        <x:v>P02</x:v>
      </x:c>
      <x:c r="B25" s="22" t="str">
        <x:v>% investigaciones de accidentes realizadas oportunamente</x:v>
      </x:c>
      <x:c r="C25" s="22" t="str">
        <x:v>Proceso</x:v>
      </x:c>
      <x:c r="D25" s="22" t="n">
        <x:v>95</x:v>
      </x:c>
      <x:c r="E25" s="22" t="str">
        <x:v>%</x:v>
      </x:c>
    </x:row>
    <x:row r="26">
      <x:c r="A26" s="22" t="str">
        <x:v>P03</x:v>
      </x:c>
      <x:c r="B26" s="22" t="str">
        <x:v>% cierre oportuno de acciones correctivas, preventivas y de mejora</x:v>
      </x:c>
      <x:c r="C26" s="22" t="str">
        <x:v>Proceso</x:v>
      </x:c>
      <x:c r="D26" s="22" t="n">
        <x:v>90</x:v>
      </x:c>
      <x:c r="E26" s="22" t="str">
        <x:v>%</x:v>
      </x:c>
    </x:row>
    <x:row r="27">
      <x:c r="A27" s="22" t="str">
        <x:v>P04</x:v>
      </x:c>
      <x:c r="B27" s="22" t="str">
        <x:v>% inspecciones de seguridad ejecutadas</x:v>
      </x:c>
      <x:c r="C27" s="22" t="str">
        <x:v>Proceso</x:v>
      </x:c>
      <x:c r="D27" s="22" t="n">
        <x:v>90</x:v>
      </x:c>
      <x:c r="E27" s="22" t="str">
        <x:v>%</x:v>
      </x:c>
    </x:row>
    <x:row r="28">
      <x:c r="A28" s="22" t="str">
        <x:v>P05</x:v>
      </x:c>
      <x:c r="B28" s="22" t="str">
        <x:v>% mantenimientos preventivos ejecutados</x:v>
      </x:c>
      <x:c r="C28" s="22" t="str">
        <x:v>Proceso</x:v>
      </x:c>
      <x:c r="D28" s="22" t="n">
        <x:v>90</x:v>
      </x:c>
      <x:c r="E28" s="22" t="str">
        <x:v>%</x:v>
      </x:c>
    </x:row>
    <x:row r="29">
      <x:c r="A29" s="22" t="str">
        <x:v>R01</x:v>
      </x:c>
      <x:c r="B29" s="22" t="str">
        <x:v>Índice de frecuencia de accidentalidad (IF)</x:v>
      </x:c>
      <x:c r="C29" s="22" t="str">
        <x:v>Resultado</x:v>
      </x:c>
      <x:c r="D29" s="22" t="n">
        <x:v>3.5</x:v>
      </x:c>
      <x:c r="E29" s="22" t="str">
        <x:v>Índice</x:v>
      </x:c>
    </x:row>
    <x:row r="30">
      <x:c r="A30" s="22" t="str">
        <x:v>R02</x:v>
      </x:c>
      <x:c r="B30" s="22" t="str">
        <x:v>Índice de severidad de accidentalidad (IS)</x:v>
      </x:c>
      <x:c r="C30" s="22" t="str">
        <x:v>Resultado</x:v>
      </x:c>
      <x:c r="D30" s="22" t="n">
        <x:v>80</x:v>
      </x:c>
      <x:c r="E30" s="22" t="str">
        <x:v>Índice</x:v>
      </x:c>
    </x:row>
    <x:row r="31">
      <x:c r="A31" s="22" t="str">
        <x:v>R03</x:v>
      </x:c>
      <x:c r="B31" s="22" t="str">
        <x:v>Índice de lesión incapacitante (ILI)</x:v>
      </x:c>
      <x:c r="C31" s="22" t="str">
        <x:v>Resultado</x:v>
      </x:c>
      <x:c r="D31" s="22" t="n">
        <x:v>0.25</x:v>
      </x:c>
      <x:c r="E31" s="22" t="str">
        <x:v>Índice</x:v>
      </x:c>
    </x:row>
    <x:row r="32">
      <x:c r="A32" s="22" t="str">
        <x:v>R04</x:v>
      </x:c>
      <x:c r="B32" s="22" t="str">
        <x:v>Tasa de accidentalidad</x:v>
      </x:c>
      <x:c r="C32" s="22" t="str">
        <x:v>Resultado</x:v>
      </x:c>
      <x:c r="D32" s="22" t="n">
        <x:v>0.6</x:v>
      </x:c>
      <x:c r="E32" s="22" t="str">
        <x:v>%</x:v>
      </x:c>
    </x:row>
    <x:row r="33">
      <x:c r="A33" s="22" t="str">
        <x:v>R05</x:v>
      </x:c>
      <x:c r="B33" s="22" t="str">
        <x:v>Prevalencia de enfermedad laboral</x:v>
      </x:c>
      <x:c r="C33" s="22" t="str">
        <x:v>Resultado</x:v>
      </x:c>
      <x:c r="D33" s="22" t="n">
        <x:v>0.3</x:v>
      </x:c>
      <x:c r="E33" s="22" t="str">
        <x:v>%</x:v>
      </x:c>
    </x:row>
    <x:row r="34">
      <x:c r="A34" s="22" t="str">
        <x:v>R06</x:v>
      </x:c>
      <x:c r="B34" s="22" t="str">
        <x:v>% cumplimiento de estándares mínimos Res. 0312 de 2019</x:v>
      </x:c>
      <x:c r="C34" s="22" t="str">
        <x:v>Resultado</x:v>
      </x:c>
      <x:c r="D34" s="22" t="n">
        <x:v>95</x:v>
      </x:c>
      <x:c r="E34" s="22" t="str">
        <x:v>%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8.210000038146973" hidden="0" customWidth="1"/>
    <x:col min="3" max="3" width="28" hidden="0" customWidth="1"/>
    <x:col min="4" max="4" width="40" hidden="0" customWidth="1"/>
    <x:col min="5" max="5" width="40" hidden="0" customWidth="1"/>
    <x:col min="6" max="6" width="40" hidden="0" customWidth="1"/>
    <x:col min="7" max="7" width="5.789999961853027" hidden="0" customWidth="1"/>
    <x:col min="8" max="8" width="8.75" hidden="0" customWidth="1"/>
    <x:col min="9" max="9" width="4.440000057220459" hidden="0" customWidth="1"/>
    <x:col min="10" max="10" width="12.789999961853027" hidden="0" customWidth="1"/>
    <x:col min="11" max="11" width="28" hidden="0" customWidth="1"/>
    <x:col min="12" max="12" width="28" hidden="0" customWidth="1"/>
    <x:col min="13" max="13" width="40" hidden="0" customWidth="1"/>
    <x:col min="14" max="14" width="40" hidden="0" customWidth="1"/>
  </x:cols>
  <x:sheetData>
    <x:row r="1">
      <x:c r="A1" s="4" t="str">
        <x:v>Ficha técnica de indicadores de gestión del SG-SST</x:v>
      </x:c>
    </x:row>
    <x:row r="3" ht="32" customHeight="1">
      <x:c r="A3" s="25" t="str">
        <x:v>Código</x:v>
      </x:c>
      <x:c r="B3" s="25" t="str">
        <x:v>Tipo</x:v>
      </x:c>
      <x:c r="C3" s="25" t="str">
        <x:v>Indicador</x:v>
      </x:c>
      <x:c r="D3" s="25" t="str">
        <x:v>Objetivo</x:v>
      </x:c>
      <x:c r="E3" s="25" t="str">
        <x:v>Definición</x:v>
      </x:c>
      <x:c r="F3" s="25" t="str">
        <x:v>Fórmula</x:v>
      </x:c>
      <x:c r="G3" s="25" t="str">
        <x:v>Unidad</x:v>
      </x:c>
      <x:c r="H3" s="25" t="str">
        <x:v>Frecuencia</x:v>
      </x:c>
      <x:c r="I3" s="25" t="str">
        <x:v>Meta</x:v>
      </x:c>
      <x:c r="J3" s="25" t="str">
        <x:v>Sentido</x:v>
      </x:c>
      <x:c r="K3" s="25" t="str">
        <x:v>Responsable</x:v>
      </x:c>
      <x:c r="L3" s="25" t="str">
        <x:v>Fuente de información</x:v>
      </x:c>
      <x:c r="M3" s="25" t="str">
        <x:v>Marco normativo</x:v>
      </x:c>
      <x:c r="N3" s="25" t="str">
        <x:v>Observaciones</x:v>
      </x:c>
    </x:row>
    <x:row r="4" ht="32" customHeight="1">
      <x:c r="A4" s="22" t="str">
        <x:v>E01</x:v>
      </x:c>
      <x:c r="B4" s="22" t="str">
        <x:v>Estructura</x:v>
      </x:c>
      <x:c r="C4" s="22" t="str">
        <x:v>% ejecución presupuestal del SG-SST</x:v>
      </x:c>
      <x:c r="D4" s="22" t="str">
        <x:v>Medir el nivel de ejecución del presupuesto asignado al SG-SST frente a lo programado.</x:v>
      </x:c>
      <x:c r="E4" s="22" t="str">
        <x:v>Relación porcentual entre el valor ejecutado y el valor presupuestado del SG-SST en el periodo.</x:v>
      </x:c>
      <x:c r="F4" s="22" t="str">
        <x:v>(Valor ejecutado / Valor presupuestado) x 100</x:v>
      </x:c>
      <x:c r="G4" s="22" t="str">
        <x:v>%</x:v>
      </x:c>
      <x:c r="H4" s="22" t="str">
        <x:v>Mensual</x:v>
      </x:c>
      <x:c r="I4" s="40" t="n">
        <x:v>95</x:v>
      </x:c>
      <x:c r="J4" s="22" t="str">
        <x:v>Mayor es mejor</x:v>
      </x:c>
      <x:c r="K4" s="22" t="str">
        <x:v>Líder SG-SST / Dirección Administrativa</x:v>
      </x:c>
      <x:c r="L4" s="22" t="str">
        <x:v>Presupuesto SST</x:v>
      </x:c>
      <x:c r="M4" s="22" t="str">
        <x:v>Decreto 1072 de 2015, Art. 2.2.4.6.8 y 2.2.4.6.19</x:v>
      </x:c>
      <x:c r="N4" s="22" t="str">
        <x:v>Indicador sugerido y trazable para la gestión integral del SG-SST.</x:v>
      </x:c>
    </x:row>
    <x:row r="5" ht="32" customHeight="1">
      <x:c r="A5" s="22" t="str">
        <x:v>E02</x:v>
      </x:c>
      <x:c r="B5" s="22" t="str">
        <x:v>Estructura</x:v>
      </x:c>
      <x:c r="C5" s="22" t="str">
        <x:v>% cobertura del plan de formación y capacitación SG-SST</x:v>
      </x:c>
      <x:c r="D5" s="22" t="str">
        <x:v>Medir la cobertura de las actividades de formación programadas para trabajadores y contratistas.</x:v>
      </x:c>
      <x:c r="E5" s="22" t="str">
        <x:v>Porcentaje de asistentes reales frente al total de personas invitadas a actividades del plan de formación.</x:v>
      </x:c>
      <x:c r="F5" s="22" t="str">
        <x:v>(N.º asistentes / N.º invitados) x 100</x:v>
      </x:c>
      <x:c r="G5" s="22" t="str">
        <x:v>%</x:v>
      </x:c>
      <x:c r="H5" s="22" t="str">
        <x:v>Mensual</x:v>
      </x:c>
      <x:c r="I5" s="40" t="n">
        <x:v>90</x:v>
      </x:c>
      <x:c r="J5" s="22" t="str">
        <x:v>Mayor es mejor</x:v>
      </x:c>
      <x:c r="K5" s="22" t="str">
        <x:v>Líder SG-SST / Talento Humano</x:v>
      </x:c>
      <x:c r="L5" s="22" t="str">
        <x:v>Plan de formación y capacitaciones</x:v>
      </x:c>
      <x:c r="M5" s="22" t="str">
        <x:v>Decreto 1072 de 2015, Art. 2.2.4.6.11 y 2.2.4.6.19</x:v>
      </x:c>
      <x:c r="N5" s="22" t="str">
        <x:v>Indicador sugerido y trazable para la gestión integral del SG-SST.</x:v>
      </x:c>
    </x:row>
    <x:row r="6" ht="32" customHeight="1">
      <x:c r="A6" s="22" t="str">
        <x:v>E03</x:v>
      </x:c>
      <x:c r="B6" s="22" t="str">
        <x:v>Estructura</x:v>
      </x:c>
      <x:c r="C6" s="22" t="str">
        <x:v>% trabajadores con exámenes médicos ocupacionales vigentes</x:v>
      </x:c>
      <x:c r="D6" s="22" t="str">
        <x:v>Verificar la cobertura de exámenes médicos ocupacionales vigentes frente al total de trabajadores.</x:v>
      </x:c>
      <x:c r="E6" s="22" t="str">
        <x:v>Porcentaje de trabajadores con examen médico ocupacional vigente sobre el total de trabajadores activos.</x:v>
      </x:c>
      <x:c r="F6" s="22" t="str">
        <x:v>(Trabajadores con EMO vigente / Total trabajadores activos) x 100</x:v>
      </x:c>
      <x:c r="G6" s="22" t="str">
        <x:v>%</x:v>
      </x:c>
      <x:c r="H6" s="22" t="str">
        <x:v>Mensual</x:v>
      </x:c>
      <x:c r="I6" s="40" t="n">
        <x:v>95</x:v>
      </x:c>
      <x:c r="J6" s="22" t="str">
        <x:v>Mayor es mejor</x:v>
      </x:c>
      <x:c r="K6" s="22" t="str">
        <x:v>Líder SG-SST / Talento Humano</x:v>
      </x:c>
      <x:c r="L6" s="22" t="str">
        <x:v>Matriz de seguimiento EMO</x:v>
      </x:c>
      <x:c r="M6" s="22" t="str">
        <x:v>Decreto 1072 de 2015, Art. 2.2.4.6.12 y 2.2.4.6.19</x:v>
      </x:c>
      <x:c r="N6" s="22" t="str">
        <x:v>Indicador sugerido y trazable para la gestión integral del SG-SST.</x:v>
      </x:c>
    </x:row>
    <x:row r="7" ht="32" customHeight="1">
      <x:c r="A7" s="22" t="str">
        <x:v>E04</x:v>
      </x:c>
      <x:c r="B7" s="22" t="str">
        <x:v>Estructura</x:v>
      </x:c>
      <x:c r="C7" s="22" t="str">
        <x:v>% cumplimiento de requisitos legales aplicables en SST</x:v>
      </x:c>
      <x:c r="D7" s="22" t="str">
        <x:v>Evaluar el cumplimiento de la normatividad SST aplicable a la organización.</x:v>
      </x:c>
      <x:c r="E7" s="22" t="str">
        <x:v>Porcentaje de requisitos legales SST cumplidos frente al total de requisitos aplicables.</x:v>
      </x:c>
      <x:c r="F7" s="22" t="str">
        <x:v>(Requisitos cumplidos / Requisitos aplicables) x 100</x:v>
      </x:c>
      <x:c r="G7" s="22" t="str">
        <x:v>%</x:v>
      </x:c>
      <x:c r="H7" s="22" t="str">
        <x:v>Mensual</x:v>
      </x:c>
      <x:c r="I7" s="40" t="n">
        <x:v>95</x:v>
      </x:c>
      <x:c r="J7" s="22" t="str">
        <x:v>Mayor es mejor</x:v>
      </x:c>
      <x:c r="K7" s="22" t="str">
        <x:v>Líder SG-SST / Jurídica</x:v>
      </x:c>
      <x:c r="L7" s="22" t="str">
        <x:v>Matriz legal SGRL</x:v>
      </x:c>
      <x:c r="M7" s="22" t="str">
        <x:v>Decreto 1072 de 2015, Art. 2.2.4.6.8, 2.2.4.6.13 y 2.2.4.6.19</x:v>
      </x:c>
      <x:c r="N7" s="22" t="str">
        <x:v>Indicador sugerido y trazable para la gestión integral del SG-SST.</x:v>
      </x:c>
    </x:row>
    <x:row r="8" ht="32" customHeight="1">
      <x:c r="A8" s="22" t="str">
        <x:v>E05</x:v>
      </x:c>
      <x:c r="B8" s="22" t="str">
        <x:v>Estructura</x:v>
      </x:c>
      <x:c r="C8" s="22" t="str">
        <x:v>% proveedores y contratistas aprobados en SST</x:v>
      </x:c>
      <x:c r="D8" s="22" t="str">
        <x:v>Controlar el nivel de cumplimiento SST de proveedores y contratistas vinculados.</x:v>
      </x:c>
      <x:c r="E8" s="22" t="str">
        <x:v>Porcentaje de proveedores/contratistas con cumplimiento SST aprobado frente al total evaluado.</x:v>
      </x:c>
      <x:c r="F8" s="22" t="str">
        <x:v>(Proveedores aprobados / Proveedores evaluados) x 100</x:v>
      </x:c>
      <x:c r="G8" s="22" t="str">
        <x:v>%</x:v>
      </x:c>
      <x:c r="H8" s="22" t="str">
        <x:v>Mensual</x:v>
      </x:c>
      <x:c r="I8" s="40" t="n">
        <x:v>90</x:v>
      </x:c>
      <x:c r="J8" s="22" t="str">
        <x:v>Mayor es mejor</x:v>
      </x:c>
      <x:c r="K8" s="22" t="str">
        <x:v>Compras / Líder SG-SST</x:v>
      </x:c>
      <x:c r="L8" s="22" t="str">
        <x:v>Gestión de proveedores y contratistas</x:v>
      </x:c>
      <x:c r="M8" s="22" t="str">
        <x:v>Decreto 1072 de 2015, Art. 2.2.4.6.28 y 2.2.4.6.19</x:v>
      </x:c>
      <x:c r="N8" s="22" t="str">
        <x:v>Indicador sugerido y trazable para la gestión integral del SG-SST.</x:v>
      </x:c>
    </x:row>
    <x:row r="9" ht="32" customHeight="1">
      <x:c r="A9" s="22" t="str">
        <x:v>P01</x:v>
      </x:c>
      <x:c r="B9" s="22" t="str">
        <x:v>Proceso</x:v>
      </x:c>
      <x:c r="C9" s="22" t="str">
        <x:v>% ejecución del plan anual de trabajo SG-SST</x:v>
      </x:c>
      <x:c r="D9" s="22" t="str">
        <x:v>Medir el grado de desarrollo del plan anual de trabajo del SG-SST.</x:v>
      </x:c>
      <x:c r="E9" s="22" t="str">
        <x:v>Porcentaje de actividades ejecutadas frente a actividades programadas a la fecha.</x:v>
      </x:c>
      <x:c r="F9" s="22" t="str">
        <x:v>(Actividades ejecutadas / Actividades programadas) x 100</x:v>
      </x:c>
      <x:c r="G9" s="22" t="str">
        <x:v>%</x:v>
      </x:c>
      <x:c r="H9" s="22" t="str">
        <x:v>Mensual</x:v>
      </x:c>
      <x:c r="I9" s="40" t="n">
        <x:v>90</x:v>
      </x:c>
      <x:c r="J9" s="22" t="str">
        <x:v>Mayor es mejor</x:v>
      </x:c>
      <x:c r="K9" s="22" t="str">
        <x:v>Líder SG-SST</x:v>
      </x:c>
      <x:c r="L9" s="22" t="str">
        <x:v>Plan anual de trabajo PHVA</x:v>
      </x:c>
      <x:c r="M9" s="22" t="str">
        <x:v>Decreto 1072 de 2015, Art. 2.2.4.6.17 y 2.2.4.6.19</x:v>
      </x:c>
      <x:c r="N9" s="22" t="str">
        <x:v>Indicador sugerido y trazable para la gestión integral del SG-SST.</x:v>
      </x:c>
    </x:row>
    <x:row r="10" ht="32" customHeight="1">
      <x:c r="A10" s="22" t="str">
        <x:v>P02</x:v>
      </x:c>
      <x:c r="B10" s="22" t="str">
        <x:v>Proceso</x:v>
      </x:c>
      <x:c r="C10" s="22" t="str">
        <x:v>% investigaciones de accidentes realizadas oportunamente</x:v>
      </x:c>
      <x:c r="D10" s="22" t="str">
        <x:v>Controlar la oportunidad de las investigaciones de accidentes de trabajo.</x:v>
      </x:c>
      <x:c r="E10" s="22" t="str">
        <x:v>Porcentaje de investigaciones de accidentes realizadas dentro del plazo definido frente al total de accidentes investigables.</x:v>
      </x:c>
      <x:c r="F10" s="22" t="str">
        <x:v>(Investigaciones oportunas / Accidentes investigables) x 100</x:v>
      </x:c>
      <x:c r="G10" s="22" t="str">
        <x:v>%</x:v>
      </x:c>
      <x:c r="H10" s="22" t="str">
        <x:v>Mensual</x:v>
      </x:c>
      <x:c r="I10" s="40" t="n">
        <x:v>95</x:v>
      </x:c>
      <x:c r="J10" s="22" t="str">
        <x:v>Mayor es mejor</x:v>
      </x:c>
      <x:c r="K10" s="22" t="str">
        <x:v>Líder SG-SST / COPASST</x:v>
      </x:c>
      <x:c r="L10" s="22" t="str">
        <x:v>Matriz de accidentalidad</x:v>
      </x:c>
      <x:c r="M10" s="22" t="str">
        <x:v>Resolución 1401 de 2007 y Decreto 1072 de 2015, Art. 2.2.4.6.19</x:v>
      </x:c>
      <x:c r="N10" s="22" t="str">
        <x:v>Indicador sugerido y trazable para la gestión integral del SG-SST.</x:v>
      </x:c>
    </x:row>
    <x:row r="11" ht="32" customHeight="1">
      <x:c r="A11" s="22" t="str">
        <x:v>P03</x:v>
      </x:c>
      <x:c r="B11" s="22" t="str">
        <x:v>Proceso</x:v>
      </x:c>
      <x:c r="C11" s="22" t="str">
        <x:v>% cierre oportuno de acciones correctivas, preventivas y de mejora</x:v>
      </x:c>
      <x:c r="D11" s="22" t="str">
        <x:v>Monitorear la eficacia del proceso de mejora continua del SG-SST.</x:v>
      </x:c>
      <x:c r="E11" s="22" t="str">
        <x:v>Porcentaje de acciones cerradas dentro del plazo frente al total de acciones con vencimiento en el periodo.</x:v>
      </x:c>
      <x:c r="F11" s="22" t="str">
        <x:v>(Acciones cerradas oportunamente / Acciones vencían en el periodo) x 100</x:v>
      </x:c>
      <x:c r="G11" s="22" t="str">
        <x:v>%</x:v>
      </x:c>
      <x:c r="H11" s="22" t="str">
        <x:v>Mensual</x:v>
      </x:c>
      <x:c r="I11" s="40" t="n">
        <x:v>90</x:v>
      </x:c>
      <x:c r="J11" s="22" t="str">
        <x:v>Mayor es mejor</x:v>
      </x:c>
      <x:c r="K11" s="22" t="str">
        <x:v>Líder SG-SST / Responsables de proceso</x:v>
      </x:c>
      <x:c r="L11" s="22" t="str">
        <x:v>Matriz APCM</x:v>
      </x:c>
      <x:c r="M11" s="22" t="str">
        <x:v>Decreto 1072 de 2015, Art. 2.2.4.6.34 y 2.2.4.6.19</x:v>
      </x:c>
      <x:c r="N11" s="22" t="str">
        <x:v>Indicador sugerido y trazable para la gestión integral del SG-SST.</x:v>
      </x:c>
    </x:row>
    <x:row r="12" ht="32" customHeight="1">
      <x:c r="A12" s="22" t="str">
        <x:v>P04</x:v>
      </x:c>
      <x:c r="B12" s="22" t="str">
        <x:v>Proceso</x:v>
      </x:c>
      <x:c r="C12" s="22" t="str">
        <x:v>% inspecciones de seguridad ejecutadas</x:v>
      </x:c>
      <x:c r="D12" s="22" t="str">
        <x:v>Verificar el desarrollo del programa de inspecciones planificadas.</x:v>
      </x:c>
      <x:c r="E12" s="22" t="str">
        <x:v>Porcentaje de inspecciones de seguridad ejecutadas frente al total planeado a la fecha.</x:v>
      </x:c>
      <x:c r="F12" s="22" t="str">
        <x:v>(Inspecciones ejecutadas / Inspecciones programadas) x 100</x:v>
      </x:c>
      <x:c r="G12" s="22" t="str">
        <x:v>%</x:v>
      </x:c>
      <x:c r="H12" s="22" t="str">
        <x:v>Mensual</x:v>
      </x:c>
      <x:c r="I12" s="40" t="n">
        <x:v>90</x:v>
      </x:c>
      <x:c r="J12" s="22" t="str">
        <x:v>Mayor es mejor</x:v>
      </x:c>
      <x:c r="K12" s="22" t="str">
        <x:v>Líder SG-SST / Supervisores</x:v>
      </x:c>
      <x:c r="L12" s="22" t="str">
        <x:v>Programa de inspecciones</x:v>
      </x:c>
      <x:c r="M12" s="22" t="str">
        <x:v>Decreto 1072 de 2015, Art. 2.2.4.6.15 y 2.2.4.6.19</x:v>
      </x:c>
      <x:c r="N12" s="22" t="str">
        <x:v>Indicador sugerido y trazable para la gestión integral del SG-SST.</x:v>
      </x:c>
    </x:row>
    <x:row r="13" ht="32" customHeight="1">
      <x:c r="A13" s="22" t="str">
        <x:v>P05</x:v>
      </x:c>
      <x:c r="B13" s="22" t="str">
        <x:v>Proceso</x:v>
      </x:c>
      <x:c r="C13" s="22" t="str">
        <x:v>% mantenimientos preventivos ejecutados</x:v>
      </x:c>
      <x:c r="D13" s="22" t="str">
        <x:v>Medir el cumplimiento del programa de mantenimiento preventivo relacionado con SST.</x:v>
      </x:c>
      <x:c r="E13" s="22" t="str">
        <x:v>Porcentaje de mantenimientos preventivos ejecutados frente al total programado en el periodo.</x:v>
      </x:c>
      <x:c r="F13" s="22" t="str">
        <x:v>(Mantenimientos ejecutados / Mantenimientos programados) x 100</x:v>
      </x:c>
      <x:c r="G13" s="22" t="str">
        <x:v>%</x:v>
      </x:c>
      <x:c r="H13" s="22" t="str">
        <x:v>Mensual</x:v>
      </x:c>
      <x:c r="I13" s="40" t="n">
        <x:v>90</x:v>
      </x:c>
      <x:c r="J13" s="22" t="str">
        <x:v>Mayor es mejor</x:v>
      </x:c>
      <x:c r="K13" s="22" t="str">
        <x:v>Mantenimiento / Líder SG-SST</x:v>
      </x:c>
      <x:c r="L13" s="22" t="str">
        <x:v>Programa de mantenimiento preventivo</x:v>
      </x:c>
      <x:c r="M13" s="22" t="str">
        <x:v>Decreto 1072 de 2015, Art. 2.2.4.6.24 y 2.2.4.6.19</x:v>
      </x:c>
      <x:c r="N13" s="22" t="str">
        <x:v>Indicador sugerido y trazable para la gestión integral del SG-SST.</x:v>
      </x:c>
    </x:row>
    <x:row r="14" ht="32" customHeight="1">
      <x:c r="A14" s="22" t="str">
        <x:v>R01</x:v>
      </x:c>
      <x:c r="B14" s="22" t="str">
        <x:v>Resultado</x:v>
      </x:c>
      <x:c r="C14" s="22" t="str">
        <x:v>Índice de frecuencia de accidentalidad (IF)</x:v>
      </x:c>
      <x:c r="D14" s="22" t="str">
        <x:v>Medir la frecuencia de los accidentes de trabajo con relación al tiempo trabajado.</x:v>
      </x:c>
      <x:c r="E14" s="22" t="str">
        <x:v>Número de accidentes de trabajo ocurridos en el periodo por cada 200.000 horas hombre trabajadas.</x:v>
      </x:c>
      <x:c r="F14" s="22" t="str">
        <x:v>(N.º accidentes de trabajo x 200.000) / Horas hombre trabajadas</x:v>
      </x:c>
      <x:c r="G14" s="22" t="str">
        <x:v>Índice</x:v>
      </x:c>
      <x:c r="H14" s="22" t="str">
        <x:v>Mensual</x:v>
      </x:c>
      <x:c r="I14" s="40" t="n">
        <x:v>3.5</x:v>
      </x:c>
      <x:c r="J14" s="22" t="str">
        <x:v>Menor es mejor</x:v>
      </x:c>
      <x:c r="K14" s="22" t="str">
        <x:v>Líder SG-SST</x:v>
      </x:c>
      <x:c r="L14" s="22" t="str">
        <x:v>Matriz de accidentalidad / nómina</x:v>
      </x:c>
      <x:c r="M14" s="22" t="str">
        <x:v>Decreto 1072 de 2015, Art. 2.2.4.6.19</x:v>
      </x:c>
      <x:c r="N14" s="22" t="str">
        <x:v>Indicador sugerido y trazable para la gestión integral del SG-SST.</x:v>
      </x:c>
    </x:row>
    <x:row r="15" ht="32" customHeight="1">
      <x:c r="A15" s="22" t="str">
        <x:v>R02</x:v>
      </x:c>
      <x:c r="B15" s="22" t="str">
        <x:v>Resultado</x:v>
      </x:c>
      <x:c r="C15" s="22" t="str">
        <x:v>Índice de severidad de accidentalidad (IS)</x:v>
      </x:c>
      <x:c r="D15" s="22" t="str">
        <x:v>Medir la severidad de los accidentes de trabajo con base en los días perdidos.</x:v>
      </x:c>
      <x:c r="E15" s="22" t="str">
        <x:v>Número de días perdidos por accidentes de trabajo en el periodo por cada 200.000 horas hombre trabajadas.</x:v>
      </x:c>
      <x:c r="F15" s="22" t="str">
        <x:v>(Días perdidos por AT x 200.000) / Horas hombre trabajadas</x:v>
      </x:c>
      <x:c r="G15" s="22" t="str">
        <x:v>Índice</x:v>
      </x:c>
      <x:c r="H15" s="22" t="str">
        <x:v>Mensual</x:v>
      </x:c>
      <x:c r="I15" s="40" t="n">
        <x:v>80</x:v>
      </x:c>
      <x:c r="J15" s="22" t="str">
        <x:v>Menor es mejor</x:v>
      </x:c>
      <x:c r="K15" s="22" t="str">
        <x:v>Líder SG-SST</x:v>
      </x:c>
      <x:c r="L15" s="22" t="str">
        <x:v>Matriz de accidentalidad / nómina</x:v>
      </x:c>
      <x:c r="M15" s="22" t="str">
        <x:v>Decreto 1072 de 2015, Art. 2.2.4.6.19</x:v>
      </x:c>
      <x:c r="N15" s="22" t="str">
        <x:v>Indicador sugerido y trazable para la gestión integral del SG-SST.</x:v>
      </x:c>
    </x:row>
    <x:row r="16" ht="32" customHeight="1">
      <x:c r="A16" s="22" t="str">
        <x:v>R03</x:v>
      </x:c>
      <x:c r="B16" s="22" t="str">
        <x:v>Resultado</x:v>
      </x:c>
      <x:c r="C16" s="22" t="str">
        <x:v>Índice de lesión incapacitante (ILI)</x:v>
      </x:c>
      <x:c r="D16" s="22" t="str">
        <x:v>Integrar la frecuencia y severidad de los accidentes en un solo indicador.</x:v>
      </x:c>
      <x:c r="E16" s="22" t="str">
        <x:v>Producto del índice de frecuencia por el índice de severidad dividido entre 1.000.</x:v>
      </x:c>
      <x:c r="F16" s="22" t="str">
        <x:v>(IF x IS) / 1.000</x:v>
      </x:c>
      <x:c r="G16" s="22" t="str">
        <x:v>Índice</x:v>
      </x:c>
      <x:c r="H16" s="22" t="str">
        <x:v>Mensual</x:v>
      </x:c>
      <x:c r="I16" s="40" t="n">
        <x:v>0.25</x:v>
      </x:c>
      <x:c r="J16" s="22" t="str">
        <x:v>Menor es mejor</x:v>
      </x:c>
      <x:c r="K16" s="22" t="str">
        <x:v>Líder SG-SST</x:v>
      </x:c>
      <x:c r="L16" s="22" t="str">
        <x:v>Indicadores derivados de accidentalidad</x:v>
      </x:c>
      <x:c r="M16" s="22" t="str">
        <x:v>Decreto 1072 de 2015, Art. 2.2.4.6.19</x:v>
      </x:c>
      <x:c r="N16" s="22" t="str">
        <x:v>Indicador derivado de IF e IS.</x:v>
      </x:c>
    </x:row>
    <x:row r="17" ht="32" customHeight="1">
      <x:c r="A17" s="22" t="str">
        <x:v>R04</x:v>
      </x:c>
      <x:c r="B17" s="22" t="str">
        <x:v>Resultado</x:v>
      </x:c>
      <x:c r="C17" s="22" t="str">
        <x:v>Tasa de accidentalidad</x:v>
      </x:c>
      <x:c r="D17" s="22" t="str">
        <x:v>Medir la incidencia de accidentes de trabajo en la población trabajadora.</x:v>
      </x:c>
      <x:c r="E17" s="22" t="str">
        <x:v>Porcentaje de accidentes de trabajo sobre el promedio de trabajadores del periodo.</x:v>
      </x:c>
      <x:c r="F17" s="22" t="str">
        <x:v>(N.º accidentes de trabajo / Promedio de trabajadores) x 100</x:v>
      </x:c>
      <x:c r="G17" s="22" t="str">
        <x:v>%</x:v>
      </x:c>
      <x:c r="H17" s="22" t="str">
        <x:v>Mensual</x:v>
      </x:c>
      <x:c r="I17" s="40" t="n">
        <x:v>0.6</x:v>
      </x:c>
      <x:c r="J17" s="22" t="str">
        <x:v>Menor es mejor</x:v>
      </x:c>
      <x:c r="K17" s="22" t="str">
        <x:v>Líder SG-SST</x:v>
      </x:c>
      <x:c r="L17" s="22" t="str">
        <x:v>Matriz de accidentalidad / nómina</x:v>
      </x:c>
      <x:c r="M17" s="22" t="str">
        <x:v>Decreto 1072 de 2015, Art. 2.2.4.6.19</x:v>
      </x:c>
      <x:c r="N17" s="22" t="str">
        <x:v>Indicador sugerido y trazable para la gestión integral del SG-SST.</x:v>
      </x:c>
    </x:row>
    <x:row r="18" ht="32" customHeight="1">
      <x:c r="A18" s="22" t="str">
        <x:v>R05</x:v>
      </x:c>
      <x:c r="B18" s="22" t="str">
        <x:v>Resultado</x:v>
      </x:c>
      <x:c r="C18" s="22" t="str">
        <x:v>Prevalencia de enfermedad laboral</x:v>
      </x:c>
      <x:c r="D18" s="22" t="str">
        <x:v>Medir la proporción de casos de enfermedad laboral frente a la población trabajadora.</x:v>
      </x:c>
      <x:c r="E18" s="22" t="str">
        <x:v>Porcentaje de casos activos o confirmados de enfermedad laboral sobre el promedio de trabajadores del periodo.</x:v>
      </x:c>
      <x:c r="F18" s="22" t="str">
        <x:v>(Casos de enfermedad laboral / Promedio de trabajadores) x 100</x:v>
      </x:c>
      <x:c r="G18" s="22" t="str">
        <x:v>%</x:v>
      </x:c>
      <x:c r="H18" s="22" t="str">
        <x:v>Mensual</x:v>
      </x:c>
      <x:c r="I18" s="40" t="n">
        <x:v>0.3</x:v>
      </x:c>
      <x:c r="J18" s="22" t="str">
        <x:v>Menor es mejor</x:v>
      </x:c>
      <x:c r="K18" s="22" t="str">
        <x:v>Líder SG-SST / Medicina laboral</x:v>
      </x:c>
      <x:c r="L18" s="22" t="str">
        <x:v>Matriz de enfermedad laboral / nómina</x:v>
      </x:c>
      <x:c r="M18" s="22" t="str">
        <x:v>Decreto 1072 de 2015, Art. 2.2.4.6.19</x:v>
      </x:c>
      <x:c r="N18" s="22" t="str">
        <x:v>Indicador sugerido y trazable para la gestión integral del SG-SST.</x:v>
      </x:c>
    </x:row>
    <x:row r="19" ht="32" customHeight="1">
      <x:c r="A19" s="22" t="str">
        <x:v>R06</x:v>
      </x:c>
      <x:c r="B19" s="22" t="str">
        <x:v>Resultado</x:v>
      </x:c>
      <x:c r="C19" s="22" t="str">
        <x:v>% cumplimiento de estándares mínimos Res. 0312 de 2019</x:v>
      </x:c>
      <x:c r="D19" s="22" t="str">
        <x:v>Evaluar el nivel global de cumplimiento del SG-SST frente a los estándares mínimos.</x:v>
      </x:c>
      <x:c r="E19" s="22" t="str">
        <x:v>Puntaje obtenido en el autodiagnóstico de estándares mínimos sobre el puntaje máximo posible.</x:v>
      </x:c>
      <x:c r="F19" s="22" t="str">
        <x:v>(Puntaje obtenido / Puntaje máximo) x 100</x:v>
      </x:c>
      <x:c r="G19" s="22" t="str">
        <x:v>%</x:v>
      </x:c>
      <x:c r="H19" s="22" t="str">
        <x:v>Mensual</x:v>
      </x:c>
      <x:c r="I19" s="40" t="n">
        <x:v>95</x:v>
      </x:c>
      <x:c r="J19" s="22" t="str">
        <x:v>Mayor es mejor</x:v>
      </x:c>
      <x:c r="K19" s="22" t="str">
        <x:v>Líder SG-SST / Alta Dirección</x:v>
      </x:c>
      <x:c r="L19" s="22" t="str">
        <x:v>Autodiagnóstico Res. 0312 de 2019</x:v>
      </x:c>
      <x:c r="M19" s="22" t="str">
        <x:v>Resolución 0312 de 2019 y Decreto 1072 de 2015</x:v>
      </x:c>
      <x:c r="N19" s="22" t="str">
        <x:v>Indicador sugerido y trazable para la gestión integral del SG-SST.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Plantilla editable de medición de indicadores SG-SST</x:v>
      </x:c>
    </x:row>
    <x:row r="2">
      <x:c r="A2" s="9" t="str">
        <x:v>Los resultados se calculan automáticamente a partir de Base_1, Base_2 y Factor. 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46173</x:v>
      </x:c>
      <x:c r="B5" s="22" t="n">
        <x:v>2026</x:v>
      </x:c>
      <x:c r="C5" s="22" t="str">
        <x:v>Mayo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str"/>
      <x:c r="K5" s="40" t="str"/>
      <x:c r="L5" s="40" t="str"/>
      <x:c r="M5" s="40" t="str">
        <x:f>IF(OR(J5="",K5="",K5=0),"",J5/K5*L5)</x:f>
      </x:c>
      <x:c r="N5" s="22" t="str">
        <x:f>IF(M5="","",IF(I5="Mayor es mejor",IF(M5&gt;=H5,"En meta",IF(M5&gt;=H5*0.9,"Alerta","Crítico")),IF(M5&lt;=H5,"En meta",IF(M5&lt;=H5*1.1,"Alerta","Crítico"))))</x:f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>
        <x:v>Registrar aquí la medición real.</x:v>
      </x:c>
    </x:row>
    <x:row r="6">
      <x:c r="A6" s="46" t="n">
        <x:v>46173</x:v>
      </x:c>
      <x:c r="B6" s="22" t="n">
        <x:v>2026</x:v>
      </x:c>
      <x:c r="C6" s="22" t="str">
        <x:v>Mayo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str"/>
      <x:c r="K6" s="40" t="str"/>
      <x:c r="L6" s="40" t="str"/>
      <x:c r="M6" s="40" t="str">
        <x:f>IF(OR(J6="",K6="",K6=0),"",J6/K6*L6)</x:f>
      </x:c>
      <x:c r="N6" s="22" t="str">
        <x:f>IF(M6="","",IF(I6="Mayor es mejor",IF(M6&gt;=H6,"En meta",IF(M6&gt;=H6*0.9,"Alerta","Crítico")),IF(M6&lt;=H6,"En meta",IF(M6&lt;=H6*1.1,"Alerta","Crítico"))))</x:f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>
        <x:v>Registrar aquí la medición real.</x:v>
      </x:c>
    </x:row>
    <x:row r="7">
      <x:c r="A7" s="46" t="n">
        <x:v>46173</x:v>
      </x:c>
      <x:c r="B7" s="22" t="n">
        <x:v>2026</x:v>
      </x:c>
      <x:c r="C7" s="22" t="str">
        <x:v>Mayo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str"/>
      <x:c r="K7" s="40" t="str"/>
      <x:c r="L7" s="40" t="str"/>
      <x:c r="M7" s="40" t="str">
        <x:f>IF(OR(J7="",K7="",K7=0),"",J7/K7*L7)</x:f>
      </x:c>
      <x:c r="N7" s="22" t="str">
        <x:f>IF(M7="","",IF(I7="Mayor es mejor",IF(M7&gt;=H7,"En meta",IF(M7&gt;=H7*0.9,"Alerta","Crítico")),IF(M7&lt;=H7,"En meta",IF(M7&lt;=H7*1.1,"Alerta","Crítico"))))</x:f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>
        <x:v>Registrar aquí la medición real.</x:v>
      </x:c>
    </x:row>
    <x:row r="8">
      <x:c r="A8" s="46" t="n">
        <x:v>46173</x:v>
      </x:c>
      <x:c r="B8" s="22" t="n">
        <x:v>2026</x:v>
      </x:c>
      <x:c r="C8" s="22" t="str">
        <x:v>Mayo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str"/>
      <x:c r="K8" s="40" t="str"/>
      <x:c r="L8" s="40" t="str"/>
      <x:c r="M8" s="40" t="str">
        <x:f>IF(OR(J8="",K8="",K8=0),"",J8/K8*L8)</x:f>
      </x:c>
      <x:c r="N8" s="22" t="str">
        <x:f>IF(M8="","",IF(I8="Mayor es mejor",IF(M8&gt;=H8,"En meta",IF(M8&gt;=H8*0.9,"Alerta","Crítico")),IF(M8&lt;=H8,"En meta",IF(M8&lt;=H8*1.1,"Alerta","Crítico"))))</x:f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>
        <x:v>Registrar aquí la medición real.</x:v>
      </x:c>
    </x:row>
    <x:row r="9">
      <x:c r="A9" s="46" t="n">
        <x:v>46173</x:v>
      </x:c>
      <x:c r="B9" s="22" t="n">
        <x:v>2026</x:v>
      </x:c>
      <x:c r="C9" s="22" t="str">
        <x:v>Mayo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str"/>
      <x:c r="K9" s="40" t="str"/>
      <x:c r="L9" s="40" t="str"/>
      <x:c r="M9" s="40" t="str">
        <x:f>IF(OR(J9="",K9="",K9=0),"",J9/K9*L9)</x:f>
      </x:c>
      <x:c r="N9" s="22" t="str">
        <x:f>IF(M9="","",IF(I9="Mayor es mejor",IF(M9&gt;=H9,"En meta",IF(M9&gt;=H9*0.9,"Alerta","Crítico")),IF(M9&lt;=H9,"En meta",IF(M9&lt;=H9*1.1,"Alerta","Crítico"))))</x:f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>
        <x:v>Registrar aquí la medición real.</x:v>
      </x:c>
    </x:row>
    <x:row r="10">
      <x:c r="A10" s="46" t="n">
        <x:v>46173</x:v>
      </x:c>
      <x:c r="B10" s="22" t="n">
        <x:v>2026</x:v>
      </x:c>
      <x:c r="C10" s="22" t="str">
        <x:v>Mayo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str"/>
      <x:c r="K10" s="40" t="str"/>
      <x:c r="L10" s="40" t="str"/>
      <x:c r="M10" s="40" t="str">
        <x:f>IF(OR(J10="",K10="",K10=0),"",J10/K10*L10)</x:f>
      </x:c>
      <x:c r="N10" s="22" t="str">
        <x:f>IF(M10="","",IF(I10="Mayor es mejor",IF(M10&gt;=H10,"En meta",IF(M10&gt;=H10*0.9,"Alerta","Crítico")),IF(M10&lt;=H10,"En meta",IF(M10&lt;=H10*1.1,"Alerta","Crítico"))))</x:f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>
        <x:v>Registrar aquí la medición real.</x:v>
      </x:c>
    </x:row>
    <x:row r="11">
      <x:c r="A11" s="46" t="n">
        <x:v>46173</x:v>
      </x:c>
      <x:c r="B11" s="22" t="n">
        <x:v>2026</x:v>
      </x:c>
      <x:c r="C11" s="22" t="str">
        <x:v>Mayo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str"/>
      <x:c r="K11" s="40" t="str"/>
      <x:c r="L11" s="40" t="str"/>
      <x:c r="M11" s="40" t="str">
        <x:f>IF(OR(J11="",K11="",K11=0),"",J11/K11*L11)</x:f>
      </x:c>
      <x:c r="N11" s="22" t="str">
        <x:f>IF(M11="","",IF(I11="Mayor es mejor",IF(M11&gt;=H11,"En meta",IF(M11&gt;=H11*0.9,"Alerta","Crítico")),IF(M11&lt;=H11,"En meta",IF(M11&lt;=H11*1.1,"Alerta","Crítico"))))</x:f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>
        <x:v>Registrar aquí la medición real.</x:v>
      </x:c>
    </x:row>
    <x:row r="12">
      <x:c r="A12" s="46" t="n">
        <x:v>46173</x:v>
      </x:c>
      <x:c r="B12" s="22" t="n">
        <x:v>2026</x:v>
      </x:c>
      <x:c r="C12" s="22" t="str">
        <x:v>Mayo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str"/>
      <x:c r="K12" s="40" t="str"/>
      <x:c r="L12" s="40" t="str"/>
      <x:c r="M12" s="40" t="str">
        <x:f>IF(OR(J12="",K12="",K12=0),"",J12/K12*L12)</x:f>
      </x:c>
      <x:c r="N12" s="22" t="str">
        <x:f>IF(M12="","",IF(I12="Mayor es mejor",IF(M12&gt;=H12,"En meta",IF(M12&gt;=H12*0.9,"Alerta","Crítico")),IF(M12&lt;=H12,"En meta",IF(M12&lt;=H12*1.1,"Alerta","Crítico"))))</x:f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>
        <x:v>Registrar aquí la medición real.</x:v>
      </x:c>
    </x:row>
    <x:row r="13">
      <x:c r="A13" s="46" t="n">
        <x:v>46173</x:v>
      </x:c>
      <x:c r="B13" s="22" t="n">
        <x:v>2026</x:v>
      </x:c>
      <x:c r="C13" s="22" t="str">
        <x:v>Mayo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str"/>
      <x:c r="K13" s="40" t="str"/>
      <x:c r="L13" s="40" t="str"/>
      <x:c r="M13" s="40" t="str">
        <x:f>IF(OR(J13="",K13="",K13=0),"",J13/K13*L13)</x:f>
      </x:c>
      <x:c r="N13" s="22" t="str">
        <x:f>IF(M13="","",IF(I13="Mayor es mejor",IF(M13&gt;=H13,"En meta",IF(M13&gt;=H13*0.9,"Alerta","Crítico")),IF(M13&lt;=H13,"En meta",IF(M13&lt;=H13*1.1,"Alerta","Crítico"))))</x:f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>
        <x:v>Registrar aquí la medición real.</x:v>
      </x:c>
    </x:row>
    <x:row r="14">
      <x:c r="A14" s="46" t="n">
        <x:v>46173</x:v>
      </x:c>
      <x:c r="B14" s="22" t="n">
        <x:v>2026</x:v>
      </x:c>
      <x:c r="C14" s="22" t="str">
        <x:v>Mayo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str"/>
      <x:c r="K14" s="40" t="str"/>
      <x:c r="L14" s="40" t="str"/>
      <x:c r="M14" s="40" t="str">
        <x:f>IF(OR(J14="",K14="",K14=0),"",J14/K14*L14)</x:f>
      </x:c>
      <x:c r="N14" s="22" t="str">
        <x:f>IF(M14="","",IF(I14="Mayor es mejor",IF(M14&gt;=H14,"En meta",IF(M14&gt;=H14*0.9,"Alerta","Crítico")),IF(M14&lt;=H14,"En meta",IF(M14&lt;=H14*1.1,"Alerta","Crítico"))))</x:f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>
        <x:v>Registrar aquí la medición real.</x:v>
      </x:c>
    </x:row>
    <x:row r="15">
      <x:c r="A15" s="46" t="n">
        <x:v>46173</x:v>
      </x:c>
      <x:c r="B15" s="22" t="n">
        <x:v>2026</x:v>
      </x:c>
      <x:c r="C15" s="22" t="str">
        <x:v>Mayo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str"/>
      <x:c r="K15" s="40" t="str"/>
      <x:c r="L15" s="40" t="str"/>
      <x:c r="M15" s="40" t="str">
        <x:f>IF(OR(J15="",K15="",K15=0),"",J15/K15*L15)</x:f>
      </x:c>
      <x:c r="N15" s="22" t="str">
        <x:f>IF(M15="","",IF(I15="Mayor es mejor",IF(M15&gt;=H15,"En meta",IF(M15&gt;=H15*0.9,"Alerta","Crítico")),IF(M15&lt;=H15,"En meta",IF(M15&lt;=H15*1.1,"Alerta","Crítico"))))</x:f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>
        <x:v>Registrar aquí la medición real.</x:v>
      </x:c>
    </x:row>
    <x:row r="16">
      <x:c r="A16" s="46" t="n">
        <x:v>46173</x:v>
      </x:c>
      <x:c r="B16" s="22" t="n">
        <x:v>2026</x:v>
      </x:c>
      <x:c r="C16" s="22" t="str">
        <x:v>Mayo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str"/>
      <x:c r="K16" s="40" t="str"/>
      <x:c r="L16" s="40" t="str"/>
      <x:c r="M16" s="40" t="str">
        <x:f>IF(OR(J16="",K16="",K16=0),"",J16/K16*L16)</x:f>
      </x:c>
      <x:c r="N16" s="22" t="str">
        <x:f>IF(M16="","",IF(I16="Mayor es mejor",IF(M16&gt;=H16,"En meta",IF(M16&gt;=H16*0.9,"Alerta","Crítico")),IF(M16&lt;=H16,"En meta",IF(M16&lt;=H16*1.1,"Alerta","Crítico"))))</x:f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>
        <x:v>Registrar aquí la medición real.</x:v>
      </x:c>
    </x:row>
    <x:row r="17">
      <x:c r="A17" s="46" t="n">
        <x:v>46173</x:v>
      </x:c>
      <x:c r="B17" s="22" t="n">
        <x:v>2026</x:v>
      </x:c>
      <x:c r="C17" s="22" t="str">
        <x:v>Mayo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str"/>
      <x:c r="K17" s="40" t="str"/>
      <x:c r="L17" s="40" t="str"/>
      <x:c r="M17" s="40" t="str">
        <x:f>IF(OR(J17="",K17="",K17=0),"",J17/K17*L17)</x:f>
      </x:c>
      <x:c r="N17" s="22" t="str">
        <x:f>IF(M17="","",IF(I17="Mayor es mejor",IF(M17&gt;=H17,"En meta",IF(M17&gt;=H17*0.9,"Alerta","Crítico")),IF(M17&lt;=H17,"En meta",IF(M17&lt;=H17*1.1,"Alerta","Crítico"))))</x:f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Registrar aquí la medición real.</x:v>
      </x:c>
    </x:row>
    <x:row r="18">
      <x:c r="A18" s="46" t="n">
        <x:v>46173</x:v>
      </x:c>
      <x:c r="B18" s="22" t="n">
        <x:v>2026</x:v>
      </x:c>
      <x:c r="C18" s="22" t="str">
        <x:v>Mayo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str"/>
      <x:c r="K18" s="40" t="str"/>
      <x:c r="L18" s="40" t="str"/>
      <x:c r="M18" s="40" t="str">
        <x:f>IF(OR(J18="",K18="",K18=0),"",J18/K18*L18)</x:f>
      </x:c>
      <x:c r="N18" s="22" t="str">
        <x:f>IF(M18="","",IF(I18="Mayor es mejor",IF(M18&gt;=H18,"En meta",IF(M18&gt;=H18*0.9,"Alerta","Crítico")),IF(M18&lt;=H18,"En meta",IF(M18&lt;=H18*1.1,"Alerta","Crítico"))))</x:f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>
        <x:v>Registrar aquí la medición real.</x:v>
      </x:c>
    </x:row>
    <x:row r="19">
      <x:c r="A19" s="46" t="n">
        <x:v>46173</x:v>
      </x:c>
      <x:c r="B19" s="22" t="n">
        <x:v>2026</x:v>
      </x:c>
      <x:c r="C19" s="22" t="str">
        <x:v>Mayo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str"/>
      <x:c r="K19" s="40" t="str"/>
      <x:c r="L19" s="40" t="str"/>
      <x:c r="M19" s="40" t="str">
        <x:f>IF(OR(J19="",K19="",K19=0),"",J19/K19*L19)</x:f>
      </x:c>
      <x:c r="N19" s="22" t="str">
        <x:f>IF(M19="","",IF(I19="Mayor es mejor",IF(M19&gt;=H19,"En meta",IF(M19&gt;=H19*0.9,"Alerta","Crítico")),IF(M19&lt;=H19,"En meta",IF(M19&lt;=H19*1.1,"Alerta","Crítico"))))</x:f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>
        <x:v>Registrar aquí la medición real.</x:v>
      </x:c>
    </x:row>
    <x:row r="20">
      <x:c r="A20" s="46" t="n">
        <x:v>46173</x:v>
      </x:c>
      <x:c r="B20" s="22" t="n">
        <x:v>2026</x:v>
      </x:c>
      <x:c r="C20" s="22" t="str">
        <x:v>Mayo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str"/>
      <x:c r="K20" s="40" t="str"/>
      <x:c r="L20" s="40" t="str"/>
      <x:c r="M20" s="40" t="str">
        <x:f>IF(OR(J20="",K20="",K20=0),"",J20/K20*L20)</x:f>
      </x:c>
      <x:c r="N20" s="22" t="str">
        <x:f>IF(M20="","",IF(I20="Mayor es mejor",IF(M20&gt;=H20,"En meta",IF(M20&gt;=H20*0.9,"Alerta","Crítico")),IF(M20&lt;=H20,"En meta",IF(M20&lt;=H20*1.1,"Alerta","Crítico"))))</x:f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>
        <x:v>Registrar aquí la medición real.</x:v>
      </x:c>
    </x:row>
  </x:sheetData>
  <x:mergeCells>
    <x:mergeCell ref="A1:R1"/>
    <x:mergeCell ref="A2:R2"/>
  </x:mergeCells>
  <x:conditionalFormatting sqref="N5:N20">
    <x:cfRule type="expression" dxfId="0" priority="1">
      <x:formula>N5="En meta"</x:formula>
    </x:cfRule>
    <x:cfRule type="expression" dxfId="1" priority="2">
      <x:formula>N5="Alerta"</x:formula>
    </x:cfRule>
    <x:cfRule type="expression" dxfId="2" priority="3">
      <x:formula>N5="Crítico"</x:formula>
    </x:cfRule>
  </x:conditionalFormatting>
  <x:dataValidations count="5">
    <x:dataValidation type="list" sqref="D5:D20">
      <x:formula1>Catalogos!$A$19:$A$34</x:formula1>
    </x:dataValidation>
    <x:dataValidation type="list" sqref="C5:C20">
      <x:formula1>Catalogos!$G$4:$G$15</x:formula1>
    </x:dataValidation>
    <x:dataValidation type="list" sqref="F5:F20">
      <x:formula1>Catalogos!$A$4:$A$6</x:formula1>
    </x:dataValidation>
    <x:dataValidation type="list" sqref="G5:G20">
      <x:formula1>Catalogos!$C$4:$C$6</x:formula1>
    </x:dataValidation>
    <x:dataValidation type="list" sqref="I5:I20">
      <x:formula1>Catalogos!$E$4:$E$5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Medición de indicadores SG-SST 2023</x:v>
      </x:c>
    </x:row>
    <x:row r="2">
      <x:c r="A2" s="9" t="str">
        <x:v>Los resultados se calculan automáticamente a partir de Base_1, Base_2 y Factor. Año completo.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44957</x:v>
      </x:c>
      <x:c r="B5" s="22" t="n">
        <x:v>2023</x:v>
      </x:c>
      <x:c r="C5" s="22" t="str">
        <x:v>Enero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n">
        <x:v>4083422</x:v>
      </x:c>
      <x:c r="K5" s="40" t="n">
        <x:v>4500000</x:v>
      </x:c>
      <x:c r="L5" s="40" t="n">
        <x:v>100</x:v>
      </x:c>
      <x:c r="M5" s="40" t="n">
        <x:f>IF(OR(J5="",K5="",K5=0),"",J5/K5*L5)</x:f>
        <x:v>90.7427111111111</x:v>
      </x:c>
      <x:c r="N5" s="22" t="str">
        <x:f>IF(M5="","",IF(I5="Mayor es mejor",IF(M5&gt;=H5,"En meta",IF(M5&gt;=H5*0.9,"Alerta","Crítico")),IF(M5&lt;=H5,"En meta",IF(M5&lt;=H5*1.1,"Alerta","Crítico"))))</x:f>
        <x:v>Alerta</x:v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/>
    </x:row>
    <x:row r="6">
      <x:c r="A6" s="46" t="n">
        <x:v>44957</x:v>
      </x:c>
      <x:c r="B6" s="22" t="n">
        <x:v>2023</x:v>
      </x:c>
      <x:c r="C6" s="22" t="str">
        <x:v>Enero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n">
        <x:v>18</x:v>
      </x:c>
      <x:c r="K6" s="40" t="n">
        <x:v>20</x:v>
      </x:c>
      <x:c r="L6" s="40" t="n">
        <x:v>100</x:v>
      </x:c>
      <x:c r="M6" s="40" t="n">
        <x:f>IF(OR(J6="",K6="",K6=0),"",J6/K6*L6)</x:f>
        <x:v>90</x:v>
      </x:c>
      <x:c r="N6" s="22" t="str">
        <x:f>IF(M6="","",IF(I6="Mayor es mejor",IF(M6&gt;=H6,"En meta",IF(M6&gt;=H6*0.9,"Alerta","Crítico")),IF(M6&lt;=H6,"En meta",IF(M6&lt;=H6*1.1,"Alerta","Crítico"))))</x:f>
        <x:v>En meta</x:v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/>
    </x:row>
    <x:row r="7">
      <x:c r="A7" s="46" t="n">
        <x:v>44957</x:v>
      </x:c>
      <x:c r="B7" s="22" t="n">
        <x:v>2023</x:v>
      </x:c>
      <x:c r="C7" s="22" t="str">
        <x:v>Enero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n">
        <x:v>196</x:v>
      </x:c>
      <x:c r="K7" s="40" t="n">
        <x:v>209</x:v>
      </x:c>
      <x:c r="L7" s="40" t="n">
        <x:v>100</x:v>
      </x:c>
      <x:c r="M7" s="40" t="n">
        <x:f>IF(OR(J7="",K7="",K7=0),"",J7/K7*L7)</x:f>
        <x:v>93.77990430622009</x:v>
      </x:c>
      <x:c r="N7" s="22" t="str">
        <x:f>IF(M7="","",IF(I7="Mayor es mejor",IF(M7&gt;=H7,"En meta",IF(M7&gt;=H7*0.9,"Alerta","Crítico")),IF(M7&lt;=H7,"En meta",IF(M7&lt;=H7*1.1,"Alerta","Crítico"))))</x:f>
        <x:v>Alerta</x:v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/>
    </x:row>
    <x:row r="8">
      <x:c r="A8" s="46" t="n">
        <x:v>44957</x:v>
      </x:c>
      <x:c r="B8" s="22" t="n">
        <x:v>2023</x:v>
      </x:c>
      <x:c r="C8" s="22" t="str">
        <x:v>Enero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n">
        <x:v>56</x:v>
      </x:c>
      <x:c r="K8" s="40" t="n">
        <x:v>60</x:v>
      </x:c>
      <x:c r="L8" s="40" t="n">
        <x:v>100</x:v>
      </x:c>
      <x:c r="M8" s="40" t="n">
        <x:f>IF(OR(J8="",K8="",K8=0),"",J8/K8*L8)</x:f>
        <x:v>93.33333333333333</x:v>
      </x:c>
      <x:c r="N8" s="22" t="str">
        <x:f>IF(M8="","",IF(I8="Mayor es mejor",IF(M8&gt;=H8,"En meta",IF(M8&gt;=H8*0.9,"Alerta","Crítico")),IF(M8&lt;=H8,"En meta",IF(M8&lt;=H8*1.1,"Alerta","Crítico"))))</x:f>
        <x:v>Alerta</x:v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/>
    </x:row>
    <x:row r="9">
      <x:c r="A9" s="46" t="n">
        <x:v>44957</x:v>
      </x:c>
      <x:c r="B9" s="22" t="n">
        <x:v>2023</x:v>
      </x:c>
      <x:c r="C9" s="22" t="str">
        <x:v>Enero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n">
        <x:v>18</x:v>
      </x:c>
      <x:c r="K9" s="40" t="n">
        <x:v>20</x:v>
      </x:c>
      <x:c r="L9" s="40" t="n">
        <x:v>100</x:v>
      </x:c>
      <x:c r="M9" s="40" t="n">
        <x:f>IF(OR(J9="",K9="",K9=0),"",J9/K9*L9)</x:f>
        <x:v>90</x:v>
      </x:c>
      <x:c r="N9" s="22" t="str">
        <x:f>IF(M9="","",IF(I9="Mayor es mejor",IF(M9&gt;=H9,"En meta",IF(M9&gt;=H9*0.9,"Alerta","Crítico")),IF(M9&lt;=H9,"En meta",IF(M9&lt;=H9*1.1,"Alerta","Crítico"))))</x:f>
        <x:v>En meta</x:v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/>
    </x:row>
    <x:row r="10">
      <x:c r="A10" s="46" t="n">
        <x:v>44957</x:v>
      </x:c>
      <x:c r="B10" s="22" t="n">
        <x:v>2023</x:v>
      </x:c>
      <x:c r="C10" s="22" t="str">
        <x:v>Enero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n">
        <x:v>11</x:v>
      </x:c>
      <x:c r="K10" s="40" t="n">
        <x:v>12</x:v>
      </x:c>
      <x:c r="L10" s="40" t="n">
        <x:v>100</x:v>
      </x:c>
      <x:c r="M10" s="40" t="n">
        <x:f>IF(OR(J10="",K10="",K10=0),"",J10/K10*L10)</x:f>
        <x:v>91.66666666666666</x:v>
      </x:c>
      <x:c r="N10" s="22" t="str">
        <x:f>IF(M10="","",IF(I10="Mayor es mejor",IF(M10&gt;=H10,"En meta",IF(M10&gt;=H10*0.9,"Alerta","Crítico")),IF(M10&lt;=H10,"En meta",IF(M10&lt;=H10*1.1,"Alerta","Crítico"))))</x:f>
        <x:v>En meta</x:v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/>
    </x:row>
    <x:row r="11">
      <x:c r="A11" s="46" t="n">
        <x:v>44957</x:v>
      </x:c>
      <x:c r="B11" s="22" t="n">
        <x:v>2023</x:v>
      </x:c>
      <x:c r="C11" s="22" t="str">
        <x:v>Enero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n">
        <x:v>1</x:v>
      </x:c>
      <x:c r="K11" s="40" t="n">
        <x:v>1</x:v>
      </x:c>
      <x:c r="L11" s="40" t="n">
        <x:v>100</x:v>
      </x:c>
      <x:c r="M11" s="40" t="n">
        <x:f>IF(OR(J11="",K11="",K11=0),"",J11/K11*L11)</x:f>
        <x:v>100</x:v>
      </x:c>
      <x:c r="N11" s="22" t="str">
        <x:f>IF(M11="","",IF(I11="Mayor es mejor",IF(M11&gt;=H11,"En meta",IF(M11&gt;=H11*0.9,"Alerta","Crítico")),IF(M11&lt;=H11,"En meta",IF(M11&lt;=H11*1.1,"Alerta","Crítico"))))</x:f>
        <x:v>En meta</x:v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/>
    </x:row>
    <x:row r="12">
      <x:c r="A12" s="46" t="n">
        <x:v>44957</x:v>
      </x:c>
      <x:c r="B12" s="22" t="n">
        <x:v>2023</x:v>
      </x:c>
      <x:c r="C12" s="22" t="str">
        <x:v>Enero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n">
        <x:v>9</x:v>
      </x:c>
      <x:c r="K12" s="40" t="n">
        <x:v>11</x:v>
      </x:c>
      <x:c r="L12" s="40" t="n">
        <x:v>100</x:v>
      </x:c>
      <x:c r="M12" s="40" t="n">
        <x:f>IF(OR(J12="",K12="",K12=0),"",J12/K12*L12)</x:f>
        <x:v>81.81818181818183</x:v>
      </x:c>
      <x:c r="N12" s="22" t="str">
        <x:f>IF(M12="","",IF(I12="Mayor es mejor",IF(M12&gt;=H12,"En meta",IF(M12&gt;=H12*0.9,"Alerta","Crítico")),IF(M12&lt;=H12,"En meta",IF(M12&lt;=H12*1.1,"Alerta","Crítico"))))</x:f>
        <x:v>Alerta</x:v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/>
    </x:row>
    <x:row r="13">
      <x:c r="A13" s="46" t="n">
        <x:v>44957</x:v>
      </x:c>
      <x:c r="B13" s="22" t="n">
        <x:v>2023</x:v>
      </x:c>
      <x:c r="C13" s="22" t="str">
        <x:v>Enero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n">
        <x:v>8</x:v>
      </x:c>
      <x:c r="K13" s="40" t="n">
        <x:v>9</x:v>
      </x:c>
      <x:c r="L13" s="40" t="n">
        <x:v>100</x:v>
      </x:c>
      <x:c r="M13" s="40" t="n">
        <x:f>IF(OR(J13="",K13="",K13=0),"",J13/K13*L13)</x:f>
        <x:v>88.88888888888889</x:v>
      </x:c>
      <x:c r="N13" s="22" t="str">
        <x:f>IF(M13="","",IF(I13="Mayor es mejor",IF(M13&gt;=H13,"En meta",IF(M13&gt;=H13*0.9,"Alerta","Crítico")),IF(M13&lt;=H13,"En meta",IF(M13&lt;=H13*1.1,"Alerta","Crítico"))))</x:f>
        <x:v>Alerta</x:v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/>
    </x:row>
    <x:row r="14">
      <x:c r="A14" s="46" t="n">
        <x:v>44957</x:v>
      </x:c>
      <x:c r="B14" s="22" t="n">
        <x:v>2023</x:v>
      </x:c>
      <x:c r="C14" s="22" t="str">
        <x:v>Enero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n">
        <x:v>12</x:v>
      </x:c>
      <x:c r="K14" s="40" t="n">
        <x:v>13</x:v>
      </x:c>
      <x:c r="L14" s="40" t="n">
        <x:v>100</x:v>
      </x:c>
      <x:c r="M14" s="40" t="n">
        <x:f>IF(OR(J14="",K14="",K14=0),"",J14/K14*L14)</x:f>
        <x:v>92.3076923076923</x:v>
      </x:c>
      <x:c r="N14" s="22" t="str">
        <x:f>IF(M14="","",IF(I14="Mayor es mejor",IF(M14&gt;=H14,"En meta",IF(M14&gt;=H14*0.9,"Alerta","Crítico")),IF(M14&lt;=H14,"En meta",IF(M14&lt;=H14*1.1,"Alerta","Crítico"))))</x:f>
        <x:v>En meta</x:v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/>
    </x:row>
    <x:row r="15">
      <x:c r="A15" s="46" t="n">
        <x:v>44957</x:v>
      </x:c>
      <x:c r="B15" s="22" t="n">
        <x:v>2023</x:v>
      </x:c>
      <x:c r="C15" s="22" t="str">
        <x:v>Enero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n">
        <x:v>1</x:v>
      </x:c>
      <x:c r="K15" s="40" t="n">
        <x:v>50096</x:v>
      </x:c>
      <x:c r="L15" s="40" t="n">
        <x:v>200000</x:v>
      </x:c>
      <x:c r="M15" s="40" t="n">
        <x:f>IF(OR(J15="",K15="",K15=0),"",J15/K15*L15)</x:f>
        <x:v>3.992334717342702</x:v>
      </x:c>
      <x:c r="N15" s="22" t="str">
        <x:f>IF(M15="","",IF(I15="Mayor es mejor",IF(M15&gt;=H15,"En meta",IF(M15&gt;=H15*0.9,"Alerta","Crítico")),IF(M15&lt;=H15,"En meta",IF(M15&lt;=H15*1.1,"Alerta","Crítico"))))</x:f>
        <x:v>Crítico</x:v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/>
    </x:row>
    <x:row r="16">
      <x:c r="A16" s="46" t="n">
        <x:v>44957</x:v>
      </x:c>
      <x:c r="B16" s="22" t="n">
        <x:v>2023</x:v>
      </x:c>
      <x:c r="C16" s="22" t="str">
        <x:v>Enero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n">
        <x:v>19</x:v>
      </x:c>
      <x:c r="K16" s="40" t="n">
        <x:v>50096</x:v>
      </x:c>
      <x:c r="L16" s="40" t="n">
        <x:v>200000</x:v>
      </x:c>
      <x:c r="M16" s="40" t="n">
        <x:f>IF(OR(J16="",K16="",K16=0),"",J16/K16*L16)</x:f>
        <x:v>75.85435962951134</x:v>
      </x:c>
      <x:c r="N16" s="22" t="str">
        <x:f>IF(M16="","",IF(I16="Mayor es mejor",IF(M16&gt;=H16,"En meta",IF(M16&gt;=H16*0.9,"Alerta","Crítico")),IF(M16&lt;=H16,"En meta",IF(M16&lt;=H16*1.1,"Alerta","Crítico"))))</x:f>
        <x:v>En meta</x:v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/>
    </x:row>
    <x:row r="17">
      <x:c r="A17" s="46" t="n">
        <x:v>44957</x:v>
      </x:c>
      <x:c r="B17" s="22" t="n">
        <x:v>2023</x:v>
      </x:c>
      <x:c r="C17" s="22" t="str">
        <x:v>Enero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n">
        <x:v>302.836</x:v>
      </x:c>
      <x:c r="K17" s="40" t="n">
        <x:v>1000</x:v>
      </x:c>
      <x:c r="L17" s="40" t="n">
        <x:v>1</x:v>
      </x:c>
      <x:c r="M17" s="40" t="n">
        <x:f>IF(OR(J17="",K17="",K17=0),"",J17/K17*L17)</x:f>
        <x:v>0.302836</x:v>
      </x:c>
      <x:c r="N17" s="22" t="str">
        <x:f>IF(M17="","",IF(I17="Mayor es mejor",IF(M17&gt;=H17,"En meta",IF(M17&gt;=H17*0.9,"Alerta","Crítico")),IF(M17&lt;=H17,"En meta",IF(M17&lt;=H17*1.1,"Alerta","Crítico"))))</x:f>
        <x:v>Crítico</x:v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ILI calculado sobre IF e IS del periodo.</x:v>
      </x:c>
    </x:row>
    <x:row r="18">
      <x:c r="A18" s="46" t="n">
        <x:v>44957</x:v>
      </x:c>
      <x:c r="B18" s="22" t="n">
        <x:v>2023</x:v>
      </x:c>
      <x:c r="C18" s="22" t="str">
        <x:v>Enero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n">
        <x:v>0.02</x:v>
      </x:c>
      <x:c r="K18" s="40" t="n">
        <x:v>209</x:v>
      </x:c>
      <x:c r="L18" s="40" t="n">
        <x:v>100</x:v>
      </x:c>
      <x:c r="M18" s="40" t="n">
        <x:f>IF(OR(J18="",K18="",K18=0),"",J18/K18*L18)</x:f>
        <x:v>0.009569377990430622</x:v>
      </x:c>
      <x:c r="N18" s="22" t="str">
        <x:f>IF(M18="","",IF(I18="Mayor es mejor",IF(M18&gt;=H18,"En meta",IF(M18&gt;=H18*0.9,"Alerta","Crítico")),IF(M18&lt;=H18,"En meta",IF(M18&lt;=H18*1.1,"Alerta","Crítico"))))</x:f>
        <x:v>En meta</x:v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/>
    </x:row>
    <x:row r="19">
      <x:c r="A19" s="46" t="n">
        <x:v>44957</x:v>
      </x:c>
      <x:c r="B19" s="22" t="n">
        <x:v>2023</x:v>
      </x:c>
      <x:c r="C19" s="22" t="str">
        <x:v>Enero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n">
        <x:v>2.71</x:v>
      </x:c>
      <x:c r="K19" s="40" t="n">
        <x:v>209</x:v>
      </x:c>
      <x:c r="L19" s="40" t="n">
        <x:v>100</x:v>
      </x:c>
      <x:c r="M19" s="40" t="n">
        <x:f>IF(OR(J19="",K19="",K19=0),"",J19/K19*L19)</x:f>
        <x:v>1.2966507177033493</x:v>
      </x:c>
      <x:c r="N19" s="22" t="str">
        <x:f>IF(M19="","",IF(I19="Mayor es mejor",IF(M19&gt;=H19,"En meta",IF(M19&gt;=H19*0.9,"Alerta","Crítico")),IF(M19&lt;=H19,"En meta",IF(M19&lt;=H19*1.1,"Alerta","Crítico"))))</x:f>
        <x:v>Crítico</x:v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/>
    </x:row>
    <x:row r="20">
      <x:c r="A20" s="46" t="n">
        <x:v>44957</x:v>
      </x:c>
      <x:c r="B20" s="22" t="n">
        <x:v>2023</x:v>
      </x:c>
      <x:c r="C20" s="22" t="str">
        <x:v>Enero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n">
        <x:v>95</x:v>
      </x:c>
      <x:c r="K20" s="40" t="n">
        <x:v>100</x:v>
      </x:c>
      <x:c r="L20" s="40" t="n">
        <x:v>100</x:v>
      </x:c>
      <x:c r="M20" s="40" t="n">
        <x:f>IF(OR(J20="",K20="",K20=0),"",J20/K20*L20)</x:f>
        <x:v>95</x:v>
      </x:c>
      <x:c r="N20" s="22" t="str">
        <x:f>IF(M20="","",IF(I20="Mayor es mejor",IF(M20&gt;=H20,"En meta",IF(M20&gt;=H20*0.9,"Alerta","Crítico")),IF(M20&lt;=H20,"En meta",IF(M20&lt;=H20*1.1,"Alerta","Crítico"))))</x:f>
        <x:v>En meta</x:v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/>
    </x:row>
    <x:row r="21">
      <x:c r="A21" s="46" t="n">
        <x:v>44985</x:v>
      </x:c>
      <x:c r="B21" s="22" t="n">
        <x:v>2023</x:v>
      </x:c>
      <x:c r="C21" s="22" t="str">
        <x:v>Febrero</x:v>
      </x:c>
      <x:c r="D21" s="22" t="str">
        <x:v>E01</x:v>
      </x:c>
      <x:c r="E21" s="22" t="str">
        <x:v>% ejecución presupuestal del SG-SST</x:v>
      </x:c>
      <x:c r="F21" s="22" t="str">
        <x:v>Estructura</x:v>
      </x:c>
      <x:c r="G21" s="22" t="str">
        <x:v>Mensual</x:v>
      </x:c>
      <x:c r="H21" s="40" t="n">
        <x:v>95</x:v>
      </x:c>
      <x:c r="I21" s="22" t="str">
        <x:v>Mayor es mejor</x:v>
      </x:c>
      <x:c r="J21" s="40" t="n">
        <x:v>4616738</x:v>
      </x:c>
      <x:c r="K21" s="40" t="n">
        <x:v>5000000</x:v>
      </x:c>
      <x:c r="L21" s="40" t="n">
        <x:v>100</x:v>
      </x:c>
      <x:c r="M21" s="40" t="n">
        <x:f>IF(OR(J21="",K21="",K21=0),"",J21/K21*L21)</x:f>
        <x:v>92.33476</x:v>
      </x:c>
      <x:c r="N21" s="22" t="str">
        <x:f>IF(M21="","",IF(I21="Mayor es mejor",IF(M21&gt;=H21,"En meta",IF(M21&gt;=H21*0.9,"Alerta","Crítico")),IF(M21&lt;=H21,"En meta",IF(M21&lt;=H21*1.1,"Alerta","Crítico"))))</x:f>
        <x:v>Alerta</x:v>
      </x:c>
      <x:c r="O21" s="22" t="str">
        <x:v>%</x:v>
      </x:c>
      <x:c r="P21" s="22" t="str">
        <x:v>Líder SG-SST / Dirección Administrativa</x:v>
      </x:c>
      <x:c r="Q21" s="22" t="str">
        <x:v>Presupuesto SST</x:v>
      </x:c>
      <x:c r="R21" s="22" t="str"/>
    </x:row>
    <x:row r="22">
      <x:c r="A22" s="46" t="n">
        <x:v>44985</x:v>
      </x:c>
      <x:c r="B22" s="22" t="n">
        <x:v>2023</x:v>
      </x:c>
      <x:c r="C22" s="22" t="str">
        <x:v>Febrero</x:v>
      </x:c>
      <x:c r="D22" s="22" t="str">
        <x:v>E02</x:v>
      </x:c>
      <x:c r="E22" s="22" t="str">
        <x:v>% cobertura del plan de formación y capacitación SG-SST</x:v>
      </x:c>
      <x:c r="F22" s="22" t="str">
        <x:v>Estructura</x:v>
      </x:c>
      <x:c r="G22" s="22" t="str">
        <x:v>Mensual</x:v>
      </x:c>
      <x:c r="H22" s="40" t="n">
        <x:v>90</x:v>
      </x:c>
      <x:c r="I22" s="22" t="str">
        <x:v>Mayor es mejor</x:v>
      </x:c>
      <x:c r="J22" s="40" t="n">
        <x:v>19</x:v>
      </x:c>
      <x:c r="K22" s="40" t="n">
        <x:v>22</x:v>
      </x:c>
      <x:c r="L22" s="40" t="n">
        <x:v>100</x:v>
      </x:c>
      <x:c r="M22" s="40" t="n">
        <x:f>IF(OR(J22="",K22="",K22=0),"",J22/K22*L22)</x:f>
        <x:v>86.36363636363636</x:v>
      </x:c>
      <x:c r="N22" s="22" t="str">
        <x:f>IF(M22="","",IF(I22="Mayor es mejor",IF(M22&gt;=H22,"En meta",IF(M22&gt;=H22*0.9,"Alerta","Crítico")),IF(M22&lt;=H22,"En meta",IF(M22&lt;=H22*1.1,"Alerta","Crítico"))))</x:f>
        <x:v>Alerta</x:v>
      </x:c>
      <x:c r="O22" s="22" t="str">
        <x:v>%</x:v>
      </x:c>
      <x:c r="P22" s="22" t="str">
        <x:v>Líder SG-SST / Talento Humano</x:v>
      </x:c>
      <x:c r="Q22" s="22" t="str">
        <x:v>Plan de formación y capacitaciones</x:v>
      </x:c>
      <x:c r="R22" s="22" t="str"/>
    </x:row>
    <x:row r="23">
      <x:c r="A23" s="46" t="n">
        <x:v>44985</x:v>
      </x:c>
      <x:c r="B23" s="22" t="n">
        <x:v>2023</x:v>
      </x:c>
      <x:c r="C23" s="22" t="str">
        <x:v>Febrero</x:v>
      </x:c>
      <x:c r="D23" s="22" t="str">
        <x:v>E03</x:v>
      </x:c>
      <x:c r="E23" s="22" t="str">
        <x:v>% trabajadores con exámenes médicos ocupacionales vigentes</x:v>
      </x:c>
      <x:c r="F23" s="22" t="str">
        <x:v>Estructura</x:v>
      </x:c>
      <x:c r="G23" s="22" t="str">
        <x:v>Mensual</x:v>
      </x:c>
      <x:c r="H23" s="40" t="n">
        <x:v>95</x:v>
      </x:c>
      <x:c r="I23" s="22" t="str">
        <x:v>Mayor es mejor</x:v>
      </x:c>
      <x:c r="J23" s="40" t="n">
        <x:v>190</x:v>
      </x:c>
      <x:c r="K23" s="40" t="n">
        <x:v>205</x:v>
      </x:c>
      <x:c r="L23" s="40" t="n">
        <x:v>100</x:v>
      </x:c>
      <x:c r="M23" s="40" t="n">
        <x:f>IF(OR(J23="",K23="",K23=0),"",J23/K23*L23)</x:f>
        <x:v>92.6829268292683</x:v>
      </x:c>
      <x:c r="N23" s="22" t="str">
        <x:f>IF(M23="","",IF(I23="Mayor es mejor",IF(M23&gt;=H23,"En meta",IF(M23&gt;=H23*0.9,"Alerta","Crítico")),IF(M23&lt;=H23,"En meta",IF(M23&lt;=H23*1.1,"Alerta","Crítico"))))</x:f>
        <x:v>Alerta</x:v>
      </x:c>
      <x:c r="O23" s="22" t="str">
        <x:v>%</x:v>
      </x:c>
      <x:c r="P23" s="22" t="str">
        <x:v>Líder SG-SST / Talento Humano</x:v>
      </x:c>
      <x:c r="Q23" s="22" t="str">
        <x:v>Matriz de seguimiento EMO</x:v>
      </x:c>
      <x:c r="R23" s="22" t="str"/>
    </x:row>
    <x:row r="24">
      <x:c r="A24" s="46" t="n">
        <x:v>44985</x:v>
      </x:c>
      <x:c r="B24" s="22" t="n">
        <x:v>2023</x:v>
      </x:c>
      <x:c r="C24" s="22" t="str">
        <x:v>Febrero</x:v>
      </x:c>
      <x:c r="D24" s="22" t="str">
        <x:v>E04</x:v>
      </x:c>
      <x:c r="E24" s="22" t="str">
        <x:v>% cumplimiento de requisitos legales aplicables en SST</x:v>
      </x:c>
      <x:c r="F24" s="22" t="str">
        <x:v>Estructura</x:v>
      </x:c>
      <x:c r="G24" s="22" t="str">
        <x:v>Mensual</x:v>
      </x:c>
      <x:c r="H24" s="40" t="n">
        <x:v>95</x:v>
      </x:c>
      <x:c r="I24" s="22" t="str">
        <x:v>Mayor es mejor</x:v>
      </x:c>
      <x:c r="J24" s="40" t="n">
        <x:v>55</x:v>
      </x:c>
      <x:c r="K24" s="40" t="n">
        <x:v>60</x:v>
      </x:c>
      <x:c r="L24" s="40" t="n">
        <x:v>100</x:v>
      </x:c>
      <x:c r="M24" s="40" t="n">
        <x:f>IF(OR(J24="",K24="",K24=0),"",J24/K24*L24)</x:f>
        <x:v>91.66666666666666</x:v>
      </x:c>
      <x:c r="N24" s="22" t="str">
        <x:f>IF(M24="","",IF(I24="Mayor es mejor",IF(M24&gt;=H24,"En meta",IF(M24&gt;=H24*0.9,"Alerta","Crítico")),IF(M24&lt;=H24,"En meta",IF(M24&lt;=H24*1.1,"Alerta","Crítico"))))</x:f>
        <x:v>Alerta</x:v>
      </x:c>
      <x:c r="O24" s="22" t="str">
        <x:v>%</x:v>
      </x:c>
      <x:c r="P24" s="22" t="str">
        <x:v>Líder SG-SST / Jurídica</x:v>
      </x:c>
      <x:c r="Q24" s="22" t="str">
        <x:v>Matriz legal SGRL</x:v>
      </x:c>
      <x:c r="R24" s="22" t="str"/>
    </x:row>
    <x:row r="25">
      <x:c r="A25" s="46" t="n">
        <x:v>44985</x:v>
      </x:c>
      <x:c r="B25" s="22" t="n">
        <x:v>2023</x:v>
      </x:c>
      <x:c r="C25" s="22" t="str">
        <x:v>Febrero</x:v>
      </x:c>
      <x:c r="D25" s="22" t="str">
        <x:v>E05</x:v>
      </x:c>
      <x:c r="E25" s="22" t="str">
        <x:v>% proveedores y contratistas aprobados en SST</x:v>
      </x:c>
      <x:c r="F25" s="22" t="str">
        <x:v>Estructura</x:v>
      </x:c>
      <x:c r="G25" s="22" t="str">
        <x:v>Mensual</x:v>
      </x:c>
      <x:c r="H25" s="40" t="n">
        <x:v>90</x:v>
      </x:c>
      <x:c r="I25" s="22" t="str">
        <x:v>Mayor es mejor</x:v>
      </x:c>
      <x:c r="J25" s="40" t="n">
        <x:v>18</x:v>
      </x:c>
      <x:c r="K25" s="40" t="n">
        <x:v>20</x:v>
      </x:c>
      <x:c r="L25" s="40" t="n">
        <x:v>100</x:v>
      </x:c>
      <x:c r="M25" s="40" t="n">
        <x:f>IF(OR(J25="",K25="",K25=0),"",J25/K25*L25)</x:f>
        <x:v>90</x:v>
      </x:c>
      <x:c r="N25" s="22" t="str">
        <x:f>IF(M25="","",IF(I25="Mayor es mejor",IF(M25&gt;=H25,"En meta",IF(M25&gt;=H25*0.9,"Alerta","Crítico")),IF(M25&lt;=H25,"En meta",IF(M25&lt;=H25*1.1,"Alerta","Crítico"))))</x:f>
        <x:v>En meta</x:v>
      </x:c>
      <x:c r="O25" s="22" t="str">
        <x:v>%</x:v>
      </x:c>
      <x:c r="P25" s="22" t="str">
        <x:v>Compras / Líder SG-SST</x:v>
      </x:c>
      <x:c r="Q25" s="22" t="str">
        <x:v>Gestión de proveedores y contratistas</x:v>
      </x:c>
      <x:c r="R25" s="22" t="str"/>
    </x:row>
    <x:row r="26">
      <x:c r="A26" s="46" t="n">
        <x:v>44985</x:v>
      </x:c>
      <x:c r="B26" s="22" t="n">
        <x:v>2023</x:v>
      </x:c>
      <x:c r="C26" s="22" t="str">
        <x:v>Febrero</x:v>
      </x:c>
      <x:c r="D26" s="22" t="str">
        <x:v>P01</x:v>
      </x:c>
      <x:c r="E26" s="22" t="str">
        <x:v>% ejecución del plan anual de trabajo SG-SST</x:v>
      </x:c>
      <x:c r="F26" s="22" t="str">
        <x:v>Proceso</x:v>
      </x:c>
      <x:c r="G26" s="22" t="str">
        <x:v>Mensual</x:v>
      </x:c>
      <x:c r="H26" s="40" t="n">
        <x:v>90</x:v>
      </x:c>
      <x:c r="I26" s="22" t="str">
        <x:v>Mayor es mejor</x:v>
      </x:c>
      <x:c r="J26" s="40" t="n">
        <x:v>12</x:v>
      </x:c>
      <x:c r="K26" s="40" t="n">
        <x:v>14</x:v>
      </x:c>
      <x:c r="L26" s="40" t="n">
        <x:v>100</x:v>
      </x:c>
      <x:c r="M26" s="40" t="n">
        <x:f>IF(OR(J26="",K26="",K26=0),"",J26/K26*L26)</x:f>
        <x:v>85.71428571428571</x:v>
      </x:c>
      <x:c r="N26" s="22" t="str">
        <x:f>IF(M26="","",IF(I26="Mayor es mejor",IF(M26&gt;=H26,"En meta",IF(M26&gt;=H26*0.9,"Alerta","Crítico")),IF(M26&lt;=H26,"En meta",IF(M26&lt;=H26*1.1,"Alerta","Crítico"))))</x:f>
        <x:v>Alerta</x:v>
      </x:c>
      <x:c r="O26" s="22" t="str">
        <x:v>%</x:v>
      </x:c>
      <x:c r="P26" s="22" t="str">
        <x:v>Líder SG-SST</x:v>
      </x:c>
      <x:c r="Q26" s="22" t="str">
        <x:v>Plan anual de trabajo PHVA</x:v>
      </x:c>
      <x:c r="R26" s="22" t="str"/>
    </x:row>
    <x:row r="27">
      <x:c r="A27" s="46" t="n">
        <x:v>44985</x:v>
      </x:c>
      <x:c r="B27" s="22" t="n">
        <x:v>2023</x:v>
      </x:c>
      <x:c r="C27" s="22" t="str">
        <x:v>Febrero</x:v>
      </x:c>
      <x:c r="D27" s="22" t="str">
        <x:v>P02</x:v>
      </x:c>
      <x:c r="E27" s="22" t="str">
        <x:v>% investigaciones de accidentes realizadas oportunamente</x:v>
      </x:c>
      <x:c r="F27" s="22" t="str">
        <x:v>Proceso</x:v>
      </x:c>
      <x:c r="G27" s="22" t="str">
        <x:v>Mensual</x:v>
      </x:c>
      <x:c r="H27" s="40" t="n">
        <x:v>95</x:v>
      </x:c>
      <x:c r="I27" s="22" t="str">
        <x:v>Mayor es mejor</x:v>
      </x:c>
      <x:c r="J27" s="40" t="n">
        <x:v>1</x:v>
      </x:c>
      <x:c r="K27" s="40" t="n">
        <x:v>1</x:v>
      </x:c>
      <x:c r="L27" s="40" t="n">
        <x:v>100</x:v>
      </x:c>
      <x:c r="M27" s="40" t="n">
        <x:f>IF(OR(J27="",K27="",K27=0),"",J27/K27*L27)</x:f>
        <x:v>100</x:v>
      </x:c>
      <x:c r="N27" s="22" t="str">
        <x:f>IF(M27="","",IF(I27="Mayor es mejor",IF(M27&gt;=H27,"En meta",IF(M27&gt;=H27*0.9,"Alerta","Crítico")),IF(M27&lt;=H27,"En meta",IF(M27&lt;=H27*1.1,"Alerta","Crítico"))))</x:f>
        <x:v>En meta</x:v>
      </x:c>
      <x:c r="O27" s="22" t="str">
        <x:v>%</x:v>
      </x:c>
      <x:c r="P27" s="22" t="str">
        <x:v>Líder SG-SST / COPASST</x:v>
      </x:c>
      <x:c r="Q27" s="22" t="str">
        <x:v>Matriz de accidentalidad</x:v>
      </x:c>
      <x:c r="R27" s="22" t="str"/>
    </x:row>
    <x:row r="28">
      <x:c r="A28" s="46" t="n">
        <x:v>44985</x:v>
      </x:c>
      <x:c r="B28" s="22" t="n">
        <x:v>2023</x:v>
      </x:c>
      <x:c r="C28" s="22" t="str">
        <x:v>Febrero</x:v>
      </x:c>
      <x:c r="D28" s="22" t="str">
        <x:v>P03</x:v>
      </x:c>
      <x:c r="E28" s="22" t="str">
        <x:v>% cierre oportuno de acciones correctivas, preventivas y de mejora</x:v>
      </x:c>
      <x:c r="F28" s="22" t="str">
        <x:v>Proceso</x:v>
      </x:c>
      <x:c r="G28" s="22" t="str">
        <x:v>Mensual</x:v>
      </x:c>
      <x:c r="H28" s="40" t="n">
        <x:v>90</x:v>
      </x:c>
      <x:c r="I28" s="22" t="str">
        <x:v>Mayor es mejor</x:v>
      </x:c>
      <x:c r="J28" s="40" t="n">
        <x:v>10</x:v>
      </x:c>
      <x:c r="K28" s="40" t="n">
        <x:v>12</x:v>
      </x:c>
      <x:c r="L28" s="40" t="n">
        <x:v>100</x:v>
      </x:c>
      <x:c r="M28" s="40" t="n">
        <x:f>IF(OR(J28="",K28="",K28=0),"",J28/K28*L28)</x:f>
        <x:v>83.33333333333334</x:v>
      </x:c>
      <x:c r="N28" s="22" t="str">
        <x:f>IF(M28="","",IF(I28="Mayor es mejor",IF(M28&gt;=H28,"En meta",IF(M28&gt;=H28*0.9,"Alerta","Crítico")),IF(M28&lt;=H28,"En meta",IF(M28&lt;=H28*1.1,"Alerta","Crítico"))))</x:f>
        <x:v>Alerta</x:v>
      </x:c>
      <x:c r="O28" s="22" t="str">
        <x:v>%</x:v>
      </x:c>
      <x:c r="P28" s="22" t="str">
        <x:v>Líder SG-SST / Responsables de proceso</x:v>
      </x:c>
      <x:c r="Q28" s="22" t="str">
        <x:v>Matriz APCM</x:v>
      </x:c>
      <x:c r="R28" s="22" t="str"/>
    </x:row>
    <x:row r="29">
      <x:c r="A29" s="46" t="n">
        <x:v>44985</x:v>
      </x:c>
      <x:c r="B29" s="22" t="n">
        <x:v>2023</x:v>
      </x:c>
      <x:c r="C29" s="22" t="str">
        <x:v>Febrero</x:v>
      </x:c>
      <x:c r="D29" s="22" t="str">
        <x:v>P04</x:v>
      </x:c>
      <x:c r="E29" s="22" t="str">
        <x:v>% inspecciones de seguridad ejecutadas</x:v>
      </x:c>
      <x:c r="F29" s="22" t="str">
        <x:v>Proceso</x:v>
      </x:c>
      <x:c r="G29" s="22" t="str">
        <x:v>Mensual</x:v>
      </x:c>
      <x:c r="H29" s="40" t="n">
        <x:v>90</x:v>
      </x:c>
      <x:c r="I29" s="22" t="str">
        <x:v>Mayor es mejor</x:v>
      </x:c>
      <x:c r="J29" s="40" t="n">
        <x:v>9</x:v>
      </x:c>
      <x:c r="K29" s="40" t="n">
        <x:v>10</x:v>
      </x:c>
      <x:c r="L29" s="40" t="n">
        <x:v>100</x:v>
      </x:c>
      <x:c r="M29" s="40" t="n">
        <x:f>IF(OR(J29="",K29="",K29=0),"",J29/K29*L29)</x:f>
        <x:v>90</x:v>
      </x:c>
      <x:c r="N29" s="22" t="str">
        <x:f>IF(M29="","",IF(I29="Mayor es mejor",IF(M29&gt;=H29,"En meta",IF(M29&gt;=H29*0.9,"Alerta","Crítico")),IF(M29&lt;=H29,"En meta",IF(M29&lt;=H29*1.1,"Alerta","Crítico"))))</x:f>
        <x:v>En meta</x:v>
      </x:c>
      <x:c r="O29" s="22" t="str">
        <x:v>%</x:v>
      </x:c>
      <x:c r="P29" s="22" t="str">
        <x:v>Líder SG-SST / Supervisores</x:v>
      </x:c>
      <x:c r="Q29" s="22" t="str">
        <x:v>Programa de inspecciones</x:v>
      </x:c>
      <x:c r="R29" s="22" t="str"/>
    </x:row>
    <x:row r="30">
      <x:c r="A30" s="46" t="n">
        <x:v>44985</x:v>
      </x:c>
      <x:c r="B30" s="22" t="n">
        <x:v>2023</x:v>
      </x:c>
      <x:c r="C30" s="22" t="str">
        <x:v>Febrero</x:v>
      </x:c>
      <x:c r="D30" s="22" t="str">
        <x:v>P05</x:v>
      </x:c>
      <x:c r="E30" s="22" t="str">
        <x:v>% mantenimientos preventivos ejecutados</x:v>
      </x:c>
      <x:c r="F30" s="22" t="str">
        <x:v>Proceso</x:v>
      </x:c>
      <x:c r="G30" s="22" t="str">
        <x:v>Mensual</x:v>
      </x:c>
      <x:c r="H30" s="40" t="n">
        <x:v>90</x:v>
      </x:c>
      <x:c r="I30" s="22" t="str">
        <x:v>Mayor es mejor</x:v>
      </x:c>
      <x:c r="J30" s="40" t="n">
        <x:v>13</x:v>
      </x:c>
      <x:c r="K30" s="40" t="n">
        <x:v>14</x:v>
      </x:c>
      <x:c r="L30" s="40" t="n">
        <x:v>100</x:v>
      </x:c>
      <x:c r="M30" s="40" t="n">
        <x:f>IF(OR(J30="",K30="",K30=0),"",J30/K30*L30)</x:f>
        <x:v>92.85714285714286</x:v>
      </x:c>
      <x:c r="N30" s="22" t="str">
        <x:f>IF(M30="","",IF(I30="Mayor es mejor",IF(M30&gt;=H30,"En meta",IF(M30&gt;=H30*0.9,"Alerta","Crítico")),IF(M30&lt;=H30,"En meta",IF(M30&lt;=H30*1.1,"Alerta","Crítico"))))</x:f>
        <x:v>En meta</x:v>
      </x:c>
      <x:c r="O30" s="22" t="str">
        <x:v>%</x:v>
      </x:c>
      <x:c r="P30" s="22" t="str">
        <x:v>Mantenimiento / Líder SG-SST</x:v>
      </x:c>
      <x:c r="Q30" s="22" t="str">
        <x:v>Programa de mantenimiento preventivo</x:v>
      </x:c>
      <x:c r="R30" s="22" t="str"/>
    </x:row>
    <x:row r="31">
      <x:c r="A31" s="46" t="n">
        <x:v>44985</x:v>
      </x:c>
      <x:c r="B31" s="22" t="n">
        <x:v>2023</x:v>
      </x:c>
      <x:c r="C31" s="22" t="str">
        <x:v>Febrero</x:v>
      </x:c>
      <x:c r="D31" s="22" t="str">
        <x:v>R01</x:v>
      </x:c>
      <x:c r="E31" s="22" t="str">
        <x:v>Índice de frecuencia de accidentalidad (IF)</x:v>
      </x:c>
      <x:c r="F31" s="22" t="str">
        <x:v>Resultado</x:v>
      </x:c>
      <x:c r="G31" s="22" t="str">
        <x:v>Mensual</x:v>
      </x:c>
      <x:c r="H31" s="40" t="n">
        <x:v>3.5</x:v>
      </x:c>
      <x:c r="I31" s="22" t="str">
        <x:v>Menor es mejor</x:v>
      </x:c>
      <x:c r="J31" s="40" t="n">
        <x:v>1</x:v>
      </x:c>
      <x:c r="K31" s="40" t="n">
        <x:v>48141</x:v>
      </x:c>
      <x:c r="L31" s="40" t="n">
        <x:v>200000</x:v>
      </x:c>
      <x:c r="M31" s="40" t="n">
        <x:f>IF(OR(J31="",K31="",K31=0),"",J31/K31*L31)</x:f>
        <x:v>4.154462931804491</x:v>
      </x:c>
      <x:c r="N31" s="22" t="str">
        <x:f>IF(M31="","",IF(I31="Mayor es mejor",IF(M31&gt;=H31,"En meta",IF(M31&gt;=H31*0.9,"Alerta","Crítico")),IF(M31&lt;=H31,"En meta",IF(M31&lt;=H31*1.1,"Alerta","Crítico"))))</x:f>
        <x:v>Crítico</x:v>
      </x:c>
      <x:c r="O31" s="22" t="str">
        <x:v>Índice</x:v>
      </x:c>
      <x:c r="P31" s="22" t="str">
        <x:v>Líder SG-SST</x:v>
      </x:c>
      <x:c r="Q31" s="22" t="str">
        <x:v>Matriz de accidentalidad / nómina</x:v>
      </x:c>
      <x:c r="R31" s="22" t="str"/>
    </x:row>
    <x:row r="32">
      <x:c r="A32" s="46" t="n">
        <x:v>44985</x:v>
      </x:c>
      <x:c r="B32" s="22" t="n">
        <x:v>2023</x:v>
      </x:c>
      <x:c r="C32" s="22" t="str">
        <x:v>Febrero</x:v>
      </x:c>
      <x:c r="D32" s="22" t="str">
        <x:v>R02</x:v>
      </x:c>
      <x:c r="E32" s="22" t="str">
        <x:v>Índice de severidad de accidentalidad (IS)</x:v>
      </x:c>
      <x:c r="F32" s="22" t="str">
        <x:v>Resultado</x:v>
      </x:c>
      <x:c r="G32" s="22" t="str">
        <x:v>Mensual</x:v>
      </x:c>
      <x:c r="H32" s="40" t="n">
        <x:v>80</x:v>
      </x:c>
      <x:c r="I32" s="22" t="str">
        <x:v>Menor es mejor</x:v>
      </x:c>
      <x:c r="J32" s="40" t="n">
        <x:v>17</x:v>
      </x:c>
      <x:c r="K32" s="40" t="n">
        <x:v>48141</x:v>
      </x:c>
      <x:c r="L32" s="40" t="n">
        <x:v>200000</x:v>
      </x:c>
      <x:c r="M32" s="40" t="n">
        <x:f>IF(OR(J32="",K32="",K32=0),"",J32/K32*L32)</x:f>
        <x:v>70.62586984067634</x:v>
      </x:c>
      <x:c r="N32" s="22" t="str">
        <x:f>IF(M32="","",IF(I32="Mayor es mejor",IF(M32&gt;=H32,"En meta",IF(M32&gt;=H32*0.9,"Alerta","Crítico")),IF(M32&lt;=H32,"En meta",IF(M32&lt;=H32*1.1,"Alerta","Crítico"))))</x:f>
        <x:v>En meta</x:v>
      </x:c>
      <x:c r="O32" s="22" t="str">
        <x:v>Índice</x:v>
      </x:c>
      <x:c r="P32" s="22" t="str">
        <x:v>Líder SG-SST</x:v>
      </x:c>
      <x:c r="Q32" s="22" t="str">
        <x:v>Matriz de accidentalidad / nómina</x:v>
      </x:c>
      <x:c r="R32" s="22" t="str"/>
    </x:row>
    <x:row r="33">
      <x:c r="A33" s="46" t="n">
        <x:v>44985</x:v>
      </x:c>
      <x:c r="B33" s="22" t="n">
        <x:v>2023</x:v>
      </x:c>
      <x:c r="C33" s="22" t="str">
        <x:v>Febrero</x:v>
      </x:c>
      <x:c r="D33" s="22" t="str">
        <x:v>R03</x:v>
      </x:c>
      <x:c r="E33" s="22" t="str">
        <x:v>Índice de lesión incapacitante (ILI)</x:v>
      </x:c>
      <x:c r="F33" s="22" t="str">
        <x:v>Resultado</x:v>
      </x:c>
      <x:c r="G33" s="22" t="str">
        <x:v>Mensual</x:v>
      </x:c>
      <x:c r="H33" s="40" t="n">
        <x:v>0.25</x:v>
      </x:c>
      <x:c r="I33" s="22" t="str">
        <x:v>Menor es mejor</x:v>
      </x:c>
      <x:c r="J33" s="40" t="n">
        <x:v>293.4126</x:v>
      </x:c>
      <x:c r="K33" s="40" t="n">
        <x:v>1000</x:v>
      </x:c>
      <x:c r="L33" s="40" t="n">
        <x:v>1</x:v>
      </x:c>
      <x:c r="M33" s="40" t="n">
        <x:f>IF(OR(J33="",K33="",K33=0),"",J33/K33*L33)</x:f>
        <x:v>0.2934126</x:v>
      </x:c>
      <x:c r="N33" s="22" t="str">
        <x:f>IF(M33="","",IF(I33="Mayor es mejor",IF(M33&gt;=H33,"En meta",IF(M33&gt;=H33*0.9,"Alerta","Crítico")),IF(M33&lt;=H33,"En meta",IF(M33&lt;=H33*1.1,"Alerta","Crítico"))))</x:f>
        <x:v>Crítico</x:v>
      </x:c>
      <x:c r="O33" s="22" t="str">
        <x:v>Índice</x:v>
      </x:c>
      <x:c r="P33" s="22" t="str">
        <x:v>Líder SG-SST</x:v>
      </x:c>
      <x:c r="Q33" s="22" t="str">
        <x:v>Indicadores derivados de accidentalidad</x:v>
      </x:c>
      <x:c r="R33" s="22" t="str">
        <x:v>ILI calculado sobre IF e IS del periodo.</x:v>
      </x:c>
    </x:row>
    <x:row r="34">
      <x:c r="A34" s="46" t="n">
        <x:v>44985</x:v>
      </x:c>
      <x:c r="B34" s="22" t="n">
        <x:v>2023</x:v>
      </x:c>
      <x:c r="C34" s="22" t="str">
        <x:v>Febrero</x:v>
      </x:c>
      <x:c r="D34" s="22" t="str">
        <x:v>R04</x:v>
      </x:c>
      <x:c r="E34" s="22" t="str">
        <x:v>Tasa de accidentalidad</x:v>
      </x:c>
      <x:c r="F34" s="22" t="str">
        <x:v>Resultado</x:v>
      </x:c>
      <x:c r="G34" s="22" t="str">
        <x:v>Mensual</x:v>
      </x:c>
      <x:c r="H34" s="40" t="n">
        <x:v>0.6</x:v>
      </x:c>
      <x:c r="I34" s="22" t="str">
        <x:v>Menor es mejor</x:v>
      </x:c>
      <x:c r="J34" s="40" t="n">
        <x:v>0.93</x:v>
      </x:c>
      <x:c r="K34" s="40" t="n">
        <x:v>205</x:v>
      </x:c>
      <x:c r="L34" s="40" t="n">
        <x:v>100</x:v>
      </x:c>
      <x:c r="M34" s="40" t="n">
        <x:f>IF(OR(J34="",K34="",K34=0),"",J34/K34*L34)</x:f>
        <x:v>0.4536585365853659</x:v>
      </x:c>
      <x:c r="N34" s="22" t="str">
        <x:f>IF(M34="","",IF(I34="Mayor es mejor",IF(M34&gt;=H34,"En meta",IF(M34&gt;=H34*0.9,"Alerta","Crítico")),IF(M34&lt;=H34,"En meta",IF(M34&lt;=H34*1.1,"Alerta","Crítico"))))</x:f>
        <x:v>En meta</x:v>
      </x:c>
      <x:c r="O34" s="22" t="str">
        <x:v>%</x:v>
      </x:c>
      <x:c r="P34" s="22" t="str">
        <x:v>Líder SG-SST</x:v>
      </x:c>
      <x:c r="Q34" s="22" t="str">
        <x:v>Matriz de accidentalidad / nómina</x:v>
      </x:c>
      <x:c r="R34" s="22" t="str"/>
    </x:row>
    <x:row r="35">
      <x:c r="A35" s="46" t="n">
        <x:v>44985</x:v>
      </x:c>
      <x:c r="B35" s="22" t="n">
        <x:v>2023</x:v>
      </x:c>
      <x:c r="C35" s="22" t="str">
        <x:v>Febrero</x:v>
      </x:c>
      <x:c r="D35" s="22" t="str">
        <x:v>R05</x:v>
      </x:c>
      <x:c r="E35" s="22" t="str">
        <x:v>Prevalencia de enfermedad laboral</x:v>
      </x:c>
      <x:c r="F35" s="22" t="str">
        <x:v>Resultado</x:v>
      </x:c>
      <x:c r="G35" s="22" t="str">
        <x:v>Mensual</x:v>
      </x:c>
      <x:c r="H35" s="40" t="n">
        <x:v>0.3</x:v>
      </x:c>
      <x:c r="I35" s="22" t="str">
        <x:v>Menor es mejor</x:v>
      </x:c>
      <x:c r="J35" s="40" t="n">
        <x:v>0.02</x:v>
      </x:c>
      <x:c r="K35" s="40" t="n">
        <x:v>205</x:v>
      </x:c>
      <x:c r="L35" s="40" t="n">
        <x:v>100</x:v>
      </x:c>
      <x:c r="M35" s="40" t="n">
        <x:f>IF(OR(J35="",K35="",K35=0),"",J35/K35*L35)</x:f>
        <x:v>0.00975609756097561</x:v>
      </x:c>
      <x:c r="N35" s="22" t="str">
        <x:f>IF(M35="","",IF(I35="Mayor es mejor",IF(M35&gt;=H35,"En meta",IF(M35&gt;=H35*0.9,"Alerta","Crítico")),IF(M35&lt;=H35,"En meta",IF(M35&lt;=H35*1.1,"Alerta","Crítico"))))</x:f>
        <x:v>En meta</x:v>
      </x:c>
      <x:c r="O35" s="22" t="str">
        <x:v>%</x:v>
      </x:c>
      <x:c r="P35" s="22" t="str">
        <x:v>Líder SG-SST / Medicina laboral</x:v>
      </x:c>
      <x:c r="Q35" s="22" t="str">
        <x:v>Matriz de enfermedad laboral / nómina</x:v>
      </x:c>
      <x:c r="R35" s="22" t="str"/>
    </x:row>
    <x:row r="36">
      <x:c r="A36" s="46" t="n">
        <x:v>44985</x:v>
      </x:c>
      <x:c r="B36" s="22" t="n">
        <x:v>2023</x:v>
      </x:c>
      <x:c r="C36" s="22" t="str">
        <x:v>Febrero</x:v>
      </x:c>
      <x:c r="D36" s="22" t="str">
        <x:v>R06</x:v>
      </x:c>
      <x:c r="E36" s="22" t="str">
        <x:v>% cumplimiento de estándares mínimos Res. 0312 de 2019</x:v>
      </x:c>
      <x:c r="F36" s="22" t="str">
        <x:v>Resultado</x:v>
      </x:c>
      <x:c r="G36" s="22" t="str">
        <x:v>Mensual</x:v>
      </x:c>
      <x:c r="H36" s="40" t="n">
        <x:v>95</x:v>
      </x:c>
      <x:c r="I36" s="22" t="str">
        <x:v>Mayor es mejor</x:v>
      </x:c>
      <x:c r="J36" s="40" t="n">
        <x:v>97</x:v>
      </x:c>
      <x:c r="K36" s="40" t="n">
        <x:v>100</x:v>
      </x:c>
      <x:c r="L36" s="40" t="n">
        <x:v>100</x:v>
      </x:c>
      <x:c r="M36" s="40" t="n">
        <x:f>IF(OR(J36="",K36="",K36=0),"",J36/K36*L36)</x:f>
        <x:v>97</x:v>
      </x:c>
      <x:c r="N36" s="22" t="str">
        <x:f>IF(M36="","",IF(I36="Mayor es mejor",IF(M36&gt;=H36,"En meta",IF(M36&gt;=H36*0.9,"Alerta","Crítico")),IF(M36&lt;=H36,"En meta",IF(M36&lt;=H36*1.1,"Alerta","Crítico"))))</x:f>
        <x:v>En meta</x:v>
      </x:c>
      <x:c r="O36" s="22" t="str">
        <x:v>%</x:v>
      </x:c>
      <x:c r="P36" s="22" t="str">
        <x:v>Líder SG-SST / Alta Dirección</x:v>
      </x:c>
      <x:c r="Q36" s="22" t="str">
        <x:v>Autodiagnóstico Res. 0312 de 2019</x:v>
      </x:c>
      <x:c r="R36" s="22" t="str"/>
    </x:row>
    <x:row r="37">
      <x:c r="A37" s="46" t="n">
        <x:v>45016</x:v>
      </x:c>
      <x:c r="B37" s="22" t="n">
        <x:v>2023</x:v>
      </x:c>
      <x:c r="C37" s="22" t="str">
        <x:v>Marzo</x:v>
      </x:c>
      <x:c r="D37" s="22" t="str">
        <x:v>E01</x:v>
      </x:c>
      <x:c r="E37" s="22" t="str">
        <x:v>% ejecución presupuestal del SG-SST</x:v>
      </x:c>
      <x:c r="F37" s="22" t="str">
        <x:v>Estructura</x:v>
      </x:c>
      <x:c r="G37" s="22" t="str">
        <x:v>Mensual</x:v>
      </x:c>
      <x:c r="H37" s="40" t="n">
        <x:v>95</x:v>
      </x:c>
      <x:c r="I37" s="22" t="str">
        <x:v>Mayor es mejor</x:v>
      </x:c>
      <x:c r="J37" s="40" t="n">
        <x:v>5095690</x:v>
      </x:c>
      <x:c r="K37" s="40" t="n">
        <x:v>5500000</x:v>
      </x:c>
      <x:c r="L37" s="40" t="n">
        <x:v>100</x:v>
      </x:c>
      <x:c r="M37" s="40" t="n">
        <x:f>IF(OR(J37="",K37="",K37=0),"",J37/K37*L37)</x:f>
        <x:v>92.64890909090909</x:v>
      </x:c>
      <x:c r="N37" s="22" t="str">
        <x:f>IF(M37="","",IF(I37="Mayor es mejor",IF(M37&gt;=H37,"En meta",IF(M37&gt;=H37*0.9,"Alerta","Crítico")),IF(M37&lt;=H37,"En meta",IF(M37&lt;=H37*1.1,"Alerta","Crítico"))))</x:f>
        <x:v>Alerta</x:v>
      </x:c>
      <x:c r="O37" s="22" t="str">
        <x:v>%</x:v>
      </x:c>
      <x:c r="P37" s="22" t="str">
        <x:v>Líder SG-SST / Dirección Administrativa</x:v>
      </x:c>
      <x:c r="Q37" s="22" t="str">
        <x:v>Presupuesto SST</x:v>
      </x:c>
      <x:c r="R37" s="22" t="str"/>
    </x:row>
    <x:row r="38">
      <x:c r="A38" s="46" t="n">
        <x:v>45016</x:v>
      </x:c>
      <x:c r="B38" s="22" t="n">
        <x:v>2023</x:v>
      </x:c>
      <x:c r="C38" s="22" t="str">
        <x:v>Marzo</x:v>
      </x:c>
      <x:c r="D38" s="22" t="str">
        <x:v>E02</x:v>
      </x:c>
      <x:c r="E38" s="22" t="str">
        <x:v>% cobertura del plan de formación y capacitación SG-SST</x:v>
      </x:c>
      <x:c r="F38" s="22" t="str">
        <x:v>Estructura</x:v>
      </x:c>
      <x:c r="G38" s="22" t="str">
        <x:v>Mensual</x:v>
      </x:c>
      <x:c r="H38" s="40" t="n">
        <x:v>90</x:v>
      </x:c>
      <x:c r="I38" s="22" t="str">
        <x:v>Mayor es mejor</x:v>
      </x:c>
      <x:c r="J38" s="40" t="n">
        <x:v>21</x:v>
      </x:c>
      <x:c r="K38" s="40" t="n">
        <x:v>24</x:v>
      </x:c>
      <x:c r="L38" s="40" t="n">
        <x:v>100</x:v>
      </x:c>
      <x:c r="M38" s="40" t="n">
        <x:f>IF(OR(J38="",K38="",K38=0),"",J38/K38*L38)</x:f>
        <x:v>87.5</x:v>
      </x:c>
      <x:c r="N38" s="22" t="str">
        <x:f>IF(M38="","",IF(I38="Mayor es mejor",IF(M38&gt;=H38,"En meta",IF(M38&gt;=H38*0.9,"Alerta","Crítico")),IF(M38&lt;=H38,"En meta",IF(M38&lt;=H38*1.1,"Alerta","Crítico"))))</x:f>
        <x:v>Alerta</x:v>
      </x:c>
      <x:c r="O38" s="22" t="str">
        <x:v>%</x:v>
      </x:c>
      <x:c r="P38" s="22" t="str">
        <x:v>Líder SG-SST / Talento Humano</x:v>
      </x:c>
      <x:c r="Q38" s="22" t="str">
        <x:v>Plan de formación y capacitaciones</x:v>
      </x:c>
      <x:c r="R38" s="22" t="str"/>
    </x:row>
    <x:row r="39">
      <x:c r="A39" s="46" t="n">
        <x:v>45016</x:v>
      </x:c>
      <x:c r="B39" s="22" t="n">
        <x:v>2023</x:v>
      </x:c>
      <x:c r="C39" s="22" t="str">
        <x:v>Marzo</x:v>
      </x:c>
      <x:c r="D39" s="22" t="str">
        <x:v>E03</x:v>
      </x:c>
      <x:c r="E39" s="22" t="str">
        <x:v>% trabajadores con exámenes médicos ocupacionales vigentes</x:v>
      </x:c>
      <x:c r="F39" s="22" t="str">
        <x:v>Estructura</x:v>
      </x:c>
      <x:c r="G39" s="22" t="str">
        <x:v>Mensual</x:v>
      </x:c>
      <x:c r="H39" s="40" t="n">
        <x:v>95</x:v>
      </x:c>
      <x:c r="I39" s="22" t="str">
        <x:v>Mayor es mejor</x:v>
      </x:c>
      <x:c r="J39" s="40" t="n">
        <x:v>194</x:v>
      </x:c>
      <x:c r="K39" s="40" t="n">
        <x:v>208</x:v>
      </x:c>
      <x:c r="L39" s="40" t="n">
        <x:v>100</x:v>
      </x:c>
      <x:c r="M39" s="40" t="n">
        <x:f>IF(OR(J39="",K39="",K39=0),"",J39/K39*L39)</x:f>
        <x:v>93.26923076923077</x:v>
      </x:c>
      <x:c r="N39" s="22" t="str">
        <x:f>IF(M39="","",IF(I39="Mayor es mejor",IF(M39&gt;=H39,"En meta",IF(M39&gt;=H39*0.9,"Alerta","Crítico")),IF(M39&lt;=H39,"En meta",IF(M39&lt;=H39*1.1,"Alerta","Crítico"))))</x:f>
        <x:v>Alerta</x:v>
      </x:c>
      <x:c r="O39" s="22" t="str">
        <x:v>%</x:v>
      </x:c>
      <x:c r="P39" s="22" t="str">
        <x:v>Líder SG-SST / Talento Humano</x:v>
      </x:c>
      <x:c r="Q39" s="22" t="str">
        <x:v>Matriz de seguimiento EMO</x:v>
      </x:c>
      <x:c r="R39" s="22" t="str"/>
    </x:row>
    <x:row r="40">
      <x:c r="A40" s="46" t="n">
        <x:v>45016</x:v>
      </x:c>
      <x:c r="B40" s="22" t="n">
        <x:v>2023</x:v>
      </x:c>
      <x:c r="C40" s="22" t="str">
        <x:v>Marzo</x:v>
      </x:c>
      <x:c r="D40" s="22" t="str">
        <x:v>E04</x:v>
      </x:c>
      <x:c r="E40" s="22" t="str">
        <x:v>% cumplimiento de requisitos legales aplicables en SST</x:v>
      </x:c>
      <x:c r="F40" s="22" t="str">
        <x:v>Estructura</x:v>
      </x:c>
      <x:c r="G40" s="22" t="str">
        <x:v>Mensual</x:v>
      </x:c>
      <x:c r="H40" s="40" t="n">
        <x:v>95</x:v>
      </x:c>
      <x:c r="I40" s="22" t="str">
        <x:v>Mayor es mejor</x:v>
      </x:c>
      <x:c r="J40" s="40" t="n">
        <x:v>56</x:v>
      </x:c>
      <x:c r="K40" s="40" t="n">
        <x:v>60</x:v>
      </x:c>
      <x:c r="L40" s="40" t="n">
        <x:v>100</x:v>
      </x:c>
      <x:c r="M40" s="40" t="n">
        <x:f>IF(OR(J40="",K40="",K40=0),"",J40/K40*L40)</x:f>
        <x:v>93.33333333333333</x:v>
      </x:c>
      <x:c r="N40" s="22" t="str">
        <x:f>IF(M40="","",IF(I40="Mayor es mejor",IF(M40&gt;=H40,"En meta",IF(M40&gt;=H40*0.9,"Alerta","Crítico")),IF(M40&lt;=H40,"En meta",IF(M40&lt;=H40*1.1,"Alerta","Crítico"))))</x:f>
        <x:v>Alerta</x:v>
      </x:c>
      <x:c r="O40" s="22" t="str">
        <x:v>%</x:v>
      </x:c>
      <x:c r="P40" s="22" t="str">
        <x:v>Líder SG-SST / Jurídica</x:v>
      </x:c>
      <x:c r="Q40" s="22" t="str">
        <x:v>Matriz legal SGRL</x:v>
      </x:c>
      <x:c r="R40" s="22" t="str"/>
    </x:row>
    <x:row r="41">
      <x:c r="A41" s="46" t="n">
        <x:v>45016</x:v>
      </x:c>
      <x:c r="B41" s="22" t="n">
        <x:v>2023</x:v>
      </x:c>
      <x:c r="C41" s="22" t="str">
        <x:v>Marzo</x:v>
      </x:c>
      <x:c r="D41" s="22" t="str">
        <x:v>E05</x:v>
      </x:c>
      <x:c r="E41" s="22" t="str">
        <x:v>% proveedores y contratistas aprobados en SST</x:v>
      </x:c>
      <x:c r="F41" s="22" t="str">
        <x:v>Estructura</x:v>
      </x:c>
      <x:c r="G41" s="22" t="str">
        <x:v>Mensual</x:v>
      </x:c>
      <x:c r="H41" s="40" t="n">
        <x:v>90</x:v>
      </x:c>
      <x:c r="I41" s="22" t="str">
        <x:v>Mayor es mejor</x:v>
      </x:c>
      <x:c r="J41" s="40" t="n">
        <x:v>18</x:v>
      </x:c>
      <x:c r="K41" s="40" t="n">
        <x:v>20</x:v>
      </x:c>
      <x:c r="L41" s="40" t="n">
        <x:v>100</x:v>
      </x:c>
      <x:c r="M41" s="40" t="n">
        <x:f>IF(OR(J41="",K41="",K41=0),"",J41/K41*L41)</x:f>
        <x:v>90</x:v>
      </x:c>
      <x:c r="N41" s="22" t="str">
        <x:f>IF(M41="","",IF(I41="Mayor es mejor",IF(M41&gt;=H41,"En meta",IF(M41&gt;=H41*0.9,"Alerta","Crítico")),IF(M41&lt;=H41,"En meta",IF(M41&lt;=H41*1.1,"Alerta","Crítico"))))</x:f>
        <x:v>En meta</x:v>
      </x:c>
      <x:c r="O41" s="22" t="str">
        <x:v>%</x:v>
      </x:c>
      <x:c r="P41" s="22" t="str">
        <x:v>Compras / Líder SG-SST</x:v>
      </x:c>
      <x:c r="Q41" s="22" t="str">
        <x:v>Gestión de proveedores y contratistas</x:v>
      </x:c>
      <x:c r="R41" s="22" t="str"/>
    </x:row>
    <x:row r="42">
      <x:c r="A42" s="46" t="n">
        <x:v>45016</x:v>
      </x:c>
      <x:c r="B42" s="22" t="n">
        <x:v>2023</x:v>
      </x:c>
      <x:c r="C42" s="22" t="str">
        <x:v>Marzo</x:v>
      </x:c>
      <x:c r="D42" s="22" t="str">
        <x:v>P01</x:v>
      </x:c>
      <x:c r="E42" s="22" t="str">
        <x:v>% ejecución del plan anual de trabajo SG-SST</x:v>
      </x:c>
      <x:c r="F42" s="22" t="str">
        <x:v>Proceso</x:v>
      </x:c>
      <x:c r="G42" s="22" t="str">
        <x:v>Mensual</x:v>
      </x:c>
      <x:c r="H42" s="40" t="n">
        <x:v>90</x:v>
      </x:c>
      <x:c r="I42" s="22" t="str">
        <x:v>Mayor es mejor</x:v>
      </x:c>
      <x:c r="J42" s="40" t="n">
        <x:v>9</x:v>
      </x:c>
      <x:c r="K42" s="40" t="n">
        <x:v>10</x:v>
      </x:c>
      <x:c r="L42" s="40" t="n">
        <x:v>100</x:v>
      </x:c>
      <x:c r="M42" s="40" t="n">
        <x:f>IF(OR(J42="",K42="",K42=0),"",J42/K42*L42)</x:f>
        <x:v>90</x:v>
      </x:c>
      <x:c r="N42" s="22" t="str">
        <x:f>IF(M42="","",IF(I42="Mayor es mejor",IF(M42&gt;=H42,"En meta",IF(M42&gt;=H42*0.9,"Alerta","Crítico")),IF(M42&lt;=H42,"En meta",IF(M42&lt;=H42*1.1,"Alerta","Crítico"))))</x:f>
        <x:v>En meta</x:v>
      </x:c>
      <x:c r="O42" s="22" t="str">
        <x:v>%</x:v>
      </x:c>
      <x:c r="P42" s="22" t="str">
        <x:v>Líder SG-SST</x:v>
      </x:c>
      <x:c r="Q42" s="22" t="str">
        <x:v>Plan anual de trabajo PHVA</x:v>
      </x:c>
      <x:c r="R42" s="22" t="str"/>
    </x:row>
    <x:row r="43">
      <x:c r="A43" s="46" t="n">
        <x:v>45016</x:v>
      </x:c>
      <x:c r="B43" s="22" t="n">
        <x:v>2023</x:v>
      </x:c>
      <x:c r="C43" s="22" t="str">
        <x:v>Marzo</x:v>
      </x:c>
      <x:c r="D43" s="22" t="str">
        <x:v>P02</x:v>
      </x:c>
      <x:c r="E43" s="22" t="str">
        <x:v>% investigaciones de accidentes realizadas oportunamente</x:v>
      </x:c>
      <x:c r="F43" s="22" t="str">
        <x:v>Proceso</x:v>
      </x:c>
      <x:c r="G43" s="22" t="str">
        <x:v>Mensual</x:v>
      </x:c>
      <x:c r="H43" s="40" t="n">
        <x:v>95</x:v>
      </x:c>
      <x:c r="I43" s="22" t="str">
        <x:v>Mayor es mejor</x:v>
      </x:c>
      <x:c r="J43" s="40" t="n">
        <x:v>1</x:v>
      </x:c>
      <x:c r="K43" s="40" t="n">
        <x:v>1</x:v>
      </x:c>
      <x:c r="L43" s="40" t="n">
        <x:v>100</x:v>
      </x:c>
      <x:c r="M43" s="40" t="n">
        <x:f>IF(OR(J43="",K43="",K43=0),"",J43/K43*L43)</x:f>
        <x:v>100</x:v>
      </x:c>
      <x:c r="N43" s="22" t="str">
        <x:f>IF(M43="","",IF(I43="Mayor es mejor",IF(M43&gt;=H43,"En meta",IF(M43&gt;=H43*0.9,"Alerta","Crítico")),IF(M43&lt;=H43,"En meta",IF(M43&lt;=H43*1.1,"Alerta","Crítico"))))</x:f>
        <x:v>En meta</x:v>
      </x:c>
      <x:c r="O43" s="22" t="str">
        <x:v>%</x:v>
      </x:c>
      <x:c r="P43" s="22" t="str">
        <x:v>Líder SG-SST / COPASST</x:v>
      </x:c>
      <x:c r="Q43" s="22" t="str">
        <x:v>Matriz de accidentalidad</x:v>
      </x:c>
      <x:c r="R43" s="22" t="str"/>
    </x:row>
    <x:row r="44">
      <x:c r="A44" s="46" t="n">
        <x:v>45016</x:v>
      </x:c>
      <x:c r="B44" s="22" t="n">
        <x:v>2023</x:v>
      </x:c>
      <x:c r="C44" s="22" t="str">
        <x:v>Marzo</x:v>
      </x:c>
      <x:c r="D44" s="22" t="str">
        <x:v>P03</x:v>
      </x:c>
      <x:c r="E44" s="22" t="str">
        <x:v>% cierre oportuno de acciones correctivas, preventivas y de mejora</x:v>
      </x:c>
      <x:c r="F44" s="22" t="str">
        <x:v>Proceso</x:v>
      </x:c>
      <x:c r="G44" s="22" t="str">
        <x:v>Mensual</x:v>
      </x:c>
      <x:c r="H44" s="40" t="n">
        <x:v>90</x:v>
      </x:c>
      <x:c r="I44" s="22" t="str">
        <x:v>Mayor es mejor</x:v>
      </x:c>
      <x:c r="J44" s="40" t="n">
        <x:v>11</x:v>
      </x:c>
      <x:c r="K44" s="40" t="n">
        <x:v>13</x:v>
      </x:c>
      <x:c r="L44" s="40" t="n">
        <x:v>100</x:v>
      </x:c>
      <x:c r="M44" s="40" t="n">
        <x:f>IF(OR(J44="",K44="",K44=0),"",J44/K44*L44)</x:f>
        <x:v>84.61538461538461</x:v>
      </x:c>
      <x:c r="N44" s="22" t="str">
        <x:f>IF(M44="","",IF(I44="Mayor es mejor",IF(M44&gt;=H44,"En meta",IF(M44&gt;=H44*0.9,"Alerta","Crítico")),IF(M44&lt;=H44,"En meta",IF(M44&lt;=H44*1.1,"Alerta","Crítico"))))</x:f>
        <x:v>Alerta</x:v>
      </x:c>
      <x:c r="O44" s="22" t="str">
        <x:v>%</x:v>
      </x:c>
      <x:c r="P44" s="22" t="str">
        <x:v>Líder SG-SST / Responsables de proceso</x:v>
      </x:c>
      <x:c r="Q44" s="22" t="str">
        <x:v>Matriz APCM</x:v>
      </x:c>
      <x:c r="R44" s="22" t="str"/>
    </x:row>
    <x:row r="45">
      <x:c r="A45" s="46" t="n">
        <x:v>45016</x:v>
      </x:c>
      <x:c r="B45" s="22" t="n">
        <x:v>2023</x:v>
      </x:c>
      <x:c r="C45" s="22" t="str">
        <x:v>Marzo</x:v>
      </x:c>
      <x:c r="D45" s="22" t="str">
        <x:v>P04</x:v>
      </x:c>
      <x:c r="E45" s="22" t="str">
        <x:v>% inspecciones de seguridad ejecutadas</x:v>
      </x:c>
      <x:c r="F45" s="22" t="str">
        <x:v>Proceso</x:v>
      </x:c>
      <x:c r="G45" s="22" t="str">
        <x:v>Mensual</x:v>
      </x:c>
      <x:c r="H45" s="40" t="n">
        <x:v>90</x:v>
      </x:c>
      <x:c r="I45" s="22" t="str">
        <x:v>Mayor es mejor</x:v>
      </x:c>
      <x:c r="J45" s="40" t="n">
        <x:v>10</x:v>
      </x:c>
      <x:c r="K45" s="40" t="n">
        <x:v>11</x:v>
      </x:c>
      <x:c r="L45" s="40" t="n">
        <x:v>100</x:v>
      </x:c>
      <x:c r="M45" s="40" t="n">
        <x:f>IF(OR(J45="",K45="",K45=0),"",J45/K45*L45)</x:f>
        <x:v>90.9090909090909</x:v>
      </x:c>
      <x:c r="N45" s="22" t="str">
        <x:f>IF(M45="","",IF(I45="Mayor es mejor",IF(M45&gt;=H45,"En meta",IF(M45&gt;=H45*0.9,"Alerta","Crítico")),IF(M45&lt;=H45,"En meta",IF(M45&lt;=H45*1.1,"Alerta","Crítico"))))</x:f>
        <x:v>En meta</x:v>
      </x:c>
      <x:c r="O45" s="22" t="str">
        <x:v>%</x:v>
      </x:c>
      <x:c r="P45" s="22" t="str">
        <x:v>Líder SG-SST / Supervisores</x:v>
      </x:c>
      <x:c r="Q45" s="22" t="str">
        <x:v>Programa de inspecciones</x:v>
      </x:c>
      <x:c r="R45" s="22" t="str"/>
    </x:row>
    <x:row r="46">
      <x:c r="A46" s="46" t="n">
        <x:v>45016</x:v>
      </x:c>
      <x:c r="B46" s="22" t="n">
        <x:v>2023</x:v>
      </x:c>
      <x:c r="C46" s="22" t="str">
        <x:v>Marzo</x:v>
      </x:c>
      <x:c r="D46" s="22" t="str">
        <x:v>P05</x:v>
      </x:c>
      <x:c r="E46" s="22" t="str">
        <x:v>% mantenimientos preventivos ejecutados</x:v>
      </x:c>
      <x:c r="F46" s="22" t="str">
        <x:v>Proceso</x:v>
      </x:c>
      <x:c r="G46" s="22" t="str">
        <x:v>Mensual</x:v>
      </x:c>
      <x:c r="H46" s="40" t="n">
        <x:v>90</x:v>
      </x:c>
      <x:c r="I46" s="22" t="str">
        <x:v>Mayor es mejor</x:v>
      </x:c>
      <x:c r="J46" s="40" t="n">
        <x:v>13</x:v>
      </x:c>
      <x:c r="K46" s="40" t="n">
        <x:v>15</x:v>
      </x:c>
      <x:c r="L46" s="40" t="n">
        <x:v>100</x:v>
      </x:c>
      <x:c r="M46" s="40" t="n">
        <x:f>IF(OR(J46="",K46="",K46=0),"",J46/K46*L46)</x:f>
        <x:v>86.66666666666667</x:v>
      </x:c>
      <x:c r="N46" s="22" t="str">
        <x:f>IF(M46="","",IF(I46="Mayor es mejor",IF(M46&gt;=H46,"En meta",IF(M46&gt;=H46*0.9,"Alerta","Crítico")),IF(M46&lt;=H46,"En meta",IF(M46&lt;=H46*1.1,"Alerta","Crítico"))))</x:f>
        <x:v>Alerta</x:v>
      </x:c>
      <x:c r="O46" s="22" t="str">
        <x:v>%</x:v>
      </x:c>
      <x:c r="P46" s="22" t="str">
        <x:v>Mantenimiento / Líder SG-SST</x:v>
      </x:c>
      <x:c r="Q46" s="22" t="str">
        <x:v>Programa de mantenimiento preventivo</x:v>
      </x:c>
      <x:c r="R46" s="22" t="str"/>
    </x:row>
    <x:row r="47">
      <x:c r="A47" s="46" t="n">
        <x:v>45016</x:v>
      </x:c>
      <x:c r="B47" s="22" t="n">
        <x:v>2023</x:v>
      </x:c>
      <x:c r="C47" s="22" t="str">
        <x:v>Marzo</x:v>
      </x:c>
      <x:c r="D47" s="22" t="str">
        <x:v>R01</x:v>
      </x:c>
      <x:c r="E47" s="22" t="str">
        <x:v>Índice de frecuencia de accidentalidad (IF)</x:v>
      </x:c>
      <x:c r="F47" s="22" t="str">
        <x:v>Resultado</x:v>
      </x:c>
      <x:c r="G47" s="22" t="str">
        <x:v>Mensual</x:v>
      </x:c>
      <x:c r="H47" s="40" t="n">
        <x:v>3.5</x:v>
      </x:c>
      <x:c r="I47" s="22" t="str">
        <x:v>Menor es mejor</x:v>
      </x:c>
      <x:c r="J47" s="40" t="n">
        <x:v>1</x:v>
      </x:c>
      <x:c r="K47" s="40" t="n">
        <x:v>49571</x:v>
      </x:c>
      <x:c r="L47" s="40" t="n">
        <x:v>200000</x:v>
      </x:c>
      <x:c r="M47" s="40" t="n">
        <x:f>IF(OR(J47="",K47="",K47=0),"",J47/K47*L47)</x:f>
        <x:v>4.034617013979949</x:v>
      </x:c>
      <x:c r="N47" s="22" t="str">
        <x:f>IF(M47="","",IF(I47="Mayor es mejor",IF(M47&gt;=H47,"En meta",IF(M47&gt;=H47*0.9,"Alerta","Crítico")),IF(M47&lt;=H47,"En meta",IF(M47&lt;=H47*1.1,"Alerta","Crítico"))))</x:f>
        <x:v>Crítico</x:v>
      </x:c>
      <x:c r="O47" s="22" t="str">
        <x:v>Índice</x:v>
      </x:c>
      <x:c r="P47" s="22" t="str">
        <x:v>Líder SG-SST</x:v>
      </x:c>
      <x:c r="Q47" s="22" t="str">
        <x:v>Matriz de accidentalidad / nómina</x:v>
      </x:c>
      <x:c r="R47" s="22" t="str"/>
    </x:row>
    <x:row r="48">
      <x:c r="A48" s="46" t="n">
        <x:v>45016</x:v>
      </x:c>
      <x:c r="B48" s="22" t="n">
        <x:v>2023</x:v>
      </x:c>
      <x:c r="C48" s="22" t="str">
        <x:v>Marzo</x:v>
      </x:c>
      <x:c r="D48" s="22" t="str">
        <x:v>R02</x:v>
      </x:c>
      <x:c r="E48" s="22" t="str">
        <x:v>Índice de severidad de accidentalidad (IS)</x:v>
      </x:c>
      <x:c r="F48" s="22" t="str">
        <x:v>Resultado</x:v>
      </x:c>
      <x:c r="G48" s="22" t="str">
        <x:v>Mensual</x:v>
      </x:c>
      <x:c r="H48" s="40" t="n">
        <x:v>80</x:v>
      </x:c>
      <x:c r="I48" s="22" t="str">
        <x:v>Menor es mejor</x:v>
      </x:c>
      <x:c r="J48" s="40" t="n">
        <x:v>19</x:v>
      </x:c>
      <x:c r="K48" s="40" t="n">
        <x:v>49571</x:v>
      </x:c>
      <x:c r="L48" s="40" t="n">
        <x:v>200000</x:v>
      </x:c>
      <x:c r="M48" s="40" t="n">
        <x:f>IF(OR(J48="",K48="",K48=0),"",J48/K48*L48)</x:f>
        <x:v>76.65772326561901</x:v>
      </x:c>
      <x:c r="N48" s="22" t="str">
        <x:f>IF(M48="","",IF(I48="Mayor es mejor",IF(M48&gt;=H48,"En meta",IF(M48&gt;=H48*0.9,"Alerta","Crítico")),IF(M48&lt;=H48,"En meta",IF(M48&lt;=H48*1.1,"Alerta","Crítico"))))</x:f>
        <x:v>En meta</x:v>
      </x:c>
      <x:c r="O48" s="22" t="str">
        <x:v>Índice</x:v>
      </x:c>
      <x:c r="P48" s="22" t="str">
        <x:v>Líder SG-SST</x:v>
      </x:c>
      <x:c r="Q48" s="22" t="str">
        <x:v>Matriz de accidentalidad / nómina</x:v>
      </x:c>
      <x:c r="R48" s="22" t="str"/>
    </x:row>
    <x:row r="49">
      <x:c r="A49" s="46" t="n">
        <x:v>45016</x:v>
      </x:c>
      <x:c r="B49" s="22" t="n">
        <x:v>2023</x:v>
      </x:c>
      <x:c r="C49" s="22" t="str">
        <x:v>Marzo</x:v>
      </x:c>
      <x:c r="D49" s="22" t="str">
        <x:v>R03</x:v>
      </x:c>
      <x:c r="E49" s="22" t="str">
        <x:v>Índice de lesión incapacitante (ILI)</x:v>
      </x:c>
      <x:c r="F49" s="22" t="str">
        <x:v>Resultado</x:v>
      </x:c>
      <x:c r="G49" s="22" t="str">
        <x:v>Mensual</x:v>
      </x:c>
      <x:c r="H49" s="40" t="n">
        <x:v>0.25</x:v>
      </x:c>
      <x:c r="I49" s="22" t="str">
        <x:v>Menor es mejor</x:v>
      </x:c>
      <x:c r="J49" s="40" t="n">
        <x:v>309.2846</x:v>
      </x:c>
      <x:c r="K49" s="40" t="n">
        <x:v>1000</x:v>
      </x:c>
      <x:c r="L49" s="40" t="n">
        <x:v>1</x:v>
      </x:c>
      <x:c r="M49" s="40" t="n">
        <x:f>IF(OR(J49="",K49="",K49=0),"",J49/K49*L49)</x:f>
        <x:v>0.3092846</x:v>
      </x:c>
      <x:c r="N49" s="22" t="str">
        <x:f>IF(M49="","",IF(I49="Mayor es mejor",IF(M49&gt;=H49,"En meta",IF(M49&gt;=H49*0.9,"Alerta","Crítico")),IF(M49&lt;=H49,"En meta",IF(M49&lt;=H49*1.1,"Alerta","Crítico"))))</x:f>
        <x:v>Crítico</x:v>
      </x:c>
      <x:c r="O49" s="22" t="str">
        <x:v>Índice</x:v>
      </x:c>
      <x:c r="P49" s="22" t="str">
        <x:v>Líder SG-SST</x:v>
      </x:c>
      <x:c r="Q49" s="22" t="str">
        <x:v>Indicadores derivados de accidentalidad</x:v>
      </x:c>
      <x:c r="R49" s="22" t="str">
        <x:v>ILI calculado sobre IF e IS del periodo.</x:v>
      </x:c>
    </x:row>
    <x:row r="50">
      <x:c r="A50" s="46" t="n">
        <x:v>45016</x:v>
      </x:c>
      <x:c r="B50" s="22" t="n">
        <x:v>2023</x:v>
      </x:c>
      <x:c r="C50" s="22" t="str">
        <x:v>Marzo</x:v>
      </x:c>
      <x:c r="D50" s="22" t="str">
        <x:v>R04</x:v>
      </x:c>
      <x:c r="E50" s="22" t="str">
        <x:v>Tasa de accidentalidad</x:v>
      </x:c>
      <x:c r="F50" s="22" t="str">
        <x:v>Resultado</x:v>
      </x:c>
      <x:c r="G50" s="22" t="str">
        <x:v>Mensual</x:v>
      </x:c>
      <x:c r="H50" s="40" t="n">
        <x:v>0.6</x:v>
      </x:c>
      <x:c r="I50" s="22" t="str">
        <x:v>Menor es mejor</x:v>
      </x:c>
      <x:c r="J50" s="40" t="n">
        <x:v>3.33</x:v>
      </x:c>
      <x:c r="K50" s="40" t="n">
        <x:v>208</x:v>
      </x:c>
      <x:c r="L50" s="40" t="n">
        <x:v>100</x:v>
      </x:c>
      <x:c r="M50" s="40" t="n">
        <x:f>IF(OR(J50="",K50="",K50=0),"",J50/K50*L50)</x:f>
        <x:v>1.6009615384615385</x:v>
      </x:c>
      <x:c r="N50" s="22" t="str">
        <x:f>IF(M50="","",IF(I50="Mayor es mejor",IF(M50&gt;=H50,"En meta",IF(M50&gt;=H50*0.9,"Alerta","Crítico")),IF(M50&lt;=H50,"En meta",IF(M50&lt;=H50*1.1,"Alerta","Crítico"))))</x:f>
        <x:v>Crítico</x:v>
      </x:c>
      <x:c r="O50" s="22" t="str">
        <x:v>%</x:v>
      </x:c>
      <x:c r="P50" s="22" t="str">
        <x:v>Líder SG-SST</x:v>
      </x:c>
      <x:c r="Q50" s="22" t="str">
        <x:v>Matriz de accidentalidad / nómina</x:v>
      </x:c>
      <x:c r="R50" s="22" t="str"/>
    </x:row>
    <x:row r="51">
      <x:c r="A51" s="46" t="n">
        <x:v>45016</x:v>
      </x:c>
      <x:c r="B51" s="22" t="n">
        <x:v>2023</x:v>
      </x:c>
      <x:c r="C51" s="22" t="str">
        <x:v>Marzo</x:v>
      </x:c>
      <x:c r="D51" s="22" t="str">
        <x:v>R05</x:v>
      </x:c>
      <x:c r="E51" s="22" t="str">
        <x:v>Prevalencia de enfermedad laboral</x:v>
      </x:c>
      <x:c r="F51" s="22" t="str">
        <x:v>Resultado</x:v>
      </x:c>
      <x:c r="G51" s="22" t="str">
        <x:v>Mensual</x:v>
      </x:c>
      <x:c r="H51" s="40" t="n">
        <x:v>0.3</x:v>
      </x:c>
      <x:c r="I51" s="22" t="str">
        <x:v>Menor es mejor</x:v>
      </x:c>
      <x:c r="J51" s="40" t="n">
        <x:v>0.02</x:v>
      </x:c>
      <x:c r="K51" s="40" t="n">
        <x:v>208</x:v>
      </x:c>
      <x:c r="L51" s="40" t="n">
        <x:v>100</x:v>
      </x:c>
      <x:c r="M51" s="40" t="n">
        <x:f>IF(OR(J51="",K51="",K51=0),"",J51/K51*L51)</x:f>
        <x:v>0.009615384615384616</x:v>
      </x:c>
      <x:c r="N51" s="22" t="str">
        <x:f>IF(M51="","",IF(I51="Mayor es mejor",IF(M51&gt;=H51,"En meta",IF(M51&gt;=H51*0.9,"Alerta","Crítico")),IF(M51&lt;=H51,"En meta",IF(M51&lt;=H51*1.1,"Alerta","Crítico"))))</x:f>
        <x:v>En meta</x:v>
      </x:c>
      <x:c r="O51" s="22" t="str">
        <x:v>%</x:v>
      </x:c>
      <x:c r="P51" s="22" t="str">
        <x:v>Líder SG-SST / Medicina laboral</x:v>
      </x:c>
      <x:c r="Q51" s="22" t="str">
        <x:v>Matriz de enfermedad laboral / nómina</x:v>
      </x:c>
      <x:c r="R51" s="22" t="str"/>
    </x:row>
    <x:row r="52">
      <x:c r="A52" s="46" t="n">
        <x:v>45016</x:v>
      </x:c>
      <x:c r="B52" s="22" t="n">
        <x:v>2023</x:v>
      </x:c>
      <x:c r="C52" s="22" t="str">
        <x:v>Marzo</x:v>
      </x:c>
      <x:c r="D52" s="22" t="str">
        <x:v>R06</x:v>
      </x:c>
      <x:c r="E52" s="22" t="str">
        <x:v>% cumplimiento de estándares mínimos Res. 0312 de 2019</x:v>
      </x:c>
      <x:c r="F52" s="22" t="str">
        <x:v>Resultado</x:v>
      </x:c>
      <x:c r="G52" s="22" t="str">
        <x:v>Mensual</x:v>
      </x:c>
      <x:c r="H52" s="40" t="n">
        <x:v>95</x:v>
      </x:c>
      <x:c r="I52" s="22" t="str">
        <x:v>Mayor es mejor</x:v>
      </x:c>
      <x:c r="J52" s="40" t="n">
        <x:v>97</x:v>
      </x:c>
      <x:c r="K52" s="40" t="n">
        <x:v>100</x:v>
      </x:c>
      <x:c r="L52" s="40" t="n">
        <x:v>100</x:v>
      </x:c>
      <x:c r="M52" s="40" t="n">
        <x:f>IF(OR(J52="",K52="",K52=0),"",J52/K52*L52)</x:f>
        <x:v>97</x:v>
      </x:c>
      <x:c r="N52" s="22" t="str">
        <x:f>IF(M52="","",IF(I52="Mayor es mejor",IF(M52&gt;=H52,"En meta",IF(M52&gt;=H52*0.9,"Alerta","Crítico")),IF(M52&lt;=H52,"En meta",IF(M52&lt;=H52*1.1,"Alerta","Crítico"))))</x:f>
        <x:v>En meta</x:v>
      </x:c>
      <x:c r="O52" s="22" t="str">
        <x:v>%</x:v>
      </x:c>
      <x:c r="P52" s="22" t="str">
        <x:v>Líder SG-SST / Alta Dirección</x:v>
      </x:c>
      <x:c r="Q52" s="22" t="str">
        <x:v>Autodiagnóstico Res. 0312 de 2019</x:v>
      </x:c>
      <x:c r="R52" s="22" t="str"/>
    </x:row>
    <x:row r="53">
      <x:c r="A53" s="46" t="n">
        <x:v>45046</x:v>
      </x:c>
      <x:c r="B53" s="22" t="n">
        <x:v>2023</x:v>
      </x:c>
      <x:c r="C53" s="22" t="str">
        <x:v>Abril</x:v>
      </x:c>
      <x:c r="D53" s="22" t="str">
        <x:v>E01</x:v>
      </x:c>
      <x:c r="E53" s="22" t="str">
        <x:v>% ejecución presupuestal del SG-SST</x:v>
      </x:c>
      <x:c r="F53" s="22" t="str">
        <x:v>Estructura</x:v>
      </x:c>
      <x:c r="G53" s="22" t="str">
        <x:v>Mensual</x:v>
      </x:c>
      <x:c r="H53" s="40" t="n">
        <x:v>95</x:v>
      </x:c>
      <x:c r="I53" s="22" t="str">
        <x:v>Mayor es mejor</x:v>
      </x:c>
      <x:c r="J53" s="40" t="n">
        <x:v>5470169</x:v>
      </x:c>
      <x:c r="K53" s="40" t="n">
        <x:v>6000000</x:v>
      </x:c>
      <x:c r="L53" s="40" t="n">
        <x:v>100</x:v>
      </x:c>
      <x:c r="M53" s="40" t="n">
        <x:f>IF(OR(J53="",K53="",K53=0),"",J53/K53*L53)</x:f>
        <x:v>91.16948333333333</x:v>
      </x:c>
      <x:c r="N53" s="22" t="str">
        <x:f>IF(M53="","",IF(I53="Mayor es mejor",IF(M53&gt;=H53,"En meta",IF(M53&gt;=H53*0.9,"Alerta","Crítico")),IF(M53&lt;=H53,"En meta",IF(M53&lt;=H53*1.1,"Alerta","Crítico"))))</x:f>
        <x:v>Alerta</x:v>
      </x:c>
      <x:c r="O53" s="22" t="str">
        <x:v>%</x:v>
      </x:c>
      <x:c r="P53" s="22" t="str">
        <x:v>Líder SG-SST / Dirección Administrativa</x:v>
      </x:c>
      <x:c r="Q53" s="22" t="str">
        <x:v>Presupuesto SST</x:v>
      </x:c>
      <x:c r="R53" s="22" t="str"/>
    </x:row>
    <x:row r="54">
      <x:c r="A54" s="46" t="n">
        <x:v>45046</x:v>
      </x:c>
      <x:c r="B54" s="22" t="n">
        <x:v>2023</x:v>
      </x:c>
      <x:c r="C54" s="22" t="str">
        <x:v>Abril</x:v>
      </x:c>
      <x:c r="D54" s="22" t="str">
        <x:v>E02</x:v>
      </x:c>
      <x:c r="E54" s="22" t="str">
        <x:v>% cobertura del plan de formación y capacitación SG-SST</x:v>
      </x:c>
      <x:c r="F54" s="22" t="str">
        <x:v>Estructura</x:v>
      </x:c>
      <x:c r="G54" s="22" t="str">
        <x:v>Mensual</x:v>
      </x:c>
      <x:c r="H54" s="40" t="n">
        <x:v>90</x:v>
      </x:c>
      <x:c r="I54" s="22" t="str">
        <x:v>Mayor es mejor</x:v>
      </x:c>
      <x:c r="J54" s="40" t="n">
        <x:v>16</x:v>
      </x:c>
      <x:c r="K54" s="40" t="n">
        <x:v>18</x:v>
      </x:c>
      <x:c r="L54" s="40" t="n">
        <x:v>100</x:v>
      </x:c>
      <x:c r="M54" s="40" t="n">
        <x:f>IF(OR(J54="",K54="",K54=0),"",J54/K54*L54)</x:f>
        <x:v>88.88888888888889</x:v>
      </x:c>
      <x:c r="N54" s="22" t="str">
        <x:f>IF(M54="","",IF(I54="Mayor es mejor",IF(M54&gt;=H54,"En meta",IF(M54&gt;=H54*0.9,"Alerta","Crítico")),IF(M54&lt;=H54,"En meta",IF(M54&lt;=H54*1.1,"Alerta","Crítico"))))</x:f>
        <x:v>Alerta</x:v>
      </x:c>
      <x:c r="O54" s="22" t="str">
        <x:v>%</x:v>
      </x:c>
      <x:c r="P54" s="22" t="str">
        <x:v>Líder SG-SST / Talento Humano</x:v>
      </x:c>
      <x:c r="Q54" s="22" t="str">
        <x:v>Plan de formación y capacitaciones</x:v>
      </x:c>
      <x:c r="R54" s="22" t="str"/>
    </x:row>
    <x:row r="55">
      <x:c r="A55" s="46" t="n">
        <x:v>45046</x:v>
      </x:c>
      <x:c r="B55" s="22" t="n">
        <x:v>2023</x:v>
      </x:c>
      <x:c r="C55" s="22" t="str">
        <x:v>Abril</x:v>
      </x:c>
      <x:c r="D55" s="22" t="str">
        <x:v>E03</x:v>
      </x:c>
      <x:c r="E55" s="22" t="str">
        <x:v>% trabajadores con exámenes médicos ocupacionales vigentes</x:v>
      </x:c>
      <x:c r="F55" s="22" t="str">
        <x:v>Estructura</x:v>
      </x:c>
      <x:c r="G55" s="22" t="str">
        <x:v>Mensual</x:v>
      </x:c>
      <x:c r="H55" s="40" t="n">
        <x:v>95</x:v>
      </x:c>
      <x:c r="I55" s="22" t="str">
        <x:v>Mayor es mejor</x:v>
      </x:c>
      <x:c r="J55" s="40" t="n">
        <x:v>201</x:v>
      </x:c>
      <x:c r="K55" s="40" t="n">
        <x:v>212</x:v>
      </x:c>
      <x:c r="L55" s="40" t="n">
        <x:v>100</x:v>
      </x:c>
      <x:c r="M55" s="40" t="n">
        <x:f>IF(OR(J55="",K55="",K55=0),"",J55/K55*L55)</x:f>
        <x:v>94.81132075471697</x:v>
      </x:c>
      <x:c r="N55" s="22" t="str">
        <x:f>IF(M55="","",IF(I55="Mayor es mejor",IF(M55&gt;=H55,"En meta",IF(M55&gt;=H55*0.9,"Alerta","Crítico")),IF(M55&lt;=H55,"En meta",IF(M55&lt;=H55*1.1,"Alerta","Crítico"))))</x:f>
        <x:v>Alerta</x:v>
      </x:c>
      <x:c r="O55" s="22" t="str">
        <x:v>%</x:v>
      </x:c>
      <x:c r="P55" s="22" t="str">
        <x:v>Líder SG-SST / Talento Humano</x:v>
      </x:c>
      <x:c r="Q55" s="22" t="str">
        <x:v>Matriz de seguimiento EMO</x:v>
      </x:c>
      <x:c r="R55" s="22" t="str"/>
    </x:row>
    <x:row r="56">
      <x:c r="A56" s="46" t="n">
        <x:v>45046</x:v>
      </x:c>
      <x:c r="B56" s="22" t="n">
        <x:v>2023</x:v>
      </x:c>
      <x:c r="C56" s="22" t="str">
        <x:v>Abril</x:v>
      </x:c>
      <x:c r="D56" s="22" t="str">
        <x:v>E04</x:v>
      </x:c>
      <x:c r="E56" s="22" t="str">
        <x:v>% cumplimiento de requisitos legales aplicables en SST</x:v>
      </x:c>
      <x:c r="F56" s="22" t="str">
        <x:v>Estructura</x:v>
      </x:c>
      <x:c r="G56" s="22" t="str">
        <x:v>Mensual</x:v>
      </x:c>
      <x:c r="H56" s="40" t="n">
        <x:v>95</x:v>
      </x:c>
      <x:c r="I56" s="22" t="str">
        <x:v>Mayor es mejor</x:v>
      </x:c>
      <x:c r="J56" s="40" t="n">
        <x:v>56</x:v>
      </x:c>
      <x:c r="K56" s="40" t="n">
        <x:v>60</x:v>
      </x:c>
      <x:c r="L56" s="40" t="n">
        <x:v>100</x:v>
      </x:c>
      <x:c r="M56" s="40" t="n">
        <x:f>IF(OR(J56="",K56="",K56=0),"",J56/K56*L56)</x:f>
        <x:v>93.33333333333333</x:v>
      </x:c>
      <x:c r="N56" s="22" t="str">
        <x:f>IF(M56="","",IF(I56="Mayor es mejor",IF(M56&gt;=H56,"En meta",IF(M56&gt;=H56*0.9,"Alerta","Crítico")),IF(M56&lt;=H56,"En meta",IF(M56&lt;=H56*1.1,"Alerta","Crítico"))))</x:f>
        <x:v>Alerta</x:v>
      </x:c>
      <x:c r="O56" s="22" t="str">
        <x:v>%</x:v>
      </x:c>
      <x:c r="P56" s="22" t="str">
        <x:v>Líder SG-SST / Jurídica</x:v>
      </x:c>
      <x:c r="Q56" s="22" t="str">
        <x:v>Matriz legal SGRL</x:v>
      </x:c>
      <x:c r="R56" s="22" t="str"/>
    </x:row>
    <x:row r="57">
      <x:c r="A57" s="46" t="n">
        <x:v>45046</x:v>
      </x:c>
      <x:c r="B57" s="22" t="n">
        <x:v>2023</x:v>
      </x:c>
      <x:c r="C57" s="22" t="str">
        <x:v>Abril</x:v>
      </x:c>
      <x:c r="D57" s="22" t="str">
        <x:v>E05</x:v>
      </x:c>
      <x:c r="E57" s="22" t="str">
        <x:v>% proveedores y contratistas aprobados en SST</x:v>
      </x:c>
      <x:c r="F57" s="22" t="str">
        <x:v>Estructura</x:v>
      </x:c>
      <x:c r="G57" s="22" t="str">
        <x:v>Mensual</x:v>
      </x:c>
      <x:c r="H57" s="40" t="n">
        <x:v>90</x:v>
      </x:c>
      <x:c r="I57" s="22" t="str">
        <x:v>Mayor es mejor</x:v>
      </x:c>
      <x:c r="J57" s="40" t="n">
        <x:v>18</x:v>
      </x:c>
      <x:c r="K57" s="40" t="n">
        <x:v>20</x:v>
      </x:c>
      <x:c r="L57" s="40" t="n">
        <x:v>100</x:v>
      </x:c>
      <x:c r="M57" s="40" t="n">
        <x:f>IF(OR(J57="",K57="",K57=0),"",J57/K57*L57)</x:f>
        <x:v>90</x:v>
      </x:c>
      <x:c r="N57" s="22" t="str">
        <x:f>IF(M57="","",IF(I57="Mayor es mejor",IF(M57&gt;=H57,"En meta",IF(M57&gt;=H57*0.9,"Alerta","Crítico")),IF(M57&lt;=H57,"En meta",IF(M57&lt;=H57*1.1,"Alerta","Crítico"))))</x:f>
        <x:v>En meta</x:v>
      </x:c>
      <x:c r="O57" s="22" t="str">
        <x:v>%</x:v>
      </x:c>
      <x:c r="P57" s="22" t="str">
        <x:v>Compras / Líder SG-SST</x:v>
      </x:c>
      <x:c r="Q57" s="22" t="str">
        <x:v>Gestión de proveedores y contratistas</x:v>
      </x:c>
      <x:c r="R57" s="22" t="str"/>
    </x:row>
    <x:row r="58">
      <x:c r="A58" s="46" t="n">
        <x:v>45046</x:v>
      </x:c>
      <x:c r="B58" s="22" t="n">
        <x:v>2023</x:v>
      </x:c>
      <x:c r="C58" s="22" t="str">
        <x:v>Abril</x:v>
      </x:c>
      <x:c r="D58" s="22" t="str">
        <x:v>P01</x:v>
      </x:c>
      <x:c r="E58" s="22" t="str">
        <x:v>% ejecución del plan anual de trabajo SG-SST</x:v>
      </x:c>
      <x:c r="F58" s="22" t="str">
        <x:v>Proceso</x:v>
      </x:c>
      <x:c r="G58" s="22" t="str">
        <x:v>Mensual</x:v>
      </x:c>
      <x:c r="H58" s="40" t="n">
        <x:v>90</x:v>
      </x:c>
      <x:c r="I58" s="22" t="str">
        <x:v>Mayor es mejor</x:v>
      </x:c>
      <x:c r="J58" s="40" t="n">
        <x:v>10</x:v>
      </x:c>
      <x:c r="K58" s="40" t="n">
        <x:v>12</x:v>
      </x:c>
      <x:c r="L58" s="40" t="n">
        <x:v>100</x:v>
      </x:c>
      <x:c r="M58" s="40" t="n">
        <x:f>IF(OR(J58="",K58="",K58=0),"",J58/K58*L58)</x:f>
        <x:v>83.33333333333334</x:v>
      </x:c>
      <x:c r="N58" s="22" t="str">
        <x:f>IF(M58="","",IF(I58="Mayor es mejor",IF(M58&gt;=H58,"En meta",IF(M58&gt;=H58*0.9,"Alerta","Crítico")),IF(M58&lt;=H58,"En meta",IF(M58&lt;=H58*1.1,"Alerta","Crítico"))))</x:f>
        <x:v>Alerta</x:v>
      </x:c>
      <x:c r="O58" s="22" t="str">
        <x:v>%</x:v>
      </x:c>
      <x:c r="P58" s="22" t="str">
        <x:v>Líder SG-SST</x:v>
      </x:c>
      <x:c r="Q58" s="22" t="str">
        <x:v>Plan anual de trabajo PHVA</x:v>
      </x:c>
      <x:c r="R58" s="22" t="str"/>
    </x:row>
    <x:row r="59">
      <x:c r="A59" s="46" t="n">
        <x:v>45046</x:v>
      </x:c>
      <x:c r="B59" s="22" t="n">
        <x:v>2023</x:v>
      </x:c>
      <x:c r="C59" s="22" t="str">
        <x:v>Abril</x:v>
      </x:c>
      <x:c r="D59" s="22" t="str">
        <x:v>P02</x:v>
      </x:c>
      <x:c r="E59" s="22" t="str">
        <x:v>% investigaciones de accidentes realizadas oportunamente</x:v>
      </x:c>
      <x:c r="F59" s="22" t="str">
        <x:v>Proceso</x:v>
      </x:c>
      <x:c r="G59" s="22" t="str">
        <x:v>Mensual</x:v>
      </x:c>
      <x:c r="H59" s="40" t="n">
        <x:v>95</x:v>
      </x:c>
      <x:c r="I59" s="22" t="str">
        <x:v>Mayor es mejor</x:v>
      </x:c>
      <x:c r="J59" s="40" t="n">
        <x:v>1</x:v>
      </x:c>
      <x:c r="K59" s="40" t="n">
        <x:v>1</x:v>
      </x:c>
      <x:c r="L59" s="40" t="n">
        <x:v>100</x:v>
      </x:c>
      <x:c r="M59" s="40" t="n">
        <x:f>IF(OR(J59="",K59="",K59=0),"",J59/K59*L59)</x:f>
        <x:v>100</x:v>
      </x:c>
      <x:c r="N59" s="22" t="str">
        <x:f>IF(M59="","",IF(I59="Mayor es mejor",IF(M59&gt;=H59,"En meta",IF(M59&gt;=H59*0.9,"Alerta","Crítico")),IF(M59&lt;=H59,"En meta",IF(M59&lt;=H59*1.1,"Alerta","Crítico"))))</x:f>
        <x:v>En meta</x:v>
      </x:c>
      <x:c r="O59" s="22" t="str">
        <x:v>%</x:v>
      </x:c>
      <x:c r="P59" s="22" t="str">
        <x:v>Líder SG-SST / COPASST</x:v>
      </x:c>
      <x:c r="Q59" s="22" t="str">
        <x:v>Matriz de accidentalidad</x:v>
      </x:c>
      <x:c r="R59" s="22" t="str"/>
    </x:row>
    <x:row r="60">
      <x:c r="A60" s="46" t="n">
        <x:v>45046</x:v>
      </x:c>
      <x:c r="B60" s="22" t="n">
        <x:v>2023</x:v>
      </x:c>
      <x:c r="C60" s="22" t="str">
        <x:v>Abril</x:v>
      </x:c>
      <x:c r="D60" s="22" t="str">
        <x:v>P03</x:v>
      </x:c>
      <x:c r="E60" s="22" t="str">
        <x:v>% cierre oportuno de acciones correctivas, preventivas y de mejora</x:v>
      </x:c>
      <x:c r="F60" s="22" t="str">
        <x:v>Proceso</x:v>
      </x:c>
      <x:c r="G60" s="22" t="str">
        <x:v>Mensual</x:v>
      </x:c>
      <x:c r="H60" s="40" t="n">
        <x:v>90</x:v>
      </x:c>
      <x:c r="I60" s="22" t="str">
        <x:v>Mayor es mejor</x:v>
      </x:c>
      <x:c r="J60" s="40" t="n">
        <x:v>12</x:v>
      </x:c>
      <x:c r="K60" s="40" t="n">
        <x:v>14</x:v>
      </x:c>
      <x:c r="L60" s="40" t="n">
        <x:v>100</x:v>
      </x:c>
      <x:c r="M60" s="40" t="n">
        <x:f>IF(OR(J60="",K60="",K60=0),"",J60/K60*L60)</x:f>
        <x:v>85.71428571428571</x:v>
      </x:c>
      <x:c r="N60" s="22" t="str">
        <x:f>IF(M60="","",IF(I60="Mayor es mejor",IF(M60&gt;=H60,"En meta",IF(M60&gt;=H60*0.9,"Alerta","Crítico")),IF(M60&lt;=H60,"En meta",IF(M60&lt;=H60*1.1,"Alerta","Crítico"))))</x:f>
        <x:v>Alerta</x:v>
      </x:c>
      <x:c r="O60" s="22" t="str">
        <x:v>%</x:v>
      </x:c>
      <x:c r="P60" s="22" t="str">
        <x:v>Líder SG-SST / Responsables de proceso</x:v>
      </x:c>
      <x:c r="Q60" s="22" t="str">
        <x:v>Matriz APCM</x:v>
      </x:c>
      <x:c r="R60" s="22" t="str"/>
    </x:row>
    <x:row r="61">
      <x:c r="A61" s="46" t="n">
        <x:v>45046</x:v>
      </x:c>
      <x:c r="B61" s="22" t="n">
        <x:v>2023</x:v>
      </x:c>
      <x:c r="C61" s="22" t="str">
        <x:v>Abril</x:v>
      </x:c>
      <x:c r="D61" s="22" t="str">
        <x:v>P04</x:v>
      </x:c>
      <x:c r="E61" s="22" t="str">
        <x:v>% inspecciones de seguridad ejecutadas</x:v>
      </x:c>
      <x:c r="F61" s="22" t="str">
        <x:v>Proceso</x:v>
      </x:c>
      <x:c r="G61" s="22" t="str">
        <x:v>Mensual</x:v>
      </x:c>
      <x:c r="H61" s="40" t="n">
        <x:v>90</x:v>
      </x:c>
      <x:c r="I61" s="22" t="str">
        <x:v>Mayor es mejor</x:v>
      </x:c>
      <x:c r="J61" s="40" t="n">
        <x:v>7</x:v>
      </x:c>
      <x:c r="K61" s="40" t="n">
        <x:v>8</x:v>
      </x:c>
      <x:c r="L61" s="40" t="n">
        <x:v>100</x:v>
      </x:c>
      <x:c r="M61" s="40" t="n">
        <x:f>IF(OR(J61="",K61="",K61=0),"",J61/K61*L61)</x:f>
        <x:v>87.5</x:v>
      </x:c>
      <x:c r="N61" s="22" t="str">
        <x:f>IF(M61="","",IF(I61="Mayor es mejor",IF(M61&gt;=H61,"En meta",IF(M61&gt;=H61*0.9,"Alerta","Crítico")),IF(M61&lt;=H61,"En meta",IF(M61&lt;=H61*1.1,"Alerta","Crítico"))))</x:f>
        <x:v>Alerta</x:v>
      </x:c>
      <x:c r="O61" s="22" t="str">
        <x:v>%</x:v>
      </x:c>
      <x:c r="P61" s="22" t="str">
        <x:v>Líder SG-SST / Supervisores</x:v>
      </x:c>
      <x:c r="Q61" s="22" t="str">
        <x:v>Programa de inspecciones</x:v>
      </x:c>
      <x:c r="R61" s="22" t="str"/>
    </x:row>
    <x:row r="62">
      <x:c r="A62" s="46" t="n">
        <x:v>45046</x:v>
      </x:c>
      <x:c r="B62" s="22" t="n">
        <x:v>2023</x:v>
      </x:c>
      <x:c r="C62" s="22" t="str">
        <x:v>Abril</x:v>
      </x:c>
      <x:c r="D62" s="22" t="str">
        <x:v>P05</x:v>
      </x:c>
      <x:c r="E62" s="22" t="str">
        <x:v>% mantenimientos preventivos ejecutados</x:v>
      </x:c>
      <x:c r="F62" s="22" t="str">
        <x:v>Proceso</x:v>
      </x:c>
      <x:c r="G62" s="22" t="str">
        <x:v>Mensual</x:v>
      </x:c>
      <x:c r="H62" s="40" t="n">
        <x:v>90</x:v>
      </x:c>
      <x:c r="I62" s="22" t="str">
        <x:v>Mayor es mejor</x:v>
      </x:c>
      <x:c r="J62" s="40" t="n">
        <x:v>11</x:v>
      </x:c>
      <x:c r="K62" s="40" t="n">
        <x:v>12</x:v>
      </x:c>
      <x:c r="L62" s="40" t="n">
        <x:v>100</x:v>
      </x:c>
      <x:c r="M62" s="40" t="n">
        <x:f>IF(OR(J62="",K62="",K62=0),"",J62/K62*L62)</x:f>
        <x:v>91.66666666666666</x:v>
      </x:c>
      <x:c r="N62" s="22" t="str">
        <x:f>IF(M62="","",IF(I62="Mayor es mejor",IF(M62&gt;=H62,"En meta",IF(M62&gt;=H62*0.9,"Alerta","Crítico")),IF(M62&lt;=H62,"En meta",IF(M62&lt;=H62*1.1,"Alerta","Crítico"))))</x:f>
        <x:v>En meta</x:v>
      </x:c>
      <x:c r="O62" s="22" t="str">
        <x:v>%</x:v>
      </x:c>
      <x:c r="P62" s="22" t="str">
        <x:v>Mantenimiento / Líder SG-SST</x:v>
      </x:c>
      <x:c r="Q62" s="22" t="str">
        <x:v>Programa de mantenimiento preventivo</x:v>
      </x:c>
      <x:c r="R62" s="22" t="str"/>
    </x:row>
    <x:row r="63">
      <x:c r="A63" s="46" t="n">
        <x:v>45046</x:v>
      </x:c>
      <x:c r="B63" s="22" t="n">
        <x:v>2023</x:v>
      </x:c>
      <x:c r="C63" s="22" t="str">
        <x:v>Abril</x:v>
      </x:c>
      <x:c r="D63" s="22" t="str">
        <x:v>R01</x:v>
      </x:c>
      <x:c r="E63" s="22" t="str">
        <x:v>Índice de frecuencia de accidentalidad (IF)</x:v>
      </x:c>
      <x:c r="F63" s="22" t="str">
        <x:v>Resultado</x:v>
      </x:c>
      <x:c r="G63" s="22" t="str">
        <x:v>Mensual</x:v>
      </x:c>
      <x:c r="H63" s="40" t="n">
        <x:v>3.5</x:v>
      </x:c>
      <x:c r="I63" s="22" t="str">
        <x:v>Menor es mejor</x:v>
      </x:c>
      <x:c r="J63" s="40" t="n">
        <x:v>1</x:v>
      </x:c>
      <x:c r="K63" s="40" t="n">
        <x:v>51485</x:v>
      </x:c>
      <x:c r="L63" s="40" t="n">
        <x:v>200000</x:v>
      </x:c>
      <x:c r="M63" s="40" t="n">
        <x:f>IF(OR(J63="",K63="",K63=0),"",J63/K63*L63)</x:f>
        <x:v>3.8846265902690105</x:v>
      </x:c>
      <x:c r="N63" s="22" t="str">
        <x:f>IF(M63="","",IF(I63="Mayor es mejor",IF(M63&gt;=H63,"En meta",IF(M63&gt;=H63*0.9,"Alerta","Crítico")),IF(M63&lt;=H63,"En meta",IF(M63&lt;=H63*1.1,"Alerta","Crítico"))))</x:f>
        <x:v>Crítico</x:v>
      </x:c>
      <x:c r="O63" s="22" t="str">
        <x:v>Índice</x:v>
      </x:c>
      <x:c r="P63" s="22" t="str">
        <x:v>Líder SG-SST</x:v>
      </x:c>
      <x:c r="Q63" s="22" t="str">
        <x:v>Matriz de accidentalidad / nómina</x:v>
      </x:c>
      <x:c r="R63" s="22" t="str"/>
    </x:row>
    <x:row r="64">
      <x:c r="A64" s="46" t="n">
        <x:v>45046</x:v>
      </x:c>
      <x:c r="B64" s="22" t="n">
        <x:v>2023</x:v>
      </x:c>
      <x:c r="C64" s="22" t="str">
        <x:v>Abril</x:v>
      </x:c>
      <x:c r="D64" s="22" t="str">
        <x:v>R02</x:v>
      </x:c>
      <x:c r="E64" s="22" t="str">
        <x:v>Índice de severidad de accidentalidad (IS)</x:v>
      </x:c>
      <x:c r="F64" s="22" t="str">
        <x:v>Resultado</x:v>
      </x:c>
      <x:c r="G64" s="22" t="str">
        <x:v>Mensual</x:v>
      </x:c>
      <x:c r="H64" s="40" t="n">
        <x:v>80</x:v>
      </x:c>
      <x:c r="I64" s="22" t="str">
        <x:v>Menor es mejor</x:v>
      </x:c>
      <x:c r="J64" s="40" t="n">
        <x:v>21</x:v>
      </x:c>
      <x:c r="K64" s="40" t="n">
        <x:v>51485</x:v>
      </x:c>
      <x:c r="L64" s="40" t="n">
        <x:v>200000</x:v>
      </x:c>
      <x:c r="M64" s="40" t="n">
        <x:f>IF(OR(J64="",K64="",K64=0),"",J64/K64*L64)</x:f>
        <x:v>81.57715839564922</x:v>
      </x:c>
      <x:c r="N64" s="22" t="str">
        <x:f>IF(M64="","",IF(I64="Mayor es mejor",IF(M64&gt;=H64,"En meta",IF(M64&gt;=H64*0.9,"Alerta","Crítico")),IF(M64&lt;=H64,"En meta",IF(M64&lt;=H64*1.1,"Alerta","Crítico"))))</x:f>
        <x:v>Alerta</x:v>
      </x:c>
      <x:c r="O64" s="22" t="str">
        <x:v>Índice</x:v>
      </x:c>
      <x:c r="P64" s="22" t="str">
        <x:v>Líder SG-SST</x:v>
      </x:c>
      <x:c r="Q64" s="22" t="str">
        <x:v>Matriz de accidentalidad / nómina</x:v>
      </x:c>
      <x:c r="R64" s="22" t="str"/>
    </x:row>
    <x:row r="65">
      <x:c r="A65" s="46" t="n">
        <x:v>45046</x:v>
      </x:c>
      <x:c r="B65" s="22" t="n">
        <x:v>2023</x:v>
      </x:c>
      <x:c r="C65" s="22" t="str">
        <x:v>Abril</x:v>
      </x:c>
      <x:c r="D65" s="22" t="str">
        <x:v>R03</x:v>
      </x:c>
      <x:c r="E65" s="22" t="str">
        <x:v>Índice de lesión incapacitante (ILI)</x:v>
      </x:c>
      <x:c r="F65" s="22" t="str">
        <x:v>Resultado</x:v>
      </x:c>
      <x:c r="G65" s="22" t="str">
        <x:v>Mensual</x:v>
      </x:c>
      <x:c r="H65" s="40" t="n">
        <x:v>0.25</x:v>
      </x:c>
      <x:c r="I65" s="22" t="str">
        <x:v>Menor es mejor</x:v>
      </x:c>
      <x:c r="J65" s="40" t="n">
        <x:v>316.8968</x:v>
      </x:c>
      <x:c r="K65" s="40" t="n">
        <x:v>1000</x:v>
      </x:c>
      <x:c r="L65" s="40" t="n">
        <x:v>1</x:v>
      </x:c>
      <x:c r="M65" s="40" t="n">
        <x:f>IF(OR(J65="",K65="",K65=0),"",J65/K65*L65)</x:f>
        <x:v>0.3168968</x:v>
      </x:c>
      <x:c r="N65" s="22" t="str">
        <x:f>IF(M65="","",IF(I65="Mayor es mejor",IF(M65&gt;=H65,"En meta",IF(M65&gt;=H65*0.9,"Alerta","Crítico")),IF(M65&lt;=H65,"En meta",IF(M65&lt;=H65*1.1,"Alerta","Crítico"))))</x:f>
        <x:v>Crítico</x:v>
      </x:c>
      <x:c r="O65" s="22" t="str">
        <x:v>Índice</x:v>
      </x:c>
      <x:c r="P65" s="22" t="str">
        <x:v>Líder SG-SST</x:v>
      </x:c>
      <x:c r="Q65" s="22" t="str">
        <x:v>Indicadores derivados de accidentalidad</x:v>
      </x:c>
      <x:c r="R65" s="22" t="str">
        <x:v>ILI calculado sobre IF e IS del periodo.</x:v>
      </x:c>
    </x:row>
    <x:row r="66">
      <x:c r="A66" s="46" t="n">
        <x:v>45046</x:v>
      </x:c>
      <x:c r="B66" s="22" t="n">
        <x:v>2023</x:v>
      </x:c>
      <x:c r="C66" s="22" t="str">
        <x:v>Abril</x:v>
      </x:c>
      <x:c r="D66" s="22" t="str">
        <x:v>R04</x:v>
      </x:c>
      <x:c r="E66" s="22" t="str">
        <x:v>Tasa de accidentalidad</x:v>
      </x:c>
      <x:c r="F66" s="22" t="str">
        <x:v>Resultado</x:v>
      </x:c>
      <x:c r="G66" s="22" t="str">
        <x:v>Mensual</x:v>
      </x:c>
      <x:c r="H66" s="40" t="n">
        <x:v>0.6</x:v>
      </x:c>
      <x:c r="I66" s="22" t="str">
        <x:v>Menor es mejor</x:v>
      </x:c>
      <x:c r="J66" s="40" t="n">
        <x:v>4.28</x:v>
      </x:c>
      <x:c r="K66" s="40" t="n">
        <x:v>212</x:v>
      </x:c>
      <x:c r="L66" s="40" t="n">
        <x:v>100</x:v>
      </x:c>
      <x:c r="M66" s="40" t="n">
        <x:f>IF(OR(J66="",K66="",K66=0),"",J66/K66*L66)</x:f>
        <x:v>2.018867924528302</x:v>
      </x:c>
      <x:c r="N66" s="22" t="str">
        <x:f>IF(M66="","",IF(I66="Mayor es mejor",IF(M66&gt;=H66,"En meta",IF(M66&gt;=H66*0.9,"Alerta","Crítico")),IF(M66&lt;=H66,"En meta",IF(M66&lt;=H66*1.1,"Alerta","Crítico"))))</x:f>
        <x:v>Crítico</x:v>
      </x:c>
      <x:c r="O66" s="22" t="str">
        <x:v>%</x:v>
      </x:c>
      <x:c r="P66" s="22" t="str">
        <x:v>Líder SG-SST</x:v>
      </x:c>
      <x:c r="Q66" s="22" t="str">
        <x:v>Matriz de accidentalidad / nómina</x:v>
      </x:c>
      <x:c r="R66" s="22" t="str"/>
    </x:row>
    <x:row r="67">
      <x:c r="A67" s="46" t="n">
        <x:v>45046</x:v>
      </x:c>
      <x:c r="B67" s="22" t="n">
        <x:v>2023</x:v>
      </x:c>
      <x:c r="C67" s="22" t="str">
        <x:v>Abril</x:v>
      </x:c>
      <x:c r="D67" s="22" t="str">
        <x:v>R05</x:v>
      </x:c>
      <x:c r="E67" s="22" t="str">
        <x:v>Prevalencia de enfermedad laboral</x:v>
      </x:c>
      <x:c r="F67" s="22" t="str">
        <x:v>Resultado</x:v>
      </x:c>
      <x:c r="G67" s="22" t="str">
        <x:v>Mensual</x:v>
      </x:c>
      <x:c r="H67" s="40" t="n">
        <x:v>0.3</x:v>
      </x:c>
      <x:c r="I67" s="22" t="str">
        <x:v>Menor es mejor</x:v>
      </x:c>
      <x:c r="J67" s="40" t="n">
        <x:v>1.35</x:v>
      </x:c>
      <x:c r="K67" s="40" t="n">
        <x:v>212</x:v>
      </x:c>
      <x:c r="L67" s="40" t="n">
        <x:v>100</x:v>
      </x:c>
      <x:c r="M67" s="40" t="n">
        <x:f>IF(OR(J67="",K67="",K67=0),"",J67/K67*L67)</x:f>
        <x:v>0.6367924528301887</x:v>
      </x:c>
      <x:c r="N67" s="22" t="str">
        <x:f>IF(M67="","",IF(I67="Mayor es mejor",IF(M67&gt;=H67,"En meta",IF(M67&gt;=H67*0.9,"Alerta","Crítico")),IF(M67&lt;=H67,"En meta",IF(M67&lt;=H67*1.1,"Alerta","Crítico"))))</x:f>
        <x:v>Crítico</x:v>
      </x:c>
      <x:c r="O67" s="22" t="str">
        <x:v>%</x:v>
      </x:c>
      <x:c r="P67" s="22" t="str">
        <x:v>Líder SG-SST / Medicina laboral</x:v>
      </x:c>
      <x:c r="Q67" s="22" t="str">
        <x:v>Matriz de enfermedad laboral / nómina</x:v>
      </x:c>
      <x:c r="R67" s="22" t="str"/>
    </x:row>
    <x:row r="68">
      <x:c r="A68" s="46" t="n">
        <x:v>45046</x:v>
      </x:c>
      <x:c r="B68" s="22" t="n">
        <x:v>2023</x:v>
      </x:c>
      <x:c r="C68" s="22" t="str">
        <x:v>Abril</x:v>
      </x:c>
      <x:c r="D68" s="22" t="str">
        <x:v>R06</x:v>
      </x:c>
      <x:c r="E68" s="22" t="str">
        <x:v>% cumplimiento de estándares mínimos Res. 0312 de 2019</x:v>
      </x:c>
      <x:c r="F68" s="22" t="str">
        <x:v>Resultado</x:v>
      </x:c>
      <x:c r="G68" s="22" t="str">
        <x:v>Mensual</x:v>
      </x:c>
      <x:c r="H68" s="40" t="n">
        <x:v>95</x:v>
      </x:c>
      <x:c r="I68" s="22" t="str">
        <x:v>Mayor es mejor</x:v>
      </x:c>
      <x:c r="J68" s="40" t="n">
        <x:v>96</x:v>
      </x:c>
      <x:c r="K68" s="40" t="n">
        <x:v>100</x:v>
      </x:c>
      <x:c r="L68" s="40" t="n">
        <x:v>100</x:v>
      </x:c>
      <x:c r="M68" s="40" t="n">
        <x:f>IF(OR(J68="",K68="",K68=0),"",J68/K68*L68)</x:f>
        <x:v>96</x:v>
      </x:c>
      <x:c r="N68" s="22" t="str">
        <x:f>IF(M68="","",IF(I68="Mayor es mejor",IF(M68&gt;=H68,"En meta",IF(M68&gt;=H68*0.9,"Alerta","Crítico")),IF(M68&lt;=H68,"En meta",IF(M68&lt;=H68*1.1,"Alerta","Crítico"))))</x:f>
        <x:v>En meta</x:v>
      </x:c>
      <x:c r="O68" s="22" t="str">
        <x:v>%</x:v>
      </x:c>
      <x:c r="P68" s="22" t="str">
        <x:v>Líder SG-SST / Alta Dirección</x:v>
      </x:c>
      <x:c r="Q68" s="22" t="str">
        <x:v>Autodiagnóstico Res. 0312 de 2019</x:v>
      </x:c>
      <x:c r="R68" s="22" t="str"/>
    </x:row>
    <x:row r="69">
      <x:c r="A69" s="46" t="n">
        <x:v>45077</x:v>
      </x:c>
      <x:c r="B69" s="22" t="n">
        <x:v>2023</x:v>
      </x:c>
      <x:c r="C69" s="22" t="str">
        <x:v>Mayo</x:v>
      </x:c>
      <x:c r="D69" s="22" t="str">
        <x:v>E01</x:v>
      </x:c>
      <x:c r="E69" s="22" t="str">
        <x:v>% ejecución presupuestal del SG-SST</x:v>
      </x:c>
      <x:c r="F69" s="22" t="str">
        <x:v>Estructura</x:v>
      </x:c>
      <x:c r="G69" s="22" t="str">
        <x:v>Mensual</x:v>
      </x:c>
      <x:c r="H69" s="40" t="n">
        <x:v>95</x:v>
      </x:c>
      <x:c r="I69" s="22" t="str">
        <x:v>Mayor es mejor</x:v>
      </x:c>
      <x:c r="J69" s="40" t="n">
        <x:v>6054556</x:v>
      </x:c>
      <x:c r="K69" s="40" t="n">
        <x:v>6500000</x:v>
      </x:c>
      <x:c r="L69" s="40" t="n">
        <x:v>100</x:v>
      </x:c>
      <x:c r="M69" s="40" t="n">
        <x:f>IF(OR(J69="",K69="",K69=0),"",J69/K69*L69)</x:f>
        <x:v>93.14701538461539</x:v>
      </x:c>
      <x:c r="N69" s="22" t="str">
        <x:f>IF(M69="","",IF(I69="Mayor es mejor",IF(M69&gt;=H69,"En meta",IF(M69&gt;=H69*0.9,"Alerta","Crítico")),IF(M69&lt;=H69,"En meta",IF(M69&lt;=H69*1.1,"Alerta","Crítico"))))</x:f>
        <x:v>Alerta</x:v>
      </x:c>
      <x:c r="O69" s="22" t="str">
        <x:v>%</x:v>
      </x:c>
      <x:c r="P69" s="22" t="str">
        <x:v>Líder SG-SST / Dirección Administrativa</x:v>
      </x:c>
      <x:c r="Q69" s="22" t="str">
        <x:v>Presupuesto SST</x:v>
      </x:c>
      <x:c r="R69" s="22" t="str"/>
    </x:row>
    <x:row r="70">
      <x:c r="A70" s="46" t="n">
        <x:v>45077</x:v>
      </x:c>
      <x:c r="B70" s="22" t="n">
        <x:v>2023</x:v>
      </x:c>
      <x:c r="C70" s="22" t="str">
        <x:v>Mayo</x:v>
      </x:c>
      <x:c r="D70" s="22" t="str">
        <x:v>E02</x:v>
      </x:c>
      <x:c r="E70" s="22" t="str">
        <x:v>% cobertura del plan de formación y capacitación SG-SST</x:v>
      </x:c>
      <x:c r="F70" s="22" t="str">
        <x:v>Estructura</x:v>
      </x:c>
      <x:c r="G70" s="22" t="str">
        <x:v>Mensual</x:v>
      </x:c>
      <x:c r="H70" s="40" t="n">
        <x:v>90</x:v>
      </x:c>
      <x:c r="I70" s="22" t="str">
        <x:v>Mayor es mejor</x:v>
      </x:c>
      <x:c r="J70" s="40" t="n">
        <x:v>17</x:v>
      </x:c>
      <x:c r="K70" s="40" t="n">
        <x:v>20</x:v>
      </x:c>
      <x:c r="L70" s="40" t="n">
        <x:v>100</x:v>
      </x:c>
      <x:c r="M70" s="40" t="n">
        <x:f>IF(OR(J70="",K70="",K70=0),"",J70/K70*L70)</x:f>
        <x:v>85</x:v>
      </x:c>
      <x:c r="N70" s="22" t="str">
        <x:f>IF(M70="","",IF(I70="Mayor es mejor",IF(M70&gt;=H70,"En meta",IF(M70&gt;=H70*0.9,"Alerta","Crítico")),IF(M70&lt;=H70,"En meta",IF(M70&lt;=H70*1.1,"Alerta","Crítico"))))</x:f>
        <x:v>Alerta</x:v>
      </x:c>
      <x:c r="O70" s="22" t="str">
        <x:v>%</x:v>
      </x:c>
      <x:c r="P70" s="22" t="str">
        <x:v>Líder SG-SST / Talento Humano</x:v>
      </x:c>
      <x:c r="Q70" s="22" t="str">
        <x:v>Plan de formación y capacitaciones</x:v>
      </x:c>
      <x:c r="R70" s="22" t="str"/>
    </x:row>
    <x:row r="71">
      <x:c r="A71" s="46" t="n">
        <x:v>45077</x:v>
      </x:c>
      <x:c r="B71" s="22" t="n">
        <x:v>2023</x:v>
      </x:c>
      <x:c r="C71" s="22" t="str">
        <x:v>Mayo</x:v>
      </x:c>
      <x:c r="D71" s="22" t="str">
        <x:v>E03</x:v>
      </x:c>
      <x:c r="E71" s="22" t="str">
        <x:v>% trabajadores con exámenes médicos ocupacionales vigentes</x:v>
      </x:c>
      <x:c r="F71" s="22" t="str">
        <x:v>Estructura</x:v>
      </x:c>
      <x:c r="G71" s="22" t="str">
        <x:v>Mensual</x:v>
      </x:c>
      <x:c r="H71" s="40" t="n">
        <x:v>95</x:v>
      </x:c>
      <x:c r="I71" s="22" t="str">
        <x:v>Mayor es mejor</x:v>
      </x:c>
      <x:c r="J71" s="40" t="n">
        <x:v>203</x:v>
      </x:c>
      <x:c r="K71" s="40" t="n">
        <x:v>214</x:v>
      </x:c>
      <x:c r="L71" s="40" t="n">
        <x:v>100</x:v>
      </x:c>
      <x:c r="M71" s="40" t="n">
        <x:f>IF(OR(J71="",K71="",K71=0),"",J71/K71*L71)</x:f>
        <x:v>94.85981308411215</x:v>
      </x:c>
      <x:c r="N71" s="22" t="str">
        <x:f>IF(M71="","",IF(I71="Mayor es mejor",IF(M71&gt;=H71,"En meta",IF(M71&gt;=H71*0.9,"Alerta","Crítico")),IF(M71&lt;=H71,"En meta",IF(M71&lt;=H71*1.1,"Alerta","Crítico"))))</x:f>
        <x:v>Alerta</x:v>
      </x:c>
      <x:c r="O71" s="22" t="str">
        <x:v>%</x:v>
      </x:c>
      <x:c r="P71" s="22" t="str">
        <x:v>Líder SG-SST / Talento Humano</x:v>
      </x:c>
      <x:c r="Q71" s="22" t="str">
        <x:v>Matriz de seguimiento EMO</x:v>
      </x:c>
      <x:c r="R71" s="22" t="str"/>
    </x:row>
    <x:row r="72">
      <x:c r="A72" s="46" t="n">
        <x:v>45077</x:v>
      </x:c>
      <x:c r="B72" s="22" t="n">
        <x:v>2023</x:v>
      </x:c>
      <x:c r="C72" s="22" t="str">
        <x:v>Mayo</x:v>
      </x:c>
      <x:c r="D72" s="22" t="str">
        <x:v>E04</x:v>
      </x:c>
      <x:c r="E72" s="22" t="str">
        <x:v>% cumplimiento de requisitos legales aplicables en SST</x:v>
      </x:c>
      <x:c r="F72" s="22" t="str">
        <x:v>Estructura</x:v>
      </x:c>
      <x:c r="G72" s="22" t="str">
        <x:v>Mensual</x:v>
      </x:c>
      <x:c r="H72" s="40" t="n">
        <x:v>95</x:v>
      </x:c>
      <x:c r="I72" s="22" t="str">
        <x:v>Mayor es mejor</x:v>
      </x:c>
      <x:c r="J72" s="40" t="n">
        <x:v>56</x:v>
      </x:c>
      <x:c r="K72" s="40" t="n">
        <x:v>60</x:v>
      </x:c>
      <x:c r="L72" s="40" t="n">
        <x:v>100</x:v>
      </x:c>
      <x:c r="M72" s="40" t="n">
        <x:f>IF(OR(J72="",K72="",K72=0),"",J72/K72*L72)</x:f>
        <x:v>93.33333333333333</x:v>
      </x:c>
      <x:c r="N72" s="22" t="str">
        <x:f>IF(M72="","",IF(I72="Mayor es mejor",IF(M72&gt;=H72,"En meta",IF(M72&gt;=H72*0.9,"Alerta","Crítico")),IF(M72&lt;=H72,"En meta",IF(M72&lt;=H72*1.1,"Alerta","Crítico"))))</x:f>
        <x:v>Alerta</x:v>
      </x:c>
      <x:c r="O72" s="22" t="str">
        <x:v>%</x:v>
      </x:c>
      <x:c r="P72" s="22" t="str">
        <x:v>Líder SG-SST / Jurídica</x:v>
      </x:c>
      <x:c r="Q72" s="22" t="str">
        <x:v>Matriz legal SGRL</x:v>
      </x:c>
      <x:c r="R72" s="22" t="str"/>
    </x:row>
    <x:row r="73">
      <x:c r="A73" s="46" t="n">
        <x:v>45077</x:v>
      </x:c>
      <x:c r="B73" s="22" t="n">
        <x:v>2023</x:v>
      </x:c>
      <x:c r="C73" s="22" t="str">
        <x:v>Mayo</x:v>
      </x:c>
      <x:c r="D73" s="22" t="str">
        <x:v>E05</x:v>
      </x:c>
      <x:c r="E73" s="22" t="str">
        <x:v>% proveedores y contratistas aprobados en SST</x:v>
      </x:c>
      <x:c r="F73" s="22" t="str">
        <x:v>Estructura</x:v>
      </x:c>
      <x:c r="G73" s="22" t="str">
        <x:v>Mensual</x:v>
      </x:c>
      <x:c r="H73" s="40" t="n">
        <x:v>90</x:v>
      </x:c>
      <x:c r="I73" s="22" t="str">
        <x:v>Mayor es mejor</x:v>
      </x:c>
      <x:c r="J73" s="40" t="n">
        <x:v>18</x:v>
      </x:c>
      <x:c r="K73" s="40" t="n">
        <x:v>20</x:v>
      </x:c>
      <x:c r="L73" s="40" t="n">
        <x:v>100</x:v>
      </x:c>
      <x:c r="M73" s="40" t="n">
        <x:f>IF(OR(J73="",K73="",K73=0),"",J73/K73*L73)</x:f>
        <x:v>90</x:v>
      </x:c>
      <x:c r="N73" s="22" t="str">
        <x:f>IF(M73="","",IF(I73="Mayor es mejor",IF(M73&gt;=H73,"En meta",IF(M73&gt;=H73*0.9,"Alerta","Crítico")),IF(M73&lt;=H73,"En meta",IF(M73&lt;=H73*1.1,"Alerta","Crítico"))))</x:f>
        <x:v>En meta</x:v>
      </x:c>
      <x:c r="O73" s="22" t="str">
        <x:v>%</x:v>
      </x:c>
      <x:c r="P73" s="22" t="str">
        <x:v>Compras / Líder SG-SST</x:v>
      </x:c>
      <x:c r="Q73" s="22" t="str">
        <x:v>Gestión de proveedores y contratistas</x:v>
      </x:c>
      <x:c r="R73" s="22" t="str"/>
    </x:row>
    <x:row r="74">
      <x:c r="A74" s="46" t="n">
        <x:v>45077</x:v>
      </x:c>
      <x:c r="B74" s="22" t="n">
        <x:v>2023</x:v>
      </x:c>
      <x:c r="C74" s="22" t="str">
        <x:v>Mayo</x:v>
      </x:c>
      <x:c r="D74" s="22" t="str">
        <x:v>P01</x:v>
      </x:c>
      <x:c r="E74" s="22" t="str">
        <x:v>% ejecución del plan anual de trabajo SG-SST</x:v>
      </x:c>
      <x:c r="F74" s="22" t="str">
        <x:v>Proceso</x:v>
      </x:c>
      <x:c r="G74" s="22" t="str">
        <x:v>Mensual</x:v>
      </x:c>
      <x:c r="H74" s="40" t="n">
        <x:v>90</x:v>
      </x:c>
      <x:c r="I74" s="22" t="str">
        <x:v>Mayor es mejor</x:v>
      </x:c>
      <x:c r="J74" s="40" t="n">
        <x:v>12</x:v>
      </x:c>
      <x:c r="K74" s="40" t="n">
        <x:v>14</x:v>
      </x:c>
      <x:c r="L74" s="40" t="n">
        <x:v>100</x:v>
      </x:c>
      <x:c r="M74" s="40" t="n">
        <x:f>IF(OR(J74="",K74="",K74=0),"",J74/K74*L74)</x:f>
        <x:v>85.71428571428571</x:v>
      </x:c>
      <x:c r="N74" s="22" t="str">
        <x:f>IF(M74="","",IF(I74="Mayor es mejor",IF(M74&gt;=H74,"En meta",IF(M74&gt;=H74*0.9,"Alerta","Crítico")),IF(M74&lt;=H74,"En meta",IF(M74&lt;=H74*1.1,"Alerta","Crítico"))))</x:f>
        <x:v>Alerta</x:v>
      </x:c>
      <x:c r="O74" s="22" t="str">
        <x:v>%</x:v>
      </x:c>
      <x:c r="P74" s="22" t="str">
        <x:v>Líder SG-SST</x:v>
      </x:c>
      <x:c r="Q74" s="22" t="str">
        <x:v>Plan anual de trabajo PHVA</x:v>
      </x:c>
      <x:c r="R74" s="22" t="str"/>
    </x:row>
    <x:row r="75">
      <x:c r="A75" s="46" t="n">
        <x:v>45077</x:v>
      </x:c>
      <x:c r="B75" s="22" t="n">
        <x:v>2023</x:v>
      </x:c>
      <x:c r="C75" s="22" t="str">
        <x:v>Mayo</x:v>
      </x:c>
      <x:c r="D75" s="22" t="str">
        <x:v>P02</x:v>
      </x:c>
      <x:c r="E75" s="22" t="str">
        <x:v>% investigaciones de accidentes realizadas oportunamente</x:v>
      </x:c>
      <x:c r="F75" s="22" t="str">
        <x:v>Proceso</x:v>
      </x:c>
      <x:c r="G75" s="22" t="str">
        <x:v>Mensual</x:v>
      </x:c>
      <x:c r="H75" s="40" t="n">
        <x:v>95</x:v>
      </x:c>
      <x:c r="I75" s="22" t="str">
        <x:v>Mayor es mejor</x:v>
      </x:c>
      <x:c r="J75" s="40" t="n">
        <x:v>1</x:v>
      </x:c>
      <x:c r="K75" s="40" t="n">
        <x:v>1</x:v>
      </x:c>
      <x:c r="L75" s="40" t="n">
        <x:v>100</x:v>
      </x:c>
      <x:c r="M75" s="40" t="n">
        <x:f>IF(OR(J75="",K75="",K75=0),"",J75/K75*L75)</x:f>
        <x:v>100</x:v>
      </x:c>
      <x:c r="N75" s="22" t="str">
        <x:f>IF(M75="","",IF(I75="Mayor es mejor",IF(M75&gt;=H75,"En meta",IF(M75&gt;=H75*0.9,"Alerta","Crítico")),IF(M75&lt;=H75,"En meta",IF(M75&lt;=H75*1.1,"Alerta","Crítico"))))</x:f>
        <x:v>En meta</x:v>
      </x:c>
      <x:c r="O75" s="22" t="str">
        <x:v>%</x:v>
      </x:c>
      <x:c r="P75" s="22" t="str">
        <x:v>Líder SG-SST / COPASST</x:v>
      </x:c>
      <x:c r="Q75" s="22" t="str">
        <x:v>Matriz de accidentalidad</x:v>
      </x:c>
      <x:c r="R75" s="22" t="str"/>
    </x:row>
    <x:row r="76">
      <x:c r="A76" s="46" t="n">
        <x:v>45077</x:v>
      </x:c>
      <x:c r="B76" s="22" t="n">
        <x:v>2023</x:v>
      </x:c>
      <x:c r="C76" s="22" t="str">
        <x:v>Mayo</x:v>
      </x:c>
      <x:c r="D76" s="22" t="str">
        <x:v>P03</x:v>
      </x:c>
      <x:c r="E76" s="22" t="str">
        <x:v>% cierre oportuno de acciones correctivas, preventivas y de mejora</x:v>
      </x:c>
      <x:c r="F76" s="22" t="str">
        <x:v>Proceso</x:v>
      </x:c>
      <x:c r="G76" s="22" t="str">
        <x:v>Mensual</x:v>
      </x:c>
      <x:c r="H76" s="40" t="n">
        <x:v>90</x:v>
      </x:c>
      <x:c r="I76" s="22" t="str">
        <x:v>Mayor es mejor</x:v>
      </x:c>
      <x:c r="J76" s="40" t="n">
        <x:v>9</x:v>
      </x:c>
      <x:c r="K76" s="40" t="n">
        <x:v>10</x:v>
      </x:c>
      <x:c r="L76" s="40" t="n">
        <x:v>100</x:v>
      </x:c>
      <x:c r="M76" s="40" t="n">
        <x:f>IF(OR(J76="",K76="",K76=0),"",J76/K76*L76)</x:f>
        <x:v>90</x:v>
      </x:c>
      <x:c r="N76" s="22" t="str">
        <x:f>IF(M76="","",IF(I76="Mayor es mejor",IF(M76&gt;=H76,"En meta",IF(M76&gt;=H76*0.9,"Alerta","Crítico")),IF(M76&lt;=H76,"En meta",IF(M76&lt;=H76*1.1,"Alerta","Crítico"))))</x:f>
        <x:v>En meta</x:v>
      </x:c>
      <x:c r="O76" s="22" t="str">
        <x:v>%</x:v>
      </x:c>
      <x:c r="P76" s="22" t="str">
        <x:v>Líder SG-SST / Responsables de proceso</x:v>
      </x:c>
      <x:c r="Q76" s="22" t="str">
        <x:v>Matriz APCM</x:v>
      </x:c>
      <x:c r="R76" s="22" t="str"/>
    </x:row>
    <x:row r="77">
      <x:c r="A77" s="46" t="n">
        <x:v>45077</x:v>
      </x:c>
      <x:c r="B77" s="22" t="n">
        <x:v>2023</x:v>
      </x:c>
      <x:c r="C77" s="22" t="str">
        <x:v>Mayo</x:v>
      </x:c>
      <x:c r="D77" s="22" t="str">
        <x:v>P04</x:v>
      </x:c>
      <x:c r="E77" s="22" t="str">
        <x:v>% inspecciones de seguridad ejecutadas</x:v>
      </x:c>
      <x:c r="F77" s="22" t="str">
        <x:v>Proceso</x:v>
      </x:c>
      <x:c r="G77" s="22" t="str">
        <x:v>Mensual</x:v>
      </x:c>
      <x:c r="H77" s="40" t="n">
        <x:v>90</x:v>
      </x:c>
      <x:c r="I77" s="22" t="str">
        <x:v>Mayor es mejor</x:v>
      </x:c>
      <x:c r="J77" s="40" t="n">
        <x:v>8</x:v>
      </x:c>
      <x:c r="K77" s="40" t="n">
        <x:v>9</x:v>
      </x:c>
      <x:c r="L77" s="40" t="n">
        <x:v>100</x:v>
      </x:c>
      <x:c r="M77" s="40" t="n">
        <x:f>IF(OR(J77="",K77="",K77=0),"",J77/K77*L77)</x:f>
        <x:v>88.88888888888889</x:v>
      </x:c>
      <x:c r="N77" s="22" t="str">
        <x:f>IF(M77="","",IF(I77="Mayor es mejor",IF(M77&gt;=H77,"En meta",IF(M77&gt;=H77*0.9,"Alerta","Crítico")),IF(M77&lt;=H77,"En meta",IF(M77&lt;=H77*1.1,"Alerta","Crítico"))))</x:f>
        <x:v>Alerta</x:v>
      </x:c>
      <x:c r="O77" s="22" t="str">
        <x:v>%</x:v>
      </x:c>
      <x:c r="P77" s="22" t="str">
        <x:v>Líder SG-SST / Supervisores</x:v>
      </x:c>
      <x:c r="Q77" s="22" t="str">
        <x:v>Programa de inspecciones</x:v>
      </x:c>
      <x:c r="R77" s="22" t="str"/>
    </x:row>
    <x:row r="78">
      <x:c r="A78" s="46" t="n">
        <x:v>45077</x:v>
      </x:c>
      <x:c r="B78" s="22" t="n">
        <x:v>2023</x:v>
      </x:c>
      <x:c r="C78" s="22" t="str">
        <x:v>Mayo</x:v>
      </x:c>
      <x:c r="D78" s="22" t="str">
        <x:v>P05</x:v>
      </x:c>
      <x:c r="E78" s="22" t="str">
        <x:v>% mantenimientos preventivos ejecutados</x:v>
      </x:c>
      <x:c r="F78" s="22" t="str">
        <x:v>Proceso</x:v>
      </x:c>
      <x:c r="G78" s="22" t="str">
        <x:v>Mensual</x:v>
      </x:c>
      <x:c r="H78" s="40" t="n">
        <x:v>90</x:v>
      </x:c>
      <x:c r="I78" s="22" t="str">
        <x:v>Mayor es mejor</x:v>
      </x:c>
      <x:c r="J78" s="40" t="n">
        <x:v>12</x:v>
      </x:c>
      <x:c r="K78" s="40" t="n">
        <x:v>13</x:v>
      </x:c>
      <x:c r="L78" s="40" t="n">
        <x:v>100</x:v>
      </x:c>
      <x:c r="M78" s="40" t="n">
        <x:f>IF(OR(J78="",K78="",K78=0),"",J78/K78*L78)</x:f>
        <x:v>92.3076923076923</x:v>
      </x:c>
      <x:c r="N78" s="22" t="str">
        <x:f>IF(M78="","",IF(I78="Mayor es mejor",IF(M78&gt;=H78,"En meta",IF(M78&gt;=H78*0.9,"Alerta","Crítico")),IF(M78&lt;=H78,"En meta",IF(M78&lt;=H78*1.1,"Alerta","Crítico"))))</x:f>
        <x:v>En meta</x:v>
      </x:c>
      <x:c r="O78" s="22" t="str">
        <x:v>%</x:v>
      </x:c>
      <x:c r="P78" s="22" t="str">
        <x:v>Mantenimiento / Líder SG-SST</x:v>
      </x:c>
      <x:c r="Q78" s="22" t="str">
        <x:v>Programa de mantenimiento preventivo</x:v>
      </x:c>
      <x:c r="R78" s="22" t="str"/>
    </x:row>
    <x:row r="79">
      <x:c r="A79" s="46" t="n">
        <x:v>45077</x:v>
      </x:c>
      <x:c r="B79" s="22" t="n">
        <x:v>2023</x:v>
      </x:c>
      <x:c r="C79" s="22" t="str">
        <x:v>Mayo</x:v>
      </x:c>
      <x:c r="D79" s="22" t="str">
        <x:v>R01</x:v>
      </x:c>
      <x:c r="E79" s="22" t="str">
        <x:v>Índice de frecuencia de accidentalidad (IF)</x:v>
      </x:c>
      <x:c r="F79" s="22" t="str">
        <x:v>Resultado</x:v>
      </x:c>
      <x:c r="G79" s="22" t="str">
        <x:v>Mensual</x:v>
      </x:c>
      <x:c r="H79" s="40" t="n">
        <x:v>3.5</x:v>
      </x:c>
      <x:c r="I79" s="22" t="str">
        <x:v>Menor es mejor</x:v>
      </x:c>
      <x:c r="J79" s="40" t="n">
        <x:v>1</x:v>
      </x:c>
      <x:c r="K79" s="40" t="n">
        <x:v>52179</x:v>
      </x:c>
      <x:c r="L79" s="40" t="n">
        <x:v>200000</x:v>
      </x:c>
      <x:c r="M79" s="40" t="n">
        <x:f>IF(OR(J79="",K79="",K79=0),"",J79/K79*L79)</x:f>
        <x:v>3.832959619770406</x:v>
      </x:c>
      <x:c r="N79" s="22" t="str">
        <x:f>IF(M79="","",IF(I79="Mayor es mejor",IF(M79&gt;=H79,"En meta",IF(M79&gt;=H79*0.9,"Alerta","Crítico")),IF(M79&lt;=H79,"En meta",IF(M79&lt;=H79*1.1,"Alerta","Crítico"))))</x:f>
        <x:v>Alerta</x:v>
      </x:c>
      <x:c r="O79" s="22" t="str">
        <x:v>Índice</x:v>
      </x:c>
      <x:c r="P79" s="22" t="str">
        <x:v>Líder SG-SST</x:v>
      </x:c>
      <x:c r="Q79" s="22" t="str">
        <x:v>Matriz de accidentalidad / nómina</x:v>
      </x:c>
      <x:c r="R79" s="22" t="str"/>
    </x:row>
    <x:row r="80">
      <x:c r="A80" s="46" t="n">
        <x:v>45077</x:v>
      </x:c>
      <x:c r="B80" s="22" t="n">
        <x:v>2023</x:v>
      </x:c>
      <x:c r="C80" s="22" t="str">
        <x:v>Mayo</x:v>
      </x:c>
      <x:c r="D80" s="22" t="str">
        <x:v>R02</x:v>
      </x:c>
      <x:c r="E80" s="22" t="str">
        <x:v>Índice de severidad de accidentalidad (IS)</x:v>
      </x:c>
      <x:c r="F80" s="22" t="str">
        <x:v>Resultado</x:v>
      </x:c>
      <x:c r="G80" s="22" t="str">
        <x:v>Mensual</x:v>
      </x:c>
      <x:c r="H80" s="40" t="n">
        <x:v>80</x:v>
      </x:c>
      <x:c r="I80" s="22" t="str">
        <x:v>Menor es mejor</x:v>
      </x:c>
      <x:c r="J80" s="40" t="n">
        <x:v>22</x:v>
      </x:c>
      <x:c r="K80" s="40" t="n">
        <x:v>52179</x:v>
      </x:c>
      <x:c r="L80" s="40" t="n">
        <x:v>200000</x:v>
      </x:c>
      <x:c r="M80" s="40" t="n">
        <x:f>IF(OR(J80="",K80="",K80=0),"",J80/K80*L80)</x:f>
        <x:v>84.32511163494893</x:v>
      </x:c>
      <x:c r="N80" s="22" t="str">
        <x:f>IF(M80="","",IF(I80="Mayor es mejor",IF(M80&gt;=H80,"En meta",IF(M80&gt;=H80*0.9,"Alerta","Crítico")),IF(M80&lt;=H80,"En meta",IF(M80&lt;=H80*1.1,"Alerta","Crítico"))))</x:f>
        <x:v>Alerta</x:v>
      </x:c>
      <x:c r="O80" s="22" t="str">
        <x:v>Índice</x:v>
      </x:c>
      <x:c r="P80" s="22" t="str">
        <x:v>Líder SG-SST</x:v>
      </x:c>
      <x:c r="Q80" s="22" t="str">
        <x:v>Matriz de accidentalidad / nómina</x:v>
      </x:c>
      <x:c r="R80" s="22" t="str"/>
    </x:row>
    <x:row r="81">
      <x:c r="A81" s="46" t="n">
        <x:v>45077</x:v>
      </x:c>
      <x:c r="B81" s="22" t="n">
        <x:v>2023</x:v>
      </x:c>
      <x:c r="C81" s="22" t="str">
        <x:v>Mayo</x:v>
      </x:c>
      <x:c r="D81" s="22" t="str">
        <x:v>R03</x:v>
      </x:c>
      <x:c r="E81" s="22" t="str">
        <x:v>Índice de lesión incapacitante (ILI)</x:v>
      </x:c>
      <x:c r="F81" s="22" t="str">
        <x:v>Resultado</x:v>
      </x:c>
      <x:c r="G81" s="22" t="str">
        <x:v>Mensual</x:v>
      </x:c>
      <x:c r="H81" s="40" t="n">
        <x:v>0.25</x:v>
      </x:c>
      <x:c r="I81" s="22" t="str">
        <x:v>Menor es mejor</x:v>
      </x:c>
      <x:c r="J81" s="40" t="n">
        <x:v>323.2147</x:v>
      </x:c>
      <x:c r="K81" s="40" t="n">
        <x:v>1000</x:v>
      </x:c>
      <x:c r="L81" s="40" t="n">
        <x:v>1</x:v>
      </x:c>
      <x:c r="M81" s="40" t="n">
        <x:f>IF(OR(J81="",K81="",K81=0),"",J81/K81*L81)</x:f>
        <x:v>0.32321469999999997</x:v>
      </x:c>
      <x:c r="N81" s="22" t="str">
        <x:f>IF(M81="","",IF(I81="Mayor es mejor",IF(M81&gt;=H81,"En meta",IF(M81&gt;=H81*0.9,"Alerta","Crítico")),IF(M81&lt;=H81,"En meta",IF(M81&lt;=H81*1.1,"Alerta","Crítico"))))</x:f>
        <x:v>Crítico</x:v>
      </x:c>
      <x:c r="O81" s="22" t="str">
        <x:v>Índice</x:v>
      </x:c>
      <x:c r="P81" s="22" t="str">
        <x:v>Líder SG-SST</x:v>
      </x:c>
      <x:c r="Q81" s="22" t="str">
        <x:v>Indicadores derivados de accidentalidad</x:v>
      </x:c>
      <x:c r="R81" s="22" t="str">
        <x:v>ILI calculado sobre IF e IS del periodo.</x:v>
      </x:c>
    </x:row>
    <x:row r="82">
      <x:c r="A82" s="46" t="n">
        <x:v>45077</x:v>
      </x:c>
      <x:c r="B82" s="22" t="n">
        <x:v>2023</x:v>
      </x:c>
      <x:c r="C82" s="22" t="str">
        <x:v>Mayo</x:v>
      </x:c>
      <x:c r="D82" s="22" t="str">
        <x:v>R04</x:v>
      </x:c>
      <x:c r="E82" s="22" t="str">
        <x:v>Tasa de accidentalidad</x:v>
      </x:c>
      <x:c r="F82" s="22" t="str">
        <x:v>Resultado</x:v>
      </x:c>
      <x:c r="G82" s="22" t="str">
        <x:v>Mensual</x:v>
      </x:c>
      <x:c r="H82" s="40" t="n">
        <x:v>0.6</x:v>
      </x:c>
      <x:c r="I82" s="22" t="str">
        <x:v>Menor es mejor</x:v>
      </x:c>
      <x:c r="J82" s="40" t="n">
        <x:v>2.56</x:v>
      </x:c>
      <x:c r="K82" s="40" t="n">
        <x:v>214</x:v>
      </x:c>
      <x:c r="L82" s="40" t="n">
        <x:v>100</x:v>
      </x:c>
      <x:c r="M82" s="40" t="n">
        <x:f>IF(OR(J82="",K82="",K82=0),"",J82/K82*L82)</x:f>
        <x:v>1.1962616822429906</x:v>
      </x:c>
      <x:c r="N82" s="22" t="str">
        <x:f>IF(M82="","",IF(I82="Mayor es mejor",IF(M82&gt;=H82,"En meta",IF(M82&gt;=H82*0.9,"Alerta","Crítico")),IF(M82&lt;=H82,"En meta",IF(M82&lt;=H82*1.1,"Alerta","Crítico"))))</x:f>
        <x:v>Crítico</x:v>
      </x:c>
      <x:c r="O82" s="22" t="str">
        <x:v>%</x:v>
      </x:c>
      <x:c r="P82" s="22" t="str">
        <x:v>Líder SG-SST</x:v>
      </x:c>
      <x:c r="Q82" s="22" t="str">
        <x:v>Matriz de accidentalidad / nómina</x:v>
      </x:c>
      <x:c r="R82" s="22" t="str"/>
    </x:row>
    <x:row r="83">
      <x:c r="A83" s="46" t="n">
        <x:v>45077</x:v>
      </x:c>
      <x:c r="B83" s="22" t="n">
        <x:v>2023</x:v>
      </x:c>
      <x:c r="C83" s="22" t="str">
        <x:v>Mayo</x:v>
      </x:c>
      <x:c r="D83" s="22" t="str">
        <x:v>R05</x:v>
      </x:c>
      <x:c r="E83" s="22" t="str">
        <x:v>Prevalencia de enfermedad laboral</x:v>
      </x:c>
      <x:c r="F83" s="22" t="str">
        <x:v>Resultado</x:v>
      </x:c>
      <x:c r="G83" s="22" t="str">
        <x:v>Mensual</x:v>
      </x:c>
      <x:c r="H83" s="40" t="n">
        <x:v>0.3</x:v>
      </x:c>
      <x:c r="I83" s="22" t="str">
        <x:v>Menor es mejor</x:v>
      </x:c>
      <x:c r="J83" s="40" t="n">
        <x:v>2.03</x:v>
      </x:c>
      <x:c r="K83" s="40" t="n">
        <x:v>214</x:v>
      </x:c>
      <x:c r="L83" s="40" t="n">
        <x:v>100</x:v>
      </x:c>
      <x:c r="M83" s="40" t="n">
        <x:f>IF(OR(J83="",K83="",K83=0),"",J83/K83*L83)</x:f>
        <x:v>0.9485981308411214</x:v>
      </x:c>
      <x:c r="N83" s="22" t="str">
        <x:f>IF(M83="","",IF(I83="Mayor es mejor",IF(M83&gt;=H83,"En meta",IF(M83&gt;=H83*0.9,"Alerta","Crítico")),IF(M83&lt;=H83,"En meta",IF(M83&lt;=H83*1.1,"Alerta","Crítico"))))</x:f>
        <x:v>Crítico</x:v>
      </x:c>
      <x:c r="O83" s="22" t="str">
        <x:v>%</x:v>
      </x:c>
      <x:c r="P83" s="22" t="str">
        <x:v>Líder SG-SST / Medicina laboral</x:v>
      </x:c>
      <x:c r="Q83" s="22" t="str">
        <x:v>Matriz de enfermedad laboral / nómina</x:v>
      </x:c>
      <x:c r="R83" s="22" t="str"/>
    </x:row>
    <x:row r="84">
      <x:c r="A84" s="46" t="n">
        <x:v>45077</x:v>
      </x:c>
      <x:c r="B84" s="22" t="n">
        <x:v>2023</x:v>
      </x:c>
      <x:c r="C84" s="22" t="str">
        <x:v>Mayo</x:v>
      </x:c>
      <x:c r="D84" s="22" t="str">
        <x:v>R06</x:v>
      </x:c>
      <x:c r="E84" s="22" t="str">
        <x:v>% cumplimiento de estándares mínimos Res. 0312 de 2019</x:v>
      </x:c>
      <x:c r="F84" s="22" t="str">
        <x:v>Resultado</x:v>
      </x:c>
      <x:c r="G84" s="22" t="str">
        <x:v>Mensual</x:v>
      </x:c>
      <x:c r="H84" s="40" t="n">
        <x:v>95</x:v>
      </x:c>
      <x:c r="I84" s="22" t="str">
        <x:v>Mayor es mejor</x:v>
      </x:c>
      <x:c r="J84" s="40" t="n">
        <x:v>98</x:v>
      </x:c>
      <x:c r="K84" s="40" t="n">
        <x:v>100</x:v>
      </x:c>
      <x:c r="L84" s="40" t="n">
        <x:v>100</x:v>
      </x:c>
      <x:c r="M84" s="40" t="n">
        <x:f>IF(OR(J84="",K84="",K84=0),"",J84/K84*L84)</x:f>
        <x:v>98</x:v>
      </x:c>
      <x:c r="N84" s="22" t="str">
        <x:f>IF(M84="","",IF(I84="Mayor es mejor",IF(M84&gt;=H84,"En meta",IF(M84&gt;=H84*0.9,"Alerta","Crítico")),IF(M84&lt;=H84,"En meta",IF(M84&lt;=H84*1.1,"Alerta","Crítico"))))</x:f>
        <x:v>En meta</x:v>
      </x:c>
      <x:c r="O84" s="22" t="str">
        <x:v>%</x:v>
      </x:c>
      <x:c r="P84" s="22" t="str">
        <x:v>Líder SG-SST / Alta Dirección</x:v>
      </x:c>
      <x:c r="Q84" s="22" t="str">
        <x:v>Autodiagnóstico Res. 0312 de 2019</x:v>
      </x:c>
      <x:c r="R84" s="22" t="str"/>
    </x:row>
    <x:row r="85">
      <x:c r="A85" s="46" t="n">
        <x:v>45107</x:v>
      </x:c>
      <x:c r="B85" s="22" t="n">
        <x:v>2023</x:v>
      </x:c>
      <x:c r="C85" s="22" t="str">
        <x:v>Junio</x:v>
      </x:c>
      <x:c r="D85" s="22" t="str">
        <x:v>E01</x:v>
      </x:c>
      <x:c r="E85" s="22" t="str">
        <x:v>% ejecución presupuestal del SG-SST</x:v>
      </x:c>
      <x:c r="F85" s="22" t="str">
        <x:v>Estructura</x:v>
      </x:c>
      <x:c r="G85" s="22" t="str">
        <x:v>Mensual</x:v>
      </x:c>
      <x:c r="H85" s="40" t="n">
        <x:v>95</x:v>
      </x:c>
      <x:c r="I85" s="22" t="str">
        <x:v>Mayor es mejor</x:v>
      </x:c>
      <x:c r="J85" s="40" t="n">
        <x:v>6464254</x:v>
      </x:c>
      <x:c r="K85" s="40" t="n">
        <x:v>7000000</x:v>
      </x:c>
      <x:c r="L85" s="40" t="n">
        <x:v>100</x:v>
      </x:c>
      <x:c r="M85" s="40" t="n">
        <x:f>IF(OR(J85="",K85="",K85=0),"",J85/K85*L85)</x:f>
        <x:v>92.3464857142857</x:v>
      </x:c>
      <x:c r="N85" s="22" t="str">
        <x:f>IF(M85="","",IF(I85="Mayor es mejor",IF(M85&gt;=H85,"En meta",IF(M85&gt;=H85*0.9,"Alerta","Crítico")),IF(M85&lt;=H85,"En meta",IF(M85&lt;=H85*1.1,"Alerta","Crítico"))))</x:f>
        <x:v>Alerta</x:v>
      </x:c>
      <x:c r="O85" s="22" t="str">
        <x:v>%</x:v>
      </x:c>
      <x:c r="P85" s="22" t="str">
        <x:v>Líder SG-SST / Dirección Administrativa</x:v>
      </x:c>
      <x:c r="Q85" s="22" t="str">
        <x:v>Presupuesto SST</x:v>
      </x:c>
      <x:c r="R85" s="22" t="str"/>
    </x:row>
    <x:row r="86">
      <x:c r="A86" s="46" t="n">
        <x:v>45107</x:v>
      </x:c>
      <x:c r="B86" s="22" t="n">
        <x:v>2023</x:v>
      </x:c>
      <x:c r="C86" s="22" t="str">
        <x:v>Junio</x:v>
      </x:c>
      <x:c r="D86" s="22" t="str">
        <x:v>E02</x:v>
      </x:c>
      <x:c r="E86" s="22" t="str">
        <x:v>% cobertura del plan de formación y capacitación SG-SST</x:v>
      </x:c>
      <x:c r="F86" s="22" t="str">
        <x:v>Estructura</x:v>
      </x:c>
      <x:c r="G86" s="22" t="str">
        <x:v>Mensual</x:v>
      </x:c>
      <x:c r="H86" s="40" t="n">
        <x:v>90</x:v>
      </x:c>
      <x:c r="I86" s="22" t="str">
        <x:v>Mayor es mejor</x:v>
      </x:c>
      <x:c r="J86" s="40" t="n">
        <x:v>20</x:v>
      </x:c>
      <x:c r="K86" s="40" t="n">
        <x:v>22</x:v>
      </x:c>
      <x:c r="L86" s="40" t="n">
        <x:v>100</x:v>
      </x:c>
      <x:c r="M86" s="40" t="n">
        <x:f>IF(OR(J86="",K86="",K86=0),"",J86/K86*L86)</x:f>
        <x:v>90.9090909090909</x:v>
      </x:c>
      <x:c r="N86" s="22" t="str">
        <x:f>IF(M86="","",IF(I86="Mayor es mejor",IF(M86&gt;=H86,"En meta",IF(M86&gt;=H86*0.9,"Alerta","Crítico")),IF(M86&lt;=H86,"En meta",IF(M86&lt;=H86*1.1,"Alerta","Crítico"))))</x:f>
        <x:v>En meta</x:v>
      </x:c>
      <x:c r="O86" s="22" t="str">
        <x:v>%</x:v>
      </x:c>
      <x:c r="P86" s="22" t="str">
        <x:v>Líder SG-SST / Talento Humano</x:v>
      </x:c>
      <x:c r="Q86" s="22" t="str">
        <x:v>Plan de formación y capacitaciones</x:v>
      </x:c>
      <x:c r="R86" s="22" t="str"/>
    </x:row>
    <x:row r="87">
      <x:c r="A87" s="46" t="n">
        <x:v>45107</x:v>
      </x:c>
      <x:c r="B87" s="22" t="n">
        <x:v>2023</x:v>
      </x:c>
      <x:c r="C87" s="22" t="str">
        <x:v>Junio</x:v>
      </x:c>
      <x:c r="D87" s="22" t="str">
        <x:v>E03</x:v>
      </x:c>
      <x:c r="E87" s="22" t="str">
        <x:v>% trabajadores con exámenes médicos ocupacionales vigentes</x:v>
      </x:c>
      <x:c r="F87" s="22" t="str">
        <x:v>Estructura</x:v>
      </x:c>
      <x:c r="G87" s="22" t="str">
        <x:v>Mensual</x:v>
      </x:c>
      <x:c r="H87" s="40" t="n">
        <x:v>95</x:v>
      </x:c>
      <x:c r="I87" s="22" t="str">
        <x:v>Mayor es mejor</x:v>
      </x:c>
      <x:c r="J87" s="40" t="n">
        <x:v>199</x:v>
      </x:c>
      <x:c r="K87" s="40" t="n">
        <x:v>211</x:v>
      </x:c>
      <x:c r="L87" s="40" t="n">
        <x:v>100</x:v>
      </x:c>
      <x:c r="M87" s="40" t="n">
        <x:f>IF(OR(J87="",K87="",K87=0),"",J87/K87*L87)</x:f>
        <x:v>94.3127962085308</x:v>
      </x:c>
      <x:c r="N87" s="22" t="str">
        <x:f>IF(M87="","",IF(I87="Mayor es mejor",IF(M87&gt;=H87,"En meta",IF(M87&gt;=H87*0.9,"Alerta","Crítico")),IF(M87&lt;=H87,"En meta",IF(M87&lt;=H87*1.1,"Alerta","Crítico"))))</x:f>
        <x:v>Alerta</x:v>
      </x:c>
      <x:c r="O87" s="22" t="str">
        <x:v>%</x:v>
      </x:c>
      <x:c r="P87" s="22" t="str">
        <x:v>Líder SG-SST / Talento Humano</x:v>
      </x:c>
      <x:c r="Q87" s="22" t="str">
        <x:v>Matriz de seguimiento EMO</x:v>
      </x:c>
      <x:c r="R87" s="22" t="str"/>
    </x:row>
    <x:row r="88">
      <x:c r="A88" s="46" t="n">
        <x:v>45107</x:v>
      </x:c>
      <x:c r="B88" s="22" t="n">
        <x:v>2023</x:v>
      </x:c>
      <x:c r="C88" s="22" t="str">
        <x:v>Junio</x:v>
      </x:c>
      <x:c r="D88" s="22" t="str">
        <x:v>E04</x:v>
      </x:c>
      <x:c r="E88" s="22" t="str">
        <x:v>% cumplimiento de requisitos legales aplicables en SST</x:v>
      </x:c>
      <x:c r="F88" s="22" t="str">
        <x:v>Estructura</x:v>
      </x:c>
      <x:c r="G88" s="22" t="str">
        <x:v>Mensual</x:v>
      </x:c>
      <x:c r="H88" s="40" t="n">
        <x:v>95</x:v>
      </x:c>
      <x:c r="I88" s="22" t="str">
        <x:v>Mayor es mejor</x:v>
      </x:c>
      <x:c r="J88" s="40" t="n">
        <x:v>56</x:v>
      </x:c>
      <x:c r="K88" s="40" t="n">
        <x:v>60</x:v>
      </x:c>
      <x:c r="L88" s="40" t="n">
        <x:v>100</x:v>
      </x:c>
      <x:c r="M88" s="40" t="n">
        <x:f>IF(OR(J88="",K88="",K88=0),"",J88/K88*L88)</x:f>
        <x:v>93.33333333333333</x:v>
      </x:c>
      <x:c r="N88" s="22" t="str">
        <x:f>IF(M88="","",IF(I88="Mayor es mejor",IF(M88&gt;=H88,"En meta",IF(M88&gt;=H88*0.9,"Alerta","Crítico")),IF(M88&lt;=H88,"En meta",IF(M88&lt;=H88*1.1,"Alerta","Crítico"))))</x:f>
        <x:v>Alerta</x:v>
      </x:c>
      <x:c r="O88" s="22" t="str">
        <x:v>%</x:v>
      </x:c>
      <x:c r="P88" s="22" t="str">
        <x:v>Líder SG-SST / Jurídica</x:v>
      </x:c>
      <x:c r="Q88" s="22" t="str">
        <x:v>Matriz legal SGRL</x:v>
      </x:c>
      <x:c r="R88" s="22" t="str"/>
    </x:row>
    <x:row r="89">
      <x:c r="A89" s="46" t="n">
        <x:v>45107</x:v>
      </x:c>
      <x:c r="B89" s="22" t="n">
        <x:v>2023</x:v>
      </x:c>
      <x:c r="C89" s="22" t="str">
        <x:v>Junio</x:v>
      </x:c>
      <x:c r="D89" s="22" t="str">
        <x:v>E05</x:v>
      </x:c>
      <x:c r="E89" s="22" t="str">
        <x:v>% proveedores y contratistas aprobados en SST</x:v>
      </x:c>
      <x:c r="F89" s="22" t="str">
        <x:v>Estructura</x:v>
      </x:c>
      <x:c r="G89" s="22" t="str">
        <x:v>Mensual</x:v>
      </x:c>
      <x:c r="H89" s="40" t="n">
        <x:v>90</x:v>
      </x:c>
      <x:c r="I89" s="22" t="str">
        <x:v>Mayor es mejor</x:v>
      </x:c>
      <x:c r="J89" s="40" t="n">
        <x:v>18</x:v>
      </x:c>
      <x:c r="K89" s="40" t="n">
        <x:v>20</x:v>
      </x:c>
      <x:c r="L89" s="40" t="n">
        <x:v>100</x:v>
      </x:c>
      <x:c r="M89" s="40" t="n">
        <x:f>IF(OR(J89="",K89="",K89=0),"",J89/K89*L89)</x:f>
        <x:v>90</x:v>
      </x:c>
      <x:c r="N89" s="22" t="str">
        <x:f>IF(M89="","",IF(I89="Mayor es mejor",IF(M89&gt;=H89,"En meta",IF(M89&gt;=H89*0.9,"Alerta","Crítico")),IF(M89&lt;=H89,"En meta",IF(M89&lt;=H89*1.1,"Alerta","Crítico"))))</x:f>
        <x:v>En meta</x:v>
      </x:c>
      <x:c r="O89" s="22" t="str">
        <x:v>%</x:v>
      </x:c>
      <x:c r="P89" s="22" t="str">
        <x:v>Compras / Líder SG-SST</x:v>
      </x:c>
      <x:c r="Q89" s="22" t="str">
        <x:v>Gestión de proveedores y contratistas</x:v>
      </x:c>
      <x:c r="R89" s="22" t="str"/>
    </x:row>
    <x:row r="90">
      <x:c r="A90" s="46" t="n">
        <x:v>45107</x:v>
      </x:c>
      <x:c r="B90" s="22" t="n">
        <x:v>2023</x:v>
      </x:c>
      <x:c r="C90" s="22" t="str">
        <x:v>Junio</x:v>
      </x:c>
      <x:c r="D90" s="22" t="str">
        <x:v>P01</x:v>
      </x:c>
      <x:c r="E90" s="22" t="str">
        <x:v>% ejecución del plan anual de trabajo SG-SST</x:v>
      </x:c>
      <x:c r="F90" s="22" t="str">
        <x:v>Proceso</x:v>
      </x:c>
      <x:c r="G90" s="22" t="str">
        <x:v>Mensual</x:v>
      </x:c>
      <x:c r="H90" s="40" t="n">
        <x:v>90</x:v>
      </x:c>
      <x:c r="I90" s="22" t="str">
        <x:v>Mayor es mejor</x:v>
      </x:c>
      <x:c r="J90" s="40" t="n">
        <x:v>9</x:v>
      </x:c>
      <x:c r="K90" s="40" t="n">
        <x:v>10</x:v>
      </x:c>
      <x:c r="L90" s="40" t="n">
        <x:v>100</x:v>
      </x:c>
      <x:c r="M90" s="40" t="n">
        <x:f>IF(OR(J90="",K90="",K90=0),"",J90/K90*L90)</x:f>
        <x:v>90</x:v>
      </x:c>
      <x:c r="N90" s="22" t="str">
        <x:f>IF(M90="","",IF(I90="Mayor es mejor",IF(M90&gt;=H90,"En meta",IF(M90&gt;=H90*0.9,"Alerta","Crítico")),IF(M90&lt;=H90,"En meta",IF(M90&lt;=H90*1.1,"Alerta","Crítico"))))</x:f>
        <x:v>En meta</x:v>
      </x:c>
      <x:c r="O90" s="22" t="str">
        <x:v>%</x:v>
      </x:c>
      <x:c r="P90" s="22" t="str">
        <x:v>Líder SG-SST</x:v>
      </x:c>
      <x:c r="Q90" s="22" t="str">
        <x:v>Plan anual de trabajo PHVA</x:v>
      </x:c>
      <x:c r="R90" s="22" t="str"/>
    </x:row>
    <x:row r="91">
      <x:c r="A91" s="46" t="n">
        <x:v>45107</x:v>
      </x:c>
      <x:c r="B91" s="22" t="n">
        <x:v>2023</x:v>
      </x:c>
      <x:c r="C91" s="22" t="str">
        <x:v>Junio</x:v>
      </x:c>
      <x:c r="D91" s="22" t="str">
        <x:v>P02</x:v>
      </x:c>
      <x:c r="E91" s="22" t="str">
        <x:v>% investigaciones de accidentes realizadas oportunamente</x:v>
      </x:c>
      <x:c r="F91" s="22" t="str">
        <x:v>Proceso</x:v>
      </x:c>
      <x:c r="G91" s="22" t="str">
        <x:v>Mensual</x:v>
      </x:c>
      <x:c r="H91" s="40" t="n">
        <x:v>95</x:v>
      </x:c>
      <x:c r="I91" s="22" t="str">
        <x:v>Mayor es mejor</x:v>
      </x:c>
      <x:c r="J91" s="40" t="n">
        <x:v>1</x:v>
      </x:c>
      <x:c r="K91" s="40" t="n">
        <x:v>1</x:v>
      </x:c>
      <x:c r="L91" s="40" t="n">
        <x:v>100</x:v>
      </x:c>
      <x:c r="M91" s="40" t="n">
        <x:f>IF(OR(J91="",K91="",K91=0),"",J91/K91*L91)</x:f>
        <x:v>100</x:v>
      </x:c>
      <x:c r="N91" s="22" t="str">
        <x:f>IF(M91="","",IF(I91="Mayor es mejor",IF(M91&gt;=H91,"En meta",IF(M91&gt;=H91*0.9,"Alerta","Crítico")),IF(M91&lt;=H91,"En meta",IF(M91&lt;=H91*1.1,"Alerta","Crítico"))))</x:f>
        <x:v>En meta</x:v>
      </x:c>
      <x:c r="O91" s="22" t="str">
        <x:v>%</x:v>
      </x:c>
      <x:c r="P91" s="22" t="str">
        <x:v>Líder SG-SST / COPASST</x:v>
      </x:c>
      <x:c r="Q91" s="22" t="str">
        <x:v>Matriz de accidentalidad</x:v>
      </x:c>
      <x:c r="R91" s="22" t="str"/>
    </x:row>
    <x:row r="92">
      <x:c r="A92" s="46" t="n">
        <x:v>45107</x:v>
      </x:c>
      <x:c r="B92" s="22" t="n">
        <x:v>2023</x:v>
      </x:c>
      <x:c r="C92" s="22" t="str">
        <x:v>Junio</x:v>
      </x:c>
      <x:c r="D92" s="22" t="str">
        <x:v>P03</x:v>
      </x:c>
      <x:c r="E92" s="22" t="str">
        <x:v>% cierre oportuno de acciones correctivas, preventivas y de mejora</x:v>
      </x:c>
      <x:c r="F92" s="22" t="str">
        <x:v>Proceso</x:v>
      </x:c>
      <x:c r="G92" s="22" t="str">
        <x:v>Mensual</x:v>
      </x:c>
      <x:c r="H92" s="40" t="n">
        <x:v>90</x:v>
      </x:c>
      <x:c r="I92" s="22" t="str">
        <x:v>Mayor es mejor</x:v>
      </x:c>
      <x:c r="J92" s="40" t="n">
        <x:v>9</x:v>
      </x:c>
      <x:c r="K92" s="40" t="n">
        <x:v>11</x:v>
      </x:c>
      <x:c r="L92" s="40" t="n">
        <x:v>100</x:v>
      </x:c>
      <x:c r="M92" s="40" t="n">
        <x:f>IF(OR(J92="",K92="",K92=0),"",J92/K92*L92)</x:f>
        <x:v>81.81818181818183</x:v>
      </x:c>
      <x:c r="N92" s="22" t="str">
        <x:f>IF(M92="","",IF(I92="Mayor es mejor",IF(M92&gt;=H92,"En meta",IF(M92&gt;=H92*0.9,"Alerta","Crítico")),IF(M92&lt;=H92,"En meta",IF(M92&lt;=H92*1.1,"Alerta","Crítico"))))</x:f>
        <x:v>Alerta</x:v>
      </x:c>
      <x:c r="O92" s="22" t="str">
        <x:v>%</x:v>
      </x:c>
      <x:c r="P92" s="22" t="str">
        <x:v>Líder SG-SST / Responsables de proceso</x:v>
      </x:c>
      <x:c r="Q92" s="22" t="str">
        <x:v>Matriz APCM</x:v>
      </x:c>
      <x:c r="R92" s="22" t="str"/>
    </x:row>
    <x:row r="93">
      <x:c r="A93" s="46" t="n">
        <x:v>45107</x:v>
      </x:c>
      <x:c r="B93" s="22" t="n">
        <x:v>2023</x:v>
      </x:c>
      <x:c r="C93" s="22" t="str">
        <x:v>Junio</x:v>
      </x:c>
      <x:c r="D93" s="22" t="str">
        <x:v>P04</x:v>
      </x:c>
      <x:c r="E93" s="22" t="str">
        <x:v>% inspecciones de seguridad ejecutadas</x:v>
      </x:c>
      <x:c r="F93" s="22" t="str">
        <x:v>Proceso</x:v>
      </x:c>
      <x:c r="G93" s="22" t="str">
        <x:v>Mensual</x:v>
      </x:c>
      <x:c r="H93" s="40" t="n">
        <x:v>90</x:v>
      </x:c>
      <x:c r="I93" s="22" t="str">
        <x:v>Mayor es mejor</x:v>
      </x:c>
      <x:c r="J93" s="40" t="n">
        <x:v>9</x:v>
      </x:c>
      <x:c r="K93" s="40" t="n">
        <x:v>10</x:v>
      </x:c>
      <x:c r="L93" s="40" t="n">
        <x:v>100</x:v>
      </x:c>
      <x:c r="M93" s="40" t="n">
        <x:f>IF(OR(J93="",K93="",K93=0),"",J93/K93*L93)</x:f>
        <x:v>90</x:v>
      </x:c>
      <x:c r="N93" s="22" t="str">
        <x:f>IF(M93="","",IF(I93="Mayor es mejor",IF(M93&gt;=H93,"En meta",IF(M93&gt;=H93*0.9,"Alerta","Crítico")),IF(M93&lt;=H93,"En meta",IF(M93&lt;=H93*1.1,"Alerta","Crítico"))))</x:f>
        <x:v>En meta</x:v>
      </x:c>
      <x:c r="O93" s="22" t="str">
        <x:v>%</x:v>
      </x:c>
      <x:c r="P93" s="22" t="str">
        <x:v>Líder SG-SST / Supervisores</x:v>
      </x:c>
      <x:c r="Q93" s="22" t="str">
        <x:v>Programa de inspecciones</x:v>
      </x:c>
      <x:c r="R93" s="22" t="str"/>
    </x:row>
    <x:row r="94">
      <x:c r="A94" s="46" t="n">
        <x:v>45107</x:v>
      </x:c>
      <x:c r="B94" s="22" t="n">
        <x:v>2023</x:v>
      </x:c>
      <x:c r="C94" s="22" t="str">
        <x:v>Junio</x:v>
      </x:c>
      <x:c r="D94" s="22" t="str">
        <x:v>P05</x:v>
      </x:c>
      <x:c r="E94" s="22" t="str">
        <x:v>% mantenimientos preventivos ejecutados</x:v>
      </x:c>
      <x:c r="F94" s="22" t="str">
        <x:v>Proceso</x:v>
      </x:c>
      <x:c r="G94" s="22" t="str">
        <x:v>Mensual</x:v>
      </x:c>
      <x:c r="H94" s="40" t="n">
        <x:v>90</x:v>
      </x:c>
      <x:c r="I94" s="22" t="str">
        <x:v>Mayor es mejor</x:v>
      </x:c>
      <x:c r="J94" s="40" t="n">
        <x:v>13</x:v>
      </x:c>
      <x:c r="K94" s="40" t="n">
        <x:v>14</x:v>
      </x:c>
      <x:c r="L94" s="40" t="n">
        <x:v>100</x:v>
      </x:c>
      <x:c r="M94" s="40" t="n">
        <x:f>IF(OR(J94="",K94="",K94=0),"",J94/K94*L94)</x:f>
        <x:v>92.85714285714286</x:v>
      </x:c>
      <x:c r="N94" s="22" t="str">
        <x:f>IF(M94="","",IF(I94="Mayor es mejor",IF(M94&gt;=H94,"En meta",IF(M94&gt;=H94*0.9,"Alerta","Crítico")),IF(M94&lt;=H94,"En meta",IF(M94&lt;=H94*1.1,"Alerta","Crítico"))))</x:f>
        <x:v>En meta</x:v>
      </x:c>
      <x:c r="O94" s="22" t="str">
        <x:v>%</x:v>
      </x:c>
      <x:c r="P94" s="22" t="str">
        <x:v>Mantenimiento / Líder SG-SST</x:v>
      </x:c>
      <x:c r="Q94" s="22" t="str">
        <x:v>Programa de mantenimiento preventivo</x:v>
      </x:c>
      <x:c r="R94" s="22" t="str"/>
    </x:row>
    <x:row r="95">
      <x:c r="A95" s="46" t="n">
        <x:v>45107</x:v>
      </x:c>
      <x:c r="B95" s="22" t="n">
        <x:v>2023</x:v>
      </x:c>
      <x:c r="C95" s="22" t="str">
        <x:v>Junio</x:v>
      </x:c>
      <x:c r="D95" s="22" t="str">
        <x:v>R01</x:v>
      </x:c>
      <x:c r="E95" s="22" t="str">
        <x:v>Índice de frecuencia de accidentalidad (IF)</x:v>
      </x:c>
      <x:c r="F95" s="22" t="str">
        <x:v>Resultado</x:v>
      </x:c>
      <x:c r="G95" s="22" t="str">
        <x:v>Mensual</x:v>
      </x:c>
      <x:c r="H95" s="40" t="n">
        <x:v>3.5</x:v>
      </x:c>
      <x:c r="I95" s="22" t="str">
        <x:v>Menor es mejor</x:v>
      </x:c>
      <x:c r="J95" s="40" t="n">
        <x:v>1</x:v>
      </x:c>
      <x:c r="K95" s="40" t="n">
        <x:v>50809</x:v>
      </x:c>
      <x:c r="L95" s="40" t="n">
        <x:v>200000</x:v>
      </x:c>
      <x:c r="M95" s="40" t="n">
        <x:f>IF(OR(J95="",K95="",K95=0),"",J95/K95*L95)</x:f>
        <x:v>3.936310496171938</x:v>
      </x:c>
      <x:c r="N95" s="22" t="str">
        <x:f>IF(M95="","",IF(I95="Mayor es mejor",IF(M95&gt;=H95,"En meta",IF(M95&gt;=H95*0.9,"Alerta","Crítico")),IF(M95&lt;=H95,"En meta",IF(M95&lt;=H95*1.1,"Alerta","Crítico"))))</x:f>
        <x:v>Crítico</x:v>
      </x:c>
      <x:c r="O95" s="22" t="str">
        <x:v>Índice</x:v>
      </x:c>
      <x:c r="P95" s="22" t="str">
        <x:v>Líder SG-SST</x:v>
      </x:c>
      <x:c r="Q95" s="22" t="str">
        <x:v>Matriz de accidentalidad / nómina</x:v>
      </x:c>
      <x:c r="R95" s="22" t="str"/>
    </x:row>
    <x:row r="96">
      <x:c r="A96" s="46" t="n">
        <x:v>45107</x:v>
      </x:c>
      <x:c r="B96" s="22" t="n">
        <x:v>2023</x:v>
      </x:c>
      <x:c r="C96" s="22" t="str">
        <x:v>Junio</x:v>
      </x:c>
      <x:c r="D96" s="22" t="str">
        <x:v>R02</x:v>
      </x:c>
      <x:c r="E96" s="22" t="str">
        <x:v>Índice de severidad de accidentalidad (IS)</x:v>
      </x:c>
      <x:c r="F96" s="22" t="str">
        <x:v>Resultado</x:v>
      </x:c>
      <x:c r="G96" s="22" t="str">
        <x:v>Mensual</x:v>
      </x:c>
      <x:c r="H96" s="40" t="n">
        <x:v>80</x:v>
      </x:c>
      <x:c r="I96" s="22" t="str">
        <x:v>Menor es mejor</x:v>
      </x:c>
      <x:c r="J96" s="40" t="n">
        <x:v>20</x:v>
      </x:c>
      <x:c r="K96" s="40" t="n">
        <x:v>50809</x:v>
      </x:c>
      <x:c r="L96" s="40" t="n">
        <x:v>200000</x:v>
      </x:c>
      <x:c r="M96" s="40" t="n">
        <x:f>IF(OR(J96="",K96="",K96=0),"",J96/K96*L96)</x:f>
        <x:v>78.72620992343876</x:v>
      </x:c>
      <x:c r="N96" s="22" t="str">
        <x:f>IF(M96="","",IF(I96="Mayor es mejor",IF(M96&gt;=H96,"En meta",IF(M96&gt;=H96*0.9,"Alerta","Crítico")),IF(M96&lt;=H96,"En meta",IF(M96&lt;=H96*1.1,"Alerta","Crítico"))))</x:f>
        <x:v>En meta</x:v>
      </x:c>
      <x:c r="O96" s="22" t="str">
        <x:v>Índice</x:v>
      </x:c>
      <x:c r="P96" s="22" t="str">
        <x:v>Líder SG-SST</x:v>
      </x:c>
      <x:c r="Q96" s="22" t="str">
        <x:v>Matriz de accidentalidad / nómina</x:v>
      </x:c>
      <x:c r="R96" s="22" t="str"/>
    </x:row>
    <x:row r="97">
      <x:c r="A97" s="46" t="n">
        <x:v>45107</x:v>
      </x:c>
      <x:c r="B97" s="22" t="n">
        <x:v>2023</x:v>
      </x:c>
      <x:c r="C97" s="22" t="str">
        <x:v>Junio</x:v>
      </x:c>
      <x:c r="D97" s="22" t="str">
        <x:v>R03</x:v>
      </x:c>
      <x:c r="E97" s="22" t="str">
        <x:v>Índice de lesión incapacitante (ILI)</x:v>
      </x:c>
      <x:c r="F97" s="22" t="str">
        <x:v>Resultado</x:v>
      </x:c>
      <x:c r="G97" s="22" t="str">
        <x:v>Mensual</x:v>
      </x:c>
      <x:c r="H97" s="40" t="n">
        <x:v>0.25</x:v>
      </x:c>
      <x:c r="I97" s="22" t="str">
        <x:v>Menor es mejor</x:v>
      </x:c>
      <x:c r="J97" s="40" t="n">
        <x:v>309.8908</x:v>
      </x:c>
      <x:c r="K97" s="40" t="n">
        <x:v>1000</x:v>
      </x:c>
      <x:c r="L97" s="40" t="n">
        <x:v>1</x:v>
      </x:c>
      <x:c r="M97" s="40" t="n">
        <x:f>IF(OR(J97="",K97="",K97=0),"",J97/K97*L97)</x:f>
        <x:v>0.3098908</x:v>
      </x:c>
      <x:c r="N97" s="22" t="str">
        <x:f>IF(M97="","",IF(I97="Mayor es mejor",IF(M97&gt;=H97,"En meta",IF(M97&gt;=H97*0.9,"Alerta","Crítico")),IF(M97&lt;=H97,"En meta",IF(M97&lt;=H97*1.1,"Alerta","Crítico"))))</x:f>
        <x:v>Crítico</x:v>
      </x:c>
      <x:c r="O97" s="22" t="str">
        <x:v>Índice</x:v>
      </x:c>
      <x:c r="P97" s="22" t="str">
        <x:v>Líder SG-SST</x:v>
      </x:c>
      <x:c r="Q97" s="22" t="str">
        <x:v>Indicadores derivados de accidentalidad</x:v>
      </x:c>
      <x:c r="R97" s="22" t="str">
        <x:v>ILI calculado sobre IF e IS del periodo.</x:v>
      </x:c>
    </x:row>
    <x:row r="98">
      <x:c r="A98" s="46" t="n">
        <x:v>45107</x:v>
      </x:c>
      <x:c r="B98" s="22" t="n">
        <x:v>2023</x:v>
      </x:c>
      <x:c r="C98" s="22" t="str">
        <x:v>Junio</x:v>
      </x:c>
      <x:c r="D98" s="22" t="str">
        <x:v>R04</x:v>
      </x:c>
      <x:c r="E98" s="22" t="str">
        <x:v>Tasa de accidentalidad</x:v>
      </x:c>
      <x:c r="F98" s="22" t="str">
        <x:v>Resultado</x:v>
      </x:c>
      <x:c r="G98" s="22" t="str">
        <x:v>Mensual</x:v>
      </x:c>
      <x:c r="H98" s="40" t="n">
        <x:v>0.6</x:v>
      </x:c>
      <x:c r="I98" s="22" t="str">
        <x:v>Menor es mejor</x:v>
      </x:c>
      <x:c r="J98" s="40" t="n">
        <x:v>4.11</x:v>
      </x:c>
      <x:c r="K98" s="40" t="n">
        <x:v>211</x:v>
      </x:c>
      <x:c r="L98" s="40" t="n">
        <x:v>100</x:v>
      </x:c>
      <x:c r="M98" s="40" t="n">
        <x:f>IF(OR(J98="",K98="",K98=0),"",J98/K98*L98)</x:f>
        <x:v>1.9478672985781993</x:v>
      </x:c>
      <x:c r="N98" s="22" t="str">
        <x:f>IF(M98="","",IF(I98="Mayor es mejor",IF(M98&gt;=H98,"En meta",IF(M98&gt;=H98*0.9,"Alerta","Crítico")),IF(M98&lt;=H98,"En meta",IF(M98&lt;=H98*1.1,"Alerta","Crítico"))))</x:f>
        <x:v>Crítico</x:v>
      </x:c>
      <x:c r="O98" s="22" t="str">
        <x:v>%</x:v>
      </x:c>
      <x:c r="P98" s="22" t="str">
        <x:v>Líder SG-SST</x:v>
      </x:c>
      <x:c r="Q98" s="22" t="str">
        <x:v>Matriz de accidentalidad / nómina</x:v>
      </x:c>
      <x:c r="R98" s="22" t="str"/>
    </x:row>
    <x:row r="99">
      <x:c r="A99" s="46" t="n">
        <x:v>45107</x:v>
      </x:c>
      <x:c r="B99" s="22" t="n">
        <x:v>2023</x:v>
      </x:c>
      <x:c r="C99" s="22" t="str">
        <x:v>Junio</x:v>
      </x:c>
      <x:c r="D99" s="22" t="str">
        <x:v>R05</x:v>
      </x:c>
      <x:c r="E99" s="22" t="str">
        <x:v>Prevalencia de enfermedad laboral</x:v>
      </x:c>
      <x:c r="F99" s="22" t="str">
        <x:v>Resultado</x:v>
      </x:c>
      <x:c r="G99" s="22" t="str">
        <x:v>Mensual</x:v>
      </x:c>
      <x:c r="H99" s="40" t="n">
        <x:v>0.3</x:v>
      </x:c>
      <x:c r="I99" s="22" t="str">
        <x:v>Menor es mejor</x:v>
      </x:c>
      <x:c r="J99" s="40" t="n">
        <x:v>0.02</x:v>
      </x:c>
      <x:c r="K99" s="40" t="n">
        <x:v>211</x:v>
      </x:c>
      <x:c r="L99" s="40" t="n">
        <x:v>100</x:v>
      </x:c>
      <x:c r="M99" s="40" t="n">
        <x:f>IF(OR(J99="",K99="",K99=0),"",J99/K99*L99)</x:f>
        <x:v>0.00947867298578199</x:v>
      </x:c>
      <x:c r="N99" s="22" t="str">
        <x:f>IF(M99="","",IF(I99="Mayor es mejor",IF(M99&gt;=H99,"En meta",IF(M99&gt;=H99*0.9,"Alerta","Crítico")),IF(M99&lt;=H99,"En meta",IF(M99&lt;=H99*1.1,"Alerta","Crítico"))))</x:f>
        <x:v>En meta</x:v>
      </x:c>
      <x:c r="O99" s="22" t="str">
        <x:v>%</x:v>
      </x:c>
      <x:c r="P99" s="22" t="str">
        <x:v>Líder SG-SST / Medicina laboral</x:v>
      </x:c>
      <x:c r="Q99" s="22" t="str">
        <x:v>Matriz de enfermedad laboral / nómina</x:v>
      </x:c>
      <x:c r="R99" s="22" t="str"/>
    </x:row>
    <x:row r="100">
      <x:c r="A100" s="46" t="n">
        <x:v>45107</x:v>
      </x:c>
      <x:c r="B100" s="22" t="n">
        <x:v>2023</x:v>
      </x:c>
      <x:c r="C100" s="22" t="str">
        <x:v>Junio</x:v>
      </x:c>
      <x:c r="D100" s="22" t="str">
        <x:v>R06</x:v>
      </x:c>
      <x:c r="E100" s="22" t="str">
        <x:v>% cumplimiento de estándares mínimos Res. 0312 de 2019</x:v>
      </x:c>
      <x:c r="F100" s="22" t="str">
        <x:v>Resultado</x:v>
      </x:c>
      <x:c r="G100" s="22" t="str">
        <x:v>Mensual</x:v>
      </x:c>
      <x:c r="H100" s="40" t="n">
        <x:v>95</x:v>
      </x:c>
      <x:c r="I100" s="22" t="str">
        <x:v>Mayor es mejor</x:v>
      </x:c>
      <x:c r="J100" s="40" t="n">
        <x:v>97</x:v>
      </x:c>
      <x:c r="K100" s="40" t="n">
        <x:v>100</x:v>
      </x:c>
      <x:c r="L100" s="40" t="n">
        <x:v>100</x:v>
      </x:c>
      <x:c r="M100" s="40" t="n">
        <x:f>IF(OR(J100="",K100="",K100=0),"",J100/K100*L100)</x:f>
        <x:v>97</x:v>
      </x:c>
      <x:c r="N100" s="22" t="str">
        <x:f>IF(M100="","",IF(I100="Mayor es mejor",IF(M100&gt;=H100,"En meta",IF(M100&gt;=H100*0.9,"Alerta","Crítico")),IF(M100&lt;=H100,"En meta",IF(M100&lt;=H100*1.1,"Alerta","Crítico"))))</x:f>
        <x:v>En meta</x:v>
      </x:c>
      <x:c r="O100" s="22" t="str">
        <x:v>%</x:v>
      </x:c>
      <x:c r="P100" s="22" t="str">
        <x:v>Líder SG-SST / Alta Dirección</x:v>
      </x:c>
      <x:c r="Q100" s="22" t="str">
        <x:v>Autodiagnóstico Res. 0312 de 2019</x:v>
      </x:c>
      <x:c r="R100" s="22" t="str"/>
    </x:row>
    <x:row r="101">
      <x:c r="A101" s="46" t="n">
        <x:v>45138</x:v>
      </x:c>
      <x:c r="B101" s="22" t="n">
        <x:v>2023</x:v>
      </x:c>
      <x:c r="C101" s="22" t="str">
        <x:v>Julio</x:v>
      </x:c>
      <x:c r="D101" s="22" t="str">
        <x:v>E01</x:v>
      </x:c>
      <x:c r="E101" s="22" t="str">
        <x:v>% ejecución presupuestal del SG-SST</x:v>
      </x:c>
      <x:c r="F101" s="22" t="str">
        <x:v>Estructura</x:v>
      </x:c>
      <x:c r="G101" s="22" t="str">
        <x:v>Mensual</x:v>
      </x:c>
      <x:c r="H101" s="40" t="n">
        <x:v>95</x:v>
      </x:c>
      <x:c r="I101" s="22" t="str">
        <x:v>Mayor es mejor</x:v>
      </x:c>
      <x:c r="J101" s="40" t="n">
        <x:v>6899981</x:v>
      </x:c>
      <x:c r="K101" s="40" t="n">
        <x:v>7500000</x:v>
      </x:c>
      <x:c r="L101" s="40" t="n">
        <x:v>100</x:v>
      </x:c>
      <x:c r="M101" s="40" t="n">
        <x:f>IF(OR(J101="",K101="",K101=0),"",J101/K101*L101)</x:f>
        <x:v>91.99974666666667</x:v>
      </x:c>
      <x:c r="N101" s="22" t="str">
        <x:f>IF(M101="","",IF(I101="Mayor es mejor",IF(M101&gt;=H101,"En meta",IF(M101&gt;=H101*0.9,"Alerta","Crítico")),IF(M101&lt;=H101,"En meta",IF(M101&lt;=H101*1.1,"Alerta","Crítico"))))</x:f>
        <x:v>Alerta</x:v>
      </x:c>
      <x:c r="O101" s="22" t="str">
        <x:v>%</x:v>
      </x:c>
      <x:c r="P101" s="22" t="str">
        <x:v>Líder SG-SST / Dirección Administrativa</x:v>
      </x:c>
      <x:c r="Q101" s="22" t="str">
        <x:v>Presupuesto SST</x:v>
      </x:c>
      <x:c r="R101" s="22" t="str"/>
    </x:row>
    <x:row r="102">
      <x:c r="A102" s="46" t="n">
        <x:v>45138</x:v>
      </x:c>
      <x:c r="B102" s="22" t="n">
        <x:v>2023</x:v>
      </x:c>
      <x:c r="C102" s="22" t="str">
        <x:v>Julio</x:v>
      </x:c>
      <x:c r="D102" s="22" t="str">
        <x:v>E02</x:v>
      </x:c>
      <x:c r="E102" s="22" t="str">
        <x:v>% cobertura del plan de formación y capacitación SG-SST</x:v>
      </x:c>
      <x:c r="F102" s="22" t="str">
        <x:v>Estructura</x:v>
      </x:c>
      <x:c r="G102" s="22" t="str">
        <x:v>Mensual</x:v>
      </x:c>
      <x:c r="H102" s="40" t="n">
        <x:v>90</x:v>
      </x:c>
      <x:c r="I102" s="22" t="str">
        <x:v>Mayor es mejor</x:v>
      </x:c>
      <x:c r="J102" s="40" t="n">
        <x:v>21</x:v>
      </x:c>
      <x:c r="K102" s="40" t="n">
        <x:v>24</x:v>
      </x:c>
      <x:c r="L102" s="40" t="n">
        <x:v>100</x:v>
      </x:c>
      <x:c r="M102" s="40" t="n">
        <x:f>IF(OR(J102="",K102="",K102=0),"",J102/K102*L102)</x:f>
        <x:v>87.5</x:v>
      </x:c>
      <x:c r="N102" s="22" t="str">
        <x:f>IF(M102="","",IF(I102="Mayor es mejor",IF(M102&gt;=H102,"En meta",IF(M102&gt;=H102*0.9,"Alerta","Crítico")),IF(M102&lt;=H102,"En meta",IF(M102&lt;=H102*1.1,"Alerta","Crítico"))))</x:f>
        <x:v>Alerta</x:v>
      </x:c>
      <x:c r="O102" s="22" t="str">
        <x:v>%</x:v>
      </x:c>
      <x:c r="P102" s="22" t="str">
        <x:v>Líder SG-SST / Talento Humano</x:v>
      </x:c>
      <x:c r="Q102" s="22" t="str">
        <x:v>Plan de formación y capacitaciones</x:v>
      </x:c>
      <x:c r="R102" s="22" t="str"/>
    </x:row>
    <x:row r="103">
      <x:c r="A103" s="46" t="n">
        <x:v>45138</x:v>
      </x:c>
      <x:c r="B103" s="22" t="n">
        <x:v>2023</x:v>
      </x:c>
      <x:c r="C103" s="22" t="str">
        <x:v>Julio</x:v>
      </x:c>
      <x:c r="D103" s="22" t="str">
        <x:v>E03</x:v>
      </x:c>
      <x:c r="E103" s="22" t="str">
        <x:v>% trabajadores con exámenes médicos ocupacionales vigentes</x:v>
      </x:c>
      <x:c r="F103" s="22" t="str">
        <x:v>Estructura</x:v>
      </x:c>
      <x:c r="G103" s="22" t="str">
        <x:v>Mensual</x:v>
      </x:c>
      <x:c r="H103" s="40" t="n">
        <x:v>95</x:v>
      </x:c>
      <x:c r="I103" s="22" t="str">
        <x:v>Mayor es mejor</x:v>
      </x:c>
      <x:c r="J103" s="40" t="n">
        <x:v>202</x:v>
      </x:c>
      <x:c r="K103" s="40" t="n">
        <x:v>213</x:v>
      </x:c>
      <x:c r="L103" s="40" t="n">
        <x:v>100</x:v>
      </x:c>
      <x:c r="M103" s="40" t="n">
        <x:f>IF(OR(J103="",K103="",K103=0),"",J103/K103*L103)</x:f>
        <x:v>94.83568075117371</x:v>
      </x:c>
      <x:c r="N103" s="22" t="str">
        <x:f>IF(M103="","",IF(I103="Mayor es mejor",IF(M103&gt;=H103,"En meta",IF(M103&gt;=H103*0.9,"Alerta","Crítico")),IF(M103&lt;=H103,"En meta",IF(M103&lt;=H103*1.1,"Alerta","Crítico"))))</x:f>
        <x:v>Alerta</x:v>
      </x:c>
      <x:c r="O103" s="22" t="str">
        <x:v>%</x:v>
      </x:c>
      <x:c r="P103" s="22" t="str">
        <x:v>Líder SG-SST / Talento Humano</x:v>
      </x:c>
      <x:c r="Q103" s="22" t="str">
        <x:v>Matriz de seguimiento EMO</x:v>
      </x:c>
      <x:c r="R103" s="22" t="str"/>
    </x:row>
    <x:row r="104">
      <x:c r="A104" s="46" t="n">
        <x:v>45138</x:v>
      </x:c>
      <x:c r="B104" s="22" t="n">
        <x:v>2023</x:v>
      </x:c>
      <x:c r="C104" s="22" t="str">
        <x:v>Julio</x:v>
      </x:c>
      <x:c r="D104" s="22" t="str">
        <x:v>E04</x:v>
      </x:c>
      <x:c r="E104" s="22" t="str">
        <x:v>% cumplimiento de requisitos legales aplicables en SST</x:v>
      </x:c>
      <x:c r="F104" s="22" t="str">
        <x:v>Estructura</x:v>
      </x:c>
      <x:c r="G104" s="22" t="str">
        <x:v>Mensual</x:v>
      </x:c>
      <x:c r="H104" s="40" t="n">
        <x:v>95</x:v>
      </x:c>
      <x:c r="I104" s="22" t="str">
        <x:v>Mayor es mejor</x:v>
      </x:c>
      <x:c r="J104" s="40" t="n">
        <x:v>56</x:v>
      </x:c>
      <x:c r="K104" s="40" t="n">
        <x:v>60</x:v>
      </x:c>
      <x:c r="L104" s="40" t="n">
        <x:v>100</x:v>
      </x:c>
      <x:c r="M104" s="40" t="n">
        <x:f>IF(OR(J104="",K104="",K104=0),"",J104/K104*L104)</x:f>
        <x:v>93.33333333333333</x:v>
      </x:c>
      <x:c r="N104" s="22" t="str">
        <x:f>IF(M104="","",IF(I104="Mayor es mejor",IF(M104&gt;=H104,"En meta",IF(M104&gt;=H104*0.9,"Alerta","Crítico")),IF(M104&lt;=H104,"En meta",IF(M104&lt;=H104*1.1,"Alerta","Crítico"))))</x:f>
        <x:v>Alerta</x:v>
      </x:c>
      <x:c r="O104" s="22" t="str">
        <x:v>%</x:v>
      </x:c>
      <x:c r="P104" s="22" t="str">
        <x:v>Líder SG-SST / Jurídica</x:v>
      </x:c>
      <x:c r="Q104" s="22" t="str">
        <x:v>Matriz legal SGRL</x:v>
      </x:c>
      <x:c r="R104" s="22" t="str"/>
    </x:row>
    <x:row r="105">
      <x:c r="A105" s="46" t="n">
        <x:v>45138</x:v>
      </x:c>
      <x:c r="B105" s="22" t="n">
        <x:v>2023</x:v>
      </x:c>
      <x:c r="C105" s="22" t="str">
        <x:v>Julio</x:v>
      </x:c>
      <x:c r="D105" s="22" t="str">
        <x:v>E05</x:v>
      </x:c>
      <x:c r="E105" s="22" t="str">
        <x:v>% proveedores y contratistas aprobados en SST</x:v>
      </x:c>
      <x:c r="F105" s="22" t="str">
        <x:v>Estructura</x:v>
      </x:c>
      <x:c r="G105" s="22" t="str">
        <x:v>Mensual</x:v>
      </x:c>
      <x:c r="H105" s="40" t="n">
        <x:v>90</x:v>
      </x:c>
      <x:c r="I105" s="22" t="str">
        <x:v>Mayor es mejor</x:v>
      </x:c>
      <x:c r="J105" s="40" t="n">
        <x:v>18</x:v>
      </x:c>
      <x:c r="K105" s="40" t="n">
        <x:v>20</x:v>
      </x:c>
      <x:c r="L105" s="40" t="n">
        <x:v>100</x:v>
      </x:c>
      <x:c r="M105" s="40" t="n">
        <x:f>IF(OR(J105="",K105="",K105=0),"",J105/K105*L105)</x:f>
        <x:v>90</x:v>
      </x:c>
      <x:c r="N105" s="22" t="str">
        <x:f>IF(M105="","",IF(I105="Mayor es mejor",IF(M105&gt;=H105,"En meta",IF(M105&gt;=H105*0.9,"Alerta","Crítico")),IF(M105&lt;=H105,"En meta",IF(M105&lt;=H105*1.1,"Alerta","Crítico"))))</x:f>
        <x:v>En meta</x:v>
      </x:c>
      <x:c r="O105" s="22" t="str">
        <x:v>%</x:v>
      </x:c>
      <x:c r="P105" s="22" t="str">
        <x:v>Compras / Líder SG-SST</x:v>
      </x:c>
      <x:c r="Q105" s="22" t="str">
        <x:v>Gestión de proveedores y contratistas</x:v>
      </x:c>
      <x:c r="R105" s="22" t="str"/>
    </x:row>
    <x:row r="106">
      <x:c r="A106" s="46" t="n">
        <x:v>45138</x:v>
      </x:c>
      <x:c r="B106" s="22" t="n">
        <x:v>2023</x:v>
      </x:c>
      <x:c r="C106" s="22" t="str">
        <x:v>Julio</x:v>
      </x:c>
      <x:c r="D106" s="22" t="str">
        <x:v>P01</x:v>
      </x:c>
      <x:c r="E106" s="22" t="str">
        <x:v>% ejecución del plan anual de trabajo SG-SST</x:v>
      </x:c>
      <x:c r="F106" s="22" t="str">
        <x:v>Proceso</x:v>
      </x:c>
      <x:c r="G106" s="22" t="str">
        <x:v>Mensual</x:v>
      </x:c>
      <x:c r="H106" s="40" t="n">
        <x:v>90</x:v>
      </x:c>
      <x:c r="I106" s="22" t="str">
        <x:v>Mayor es mejor</x:v>
      </x:c>
      <x:c r="J106" s="40" t="n">
        <x:v>10</x:v>
      </x:c>
      <x:c r="K106" s="40" t="n">
        <x:v>12</x:v>
      </x:c>
      <x:c r="L106" s="40" t="n">
        <x:v>100</x:v>
      </x:c>
      <x:c r="M106" s="40" t="n">
        <x:f>IF(OR(J106="",K106="",K106=0),"",J106/K106*L106)</x:f>
        <x:v>83.33333333333334</x:v>
      </x:c>
      <x:c r="N106" s="22" t="str">
        <x:f>IF(M106="","",IF(I106="Mayor es mejor",IF(M106&gt;=H106,"En meta",IF(M106&gt;=H106*0.9,"Alerta","Crítico")),IF(M106&lt;=H106,"En meta",IF(M106&lt;=H106*1.1,"Alerta","Crítico"))))</x:f>
        <x:v>Alerta</x:v>
      </x:c>
      <x:c r="O106" s="22" t="str">
        <x:v>%</x:v>
      </x:c>
      <x:c r="P106" s="22" t="str">
        <x:v>Líder SG-SST</x:v>
      </x:c>
      <x:c r="Q106" s="22" t="str">
        <x:v>Plan anual de trabajo PHVA</x:v>
      </x:c>
      <x:c r="R106" s="22" t="str"/>
    </x:row>
    <x:row r="107">
      <x:c r="A107" s="46" t="n">
        <x:v>45138</x:v>
      </x:c>
      <x:c r="B107" s="22" t="n">
        <x:v>2023</x:v>
      </x:c>
      <x:c r="C107" s="22" t="str">
        <x:v>Julio</x:v>
      </x:c>
      <x:c r="D107" s="22" t="str">
        <x:v>P02</x:v>
      </x:c>
      <x:c r="E107" s="22" t="str">
        <x:v>% investigaciones de accidentes realizadas oportunamente</x:v>
      </x:c>
      <x:c r="F107" s="22" t="str">
        <x:v>Proceso</x:v>
      </x:c>
      <x:c r="G107" s="22" t="str">
        <x:v>Mensual</x:v>
      </x:c>
      <x:c r="H107" s="40" t="n">
        <x:v>95</x:v>
      </x:c>
      <x:c r="I107" s="22" t="str">
        <x:v>Mayor es mejor</x:v>
      </x:c>
      <x:c r="J107" s="40" t="n">
        <x:v>1</x:v>
      </x:c>
      <x:c r="K107" s="40" t="n">
        <x:v>1</x:v>
      </x:c>
      <x:c r="L107" s="40" t="n">
        <x:v>100</x:v>
      </x:c>
      <x:c r="M107" s="40" t="n">
        <x:f>IF(OR(J107="",K107="",K107=0),"",J107/K107*L107)</x:f>
        <x:v>100</x:v>
      </x:c>
      <x:c r="N107" s="22" t="str">
        <x:f>IF(M107="","",IF(I107="Mayor es mejor",IF(M107&gt;=H107,"En meta",IF(M107&gt;=H107*0.9,"Alerta","Crítico")),IF(M107&lt;=H107,"En meta",IF(M107&lt;=H107*1.1,"Alerta","Crítico"))))</x:f>
        <x:v>En meta</x:v>
      </x:c>
      <x:c r="O107" s="22" t="str">
        <x:v>%</x:v>
      </x:c>
      <x:c r="P107" s="22" t="str">
        <x:v>Líder SG-SST / COPASST</x:v>
      </x:c>
      <x:c r="Q107" s="22" t="str">
        <x:v>Matriz de accidentalidad</x:v>
      </x:c>
      <x:c r="R107" s="22" t="str"/>
    </x:row>
    <x:row r="108">
      <x:c r="A108" s="46" t="n">
        <x:v>45138</x:v>
      </x:c>
      <x:c r="B108" s="22" t="n">
        <x:v>2023</x:v>
      </x:c>
      <x:c r="C108" s="22" t="str">
        <x:v>Julio</x:v>
      </x:c>
      <x:c r="D108" s="22" t="str">
        <x:v>P03</x:v>
      </x:c>
      <x:c r="E108" s="22" t="str">
        <x:v>% cierre oportuno de acciones correctivas, preventivas y de mejora</x:v>
      </x:c>
      <x:c r="F108" s="22" t="str">
        <x:v>Proceso</x:v>
      </x:c>
      <x:c r="G108" s="22" t="str">
        <x:v>Mensual</x:v>
      </x:c>
      <x:c r="H108" s="40" t="n">
        <x:v>90</x:v>
      </x:c>
      <x:c r="I108" s="22" t="str">
        <x:v>Mayor es mejor</x:v>
      </x:c>
      <x:c r="J108" s="40" t="n">
        <x:v>10</x:v>
      </x:c>
      <x:c r="K108" s="40" t="n">
        <x:v>12</x:v>
      </x:c>
      <x:c r="L108" s="40" t="n">
        <x:v>100</x:v>
      </x:c>
      <x:c r="M108" s="40" t="n">
        <x:f>IF(OR(J108="",K108="",K108=0),"",J108/K108*L108)</x:f>
        <x:v>83.33333333333334</x:v>
      </x:c>
      <x:c r="N108" s="22" t="str">
        <x:f>IF(M108="","",IF(I108="Mayor es mejor",IF(M108&gt;=H108,"En meta",IF(M108&gt;=H108*0.9,"Alerta","Crítico")),IF(M108&lt;=H108,"En meta",IF(M108&lt;=H108*1.1,"Alerta","Crítico"))))</x:f>
        <x:v>Alerta</x:v>
      </x:c>
      <x:c r="O108" s="22" t="str">
        <x:v>%</x:v>
      </x:c>
      <x:c r="P108" s="22" t="str">
        <x:v>Líder SG-SST / Responsables de proceso</x:v>
      </x:c>
      <x:c r="Q108" s="22" t="str">
        <x:v>Matriz APCM</x:v>
      </x:c>
      <x:c r="R108" s="22" t="str"/>
    </x:row>
    <x:row r="109">
      <x:c r="A109" s="46" t="n">
        <x:v>45138</x:v>
      </x:c>
      <x:c r="B109" s="22" t="n">
        <x:v>2023</x:v>
      </x:c>
      <x:c r="C109" s="22" t="str">
        <x:v>Julio</x:v>
      </x:c>
      <x:c r="D109" s="22" t="str">
        <x:v>P04</x:v>
      </x:c>
      <x:c r="E109" s="22" t="str">
        <x:v>% inspecciones de seguridad ejecutadas</x:v>
      </x:c>
      <x:c r="F109" s="22" t="str">
        <x:v>Proceso</x:v>
      </x:c>
      <x:c r="G109" s="22" t="str">
        <x:v>Mensual</x:v>
      </x:c>
      <x:c r="H109" s="40" t="n">
        <x:v>90</x:v>
      </x:c>
      <x:c r="I109" s="22" t="str">
        <x:v>Mayor es mejor</x:v>
      </x:c>
      <x:c r="J109" s="40" t="n">
        <x:v>10</x:v>
      </x:c>
      <x:c r="K109" s="40" t="n">
        <x:v>11</x:v>
      </x:c>
      <x:c r="L109" s="40" t="n">
        <x:v>100</x:v>
      </x:c>
      <x:c r="M109" s="40" t="n">
        <x:f>IF(OR(J109="",K109="",K109=0),"",J109/K109*L109)</x:f>
        <x:v>90.9090909090909</x:v>
      </x:c>
      <x:c r="N109" s="22" t="str">
        <x:f>IF(M109="","",IF(I109="Mayor es mejor",IF(M109&gt;=H109,"En meta",IF(M109&gt;=H109*0.9,"Alerta","Crítico")),IF(M109&lt;=H109,"En meta",IF(M109&lt;=H109*1.1,"Alerta","Crítico"))))</x:f>
        <x:v>En meta</x:v>
      </x:c>
      <x:c r="O109" s="22" t="str">
        <x:v>%</x:v>
      </x:c>
      <x:c r="P109" s="22" t="str">
        <x:v>Líder SG-SST / Supervisores</x:v>
      </x:c>
      <x:c r="Q109" s="22" t="str">
        <x:v>Programa de inspecciones</x:v>
      </x:c>
      <x:c r="R109" s="22" t="str"/>
    </x:row>
    <x:row r="110">
      <x:c r="A110" s="46" t="n">
        <x:v>45138</x:v>
      </x:c>
      <x:c r="B110" s="22" t="n">
        <x:v>2023</x:v>
      </x:c>
      <x:c r="C110" s="22" t="str">
        <x:v>Julio</x:v>
      </x:c>
      <x:c r="D110" s="22" t="str">
        <x:v>P05</x:v>
      </x:c>
      <x:c r="E110" s="22" t="str">
        <x:v>% mantenimientos preventivos ejecutados</x:v>
      </x:c>
      <x:c r="F110" s="22" t="str">
        <x:v>Proceso</x:v>
      </x:c>
      <x:c r="G110" s="22" t="str">
        <x:v>Mensual</x:v>
      </x:c>
      <x:c r="H110" s="40" t="n">
        <x:v>90</x:v>
      </x:c>
      <x:c r="I110" s="22" t="str">
        <x:v>Mayor es mejor</x:v>
      </x:c>
      <x:c r="J110" s="40" t="n">
        <x:v>13</x:v>
      </x:c>
      <x:c r="K110" s="40" t="n">
        <x:v>15</x:v>
      </x:c>
      <x:c r="L110" s="40" t="n">
        <x:v>100</x:v>
      </x:c>
      <x:c r="M110" s="40" t="n">
        <x:f>IF(OR(J110="",K110="",K110=0),"",J110/K110*L110)</x:f>
        <x:v>86.66666666666667</x:v>
      </x:c>
      <x:c r="N110" s="22" t="str">
        <x:f>IF(M110="","",IF(I110="Mayor es mejor",IF(M110&gt;=H110,"En meta",IF(M110&gt;=H110*0.9,"Alerta","Crítico")),IF(M110&lt;=H110,"En meta",IF(M110&lt;=H110*1.1,"Alerta","Crítico"))))</x:f>
        <x:v>Alerta</x:v>
      </x:c>
      <x:c r="O110" s="22" t="str">
        <x:v>%</x:v>
      </x:c>
      <x:c r="P110" s="22" t="str">
        <x:v>Mantenimiento / Líder SG-SST</x:v>
      </x:c>
      <x:c r="Q110" s="22" t="str">
        <x:v>Programa de mantenimiento preventivo</x:v>
      </x:c>
      <x:c r="R110" s="22" t="str"/>
    </x:row>
    <x:row r="111">
      <x:c r="A111" s="46" t="n">
        <x:v>45138</x:v>
      </x:c>
      <x:c r="B111" s="22" t="n">
        <x:v>2023</x:v>
      </x:c>
      <x:c r="C111" s="22" t="str">
        <x:v>Julio</x:v>
      </x:c>
      <x:c r="D111" s="22" t="str">
        <x:v>R01</x:v>
      </x:c>
      <x:c r="E111" s="22" t="str">
        <x:v>Índice de frecuencia de accidentalidad (IF)</x:v>
      </x:c>
      <x:c r="F111" s="22" t="str">
        <x:v>Resultado</x:v>
      </x:c>
      <x:c r="G111" s="22" t="str">
        <x:v>Mensual</x:v>
      </x:c>
      <x:c r="H111" s="40" t="n">
        <x:v>3.5</x:v>
      </x:c>
      <x:c r="I111" s="22" t="str">
        <x:v>Menor es mejor</x:v>
      </x:c>
      <x:c r="J111" s="40" t="n">
        <x:v>1</x:v>
      </x:c>
      <x:c r="K111" s="40" t="n">
        <x:v>52065</x:v>
      </x:c>
      <x:c r="L111" s="40" t="n">
        <x:v>200000</x:v>
      </x:c>
      <x:c r="M111" s="40" t="n">
        <x:f>IF(OR(J111="",K111="",K111=0),"",J111/K111*L111)</x:f>
        <x:v>3.8413521559588975</x:v>
      </x:c>
      <x:c r="N111" s="22" t="str">
        <x:f>IF(M111="","",IF(I111="Mayor es mejor",IF(M111&gt;=H111,"En meta",IF(M111&gt;=H111*0.9,"Alerta","Crítico")),IF(M111&lt;=H111,"En meta",IF(M111&lt;=H111*1.1,"Alerta","Crítico"))))</x:f>
        <x:v>Alerta</x:v>
      </x:c>
      <x:c r="O111" s="22" t="str">
        <x:v>Índice</x:v>
      </x:c>
      <x:c r="P111" s="22" t="str">
        <x:v>Líder SG-SST</x:v>
      </x:c>
      <x:c r="Q111" s="22" t="str">
        <x:v>Matriz de accidentalidad / nómina</x:v>
      </x:c>
      <x:c r="R111" s="22" t="str"/>
    </x:row>
    <x:row r="112">
      <x:c r="A112" s="46" t="n">
        <x:v>45138</x:v>
      </x:c>
      <x:c r="B112" s="22" t="n">
        <x:v>2023</x:v>
      </x:c>
      <x:c r="C112" s="22" t="str">
        <x:v>Julio</x:v>
      </x:c>
      <x:c r="D112" s="22" t="str">
        <x:v>R02</x:v>
      </x:c>
      <x:c r="E112" s="22" t="str">
        <x:v>Índice de severidad de accidentalidad (IS)</x:v>
      </x:c>
      <x:c r="F112" s="22" t="str">
        <x:v>Resultado</x:v>
      </x:c>
      <x:c r="G112" s="22" t="str">
        <x:v>Mensual</x:v>
      </x:c>
      <x:c r="H112" s="40" t="n">
        <x:v>80</x:v>
      </x:c>
      <x:c r="I112" s="22" t="str">
        <x:v>Menor es mejor</x:v>
      </x:c>
      <x:c r="J112" s="40" t="n">
        <x:v>22</x:v>
      </x:c>
      <x:c r="K112" s="40" t="n">
        <x:v>52065</x:v>
      </x:c>
      <x:c r="L112" s="40" t="n">
        <x:v>200000</x:v>
      </x:c>
      <x:c r="M112" s="40" t="n">
        <x:f>IF(OR(J112="",K112="",K112=0),"",J112/K112*L112)</x:f>
        <x:v>84.50974743109575</x:v>
      </x:c>
      <x:c r="N112" s="22" t="str">
        <x:f>IF(M112="","",IF(I112="Mayor es mejor",IF(M112&gt;=H112,"En meta",IF(M112&gt;=H112*0.9,"Alerta","Crítico")),IF(M112&lt;=H112,"En meta",IF(M112&lt;=H112*1.1,"Alerta","Crítico"))))</x:f>
        <x:v>Alerta</x:v>
      </x:c>
      <x:c r="O112" s="22" t="str">
        <x:v>Índice</x:v>
      </x:c>
      <x:c r="P112" s="22" t="str">
        <x:v>Líder SG-SST</x:v>
      </x:c>
      <x:c r="Q112" s="22" t="str">
        <x:v>Matriz de accidentalidad / nómina</x:v>
      </x:c>
      <x:c r="R112" s="22" t="str"/>
    </x:row>
    <x:row r="113">
      <x:c r="A113" s="46" t="n">
        <x:v>45138</x:v>
      </x:c>
      <x:c r="B113" s="22" t="n">
        <x:v>2023</x:v>
      </x:c>
      <x:c r="C113" s="22" t="str">
        <x:v>Julio</x:v>
      </x:c>
      <x:c r="D113" s="22" t="str">
        <x:v>R03</x:v>
      </x:c>
      <x:c r="E113" s="22" t="str">
        <x:v>Índice de lesión incapacitante (ILI)</x:v>
      </x:c>
      <x:c r="F113" s="22" t="str">
        <x:v>Resultado</x:v>
      </x:c>
      <x:c r="G113" s="22" t="str">
        <x:v>Mensual</x:v>
      </x:c>
      <x:c r="H113" s="40" t="n">
        <x:v>0.25</x:v>
      </x:c>
      <x:c r="I113" s="22" t="str">
        <x:v>Menor es mejor</x:v>
      </x:c>
      <x:c r="J113" s="40" t="n">
        <x:v>324.6317</x:v>
      </x:c>
      <x:c r="K113" s="40" t="n">
        <x:v>1000</x:v>
      </x:c>
      <x:c r="L113" s="40" t="n">
        <x:v>1</x:v>
      </x:c>
      <x:c r="M113" s="40" t="n">
        <x:f>IF(OR(J113="",K113="",K113=0),"",J113/K113*L113)</x:f>
        <x:v>0.3246317</x:v>
      </x:c>
      <x:c r="N113" s="22" t="str">
        <x:f>IF(M113="","",IF(I113="Mayor es mejor",IF(M113&gt;=H113,"En meta",IF(M113&gt;=H113*0.9,"Alerta","Crítico")),IF(M113&lt;=H113,"En meta",IF(M113&lt;=H113*1.1,"Alerta","Crítico"))))</x:f>
        <x:v>Crítico</x:v>
      </x:c>
      <x:c r="O113" s="22" t="str">
        <x:v>Índice</x:v>
      </x:c>
      <x:c r="P113" s="22" t="str">
        <x:v>Líder SG-SST</x:v>
      </x:c>
      <x:c r="Q113" s="22" t="str">
        <x:v>Indicadores derivados de accidentalidad</x:v>
      </x:c>
      <x:c r="R113" s="22" t="str">
        <x:v>ILI calculado sobre IF e IS del periodo.</x:v>
      </x:c>
    </x:row>
    <x:row r="114">
      <x:c r="A114" s="46" t="n">
        <x:v>45138</x:v>
      </x:c>
      <x:c r="B114" s="22" t="n">
        <x:v>2023</x:v>
      </x:c>
      <x:c r="C114" s="22" t="str">
        <x:v>Julio</x:v>
      </x:c>
      <x:c r="D114" s="22" t="str">
        <x:v>R04</x:v>
      </x:c>
      <x:c r="E114" s="22" t="str">
        <x:v>Tasa de accidentalidad</x:v>
      </x:c>
      <x:c r="F114" s="22" t="str">
        <x:v>Resultado</x:v>
      </x:c>
      <x:c r="G114" s="22" t="str">
        <x:v>Mensual</x:v>
      </x:c>
      <x:c r="H114" s="40" t="n">
        <x:v>0.6</x:v>
      </x:c>
      <x:c r="I114" s="22" t="str">
        <x:v>Menor es mejor</x:v>
      </x:c>
      <x:c r="J114" s="40" t="n">
        <x:v>0.98</x:v>
      </x:c>
      <x:c r="K114" s="40" t="n">
        <x:v>213</x:v>
      </x:c>
      <x:c r="L114" s="40" t="n">
        <x:v>100</x:v>
      </x:c>
      <x:c r="M114" s="40" t="n">
        <x:f>IF(OR(J114="",K114="",K114=0),"",J114/K114*L114)</x:f>
        <x:v>0.46009389671361506</x:v>
      </x:c>
      <x:c r="N114" s="22" t="str">
        <x:f>IF(M114="","",IF(I114="Mayor es mejor",IF(M114&gt;=H114,"En meta",IF(M114&gt;=H114*0.9,"Alerta","Crítico")),IF(M114&lt;=H114,"En meta",IF(M114&lt;=H114*1.1,"Alerta","Crítico"))))</x:f>
        <x:v>En meta</x:v>
      </x:c>
      <x:c r="O114" s="22" t="str">
        <x:v>%</x:v>
      </x:c>
      <x:c r="P114" s="22" t="str">
        <x:v>Líder SG-SST</x:v>
      </x:c>
      <x:c r="Q114" s="22" t="str">
        <x:v>Matriz de accidentalidad / nómina</x:v>
      </x:c>
      <x:c r="R114" s="22" t="str"/>
    </x:row>
    <x:row r="115">
      <x:c r="A115" s="46" t="n">
        <x:v>45138</x:v>
      </x:c>
      <x:c r="B115" s="22" t="n">
        <x:v>2023</x:v>
      </x:c>
      <x:c r="C115" s="22" t="str">
        <x:v>Julio</x:v>
      </x:c>
      <x:c r="D115" s="22" t="str">
        <x:v>R05</x:v>
      </x:c>
      <x:c r="E115" s="22" t="str">
        <x:v>Prevalencia de enfermedad laboral</x:v>
      </x:c>
      <x:c r="F115" s="22" t="str">
        <x:v>Resultado</x:v>
      </x:c>
      <x:c r="G115" s="22" t="str">
        <x:v>Mensual</x:v>
      </x:c>
      <x:c r="H115" s="40" t="n">
        <x:v>0.3</x:v>
      </x:c>
      <x:c r="I115" s="22" t="str">
        <x:v>Menor es mejor</x:v>
      </x:c>
      <x:c r="J115" s="40" t="n">
        <x:v>3.08</x:v>
      </x:c>
      <x:c r="K115" s="40" t="n">
        <x:v>213</x:v>
      </x:c>
      <x:c r="L115" s="40" t="n">
        <x:v>100</x:v>
      </x:c>
      <x:c r="M115" s="40" t="n">
        <x:f>IF(OR(J115="",K115="",K115=0),"",J115/K115*L115)</x:f>
        <x:v>1.4460093896713615</x:v>
      </x:c>
      <x:c r="N115" s="22" t="str">
        <x:f>IF(M115="","",IF(I115="Mayor es mejor",IF(M115&gt;=H115,"En meta",IF(M115&gt;=H115*0.9,"Alerta","Crítico")),IF(M115&lt;=H115,"En meta",IF(M115&lt;=H115*1.1,"Alerta","Crítico"))))</x:f>
        <x:v>Crítico</x:v>
      </x:c>
      <x:c r="O115" s="22" t="str">
        <x:v>%</x:v>
      </x:c>
      <x:c r="P115" s="22" t="str">
        <x:v>Líder SG-SST / Medicina laboral</x:v>
      </x:c>
      <x:c r="Q115" s="22" t="str">
        <x:v>Matriz de enfermedad laboral / nómina</x:v>
      </x:c>
      <x:c r="R115" s="22" t="str"/>
    </x:row>
    <x:row r="116">
      <x:c r="A116" s="46" t="n">
        <x:v>45138</x:v>
      </x:c>
      <x:c r="B116" s="22" t="n">
        <x:v>2023</x:v>
      </x:c>
      <x:c r="C116" s="22" t="str">
        <x:v>Julio</x:v>
      </x:c>
      <x:c r="D116" s="22" t="str">
        <x:v>R06</x:v>
      </x:c>
      <x:c r="E116" s="22" t="str">
        <x:v>% cumplimiento de estándares mínimos Res. 0312 de 2019</x:v>
      </x:c>
      <x:c r="F116" s="22" t="str">
        <x:v>Resultado</x:v>
      </x:c>
      <x:c r="G116" s="22" t="str">
        <x:v>Mensual</x:v>
      </x:c>
      <x:c r="H116" s="40" t="n">
        <x:v>95</x:v>
      </x:c>
      <x:c r="I116" s="22" t="str">
        <x:v>Mayor es mejor</x:v>
      </x:c>
      <x:c r="J116" s="40" t="n">
        <x:v>96</x:v>
      </x:c>
      <x:c r="K116" s="40" t="n">
        <x:v>100</x:v>
      </x:c>
      <x:c r="L116" s="40" t="n">
        <x:v>100</x:v>
      </x:c>
      <x:c r="M116" s="40" t="n">
        <x:f>IF(OR(J116="",K116="",K116=0),"",J116/K116*L116)</x:f>
        <x:v>96</x:v>
      </x:c>
      <x:c r="N116" s="22" t="str">
        <x:f>IF(M116="","",IF(I116="Mayor es mejor",IF(M116&gt;=H116,"En meta",IF(M116&gt;=H116*0.9,"Alerta","Crítico")),IF(M116&lt;=H116,"En meta",IF(M116&lt;=H116*1.1,"Alerta","Crítico"))))</x:f>
        <x:v>En meta</x:v>
      </x:c>
      <x:c r="O116" s="22" t="str">
        <x:v>%</x:v>
      </x:c>
      <x:c r="P116" s="22" t="str">
        <x:v>Líder SG-SST / Alta Dirección</x:v>
      </x:c>
      <x:c r="Q116" s="22" t="str">
        <x:v>Autodiagnóstico Res. 0312 de 2019</x:v>
      </x:c>
      <x:c r="R116" s="22" t="str"/>
    </x:row>
    <x:row r="117">
      <x:c r="A117" s="46" t="n">
        <x:v>45169</x:v>
      </x:c>
      <x:c r="B117" s="22" t="n">
        <x:v>2023</x:v>
      </x:c>
      <x:c r="C117" s="22" t="str">
        <x:v>Agosto</x:v>
      </x:c>
      <x:c r="D117" s="22" t="str">
        <x:v>E01</x:v>
      </x:c>
      <x:c r="E117" s="22" t="str">
        <x:v>% ejecución presupuestal del SG-SST</x:v>
      </x:c>
      <x:c r="F117" s="22" t="str">
        <x:v>Estructura</x:v>
      </x:c>
      <x:c r="G117" s="22" t="str">
        <x:v>Mensual</x:v>
      </x:c>
      <x:c r="H117" s="40" t="n">
        <x:v>95</x:v>
      </x:c>
      <x:c r="I117" s="22" t="str">
        <x:v>Mayor es mejor</x:v>
      </x:c>
      <x:c r="J117" s="40" t="n">
        <x:v>7264954</x:v>
      </x:c>
      <x:c r="K117" s="40" t="n">
        <x:v>8000000</x:v>
      </x:c>
      <x:c r="L117" s="40" t="n">
        <x:v>100</x:v>
      </x:c>
      <x:c r="M117" s="40" t="n">
        <x:f>IF(OR(J117="",K117="",K117=0),"",J117/K117*L117)</x:f>
        <x:v>90.811925</x:v>
      </x:c>
      <x:c r="N117" s="22" t="str">
        <x:f>IF(M117="","",IF(I117="Mayor es mejor",IF(M117&gt;=H117,"En meta",IF(M117&gt;=H117*0.9,"Alerta","Crítico")),IF(M117&lt;=H117,"En meta",IF(M117&lt;=H117*1.1,"Alerta","Crítico"))))</x:f>
        <x:v>Alerta</x:v>
      </x:c>
      <x:c r="O117" s="22" t="str">
        <x:v>%</x:v>
      </x:c>
      <x:c r="P117" s="22" t="str">
        <x:v>Líder SG-SST / Dirección Administrativa</x:v>
      </x:c>
      <x:c r="Q117" s="22" t="str">
        <x:v>Presupuesto SST</x:v>
      </x:c>
      <x:c r="R117" s="22" t="str"/>
    </x:row>
    <x:row r="118">
      <x:c r="A118" s="46" t="n">
        <x:v>45169</x:v>
      </x:c>
      <x:c r="B118" s="22" t="n">
        <x:v>2023</x:v>
      </x:c>
      <x:c r="C118" s="22" t="str">
        <x:v>Agosto</x:v>
      </x:c>
      <x:c r="D118" s="22" t="str">
        <x:v>E02</x:v>
      </x:c>
      <x:c r="E118" s="22" t="str">
        <x:v>% cobertura del plan de formación y capacitación SG-SST</x:v>
      </x:c>
      <x:c r="F118" s="22" t="str">
        <x:v>Estructura</x:v>
      </x:c>
      <x:c r="G118" s="22" t="str">
        <x:v>Mensual</x:v>
      </x:c>
      <x:c r="H118" s="40" t="n">
        <x:v>90</x:v>
      </x:c>
      <x:c r="I118" s="22" t="str">
        <x:v>Mayor es mejor</x:v>
      </x:c>
      <x:c r="J118" s="40" t="n">
        <x:v>16</x:v>
      </x:c>
      <x:c r="K118" s="40" t="n">
        <x:v>18</x:v>
      </x:c>
      <x:c r="L118" s="40" t="n">
        <x:v>100</x:v>
      </x:c>
      <x:c r="M118" s="40" t="n">
        <x:f>IF(OR(J118="",K118="",K118=0),"",J118/K118*L118)</x:f>
        <x:v>88.88888888888889</x:v>
      </x:c>
      <x:c r="N118" s="22" t="str">
        <x:f>IF(M118="","",IF(I118="Mayor es mejor",IF(M118&gt;=H118,"En meta",IF(M118&gt;=H118*0.9,"Alerta","Crítico")),IF(M118&lt;=H118,"En meta",IF(M118&lt;=H118*1.1,"Alerta","Crítico"))))</x:f>
        <x:v>Alerta</x:v>
      </x:c>
      <x:c r="O118" s="22" t="str">
        <x:v>%</x:v>
      </x:c>
      <x:c r="P118" s="22" t="str">
        <x:v>Líder SG-SST / Talento Humano</x:v>
      </x:c>
      <x:c r="Q118" s="22" t="str">
        <x:v>Plan de formación y capacitaciones</x:v>
      </x:c>
      <x:c r="R118" s="22" t="str"/>
    </x:row>
    <x:row r="119">
      <x:c r="A119" s="46" t="n">
        <x:v>45169</x:v>
      </x:c>
      <x:c r="B119" s="22" t="n">
        <x:v>2023</x:v>
      </x:c>
      <x:c r="C119" s="22" t="str">
        <x:v>Agosto</x:v>
      </x:c>
      <x:c r="D119" s="22" t="str">
        <x:v>E03</x:v>
      </x:c>
      <x:c r="E119" s="22" t="str">
        <x:v>% trabajadores con exámenes médicos ocupacionales vigentes</x:v>
      </x:c>
      <x:c r="F119" s="22" t="str">
        <x:v>Estructura</x:v>
      </x:c>
      <x:c r="G119" s="22" t="str">
        <x:v>Mensual</x:v>
      </x:c>
      <x:c r="H119" s="40" t="n">
        <x:v>95</x:v>
      </x:c>
      <x:c r="I119" s="22" t="str">
        <x:v>Mayor es mejor</x:v>
      </x:c>
      <x:c r="J119" s="40" t="n">
        <x:v>195</x:v>
      </x:c>
      <x:c r="K119" s="40" t="n">
        <x:v>208</x:v>
      </x:c>
      <x:c r="L119" s="40" t="n">
        <x:v>100</x:v>
      </x:c>
      <x:c r="M119" s="40" t="n">
        <x:f>IF(OR(J119="",K119="",K119=0),"",J119/K119*L119)</x:f>
        <x:v>93.75</x:v>
      </x:c>
      <x:c r="N119" s="22" t="str">
        <x:f>IF(M119="","",IF(I119="Mayor es mejor",IF(M119&gt;=H119,"En meta",IF(M119&gt;=H119*0.9,"Alerta","Crítico")),IF(M119&lt;=H119,"En meta",IF(M119&lt;=H119*1.1,"Alerta","Crítico"))))</x:f>
        <x:v>Alerta</x:v>
      </x:c>
      <x:c r="O119" s="22" t="str">
        <x:v>%</x:v>
      </x:c>
      <x:c r="P119" s="22" t="str">
        <x:v>Líder SG-SST / Talento Humano</x:v>
      </x:c>
      <x:c r="Q119" s="22" t="str">
        <x:v>Matriz de seguimiento EMO</x:v>
      </x:c>
      <x:c r="R119" s="22" t="str"/>
    </x:row>
    <x:row r="120">
      <x:c r="A120" s="46" t="n">
        <x:v>45169</x:v>
      </x:c>
      <x:c r="B120" s="22" t="n">
        <x:v>2023</x:v>
      </x:c>
      <x:c r="C120" s="22" t="str">
        <x:v>Agosto</x:v>
      </x:c>
      <x:c r="D120" s="22" t="str">
        <x:v>E04</x:v>
      </x:c>
      <x:c r="E120" s="22" t="str">
        <x:v>% cumplimiento de requisitos legales aplicables en SST</x:v>
      </x:c>
      <x:c r="F120" s="22" t="str">
        <x:v>Estructura</x:v>
      </x:c>
      <x:c r="G120" s="22" t="str">
        <x:v>Mensual</x:v>
      </x:c>
      <x:c r="H120" s="40" t="n">
        <x:v>95</x:v>
      </x:c>
      <x:c r="I120" s="22" t="str">
        <x:v>Mayor es mejor</x:v>
      </x:c>
      <x:c r="J120" s="40" t="n">
        <x:v>56</x:v>
      </x:c>
      <x:c r="K120" s="40" t="n">
        <x:v>60</x:v>
      </x:c>
      <x:c r="L120" s="40" t="n">
        <x:v>100</x:v>
      </x:c>
      <x:c r="M120" s="40" t="n">
        <x:f>IF(OR(J120="",K120="",K120=0),"",J120/K120*L120)</x:f>
        <x:v>93.33333333333333</x:v>
      </x:c>
      <x:c r="N120" s="22" t="str">
        <x:f>IF(M120="","",IF(I120="Mayor es mejor",IF(M120&gt;=H120,"En meta",IF(M120&gt;=H120*0.9,"Alerta","Crítico")),IF(M120&lt;=H120,"En meta",IF(M120&lt;=H120*1.1,"Alerta","Crítico"))))</x:f>
        <x:v>Alerta</x:v>
      </x:c>
      <x:c r="O120" s="22" t="str">
        <x:v>%</x:v>
      </x:c>
      <x:c r="P120" s="22" t="str">
        <x:v>Líder SG-SST / Jurídica</x:v>
      </x:c>
      <x:c r="Q120" s="22" t="str">
        <x:v>Matriz legal SGRL</x:v>
      </x:c>
      <x:c r="R120" s="22" t="str"/>
    </x:row>
    <x:row r="121">
      <x:c r="A121" s="46" t="n">
        <x:v>45169</x:v>
      </x:c>
      <x:c r="B121" s="22" t="n">
        <x:v>2023</x:v>
      </x:c>
      <x:c r="C121" s="22" t="str">
        <x:v>Agosto</x:v>
      </x:c>
      <x:c r="D121" s="22" t="str">
        <x:v>E05</x:v>
      </x:c>
      <x:c r="E121" s="22" t="str">
        <x:v>% proveedores y contratistas aprobados en SST</x:v>
      </x:c>
      <x:c r="F121" s="22" t="str">
        <x:v>Estructura</x:v>
      </x:c>
      <x:c r="G121" s="22" t="str">
        <x:v>Mensual</x:v>
      </x:c>
      <x:c r="H121" s="40" t="n">
        <x:v>90</x:v>
      </x:c>
      <x:c r="I121" s="22" t="str">
        <x:v>Mayor es mejor</x:v>
      </x:c>
      <x:c r="J121" s="40" t="n">
        <x:v>18</x:v>
      </x:c>
      <x:c r="K121" s="40" t="n">
        <x:v>20</x:v>
      </x:c>
      <x:c r="L121" s="40" t="n">
        <x:v>100</x:v>
      </x:c>
      <x:c r="M121" s="40" t="n">
        <x:f>IF(OR(J121="",K121="",K121=0),"",J121/K121*L121)</x:f>
        <x:v>90</x:v>
      </x:c>
      <x:c r="N121" s="22" t="str">
        <x:f>IF(M121="","",IF(I121="Mayor es mejor",IF(M121&gt;=H121,"En meta",IF(M121&gt;=H121*0.9,"Alerta","Crítico")),IF(M121&lt;=H121,"En meta",IF(M121&lt;=H121*1.1,"Alerta","Crítico"))))</x:f>
        <x:v>En meta</x:v>
      </x:c>
      <x:c r="O121" s="22" t="str">
        <x:v>%</x:v>
      </x:c>
      <x:c r="P121" s="22" t="str">
        <x:v>Compras / Líder SG-SST</x:v>
      </x:c>
      <x:c r="Q121" s="22" t="str">
        <x:v>Gestión de proveedores y contratistas</x:v>
      </x:c>
      <x:c r="R121" s="22" t="str"/>
    </x:row>
    <x:row r="122">
      <x:c r="A122" s="46" t="n">
        <x:v>45169</x:v>
      </x:c>
      <x:c r="B122" s="22" t="n">
        <x:v>2023</x:v>
      </x:c>
      <x:c r="C122" s="22" t="str">
        <x:v>Agosto</x:v>
      </x:c>
      <x:c r="D122" s="22" t="str">
        <x:v>P01</x:v>
      </x:c>
      <x:c r="E122" s="22" t="str">
        <x:v>% ejecución del plan anual de trabajo SG-SST</x:v>
      </x:c>
      <x:c r="F122" s="22" t="str">
        <x:v>Proceso</x:v>
      </x:c>
      <x:c r="G122" s="22" t="str">
        <x:v>Mensual</x:v>
      </x:c>
      <x:c r="H122" s="40" t="n">
        <x:v>90</x:v>
      </x:c>
      <x:c r="I122" s="22" t="str">
        <x:v>Mayor es mejor</x:v>
      </x:c>
      <x:c r="J122" s="40" t="n">
        <x:v>12</x:v>
      </x:c>
      <x:c r="K122" s="40" t="n">
        <x:v>14</x:v>
      </x:c>
      <x:c r="L122" s="40" t="n">
        <x:v>100</x:v>
      </x:c>
      <x:c r="M122" s="40" t="n">
        <x:f>IF(OR(J122="",K122="",K122=0),"",J122/K122*L122)</x:f>
        <x:v>85.71428571428571</x:v>
      </x:c>
      <x:c r="N122" s="22" t="str">
        <x:f>IF(M122="","",IF(I122="Mayor es mejor",IF(M122&gt;=H122,"En meta",IF(M122&gt;=H122*0.9,"Alerta","Crítico")),IF(M122&lt;=H122,"En meta",IF(M122&lt;=H122*1.1,"Alerta","Crítico"))))</x:f>
        <x:v>Alerta</x:v>
      </x:c>
      <x:c r="O122" s="22" t="str">
        <x:v>%</x:v>
      </x:c>
      <x:c r="P122" s="22" t="str">
        <x:v>Líder SG-SST</x:v>
      </x:c>
      <x:c r="Q122" s="22" t="str">
        <x:v>Plan anual de trabajo PHVA</x:v>
      </x:c>
      <x:c r="R122" s="22" t="str"/>
    </x:row>
    <x:row r="123">
      <x:c r="A123" s="46" t="n">
        <x:v>45169</x:v>
      </x:c>
      <x:c r="B123" s="22" t="n">
        <x:v>2023</x:v>
      </x:c>
      <x:c r="C123" s="22" t="str">
        <x:v>Agosto</x:v>
      </x:c>
      <x:c r="D123" s="22" t="str">
        <x:v>P02</x:v>
      </x:c>
      <x:c r="E123" s="22" t="str">
        <x:v>% investigaciones de accidentes realizadas oportunamente</x:v>
      </x:c>
      <x:c r="F123" s="22" t="str">
        <x:v>Proceso</x:v>
      </x:c>
      <x:c r="G123" s="22" t="str">
        <x:v>Mensual</x:v>
      </x:c>
      <x:c r="H123" s="40" t="n">
        <x:v>95</x:v>
      </x:c>
      <x:c r="I123" s="22" t="str">
        <x:v>Mayor es mejor</x:v>
      </x:c>
      <x:c r="J123" s="40" t="n">
        <x:v>1</x:v>
      </x:c>
      <x:c r="K123" s="40" t="n">
        <x:v>1</x:v>
      </x:c>
      <x:c r="L123" s="40" t="n">
        <x:v>100</x:v>
      </x:c>
      <x:c r="M123" s="40" t="n">
        <x:f>IF(OR(J123="",K123="",K123=0),"",J123/K123*L123)</x:f>
        <x:v>100</x:v>
      </x:c>
      <x:c r="N123" s="22" t="str">
        <x:f>IF(M123="","",IF(I123="Mayor es mejor",IF(M123&gt;=H123,"En meta",IF(M123&gt;=H123*0.9,"Alerta","Crítico")),IF(M123&lt;=H123,"En meta",IF(M123&lt;=H123*1.1,"Alerta","Crítico"))))</x:f>
        <x:v>En meta</x:v>
      </x:c>
      <x:c r="O123" s="22" t="str">
        <x:v>%</x:v>
      </x:c>
      <x:c r="P123" s="22" t="str">
        <x:v>Líder SG-SST / COPASST</x:v>
      </x:c>
      <x:c r="Q123" s="22" t="str">
        <x:v>Matriz de accidentalidad</x:v>
      </x:c>
      <x:c r="R123" s="22" t="str"/>
    </x:row>
    <x:row r="124">
      <x:c r="A124" s="46" t="n">
        <x:v>45169</x:v>
      </x:c>
      <x:c r="B124" s="22" t="n">
        <x:v>2023</x:v>
      </x:c>
      <x:c r="C124" s="22" t="str">
        <x:v>Agosto</x:v>
      </x:c>
      <x:c r="D124" s="22" t="str">
        <x:v>P03</x:v>
      </x:c>
      <x:c r="E124" s="22" t="str">
        <x:v>% cierre oportuno de acciones correctivas, preventivas y de mejora</x:v>
      </x:c>
      <x:c r="F124" s="22" t="str">
        <x:v>Proceso</x:v>
      </x:c>
      <x:c r="G124" s="22" t="str">
        <x:v>Mensual</x:v>
      </x:c>
      <x:c r="H124" s="40" t="n">
        <x:v>90</x:v>
      </x:c>
      <x:c r="I124" s="22" t="str">
        <x:v>Mayor es mejor</x:v>
      </x:c>
      <x:c r="J124" s="40" t="n">
        <x:v>11</x:v>
      </x:c>
      <x:c r="K124" s="40" t="n">
        <x:v>13</x:v>
      </x:c>
      <x:c r="L124" s="40" t="n">
        <x:v>100</x:v>
      </x:c>
      <x:c r="M124" s="40" t="n">
        <x:f>IF(OR(J124="",K124="",K124=0),"",J124/K124*L124)</x:f>
        <x:v>84.61538461538461</x:v>
      </x:c>
      <x:c r="N124" s="22" t="str">
        <x:f>IF(M124="","",IF(I124="Mayor es mejor",IF(M124&gt;=H124,"En meta",IF(M124&gt;=H124*0.9,"Alerta","Crítico")),IF(M124&lt;=H124,"En meta",IF(M124&lt;=H124*1.1,"Alerta","Crítico"))))</x:f>
        <x:v>Alerta</x:v>
      </x:c>
      <x:c r="O124" s="22" t="str">
        <x:v>%</x:v>
      </x:c>
      <x:c r="P124" s="22" t="str">
        <x:v>Líder SG-SST / Responsables de proceso</x:v>
      </x:c>
      <x:c r="Q124" s="22" t="str">
        <x:v>Matriz APCM</x:v>
      </x:c>
      <x:c r="R124" s="22" t="str"/>
    </x:row>
    <x:row r="125">
      <x:c r="A125" s="46" t="n">
        <x:v>45169</x:v>
      </x:c>
      <x:c r="B125" s="22" t="n">
        <x:v>2023</x:v>
      </x:c>
      <x:c r="C125" s="22" t="str">
        <x:v>Agosto</x:v>
      </x:c>
      <x:c r="D125" s="22" t="str">
        <x:v>P04</x:v>
      </x:c>
      <x:c r="E125" s="22" t="str">
        <x:v>% inspecciones de seguridad ejecutadas</x:v>
      </x:c>
      <x:c r="F125" s="22" t="str">
        <x:v>Proceso</x:v>
      </x:c>
      <x:c r="G125" s="22" t="str">
        <x:v>Mensual</x:v>
      </x:c>
      <x:c r="H125" s="40" t="n">
        <x:v>90</x:v>
      </x:c>
      <x:c r="I125" s="22" t="str">
        <x:v>Mayor es mejor</x:v>
      </x:c>
      <x:c r="J125" s="40" t="n">
        <x:v>7</x:v>
      </x:c>
      <x:c r="K125" s="40" t="n">
        <x:v>8</x:v>
      </x:c>
      <x:c r="L125" s="40" t="n">
        <x:v>100</x:v>
      </x:c>
      <x:c r="M125" s="40" t="n">
        <x:f>IF(OR(J125="",K125="",K125=0),"",J125/K125*L125)</x:f>
        <x:v>87.5</x:v>
      </x:c>
      <x:c r="N125" s="22" t="str">
        <x:f>IF(M125="","",IF(I125="Mayor es mejor",IF(M125&gt;=H125,"En meta",IF(M125&gt;=H125*0.9,"Alerta","Crítico")),IF(M125&lt;=H125,"En meta",IF(M125&lt;=H125*1.1,"Alerta","Crítico"))))</x:f>
        <x:v>Alerta</x:v>
      </x:c>
      <x:c r="O125" s="22" t="str">
        <x:v>%</x:v>
      </x:c>
      <x:c r="P125" s="22" t="str">
        <x:v>Líder SG-SST / Supervisores</x:v>
      </x:c>
      <x:c r="Q125" s="22" t="str">
        <x:v>Programa de inspecciones</x:v>
      </x:c>
      <x:c r="R125" s="22" t="str"/>
    </x:row>
    <x:row r="126">
      <x:c r="A126" s="46" t="n">
        <x:v>45169</x:v>
      </x:c>
      <x:c r="B126" s="22" t="n">
        <x:v>2023</x:v>
      </x:c>
      <x:c r="C126" s="22" t="str">
        <x:v>Agosto</x:v>
      </x:c>
      <x:c r="D126" s="22" t="str">
        <x:v>P05</x:v>
      </x:c>
      <x:c r="E126" s="22" t="str">
        <x:v>% mantenimientos preventivos ejecutados</x:v>
      </x:c>
      <x:c r="F126" s="22" t="str">
        <x:v>Proceso</x:v>
      </x:c>
      <x:c r="G126" s="22" t="str">
        <x:v>Mensual</x:v>
      </x:c>
      <x:c r="H126" s="40" t="n">
        <x:v>90</x:v>
      </x:c>
      <x:c r="I126" s="22" t="str">
        <x:v>Mayor es mejor</x:v>
      </x:c>
      <x:c r="J126" s="40" t="n">
        <x:v>11</x:v>
      </x:c>
      <x:c r="K126" s="40" t="n">
        <x:v>12</x:v>
      </x:c>
      <x:c r="L126" s="40" t="n">
        <x:v>100</x:v>
      </x:c>
      <x:c r="M126" s="40" t="n">
        <x:f>IF(OR(J126="",K126="",K126=0),"",J126/K126*L126)</x:f>
        <x:v>91.66666666666666</x:v>
      </x:c>
      <x:c r="N126" s="22" t="str">
        <x:f>IF(M126="","",IF(I126="Mayor es mejor",IF(M126&gt;=H126,"En meta",IF(M126&gt;=H126*0.9,"Alerta","Crítico")),IF(M126&lt;=H126,"En meta",IF(M126&lt;=H126*1.1,"Alerta","Crítico"))))</x:f>
        <x:v>En meta</x:v>
      </x:c>
      <x:c r="O126" s="22" t="str">
        <x:v>%</x:v>
      </x:c>
      <x:c r="P126" s="22" t="str">
        <x:v>Mantenimiento / Líder SG-SST</x:v>
      </x:c>
      <x:c r="Q126" s="22" t="str">
        <x:v>Programa de mantenimiento preventivo</x:v>
      </x:c>
      <x:c r="R126" s="22" t="str"/>
    </x:row>
    <x:row r="127">
      <x:c r="A127" s="46" t="n">
        <x:v>45169</x:v>
      </x:c>
      <x:c r="B127" s="22" t="n">
        <x:v>2023</x:v>
      </x:c>
      <x:c r="C127" s="22" t="str">
        <x:v>Agosto</x:v>
      </x:c>
      <x:c r="D127" s="22" t="str">
        <x:v>R01</x:v>
      </x:c>
      <x:c r="E127" s="22" t="str">
        <x:v>Índice de frecuencia de accidentalidad (IF)</x:v>
      </x:c>
      <x:c r="F127" s="22" t="str">
        <x:v>Resultado</x:v>
      </x:c>
      <x:c r="G127" s="22" t="str">
        <x:v>Mensual</x:v>
      </x:c>
      <x:c r="H127" s="40" t="n">
        <x:v>3.5</x:v>
      </x:c>
      <x:c r="I127" s="22" t="str">
        <x:v>Menor es mejor</x:v>
      </x:c>
      <x:c r="J127" s="40" t="n">
        <x:v>1</x:v>
      </x:c>
      <x:c r="K127" s="40" t="n">
        <x:v>49584</x:v>
      </x:c>
      <x:c r="L127" s="40" t="n">
        <x:v>200000</x:v>
      </x:c>
      <x:c r="M127" s="40" t="n">
        <x:f>IF(OR(J127="",K127="",K127=0),"",J127/K127*L127)</x:f>
        <x:v>4.033559212649242</x:v>
      </x:c>
      <x:c r="N127" s="22" t="str">
        <x:f>IF(M127="","",IF(I127="Mayor es mejor",IF(M127&gt;=H127,"En meta",IF(M127&gt;=H127*0.9,"Alerta","Crítico")),IF(M127&lt;=H127,"En meta",IF(M127&lt;=H127*1.1,"Alerta","Crítico"))))</x:f>
        <x:v>Crítico</x:v>
      </x:c>
      <x:c r="O127" s="22" t="str">
        <x:v>Índice</x:v>
      </x:c>
      <x:c r="P127" s="22" t="str">
        <x:v>Líder SG-SST</x:v>
      </x:c>
      <x:c r="Q127" s="22" t="str">
        <x:v>Matriz de accidentalidad / nómina</x:v>
      </x:c>
      <x:c r="R127" s="22" t="str"/>
    </x:row>
    <x:row r="128">
      <x:c r="A128" s="46" t="n">
        <x:v>45169</x:v>
      </x:c>
      <x:c r="B128" s="22" t="n">
        <x:v>2023</x:v>
      </x:c>
      <x:c r="C128" s="22" t="str">
        <x:v>Agosto</x:v>
      </x:c>
      <x:c r="D128" s="22" t="str">
        <x:v>R02</x:v>
      </x:c>
      <x:c r="E128" s="22" t="str">
        <x:v>Índice de severidad de accidentalidad (IS)</x:v>
      </x:c>
      <x:c r="F128" s="22" t="str">
        <x:v>Resultado</x:v>
      </x:c>
      <x:c r="G128" s="22" t="str">
        <x:v>Mensual</x:v>
      </x:c>
      <x:c r="H128" s="40" t="n">
        <x:v>80</x:v>
      </x:c>
      <x:c r="I128" s="22" t="str">
        <x:v>Menor es mejor</x:v>
      </x:c>
      <x:c r="J128" s="40" t="n">
        <x:v>19</x:v>
      </x:c>
      <x:c r="K128" s="40" t="n">
        <x:v>49584</x:v>
      </x:c>
      <x:c r="L128" s="40" t="n">
        <x:v>200000</x:v>
      </x:c>
      <x:c r="M128" s="40" t="n">
        <x:f>IF(OR(J128="",K128="",K128=0),"",J128/K128*L128)</x:f>
        <x:v>76.63762504033559</x:v>
      </x:c>
      <x:c r="N128" s="22" t="str">
        <x:f>IF(M128="","",IF(I128="Mayor es mejor",IF(M128&gt;=H128,"En meta",IF(M128&gt;=H128*0.9,"Alerta","Crítico")),IF(M128&lt;=H128,"En meta",IF(M128&lt;=H128*1.1,"Alerta","Crítico"))))</x:f>
        <x:v>En meta</x:v>
      </x:c>
      <x:c r="O128" s="22" t="str">
        <x:v>Índice</x:v>
      </x:c>
      <x:c r="P128" s="22" t="str">
        <x:v>Líder SG-SST</x:v>
      </x:c>
      <x:c r="Q128" s="22" t="str">
        <x:v>Matriz de accidentalidad / nómina</x:v>
      </x:c>
      <x:c r="R128" s="22" t="str"/>
    </x:row>
    <x:row r="129">
      <x:c r="A129" s="46" t="n">
        <x:v>45169</x:v>
      </x:c>
      <x:c r="B129" s="22" t="n">
        <x:v>2023</x:v>
      </x:c>
      <x:c r="C129" s="22" t="str">
        <x:v>Agosto</x:v>
      </x:c>
      <x:c r="D129" s="22" t="str">
        <x:v>R03</x:v>
      </x:c>
      <x:c r="E129" s="22" t="str">
        <x:v>Índice de lesión incapacitante (ILI)</x:v>
      </x:c>
      <x:c r="F129" s="22" t="str">
        <x:v>Resultado</x:v>
      </x:c>
      <x:c r="G129" s="22" t="str">
        <x:v>Mensual</x:v>
      </x:c>
      <x:c r="H129" s="40" t="n">
        <x:v>0.25</x:v>
      </x:c>
      <x:c r="I129" s="22" t="str">
        <x:v>Menor es mejor</x:v>
      </x:c>
      <x:c r="J129" s="40" t="n">
        <x:v>309.1224</x:v>
      </x:c>
      <x:c r="K129" s="40" t="n">
        <x:v>1000</x:v>
      </x:c>
      <x:c r="L129" s="40" t="n">
        <x:v>1</x:v>
      </x:c>
      <x:c r="M129" s="40" t="n">
        <x:f>IF(OR(J129="",K129="",K129=0),"",J129/K129*L129)</x:f>
        <x:v>0.3091224</x:v>
      </x:c>
      <x:c r="N129" s="22" t="str">
        <x:f>IF(M129="","",IF(I129="Mayor es mejor",IF(M129&gt;=H129,"En meta",IF(M129&gt;=H129*0.9,"Alerta","Crítico")),IF(M129&lt;=H129,"En meta",IF(M129&lt;=H129*1.1,"Alerta","Crítico"))))</x:f>
        <x:v>Crítico</x:v>
      </x:c>
      <x:c r="O129" s="22" t="str">
        <x:v>Índice</x:v>
      </x:c>
      <x:c r="P129" s="22" t="str">
        <x:v>Líder SG-SST</x:v>
      </x:c>
      <x:c r="Q129" s="22" t="str">
        <x:v>Indicadores derivados de accidentalidad</x:v>
      </x:c>
      <x:c r="R129" s="22" t="str">
        <x:v>ILI calculado sobre IF e IS del periodo.</x:v>
      </x:c>
    </x:row>
    <x:row r="130">
      <x:c r="A130" s="46" t="n">
        <x:v>45169</x:v>
      </x:c>
      <x:c r="B130" s="22" t="n">
        <x:v>2023</x:v>
      </x:c>
      <x:c r="C130" s="22" t="str">
        <x:v>Agosto</x:v>
      </x:c>
      <x:c r="D130" s="22" t="str">
        <x:v>R04</x:v>
      </x:c>
      <x:c r="E130" s="22" t="str">
        <x:v>Tasa de accidentalidad</x:v>
      </x:c>
      <x:c r="F130" s="22" t="str">
        <x:v>Resultado</x:v>
      </x:c>
      <x:c r="G130" s="22" t="str">
        <x:v>Mensual</x:v>
      </x:c>
      <x:c r="H130" s="40" t="n">
        <x:v>0.6</x:v>
      </x:c>
      <x:c r="I130" s="22" t="str">
        <x:v>Menor es mejor</x:v>
      </x:c>
      <x:c r="J130" s="40" t="n">
        <x:v>0.02</x:v>
      </x:c>
      <x:c r="K130" s="40" t="n">
        <x:v>208</x:v>
      </x:c>
      <x:c r="L130" s="40" t="n">
        <x:v>100</x:v>
      </x:c>
      <x:c r="M130" s="40" t="n">
        <x:f>IF(OR(J130="",K130="",K130=0),"",J130/K130*L130)</x:f>
        <x:v>0.009615384615384616</x:v>
      </x:c>
      <x:c r="N130" s="22" t="str">
        <x:f>IF(M130="","",IF(I130="Mayor es mejor",IF(M130&gt;=H130,"En meta",IF(M130&gt;=H130*0.9,"Alerta","Crítico")),IF(M130&lt;=H130,"En meta",IF(M130&lt;=H130*1.1,"Alerta","Crítico"))))</x:f>
        <x:v>En meta</x:v>
      </x:c>
      <x:c r="O130" s="22" t="str">
        <x:v>%</x:v>
      </x:c>
      <x:c r="P130" s="22" t="str">
        <x:v>Líder SG-SST</x:v>
      </x:c>
      <x:c r="Q130" s="22" t="str">
        <x:v>Matriz de accidentalidad / nómina</x:v>
      </x:c>
      <x:c r="R130" s="22" t="str"/>
    </x:row>
    <x:row r="131">
      <x:c r="A131" s="46" t="n">
        <x:v>45169</x:v>
      </x:c>
      <x:c r="B131" s="22" t="n">
        <x:v>2023</x:v>
      </x:c>
      <x:c r="C131" s="22" t="str">
        <x:v>Agosto</x:v>
      </x:c>
      <x:c r="D131" s="22" t="str">
        <x:v>R05</x:v>
      </x:c>
      <x:c r="E131" s="22" t="str">
        <x:v>Prevalencia de enfermedad laboral</x:v>
      </x:c>
      <x:c r="F131" s="22" t="str">
        <x:v>Resultado</x:v>
      </x:c>
      <x:c r="G131" s="22" t="str">
        <x:v>Mensual</x:v>
      </x:c>
      <x:c r="H131" s="40" t="n">
        <x:v>0.3</x:v>
      </x:c>
      <x:c r="I131" s="22" t="str">
        <x:v>Menor es mejor</x:v>
      </x:c>
      <x:c r="J131" s="40" t="n">
        <x:v>1.34</x:v>
      </x:c>
      <x:c r="K131" s="40" t="n">
        <x:v>208</x:v>
      </x:c>
      <x:c r="L131" s="40" t="n">
        <x:v>100</x:v>
      </x:c>
      <x:c r="M131" s="40" t="n">
        <x:f>IF(OR(J131="",K131="",K131=0),"",J131/K131*L131)</x:f>
        <x:v>0.6442307692307693</x:v>
      </x:c>
      <x:c r="N131" s="22" t="str">
        <x:f>IF(M131="","",IF(I131="Mayor es mejor",IF(M131&gt;=H131,"En meta",IF(M131&gt;=H131*0.9,"Alerta","Crítico")),IF(M131&lt;=H131,"En meta",IF(M131&lt;=H131*1.1,"Alerta","Crítico"))))</x:f>
        <x:v>Crítico</x:v>
      </x:c>
      <x:c r="O131" s="22" t="str">
        <x:v>%</x:v>
      </x:c>
      <x:c r="P131" s="22" t="str">
        <x:v>Líder SG-SST / Medicina laboral</x:v>
      </x:c>
      <x:c r="Q131" s="22" t="str">
        <x:v>Matriz de enfermedad laboral / nómina</x:v>
      </x:c>
      <x:c r="R131" s="22" t="str"/>
    </x:row>
    <x:row r="132">
      <x:c r="A132" s="46" t="n">
        <x:v>45169</x:v>
      </x:c>
      <x:c r="B132" s="22" t="n">
        <x:v>2023</x:v>
      </x:c>
      <x:c r="C132" s="22" t="str">
        <x:v>Agosto</x:v>
      </x:c>
      <x:c r="D132" s="22" t="str">
        <x:v>R06</x:v>
      </x:c>
      <x:c r="E132" s="22" t="str">
        <x:v>% cumplimiento de estándares mínimos Res. 0312 de 2019</x:v>
      </x:c>
      <x:c r="F132" s="22" t="str">
        <x:v>Resultado</x:v>
      </x:c>
      <x:c r="G132" s="22" t="str">
        <x:v>Mensual</x:v>
      </x:c>
      <x:c r="H132" s="40" t="n">
        <x:v>95</x:v>
      </x:c>
      <x:c r="I132" s="22" t="str">
        <x:v>Mayor es mejor</x:v>
      </x:c>
      <x:c r="J132" s="40" t="n">
        <x:v>95</x:v>
      </x:c>
      <x:c r="K132" s="40" t="n">
        <x:v>100</x:v>
      </x:c>
      <x:c r="L132" s="40" t="n">
        <x:v>100</x:v>
      </x:c>
      <x:c r="M132" s="40" t="n">
        <x:f>IF(OR(J132="",K132="",K132=0),"",J132/K132*L132)</x:f>
        <x:v>95</x:v>
      </x:c>
      <x:c r="N132" s="22" t="str">
        <x:f>IF(M132="","",IF(I132="Mayor es mejor",IF(M132&gt;=H132,"En meta",IF(M132&gt;=H132*0.9,"Alerta","Crítico")),IF(M132&lt;=H132,"En meta",IF(M132&lt;=H132*1.1,"Alerta","Crítico"))))</x:f>
        <x:v>En meta</x:v>
      </x:c>
      <x:c r="O132" s="22" t="str">
        <x:v>%</x:v>
      </x:c>
      <x:c r="P132" s="22" t="str">
        <x:v>Líder SG-SST / Alta Dirección</x:v>
      </x:c>
      <x:c r="Q132" s="22" t="str">
        <x:v>Autodiagnóstico Res. 0312 de 2019</x:v>
      </x:c>
      <x:c r="R132" s="22" t="str"/>
    </x:row>
    <x:row r="133">
      <x:c r="A133" s="46" t="n">
        <x:v>45199</x:v>
      </x:c>
      <x:c r="B133" s="22" t="n">
        <x:v>2023</x:v>
      </x:c>
      <x:c r="C133" s="22" t="str">
        <x:v>Septiembre</x:v>
      </x:c>
      <x:c r="D133" s="22" t="str">
        <x:v>E01</x:v>
      </x:c>
      <x:c r="E133" s="22" t="str">
        <x:v>% ejecución presupuestal del SG-SST</x:v>
      </x:c>
      <x:c r="F133" s="22" t="str">
        <x:v>Estructura</x:v>
      </x:c>
      <x:c r="G133" s="22" t="str">
        <x:v>Mensual</x:v>
      </x:c>
      <x:c r="H133" s="40" t="n">
        <x:v>95</x:v>
      </x:c>
      <x:c r="I133" s="22" t="str">
        <x:v>Mayor es mejor</x:v>
      </x:c>
      <x:c r="J133" s="40" t="n">
        <x:v>7809594</x:v>
      </x:c>
      <x:c r="K133" s="40" t="n">
        <x:v>8500000</x:v>
      </x:c>
      <x:c r="L133" s="40" t="n">
        <x:v>100</x:v>
      </x:c>
      <x:c r="M133" s="40" t="n">
        <x:f>IF(OR(J133="",K133="",K133=0),"",J133/K133*L133)</x:f>
        <x:v>91.87757647058824</x:v>
      </x:c>
      <x:c r="N133" s="22" t="str">
        <x:f>IF(M133="","",IF(I133="Mayor es mejor",IF(M133&gt;=H133,"En meta",IF(M133&gt;=H133*0.9,"Alerta","Crítico")),IF(M133&lt;=H133,"En meta",IF(M133&lt;=H133*1.1,"Alerta","Crítico"))))</x:f>
        <x:v>Alerta</x:v>
      </x:c>
      <x:c r="O133" s="22" t="str">
        <x:v>%</x:v>
      </x:c>
      <x:c r="P133" s="22" t="str">
        <x:v>Líder SG-SST / Dirección Administrativa</x:v>
      </x:c>
      <x:c r="Q133" s="22" t="str">
        <x:v>Presupuesto SST</x:v>
      </x:c>
      <x:c r="R133" s="22" t="str"/>
    </x:row>
    <x:row r="134">
      <x:c r="A134" s="46" t="n">
        <x:v>45199</x:v>
      </x:c>
      <x:c r="B134" s="22" t="n">
        <x:v>2023</x:v>
      </x:c>
      <x:c r="C134" s="22" t="str">
        <x:v>Septiembre</x:v>
      </x:c>
      <x:c r="D134" s="22" t="str">
        <x:v>E02</x:v>
      </x:c>
      <x:c r="E134" s="22" t="str">
        <x:v>% cobertura del plan de formación y capacitación SG-SST</x:v>
      </x:c>
      <x:c r="F134" s="22" t="str">
        <x:v>Estructura</x:v>
      </x:c>
      <x:c r="G134" s="22" t="str">
        <x:v>Mensual</x:v>
      </x:c>
      <x:c r="H134" s="40" t="n">
        <x:v>90</x:v>
      </x:c>
      <x:c r="I134" s="22" t="str">
        <x:v>Mayor es mejor</x:v>
      </x:c>
      <x:c r="J134" s="40" t="n">
        <x:v>17</x:v>
      </x:c>
      <x:c r="K134" s="40" t="n">
        <x:v>20</x:v>
      </x:c>
      <x:c r="L134" s="40" t="n">
        <x:v>100</x:v>
      </x:c>
      <x:c r="M134" s="40" t="n">
        <x:f>IF(OR(J134="",K134="",K134=0),"",J134/K134*L134)</x:f>
        <x:v>85</x:v>
      </x:c>
      <x:c r="N134" s="22" t="str">
        <x:f>IF(M134="","",IF(I134="Mayor es mejor",IF(M134&gt;=H134,"En meta",IF(M134&gt;=H134*0.9,"Alerta","Crítico")),IF(M134&lt;=H134,"En meta",IF(M134&lt;=H134*1.1,"Alerta","Crítico"))))</x:f>
        <x:v>Alerta</x:v>
      </x:c>
      <x:c r="O134" s="22" t="str">
        <x:v>%</x:v>
      </x:c>
      <x:c r="P134" s="22" t="str">
        <x:v>Líder SG-SST / Talento Humano</x:v>
      </x:c>
      <x:c r="Q134" s="22" t="str">
        <x:v>Plan de formación y capacitaciones</x:v>
      </x:c>
      <x:c r="R134" s="22" t="str"/>
    </x:row>
    <x:row r="135">
      <x:c r="A135" s="46" t="n">
        <x:v>45199</x:v>
      </x:c>
      <x:c r="B135" s="22" t="n">
        <x:v>2023</x:v>
      </x:c>
      <x:c r="C135" s="22" t="str">
        <x:v>Septiembre</x:v>
      </x:c>
      <x:c r="D135" s="22" t="str">
        <x:v>E03</x:v>
      </x:c>
      <x:c r="E135" s="22" t="str">
        <x:v>% trabajadores con exámenes médicos ocupacionales vigentes</x:v>
      </x:c>
      <x:c r="F135" s="22" t="str">
        <x:v>Estructura</x:v>
      </x:c>
      <x:c r="G135" s="22" t="str">
        <x:v>Mensual</x:v>
      </x:c>
      <x:c r="H135" s="40" t="n">
        <x:v>95</x:v>
      </x:c>
      <x:c r="I135" s="22" t="str">
        <x:v>Mayor es mejor</x:v>
      </x:c>
      <x:c r="J135" s="40" t="n">
        <x:v>191</x:v>
      </x:c>
      <x:c r="K135" s="40" t="n">
        <x:v>206</x:v>
      </x:c>
      <x:c r="L135" s="40" t="n">
        <x:v>100</x:v>
      </x:c>
      <x:c r="M135" s="40" t="n">
        <x:f>IF(OR(J135="",K135="",K135=0),"",J135/K135*L135)</x:f>
        <x:v>92.71844660194175</x:v>
      </x:c>
      <x:c r="N135" s="22" t="str">
        <x:f>IF(M135="","",IF(I135="Mayor es mejor",IF(M135&gt;=H135,"En meta",IF(M135&gt;=H135*0.9,"Alerta","Crítico")),IF(M135&lt;=H135,"En meta",IF(M135&lt;=H135*1.1,"Alerta","Crítico"))))</x:f>
        <x:v>Alerta</x:v>
      </x:c>
      <x:c r="O135" s="22" t="str">
        <x:v>%</x:v>
      </x:c>
      <x:c r="P135" s="22" t="str">
        <x:v>Líder SG-SST / Talento Humano</x:v>
      </x:c>
      <x:c r="Q135" s="22" t="str">
        <x:v>Matriz de seguimiento EMO</x:v>
      </x:c>
      <x:c r="R135" s="22" t="str"/>
    </x:row>
    <x:row r="136">
      <x:c r="A136" s="46" t="n">
        <x:v>45199</x:v>
      </x:c>
      <x:c r="B136" s="22" t="n">
        <x:v>2023</x:v>
      </x:c>
      <x:c r="C136" s="22" t="str">
        <x:v>Septiembre</x:v>
      </x:c>
      <x:c r="D136" s="22" t="str">
        <x:v>E04</x:v>
      </x:c>
      <x:c r="E136" s="22" t="str">
        <x:v>% cumplimiento de requisitos legales aplicables en SST</x:v>
      </x:c>
      <x:c r="F136" s="22" t="str">
        <x:v>Estructura</x:v>
      </x:c>
      <x:c r="G136" s="22" t="str">
        <x:v>Mensual</x:v>
      </x:c>
      <x:c r="H136" s="40" t="n">
        <x:v>95</x:v>
      </x:c>
      <x:c r="I136" s="22" t="str">
        <x:v>Mayor es mejor</x:v>
      </x:c>
      <x:c r="J136" s="40" t="n">
        <x:v>55</x:v>
      </x:c>
      <x:c r="K136" s="40" t="n">
        <x:v>60</x:v>
      </x:c>
      <x:c r="L136" s="40" t="n">
        <x:v>100</x:v>
      </x:c>
      <x:c r="M136" s="40" t="n">
        <x:f>IF(OR(J136="",K136="",K136=0),"",J136/K136*L136)</x:f>
        <x:v>91.66666666666666</x:v>
      </x:c>
      <x:c r="N136" s="22" t="str">
        <x:f>IF(M136="","",IF(I136="Mayor es mejor",IF(M136&gt;=H136,"En meta",IF(M136&gt;=H136*0.9,"Alerta","Crítico")),IF(M136&lt;=H136,"En meta",IF(M136&lt;=H136*1.1,"Alerta","Crítico"))))</x:f>
        <x:v>Alerta</x:v>
      </x:c>
      <x:c r="O136" s="22" t="str">
        <x:v>%</x:v>
      </x:c>
      <x:c r="P136" s="22" t="str">
        <x:v>Líder SG-SST / Jurídica</x:v>
      </x:c>
      <x:c r="Q136" s="22" t="str">
        <x:v>Matriz legal SGRL</x:v>
      </x:c>
      <x:c r="R136" s="22" t="str"/>
    </x:row>
    <x:row r="137">
      <x:c r="A137" s="46" t="n">
        <x:v>45199</x:v>
      </x:c>
      <x:c r="B137" s="22" t="n">
        <x:v>2023</x:v>
      </x:c>
      <x:c r="C137" s="22" t="str">
        <x:v>Septiembre</x:v>
      </x:c>
      <x:c r="D137" s="22" t="str">
        <x:v>E05</x:v>
      </x:c>
      <x:c r="E137" s="22" t="str">
        <x:v>% proveedores y contratistas aprobados en SST</x:v>
      </x:c>
      <x:c r="F137" s="22" t="str">
        <x:v>Estructura</x:v>
      </x:c>
      <x:c r="G137" s="22" t="str">
        <x:v>Mensual</x:v>
      </x:c>
      <x:c r="H137" s="40" t="n">
        <x:v>90</x:v>
      </x:c>
      <x:c r="I137" s="22" t="str">
        <x:v>Mayor es mejor</x:v>
      </x:c>
      <x:c r="J137" s="40" t="n">
        <x:v>18</x:v>
      </x:c>
      <x:c r="K137" s="40" t="n">
        <x:v>20</x:v>
      </x:c>
      <x:c r="L137" s="40" t="n">
        <x:v>100</x:v>
      </x:c>
      <x:c r="M137" s="40" t="n">
        <x:f>IF(OR(J137="",K137="",K137=0),"",J137/K137*L137)</x:f>
        <x:v>90</x:v>
      </x:c>
      <x:c r="N137" s="22" t="str">
        <x:f>IF(M137="","",IF(I137="Mayor es mejor",IF(M137&gt;=H137,"En meta",IF(M137&gt;=H137*0.9,"Alerta","Crítico")),IF(M137&lt;=H137,"En meta",IF(M137&lt;=H137*1.1,"Alerta","Crítico"))))</x:f>
        <x:v>En meta</x:v>
      </x:c>
      <x:c r="O137" s="22" t="str">
        <x:v>%</x:v>
      </x:c>
      <x:c r="P137" s="22" t="str">
        <x:v>Compras / Líder SG-SST</x:v>
      </x:c>
      <x:c r="Q137" s="22" t="str">
        <x:v>Gestión de proveedores y contratistas</x:v>
      </x:c>
      <x:c r="R137" s="22" t="str"/>
    </x:row>
    <x:row r="138">
      <x:c r="A138" s="46" t="n">
        <x:v>45199</x:v>
      </x:c>
      <x:c r="B138" s="22" t="n">
        <x:v>2023</x:v>
      </x:c>
      <x:c r="C138" s="22" t="str">
        <x:v>Septiembre</x:v>
      </x:c>
      <x:c r="D138" s="22" t="str">
        <x:v>P01</x:v>
      </x:c>
      <x:c r="E138" s="22" t="str">
        <x:v>% ejecución del plan anual de trabajo SG-SST</x:v>
      </x:c>
      <x:c r="F138" s="22" t="str">
        <x:v>Proceso</x:v>
      </x:c>
      <x:c r="G138" s="22" t="str">
        <x:v>Mensual</x:v>
      </x:c>
      <x:c r="H138" s="40" t="n">
        <x:v>90</x:v>
      </x:c>
      <x:c r="I138" s="22" t="str">
        <x:v>Mayor es mejor</x:v>
      </x:c>
      <x:c r="J138" s="40" t="n">
        <x:v>9</x:v>
      </x:c>
      <x:c r="K138" s="40" t="n">
        <x:v>10</x:v>
      </x:c>
      <x:c r="L138" s="40" t="n">
        <x:v>100</x:v>
      </x:c>
      <x:c r="M138" s="40" t="n">
        <x:f>IF(OR(J138="",K138="",K138=0),"",J138/K138*L138)</x:f>
        <x:v>90</x:v>
      </x:c>
      <x:c r="N138" s="22" t="str">
        <x:f>IF(M138="","",IF(I138="Mayor es mejor",IF(M138&gt;=H138,"En meta",IF(M138&gt;=H138*0.9,"Alerta","Crítico")),IF(M138&lt;=H138,"En meta",IF(M138&lt;=H138*1.1,"Alerta","Crítico"))))</x:f>
        <x:v>En meta</x:v>
      </x:c>
      <x:c r="O138" s="22" t="str">
        <x:v>%</x:v>
      </x:c>
      <x:c r="P138" s="22" t="str">
        <x:v>Líder SG-SST</x:v>
      </x:c>
      <x:c r="Q138" s="22" t="str">
        <x:v>Plan anual de trabajo PHVA</x:v>
      </x:c>
      <x:c r="R138" s="22" t="str"/>
    </x:row>
    <x:row r="139">
      <x:c r="A139" s="46" t="n">
        <x:v>45199</x:v>
      </x:c>
      <x:c r="B139" s="22" t="n">
        <x:v>2023</x:v>
      </x:c>
      <x:c r="C139" s="22" t="str">
        <x:v>Septiembre</x:v>
      </x:c>
      <x:c r="D139" s="22" t="str">
        <x:v>P02</x:v>
      </x:c>
      <x:c r="E139" s="22" t="str">
        <x:v>% investigaciones de accidentes realizadas oportunamente</x:v>
      </x:c>
      <x:c r="F139" s="22" t="str">
        <x:v>Proceso</x:v>
      </x:c>
      <x:c r="G139" s="22" t="str">
        <x:v>Mensual</x:v>
      </x:c>
      <x:c r="H139" s="40" t="n">
        <x:v>95</x:v>
      </x:c>
      <x:c r="I139" s="22" t="str">
        <x:v>Mayor es mejor</x:v>
      </x:c>
      <x:c r="J139" s="40" t="n">
        <x:v>1</x:v>
      </x:c>
      <x:c r="K139" s="40" t="n">
        <x:v>1</x:v>
      </x:c>
      <x:c r="L139" s="40" t="n">
        <x:v>100</x:v>
      </x:c>
      <x:c r="M139" s="40" t="n">
        <x:f>IF(OR(J139="",K139="",K139=0),"",J139/K139*L139)</x:f>
        <x:v>100</x:v>
      </x:c>
      <x:c r="N139" s="22" t="str">
        <x:f>IF(M139="","",IF(I139="Mayor es mejor",IF(M139&gt;=H139,"En meta",IF(M139&gt;=H139*0.9,"Alerta","Crítico")),IF(M139&lt;=H139,"En meta",IF(M139&lt;=H139*1.1,"Alerta","Crítico"))))</x:f>
        <x:v>En meta</x:v>
      </x:c>
      <x:c r="O139" s="22" t="str">
        <x:v>%</x:v>
      </x:c>
      <x:c r="P139" s="22" t="str">
        <x:v>Líder SG-SST / COPASST</x:v>
      </x:c>
      <x:c r="Q139" s="22" t="str">
        <x:v>Matriz de accidentalidad</x:v>
      </x:c>
      <x:c r="R139" s="22" t="str"/>
    </x:row>
    <x:row r="140">
      <x:c r="A140" s="46" t="n">
        <x:v>45199</x:v>
      </x:c>
      <x:c r="B140" s="22" t="n">
        <x:v>2023</x:v>
      </x:c>
      <x:c r="C140" s="22" t="str">
        <x:v>Septiembre</x:v>
      </x:c>
      <x:c r="D140" s="22" t="str">
        <x:v>P03</x:v>
      </x:c>
      <x:c r="E140" s="22" t="str">
        <x:v>% cierre oportuno de acciones correctivas, preventivas y de mejora</x:v>
      </x:c>
      <x:c r="F140" s="22" t="str">
        <x:v>Proceso</x:v>
      </x:c>
      <x:c r="G140" s="22" t="str">
        <x:v>Mensual</x:v>
      </x:c>
      <x:c r="H140" s="40" t="n">
        <x:v>90</x:v>
      </x:c>
      <x:c r="I140" s="22" t="str">
        <x:v>Mayor es mejor</x:v>
      </x:c>
      <x:c r="J140" s="40" t="n">
        <x:v>12</x:v>
      </x:c>
      <x:c r="K140" s="40" t="n">
        <x:v>14</x:v>
      </x:c>
      <x:c r="L140" s="40" t="n">
        <x:v>100</x:v>
      </x:c>
      <x:c r="M140" s="40" t="n">
        <x:f>IF(OR(J140="",K140="",K140=0),"",J140/K140*L140)</x:f>
        <x:v>85.71428571428571</x:v>
      </x:c>
      <x:c r="N140" s="22" t="str">
        <x:f>IF(M140="","",IF(I140="Mayor es mejor",IF(M140&gt;=H140,"En meta",IF(M140&gt;=H140*0.9,"Alerta","Crítico")),IF(M140&lt;=H140,"En meta",IF(M140&lt;=H140*1.1,"Alerta","Crítico"))))</x:f>
        <x:v>Alerta</x:v>
      </x:c>
      <x:c r="O140" s="22" t="str">
        <x:v>%</x:v>
      </x:c>
      <x:c r="P140" s="22" t="str">
        <x:v>Líder SG-SST / Responsables de proceso</x:v>
      </x:c>
      <x:c r="Q140" s="22" t="str">
        <x:v>Matriz APCM</x:v>
      </x:c>
      <x:c r="R140" s="22" t="str"/>
    </x:row>
    <x:row r="141">
      <x:c r="A141" s="46" t="n">
        <x:v>45199</x:v>
      </x:c>
      <x:c r="B141" s="22" t="n">
        <x:v>2023</x:v>
      </x:c>
      <x:c r="C141" s="22" t="str">
        <x:v>Septiembre</x:v>
      </x:c>
      <x:c r="D141" s="22" t="str">
        <x:v>P04</x:v>
      </x:c>
      <x:c r="E141" s="22" t="str">
        <x:v>% inspecciones de seguridad ejecutadas</x:v>
      </x:c>
      <x:c r="F141" s="22" t="str">
        <x:v>Proceso</x:v>
      </x:c>
      <x:c r="G141" s="22" t="str">
        <x:v>Mensual</x:v>
      </x:c>
      <x:c r="H141" s="40" t="n">
        <x:v>90</x:v>
      </x:c>
      <x:c r="I141" s="22" t="str">
        <x:v>Mayor es mejor</x:v>
      </x:c>
      <x:c r="J141" s="40" t="n">
        <x:v>8</x:v>
      </x:c>
      <x:c r="K141" s="40" t="n">
        <x:v>9</x:v>
      </x:c>
      <x:c r="L141" s="40" t="n">
        <x:v>100</x:v>
      </x:c>
      <x:c r="M141" s="40" t="n">
        <x:f>IF(OR(J141="",K141="",K141=0),"",J141/K141*L141)</x:f>
        <x:v>88.88888888888889</x:v>
      </x:c>
      <x:c r="N141" s="22" t="str">
        <x:f>IF(M141="","",IF(I141="Mayor es mejor",IF(M141&gt;=H141,"En meta",IF(M141&gt;=H141*0.9,"Alerta","Crítico")),IF(M141&lt;=H141,"En meta",IF(M141&lt;=H141*1.1,"Alerta","Crítico"))))</x:f>
        <x:v>Alerta</x:v>
      </x:c>
      <x:c r="O141" s="22" t="str">
        <x:v>%</x:v>
      </x:c>
      <x:c r="P141" s="22" t="str">
        <x:v>Líder SG-SST / Supervisores</x:v>
      </x:c>
      <x:c r="Q141" s="22" t="str">
        <x:v>Programa de inspecciones</x:v>
      </x:c>
      <x:c r="R141" s="22" t="str"/>
    </x:row>
    <x:row r="142">
      <x:c r="A142" s="46" t="n">
        <x:v>45199</x:v>
      </x:c>
      <x:c r="B142" s="22" t="n">
        <x:v>2023</x:v>
      </x:c>
      <x:c r="C142" s="22" t="str">
        <x:v>Septiembre</x:v>
      </x:c>
      <x:c r="D142" s="22" t="str">
        <x:v>P05</x:v>
      </x:c>
      <x:c r="E142" s="22" t="str">
        <x:v>% mantenimientos preventivos ejecutados</x:v>
      </x:c>
      <x:c r="F142" s="22" t="str">
        <x:v>Proceso</x:v>
      </x:c>
      <x:c r="G142" s="22" t="str">
        <x:v>Mensual</x:v>
      </x:c>
      <x:c r="H142" s="40" t="n">
        <x:v>90</x:v>
      </x:c>
      <x:c r="I142" s="22" t="str">
        <x:v>Mayor es mejor</x:v>
      </x:c>
      <x:c r="J142" s="40" t="n">
        <x:v>12</x:v>
      </x:c>
      <x:c r="K142" s="40" t="n">
        <x:v>13</x:v>
      </x:c>
      <x:c r="L142" s="40" t="n">
        <x:v>100</x:v>
      </x:c>
      <x:c r="M142" s="40" t="n">
        <x:f>IF(OR(J142="",K142="",K142=0),"",J142/K142*L142)</x:f>
        <x:v>92.3076923076923</x:v>
      </x:c>
      <x:c r="N142" s="22" t="str">
        <x:f>IF(M142="","",IF(I142="Mayor es mejor",IF(M142&gt;=H142,"En meta",IF(M142&gt;=H142*0.9,"Alerta","Crítico")),IF(M142&lt;=H142,"En meta",IF(M142&lt;=H142*1.1,"Alerta","Crítico"))))</x:f>
        <x:v>En meta</x:v>
      </x:c>
      <x:c r="O142" s="22" t="str">
        <x:v>%</x:v>
      </x:c>
      <x:c r="P142" s="22" t="str">
        <x:v>Mantenimiento / Líder SG-SST</x:v>
      </x:c>
      <x:c r="Q142" s="22" t="str">
        <x:v>Programa de mantenimiento preventivo</x:v>
      </x:c>
      <x:c r="R142" s="22" t="str"/>
    </x:row>
    <x:row r="143">
      <x:c r="A143" s="46" t="n">
        <x:v>45199</x:v>
      </x:c>
      <x:c r="B143" s="22" t="n">
        <x:v>2023</x:v>
      </x:c>
      <x:c r="C143" s="22" t="str">
        <x:v>Septiembre</x:v>
      </x:c>
      <x:c r="D143" s="22" t="str">
        <x:v>R01</x:v>
      </x:c>
      <x:c r="E143" s="22" t="str">
        <x:v>Índice de frecuencia de accidentalidad (IF)</x:v>
      </x:c>
      <x:c r="F143" s="22" t="str">
        <x:v>Resultado</x:v>
      </x:c>
      <x:c r="G143" s="22" t="str">
        <x:v>Mensual</x:v>
      </x:c>
      <x:c r="H143" s="40" t="n">
        <x:v>3.5</x:v>
      </x:c>
      <x:c r="I143" s="22" t="str">
        <x:v>Menor es mejor</x:v>
      </x:c>
      <x:c r="J143" s="40" t="n">
        <x:v>1</x:v>
      </x:c>
      <x:c r="K143" s="40" t="n">
        <x:v>48305</x:v>
      </x:c>
      <x:c r="L143" s="40" t="n">
        <x:v>200000</x:v>
      </x:c>
      <x:c r="M143" s="40" t="n">
        <x:f>IF(OR(J143="",K143="",K143=0),"",J143/K143*L143)</x:f>
        <x:v>4.1403581409791945</x:v>
      </x:c>
      <x:c r="N143" s="22" t="str">
        <x:f>IF(M143="","",IF(I143="Mayor es mejor",IF(M143&gt;=H143,"En meta",IF(M143&gt;=H143*0.9,"Alerta","Crítico")),IF(M143&lt;=H143,"En meta",IF(M143&lt;=H143*1.1,"Alerta","Crítico"))))</x:f>
        <x:v>Crítico</x:v>
      </x:c>
      <x:c r="O143" s="22" t="str">
        <x:v>Índice</x:v>
      </x:c>
      <x:c r="P143" s="22" t="str">
        <x:v>Líder SG-SST</x:v>
      </x:c>
      <x:c r="Q143" s="22" t="str">
        <x:v>Matriz de accidentalidad / nómina</x:v>
      </x:c>
      <x:c r="R143" s="22" t="str"/>
    </x:row>
    <x:row r="144">
      <x:c r="A144" s="46" t="n">
        <x:v>45199</x:v>
      </x:c>
      <x:c r="B144" s="22" t="n">
        <x:v>2023</x:v>
      </x:c>
      <x:c r="C144" s="22" t="str">
        <x:v>Septiembre</x:v>
      </x:c>
      <x:c r="D144" s="22" t="str">
        <x:v>R02</x:v>
      </x:c>
      <x:c r="E144" s="22" t="str">
        <x:v>Índice de severidad de accidentalidad (IS)</x:v>
      </x:c>
      <x:c r="F144" s="22" t="str">
        <x:v>Resultado</x:v>
      </x:c>
      <x:c r="G144" s="22" t="str">
        <x:v>Mensual</x:v>
      </x:c>
      <x:c r="H144" s="40" t="n">
        <x:v>80</x:v>
      </x:c>
      <x:c r="I144" s="22" t="str">
        <x:v>Menor es mejor</x:v>
      </x:c>
      <x:c r="J144" s="40" t="n">
        <x:v>17</x:v>
      </x:c>
      <x:c r="K144" s="40" t="n">
        <x:v>48305</x:v>
      </x:c>
      <x:c r="L144" s="40" t="n">
        <x:v>200000</x:v>
      </x:c>
      <x:c r="M144" s="40" t="n">
        <x:f>IF(OR(J144="",K144="",K144=0),"",J144/K144*L144)</x:f>
        <x:v>70.38608839664631</x:v>
      </x:c>
      <x:c r="N144" s="22" t="str">
        <x:f>IF(M144="","",IF(I144="Mayor es mejor",IF(M144&gt;=H144,"En meta",IF(M144&gt;=H144*0.9,"Alerta","Crítico")),IF(M144&lt;=H144,"En meta",IF(M144&lt;=H144*1.1,"Alerta","Crítico"))))</x:f>
        <x:v>En meta</x:v>
      </x:c>
      <x:c r="O144" s="22" t="str">
        <x:v>Índice</x:v>
      </x:c>
      <x:c r="P144" s="22" t="str">
        <x:v>Líder SG-SST</x:v>
      </x:c>
      <x:c r="Q144" s="22" t="str">
        <x:v>Matriz de accidentalidad / nómina</x:v>
      </x:c>
      <x:c r="R144" s="22" t="str"/>
    </x:row>
    <x:row r="145">
      <x:c r="A145" s="46" t="n">
        <x:v>45199</x:v>
      </x:c>
      <x:c r="B145" s="22" t="n">
        <x:v>2023</x:v>
      </x:c>
      <x:c r="C145" s="22" t="str">
        <x:v>Septiembre</x:v>
      </x:c>
      <x:c r="D145" s="22" t="str">
        <x:v>R03</x:v>
      </x:c>
      <x:c r="E145" s="22" t="str">
        <x:v>Índice de lesión incapacitante (ILI)</x:v>
      </x:c>
      <x:c r="F145" s="22" t="str">
        <x:v>Resultado</x:v>
      </x:c>
      <x:c r="G145" s="22" t="str">
        <x:v>Mensual</x:v>
      </x:c>
      <x:c r="H145" s="40" t="n">
        <x:v>0.25</x:v>
      </x:c>
      <x:c r="I145" s="22" t="str">
        <x:v>Menor es mejor</x:v>
      </x:c>
      <x:c r="J145" s="40" t="n">
        <x:v>291.4236</x:v>
      </x:c>
      <x:c r="K145" s="40" t="n">
        <x:v>1000</x:v>
      </x:c>
      <x:c r="L145" s="40" t="n">
        <x:v>1</x:v>
      </x:c>
      <x:c r="M145" s="40" t="n">
        <x:f>IF(OR(J145="",K145="",K145=0),"",J145/K145*L145)</x:f>
        <x:v>0.2914236</x:v>
      </x:c>
      <x:c r="N145" s="22" t="str">
        <x:f>IF(M145="","",IF(I145="Mayor es mejor",IF(M145&gt;=H145,"En meta",IF(M145&gt;=H145*0.9,"Alerta","Crítico")),IF(M145&lt;=H145,"En meta",IF(M145&lt;=H145*1.1,"Alerta","Crítico"))))</x:f>
        <x:v>Crítico</x:v>
      </x:c>
      <x:c r="O145" s="22" t="str">
        <x:v>Índice</x:v>
      </x:c>
      <x:c r="P145" s="22" t="str">
        <x:v>Líder SG-SST</x:v>
      </x:c>
      <x:c r="Q145" s="22" t="str">
        <x:v>Indicadores derivados de accidentalidad</x:v>
      </x:c>
      <x:c r="R145" s="22" t="str">
        <x:v>ILI calculado sobre IF e IS del periodo.</x:v>
      </x:c>
    </x:row>
    <x:row r="146">
      <x:c r="A146" s="46" t="n">
        <x:v>45199</x:v>
      </x:c>
      <x:c r="B146" s="22" t="n">
        <x:v>2023</x:v>
      </x:c>
      <x:c r="C146" s="22" t="str">
        <x:v>Septiembre</x:v>
      </x:c>
      <x:c r="D146" s="22" t="str">
        <x:v>R04</x:v>
      </x:c>
      <x:c r="E146" s="22" t="str">
        <x:v>Tasa de accidentalidad</x:v>
      </x:c>
      <x:c r="F146" s="22" t="str">
        <x:v>Resultado</x:v>
      </x:c>
      <x:c r="G146" s="22" t="str">
        <x:v>Mensual</x:v>
      </x:c>
      <x:c r="H146" s="40" t="n">
        <x:v>0.6</x:v>
      </x:c>
      <x:c r="I146" s="22" t="str">
        <x:v>Menor es mejor</x:v>
      </x:c>
      <x:c r="J146" s="40" t="n">
        <x:v>2.65</x:v>
      </x:c>
      <x:c r="K146" s="40" t="n">
        <x:v>206</x:v>
      </x:c>
      <x:c r="L146" s="40" t="n">
        <x:v>100</x:v>
      </x:c>
      <x:c r="M146" s="40" t="n">
        <x:f>IF(OR(J146="",K146="",K146=0),"",J146/K146*L146)</x:f>
        <x:v>1.2864077669902914</x:v>
      </x:c>
      <x:c r="N146" s="22" t="str">
        <x:f>IF(M146="","",IF(I146="Mayor es mejor",IF(M146&gt;=H146,"En meta",IF(M146&gt;=H146*0.9,"Alerta","Crítico")),IF(M146&lt;=H146,"En meta",IF(M146&lt;=H146*1.1,"Alerta","Crítico"))))</x:f>
        <x:v>Crítico</x:v>
      </x:c>
      <x:c r="O146" s="22" t="str">
        <x:v>%</x:v>
      </x:c>
      <x:c r="P146" s="22" t="str">
        <x:v>Líder SG-SST</x:v>
      </x:c>
      <x:c r="Q146" s="22" t="str">
        <x:v>Matriz de accidentalidad / nómina</x:v>
      </x:c>
      <x:c r="R146" s="22" t="str"/>
    </x:row>
    <x:row r="147">
      <x:c r="A147" s="46" t="n">
        <x:v>45199</x:v>
      </x:c>
      <x:c r="B147" s="22" t="n">
        <x:v>2023</x:v>
      </x:c>
      <x:c r="C147" s="22" t="str">
        <x:v>Septiembre</x:v>
      </x:c>
      <x:c r="D147" s="22" t="str">
        <x:v>R05</x:v>
      </x:c>
      <x:c r="E147" s="22" t="str">
        <x:v>Prevalencia de enfermedad laboral</x:v>
      </x:c>
      <x:c r="F147" s="22" t="str">
        <x:v>Resultado</x:v>
      </x:c>
      <x:c r="G147" s="22" t="str">
        <x:v>Mensual</x:v>
      </x:c>
      <x:c r="H147" s="40" t="n">
        <x:v>0.3</x:v>
      </x:c>
      <x:c r="I147" s="22" t="str">
        <x:v>Menor es mejor</x:v>
      </x:c>
      <x:c r="J147" s="40" t="n">
        <x:v>0.62</x:v>
      </x:c>
      <x:c r="K147" s="40" t="n">
        <x:v>206</x:v>
      </x:c>
      <x:c r="L147" s="40" t="n">
        <x:v>100</x:v>
      </x:c>
      <x:c r="M147" s="40" t="n">
        <x:f>IF(OR(J147="",K147="",K147=0),"",J147/K147*L147)</x:f>
        <x:v>0.3009708737864078</x:v>
      </x:c>
      <x:c r="N147" s="22" t="str">
        <x:f>IF(M147="","",IF(I147="Mayor es mejor",IF(M147&gt;=H147,"En meta",IF(M147&gt;=H147*0.9,"Alerta","Crítico")),IF(M147&lt;=H147,"En meta",IF(M147&lt;=H147*1.1,"Alerta","Crítico"))))</x:f>
        <x:v>Alerta</x:v>
      </x:c>
      <x:c r="O147" s="22" t="str">
        <x:v>%</x:v>
      </x:c>
      <x:c r="P147" s="22" t="str">
        <x:v>Líder SG-SST / Medicina laboral</x:v>
      </x:c>
      <x:c r="Q147" s="22" t="str">
        <x:v>Matriz de enfermedad laboral / nómina</x:v>
      </x:c>
      <x:c r="R147" s="22" t="str"/>
    </x:row>
    <x:row r="148">
      <x:c r="A148" s="46" t="n">
        <x:v>45199</x:v>
      </x:c>
      <x:c r="B148" s="22" t="n">
        <x:v>2023</x:v>
      </x:c>
      <x:c r="C148" s="22" t="str">
        <x:v>Septiembre</x:v>
      </x:c>
      <x:c r="D148" s="22" t="str">
        <x:v>R06</x:v>
      </x:c>
      <x:c r="E148" s="22" t="str">
        <x:v>% cumplimiento de estándares mínimos Res. 0312 de 2019</x:v>
      </x:c>
      <x:c r="F148" s="22" t="str">
        <x:v>Resultado</x:v>
      </x:c>
      <x:c r="G148" s="22" t="str">
        <x:v>Mensual</x:v>
      </x:c>
      <x:c r="H148" s="40" t="n">
        <x:v>95</x:v>
      </x:c>
      <x:c r="I148" s="22" t="str">
        <x:v>Mayor es mejor</x:v>
      </x:c>
      <x:c r="J148" s="40" t="n">
        <x:v>96</x:v>
      </x:c>
      <x:c r="K148" s="40" t="n">
        <x:v>100</x:v>
      </x:c>
      <x:c r="L148" s="40" t="n">
        <x:v>100</x:v>
      </x:c>
      <x:c r="M148" s="40" t="n">
        <x:f>IF(OR(J148="",K148="",K148=0),"",J148/K148*L148)</x:f>
        <x:v>96</x:v>
      </x:c>
      <x:c r="N148" s="22" t="str">
        <x:f>IF(M148="","",IF(I148="Mayor es mejor",IF(M148&gt;=H148,"En meta",IF(M148&gt;=H148*0.9,"Alerta","Crítico")),IF(M148&lt;=H148,"En meta",IF(M148&lt;=H148*1.1,"Alerta","Crítico"))))</x:f>
        <x:v>En meta</x:v>
      </x:c>
      <x:c r="O148" s="22" t="str">
        <x:v>%</x:v>
      </x:c>
      <x:c r="P148" s="22" t="str">
        <x:v>Líder SG-SST / Alta Dirección</x:v>
      </x:c>
      <x:c r="Q148" s="22" t="str">
        <x:v>Autodiagnóstico Res. 0312 de 2019</x:v>
      </x:c>
      <x:c r="R148" s="22" t="str"/>
    </x:row>
    <x:row r="149">
      <x:c r="A149" s="46" t="n">
        <x:v>45230</x:v>
      </x:c>
      <x:c r="B149" s="22" t="n">
        <x:v>2023</x:v>
      </x:c>
      <x:c r="C149" s="22" t="str">
        <x:v>Octubre</x:v>
      </x:c>
      <x:c r="D149" s="22" t="str">
        <x:v>E01</x:v>
      </x:c>
      <x:c r="E149" s="22" t="str">
        <x:v>% ejecución presupuestal del SG-SST</x:v>
      </x:c>
      <x:c r="F149" s="22" t="str">
        <x:v>Estructura</x:v>
      </x:c>
      <x:c r="G149" s="22" t="str">
        <x:v>Mensual</x:v>
      </x:c>
      <x:c r="H149" s="40" t="n">
        <x:v>95</x:v>
      </x:c>
      <x:c r="I149" s="22" t="str">
        <x:v>Mayor es mejor</x:v>
      </x:c>
      <x:c r="J149" s="40" t="n">
        <x:v>8212929</x:v>
      </x:c>
      <x:c r="K149" s="40" t="n">
        <x:v>9000000</x:v>
      </x:c>
      <x:c r="L149" s="40" t="n">
        <x:v>100</x:v>
      </x:c>
      <x:c r="M149" s="40" t="n">
        <x:f>IF(OR(J149="",K149="",K149=0),"",J149/K149*L149)</x:f>
        <x:v>91.25476666666667</x:v>
      </x:c>
      <x:c r="N149" s="22" t="str">
        <x:f>IF(M149="","",IF(I149="Mayor es mejor",IF(M149&gt;=H149,"En meta",IF(M149&gt;=H149*0.9,"Alerta","Crítico")),IF(M149&lt;=H149,"En meta",IF(M149&lt;=H149*1.1,"Alerta","Crítico"))))</x:f>
        <x:v>Alerta</x:v>
      </x:c>
      <x:c r="O149" s="22" t="str">
        <x:v>%</x:v>
      </x:c>
      <x:c r="P149" s="22" t="str">
        <x:v>Líder SG-SST / Dirección Administrativa</x:v>
      </x:c>
      <x:c r="Q149" s="22" t="str">
        <x:v>Presupuesto SST</x:v>
      </x:c>
      <x:c r="R149" s="22" t="str"/>
    </x:row>
    <x:row r="150">
      <x:c r="A150" s="46" t="n">
        <x:v>45230</x:v>
      </x:c>
      <x:c r="B150" s="22" t="n">
        <x:v>2023</x:v>
      </x:c>
      <x:c r="C150" s="22" t="str">
        <x:v>Octubre</x:v>
      </x:c>
      <x:c r="D150" s="22" t="str">
        <x:v>E02</x:v>
      </x:c>
      <x:c r="E150" s="22" t="str">
        <x:v>% cobertura del plan de formación y capacitación SG-SST</x:v>
      </x:c>
      <x:c r="F150" s="22" t="str">
        <x:v>Estructura</x:v>
      </x:c>
      <x:c r="G150" s="22" t="str">
        <x:v>Mensual</x:v>
      </x:c>
      <x:c r="H150" s="40" t="n">
        <x:v>90</x:v>
      </x:c>
      <x:c r="I150" s="22" t="str">
        <x:v>Mayor es mejor</x:v>
      </x:c>
      <x:c r="J150" s="40" t="n">
        <x:v>19</x:v>
      </x:c>
      <x:c r="K150" s="40" t="n">
        <x:v>22</x:v>
      </x:c>
      <x:c r="L150" s="40" t="n">
        <x:v>100</x:v>
      </x:c>
      <x:c r="M150" s="40" t="n">
        <x:f>IF(OR(J150="",K150="",K150=0),"",J150/K150*L150)</x:f>
        <x:v>86.36363636363636</x:v>
      </x:c>
      <x:c r="N150" s="22" t="str">
        <x:f>IF(M150="","",IF(I150="Mayor es mejor",IF(M150&gt;=H150,"En meta",IF(M150&gt;=H150*0.9,"Alerta","Crítico")),IF(M150&lt;=H150,"En meta",IF(M150&lt;=H150*1.1,"Alerta","Crítico"))))</x:f>
        <x:v>Alerta</x:v>
      </x:c>
      <x:c r="O150" s="22" t="str">
        <x:v>%</x:v>
      </x:c>
      <x:c r="P150" s="22" t="str">
        <x:v>Líder SG-SST / Talento Humano</x:v>
      </x:c>
      <x:c r="Q150" s="22" t="str">
        <x:v>Plan de formación y capacitaciones</x:v>
      </x:c>
      <x:c r="R150" s="22" t="str"/>
    </x:row>
    <x:row r="151">
      <x:c r="A151" s="46" t="n">
        <x:v>45230</x:v>
      </x:c>
      <x:c r="B151" s="22" t="n">
        <x:v>2023</x:v>
      </x:c>
      <x:c r="C151" s="22" t="str">
        <x:v>Octubre</x:v>
      </x:c>
      <x:c r="D151" s="22" t="str">
        <x:v>E03</x:v>
      </x:c>
      <x:c r="E151" s="22" t="str">
        <x:v>% trabajadores con exámenes médicos ocupacionales vigentes</x:v>
      </x:c>
      <x:c r="F151" s="22" t="str">
        <x:v>Estructura</x:v>
      </x:c>
      <x:c r="G151" s="22" t="str">
        <x:v>Mensual</x:v>
      </x:c>
      <x:c r="H151" s="40" t="n">
        <x:v>95</x:v>
      </x:c>
      <x:c r="I151" s="22" t="str">
        <x:v>Mayor es mejor</x:v>
      </x:c>
      <x:c r="J151" s="40" t="n">
        <x:v>199</x:v>
      </x:c>
      <x:c r="K151" s="40" t="n">
        <x:v>211</x:v>
      </x:c>
      <x:c r="L151" s="40" t="n">
        <x:v>100</x:v>
      </x:c>
      <x:c r="M151" s="40" t="n">
        <x:f>IF(OR(J151="",K151="",K151=0),"",J151/K151*L151)</x:f>
        <x:v>94.3127962085308</x:v>
      </x:c>
      <x:c r="N151" s="22" t="str">
        <x:f>IF(M151="","",IF(I151="Mayor es mejor",IF(M151&gt;=H151,"En meta",IF(M151&gt;=H151*0.9,"Alerta","Crítico")),IF(M151&lt;=H151,"En meta",IF(M151&lt;=H151*1.1,"Alerta","Crítico"))))</x:f>
        <x:v>Alerta</x:v>
      </x:c>
      <x:c r="O151" s="22" t="str">
        <x:v>%</x:v>
      </x:c>
      <x:c r="P151" s="22" t="str">
        <x:v>Líder SG-SST / Talento Humano</x:v>
      </x:c>
      <x:c r="Q151" s="22" t="str">
        <x:v>Matriz de seguimiento EMO</x:v>
      </x:c>
      <x:c r="R151" s="22" t="str"/>
    </x:row>
    <x:row r="152">
      <x:c r="A152" s="46" t="n">
        <x:v>45230</x:v>
      </x:c>
      <x:c r="B152" s="22" t="n">
        <x:v>2023</x:v>
      </x:c>
      <x:c r="C152" s="22" t="str">
        <x:v>Octubre</x:v>
      </x:c>
      <x:c r="D152" s="22" t="str">
        <x:v>E04</x:v>
      </x:c>
      <x:c r="E152" s="22" t="str">
        <x:v>% cumplimiento de requisitos legales aplicables en SST</x:v>
      </x:c>
      <x:c r="F152" s="22" t="str">
        <x:v>Estructura</x:v>
      </x:c>
      <x:c r="G152" s="22" t="str">
        <x:v>Mensual</x:v>
      </x:c>
      <x:c r="H152" s="40" t="n">
        <x:v>95</x:v>
      </x:c>
      <x:c r="I152" s="22" t="str">
        <x:v>Mayor es mejor</x:v>
      </x:c>
      <x:c r="J152" s="40" t="n">
        <x:v>56</x:v>
      </x:c>
      <x:c r="K152" s="40" t="n">
        <x:v>60</x:v>
      </x:c>
      <x:c r="L152" s="40" t="n">
        <x:v>100</x:v>
      </x:c>
      <x:c r="M152" s="40" t="n">
        <x:f>IF(OR(J152="",K152="",K152=0),"",J152/K152*L152)</x:f>
        <x:v>93.33333333333333</x:v>
      </x:c>
      <x:c r="N152" s="22" t="str">
        <x:f>IF(M152="","",IF(I152="Mayor es mejor",IF(M152&gt;=H152,"En meta",IF(M152&gt;=H152*0.9,"Alerta","Crítico")),IF(M152&lt;=H152,"En meta",IF(M152&lt;=H152*1.1,"Alerta","Crítico"))))</x:f>
        <x:v>Alerta</x:v>
      </x:c>
      <x:c r="O152" s="22" t="str">
        <x:v>%</x:v>
      </x:c>
      <x:c r="P152" s="22" t="str">
        <x:v>Líder SG-SST / Jurídica</x:v>
      </x:c>
      <x:c r="Q152" s="22" t="str">
        <x:v>Matriz legal SGRL</x:v>
      </x:c>
      <x:c r="R152" s="22" t="str"/>
    </x:row>
    <x:row r="153">
      <x:c r="A153" s="46" t="n">
        <x:v>45230</x:v>
      </x:c>
      <x:c r="B153" s="22" t="n">
        <x:v>2023</x:v>
      </x:c>
      <x:c r="C153" s="22" t="str">
        <x:v>Octubre</x:v>
      </x:c>
      <x:c r="D153" s="22" t="str">
        <x:v>E05</x:v>
      </x:c>
      <x:c r="E153" s="22" t="str">
        <x:v>% proveedores y contratistas aprobados en SST</x:v>
      </x:c>
      <x:c r="F153" s="22" t="str">
        <x:v>Estructura</x:v>
      </x:c>
      <x:c r="G153" s="22" t="str">
        <x:v>Mensual</x:v>
      </x:c>
      <x:c r="H153" s="40" t="n">
        <x:v>90</x:v>
      </x:c>
      <x:c r="I153" s="22" t="str">
        <x:v>Mayor es mejor</x:v>
      </x:c>
      <x:c r="J153" s="40" t="n">
        <x:v>18</x:v>
      </x:c>
      <x:c r="K153" s="40" t="n">
        <x:v>20</x:v>
      </x:c>
      <x:c r="L153" s="40" t="n">
        <x:v>100</x:v>
      </x:c>
      <x:c r="M153" s="40" t="n">
        <x:f>IF(OR(J153="",K153="",K153=0),"",J153/K153*L153)</x:f>
        <x:v>90</x:v>
      </x:c>
      <x:c r="N153" s="22" t="str">
        <x:f>IF(M153="","",IF(I153="Mayor es mejor",IF(M153&gt;=H153,"En meta",IF(M153&gt;=H153*0.9,"Alerta","Crítico")),IF(M153&lt;=H153,"En meta",IF(M153&lt;=H153*1.1,"Alerta","Crítico"))))</x:f>
        <x:v>En meta</x:v>
      </x:c>
      <x:c r="O153" s="22" t="str">
        <x:v>%</x:v>
      </x:c>
      <x:c r="P153" s="22" t="str">
        <x:v>Compras / Líder SG-SST</x:v>
      </x:c>
      <x:c r="Q153" s="22" t="str">
        <x:v>Gestión de proveedores y contratistas</x:v>
      </x:c>
      <x:c r="R153" s="22" t="str"/>
    </x:row>
    <x:row r="154">
      <x:c r="A154" s="46" t="n">
        <x:v>45230</x:v>
      </x:c>
      <x:c r="B154" s="22" t="n">
        <x:v>2023</x:v>
      </x:c>
      <x:c r="C154" s="22" t="str">
        <x:v>Octubre</x:v>
      </x:c>
      <x:c r="D154" s="22" t="str">
        <x:v>P01</x:v>
      </x:c>
      <x:c r="E154" s="22" t="str">
        <x:v>% ejecución del plan anual de trabajo SG-SST</x:v>
      </x:c>
      <x:c r="F154" s="22" t="str">
        <x:v>Proceso</x:v>
      </x:c>
      <x:c r="G154" s="22" t="str">
        <x:v>Mensual</x:v>
      </x:c>
      <x:c r="H154" s="40" t="n">
        <x:v>90</x:v>
      </x:c>
      <x:c r="I154" s="22" t="str">
        <x:v>Mayor es mejor</x:v>
      </x:c>
      <x:c r="J154" s="40" t="n">
        <x:v>11</x:v>
      </x:c>
      <x:c r="K154" s="40" t="n">
        <x:v>12</x:v>
      </x:c>
      <x:c r="L154" s="40" t="n">
        <x:v>100</x:v>
      </x:c>
      <x:c r="M154" s="40" t="n">
        <x:f>IF(OR(J154="",K154="",K154=0),"",J154/K154*L154)</x:f>
        <x:v>91.66666666666666</x:v>
      </x:c>
      <x:c r="N154" s="22" t="str">
        <x:f>IF(M154="","",IF(I154="Mayor es mejor",IF(M154&gt;=H154,"En meta",IF(M154&gt;=H154*0.9,"Alerta","Crítico")),IF(M154&lt;=H154,"En meta",IF(M154&lt;=H154*1.1,"Alerta","Crítico"))))</x:f>
        <x:v>En meta</x:v>
      </x:c>
      <x:c r="O154" s="22" t="str">
        <x:v>%</x:v>
      </x:c>
      <x:c r="P154" s="22" t="str">
        <x:v>Líder SG-SST</x:v>
      </x:c>
      <x:c r="Q154" s="22" t="str">
        <x:v>Plan anual de trabajo PHVA</x:v>
      </x:c>
      <x:c r="R154" s="22" t="str"/>
    </x:row>
    <x:row r="155">
      <x:c r="A155" s="46" t="n">
        <x:v>45230</x:v>
      </x:c>
      <x:c r="B155" s="22" t="n">
        <x:v>2023</x:v>
      </x:c>
      <x:c r="C155" s="22" t="str">
        <x:v>Octubre</x:v>
      </x:c>
      <x:c r="D155" s="22" t="str">
        <x:v>P02</x:v>
      </x:c>
      <x:c r="E155" s="22" t="str">
        <x:v>% investigaciones de accidentes realizadas oportunamente</x:v>
      </x:c>
      <x:c r="F155" s="22" t="str">
        <x:v>Proceso</x:v>
      </x:c>
      <x:c r="G155" s="22" t="str">
        <x:v>Mensual</x:v>
      </x:c>
      <x:c r="H155" s="40" t="n">
        <x:v>95</x:v>
      </x:c>
      <x:c r="I155" s="22" t="str">
        <x:v>Mayor es mejor</x:v>
      </x:c>
      <x:c r="J155" s="40" t="n">
        <x:v>1</x:v>
      </x:c>
      <x:c r="K155" s="40" t="n">
        <x:v>1</x:v>
      </x:c>
      <x:c r="L155" s="40" t="n">
        <x:v>100</x:v>
      </x:c>
      <x:c r="M155" s="40" t="n">
        <x:f>IF(OR(J155="",K155="",K155=0),"",J155/K155*L155)</x:f>
        <x:v>100</x:v>
      </x:c>
      <x:c r="N155" s="22" t="str">
        <x:f>IF(M155="","",IF(I155="Mayor es mejor",IF(M155&gt;=H155,"En meta",IF(M155&gt;=H155*0.9,"Alerta","Crítico")),IF(M155&lt;=H155,"En meta",IF(M155&lt;=H155*1.1,"Alerta","Crítico"))))</x:f>
        <x:v>En meta</x:v>
      </x:c>
      <x:c r="O155" s="22" t="str">
        <x:v>%</x:v>
      </x:c>
      <x:c r="P155" s="22" t="str">
        <x:v>Líder SG-SST / COPASST</x:v>
      </x:c>
      <x:c r="Q155" s="22" t="str">
        <x:v>Matriz de accidentalidad</x:v>
      </x:c>
      <x:c r="R155" s="22" t="str"/>
    </x:row>
    <x:row r="156">
      <x:c r="A156" s="46" t="n">
        <x:v>45230</x:v>
      </x:c>
      <x:c r="B156" s="22" t="n">
        <x:v>2023</x:v>
      </x:c>
      <x:c r="C156" s="22" t="str">
        <x:v>Octubre</x:v>
      </x:c>
      <x:c r="D156" s="22" t="str">
        <x:v>P03</x:v>
      </x:c>
      <x:c r="E156" s="22" t="str">
        <x:v>% cierre oportuno de acciones correctivas, preventivas y de mejora</x:v>
      </x:c>
      <x:c r="F156" s="22" t="str">
        <x:v>Proceso</x:v>
      </x:c>
      <x:c r="G156" s="22" t="str">
        <x:v>Mensual</x:v>
      </x:c>
      <x:c r="H156" s="40" t="n">
        <x:v>90</x:v>
      </x:c>
      <x:c r="I156" s="22" t="str">
        <x:v>Mayor es mejor</x:v>
      </x:c>
      <x:c r="J156" s="40" t="n">
        <x:v>8</x:v>
      </x:c>
      <x:c r="K156" s="40" t="n">
        <x:v>10</x:v>
      </x:c>
      <x:c r="L156" s="40" t="n">
        <x:v>100</x:v>
      </x:c>
      <x:c r="M156" s="40" t="n">
        <x:f>IF(OR(J156="",K156="",K156=0),"",J156/K156*L156)</x:f>
        <x:v>80</x:v>
      </x:c>
      <x:c r="N156" s="22" t="str">
        <x:f>IF(M156="","",IF(I156="Mayor es mejor",IF(M156&gt;=H156,"En meta",IF(M156&gt;=H156*0.9,"Alerta","Crítico")),IF(M156&lt;=H156,"En meta",IF(M156&lt;=H156*1.1,"Alerta","Crítico"))))</x:f>
        <x:v>Crítico</x:v>
      </x:c>
      <x:c r="O156" s="22" t="str">
        <x:v>%</x:v>
      </x:c>
      <x:c r="P156" s="22" t="str">
        <x:v>Líder SG-SST / Responsables de proceso</x:v>
      </x:c>
      <x:c r="Q156" s="22" t="str">
        <x:v>Matriz APCM</x:v>
      </x:c>
      <x:c r="R156" s="22" t="str"/>
    </x:row>
    <x:row r="157">
      <x:c r="A157" s="46" t="n">
        <x:v>45230</x:v>
      </x:c>
      <x:c r="B157" s="22" t="n">
        <x:v>2023</x:v>
      </x:c>
      <x:c r="C157" s="22" t="str">
        <x:v>Octubre</x:v>
      </x:c>
      <x:c r="D157" s="22" t="str">
        <x:v>P04</x:v>
      </x:c>
      <x:c r="E157" s="22" t="str">
        <x:v>% inspecciones de seguridad ejecutadas</x:v>
      </x:c>
      <x:c r="F157" s="22" t="str">
        <x:v>Proceso</x:v>
      </x:c>
      <x:c r="G157" s="22" t="str">
        <x:v>Mensual</x:v>
      </x:c>
      <x:c r="H157" s="40" t="n">
        <x:v>90</x:v>
      </x:c>
      <x:c r="I157" s="22" t="str">
        <x:v>Mayor es mejor</x:v>
      </x:c>
      <x:c r="J157" s="40" t="n">
        <x:v>9</x:v>
      </x:c>
      <x:c r="K157" s="40" t="n">
        <x:v>10</x:v>
      </x:c>
      <x:c r="L157" s="40" t="n">
        <x:v>100</x:v>
      </x:c>
      <x:c r="M157" s="40" t="n">
        <x:f>IF(OR(J157="",K157="",K157=0),"",J157/K157*L157)</x:f>
        <x:v>90</x:v>
      </x:c>
      <x:c r="N157" s="22" t="str">
        <x:f>IF(M157="","",IF(I157="Mayor es mejor",IF(M157&gt;=H157,"En meta",IF(M157&gt;=H157*0.9,"Alerta","Crítico")),IF(M157&lt;=H157,"En meta",IF(M157&lt;=H157*1.1,"Alerta","Crítico"))))</x:f>
        <x:v>En meta</x:v>
      </x:c>
      <x:c r="O157" s="22" t="str">
        <x:v>%</x:v>
      </x:c>
      <x:c r="P157" s="22" t="str">
        <x:v>Líder SG-SST / Supervisores</x:v>
      </x:c>
      <x:c r="Q157" s="22" t="str">
        <x:v>Programa de inspecciones</x:v>
      </x:c>
      <x:c r="R157" s="22" t="str"/>
    </x:row>
    <x:row r="158">
      <x:c r="A158" s="46" t="n">
        <x:v>45230</x:v>
      </x:c>
      <x:c r="B158" s="22" t="n">
        <x:v>2023</x:v>
      </x:c>
      <x:c r="C158" s="22" t="str">
        <x:v>Octubre</x:v>
      </x:c>
      <x:c r="D158" s="22" t="str">
        <x:v>P05</x:v>
      </x:c>
      <x:c r="E158" s="22" t="str">
        <x:v>% mantenimientos preventivos ejecutados</x:v>
      </x:c>
      <x:c r="F158" s="22" t="str">
        <x:v>Proceso</x:v>
      </x:c>
      <x:c r="G158" s="22" t="str">
        <x:v>Mensual</x:v>
      </x:c>
      <x:c r="H158" s="40" t="n">
        <x:v>90</x:v>
      </x:c>
      <x:c r="I158" s="22" t="str">
        <x:v>Mayor es mejor</x:v>
      </x:c>
      <x:c r="J158" s="40" t="n">
        <x:v>13</x:v>
      </x:c>
      <x:c r="K158" s="40" t="n">
        <x:v>14</x:v>
      </x:c>
      <x:c r="L158" s="40" t="n">
        <x:v>100</x:v>
      </x:c>
      <x:c r="M158" s="40" t="n">
        <x:f>IF(OR(J158="",K158="",K158=0),"",J158/K158*L158)</x:f>
        <x:v>92.85714285714286</x:v>
      </x:c>
      <x:c r="N158" s="22" t="str">
        <x:f>IF(M158="","",IF(I158="Mayor es mejor",IF(M158&gt;=H158,"En meta",IF(M158&gt;=H158*0.9,"Alerta","Crítico")),IF(M158&lt;=H158,"En meta",IF(M158&lt;=H158*1.1,"Alerta","Crítico"))))</x:f>
        <x:v>En meta</x:v>
      </x:c>
      <x:c r="O158" s="22" t="str">
        <x:v>%</x:v>
      </x:c>
      <x:c r="P158" s="22" t="str">
        <x:v>Mantenimiento / Líder SG-SST</x:v>
      </x:c>
      <x:c r="Q158" s="22" t="str">
        <x:v>Programa de mantenimiento preventivo</x:v>
      </x:c>
      <x:c r="R158" s="22" t="str"/>
    </x:row>
    <x:row r="159">
      <x:c r="A159" s="46" t="n">
        <x:v>45230</x:v>
      </x:c>
      <x:c r="B159" s="22" t="n">
        <x:v>2023</x:v>
      </x:c>
      <x:c r="C159" s="22" t="str">
        <x:v>Octubre</x:v>
      </x:c>
      <x:c r="D159" s="22" t="str">
        <x:v>R01</x:v>
      </x:c>
      <x:c r="E159" s="22" t="str">
        <x:v>Índice de frecuencia de accidentalidad (IF)</x:v>
      </x:c>
      <x:c r="F159" s="22" t="str">
        <x:v>Resultado</x:v>
      </x:c>
      <x:c r="G159" s="22" t="str">
        <x:v>Mensual</x:v>
      </x:c>
      <x:c r="H159" s="40" t="n">
        <x:v>3.5</x:v>
      </x:c>
      <x:c r="I159" s="22" t="str">
        <x:v>Menor es mejor</x:v>
      </x:c>
      <x:c r="J159" s="40" t="n">
        <x:v>1</x:v>
      </x:c>
      <x:c r="K159" s="40" t="n">
        <x:v>50958</x:v>
      </x:c>
      <x:c r="L159" s="40" t="n">
        <x:v>200000</x:v>
      </x:c>
      <x:c r="M159" s="40" t="n">
        <x:f>IF(OR(J159="",K159="",K159=0),"",J159/K159*L159)</x:f>
        <x:v>3.92480081635857</x:v>
      </x:c>
      <x:c r="N159" s="22" t="str">
        <x:f>IF(M159="","",IF(I159="Mayor es mejor",IF(M159&gt;=H159,"En meta",IF(M159&gt;=H159*0.9,"Alerta","Crítico")),IF(M159&lt;=H159,"En meta",IF(M159&lt;=H159*1.1,"Alerta","Crítico"))))</x:f>
        <x:v>Crítico</x:v>
      </x:c>
      <x:c r="O159" s="22" t="str">
        <x:v>Índice</x:v>
      </x:c>
      <x:c r="P159" s="22" t="str">
        <x:v>Líder SG-SST</x:v>
      </x:c>
      <x:c r="Q159" s="22" t="str">
        <x:v>Matriz de accidentalidad / nómina</x:v>
      </x:c>
      <x:c r="R159" s="22" t="str"/>
    </x:row>
    <x:row r="160">
      <x:c r="A160" s="46" t="n">
        <x:v>45230</x:v>
      </x:c>
      <x:c r="B160" s="22" t="n">
        <x:v>2023</x:v>
      </x:c>
      <x:c r="C160" s="22" t="str">
        <x:v>Octubre</x:v>
      </x:c>
      <x:c r="D160" s="22" t="str">
        <x:v>R02</x:v>
      </x:c>
      <x:c r="E160" s="22" t="str">
        <x:v>Índice de severidad de accidentalidad (IS)</x:v>
      </x:c>
      <x:c r="F160" s="22" t="str">
        <x:v>Resultado</x:v>
      </x:c>
      <x:c r="G160" s="22" t="str">
        <x:v>Mensual</x:v>
      </x:c>
      <x:c r="H160" s="40" t="n">
        <x:v>80</x:v>
      </x:c>
      <x:c r="I160" s="22" t="str">
        <x:v>Menor es mejor</x:v>
      </x:c>
      <x:c r="J160" s="40" t="n">
        <x:v>20</x:v>
      </x:c>
      <x:c r="K160" s="40" t="n">
        <x:v>50958</x:v>
      </x:c>
      <x:c r="L160" s="40" t="n">
        <x:v>200000</x:v>
      </x:c>
      <x:c r="M160" s="40" t="n">
        <x:f>IF(OR(J160="",K160="",K160=0),"",J160/K160*L160)</x:f>
        <x:v>78.4960163271714</x:v>
      </x:c>
      <x:c r="N160" s="22" t="str">
        <x:f>IF(M160="","",IF(I160="Mayor es mejor",IF(M160&gt;=H160,"En meta",IF(M160&gt;=H160*0.9,"Alerta","Crítico")),IF(M160&lt;=H160,"En meta",IF(M160&lt;=H160*1.1,"Alerta","Crítico"))))</x:f>
        <x:v>En meta</x:v>
      </x:c>
      <x:c r="O160" s="22" t="str">
        <x:v>Índice</x:v>
      </x:c>
      <x:c r="P160" s="22" t="str">
        <x:v>Líder SG-SST</x:v>
      </x:c>
      <x:c r="Q160" s="22" t="str">
        <x:v>Matriz de accidentalidad / nómina</x:v>
      </x:c>
      <x:c r="R160" s="22" t="str"/>
    </x:row>
    <x:row r="161">
      <x:c r="A161" s="46" t="n">
        <x:v>45230</x:v>
      </x:c>
      <x:c r="B161" s="22" t="n">
        <x:v>2023</x:v>
      </x:c>
      <x:c r="C161" s="22" t="str">
        <x:v>Octubre</x:v>
      </x:c>
      <x:c r="D161" s="22" t="str">
        <x:v>R03</x:v>
      </x:c>
      <x:c r="E161" s="22" t="str">
        <x:v>Índice de lesión incapacitante (ILI)</x:v>
      </x:c>
      <x:c r="F161" s="22" t="str">
        <x:v>Resultado</x:v>
      </x:c>
      <x:c r="G161" s="22" t="str">
        <x:v>Mensual</x:v>
      </x:c>
      <x:c r="H161" s="40" t="n">
        <x:v>0.25</x:v>
      </x:c>
      <x:c r="I161" s="22" t="str">
        <x:v>Menor es mejor</x:v>
      </x:c>
      <x:c r="J161" s="40" t="n">
        <x:v>308.0812</x:v>
      </x:c>
      <x:c r="K161" s="40" t="n">
        <x:v>1000</x:v>
      </x:c>
      <x:c r="L161" s="40" t="n">
        <x:v>1</x:v>
      </x:c>
      <x:c r="M161" s="40" t="n">
        <x:f>IF(OR(J161="",K161="",K161=0),"",J161/K161*L161)</x:f>
        <x:v>0.3080812</x:v>
      </x:c>
      <x:c r="N161" s="22" t="str">
        <x:f>IF(M161="","",IF(I161="Mayor es mejor",IF(M161&gt;=H161,"En meta",IF(M161&gt;=H161*0.9,"Alerta","Crítico")),IF(M161&lt;=H161,"En meta",IF(M161&lt;=H161*1.1,"Alerta","Crítico"))))</x:f>
        <x:v>Crítico</x:v>
      </x:c>
      <x:c r="O161" s="22" t="str">
        <x:v>Índice</x:v>
      </x:c>
      <x:c r="P161" s="22" t="str">
        <x:v>Líder SG-SST</x:v>
      </x:c>
      <x:c r="Q161" s="22" t="str">
        <x:v>Indicadores derivados de accidentalidad</x:v>
      </x:c>
      <x:c r="R161" s="22" t="str">
        <x:v>ILI calculado sobre IF e IS del periodo.</x:v>
      </x:c>
    </x:row>
    <x:row r="162">
      <x:c r="A162" s="46" t="n">
        <x:v>45230</x:v>
      </x:c>
      <x:c r="B162" s="22" t="n">
        <x:v>2023</x:v>
      </x:c>
      <x:c r="C162" s="22" t="str">
        <x:v>Octubre</x:v>
      </x:c>
      <x:c r="D162" s="22" t="str">
        <x:v>R04</x:v>
      </x:c>
      <x:c r="E162" s="22" t="str">
        <x:v>Tasa de accidentalidad</x:v>
      </x:c>
      <x:c r="F162" s="22" t="str">
        <x:v>Resultado</x:v>
      </x:c>
      <x:c r="G162" s="22" t="str">
        <x:v>Mensual</x:v>
      </x:c>
      <x:c r="H162" s="40" t="n">
        <x:v>0.6</x:v>
      </x:c>
      <x:c r="I162" s="22" t="str">
        <x:v>Menor es mejor</x:v>
      </x:c>
      <x:c r="J162" s="40" t="n">
        <x:v>3.37</x:v>
      </x:c>
      <x:c r="K162" s="40" t="n">
        <x:v>211</x:v>
      </x:c>
      <x:c r="L162" s="40" t="n">
        <x:v>100</x:v>
      </x:c>
      <x:c r="M162" s="40" t="n">
        <x:f>IF(OR(J162="",K162="",K162=0),"",J162/K162*L162)</x:f>
        <x:v>1.5971563981042654</x:v>
      </x:c>
      <x:c r="N162" s="22" t="str">
        <x:f>IF(M162="","",IF(I162="Mayor es mejor",IF(M162&gt;=H162,"En meta",IF(M162&gt;=H162*0.9,"Alerta","Crítico")),IF(M162&lt;=H162,"En meta",IF(M162&lt;=H162*1.1,"Alerta","Crítico"))))</x:f>
        <x:v>Crítico</x:v>
      </x:c>
      <x:c r="O162" s="22" t="str">
        <x:v>%</x:v>
      </x:c>
      <x:c r="P162" s="22" t="str">
        <x:v>Líder SG-SST</x:v>
      </x:c>
      <x:c r="Q162" s="22" t="str">
        <x:v>Matriz de accidentalidad / nómina</x:v>
      </x:c>
      <x:c r="R162" s="22" t="str"/>
    </x:row>
    <x:row r="163">
      <x:c r="A163" s="46" t="n">
        <x:v>45230</x:v>
      </x:c>
      <x:c r="B163" s="22" t="n">
        <x:v>2023</x:v>
      </x:c>
      <x:c r="C163" s="22" t="str">
        <x:v>Octubre</x:v>
      </x:c>
      <x:c r="D163" s="22" t="str">
        <x:v>R05</x:v>
      </x:c>
      <x:c r="E163" s="22" t="str">
        <x:v>Prevalencia de enfermedad laboral</x:v>
      </x:c>
      <x:c r="F163" s="22" t="str">
        <x:v>Resultado</x:v>
      </x:c>
      <x:c r="G163" s="22" t="str">
        <x:v>Mensual</x:v>
      </x:c>
      <x:c r="H163" s="40" t="n">
        <x:v>0.3</x:v>
      </x:c>
      <x:c r="I163" s="22" t="str">
        <x:v>Menor es mejor</x:v>
      </x:c>
      <x:c r="J163" s="40" t="n">
        <x:v>0.02</x:v>
      </x:c>
      <x:c r="K163" s="40" t="n">
        <x:v>211</x:v>
      </x:c>
      <x:c r="L163" s="40" t="n">
        <x:v>100</x:v>
      </x:c>
      <x:c r="M163" s="40" t="n">
        <x:f>IF(OR(J163="",K163="",K163=0),"",J163/K163*L163)</x:f>
        <x:v>0.00947867298578199</x:v>
      </x:c>
      <x:c r="N163" s="22" t="str">
        <x:f>IF(M163="","",IF(I163="Mayor es mejor",IF(M163&gt;=H163,"En meta",IF(M163&gt;=H163*0.9,"Alerta","Crítico")),IF(M163&lt;=H163,"En meta",IF(M163&lt;=H163*1.1,"Alerta","Crítico"))))</x:f>
        <x:v>En meta</x:v>
      </x:c>
      <x:c r="O163" s="22" t="str">
        <x:v>%</x:v>
      </x:c>
      <x:c r="P163" s="22" t="str">
        <x:v>Líder SG-SST / Medicina laboral</x:v>
      </x:c>
      <x:c r="Q163" s="22" t="str">
        <x:v>Matriz de enfermedad laboral / nómina</x:v>
      </x:c>
      <x:c r="R163" s="22" t="str"/>
    </x:row>
    <x:row r="164">
      <x:c r="A164" s="46" t="n">
        <x:v>45230</x:v>
      </x:c>
      <x:c r="B164" s="22" t="n">
        <x:v>2023</x:v>
      </x:c>
      <x:c r="C164" s="22" t="str">
        <x:v>Octubre</x:v>
      </x:c>
      <x:c r="D164" s="22" t="str">
        <x:v>R06</x:v>
      </x:c>
      <x:c r="E164" s="22" t="str">
        <x:v>% cumplimiento de estándares mínimos Res. 0312 de 2019</x:v>
      </x:c>
      <x:c r="F164" s="22" t="str">
        <x:v>Resultado</x:v>
      </x:c>
      <x:c r="G164" s="22" t="str">
        <x:v>Mensual</x:v>
      </x:c>
      <x:c r="H164" s="40" t="n">
        <x:v>95</x:v>
      </x:c>
      <x:c r="I164" s="22" t="str">
        <x:v>Mayor es mejor</x:v>
      </x:c>
      <x:c r="J164" s="40" t="n">
        <x:v>96</x:v>
      </x:c>
      <x:c r="K164" s="40" t="n">
        <x:v>100</x:v>
      </x:c>
      <x:c r="L164" s="40" t="n">
        <x:v>100</x:v>
      </x:c>
      <x:c r="M164" s="40" t="n">
        <x:f>IF(OR(J164="",K164="",K164=0),"",J164/K164*L164)</x:f>
        <x:v>96</x:v>
      </x:c>
      <x:c r="N164" s="22" t="str">
        <x:f>IF(M164="","",IF(I164="Mayor es mejor",IF(M164&gt;=H164,"En meta",IF(M164&gt;=H164*0.9,"Alerta","Crítico")),IF(M164&lt;=H164,"En meta",IF(M164&lt;=H164*1.1,"Alerta","Crítico"))))</x:f>
        <x:v>En meta</x:v>
      </x:c>
      <x:c r="O164" s="22" t="str">
        <x:v>%</x:v>
      </x:c>
      <x:c r="P164" s="22" t="str">
        <x:v>Líder SG-SST / Alta Dirección</x:v>
      </x:c>
      <x:c r="Q164" s="22" t="str">
        <x:v>Autodiagnóstico Res. 0312 de 2019</x:v>
      </x:c>
      <x:c r="R164" s="22" t="str"/>
    </x:row>
    <x:row r="165">
      <x:c r="A165" s="46" t="n">
        <x:v>45260</x:v>
      </x:c>
      <x:c r="B165" s="22" t="n">
        <x:v>2023</x:v>
      </x:c>
      <x:c r="C165" s="22" t="str">
        <x:v>Noviembre</x:v>
      </x:c>
      <x:c r="D165" s="22" t="str">
        <x:v>E01</x:v>
      </x:c>
      <x:c r="E165" s="22" t="str">
        <x:v>% ejecución presupuestal del SG-SST</x:v>
      </x:c>
      <x:c r="F165" s="22" t="str">
        <x:v>Estructura</x:v>
      </x:c>
      <x:c r="G165" s="22" t="str">
        <x:v>Mensual</x:v>
      </x:c>
      <x:c r="H165" s="40" t="n">
        <x:v>95</x:v>
      </x:c>
      <x:c r="I165" s="22" t="str">
        <x:v>Mayor es mejor</x:v>
      </x:c>
      <x:c r="J165" s="40" t="n">
        <x:v>8838152</x:v>
      </x:c>
      <x:c r="K165" s="40" t="n">
        <x:v>9500000</x:v>
      </x:c>
      <x:c r="L165" s="40" t="n">
        <x:v>100</x:v>
      </x:c>
      <x:c r="M165" s="40" t="n">
        <x:f>IF(OR(J165="",K165="",K165=0),"",J165/K165*L165)</x:f>
        <x:v>93.03317894736843</x:v>
      </x:c>
      <x:c r="N165" s="22" t="str">
        <x:f>IF(M165="","",IF(I165="Mayor es mejor",IF(M165&gt;=H165,"En meta",IF(M165&gt;=H165*0.9,"Alerta","Crítico")),IF(M165&lt;=H165,"En meta",IF(M165&lt;=H165*1.1,"Alerta","Crítico"))))</x:f>
        <x:v>Alerta</x:v>
      </x:c>
      <x:c r="O165" s="22" t="str">
        <x:v>%</x:v>
      </x:c>
      <x:c r="P165" s="22" t="str">
        <x:v>Líder SG-SST / Dirección Administrativa</x:v>
      </x:c>
      <x:c r="Q165" s="22" t="str">
        <x:v>Presupuesto SST</x:v>
      </x:c>
      <x:c r="R165" s="22" t="str"/>
    </x:row>
    <x:row r="166">
      <x:c r="A166" s="46" t="n">
        <x:v>45260</x:v>
      </x:c>
      <x:c r="B166" s="22" t="n">
        <x:v>2023</x:v>
      </x:c>
      <x:c r="C166" s="22" t="str">
        <x:v>Noviembre</x:v>
      </x:c>
      <x:c r="D166" s="22" t="str">
        <x:v>E02</x:v>
      </x:c>
      <x:c r="E166" s="22" t="str">
        <x:v>% cobertura del plan de formación y capacitación SG-SST</x:v>
      </x:c>
      <x:c r="F166" s="22" t="str">
        <x:v>Estructura</x:v>
      </x:c>
      <x:c r="G166" s="22" t="str">
        <x:v>Mensual</x:v>
      </x:c>
      <x:c r="H166" s="40" t="n">
        <x:v>90</x:v>
      </x:c>
      <x:c r="I166" s="22" t="str">
        <x:v>Mayor es mejor</x:v>
      </x:c>
      <x:c r="J166" s="40" t="n">
        <x:v>21</x:v>
      </x:c>
      <x:c r="K166" s="40" t="n">
        <x:v>24</x:v>
      </x:c>
      <x:c r="L166" s="40" t="n">
        <x:v>100</x:v>
      </x:c>
      <x:c r="M166" s="40" t="n">
        <x:f>IF(OR(J166="",K166="",K166=0),"",J166/K166*L166)</x:f>
        <x:v>87.5</x:v>
      </x:c>
      <x:c r="N166" s="22" t="str">
        <x:f>IF(M166="","",IF(I166="Mayor es mejor",IF(M166&gt;=H166,"En meta",IF(M166&gt;=H166*0.9,"Alerta","Crítico")),IF(M166&lt;=H166,"En meta",IF(M166&lt;=H166*1.1,"Alerta","Crítico"))))</x:f>
        <x:v>Alerta</x:v>
      </x:c>
      <x:c r="O166" s="22" t="str">
        <x:v>%</x:v>
      </x:c>
      <x:c r="P166" s="22" t="str">
        <x:v>Líder SG-SST / Talento Humano</x:v>
      </x:c>
      <x:c r="Q166" s="22" t="str">
        <x:v>Plan de formación y capacitaciones</x:v>
      </x:c>
      <x:c r="R166" s="22" t="str"/>
    </x:row>
    <x:row r="167">
      <x:c r="A167" s="46" t="n">
        <x:v>45260</x:v>
      </x:c>
      <x:c r="B167" s="22" t="n">
        <x:v>2023</x:v>
      </x:c>
      <x:c r="C167" s="22" t="str">
        <x:v>Noviembre</x:v>
      </x:c>
      <x:c r="D167" s="22" t="str">
        <x:v>E03</x:v>
      </x:c>
      <x:c r="E167" s="22" t="str">
        <x:v>% trabajadores con exámenes médicos ocupacionales vigentes</x:v>
      </x:c>
      <x:c r="F167" s="22" t="str">
        <x:v>Estructura</x:v>
      </x:c>
      <x:c r="G167" s="22" t="str">
        <x:v>Mensual</x:v>
      </x:c>
      <x:c r="H167" s="40" t="n">
        <x:v>95</x:v>
      </x:c>
      <x:c r="I167" s="22" t="str">
        <x:v>Mayor es mejor</x:v>
      </x:c>
      <x:c r="J167" s="40" t="n">
        <x:v>201</x:v>
      </x:c>
      <x:c r="K167" s="40" t="n">
        <x:v>212</x:v>
      </x:c>
      <x:c r="L167" s="40" t="n">
        <x:v>100</x:v>
      </x:c>
      <x:c r="M167" s="40" t="n">
        <x:f>IF(OR(J167="",K167="",K167=0),"",J167/K167*L167)</x:f>
        <x:v>94.81132075471697</x:v>
      </x:c>
      <x:c r="N167" s="22" t="str">
        <x:f>IF(M167="","",IF(I167="Mayor es mejor",IF(M167&gt;=H167,"En meta",IF(M167&gt;=H167*0.9,"Alerta","Crítico")),IF(M167&lt;=H167,"En meta",IF(M167&lt;=H167*1.1,"Alerta","Crítico"))))</x:f>
        <x:v>Alerta</x:v>
      </x:c>
      <x:c r="O167" s="22" t="str">
        <x:v>%</x:v>
      </x:c>
      <x:c r="P167" s="22" t="str">
        <x:v>Líder SG-SST / Talento Humano</x:v>
      </x:c>
      <x:c r="Q167" s="22" t="str">
        <x:v>Matriz de seguimiento EMO</x:v>
      </x:c>
      <x:c r="R167" s="22" t="str"/>
    </x:row>
    <x:row r="168">
      <x:c r="A168" s="46" t="n">
        <x:v>45260</x:v>
      </x:c>
      <x:c r="B168" s="22" t="n">
        <x:v>2023</x:v>
      </x:c>
      <x:c r="C168" s="22" t="str">
        <x:v>Noviembre</x:v>
      </x:c>
      <x:c r="D168" s="22" t="str">
        <x:v>E04</x:v>
      </x:c>
      <x:c r="E168" s="22" t="str">
        <x:v>% cumplimiento de requisitos legales aplicables en SST</x:v>
      </x:c>
      <x:c r="F168" s="22" t="str">
        <x:v>Estructura</x:v>
      </x:c>
      <x:c r="G168" s="22" t="str">
        <x:v>Mensual</x:v>
      </x:c>
      <x:c r="H168" s="40" t="n">
        <x:v>95</x:v>
      </x:c>
      <x:c r="I168" s="22" t="str">
        <x:v>Mayor es mejor</x:v>
      </x:c>
      <x:c r="J168" s="40" t="n">
        <x:v>56</x:v>
      </x:c>
      <x:c r="K168" s="40" t="n">
        <x:v>60</x:v>
      </x:c>
      <x:c r="L168" s="40" t="n">
        <x:v>100</x:v>
      </x:c>
      <x:c r="M168" s="40" t="n">
        <x:f>IF(OR(J168="",K168="",K168=0),"",J168/K168*L168)</x:f>
        <x:v>93.33333333333333</x:v>
      </x:c>
      <x:c r="N168" s="22" t="str">
        <x:f>IF(M168="","",IF(I168="Mayor es mejor",IF(M168&gt;=H168,"En meta",IF(M168&gt;=H168*0.9,"Alerta","Crítico")),IF(M168&lt;=H168,"En meta",IF(M168&lt;=H168*1.1,"Alerta","Crítico"))))</x:f>
        <x:v>Alerta</x:v>
      </x:c>
      <x:c r="O168" s="22" t="str">
        <x:v>%</x:v>
      </x:c>
      <x:c r="P168" s="22" t="str">
        <x:v>Líder SG-SST / Jurídica</x:v>
      </x:c>
      <x:c r="Q168" s="22" t="str">
        <x:v>Matriz legal SGRL</x:v>
      </x:c>
      <x:c r="R168" s="22" t="str"/>
    </x:row>
    <x:row r="169">
      <x:c r="A169" s="46" t="n">
        <x:v>45260</x:v>
      </x:c>
      <x:c r="B169" s="22" t="n">
        <x:v>2023</x:v>
      </x:c>
      <x:c r="C169" s="22" t="str">
        <x:v>Noviembre</x:v>
      </x:c>
      <x:c r="D169" s="22" t="str">
        <x:v>E05</x:v>
      </x:c>
      <x:c r="E169" s="22" t="str">
        <x:v>% proveedores y contratistas aprobados en SST</x:v>
      </x:c>
      <x:c r="F169" s="22" t="str">
        <x:v>Estructura</x:v>
      </x:c>
      <x:c r="G169" s="22" t="str">
        <x:v>Mensual</x:v>
      </x:c>
      <x:c r="H169" s="40" t="n">
        <x:v>90</x:v>
      </x:c>
      <x:c r="I169" s="22" t="str">
        <x:v>Mayor es mejor</x:v>
      </x:c>
      <x:c r="J169" s="40" t="n">
        <x:v>18</x:v>
      </x:c>
      <x:c r="K169" s="40" t="n">
        <x:v>20</x:v>
      </x:c>
      <x:c r="L169" s="40" t="n">
        <x:v>100</x:v>
      </x:c>
      <x:c r="M169" s="40" t="n">
        <x:f>IF(OR(J169="",K169="",K169=0),"",J169/K169*L169)</x:f>
        <x:v>90</x:v>
      </x:c>
      <x:c r="N169" s="22" t="str">
        <x:f>IF(M169="","",IF(I169="Mayor es mejor",IF(M169&gt;=H169,"En meta",IF(M169&gt;=H169*0.9,"Alerta","Crítico")),IF(M169&lt;=H169,"En meta",IF(M169&lt;=H169*1.1,"Alerta","Crítico"))))</x:f>
        <x:v>En meta</x:v>
      </x:c>
      <x:c r="O169" s="22" t="str">
        <x:v>%</x:v>
      </x:c>
      <x:c r="P169" s="22" t="str">
        <x:v>Compras / Líder SG-SST</x:v>
      </x:c>
      <x:c r="Q169" s="22" t="str">
        <x:v>Gestión de proveedores y contratistas</x:v>
      </x:c>
      <x:c r="R169" s="22" t="str"/>
    </x:row>
    <x:row r="170">
      <x:c r="A170" s="46" t="n">
        <x:v>45260</x:v>
      </x:c>
      <x:c r="B170" s="22" t="n">
        <x:v>2023</x:v>
      </x:c>
      <x:c r="C170" s="22" t="str">
        <x:v>Noviembre</x:v>
      </x:c>
      <x:c r="D170" s="22" t="str">
        <x:v>P01</x:v>
      </x:c>
      <x:c r="E170" s="22" t="str">
        <x:v>% ejecución del plan anual de trabajo SG-SST</x:v>
      </x:c>
      <x:c r="F170" s="22" t="str">
        <x:v>Proceso</x:v>
      </x:c>
      <x:c r="G170" s="22" t="str">
        <x:v>Mensual</x:v>
      </x:c>
      <x:c r="H170" s="40" t="n">
        <x:v>90</x:v>
      </x:c>
      <x:c r="I170" s="22" t="str">
        <x:v>Mayor es mejor</x:v>
      </x:c>
      <x:c r="J170" s="40" t="n">
        <x:v>12</x:v>
      </x:c>
      <x:c r="K170" s="40" t="n">
        <x:v>14</x:v>
      </x:c>
      <x:c r="L170" s="40" t="n">
        <x:v>100</x:v>
      </x:c>
      <x:c r="M170" s="40" t="n">
        <x:f>IF(OR(J170="",K170="",K170=0),"",J170/K170*L170)</x:f>
        <x:v>85.71428571428571</x:v>
      </x:c>
      <x:c r="N170" s="22" t="str">
        <x:f>IF(M170="","",IF(I170="Mayor es mejor",IF(M170&gt;=H170,"En meta",IF(M170&gt;=H170*0.9,"Alerta","Crítico")),IF(M170&lt;=H170,"En meta",IF(M170&lt;=H170*1.1,"Alerta","Crítico"))))</x:f>
        <x:v>Alerta</x:v>
      </x:c>
      <x:c r="O170" s="22" t="str">
        <x:v>%</x:v>
      </x:c>
      <x:c r="P170" s="22" t="str">
        <x:v>Líder SG-SST</x:v>
      </x:c>
      <x:c r="Q170" s="22" t="str">
        <x:v>Plan anual de trabajo PHVA</x:v>
      </x:c>
      <x:c r="R170" s="22" t="str"/>
    </x:row>
    <x:row r="171">
      <x:c r="A171" s="46" t="n">
        <x:v>45260</x:v>
      </x:c>
      <x:c r="B171" s="22" t="n">
        <x:v>2023</x:v>
      </x:c>
      <x:c r="C171" s="22" t="str">
        <x:v>Noviembre</x:v>
      </x:c>
      <x:c r="D171" s="22" t="str">
        <x:v>P02</x:v>
      </x:c>
      <x:c r="E171" s="22" t="str">
        <x:v>% investigaciones de accidentes realizadas oportunamente</x:v>
      </x:c>
      <x:c r="F171" s="22" t="str">
        <x:v>Proceso</x:v>
      </x:c>
      <x:c r="G171" s="22" t="str">
        <x:v>Mensual</x:v>
      </x:c>
      <x:c r="H171" s="40" t="n">
        <x:v>95</x:v>
      </x:c>
      <x:c r="I171" s="22" t="str">
        <x:v>Mayor es mejor</x:v>
      </x:c>
      <x:c r="J171" s="40" t="n">
        <x:v>1</x:v>
      </x:c>
      <x:c r="K171" s="40" t="n">
        <x:v>1</x:v>
      </x:c>
      <x:c r="L171" s="40" t="n">
        <x:v>100</x:v>
      </x:c>
      <x:c r="M171" s="40" t="n">
        <x:f>IF(OR(J171="",K171="",K171=0),"",J171/K171*L171)</x:f>
        <x:v>100</x:v>
      </x:c>
      <x:c r="N171" s="22" t="str">
        <x:f>IF(M171="","",IF(I171="Mayor es mejor",IF(M171&gt;=H171,"En meta",IF(M171&gt;=H171*0.9,"Alerta","Crítico")),IF(M171&lt;=H171,"En meta",IF(M171&lt;=H171*1.1,"Alerta","Crítico"))))</x:f>
        <x:v>En meta</x:v>
      </x:c>
      <x:c r="O171" s="22" t="str">
        <x:v>%</x:v>
      </x:c>
      <x:c r="P171" s="22" t="str">
        <x:v>Líder SG-SST / COPASST</x:v>
      </x:c>
      <x:c r="Q171" s="22" t="str">
        <x:v>Matriz de accidentalidad</x:v>
      </x:c>
      <x:c r="R171" s="22" t="str"/>
    </x:row>
    <x:row r="172">
      <x:c r="A172" s="46" t="n">
        <x:v>45260</x:v>
      </x:c>
      <x:c r="B172" s="22" t="n">
        <x:v>2023</x:v>
      </x:c>
      <x:c r="C172" s="22" t="str">
        <x:v>Noviembre</x:v>
      </x:c>
      <x:c r="D172" s="22" t="str">
        <x:v>P03</x:v>
      </x:c>
      <x:c r="E172" s="22" t="str">
        <x:v>% cierre oportuno de acciones correctivas, preventivas y de mejora</x:v>
      </x:c>
      <x:c r="F172" s="22" t="str">
        <x:v>Proceso</x:v>
      </x:c>
      <x:c r="G172" s="22" t="str">
        <x:v>Mensual</x:v>
      </x:c>
      <x:c r="H172" s="40" t="n">
        <x:v>90</x:v>
      </x:c>
      <x:c r="I172" s="22" t="str">
        <x:v>Mayor es mejor</x:v>
      </x:c>
      <x:c r="J172" s="40" t="n">
        <x:v>9</x:v>
      </x:c>
      <x:c r="K172" s="40" t="n">
        <x:v>11</x:v>
      </x:c>
      <x:c r="L172" s="40" t="n">
        <x:v>100</x:v>
      </x:c>
      <x:c r="M172" s="40" t="n">
        <x:f>IF(OR(J172="",K172="",K172=0),"",J172/K172*L172)</x:f>
        <x:v>81.81818181818183</x:v>
      </x:c>
      <x:c r="N172" s="22" t="str">
        <x:f>IF(M172="","",IF(I172="Mayor es mejor",IF(M172&gt;=H172,"En meta",IF(M172&gt;=H172*0.9,"Alerta","Crítico")),IF(M172&lt;=H172,"En meta",IF(M172&lt;=H172*1.1,"Alerta","Crítico"))))</x:f>
        <x:v>Alerta</x:v>
      </x:c>
      <x:c r="O172" s="22" t="str">
        <x:v>%</x:v>
      </x:c>
      <x:c r="P172" s="22" t="str">
        <x:v>Líder SG-SST / Responsables de proceso</x:v>
      </x:c>
      <x:c r="Q172" s="22" t="str">
        <x:v>Matriz APCM</x:v>
      </x:c>
      <x:c r="R172" s="22" t="str"/>
    </x:row>
    <x:row r="173">
      <x:c r="A173" s="46" t="n">
        <x:v>45260</x:v>
      </x:c>
      <x:c r="B173" s="22" t="n">
        <x:v>2023</x:v>
      </x:c>
      <x:c r="C173" s="22" t="str">
        <x:v>Noviembre</x:v>
      </x:c>
      <x:c r="D173" s="22" t="str">
        <x:v>P04</x:v>
      </x:c>
      <x:c r="E173" s="22" t="str">
        <x:v>% inspecciones de seguridad ejecutadas</x:v>
      </x:c>
      <x:c r="F173" s="22" t="str">
        <x:v>Proceso</x:v>
      </x:c>
      <x:c r="G173" s="22" t="str">
        <x:v>Mensual</x:v>
      </x:c>
      <x:c r="H173" s="40" t="n">
        <x:v>90</x:v>
      </x:c>
      <x:c r="I173" s="22" t="str">
        <x:v>Mayor es mejor</x:v>
      </x:c>
      <x:c r="J173" s="40" t="n">
        <x:v>10</x:v>
      </x:c>
      <x:c r="K173" s="40" t="n">
        <x:v>11</x:v>
      </x:c>
      <x:c r="L173" s="40" t="n">
        <x:v>100</x:v>
      </x:c>
      <x:c r="M173" s="40" t="n">
        <x:f>IF(OR(J173="",K173="",K173=0),"",J173/K173*L173)</x:f>
        <x:v>90.9090909090909</x:v>
      </x:c>
      <x:c r="N173" s="22" t="str">
        <x:f>IF(M173="","",IF(I173="Mayor es mejor",IF(M173&gt;=H173,"En meta",IF(M173&gt;=H173*0.9,"Alerta","Crítico")),IF(M173&lt;=H173,"En meta",IF(M173&lt;=H173*1.1,"Alerta","Crítico"))))</x:f>
        <x:v>En meta</x:v>
      </x:c>
      <x:c r="O173" s="22" t="str">
        <x:v>%</x:v>
      </x:c>
      <x:c r="P173" s="22" t="str">
        <x:v>Líder SG-SST / Supervisores</x:v>
      </x:c>
      <x:c r="Q173" s="22" t="str">
        <x:v>Programa de inspecciones</x:v>
      </x:c>
      <x:c r="R173" s="22" t="str"/>
    </x:row>
    <x:row r="174">
      <x:c r="A174" s="46" t="n">
        <x:v>45260</x:v>
      </x:c>
      <x:c r="B174" s="22" t="n">
        <x:v>2023</x:v>
      </x:c>
      <x:c r="C174" s="22" t="str">
        <x:v>Noviembre</x:v>
      </x:c>
      <x:c r="D174" s="22" t="str">
        <x:v>P05</x:v>
      </x:c>
      <x:c r="E174" s="22" t="str">
        <x:v>% mantenimientos preventivos ejecutados</x:v>
      </x:c>
      <x:c r="F174" s="22" t="str">
        <x:v>Proceso</x:v>
      </x:c>
      <x:c r="G174" s="22" t="str">
        <x:v>Mensual</x:v>
      </x:c>
      <x:c r="H174" s="40" t="n">
        <x:v>90</x:v>
      </x:c>
      <x:c r="I174" s="22" t="str">
        <x:v>Mayor es mejor</x:v>
      </x:c>
      <x:c r="J174" s="40" t="n">
        <x:v>13</x:v>
      </x:c>
      <x:c r="K174" s="40" t="n">
        <x:v>15</x:v>
      </x:c>
      <x:c r="L174" s="40" t="n">
        <x:v>100</x:v>
      </x:c>
      <x:c r="M174" s="40" t="n">
        <x:f>IF(OR(J174="",K174="",K174=0),"",J174/K174*L174)</x:f>
        <x:v>86.66666666666667</x:v>
      </x:c>
      <x:c r="N174" s="22" t="str">
        <x:f>IF(M174="","",IF(I174="Mayor es mejor",IF(M174&gt;=H174,"En meta",IF(M174&gt;=H174*0.9,"Alerta","Crítico")),IF(M174&lt;=H174,"En meta",IF(M174&lt;=H174*1.1,"Alerta","Crítico"))))</x:f>
        <x:v>Alerta</x:v>
      </x:c>
      <x:c r="O174" s="22" t="str">
        <x:v>%</x:v>
      </x:c>
      <x:c r="P174" s="22" t="str">
        <x:v>Mantenimiento / Líder SG-SST</x:v>
      </x:c>
      <x:c r="Q174" s="22" t="str">
        <x:v>Programa de mantenimiento preventivo</x:v>
      </x:c>
      <x:c r="R174" s="22" t="str"/>
    </x:row>
    <x:row r="175">
      <x:c r="A175" s="46" t="n">
        <x:v>45260</x:v>
      </x:c>
      <x:c r="B175" s="22" t="n">
        <x:v>2023</x:v>
      </x:c>
      <x:c r="C175" s="22" t="str">
        <x:v>Noviembre</x:v>
      </x:c>
      <x:c r="D175" s="22" t="str">
        <x:v>R01</x:v>
      </x:c>
      <x:c r="E175" s="22" t="str">
        <x:v>Índice de frecuencia de accidentalidad (IF)</x:v>
      </x:c>
      <x:c r="F175" s="22" t="str">
        <x:v>Resultado</x:v>
      </x:c>
      <x:c r="G175" s="22" t="str">
        <x:v>Mensual</x:v>
      </x:c>
      <x:c r="H175" s="40" t="n">
        <x:v>3.5</x:v>
      </x:c>
      <x:c r="I175" s="22" t="str">
        <x:v>Menor es mejor</x:v>
      </x:c>
      <x:c r="J175" s="40" t="n">
        <x:v>1</x:v>
      </x:c>
      <x:c r="K175" s="40" t="n">
        <x:v>51482</x:v>
      </x:c>
      <x:c r="L175" s="40" t="n">
        <x:v>200000</x:v>
      </x:c>
      <x:c r="M175" s="40" t="n">
        <x:f>IF(OR(J175="",K175="",K175=0),"",J175/K175*L175)</x:f>
        <x:v>3.8848529583155282</x:v>
      </x:c>
      <x:c r="N175" s="22" t="str">
        <x:f>IF(M175="","",IF(I175="Mayor es mejor",IF(M175&gt;=H175,"En meta",IF(M175&gt;=H175*0.9,"Alerta","Crítico")),IF(M175&lt;=H175,"En meta",IF(M175&lt;=H175*1.1,"Alerta","Crítico"))))</x:f>
        <x:v>Crítico</x:v>
      </x:c>
      <x:c r="O175" s="22" t="str">
        <x:v>Índice</x:v>
      </x:c>
      <x:c r="P175" s="22" t="str">
        <x:v>Líder SG-SST</x:v>
      </x:c>
      <x:c r="Q175" s="22" t="str">
        <x:v>Matriz de accidentalidad / nómina</x:v>
      </x:c>
      <x:c r="R175" s="22" t="str"/>
    </x:row>
    <x:row r="176">
      <x:c r="A176" s="46" t="n">
        <x:v>45260</x:v>
      </x:c>
      <x:c r="B176" s="22" t="n">
        <x:v>2023</x:v>
      </x:c>
      <x:c r="C176" s="22" t="str">
        <x:v>Noviembre</x:v>
      </x:c>
      <x:c r="D176" s="22" t="str">
        <x:v>R02</x:v>
      </x:c>
      <x:c r="E176" s="22" t="str">
        <x:v>Índice de severidad de accidentalidad (IS)</x:v>
      </x:c>
      <x:c r="F176" s="22" t="str">
        <x:v>Resultado</x:v>
      </x:c>
      <x:c r="G176" s="22" t="str">
        <x:v>Mensual</x:v>
      </x:c>
      <x:c r="H176" s="40" t="n">
        <x:v>80</x:v>
      </x:c>
      <x:c r="I176" s="22" t="str">
        <x:v>Menor es mejor</x:v>
      </x:c>
      <x:c r="J176" s="40" t="n">
        <x:v>21</x:v>
      </x:c>
      <x:c r="K176" s="40" t="n">
        <x:v>51482</x:v>
      </x:c>
      <x:c r="L176" s="40" t="n">
        <x:v>200000</x:v>
      </x:c>
      <x:c r="M176" s="40" t="n">
        <x:f>IF(OR(J176="",K176="",K176=0),"",J176/K176*L176)</x:f>
        <x:v>81.58191212462609</x:v>
      </x:c>
      <x:c r="N176" s="22" t="str">
        <x:f>IF(M176="","",IF(I176="Mayor es mejor",IF(M176&gt;=H176,"En meta",IF(M176&gt;=H176*0.9,"Alerta","Crítico")),IF(M176&lt;=H176,"En meta",IF(M176&lt;=H176*1.1,"Alerta","Crítico"))))</x:f>
        <x:v>Alerta</x:v>
      </x:c>
      <x:c r="O176" s="22" t="str">
        <x:v>Índice</x:v>
      </x:c>
      <x:c r="P176" s="22" t="str">
        <x:v>Líder SG-SST</x:v>
      </x:c>
      <x:c r="Q176" s="22" t="str">
        <x:v>Matriz de accidentalidad / nómina</x:v>
      </x:c>
      <x:c r="R176" s="22" t="str"/>
    </x:row>
    <x:row r="177">
      <x:c r="A177" s="46" t="n">
        <x:v>45260</x:v>
      </x:c>
      <x:c r="B177" s="22" t="n">
        <x:v>2023</x:v>
      </x:c>
      <x:c r="C177" s="22" t="str">
        <x:v>Noviembre</x:v>
      </x:c>
      <x:c r="D177" s="22" t="str">
        <x:v>R03</x:v>
      </x:c>
      <x:c r="E177" s="22" t="str">
        <x:v>Índice de lesión incapacitante (ILI)</x:v>
      </x:c>
      <x:c r="F177" s="22" t="str">
        <x:v>Resultado</x:v>
      </x:c>
      <x:c r="G177" s="22" t="str">
        <x:v>Mensual</x:v>
      </x:c>
      <x:c r="H177" s="40" t="n">
        <x:v>0.25</x:v>
      </x:c>
      <x:c r="I177" s="22" t="str">
        <x:v>Menor es mejor</x:v>
      </x:c>
      <x:c r="J177" s="40" t="n">
        <x:v>316.9337</x:v>
      </x:c>
      <x:c r="K177" s="40" t="n">
        <x:v>1000</x:v>
      </x:c>
      <x:c r="L177" s="40" t="n">
        <x:v>1</x:v>
      </x:c>
      <x:c r="M177" s="40" t="n">
        <x:f>IF(OR(J177="",K177="",K177=0),"",J177/K177*L177)</x:f>
        <x:v>0.3169337</x:v>
      </x:c>
      <x:c r="N177" s="22" t="str">
        <x:f>IF(M177="","",IF(I177="Mayor es mejor",IF(M177&gt;=H177,"En meta",IF(M177&gt;=H177*0.9,"Alerta","Crítico")),IF(M177&lt;=H177,"En meta",IF(M177&lt;=H177*1.1,"Alerta","Crítico"))))</x:f>
        <x:v>Crítico</x:v>
      </x:c>
      <x:c r="O177" s="22" t="str">
        <x:v>Índice</x:v>
      </x:c>
      <x:c r="P177" s="22" t="str">
        <x:v>Líder SG-SST</x:v>
      </x:c>
      <x:c r="Q177" s="22" t="str">
        <x:v>Indicadores derivados de accidentalidad</x:v>
      </x:c>
      <x:c r="R177" s="22" t="str">
        <x:v>ILI calculado sobre IF e IS del periodo.</x:v>
      </x:c>
    </x:row>
    <x:row r="178">
      <x:c r="A178" s="46" t="n">
        <x:v>45260</x:v>
      </x:c>
      <x:c r="B178" s="22" t="n">
        <x:v>2023</x:v>
      </x:c>
      <x:c r="C178" s="22" t="str">
        <x:v>Noviembre</x:v>
      </x:c>
      <x:c r="D178" s="22" t="str">
        <x:v>R04</x:v>
      </x:c>
      <x:c r="E178" s="22" t="str">
        <x:v>Tasa de accidentalidad</x:v>
      </x:c>
      <x:c r="F178" s="22" t="str">
        <x:v>Resultado</x:v>
      </x:c>
      <x:c r="G178" s="22" t="str">
        <x:v>Mensual</x:v>
      </x:c>
      <x:c r="H178" s="40" t="n">
        <x:v>0.6</x:v>
      </x:c>
      <x:c r="I178" s="22" t="str">
        <x:v>Menor es mejor</x:v>
      </x:c>
      <x:c r="J178" s="40" t="n">
        <x:v>0.25</x:v>
      </x:c>
      <x:c r="K178" s="40" t="n">
        <x:v>212</x:v>
      </x:c>
      <x:c r="L178" s="40" t="n">
        <x:v>100</x:v>
      </x:c>
      <x:c r="M178" s="40" t="n">
        <x:f>IF(OR(J178="",K178="",K178=0),"",J178/K178*L178)</x:f>
        <x:v>0.1179245283018868</x:v>
      </x:c>
      <x:c r="N178" s="22" t="str">
        <x:f>IF(M178="","",IF(I178="Mayor es mejor",IF(M178&gt;=H178,"En meta",IF(M178&gt;=H178*0.9,"Alerta","Crítico")),IF(M178&lt;=H178,"En meta",IF(M178&lt;=H178*1.1,"Alerta","Crítico"))))</x:f>
        <x:v>En meta</x:v>
      </x:c>
      <x:c r="O178" s="22" t="str">
        <x:v>%</x:v>
      </x:c>
      <x:c r="P178" s="22" t="str">
        <x:v>Líder SG-SST</x:v>
      </x:c>
      <x:c r="Q178" s="22" t="str">
        <x:v>Matriz de accidentalidad / nómina</x:v>
      </x:c>
      <x:c r="R178" s="22" t="str"/>
    </x:row>
    <x:row r="179">
      <x:c r="A179" s="46" t="n">
        <x:v>45260</x:v>
      </x:c>
      <x:c r="B179" s="22" t="n">
        <x:v>2023</x:v>
      </x:c>
      <x:c r="C179" s="22" t="str">
        <x:v>Noviembre</x:v>
      </x:c>
      <x:c r="D179" s="22" t="str">
        <x:v>R05</x:v>
      </x:c>
      <x:c r="E179" s="22" t="str">
        <x:v>Prevalencia de enfermedad laboral</x:v>
      </x:c>
      <x:c r="F179" s="22" t="str">
        <x:v>Resultado</x:v>
      </x:c>
      <x:c r="G179" s="22" t="str">
        <x:v>Mensual</x:v>
      </x:c>
      <x:c r="H179" s="40" t="n">
        <x:v>0.3</x:v>
      </x:c>
      <x:c r="I179" s="22" t="str">
        <x:v>Menor es mejor</x:v>
      </x:c>
      <x:c r="J179" s="40" t="n">
        <x:v>0.38</x:v>
      </x:c>
      <x:c r="K179" s="40" t="n">
        <x:v>212</x:v>
      </x:c>
      <x:c r="L179" s="40" t="n">
        <x:v>100</x:v>
      </x:c>
      <x:c r="M179" s="40" t="n">
        <x:f>IF(OR(J179="",K179="",K179=0),"",J179/K179*L179)</x:f>
        <x:v>0.1792452830188679</x:v>
      </x:c>
      <x:c r="N179" s="22" t="str">
        <x:f>IF(M179="","",IF(I179="Mayor es mejor",IF(M179&gt;=H179,"En meta",IF(M179&gt;=H179*0.9,"Alerta","Crítico")),IF(M179&lt;=H179,"En meta",IF(M179&lt;=H179*1.1,"Alerta","Crítico"))))</x:f>
        <x:v>En meta</x:v>
      </x:c>
      <x:c r="O179" s="22" t="str">
        <x:v>%</x:v>
      </x:c>
      <x:c r="P179" s="22" t="str">
        <x:v>Líder SG-SST / Medicina laboral</x:v>
      </x:c>
      <x:c r="Q179" s="22" t="str">
        <x:v>Matriz de enfermedad laboral / nómina</x:v>
      </x:c>
      <x:c r="R179" s="22" t="str"/>
    </x:row>
    <x:row r="180">
      <x:c r="A180" s="46" t="n">
        <x:v>45260</x:v>
      </x:c>
      <x:c r="B180" s="22" t="n">
        <x:v>2023</x:v>
      </x:c>
      <x:c r="C180" s="22" t="str">
        <x:v>Noviembre</x:v>
      </x:c>
      <x:c r="D180" s="22" t="str">
        <x:v>R06</x:v>
      </x:c>
      <x:c r="E180" s="22" t="str">
        <x:v>% cumplimiento de estándares mínimos Res. 0312 de 2019</x:v>
      </x:c>
      <x:c r="F180" s="22" t="str">
        <x:v>Resultado</x:v>
      </x:c>
      <x:c r="G180" s="22" t="str">
        <x:v>Mensual</x:v>
      </x:c>
      <x:c r="H180" s="40" t="n">
        <x:v>95</x:v>
      </x:c>
      <x:c r="I180" s="22" t="str">
        <x:v>Mayor es mejor</x:v>
      </x:c>
      <x:c r="J180" s="40" t="n">
        <x:v>98</x:v>
      </x:c>
      <x:c r="K180" s="40" t="n">
        <x:v>100</x:v>
      </x:c>
      <x:c r="L180" s="40" t="n">
        <x:v>100</x:v>
      </x:c>
      <x:c r="M180" s="40" t="n">
        <x:f>IF(OR(J180="",K180="",K180=0),"",J180/K180*L180)</x:f>
        <x:v>98</x:v>
      </x:c>
      <x:c r="N180" s="22" t="str">
        <x:f>IF(M180="","",IF(I180="Mayor es mejor",IF(M180&gt;=H180,"En meta",IF(M180&gt;=H180*0.9,"Alerta","Crítico")),IF(M180&lt;=H180,"En meta",IF(M180&lt;=H180*1.1,"Alerta","Crítico"))))</x:f>
        <x:v>En meta</x:v>
      </x:c>
      <x:c r="O180" s="22" t="str">
        <x:v>%</x:v>
      </x:c>
      <x:c r="P180" s="22" t="str">
        <x:v>Líder SG-SST / Alta Dirección</x:v>
      </x:c>
      <x:c r="Q180" s="22" t="str">
        <x:v>Autodiagnóstico Res. 0312 de 2019</x:v>
      </x:c>
      <x:c r="R180" s="22" t="str"/>
    </x:row>
    <x:row r="181">
      <x:c r="A181" s="46" t="n">
        <x:v>45291</x:v>
      </x:c>
      <x:c r="B181" s="22" t="n">
        <x:v>2023</x:v>
      </x:c>
      <x:c r="C181" s="22" t="str">
        <x:v>Diciembre</x:v>
      </x:c>
      <x:c r="D181" s="22" t="str">
        <x:v>E01</x:v>
      </x:c>
      <x:c r="E181" s="22" t="str">
        <x:v>% ejecución presupuestal del SG-SST</x:v>
      </x:c>
      <x:c r="F181" s="22" t="str">
        <x:v>Estructura</x:v>
      </x:c>
      <x:c r="G181" s="22" t="str">
        <x:v>Mensual</x:v>
      </x:c>
      <x:c r="H181" s="40" t="n">
        <x:v>95</x:v>
      </x:c>
      <x:c r="I181" s="22" t="str">
        <x:v>Mayor es mejor</x:v>
      </x:c>
      <x:c r="J181" s="40" t="n">
        <x:v>9258485</x:v>
      </x:c>
      <x:c r="K181" s="40" t="n">
        <x:v>10000000</x:v>
      </x:c>
      <x:c r="L181" s="40" t="n">
        <x:v>100</x:v>
      </x:c>
      <x:c r="M181" s="40" t="n">
        <x:f>IF(OR(J181="",K181="",K181=0),"",J181/K181*L181)</x:f>
        <x:v>92.58485</x:v>
      </x:c>
      <x:c r="N181" s="22" t="str">
        <x:f>IF(M181="","",IF(I181="Mayor es mejor",IF(M181&gt;=H181,"En meta",IF(M181&gt;=H181*0.9,"Alerta","Crítico")),IF(M181&lt;=H181,"En meta",IF(M181&lt;=H181*1.1,"Alerta","Crítico"))))</x:f>
        <x:v>Alerta</x:v>
      </x:c>
      <x:c r="O181" s="22" t="str">
        <x:v>%</x:v>
      </x:c>
      <x:c r="P181" s="22" t="str">
        <x:v>Líder SG-SST / Dirección Administrativa</x:v>
      </x:c>
      <x:c r="Q181" s="22" t="str">
        <x:v>Presupuesto SST</x:v>
      </x:c>
      <x:c r="R181" s="22" t="str"/>
    </x:row>
    <x:row r="182">
      <x:c r="A182" s="46" t="n">
        <x:v>45291</x:v>
      </x:c>
      <x:c r="B182" s="22" t="n">
        <x:v>2023</x:v>
      </x:c>
      <x:c r="C182" s="22" t="str">
        <x:v>Diciembre</x:v>
      </x:c>
      <x:c r="D182" s="22" t="str">
        <x:v>E02</x:v>
      </x:c>
      <x:c r="E182" s="22" t="str">
        <x:v>% cobertura del plan de formación y capacitación SG-SST</x:v>
      </x:c>
      <x:c r="F182" s="22" t="str">
        <x:v>Estructura</x:v>
      </x:c>
      <x:c r="G182" s="22" t="str">
        <x:v>Mensual</x:v>
      </x:c>
      <x:c r="H182" s="40" t="n">
        <x:v>90</x:v>
      </x:c>
      <x:c r="I182" s="22" t="str">
        <x:v>Mayor es mejor</x:v>
      </x:c>
      <x:c r="J182" s="40" t="n">
        <x:v>16</x:v>
      </x:c>
      <x:c r="K182" s="40" t="n">
        <x:v>18</x:v>
      </x:c>
      <x:c r="L182" s="40" t="n">
        <x:v>100</x:v>
      </x:c>
      <x:c r="M182" s="40" t="n">
        <x:f>IF(OR(J182="",K182="",K182=0),"",J182/K182*L182)</x:f>
        <x:v>88.88888888888889</x:v>
      </x:c>
      <x:c r="N182" s="22" t="str">
        <x:f>IF(M182="","",IF(I182="Mayor es mejor",IF(M182&gt;=H182,"En meta",IF(M182&gt;=H182*0.9,"Alerta","Crítico")),IF(M182&lt;=H182,"En meta",IF(M182&lt;=H182*1.1,"Alerta","Crítico"))))</x:f>
        <x:v>Alerta</x:v>
      </x:c>
      <x:c r="O182" s="22" t="str">
        <x:v>%</x:v>
      </x:c>
      <x:c r="P182" s="22" t="str">
        <x:v>Líder SG-SST / Talento Humano</x:v>
      </x:c>
      <x:c r="Q182" s="22" t="str">
        <x:v>Plan de formación y capacitaciones</x:v>
      </x:c>
      <x:c r="R182" s="22" t="str"/>
    </x:row>
    <x:row r="183">
      <x:c r="A183" s="46" t="n">
        <x:v>45291</x:v>
      </x:c>
      <x:c r="B183" s="22" t="n">
        <x:v>2023</x:v>
      </x:c>
      <x:c r="C183" s="22" t="str">
        <x:v>Diciembre</x:v>
      </x:c>
      <x:c r="D183" s="22" t="str">
        <x:v>E03</x:v>
      </x:c>
      <x:c r="E183" s="22" t="str">
        <x:v>% trabajadores con exámenes médicos ocupacionales vigentes</x:v>
      </x:c>
      <x:c r="F183" s="22" t="str">
        <x:v>Estructura</x:v>
      </x:c>
      <x:c r="G183" s="22" t="str">
        <x:v>Mensual</x:v>
      </x:c>
      <x:c r="H183" s="40" t="n">
        <x:v>95</x:v>
      </x:c>
      <x:c r="I183" s="22" t="str">
        <x:v>Mayor es mejor</x:v>
      </x:c>
      <x:c r="J183" s="40" t="n">
        <x:v>193</x:v>
      </x:c>
      <x:c r="K183" s="40" t="n">
        <x:v>207</x:v>
      </x:c>
      <x:c r="L183" s="40" t="n">
        <x:v>100</x:v>
      </x:c>
      <x:c r="M183" s="40" t="n">
        <x:f>IF(OR(J183="",K183="",K183=0),"",J183/K183*L183)</x:f>
        <x:v>93.23671497584542</x:v>
      </x:c>
      <x:c r="N183" s="22" t="str">
        <x:f>IF(M183="","",IF(I183="Mayor es mejor",IF(M183&gt;=H183,"En meta",IF(M183&gt;=H183*0.9,"Alerta","Crítico")),IF(M183&lt;=H183,"En meta",IF(M183&lt;=H183*1.1,"Alerta","Crítico"))))</x:f>
        <x:v>Alerta</x:v>
      </x:c>
      <x:c r="O183" s="22" t="str">
        <x:v>%</x:v>
      </x:c>
      <x:c r="P183" s="22" t="str">
        <x:v>Líder SG-SST / Talento Humano</x:v>
      </x:c>
      <x:c r="Q183" s="22" t="str">
        <x:v>Matriz de seguimiento EMO</x:v>
      </x:c>
      <x:c r="R183" s="22" t="str"/>
    </x:row>
    <x:row r="184">
      <x:c r="A184" s="46" t="n">
        <x:v>45291</x:v>
      </x:c>
      <x:c r="B184" s="22" t="n">
        <x:v>2023</x:v>
      </x:c>
      <x:c r="C184" s="22" t="str">
        <x:v>Diciembre</x:v>
      </x:c>
      <x:c r="D184" s="22" t="str">
        <x:v>E04</x:v>
      </x:c>
      <x:c r="E184" s="22" t="str">
        <x:v>% cumplimiento de requisitos legales aplicables en SST</x:v>
      </x:c>
      <x:c r="F184" s="22" t="str">
        <x:v>Estructura</x:v>
      </x:c>
      <x:c r="G184" s="22" t="str">
        <x:v>Mensual</x:v>
      </x:c>
      <x:c r="H184" s="40" t="n">
        <x:v>95</x:v>
      </x:c>
      <x:c r="I184" s="22" t="str">
        <x:v>Mayor es mejor</x:v>
      </x:c>
      <x:c r="J184" s="40" t="n">
        <x:v>55</x:v>
      </x:c>
      <x:c r="K184" s="40" t="n">
        <x:v>60</x:v>
      </x:c>
      <x:c r="L184" s="40" t="n">
        <x:v>100</x:v>
      </x:c>
      <x:c r="M184" s="40" t="n">
        <x:f>IF(OR(J184="",K184="",K184=0),"",J184/K184*L184)</x:f>
        <x:v>91.66666666666666</x:v>
      </x:c>
      <x:c r="N184" s="22" t="str">
        <x:f>IF(M184="","",IF(I184="Mayor es mejor",IF(M184&gt;=H184,"En meta",IF(M184&gt;=H184*0.9,"Alerta","Crítico")),IF(M184&lt;=H184,"En meta",IF(M184&lt;=H184*1.1,"Alerta","Crítico"))))</x:f>
        <x:v>Alerta</x:v>
      </x:c>
      <x:c r="O184" s="22" t="str">
        <x:v>%</x:v>
      </x:c>
      <x:c r="P184" s="22" t="str">
        <x:v>Líder SG-SST / Jurídica</x:v>
      </x:c>
      <x:c r="Q184" s="22" t="str">
        <x:v>Matriz legal SGRL</x:v>
      </x:c>
      <x:c r="R184" s="22" t="str"/>
    </x:row>
    <x:row r="185">
      <x:c r="A185" s="46" t="n">
        <x:v>45291</x:v>
      </x:c>
      <x:c r="B185" s="22" t="n">
        <x:v>2023</x:v>
      </x:c>
      <x:c r="C185" s="22" t="str">
        <x:v>Diciembre</x:v>
      </x:c>
      <x:c r="D185" s="22" t="str">
        <x:v>E05</x:v>
      </x:c>
      <x:c r="E185" s="22" t="str">
        <x:v>% proveedores y contratistas aprobados en SST</x:v>
      </x:c>
      <x:c r="F185" s="22" t="str">
        <x:v>Estructura</x:v>
      </x:c>
      <x:c r="G185" s="22" t="str">
        <x:v>Mensual</x:v>
      </x:c>
      <x:c r="H185" s="40" t="n">
        <x:v>90</x:v>
      </x:c>
      <x:c r="I185" s="22" t="str">
        <x:v>Mayor es mejor</x:v>
      </x:c>
      <x:c r="J185" s="40" t="n">
        <x:v>18</x:v>
      </x:c>
      <x:c r="K185" s="40" t="n">
        <x:v>20</x:v>
      </x:c>
      <x:c r="L185" s="40" t="n">
        <x:v>100</x:v>
      </x:c>
      <x:c r="M185" s="40" t="n">
        <x:f>IF(OR(J185="",K185="",K185=0),"",J185/K185*L185)</x:f>
        <x:v>90</x:v>
      </x:c>
      <x:c r="N185" s="22" t="str">
        <x:f>IF(M185="","",IF(I185="Mayor es mejor",IF(M185&gt;=H185,"En meta",IF(M185&gt;=H185*0.9,"Alerta","Crítico")),IF(M185&lt;=H185,"En meta",IF(M185&lt;=H185*1.1,"Alerta","Crítico"))))</x:f>
        <x:v>En meta</x:v>
      </x:c>
      <x:c r="O185" s="22" t="str">
        <x:v>%</x:v>
      </x:c>
      <x:c r="P185" s="22" t="str">
        <x:v>Compras / Líder SG-SST</x:v>
      </x:c>
      <x:c r="Q185" s="22" t="str">
        <x:v>Gestión de proveedores y contratistas</x:v>
      </x:c>
      <x:c r="R185" s="22" t="str"/>
    </x:row>
    <x:row r="186">
      <x:c r="A186" s="46" t="n">
        <x:v>45291</x:v>
      </x:c>
      <x:c r="B186" s="22" t="n">
        <x:v>2023</x:v>
      </x:c>
      <x:c r="C186" s="22" t="str">
        <x:v>Diciembre</x:v>
      </x:c>
      <x:c r="D186" s="22" t="str">
        <x:v>P01</x:v>
      </x:c>
      <x:c r="E186" s="22" t="str">
        <x:v>% ejecución del plan anual de trabajo SG-SST</x:v>
      </x:c>
      <x:c r="F186" s="22" t="str">
        <x:v>Proceso</x:v>
      </x:c>
      <x:c r="G186" s="22" t="str">
        <x:v>Mensual</x:v>
      </x:c>
      <x:c r="H186" s="40" t="n">
        <x:v>90</x:v>
      </x:c>
      <x:c r="I186" s="22" t="str">
        <x:v>Mayor es mejor</x:v>
      </x:c>
      <x:c r="J186" s="40" t="n">
        <x:v>9</x:v>
      </x:c>
      <x:c r="K186" s="40" t="n">
        <x:v>10</x:v>
      </x:c>
      <x:c r="L186" s="40" t="n">
        <x:v>100</x:v>
      </x:c>
      <x:c r="M186" s="40" t="n">
        <x:f>IF(OR(J186="",K186="",K186=0),"",J186/K186*L186)</x:f>
        <x:v>90</x:v>
      </x:c>
      <x:c r="N186" s="22" t="str">
        <x:f>IF(M186="","",IF(I186="Mayor es mejor",IF(M186&gt;=H186,"En meta",IF(M186&gt;=H186*0.9,"Alerta","Crítico")),IF(M186&lt;=H186,"En meta",IF(M186&lt;=H186*1.1,"Alerta","Crítico"))))</x:f>
        <x:v>En meta</x:v>
      </x:c>
      <x:c r="O186" s="22" t="str">
        <x:v>%</x:v>
      </x:c>
      <x:c r="P186" s="22" t="str">
        <x:v>Líder SG-SST</x:v>
      </x:c>
      <x:c r="Q186" s="22" t="str">
        <x:v>Plan anual de trabajo PHVA</x:v>
      </x:c>
      <x:c r="R186" s="22" t="str"/>
    </x:row>
    <x:row r="187">
      <x:c r="A187" s="46" t="n">
        <x:v>45291</x:v>
      </x:c>
      <x:c r="B187" s="22" t="n">
        <x:v>2023</x:v>
      </x:c>
      <x:c r="C187" s="22" t="str">
        <x:v>Diciembre</x:v>
      </x:c>
      <x:c r="D187" s="22" t="str">
        <x:v>P02</x:v>
      </x:c>
      <x:c r="E187" s="22" t="str">
        <x:v>% investigaciones de accidentes realizadas oportunamente</x:v>
      </x:c>
      <x:c r="F187" s="22" t="str">
        <x:v>Proceso</x:v>
      </x:c>
      <x:c r="G187" s="22" t="str">
        <x:v>Mensual</x:v>
      </x:c>
      <x:c r="H187" s="40" t="n">
        <x:v>95</x:v>
      </x:c>
      <x:c r="I187" s="22" t="str">
        <x:v>Mayor es mejor</x:v>
      </x:c>
      <x:c r="J187" s="40" t="n">
        <x:v>1</x:v>
      </x:c>
      <x:c r="K187" s="40" t="n">
        <x:v>1</x:v>
      </x:c>
      <x:c r="L187" s="40" t="n">
        <x:v>100</x:v>
      </x:c>
      <x:c r="M187" s="40" t="n">
        <x:f>IF(OR(J187="",K187="",K187=0),"",J187/K187*L187)</x:f>
        <x:v>100</x:v>
      </x:c>
      <x:c r="N187" s="22" t="str">
        <x:f>IF(M187="","",IF(I187="Mayor es mejor",IF(M187&gt;=H187,"En meta",IF(M187&gt;=H187*0.9,"Alerta","Crítico")),IF(M187&lt;=H187,"En meta",IF(M187&lt;=H187*1.1,"Alerta","Crítico"))))</x:f>
        <x:v>En meta</x:v>
      </x:c>
      <x:c r="O187" s="22" t="str">
        <x:v>%</x:v>
      </x:c>
      <x:c r="P187" s="22" t="str">
        <x:v>Líder SG-SST / COPASST</x:v>
      </x:c>
      <x:c r="Q187" s="22" t="str">
        <x:v>Matriz de accidentalidad</x:v>
      </x:c>
      <x:c r="R187" s="22" t="str"/>
    </x:row>
    <x:row r="188">
      <x:c r="A188" s="46" t="n">
        <x:v>45291</x:v>
      </x:c>
      <x:c r="B188" s="22" t="n">
        <x:v>2023</x:v>
      </x:c>
      <x:c r="C188" s="22" t="str">
        <x:v>Diciembre</x:v>
      </x:c>
      <x:c r="D188" s="22" t="str">
        <x:v>P03</x:v>
      </x:c>
      <x:c r="E188" s="22" t="str">
        <x:v>% cierre oportuno de acciones correctivas, preventivas y de mejora</x:v>
      </x:c>
      <x:c r="F188" s="22" t="str">
        <x:v>Proceso</x:v>
      </x:c>
      <x:c r="G188" s="22" t="str">
        <x:v>Mensual</x:v>
      </x:c>
      <x:c r="H188" s="40" t="n">
        <x:v>90</x:v>
      </x:c>
      <x:c r="I188" s="22" t="str">
        <x:v>Mayor es mejor</x:v>
      </x:c>
      <x:c r="J188" s="40" t="n">
        <x:v>10</x:v>
      </x:c>
      <x:c r="K188" s="40" t="n">
        <x:v>12</x:v>
      </x:c>
      <x:c r="L188" s="40" t="n">
        <x:v>100</x:v>
      </x:c>
      <x:c r="M188" s="40" t="n">
        <x:f>IF(OR(J188="",K188="",K188=0),"",J188/K188*L188)</x:f>
        <x:v>83.33333333333334</x:v>
      </x:c>
      <x:c r="N188" s="22" t="str">
        <x:f>IF(M188="","",IF(I188="Mayor es mejor",IF(M188&gt;=H188,"En meta",IF(M188&gt;=H188*0.9,"Alerta","Crítico")),IF(M188&lt;=H188,"En meta",IF(M188&lt;=H188*1.1,"Alerta","Crítico"))))</x:f>
        <x:v>Alerta</x:v>
      </x:c>
      <x:c r="O188" s="22" t="str">
        <x:v>%</x:v>
      </x:c>
      <x:c r="P188" s="22" t="str">
        <x:v>Líder SG-SST / Responsables de proceso</x:v>
      </x:c>
      <x:c r="Q188" s="22" t="str">
        <x:v>Matriz APCM</x:v>
      </x:c>
      <x:c r="R188" s="22" t="str"/>
    </x:row>
    <x:row r="189">
      <x:c r="A189" s="46" t="n">
        <x:v>45291</x:v>
      </x:c>
      <x:c r="B189" s="22" t="n">
        <x:v>2023</x:v>
      </x:c>
      <x:c r="C189" s="22" t="str">
        <x:v>Diciembre</x:v>
      </x:c>
      <x:c r="D189" s="22" t="str">
        <x:v>P04</x:v>
      </x:c>
      <x:c r="E189" s="22" t="str">
        <x:v>% inspecciones de seguridad ejecutadas</x:v>
      </x:c>
      <x:c r="F189" s="22" t="str">
        <x:v>Proceso</x:v>
      </x:c>
      <x:c r="G189" s="22" t="str">
        <x:v>Mensual</x:v>
      </x:c>
      <x:c r="H189" s="40" t="n">
        <x:v>90</x:v>
      </x:c>
      <x:c r="I189" s="22" t="str">
        <x:v>Mayor es mejor</x:v>
      </x:c>
      <x:c r="J189" s="40" t="n">
        <x:v>7</x:v>
      </x:c>
      <x:c r="K189" s="40" t="n">
        <x:v>8</x:v>
      </x:c>
      <x:c r="L189" s="40" t="n">
        <x:v>100</x:v>
      </x:c>
      <x:c r="M189" s="40" t="n">
        <x:f>IF(OR(J189="",K189="",K189=0),"",J189/K189*L189)</x:f>
        <x:v>87.5</x:v>
      </x:c>
      <x:c r="N189" s="22" t="str">
        <x:f>IF(M189="","",IF(I189="Mayor es mejor",IF(M189&gt;=H189,"En meta",IF(M189&gt;=H189*0.9,"Alerta","Crítico")),IF(M189&lt;=H189,"En meta",IF(M189&lt;=H189*1.1,"Alerta","Crítico"))))</x:f>
        <x:v>Alerta</x:v>
      </x:c>
      <x:c r="O189" s="22" t="str">
        <x:v>%</x:v>
      </x:c>
      <x:c r="P189" s="22" t="str">
        <x:v>Líder SG-SST / Supervisores</x:v>
      </x:c>
      <x:c r="Q189" s="22" t="str">
        <x:v>Programa de inspecciones</x:v>
      </x:c>
      <x:c r="R189" s="22" t="str"/>
    </x:row>
    <x:row r="190">
      <x:c r="A190" s="46" t="n">
        <x:v>45291</x:v>
      </x:c>
      <x:c r="B190" s="22" t="n">
        <x:v>2023</x:v>
      </x:c>
      <x:c r="C190" s="22" t="str">
        <x:v>Diciembre</x:v>
      </x:c>
      <x:c r="D190" s="22" t="str">
        <x:v>P05</x:v>
      </x:c>
      <x:c r="E190" s="22" t="str">
        <x:v>% mantenimientos preventivos ejecutados</x:v>
      </x:c>
      <x:c r="F190" s="22" t="str">
        <x:v>Proceso</x:v>
      </x:c>
      <x:c r="G190" s="22" t="str">
        <x:v>Mensual</x:v>
      </x:c>
      <x:c r="H190" s="40" t="n">
        <x:v>90</x:v>
      </x:c>
      <x:c r="I190" s="22" t="str">
        <x:v>Mayor es mejor</x:v>
      </x:c>
      <x:c r="J190" s="40" t="n">
        <x:v>11</x:v>
      </x:c>
      <x:c r="K190" s="40" t="n">
        <x:v>12</x:v>
      </x:c>
      <x:c r="L190" s="40" t="n">
        <x:v>100</x:v>
      </x:c>
      <x:c r="M190" s="40" t="n">
        <x:f>IF(OR(J190="",K190="",K190=0),"",J190/K190*L190)</x:f>
        <x:v>91.66666666666666</x:v>
      </x:c>
      <x:c r="N190" s="22" t="str">
        <x:f>IF(M190="","",IF(I190="Mayor es mejor",IF(M190&gt;=H190,"En meta",IF(M190&gt;=H190*0.9,"Alerta","Crítico")),IF(M190&lt;=H190,"En meta",IF(M190&lt;=H190*1.1,"Alerta","Crítico"))))</x:f>
        <x:v>En meta</x:v>
      </x:c>
      <x:c r="O190" s="22" t="str">
        <x:v>%</x:v>
      </x:c>
      <x:c r="P190" s="22" t="str">
        <x:v>Mantenimiento / Líder SG-SST</x:v>
      </x:c>
      <x:c r="Q190" s="22" t="str">
        <x:v>Programa de mantenimiento preventivo</x:v>
      </x:c>
      <x:c r="R190" s="22" t="str"/>
    </x:row>
    <x:row r="191">
      <x:c r="A191" s="46" t="n">
        <x:v>45291</x:v>
      </x:c>
      <x:c r="B191" s="22" t="n">
        <x:v>2023</x:v>
      </x:c>
      <x:c r="C191" s="22" t="str">
        <x:v>Diciembre</x:v>
      </x:c>
      <x:c r="D191" s="22" t="str">
        <x:v>R01</x:v>
      </x:c>
      <x:c r="E191" s="22" t="str">
        <x:v>Índice de frecuencia de accidentalidad (IF)</x:v>
      </x:c>
      <x:c r="F191" s="22" t="str">
        <x:v>Resultado</x:v>
      </x:c>
      <x:c r="G191" s="22" t="str">
        <x:v>Mensual</x:v>
      </x:c>
      <x:c r="H191" s="40" t="n">
        <x:v>3.5</x:v>
      </x:c>
      <x:c r="I191" s="22" t="str">
        <x:v>Menor es mejor</x:v>
      </x:c>
      <x:c r="J191" s="40" t="n">
        <x:v>1</x:v>
      </x:c>
      <x:c r="K191" s="40" t="n">
        <x:v>49016</x:v>
      </x:c>
      <x:c r="L191" s="40" t="n">
        <x:v>200000</x:v>
      </x:c>
      <x:c r="M191" s="40" t="n">
        <x:f>IF(OR(J191="",K191="",K191=0),"",J191/K191*L191)</x:f>
        <x:v>4.080300310102824</x:v>
      </x:c>
      <x:c r="N191" s="22" t="str">
        <x:f>IF(M191="","",IF(I191="Mayor es mejor",IF(M191&gt;=H191,"En meta",IF(M191&gt;=H191*0.9,"Alerta","Crítico")),IF(M191&lt;=H191,"En meta",IF(M191&lt;=H191*1.1,"Alerta","Crítico"))))</x:f>
        <x:v>Crítico</x:v>
      </x:c>
      <x:c r="O191" s="22" t="str">
        <x:v>Índice</x:v>
      </x:c>
      <x:c r="P191" s="22" t="str">
        <x:v>Líder SG-SST</x:v>
      </x:c>
      <x:c r="Q191" s="22" t="str">
        <x:v>Matriz de accidentalidad / nómina</x:v>
      </x:c>
      <x:c r="R191" s="22" t="str"/>
    </x:row>
    <x:row r="192">
      <x:c r="A192" s="46" t="n">
        <x:v>45291</x:v>
      </x:c>
      <x:c r="B192" s="22" t="n">
        <x:v>2023</x:v>
      </x:c>
      <x:c r="C192" s="22" t="str">
        <x:v>Diciembre</x:v>
      </x:c>
      <x:c r="D192" s="22" t="str">
        <x:v>R02</x:v>
      </x:c>
      <x:c r="E192" s="22" t="str">
        <x:v>Índice de severidad de accidentalidad (IS)</x:v>
      </x:c>
      <x:c r="F192" s="22" t="str">
        <x:v>Resultado</x:v>
      </x:c>
      <x:c r="G192" s="22" t="str">
        <x:v>Mensual</x:v>
      </x:c>
      <x:c r="H192" s="40" t="n">
        <x:v>80</x:v>
      </x:c>
      <x:c r="I192" s="22" t="str">
        <x:v>Menor es mejor</x:v>
      </x:c>
      <x:c r="J192" s="40" t="n">
        <x:v>18</x:v>
      </x:c>
      <x:c r="K192" s="40" t="n">
        <x:v>49016</x:v>
      </x:c>
      <x:c r="L192" s="40" t="n">
        <x:v>200000</x:v>
      </x:c>
      <x:c r="M192" s="40" t="n">
        <x:f>IF(OR(J192="",K192="",K192=0),"",J192/K192*L192)</x:f>
        <x:v>73.44540558185084</x:v>
      </x:c>
      <x:c r="N192" s="22" t="str">
        <x:f>IF(M192="","",IF(I192="Mayor es mejor",IF(M192&gt;=H192,"En meta",IF(M192&gt;=H192*0.9,"Alerta","Crítico")),IF(M192&lt;=H192,"En meta",IF(M192&lt;=H192*1.1,"Alerta","Crítico"))))</x:f>
        <x:v>En meta</x:v>
      </x:c>
      <x:c r="O192" s="22" t="str">
        <x:v>Índice</x:v>
      </x:c>
      <x:c r="P192" s="22" t="str">
        <x:v>Líder SG-SST</x:v>
      </x:c>
      <x:c r="Q192" s="22" t="str">
        <x:v>Matriz de accidentalidad / nómina</x:v>
      </x:c>
      <x:c r="R192" s="22" t="str"/>
    </x:row>
    <x:row r="193">
      <x:c r="A193" s="46" t="n">
        <x:v>45291</x:v>
      </x:c>
      <x:c r="B193" s="22" t="n">
        <x:v>2023</x:v>
      </x:c>
      <x:c r="C193" s="22" t="str">
        <x:v>Diciembre</x:v>
      </x:c>
      <x:c r="D193" s="22" t="str">
        <x:v>R03</x:v>
      </x:c>
      <x:c r="E193" s="22" t="str">
        <x:v>Índice de lesión incapacitante (ILI)</x:v>
      </x:c>
      <x:c r="F193" s="22" t="str">
        <x:v>Resultado</x:v>
      </x:c>
      <x:c r="G193" s="22" t="str">
        <x:v>Mensual</x:v>
      </x:c>
      <x:c r="H193" s="40" t="n">
        <x:v>0.25</x:v>
      </x:c>
      <x:c r="I193" s="22" t="str">
        <x:v>Menor es mejor</x:v>
      </x:c>
      <x:c r="J193" s="40" t="n">
        <x:v>299.6793</x:v>
      </x:c>
      <x:c r="K193" s="40" t="n">
        <x:v>1000</x:v>
      </x:c>
      <x:c r="L193" s="40" t="n">
        <x:v>1</x:v>
      </x:c>
      <x:c r="M193" s="40" t="n">
        <x:f>IF(OR(J193="",K193="",K193=0),"",J193/K193*L193)</x:f>
        <x:v>0.29967930000000004</x:v>
      </x:c>
      <x:c r="N193" s="22" t="str">
        <x:f>IF(M193="","",IF(I193="Mayor es mejor",IF(M193&gt;=H193,"En meta",IF(M193&gt;=H193*0.9,"Alerta","Crítico")),IF(M193&lt;=H193,"En meta",IF(M193&lt;=H193*1.1,"Alerta","Crítico"))))</x:f>
        <x:v>Crítico</x:v>
      </x:c>
      <x:c r="O193" s="22" t="str">
        <x:v>Índice</x:v>
      </x:c>
      <x:c r="P193" s="22" t="str">
        <x:v>Líder SG-SST</x:v>
      </x:c>
      <x:c r="Q193" s="22" t="str">
        <x:v>Indicadores derivados de accidentalidad</x:v>
      </x:c>
      <x:c r="R193" s="22" t="str">
        <x:v>ILI calculado sobre IF e IS del periodo.</x:v>
      </x:c>
    </x:row>
    <x:row r="194">
      <x:c r="A194" s="46" t="n">
        <x:v>45291</x:v>
      </x:c>
      <x:c r="B194" s="22" t="n">
        <x:v>2023</x:v>
      </x:c>
      <x:c r="C194" s="22" t="str">
        <x:v>Diciembre</x:v>
      </x:c>
      <x:c r="D194" s="22" t="str">
        <x:v>R04</x:v>
      </x:c>
      <x:c r="E194" s="22" t="str">
        <x:v>Tasa de accidentalidad</x:v>
      </x:c>
      <x:c r="F194" s="22" t="str">
        <x:v>Resultado</x:v>
      </x:c>
      <x:c r="G194" s="22" t="str">
        <x:v>Mensual</x:v>
      </x:c>
      <x:c r="H194" s="40" t="n">
        <x:v>0.6</x:v>
      </x:c>
      <x:c r="I194" s="22" t="str">
        <x:v>Menor es mejor</x:v>
      </x:c>
      <x:c r="J194" s="40" t="n">
        <x:v>4.34</x:v>
      </x:c>
      <x:c r="K194" s="40" t="n">
        <x:v>207</x:v>
      </x:c>
      <x:c r="L194" s="40" t="n">
        <x:v>100</x:v>
      </x:c>
      <x:c r="M194" s="40" t="n">
        <x:f>IF(OR(J194="",K194="",K194=0),"",J194/K194*L194)</x:f>
        <x:v>2.0966183574879227</x:v>
      </x:c>
      <x:c r="N194" s="22" t="str">
        <x:f>IF(M194="","",IF(I194="Mayor es mejor",IF(M194&gt;=H194,"En meta",IF(M194&gt;=H194*0.9,"Alerta","Crítico")),IF(M194&lt;=H194,"En meta",IF(M194&lt;=H194*1.1,"Alerta","Crítico"))))</x:f>
        <x:v>Crítico</x:v>
      </x:c>
      <x:c r="O194" s="22" t="str">
        <x:v>%</x:v>
      </x:c>
      <x:c r="P194" s="22" t="str">
        <x:v>Líder SG-SST</x:v>
      </x:c>
      <x:c r="Q194" s="22" t="str">
        <x:v>Matriz de accidentalidad / nómina</x:v>
      </x:c>
      <x:c r="R194" s="22" t="str"/>
    </x:row>
    <x:row r="195">
      <x:c r="A195" s="46" t="n">
        <x:v>45291</x:v>
      </x:c>
      <x:c r="B195" s="22" t="n">
        <x:v>2023</x:v>
      </x:c>
      <x:c r="C195" s="22" t="str">
        <x:v>Diciembre</x:v>
      </x:c>
      <x:c r="D195" s="22" t="str">
        <x:v>R05</x:v>
      </x:c>
      <x:c r="E195" s="22" t="str">
        <x:v>Prevalencia de enfermedad laboral</x:v>
      </x:c>
      <x:c r="F195" s="22" t="str">
        <x:v>Resultado</x:v>
      </x:c>
      <x:c r="G195" s="22" t="str">
        <x:v>Mensual</x:v>
      </x:c>
      <x:c r="H195" s="40" t="n">
        <x:v>0.3</x:v>
      </x:c>
      <x:c r="I195" s="22" t="str">
        <x:v>Menor es mejor</x:v>
      </x:c>
      <x:c r="J195" s="40" t="n">
        <x:v>0.02</x:v>
      </x:c>
      <x:c r="K195" s="40" t="n">
        <x:v>207</x:v>
      </x:c>
      <x:c r="L195" s="40" t="n">
        <x:v>100</x:v>
      </x:c>
      <x:c r="M195" s="40" t="n">
        <x:f>IF(OR(J195="",K195="",K195=0),"",J195/K195*L195)</x:f>
        <x:v>0.00966183574879227</x:v>
      </x:c>
      <x:c r="N195" s="22" t="str">
        <x:f>IF(M195="","",IF(I195="Mayor es mejor",IF(M195&gt;=H195,"En meta",IF(M195&gt;=H195*0.9,"Alerta","Crítico")),IF(M195&lt;=H195,"En meta",IF(M195&lt;=H195*1.1,"Alerta","Crítico"))))</x:f>
        <x:v>En meta</x:v>
      </x:c>
      <x:c r="O195" s="22" t="str">
        <x:v>%</x:v>
      </x:c>
      <x:c r="P195" s="22" t="str">
        <x:v>Líder SG-SST / Medicina laboral</x:v>
      </x:c>
      <x:c r="Q195" s="22" t="str">
        <x:v>Matriz de enfermedad laboral / nómina</x:v>
      </x:c>
      <x:c r="R195" s="22" t="str"/>
    </x:row>
    <x:row r="196">
      <x:c r="A196" s="46" t="n">
        <x:v>45291</x:v>
      </x:c>
      <x:c r="B196" s="22" t="n">
        <x:v>2023</x:v>
      </x:c>
      <x:c r="C196" s="22" t="str">
        <x:v>Diciembre</x:v>
      </x:c>
      <x:c r="D196" s="22" t="str">
        <x:v>R06</x:v>
      </x:c>
      <x:c r="E196" s="22" t="str">
        <x:v>% cumplimiento de estándares mínimos Res. 0312 de 2019</x:v>
      </x:c>
      <x:c r="F196" s="22" t="str">
        <x:v>Resultado</x:v>
      </x:c>
      <x:c r="G196" s="22" t="str">
        <x:v>Mensual</x:v>
      </x:c>
      <x:c r="H196" s="40" t="n">
        <x:v>95</x:v>
      </x:c>
      <x:c r="I196" s="22" t="str">
        <x:v>Mayor es mejor</x:v>
      </x:c>
      <x:c r="J196" s="40" t="n">
        <x:v>97</x:v>
      </x:c>
      <x:c r="K196" s="40" t="n">
        <x:v>100</x:v>
      </x:c>
      <x:c r="L196" s="40" t="n">
        <x:v>100</x:v>
      </x:c>
      <x:c r="M196" s="40" t="n">
        <x:f>IF(OR(J196="",K196="",K196=0),"",J196/K196*L196)</x:f>
        <x:v>97</x:v>
      </x:c>
      <x:c r="N196" s="22" t="str">
        <x:f>IF(M196="","",IF(I196="Mayor es mejor",IF(M196&gt;=H196,"En meta",IF(M196&gt;=H196*0.9,"Alerta","Crítico")),IF(M196&lt;=H196,"En meta",IF(M196&lt;=H196*1.1,"Alerta","Crítico"))))</x:f>
        <x:v>En meta</x:v>
      </x:c>
      <x:c r="O196" s="22" t="str">
        <x:v>%</x:v>
      </x:c>
      <x:c r="P196" s="22" t="str">
        <x:v>Líder SG-SST / Alta Dirección</x:v>
      </x:c>
      <x:c r="Q196" s="22" t="str">
        <x:v>Autodiagnóstico Res. 0312 de 2019</x:v>
      </x:c>
      <x:c r="R196" s="22" t="str"/>
    </x:row>
  </x:sheetData>
  <x:mergeCells>
    <x:mergeCell ref="A1:R1"/>
    <x:mergeCell ref="A2:R2"/>
  </x:mergeCells>
  <x:conditionalFormatting sqref="N5:N196">
    <x:cfRule type="expression" dxfId="3" priority="1">
      <x:formula>N5="En meta"</x:formula>
    </x:cfRule>
    <x:cfRule type="expression" dxfId="4" priority="2">
      <x:formula>N5="Alerta"</x:formula>
    </x:cfRule>
    <x:cfRule type="expression" dxfId="5" priority="3">
      <x:formula>N5="Crítico"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Medición de indicadores SG-SST 2024</x:v>
      </x:c>
    </x:row>
    <x:row r="2">
      <x:c r="A2" s="9" t="str">
        <x:v>Los resultados se calculan automáticamente a partir de Base_1, Base_2 y Factor. Año completo.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45322</x:v>
      </x:c>
      <x:c r="B5" s="22" t="n">
        <x:v>2024</x:v>
      </x:c>
      <x:c r="C5" s="22" t="str">
        <x:v>Enero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n">
        <x:v>4267965</x:v>
      </x:c>
      <x:c r="K5" s="40" t="n">
        <x:v>4500000</x:v>
      </x:c>
      <x:c r="L5" s="40" t="n">
        <x:v>100</x:v>
      </x:c>
      <x:c r="M5" s="40" t="n">
        <x:f>IF(OR(J5="",K5="",K5=0),"",J5/K5*L5)</x:f>
        <x:v>94.84366666666666</x:v>
      </x:c>
      <x:c r="N5" s="22" t="str">
        <x:f>IF(M5="","",IF(I5="Mayor es mejor",IF(M5&gt;=H5,"En meta",IF(M5&gt;=H5*0.9,"Alerta","Crítico")),IF(M5&lt;=H5,"En meta",IF(M5&lt;=H5*1.1,"Alerta","Crítico"))))</x:f>
        <x:v>Alerta</x:v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/>
    </x:row>
    <x:row r="6">
      <x:c r="A6" s="46" t="n">
        <x:v>45322</x:v>
      </x:c>
      <x:c r="B6" s="22" t="n">
        <x:v>2024</x:v>
      </x:c>
      <x:c r="C6" s="22" t="str">
        <x:v>Enero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n">
        <x:v>18</x:v>
      </x:c>
      <x:c r="K6" s="40" t="n">
        <x:v>20</x:v>
      </x:c>
      <x:c r="L6" s="40" t="n">
        <x:v>100</x:v>
      </x:c>
      <x:c r="M6" s="40" t="n">
        <x:f>IF(OR(J6="",K6="",K6=0),"",J6/K6*L6)</x:f>
        <x:v>90</x:v>
      </x:c>
      <x:c r="N6" s="22" t="str">
        <x:f>IF(M6="","",IF(I6="Mayor es mejor",IF(M6&gt;=H6,"En meta",IF(M6&gt;=H6*0.9,"Alerta","Crítico")),IF(M6&lt;=H6,"En meta",IF(M6&lt;=H6*1.1,"Alerta","Crítico"))))</x:f>
        <x:v>En meta</x:v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/>
    </x:row>
    <x:row r="7">
      <x:c r="A7" s="46" t="n">
        <x:v>45322</x:v>
      </x:c>
      <x:c r="B7" s="22" t="n">
        <x:v>2024</x:v>
      </x:c>
      <x:c r="C7" s="22" t="str">
        <x:v>Enero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n">
        <x:v>219</x:v>
      </x:c>
      <x:c r="K7" s="40" t="n">
        <x:v>228</x:v>
      </x:c>
      <x:c r="L7" s="40" t="n">
        <x:v>100</x:v>
      </x:c>
      <x:c r="M7" s="40" t="n">
        <x:f>IF(OR(J7="",K7="",K7=0),"",J7/K7*L7)</x:f>
        <x:v>96.05263157894737</x:v>
      </x:c>
      <x:c r="N7" s="22" t="str">
        <x:f>IF(M7="","",IF(I7="Mayor es mejor",IF(M7&gt;=H7,"En meta",IF(M7&gt;=H7*0.9,"Alerta","Crítico")),IF(M7&lt;=H7,"En meta",IF(M7&lt;=H7*1.1,"Alerta","Crítico"))))</x:f>
        <x:v>En meta</x:v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/>
    </x:row>
    <x:row r="8">
      <x:c r="A8" s="46" t="n">
        <x:v>45322</x:v>
      </x:c>
      <x:c r="B8" s="22" t="n">
        <x:v>2024</x:v>
      </x:c>
      <x:c r="C8" s="22" t="str">
        <x:v>Enero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n">
        <x:v>58</x:v>
      </x:c>
      <x:c r="K8" s="40" t="n">
        <x:v>60</x:v>
      </x:c>
      <x:c r="L8" s="40" t="n">
        <x:v>100</x:v>
      </x:c>
      <x:c r="M8" s="40" t="n">
        <x:f>IF(OR(J8="",K8="",K8=0),"",J8/K8*L8)</x:f>
        <x:v>96.66666666666667</x:v>
      </x:c>
      <x:c r="N8" s="22" t="str">
        <x:f>IF(M8="","",IF(I8="Mayor es mejor",IF(M8&gt;=H8,"En meta",IF(M8&gt;=H8*0.9,"Alerta","Crítico")),IF(M8&lt;=H8,"En meta",IF(M8&lt;=H8*1.1,"Alerta","Crítico"))))</x:f>
        <x:v>En meta</x:v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/>
    </x:row>
    <x:row r="9">
      <x:c r="A9" s="46" t="n">
        <x:v>45322</x:v>
      </x:c>
      <x:c r="B9" s="22" t="n">
        <x:v>2024</x:v>
      </x:c>
      <x:c r="C9" s="22" t="str">
        <x:v>Enero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n">
        <x:v>18</x:v>
      </x:c>
      <x:c r="K9" s="40" t="n">
        <x:v>20</x:v>
      </x:c>
      <x:c r="L9" s="40" t="n">
        <x:v>100</x:v>
      </x:c>
      <x:c r="M9" s="40" t="n">
        <x:f>IF(OR(J9="",K9="",K9=0),"",J9/K9*L9)</x:f>
        <x:v>90</x:v>
      </x:c>
      <x:c r="N9" s="22" t="str">
        <x:f>IF(M9="","",IF(I9="Mayor es mejor",IF(M9&gt;=H9,"En meta",IF(M9&gt;=H9*0.9,"Alerta","Crítico")),IF(M9&lt;=H9,"En meta",IF(M9&lt;=H9*1.1,"Alerta","Crítico"))))</x:f>
        <x:v>En meta</x:v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/>
    </x:row>
    <x:row r="10">
      <x:c r="A10" s="46" t="n">
        <x:v>45322</x:v>
      </x:c>
      <x:c r="B10" s="22" t="n">
        <x:v>2024</x:v>
      </x:c>
      <x:c r="C10" s="22" t="str">
        <x:v>Enero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n">
        <x:v>11</x:v>
      </x:c>
      <x:c r="K10" s="40" t="n">
        <x:v>12</x:v>
      </x:c>
      <x:c r="L10" s="40" t="n">
        <x:v>100</x:v>
      </x:c>
      <x:c r="M10" s="40" t="n">
        <x:f>IF(OR(J10="",K10="",K10=0),"",J10/K10*L10)</x:f>
        <x:v>91.66666666666666</x:v>
      </x:c>
      <x:c r="N10" s="22" t="str">
        <x:f>IF(M10="","",IF(I10="Mayor es mejor",IF(M10&gt;=H10,"En meta",IF(M10&gt;=H10*0.9,"Alerta","Crítico")),IF(M10&lt;=H10,"En meta",IF(M10&lt;=H10*1.1,"Alerta","Crítico"))))</x:f>
        <x:v>En meta</x:v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/>
    </x:row>
    <x:row r="11">
      <x:c r="A11" s="46" t="n">
        <x:v>45322</x:v>
      </x:c>
      <x:c r="B11" s="22" t="n">
        <x:v>2024</x:v>
      </x:c>
      <x:c r="C11" s="22" t="str">
        <x:v>Enero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n">
        <x:v>1</x:v>
      </x:c>
      <x:c r="K11" s="40" t="n">
        <x:v>1</x:v>
      </x:c>
      <x:c r="L11" s="40" t="n">
        <x:v>100</x:v>
      </x:c>
      <x:c r="M11" s="40" t="n">
        <x:f>IF(OR(J11="",K11="",K11=0),"",J11/K11*L11)</x:f>
        <x:v>100</x:v>
      </x:c>
      <x:c r="N11" s="22" t="str">
        <x:f>IF(M11="","",IF(I11="Mayor es mejor",IF(M11&gt;=H11,"En meta",IF(M11&gt;=H11*0.9,"Alerta","Crítico")),IF(M11&lt;=H11,"En meta",IF(M11&lt;=H11*1.1,"Alerta","Crítico"))))</x:f>
        <x:v>En meta</x:v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/>
    </x:row>
    <x:row r="12">
      <x:c r="A12" s="46" t="n">
        <x:v>45322</x:v>
      </x:c>
      <x:c r="B12" s="22" t="n">
        <x:v>2024</x:v>
      </x:c>
      <x:c r="C12" s="22" t="str">
        <x:v>Enero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n">
        <x:v>10</x:v>
      </x:c>
      <x:c r="K12" s="40" t="n">
        <x:v>11</x:v>
      </x:c>
      <x:c r="L12" s="40" t="n">
        <x:v>100</x:v>
      </x:c>
      <x:c r="M12" s="40" t="n">
        <x:f>IF(OR(J12="",K12="",K12=0),"",J12/K12*L12)</x:f>
        <x:v>90.9090909090909</x:v>
      </x:c>
      <x:c r="N12" s="22" t="str">
        <x:f>IF(M12="","",IF(I12="Mayor es mejor",IF(M12&gt;=H12,"En meta",IF(M12&gt;=H12*0.9,"Alerta","Crítico")),IF(M12&lt;=H12,"En meta",IF(M12&lt;=H12*1.1,"Alerta","Crítico"))))</x:f>
        <x:v>En meta</x:v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/>
    </x:row>
    <x:row r="13">
      <x:c r="A13" s="46" t="n">
        <x:v>45322</x:v>
      </x:c>
      <x:c r="B13" s="22" t="n">
        <x:v>2024</x:v>
      </x:c>
      <x:c r="C13" s="22" t="str">
        <x:v>Enero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n">
        <x:v>8</x:v>
      </x:c>
      <x:c r="K13" s="40" t="n">
        <x:v>9</x:v>
      </x:c>
      <x:c r="L13" s="40" t="n">
        <x:v>100</x:v>
      </x:c>
      <x:c r="M13" s="40" t="n">
        <x:f>IF(OR(J13="",K13="",K13=0),"",J13/K13*L13)</x:f>
        <x:v>88.88888888888889</x:v>
      </x:c>
      <x:c r="N13" s="22" t="str">
        <x:f>IF(M13="","",IF(I13="Mayor es mejor",IF(M13&gt;=H13,"En meta",IF(M13&gt;=H13*0.9,"Alerta","Crítico")),IF(M13&lt;=H13,"En meta",IF(M13&lt;=H13*1.1,"Alerta","Crítico"))))</x:f>
        <x:v>Alerta</x:v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/>
    </x:row>
    <x:row r="14">
      <x:c r="A14" s="46" t="n">
        <x:v>45322</x:v>
      </x:c>
      <x:c r="B14" s="22" t="n">
        <x:v>2024</x:v>
      </x:c>
      <x:c r="C14" s="22" t="str">
        <x:v>Enero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n">
        <x:v>12</x:v>
      </x:c>
      <x:c r="K14" s="40" t="n">
        <x:v>13</x:v>
      </x:c>
      <x:c r="L14" s="40" t="n">
        <x:v>100</x:v>
      </x:c>
      <x:c r="M14" s="40" t="n">
        <x:f>IF(OR(J14="",K14="",K14=0),"",J14/K14*L14)</x:f>
        <x:v>92.3076923076923</x:v>
      </x:c>
      <x:c r="N14" s="22" t="str">
        <x:f>IF(M14="","",IF(I14="Mayor es mejor",IF(M14&gt;=H14,"En meta",IF(M14&gt;=H14*0.9,"Alerta","Crítico")),IF(M14&lt;=H14,"En meta",IF(M14&lt;=H14*1.1,"Alerta","Crítico"))))</x:f>
        <x:v>En meta</x:v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/>
    </x:row>
    <x:row r="15">
      <x:c r="A15" s="46" t="n">
        <x:v>45322</x:v>
      </x:c>
      <x:c r="B15" s="22" t="n">
        <x:v>2024</x:v>
      </x:c>
      <x:c r="C15" s="22" t="str">
        <x:v>Enero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n">
        <x:v>1</x:v>
      </x:c>
      <x:c r="K15" s="40" t="n">
        <x:v>55535</x:v>
      </x:c>
      <x:c r="L15" s="40" t="n">
        <x:v>200000</x:v>
      </x:c>
      <x:c r="M15" s="40" t="n">
        <x:f>IF(OR(J15="",K15="",K15=0),"",J15/K15*L15)</x:f>
        <x:v>3.601332493022418</x:v>
      </x:c>
      <x:c r="N15" s="22" t="str">
        <x:f>IF(M15="","",IF(I15="Mayor es mejor",IF(M15&gt;=H15,"En meta",IF(M15&gt;=H15*0.9,"Alerta","Crítico")),IF(M15&lt;=H15,"En meta",IF(M15&lt;=H15*1.1,"Alerta","Crítico"))))</x:f>
        <x:v>Alerta</x:v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/>
    </x:row>
    <x:row r="16">
      <x:c r="A16" s="46" t="n">
        <x:v>45322</x:v>
      </x:c>
      <x:c r="B16" s="22" t="n">
        <x:v>2024</x:v>
      </x:c>
      <x:c r="C16" s="22" t="str">
        <x:v>Enero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n">
        <x:v>20</x:v>
      </x:c>
      <x:c r="K16" s="40" t="n">
        <x:v>55535</x:v>
      </x:c>
      <x:c r="L16" s="40" t="n">
        <x:v>200000</x:v>
      </x:c>
      <x:c r="M16" s="40" t="n">
        <x:f>IF(OR(J16="",K16="",K16=0),"",J16/K16*L16)</x:f>
        <x:v>72.02664986044837</x:v>
      </x:c>
      <x:c r="N16" s="22" t="str">
        <x:f>IF(M16="","",IF(I16="Mayor es mejor",IF(M16&gt;=H16,"En meta",IF(M16&gt;=H16*0.9,"Alerta","Crítico")),IF(M16&lt;=H16,"En meta",IF(M16&lt;=H16*1.1,"Alerta","Crítico"))))</x:f>
        <x:v>En meta</x:v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/>
    </x:row>
    <x:row r="17">
      <x:c r="A17" s="46" t="n">
        <x:v>45322</x:v>
      </x:c>
      <x:c r="B17" s="22" t="n">
        <x:v>2024</x:v>
      </x:c>
      <x:c r="C17" s="22" t="str">
        <x:v>Enero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n">
        <x:v>259.3919</x:v>
      </x:c>
      <x:c r="K17" s="40" t="n">
        <x:v>1000</x:v>
      </x:c>
      <x:c r="L17" s="40" t="n">
        <x:v>1</x:v>
      </x:c>
      <x:c r="M17" s="40" t="n">
        <x:f>IF(OR(J17="",K17="",K17=0),"",J17/K17*L17)</x:f>
        <x:v>0.2593919</x:v>
      </x:c>
      <x:c r="N17" s="22" t="str">
        <x:f>IF(M17="","",IF(I17="Mayor es mejor",IF(M17&gt;=H17,"En meta",IF(M17&gt;=H17*0.9,"Alerta","Crítico")),IF(M17&lt;=H17,"En meta",IF(M17&lt;=H17*1.1,"Alerta","Crítico"))))</x:f>
        <x:v>Alerta</x:v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ILI calculado sobre IF e IS del periodo.</x:v>
      </x:c>
    </x:row>
    <x:row r="18">
      <x:c r="A18" s="46" t="n">
        <x:v>45322</x:v>
      </x:c>
      <x:c r="B18" s="22" t="n">
        <x:v>2024</x:v>
      </x:c>
      <x:c r="C18" s="22" t="str">
        <x:v>Enero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n">
        <x:v>1.76</x:v>
      </x:c>
      <x:c r="K18" s="40" t="n">
        <x:v>228</x:v>
      </x:c>
      <x:c r="L18" s="40" t="n">
        <x:v>100</x:v>
      </x:c>
      <x:c r="M18" s="40" t="n">
        <x:f>IF(OR(J18="",K18="",K18=0),"",J18/K18*L18)</x:f>
        <x:v>0.7719298245614036</x:v>
      </x:c>
      <x:c r="N18" s="22" t="str">
        <x:f>IF(M18="","",IF(I18="Mayor es mejor",IF(M18&gt;=H18,"En meta",IF(M18&gt;=H18*0.9,"Alerta","Crítico")),IF(M18&lt;=H18,"En meta",IF(M18&lt;=H18*1.1,"Alerta","Crítico"))))</x:f>
        <x:v>Crítico</x:v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/>
    </x:row>
    <x:row r="19">
      <x:c r="A19" s="46" t="n">
        <x:v>45322</x:v>
      </x:c>
      <x:c r="B19" s="22" t="n">
        <x:v>2024</x:v>
      </x:c>
      <x:c r="C19" s="22" t="str">
        <x:v>Enero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n">
        <x:v>0.02</x:v>
      </x:c>
      <x:c r="K19" s="40" t="n">
        <x:v>228</x:v>
      </x:c>
      <x:c r="L19" s="40" t="n">
        <x:v>100</x:v>
      </x:c>
      <x:c r="M19" s="40" t="n">
        <x:f>IF(OR(J19="",K19="",K19=0),"",J19/K19*L19)</x:f>
        <x:v>0.008771929824561405</x:v>
      </x:c>
      <x:c r="N19" s="22" t="str">
        <x:f>IF(M19="","",IF(I19="Mayor es mejor",IF(M19&gt;=H19,"En meta",IF(M19&gt;=H19*0.9,"Alerta","Crítico")),IF(M19&lt;=H19,"En meta",IF(M19&lt;=H19*1.1,"Alerta","Crítico"))))</x:f>
        <x:v>En meta</x:v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/>
    </x:row>
    <x:row r="20">
      <x:c r="A20" s="46" t="n">
        <x:v>45322</x:v>
      </x:c>
      <x:c r="B20" s="22" t="n">
        <x:v>2024</x:v>
      </x:c>
      <x:c r="C20" s="22" t="str">
        <x:v>Enero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n">
        <x:v>98</x:v>
      </x:c>
      <x:c r="K20" s="40" t="n">
        <x:v>100</x:v>
      </x:c>
      <x:c r="L20" s="40" t="n">
        <x:v>100</x:v>
      </x:c>
      <x:c r="M20" s="40" t="n">
        <x:f>IF(OR(J20="",K20="",K20=0),"",J20/K20*L20)</x:f>
        <x:v>98</x:v>
      </x:c>
      <x:c r="N20" s="22" t="str">
        <x:f>IF(M20="","",IF(I20="Mayor es mejor",IF(M20&gt;=H20,"En meta",IF(M20&gt;=H20*0.9,"Alerta","Crítico")),IF(M20&lt;=H20,"En meta",IF(M20&lt;=H20*1.1,"Alerta","Crítico"))))</x:f>
        <x:v>En meta</x:v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/>
    </x:row>
    <x:row r="21">
      <x:c r="A21" s="46" t="n">
        <x:v>45351</x:v>
      </x:c>
      <x:c r="B21" s="22" t="n">
        <x:v>2024</x:v>
      </x:c>
      <x:c r="C21" s="22" t="str">
        <x:v>Febrero</x:v>
      </x:c>
      <x:c r="D21" s="22" t="str">
        <x:v>E01</x:v>
      </x:c>
      <x:c r="E21" s="22" t="str">
        <x:v>% ejecución presupuestal del SG-SST</x:v>
      </x:c>
      <x:c r="F21" s="22" t="str">
        <x:v>Estructura</x:v>
      </x:c>
      <x:c r="G21" s="22" t="str">
        <x:v>Mensual</x:v>
      </x:c>
      <x:c r="H21" s="40" t="n">
        <x:v>95</x:v>
      </x:c>
      <x:c r="I21" s="22" t="str">
        <x:v>Mayor es mejor</x:v>
      </x:c>
      <x:c r="J21" s="40" t="n">
        <x:v>4637084</x:v>
      </x:c>
      <x:c r="K21" s="40" t="n">
        <x:v>5000000</x:v>
      </x:c>
      <x:c r="L21" s="40" t="n">
        <x:v>100</x:v>
      </x:c>
      <x:c r="M21" s="40" t="n">
        <x:f>IF(OR(J21="",K21="",K21=0),"",J21/K21*L21)</x:f>
        <x:v>92.74168</x:v>
      </x:c>
      <x:c r="N21" s="22" t="str">
        <x:f>IF(M21="","",IF(I21="Mayor es mejor",IF(M21&gt;=H21,"En meta",IF(M21&gt;=H21*0.9,"Alerta","Crítico")),IF(M21&lt;=H21,"En meta",IF(M21&lt;=H21*1.1,"Alerta","Crítico"))))</x:f>
        <x:v>Alerta</x:v>
      </x:c>
      <x:c r="O21" s="22" t="str">
        <x:v>%</x:v>
      </x:c>
      <x:c r="P21" s="22" t="str">
        <x:v>Líder SG-SST / Dirección Administrativa</x:v>
      </x:c>
      <x:c r="Q21" s="22" t="str">
        <x:v>Presupuesto SST</x:v>
      </x:c>
      <x:c r="R21" s="22" t="str"/>
    </x:row>
    <x:row r="22">
      <x:c r="A22" s="46" t="n">
        <x:v>45351</x:v>
      </x:c>
      <x:c r="B22" s="22" t="n">
        <x:v>2024</x:v>
      </x:c>
      <x:c r="C22" s="22" t="str">
        <x:v>Febrero</x:v>
      </x:c>
      <x:c r="D22" s="22" t="str">
        <x:v>E02</x:v>
      </x:c>
      <x:c r="E22" s="22" t="str">
        <x:v>% cobertura del plan de formación y capacitación SG-SST</x:v>
      </x:c>
      <x:c r="F22" s="22" t="str">
        <x:v>Estructura</x:v>
      </x:c>
      <x:c r="G22" s="22" t="str">
        <x:v>Mensual</x:v>
      </x:c>
      <x:c r="H22" s="40" t="n">
        <x:v>90</x:v>
      </x:c>
      <x:c r="I22" s="22" t="str">
        <x:v>Mayor es mejor</x:v>
      </x:c>
      <x:c r="J22" s="40" t="n">
        <x:v>20</x:v>
      </x:c>
      <x:c r="K22" s="40" t="n">
        <x:v>22</x:v>
      </x:c>
      <x:c r="L22" s="40" t="n">
        <x:v>100</x:v>
      </x:c>
      <x:c r="M22" s="40" t="n">
        <x:f>IF(OR(J22="",K22="",K22=0),"",J22/K22*L22)</x:f>
        <x:v>90.9090909090909</x:v>
      </x:c>
      <x:c r="N22" s="22" t="str">
        <x:f>IF(M22="","",IF(I22="Mayor es mejor",IF(M22&gt;=H22,"En meta",IF(M22&gt;=H22*0.9,"Alerta","Crítico")),IF(M22&lt;=H22,"En meta",IF(M22&lt;=H22*1.1,"Alerta","Crítico"))))</x:f>
        <x:v>En meta</x:v>
      </x:c>
      <x:c r="O22" s="22" t="str">
        <x:v>%</x:v>
      </x:c>
      <x:c r="P22" s="22" t="str">
        <x:v>Líder SG-SST / Talento Humano</x:v>
      </x:c>
      <x:c r="Q22" s="22" t="str">
        <x:v>Plan de formación y capacitaciones</x:v>
      </x:c>
      <x:c r="R22" s="22" t="str"/>
    </x:row>
    <x:row r="23">
      <x:c r="A23" s="46" t="n">
        <x:v>45351</x:v>
      </x:c>
      <x:c r="B23" s="22" t="n">
        <x:v>2024</x:v>
      </x:c>
      <x:c r="C23" s="22" t="str">
        <x:v>Febrero</x:v>
      </x:c>
      <x:c r="D23" s="22" t="str">
        <x:v>E03</x:v>
      </x:c>
      <x:c r="E23" s="22" t="str">
        <x:v>% trabajadores con exámenes médicos ocupacionales vigentes</x:v>
      </x:c>
      <x:c r="F23" s="22" t="str">
        <x:v>Estructura</x:v>
      </x:c>
      <x:c r="G23" s="22" t="str">
        <x:v>Mensual</x:v>
      </x:c>
      <x:c r="H23" s="40" t="n">
        <x:v>95</x:v>
      </x:c>
      <x:c r="I23" s="22" t="str">
        <x:v>Mayor es mejor</x:v>
      </x:c>
      <x:c r="J23" s="40" t="n">
        <x:v>214</x:v>
      </x:c>
      <x:c r="K23" s="40" t="n">
        <x:v>225</x:v>
      </x:c>
      <x:c r="L23" s="40" t="n">
        <x:v>100</x:v>
      </x:c>
      <x:c r="M23" s="40" t="n">
        <x:f>IF(OR(J23="",K23="",K23=0),"",J23/K23*L23)</x:f>
        <x:v>95.11111111111111</x:v>
      </x:c>
      <x:c r="N23" s="22" t="str">
        <x:f>IF(M23="","",IF(I23="Mayor es mejor",IF(M23&gt;=H23,"En meta",IF(M23&gt;=H23*0.9,"Alerta","Crítico")),IF(M23&lt;=H23,"En meta",IF(M23&lt;=H23*1.1,"Alerta","Crítico"))))</x:f>
        <x:v>En meta</x:v>
      </x:c>
      <x:c r="O23" s="22" t="str">
        <x:v>%</x:v>
      </x:c>
      <x:c r="P23" s="22" t="str">
        <x:v>Líder SG-SST / Talento Humano</x:v>
      </x:c>
      <x:c r="Q23" s="22" t="str">
        <x:v>Matriz de seguimiento EMO</x:v>
      </x:c>
      <x:c r="R23" s="22" t="str"/>
    </x:row>
    <x:row r="24">
      <x:c r="A24" s="46" t="n">
        <x:v>45351</x:v>
      </x:c>
      <x:c r="B24" s="22" t="n">
        <x:v>2024</x:v>
      </x:c>
      <x:c r="C24" s="22" t="str">
        <x:v>Febrero</x:v>
      </x:c>
      <x:c r="D24" s="22" t="str">
        <x:v>E04</x:v>
      </x:c>
      <x:c r="E24" s="22" t="str">
        <x:v>% cumplimiento de requisitos legales aplicables en SST</x:v>
      </x:c>
      <x:c r="F24" s="22" t="str">
        <x:v>Estructura</x:v>
      </x:c>
      <x:c r="G24" s="22" t="str">
        <x:v>Mensual</x:v>
      </x:c>
      <x:c r="H24" s="40" t="n">
        <x:v>95</x:v>
      </x:c>
      <x:c r="I24" s="22" t="str">
        <x:v>Mayor es mejor</x:v>
      </x:c>
      <x:c r="J24" s="40" t="n">
        <x:v>57</x:v>
      </x:c>
      <x:c r="K24" s="40" t="n">
        <x:v>60</x:v>
      </x:c>
      <x:c r="L24" s="40" t="n">
        <x:v>100</x:v>
      </x:c>
      <x:c r="M24" s="40" t="n">
        <x:f>IF(OR(J24="",K24="",K24=0),"",J24/K24*L24)</x:f>
        <x:v>95</x:v>
      </x:c>
      <x:c r="N24" s="22" t="str">
        <x:f>IF(M24="","",IF(I24="Mayor es mejor",IF(M24&gt;=H24,"En meta",IF(M24&gt;=H24*0.9,"Alerta","Crítico")),IF(M24&lt;=H24,"En meta",IF(M24&lt;=H24*1.1,"Alerta","Crítico"))))</x:f>
        <x:v>En meta</x:v>
      </x:c>
      <x:c r="O24" s="22" t="str">
        <x:v>%</x:v>
      </x:c>
      <x:c r="P24" s="22" t="str">
        <x:v>Líder SG-SST / Jurídica</x:v>
      </x:c>
      <x:c r="Q24" s="22" t="str">
        <x:v>Matriz legal SGRL</x:v>
      </x:c>
      <x:c r="R24" s="22" t="str"/>
    </x:row>
    <x:row r="25">
      <x:c r="A25" s="46" t="n">
        <x:v>45351</x:v>
      </x:c>
      <x:c r="B25" s="22" t="n">
        <x:v>2024</x:v>
      </x:c>
      <x:c r="C25" s="22" t="str">
        <x:v>Febrero</x:v>
      </x:c>
      <x:c r="D25" s="22" t="str">
        <x:v>E05</x:v>
      </x:c>
      <x:c r="E25" s="22" t="str">
        <x:v>% proveedores y contratistas aprobados en SST</x:v>
      </x:c>
      <x:c r="F25" s="22" t="str">
        <x:v>Estructura</x:v>
      </x:c>
      <x:c r="G25" s="22" t="str">
        <x:v>Mensual</x:v>
      </x:c>
      <x:c r="H25" s="40" t="n">
        <x:v>90</x:v>
      </x:c>
      <x:c r="I25" s="22" t="str">
        <x:v>Mayor es mejor</x:v>
      </x:c>
      <x:c r="J25" s="40" t="n">
        <x:v>18</x:v>
      </x:c>
      <x:c r="K25" s="40" t="n">
        <x:v>20</x:v>
      </x:c>
      <x:c r="L25" s="40" t="n">
        <x:v>100</x:v>
      </x:c>
      <x:c r="M25" s="40" t="n">
        <x:f>IF(OR(J25="",K25="",K25=0),"",J25/K25*L25)</x:f>
        <x:v>90</x:v>
      </x:c>
      <x:c r="N25" s="22" t="str">
        <x:f>IF(M25="","",IF(I25="Mayor es mejor",IF(M25&gt;=H25,"En meta",IF(M25&gt;=H25*0.9,"Alerta","Crítico")),IF(M25&lt;=H25,"En meta",IF(M25&lt;=H25*1.1,"Alerta","Crítico"))))</x:f>
        <x:v>En meta</x:v>
      </x:c>
      <x:c r="O25" s="22" t="str">
        <x:v>%</x:v>
      </x:c>
      <x:c r="P25" s="22" t="str">
        <x:v>Compras / Líder SG-SST</x:v>
      </x:c>
      <x:c r="Q25" s="22" t="str">
        <x:v>Gestión de proveedores y contratistas</x:v>
      </x:c>
      <x:c r="R25" s="22" t="str"/>
    </x:row>
    <x:row r="26">
      <x:c r="A26" s="46" t="n">
        <x:v>45351</x:v>
      </x:c>
      <x:c r="B26" s="22" t="n">
        <x:v>2024</x:v>
      </x:c>
      <x:c r="C26" s="22" t="str">
        <x:v>Febrero</x:v>
      </x:c>
      <x:c r="D26" s="22" t="str">
        <x:v>P01</x:v>
      </x:c>
      <x:c r="E26" s="22" t="str">
        <x:v>% ejecución del plan anual de trabajo SG-SST</x:v>
      </x:c>
      <x:c r="F26" s="22" t="str">
        <x:v>Proceso</x:v>
      </x:c>
      <x:c r="G26" s="22" t="str">
        <x:v>Mensual</x:v>
      </x:c>
      <x:c r="H26" s="40" t="n">
        <x:v>90</x:v>
      </x:c>
      <x:c r="I26" s="22" t="str">
        <x:v>Mayor es mejor</x:v>
      </x:c>
      <x:c r="J26" s="40" t="n">
        <x:v>13</x:v>
      </x:c>
      <x:c r="K26" s="40" t="n">
        <x:v>14</x:v>
      </x:c>
      <x:c r="L26" s="40" t="n">
        <x:v>100</x:v>
      </x:c>
      <x:c r="M26" s="40" t="n">
        <x:f>IF(OR(J26="",K26="",K26=0),"",J26/K26*L26)</x:f>
        <x:v>92.85714285714286</x:v>
      </x:c>
      <x:c r="N26" s="22" t="str">
        <x:f>IF(M26="","",IF(I26="Mayor es mejor",IF(M26&gt;=H26,"En meta",IF(M26&gt;=H26*0.9,"Alerta","Crítico")),IF(M26&lt;=H26,"En meta",IF(M26&lt;=H26*1.1,"Alerta","Crítico"))))</x:f>
        <x:v>En meta</x:v>
      </x:c>
      <x:c r="O26" s="22" t="str">
        <x:v>%</x:v>
      </x:c>
      <x:c r="P26" s="22" t="str">
        <x:v>Líder SG-SST</x:v>
      </x:c>
      <x:c r="Q26" s="22" t="str">
        <x:v>Plan anual de trabajo PHVA</x:v>
      </x:c>
      <x:c r="R26" s="22" t="str"/>
    </x:row>
    <x:row r="27">
      <x:c r="A27" s="46" t="n">
        <x:v>45351</x:v>
      </x:c>
      <x:c r="B27" s="22" t="n">
        <x:v>2024</x:v>
      </x:c>
      <x:c r="C27" s="22" t="str">
        <x:v>Febrero</x:v>
      </x:c>
      <x:c r="D27" s="22" t="str">
        <x:v>P02</x:v>
      </x:c>
      <x:c r="E27" s="22" t="str">
        <x:v>% investigaciones de accidentes realizadas oportunamente</x:v>
      </x:c>
      <x:c r="F27" s="22" t="str">
        <x:v>Proceso</x:v>
      </x:c>
      <x:c r="G27" s="22" t="str">
        <x:v>Mensual</x:v>
      </x:c>
      <x:c r="H27" s="40" t="n">
        <x:v>95</x:v>
      </x:c>
      <x:c r="I27" s="22" t="str">
        <x:v>Mayor es mejor</x:v>
      </x:c>
      <x:c r="J27" s="40" t="n">
        <x:v>1</x:v>
      </x:c>
      <x:c r="K27" s="40" t="n">
        <x:v>1</x:v>
      </x:c>
      <x:c r="L27" s="40" t="n">
        <x:v>100</x:v>
      </x:c>
      <x:c r="M27" s="40" t="n">
        <x:f>IF(OR(J27="",K27="",K27=0),"",J27/K27*L27)</x:f>
        <x:v>100</x:v>
      </x:c>
      <x:c r="N27" s="22" t="str">
        <x:f>IF(M27="","",IF(I27="Mayor es mejor",IF(M27&gt;=H27,"En meta",IF(M27&gt;=H27*0.9,"Alerta","Crítico")),IF(M27&lt;=H27,"En meta",IF(M27&lt;=H27*1.1,"Alerta","Crítico"))))</x:f>
        <x:v>En meta</x:v>
      </x:c>
      <x:c r="O27" s="22" t="str">
        <x:v>%</x:v>
      </x:c>
      <x:c r="P27" s="22" t="str">
        <x:v>Líder SG-SST / COPASST</x:v>
      </x:c>
      <x:c r="Q27" s="22" t="str">
        <x:v>Matriz de accidentalidad</x:v>
      </x:c>
      <x:c r="R27" s="22" t="str"/>
    </x:row>
    <x:row r="28">
      <x:c r="A28" s="46" t="n">
        <x:v>45351</x:v>
      </x:c>
      <x:c r="B28" s="22" t="n">
        <x:v>2024</x:v>
      </x:c>
      <x:c r="C28" s="22" t="str">
        <x:v>Febrero</x:v>
      </x:c>
      <x:c r="D28" s="22" t="str">
        <x:v>P03</x:v>
      </x:c>
      <x:c r="E28" s="22" t="str">
        <x:v>% cierre oportuno de acciones correctivas, preventivas y de mejora</x:v>
      </x:c>
      <x:c r="F28" s="22" t="str">
        <x:v>Proceso</x:v>
      </x:c>
      <x:c r="G28" s="22" t="str">
        <x:v>Mensual</x:v>
      </x:c>
      <x:c r="H28" s="40" t="n">
        <x:v>90</x:v>
      </x:c>
      <x:c r="I28" s="22" t="str">
        <x:v>Mayor es mejor</x:v>
      </x:c>
      <x:c r="J28" s="40" t="n">
        <x:v>11</x:v>
      </x:c>
      <x:c r="K28" s="40" t="n">
        <x:v>12</x:v>
      </x:c>
      <x:c r="L28" s="40" t="n">
        <x:v>100</x:v>
      </x:c>
      <x:c r="M28" s="40" t="n">
        <x:f>IF(OR(J28="",K28="",K28=0),"",J28/K28*L28)</x:f>
        <x:v>91.66666666666666</x:v>
      </x:c>
      <x:c r="N28" s="22" t="str">
        <x:f>IF(M28="","",IF(I28="Mayor es mejor",IF(M28&gt;=H28,"En meta",IF(M28&gt;=H28*0.9,"Alerta","Crítico")),IF(M28&lt;=H28,"En meta",IF(M28&lt;=H28*1.1,"Alerta","Crítico"))))</x:f>
        <x:v>En meta</x:v>
      </x:c>
      <x:c r="O28" s="22" t="str">
        <x:v>%</x:v>
      </x:c>
      <x:c r="P28" s="22" t="str">
        <x:v>Líder SG-SST / Responsables de proceso</x:v>
      </x:c>
      <x:c r="Q28" s="22" t="str">
        <x:v>Matriz APCM</x:v>
      </x:c>
      <x:c r="R28" s="22" t="str"/>
    </x:row>
    <x:row r="29">
      <x:c r="A29" s="46" t="n">
        <x:v>45351</x:v>
      </x:c>
      <x:c r="B29" s="22" t="n">
        <x:v>2024</x:v>
      </x:c>
      <x:c r="C29" s="22" t="str">
        <x:v>Febrero</x:v>
      </x:c>
      <x:c r="D29" s="22" t="str">
        <x:v>P04</x:v>
      </x:c>
      <x:c r="E29" s="22" t="str">
        <x:v>% inspecciones de seguridad ejecutadas</x:v>
      </x:c>
      <x:c r="F29" s="22" t="str">
        <x:v>Proceso</x:v>
      </x:c>
      <x:c r="G29" s="22" t="str">
        <x:v>Mensual</x:v>
      </x:c>
      <x:c r="H29" s="40" t="n">
        <x:v>90</x:v>
      </x:c>
      <x:c r="I29" s="22" t="str">
        <x:v>Mayor es mejor</x:v>
      </x:c>
      <x:c r="J29" s="40" t="n">
        <x:v>9</x:v>
      </x:c>
      <x:c r="K29" s="40" t="n">
        <x:v>10</x:v>
      </x:c>
      <x:c r="L29" s="40" t="n">
        <x:v>100</x:v>
      </x:c>
      <x:c r="M29" s="40" t="n">
        <x:f>IF(OR(J29="",K29="",K29=0),"",J29/K29*L29)</x:f>
        <x:v>90</x:v>
      </x:c>
      <x:c r="N29" s="22" t="str">
        <x:f>IF(M29="","",IF(I29="Mayor es mejor",IF(M29&gt;=H29,"En meta",IF(M29&gt;=H29*0.9,"Alerta","Crítico")),IF(M29&lt;=H29,"En meta",IF(M29&lt;=H29*1.1,"Alerta","Crítico"))))</x:f>
        <x:v>En meta</x:v>
      </x:c>
      <x:c r="O29" s="22" t="str">
        <x:v>%</x:v>
      </x:c>
      <x:c r="P29" s="22" t="str">
        <x:v>Líder SG-SST / Supervisores</x:v>
      </x:c>
      <x:c r="Q29" s="22" t="str">
        <x:v>Programa de inspecciones</x:v>
      </x:c>
      <x:c r="R29" s="22" t="str"/>
    </x:row>
    <x:row r="30">
      <x:c r="A30" s="46" t="n">
        <x:v>45351</x:v>
      </x:c>
      <x:c r="B30" s="22" t="n">
        <x:v>2024</x:v>
      </x:c>
      <x:c r="C30" s="22" t="str">
        <x:v>Febrero</x:v>
      </x:c>
      <x:c r="D30" s="22" t="str">
        <x:v>P05</x:v>
      </x:c>
      <x:c r="E30" s="22" t="str">
        <x:v>% mantenimientos preventivos ejecutados</x:v>
      </x:c>
      <x:c r="F30" s="22" t="str">
        <x:v>Proceso</x:v>
      </x:c>
      <x:c r="G30" s="22" t="str">
        <x:v>Mensual</x:v>
      </x:c>
      <x:c r="H30" s="40" t="n">
        <x:v>90</x:v>
      </x:c>
      <x:c r="I30" s="22" t="str">
        <x:v>Mayor es mejor</x:v>
      </x:c>
      <x:c r="J30" s="40" t="n">
        <x:v>13</x:v>
      </x:c>
      <x:c r="K30" s="40" t="n">
        <x:v>14</x:v>
      </x:c>
      <x:c r="L30" s="40" t="n">
        <x:v>100</x:v>
      </x:c>
      <x:c r="M30" s="40" t="n">
        <x:f>IF(OR(J30="",K30="",K30=0),"",J30/K30*L30)</x:f>
        <x:v>92.85714285714286</x:v>
      </x:c>
      <x:c r="N30" s="22" t="str">
        <x:f>IF(M30="","",IF(I30="Mayor es mejor",IF(M30&gt;=H30,"En meta",IF(M30&gt;=H30*0.9,"Alerta","Crítico")),IF(M30&lt;=H30,"En meta",IF(M30&lt;=H30*1.1,"Alerta","Crítico"))))</x:f>
        <x:v>En meta</x:v>
      </x:c>
      <x:c r="O30" s="22" t="str">
        <x:v>%</x:v>
      </x:c>
      <x:c r="P30" s="22" t="str">
        <x:v>Mantenimiento / Líder SG-SST</x:v>
      </x:c>
      <x:c r="Q30" s="22" t="str">
        <x:v>Programa de mantenimiento preventivo</x:v>
      </x:c>
      <x:c r="R30" s="22" t="str"/>
    </x:row>
    <x:row r="31">
      <x:c r="A31" s="46" t="n">
        <x:v>45351</x:v>
      </x:c>
      <x:c r="B31" s="22" t="n">
        <x:v>2024</x:v>
      </x:c>
      <x:c r="C31" s="22" t="str">
        <x:v>Febrero</x:v>
      </x:c>
      <x:c r="D31" s="22" t="str">
        <x:v>R01</x:v>
      </x:c>
      <x:c r="E31" s="22" t="str">
        <x:v>Índice de frecuencia de accidentalidad (IF)</x:v>
      </x:c>
      <x:c r="F31" s="22" t="str">
        <x:v>Resultado</x:v>
      </x:c>
      <x:c r="G31" s="22" t="str">
        <x:v>Mensual</x:v>
      </x:c>
      <x:c r="H31" s="40" t="n">
        <x:v>3.5</x:v>
      </x:c>
      <x:c r="I31" s="22" t="str">
        <x:v>Menor es mejor</x:v>
      </x:c>
      <x:c r="J31" s="40" t="n">
        <x:v>1</x:v>
      </x:c>
      <x:c r="K31" s="40" t="n">
        <x:v>54038</x:v>
      </x:c>
      <x:c r="L31" s="40" t="n">
        <x:v>200000</x:v>
      </x:c>
      <x:c r="M31" s="40" t="n">
        <x:f>IF(OR(J31="",K31="",K31=0),"",J31/K31*L31)</x:f>
        <x:v>3.7010992264702613</x:v>
      </x:c>
      <x:c r="N31" s="22" t="str">
        <x:f>IF(M31="","",IF(I31="Mayor es mejor",IF(M31&gt;=H31,"En meta",IF(M31&gt;=H31*0.9,"Alerta","Crítico")),IF(M31&lt;=H31,"En meta",IF(M31&lt;=H31*1.1,"Alerta","Crítico"))))</x:f>
        <x:v>Alerta</x:v>
      </x:c>
      <x:c r="O31" s="22" t="str">
        <x:v>Índice</x:v>
      </x:c>
      <x:c r="P31" s="22" t="str">
        <x:v>Líder SG-SST</x:v>
      </x:c>
      <x:c r="Q31" s="22" t="str">
        <x:v>Matriz de accidentalidad / nómina</x:v>
      </x:c>
      <x:c r="R31" s="22" t="str"/>
    </x:row>
    <x:row r="32">
      <x:c r="A32" s="46" t="n">
        <x:v>45351</x:v>
      </x:c>
      <x:c r="B32" s="22" t="n">
        <x:v>2024</x:v>
      </x:c>
      <x:c r="C32" s="22" t="str">
        <x:v>Febrero</x:v>
      </x:c>
      <x:c r="D32" s="22" t="str">
        <x:v>R02</x:v>
      </x:c>
      <x:c r="E32" s="22" t="str">
        <x:v>Índice de severidad de accidentalidad (IS)</x:v>
      </x:c>
      <x:c r="F32" s="22" t="str">
        <x:v>Resultado</x:v>
      </x:c>
      <x:c r="G32" s="22" t="str">
        <x:v>Mensual</x:v>
      </x:c>
      <x:c r="H32" s="40" t="n">
        <x:v>80</x:v>
      </x:c>
      <x:c r="I32" s="22" t="str">
        <x:v>Menor es mejor</x:v>
      </x:c>
      <x:c r="J32" s="40" t="n">
        <x:v>18</x:v>
      </x:c>
      <x:c r="K32" s="40" t="n">
        <x:v>54038</x:v>
      </x:c>
      <x:c r="L32" s="40" t="n">
        <x:v>200000</x:v>
      </x:c>
      <x:c r="M32" s="40" t="n">
        <x:f>IF(OR(J32="",K32="",K32=0),"",J32/K32*L32)</x:f>
        <x:v>66.6197860764647</x:v>
      </x:c>
      <x:c r="N32" s="22" t="str">
        <x:f>IF(M32="","",IF(I32="Mayor es mejor",IF(M32&gt;=H32,"En meta",IF(M32&gt;=H32*0.9,"Alerta","Crítico")),IF(M32&lt;=H32,"En meta",IF(M32&lt;=H32*1.1,"Alerta","Crítico"))))</x:f>
        <x:v>En meta</x:v>
      </x:c>
      <x:c r="O32" s="22" t="str">
        <x:v>Índice</x:v>
      </x:c>
      <x:c r="P32" s="22" t="str">
        <x:v>Líder SG-SST</x:v>
      </x:c>
      <x:c r="Q32" s="22" t="str">
        <x:v>Matriz de accidentalidad / nómina</x:v>
      </x:c>
      <x:c r="R32" s="22" t="str"/>
    </x:row>
    <x:row r="33">
      <x:c r="A33" s="46" t="n">
        <x:v>45351</x:v>
      </x:c>
      <x:c r="B33" s="22" t="n">
        <x:v>2024</x:v>
      </x:c>
      <x:c r="C33" s="22" t="str">
        <x:v>Febrero</x:v>
      </x:c>
      <x:c r="D33" s="22" t="str">
        <x:v>R03</x:v>
      </x:c>
      <x:c r="E33" s="22" t="str">
        <x:v>Índice de lesión incapacitante (ILI)</x:v>
      </x:c>
      <x:c r="F33" s="22" t="str">
        <x:v>Resultado</x:v>
      </x:c>
      <x:c r="G33" s="22" t="str">
        <x:v>Mensual</x:v>
      </x:c>
      <x:c r="H33" s="40" t="n">
        <x:v>0.25</x:v>
      </x:c>
      <x:c r="I33" s="22" t="str">
        <x:v>Menor es mejor</x:v>
      </x:c>
      <x:c r="J33" s="40" t="n">
        <x:v>246.5664</x:v>
      </x:c>
      <x:c r="K33" s="40" t="n">
        <x:v>1000</x:v>
      </x:c>
      <x:c r="L33" s="40" t="n">
        <x:v>1</x:v>
      </x:c>
      <x:c r="M33" s="40" t="n">
        <x:f>IF(OR(J33="",K33="",K33=0),"",J33/K33*L33)</x:f>
        <x:v>0.2465664</x:v>
      </x:c>
      <x:c r="N33" s="22" t="str">
        <x:f>IF(M33="","",IF(I33="Mayor es mejor",IF(M33&gt;=H33,"En meta",IF(M33&gt;=H33*0.9,"Alerta","Crítico")),IF(M33&lt;=H33,"En meta",IF(M33&lt;=H33*1.1,"Alerta","Crítico"))))</x:f>
        <x:v>En meta</x:v>
      </x:c>
      <x:c r="O33" s="22" t="str">
        <x:v>Índice</x:v>
      </x:c>
      <x:c r="P33" s="22" t="str">
        <x:v>Líder SG-SST</x:v>
      </x:c>
      <x:c r="Q33" s="22" t="str">
        <x:v>Indicadores derivados de accidentalidad</x:v>
      </x:c>
      <x:c r="R33" s="22" t="str">
        <x:v>ILI calculado sobre IF e IS del periodo.</x:v>
      </x:c>
    </x:row>
    <x:row r="34">
      <x:c r="A34" s="46" t="n">
        <x:v>45351</x:v>
      </x:c>
      <x:c r="B34" s="22" t="n">
        <x:v>2024</x:v>
      </x:c>
      <x:c r="C34" s="22" t="str">
        <x:v>Febrero</x:v>
      </x:c>
      <x:c r="D34" s="22" t="str">
        <x:v>R04</x:v>
      </x:c>
      <x:c r="E34" s="22" t="str">
        <x:v>Tasa de accidentalidad</x:v>
      </x:c>
      <x:c r="F34" s="22" t="str">
        <x:v>Resultado</x:v>
      </x:c>
      <x:c r="G34" s="22" t="str">
        <x:v>Mensual</x:v>
      </x:c>
      <x:c r="H34" s="40" t="n">
        <x:v>0.6</x:v>
      </x:c>
      <x:c r="I34" s="22" t="str">
        <x:v>Menor es mejor</x:v>
      </x:c>
      <x:c r="J34" s="40" t="n">
        <x:v>1.56</x:v>
      </x:c>
      <x:c r="K34" s="40" t="n">
        <x:v>225</x:v>
      </x:c>
      <x:c r="L34" s="40" t="n">
        <x:v>100</x:v>
      </x:c>
      <x:c r="M34" s="40" t="n">
        <x:f>IF(OR(J34="",K34="",K34=0),"",J34/K34*L34)</x:f>
        <x:v>0.6933333333333334</x:v>
      </x:c>
      <x:c r="N34" s="22" t="str">
        <x:f>IF(M34="","",IF(I34="Mayor es mejor",IF(M34&gt;=H34,"En meta",IF(M34&gt;=H34*0.9,"Alerta","Crítico")),IF(M34&lt;=H34,"En meta",IF(M34&lt;=H34*1.1,"Alerta","Crítico"))))</x:f>
        <x:v>Crítico</x:v>
      </x:c>
      <x:c r="O34" s="22" t="str">
        <x:v>%</x:v>
      </x:c>
      <x:c r="P34" s="22" t="str">
        <x:v>Líder SG-SST</x:v>
      </x:c>
      <x:c r="Q34" s="22" t="str">
        <x:v>Matriz de accidentalidad / nómina</x:v>
      </x:c>
      <x:c r="R34" s="22" t="str"/>
    </x:row>
    <x:row r="35">
      <x:c r="A35" s="46" t="n">
        <x:v>45351</x:v>
      </x:c>
      <x:c r="B35" s="22" t="n">
        <x:v>2024</x:v>
      </x:c>
      <x:c r="C35" s="22" t="str">
        <x:v>Febrero</x:v>
      </x:c>
      <x:c r="D35" s="22" t="str">
        <x:v>R05</x:v>
      </x:c>
      <x:c r="E35" s="22" t="str">
        <x:v>Prevalencia de enfermedad laboral</x:v>
      </x:c>
      <x:c r="F35" s="22" t="str">
        <x:v>Resultado</x:v>
      </x:c>
      <x:c r="G35" s="22" t="str">
        <x:v>Mensual</x:v>
      </x:c>
      <x:c r="H35" s="40" t="n">
        <x:v>0.3</x:v>
      </x:c>
      <x:c r="I35" s="22" t="str">
        <x:v>Menor es mejor</x:v>
      </x:c>
      <x:c r="J35" s="40" t="n">
        <x:v>3.14</x:v>
      </x:c>
      <x:c r="K35" s="40" t="n">
        <x:v>225</x:v>
      </x:c>
      <x:c r="L35" s="40" t="n">
        <x:v>100</x:v>
      </x:c>
      <x:c r="M35" s="40" t="n">
        <x:f>IF(OR(J35="",K35="",K35=0),"",J35/K35*L35)</x:f>
        <x:v>1.3955555555555557</x:v>
      </x:c>
      <x:c r="N35" s="22" t="str">
        <x:f>IF(M35="","",IF(I35="Mayor es mejor",IF(M35&gt;=H35,"En meta",IF(M35&gt;=H35*0.9,"Alerta","Crítico")),IF(M35&lt;=H35,"En meta",IF(M35&lt;=H35*1.1,"Alerta","Crítico"))))</x:f>
        <x:v>Crítico</x:v>
      </x:c>
      <x:c r="O35" s="22" t="str">
        <x:v>%</x:v>
      </x:c>
      <x:c r="P35" s="22" t="str">
        <x:v>Líder SG-SST / Medicina laboral</x:v>
      </x:c>
      <x:c r="Q35" s="22" t="str">
        <x:v>Matriz de enfermedad laboral / nómina</x:v>
      </x:c>
      <x:c r="R35" s="22" t="str"/>
    </x:row>
    <x:row r="36">
      <x:c r="A36" s="46" t="n">
        <x:v>45351</x:v>
      </x:c>
      <x:c r="B36" s="22" t="n">
        <x:v>2024</x:v>
      </x:c>
      <x:c r="C36" s="22" t="str">
        <x:v>Febrero</x:v>
      </x:c>
      <x:c r="D36" s="22" t="str">
        <x:v>R06</x:v>
      </x:c>
      <x:c r="E36" s="22" t="str">
        <x:v>% cumplimiento de estándares mínimos Res. 0312 de 2019</x:v>
      </x:c>
      <x:c r="F36" s="22" t="str">
        <x:v>Resultado</x:v>
      </x:c>
      <x:c r="G36" s="22" t="str">
        <x:v>Mensual</x:v>
      </x:c>
      <x:c r="H36" s="40" t="n">
        <x:v>95</x:v>
      </x:c>
      <x:c r="I36" s="22" t="str">
        <x:v>Mayor es mejor</x:v>
      </x:c>
      <x:c r="J36" s="40" t="n">
        <x:v>96</x:v>
      </x:c>
      <x:c r="K36" s="40" t="n">
        <x:v>100</x:v>
      </x:c>
      <x:c r="L36" s="40" t="n">
        <x:v>100</x:v>
      </x:c>
      <x:c r="M36" s="40" t="n">
        <x:f>IF(OR(J36="",K36="",K36=0),"",J36/K36*L36)</x:f>
        <x:v>96</x:v>
      </x:c>
      <x:c r="N36" s="22" t="str">
        <x:f>IF(M36="","",IF(I36="Mayor es mejor",IF(M36&gt;=H36,"En meta",IF(M36&gt;=H36*0.9,"Alerta","Crítico")),IF(M36&lt;=H36,"En meta",IF(M36&lt;=H36*1.1,"Alerta","Crítico"))))</x:f>
        <x:v>En meta</x:v>
      </x:c>
      <x:c r="O36" s="22" t="str">
        <x:v>%</x:v>
      </x:c>
      <x:c r="P36" s="22" t="str">
        <x:v>Líder SG-SST / Alta Dirección</x:v>
      </x:c>
      <x:c r="Q36" s="22" t="str">
        <x:v>Autodiagnóstico Res. 0312 de 2019</x:v>
      </x:c>
      <x:c r="R36" s="22" t="str"/>
    </x:row>
    <x:row r="37">
      <x:c r="A37" s="46" t="n">
        <x:v>45382</x:v>
      </x:c>
      <x:c r="B37" s="22" t="n">
        <x:v>2024</x:v>
      </x:c>
      <x:c r="C37" s="22" t="str">
        <x:v>Marzo</x:v>
      </x:c>
      <x:c r="D37" s="22" t="str">
        <x:v>E01</x:v>
      </x:c>
      <x:c r="E37" s="22" t="str">
        <x:v>% ejecución presupuestal del SG-SST</x:v>
      </x:c>
      <x:c r="F37" s="22" t="str">
        <x:v>Estructura</x:v>
      </x:c>
      <x:c r="G37" s="22" t="str">
        <x:v>Mensual</x:v>
      </x:c>
      <x:c r="H37" s="40" t="n">
        <x:v>95</x:v>
      </x:c>
      <x:c r="I37" s="22" t="str">
        <x:v>Mayor es mejor</x:v>
      </x:c>
      <x:c r="J37" s="40" t="n">
        <x:v>5127834</x:v>
      </x:c>
      <x:c r="K37" s="40" t="n">
        <x:v>5500000</x:v>
      </x:c>
      <x:c r="L37" s="40" t="n">
        <x:v>100</x:v>
      </x:c>
      <x:c r="M37" s="40" t="n">
        <x:f>IF(OR(J37="",K37="",K37=0),"",J37/K37*L37)</x:f>
        <x:v>93.23334545454546</x:v>
      </x:c>
      <x:c r="N37" s="22" t="str">
        <x:f>IF(M37="","",IF(I37="Mayor es mejor",IF(M37&gt;=H37,"En meta",IF(M37&gt;=H37*0.9,"Alerta","Crítico")),IF(M37&lt;=H37,"En meta",IF(M37&lt;=H37*1.1,"Alerta","Crítico"))))</x:f>
        <x:v>Alerta</x:v>
      </x:c>
      <x:c r="O37" s="22" t="str">
        <x:v>%</x:v>
      </x:c>
      <x:c r="P37" s="22" t="str">
        <x:v>Líder SG-SST / Dirección Administrativa</x:v>
      </x:c>
      <x:c r="Q37" s="22" t="str">
        <x:v>Presupuesto SST</x:v>
      </x:c>
      <x:c r="R37" s="22" t="str"/>
    </x:row>
    <x:row r="38">
      <x:c r="A38" s="46" t="n">
        <x:v>45382</x:v>
      </x:c>
      <x:c r="B38" s="22" t="n">
        <x:v>2024</x:v>
      </x:c>
      <x:c r="C38" s="22" t="str">
        <x:v>Marzo</x:v>
      </x:c>
      <x:c r="D38" s="22" t="str">
        <x:v>E02</x:v>
      </x:c>
      <x:c r="E38" s="22" t="str">
        <x:v>% cobertura del plan de formación y capacitación SG-SST</x:v>
      </x:c>
      <x:c r="F38" s="22" t="str">
        <x:v>Estructura</x:v>
      </x:c>
      <x:c r="G38" s="22" t="str">
        <x:v>Mensual</x:v>
      </x:c>
      <x:c r="H38" s="40" t="n">
        <x:v>90</x:v>
      </x:c>
      <x:c r="I38" s="22" t="str">
        <x:v>Mayor es mejor</x:v>
      </x:c>
      <x:c r="J38" s="40" t="n">
        <x:v>21</x:v>
      </x:c>
      <x:c r="K38" s="40" t="n">
        <x:v>24</x:v>
      </x:c>
      <x:c r="L38" s="40" t="n">
        <x:v>100</x:v>
      </x:c>
      <x:c r="M38" s="40" t="n">
        <x:f>IF(OR(J38="",K38="",K38=0),"",J38/K38*L38)</x:f>
        <x:v>87.5</x:v>
      </x:c>
      <x:c r="N38" s="22" t="str">
        <x:f>IF(M38="","",IF(I38="Mayor es mejor",IF(M38&gt;=H38,"En meta",IF(M38&gt;=H38*0.9,"Alerta","Crítico")),IF(M38&lt;=H38,"En meta",IF(M38&lt;=H38*1.1,"Alerta","Crítico"))))</x:f>
        <x:v>Alerta</x:v>
      </x:c>
      <x:c r="O38" s="22" t="str">
        <x:v>%</x:v>
      </x:c>
      <x:c r="P38" s="22" t="str">
        <x:v>Líder SG-SST / Talento Humano</x:v>
      </x:c>
      <x:c r="Q38" s="22" t="str">
        <x:v>Plan de formación y capacitaciones</x:v>
      </x:c>
      <x:c r="R38" s="22" t="str"/>
    </x:row>
    <x:row r="39">
      <x:c r="A39" s="46" t="n">
        <x:v>45382</x:v>
      </x:c>
      <x:c r="B39" s="22" t="n">
        <x:v>2024</x:v>
      </x:c>
      <x:c r="C39" s="22" t="str">
        <x:v>Marzo</x:v>
      </x:c>
      <x:c r="D39" s="22" t="str">
        <x:v>E03</x:v>
      </x:c>
      <x:c r="E39" s="22" t="str">
        <x:v>% trabajadores con exámenes médicos ocupacionales vigentes</x:v>
      </x:c>
      <x:c r="F39" s="22" t="str">
        <x:v>Estructura</x:v>
      </x:c>
      <x:c r="G39" s="22" t="str">
        <x:v>Mensual</x:v>
      </x:c>
      <x:c r="H39" s="40" t="n">
        <x:v>95</x:v>
      </x:c>
      <x:c r="I39" s="22" t="str">
        <x:v>Mayor es mejor</x:v>
      </x:c>
      <x:c r="J39" s="40" t="n">
        <x:v>214</x:v>
      </x:c>
      <x:c r="K39" s="40" t="n">
        <x:v>225</x:v>
      </x:c>
      <x:c r="L39" s="40" t="n">
        <x:v>100</x:v>
      </x:c>
      <x:c r="M39" s="40" t="n">
        <x:f>IF(OR(J39="",K39="",K39=0),"",J39/K39*L39)</x:f>
        <x:v>95.11111111111111</x:v>
      </x:c>
      <x:c r="N39" s="22" t="str">
        <x:f>IF(M39="","",IF(I39="Mayor es mejor",IF(M39&gt;=H39,"En meta",IF(M39&gt;=H39*0.9,"Alerta","Crítico")),IF(M39&lt;=H39,"En meta",IF(M39&lt;=H39*1.1,"Alerta","Crítico"))))</x:f>
        <x:v>En meta</x:v>
      </x:c>
      <x:c r="O39" s="22" t="str">
        <x:v>%</x:v>
      </x:c>
      <x:c r="P39" s="22" t="str">
        <x:v>Líder SG-SST / Talento Humano</x:v>
      </x:c>
      <x:c r="Q39" s="22" t="str">
        <x:v>Matriz de seguimiento EMO</x:v>
      </x:c>
      <x:c r="R39" s="22" t="str"/>
    </x:row>
    <x:row r="40">
      <x:c r="A40" s="46" t="n">
        <x:v>45382</x:v>
      </x:c>
      <x:c r="B40" s="22" t="n">
        <x:v>2024</x:v>
      </x:c>
      <x:c r="C40" s="22" t="str">
        <x:v>Marzo</x:v>
      </x:c>
      <x:c r="D40" s="22" t="str">
        <x:v>E04</x:v>
      </x:c>
      <x:c r="E40" s="22" t="str">
        <x:v>% cumplimiento de requisitos legales aplicables en SST</x:v>
      </x:c>
      <x:c r="F40" s="22" t="str">
        <x:v>Estructura</x:v>
      </x:c>
      <x:c r="G40" s="22" t="str">
        <x:v>Mensual</x:v>
      </x:c>
      <x:c r="H40" s="40" t="n">
        <x:v>95</x:v>
      </x:c>
      <x:c r="I40" s="22" t="str">
        <x:v>Mayor es mejor</x:v>
      </x:c>
      <x:c r="J40" s="40" t="n">
        <x:v>57</x:v>
      </x:c>
      <x:c r="K40" s="40" t="n">
        <x:v>60</x:v>
      </x:c>
      <x:c r="L40" s="40" t="n">
        <x:v>100</x:v>
      </x:c>
      <x:c r="M40" s="40" t="n">
        <x:f>IF(OR(J40="",K40="",K40=0),"",J40/K40*L40)</x:f>
        <x:v>95</x:v>
      </x:c>
      <x:c r="N40" s="22" t="str">
        <x:f>IF(M40="","",IF(I40="Mayor es mejor",IF(M40&gt;=H40,"En meta",IF(M40&gt;=H40*0.9,"Alerta","Crítico")),IF(M40&lt;=H40,"En meta",IF(M40&lt;=H40*1.1,"Alerta","Crítico"))))</x:f>
        <x:v>En meta</x:v>
      </x:c>
      <x:c r="O40" s="22" t="str">
        <x:v>%</x:v>
      </x:c>
      <x:c r="P40" s="22" t="str">
        <x:v>Líder SG-SST / Jurídica</x:v>
      </x:c>
      <x:c r="Q40" s="22" t="str">
        <x:v>Matriz legal SGRL</x:v>
      </x:c>
      <x:c r="R40" s="22" t="str"/>
    </x:row>
    <x:row r="41">
      <x:c r="A41" s="46" t="n">
        <x:v>45382</x:v>
      </x:c>
      <x:c r="B41" s="22" t="n">
        <x:v>2024</x:v>
      </x:c>
      <x:c r="C41" s="22" t="str">
        <x:v>Marzo</x:v>
      </x:c>
      <x:c r="D41" s="22" t="str">
        <x:v>E05</x:v>
      </x:c>
      <x:c r="E41" s="22" t="str">
        <x:v>% proveedores y contratistas aprobados en SST</x:v>
      </x:c>
      <x:c r="F41" s="22" t="str">
        <x:v>Estructura</x:v>
      </x:c>
      <x:c r="G41" s="22" t="str">
        <x:v>Mensual</x:v>
      </x:c>
      <x:c r="H41" s="40" t="n">
        <x:v>90</x:v>
      </x:c>
      <x:c r="I41" s="22" t="str">
        <x:v>Mayor es mejor</x:v>
      </x:c>
      <x:c r="J41" s="40" t="n">
        <x:v>18</x:v>
      </x:c>
      <x:c r="K41" s="40" t="n">
        <x:v>20</x:v>
      </x:c>
      <x:c r="L41" s="40" t="n">
        <x:v>100</x:v>
      </x:c>
      <x:c r="M41" s="40" t="n">
        <x:f>IF(OR(J41="",K41="",K41=0),"",J41/K41*L41)</x:f>
        <x:v>90</x:v>
      </x:c>
      <x:c r="N41" s="22" t="str">
        <x:f>IF(M41="","",IF(I41="Mayor es mejor",IF(M41&gt;=H41,"En meta",IF(M41&gt;=H41*0.9,"Alerta","Crítico")),IF(M41&lt;=H41,"En meta",IF(M41&lt;=H41*1.1,"Alerta","Crítico"))))</x:f>
        <x:v>En meta</x:v>
      </x:c>
      <x:c r="O41" s="22" t="str">
        <x:v>%</x:v>
      </x:c>
      <x:c r="P41" s="22" t="str">
        <x:v>Compras / Líder SG-SST</x:v>
      </x:c>
      <x:c r="Q41" s="22" t="str">
        <x:v>Gestión de proveedores y contratistas</x:v>
      </x:c>
      <x:c r="R41" s="22" t="str"/>
    </x:row>
    <x:row r="42">
      <x:c r="A42" s="46" t="n">
        <x:v>45382</x:v>
      </x:c>
      <x:c r="B42" s="22" t="n">
        <x:v>2024</x:v>
      </x:c>
      <x:c r="C42" s="22" t="str">
        <x:v>Marzo</x:v>
      </x:c>
      <x:c r="D42" s="22" t="str">
        <x:v>P01</x:v>
      </x:c>
      <x:c r="E42" s="22" t="str">
        <x:v>% ejecución del plan anual de trabajo SG-SST</x:v>
      </x:c>
      <x:c r="F42" s="22" t="str">
        <x:v>Proceso</x:v>
      </x:c>
      <x:c r="G42" s="22" t="str">
        <x:v>Mensual</x:v>
      </x:c>
      <x:c r="H42" s="40" t="n">
        <x:v>90</x:v>
      </x:c>
      <x:c r="I42" s="22" t="str">
        <x:v>Mayor es mejor</x:v>
      </x:c>
      <x:c r="J42" s="40" t="n">
        <x:v>9</x:v>
      </x:c>
      <x:c r="K42" s="40" t="n">
        <x:v>10</x:v>
      </x:c>
      <x:c r="L42" s="40" t="n">
        <x:v>100</x:v>
      </x:c>
      <x:c r="M42" s="40" t="n">
        <x:f>IF(OR(J42="",K42="",K42=0),"",J42/K42*L42)</x:f>
        <x:v>90</x:v>
      </x:c>
      <x:c r="N42" s="22" t="str">
        <x:f>IF(M42="","",IF(I42="Mayor es mejor",IF(M42&gt;=H42,"En meta",IF(M42&gt;=H42*0.9,"Alerta","Crítico")),IF(M42&lt;=H42,"En meta",IF(M42&lt;=H42*1.1,"Alerta","Crítico"))))</x:f>
        <x:v>En meta</x:v>
      </x:c>
      <x:c r="O42" s="22" t="str">
        <x:v>%</x:v>
      </x:c>
      <x:c r="P42" s="22" t="str">
        <x:v>Líder SG-SST</x:v>
      </x:c>
      <x:c r="Q42" s="22" t="str">
        <x:v>Plan anual de trabajo PHVA</x:v>
      </x:c>
      <x:c r="R42" s="22" t="str"/>
    </x:row>
    <x:row r="43">
      <x:c r="A43" s="46" t="n">
        <x:v>45382</x:v>
      </x:c>
      <x:c r="B43" s="22" t="n">
        <x:v>2024</x:v>
      </x:c>
      <x:c r="C43" s="22" t="str">
        <x:v>Marzo</x:v>
      </x:c>
      <x:c r="D43" s="22" t="str">
        <x:v>P02</x:v>
      </x:c>
      <x:c r="E43" s="22" t="str">
        <x:v>% investigaciones de accidentes realizadas oportunamente</x:v>
      </x:c>
      <x:c r="F43" s="22" t="str">
        <x:v>Proceso</x:v>
      </x:c>
      <x:c r="G43" s="22" t="str">
        <x:v>Mensual</x:v>
      </x:c>
      <x:c r="H43" s="40" t="n">
        <x:v>95</x:v>
      </x:c>
      <x:c r="I43" s="22" t="str">
        <x:v>Mayor es mejor</x:v>
      </x:c>
      <x:c r="J43" s="40" t="n">
        <x:v>1</x:v>
      </x:c>
      <x:c r="K43" s="40" t="n">
        <x:v>1</x:v>
      </x:c>
      <x:c r="L43" s="40" t="n">
        <x:v>100</x:v>
      </x:c>
      <x:c r="M43" s="40" t="n">
        <x:f>IF(OR(J43="",K43="",K43=0),"",J43/K43*L43)</x:f>
        <x:v>100</x:v>
      </x:c>
      <x:c r="N43" s="22" t="str">
        <x:f>IF(M43="","",IF(I43="Mayor es mejor",IF(M43&gt;=H43,"En meta",IF(M43&gt;=H43*0.9,"Alerta","Crítico")),IF(M43&lt;=H43,"En meta",IF(M43&lt;=H43*1.1,"Alerta","Crítico"))))</x:f>
        <x:v>En meta</x:v>
      </x:c>
      <x:c r="O43" s="22" t="str">
        <x:v>%</x:v>
      </x:c>
      <x:c r="P43" s="22" t="str">
        <x:v>Líder SG-SST / COPASST</x:v>
      </x:c>
      <x:c r="Q43" s="22" t="str">
        <x:v>Matriz de accidentalidad</x:v>
      </x:c>
      <x:c r="R43" s="22" t="str"/>
    </x:row>
    <x:row r="44">
      <x:c r="A44" s="46" t="n">
        <x:v>45382</x:v>
      </x:c>
      <x:c r="B44" s="22" t="n">
        <x:v>2024</x:v>
      </x:c>
      <x:c r="C44" s="22" t="str">
        <x:v>Marzo</x:v>
      </x:c>
      <x:c r="D44" s="22" t="str">
        <x:v>P03</x:v>
      </x:c>
      <x:c r="E44" s="22" t="str">
        <x:v>% cierre oportuno de acciones correctivas, preventivas y de mejora</x:v>
      </x:c>
      <x:c r="F44" s="22" t="str">
        <x:v>Proceso</x:v>
      </x:c>
      <x:c r="G44" s="22" t="str">
        <x:v>Mensual</x:v>
      </x:c>
      <x:c r="H44" s="40" t="n">
        <x:v>90</x:v>
      </x:c>
      <x:c r="I44" s="22" t="str">
        <x:v>Mayor es mejor</x:v>
      </x:c>
      <x:c r="J44" s="40" t="n">
        <x:v>12</x:v>
      </x:c>
      <x:c r="K44" s="40" t="n">
        <x:v>13</x:v>
      </x:c>
      <x:c r="L44" s="40" t="n">
        <x:v>100</x:v>
      </x:c>
      <x:c r="M44" s="40" t="n">
        <x:f>IF(OR(J44="",K44="",K44=0),"",J44/K44*L44)</x:f>
        <x:v>92.3076923076923</x:v>
      </x:c>
      <x:c r="N44" s="22" t="str">
        <x:f>IF(M44="","",IF(I44="Mayor es mejor",IF(M44&gt;=H44,"En meta",IF(M44&gt;=H44*0.9,"Alerta","Crítico")),IF(M44&lt;=H44,"En meta",IF(M44&lt;=H44*1.1,"Alerta","Crítico"))))</x:f>
        <x:v>En meta</x:v>
      </x:c>
      <x:c r="O44" s="22" t="str">
        <x:v>%</x:v>
      </x:c>
      <x:c r="P44" s="22" t="str">
        <x:v>Líder SG-SST / Responsables de proceso</x:v>
      </x:c>
      <x:c r="Q44" s="22" t="str">
        <x:v>Matriz APCM</x:v>
      </x:c>
      <x:c r="R44" s="22" t="str"/>
    </x:row>
    <x:row r="45">
      <x:c r="A45" s="46" t="n">
        <x:v>45382</x:v>
      </x:c>
      <x:c r="B45" s="22" t="n">
        <x:v>2024</x:v>
      </x:c>
      <x:c r="C45" s="22" t="str">
        <x:v>Marzo</x:v>
      </x:c>
      <x:c r="D45" s="22" t="str">
        <x:v>P04</x:v>
      </x:c>
      <x:c r="E45" s="22" t="str">
        <x:v>% inspecciones de seguridad ejecutadas</x:v>
      </x:c>
      <x:c r="F45" s="22" t="str">
        <x:v>Proceso</x:v>
      </x:c>
      <x:c r="G45" s="22" t="str">
        <x:v>Mensual</x:v>
      </x:c>
      <x:c r="H45" s="40" t="n">
        <x:v>90</x:v>
      </x:c>
      <x:c r="I45" s="22" t="str">
        <x:v>Mayor es mejor</x:v>
      </x:c>
      <x:c r="J45" s="40" t="n">
        <x:v>10</x:v>
      </x:c>
      <x:c r="K45" s="40" t="n">
        <x:v>11</x:v>
      </x:c>
      <x:c r="L45" s="40" t="n">
        <x:v>100</x:v>
      </x:c>
      <x:c r="M45" s="40" t="n">
        <x:f>IF(OR(J45="",K45="",K45=0),"",J45/K45*L45)</x:f>
        <x:v>90.9090909090909</x:v>
      </x:c>
      <x:c r="N45" s="22" t="str">
        <x:f>IF(M45="","",IF(I45="Mayor es mejor",IF(M45&gt;=H45,"En meta",IF(M45&gt;=H45*0.9,"Alerta","Crítico")),IF(M45&lt;=H45,"En meta",IF(M45&lt;=H45*1.1,"Alerta","Crítico"))))</x:f>
        <x:v>En meta</x:v>
      </x:c>
      <x:c r="O45" s="22" t="str">
        <x:v>%</x:v>
      </x:c>
      <x:c r="P45" s="22" t="str">
        <x:v>Líder SG-SST / Supervisores</x:v>
      </x:c>
      <x:c r="Q45" s="22" t="str">
        <x:v>Programa de inspecciones</x:v>
      </x:c>
      <x:c r="R45" s="22" t="str"/>
    </x:row>
    <x:row r="46">
      <x:c r="A46" s="46" t="n">
        <x:v>45382</x:v>
      </x:c>
      <x:c r="B46" s="22" t="n">
        <x:v>2024</x:v>
      </x:c>
      <x:c r="C46" s="22" t="str">
        <x:v>Marzo</x:v>
      </x:c>
      <x:c r="D46" s="22" t="str">
        <x:v>P05</x:v>
      </x:c>
      <x:c r="E46" s="22" t="str">
        <x:v>% mantenimientos preventivos ejecutados</x:v>
      </x:c>
      <x:c r="F46" s="22" t="str">
        <x:v>Proceso</x:v>
      </x:c>
      <x:c r="G46" s="22" t="str">
        <x:v>Mensual</x:v>
      </x:c>
      <x:c r="H46" s="40" t="n">
        <x:v>90</x:v>
      </x:c>
      <x:c r="I46" s="22" t="str">
        <x:v>Mayor es mejor</x:v>
      </x:c>
      <x:c r="J46" s="40" t="n">
        <x:v>14</x:v>
      </x:c>
      <x:c r="K46" s="40" t="n">
        <x:v>15</x:v>
      </x:c>
      <x:c r="L46" s="40" t="n">
        <x:v>100</x:v>
      </x:c>
      <x:c r="M46" s="40" t="n">
        <x:f>IF(OR(J46="",K46="",K46=0),"",J46/K46*L46)</x:f>
        <x:v>93.33333333333333</x:v>
      </x:c>
      <x:c r="N46" s="22" t="str">
        <x:f>IF(M46="","",IF(I46="Mayor es mejor",IF(M46&gt;=H46,"En meta",IF(M46&gt;=H46*0.9,"Alerta","Crítico")),IF(M46&lt;=H46,"En meta",IF(M46&lt;=H46*1.1,"Alerta","Crítico"))))</x:f>
        <x:v>En meta</x:v>
      </x:c>
      <x:c r="O46" s="22" t="str">
        <x:v>%</x:v>
      </x:c>
      <x:c r="P46" s="22" t="str">
        <x:v>Mantenimiento / Líder SG-SST</x:v>
      </x:c>
      <x:c r="Q46" s="22" t="str">
        <x:v>Programa de mantenimiento preventivo</x:v>
      </x:c>
      <x:c r="R46" s="22" t="str"/>
    </x:row>
    <x:row r="47">
      <x:c r="A47" s="46" t="n">
        <x:v>45382</x:v>
      </x:c>
      <x:c r="B47" s="22" t="n">
        <x:v>2024</x:v>
      </x:c>
      <x:c r="C47" s="22" t="str">
        <x:v>Marzo</x:v>
      </x:c>
      <x:c r="D47" s="22" t="str">
        <x:v>R01</x:v>
      </x:c>
      <x:c r="E47" s="22" t="str">
        <x:v>Índice de frecuencia de accidentalidad (IF)</x:v>
      </x:c>
      <x:c r="F47" s="22" t="str">
        <x:v>Resultado</x:v>
      </x:c>
      <x:c r="G47" s="22" t="str">
        <x:v>Mensual</x:v>
      </x:c>
      <x:c r="H47" s="40" t="n">
        <x:v>3.5</x:v>
      </x:c>
      <x:c r="I47" s="22" t="str">
        <x:v>Menor es mejor</x:v>
      </x:c>
      <x:c r="J47" s="40" t="n">
        <x:v>1</x:v>
      </x:c>
      <x:c r="K47" s="40" t="n">
        <x:v>53905</x:v>
      </x:c>
      <x:c r="L47" s="40" t="n">
        <x:v>200000</x:v>
      </x:c>
      <x:c r="M47" s="40" t="n">
        <x:f>IF(OR(J47="",K47="",K47=0),"",J47/K47*L47)</x:f>
        <x:v>3.7102309618773766</x:v>
      </x:c>
      <x:c r="N47" s="22" t="str">
        <x:f>IF(M47="","",IF(I47="Mayor es mejor",IF(M47&gt;=H47,"En meta",IF(M47&gt;=H47*0.9,"Alerta","Crítico")),IF(M47&lt;=H47,"En meta",IF(M47&lt;=H47*1.1,"Alerta","Crítico"))))</x:f>
        <x:v>Alerta</x:v>
      </x:c>
      <x:c r="O47" s="22" t="str">
        <x:v>Índice</x:v>
      </x:c>
      <x:c r="P47" s="22" t="str">
        <x:v>Líder SG-SST</x:v>
      </x:c>
      <x:c r="Q47" s="22" t="str">
        <x:v>Matriz de accidentalidad / nómina</x:v>
      </x:c>
      <x:c r="R47" s="22" t="str"/>
    </x:row>
    <x:row r="48">
      <x:c r="A48" s="46" t="n">
        <x:v>45382</x:v>
      </x:c>
      <x:c r="B48" s="22" t="n">
        <x:v>2024</x:v>
      </x:c>
      <x:c r="C48" s="22" t="str">
        <x:v>Marzo</x:v>
      </x:c>
      <x:c r="D48" s="22" t="str">
        <x:v>R02</x:v>
      </x:c>
      <x:c r="E48" s="22" t="str">
        <x:v>Índice de severidad de accidentalidad (IS)</x:v>
      </x:c>
      <x:c r="F48" s="22" t="str">
        <x:v>Resultado</x:v>
      </x:c>
      <x:c r="G48" s="22" t="str">
        <x:v>Mensual</x:v>
      </x:c>
      <x:c r="H48" s="40" t="n">
        <x:v>80</x:v>
      </x:c>
      <x:c r="I48" s="22" t="str">
        <x:v>Menor es mejor</x:v>
      </x:c>
      <x:c r="J48" s="40" t="n">
        <x:v>18</x:v>
      </x:c>
      <x:c r="K48" s="40" t="n">
        <x:v>53905</x:v>
      </x:c>
      <x:c r="L48" s="40" t="n">
        <x:v>200000</x:v>
      </x:c>
      <x:c r="M48" s="40" t="n">
        <x:f>IF(OR(J48="",K48="",K48=0),"",J48/K48*L48)</x:f>
        <x:v>66.78415731379278</x:v>
      </x:c>
      <x:c r="N48" s="22" t="str">
        <x:f>IF(M48="","",IF(I48="Mayor es mejor",IF(M48&gt;=H48,"En meta",IF(M48&gt;=H48*0.9,"Alerta","Crítico")),IF(M48&lt;=H48,"En meta",IF(M48&lt;=H48*1.1,"Alerta","Crítico"))))</x:f>
        <x:v>En meta</x:v>
      </x:c>
      <x:c r="O48" s="22" t="str">
        <x:v>Índice</x:v>
      </x:c>
      <x:c r="P48" s="22" t="str">
        <x:v>Líder SG-SST</x:v>
      </x:c>
      <x:c r="Q48" s="22" t="str">
        <x:v>Matriz de accidentalidad / nómina</x:v>
      </x:c>
      <x:c r="R48" s="22" t="str"/>
    </x:row>
    <x:row r="49">
      <x:c r="A49" s="46" t="n">
        <x:v>45382</x:v>
      </x:c>
      <x:c r="B49" s="22" t="n">
        <x:v>2024</x:v>
      </x:c>
      <x:c r="C49" s="22" t="str">
        <x:v>Marzo</x:v>
      </x:c>
      <x:c r="D49" s="22" t="str">
        <x:v>R03</x:v>
      </x:c>
      <x:c r="E49" s="22" t="str">
        <x:v>Índice de lesión incapacitante (ILI)</x:v>
      </x:c>
      <x:c r="F49" s="22" t="str">
        <x:v>Resultado</x:v>
      </x:c>
      <x:c r="G49" s="22" t="str">
        <x:v>Mensual</x:v>
      </x:c>
      <x:c r="H49" s="40" t="n">
        <x:v>0.25</x:v>
      </x:c>
      <x:c r="I49" s="22" t="str">
        <x:v>Menor es mejor</x:v>
      </x:c>
      <x:c r="J49" s="40" t="n">
        <x:v>247.7846</x:v>
      </x:c>
      <x:c r="K49" s="40" t="n">
        <x:v>1000</x:v>
      </x:c>
      <x:c r="L49" s="40" t="n">
        <x:v>1</x:v>
      </x:c>
      <x:c r="M49" s="40" t="n">
        <x:f>IF(OR(J49="",K49="",K49=0),"",J49/K49*L49)</x:f>
        <x:v>0.24778460000000002</x:v>
      </x:c>
      <x:c r="N49" s="22" t="str">
        <x:f>IF(M49="","",IF(I49="Mayor es mejor",IF(M49&gt;=H49,"En meta",IF(M49&gt;=H49*0.9,"Alerta","Crítico")),IF(M49&lt;=H49,"En meta",IF(M49&lt;=H49*1.1,"Alerta","Crítico"))))</x:f>
        <x:v>En meta</x:v>
      </x:c>
      <x:c r="O49" s="22" t="str">
        <x:v>Índice</x:v>
      </x:c>
      <x:c r="P49" s="22" t="str">
        <x:v>Líder SG-SST</x:v>
      </x:c>
      <x:c r="Q49" s="22" t="str">
        <x:v>Indicadores derivados de accidentalidad</x:v>
      </x:c>
      <x:c r="R49" s="22" t="str">
        <x:v>ILI calculado sobre IF e IS del periodo.</x:v>
      </x:c>
    </x:row>
    <x:row r="50">
      <x:c r="A50" s="46" t="n">
        <x:v>45382</x:v>
      </x:c>
      <x:c r="B50" s="22" t="n">
        <x:v>2024</x:v>
      </x:c>
      <x:c r="C50" s="22" t="str">
        <x:v>Marzo</x:v>
      </x:c>
      <x:c r="D50" s="22" t="str">
        <x:v>R04</x:v>
      </x:c>
      <x:c r="E50" s="22" t="str">
        <x:v>Tasa de accidentalidad</x:v>
      </x:c>
      <x:c r="F50" s="22" t="str">
        <x:v>Resultado</x:v>
      </x:c>
      <x:c r="G50" s="22" t="str">
        <x:v>Mensual</x:v>
      </x:c>
      <x:c r="H50" s="40" t="n">
        <x:v>0.6</x:v>
      </x:c>
      <x:c r="I50" s="22" t="str">
        <x:v>Menor es mejor</x:v>
      </x:c>
      <x:c r="J50" s="40" t="n">
        <x:v>2.7</x:v>
      </x:c>
      <x:c r="K50" s="40" t="n">
        <x:v>225</x:v>
      </x:c>
      <x:c r="L50" s="40" t="n">
        <x:v>100</x:v>
      </x:c>
      <x:c r="M50" s="40" t="n">
        <x:f>IF(OR(J50="",K50="",K50=0),"",J50/K50*L50)</x:f>
        <x:v>1.2</x:v>
      </x:c>
      <x:c r="N50" s="22" t="str">
        <x:f>IF(M50="","",IF(I50="Mayor es mejor",IF(M50&gt;=H50,"En meta",IF(M50&gt;=H50*0.9,"Alerta","Crítico")),IF(M50&lt;=H50,"En meta",IF(M50&lt;=H50*1.1,"Alerta","Crítico"))))</x:f>
        <x:v>Crítico</x:v>
      </x:c>
      <x:c r="O50" s="22" t="str">
        <x:v>%</x:v>
      </x:c>
      <x:c r="P50" s="22" t="str">
        <x:v>Líder SG-SST</x:v>
      </x:c>
      <x:c r="Q50" s="22" t="str">
        <x:v>Matriz de accidentalidad / nómina</x:v>
      </x:c>
      <x:c r="R50" s="22" t="str"/>
    </x:row>
    <x:row r="51">
      <x:c r="A51" s="46" t="n">
        <x:v>45382</x:v>
      </x:c>
      <x:c r="B51" s="22" t="n">
        <x:v>2024</x:v>
      </x:c>
      <x:c r="C51" s="22" t="str">
        <x:v>Marzo</x:v>
      </x:c>
      <x:c r="D51" s="22" t="str">
        <x:v>R05</x:v>
      </x:c>
      <x:c r="E51" s="22" t="str">
        <x:v>Prevalencia de enfermedad laboral</x:v>
      </x:c>
      <x:c r="F51" s="22" t="str">
        <x:v>Resultado</x:v>
      </x:c>
      <x:c r="G51" s="22" t="str">
        <x:v>Mensual</x:v>
      </x:c>
      <x:c r="H51" s="40" t="n">
        <x:v>0.3</x:v>
      </x:c>
      <x:c r="I51" s="22" t="str">
        <x:v>Menor es mejor</x:v>
      </x:c>
      <x:c r="J51" s="40" t="n">
        <x:v>2.44</x:v>
      </x:c>
      <x:c r="K51" s="40" t="n">
        <x:v>225</x:v>
      </x:c>
      <x:c r="L51" s="40" t="n">
        <x:v>100</x:v>
      </x:c>
      <x:c r="M51" s="40" t="n">
        <x:f>IF(OR(J51="",K51="",K51=0),"",J51/K51*L51)</x:f>
        <x:v>1.0844444444444445</x:v>
      </x:c>
      <x:c r="N51" s="22" t="str">
        <x:f>IF(M51="","",IF(I51="Mayor es mejor",IF(M51&gt;=H51,"En meta",IF(M51&gt;=H51*0.9,"Alerta","Crítico")),IF(M51&lt;=H51,"En meta",IF(M51&lt;=H51*1.1,"Alerta","Crítico"))))</x:f>
        <x:v>Crítico</x:v>
      </x:c>
      <x:c r="O51" s="22" t="str">
        <x:v>%</x:v>
      </x:c>
      <x:c r="P51" s="22" t="str">
        <x:v>Líder SG-SST / Medicina laboral</x:v>
      </x:c>
      <x:c r="Q51" s="22" t="str">
        <x:v>Matriz de enfermedad laboral / nómina</x:v>
      </x:c>
      <x:c r="R51" s="22" t="str"/>
    </x:row>
    <x:row r="52">
      <x:c r="A52" s="46" t="n">
        <x:v>45382</x:v>
      </x:c>
      <x:c r="B52" s="22" t="n">
        <x:v>2024</x:v>
      </x:c>
      <x:c r="C52" s="22" t="str">
        <x:v>Marzo</x:v>
      </x:c>
      <x:c r="D52" s="22" t="str">
        <x:v>R06</x:v>
      </x:c>
      <x:c r="E52" s="22" t="str">
        <x:v>% cumplimiento de estándares mínimos Res. 0312 de 2019</x:v>
      </x:c>
      <x:c r="F52" s="22" t="str">
        <x:v>Resultado</x:v>
      </x:c>
      <x:c r="G52" s="22" t="str">
        <x:v>Mensual</x:v>
      </x:c>
      <x:c r="H52" s="40" t="n">
        <x:v>95</x:v>
      </x:c>
      <x:c r="I52" s="22" t="str">
        <x:v>Mayor es mejor</x:v>
      </x:c>
      <x:c r="J52" s="40" t="n">
        <x:v>96</x:v>
      </x:c>
      <x:c r="K52" s="40" t="n">
        <x:v>100</x:v>
      </x:c>
      <x:c r="L52" s="40" t="n">
        <x:v>100</x:v>
      </x:c>
      <x:c r="M52" s="40" t="n">
        <x:f>IF(OR(J52="",K52="",K52=0),"",J52/K52*L52)</x:f>
        <x:v>96</x:v>
      </x:c>
      <x:c r="N52" s="22" t="str">
        <x:f>IF(M52="","",IF(I52="Mayor es mejor",IF(M52&gt;=H52,"En meta",IF(M52&gt;=H52*0.9,"Alerta","Crítico")),IF(M52&lt;=H52,"En meta",IF(M52&lt;=H52*1.1,"Alerta","Crítico"))))</x:f>
        <x:v>En meta</x:v>
      </x:c>
      <x:c r="O52" s="22" t="str">
        <x:v>%</x:v>
      </x:c>
      <x:c r="P52" s="22" t="str">
        <x:v>Líder SG-SST / Alta Dirección</x:v>
      </x:c>
      <x:c r="Q52" s="22" t="str">
        <x:v>Autodiagnóstico Res. 0312 de 2019</x:v>
      </x:c>
      <x:c r="R52" s="22" t="str"/>
    </x:row>
    <x:row r="53">
      <x:c r="A53" s="46" t="n">
        <x:v>45412</x:v>
      </x:c>
      <x:c r="B53" s="22" t="n">
        <x:v>2024</x:v>
      </x:c>
      <x:c r="C53" s="22" t="str">
        <x:v>Abril</x:v>
      </x:c>
      <x:c r="D53" s="22" t="str">
        <x:v>E01</x:v>
      </x:c>
      <x:c r="E53" s="22" t="str">
        <x:v>% ejecución presupuestal del SG-SST</x:v>
      </x:c>
      <x:c r="F53" s="22" t="str">
        <x:v>Estructura</x:v>
      </x:c>
      <x:c r="G53" s="22" t="str">
        <x:v>Mensual</x:v>
      </x:c>
      <x:c r="H53" s="40" t="n">
        <x:v>95</x:v>
      </x:c>
      <x:c r="I53" s="22" t="str">
        <x:v>Mayor es mejor</x:v>
      </x:c>
      <x:c r="J53" s="40" t="n">
        <x:v>5655059</x:v>
      </x:c>
      <x:c r="K53" s="40" t="n">
        <x:v>6000000</x:v>
      </x:c>
      <x:c r="L53" s="40" t="n">
        <x:v>100</x:v>
      </x:c>
      <x:c r="M53" s="40" t="n">
        <x:f>IF(OR(J53="",K53="",K53=0),"",J53/K53*L53)</x:f>
        <x:v>94.25098333333334</x:v>
      </x:c>
      <x:c r="N53" s="22" t="str">
        <x:f>IF(M53="","",IF(I53="Mayor es mejor",IF(M53&gt;=H53,"En meta",IF(M53&gt;=H53*0.9,"Alerta","Crítico")),IF(M53&lt;=H53,"En meta",IF(M53&lt;=H53*1.1,"Alerta","Crítico"))))</x:f>
        <x:v>Alerta</x:v>
      </x:c>
      <x:c r="O53" s="22" t="str">
        <x:v>%</x:v>
      </x:c>
      <x:c r="P53" s="22" t="str">
        <x:v>Líder SG-SST / Dirección Administrativa</x:v>
      </x:c>
      <x:c r="Q53" s="22" t="str">
        <x:v>Presupuesto SST</x:v>
      </x:c>
      <x:c r="R53" s="22" t="str"/>
    </x:row>
    <x:row r="54">
      <x:c r="A54" s="46" t="n">
        <x:v>45412</x:v>
      </x:c>
      <x:c r="B54" s="22" t="n">
        <x:v>2024</x:v>
      </x:c>
      <x:c r="C54" s="22" t="str">
        <x:v>Abril</x:v>
      </x:c>
      <x:c r="D54" s="22" t="str">
        <x:v>E02</x:v>
      </x:c>
      <x:c r="E54" s="22" t="str">
        <x:v>% cobertura del plan de formación y capacitación SG-SST</x:v>
      </x:c>
      <x:c r="F54" s="22" t="str">
        <x:v>Estructura</x:v>
      </x:c>
      <x:c r="G54" s="22" t="str">
        <x:v>Mensual</x:v>
      </x:c>
      <x:c r="H54" s="40" t="n">
        <x:v>90</x:v>
      </x:c>
      <x:c r="I54" s="22" t="str">
        <x:v>Mayor es mejor</x:v>
      </x:c>
      <x:c r="J54" s="40" t="n">
        <x:v>16</x:v>
      </x:c>
      <x:c r="K54" s="40" t="n">
        <x:v>18</x:v>
      </x:c>
      <x:c r="L54" s="40" t="n">
        <x:v>100</x:v>
      </x:c>
      <x:c r="M54" s="40" t="n">
        <x:f>IF(OR(J54="",K54="",K54=0),"",J54/K54*L54)</x:f>
        <x:v>88.88888888888889</x:v>
      </x:c>
      <x:c r="N54" s="22" t="str">
        <x:f>IF(M54="","",IF(I54="Mayor es mejor",IF(M54&gt;=H54,"En meta",IF(M54&gt;=H54*0.9,"Alerta","Crítico")),IF(M54&lt;=H54,"En meta",IF(M54&lt;=H54*1.1,"Alerta","Crítico"))))</x:f>
        <x:v>Alerta</x:v>
      </x:c>
      <x:c r="O54" s="22" t="str">
        <x:v>%</x:v>
      </x:c>
      <x:c r="P54" s="22" t="str">
        <x:v>Líder SG-SST / Talento Humano</x:v>
      </x:c>
      <x:c r="Q54" s="22" t="str">
        <x:v>Plan de formación y capacitaciones</x:v>
      </x:c>
      <x:c r="R54" s="22" t="str"/>
    </x:row>
    <x:row r="55">
      <x:c r="A55" s="46" t="n">
        <x:v>45412</x:v>
      </x:c>
      <x:c r="B55" s="22" t="n">
        <x:v>2024</x:v>
      </x:c>
      <x:c r="C55" s="22" t="str">
        <x:v>Abril</x:v>
      </x:c>
      <x:c r="D55" s="22" t="str">
        <x:v>E03</x:v>
      </x:c>
      <x:c r="E55" s="22" t="str">
        <x:v>% trabajadores con exámenes médicos ocupacionales vigentes</x:v>
      </x:c>
      <x:c r="F55" s="22" t="str">
        <x:v>Estructura</x:v>
      </x:c>
      <x:c r="G55" s="22" t="str">
        <x:v>Mensual</x:v>
      </x:c>
      <x:c r="H55" s="40" t="n">
        <x:v>95</x:v>
      </x:c>
      <x:c r="I55" s="22" t="str">
        <x:v>Mayor es mejor</x:v>
      </x:c>
      <x:c r="J55" s="40" t="n">
        <x:v>216</x:v>
      </x:c>
      <x:c r="K55" s="40" t="n">
        <x:v>226</x:v>
      </x:c>
      <x:c r="L55" s="40" t="n">
        <x:v>100</x:v>
      </x:c>
      <x:c r="M55" s="40" t="n">
        <x:f>IF(OR(J55="",K55="",K55=0),"",J55/K55*L55)</x:f>
        <x:v>95.57522123893806</x:v>
      </x:c>
      <x:c r="N55" s="22" t="str">
        <x:f>IF(M55="","",IF(I55="Mayor es mejor",IF(M55&gt;=H55,"En meta",IF(M55&gt;=H55*0.9,"Alerta","Crítico")),IF(M55&lt;=H55,"En meta",IF(M55&lt;=H55*1.1,"Alerta","Crítico"))))</x:f>
        <x:v>En meta</x:v>
      </x:c>
      <x:c r="O55" s="22" t="str">
        <x:v>%</x:v>
      </x:c>
      <x:c r="P55" s="22" t="str">
        <x:v>Líder SG-SST / Talento Humano</x:v>
      </x:c>
      <x:c r="Q55" s="22" t="str">
        <x:v>Matriz de seguimiento EMO</x:v>
      </x:c>
      <x:c r="R55" s="22" t="str"/>
    </x:row>
    <x:row r="56">
      <x:c r="A56" s="46" t="n">
        <x:v>45412</x:v>
      </x:c>
      <x:c r="B56" s="22" t="n">
        <x:v>2024</x:v>
      </x:c>
      <x:c r="C56" s="22" t="str">
        <x:v>Abril</x:v>
      </x:c>
      <x:c r="D56" s="22" t="str">
        <x:v>E04</x:v>
      </x:c>
      <x:c r="E56" s="22" t="str">
        <x:v>% cumplimiento de requisitos legales aplicables en SST</x:v>
      </x:c>
      <x:c r="F56" s="22" t="str">
        <x:v>Estructura</x:v>
      </x:c>
      <x:c r="G56" s="22" t="str">
        <x:v>Mensual</x:v>
      </x:c>
      <x:c r="H56" s="40" t="n">
        <x:v>95</x:v>
      </x:c>
      <x:c r="I56" s="22" t="str">
        <x:v>Mayor es mejor</x:v>
      </x:c>
      <x:c r="J56" s="40" t="n">
        <x:v>57</x:v>
      </x:c>
      <x:c r="K56" s="40" t="n">
        <x:v>60</x:v>
      </x:c>
      <x:c r="L56" s="40" t="n">
        <x:v>100</x:v>
      </x:c>
      <x:c r="M56" s="40" t="n">
        <x:f>IF(OR(J56="",K56="",K56=0),"",J56/K56*L56)</x:f>
        <x:v>95</x:v>
      </x:c>
      <x:c r="N56" s="22" t="str">
        <x:f>IF(M56="","",IF(I56="Mayor es mejor",IF(M56&gt;=H56,"En meta",IF(M56&gt;=H56*0.9,"Alerta","Crítico")),IF(M56&lt;=H56,"En meta",IF(M56&lt;=H56*1.1,"Alerta","Crítico"))))</x:f>
        <x:v>En meta</x:v>
      </x:c>
      <x:c r="O56" s="22" t="str">
        <x:v>%</x:v>
      </x:c>
      <x:c r="P56" s="22" t="str">
        <x:v>Líder SG-SST / Jurídica</x:v>
      </x:c>
      <x:c r="Q56" s="22" t="str">
        <x:v>Matriz legal SGRL</x:v>
      </x:c>
      <x:c r="R56" s="22" t="str"/>
    </x:row>
    <x:row r="57">
      <x:c r="A57" s="46" t="n">
        <x:v>45412</x:v>
      </x:c>
      <x:c r="B57" s="22" t="n">
        <x:v>2024</x:v>
      </x:c>
      <x:c r="C57" s="22" t="str">
        <x:v>Abril</x:v>
      </x:c>
      <x:c r="D57" s="22" t="str">
        <x:v>E05</x:v>
      </x:c>
      <x:c r="E57" s="22" t="str">
        <x:v>% proveedores y contratistas aprobados en SST</x:v>
      </x:c>
      <x:c r="F57" s="22" t="str">
        <x:v>Estructura</x:v>
      </x:c>
      <x:c r="G57" s="22" t="str">
        <x:v>Mensual</x:v>
      </x:c>
      <x:c r="H57" s="40" t="n">
        <x:v>90</x:v>
      </x:c>
      <x:c r="I57" s="22" t="str">
        <x:v>Mayor es mejor</x:v>
      </x:c>
      <x:c r="J57" s="40" t="n">
        <x:v>18</x:v>
      </x:c>
      <x:c r="K57" s="40" t="n">
        <x:v>20</x:v>
      </x:c>
      <x:c r="L57" s="40" t="n">
        <x:v>100</x:v>
      </x:c>
      <x:c r="M57" s="40" t="n">
        <x:f>IF(OR(J57="",K57="",K57=0),"",J57/K57*L57)</x:f>
        <x:v>90</x:v>
      </x:c>
      <x:c r="N57" s="22" t="str">
        <x:f>IF(M57="","",IF(I57="Mayor es mejor",IF(M57&gt;=H57,"En meta",IF(M57&gt;=H57*0.9,"Alerta","Crítico")),IF(M57&lt;=H57,"En meta",IF(M57&lt;=H57*1.1,"Alerta","Crítico"))))</x:f>
        <x:v>En meta</x:v>
      </x:c>
      <x:c r="O57" s="22" t="str">
        <x:v>%</x:v>
      </x:c>
      <x:c r="P57" s="22" t="str">
        <x:v>Compras / Líder SG-SST</x:v>
      </x:c>
      <x:c r="Q57" s="22" t="str">
        <x:v>Gestión de proveedores y contratistas</x:v>
      </x:c>
      <x:c r="R57" s="22" t="str"/>
    </x:row>
    <x:row r="58">
      <x:c r="A58" s="46" t="n">
        <x:v>45412</x:v>
      </x:c>
      <x:c r="B58" s="22" t="n">
        <x:v>2024</x:v>
      </x:c>
      <x:c r="C58" s="22" t="str">
        <x:v>Abril</x:v>
      </x:c>
      <x:c r="D58" s="22" t="str">
        <x:v>P01</x:v>
      </x:c>
      <x:c r="E58" s="22" t="str">
        <x:v>% ejecución del plan anual de trabajo SG-SST</x:v>
      </x:c>
      <x:c r="F58" s="22" t="str">
        <x:v>Proceso</x:v>
      </x:c>
      <x:c r="G58" s="22" t="str">
        <x:v>Mensual</x:v>
      </x:c>
      <x:c r="H58" s="40" t="n">
        <x:v>90</x:v>
      </x:c>
      <x:c r="I58" s="22" t="str">
        <x:v>Mayor es mejor</x:v>
      </x:c>
      <x:c r="J58" s="40" t="n">
        <x:v>11</x:v>
      </x:c>
      <x:c r="K58" s="40" t="n">
        <x:v>12</x:v>
      </x:c>
      <x:c r="L58" s="40" t="n">
        <x:v>100</x:v>
      </x:c>
      <x:c r="M58" s="40" t="n">
        <x:f>IF(OR(J58="",K58="",K58=0),"",J58/K58*L58)</x:f>
        <x:v>91.66666666666666</x:v>
      </x:c>
      <x:c r="N58" s="22" t="str">
        <x:f>IF(M58="","",IF(I58="Mayor es mejor",IF(M58&gt;=H58,"En meta",IF(M58&gt;=H58*0.9,"Alerta","Crítico")),IF(M58&lt;=H58,"En meta",IF(M58&lt;=H58*1.1,"Alerta","Crítico"))))</x:f>
        <x:v>En meta</x:v>
      </x:c>
      <x:c r="O58" s="22" t="str">
        <x:v>%</x:v>
      </x:c>
      <x:c r="P58" s="22" t="str">
        <x:v>Líder SG-SST</x:v>
      </x:c>
      <x:c r="Q58" s="22" t="str">
        <x:v>Plan anual de trabajo PHVA</x:v>
      </x:c>
      <x:c r="R58" s="22" t="str"/>
    </x:row>
    <x:row r="59">
      <x:c r="A59" s="46" t="n">
        <x:v>45412</x:v>
      </x:c>
      <x:c r="B59" s="22" t="n">
        <x:v>2024</x:v>
      </x:c>
      <x:c r="C59" s="22" t="str">
        <x:v>Abril</x:v>
      </x:c>
      <x:c r="D59" s="22" t="str">
        <x:v>P02</x:v>
      </x:c>
      <x:c r="E59" s="22" t="str">
        <x:v>% investigaciones de accidentes realizadas oportunamente</x:v>
      </x:c>
      <x:c r="F59" s="22" t="str">
        <x:v>Proceso</x:v>
      </x:c>
      <x:c r="G59" s="22" t="str">
        <x:v>Mensual</x:v>
      </x:c>
      <x:c r="H59" s="40" t="n">
        <x:v>95</x:v>
      </x:c>
      <x:c r="I59" s="22" t="str">
        <x:v>Mayor es mejor</x:v>
      </x:c>
      <x:c r="J59" s="40" t="n">
        <x:v>1</x:v>
      </x:c>
      <x:c r="K59" s="40" t="n">
        <x:v>1</x:v>
      </x:c>
      <x:c r="L59" s="40" t="n">
        <x:v>100</x:v>
      </x:c>
      <x:c r="M59" s="40" t="n">
        <x:f>IF(OR(J59="",K59="",K59=0),"",J59/K59*L59)</x:f>
        <x:v>100</x:v>
      </x:c>
      <x:c r="N59" s="22" t="str">
        <x:f>IF(M59="","",IF(I59="Mayor es mejor",IF(M59&gt;=H59,"En meta",IF(M59&gt;=H59*0.9,"Alerta","Crítico")),IF(M59&lt;=H59,"En meta",IF(M59&lt;=H59*1.1,"Alerta","Crítico"))))</x:f>
        <x:v>En meta</x:v>
      </x:c>
      <x:c r="O59" s="22" t="str">
        <x:v>%</x:v>
      </x:c>
      <x:c r="P59" s="22" t="str">
        <x:v>Líder SG-SST / COPASST</x:v>
      </x:c>
      <x:c r="Q59" s="22" t="str">
        <x:v>Matriz de accidentalidad</x:v>
      </x:c>
      <x:c r="R59" s="22" t="str"/>
    </x:row>
    <x:row r="60">
      <x:c r="A60" s="46" t="n">
        <x:v>45412</x:v>
      </x:c>
      <x:c r="B60" s="22" t="n">
        <x:v>2024</x:v>
      </x:c>
      <x:c r="C60" s="22" t="str">
        <x:v>Abril</x:v>
      </x:c>
      <x:c r="D60" s="22" t="str">
        <x:v>P03</x:v>
      </x:c>
      <x:c r="E60" s="22" t="str">
        <x:v>% cierre oportuno de acciones correctivas, preventivas y de mejora</x:v>
      </x:c>
      <x:c r="F60" s="22" t="str">
        <x:v>Proceso</x:v>
      </x:c>
      <x:c r="G60" s="22" t="str">
        <x:v>Mensual</x:v>
      </x:c>
      <x:c r="H60" s="40" t="n">
        <x:v>90</x:v>
      </x:c>
      <x:c r="I60" s="22" t="str">
        <x:v>Mayor es mejor</x:v>
      </x:c>
      <x:c r="J60" s="40" t="n">
        <x:v>12</x:v>
      </x:c>
      <x:c r="K60" s="40" t="n">
        <x:v>14</x:v>
      </x:c>
      <x:c r="L60" s="40" t="n">
        <x:v>100</x:v>
      </x:c>
      <x:c r="M60" s="40" t="n">
        <x:f>IF(OR(J60="",K60="",K60=0),"",J60/K60*L60)</x:f>
        <x:v>85.71428571428571</x:v>
      </x:c>
      <x:c r="N60" s="22" t="str">
        <x:f>IF(M60="","",IF(I60="Mayor es mejor",IF(M60&gt;=H60,"En meta",IF(M60&gt;=H60*0.9,"Alerta","Crítico")),IF(M60&lt;=H60,"En meta",IF(M60&lt;=H60*1.1,"Alerta","Crítico"))))</x:f>
        <x:v>Alerta</x:v>
      </x:c>
      <x:c r="O60" s="22" t="str">
        <x:v>%</x:v>
      </x:c>
      <x:c r="P60" s="22" t="str">
        <x:v>Líder SG-SST / Responsables de proceso</x:v>
      </x:c>
      <x:c r="Q60" s="22" t="str">
        <x:v>Matriz APCM</x:v>
      </x:c>
      <x:c r="R60" s="22" t="str"/>
    </x:row>
    <x:row r="61">
      <x:c r="A61" s="46" t="n">
        <x:v>45412</x:v>
      </x:c>
      <x:c r="B61" s="22" t="n">
        <x:v>2024</x:v>
      </x:c>
      <x:c r="C61" s="22" t="str">
        <x:v>Abril</x:v>
      </x:c>
      <x:c r="D61" s="22" t="str">
        <x:v>P04</x:v>
      </x:c>
      <x:c r="E61" s="22" t="str">
        <x:v>% inspecciones de seguridad ejecutadas</x:v>
      </x:c>
      <x:c r="F61" s="22" t="str">
        <x:v>Proceso</x:v>
      </x:c>
      <x:c r="G61" s="22" t="str">
        <x:v>Mensual</x:v>
      </x:c>
      <x:c r="H61" s="40" t="n">
        <x:v>90</x:v>
      </x:c>
      <x:c r="I61" s="22" t="str">
        <x:v>Mayor es mejor</x:v>
      </x:c>
      <x:c r="J61" s="40" t="n">
        <x:v>7</x:v>
      </x:c>
      <x:c r="K61" s="40" t="n">
        <x:v>8</x:v>
      </x:c>
      <x:c r="L61" s="40" t="n">
        <x:v>100</x:v>
      </x:c>
      <x:c r="M61" s="40" t="n">
        <x:f>IF(OR(J61="",K61="",K61=0),"",J61/K61*L61)</x:f>
        <x:v>87.5</x:v>
      </x:c>
      <x:c r="N61" s="22" t="str">
        <x:f>IF(M61="","",IF(I61="Mayor es mejor",IF(M61&gt;=H61,"En meta",IF(M61&gt;=H61*0.9,"Alerta","Crítico")),IF(M61&lt;=H61,"En meta",IF(M61&lt;=H61*1.1,"Alerta","Crítico"))))</x:f>
        <x:v>Alerta</x:v>
      </x:c>
      <x:c r="O61" s="22" t="str">
        <x:v>%</x:v>
      </x:c>
      <x:c r="P61" s="22" t="str">
        <x:v>Líder SG-SST / Supervisores</x:v>
      </x:c>
      <x:c r="Q61" s="22" t="str">
        <x:v>Programa de inspecciones</x:v>
      </x:c>
      <x:c r="R61" s="22" t="str"/>
    </x:row>
    <x:row r="62">
      <x:c r="A62" s="46" t="n">
        <x:v>45412</x:v>
      </x:c>
      <x:c r="B62" s="22" t="n">
        <x:v>2024</x:v>
      </x:c>
      <x:c r="C62" s="22" t="str">
        <x:v>Abril</x:v>
      </x:c>
      <x:c r="D62" s="22" t="str">
        <x:v>P05</x:v>
      </x:c>
      <x:c r="E62" s="22" t="str">
        <x:v>% mantenimientos preventivos ejecutados</x:v>
      </x:c>
      <x:c r="F62" s="22" t="str">
        <x:v>Proceso</x:v>
      </x:c>
      <x:c r="G62" s="22" t="str">
        <x:v>Mensual</x:v>
      </x:c>
      <x:c r="H62" s="40" t="n">
        <x:v>90</x:v>
      </x:c>
      <x:c r="I62" s="22" t="str">
        <x:v>Mayor es mejor</x:v>
      </x:c>
      <x:c r="J62" s="40" t="n">
        <x:v>11</x:v>
      </x:c>
      <x:c r="K62" s="40" t="n">
        <x:v>12</x:v>
      </x:c>
      <x:c r="L62" s="40" t="n">
        <x:v>100</x:v>
      </x:c>
      <x:c r="M62" s="40" t="n">
        <x:f>IF(OR(J62="",K62="",K62=0),"",J62/K62*L62)</x:f>
        <x:v>91.66666666666666</x:v>
      </x:c>
      <x:c r="N62" s="22" t="str">
        <x:f>IF(M62="","",IF(I62="Mayor es mejor",IF(M62&gt;=H62,"En meta",IF(M62&gt;=H62*0.9,"Alerta","Crítico")),IF(M62&lt;=H62,"En meta",IF(M62&lt;=H62*1.1,"Alerta","Crítico"))))</x:f>
        <x:v>En meta</x:v>
      </x:c>
      <x:c r="O62" s="22" t="str">
        <x:v>%</x:v>
      </x:c>
      <x:c r="P62" s="22" t="str">
        <x:v>Mantenimiento / Líder SG-SST</x:v>
      </x:c>
      <x:c r="Q62" s="22" t="str">
        <x:v>Programa de mantenimiento preventivo</x:v>
      </x:c>
      <x:c r="R62" s="22" t="str"/>
    </x:row>
    <x:row r="63">
      <x:c r="A63" s="46" t="n">
        <x:v>45412</x:v>
      </x:c>
      <x:c r="B63" s="22" t="n">
        <x:v>2024</x:v>
      </x:c>
      <x:c r="C63" s="22" t="str">
        <x:v>Abril</x:v>
      </x:c>
      <x:c r="D63" s="22" t="str">
        <x:v>R01</x:v>
      </x:c>
      <x:c r="E63" s="22" t="str">
        <x:v>Índice de frecuencia de accidentalidad (IF)</x:v>
      </x:c>
      <x:c r="F63" s="22" t="str">
        <x:v>Resultado</x:v>
      </x:c>
      <x:c r="G63" s="22" t="str">
        <x:v>Mensual</x:v>
      </x:c>
      <x:c r="H63" s="40" t="n">
        <x:v>3.5</x:v>
      </x:c>
      <x:c r="I63" s="22" t="str">
        <x:v>Menor es mejor</x:v>
      </x:c>
      <x:c r="J63" s="40" t="n">
        <x:v>1</x:v>
      </x:c>
      <x:c r="K63" s="40" t="n">
        <x:v>54750</x:v>
      </x:c>
      <x:c r="L63" s="40" t="n">
        <x:v>200000</x:v>
      </x:c>
      <x:c r="M63" s="40" t="n">
        <x:f>IF(OR(J63="",K63="",K63=0),"",J63/K63*L63)</x:f>
        <x:v>3.6529680365296806</x:v>
      </x:c>
      <x:c r="N63" s="22" t="str">
        <x:f>IF(M63="","",IF(I63="Mayor es mejor",IF(M63&gt;=H63,"En meta",IF(M63&gt;=H63*0.9,"Alerta","Crítico")),IF(M63&lt;=H63,"En meta",IF(M63&lt;=H63*1.1,"Alerta","Crítico"))))</x:f>
        <x:v>Alerta</x:v>
      </x:c>
      <x:c r="O63" s="22" t="str">
        <x:v>Índice</x:v>
      </x:c>
      <x:c r="P63" s="22" t="str">
        <x:v>Líder SG-SST</x:v>
      </x:c>
      <x:c r="Q63" s="22" t="str">
        <x:v>Matriz de accidentalidad / nómina</x:v>
      </x:c>
      <x:c r="R63" s="22" t="str"/>
    </x:row>
    <x:row r="64">
      <x:c r="A64" s="46" t="n">
        <x:v>45412</x:v>
      </x:c>
      <x:c r="B64" s="22" t="n">
        <x:v>2024</x:v>
      </x:c>
      <x:c r="C64" s="22" t="str">
        <x:v>Abril</x:v>
      </x:c>
      <x:c r="D64" s="22" t="str">
        <x:v>R02</x:v>
      </x:c>
      <x:c r="E64" s="22" t="str">
        <x:v>Índice de severidad de accidentalidad (IS)</x:v>
      </x:c>
      <x:c r="F64" s="22" t="str">
        <x:v>Resultado</x:v>
      </x:c>
      <x:c r="G64" s="22" t="str">
        <x:v>Mensual</x:v>
      </x:c>
      <x:c r="H64" s="40" t="n">
        <x:v>80</x:v>
      </x:c>
      <x:c r="I64" s="22" t="str">
        <x:v>Menor es mejor</x:v>
      </x:c>
      <x:c r="J64" s="40" t="n">
        <x:v>19</x:v>
      </x:c>
      <x:c r="K64" s="40" t="n">
        <x:v>54750</x:v>
      </x:c>
      <x:c r="L64" s="40" t="n">
        <x:v>200000</x:v>
      </x:c>
      <x:c r="M64" s="40" t="n">
        <x:f>IF(OR(J64="",K64="",K64=0),"",J64/K64*L64)</x:f>
        <x:v>69.40639269406392</x:v>
      </x:c>
      <x:c r="N64" s="22" t="str">
        <x:f>IF(M64="","",IF(I64="Mayor es mejor",IF(M64&gt;=H64,"En meta",IF(M64&gt;=H64*0.9,"Alerta","Crítico")),IF(M64&lt;=H64,"En meta",IF(M64&lt;=H64*1.1,"Alerta","Crítico"))))</x:f>
        <x:v>En meta</x:v>
      </x:c>
      <x:c r="O64" s="22" t="str">
        <x:v>Índice</x:v>
      </x:c>
      <x:c r="P64" s="22" t="str">
        <x:v>Líder SG-SST</x:v>
      </x:c>
      <x:c r="Q64" s="22" t="str">
        <x:v>Matriz de accidentalidad / nómina</x:v>
      </x:c>
      <x:c r="R64" s="22" t="str"/>
    </x:row>
    <x:row r="65">
      <x:c r="A65" s="46" t="n">
        <x:v>45412</x:v>
      </x:c>
      <x:c r="B65" s="22" t="n">
        <x:v>2024</x:v>
      </x:c>
      <x:c r="C65" s="22" t="str">
        <x:v>Abril</x:v>
      </x:c>
      <x:c r="D65" s="22" t="str">
        <x:v>R03</x:v>
      </x:c>
      <x:c r="E65" s="22" t="str">
        <x:v>Índice de lesión incapacitante (ILI)</x:v>
      </x:c>
      <x:c r="F65" s="22" t="str">
        <x:v>Resultado</x:v>
      </x:c>
      <x:c r="G65" s="22" t="str">
        <x:v>Mensual</x:v>
      </x:c>
      <x:c r="H65" s="40" t="n">
        <x:v>0.25</x:v>
      </x:c>
      <x:c r="I65" s="22" t="str">
        <x:v>Menor es mejor</x:v>
      </x:c>
      <x:c r="J65" s="40" t="n">
        <x:v>253.5393</x:v>
      </x:c>
      <x:c r="K65" s="40" t="n">
        <x:v>1000</x:v>
      </x:c>
      <x:c r="L65" s="40" t="n">
        <x:v>1</x:v>
      </x:c>
      <x:c r="M65" s="40" t="n">
        <x:f>IF(OR(J65="",K65="",K65=0),"",J65/K65*L65)</x:f>
        <x:v>0.2535393</x:v>
      </x:c>
      <x:c r="N65" s="22" t="str">
        <x:f>IF(M65="","",IF(I65="Mayor es mejor",IF(M65&gt;=H65,"En meta",IF(M65&gt;=H65*0.9,"Alerta","Crítico")),IF(M65&lt;=H65,"En meta",IF(M65&lt;=H65*1.1,"Alerta","Crítico"))))</x:f>
        <x:v>Alerta</x:v>
      </x:c>
      <x:c r="O65" s="22" t="str">
        <x:v>Índice</x:v>
      </x:c>
      <x:c r="P65" s="22" t="str">
        <x:v>Líder SG-SST</x:v>
      </x:c>
      <x:c r="Q65" s="22" t="str">
        <x:v>Indicadores derivados de accidentalidad</x:v>
      </x:c>
      <x:c r="R65" s="22" t="str">
        <x:v>ILI calculado sobre IF e IS del periodo.</x:v>
      </x:c>
    </x:row>
    <x:row r="66">
      <x:c r="A66" s="46" t="n">
        <x:v>45412</x:v>
      </x:c>
      <x:c r="B66" s="22" t="n">
        <x:v>2024</x:v>
      </x:c>
      <x:c r="C66" s="22" t="str">
        <x:v>Abril</x:v>
      </x:c>
      <x:c r="D66" s="22" t="str">
        <x:v>R04</x:v>
      </x:c>
      <x:c r="E66" s="22" t="str">
        <x:v>Tasa de accidentalidad</x:v>
      </x:c>
      <x:c r="F66" s="22" t="str">
        <x:v>Resultado</x:v>
      </x:c>
      <x:c r="G66" s="22" t="str">
        <x:v>Mensual</x:v>
      </x:c>
      <x:c r="H66" s="40" t="n">
        <x:v>0.6</x:v>
      </x:c>
      <x:c r="I66" s="22" t="str">
        <x:v>Menor es mejor</x:v>
      </x:c>
      <x:c r="J66" s="40" t="n">
        <x:v>4</x:v>
      </x:c>
      <x:c r="K66" s="40" t="n">
        <x:v>226</x:v>
      </x:c>
      <x:c r="L66" s="40" t="n">
        <x:v>100</x:v>
      </x:c>
      <x:c r="M66" s="40" t="n">
        <x:f>IF(OR(J66="",K66="",K66=0),"",J66/K66*L66)</x:f>
        <x:v>1.7699115044247788</x:v>
      </x:c>
      <x:c r="N66" s="22" t="str">
        <x:f>IF(M66="","",IF(I66="Mayor es mejor",IF(M66&gt;=H66,"En meta",IF(M66&gt;=H66*0.9,"Alerta","Crítico")),IF(M66&lt;=H66,"En meta",IF(M66&lt;=H66*1.1,"Alerta","Crítico"))))</x:f>
        <x:v>Crítico</x:v>
      </x:c>
      <x:c r="O66" s="22" t="str">
        <x:v>%</x:v>
      </x:c>
      <x:c r="P66" s="22" t="str">
        <x:v>Líder SG-SST</x:v>
      </x:c>
      <x:c r="Q66" s="22" t="str">
        <x:v>Matriz de accidentalidad / nómina</x:v>
      </x:c>
      <x:c r="R66" s="22" t="str"/>
    </x:row>
    <x:row r="67">
      <x:c r="A67" s="46" t="n">
        <x:v>45412</x:v>
      </x:c>
      <x:c r="B67" s="22" t="n">
        <x:v>2024</x:v>
      </x:c>
      <x:c r="C67" s="22" t="str">
        <x:v>Abril</x:v>
      </x:c>
      <x:c r="D67" s="22" t="str">
        <x:v>R05</x:v>
      </x:c>
      <x:c r="E67" s="22" t="str">
        <x:v>Prevalencia de enfermedad laboral</x:v>
      </x:c>
      <x:c r="F67" s="22" t="str">
        <x:v>Resultado</x:v>
      </x:c>
      <x:c r="G67" s="22" t="str">
        <x:v>Mensual</x:v>
      </x:c>
      <x:c r="H67" s="40" t="n">
        <x:v>0.3</x:v>
      </x:c>
      <x:c r="I67" s="22" t="str">
        <x:v>Menor es mejor</x:v>
      </x:c>
      <x:c r="J67" s="40" t="n">
        <x:v>0.02</x:v>
      </x:c>
      <x:c r="K67" s="40" t="n">
        <x:v>226</x:v>
      </x:c>
      <x:c r="L67" s="40" t="n">
        <x:v>100</x:v>
      </x:c>
      <x:c r="M67" s="40" t="n">
        <x:f>IF(OR(J67="",K67="",K67=0),"",J67/K67*L67)</x:f>
        <x:v>0.008849557522123894</x:v>
      </x:c>
      <x:c r="N67" s="22" t="str">
        <x:f>IF(M67="","",IF(I67="Mayor es mejor",IF(M67&gt;=H67,"En meta",IF(M67&gt;=H67*0.9,"Alerta","Crítico")),IF(M67&lt;=H67,"En meta",IF(M67&lt;=H67*1.1,"Alerta","Crítico"))))</x:f>
        <x:v>En meta</x:v>
      </x:c>
      <x:c r="O67" s="22" t="str">
        <x:v>%</x:v>
      </x:c>
      <x:c r="P67" s="22" t="str">
        <x:v>Líder SG-SST / Medicina laboral</x:v>
      </x:c>
      <x:c r="Q67" s="22" t="str">
        <x:v>Matriz de enfermedad laboral / nómina</x:v>
      </x:c>
      <x:c r="R67" s="22" t="str"/>
    </x:row>
    <x:row r="68">
      <x:c r="A68" s="46" t="n">
        <x:v>45412</x:v>
      </x:c>
      <x:c r="B68" s="22" t="n">
        <x:v>2024</x:v>
      </x:c>
      <x:c r="C68" s="22" t="str">
        <x:v>Abril</x:v>
      </x:c>
      <x:c r="D68" s="22" t="str">
        <x:v>R06</x:v>
      </x:c>
      <x:c r="E68" s="22" t="str">
        <x:v>% cumplimiento de estándares mínimos Res. 0312 de 2019</x:v>
      </x:c>
      <x:c r="F68" s="22" t="str">
        <x:v>Resultado</x:v>
      </x:c>
      <x:c r="G68" s="22" t="str">
        <x:v>Mensual</x:v>
      </x:c>
      <x:c r="H68" s="40" t="n">
        <x:v>95</x:v>
      </x:c>
      <x:c r="I68" s="22" t="str">
        <x:v>Mayor es mejor</x:v>
      </x:c>
      <x:c r="J68" s="40" t="n">
        <x:v>97</x:v>
      </x:c>
      <x:c r="K68" s="40" t="n">
        <x:v>100</x:v>
      </x:c>
      <x:c r="L68" s="40" t="n">
        <x:v>100</x:v>
      </x:c>
      <x:c r="M68" s="40" t="n">
        <x:f>IF(OR(J68="",K68="",K68=0),"",J68/K68*L68)</x:f>
        <x:v>97</x:v>
      </x:c>
      <x:c r="N68" s="22" t="str">
        <x:f>IF(M68="","",IF(I68="Mayor es mejor",IF(M68&gt;=H68,"En meta",IF(M68&gt;=H68*0.9,"Alerta","Crítico")),IF(M68&lt;=H68,"En meta",IF(M68&lt;=H68*1.1,"Alerta","Crítico"))))</x:f>
        <x:v>En meta</x:v>
      </x:c>
      <x:c r="O68" s="22" t="str">
        <x:v>%</x:v>
      </x:c>
      <x:c r="P68" s="22" t="str">
        <x:v>Líder SG-SST / Alta Dirección</x:v>
      </x:c>
      <x:c r="Q68" s="22" t="str">
        <x:v>Autodiagnóstico Res. 0312 de 2019</x:v>
      </x:c>
      <x:c r="R68" s="22" t="str"/>
    </x:row>
    <x:row r="69">
      <x:c r="A69" s="46" t="n">
        <x:v>45443</x:v>
      </x:c>
      <x:c r="B69" s="22" t="n">
        <x:v>2024</x:v>
      </x:c>
      <x:c r="C69" s="22" t="str">
        <x:v>Mayo</x:v>
      </x:c>
      <x:c r="D69" s="22" t="str">
        <x:v>E01</x:v>
      </x:c>
      <x:c r="E69" s="22" t="str">
        <x:v>% ejecución presupuestal del SG-SST</x:v>
      </x:c>
      <x:c r="F69" s="22" t="str">
        <x:v>Estructura</x:v>
      </x:c>
      <x:c r="G69" s="22" t="str">
        <x:v>Mensual</x:v>
      </x:c>
      <x:c r="H69" s="40" t="n">
        <x:v>95</x:v>
      </x:c>
      <x:c r="I69" s="22" t="str">
        <x:v>Mayor es mejor</x:v>
      </x:c>
      <x:c r="J69" s="40" t="n">
        <x:v>6201375</x:v>
      </x:c>
      <x:c r="K69" s="40" t="n">
        <x:v>6500000</x:v>
      </x:c>
      <x:c r="L69" s="40" t="n">
        <x:v>100</x:v>
      </x:c>
      <x:c r="M69" s="40" t="n">
        <x:f>IF(OR(J69="",K69="",K69=0),"",J69/K69*L69)</x:f>
        <x:v>95.40576923076924</x:v>
      </x:c>
      <x:c r="N69" s="22" t="str">
        <x:f>IF(M69="","",IF(I69="Mayor es mejor",IF(M69&gt;=H69,"En meta",IF(M69&gt;=H69*0.9,"Alerta","Crítico")),IF(M69&lt;=H69,"En meta",IF(M69&lt;=H69*1.1,"Alerta","Crítico"))))</x:f>
        <x:v>En meta</x:v>
      </x:c>
      <x:c r="O69" s="22" t="str">
        <x:v>%</x:v>
      </x:c>
      <x:c r="P69" s="22" t="str">
        <x:v>Líder SG-SST / Dirección Administrativa</x:v>
      </x:c>
      <x:c r="Q69" s="22" t="str">
        <x:v>Presupuesto SST</x:v>
      </x:c>
      <x:c r="R69" s="22" t="str"/>
    </x:row>
    <x:row r="70">
      <x:c r="A70" s="46" t="n">
        <x:v>45443</x:v>
      </x:c>
      <x:c r="B70" s="22" t="n">
        <x:v>2024</x:v>
      </x:c>
      <x:c r="C70" s="22" t="str">
        <x:v>Mayo</x:v>
      </x:c>
      <x:c r="D70" s="22" t="str">
        <x:v>E02</x:v>
      </x:c>
      <x:c r="E70" s="22" t="str">
        <x:v>% cobertura del plan de formación y capacitación SG-SST</x:v>
      </x:c>
      <x:c r="F70" s="22" t="str">
        <x:v>Estructura</x:v>
      </x:c>
      <x:c r="G70" s="22" t="str">
        <x:v>Mensual</x:v>
      </x:c>
      <x:c r="H70" s="40" t="n">
        <x:v>90</x:v>
      </x:c>
      <x:c r="I70" s="22" t="str">
        <x:v>Mayor es mejor</x:v>
      </x:c>
      <x:c r="J70" s="40" t="n">
        <x:v>18</x:v>
      </x:c>
      <x:c r="K70" s="40" t="n">
        <x:v>20</x:v>
      </x:c>
      <x:c r="L70" s="40" t="n">
        <x:v>100</x:v>
      </x:c>
      <x:c r="M70" s="40" t="n">
        <x:f>IF(OR(J70="",K70="",K70=0),"",J70/K70*L70)</x:f>
        <x:v>90</x:v>
      </x:c>
      <x:c r="N70" s="22" t="str">
        <x:f>IF(M70="","",IF(I70="Mayor es mejor",IF(M70&gt;=H70,"En meta",IF(M70&gt;=H70*0.9,"Alerta","Crítico")),IF(M70&lt;=H70,"En meta",IF(M70&lt;=H70*1.1,"Alerta","Crítico"))))</x:f>
        <x:v>En meta</x:v>
      </x:c>
      <x:c r="O70" s="22" t="str">
        <x:v>%</x:v>
      </x:c>
      <x:c r="P70" s="22" t="str">
        <x:v>Líder SG-SST / Talento Humano</x:v>
      </x:c>
      <x:c r="Q70" s="22" t="str">
        <x:v>Plan de formación y capacitaciones</x:v>
      </x:c>
      <x:c r="R70" s="22" t="str"/>
    </x:row>
    <x:row r="71">
      <x:c r="A71" s="46" t="n">
        <x:v>45443</x:v>
      </x:c>
      <x:c r="B71" s="22" t="n">
        <x:v>2024</x:v>
      </x:c>
      <x:c r="C71" s="22" t="str">
        <x:v>Mayo</x:v>
      </x:c>
      <x:c r="D71" s="22" t="str">
        <x:v>E03</x:v>
      </x:c>
      <x:c r="E71" s="22" t="str">
        <x:v>% trabajadores con exámenes médicos ocupacionales vigentes</x:v>
      </x:c>
      <x:c r="F71" s="22" t="str">
        <x:v>Estructura</x:v>
      </x:c>
      <x:c r="G71" s="22" t="str">
        <x:v>Mensual</x:v>
      </x:c>
      <x:c r="H71" s="40" t="n">
        <x:v>95</x:v>
      </x:c>
      <x:c r="I71" s="22" t="str">
        <x:v>Mayor es mejor</x:v>
      </x:c>
      <x:c r="J71" s="40" t="n">
        <x:v>219</x:v>
      </x:c>
      <x:c r="K71" s="40" t="n">
        <x:v>228</x:v>
      </x:c>
      <x:c r="L71" s="40" t="n">
        <x:v>100</x:v>
      </x:c>
      <x:c r="M71" s="40" t="n">
        <x:f>IF(OR(J71="",K71="",K71=0),"",J71/K71*L71)</x:f>
        <x:v>96.05263157894737</x:v>
      </x:c>
      <x:c r="N71" s="22" t="str">
        <x:f>IF(M71="","",IF(I71="Mayor es mejor",IF(M71&gt;=H71,"En meta",IF(M71&gt;=H71*0.9,"Alerta","Crítico")),IF(M71&lt;=H71,"En meta",IF(M71&lt;=H71*1.1,"Alerta","Crítico"))))</x:f>
        <x:v>En meta</x:v>
      </x:c>
      <x:c r="O71" s="22" t="str">
        <x:v>%</x:v>
      </x:c>
      <x:c r="P71" s="22" t="str">
        <x:v>Líder SG-SST / Talento Humano</x:v>
      </x:c>
      <x:c r="Q71" s="22" t="str">
        <x:v>Matriz de seguimiento EMO</x:v>
      </x:c>
      <x:c r="R71" s="22" t="str"/>
    </x:row>
    <x:row r="72">
      <x:c r="A72" s="46" t="n">
        <x:v>45443</x:v>
      </x:c>
      <x:c r="B72" s="22" t="n">
        <x:v>2024</x:v>
      </x:c>
      <x:c r="C72" s="22" t="str">
        <x:v>Mayo</x:v>
      </x:c>
      <x:c r="D72" s="22" t="str">
        <x:v>E04</x:v>
      </x:c>
      <x:c r="E72" s="22" t="str">
        <x:v>% cumplimiento de requisitos legales aplicables en SST</x:v>
      </x:c>
      <x:c r="F72" s="22" t="str">
        <x:v>Estructura</x:v>
      </x:c>
      <x:c r="G72" s="22" t="str">
        <x:v>Mensual</x:v>
      </x:c>
      <x:c r="H72" s="40" t="n">
        <x:v>95</x:v>
      </x:c>
      <x:c r="I72" s="22" t="str">
        <x:v>Mayor es mejor</x:v>
      </x:c>
      <x:c r="J72" s="40" t="n">
        <x:v>58</x:v>
      </x:c>
      <x:c r="K72" s="40" t="n">
        <x:v>60</x:v>
      </x:c>
      <x:c r="L72" s="40" t="n">
        <x:v>100</x:v>
      </x:c>
      <x:c r="M72" s="40" t="n">
        <x:f>IF(OR(J72="",K72="",K72=0),"",J72/K72*L72)</x:f>
        <x:v>96.66666666666667</x:v>
      </x:c>
      <x:c r="N72" s="22" t="str">
        <x:f>IF(M72="","",IF(I72="Mayor es mejor",IF(M72&gt;=H72,"En meta",IF(M72&gt;=H72*0.9,"Alerta","Crítico")),IF(M72&lt;=H72,"En meta",IF(M72&lt;=H72*1.1,"Alerta","Crítico"))))</x:f>
        <x:v>En meta</x:v>
      </x:c>
      <x:c r="O72" s="22" t="str">
        <x:v>%</x:v>
      </x:c>
      <x:c r="P72" s="22" t="str">
        <x:v>Líder SG-SST / Jurídica</x:v>
      </x:c>
      <x:c r="Q72" s="22" t="str">
        <x:v>Matriz legal SGRL</x:v>
      </x:c>
      <x:c r="R72" s="22" t="str"/>
    </x:row>
    <x:row r="73">
      <x:c r="A73" s="46" t="n">
        <x:v>45443</x:v>
      </x:c>
      <x:c r="B73" s="22" t="n">
        <x:v>2024</x:v>
      </x:c>
      <x:c r="C73" s="22" t="str">
        <x:v>Mayo</x:v>
      </x:c>
      <x:c r="D73" s="22" t="str">
        <x:v>E05</x:v>
      </x:c>
      <x:c r="E73" s="22" t="str">
        <x:v>% proveedores y contratistas aprobados en SST</x:v>
      </x:c>
      <x:c r="F73" s="22" t="str">
        <x:v>Estructura</x:v>
      </x:c>
      <x:c r="G73" s="22" t="str">
        <x:v>Mensual</x:v>
      </x:c>
      <x:c r="H73" s="40" t="n">
        <x:v>90</x:v>
      </x:c>
      <x:c r="I73" s="22" t="str">
        <x:v>Mayor es mejor</x:v>
      </x:c>
      <x:c r="J73" s="40" t="n">
        <x:v>18</x:v>
      </x:c>
      <x:c r="K73" s="40" t="n">
        <x:v>20</x:v>
      </x:c>
      <x:c r="L73" s="40" t="n">
        <x:v>100</x:v>
      </x:c>
      <x:c r="M73" s="40" t="n">
        <x:f>IF(OR(J73="",K73="",K73=0),"",J73/K73*L73)</x:f>
        <x:v>90</x:v>
      </x:c>
      <x:c r="N73" s="22" t="str">
        <x:f>IF(M73="","",IF(I73="Mayor es mejor",IF(M73&gt;=H73,"En meta",IF(M73&gt;=H73*0.9,"Alerta","Crítico")),IF(M73&lt;=H73,"En meta",IF(M73&lt;=H73*1.1,"Alerta","Crítico"))))</x:f>
        <x:v>En meta</x:v>
      </x:c>
      <x:c r="O73" s="22" t="str">
        <x:v>%</x:v>
      </x:c>
      <x:c r="P73" s="22" t="str">
        <x:v>Compras / Líder SG-SST</x:v>
      </x:c>
      <x:c r="Q73" s="22" t="str">
        <x:v>Gestión de proveedores y contratistas</x:v>
      </x:c>
      <x:c r="R73" s="22" t="str"/>
    </x:row>
    <x:row r="74">
      <x:c r="A74" s="46" t="n">
        <x:v>45443</x:v>
      </x:c>
      <x:c r="B74" s="22" t="n">
        <x:v>2024</x:v>
      </x:c>
      <x:c r="C74" s="22" t="str">
        <x:v>Mayo</x:v>
      </x:c>
      <x:c r="D74" s="22" t="str">
        <x:v>P01</x:v>
      </x:c>
      <x:c r="E74" s="22" t="str">
        <x:v>% ejecución del plan anual de trabajo SG-SST</x:v>
      </x:c>
      <x:c r="F74" s="22" t="str">
        <x:v>Proceso</x:v>
      </x:c>
      <x:c r="G74" s="22" t="str">
        <x:v>Mensual</x:v>
      </x:c>
      <x:c r="H74" s="40" t="n">
        <x:v>90</x:v>
      </x:c>
      <x:c r="I74" s="22" t="str">
        <x:v>Mayor es mejor</x:v>
      </x:c>
      <x:c r="J74" s="40" t="n">
        <x:v>12</x:v>
      </x:c>
      <x:c r="K74" s="40" t="n">
        <x:v>14</x:v>
      </x:c>
      <x:c r="L74" s="40" t="n">
        <x:v>100</x:v>
      </x:c>
      <x:c r="M74" s="40" t="n">
        <x:f>IF(OR(J74="",K74="",K74=0),"",J74/K74*L74)</x:f>
        <x:v>85.71428571428571</x:v>
      </x:c>
      <x:c r="N74" s="22" t="str">
        <x:f>IF(M74="","",IF(I74="Mayor es mejor",IF(M74&gt;=H74,"En meta",IF(M74&gt;=H74*0.9,"Alerta","Crítico")),IF(M74&lt;=H74,"En meta",IF(M74&lt;=H74*1.1,"Alerta","Crítico"))))</x:f>
        <x:v>Alerta</x:v>
      </x:c>
      <x:c r="O74" s="22" t="str">
        <x:v>%</x:v>
      </x:c>
      <x:c r="P74" s="22" t="str">
        <x:v>Líder SG-SST</x:v>
      </x:c>
      <x:c r="Q74" s="22" t="str">
        <x:v>Plan anual de trabajo PHVA</x:v>
      </x:c>
      <x:c r="R74" s="22" t="str"/>
    </x:row>
    <x:row r="75">
      <x:c r="A75" s="46" t="n">
        <x:v>45443</x:v>
      </x:c>
      <x:c r="B75" s="22" t="n">
        <x:v>2024</x:v>
      </x:c>
      <x:c r="C75" s="22" t="str">
        <x:v>Mayo</x:v>
      </x:c>
      <x:c r="D75" s="22" t="str">
        <x:v>P02</x:v>
      </x:c>
      <x:c r="E75" s="22" t="str">
        <x:v>% investigaciones de accidentes realizadas oportunamente</x:v>
      </x:c>
      <x:c r="F75" s="22" t="str">
        <x:v>Proceso</x:v>
      </x:c>
      <x:c r="G75" s="22" t="str">
        <x:v>Mensual</x:v>
      </x:c>
      <x:c r="H75" s="40" t="n">
        <x:v>95</x:v>
      </x:c>
      <x:c r="I75" s="22" t="str">
        <x:v>Mayor es mejor</x:v>
      </x:c>
      <x:c r="J75" s="40" t="n">
        <x:v>1</x:v>
      </x:c>
      <x:c r="K75" s="40" t="n">
        <x:v>1</x:v>
      </x:c>
      <x:c r="L75" s="40" t="n">
        <x:v>100</x:v>
      </x:c>
      <x:c r="M75" s="40" t="n">
        <x:f>IF(OR(J75="",K75="",K75=0),"",J75/K75*L75)</x:f>
        <x:v>100</x:v>
      </x:c>
      <x:c r="N75" s="22" t="str">
        <x:f>IF(M75="","",IF(I75="Mayor es mejor",IF(M75&gt;=H75,"En meta",IF(M75&gt;=H75*0.9,"Alerta","Crítico")),IF(M75&lt;=H75,"En meta",IF(M75&lt;=H75*1.1,"Alerta","Crítico"))))</x:f>
        <x:v>En meta</x:v>
      </x:c>
      <x:c r="O75" s="22" t="str">
        <x:v>%</x:v>
      </x:c>
      <x:c r="P75" s="22" t="str">
        <x:v>Líder SG-SST / COPASST</x:v>
      </x:c>
      <x:c r="Q75" s="22" t="str">
        <x:v>Matriz de accidentalidad</x:v>
      </x:c>
      <x:c r="R75" s="22" t="str"/>
    </x:row>
    <x:row r="76">
      <x:c r="A76" s="46" t="n">
        <x:v>45443</x:v>
      </x:c>
      <x:c r="B76" s="22" t="n">
        <x:v>2024</x:v>
      </x:c>
      <x:c r="C76" s="22" t="str">
        <x:v>Mayo</x:v>
      </x:c>
      <x:c r="D76" s="22" t="str">
        <x:v>P03</x:v>
      </x:c>
      <x:c r="E76" s="22" t="str">
        <x:v>% cierre oportuno de acciones correctivas, preventivas y de mejora</x:v>
      </x:c>
      <x:c r="F76" s="22" t="str">
        <x:v>Proceso</x:v>
      </x:c>
      <x:c r="G76" s="22" t="str">
        <x:v>Mensual</x:v>
      </x:c>
      <x:c r="H76" s="40" t="n">
        <x:v>90</x:v>
      </x:c>
      <x:c r="I76" s="22" t="str">
        <x:v>Mayor es mejor</x:v>
      </x:c>
      <x:c r="J76" s="40" t="n">
        <x:v>9</x:v>
      </x:c>
      <x:c r="K76" s="40" t="n">
        <x:v>10</x:v>
      </x:c>
      <x:c r="L76" s="40" t="n">
        <x:v>100</x:v>
      </x:c>
      <x:c r="M76" s="40" t="n">
        <x:f>IF(OR(J76="",K76="",K76=0),"",J76/K76*L76)</x:f>
        <x:v>90</x:v>
      </x:c>
      <x:c r="N76" s="22" t="str">
        <x:f>IF(M76="","",IF(I76="Mayor es mejor",IF(M76&gt;=H76,"En meta",IF(M76&gt;=H76*0.9,"Alerta","Crítico")),IF(M76&lt;=H76,"En meta",IF(M76&lt;=H76*1.1,"Alerta","Crítico"))))</x:f>
        <x:v>En meta</x:v>
      </x:c>
      <x:c r="O76" s="22" t="str">
        <x:v>%</x:v>
      </x:c>
      <x:c r="P76" s="22" t="str">
        <x:v>Líder SG-SST / Responsables de proceso</x:v>
      </x:c>
      <x:c r="Q76" s="22" t="str">
        <x:v>Matriz APCM</x:v>
      </x:c>
      <x:c r="R76" s="22" t="str"/>
    </x:row>
    <x:row r="77">
      <x:c r="A77" s="46" t="n">
        <x:v>45443</x:v>
      </x:c>
      <x:c r="B77" s="22" t="n">
        <x:v>2024</x:v>
      </x:c>
      <x:c r="C77" s="22" t="str">
        <x:v>Mayo</x:v>
      </x:c>
      <x:c r="D77" s="22" t="str">
        <x:v>P04</x:v>
      </x:c>
      <x:c r="E77" s="22" t="str">
        <x:v>% inspecciones de seguridad ejecutadas</x:v>
      </x:c>
      <x:c r="F77" s="22" t="str">
        <x:v>Proceso</x:v>
      </x:c>
      <x:c r="G77" s="22" t="str">
        <x:v>Mensual</x:v>
      </x:c>
      <x:c r="H77" s="40" t="n">
        <x:v>90</x:v>
      </x:c>
      <x:c r="I77" s="22" t="str">
        <x:v>Mayor es mejor</x:v>
      </x:c>
      <x:c r="J77" s="40" t="n">
        <x:v>8</x:v>
      </x:c>
      <x:c r="K77" s="40" t="n">
        <x:v>9</x:v>
      </x:c>
      <x:c r="L77" s="40" t="n">
        <x:v>100</x:v>
      </x:c>
      <x:c r="M77" s="40" t="n">
        <x:f>IF(OR(J77="",K77="",K77=0),"",J77/K77*L77)</x:f>
        <x:v>88.88888888888889</x:v>
      </x:c>
      <x:c r="N77" s="22" t="str">
        <x:f>IF(M77="","",IF(I77="Mayor es mejor",IF(M77&gt;=H77,"En meta",IF(M77&gt;=H77*0.9,"Alerta","Crítico")),IF(M77&lt;=H77,"En meta",IF(M77&lt;=H77*1.1,"Alerta","Crítico"))))</x:f>
        <x:v>Alerta</x:v>
      </x:c>
      <x:c r="O77" s="22" t="str">
        <x:v>%</x:v>
      </x:c>
      <x:c r="P77" s="22" t="str">
        <x:v>Líder SG-SST / Supervisores</x:v>
      </x:c>
      <x:c r="Q77" s="22" t="str">
        <x:v>Programa de inspecciones</x:v>
      </x:c>
      <x:c r="R77" s="22" t="str"/>
    </x:row>
    <x:row r="78">
      <x:c r="A78" s="46" t="n">
        <x:v>45443</x:v>
      </x:c>
      <x:c r="B78" s="22" t="n">
        <x:v>2024</x:v>
      </x:c>
      <x:c r="C78" s="22" t="str">
        <x:v>Mayo</x:v>
      </x:c>
      <x:c r="D78" s="22" t="str">
        <x:v>P05</x:v>
      </x:c>
      <x:c r="E78" s="22" t="str">
        <x:v>% mantenimientos preventivos ejecutados</x:v>
      </x:c>
      <x:c r="F78" s="22" t="str">
        <x:v>Proceso</x:v>
      </x:c>
      <x:c r="G78" s="22" t="str">
        <x:v>Mensual</x:v>
      </x:c>
      <x:c r="H78" s="40" t="n">
        <x:v>90</x:v>
      </x:c>
      <x:c r="I78" s="22" t="str">
        <x:v>Mayor es mejor</x:v>
      </x:c>
      <x:c r="J78" s="40" t="n">
        <x:v>12</x:v>
      </x:c>
      <x:c r="K78" s="40" t="n">
        <x:v>13</x:v>
      </x:c>
      <x:c r="L78" s="40" t="n">
        <x:v>100</x:v>
      </x:c>
      <x:c r="M78" s="40" t="n">
        <x:f>IF(OR(J78="",K78="",K78=0),"",J78/K78*L78)</x:f>
        <x:v>92.3076923076923</x:v>
      </x:c>
      <x:c r="N78" s="22" t="str">
        <x:f>IF(M78="","",IF(I78="Mayor es mejor",IF(M78&gt;=H78,"En meta",IF(M78&gt;=H78*0.9,"Alerta","Crítico")),IF(M78&lt;=H78,"En meta",IF(M78&lt;=H78*1.1,"Alerta","Crítico"))))</x:f>
        <x:v>En meta</x:v>
      </x:c>
      <x:c r="O78" s="22" t="str">
        <x:v>%</x:v>
      </x:c>
      <x:c r="P78" s="22" t="str">
        <x:v>Mantenimiento / Líder SG-SST</x:v>
      </x:c>
      <x:c r="Q78" s="22" t="str">
        <x:v>Programa de mantenimiento preventivo</x:v>
      </x:c>
      <x:c r="R78" s="22" t="str"/>
    </x:row>
    <x:row r="79">
      <x:c r="A79" s="46" t="n">
        <x:v>45443</x:v>
      </x:c>
      <x:c r="B79" s="22" t="n">
        <x:v>2024</x:v>
      </x:c>
      <x:c r="C79" s="22" t="str">
        <x:v>Mayo</x:v>
      </x:c>
      <x:c r="D79" s="22" t="str">
        <x:v>R01</x:v>
      </x:c>
      <x:c r="E79" s="22" t="str">
        <x:v>Índice de frecuencia de accidentalidad (IF)</x:v>
      </x:c>
      <x:c r="F79" s="22" t="str">
        <x:v>Resultado</x:v>
      </x:c>
      <x:c r="G79" s="22" t="str">
        <x:v>Mensual</x:v>
      </x:c>
      <x:c r="H79" s="40" t="n">
        <x:v>3.5</x:v>
      </x:c>
      <x:c r="I79" s="22" t="str">
        <x:v>Menor es mejor</x:v>
      </x:c>
      <x:c r="J79" s="40" t="n">
        <x:v>1</x:v>
      </x:c>
      <x:c r="K79" s="40" t="n">
        <x:v>55701</x:v>
      </x:c>
      <x:c r="L79" s="40" t="n">
        <x:v>200000</x:v>
      </x:c>
      <x:c r="M79" s="40" t="n">
        <x:f>IF(OR(J79="",K79="",K79=0),"",J79/K79*L79)</x:f>
        <x:v>3.59059980969821</x:v>
      </x:c>
      <x:c r="N79" s="22" t="str">
        <x:f>IF(M79="","",IF(I79="Mayor es mejor",IF(M79&gt;=H79,"En meta",IF(M79&gt;=H79*0.9,"Alerta","Crítico")),IF(M79&lt;=H79,"En meta",IF(M79&lt;=H79*1.1,"Alerta","Crítico"))))</x:f>
        <x:v>Alerta</x:v>
      </x:c>
      <x:c r="O79" s="22" t="str">
        <x:v>Índice</x:v>
      </x:c>
      <x:c r="P79" s="22" t="str">
        <x:v>Líder SG-SST</x:v>
      </x:c>
      <x:c r="Q79" s="22" t="str">
        <x:v>Matriz de accidentalidad / nómina</x:v>
      </x:c>
      <x:c r="R79" s="22" t="str"/>
    </x:row>
    <x:row r="80">
      <x:c r="A80" s="46" t="n">
        <x:v>45443</x:v>
      </x:c>
      <x:c r="B80" s="22" t="n">
        <x:v>2024</x:v>
      </x:c>
      <x:c r="C80" s="22" t="str">
        <x:v>Mayo</x:v>
      </x:c>
      <x:c r="D80" s="22" t="str">
        <x:v>R02</x:v>
      </x:c>
      <x:c r="E80" s="22" t="str">
        <x:v>Índice de severidad de accidentalidad (IS)</x:v>
      </x:c>
      <x:c r="F80" s="22" t="str">
        <x:v>Resultado</x:v>
      </x:c>
      <x:c r="G80" s="22" t="str">
        <x:v>Mensual</x:v>
      </x:c>
      <x:c r="H80" s="40" t="n">
        <x:v>80</x:v>
      </x:c>
      <x:c r="I80" s="22" t="str">
        <x:v>Menor es mejor</x:v>
      </x:c>
      <x:c r="J80" s="40" t="n">
        <x:v>20</x:v>
      </x:c>
      <x:c r="K80" s="40" t="n">
        <x:v>55701</x:v>
      </x:c>
      <x:c r="L80" s="40" t="n">
        <x:v>200000</x:v>
      </x:c>
      <x:c r="M80" s="40" t="n">
        <x:f>IF(OR(J80="",K80="",K80=0),"",J80/K80*L80)</x:f>
        <x:v>71.8119961939642</x:v>
      </x:c>
      <x:c r="N80" s="22" t="str">
        <x:f>IF(M80="","",IF(I80="Mayor es mejor",IF(M80&gt;=H80,"En meta",IF(M80&gt;=H80*0.9,"Alerta","Crítico")),IF(M80&lt;=H80,"En meta",IF(M80&lt;=H80*1.1,"Alerta","Crítico"))))</x:f>
        <x:v>En meta</x:v>
      </x:c>
      <x:c r="O80" s="22" t="str">
        <x:v>Índice</x:v>
      </x:c>
      <x:c r="P80" s="22" t="str">
        <x:v>Líder SG-SST</x:v>
      </x:c>
      <x:c r="Q80" s="22" t="str">
        <x:v>Matriz de accidentalidad / nómina</x:v>
      </x:c>
      <x:c r="R80" s="22" t="str"/>
    </x:row>
    <x:row r="81">
      <x:c r="A81" s="46" t="n">
        <x:v>45443</x:v>
      </x:c>
      <x:c r="B81" s="22" t="n">
        <x:v>2024</x:v>
      </x:c>
      <x:c r="C81" s="22" t="str">
        <x:v>Mayo</x:v>
      </x:c>
      <x:c r="D81" s="22" t="str">
        <x:v>R03</x:v>
      </x:c>
      <x:c r="E81" s="22" t="str">
        <x:v>Índice de lesión incapacitante (ILI)</x:v>
      </x:c>
      <x:c r="F81" s="22" t="str">
        <x:v>Resultado</x:v>
      </x:c>
      <x:c r="G81" s="22" t="str">
        <x:v>Mensual</x:v>
      </x:c>
      <x:c r="H81" s="40" t="n">
        <x:v>0.25</x:v>
      </x:c>
      <x:c r="I81" s="22" t="str">
        <x:v>Menor es mejor</x:v>
      </x:c>
      <x:c r="J81" s="40" t="n">
        <x:v>257.8481</x:v>
      </x:c>
      <x:c r="K81" s="40" t="n">
        <x:v>1000</x:v>
      </x:c>
      <x:c r="L81" s="40" t="n">
        <x:v>1</x:v>
      </x:c>
      <x:c r="M81" s="40" t="n">
        <x:f>IF(OR(J81="",K81="",K81=0),"",J81/K81*L81)</x:f>
        <x:v>0.25784809999999997</x:v>
      </x:c>
      <x:c r="N81" s="22" t="str">
        <x:f>IF(M81="","",IF(I81="Mayor es mejor",IF(M81&gt;=H81,"En meta",IF(M81&gt;=H81*0.9,"Alerta","Crítico")),IF(M81&lt;=H81,"En meta",IF(M81&lt;=H81*1.1,"Alerta","Crítico"))))</x:f>
        <x:v>Alerta</x:v>
      </x:c>
      <x:c r="O81" s="22" t="str">
        <x:v>Índice</x:v>
      </x:c>
      <x:c r="P81" s="22" t="str">
        <x:v>Líder SG-SST</x:v>
      </x:c>
      <x:c r="Q81" s="22" t="str">
        <x:v>Indicadores derivados de accidentalidad</x:v>
      </x:c>
      <x:c r="R81" s="22" t="str">
        <x:v>ILI calculado sobre IF e IS del periodo.</x:v>
      </x:c>
    </x:row>
    <x:row r="82">
      <x:c r="A82" s="46" t="n">
        <x:v>45443</x:v>
      </x:c>
      <x:c r="B82" s="22" t="n">
        <x:v>2024</x:v>
      </x:c>
      <x:c r="C82" s="22" t="str">
        <x:v>Mayo</x:v>
      </x:c>
      <x:c r="D82" s="22" t="str">
        <x:v>R04</x:v>
      </x:c>
      <x:c r="E82" s="22" t="str">
        <x:v>Tasa de accidentalidad</x:v>
      </x:c>
      <x:c r="F82" s="22" t="str">
        <x:v>Resultado</x:v>
      </x:c>
      <x:c r="G82" s="22" t="str">
        <x:v>Mensual</x:v>
      </x:c>
      <x:c r="H82" s="40" t="n">
        <x:v>0.6</x:v>
      </x:c>
      <x:c r="I82" s="22" t="str">
        <x:v>Menor es mejor</x:v>
      </x:c>
      <x:c r="J82" s="40" t="n">
        <x:v>3.5</x:v>
      </x:c>
      <x:c r="K82" s="40" t="n">
        <x:v>228</x:v>
      </x:c>
      <x:c r="L82" s="40" t="n">
        <x:v>100</x:v>
      </x:c>
      <x:c r="M82" s="40" t="n">
        <x:f>IF(OR(J82="",K82="",K82=0),"",J82/K82*L82)</x:f>
        <x:v>1.5350877192982455</x:v>
      </x:c>
      <x:c r="N82" s="22" t="str">
        <x:f>IF(M82="","",IF(I82="Mayor es mejor",IF(M82&gt;=H82,"En meta",IF(M82&gt;=H82*0.9,"Alerta","Crítico")),IF(M82&lt;=H82,"En meta",IF(M82&lt;=H82*1.1,"Alerta","Crítico"))))</x:f>
        <x:v>Crítico</x:v>
      </x:c>
      <x:c r="O82" s="22" t="str">
        <x:v>%</x:v>
      </x:c>
      <x:c r="P82" s="22" t="str">
        <x:v>Líder SG-SST</x:v>
      </x:c>
      <x:c r="Q82" s="22" t="str">
        <x:v>Matriz de accidentalidad / nómina</x:v>
      </x:c>
      <x:c r="R82" s="22" t="str"/>
    </x:row>
    <x:row r="83">
      <x:c r="A83" s="46" t="n">
        <x:v>45443</x:v>
      </x:c>
      <x:c r="B83" s="22" t="n">
        <x:v>2024</x:v>
      </x:c>
      <x:c r="C83" s="22" t="str">
        <x:v>Mayo</x:v>
      </x:c>
      <x:c r="D83" s="22" t="str">
        <x:v>R05</x:v>
      </x:c>
      <x:c r="E83" s="22" t="str">
        <x:v>Prevalencia de enfermedad laboral</x:v>
      </x:c>
      <x:c r="F83" s="22" t="str">
        <x:v>Resultado</x:v>
      </x:c>
      <x:c r="G83" s="22" t="str">
        <x:v>Mensual</x:v>
      </x:c>
      <x:c r="H83" s="40" t="n">
        <x:v>0.3</x:v>
      </x:c>
      <x:c r="I83" s="22" t="str">
        <x:v>Menor es mejor</x:v>
      </x:c>
      <x:c r="J83" s="40" t="n">
        <x:v>0.02</x:v>
      </x:c>
      <x:c r="K83" s="40" t="n">
        <x:v>228</x:v>
      </x:c>
      <x:c r="L83" s="40" t="n">
        <x:v>100</x:v>
      </x:c>
      <x:c r="M83" s="40" t="n">
        <x:f>IF(OR(J83="",K83="",K83=0),"",J83/K83*L83)</x:f>
        <x:v>0.008771929824561405</x:v>
      </x:c>
      <x:c r="N83" s="22" t="str">
        <x:f>IF(M83="","",IF(I83="Mayor es mejor",IF(M83&gt;=H83,"En meta",IF(M83&gt;=H83*0.9,"Alerta","Crítico")),IF(M83&lt;=H83,"En meta",IF(M83&lt;=H83*1.1,"Alerta","Crítico"))))</x:f>
        <x:v>En meta</x:v>
      </x:c>
      <x:c r="O83" s="22" t="str">
        <x:v>%</x:v>
      </x:c>
      <x:c r="P83" s="22" t="str">
        <x:v>Líder SG-SST / Medicina laboral</x:v>
      </x:c>
      <x:c r="Q83" s="22" t="str">
        <x:v>Matriz de enfermedad laboral / nómina</x:v>
      </x:c>
      <x:c r="R83" s="22" t="str"/>
    </x:row>
    <x:row r="84">
      <x:c r="A84" s="46" t="n">
        <x:v>45443</x:v>
      </x:c>
      <x:c r="B84" s="22" t="n">
        <x:v>2024</x:v>
      </x:c>
      <x:c r="C84" s="22" t="str">
        <x:v>Mayo</x:v>
      </x:c>
      <x:c r="D84" s="22" t="str">
        <x:v>R06</x:v>
      </x:c>
      <x:c r="E84" s="22" t="str">
        <x:v>% cumplimiento de estándares mínimos Res. 0312 de 2019</x:v>
      </x:c>
      <x:c r="F84" s="22" t="str">
        <x:v>Resultado</x:v>
      </x:c>
      <x:c r="G84" s="22" t="str">
        <x:v>Mensual</x:v>
      </x:c>
      <x:c r="H84" s="40" t="n">
        <x:v>95</x:v>
      </x:c>
      <x:c r="I84" s="22" t="str">
        <x:v>Mayor es mejor</x:v>
      </x:c>
      <x:c r="J84" s="40" t="n">
        <x:v>98</x:v>
      </x:c>
      <x:c r="K84" s="40" t="n">
        <x:v>100</x:v>
      </x:c>
      <x:c r="L84" s="40" t="n">
        <x:v>100</x:v>
      </x:c>
      <x:c r="M84" s="40" t="n">
        <x:f>IF(OR(J84="",K84="",K84=0),"",J84/K84*L84)</x:f>
        <x:v>98</x:v>
      </x:c>
      <x:c r="N84" s="22" t="str">
        <x:f>IF(M84="","",IF(I84="Mayor es mejor",IF(M84&gt;=H84,"En meta",IF(M84&gt;=H84*0.9,"Alerta","Crítico")),IF(M84&lt;=H84,"En meta",IF(M84&lt;=H84*1.1,"Alerta","Crítico"))))</x:f>
        <x:v>En meta</x:v>
      </x:c>
      <x:c r="O84" s="22" t="str">
        <x:v>%</x:v>
      </x:c>
      <x:c r="P84" s="22" t="str">
        <x:v>Líder SG-SST / Alta Dirección</x:v>
      </x:c>
      <x:c r="Q84" s="22" t="str">
        <x:v>Autodiagnóstico Res. 0312 de 2019</x:v>
      </x:c>
      <x:c r="R84" s="22" t="str"/>
    </x:row>
    <x:row r="85">
      <x:c r="A85" s="46" t="n">
        <x:v>45473</x:v>
      </x:c>
      <x:c r="B85" s="22" t="n">
        <x:v>2024</x:v>
      </x:c>
      <x:c r="C85" s="22" t="str">
        <x:v>Junio</x:v>
      </x:c>
      <x:c r="D85" s="22" t="str">
        <x:v>E01</x:v>
      </x:c>
      <x:c r="E85" s="22" t="str">
        <x:v>% ejecución presupuestal del SG-SST</x:v>
      </x:c>
      <x:c r="F85" s="22" t="str">
        <x:v>Estructura</x:v>
      </x:c>
      <x:c r="G85" s="22" t="str">
        <x:v>Mensual</x:v>
      </x:c>
      <x:c r="H85" s="40" t="n">
        <x:v>95</x:v>
      </x:c>
      <x:c r="I85" s="22" t="str">
        <x:v>Mayor es mejor</x:v>
      </x:c>
      <x:c r="J85" s="40" t="n">
        <x:v>6662983</x:v>
      </x:c>
      <x:c r="K85" s="40" t="n">
        <x:v>7000000</x:v>
      </x:c>
      <x:c r="L85" s="40" t="n">
        <x:v>100</x:v>
      </x:c>
      <x:c r="M85" s="40" t="n">
        <x:f>IF(OR(J85="",K85="",K85=0),"",J85/K85*L85)</x:f>
        <x:v>95.18547142857143</x:v>
      </x:c>
      <x:c r="N85" s="22" t="str">
        <x:f>IF(M85="","",IF(I85="Mayor es mejor",IF(M85&gt;=H85,"En meta",IF(M85&gt;=H85*0.9,"Alerta","Crítico")),IF(M85&lt;=H85,"En meta",IF(M85&lt;=H85*1.1,"Alerta","Crítico"))))</x:f>
        <x:v>En meta</x:v>
      </x:c>
      <x:c r="O85" s="22" t="str">
        <x:v>%</x:v>
      </x:c>
      <x:c r="P85" s="22" t="str">
        <x:v>Líder SG-SST / Dirección Administrativa</x:v>
      </x:c>
      <x:c r="Q85" s="22" t="str">
        <x:v>Presupuesto SST</x:v>
      </x:c>
      <x:c r="R85" s="22" t="str"/>
    </x:row>
    <x:row r="86">
      <x:c r="A86" s="46" t="n">
        <x:v>45473</x:v>
      </x:c>
      <x:c r="B86" s="22" t="n">
        <x:v>2024</x:v>
      </x:c>
      <x:c r="C86" s="22" t="str">
        <x:v>Junio</x:v>
      </x:c>
      <x:c r="D86" s="22" t="str">
        <x:v>E02</x:v>
      </x:c>
      <x:c r="E86" s="22" t="str">
        <x:v>% cobertura del plan de formación y capacitación SG-SST</x:v>
      </x:c>
      <x:c r="F86" s="22" t="str">
        <x:v>Estructura</x:v>
      </x:c>
      <x:c r="G86" s="22" t="str">
        <x:v>Mensual</x:v>
      </x:c>
      <x:c r="H86" s="40" t="n">
        <x:v>90</x:v>
      </x:c>
      <x:c r="I86" s="22" t="str">
        <x:v>Mayor es mejor</x:v>
      </x:c>
      <x:c r="J86" s="40" t="n">
        <x:v>20</x:v>
      </x:c>
      <x:c r="K86" s="40" t="n">
        <x:v>22</x:v>
      </x:c>
      <x:c r="L86" s="40" t="n">
        <x:v>100</x:v>
      </x:c>
      <x:c r="M86" s="40" t="n">
        <x:f>IF(OR(J86="",K86="",K86=0),"",J86/K86*L86)</x:f>
        <x:v>90.9090909090909</x:v>
      </x:c>
      <x:c r="N86" s="22" t="str">
        <x:f>IF(M86="","",IF(I86="Mayor es mejor",IF(M86&gt;=H86,"En meta",IF(M86&gt;=H86*0.9,"Alerta","Crítico")),IF(M86&lt;=H86,"En meta",IF(M86&lt;=H86*1.1,"Alerta","Crítico"))))</x:f>
        <x:v>En meta</x:v>
      </x:c>
      <x:c r="O86" s="22" t="str">
        <x:v>%</x:v>
      </x:c>
      <x:c r="P86" s="22" t="str">
        <x:v>Líder SG-SST / Talento Humano</x:v>
      </x:c>
      <x:c r="Q86" s="22" t="str">
        <x:v>Plan de formación y capacitaciones</x:v>
      </x:c>
      <x:c r="R86" s="22" t="str"/>
    </x:row>
    <x:row r="87">
      <x:c r="A87" s="46" t="n">
        <x:v>45473</x:v>
      </x:c>
      <x:c r="B87" s="22" t="n">
        <x:v>2024</x:v>
      </x:c>
      <x:c r="C87" s="22" t="str">
        <x:v>Junio</x:v>
      </x:c>
      <x:c r="D87" s="22" t="str">
        <x:v>E03</x:v>
      </x:c>
      <x:c r="E87" s="22" t="str">
        <x:v>% trabajadores con exámenes médicos ocupacionales vigentes</x:v>
      </x:c>
      <x:c r="F87" s="22" t="str">
        <x:v>Estructura</x:v>
      </x:c>
      <x:c r="G87" s="22" t="str">
        <x:v>Mensual</x:v>
      </x:c>
      <x:c r="H87" s="40" t="n">
        <x:v>95</x:v>
      </x:c>
      <x:c r="I87" s="22" t="str">
        <x:v>Mayor es mejor</x:v>
      </x:c>
      <x:c r="J87" s="40" t="n">
        <x:v>218</x:v>
      </x:c>
      <x:c r="K87" s="40" t="n">
        <x:v>228</x:v>
      </x:c>
      <x:c r="L87" s="40" t="n">
        <x:v>100</x:v>
      </x:c>
      <x:c r="M87" s="40" t="n">
        <x:f>IF(OR(J87="",K87="",K87=0),"",J87/K87*L87)</x:f>
        <x:v>95.6140350877193</x:v>
      </x:c>
      <x:c r="N87" s="22" t="str">
        <x:f>IF(M87="","",IF(I87="Mayor es mejor",IF(M87&gt;=H87,"En meta",IF(M87&gt;=H87*0.9,"Alerta","Crítico")),IF(M87&lt;=H87,"En meta",IF(M87&lt;=H87*1.1,"Alerta","Crítico"))))</x:f>
        <x:v>En meta</x:v>
      </x:c>
      <x:c r="O87" s="22" t="str">
        <x:v>%</x:v>
      </x:c>
      <x:c r="P87" s="22" t="str">
        <x:v>Líder SG-SST / Talento Humano</x:v>
      </x:c>
      <x:c r="Q87" s="22" t="str">
        <x:v>Matriz de seguimiento EMO</x:v>
      </x:c>
      <x:c r="R87" s="22" t="str"/>
    </x:row>
    <x:row r="88">
      <x:c r="A88" s="46" t="n">
        <x:v>45473</x:v>
      </x:c>
      <x:c r="B88" s="22" t="n">
        <x:v>2024</x:v>
      </x:c>
      <x:c r="C88" s="22" t="str">
        <x:v>Junio</x:v>
      </x:c>
      <x:c r="D88" s="22" t="str">
        <x:v>E04</x:v>
      </x:c>
      <x:c r="E88" s="22" t="str">
        <x:v>% cumplimiento de requisitos legales aplicables en SST</x:v>
      </x:c>
      <x:c r="F88" s="22" t="str">
        <x:v>Estructura</x:v>
      </x:c>
      <x:c r="G88" s="22" t="str">
        <x:v>Mensual</x:v>
      </x:c>
      <x:c r="H88" s="40" t="n">
        <x:v>95</x:v>
      </x:c>
      <x:c r="I88" s="22" t="str">
        <x:v>Mayor es mejor</x:v>
      </x:c>
      <x:c r="J88" s="40" t="n">
        <x:v>57</x:v>
      </x:c>
      <x:c r="K88" s="40" t="n">
        <x:v>60</x:v>
      </x:c>
      <x:c r="L88" s="40" t="n">
        <x:v>100</x:v>
      </x:c>
      <x:c r="M88" s="40" t="n">
        <x:f>IF(OR(J88="",K88="",K88=0),"",J88/K88*L88)</x:f>
        <x:v>95</x:v>
      </x:c>
      <x:c r="N88" s="22" t="str">
        <x:f>IF(M88="","",IF(I88="Mayor es mejor",IF(M88&gt;=H88,"En meta",IF(M88&gt;=H88*0.9,"Alerta","Crítico")),IF(M88&lt;=H88,"En meta",IF(M88&lt;=H88*1.1,"Alerta","Crítico"))))</x:f>
        <x:v>En meta</x:v>
      </x:c>
      <x:c r="O88" s="22" t="str">
        <x:v>%</x:v>
      </x:c>
      <x:c r="P88" s="22" t="str">
        <x:v>Líder SG-SST / Jurídica</x:v>
      </x:c>
      <x:c r="Q88" s="22" t="str">
        <x:v>Matriz legal SGRL</x:v>
      </x:c>
      <x:c r="R88" s="22" t="str"/>
    </x:row>
    <x:row r="89">
      <x:c r="A89" s="46" t="n">
        <x:v>45473</x:v>
      </x:c>
      <x:c r="B89" s="22" t="n">
        <x:v>2024</x:v>
      </x:c>
      <x:c r="C89" s="22" t="str">
        <x:v>Junio</x:v>
      </x:c>
      <x:c r="D89" s="22" t="str">
        <x:v>E05</x:v>
      </x:c>
      <x:c r="E89" s="22" t="str">
        <x:v>% proveedores y contratistas aprobados en SST</x:v>
      </x:c>
      <x:c r="F89" s="22" t="str">
        <x:v>Estructura</x:v>
      </x:c>
      <x:c r="G89" s="22" t="str">
        <x:v>Mensual</x:v>
      </x:c>
      <x:c r="H89" s="40" t="n">
        <x:v>90</x:v>
      </x:c>
      <x:c r="I89" s="22" t="str">
        <x:v>Mayor es mejor</x:v>
      </x:c>
      <x:c r="J89" s="40" t="n">
        <x:v>18</x:v>
      </x:c>
      <x:c r="K89" s="40" t="n">
        <x:v>20</x:v>
      </x:c>
      <x:c r="L89" s="40" t="n">
        <x:v>100</x:v>
      </x:c>
      <x:c r="M89" s="40" t="n">
        <x:f>IF(OR(J89="",K89="",K89=0),"",J89/K89*L89)</x:f>
        <x:v>90</x:v>
      </x:c>
      <x:c r="N89" s="22" t="str">
        <x:f>IF(M89="","",IF(I89="Mayor es mejor",IF(M89&gt;=H89,"En meta",IF(M89&gt;=H89*0.9,"Alerta","Crítico")),IF(M89&lt;=H89,"En meta",IF(M89&lt;=H89*1.1,"Alerta","Crítico"))))</x:f>
        <x:v>En meta</x:v>
      </x:c>
      <x:c r="O89" s="22" t="str">
        <x:v>%</x:v>
      </x:c>
      <x:c r="P89" s="22" t="str">
        <x:v>Compras / Líder SG-SST</x:v>
      </x:c>
      <x:c r="Q89" s="22" t="str">
        <x:v>Gestión de proveedores y contratistas</x:v>
      </x:c>
      <x:c r="R89" s="22" t="str"/>
    </x:row>
    <x:row r="90">
      <x:c r="A90" s="46" t="n">
        <x:v>45473</x:v>
      </x:c>
      <x:c r="B90" s="22" t="n">
        <x:v>2024</x:v>
      </x:c>
      <x:c r="C90" s="22" t="str">
        <x:v>Junio</x:v>
      </x:c>
      <x:c r="D90" s="22" t="str">
        <x:v>P01</x:v>
      </x:c>
      <x:c r="E90" s="22" t="str">
        <x:v>% ejecución del plan anual de trabajo SG-SST</x:v>
      </x:c>
      <x:c r="F90" s="22" t="str">
        <x:v>Proceso</x:v>
      </x:c>
      <x:c r="G90" s="22" t="str">
        <x:v>Mensual</x:v>
      </x:c>
      <x:c r="H90" s="40" t="n">
        <x:v>90</x:v>
      </x:c>
      <x:c r="I90" s="22" t="str">
        <x:v>Mayor es mejor</x:v>
      </x:c>
      <x:c r="J90" s="40" t="n">
        <x:v>9</x:v>
      </x:c>
      <x:c r="K90" s="40" t="n">
        <x:v>10</x:v>
      </x:c>
      <x:c r="L90" s="40" t="n">
        <x:v>100</x:v>
      </x:c>
      <x:c r="M90" s="40" t="n">
        <x:f>IF(OR(J90="",K90="",K90=0),"",J90/K90*L90)</x:f>
        <x:v>90</x:v>
      </x:c>
      <x:c r="N90" s="22" t="str">
        <x:f>IF(M90="","",IF(I90="Mayor es mejor",IF(M90&gt;=H90,"En meta",IF(M90&gt;=H90*0.9,"Alerta","Crítico")),IF(M90&lt;=H90,"En meta",IF(M90&lt;=H90*1.1,"Alerta","Crítico"))))</x:f>
        <x:v>En meta</x:v>
      </x:c>
      <x:c r="O90" s="22" t="str">
        <x:v>%</x:v>
      </x:c>
      <x:c r="P90" s="22" t="str">
        <x:v>Líder SG-SST</x:v>
      </x:c>
      <x:c r="Q90" s="22" t="str">
        <x:v>Plan anual de trabajo PHVA</x:v>
      </x:c>
      <x:c r="R90" s="22" t="str"/>
    </x:row>
    <x:row r="91">
      <x:c r="A91" s="46" t="n">
        <x:v>45473</x:v>
      </x:c>
      <x:c r="B91" s="22" t="n">
        <x:v>2024</x:v>
      </x:c>
      <x:c r="C91" s="22" t="str">
        <x:v>Junio</x:v>
      </x:c>
      <x:c r="D91" s="22" t="str">
        <x:v>P02</x:v>
      </x:c>
      <x:c r="E91" s="22" t="str">
        <x:v>% investigaciones de accidentes realizadas oportunamente</x:v>
      </x:c>
      <x:c r="F91" s="22" t="str">
        <x:v>Proceso</x:v>
      </x:c>
      <x:c r="G91" s="22" t="str">
        <x:v>Mensual</x:v>
      </x:c>
      <x:c r="H91" s="40" t="n">
        <x:v>95</x:v>
      </x:c>
      <x:c r="I91" s="22" t="str">
        <x:v>Mayor es mejor</x:v>
      </x:c>
      <x:c r="J91" s="40" t="n">
        <x:v>1</x:v>
      </x:c>
      <x:c r="K91" s="40" t="n">
        <x:v>1</x:v>
      </x:c>
      <x:c r="L91" s="40" t="n">
        <x:v>100</x:v>
      </x:c>
      <x:c r="M91" s="40" t="n">
        <x:f>IF(OR(J91="",K91="",K91=0),"",J91/K91*L91)</x:f>
        <x:v>100</x:v>
      </x:c>
      <x:c r="N91" s="22" t="str">
        <x:f>IF(M91="","",IF(I91="Mayor es mejor",IF(M91&gt;=H91,"En meta",IF(M91&gt;=H91*0.9,"Alerta","Crítico")),IF(M91&lt;=H91,"En meta",IF(M91&lt;=H91*1.1,"Alerta","Crítico"))))</x:f>
        <x:v>En meta</x:v>
      </x:c>
      <x:c r="O91" s="22" t="str">
        <x:v>%</x:v>
      </x:c>
      <x:c r="P91" s="22" t="str">
        <x:v>Líder SG-SST / COPASST</x:v>
      </x:c>
      <x:c r="Q91" s="22" t="str">
        <x:v>Matriz de accidentalidad</x:v>
      </x:c>
      <x:c r="R91" s="22" t="str"/>
    </x:row>
    <x:row r="92">
      <x:c r="A92" s="46" t="n">
        <x:v>45473</x:v>
      </x:c>
      <x:c r="B92" s="22" t="n">
        <x:v>2024</x:v>
      </x:c>
      <x:c r="C92" s="22" t="str">
        <x:v>Junio</x:v>
      </x:c>
      <x:c r="D92" s="22" t="str">
        <x:v>P03</x:v>
      </x:c>
      <x:c r="E92" s="22" t="str">
        <x:v>% cierre oportuno de acciones correctivas, preventivas y de mejora</x:v>
      </x:c>
      <x:c r="F92" s="22" t="str">
        <x:v>Proceso</x:v>
      </x:c>
      <x:c r="G92" s="22" t="str">
        <x:v>Mensual</x:v>
      </x:c>
      <x:c r="H92" s="40" t="n">
        <x:v>90</x:v>
      </x:c>
      <x:c r="I92" s="22" t="str">
        <x:v>Mayor es mejor</x:v>
      </x:c>
      <x:c r="J92" s="40" t="n">
        <x:v>10</x:v>
      </x:c>
      <x:c r="K92" s="40" t="n">
        <x:v>11</x:v>
      </x:c>
      <x:c r="L92" s="40" t="n">
        <x:v>100</x:v>
      </x:c>
      <x:c r="M92" s="40" t="n">
        <x:f>IF(OR(J92="",K92="",K92=0),"",J92/K92*L92)</x:f>
        <x:v>90.9090909090909</x:v>
      </x:c>
      <x:c r="N92" s="22" t="str">
        <x:f>IF(M92="","",IF(I92="Mayor es mejor",IF(M92&gt;=H92,"En meta",IF(M92&gt;=H92*0.9,"Alerta","Crítico")),IF(M92&lt;=H92,"En meta",IF(M92&lt;=H92*1.1,"Alerta","Crítico"))))</x:f>
        <x:v>En meta</x:v>
      </x:c>
      <x:c r="O92" s="22" t="str">
        <x:v>%</x:v>
      </x:c>
      <x:c r="P92" s="22" t="str">
        <x:v>Líder SG-SST / Responsables de proceso</x:v>
      </x:c>
      <x:c r="Q92" s="22" t="str">
        <x:v>Matriz APCM</x:v>
      </x:c>
      <x:c r="R92" s="22" t="str"/>
    </x:row>
    <x:row r="93">
      <x:c r="A93" s="46" t="n">
        <x:v>45473</x:v>
      </x:c>
      <x:c r="B93" s="22" t="n">
        <x:v>2024</x:v>
      </x:c>
      <x:c r="C93" s="22" t="str">
        <x:v>Junio</x:v>
      </x:c>
      <x:c r="D93" s="22" t="str">
        <x:v>P04</x:v>
      </x:c>
      <x:c r="E93" s="22" t="str">
        <x:v>% inspecciones de seguridad ejecutadas</x:v>
      </x:c>
      <x:c r="F93" s="22" t="str">
        <x:v>Proceso</x:v>
      </x:c>
      <x:c r="G93" s="22" t="str">
        <x:v>Mensual</x:v>
      </x:c>
      <x:c r="H93" s="40" t="n">
        <x:v>90</x:v>
      </x:c>
      <x:c r="I93" s="22" t="str">
        <x:v>Mayor es mejor</x:v>
      </x:c>
      <x:c r="J93" s="40" t="n">
        <x:v>9</x:v>
      </x:c>
      <x:c r="K93" s="40" t="n">
        <x:v>10</x:v>
      </x:c>
      <x:c r="L93" s="40" t="n">
        <x:v>100</x:v>
      </x:c>
      <x:c r="M93" s="40" t="n">
        <x:f>IF(OR(J93="",K93="",K93=0),"",J93/K93*L93)</x:f>
        <x:v>90</x:v>
      </x:c>
      <x:c r="N93" s="22" t="str">
        <x:f>IF(M93="","",IF(I93="Mayor es mejor",IF(M93&gt;=H93,"En meta",IF(M93&gt;=H93*0.9,"Alerta","Crítico")),IF(M93&lt;=H93,"En meta",IF(M93&lt;=H93*1.1,"Alerta","Crítico"))))</x:f>
        <x:v>En meta</x:v>
      </x:c>
      <x:c r="O93" s="22" t="str">
        <x:v>%</x:v>
      </x:c>
      <x:c r="P93" s="22" t="str">
        <x:v>Líder SG-SST / Supervisores</x:v>
      </x:c>
      <x:c r="Q93" s="22" t="str">
        <x:v>Programa de inspecciones</x:v>
      </x:c>
      <x:c r="R93" s="22" t="str"/>
    </x:row>
    <x:row r="94">
      <x:c r="A94" s="46" t="n">
        <x:v>45473</x:v>
      </x:c>
      <x:c r="B94" s="22" t="n">
        <x:v>2024</x:v>
      </x:c>
      <x:c r="C94" s="22" t="str">
        <x:v>Junio</x:v>
      </x:c>
      <x:c r="D94" s="22" t="str">
        <x:v>P05</x:v>
      </x:c>
      <x:c r="E94" s="22" t="str">
        <x:v>% mantenimientos preventivos ejecutados</x:v>
      </x:c>
      <x:c r="F94" s="22" t="str">
        <x:v>Proceso</x:v>
      </x:c>
      <x:c r="G94" s="22" t="str">
        <x:v>Mensual</x:v>
      </x:c>
      <x:c r="H94" s="40" t="n">
        <x:v>90</x:v>
      </x:c>
      <x:c r="I94" s="22" t="str">
        <x:v>Mayor es mejor</x:v>
      </x:c>
      <x:c r="J94" s="40" t="n">
        <x:v>13</x:v>
      </x:c>
      <x:c r="K94" s="40" t="n">
        <x:v>14</x:v>
      </x:c>
      <x:c r="L94" s="40" t="n">
        <x:v>100</x:v>
      </x:c>
      <x:c r="M94" s="40" t="n">
        <x:f>IF(OR(J94="",K94="",K94=0),"",J94/K94*L94)</x:f>
        <x:v>92.85714285714286</x:v>
      </x:c>
      <x:c r="N94" s="22" t="str">
        <x:f>IF(M94="","",IF(I94="Mayor es mejor",IF(M94&gt;=H94,"En meta",IF(M94&gt;=H94*0.9,"Alerta","Crítico")),IF(M94&lt;=H94,"En meta",IF(M94&lt;=H94*1.1,"Alerta","Crítico"))))</x:f>
        <x:v>En meta</x:v>
      </x:c>
      <x:c r="O94" s="22" t="str">
        <x:v>%</x:v>
      </x:c>
      <x:c r="P94" s="22" t="str">
        <x:v>Mantenimiento / Líder SG-SST</x:v>
      </x:c>
      <x:c r="Q94" s="22" t="str">
        <x:v>Programa de mantenimiento preventivo</x:v>
      </x:c>
      <x:c r="R94" s="22" t="str"/>
    </x:row>
    <x:row r="95">
      <x:c r="A95" s="46" t="n">
        <x:v>45473</x:v>
      </x:c>
      <x:c r="B95" s="22" t="n">
        <x:v>2024</x:v>
      </x:c>
      <x:c r="C95" s="22" t="str">
        <x:v>Junio</x:v>
      </x:c>
      <x:c r="D95" s="22" t="str">
        <x:v>R01</x:v>
      </x:c>
      <x:c r="E95" s="22" t="str">
        <x:v>Índice de frecuencia de accidentalidad (IF)</x:v>
      </x:c>
      <x:c r="F95" s="22" t="str">
        <x:v>Resultado</x:v>
      </x:c>
      <x:c r="G95" s="22" t="str">
        <x:v>Mensual</x:v>
      </x:c>
      <x:c r="H95" s="40" t="n">
        <x:v>3.5</x:v>
      </x:c>
      <x:c r="I95" s="22" t="str">
        <x:v>Menor es mejor</x:v>
      </x:c>
      <x:c r="J95" s="40" t="n">
        <x:v>1</x:v>
      </x:c>
      <x:c r="K95" s="40" t="n">
        <x:v>55306</x:v>
      </x:c>
      <x:c r="L95" s="40" t="n">
        <x:v>200000</x:v>
      </x:c>
      <x:c r="M95" s="40" t="n">
        <x:f>IF(OR(J95="",K95="",K95=0),"",J95/K95*L95)</x:f>
        <x:v>3.6162441688062774</x:v>
      </x:c>
      <x:c r="N95" s="22" t="str">
        <x:f>IF(M95="","",IF(I95="Mayor es mejor",IF(M95&gt;=H95,"En meta",IF(M95&gt;=H95*0.9,"Alerta","Crítico")),IF(M95&lt;=H95,"En meta",IF(M95&lt;=H95*1.1,"Alerta","Crítico"))))</x:f>
        <x:v>Alerta</x:v>
      </x:c>
      <x:c r="O95" s="22" t="str">
        <x:v>Índice</x:v>
      </x:c>
      <x:c r="P95" s="22" t="str">
        <x:v>Líder SG-SST</x:v>
      </x:c>
      <x:c r="Q95" s="22" t="str">
        <x:v>Matriz de accidentalidad / nómina</x:v>
      </x:c>
      <x:c r="R95" s="22" t="str"/>
    </x:row>
    <x:row r="96">
      <x:c r="A96" s="46" t="n">
        <x:v>45473</x:v>
      </x:c>
      <x:c r="B96" s="22" t="n">
        <x:v>2024</x:v>
      </x:c>
      <x:c r="C96" s="22" t="str">
        <x:v>Junio</x:v>
      </x:c>
      <x:c r="D96" s="22" t="str">
        <x:v>R02</x:v>
      </x:c>
      <x:c r="E96" s="22" t="str">
        <x:v>Índice de severidad de accidentalidad (IS)</x:v>
      </x:c>
      <x:c r="F96" s="22" t="str">
        <x:v>Resultado</x:v>
      </x:c>
      <x:c r="G96" s="22" t="str">
        <x:v>Mensual</x:v>
      </x:c>
      <x:c r="H96" s="40" t="n">
        <x:v>80</x:v>
      </x:c>
      <x:c r="I96" s="22" t="str">
        <x:v>Menor es mejor</x:v>
      </x:c>
      <x:c r="J96" s="40" t="n">
        <x:v>20</x:v>
      </x:c>
      <x:c r="K96" s="40" t="n">
        <x:v>55306</x:v>
      </x:c>
      <x:c r="L96" s="40" t="n">
        <x:v>200000</x:v>
      </x:c>
      <x:c r="M96" s="40" t="n">
        <x:f>IF(OR(J96="",K96="",K96=0),"",J96/K96*L96)</x:f>
        <x:v>72.32488337612556</x:v>
      </x:c>
      <x:c r="N96" s="22" t="str">
        <x:f>IF(M96="","",IF(I96="Mayor es mejor",IF(M96&gt;=H96,"En meta",IF(M96&gt;=H96*0.9,"Alerta","Crítico")),IF(M96&lt;=H96,"En meta",IF(M96&lt;=H96*1.1,"Alerta","Crítico"))))</x:f>
        <x:v>En meta</x:v>
      </x:c>
      <x:c r="O96" s="22" t="str">
        <x:v>Índice</x:v>
      </x:c>
      <x:c r="P96" s="22" t="str">
        <x:v>Líder SG-SST</x:v>
      </x:c>
      <x:c r="Q96" s="22" t="str">
        <x:v>Matriz de accidentalidad / nómina</x:v>
      </x:c>
      <x:c r="R96" s="22" t="str"/>
    </x:row>
    <x:row r="97">
      <x:c r="A97" s="46" t="n">
        <x:v>45473</x:v>
      </x:c>
      <x:c r="B97" s="22" t="n">
        <x:v>2024</x:v>
      </x:c>
      <x:c r="C97" s="22" t="str">
        <x:v>Junio</x:v>
      </x:c>
      <x:c r="D97" s="22" t="str">
        <x:v>R03</x:v>
      </x:c>
      <x:c r="E97" s="22" t="str">
        <x:v>Índice de lesión incapacitante (ILI)</x:v>
      </x:c>
      <x:c r="F97" s="22" t="str">
        <x:v>Resultado</x:v>
      </x:c>
      <x:c r="G97" s="22" t="str">
        <x:v>Mensual</x:v>
      </x:c>
      <x:c r="H97" s="40" t="n">
        <x:v>0.25</x:v>
      </x:c>
      <x:c r="I97" s="22" t="str">
        <x:v>Menor es mejor</x:v>
      </x:c>
      <x:c r="J97" s="40" t="n">
        <x:v>261.5444</x:v>
      </x:c>
      <x:c r="K97" s="40" t="n">
        <x:v>1000</x:v>
      </x:c>
      <x:c r="L97" s="40" t="n">
        <x:v>1</x:v>
      </x:c>
      <x:c r="M97" s="40" t="n">
        <x:f>IF(OR(J97="",K97="",K97=0),"",J97/K97*L97)</x:f>
        <x:v>0.2615444</x:v>
      </x:c>
      <x:c r="N97" s="22" t="str">
        <x:f>IF(M97="","",IF(I97="Mayor es mejor",IF(M97&gt;=H97,"En meta",IF(M97&gt;=H97*0.9,"Alerta","Crítico")),IF(M97&lt;=H97,"En meta",IF(M97&lt;=H97*1.1,"Alerta","Crítico"))))</x:f>
        <x:v>Alerta</x:v>
      </x:c>
      <x:c r="O97" s="22" t="str">
        <x:v>Índice</x:v>
      </x:c>
      <x:c r="P97" s="22" t="str">
        <x:v>Líder SG-SST</x:v>
      </x:c>
      <x:c r="Q97" s="22" t="str">
        <x:v>Indicadores derivados de accidentalidad</x:v>
      </x:c>
      <x:c r="R97" s="22" t="str">
        <x:v>ILI calculado sobre IF e IS del periodo.</x:v>
      </x:c>
    </x:row>
    <x:row r="98">
      <x:c r="A98" s="46" t="n">
        <x:v>45473</x:v>
      </x:c>
      <x:c r="B98" s="22" t="n">
        <x:v>2024</x:v>
      </x:c>
      <x:c r="C98" s="22" t="str">
        <x:v>Junio</x:v>
      </x:c>
      <x:c r="D98" s="22" t="str">
        <x:v>R04</x:v>
      </x:c>
      <x:c r="E98" s="22" t="str">
        <x:v>Tasa de accidentalidad</x:v>
      </x:c>
      <x:c r="F98" s="22" t="str">
        <x:v>Resultado</x:v>
      </x:c>
      <x:c r="G98" s="22" t="str">
        <x:v>Mensual</x:v>
      </x:c>
      <x:c r="H98" s="40" t="n">
        <x:v>0.6</x:v>
      </x:c>
      <x:c r="I98" s="22" t="str">
        <x:v>Menor es mejor</x:v>
      </x:c>
      <x:c r="J98" s="40" t="n">
        <x:v>0.02</x:v>
      </x:c>
      <x:c r="K98" s="40" t="n">
        <x:v>228</x:v>
      </x:c>
      <x:c r="L98" s="40" t="n">
        <x:v>100</x:v>
      </x:c>
      <x:c r="M98" s="40" t="n">
        <x:f>IF(OR(J98="",K98="",K98=0),"",J98/K98*L98)</x:f>
        <x:v>0.008771929824561405</x:v>
      </x:c>
      <x:c r="N98" s="22" t="str">
        <x:f>IF(M98="","",IF(I98="Mayor es mejor",IF(M98&gt;=H98,"En meta",IF(M98&gt;=H98*0.9,"Alerta","Crítico")),IF(M98&lt;=H98,"En meta",IF(M98&lt;=H98*1.1,"Alerta","Crítico"))))</x:f>
        <x:v>En meta</x:v>
      </x:c>
      <x:c r="O98" s="22" t="str">
        <x:v>%</x:v>
      </x:c>
      <x:c r="P98" s="22" t="str">
        <x:v>Líder SG-SST</x:v>
      </x:c>
      <x:c r="Q98" s="22" t="str">
        <x:v>Matriz de accidentalidad / nómina</x:v>
      </x:c>
      <x:c r="R98" s="22" t="str"/>
    </x:row>
    <x:row r="99">
      <x:c r="A99" s="46" t="n">
        <x:v>45473</x:v>
      </x:c>
      <x:c r="B99" s="22" t="n">
        <x:v>2024</x:v>
      </x:c>
      <x:c r="C99" s="22" t="str">
        <x:v>Junio</x:v>
      </x:c>
      <x:c r="D99" s="22" t="str">
        <x:v>R05</x:v>
      </x:c>
      <x:c r="E99" s="22" t="str">
        <x:v>Prevalencia de enfermedad laboral</x:v>
      </x:c>
      <x:c r="F99" s="22" t="str">
        <x:v>Resultado</x:v>
      </x:c>
      <x:c r="G99" s="22" t="str">
        <x:v>Mensual</x:v>
      </x:c>
      <x:c r="H99" s="40" t="n">
        <x:v>0.3</x:v>
      </x:c>
      <x:c r="I99" s="22" t="str">
        <x:v>Menor es mejor</x:v>
      </x:c>
      <x:c r="J99" s="40" t="n">
        <x:v>1.12</x:v>
      </x:c>
      <x:c r="K99" s="40" t="n">
        <x:v>228</x:v>
      </x:c>
      <x:c r="L99" s="40" t="n">
        <x:v>100</x:v>
      </x:c>
      <x:c r="M99" s="40" t="n">
        <x:f>IF(OR(J99="",K99="",K99=0),"",J99/K99*L99)</x:f>
        <x:v>0.4912280701754386</x:v>
      </x:c>
      <x:c r="N99" s="22" t="str">
        <x:f>IF(M99="","",IF(I99="Mayor es mejor",IF(M99&gt;=H99,"En meta",IF(M99&gt;=H99*0.9,"Alerta","Crítico")),IF(M99&lt;=H99,"En meta",IF(M99&lt;=H99*1.1,"Alerta","Crítico"))))</x:f>
        <x:v>Crítico</x:v>
      </x:c>
      <x:c r="O99" s="22" t="str">
        <x:v>%</x:v>
      </x:c>
      <x:c r="P99" s="22" t="str">
        <x:v>Líder SG-SST / Medicina laboral</x:v>
      </x:c>
      <x:c r="Q99" s="22" t="str">
        <x:v>Matriz de enfermedad laboral / nómina</x:v>
      </x:c>
      <x:c r="R99" s="22" t="str"/>
    </x:row>
    <x:row r="100">
      <x:c r="A100" s="46" t="n">
        <x:v>45473</x:v>
      </x:c>
      <x:c r="B100" s="22" t="n">
        <x:v>2024</x:v>
      </x:c>
      <x:c r="C100" s="22" t="str">
        <x:v>Junio</x:v>
      </x:c>
      <x:c r="D100" s="22" t="str">
        <x:v>R06</x:v>
      </x:c>
      <x:c r="E100" s="22" t="str">
        <x:v>% cumplimiento de estándares mínimos Res. 0312 de 2019</x:v>
      </x:c>
      <x:c r="F100" s="22" t="str">
        <x:v>Resultado</x:v>
      </x:c>
      <x:c r="G100" s="22" t="str">
        <x:v>Mensual</x:v>
      </x:c>
      <x:c r="H100" s="40" t="n">
        <x:v>95</x:v>
      </x:c>
      <x:c r="I100" s="22" t="str">
        <x:v>Mayor es mejor</x:v>
      </x:c>
      <x:c r="J100" s="40" t="n">
        <x:v>98</x:v>
      </x:c>
      <x:c r="K100" s="40" t="n">
        <x:v>100</x:v>
      </x:c>
      <x:c r="L100" s="40" t="n">
        <x:v>100</x:v>
      </x:c>
      <x:c r="M100" s="40" t="n">
        <x:f>IF(OR(J100="",K100="",K100=0),"",J100/K100*L100)</x:f>
        <x:v>98</x:v>
      </x:c>
      <x:c r="N100" s="22" t="str">
        <x:f>IF(M100="","",IF(I100="Mayor es mejor",IF(M100&gt;=H100,"En meta",IF(M100&gt;=H100*0.9,"Alerta","Crítico")),IF(M100&lt;=H100,"En meta",IF(M100&lt;=H100*1.1,"Alerta","Crítico"))))</x:f>
        <x:v>En meta</x:v>
      </x:c>
      <x:c r="O100" s="22" t="str">
        <x:v>%</x:v>
      </x:c>
      <x:c r="P100" s="22" t="str">
        <x:v>Líder SG-SST / Alta Dirección</x:v>
      </x:c>
      <x:c r="Q100" s="22" t="str">
        <x:v>Autodiagnóstico Res. 0312 de 2019</x:v>
      </x:c>
      <x:c r="R100" s="22" t="str"/>
    </x:row>
    <x:row r="101">
      <x:c r="A101" s="46" t="n">
        <x:v>45504</x:v>
      </x:c>
      <x:c r="B101" s="22" t="n">
        <x:v>2024</x:v>
      </x:c>
      <x:c r="C101" s="22" t="str">
        <x:v>Julio</x:v>
      </x:c>
      <x:c r="D101" s="22" t="str">
        <x:v>E01</x:v>
      </x:c>
      <x:c r="E101" s="22" t="str">
        <x:v>% ejecución presupuestal del SG-SST</x:v>
      </x:c>
      <x:c r="F101" s="22" t="str">
        <x:v>Estructura</x:v>
      </x:c>
      <x:c r="G101" s="22" t="str">
        <x:v>Mensual</x:v>
      </x:c>
      <x:c r="H101" s="40" t="n">
        <x:v>95</x:v>
      </x:c>
      <x:c r="I101" s="22" t="str">
        <x:v>Mayor es mejor</x:v>
      </x:c>
      <x:c r="J101" s="40" t="n">
        <x:v>6989275</x:v>
      </x:c>
      <x:c r="K101" s="40" t="n">
        <x:v>7500000</x:v>
      </x:c>
      <x:c r="L101" s="40" t="n">
        <x:v>100</x:v>
      </x:c>
      <x:c r="M101" s="40" t="n">
        <x:f>IF(OR(J101="",K101="",K101=0),"",J101/K101*L101)</x:f>
        <x:v>93.19033333333333</x:v>
      </x:c>
      <x:c r="N101" s="22" t="str">
        <x:f>IF(M101="","",IF(I101="Mayor es mejor",IF(M101&gt;=H101,"En meta",IF(M101&gt;=H101*0.9,"Alerta","Crítico")),IF(M101&lt;=H101,"En meta",IF(M101&lt;=H101*1.1,"Alerta","Crítico"))))</x:f>
        <x:v>Alerta</x:v>
      </x:c>
      <x:c r="O101" s="22" t="str">
        <x:v>%</x:v>
      </x:c>
      <x:c r="P101" s="22" t="str">
        <x:v>Líder SG-SST / Dirección Administrativa</x:v>
      </x:c>
      <x:c r="Q101" s="22" t="str">
        <x:v>Presupuesto SST</x:v>
      </x:c>
      <x:c r="R101" s="22" t="str"/>
    </x:row>
    <x:row r="102">
      <x:c r="A102" s="46" t="n">
        <x:v>45504</x:v>
      </x:c>
      <x:c r="B102" s="22" t="n">
        <x:v>2024</x:v>
      </x:c>
      <x:c r="C102" s="22" t="str">
        <x:v>Julio</x:v>
      </x:c>
      <x:c r="D102" s="22" t="str">
        <x:v>E02</x:v>
      </x:c>
      <x:c r="E102" s="22" t="str">
        <x:v>% cobertura del plan de formación y capacitación SG-SST</x:v>
      </x:c>
      <x:c r="F102" s="22" t="str">
        <x:v>Estructura</x:v>
      </x:c>
      <x:c r="G102" s="22" t="str">
        <x:v>Mensual</x:v>
      </x:c>
      <x:c r="H102" s="40" t="n">
        <x:v>90</x:v>
      </x:c>
      <x:c r="I102" s="22" t="str">
        <x:v>Mayor es mejor</x:v>
      </x:c>
      <x:c r="J102" s="40" t="n">
        <x:v>22</x:v>
      </x:c>
      <x:c r="K102" s="40" t="n">
        <x:v>24</x:v>
      </x:c>
      <x:c r="L102" s="40" t="n">
        <x:v>100</x:v>
      </x:c>
      <x:c r="M102" s="40" t="n">
        <x:f>IF(OR(J102="",K102="",K102=0),"",J102/K102*L102)</x:f>
        <x:v>91.66666666666666</x:v>
      </x:c>
      <x:c r="N102" s="22" t="str">
        <x:f>IF(M102="","",IF(I102="Mayor es mejor",IF(M102&gt;=H102,"En meta",IF(M102&gt;=H102*0.9,"Alerta","Crítico")),IF(M102&lt;=H102,"En meta",IF(M102&lt;=H102*1.1,"Alerta","Crítico"))))</x:f>
        <x:v>En meta</x:v>
      </x:c>
      <x:c r="O102" s="22" t="str">
        <x:v>%</x:v>
      </x:c>
      <x:c r="P102" s="22" t="str">
        <x:v>Líder SG-SST / Talento Humano</x:v>
      </x:c>
      <x:c r="Q102" s="22" t="str">
        <x:v>Plan de formación y capacitaciones</x:v>
      </x:c>
      <x:c r="R102" s="22" t="str"/>
    </x:row>
    <x:row r="103">
      <x:c r="A103" s="46" t="n">
        <x:v>45504</x:v>
      </x:c>
      <x:c r="B103" s="22" t="n">
        <x:v>2024</x:v>
      </x:c>
      <x:c r="C103" s="22" t="str">
        <x:v>Julio</x:v>
      </x:c>
      <x:c r="D103" s="22" t="str">
        <x:v>E03</x:v>
      </x:c>
      <x:c r="E103" s="22" t="str">
        <x:v>% trabajadores con exámenes médicos ocupacionales vigentes</x:v>
      </x:c>
      <x:c r="F103" s="22" t="str">
        <x:v>Estructura</x:v>
      </x:c>
      <x:c r="G103" s="22" t="str">
        <x:v>Mensual</x:v>
      </x:c>
      <x:c r="H103" s="40" t="n">
        <x:v>95</x:v>
      </x:c>
      <x:c r="I103" s="22" t="str">
        <x:v>Mayor es mejor</x:v>
      </x:c>
      <x:c r="J103" s="40" t="n">
        <x:v>206</x:v>
      </x:c>
      <x:c r="K103" s="40" t="n">
        <x:v>220</x:v>
      </x:c>
      <x:c r="L103" s="40" t="n">
        <x:v>100</x:v>
      </x:c>
      <x:c r="M103" s="40" t="n">
        <x:f>IF(OR(J103="",K103="",K103=0),"",J103/K103*L103)</x:f>
        <x:v>93.63636363636364</x:v>
      </x:c>
      <x:c r="N103" s="22" t="str">
        <x:f>IF(M103="","",IF(I103="Mayor es mejor",IF(M103&gt;=H103,"En meta",IF(M103&gt;=H103*0.9,"Alerta","Crítico")),IF(M103&lt;=H103,"En meta",IF(M103&lt;=H103*1.1,"Alerta","Crítico"))))</x:f>
        <x:v>Alerta</x:v>
      </x:c>
      <x:c r="O103" s="22" t="str">
        <x:v>%</x:v>
      </x:c>
      <x:c r="P103" s="22" t="str">
        <x:v>Líder SG-SST / Talento Humano</x:v>
      </x:c>
      <x:c r="Q103" s="22" t="str">
        <x:v>Matriz de seguimiento EMO</x:v>
      </x:c>
      <x:c r="R103" s="22" t="str"/>
    </x:row>
    <x:row r="104">
      <x:c r="A104" s="46" t="n">
        <x:v>45504</x:v>
      </x:c>
      <x:c r="B104" s="22" t="n">
        <x:v>2024</x:v>
      </x:c>
      <x:c r="C104" s="22" t="str">
        <x:v>Julio</x:v>
      </x:c>
      <x:c r="D104" s="22" t="str">
        <x:v>E04</x:v>
      </x:c>
      <x:c r="E104" s="22" t="str">
        <x:v>% cumplimiento de requisitos legales aplicables en SST</x:v>
      </x:c>
      <x:c r="F104" s="22" t="str">
        <x:v>Estructura</x:v>
      </x:c>
      <x:c r="G104" s="22" t="str">
        <x:v>Mensual</x:v>
      </x:c>
      <x:c r="H104" s="40" t="n">
        <x:v>95</x:v>
      </x:c>
      <x:c r="I104" s="22" t="str">
        <x:v>Mayor es mejor</x:v>
      </x:c>
      <x:c r="J104" s="40" t="n">
        <x:v>56</x:v>
      </x:c>
      <x:c r="K104" s="40" t="n">
        <x:v>60</x:v>
      </x:c>
      <x:c r="L104" s="40" t="n">
        <x:v>100</x:v>
      </x:c>
      <x:c r="M104" s="40" t="n">
        <x:f>IF(OR(J104="",K104="",K104=0),"",J104/K104*L104)</x:f>
        <x:v>93.33333333333333</x:v>
      </x:c>
      <x:c r="N104" s="22" t="str">
        <x:f>IF(M104="","",IF(I104="Mayor es mejor",IF(M104&gt;=H104,"En meta",IF(M104&gt;=H104*0.9,"Alerta","Crítico")),IF(M104&lt;=H104,"En meta",IF(M104&lt;=H104*1.1,"Alerta","Crítico"))))</x:f>
        <x:v>Alerta</x:v>
      </x:c>
      <x:c r="O104" s="22" t="str">
        <x:v>%</x:v>
      </x:c>
      <x:c r="P104" s="22" t="str">
        <x:v>Líder SG-SST / Jurídica</x:v>
      </x:c>
      <x:c r="Q104" s="22" t="str">
        <x:v>Matriz legal SGRL</x:v>
      </x:c>
      <x:c r="R104" s="22" t="str"/>
    </x:row>
    <x:row r="105">
      <x:c r="A105" s="46" t="n">
        <x:v>45504</x:v>
      </x:c>
      <x:c r="B105" s="22" t="n">
        <x:v>2024</x:v>
      </x:c>
      <x:c r="C105" s="22" t="str">
        <x:v>Julio</x:v>
      </x:c>
      <x:c r="D105" s="22" t="str">
        <x:v>E05</x:v>
      </x:c>
      <x:c r="E105" s="22" t="str">
        <x:v>% proveedores y contratistas aprobados en SST</x:v>
      </x:c>
      <x:c r="F105" s="22" t="str">
        <x:v>Estructura</x:v>
      </x:c>
      <x:c r="G105" s="22" t="str">
        <x:v>Mensual</x:v>
      </x:c>
      <x:c r="H105" s="40" t="n">
        <x:v>90</x:v>
      </x:c>
      <x:c r="I105" s="22" t="str">
        <x:v>Mayor es mejor</x:v>
      </x:c>
      <x:c r="J105" s="40" t="n">
        <x:v>18</x:v>
      </x:c>
      <x:c r="K105" s="40" t="n">
        <x:v>20</x:v>
      </x:c>
      <x:c r="L105" s="40" t="n">
        <x:v>100</x:v>
      </x:c>
      <x:c r="M105" s="40" t="n">
        <x:f>IF(OR(J105="",K105="",K105=0),"",J105/K105*L105)</x:f>
        <x:v>90</x:v>
      </x:c>
      <x:c r="N105" s="22" t="str">
        <x:f>IF(M105="","",IF(I105="Mayor es mejor",IF(M105&gt;=H105,"En meta",IF(M105&gt;=H105*0.9,"Alerta","Crítico")),IF(M105&lt;=H105,"En meta",IF(M105&lt;=H105*1.1,"Alerta","Crítico"))))</x:f>
        <x:v>En meta</x:v>
      </x:c>
      <x:c r="O105" s="22" t="str">
        <x:v>%</x:v>
      </x:c>
      <x:c r="P105" s="22" t="str">
        <x:v>Compras / Líder SG-SST</x:v>
      </x:c>
      <x:c r="Q105" s="22" t="str">
        <x:v>Gestión de proveedores y contratistas</x:v>
      </x:c>
      <x:c r="R105" s="22" t="str"/>
    </x:row>
    <x:row r="106">
      <x:c r="A106" s="46" t="n">
        <x:v>45504</x:v>
      </x:c>
      <x:c r="B106" s="22" t="n">
        <x:v>2024</x:v>
      </x:c>
      <x:c r="C106" s="22" t="str">
        <x:v>Julio</x:v>
      </x:c>
      <x:c r="D106" s="22" t="str">
        <x:v>P01</x:v>
      </x:c>
      <x:c r="E106" s="22" t="str">
        <x:v>% ejecución del plan anual de trabajo SG-SST</x:v>
      </x:c>
      <x:c r="F106" s="22" t="str">
        <x:v>Proceso</x:v>
      </x:c>
      <x:c r="G106" s="22" t="str">
        <x:v>Mensual</x:v>
      </x:c>
      <x:c r="H106" s="40" t="n">
        <x:v>90</x:v>
      </x:c>
      <x:c r="I106" s="22" t="str">
        <x:v>Mayor es mejor</x:v>
      </x:c>
      <x:c r="J106" s="40" t="n">
        <x:v>11</x:v>
      </x:c>
      <x:c r="K106" s="40" t="n">
        <x:v>12</x:v>
      </x:c>
      <x:c r="L106" s="40" t="n">
        <x:v>100</x:v>
      </x:c>
      <x:c r="M106" s="40" t="n">
        <x:f>IF(OR(J106="",K106="",K106=0),"",J106/K106*L106)</x:f>
        <x:v>91.66666666666666</x:v>
      </x:c>
      <x:c r="N106" s="22" t="str">
        <x:f>IF(M106="","",IF(I106="Mayor es mejor",IF(M106&gt;=H106,"En meta",IF(M106&gt;=H106*0.9,"Alerta","Crítico")),IF(M106&lt;=H106,"En meta",IF(M106&lt;=H106*1.1,"Alerta","Crítico"))))</x:f>
        <x:v>En meta</x:v>
      </x:c>
      <x:c r="O106" s="22" t="str">
        <x:v>%</x:v>
      </x:c>
      <x:c r="P106" s="22" t="str">
        <x:v>Líder SG-SST</x:v>
      </x:c>
      <x:c r="Q106" s="22" t="str">
        <x:v>Plan anual de trabajo PHVA</x:v>
      </x:c>
      <x:c r="R106" s="22" t="str"/>
    </x:row>
    <x:row r="107">
      <x:c r="A107" s="46" t="n">
        <x:v>45504</x:v>
      </x:c>
      <x:c r="B107" s="22" t="n">
        <x:v>2024</x:v>
      </x:c>
      <x:c r="C107" s="22" t="str">
        <x:v>Julio</x:v>
      </x:c>
      <x:c r="D107" s="22" t="str">
        <x:v>P02</x:v>
      </x:c>
      <x:c r="E107" s="22" t="str">
        <x:v>% investigaciones de accidentes realizadas oportunamente</x:v>
      </x:c>
      <x:c r="F107" s="22" t="str">
        <x:v>Proceso</x:v>
      </x:c>
      <x:c r="G107" s="22" t="str">
        <x:v>Mensual</x:v>
      </x:c>
      <x:c r="H107" s="40" t="n">
        <x:v>95</x:v>
      </x:c>
      <x:c r="I107" s="22" t="str">
        <x:v>Mayor es mejor</x:v>
      </x:c>
      <x:c r="J107" s="40" t="n">
        <x:v>1</x:v>
      </x:c>
      <x:c r="K107" s="40" t="n">
        <x:v>1</x:v>
      </x:c>
      <x:c r="L107" s="40" t="n">
        <x:v>100</x:v>
      </x:c>
      <x:c r="M107" s="40" t="n">
        <x:f>IF(OR(J107="",K107="",K107=0),"",J107/K107*L107)</x:f>
        <x:v>100</x:v>
      </x:c>
      <x:c r="N107" s="22" t="str">
        <x:f>IF(M107="","",IF(I107="Mayor es mejor",IF(M107&gt;=H107,"En meta",IF(M107&gt;=H107*0.9,"Alerta","Crítico")),IF(M107&lt;=H107,"En meta",IF(M107&lt;=H107*1.1,"Alerta","Crítico"))))</x:f>
        <x:v>En meta</x:v>
      </x:c>
      <x:c r="O107" s="22" t="str">
        <x:v>%</x:v>
      </x:c>
      <x:c r="P107" s="22" t="str">
        <x:v>Líder SG-SST / COPASST</x:v>
      </x:c>
      <x:c r="Q107" s="22" t="str">
        <x:v>Matriz de accidentalidad</x:v>
      </x:c>
      <x:c r="R107" s="22" t="str"/>
    </x:row>
    <x:row r="108">
      <x:c r="A108" s="46" t="n">
        <x:v>45504</x:v>
      </x:c>
      <x:c r="B108" s="22" t="n">
        <x:v>2024</x:v>
      </x:c>
      <x:c r="C108" s="22" t="str">
        <x:v>Julio</x:v>
      </x:c>
      <x:c r="D108" s="22" t="str">
        <x:v>P03</x:v>
      </x:c>
      <x:c r="E108" s="22" t="str">
        <x:v>% cierre oportuno de acciones correctivas, preventivas y de mejora</x:v>
      </x:c>
      <x:c r="F108" s="22" t="str">
        <x:v>Proceso</x:v>
      </x:c>
      <x:c r="G108" s="22" t="str">
        <x:v>Mensual</x:v>
      </x:c>
      <x:c r="H108" s="40" t="n">
        <x:v>90</x:v>
      </x:c>
      <x:c r="I108" s="22" t="str">
        <x:v>Mayor es mejor</x:v>
      </x:c>
      <x:c r="J108" s="40" t="n">
        <x:v>11</x:v>
      </x:c>
      <x:c r="K108" s="40" t="n">
        <x:v>12</x:v>
      </x:c>
      <x:c r="L108" s="40" t="n">
        <x:v>100</x:v>
      </x:c>
      <x:c r="M108" s="40" t="n">
        <x:f>IF(OR(J108="",K108="",K108=0),"",J108/K108*L108)</x:f>
        <x:v>91.66666666666666</x:v>
      </x:c>
      <x:c r="N108" s="22" t="str">
        <x:f>IF(M108="","",IF(I108="Mayor es mejor",IF(M108&gt;=H108,"En meta",IF(M108&gt;=H108*0.9,"Alerta","Crítico")),IF(M108&lt;=H108,"En meta",IF(M108&lt;=H108*1.1,"Alerta","Crítico"))))</x:f>
        <x:v>En meta</x:v>
      </x:c>
      <x:c r="O108" s="22" t="str">
        <x:v>%</x:v>
      </x:c>
      <x:c r="P108" s="22" t="str">
        <x:v>Líder SG-SST / Responsables de proceso</x:v>
      </x:c>
      <x:c r="Q108" s="22" t="str">
        <x:v>Matriz APCM</x:v>
      </x:c>
      <x:c r="R108" s="22" t="str"/>
    </x:row>
    <x:row r="109">
      <x:c r="A109" s="46" t="n">
        <x:v>45504</x:v>
      </x:c>
      <x:c r="B109" s="22" t="n">
        <x:v>2024</x:v>
      </x:c>
      <x:c r="C109" s="22" t="str">
        <x:v>Julio</x:v>
      </x:c>
      <x:c r="D109" s="22" t="str">
        <x:v>P04</x:v>
      </x:c>
      <x:c r="E109" s="22" t="str">
        <x:v>% inspecciones de seguridad ejecutadas</x:v>
      </x:c>
      <x:c r="F109" s="22" t="str">
        <x:v>Proceso</x:v>
      </x:c>
      <x:c r="G109" s="22" t="str">
        <x:v>Mensual</x:v>
      </x:c>
      <x:c r="H109" s="40" t="n">
        <x:v>90</x:v>
      </x:c>
      <x:c r="I109" s="22" t="str">
        <x:v>Mayor es mejor</x:v>
      </x:c>
      <x:c r="J109" s="40" t="n">
        <x:v>10</x:v>
      </x:c>
      <x:c r="K109" s="40" t="n">
        <x:v>11</x:v>
      </x:c>
      <x:c r="L109" s="40" t="n">
        <x:v>100</x:v>
      </x:c>
      <x:c r="M109" s="40" t="n">
        <x:f>IF(OR(J109="",K109="",K109=0),"",J109/K109*L109)</x:f>
        <x:v>90.9090909090909</x:v>
      </x:c>
      <x:c r="N109" s="22" t="str">
        <x:f>IF(M109="","",IF(I109="Mayor es mejor",IF(M109&gt;=H109,"En meta",IF(M109&gt;=H109*0.9,"Alerta","Crítico")),IF(M109&lt;=H109,"En meta",IF(M109&lt;=H109*1.1,"Alerta","Crítico"))))</x:f>
        <x:v>En meta</x:v>
      </x:c>
      <x:c r="O109" s="22" t="str">
        <x:v>%</x:v>
      </x:c>
      <x:c r="P109" s="22" t="str">
        <x:v>Líder SG-SST / Supervisores</x:v>
      </x:c>
      <x:c r="Q109" s="22" t="str">
        <x:v>Programa de inspecciones</x:v>
      </x:c>
      <x:c r="R109" s="22" t="str"/>
    </x:row>
    <x:row r="110">
      <x:c r="A110" s="46" t="n">
        <x:v>45504</x:v>
      </x:c>
      <x:c r="B110" s="22" t="n">
        <x:v>2024</x:v>
      </x:c>
      <x:c r="C110" s="22" t="str">
        <x:v>Julio</x:v>
      </x:c>
      <x:c r="D110" s="22" t="str">
        <x:v>P05</x:v>
      </x:c>
      <x:c r="E110" s="22" t="str">
        <x:v>% mantenimientos preventivos ejecutados</x:v>
      </x:c>
      <x:c r="F110" s="22" t="str">
        <x:v>Proceso</x:v>
      </x:c>
      <x:c r="G110" s="22" t="str">
        <x:v>Mensual</x:v>
      </x:c>
      <x:c r="H110" s="40" t="n">
        <x:v>90</x:v>
      </x:c>
      <x:c r="I110" s="22" t="str">
        <x:v>Mayor es mejor</x:v>
      </x:c>
      <x:c r="J110" s="40" t="n">
        <x:v>14</x:v>
      </x:c>
      <x:c r="K110" s="40" t="n">
        <x:v>15</x:v>
      </x:c>
      <x:c r="L110" s="40" t="n">
        <x:v>100</x:v>
      </x:c>
      <x:c r="M110" s="40" t="n">
        <x:f>IF(OR(J110="",K110="",K110=0),"",J110/K110*L110)</x:f>
        <x:v>93.33333333333333</x:v>
      </x:c>
      <x:c r="N110" s="22" t="str">
        <x:f>IF(M110="","",IF(I110="Mayor es mejor",IF(M110&gt;=H110,"En meta",IF(M110&gt;=H110*0.9,"Alerta","Crítico")),IF(M110&lt;=H110,"En meta",IF(M110&lt;=H110*1.1,"Alerta","Crítico"))))</x:f>
        <x:v>En meta</x:v>
      </x:c>
      <x:c r="O110" s="22" t="str">
        <x:v>%</x:v>
      </x:c>
      <x:c r="P110" s="22" t="str">
        <x:v>Mantenimiento / Líder SG-SST</x:v>
      </x:c>
      <x:c r="Q110" s="22" t="str">
        <x:v>Programa de mantenimiento preventivo</x:v>
      </x:c>
      <x:c r="R110" s="22" t="str"/>
    </x:row>
    <x:row r="111">
      <x:c r="A111" s="46" t="n">
        <x:v>45504</x:v>
      </x:c>
      <x:c r="B111" s="22" t="n">
        <x:v>2024</x:v>
      </x:c>
      <x:c r="C111" s="22" t="str">
        <x:v>Julio</x:v>
      </x:c>
      <x:c r="D111" s="22" t="str">
        <x:v>R01</x:v>
      </x:c>
      <x:c r="E111" s="22" t="str">
        <x:v>Índice de frecuencia de accidentalidad (IF)</x:v>
      </x:c>
      <x:c r="F111" s="22" t="str">
        <x:v>Resultado</x:v>
      </x:c>
      <x:c r="G111" s="22" t="str">
        <x:v>Mensual</x:v>
      </x:c>
      <x:c r="H111" s="40" t="n">
        <x:v>3.5</x:v>
      </x:c>
      <x:c r="I111" s="22" t="str">
        <x:v>Menor es mejor</x:v>
      </x:c>
      <x:c r="J111" s="40" t="n">
        <x:v>1</x:v>
      </x:c>
      <x:c r="K111" s="40" t="n">
        <x:v>51678</x:v>
      </x:c>
      <x:c r="L111" s="40" t="n">
        <x:v>200000</x:v>
      </x:c>
      <x:c r="M111" s="40" t="n">
        <x:f>IF(OR(J111="",K111="",K111=0),"",J111/K111*L111)</x:f>
        <x:v>3.8701188126475485</x:v>
      </x:c>
      <x:c r="N111" s="22" t="str">
        <x:f>IF(M111="","",IF(I111="Mayor es mejor",IF(M111&gt;=H111,"En meta",IF(M111&gt;=H111*0.9,"Alerta","Crítico")),IF(M111&lt;=H111,"En meta",IF(M111&lt;=H111*1.1,"Alerta","Crítico"))))</x:f>
        <x:v>Crítico</x:v>
      </x:c>
      <x:c r="O111" s="22" t="str">
        <x:v>Índice</x:v>
      </x:c>
      <x:c r="P111" s="22" t="str">
        <x:v>Líder SG-SST</x:v>
      </x:c>
      <x:c r="Q111" s="22" t="str">
        <x:v>Matriz de accidentalidad / nómina</x:v>
      </x:c>
      <x:c r="R111" s="22" t="str"/>
    </x:row>
    <x:row r="112">
      <x:c r="A112" s="46" t="n">
        <x:v>45504</x:v>
      </x:c>
      <x:c r="B112" s="22" t="n">
        <x:v>2024</x:v>
      </x:c>
      <x:c r="C112" s="22" t="str">
        <x:v>Julio</x:v>
      </x:c>
      <x:c r="D112" s="22" t="str">
        <x:v>R02</x:v>
      </x:c>
      <x:c r="E112" s="22" t="str">
        <x:v>Índice de severidad de accidentalidad (IS)</x:v>
      </x:c>
      <x:c r="F112" s="22" t="str">
        <x:v>Resultado</x:v>
      </x:c>
      <x:c r="G112" s="22" t="str">
        <x:v>Mensual</x:v>
      </x:c>
      <x:c r="H112" s="40" t="n">
        <x:v>80</x:v>
      </x:c>
      <x:c r="I112" s="22" t="str">
        <x:v>Menor es mejor</x:v>
      </x:c>
      <x:c r="J112" s="40" t="n">
        <x:v>15</x:v>
      </x:c>
      <x:c r="K112" s="40" t="n">
        <x:v>51678</x:v>
      </x:c>
      <x:c r="L112" s="40" t="n">
        <x:v>200000</x:v>
      </x:c>
      <x:c r="M112" s="40" t="n">
        <x:f>IF(OR(J112="",K112="",K112=0),"",J112/K112*L112)</x:f>
        <x:v>58.05178218971323</x:v>
      </x:c>
      <x:c r="N112" s="22" t="str">
        <x:f>IF(M112="","",IF(I112="Mayor es mejor",IF(M112&gt;=H112,"En meta",IF(M112&gt;=H112*0.9,"Alerta","Crítico")),IF(M112&lt;=H112,"En meta",IF(M112&lt;=H112*1.1,"Alerta","Crítico"))))</x:f>
        <x:v>En meta</x:v>
      </x:c>
      <x:c r="O112" s="22" t="str">
        <x:v>Índice</x:v>
      </x:c>
      <x:c r="P112" s="22" t="str">
        <x:v>Líder SG-SST</x:v>
      </x:c>
      <x:c r="Q112" s="22" t="str">
        <x:v>Matriz de accidentalidad / nómina</x:v>
      </x:c>
      <x:c r="R112" s="22" t="str"/>
    </x:row>
    <x:row r="113">
      <x:c r="A113" s="46" t="n">
        <x:v>45504</x:v>
      </x:c>
      <x:c r="B113" s="22" t="n">
        <x:v>2024</x:v>
      </x:c>
      <x:c r="C113" s="22" t="str">
        <x:v>Julio</x:v>
      </x:c>
      <x:c r="D113" s="22" t="str">
        <x:v>R03</x:v>
      </x:c>
      <x:c r="E113" s="22" t="str">
        <x:v>Índice de lesión incapacitante (ILI)</x:v>
      </x:c>
      <x:c r="F113" s="22" t="str">
        <x:v>Resultado</x:v>
      </x:c>
      <x:c r="G113" s="22" t="str">
        <x:v>Mensual</x:v>
      </x:c>
      <x:c r="H113" s="40" t="n">
        <x:v>0.25</x:v>
      </x:c>
      <x:c r="I113" s="22" t="str">
        <x:v>Menor es mejor</x:v>
      </x:c>
      <x:c r="J113" s="40" t="n">
        <x:v>224.6673</x:v>
      </x:c>
      <x:c r="K113" s="40" t="n">
        <x:v>1000</x:v>
      </x:c>
      <x:c r="L113" s="40" t="n">
        <x:v>1</x:v>
      </x:c>
      <x:c r="M113" s="40" t="n">
        <x:f>IF(OR(J113="",K113="",K113=0),"",J113/K113*L113)</x:f>
        <x:v>0.22466730000000001</x:v>
      </x:c>
      <x:c r="N113" s="22" t="str">
        <x:f>IF(M113="","",IF(I113="Mayor es mejor",IF(M113&gt;=H113,"En meta",IF(M113&gt;=H113*0.9,"Alerta","Crítico")),IF(M113&lt;=H113,"En meta",IF(M113&lt;=H113*1.1,"Alerta","Crítico"))))</x:f>
        <x:v>En meta</x:v>
      </x:c>
      <x:c r="O113" s="22" t="str">
        <x:v>Índice</x:v>
      </x:c>
      <x:c r="P113" s="22" t="str">
        <x:v>Líder SG-SST</x:v>
      </x:c>
      <x:c r="Q113" s="22" t="str">
        <x:v>Indicadores derivados de accidentalidad</x:v>
      </x:c>
      <x:c r="R113" s="22" t="str">
        <x:v>ILI calculado sobre IF e IS del periodo.</x:v>
      </x:c>
    </x:row>
    <x:row r="114">
      <x:c r="A114" s="46" t="n">
        <x:v>45504</x:v>
      </x:c>
      <x:c r="B114" s="22" t="n">
        <x:v>2024</x:v>
      </x:c>
      <x:c r="C114" s="22" t="str">
        <x:v>Julio</x:v>
      </x:c>
      <x:c r="D114" s="22" t="str">
        <x:v>R04</x:v>
      </x:c>
      <x:c r="E114" s="22" t="str">
        <x:v>Tasa de accidentalidad</x:v>
      </x:c>
      <x:c r="F114" s="22" t="str">
        <x:v>Resultado</x:v>
      </x:c>
      <x:c r="G114" s="22" t="str">
        <x:v>Mensual</x:v>
      </x:c>
      <x:c r="H114" s="40" t="n">
        <x:v>0.6</x:v>
      </x:c>
      <x:c r="I114" s="22" t="str">
        <x:v>Menor es mejor</x:v>
      </x:c>
      <x:c r="J114" s="40" t="n">
        <x:v>4.2</x:v>
      </x:c>
      <x:c r="K114" s="40" t="n">
        <x:v>220</x:v>
      </x:c>
      <x:c r="L114" s="40" t="n">
        <x:v>100</x:v>
      </x:c>
      <x:c r="M114" s="40" t="n">
        <x:f>IF(OR(J114="",K114="",K114=0),"",J114/K114*L114)</x:f>
        <x:v>1.9090909090909092</x:v>
      </x:c>
      <x:c r="N114" s="22" t="str">
        <x:f>IF(M114="","",IF(I114="Mayor es mejor",IF(M114&gt;=H114,"En meta",IF(M114&gt;=H114*0.9,"Alerta","Crítico")),IF(M114&lt;=H114,"En meta",IF(M114&lt;=H114*1.1,"Alerta","Crítico"))))</x:f>
        <x:v>Crítico</x:v>
      </x:c>
      <x:c r="O114" s="22" t="str">
        <x:v>%</x:v>
      </x:c>
      <x:c r="P114" s="22" t="str">
        <x:v>Líder SG-SST</x:v>
      </x:c>
      <x:c r="Q114" s="22" t="str">
        <x:v>Matriz de accidentalidad / nómina</x:v>
      </x:c>
      <x:c r="R114" s="22" t="str"/>
    </x:row>
    <x:row r="115">
      <x:c r="A115" s="46" t="n">
        <x:v>45504</x:v>
      </x:c>
      <x:c r="B115" s="22" t="n">
        <x:v>2024</x:v>
      </x:c>
      <x:c r="C115" s="22" t="str">
        <x:v>Julio</x:v>
      </x:c>
      <x:c r="D115" s="22" t="str">
        <x:v>R05</x:v>
      </x:c>
      <x:c r="E115" s="22" t="str">
        <x:v>Prevalencia de enfermedad laboral</x:v>
      </x:c>
      <x:c r="F115" s="22" t="str">
        <x:v>Resultado</x:v>
      </x:c>
      <x:c r="G115" s="22" t="str">
        <x:v>Mensual</x:v>
      </x:c>
      <x:c r="H115" s="40" t="n">
        <x:v>0.3</x:v>
      </x:c>
      <x:c r="I115" s="22" t="str">
        <x:v>Menor es mejor</x:v>
      </x:c>
      <x:c r="J115" s="40" t="n">
        <x:v>3.62</x:v>
      </x:c>
      <x:c r="K115" s="40" t="n">
        <x:v>220</x:v>
      </x:c>
      <x:c r="L115" s="40" t="n">
        <x:v>100</x:v>
      </x:c>
      <x:c r="M115" s="40" t="n">
        <x:f>IF(OR(J115="",K115="",K115=0),"",J115/K115*L115)</x:f>
        <x:v>1.6454545454545455</x:v>
      </x:c>
      <x:c r="N115" s="22" t="str">
        <x:f>IF(M115="","",IF(I115="Mayor es mejor",IF(M115&gt;=H115,"En meta",IF(M115&gt;=H115*0.9,"Alerta","Crítico")),IF(M115&lt;=H115,"En meta",IF(M115&lt;=H115*1.1,"Alerta","Crítico"))))</x:f>
        <x:v>Crítico</x:v>
      </x:c>
      <x:c r="O115" s="22" t="str">
        <x:v>%</x:v>
      </x:c>
      <x:c r="P115" s="22" t="str">
        <x:v>Líder SG-SST / Medicina laboral</x:v>
      </x:c>
      <x:c r="Q115" s="22" t="str">
        <x:v>Matriz de enfermedad laboral / nómina</x:v>
      </x:c>
      <x:c r="R115" s="22" t="str"/>
    </x:row>
    <x:row r="116">
      <x:c r="A116" s="46" t="n">
        <x:v>45504</x:v>
      </x:c>
      <x:c r="B116" s="22" t="n">
        <x:v>2024</x:v>
      </x:c>
      <x:c r="C116" s="22" t="str">
        <x:v>Julio</x:v>
      </x:c>
      <x:c r="D116" s="22" t="str">
        <x:v>R06</x:v>
      </x:c>
      <x:c r="E116" s="22" t="str">
        <x:v>% cumplimiento de estándares mínimos Res. 0312 de 2019</x:v>
      </x:c>
      <x:c r="F116" s="22" t="str">
        <x:v>Resultado</x:v>
      </x:c>
      <x:c r="G116" s="22" t="str">
        <x:v>Mensual</x:v>
      </x:c>
      <x:c r="H116" s="40" t="n">
        <x:v>95</x:v>
      </x:c>
      <x:c r="I116" s="22" t="str">
        <x:v>Mayor es mejor</x:v>
      </x:c>
      <x:c r="J116" s="40" t="n">
        <x:v>96</x:v>
      </x:c>
      <x:c r="K116" s="40" t="n">
        <x:v>100</x:v>
      </x:c>
      <x:c r="L116" s="40" t="n">
        <x:v>100</x:v>
      </x:c>
      <x:c r="M116" s="40" t="n">
        <x:f>IF(OR(J116="",K116="",K116=0),"",J116/K116*L116)</x:f>
        <x:v>96</x:v>
      </x:c>
      <x:c r="N116" s="22" t="str">
        <x:f>IF(M116="","",IF(I116="Mayor es mejor",IF(M116&gt;=H116,"En meta",IF(M116&gt;=H116*0.9,"Alerta","Crítico")),IF(M116&lt;=H116,"En meta",IF(M116&lt;=H116*1.1,"Alerta","Crítico"))))</x:f>
        <x:v>En meta</x:v>
      </x:c>
      <x:c r="O116" s="22" t="str">
        <x:v>%</x:v>
      </x:c>
      <x:c r="P116" s="22" t="str">
        <x:v>Líder SG-SST / Alta Dirección</x:v>
      </x:c>
      <x:c r="Q116" s="22" t="str">
        <x:v>Autodiagnóstico Res. 0312 de 2019</x:v>
      </x:c>
      <x:c r="R116" s="22" t="str"/>
    </x:row>
    <x:row r="117">
      <x:c r="A117" s="46" t="n">
        <x:v>45535</x:v>
      </x:c>
      <x:c r="B117" s="22" t="n">
        <x:v>2024</x:v>
      </x:c>
      <x:c r="C117" s="22" t="str">
        <x:v>Agosto</x:v>
      </x:c>
      <x:c r="D117" s="22" t="str">
        <x:v>E01</x:v>
      </x:c>
      <x:c r="E117" s="22" t="str">
        <x:v>% ejecución presupuestal del SG-SST</x:v>
      </x:c>
      <x:c r="F117" s="22" t="str">
        <x:v>Estructura</x:v>
      </x:c>
      <x:c r="G117" s="22" t="str">
        <x:v>Mensual</x:v>
      </x:c>
      <x:c r="H117" s="40" t="n">
        <x:v>95</x:v>
      </x:c>
      <x:c r="I117" s="22" t="str">
        <x:v>Mayor es mejor</x:v>
      </x:c>
      <x:c r="J117" s="40" t="n">
        <x:v>7599081</x:v>
      </x:c>
      <x:c r="K117" s="40" t="n">
        <x:v>8000000</x:v>
      </x:c>
      <x:c r="L117" s="40" t="n">
        <x:v>100</x:v>
      </x:c>
      <x:c r="M117" s="40" t="n">
        <x:f>IF(OR(J117="",K117="",K117=0),"",J117/K117*L117)</x:f>
        <x:v>94.9885125</x:v>
      </x:c>
      <x:c r="N117" s="22" t="str">
        <x:f>IF(M117="","",IF(I117="Mayor es mejor",IF(M117&gt;=H117,"En meta",IF(M117&gt;=H117*0.9,"Alerta","Crítico")),IF(M117&lt;=H117,"En meta",IF(M117&lt;=H117*1.1,"Alerta","Crítico"))))</x:f>
        <x:v>Alerta</x:v>
      </x:c>
      <x:c r="O117" s="22" t="str">
        <x:v>%</x:v>
      </x:c>
      <x:c r="P117" s="22" t="str">
        <x:v>Líder SG-SST / Dirección Administrativa</x:v>
      </x:c>
      <x:c r="Q117" s="22" t="str">
        <x:v>Presupuesto SST</x:v>
      </x:c>
      <x:c r="R117" s="22" t="str"/>
    </x:row>
    <x:row r="118">
      <x:c r="A118" s="46" t="n">
        <x:v>45535</x:v>
      </x:c>
      <x:c r="B118" s="22" t="n">
        <x:v>2024</x:v>
      </x:c>
      <x:c r="C118" s="22" t="str">
        <x:v>Agosto</x:v>
      </x:c>
      <x:c r="D118" s="22" t="str">
        <x:v>E02</x:v>
      </x:c>
      <x:c r="E118" s="22" t="str">
        <x:v>% cobertura del plan de formación y capacitación SG-SST</x:v>
      </x:c>
      <x:c r="F118" s="22" t="str">
        <x:v>Estructura</x:v>
      </x:c>
      <x:c r="G118" s="22" t="str">
        <x:v>Mensual</x:v>
      </x:c>
      <x:c r="H118" s="40" t="n">
        <x:v>90</x:v>
      </x:c>
      <x:c r="I118" s="22" t="str">
        <x:v>Mayor es mejor</x:v>
      </x:c>
      <x:c r="J118" s="40" t="n">
        <x:v>16</x:v>
      </x:c>
      <x:c r="K118" s="40" t="n">
        <x:v>18</x:v>
      </x:c>
      <x:c r="L118" s="40" t="n">
        <x:v>100</x:v>
      </x:c>
      <x:c r="M118" s="40" t="n">
        <x:f>IF(OR(J118="",K118="",K118=0),"",J118/K118*L118)</x:f>
        <x:v>88.88888888888889</x:v>
      </x:c>
      <x:c r="N118" s="22" t="str">
        <x:f>IF(M118="","",IF(I118="Mayor es mejor",IF(M118&gt;=H118,"En meta",IF(M118&gt;=H118*0.9,"Alerta","Crítico")),IF(M118&lt;=H118,"En meta",IF(M118&lt;=H118*1.1,"Alerta","Crítico"))))</x:f>
        <x:v>Alerta</x:v>
      </x:c>
      <x:c r="O118" s="22" t="str">
        <x:v>%</x:v>
      </x:c>
      <x:c r="P118" s="22" t="str">
        <x:v>Líder SG-SST / Talento Humano</x:v>
      </x:c>
      <x:c r="Q118" s="22" t="str">
        <x:v>Plan de formación y capacitaciones</x:v>
      </x:c>
      <x:c r="R118" s="22" t="str"/>
    </x:row>
    <x:row r="119">
      <x:c r="A119" s="46" t="n">
        <x:v>45535</x:v>
      </x:c>
      <x:c r="B119" s="22" t="n">
        <x:v>2024</x:v>
      </x:c>
      <x:c r="C119" s="22" t="str">
        <x:v>Agosto</x:v>
      </x:c>
      <x:c r="D119" s="22" t="str">
        <x:v>E03</x:v>
      </x:c>
      <x:c r="E119" s="22" t="str">
        <x:v>% trabajadores con exámenes médicos ocupacionales vigentes</x:v>
      </x:c>
      <x:c r="F119" s="22" t="str">
        <x:v>Estructura</x:v>
      </x:c>
      <x:c r="G119" s="22" t="str">
        <x:v>Mensual</x:v>
      </x:c>
      <x:c r="H119" s="40" t="n">
        <x:v>95</x:v>
      </x:c>
      <x:c r="I119" s="22" t="str">
        <x:v>Mayor es mejor</x:v>
      </x:c>
      <x:c r="J119" s="40" t="n">
        <x:v>220</x:v>
      </x:c>
      <x:c r="K119" s="40" t="n">
        <x:v>229</x:v>
      </x:c>
      <x:c r="L119" s="40" t="n">
        <x:v>100</x:v>
      </x:c>
      <x:c r="M119" s="40" t="n">
        <x:f>IF(OR(J119="",K119="",K119=0),"",J119/K119*L119)</x:f>
        <x:v>96.06986899563319</x:v>
      </x:c>
      <x:c r="N119" s="22" t="str">
        <x:f>IF(M119="","",IF(I119="Mayor es mejor",IF(M119&gt;=H119,"En meta",IF(M119&gt;=H119*0.9,"Alerta","Crítico")),IF(M119&lt;=H119,"En meta",IF(M119&lt;=H119*1.1,"Alerta","Crítico"))))</x:f>
        <x:v>En meta</x:v>
      </x:c>
      <x:c r="O119" s="22" t="str">
        <x:v>%</x:v>
      </x:c>
      <x:c r="P119" s="22" t="str">
        <x:v>Líder SG-SST / Talento Humano</x:v>
      </x:c>
      <x:c r="Q119" s="22" t="str">
        <x:v>Matriz de seguimiento EMO</x:v>
      </x:c>
      <x:c r="R119" s="22" t="str"/>
    </x:row>
    <x:row r="120">
      <x:c r="A120" s="46" t="n">
        <x:v>45535</x:v>
      </x:c>
      <x:c r="B120" s="22" t="n">
        <x:v>2024</x:v>
      </x:c>
      <x:c r="C120" s="22" t="str">
        <x:v>Agosto</x:v>
      </x:c>
      <x:c r="D120" s="22" t="str">
        <x:v>E04</x:v>
      </x:c>
      <x:c r="E120" s="22" t="str">
        <x:v>% cumplimiento de requisitos legales aplicables en SST</x:v>
      </x:c>
      <x:c r="F120" s="22" t="str">
        <x:v>Estructura</x:v>
      </x:c>
      <x:c r="G120" s="22" t="str">
        <x:v>Mensual</x:v>
      </x:c>
      <x:c r="H120" s="40" t="n">
        <x:v>95</x:v>
      </x:c>
      <x:c r="I120" s="22" t="str">
        <x:v>Mayor es mejor</x:v>
      </x:c>
      <x:c r="J120" s="40" t="n">
        <x:v>58</x:v>
      </x:c>
      <x:c r="K120" s="40" t="n">
        <x:v>60</x:v>
      </x:c>
      <x:c r="L120" s="40" t="n">
        <x:v>100</x:v>
      </x:c>
      <x:c r="M120" s="40" t="n">
        <x:f>IF(OR(J120="",K120="",K120=0),"",J120/K120*L120)</x:f>
        <x:v>96.66666666666667</x:v>
      </x:c>
      <x:c r="N120" s="22" t="str">
        <x:f>IF(M120="","",IF(I120="Mayor es mejor",IF(M120&gt;=H120,"En meta",IF(M120&gt;=H120*0.9,"Alerta","Crítico")),IF(M120&lt;=H120,"En meta",IF(M120&lt;=H120*1.1,"Alerta","Crítico"))))</x:f>
        <x:v>En meta</x:v>
      </x:c>
      <x:c r="O120" s="22" t="str">
        <x:v>%</x:v>
      </x:c>
      <x:c r="P120" s="22" t="str">
        <x:v>Líder SG-SST / Jurídica</x:v>
      </x:c>
      <x:c r="Q120" s="22" t="str">
        <x:v>Matriz legal SGRL</x:v>
      </x:c>
      <x:c r="R120" s="22" t="str"/>
    </x:row>
    <x:row r="121">
      <x:c r="A121" s="46" t="n">
        <x:v>45535</x:v>
      </x:c>
      <x:c r="B121" s="22" t="n">
        <x:v>2024</x:v>
      </x:c>
      <x:c r="C121" s="22" t="str">
        <x:v>Agosto</x:v>
      </x:c>
      <x:c r="D121" s="22" t="str">
        <x:v>E05</x:v>
      </x:c>
      <x:c r="E121" s="22" t="str">
        <x:v>% proveedores y contratistas aprobados en SST</x:v>
      </x:c>
      <x:c r="F121" s="22" t="str">
        <x:v>Estructura</x:v>
      </x:c>
      <x:c r="G121" s="22" t="str">
        <x:v>Mensual</x:v>
      </x:c>
      <x:c r="H121" s="40" t="n">
        <x:v>90</x:v>
      </x:c>
      <x:c r="I121" s="22" t="str">
        <x:v>Mayor es mejor</x:v>
      </x:c>
      <x:c r="J121" s="40" t="n">
        <x:v>18</x:v>
      </x:c>
      <x:c r="K121" s="40" t="n">
        <x:v>20</x:v>
      </x:c>
      <x:c r="L121" s="40" t="n">
        <x:v>100</x:v>
      </x:c>
      <x:c r="M121" s="40" t="n">
        <x:f>IF(OR(J121="",K121="",K121=0),"",J121/K121*L121)</x:f>
        <x:v>90</x:v>
      </x:c>
      <x:c r="N121" s="22" t="str">
        <x:f>IF(M121="","",IF(I121="Mayor es mejor",IF(M121&gt;=H121,"En meta",IF(M121&gt;=H121*0.9,"Alerta","Crítico")),IF(M121&lt;=H121,"En meta",IF(M121&lt;=H121*1.1,"Alerta","Crítico"))))</x:f>
        <x:v>En meta</x:v>
      </x:c>
      <x:c r="O121" s="22" t="str">
        <x:v>%</x:v>
      </x:c>
      <x:c r="P121" s="22" t="str">
        <x:v>Compras / Líder SG-SST</x:v>
      </x:c>
      <x:c r="Q121" s="22" t="str">
        <x:v>Gestión de proveedores y contratistas</x:v>
      </x:c>
      <x:c r="R121" s="22" t="str"/>
    </x:row>
    <x:row r="122">
      <x:c r="A122" s="46" t="n">
        <x:v>45535</x:v>
      </x:c>
      <x:c r="B122" s="22" t="n">
        <x:v>2024</x:v>
      </x:c>
      <x:c r="C122" s="22" t="str">
        <x:v>Agosto</x:v>
      </x:c>
      <x:c r="D122" s="22" t="str">
        <x:v>P01</x:v>
      </x:c>
      <x:c r="E122" s="22" t="str">
        <x:v>% ejecución del plan anual de trabajo SG-SST</x:v>
      </x:c>
      <x:c r="F122" s="22" t="str">
        <x:v>Proceso</x:v>
      </x:c>
      <x:c r="G122" s="22" t="str">
        <x:v>Mensual</x:v>
      </x:c>
      <x:c r="H122" s="40" t="n">
        <x:v>90</x:v>
      </x:c>
      <x:c r="I122" s="22" t="str">
        <x:v>Mayor es mejor</x:v>
      </x:c>
      <x:c r="J122" s="40" t="n">
        <x:v>13</x:v>
      </x:c>
      <x:c r="K122" s="40" t="n">
        <x:v>14</x:v>
      </x:c>
      <x:c r="L122" s="40" t="n">
        <x:v>100</x:v>
      </x:c>
      <x:c r="M122" s="40" t="n">
        <x:f>IF(OR(J122="",K122="",K122=0),"",J122/K122*L122)</x:f>
        <x:v>92.85714285714286</x:v>
      </x:c>
      <x:c r="N122" s="22" t="str">
        <x:f>IF(M122="","",IF(I122="Mayor es mejor",IF(M122&gt;=H122,"En meta",IF(M122&gt;=H122*0.9,"Alerta","Crítico")),IF(M122&lt;=H122,"En meta",IF(M122&lt;=H122*1.1,"Alerta","Crítico"))))</x:f>
        <x:v>En meta</x:v>
      </x:c>
      <x:c r="O122" s="22" t="str">
        <x:v>%</x:v>
      </x:c>
      <x:c r="P122" s="22" t="str">
        <x:v>Líder SG-SST</x:v>
      </x:c>
      <x:c r="Q122" s="22" t="str">
        <x:v>Plan anual de trabajo PHVA</x:v>
      </x:c>
      <x:c r="R122" s="22" t="str"/>
    </x:row>
    <x:row r="123">
      <x:c r="A123" s="46" t="n">
        <x:v>45535</x:v>
      </x:c>
      <x:c r="B123" s="22" t="n">
        <x:v>2024</x:v>
      </x:c>
      <x:c r="C123" s="22" t="str">
        <x:v>Agosto</x:v>
      </x:c>
      <x:c r="D123" s="22" t="str">
        <x:v>P02</x:v>
      </x:c>
      <x:c r="E123" s="22" t="str">
        <x:v>% investigaciones de accidentes realizadas oportunamente</x:v>
      </x:c>
      <x:c r="F123" s="22" t="str">
        <x:v>Proceso</x:v>
      </x:c>
      <x:c r="G123" s="22" t="str">
        <x:v>Mensual</x:v>
      </x:c>
      <x:c r="H123" s="40" t="n">
        <x:v>95</x:v>
      </x:c>
      <x:c r="I123" s="22" t="str">
        <x:v>Mayor es mejor</x:v>
      </x:c>
      <x:c r="J123" s="40" t="n">
        <x:v>1</x:v>
      </x:c>
      <x:c r="K123" s="40" t="n">
        <x:v>1</x:v>
      </x:c>
      <x:c r="L123" s="40" t="n">
        <x:v>100</x:v>
      </x:c>
      <x:c r="M123" s="40" t="n">
        <x:f>IF(OR(J123="",K123="",K123=0),"",J123/K123*L123)</x:f>
        <x:v>100</x:v>
      </x:c>
      <x:c r="N123" s="22" t="str">
        <x:f>IF(M123="","",IF(I123="Mayor es mejor",IF(M123&gt;=H123,"En meta",IF(M123&gt;=H123*0.9,"Alerta","Crítico")),IF(M123&lt;=H123,"En meta",IF(M123&lt;=H123*1.1,"Alerta","Crítico"))))</x:f>
        <x:v>En meta</x:v>
      </x:c>
      <x:c r="O123" s="22" t="str">
        <x:v>%</x:v>
      </x:c>
      <x:c r="P123" s="22" t="str">
        <x:v>Líder SG-SST / COPASST</x:v>
      </x:c>
      <x:c r="Q123" s="22" t="str">
        <x:v>Matriz de accidentalidad</x:v>
      </x:c>
      <x:c r="R123" s="22" t="str"/>
    </x:row>
    <x:row r="124">
      <x:c r="A124" s="46" t="n">
        <x:v>45535</x:v>
      </x:c>
      <x:c r="B124" s="22" t="n">
        <x:v>2024</x:v>
      </x:c>
      <x:c r="C124" s="22" t="str">
        <x:v>Agosto</x:v>
      </x:c>
      <x:c r="D124" s="22" t="str">
        <x:v>P03</x:v>
      </x:c>
      <x:c r="E124" s="22" t="str">
        <x:v>% cierre oportuno de acciones correctivas, preventivas y de mejora</x:v>
      </x:c>
      <x:c r="F124" s="22" t="str">
        <x:v>Proceso</x:v>
      </x:c>
      <x:c r="G124" s="22" t="str">
        <x:v>Mensual</x:v>
      </x:c>
      <x:c r="H124" s="40" t="n">
        <x:v>90</x:v>
      </x:c>
      <x:c r="I124" s="22" t="str">
        <x:v>Mayor es mejor</x:v>
      </x:c>
      <x:c r="J124" s="40" t="n">
        <x:v>12</x:v>
      </x:c>
      <x:c r="K124" s="40" t="n">
        <x:v>13</x:v>
      </x:c>
      <x:c r="L124" s="40" t="n">
        <x:v>100</x:v>
      </x:c>
      <x:c r="M124" s="40" t="n">
        <x:f>IF(OR(J124="",K124="",K124=0),"",J124/K124*L124)</x:f>
        <x:v>92.3076923076923</x:v>
      </x:c>
      <x:c r="N124" s="22" t="str">
        <x:f>IF(M124="","",IF(I124="Mayor es mejor",IF(M124&gt;=H124,"En meta",IF(M124&gt;=H124*0.9,"Alerta","Crítico")),IF(M124&lt;=H124,"En meta",IF(M124&lt;=H124*1.1,"Alerta","Crítico"))))</x:f>
        <x:v>En meta</x:v>
      </x:c>
      <x:c r="O124" s="22" t="str">
        <x:v>%</x:v>
      </x:c>
      <x:c r="P124" s="22" t="str">
        <x:v>Líder SG-SST / Responsables de proceso</x:v>
      </x:c>
      <x:c r="Q124" s="22" t="str">
        <x:v>Matriz APCM</x:v>
      </x:c>
      <x:c r="R124" s="22" t="str"/>
    </x:row>
    <x:row r="125">
      <x:c r="A125" s="46" t="n">
        <x:v>45535</x:v>
      </x:c>
      <x:c r="B125" s="22" t="n">
        <x:v>2024</x:v>
      </x:c>
      <x:c r="C125" s="22" t="str">
        <x:v>Agosto</x:v>
      </x:c>
      <x:c r="D125" s="22" t="str">
        <x:v>P04</x:v>
      </x:c>
      <x:c r="E125" s="22" t="str">
        <x:v>% inspecciones de seguridad ejecutadas</x:v>
      </x:c>
      <x:c r="F125" s="22" t="str">
        <x:v>Proceso</x:v>
      </x:c>
      <x:c r="G125" s="22" t="str">
        <x:v>Mensual</x:v>
      </x:c>
      <x:c r="H125" s="40" t="n">
        <x:v>90</x:v>
      </x:c>
      <x:c r="I125" s="22" t="str">
        <x:v>Mayor es mejor</x:v>
      </x:c>
      <x:c r="J125" s="40" t="n">
        <x:v>7</x:v>
      </x:c>
      <x:c r="K125" s="40" t="n">
        <x:v>8</x:v>
      </x:c>
      <x:c r="L125" s="40" t="n">
        <x:v>100</x:v>
      </x:c>
      <x:c r="M125" s="40" t="n">
        <x:f>IF(OR(J125="",K125="",K125=0),"",J125/K125*L125)</x:f>
        <x:v>87.5</x:v>
      </x:c>
      <x:c r="N125" s="22" t="str">
        <x:f>IF(M125="","",IF(I125="Mayor es mejor",IF(M125&gt;=H125,"En meta",IF(M125&gt;=H125*0.9,"Alerta","Crítico")),IF(M125&lt;=H125,"En meta",IF(M125&lt;=H125*1.1,"Alerta","Crítico"))))</x:f>
        <x:v>Alerta</x:v>
      </x:c>
      <x:c r="O125" s="22" t="str">
        <x:v>%</x:v>
      </x:c>
      <x:c r="P125" s="22" t="str">
        <x:v>Líder SG-SST / Supervisores</x:v>
      </x:c>
      <x:c r="Q125" s="22" t="str">
        <x:v>Programa de inspecciones</x:v>
      </x:c>
      <x:c r="R125" s="22" t="str"/>
    </x:row>
    <x:row r="126">
      <x:c r="A126" s="46" t="n">
        <x:v>45535</x:v>
      </x:c>
      <x:c r="B126" s="22" t="n">
        <x:v>2024</x:v>
      </x:c>
      <x:c r="C126" s="22" t="str">
        <x:v>Agosto</x:v>
      </x:c>
      <x:c r="D126" s="22" t="str">
        <x:v>P05</x:v>
      </x:c>
      <x:c r="E126" s="22" t="str">
        <x:v>% mantenimientos preventivos ejecutados</x:v>
      </x:c>
      <x:c r="F126" s="22" t="str">
        <x:v>Proceso</x:v>
      </x:c>
      <x:c r="G126" s="22" t="str">
        <x:v>Mensual</x:v>
      </x:c>
      <x:c r="H126" s="40" t="n">
        <x:v>90</x:v>
      </x:c>
      <x:c r="I126" s="22" t="str">
        <x:v>Mayor es mejor</x:v>
      </x:c>
      <x:c r="J126" s="40" t="n">
        <x:v>11</x:v>
      </x:c>
      <x:c r="K126" s="40" t="n">
        <x:v>12</x:v>
      </x:c>
      <x:c r="L126" s="40" t="n">
        <x:v>100</x:v>
      </x:c>
      <x:c r="M126" s="40" t="n">
        <x:f>IF(OR(J126="",K126="",K126=0),"",J126/K126*L126)</x:f>
        <x:v>91.66666666666666</x:v>
      </x:c>
      <x:c r="N126" s="22" t="str">
        <x:f>IF(M126="","",IF(I126="Mayor es mejor",IF(M126&gt;=H126,"En meta",IF(M126&gt;=H126*0.9,"Alerta","Crítico")),IF(M126&lt;=H126,"En meta",IF(M126&lt;=H126*1.1,"Alerta","Crítico"))))</x:f>
        <x:v>En meta</x:v>
      </x:c>
      <x:c r="O126" s="22" t="str">
        <x:v>%</x:v>
      </x:c>
      <x:c r="P126" s="22" t="str">
        <x:v>Mantenimiento / Líder SG-SST</x:v>
      </x:c>
      <x:c r="Q126" s="22" t="str">
        <x:v>Programa de mantenimiento preventivo</x:v>
      </x:c>
      <x:c r="R126" s="22" t="str"/>
    </x:row>
    <x:row r="127">
      <x:c r="A127" s="46" t="n">
        <x:v>45535</x:v>
      </x:c>
      <x:c r="B127" s="22" t="n">
        <x:v>2024</x:v>
      </x:c>
      <x:c r="C127" s="22" t="str">
        <x:v>Agosto</x:v>
      </x:c>
      <x:c r="D127" s="22" t="str">
        <x:v>R01</x:v>
      </x:c>
      <x:c r="E127" s="22" t="str">
        <x:v>Índice de frecuencia de accidentalidad (IF)</x:v>
      </x:c>
      <x:c r="F127" s="22" t="str">
        <x:v>Resultado</x:v>
      </x:c>
      <x:c r="G127" s="22" t="str">
        <x:v>Mensual</x:v>
      </x:c>
      <x:c r="H127" s="40" t="n">
        <x:v>3.5</x:v>
      </x:c>
      <x:c r="I127" s="22" t="str">
        <x:v>Menor es mejor</x:v>
      </x:c>
      <x:c r="J127" s="40" t="n">
        <x:v>1</x:v>
      </x:c>
      <x:c r="K127" s="40" t="n">
        <x:v>55929</x:v>
      </x:c>
      <x:c r="L127" s="40" t="n">
        <x:v>200000</x:v>
      </x:c>
      <x:c r="M127" s="40" t="n">
        <x:f>IF(OR(J127="",K127="",K127=0),"",J127/K127*L127)</x:f>
        <x:v>3.5759623808757532</x:v>
      </x:c>
      <x:c r="N127" s="22" t="str">
        <x:f>IF(M127="","",IF(I127="Mayor es mejor",IF(M127&gt;=H127,"En meta",IF(M127&gt;=H127*0.9,"Alerta","Crítico")),IF(M127&lt;=H127,"En meta",IF(M127&lt;=H127*1.1,"Alerta","Crítico"))))</x:f>
        <x:v>Alerta</x:v>
      </x:c>
      <x:c r="O127" s="22" t="str">
        <x:v>Índice</x:v>
      </x:c>
      <x:c r="P127" s="22" t="str">
        <x:v>Líder SG-SST</x:v>
      </x:c>
      <x:c r="Q127" s="22" t="str">
        <x:v>Matriz de accidentalidad / nómina</x:v>
      </x:c>
      <x:c r="R127" s="22" t="str"/>
    </x:row>
    <x:row r="128">
      <x:c r="A128" s="46" t="n">
        <x:v>45535</x:v>
      </x:c>
      <x:c r="B128" s="22" t="n">
        <x:v>2024</x:v>
      </x:c>
      <x:c r="C128" s="22" t="str">
        <x:v>Agosto</x:v>
      </x:c>
      <x:c r="D128" s="22" t="str">
        <x:v>R02</x:v>
      </x:c>
      <x:c r="E128" s="22" t="str">
        <x:v>Índice de severidad de accidentalidad (IS)</x:v>
      </x:c>
      <x:c r="F128" s="22" t="str">
        <x:v>Resultado</x:v>
      </x:c>
      <x:c r="G128" s="22" t="str">
        <x:v>Mensual</x:v>
      </x:c>
      <x:c r="H128" s="40" t="n">
        <x:v>80</x:v>
      </x:c>
      <x:c r="I128" s="22" t="str">
        <x:v>Menor es mejor</x:v>
      </x:c>
      <x:c r="J128" s="40" t="n">
        <x:v>21</x:v>
      </x:c>
      <x:c r="K128" s="40" t="n">
        <x:v>55929</x:v>
      </x:c>
      <x:c r="L128" s="40" t="n">
        <x:v>200000</x:v>
      </x:c>
      <x:c r="M128" s="40" t="n">
        <x:f>IF(OR(J128="",K128="",K128=0),"",J128/K128*L128)</x:f>
        <x:v>75.09520999839081</x:v>
      </x:c>
      <x:c r="N128" s="22" t="str">
        <x:f>IF(M128="","",IF(I128="Mayor es mejor",IF(M128&gt;=H128,"En meta",IF(M128&gt;=H128*0.9,"Alerta","Crítico")),IF(M128&lt;=H128,"En meta",IF(M128&lt;=H128*1.1,"Alerta","Crítico"))))</x:f>
        <x:v>En meta</x:v>
      </x:c>
      <x:c r="O128" s="22" t="str">
        <x:v>Índice</x:v>
      </x:c>
      <x:c r="P128" s="22" t="str">
        <x:v>Líder SG-SST</x:v>
      </x:c>
      <x:c r="Q128" s="22" t="str">
        <x:v>Matriz de accidentalidad / nómina</x:v>
      </x:c>
      <x:c r="R128" s="22" t="str"/>
    </x:row>
    <x:row r="129">
      <x:c r="A129" s="46" t="n">
        <x:v>45535</x:v>
      </x:c>
      <x:c r="B129" s="22" t="n">
        <x:v>2024</x:v>
      </x:c>
      <x:c r="C129" s="22" t="str">
        <x:v>Agosto</x:v>
      </x:c>
      <x:c r="D129" s="22" t="str">
        <x:v>R03</x:v>
      </x:c>
      <x:c r="E129" s="22" t="str">
        <x:v>Índice de lesión incapacitante (ILI)</x:v>
      </x:c>
      <x:c r="F129" s="22" t="str">
        <x:v>Resultado</x:v>
      </x:c>
      <x:c r="G129" s="22" t="str">
        <x:v>Mensual</x:v>
      </x:c>
      <x:c r="H129" s="40" t="n">
        <x:v>0.25</x:v>
      </x:c>
      <x:c r="I129" s="22" t="str">
        <x:v>Menor es mejor</x:v>
      </x:c>
      <x:c r="J129" s="40" t="n">
        <x:v>268.5376</x:v>
      </x:c>
      <x:c r="K129" s="40" t="n">
        <x:v>1000</x:v>
      </x:c>
      <x:c r="L129" s="40" t="n">
        <x:v>1</x:v>
      </x:c>
      <x:c r="M129" s="40" t="n">
        <x:f>IF(OR(J129="",K129="",K129=0),"",J129/K129*L129)</x:f>
        <x:v>0.2685376</x:v>
      </x:c>
      <x:c r="N129" s="22" t="str">
        <x:f>IF(M129="","",IF(I129="Mayor es mejor",IF(M129&gt;=H129,"En meta",IF(M129&gt;=H129*0.9,"Alerta","Crítico")),IF(M129&lt;=H129,"En meta",IF(M129&lt;=H129*1.1,"Alerta","Crítico"))))</x:f>
        <x:v>Alerta</x:v>
      </x:c>
      <x:c r="O129" s="22" t="str">
        <x:v>Índice</x:v>
      </x:c>
      <x:c r="P129" s="22" t="str">
        <x:v>Líder SG-SST</x:v>
      </x:c>
      <x:c r="Q129" s="22" t="str">
        <x:v>Indicadores derivados de accidentalidad</x:v>
      </x:c>
      <x:c r="R129" s="22" t="str">
        <x:v>ILI calculado sobre IF e IS del periodo.</x:v>
      </x:c>
    </x:row>
    <x:row r="130">
      <x:c r="A130" s="46" t="n">
        <x:v>45535</x:v>
      </x:c>
      <x:c r="B130" s="22" t="n">
        <x:v>2024</x:v>
      </x:c>
      <x:c r="C130" s="22" t="str">
        <x:v>Agosto</x:v>
      </x:c>
      <x:c r="D130" s="22" t="str">
        <x:v>R04</x:v>
      </x:c>
      <x:c r="E130" s="22" t="str">
        <x:v>Tasa de accidentalidad</x:v>
      </x:c>
      <x:c r="F130" s="22" t="str">
        <x:v>Resultado</x:v>
      </x:c>
      <x:c r="G130" s="22" t="str">
        <x:v>Mensual</x:v>
      </x:c>
      <x:c r="H130" s="40" t="n">
        <x:v>0.6</x:v>
      </x:c>
      <x:c r="I130" s="22" t="str">
        <x:v>Menor es mejor</x:v>
      </x:c>
      <x:c r="J130" s="40" t="n">
        <x:v>3.65</x:v>
      </x:c>
      <x:c r="K130" s="40" t="n">
        <x:v>229</x:v>
      </x:c>
      <x:c r="L130" s="40" t="n">
        <x:v>100</x:v>
      </x:c>
      <x:c r="M130" s="40" t="n">
        <x:f>IF(OR(J130="",K130="",K130=0),"",J130/K130*L130)</x:f>
        <x:v>1.5938864628820961</x:v>
      </x:c>
      <x:c r="N130" s="22" t="str">
        <x:f>IF(M130="","",IF(I130="Mayor es mejor",IF(M130&gt;=H130,"En meta",IF(M130&gt;=H130*0.9,"Alerta","Crítico")),IF(M130&lt;=H130,"En meta",IF(M130&lt;=H130*1.1,"Alerta","Crítico"))))</x:f>
        <x:v>Crítico</x:v>
      </x:c>
      <x:c r="O130" s="22" t="str">
        <x:v>%</x:v>
      </x:c>
      <x:c r="P130" s="22" t="str">
        <x:v>Líder SG-SST</x:v>
      </x:c>
      <x:c r="Q130" s="22" t="str">
        <x:v>Matriz de accidentalidad / nómina</x:v>
      </x:c>
      <x:c r="R130" s="22" t="str"/>
    </x:row>
    <x:row r="131">
      <x:c r="A131" s="46" t="n">
        <x:v>45535</x:v>
      </x:c>
      <x:c r="B131" s="22" t="n">
        <x:v>2024</x:v>
      </x:c>
      <x:c r="C131" s="22" t="str">
        <x:v>Agosto</x:v>
      </x:c>
      <x:c r="D131" s="22" t="str">
        <x:v>R05</x:v>
      </x:c>
      <x:c r="E131" s="22" t="str">
        <x:v>Prevalencia de enfermedad laboral</x:v>
      </x:c>
      <x:c r="F131" s="22" t="str">
        <x:v>Resultado</x:v>
      </x:c>
      <x:c r="G131" s="22" t="str">
        <x:v>Mensual</x:v>
      </x:c>
      <x:c r="H131" s="40" t="n">
        <x:v>0.3</x:v>
      </x:c>
      <x:c r="I131" s="22" t="str">
        <x:v>Menor es mejor</x:v>
      </x:c>
      <x:c r="J131" s="40" t="n">
        <x:v>3.26</x:v>
      </x:c>
      <x:c r="K131" s="40" t="n">
        <x:v>229</x:v>
      </x:c>
      <x:c r="L131" s="40" t="n">
        <x:v>100</x:v>
      </x:c>
      <x:c r="M131" s="40" t="n">
        <x:f>IF(OR(J131="",K131="",K131=0),"",J131/K131*L131)</x:f>
        <x:v>1.4235807860262006</x:v>
      </x:c>
      <x:c r="N131" s="22" t="str">
        <x:f>IF(M131="","",IF(I131="Mayor es mejor",IF(M131&gt;=H131,"En meta",IF(M131&gt;=H131*0.9,"Alerta","Crítico")),IF(M131&lt;=H131,"En meta",IF(M131&lt;=H131*1.1,"Alerta","Crítico"))))</x:f>
        <x:v>Crítico</x:v>
      </x:c>
      <x:c r="O131" s="22" t="str">
        <x:v>%</x:v>
      </x:c>
      <x:c r="P131" s="22" t="str">
        <x:v>Líder SG-SST / Medicina laboral</x:v>
      </x:c>
      <x:c r="Q131" s="22" t="str">
        <x:v>Matriz de enfermedad laboral / nómina</x:v>
      </x:c>
      <x:c r="R131" s="22" t="str"/>
    </x:row>
    <x:row r="132">
      <x:c r="A132" s="46" t="n">
        <x:v>45535</x:v>
      </x:c>
      <x:c r="B132" s="22" t="n">
        <x:v>2024</x:v>
      </x:c>
      <x:c r="C132" s="22" t="str">
        <x:v>Agosto</x:v>
      </x:c>
      <x:c r="D132" s="22" t="str">
        <x:v>R06</x:v>
      </x:c>
      <x:c r="E132" s="22" t="str">
        <x:v>% cumplimiento de estándares mínimos Res. 0312 de 2019</x:v>
      </x:c>
      <x:c r="F132" s="22" t="str">
        <x:v>Resultado</x:v>
      </x:c>
      <x:c r="G132" s="22" t="str">
        <x:v>Mensual</x:v>
      </x:c>
      <x:c r="H132" s="40" t="n">
        <x:v>95</x:v>
      </x:c>
      <x:c r="I132" s="22" t="str">
        <x:v>Mayor es mejor</x:v>
      </x:c>
      <x:c r="J132" s="40" t="n">
        <x:v>98</x:v>
      </x:c>
      <x:c r="K132" s="40" t="n">
        <x:v>100</x:v>
      </x:c>
      <x:c r="L132" s="40" t="n">
        <x:v>100</x:v>
      </x:c>
      <x:c r="M132" s="40" t="n">
        <x:f>IF(OR(J132="",K132="",K132=0),"",J132/K132*L132)</x:f>
        <x:v>98</x:v>
      </x:c>
      <x:c r="N132" s="22" t="str">
        <x:f>IF(M132="","",IF(I132="Mayor es mejor",IF(M132&gt;=H132,"En meta",IF(M132&gt;=H132*0.9,"Alerta","Crítico")),IF(M132&lt;=H132,"En meta",IF(M132&lt;=H132*1.1,"Alerta","Crítico"))))</x:f>
        <x:v>En meta</x:v>
      </x:c>
      <x:c r="O132" s="22" t="str">
        <x:v>%</x:v>
      </x:c>
      <x:c r="P132" s="22" t="str">
        <x:v>Líder SG-SST / Alta Dirección</x:v>
      </x:c>
      <x:c r="Q132" s="22" t="str">
        <x:v>Autodiagnóstico Res. 0312 de 2019</x:v>
      </x:c>
      <x:c r="R132" s="22" t="str"/>
    </x:row>
    <x:row r="133">
      <x:c r="A133" s="46" t="n">
        <x:v>45565</x:v>
      </x:c>
      <x:c r="B133" s="22" t="n">
        <x:v>2024</x:v>
      </x:c>
      <x:c r="C133" s="22" t="str">
        <x:v>Septiembre</x:v>
      </x:c>
      <x:c r="D133" s="22" t="str">
        <x:v>E01</x:v>
      </x:c>
      <x:c r="E133" s="22" t="str">
        <x:v>% ejecución presupuestal del SG-SST</x:v>
      </x:c>
      <x:c r="F133" s="22" t="str">
        <x:v>Estructura</x:v>
      </x:c>
      <x:c r="G133" s="22" t="str">
        <x:v>Mensual</x:v>
      </x:c>
      <x:c r="H133" s="40" t="n">
        <x:v>95</x:v>
      </x:c>
      <x:c r="I133" s="22" t="str">
        <x:v>Mayor es mejor</x:v>
      </x:c>
      <x:c r="J133" s="40" t="n">
        <x:v>8102542</x:v>
      </x:c>
      <x:c r="K133" s="40" t="n">
        <x:v>8500000</x:v>
      </x:c>
      <x:c r="L133" s="40" t="n">
        <x:v>100</x:v>
      </x:c>
      <x:c r="M133" s="40" t="n">
        <x:f>IF(OR(J133="",K133="",K133=0),"",J133/K133*L133)</x:f>
        <x:v>95.32402352941176</x:v>
      </x:c>
      <x:c r="N133" s="22" t="str">
        <x:f>IF(M133="","",IF(I133="Mayor es mejor",IF(M133&gt;=H133,"En meta",IF(M133&gt;=H133*0.9,"Alerta","Crítico")),IF(M133&lt;=H133,"En meta",IF(M133&lt;=H133*1.1,"Alerta","Crítico"))))</x:f>
        <x:v>En meta</x:v>
      </x:c>
      <x:c r="O133" s="22" t="str">
        <x:v>%</x:v>
      </x:c>
      <x:c r="P133" s="22" t="str">
        <x:v>Líder SG-SST / Dirección Administrativa</x:v>
      </x:c>
      <x:c r="Q133" s="22" t="str">
        <x:v>Presupuesto SST</x:v>
      </x:c>
      <x:c r="R133" s="22" t="str"/>
    </x:row>
    <x:row r="134">
      <x:c r="A134" s="46" t="n">
        <x:v>45565</x:v>
      </x:c>
      <x:c r="B134" s="22" t="n">
        <x:v>2024</x:v>
      </x:c>
      <x:c r="C134" s="22" t="str">
        <x:v>Septiembre</x:v>
      </x:c>
      <x:c r="D134" s="22" t="str">
        <x:v>E02</x:v>
      </x:c>
      <x:c r="E134" s="22" t="str">
        <x:v>% cobertura del plan de formación y capacitación SG-SST</x:v>
      </x:c>
      <x:c r="F134" s="22" t="str">
        <x:v>Estructura</x:v>
      </x:c>
      <x:c r="G134" s="22" t="str">
        <x:v>Mensual</x:v>
      </x:c>
      <x:c r="H134" s="40" t="n">
        <x:v>90</x:v>
      </x:c>
      <x:c r="I134" s="22" t="str">
        <x:v>Mayor es mejor</x:v>
      </x:c>
      <x:c r="J134" s="40" t="n">
        <x:v>18</x:v>
      </x:c>
      <x:c r="K134" s="40" t="n">
        <x:v>20</x:v>
      </x:c>
      <x:c r="L134" s="40" t="n">
        <x:v>100</x:v>
      </x:c>
      <x:c r="M134" s="40" t="n">
        <x:f>IF(OR(J134="",K134="",K134=0),"",J134/K134*L134)</x:f>
        <x:v>90</x:v>
      </x:c>
      <x:c r="N134" s="22" t="str">
        <x:f>IF(M134="","",IF(I134="Mayor es mejor",IF(M134&gt;=H134,"En meta",IF(M134&gt;=H134*0.9,"Alerta","Crítico")),IF(M134&lt;=H134,"En meta",IF(M134&lt;=H134*1.1,"Alerta","Crítico"))))</x:f>
        <x:v>En meta</x:v>
      </x:c>
      <x:c r="O134" s="22" t="str">
        <x:v>%</x:v>
      </x:c>
      <x:c r="P134" s="22" t="str">
        <x:v>Líder SG-SST / Talento Humano</x:v>
      </x:c>
      <x:c r="Q134" s="22" t="str">
        <x:v>Plan de formación y capacitaciones</x:v>
      </x:c>
      <x:c r="R134" s="22" t="str"/>
    </x:row>
    <x:row r="135">
      <x:c r="A135" s="46" t="n">
        <x:v>45565</x:v>
      </x:c>
      <x:c r="B135" s="22" t="n">
        <x:v>2024</x:v>
      </x:c>
      <x:c r="C135" s="22" t="str">
        <x:v>Septiembre</x:v>
      </x:c>
      <x:c r="D135" s="22" t="str">
        <x:v>E03</x:v>
      </x:c>
      <x:c r="E135" s="22" t="str">
        <x:v>% trabajadores con exámenes médicos ocupacionales vigentes</x:v>
      </x:c>
      <x:c r="F135" s="22" t="str">
        <x:v>Estructura</x:v>
      </x:c>
      <x:c r="G135" s="22" t="str">
        <x:v>Mensual</x:v>
      </x:c>
      <x:c r="H135" s="40" t="n">
        <x:v>95</x:v>
      </x:c>
      <x:c r="I135" s="22" t="str">
        <x:v>Mayor es mejor</x:v>
      </x:c>
      <x:c r="J135" s="40" t="n">
        <x:v>219</x:v>
      </x:c>
      <x:c r="K135" s="40" t="n">
        <x:v>228</x:v>
      </x:c>
      <x:c r="L135" s="40" t="n">
        <x:v>100</x:v>
      </x:c>
      <x:c r="M135" s="40" t="n">
        <x:f>IF(OR(J135="",K135="",K135=0),"",J135/K135*L135)</x:f>
        <x:v>96.05263157894737</x:v>
      </x:c>
      <x:c r="N135" s="22" t="str">
        <x:f>IF(M135="","",IF(I135="Mayor es mejor",IF(M135&gt;=H135,"En meta",IF(M135&gt;=H135*0.9,"Alerta","Crítico")),IF(M135&lt;=H135,"En meta",IF(M135&lt;=H135*1.1,"Alerta","Crítico"))))</x:f>
        <x:v>En meta</x:v>
      </x:c>
      <x:c r="O135" s="22" t="str">
        <x:v>%</x:v>
      </x:c>
      <x:c r="P135" s="22" t="str">
        <x:v>Líder SG-SST / Talento Humano</x:v>
      </x:c>
      <x:c r="Q135" s="22" t="str">
        <x:v>Matriz de seguimiento EMO</x:v>
      </x:c>
      <x:c r="R135" s="22" t="str"/>
    </x:row>
    <x:row r="136">
      <x:c r="A136" s="46" t="n">
        <x:v>45565</x:v>
      </x:c>
      <x:c r="B136" s="22" t="n">
        <x:v>2024</x:v>
      </x:c>
      <x:c r="C136" s="22" t="str">
        <x:v>Septiembre</x:v>
      </x:c>
      <x:c r="D136" s="22" t="str">
        <x:v>E04</x:v>
      </x:c>
      <x:c r="E136" s="22" t="str">
        <x:v>% cumplimiento de requisitos legales aplicables en SST</x:v>
      </x:c>
      <x:c r="F136" s="22" t="str">
        <x:v>Estructura</x:v>
      </x:c>
      <x:c r="G136" s="22" t="str">
        <x:v>Mensual</x:v>
      </x:c>
      <x:c r="H136" s="40" t="n">
        <x:v>95</x:v>
      </x:c>
      <x:c r="I136" s="22" t="str">
        <x:v>Mayor es mejor</x:v>
      </x:c>
      <x:c r="J136" s="40" t="n">
        <x:v>58</x:v>
      </x:c>
      <x:c r="K136" s="40" t="n">
        <x:v>60</x:v>
      </x:c>
      <x:c r="L136" s="40" t="n">
        <x:v>100</x:v>
      </x:c>
      <x:c r="M136" s="40" t="n">
        <x:f>IF(OR(J136="",K136="",K136=0),"",J136/K136*L136)</x:f>
        <x:v>96.66666666666667</x:v>
      </x:c>
      <x:c r="N136" s="22" t="str">
        <x:f>IF(M136="","",IF(I136="Mayor es mejor",IF(M136&gt;=H136,"En meta",IF(M136&gt;=H136*0.9,"Alerta","Crítico")),IF(M136&lt;=H136,"En meta",IF(M136&lt;=H136*1.1,"Alerta","Crítico"))))</x:f>
        <x:v>En meta</x:v>
      </x:c>
      <x:c r="O136" s="22" t="str">
        <x:v>%</x:v>
      </x:c>
      <x:c r="P136" s="22" t="str">
        <x:v>Líder SG-SST / Jurídica</x:v>
      </x:c>
      <x:c r="Q136" s="22" t="str">
        <x:v>Matriz legal SGRL</x:v>
      </x:c>
      <x:c r="R136" s="22" t="str"/>
    </x:row>
    <x:row r="137">
      <x:c r="A137" s="46" t="n">
        <x:v>45565</x:v>
      </x:c>
      <x:c r="B137" s="22" t="n">
        <x:v>2024</x:v>
      </x:c>
      <x:c r="C137" s="22" t="str">
        <x:v>Septiembre</x:v>
      </x:c>
      <x:c r="D137" s="22" t="str">
        <x:v>E05</x:v>
      </x:c>
      <x:c r="E137" s="22" t="str">
        <x:v>% proveedores y contratistas aprobados en SST</x:v>
      </x:c>
      <x:c r="F137" s="22" t="str">
        <x:v>Estructura</x:v>
      </x:c>
      <x:c r="G137" s="22" t="str">
        <x:v>Mensual</x:v>
      </x:c>
      <x:c r="H137" s="40" t="n">
        <x:v>90</x:v>
      </x:c>
      <x:c r="I137" s="22" t="str">
        <x:v>Mayor es mejor</x:v>
      </x:c>
      <x:c r="J137" s="40" t="n">
        <x:v>18</x:v>
      </x:c>
      <x:c r="K137" s="40" t="n">
        <x:v>20</x:v>
      </x:c>
      <x:c r="L137" s="40" t="n">
        <x:v>100</x:v>
      </x:c>
      <x:c r="M137" s="40" t="n">
        <x:f>IF(OR(J137="",K137="",K137=0),"",J137/K137*L137)</x:f>
        <x:v>90</x:v>
      </x:c>
      <x:c r="N137" s="22" t="str">
        <x:f>IF(M137="","",IF(I137="Mayor es mejor",IF(M137&gt;=H137,"En meta",IF(M137&gt;=H137*0.9,"Alerta","Crítico")),IF(M137&lt;=H137,"En meta",IF(M137&lt;=H137*1.1,"Alerta","Crítico"))))</x:f>
        <x:v>En meta</x:v>
      </x:c>
      <x:c r="O137" s="22" t="str">
        <x:v>%</x:v>
      </x:c>
      <x:c r="P137" s="22" t="str">
        <x:v>Compras / Líder SG-SST</x:v>
      </x:c>
      <x:c r="Q137" s="22" t="str">
        <x:v>Gestión de proveedores y contratistas</x:v>
      </x:c>
      <x:c r="R137" s="22" t="str"/>
    </x:row>
    <x:row r="138">
      <x:c r="A138" s="46" t="n">
        <x:v>45565</x:v>
      </x:c>
      <x:c r="B138" s="22" t="n">
        <x:v>2024</x:v>
      </x:c>
      <x:c r="C138" s="22" t="str">
        <x:v>Septiembre</x:v>
      </x:c>
      <x:c r="D138" s="22" t="str">
        <x:v>P01</x:v>
      </x:c>
      <x:c r="E138" s="22" t="str">
        <x:v>% ejecución del plan anual de trabajo SG-SST</x:v>
      </x:c>
      <x:c r="F138" s="22" t="str">
        <x:v>Proceso</x:v>
      </x:c>
      <x:c r="G138" s="22" t="str">
        <x:v>Mensual</x:v>
      </x:c>
      <x:c r="H138" s="40" t="n">
        <x:v>90</x:v>
      </x:c>
      <x:c r="I138" s="22" t="str">
        <x:v>Mayor es mejor</x:v>
      </x:c>
      <x:c r="J138" s="40" t="n">
        <x:v>9</x:v>
      </x:c>
      <x:c r="K138" s="40" t="n">
        <x:v>10</x:v>
      </x:c>
      <x:c r="L138" s="40" t="n">
        <x:v>100</x:v>
      </x:c>
      <x:c r="M138" s="40" t="n">
        <x:f>IF(OR(J138="",K138="",K138=0),"",J138/K138*L138)</x:f>
        <x:v>90</x:v>
      </x:c>
      <x:c r="N138" s="22" t="str">
        <x:f>IF(M138="","",IF(I138="Mayor es mejor",IF(M138&gt;=H138,"En meta",IF(M138&gt;=H138*0.9,"Alerta","Crítico")),IF(M138&lt;=H138,"En meta",IF(M138&lt;=H138*1.1,"Alerta","Crítico"))))</x:f>
        <x:v>En meta</x:v>
      </x:c>
      <x:c r="O138" s="22" t="str">
        <x:v>%</x:v>
      </x:c>
      <x:c r="P138" s="22" t="str">
        <x:v>Líder SG-SST</x:v>
      </x:c>
      <x:c r="Q138" s="22" t="str">
        <x:v>Plan anual de trabajo PHVA</x:v>
      </x:c>
      <x:c r="R138" s="22" t="str"/>
    </x:row>
    <x:row r="139">
      <x:c r="A139" s="46" t="n">
        <x:v>45565</x:v>
      </x:c>
      <x:c r="B139" s="22" t="n">
        <x:v>2024</x:v>
      </x:c>
      <x:c r="C139" s="22" t="str">
        <x:v>Septiembre</x:v>
      </x:c>
      <x:c r="D139" s="22" t="str">
        <x:v>P02</x:v>
      </x:c>
      <x:c r="E139" s="22" t="str">
        <x:v>% investigaciones de accidentes realizadas oportunamente</x:v>
      </x:c>
      <x:c r="F139" s="22" t="str">
        <x:v>Proceso</x:v>
      </x:c>
      <x:c r="G139" s="22" t="str">
        <x:v>Mensual</x:v>
      </x:c>
      <x:c r="H139" s="40" t="n">
        <x:v>95</x:v>
      </x:c>
      <x:c r="I139" s="22" t="str">
        <x:v>Mayor es mejor</x:v>
      </x:c>
      <x:c r="J139" s="40" t="n">
        <x:v>1</x:v>
      </x:c>
      <x:c r="K139" s="40" t="n">
        <x:v>1</x:v>
      </x:c>
      <x:c r="L139" s="40" t="n">
        <x:v>100</x:v>
      </x:c>
      <x:c r="M139" s="40" t="n">
        <x:f>IF(OR(J139="",K139="",K139=0),"",J139/K139*L139)</x:f>
        <x:v>100</x:v>
      </x:c>
      <x:c r="N139" s="22" t="str">
        <x:f>IF(M139="","",IF(I139="Mayor es mejor",IF(M139&gt;=H139,"En meta",IF(M139&gt;=H139*0.9,"Alerta","Crítico")),IF(M139&lt;=H139,"En meta",IF(M139&lt;=H139*1.1,"Alerta","Crítico"))))</x:f>
        <x:v>En meta</x:v>
      </x:c>
      <x:c r="O139" s="22" t="str">
        <x:v>%</x:v>
      </x:c>
      <x:c r="P139" s="22" t="str">
        <x:v>Líder SG-SST / COPASST</x:v>
      </x:c>
      <x:c r="Q139" s="22" t="str">
        <x:v>Matriz de accidentalidad</x:v>
      </x:c>
      <x:c r="R139" s="22" t="str"/>
    </x:row>
    <x:row r="140">
      <x:c r="A140" s="46" t="n">
        <x:v>45565</x:v>
      </x:c>
      <x:c r="B140" s="22" t="n">
        <x:v>2024</x:v>
      </x:c>
      <x:c r="C140" s="22" t="str">
        <x:v>Septiembre</x:v>
      </x:c>
      <x:c r="D140" s="22" t="str">
        <x:v>P03</x:v>
      </x:c>
      <x:c r="E140" s="22" t="str">
        <x:v>% cierre oportuno de acciones correctivas, preventivas y de mejora</x:v>
      </x:c>
      <x:c r="F140" s="22" t="str">
        <x:v>Proceso</x:v>
      </x:c>
      <x:c r="G140" s="22" t="str">
        <x:v>Mensual</x:v>
      </x:c>
      <x:c r="H140" s="40" t="n">
        <x:v>90</x:v>
      </x:c>
      <x:c r="I140" s="22" t="str">
        <x:v>Mayor es mejor</x:v>
      </x:c>
      <x:c r="J140" s="40" t="n">
        <x:v>12</x:v>
      </x:c>
      <x:c r="K140" s="40" t="n">
        <x:v>14</x:v>
      </x:c>
      <x:c r="L140" s="40" t="n">
        <x:v>100</x:v>
      </x:c>
      <x:c r="M140" s="40" t="n">
        <x:f>IF(OR(J140="",K140="",K140=0),"",J140/K140*L140)</x:f>
        <x:v>85.71428571428571</x:v>
      </x:c>
      <x:c r="N140" s="22" t="str">
        <x:f>IF(M140="","",IF(I140="Mayor es mejor",IF(M140&gt;=H140,"En meta",IF(M140&gt;=H140*0.9,"Alerta","Crítico")),IF(M140&lt;=H140,"En meta",IF(M140&lt;=H140*1.1,"Alerta","Crítico"))))</x:f>
        <x:v>Alerta</x:v>
      </x:c>
      <x:c r="O140" s="22" t="str">
        <x:v>%</x:v>
      </x:c>
      <x:c r="P140" s="22" t="str">
        <x:v>Líder SG-SST / Responsables de proceso</x:v>
      </x:c>
      <x:c r="Q140" s="22" t="str">
        <x:v>Matriz APCM</x:v>
      </x:c>
      <x:c r="R140" s="22" t="str"/>
    </x:row>
    <x:row r="141">
      <x:c r="A141" s="46" t="n">
        <x:v>45565</x:v>
      </x:c>
      <x:c r="B141" s="22" t="n">
        <x:v>2024</x:v>
      </x:c>
      <x:c r="C141" s="22" t="str">
        <x:v>Septiembre</x:v>
      </x:c>
      <x:c r="D141" s="22" t="str">
        <x:v>P04</x:v>
      </x:c>
      <x:c r="E141" s="22" t="str">
        <x:v>% inspecciones de seguridad ejecutadas</x:v>
      </x:c>
      <x:c r="F141" s="22" t="str">
        <x:v>Proceso</x:v>
      </x:c>
      <x:c r="G141" s="22" t="str">
        <x:v>Mensual</x:v>
      </x:c>
      <x:c r="H141" s="40" t="n">
        <x:v>90</x:v>
      </x:c>
      <x:c r="I141" s="22" t="str">
        <x:v>Mayor es mejor</x:v>
      </x:c>
      <x:c r="J141" s="40" t="n">
        <x:v>8</x:v>
      </x:c>
      <x:c r="K141" s="40" t="n">
        <x:v>9</x:v>
      </x:c>
      <x:c r="L141" s="40" t="n">
        <x:v>100</x:v>
      </x:c>
      <x:c r="M141" s="40" t="n">
        <x:f>IF(OR(J141="",K141="",K141=0),"",J141/K141*L141)</x:f>
        <x:v>88.88888888888889</x:v>
      </x:c>
      <x:c r="N141" s="22" t="str">
        <x:f>IF(M141="","",IF(I141="Mayor es mejor",IF(M141&gt;=H141,"En meta",IF(M141&gt;=H141*0.9,"Alerta","Crítico")),IF(M141&lt;=H141,"En meta",IF(M141&lt;=H141*1.1,"Alerta","Crítico"))))</x:f>
        <x:v>Alerta</x:v>
      </x:c>
      <x:c r="O141" s="22" t="str">
        <x:v>%</x:v>
      </x:c>
      <x:c r="P141" s="22" t="str">
        <x:v>Líder SG-SST / Supervisores</x:v>
      </x:c>
      <x:c r="Q141" s="22" t="str">
        <x:v>Programa de inspecciones</x:v>
      </x:c>
      <x:c r="R141" s="22" t="str"/>
    </x:row>
    <x:row r="142">
      <x:c r="A142" s="46" t="n">
        <x:v>45565</x:v>
      </x:c>
      <x:c r="B142" s="22" t="n">
        <x:v>2024</x:v>
      </x:c>
      <x:c r="C142" s="22" t="str">
        <x:v>Septiembre</x:v>
      </x:c>
      <x:c r="D142" s="22" t="str">
        <x:v>P05</x:v>
      </x:c>
      <x:c r="E142" s="22" t="str">
        <x:v>% mantenimientos preventivos ejecutados</x:v>
      </x:c>
      <x:c r="F142" s="22" t="str">
        <x:v>Proceso</x:v>
      </x:c>
      <x:c r="G142" s="22" t="str">
        <x:v>Mensual</x:v>
      </x:c>
      <x:c r="H142" s="40" t="n">
        <x:v>90</x:v>
      </x:c>
      <x:c r="I142" s="22" t="str">
        <x:v>Mayor es mejor</x:v>
      </x:c>
      <x:c r="J142" s="40" t="n">
        <x:v>12</x:v>
      </x:c>
      <x:c r="K142" s="40" t="n">
        <x:v>13</x:v>
      </x:c>
      <x:c r="L142" s="40" t="n">
        <x:v>100</x:v>
      </x:c>
      <x:c r="M142" s="40" t="n">
        <x:f>IF(OR(J142="",K142="",K142=0),"",J142/K142*L142)</x:f>
        <x:v>92.3076923076923</x:v>
      </x:c>
      <x:c r="N142" s="22" t="str">
        <x:f>IF(M142="","",IF(I142="Mayor es mejor",IF(M142&gt;=H142,"En meta",IF(M142&gt;=H142*0.9,"Alerta","Crítico")),IF(M142&lt;=H142,"En meta",IF(M142&lt;=H142*1.1,"Alerta","Crítico"))))</x:f>
        <x:v>En meta</x:v>
      </x:c>
      <x:c r="O142" s="22" t="str">
        <x:v>%</x:v>
      </x:c>
      <x:c r="P142" s="22" t="str">
        <x:v>Mantenimiento / Líder SG-SST</x:v>
      </x:c>
      <x:c r="Q142" s="22" t="str">
        <x:v>Programa de mantenimiento preventivo</x:v>
      </x:c>
      <x:c r="R142" s="22" t="str"/>
    </x:row>
    <x:row r="143">
      <x:c r="A143" s="46" t="n">
        <x:v>45565</x:v>
      </x:c>
      <x:c r="B143" s="22" t="n">
        <x:v>2024</x:v>
      </x:c>
      <x:c r="C143" s="22" t="str">
        <x:v>Septiembre</x:v>
      </x:c>
      <x:c r="D143" s="22" t="str">
        <x:v>R01</x:v>
      </x:c>
      <x:c r="E143" s="22" t="str">
        <x:v>Índice de frecuencia de accidentalidad (IF)</x:v>
      </x:c>
      <x:c r="F143" s="22" t="str">
        <x:v>Resultado</x:v>
      </x:c>
      <x:c r="G143" s="22" t="str">
        <x:v>Mensual</x:v>
      </x:c>
      <x:c r="H143" s="40" t="n">
        <x:v>3.5</x:v>
      </x:c>
      <x:c r="I143" s="22" t="str">
        <x:v>Menor es mejor</x:v>
      </x:c>
      <x:c r="J143" s="40" t="n">
        <x:v>1</x:v>
      </x:c>
      <x:c r="K143" s="40" t="n">
        <x:v>55406</x:v>
      </x:c>
      <x:c r="L143" s="40" t="n">
        <x:v>200000</x:v>
      </x:c>
      <x:c r="M143" s="40" t="n">
        <x:f>IF(OR(J143="",K143="",K143=0),"",J143/K143*L143)</x:f>
        <x:v>3.60971735913078</x:v>
      </x:c>
      <x:c r="N143" s="22" t="str">
        <x:f>IF(M143="","",IF(I143="Mayor es mejor",IF(M143&gt;=H143,"En meta",IF(M143&gt;=H143*0.9,"Alerta","Crítico")),IF(M143&lt;=H143,"En meta",IF(M143&lt;=H143*1.1,"Alerta","Crítico"))))</x:f>
        <x:v>Alerta</x:v>
      </x:c>
      <x:c r="O143" s="22" t="str">
        <x:v>Índice</x:v>
      </x:c>
      <x:c r="P143" s="22" t="str">
        <x:v>Líder SG-SST</x:v>
      </x:c>
      <x:c r="Q143" s="22" t="str">
        <x:v>Matriz de accidentalidad / nómina</x:v>
      </x:c>
      <x:c r="R143" s="22" t="str"/>
    </x:row>
    <x:row r="144">
      <x:c r="A144" s="46" t="n">
        <x:v>45565</x:v>
      </x:c>
      <x:c r="B144" s="22" t="n">
        <x:v>2024</x:v>
      </x:c>
      <x:c r="C144" s="22" t="str">
        <x:v>Septiembre</x:v>
      </x:c>
      <x:c r="D144" s="22" t="str">
        <x:v>R02</x:v>
      </x:c>
      <x:c r="E144" s="22" t="str">
        <x:v>Índice de severidad de accidentalidad (IS)</x:v>
      </x:c>
      <x:c r="F144" s="22" t="str">
        <x:v>Resultado</x:v>
      </x:c>
      <x:c r="G144" s="22" t="str">
        <x:v>Mensual</x:v>
      </x:c>
      <x:c r="H144" s="40" t="n">
        <x:v>80</x:v>
      </x:c>
      <x:c r="I144" s="22" t="str">
        <x:v>Menor es mejor</x:v>
      </x:c>
      <x:c r="J144" s="40" t="n">
        <x:v>20</x:v>
      </x:c>
      <x:c r="K144" s="40" t="n">
        <x:v>55406</x:v>
      </x:c>
      <x:c r="L144" s="40" t="n">
        <x:v>200000</x:v>
      </x:c>
      <x:c r="M144" s="40" t="n">
        <x:f>IF(OR(J144="",K144="",K144=0),"",J144/K144*L144)</x:f>
        <x:v>72.1943471826156</x:v>
      </x:c>
      <x:c r="N144" s="22" t="str">
        <x:f>IF(M144="","",IF(I144="Mayor es mejor",IF(M144&gt;=H144,"En meta",IF(M144&gt;=H144*0.9,"Alerta","Crítico")),IF(M144&lt;=H144,"En meta",IF(M144&lt;=H144*1.1,"Alerta","Crítico"))))</x:f>
        <x:v>En meta</x:v>
      </x:c>
      <x:c r="O144" s="22" t="str">
        <x:v>Índice</x:v>
      </x:c>
      <x:c r="P144" s="22" t="str">
        <x:v>Líder SG-SST</x:v>
      </x:c>
      <x:c r="Q144" s="22" t="str">
        <x:v>Matriz de accidentalidad / nómina</x:v>
      </x:c>
      <x:c r="R144" s="22" t="str"/>
    </x:row>
    <x:row r="145">
      <x:c r="A145" s="46" t="n">
        <x:v>45565</x:v>
      </x:c>
      <x:c r="B145" s="22" t="n">
        <x:v>2024</x:v>
      </x:c>
      <x:c r="C145" s="22" t="str">
        <x:v>Septiembre</x:v>
      </x:c>
      <x:c r="D145" s="22" t="str">
        <x:v>R03</x:v>
      </x:c>
      <x:c r="E145" s="22" t="str">
        <x:v>Índice de lesión incapacitante (ILI)</x:v>
      </x:c>
      <x:c r="F145" s="22" t="str">
        <x:v>Resultado</x:v>
      </x:c>
      <x:c r="G145" s="22" t="str">
        <x:v>Mensual</x:v>
      </x:c>
      <x:c r="H145" s="40" t="n">
        <x:v>0.25</x:v>
      </x:c>
      <x:c r="I145" s="22" t="str">
        <x:v>Menor es mejor</x:v>
      </x:c>
      <x:c r="J145" s="40" t="n">
        <x:v>260.6012</x:v>
      </x:c>
      <x:c r="K145" s="40" t="n">
        <x:v>1000</x:v>
      </x:c>
      <x:c r="L145" s="40" t="n">
        <x:v>1</x:v>
      </x:c>
      <x:c r="M145" s="40" t="n">
        <x:f>IF(OR(J145="",K145="",K145=0),"",J145/K145*L145)</x:f>
        <x:v>0.26060120000000003</x:v>
      </x:c>
      <x:c r="N145" s="22" t="str">
        <x:f>IF(M145="","",IF(I145="Mayor es mejor",IF(M145&gt;=H145,"En meta",IF(M145&gt;=H145*0.9,"Alerta","Crítico")),IF(M145&lt;=H145,"En meta",IF(M145&lt;=H145*1.1,"Alerta","Crítico"))))</x:f>
        <x:v>Alerta</x:v>
      </x:c>
      <x:c r="O145" s="22" t="str">
        <x:v>Índice</x:v>
      </x:c>
      <x:c r="P145" s="22" t="str">
        <x:v>Líder SG-SST</x:v>
      </x:c>
      <x:c r="Q145" s="22" t="str">
        <x:v>Indicadores derivados de accidentalidad</x:v>
      </x:c>
      <x:c r="R145" s="22" t="str">
        <x:v>ILI calculado sobre IF e IS del periodo.</x:v>
      </x:c>
    </x:row>
    <x:row r="146">
      <x:c r="A146" s="46" t="n">
        <x:v>45565</x:v>
      </x:c>
      <x:c r="B146" s="22" t="n">
        <x:v>2024</x:v>
      </x:c>
      <x:c r="C146" s="22" t="str">
        <x:v>Septiembre</x:v>
      </x:c>
      <x:c r="D146" s="22" t="str">
        <x:v>R04</x:v>
      </x:c>
      <x:c r="E146" s="22" t="str">
        <x:v>Tasa de accidentalidad</x:v>
      </x:c>
      <x:c r="F146" s="22" t="str">
        <x:v>Resultado</x:v>
      </x:c>
      <x:c r="G146" s="22" t="str">
        <x:v>Mensual</x:v>
      </x:c>
      <x:c r="H146" s="40" t="n">
        <x:v>0.6</x:v>
      </x:c>
      <x:c r="I146" s="22" t="str">
        <x:v>Menor es mejor</x:v>
      </x:c>
      <x:c r="J146" s="40" t="n">
        <x:v>0.02</x:v>
      </x:c>
      <x:c r="K146" s="40" t="n">
        <x:v>228</x:v>
      </x:c>
      <x:c r="L146" s="40" t="n">
        <x:v>100</x:v>
      </x:c>
      <x:c r="M146" s="40" t="n">
        <x:f>IF(OR(J146="",K146="",K146=0),"",J146/K146*L146)</x:f>
        <x:v>0.008771929824561405</x:v>
      </x:c>
      <x:c r="N146" s="22" t="str">
        <x:f>IF(M146="","",IF(I146="Mayor es mejor",IF(M146&gt;=H146,"En meta",IF(M146&gt;=H146*0.9,"Alerta","Crítico")),IF(M146&lt;=H146,"En meta",IF(M146&lt;=H146*1.1,"Alerta","Crítico"))))</x:f>
        <x:v>En meta</x:v>
      </x:c>
      <x:c r="O146" s="22" t="str">
        <x:v>%</x:v>
      </x:c>
      <x:c r="P146" s="22" t="str">
        <x:v>Líder SG-SST</x:v>
      </x:c>
      <x:c r="Q146" s="22" t="str">
        <x:v>Matriz de accidentalidad / nómina</x:v>
      </x:c>
      <x:c r="R146" s="22" t="str"/>
    </x:row>
    <x:row r="147">
      <x:c r="A147" s="46" t="n">
        <x:v>45565</x:v>
      </x:c>
      <x:c r="B147" s="22" t="n">
        <x:v>2024</x:v>
      </x:c>
      <x:c r="C147" s="22" t="str">
        <x:v>Septiembre</x:v>
      </x:c>
      <x:c r="D147" s="22" t="str">
        <x:v>R05</x:v>
      </x:c>
      <x:c r="E147" s="22" t="str">
        <x:v>Prevalencia de enfermedad laboral</x:v>
      </x:c>
      <x:c r="F147" s="22" t="str">
        <x:v>Resultado</x:v>
      </x:c>
      <x:c r="G147" s="22" t="str">
        <x:v>Mensual</x:v>
      </x:c>
      <x:c r="H147" s="40" t="n">
        <x:v>0.3</x:v>
      </x:c>
      <x:c r="I147" s="22" t="str">
        <x:v>Menor es mejor</x:v>
      </x:c>
      <x:c r="J147" s="40" t="n">
        <x:v>0.02</x:v>
      </x:c>
      <x:c r="K147" s="40" t="n">
        <x:v>228</x:v>
      </x:c>
      <x:c r="L147" s="40" t="n">
        <x:v>100</x:v>
      </x:c>
      <x:c r="M147" s="40" t="n">
        <x:f>IF(OR(J147="",K147="",K147=0),"",J147/K147*L147)</x:f>
        <x:v>0.008771929824561405</x:v>
      </x:c>
      <x:c r="N147" s="22" t="str">
        <x:f>IF(M147="","",IF(I147="Mayor es mejor",IF(M147&gt;=H147,"En meta",IF(M147&gt;=H147*0.9,"Alerta","Crítico")),IF(M147&lt;=H147,"En meta",IF(M147&lt;=H147*1.1,"Alerta","Crítico"))))</x:f>
        <x:v>En meta</x:v>
      </x:c>
      <x:c r="O147" s="22" t="str">
        <x:v>%</x:v>
      </x:c>
      <x:c r="P147" s="22" t="str">
        <x:v>Líder SG-SST / Medicina laboral</x:v>
      </x:c>
      <x:c r="Q147" s="22" t="str">
        <x:v>Matriz de enfermedad laboral / nómina</x:v>
      </x:c>
      <x:c r="R147" s="22" t="str"/>
    </x:row>
    <x:row r="148">
      <x:c r="A148" s="46" t="n">
        <x:v>45565</x:v>
      </x:c>
      <x:c r="B148" s="22" t="n">
        <x:v>2024</x:v>
      </x:c>
      <x:c r="C148" s="22" t="str">
        <x:v>Septiembre</x:v>
      </x:c>
      <x:c r="D148" s="22" t="str">
        <x:v>R06</x:v>
      </x:c>
      <x:c r="E148" s="22" t="str">
        <x:v>% cumplimiento de estándares mínimos Res. 0312 de 2019</x:v>
      </x:c>
      <x:c r="F148" s="22" t="str">
        <x:v>Resultado</x:v>
      </x:c>
      <x:c r="G148" s="22" t="str">
        <x:v>Mensual</x:v>
      </x:c>
      <x:c r="H148" s="40" t="n">
        <x:v>95</x:v>
      </x:c>
      <x:c r="I148" s="22" t="str">
        <x:v>Mayor es mejor</x:v>
      </x:c>
      <x:c r="J148" s="40" t="n">
        <x:v>98</x:v>
      </x:c>
      <x:c r="K148" s="40" t="n">
        <x:v>100</x:v>
      </x:c>
      <x:c r="L148" s="40" t="n">
        <x:v>100</x:v>
      </x:c>
      <x:c r="M148" s="40" t="n">
        <x:f>IF(OR(J148="",K148="",K148=0),"",J148/K148*L148)</x:f>
        <x:v>98</x:v>
      </x:c>
      <x:c r="N148" s="22" t="str">
        <x:f>IF(M148="","",IF(I148="Mayor es mejor",IF(M148&gt;=H148,"En meta",IF(M148&gt;=H148*0.9,"Alerta","Crítico")),IF(M148&lt;=H148,"En meta",IF(M148&lt;=H148*1.1,"Alerta","Crítico"))))</x:f>
        <x:v>En meta</x:v>
      </x:c>
      <x:c r="O148" s="22" t="str">
        <x:v>%</x:v>
      </x:c>
      <x:c r="P148" s="22" t="str">
        <x:v>Líder SG-SST / Alta Dirección</x:v>
      </x:c>
      <x:c r="Q148" s="22" t="str">
        <x:v>Autodiagnóstico Res. 0312 de 2019</x:v>
      </x:c>
      <x:c r="R148" s="22" t="str"/>
    </x:row>
    <x:row r="149">
      <x:c r="A149" s="46" t="n">
        <x:v>45596</x:v>
      </x:c>
      <x:c r="B149" s="22" t="n">
        <x:v>2024</x:v>
      </x:c>
      <x:c r="C149" s="22" t="str">
        <x:v>Octubre</x:v>
      </x:c>
      <x:c r="D149" s="22" t="str">
        <x:v>E01</x:v>
      </x:c>
      <x:c r="E149" s="22" t="str">
        <x:v>% ejecución presupuestal del SG-SST</x:v>
      </x:c>
      <x:c r="F149" s="22" t="str">
        <x:v>Estructura</x:v>
      </x:c>
      <x:c r="G149" s="22" t="str">
        <x:v>Mensual</x:v>
      </x:c>
      <x:c r="H149" s="40" t="n">
        <x:v>95</x:v>
      </x:c>
      <x:c r="I149" s="22" t="str">
        <x:v>Mayor es mejor</x:v>
      </x:c>
      <x:c r="J149" s="40" t="n">
        <x:v>8533452</x:v>
      </x:c>
      <x:c r="K149" s="40" t="n">
        <x:v>9000000</x:v>
      </x:c>
      <x:c r="L149" s="40" t="n">
        <x:v>100</x:v>
      </x:c>
      <x:c r="M149" s="40" t="n">
        <x:f>IF(OR(J149="",K149="",K149=0),"",J149/K149*L149)</x:f>
        <x:v>94.81613333333333</x:v>
      </x:c>
      <x:c r="N149" s="22" t="str">
        <x:f>IF(M149="","",IF(I149="Mayor es mejor",IF(M149&gt;=H149,"En meta",IF(M149&gt;=H149*0.9,"Alerta","Crítico")),IF(M149&lt;=H149,"En meta",IF(M149&lt;=H149*1.1,"Alerta","Crítico"))))</x:f>
        <x:v>Alerta</x:v>
      </x:c>
      <x:c r="O149" s="22" t="str">
        <x:v>%</x:v>
      </x:c>
      <x:c r="P149" s="22" t="str">
        <x:v>Líder SG-SST / Dirección Administrativa</x:v>
      </x:c>
      <x:c r="Q149" s="22" t="str">
        <x:v>Presupuesto SST</x:v>
      </x:c>
      <x:c r="R149" s="22" t="str"/>
    </x:row>
    <x:row r="150">
      <x:c r="A150" s="46" t="n">
        <x:v>45596</x:v>
      </x:c>
      <x:c r="B150" s="22" t="n">
        <x:v>2024</x:v>
      </x:c>
      <x:c r="C150" s="22" t="str">
        <x:v>Octubre</x:v>
      </x:c>
      <x:c r="D150" s="22" t="str">
        <x:v>E02</x:v>
      </x:c>
      <x:c r="E150" s="22" t="str">
        <x:v>% cobertura del plan de formación y capacitación SG-SST</x:v>
      </x:c>
      <x:c r="F150" s="22" t="str">
        <x:v>Estructura</x:v>
      </x:c>
      <x:c r="G150" s="22" t="str">
        <x:v>Mensual</x:v>
      </x:c>
      <x:c r="H150" s="40" t="n">
        <x:v>90</x:v>
      </x:c>
      <x:c r="I150" s="22" t="str">
        <x:v>Mayor es mejor</x:v>
      </x:c>
      <x:c r="J150" s="40" t="n">
        <x:v>20</x:v>
      </x:c>
      <x:c r="K150" s="40" t="n">
        <x:v>22</x:v>
      </x:c>
      <x:c r="L150" s="40" t="n">
        <x:v>100</x:v>
      </x:c>
      <x:c r="M150" s="40" t="n">
        <x:f>IF(OR(J150="",K150="",K150=0),"",J150/K150*L150)</x:f>
        <x:v>90.9090909090909</x:v>
      </x:c>
      <x:c r="N150" s="22" t="str">
        <x:f>IF(M150="","",IF(I150="Mayor es mejor",IF(M150&gt;=H150,"En meta",IF(M150&gt;=H150*0.9,"Alerta","Crítico")),IF(M150&lt;=H150,"En meta",IF(M150&lt;=H150*1.1,"Alerta","Crítico"))))</x:f>
        <x:v>En meta</x:v>
      </x:c>
      <x:c r="O150" s="22" t="str">
        <x:v>%</x:v>
      </x:c>
      <x:c r="P150" s="22" t="str">
        <x:v>Líder SG-SST / Talento Humano</x:v>
      </x:c>
      <x:c r="Q150" s="22" t="str">
        <x:v>Plan de formación y capacitaciones</x:v>
      </x:c>
      <x:c r="R150" s="22" t="str"/>
    </x:row>
    <x:row r="151">
      <x:c r="A151" s="46" t="n">
        <x:v>45596</x:v>
      </x:c>
      <x:c r="B151" s="22" t="n">
        <x:v>2024</x:v>
      </x:c>
      <x:c r="C151" s="22" t="str">
        <x:v>Octubre</x:v>
      </x:c>
      <x:c r="D151" s="22" t="str">
        <x:v>E03</x:v>
      </x:c>
      <x:c r="E151" s="22" t="str">
        <x:v>% trabajadores con exámenes médicos ocupacionales vigentes</x:v>
      </x:c>
      <x:c r="F151" s="22" t="str">
        <x:v>Estructura</x:v>
      </x:c>
      <x:c r="G151" s="22" t="str">
        <x:v>Mensual</x:v>
      </x:c>
      <x:c r="H151" s="40" t="n">
        <x:v>95</x:v>
      </x:c>
      <x:c r="I151" s="22" t="str">
        <x:v>Mayor es mejor</x:v>
      </x:c>
      <x:c r="J151" s="40" t="n">
        <x:v>207</x:v>
      </x:c>
      <x:c r="K151" s="40" t="n">
        <x:v>221</x:v>
      </x:c>
      <x:c r="L151" s="40" t="n">
        <x:v>100</x:v>
      </x:c>
      <x:c r="M151" s="40" t="n">
        <x:f>IF(OR(J151="",K151="",K151=0),"",J151/K151*L151)</x:f>
        <x:v>93.66515837104072</x:v>
      </x:c>
      <x:c r="N151" s="22" t="str">
        <x:f>IF(M151="","",IF(I151="Mayor es mejor",IF(M151&gt;=H151,"En meta",IF(M151&gt;=H151*0.9,"Alerta","Crítico")),IF(M151&lt;=H151,"En meta",IF(M151&lt;=H151*1.1,"Alerta","Crítico"))))</x:f>
        <x:v>Alerta</x:v>
      </x:c>
      <x:c r="O151" s="22" t="str">
        <x:v>%</x:v>
      </x:c>
      <x:c r="P151" s="22" t="str">
        <x:v>Líder SG-SST / Talento Humano</x:v>
      </x:c>
      <x:c r="Q151" s="22" t="str">
        <x:v>Matriz de seguimiento EMO</x:v>
      </x:c>
      <x:c r="R151" s="22" t="str"/>
    </x:row>
    <x:row r="152">
      <x:c r="A152" s="46" t="n">
        <x:v>45596</x:v>
      </x:c>
      <x:c r="B152" s="22" t="n">
        <x:v>2024</x:v>
      </x:c>
      <x:c r="C152" s="22" t="str">
        <x:v>Octubre</x:v>
      </x:c>
      <x:c r="D152" s="22" t="str">
        <x:v>E04</x:v>
      </x:c>
      <x:c r="E152" s="22" t="str">
        <x:v>% cumplimiento de requisitos legales aplicables en SST</x:v>
      </x:c>
      <x:c r="F152" s="22" t="str">
        <x:v>Estructura</x:v>
      </x:c>
      <x:c r="G152" s="22" t="str">
        <x:v>Mensual</x:v>
      </x:c>
      <x:c r="H152" s="40" t="n">
        <x:v>95</x:v>
      </x:c>
      <x:c r="I152" s="22" t="str">
        <x:v>Mayor es mejor</x:v>
      </x:c>
      <x:c r="J152" s="40" t="n">
        <x:v>56</x:v>
      </x:c>
      <x:c r="K152" s="40" t="n">
        <x:v>60</x:v>
      </x:c>
      <x:c r="L152" s="40" t="n">
        <x:v>100</x:v>
      </x:c>
      <x:c r="M152" s="40" t="n">
        <x:f>IF(OR(J152="",K152="",K152=0),"",J152/K152*L152)</x:f>
        <x:v>93.33333333333333</x:v>
      </x:c>
      <x:c r="N152" s="22" t="str">
        <x:f>IF(M152="","",IF(I152="Mayor es mejor",IF(M152&gt;=H152,"En meta",IF(M152&gt;=H152*0.9,"Alerta","Crítico")),IF(M152&lt;=H152,"En meta",IF(M152&lt;=H152*1.1,"Alerta","Crítico"))))</x:f>
        <x:v>Alerta</x:v>
      </x:c>
      <x:c r="O152" s="22" t="str">
        <x:v>%</x:v>
      </x:c>
      <x:c r="P152" s="22" t="str">
        <x:v>Líder SG-SST / Jurídica</x:v>
      </x:c>
      <x:c r="Q152" s="22" t="str">
        <x:v>Matriz legal SGRL</x:v>
      </x:c>
      <x:c r="R152" s="22" t="str"/>
    </x:row>
    <x:row r="153">
      <x:c r="A153" s="46" t="n">
        <x:v>45596</x:v>
      </x:c>
      <x:c r="B153" s="22" t="n">
        <x:v>2024</x:v>
      </x:c>
      <x:c r="C153" s="22" t="str">
        <x:v>Octubre</x:v>
      </x:c>
      <x:c r="D153" s="22" t="str">
        <x:v>E05</x:v>
      </x:c>
      <x:c r="E153" s="22" t="str">
        <x:v>% proveedores y contratistas aprobados en SST</x:v>
      </x:c>
      <x:c r="F153" s="22" t="str">
        <x:v>Estructura</x:v>
      </x:c>
      <x:c r="G153" s="22" t="str">
        <x:v>Mensual</x:v>
      </x:c>
      <x:c r="H153" s="40" t="n">
        <x:v>90</x:v>
      </x:c>
      <x:c r="I153" s="22" t="str">
        <x:v>Mayor es mejor</x:v>
      </x:c>
      <x:c r="J153" s="40" t="n">
        <x:v>18</x:v>
      </x:c>
      <x:c r="K153" s="40" t="n">
        <x:v>20</x:v>
      </x:c>
      <x:c r="L153" s="40" t="n">
        <x:v>100</x:v>
      </x:c>
      <x:c r="M153" s="40" t="n">
        <x:f>IF(OR(J153="",K153="",K153=0),"",J153/K153*L153)</x:f>
        <x:v>90</x:v>
      </x:c>
      <x:c r="N153" s="22" t="str">
        <x:f>IF(M153="","",IF(I153="Mayor es mejor",IF(M153&gt;=H153,"En meta",IF(M153&gt;=H153*0.9,"Alerta","Crítico")),IF(M153&lt;=H153,"En meta",IF(M153&lt;=H153*1.1,"Alerta","Crítico"))))</x:f>
        <x:v>En meta</x:v>
      </x:c>
      <x:c r="O153" s="22" t="str">
        <x:v>%</x:v>
      </x:c>
      <x:c r="P153" s="22" t="str">
        <x:v>Compras / Líder SG-SST</x:v>
      </x:c>
      <x:c r="Q153" s="22" t="str">
        <x:v>Gestión de proveedores y contratistas</x:v>
      </x:c>
      <x:c r="R153" s="22" t="str"/>
    </x:row>
    <x:row r="154">
      <x:c r="A154" s="46" t="n">
        <x:v>45596</x:v>
      </x:c>
      <x:c r="B154" s="22" t="n">
        <x:v>2024</x:v>
      </x:c>
      <x:c r="C154" s="22" t="str">
        <x:v>Octubre</x:v>
      </x:c>
      <x:c r="D154" s="22" t="str">
        <x:v>P01</x:v>
      </x:c>
      <x:c r="E154" s="22" t="str">
        <x:v>% ejecución del plan anual de trabajo SG-SST</x:v>
      </x:c>
      <x:c r="F154" s="22" t="str">
        <x:v>Proceso</x:v>
      </x:c>
      <x:c r="G154" s="22" t="str">
        <x:v>Mensual</x:v>
      </x:c>
      <x:c r="H154" s="40" t="n">
        <x:v>90</x:v>
      </x:c>
      <x:c r="I154" s="22" t="str">
        <x:v>Mayor es mejor</x:v>
      </x:c>
      <x:c r="J154" s="40" t="n">
        <x:v>11</x:v>
      </x:c>
      <x:c r="K154" s="40" t="n">
        <x:v>12</x:v>
      </x:c>
      <x:c r="L154" s="40" t="n">
        <x:v>100</x:v>
      </x:c>
      <x:c r="M154" s="40" t="n">
        <x:f>IF(OR(J154="",K154="",K154=0),"",J154/K154*L154)</x:f>
        <x:v>91.66666666666666</x:v>
      </x:c>
      <x:c r="N154" s="22" t="str">
        <x:f>IF(M154="","",IF(I154="Mayor es mejor",IF(M154&gt;=H154,"En meta",IF(M154&gt;=H154*0.9,"Alerta","Crítico")),IF(M154&lt;=H154,"En meta",IF(M154&lt;=H154*1.1,"Alerta","Crítico"))))</x:f>
        <x:v>En meta</x:v>
      </x:c>
      <x:c r="O154" s="22" t="str">
        <x:v>%</x:v>
      </x:c>
      <x:c r="P154" s="22" t="str">
        <x:v>Líder SG-SST</x:v>
      </x:c>
      <x:c r="Q154" s="22" t="str">
        <x:v>Plan anual de trabajo PHVA</x:v>
      </x:c>
      <x:c r="R154" s="22" t="str"/>
    </x:row>
    <x:row r="155">
      <x:c r="A155" s="46" t="n">
        <x:v>45596</x:v>
      </x:c>
      <x:c r="B155" s="22" t="n">
        <x:v>2024</x:v>
      </x:c>
      <x:c r="C155" s="22" t="str">
        <x:v>Octubre</x:v>
      </x:c>
      <x:c r="D155" s="22" t="str">
        <x:v>P02</x:v>
      </x:c>
      <x:c r="E155" s="22" t="str">
        <x:v>% investigaciones de accidentes realizadas oportunamente</x:v>
      </x:c>
      <x:c r="F155" s="22" t="str">
        <x:v>Proceso</x:v>
      </x:c>
      <x:c r="G155" s="22" t="str">
        <x:v>Mensual</x:v>
      </x:c>
      <x:c r="H155" s="40" t="n">
        <x:v>95</x:v>
      </x:c>
      <x:c r="I155" s="22" t="str">
        <x:v>Mayor es mejor</x:v>
      </x:c>
      <x:c r="J155" s="40" t="n">
        <x:v>1</x:v>
      </x:c>
      <x:c r="K155" s="40" t="n">
        <x:v>1</x:v>
      </x:c>
      <x:c r="L155" s="40" t="n">
        <x:v>100</x:v>
      </x:c>
      <x:c r="M155" s="40" t="n">
        <x:f>IF(OR(J155="",K155="",K155=0),"",J155/K155*L155)</x:f>
        <x:v>100</x:v>
      </x:c>
      <x:c r="N155" s="22" t="str">
        <x:f>IF(M155="","",IF(I155="Mayor es mejor",IF(M155&gt;=H155,"En meta",IF(M155&gt;=H155*0.9,"Alerta","Crítico")),IF(M155&lt;=H155,"En meta",IF(M155&lt;=H155*1.1,"Alerta","Crítico"))))</x:f>
        <x:v>En meta</x:v>
      </x:c>
      <x:c r="O155" s="22" t="str">
        <x:v>%</x:v>
      </x:c>
      <x:c r="P155" s="22" t="str">
        <x:v>Líder SG-SST / COPASST</x:v>
      </x:c>
      <x:c r="Q155" s="22" t="str">
        <x:v>Matriz de accidentalidad</x:v>
      </x:c>
      <x:c r="R155" s="22" t="str"/>
    </x:row>
    <x:row r="156">
      <x:c r="A156" s="46" t="n">
        <x:v>45596</x:v>
      </x:c>
      <x:c r="B156" s="22" t="n">
        <x:v>2024</x:v>
      </x:c>
      <x:c r="C156" s="22" t="str">
        <x:v>Octubre</x:v>
      </x:c>
      <x:c r="D156" s="22" t="str">
        <x:v>P03</x:v>
      </x:c>
      <x:c r="E156" s="22" t="str">
        <x:v>% cierre oportuno de acciones correctivas, preventivas y de mejora</x:v>
      </x:c>
      <x:c r="F156" s="22" t="str">
        <x:v>Proceso</x:v>
      </x:c>
      <x:c r="G156" s="22" t="str">
        <x:v>Mensual</x:v>
      </x:c>
      <x:c r="H156" s="40" t="n">
        <x:v>90</x:v>
      </x:c>
      <x:c r="I156" s="22" t="str">
        <x:v>Mayor es mejor</x:v>
      </x:c>
      <x:c r="J156" s="40" t="n">
        <x:v>9</x:v>
      </x:c>
      <x:c r="K156" s="40" t="n">
        <x:v>10</x:v>
      </x:c>
      <x:c r="L156" s="40" t="n">
        <x:v>100</x:v>
      </x:c>
      <x:c r="M156" s="40" t="n">
        <x:f>IF(OR(J156="",K156="",K156=0),"",J156/K156*L156)</x:f>
        <x:v>90</x:v>
      </x:c>
      <x:c r="N156" s="22" t="str">
        <x:f>IF(M156="","",IF(I156="Mayor es mejor",IF(M156&gt;=H156,"En meta",IF(M156&gt;=H156*0.9,"Alerta","Crítico")),IF(M156&lt;=H156,"En meta",IF(M156&lt;=H156*1.1,"Alerta","Crítico"))))</x:f>
        <x:v>En meta</x:v>
      </x:c>
      <x:c r="O156" s="22" t="str">
        <x:v>%</x:v>
      </x:c>
      <x:c r="P156" s="22" t="str">
        <x:v>Líder SG-SST / Responsables de proceso</x:v>
      </x:c>
      <x:c r="Q156" s="22" t="str">
        <x:v>Matriz APCM</x:v>
      </x:c>
      <x:c r="R156" s="22" t="str"/>
    </x:row>
    <x:row r="157">
      <x:c r="A157" s="46" t="n">
        <x:v>45596</x:v>
      </x:c>
      <x:c r="B157" s="22" t="n">
        <x:v>2024</x:v>
      </x:c>
      <x:c r="C157" s="22" t="str">
        <x:v>Octubre</x:v>
      </x:c>
      <x:c r="D157" s="22" t="str">
        <x:v>P04</x:v>
      </x:c>
      <x:c r="E157" s="22" t="str">
        <x:v>% inspecciones de seguridad ejecutadas</x:v>
      </x:c>
      <x:c r="F157" s="22" t="str">
        <x:v>Proceso</x:v>
      </x:c>
      <x:c r="G157" s="22" t="str">
        <x:v>Mensual</x:v>
      </x:c>
      <x:c r="H157" s="40" t="n">
        <x:v>90</x:v>
      </x:c>
      <x:c r="I157" s="22" t="str">
        <x:v>Mayor es mejor</x:v>
      </x:c>
      <x:c r="J157" s="40" t="n">
        <x:v>9</x:v>
      </x:c>
      <x:c r="K157" s="40" t="n">
        <x:v>10</x:v>
      </x:c>
      <x:c r="L157" s="40" t="n">
        <x:v>100</x:v>
      </x:c>
      <x:c r="M157" s="40" t="n">
        <x:f>IF(OR(J157="",K157="",K157=0),"",J157/K157*L157)</x:f>
        <x:v>90</x:v>
      </x:c>
      <x:c r="N157" s="22" t="str">
        <x:f>IF(M157="","",IF(I157="Mayor es mejor",IF(M157&gt;=H157,"En meta",IF(M157&gt;=H157*0.9,"Alerta","Crítico")),IF(M157&lt;=H157,"En meta",IF(M157&lt;=H157*1.1,"Alerta","Crítico"))))</x:f>
        <x:v>En meta</x:v>
      </x:c>
      <x:c r="O157" s="22" t="str">
        <x:v>%</x:v>
      </x:c>
      <x:c r="P157" s="22" t="str">
        <x:v>Líder SG-SST / Supervisores</x:v>
      </x:c>
      <x:c r="Q157" s="22" t="str">
        <x:v>Programa de inspecciones</x:v>
      </x:c>
      <x:c r="R157" s="22" t="str"/>
    </x:row>
    <x:row r="158">
      <x:c r="A158" s="46" t="n">
        <x:v>45596</x:v>
      </x:c>
      <x:c r="B158" s="22" t="n">
        <x:v>2024</x:v>
      </x:c>
      <x:c r="C158" s="22" t="str">
        <x:v>Octubre</x:v>
      </x:c>
      <x:c r="D158" s="22" t="str">
        <x:v>P05</x:v>
      </x:c>
      <x:c r="E158" s="22" t="str">
        <x:v>% mantenimientos preventivos ejecutados</x:v>
      </x:c>
      <x:c r="F158" s="22" t="str">
        <x:v>Proceso</x:v>
      </x:c>
      <x:c r="G158" s="22" t="str">
        <x:v>Mensual</x:v>
      </x:c>
      <x:c r="H158" s="40" t="n">
        <x:v>90</x:v>
      </x:c>
      <x:c r="I158" s="22" t="str">
        <x:v>Mayor es mejor</x:v>
      </x:c>
      <x:c r="J158" s="40" t="n">
        <x:v>13</x:v>
      </x:c>
      <x:c r="K158" s="40" t="n">
        <x:v>14</x:v>
      </x:c>
      <x:c r="L158" s="40" t="n">
        <x:v>100</x:v>
      </x:c>
      <x:c r="M158" s="40" t="n">
        <x:f>IF(OR(J158="",K158="",K158=0),"",J158/K158*L158)</x:f>
        <x:v>92.85714285714286</x:v>
      </x:c>
      <x:c r="N158" s="22" t="str">
        <x:f>IF(M158="","",IF(I158="Mayor es mejor",IF(M158&gt;=H158,"En meta",IF(M158&gt;=H158*0.9,"Alerta","Crítico")),IF(M158&lt;=H158,"En meta",IF(M158&lt;=H158*1.1,"Alerta","Crítico"))))</x:f>
        <x:v>En meta</x:v>
      </x:c>
      <x:c r="O158" s="22" t="str">
        <x:v>%</x:v>
      </x:c>
      <x:c r="P158" s="22" t="str">
        <x:v>Mantenimiento / Líder SG-SST</x:v>
      </x:c>
      <x:c r="Q158" s="22" t="str">
        <x:v>Programa de mantenimiento preventivo</x:v>
      </x:c>
      <x:c r="R158" s="22" t="str"/>
    </x:row>
    <x:row r="159">
      <x:c r="A159" s="46" t="n">
        <x:v>45596</x:v>
      </x:c>
      <x:c r="B159" s="22" t="n">
        <x:v>2024</x:v>
      </x:c>
      <x:c r="C159" s="22" t="str">
        <x:v>Octubre</x:v>
      </x:c>
      <x:c r="D159" s="22" t="str">
        <x:v>R01</x:v>
      </x:c>
      <x:c r="E159" s="22" t="str">
        <x:v>Índice de frecuencia de accidentalidad (IF)</x:v>
      </x:c>
      <x:c r="F159" s="22" t="str">
        <x:v>Resultado</x:v>
      </x:c>
      <x:c r="G159" s="22" t="str">
        <x:v>Mensual</x:v>
      </x:c>
      <x:c r="H159" s="40" t="n">
        <x:v>3.5</x:v>
      </x:c>
      <x:c r="I159" s="22" t="str">
        <x:v>Menor es mejor</x:v>
      </x:c>
      <x:c r="J159" s="40" t="n">
        <x:v>1</x:v>
      </x:c>
      <x:c r="K159" s="40" t="n">
        <x:v>51903</x:v>
      </x:c>
      <x:c r="L159" s="40" t="n">
        <x:v>200000</x:v>
      </x:c>
      <x:c r="M159" s="40" t="n">
        <x:f>IF(OR(J159="",K159="",K159=0),"",J159/K159*L159)</x:f>
        <x:v>3.8533418106853166</x:v>
      </x:c>
      <x:c r="N159" s="22" t="str">
        <x:f>IF(M159="","",IF(I159="Mayor es mejor",IF(M159&gt;=H159,"En meta",IF(M159&gt;=H159*0.9,"Alerta","Crítico")),IF(M159&lt;=H159,"En meta",IF(M159&lt;=H159*1.1,"Alerta","Crítico"))))</x:f>
        <x:v>Crítico</x:v>
      </x:c>
      <x:c r="O159" s="22" t="str">
        <x:v>Índice</x:v>
      </x:c>
      <x:c r="P159" s="22" t="str">
        <x:v>Líder SG-SST</x:v>
      </x:c>
      <x:c r="Q159" s="22" t="str">
        <x:v>Matriz de accidentalidad / nómina</x:v>
      </x:c>
      <x:c r="R159" s="22" t="str"/>
    </x:row>
    <x:row r="160">
      <x:c r="A160" s="46" t="n">
        <x:v>45596</x:v>
      </x:c>
      <x:c r="B160" s="22" t="n">
        <x:v>2024</x:v>
      </x:c>
      <x:c r="C160" s="22" t="str">
        <x:v>Octubre</x:v>
      </x:c>
      <x:c r="D160" s="22" t="str">
        <x:v>R02</x:v>
      </x:c>
      <x:c r="E160" s="22" t="str">
        <x:v>Índice de severidad de accidentalidad (IS)</x:v>
      </x:c>
      <x:c r="F160" s="22" t="str">
        <x:v>Resultado</x:v>
      </x:c>
      <x:c r="G160" s="22" t="str">
        <x:v>Mensual</x:v>
      </x:c>
      <x:c r="H160" s="40" t="n">
        <x:v>80</x:v>
      </x:c>
      <x:c r="I160" s="22" t="str">
        <x:v>Menor es mejor</x:v>
      </x:c>
      <x:c r="J160" s="40" t="n">
        <x:v>15</x:v>
      </x:c>
      <x:c r="K160" s="40" t="n">
        <x:v>51903</x:v>
      </x:c>
      <x:c r="L160" s="40" t="n">
        <x:v>200000</x:v>
      </x:c>
      <x:c r="M160" s="40" t="n">
        <x:f>IF(OR(J160="",K160="",K160=0),"",J160/K160*L160)</x:f>
        <x:v>57.80012716027975</x:v>
      </x:c>
      <x:c r="N160" s="22" t="str">
        <x:f>IF(M160="","",IF(I160="Mayor es mejor",IF(M160&gt;=H160,"En meta",IF(M160&gt;=H160*0.9,"Alerta","Crítico")),IF(M160&lt;=H160,"En meta",IF(M160&lt;=H160*1.1,"Alerta","Crítico"))))</x:f>
        <x:v>En meta</x:v>
      </x:c>
      <x:c r="O160" s="22" t="str">
        <x:v>Índice</x:v>
      </x:c>
      <x:c r="P160" s="22" t="str">
        <x:v>Líder SG-SST</x:v>
      </x:c>
      <x:c r="Q160" s="22" t="str">
        <x:v>Matriz de accidentalidad / nómina</x:v>
      </x:c>
      <x:c r="R160" s="22" t="str"/>
    </x:row>
    <x:row r="161">
      <x:c r="A161" s="46" t="n">
        <x:v>45596</x:v>
      </x:c>
      <x:c r="B161" s="22" t="n">
        <x:v>2024</x:v>
      </x:c>
      <x:c r="C161" s="22" t="str">
        <x:v>Octubre</x:v>
      </x:c>
      <x:c r="D161" s="22" t="str">
        <x:v>R03</x:v>
      </x:c>
      <x:c r="E161" s="22" t="str">
        <x:v>Índice de lesión incapacitante (ILI)</x:v>
      </x:c>
      <x:c r="F161" s="22" t="str">
        <x:v>Resultado</x:v>
      </x:c>
      <x:c r="G161" s="22" t="str">
        <x:v>Mensual</x:v>
      </x:c>
      <x:c r="H161" s="40" t="n">
        <x:v>0.25</x:v>
      </x:c>
      <x:c r="I161" s="22" t="str">
        <x:v>Menor es mejor</x:v>
      </x:c>
      <x:c r="J161" s="40" t="n">
        <x:v>222.7236</x:v>
      </x:c>
      <x:c r="K161" s="40" t="n">
        <x:v>1000</x:v>
      </x:c>
      <x:c r="L161" s="40" t="n">
        <x:v>1</x:v>
      </x:c>
      <x:c r="M161" s="40" t="n">
        <x:f>IF(OR(J161="",K161="",K161=0),"",J161/K161*L161)</x:f>
        <x:v>0.2227236</x:v>
      </x:c>
      <x:c r="N161" s="22" t="str">
        <x:f>IF(M161="","",IF(I161="Mayor es mejor",IF(M161&gt;=H161,"En meta",IF(M161&gt;=H161*0.9,"Alerta","Crítico")),IF(M161&lt;=H161,"En meta",IF(M161&lt;=H161*1.1,"Alerta","Crítico"))))</x:f>
        <x:v>En meta</x:v>
      </x:c>
      <x:c r="O161" s="22" t="str">
        <x:v>Índice</x:v>
      </x:c>
      <x:c r="P161" s="22" t="str">
        <x:v>Líder SG-SST</x:v>
      </x:c>
      <x:c r="Q161" s="22" t="str">
        <x:v>Indicadores derivados de accidentalidad</x:v>
      </x:c>
      <x:c r="R161" s="22" t="str">
        <x:v>ILI calculado sobre IF e IS del periodo.</x:v>
      </x:c>
    </x:row>
    <x:row r="162">
      <x:c r="A162" s="46" t="n">
        <x:v>45596</x:v>
      </x:c>
      <x:c r="B162" s="22" t="n">
        <x:v>2024</x:v>
      </x:c>
      <x:c r="C162" s="22" t="str">
        <x:v>Octubre</x:v>
      </x:c>
      <x:c r="D162" s="22" t="str">
        <x:v>R04</x:v>
      </x:c>
      <x:c r="E162" s="22" t="str">
        <x:v>Tasa de accidentalidad</x:v>
      </x:c>
      <x:c r="F162" s="22" t="str">
        <x:v>Resultado</x:v>
      </x:c>
      <x:c r="G162" s="22" t="str">
        <x:v>Mensual</x:v>
      </x:c>
      <x:c r="H162" s="40" t="n">
        <x:v>0.6</x:v>
      </x:c>
      <x:c r="I162" s="22" t="str">
        <x:v>Menor es mejor</x:v>
      </x:c>
      <x:c r="J162" s="40" t="n">
        <x:v>0.02</x:v>
      </x:c>
      <x:c r="K162" s="40" t="n">
        <x:v>221</x:v>
      </x:c>
      <x:c r="L162" s="40" t="n">
        <x:v>100</x:v>
      </x:c>
      <x:c r="M162" s="40" t="n">
        <x:f>IF(OR(J162="",K162="",K162=0),"",J162/K162*L162)</x:f>
        <x:v>0.009049773755656108</x:v>
      </x:c>
      <x:c r="N162" s="22" t="str">
        <x:f>IF(M162="","",IF(I162="Mayor es mejor",IF(M162&gt;=H162,"En meta",IF(M162&gt;=H162*0.9,"Alerta","Crítico")),IF(M162&lt;=H162,"En meta",IF(M162&lt;=H162*1.1,"Alerta","Crítico"))))</x:f>
        <x:v>En meta</x:v>
      </x:c>
      <x:c r="O162" s="22" t="str">
        <x:v>%</x:v>
      </x:c>
      <x:c r="P162" s="22" t="str">
        <x:v>Líder SG-SST</x:v>
      </x:c>
      <x:c r="Q162" s="22" t="str">
        <x:v>Matriz de accidentalidad / nómina</x:v>
      </x:c>
      <x:c r="R162" s="22" t="str"/>
    </x:row>
    <x:row r="163">
      <x:c r="A163" s="46" t="n">
        <x:v>45596</x:v>
      </x:c>
      <x:c r="B163" s="22" t="n">
        <x:v>2024</x:v>
      </x:c>
      <x:c r="C163" s="22" t="str">
        <x:v>Octubre</x:v>
      </x:c>
      <x:c r="D163" s="22" t="str">
        <x:v>R05</x:v>
      </x:c>
      <x:c r="E163" s="22" t="str">
        <x:v>Prevalencia de enfermedad laboral</x:v>
      </x:c>
      <x:c r="F163" s="22" t="str">
        <x:v>Resultado</x:v>
      </x:c>
      <x:c r="G163" s="22" t="str">
        <x:v>Mensual</x:v>
      </x:c>
      <x:c r="H163" s="40" t="n">
        <x:v>0.3</x:v>
      </x:c>
      <x:c r="I163" s="22" t="str">
        <x:v>Menor es mejor</x:v>
      </x:c>
      <x:c r="J163" s="40" t="n">
        <x:v>2.72</x:v>
      </x:c>
      <x:c r="K163" s="40" t="n">
        <x:v>221</x:v>
      </x:c>
      <x:c r="L163" s="40" t="n">
        <x:v>100</x:v>
      </x:c>
      <x:c r="M163" s="40" t="n">
        <x:f>IF(OR(J163="",K163="",K163=0),"",J163/K163*L163)</x:f>
        <x:v>1.2307692307692308</x:v>
      </x:c>
      <x:c r="N163" s="22" t="str">
        <x:f>IF(M163="","",IF(I163="Mayor es mejor",IF(M163&gt;=H163,"En meta",IF(M163&gt;=H163*0.9,"Alerta","Crítico")),IF(M163&lt;=H163,"En meta",IF(M163&lt;=H163*1.1,"Alerta","Crítico"))))</x:f>
        <x:v>Crítico</x:v>
      </x:c>
      <x:c r="O163" s="22" t="str">
        <x:v>%</x:v>
      </x:c>
      <x:c r="P163" s="22" t="str">
        <x:v>Líder SG-SST / Medicina laboral</x:v>
      </x:c>
      <x:c r="Q163" s="22" t="str">
        <x:v>Matriz de enfermedad laboral / nómina</x:v>
      </x:c>
      <x:c r="R163" s="22" t="str"/>
    </x:row>
    <x:row r="164">
      <x:c r="A164" s="46" t="n">
        <x:v>45596</x:v>
      </x:c>
      <x:c r="B164" s="22" t="n">
        <x:v>2024</x:v>
      </x:c>
      <x:c r="C164" s="22" t="str">
        <x:v>Octubre</x:v>
      </x:c>
      <x:c r="D164" s="22" t="str">
        <x:v>R06</x:v>
      </x:c>
      <x:c r="E164" s="22" t="str">
        <x:v>% cumplimiento de estándares mínimos Res. 0312 de 2019</x:v>
      </x:c>
      <x:c r="F164" s="22" t="str">
        <x:v>Resultado</x:v>
      </x:c>
      <x:c r="G164" s="22" t="str">
        <x:v>Mensual</x:v>
      </x:c>
      <x:c r="H164" s="40" t="n">
        <x:v>95</x:v>
      </x:c>
      <x:c r="I164" s="22" t="str">
        <x:v>Mayor es mejor</x:v>
      </x:c>
      <x:c r="J164" s="40" t="n">
        <x:v>98</x:v>
      </x:c>
      <x:c r="K164" s="40" t="n">
        <x:v>100</x:v>
      </x:c>
      <x:c r="L164" s="40" t="n">
        <x:v>100</x:v>
      </x:c>
      <x:c r="M164" s="40" t="n">
        <x:f>IF(OR(J164="",K164="",K164=0),"",J164/K164*L164)</x:f>
        <x:v>98</x:v>
      </x:c>
      <x:c r="N164" s="22" t="str">
        <x:f>IF(M164="","",IF(I164="Mayor es mejor",IF(M164&gt;=H164,"En meta",IF(M164&gt;=H164*0.9,"Alerta","Crítico")),IF(M164&lt;=H164,"En meta",IF(M164&lt;=H164*1.1,"Alerta","Crítico"))))</x:f>
        <x:v>En meta</x:v>
      </x:c>
      <x:c r="O164" s="22" t="str">
        <x:v>%</x:v>
      </x:c>
      <x:c r="P164" s="22" t="str">
        <x:v>Líder SG-SST / Alta Dirección</x:v>
      </x:c>
      <x:c r="Q164" s="22" t="str">
        <x:v>Autodiagnóstico Res. 0312 de 2019</x:v>
      </x:c>
      <x:c r="R164" s="22" t="str"/>
    </x:row>
    <x:row r="165">
      <x:c r="A165" s="46" t="n">
        <x:v>45626</x:v>
      </x:c>
      <x:c r="B165" s="22" t="n">
        <x:v>2024</x:v>
      </x:c>
      <x:c r="C165" s="22" t="str">
        <x:v>Noviembre</x:v>
      </x:c>
      <x:c r="D165" s="22" t="str">
        <x:v>E01</x:v>
      </x:c>
      <x:c r="E165" s="22" t="str">
        <x:v>% ejecución presupuestal del SG-SST</x:v>
      </x:c>
      <x:c r="F165" s="22" t="str">
        <x:v>Estructura</x:v>
      </x:c>
      <x:c r="G165" s="22" t="str">
        <x:v>Mensual</x:v>
      </x:c>
      <x:c r="H165" s="40" t="n">
        <x:v>95</x:v>
      </x:c>
      <x:c r="I165" s="22" t="str">
        <x:v>Mayor es mejor</x:v>
      </x:c>
      <x:c r="J165" s="40" t="n">
        <x:v>8837286</x:v>
      </x:c>
      <x:c r="K165" s="40" t="n">
        <x:v>9500000</x:v>
      </x:c>
      <x:c r="L165" s="40" t="n">
        <x:v>100</x:v>
      </x:c>
      <x:c r="M165" s="40" t="n">
        <x:f>IF(OR(J165="",K165="",K165=0),"",J165/K165*L165)</x:f>
        <x:v>93.02406315789473</x:v>
      </x:c>
      <x:c r="N165" s="22" t="str">
        <x:f>IF(M165="","",IF(I165="Mayor es mejor",IF(M165&gt;=H165,"En meta",IF(M165&gt;=H165*0.9,"Alerta","Crítico")),IF(M165&lt;=H165,"En meta",IF(M165&lt;=H165*1.1,"Alerta","Crítico"))))</x:f>
        <x:v>Alerta</x:v>
      </x:c>
      <x:c r="O165" s="22" t="str">
        <x:v>%</x:v>
      </x:c>
      <x:c r="P165" s="22" t="str">
        <x:v>Líder SG-SST / Dirección Administrativa</x:v>
      </x:c>
      <x:c r="Q165" s="22" t="str">
        <x:v>Presupuesto SST</x:v>
      </x:c>
      <x:c r="R165" s="22" t="str"/>
    </x:row>
    <x:row r="166">
      <x:c r="A166" s="46" t="n">
        <x:v>45626</x:v>
      </x:c>
      <x:c r="B166" s="22" t="n">
        <x:v>2024</x:v>
      </x:c>
      <x:c r="C166" s="22" t="str">
        <x:v>Noviembre</x:v>
      </x:c>
      <x:c r="D166" s="22" t="str">
        <x:v>E02</x:v>
      </x:c>
      <x:c r="E166" s="22" t="str">
        <x:v>% cobertura del plan de formación y capacitación SG-SST</x:v>
      </x:c>
      <x:c r="F166" s="22" t="str">
        <x:v>Estructura</x:v>
      </x:c>
      <x:c r="G166" s="22" t="str">
        <x:v>Mensual</x:v>
      </x:c>
      <x:c r="H166" s="40" t="n">
        <x:v>90</x:v>
      </x:c>
      <x:c r="I166" s="22" t="str">
        <x:v>Mayor es mejor</x:v>
      </x:c>
      <x:c r="J166" s="40" t="n">
        <x:v>22</x:v>
      </x:c>
      <x:c r="K166" s="40" t="n">
        <x:v>24</x:v>
      </x:c>
      <x:c r="L166" s="40" t="n">
        <x:v>100</x:v>
      </x:c>
      <x:c r="M166" s="40" t="n">
        <x:f>IF(OR(J166="",K166="",K166=0),"",J166/K166*L166)</x:f>
        <x:v>91.66666666666666</x:v>
      </x:c>
      <x:c r="N166" s="22" t="str">
        <x:f>IF(M166="","",IF(I166="Mayor es mejor",IF(M166&gt;=H166,"En meta",IF(M166&gt;=H166*0.9,"Alerta","Crítico")),IF(M166&lt;=H166,"En meta",IF(M166&lt;=H166*1.1,"Alerta","Crítico"))))</x:f>
        <x:v>En meta</x:v>
      </x:c>
      <x:c r="O166" s="22" t="str">
        <x:v>%</x:v>
      </x:c>
      <x:c r="P166" s="22" t="str">
        <x:v>Líder SG-SST / Talento Humano</x:v>
      </x:c>
      <x:c r="Q166" s="22" t="str">
        <x:v>Plan de formación y capacitaciones</x:v>
      </x:c>
      <x:c r="R166" s="22" t="str"/>
    </x:row>
    <x:row r="167">
      <x:c r="A167" s="46" t="n">
        <x:v>45626</x:v>
      </x:c>
      <x:c r="B167" s="22" t="n">
        <x:v>2024</x:v>
      </x:c>
      <x:c r="C167" s="22" t="str">
        <x:v>Noviembre</x:v>
      </x:c>
      <x:c r="D167" s="22" t="str">
        <x:v>E03</x:v>
      </x:c>
      <x:c r="E167" s="22" t="str">
        <x:v>% trabajadores con exámenes médicos ocupacionales vigentes</x:v>
      </x:c>
      <x:c r="F167" s="22" t="str">
        <x:v>Estructura</x:v>
      </x:c>
      <x:c r="G167" s="22" t="str">
        <x:v>Mensual</x:v>
      </x:c>
      <x:c r="H167" s="40" t="n">
        <x:v>95</x:v>
      </x:c>
      <x:c r="I167" s="22" t="str">
        <x:v>Mayor es mejor</x:v>
      </x:c>
      <x:c r="J167" s="40" t="n">
        <x:v>209</x:v>
      </x:c>
      <x:c r="K167" s="40" t="n">
        <x:v>222</x:v>
      </x:c>
      <x:c r="L167" s="40" t="n">
        <x:v>100</x:v>
      </x:c>
      <x:c r="M167" s="40" t="n">
        <x:f>IF(OR(J167="",K167="",K167=0),"",J167/K167*L167)</x:f>
        <x:v>94.14414414414415</x:v>
      </x:c>
      <x:c r="N167" s="22" t="str">
        <x:f>IF(M167="","",IF(I167="Mayor es mejor",IF(M167&gt;=H167,"En meta",IF(M167&gt;=H167*0.9,"Alerta","Crítico")),IF(M167&lt;=H167,"En meta",IF(M167&lt;=H167*1.1,"Alerta","Crítico"))))</x:f>
        <x:v>Alerta</x:v>
      </x:c>
      <x:c r="O167" s="22" t="str">
        <x:v>%</x:v>
      </x:c>
      <x:c r="P167" s="22" t="str">
        <x:v>Líder SG-SST / Talento Humano</x:v>
      </x:c>
      <x:c r="Q167" s="22" t="str">
        <x:v>Matriz de seguimiento EMO</x:v>
      </x:c>
      <x:c r="R167" s="22" t="str"/>
    </x:row>
    <x:row r="168">
      <x:c r="A168" s="46" t="n">
        <x:v>45626</x:v>
      </x:c>
      <x:c r="B168" s="22" t="n">
        <x:v>2024</x:v>
      </x:c>
      <x:c r="C168" s="22" t="str">
        <x:v>Noviembre</x:v>
      </x:c>
      <x:c r="D168" s="22" t="str">
        <x:v>E04</x:v>
      </x:c>
      <x:c r="E168" s="22" t="str">
        <x:v>% cumplimiento de requisitos legales aplicables en SST</x:v>
      </x:c>
      <x:c r="F168" s="22" t="str">
        <x:v>Estructura</x:v>
      </x:c>
      <x:c r="G168" s="22" t="str">
        <x:v>Mensual</x:v>
      </x:c>
      <x:c r="H168" s="40" t="n">
        <x:v>95</x:v>
      </x:c>
      <x:c r="I168" s="22" t="str">
        <x:v>Mayor es mejor</x:v>
      </x:c>
      <x:c r="J168" s="40" t="n">
        <x:v>57</x:v>
      </x:c>
      <x:c r="K168" s="40" t="n">
        <x:v>60</x:v>
      </x:c>
      <x:c r="L168" s="40" t="n">
        <x:v>100</x:v>
      </x:c>
      <x:c r="M168" s="40" t="n">
        <x:f>IF(OR(J168="",K168="",K168=0),"",J168/K168*L168)</x:f>
        <x:v>95</x:v>
      </x:c>
      <x:c r="N168" s="22" t="str">
        <x:f>IF(M168="","",IF(I168="Mayor es mejor",IF(M168&gt;=H168,"En meta",IF(M168&gt;=H168*0.9,"Alerta","Crítico")),IF(M168&lt;=H168,"En meta",IF(M168&lt;=H168*1.1,"Alerta","Crítico"))))</x:f>
        <x:v>En meta</x:v>
      </x:c>
      <x:c r="O168" s="22" t="str">
        <x:v>%</x:v>
      </x:c>
      <x:c r="P168" s="22" t="str">
        <x:v>Líder SG-SST / Jurídica</x:v>
      </x:c>
      <x:c r="Q168" s="22" t="str">
        <x:v>Matriz legal SGRL</x:v>
      </x:c>
      <x:c r="R168" s="22" t="str"/>
    </x:row>
    <x:row r="169">
      <x:c r="A169" s="46" t="n">
        <x:v>45626</x:v>
      </x:c>
      <x:c r="B169" s="22" t="n">
        <x:v>2024</x:v>
      </x:c>
      <x:c r="C169" s="22" t="str">
        <x:v>Noviembre</x:v>
      </x:c>
      <x:c r="D169" s="22" t="str">
        <x:v>E05</x:v>
      </x:c>
      <x:c r="E169" s="22" t="str">
        <x:v>% proveedores y contratistas aprobados en SST</x:v>
      </x:c>
      <x:c r="F169" s="22" t="str">
        <x:v>Estructura</x:v>
      </x:c>
      <x:c r="G169" s="22" t="str">
        <x:v>Mensual</x:v>
      </x:c>
      <x:c r="H169" s="40" t="n">
        <x:v>90</x:v>
      </x:c>
      <x:c r="I169" s="22" t="str">
        <x:v>Mayor es mejor</x:v>
      </x:c>
      <x:c r="J169" s="40" t="n">
        <x:v>18</x:v>
      </x:c>
      <x:c r="K169" s="40" t="n">
        <x:v>20</x:v>
      </x:c>
      <x:c r="L169" s="40" t="n">
        <x:v>100</x:v>
      </x:c>
      <x:c r="M169" s="40" t="n">
        <x:f>IF(OR(J169="",K169="",K169=0),"",J169/K169*L169)</x:f>
        <x:v>90</x:v>
      </x:c>
      <x:c r="N169" s="22" t="str">
        <x:f>IF(M169="","",IF(I169="Mayor es mejor",IF(M169&gt;=H169,"En meta",IF(M169&gt;=H169*0.9,"Alerta","Crítico")),IF(M169&lt;=H169,"En meta",IF(M169&lt;=H169*1.1,"Alerta","Crítico"))))</x:f>
        <x:v>En meta</x:v>
      </x:c>
      <x:c r="O169" s="22" t="str">
        <x:v>%</x:v>
      </x:c>
      <x:c r="P169" s="22" t="str">
        <x:v>Compras / Líder SG-SST</x:v>
      </x:c>
      <x:c r="Q169" s="22" t="str">
        <x:v>Gestión de proveedores y contratistas</x:v>
      </x:c>
      <x:c r="R169" s="22" t="str"/>
    </x:row>
    <x:row r="170">
      <x:c r="A170" s="46" t="n">
        <x:v>45626</x:v>
      </x:c>
      <x:c r="B170" s="22" t="n">
        <x:v>2024</x:v>
      </x:c>
      <x:c r="C170" s="22" t="str">
        <x:v>Noviembre</x:v>
      </x:c>
      <x:c r="D170" s="22" t="str">
        <x:v>P01</x:v>
      </x:c>
      <x:c r="E170" s="22" t="str">
        <x:v>% ejecución del plan anual de trabajo SG-SST</x:v>
      </x:c>
      <x:c r="F170" s="22" t="str">
        <x:v>Proceso</x:v>
      </x:c>
      <x:c r="G170" s="22" t="str">
        <x:v>Mensual</x:v>
      </x:c>
      <x:c r="H170" s="40" t="n">
        <x:v>90</x:v>
      </x:c>
      <x:c r="I170" s="22" t="str">
        <x:v>Mayor es mejor</x:v>
      </x:c>
      <x:c r="J170" s="40" t="n">
        <x:v>13</x:v>
      </x:c>
      <x:c r="K170" s="40" t="n">
        <x:v>14</x:v>
      </x:c>
      <x:c r="L170" s="40" t="n">
        <x:v>100</x:v>
      </x:c>
      <x:c r="M170" s="40" t="n">
        <x:f>IF(OR(J170="",K170="",K170=0),"",J170/K170*L170)</x:f>
        <x:v>92.85714285714286</x:v>
      </x:c>
      <x:c r="N170" s="22" t="str">
        <x:f>IF(M170="","",IF(I170="Mayor es mejor",IF(M170&gt;=H170,"En meta",IF(M170&gt;=H170*0.9,"Alerta","Crítico")),IF(M170&lt;=H170,"En meta",IF(M170&lt;=H170*1.1,"Alerta","Crítico"))))</x:f>
        <x:v>En meta</x:v>
      </x:c>
      <x:c r="O170" s="22" t="str">
        <x:v>%</x:v>
      </x:c>
      <x:c r="P170" s="22" t="str">
        <x:v>Líder SG-SST</x:v>
      </x:c>
      <x:c r="Q170" s="22" t="str">
        <x:v>Plan anual de trabajo PHVA</x:v>
      </x:c>
      <x:c r="R170" s="22" t="str"/>
    </x:row>
    <x:row r="171">
      <x:c r="A171" s="46" t="n">
        <x:v>45626</x:v>
      </x:c>
      <x:c r="B171" s="22" t="n">
        <x:v>2024</x:v>
      </x:c>
      <x:c r="C171" s="22" t="str">
        <x:v>Noviembre</x:v>
      </x:c>
      <x:c r="D171" s="22" t="str">
        <x:v>P02</x:v>
      </x:c>
      <x:c r="E171" s="22" t="str">
        <x:v>% investigaciones de accidentes realizadas oportunamente</x:v>
      </x:c>
      <x:c r="F171" s="22" t="str">
        <x:v>Proceso</x:v>
      </x:c>
      <x:c r="G171" s="22" t="str">
        <x:v>Mensual</x:v>
      </x:c>
      <x:c r="H171" s="40" t="n">
        <x:v>95</x:v>
      </x:c>
      <x:c r="I171" s="22" t="str">
        <x:v>Mayor es mejor</x:v>
      </x:c>
      <x:c r="J171" s="40" t="n">
        <x:v>1</x:v>
      </x:c>
      <x:c r="K171" s="40" t="n">
        <x:v>1</x:v>
      </x:c>
      <x:c r="L171" s="40" t="n">
        <x:v>100</x:v>
      </x:c>
      <x:c r="M171" s="40" t="n">
        <x:f>IF(OR(J171="",K171="",K171=0),"",J171/K171*L171)</x:f>
        <x:v>100</x:v>
      </x:c>
      <x:c r="N171" s="22" t="str">
        <x:f>IF(M171="","",IF(I171="Mayor es mejor",IF(M171&gt;=H171,"En meta",IF(M171&gt;=H171*0.9,"Alerta","Crítico")),IF(M171&lt;=H171,"En meta",IF(M171&lt;=H171*1.1,"Alerta","Crítico"))))</x:f>
        <x:v>En meta</x:v>
      </x:c>
      <x:c r="O171" s="22" t="str">
        <x:v>%</x:v>
      </x:c>
      <x:c r="P171" s="22" t="str">
        <x:v>Líder SG-SST / COPASST</x:v>
      </x:c>
      <x:c r="Q171" s="22" t="str">
        <x:v>Matriz de accidentalidad</x:v>
      </x:c>
      <x:c r="R171" s="22" t="str"/>
    </x:row>
    <x:row r="172">
      <x:c r="A172" s="46" t="n">
        <x:v>45626</x:v>
      </x:c>
      <x:c r="B172" s="22" t="n">
        <x:v>2024</x:v>
      </x:c>
      <x:c r="C172" s="22" t="str">
        <x:v>Noviembre</x:v>
      </x:c>
      <x:c r="D172" s="22" t="str">
        <x:v>P03</x:v>
      </x:c>
      <x:c r="E172" s="22" t="str">
        <x:v>% cierre oportuno de acciones correctivas, preventivas y de mejora</x:v>
      </x:c>
      <x:c r="F172" s="22" t="str">
        <x:v>Proceso</x:v>
      </x:c>
      <x:c r="G172" s="22" t="str">
        <x:v>Mensual</x:v>
      </x:c>
      <x:c r="H172" s="40" t="n">
        <x:v>90</x:v>
      </x:c>
      <x:c r="I172" s="22" t="str">
        <x:v>Mayor es mejor</x:v>
      </x:c>
      <x:c r="J172" s="40" t="n">
        <x:v>10</x:v>
      </x:c>
      <x:c r="K172" s="40" t="n">
        <x:v>11</x:v>
      </x:c>
      <x:c r="L172" s="40" t="n">
        <x:v>100</x:v>
      </x:c>
      <x:c r="M172" s="40" t="n">
        <x:f>IF(OR(J172="",K172="",K172=0),"",J172/K172*L172)</x:f>
        <x:v>90.9090909090909</x:v>
      </x:c>
      <x:c r="N172" s="22" t="str">
        <x:f>IF(M172="","",IF(I172="Mayor es mejor",IF(M172&gt;=H172,"En meta",IF(M172&gt;=H172*0.9,"Alerta","Crítico")),IF(M172&lt;=H172,"En meta",IF(M172&lt;=H172*1.1,"Alerta","Crítico"))))</x:f>
        <x:v>En meta</x:v>
      </x:c>
      <x:c r="O172" s="22" t="str">
        <x:v>%</x:v>
      </x:c>
      <x:c r="P172" s="22" t="str">
        <x:v>Líder SG-SST / Responsables de proceso</x:v>
      </x:c>
      <x:c r="Q172" s="22" t="str">
        <x:v>Matriz APCM</x:v>
      </x:c>
      <x:c r="R172" s="22" t="str"/>
    </x:row>
    <x:row r="173">
      <x:c r="A173" s="46" t="n">
        <x:v>45626</x:v>
      </x:c>
      <x:c r="B173" s="22" t="n">
        <x:v>2024</x:v>
      </x:c>
      <x:c r="C173" s="22" t="str">
        <x:v>Noviembre</x:v>
      </x:c>
      <x:c r="D173" s="22" t="str">
        <x:v>P04</x:v>
      </x:c>
      <x:c r="E173" s="22" t="str">
        <x:v>% inspecciones de seguridad ejecutadas</x:v>
      </x:c>
      <x:c r="F173" s="22" t="str">
        <x:v>Proceso</x:v>
      </x:c>
      <x:c r="G173" s="22" t="str">
        <x:v>Mensual</x:v>
      </x:c>
      <x:c r="H173" s="40" t="n">
        <x:v>90</x:v>
      </x:c>
      <x:c r="I173" s="22" t="str">
        <x:v>Mayor es mejor</x:v>
      </x:c>
      <x:c r="J173" s="40" t="n">
        <x:v>10</x:v>
      </x:c>
      <x:c r="K173" s="40" t="n">
        <x:v>11</x:v>
      </x:c>
      <x:c r="L173" s="40" t="n">
        <x:v>100</x:v>
      </x:c>
      <x:c r="M173" s="40" t="n">
        <x:f>IF(OR(J173="",K173="",K173=0),"",J173/K173*L173)</x:f>
        <x:v>90.9090909090909</x:v>
      </x:c>
      <x:c r="N173" s="22" t="str">
        <x:f>IF(M173="","",IF(I173="Mayor es mejor",IF(M173&gt;=H173,"En meta",IF(M173&gt;=H173*0.9,"Alerta","Crítico")),IF(M173&lt;=H173,"En meta",IF(M173&lt;=H173*1.1,"Alerta","Crítico"))))</x:f>
        <x:v>En meta</x:v>
      </x:c>
      <x:c r="O173" s="22" t="str">
        <x:v>%</x:v>
      </x:c>
      <x:c r="P173" s="22" t="str">
        <x:v>Líder SG-SST / Supervisores</x:v>
      </x:c>
      <x:c r="Q173" s="22" t="str">
        <x:v>Programa de inspecciones</x:v>
      </x:c>
      <x:c r="R173" s="22" t="str"/>
    </x:row>
    <x:row r="174">
      <x:c r="A174" s="46" t="n">
        <x:v>45626</x:v>
      </x:c>
      <x:c r="B174" s="22" t="n">
        <x:v>2024</x:v>
      </x:c>
      <x:c r="C174" s="22" t="str">
        <x:v>Noviembre</x:v>
      </x:c>
      <x:c r="D174" s="22" t="str">
        <x:v>P05</x:v>
      </x:c>
      <x:c r="E174" s="22" t="str">
        <x:v>% mantenimientos preventivos ejecutados</x:v>
      </x:c>
      <x:c r="F174" s="22" t="str">
        <x:v>Proceso</x:v>
      </x:c>
      <x:c r="G174" s="22" t="str">
        <x:v>Mensual</x:v>
      </x:c>
      <x:c r="H174" s="40" t="n">
        <x:v>90</x:v>
      </x:c>
      <x:c r="I174" s="22" t="str">
        <x:v>Mayor es mejor</x:v>
      </x:c>
      <x:c r="J174" s="40" t="n">
        <x:v>14</x:v>
      </x:c>
      <x:c r="K174" s="40" t="n">
        <x:v>15</x:v>
      </x:c>
      <x:c r="L174" s="40" t="n">
        <x:v>100</x:v>
      </x:c>
      <x:c r="M174" s="40" t="n">
        <x:f>IF(OR(J174="",K174="",K174=0),"",J174/K174*L174)</x:f>
        <x:v>93.33333333333333</x:v>
      </x:c>
      <x:c r="N174" s="22" t="str">
        <x:f>IF(M174="","",IF(I174="Mayor es mejor",IF(M174&gt;=H174,"En meta",IF(M174&gt;=H174*0.9,"Alerta","Crítico")),IF(M174&lt;=H174,"En meta",IF(M174&lt;=H174*1.1,"Alerta","Crítico"))))</x:f>
        <x:v>En meta</x:v>
      </x:c>
      <x:c r="O174" s="22" t="str">
        <x:v>%</x:v>
      </x:c>
      <x:c r="P174" s="22" t="str">
        <x:v>Mantenimiento / Líder SG-SST</x:v>
      </x:c>
      <x:c r="Q174" s="22" t="str">
        <x:v>Programa de mantenimiento preventivo</x:v>
      </x:c>
      <x:c r="R174" s="22" t="str"/>
    </x:row>
    <x:row r="175">
      <x:c r="A175" s="46" t="n">
        <x:v>45626</x:v>
      </x:c>
      <x:c r="B175" s="22" t="n">
        <x:v>2024</x:v>
      </x:c>
      <x:c r="C175" s="22" t="str">
        <x:v>Noviembre</x:v>
      </x:c>
      <x:c r="D175" s="22" t="str">
        <x:v>R01</x:v>
      </x:c>
      <x:c r="E175" s="22" t="str">
        <x:v>Índice de frecuencia de accidentalidad (IF)</x:v>
      </x:c>
      <x:c r="F175" s="22" t="str">
        <x:v>Resultado</x:v>
      </x:c>
      <x:c r="G175" s="22" t="str">
        <x:v>Mensual</x:v>
      </x:c>
      <x:c r="H175" s="40" t="n">
        <x:v>3.5</x:v>
      </x:c>
      <x:c r="I175" s="22" t="str">
        <x:v>Menor es mejor</x:v>
      </x:c>
      <x:c r="J175" s="40" t="n">
        <x:v>1</x:v>
      </x:c>
      <x:c r="K175" s="40" t="n">
        <x:v>52722</x:v>
      </x:c>
      <x:c r="L175" s="40" t="n">
        <x:v>200000</x:v>
      </x:c>
      <x:c r="M175" s="40" t="n">
        <x:f>IF(OR(J175="",K175="",K175=0),"",J175/K175*L175)</x:f>
        <x:v>3.793482796555518</x:v>
      </x:c>
      <x:c r="N175" s="22" t="str">
        <x:f>IF(M175="","",IF(I175="Mayor es mejor",IF(M175&gt;=H175,"En meta",IF(M175&gt;=H175*0.9,"Alerta","Crítico")),IF(M175&lt;=H175,"En meta",IF(M175&lt;=H175*1.1,"Alerta","Crítico"))))</x:f>
        <x:v>Alerta</x:v>
      </x:c>
      <x:c r="O175" s="22" t="str">
        <x:v>Índice</x:v>
      </x:c>
      <x:c r="P175" s="22" t="str">
        <x:v>Líder SG-SST</x:v>
      </x:c>
      <x:c r="Q175" s="22" t="str">
        <x:v>Matriz de accidentalidad / nómina</x:v>
      </x:c>
      <x:c r="R175" s="22" t="str"/>
    </x:row>
    <x:row r="176">
      <x:c r="A176" s="46" t="n">
        <x:v>45626</x:v>
      </x:c>
      <x:c r="B176" s="22" t="n">
        <x:v>2024</x:v>
      </x:c>
      <x:c r="C176" s="22" t="str">
        <x:v>Noviembre</x:v>
      </x:c>
      <x:c r="D176" s="22" t="str">
        <x:v>R02</x:v>
      </x:c>
      <x:c r="E176" s="22" t="str">
        <x:v>Índice de severidad de accidentalidad (IS)</x:v>
      </x:c>
      <x:c r="F176" s="22" t="str">
        <x:v>Resultado</x:v>
      </x:c>
      <x:c r="G176" s="22" t="str">
        <x:v>Mensual</x:v>
      </x:c>
      <x:c r="H176" s="40" t="n">
        <x:v>80</x:v>
      </x:c>
      <x:c r="I176" s="22" t="str">
        <x:v>Menor es mejor</x:v>
      </x:c>
      <x:c r="J176" s="40" t="n">
        <x:v>16</x:v>
      </x:c>
      <x:c r="K176" s="40" t="n">
        <x:v>52722</x:v>
      </x:c>
      <x:c r="L176" s="40" t="n">
        <x:v>200000</x:v>
      </x:c>
      <x:c r="M176" s="40" t="n">
        <x:f>IF(OR(J176="",K176="",K176=0),"",J176/K176*L176)</x:f>
        <x:v>60.69572474488829</x:v>
      </x:c>
      <x:c r="N176" s="22" t="str">
        <x:f>IF(M176="","",IF(I176="Mayor es mejor",IF(M176&gt;=H176,"En meta",IF(M176&gt;=H176*0.9,"Alerta","Crítico")),IF(M176&lt;=H176,"En meta",IF(M176&lt;=H176*1.1,"Alerta","Crítico"))))</x:f>
        <x:v>En meta</x:v>
      </x:c>
      <x:c r="O176" s="22" t="str">
        <x:v>Índice</x:v>
      </x:c>
      <x:c r="P176" s="22" t="str">
        <x:v>Líder SG-SST</x:v>
      </x:c>
      <x:c r="Q176" s="22" t="str">
        <x:v>Matriz de accidentalidad / nómina</x:v>
      </x:c>
      <x:c r="R176" s="22" t="str"/>
    </x:row>
    <x:row r="177">
      <x:c r="A177" s="46" t="n">
        <x:v>45626</x:v>
      </x:c>
      <x:c r="B177" s="22" t="n">
        <x:v>2024</x:v>
      </x:c>
      <x:c r="C177" s="22" t="str">
        <x:v>Noviembre</x:v>
      </x:c>
      <x:c r="D177" s="22" t="str">
        <x:v>R03</x:v>
      </x:c>
      <x:c r="E177" s="22" t="str">
        <x:v>Índice de lesión incapacitante (ILI)</x:v>
      </x:c>
      <x:c r="F177" s="22" t="str">
        <x:v>Resultado</x:v>
      </x:c>
      <x:c r="G177" s="22" t="str">
        <x:v>Mensual</x:v>
      </x:c>
      <x:c r="H177" s="40" t="n">
        <x:v>0.25</x:v>
      </x:c>
      <x:c r="I177" s="22" t="str">
        <x:v>Menor es mejor</x:v>
      </x:c>
      <x:c r="J177" s="40" t="n">
        <x:v>230.2482</x:v>
      </x:c>
      <x:c r="K177" s="40" t="n">
        <x:v>1000</x:v>
      </x:c>
      <x:c r="L177" s="40" t="n">
        <x:v>1</x:v>
      </x:c>
      <x:c r="M177" s="40" t="n">
        <x:f>IF(OR(J177="",K177="",K177=0),"",J177/K177*L177)</x:f>
        <x:v>0.2302482</x:v>
      </x:c>
      <x:c r="N177" s="22" t="str">
        <x:f>IF(M177="","",IF(I177="Mayor es mejor",IF(M177&gt;=H177,"En meta",IF(M177&gt;=H177*0.9,"Alerta","Crítico")),IF(M177&lt;=H177,"En meta",IF(M177&lt;=H177*1.1,"Alerta","Crítico"))))</x:f>
        <x:v>En meta</x:v>
      </x:c>
      <x:c r="O177" s="22" t="str">
        <x:v>Índice</x:v>
      </x:c>
      <x:c r="P177" s="22" t="str">
        <x:v>Líder SG-SST</x:v>
      </x:c>
      <x:c r="Q177" s="22" t="str">
        <x:v>Indicadores derivados de accidentalidad</x:v>
      </x:c>
      <x:c r="R177" s="22" t="str">
        <x:v>ILI calculado sobre IF e IS del periodo.</x:v>
      </x:c>
    </x:row>
    <x:row r="178">
      <x:c r="A178" s="46" t="n">
        <x:v>45626</x:v>
      </x:c>
      <x:c r="B178" s="22" t="n">
        <x:v>2024</x:v>
      </x:c>
      <x:c r="C178" s="22" t="str">
        <x:v>Noviembre</x:v>
      </x:c>
      <x:c r="D178" s="22" t="str">
        <x:v>R04</x:v>
      </x:c>
      <x:c r="E178" s="22" t="str">
        <x:v>Tasa de accidentalidad</x:v>
      </x:c>
      <x:c r="F178" s="22" t="str">
        <x:v>Resultado</x:v>
      </x:c>
      <x:c r="G178" s="22" t="str">
        <x:v>Mensual</x:v>
      </x:c>
      <x:c r="H178" s="40" t="n">
        <x:v>0.6</x:v>
      </x:c>
      <x:c r="I178" s="22" t="str">
        <x:v>Menor es mejor</x:v>
      </x:c>
      <x:c r="J178" s="40" t="n">
        <x:v>2.22</x:v>
      </x:c>
      <x:c r="K178" s="40" t="n">
        <x:v>222</x:v>
      </x:c>
      <x:c r="L178" s="40" t="n">
        <x:v>100</x:v>
      </x:c>
      <x:c r="M178" s="40" t="n">
        <x:f>IF(OR(J178="",K178="",K178=0),"",J178/K178*L178)</x:f>
        <x:v>1</x:v>
      </x:c>
      <x:c r="N178" s="22" t="str">
        <x:f>IF(M178="","",IF(I178="Mayor es mejor",IF(M178&gt;=H178,"En meta",IF(M178&gt;=H178*0.9,"Alerta","Crítico")),IF(M178&lt;=H178,"En meta",IF(M178&lt;=H178*1.1,"Alerta","Crítico"))))</x:f>
        <x:v>Crítico</x:v>
      </x:c>
      <x:c r="O178" s="22" t="str">
        <x:v>%</x:v>
      </x:c>
      <x:c r="P178" s="22" t="str">
        <x:v>Líder SG-SST</x:v>
      </x:c>
      <x:c r="Q178" s="22" t="str">
        <x:v>Matriz de accidentalidad / nómina</x:v>
      </x:c>
      <x:c r="R178" s="22" t="str"/>
    </x:row>
    <x:row r="179">
      <x:c r="A179" s="46" t="n">
        <x:v>45626</x:v>
      </x:c>
      <x:c r="B179" s="22" t="n">
        <x:v>2024</x:v>
      </x:c>
      <x:c r="C179" s="22" t="str">
        <x:v>Noviembre</x:v>
      </x:c>
      <x:c r="D179" s="22" t="str">
        <x:v>R05</x:v>
      </x:c>
      <x:c r="E179" s="22" t="str">
        <x:v>Prevalencia de enfermedad laboral</x:v>
      </x:c>
      <x:c r="F179" s="22" t="str">
        <x:v>Resultado</x:v>
      </x:c>
      <x:c r="G179" s="22" t="str">
        <x:v>Mensual</x:v>
      </x:c>
      <x:c r="H179" s="40" t="n">
        <x:v>0.3</x:v>
      </x:c>
      <x:c r="I179" s="22" t="str">
        <x:v>Menor es mejor</x:v>
      </x:c>
      <x:c r="J179" s="40" t="n">
        <x:v>3.47</x:v>
      </x:c>
      <x:c r="K179" s="40" t="n">
        <x:v>222</x:v>
      </x:c>
      <x:c r="L179" s="40" t="n">
        <x:v>100</x:v>
      </x:c>
      <x:c r="M179" s="40" t="n">
        <x:f>IF(OR(J179="",K179="",K179=0),"",J179/K179*L179)</x:f>
        <x:v>1.563063063063063</x:v>
      </x:c>
      <x:c r="N179" s="22" t="str">
        <x:f>IF(M179="","",IF(I179="Mayor es mejor",IF(M179&gt;=H179,"En meta",IF(M179&gt;=H179*0.9,"Alerta","Crítico")),IF(M179&lt;=H179,"En meta",IF(M179&lt;=H179*1.1,"Alerta","Crítico"))))</x:f>
        <x:v>Crítico</x:v>
      </x:c>
      <x:c r="O179" s="22" t="str">
        <x:v>%</x:v>
      </x:c>
      <x:c r="P179" s="22" t="str">
        <x:v>Líder SG-SST / Medicina laboral</x:v>
      </x:c>
      <x:c r="Q179" s="22" t="str">
        <x:v>Matriz de enfermedad laboral / nómina</x:v>
      </x:c>
      <x:c r="R179" s="22" t="str"/>
    </x:row>
    <x:row r="180">
      <x:c r="A180" s="46" t="n">
        <x:v>45626</x:v>
      </x:c>
      <x:c r="B180" s="22" t="n">
        <x:v>2024</x:v>
      </x:c>
      <x:c r="C180" s="22" t="str">
        <x:v>Noviembre</x:v>
      </x:c>
      <x:c r="D180" s="22" t="str">
        <x:v>R06</x:v>
      </x:c>
      <x:c r="E180" s="22" t="str">
        <x:v>% cumplimiento de estándares mínimos Res. 0312 de 2019</x:v>
      </x:c>
      <x:c r="F180" s="22" t="str">
        <x:v>Resultado</x:v>
      </x:c>
      <x:c r="G180" s="22" t="str">
        <x:v>Mensual</x:v>
      </x:c>
      <x:c r="H180" s="40" t="n">
        <x:v>95</x:v>
      </x:c>
      <x:c r="I180" s="22" t="str">
        <x:v>Mayor es mejor</x:v>
      </x:c>
      <x:c r="J180" s="40" t="n">
        <x:v>96</x:v>
      </x:c>
      <x:c r="K180" s="40" t="n">
        <x:v>100</x:v>
      </x:c>
      <x:c r="L180" s="40" t="n">
        <x:v>100</x:v>
      </x:c>
      <x:c r="M180" s="40" t="n">
        <x:f>IF(OR(J180="",K180="",K180=0),"",J180/K180*L180)</x:f>
        <x:v>96</x:v>
      </x:c>
      <x:c r="N180" s="22" t="str">
        <x:f>IF(M180="","",IF(I180="Mayor es mejor",IF(M180&gt;=H180,"En meta",IF(M180&gt;=H180*0.9,"Alerta","Crítico")),IF(M180&lt;=H180,"En meta",IF(M180&lt;=H180*1.1,"Alerta","Crítico"))))</x:f>
        <x:v>En meta</x:v>
      </x:c>
      <x:c r="O180" s="22" t="str">
        <x:v>%</x:v>
      </x:c>
      <x:c r="P180" s="22" t="str">
        <x:v>Líder SG-SST / Alta Dirección</x:v>
      </x:c>
      <x:c r="Q180" s="22" t="str">
        <x:v>Autodiagnóstico Res. 0312 de 2019</x:v>
      </x:c>
      <x:c r="R180" s="22" t="str"/>
    </x:row>
    <x:row r="181">
      <x:c r="A181" s="46" t="n">
        <x:v>45657</x:v>
      </x:c>
      <x:c r="B181" s="22" t="n">
        <x:v>2024</x:v>
      </x:c>
      <x:c r="C181" s="22" t="str">
        <x:v>Diciembre</x:v>
      </x:c>
      <x:c r="D181" s="22" t="str">
        <x:v>E01</x:v>
      </x:c>
      <x:c r="E181" s="22" t="str">
        <x:v>% ejecución presupuestal del SG-SST</x:v>
      </x:c>
      <x:c r="F181" s="22" t="str">
        <x:v>Estructura</x:v>
      </x:c>
      <x:c r="G181" s="22" t="str">
        <x:v>Mensual</x:v>
      </x:c>
      <x:c r="H181" s="40" t="n">
        <x:v>95</x:v>
      </x:c>
      <x:c r="I181" s="22" t="str">
        <x:v>Mayor es mejor</x:v>
      </x:c>
      <x:c r="J181" s="40" t="n">
        <x:v>9391549</x:v>
      </x:c>
      <x:c r="K181" s="40" t="n">
        <x:v>10000000</x:v>
      </x:c>
      <x:c r="L181" s="40" t="n">
        <x:v>100</x:v>
      </x:c>
      <x:c r="M181" s="40" t="n">
        <x:f>IF(OR(J181="",K181="",K181=0),"",J181/K181*L181)</x:f>
        <x:v>93.91549</x:v>
      </x:c>
      <x:c r="N181" s="22" t="str">
        <x:f>IF(M181="","",IF(I181="Mayor es mejor",IF(M181&gt;=H181,"En meta",IF(M181&gt;=H181*0.9,"Alerta","Crítico")),IF(M181&lt;=H181,"En meta",IF(M181&lt;=H181*1.1,"Alerta","Crítico"))))</x:f>
        <x:v>Alerta</x:v>
      </x:c>
      <x:c r="O181" s="22" t="str">
        <x:v>%</x:v>
      </x:c>
      <x:c r="P181" s="22" t="str">
        <x:v>Líder SG-SST / Dirección Administrativa</x:v>
      </x:c>
      <x:c r="Q181" s="22" t="str">
        <x:v>Presupuesto SST</x:v>
      </x:c>
      <x:c r="R181" s="22" t="str"/>
    </x:row>
    <x:row r="182">
      <x:c r="A182" s="46" t="n">
        <x:v>45657</x:v>
      </x:c>
      <x:c r="B182" s="22" t="n">
        <x:v>2024</x:v>
      </x:c>
      <x:c r="C182" s="22" t="str">
        <x:v>Diciembre</x:v>
      </x:c>
      <x:c r="D182" s="22" t="str">
        <x:v>E02</x:v>
      </x:c>
      <x:c r="E182" s="22" t="str">
        <x:v>% cobertura del plan de formación y capacitación SG-SST</x:v>
      </x:c>
      <x:c r="F182" s="22" t="str">
        <x:v>Estructura</x:v>
      </x:c>
      <x:c r="G182" s="22" t="str">
        <x:v>Mensual</x:v>
      </x:c>
      <x:c r="H182" s="40" t="n">
        <x:v>90</x:v>
      </x:c>
      <x:c r="I182" s="22" t="str">
        <x:v>Mayor es mejor</x:v>
      </x:c>
      <x:c r="J182" s="40" t="n">
        <x:v>16</x:v>
      </x:c>
      <x:c r="K182" s="40" t="n">
        <x:v>18</x:v>
      </x:c>
      <x:c r="L182" s="40" t="n">
        <x:v>100</x:v>
      </x:c>
      <x:c r="M182" s="40" t="n">
        <x:f>IF(OR(J182="",K182="",K182=0),"",J182/K182*L182)</x:f>
        <x:v>88.88888888888889</x:v>
      </x:c>
      <x:c r="N182" s="22" t="str">
        <x:f>IF(M182="","",IF(I182="Mayor es mejor",IF(M182&gt;=H182,"En meta",IF(M182&gt;=H182*0.9,"Alerta","Crítico")),IF(M182&lt;=H182,"En meta",IF(M182&lt;=H182*1.1,"Alerta","Crítico"))))</x:f>
        <x:v>Alerta</x:v>
      </x:c>
      <x:c r="O182" s="22" t="str">
        <x:v>%</x:v>
      </x:c>
      <x:c r="P182" s="22" t="str">
        <x:v>Líder SG-SST / Talento Humano</x:v>
      </x:c>
      <x:c r="Q182" s="22" t="str">
        <x:v>Plan de formación y capacitaciones</x:v>
      </x:c>
      <x:c r="R182" s="22" t="str"/>
    </x:row>
    <x:row r="183">
      <x:c r="A183" s="46" t="n">
        <x:v>45657</x:v>
      </x:c>
      <x:c r="B183" s="22" t="n">
        <x:v>2024</x:v>
      </x:c>
      <x:c r="C183" s="22" t="str">
        <x:v>Diciembre</x:v>
      </x:c>
      <x:c r="D183" s="22" t="str">
        <x:v>E03</x:v>
      </x:c>
      <x:c r="E183" s="22" t="str">
        <x:v>% trabajadores con exámenes médicos ocupacionales vigentes</x:v>
      </x:c>
      <x:c r="F183" s="22" t="str">
        <x:v>Estructura</x:v>
      </x:c>
      <x:c r="G183" s="22" t="str">
        <x:v>Mensual</x:v>
      </x:c>
      <x:c r="H183" s="40" t="n">
        <x:v>95</x:v>
      </x:c>
      <x:c r="I183" s="22" t="str">
        <x:v>Mayor es mejor</x:v>
      </x:c>
      <x:c r="J183" s="40" t="n">
        <x:v>215</x:v>
      </x:c>
      <x:c r="K183" s="40" t="n">
        <x:v>226</x:v>
      </x:c>
      <x:c r="L183" s="40" t="n">
        <x:v>100</x:v>
      </x:c>
      <x:c r="M183" s="40" t="n">
        <x:f>IF(OR(J183="",K183="",K183=0),"",J183/K183*L183)</x:f>
        <x:v>95.13274336283186</x:v>
      </x:c>
      <x:c r="N183" s="22" t="str">
        <x:f>IF(M183="","",IF(I183="Mayor es mejor",IF(M183&gt;=H183,"En meta",IF(M183&gt;=H183*0.9,"Alerta","Crítico")),IF(M183&lt;=H183,"En meta",IF(M183&lt;=H183*1.1,"Alerta","Crítico"))))</x:f>
        <x:v>En meta</x:v>
      </x:c>
      <x:c r="O183" s="22" t="str">
        <x:v>%</x:v>
      </x:c>
      <x:c r="P183" s="22" t="str">
        <x:v>Líder SG-SST / Talento Humano</x:v>
      </x:c>
      <x:c r="Q183" s="22" t="str">
        <x:v>Matriz de seguimiento EMO</x:v>
      </x:c>
      <x:c r="R183" s="22" t="str"/>
    </x:row>
    <x:row r="184">
      <x:c r="A184" s="46" t="n">
        <x:v>45657</x:v>
      </x:c>
      <x:c r="B184" s="22" t="n">
        <x:v>2024</x:v>
      </x:c>
      <x:c r="C184" s="22" t="str">
        <x:v>Diciembre</x:v>
      </x:c>
      <x:c r="D184" s="22" t="str">
        <x:v>E04</x:v>
      </x:c>
      <x:c r="E184" s="22" t="str">
        <x:v>% cumplimiento de requisitos legales aplicables en SST</x:v>
      </x:c>
      <x:c r="F184" s="22" t="str">
        <x:v>Estructura</x:v>
      </x:c>
      <x:c r="G184" s="22" t="str">
        <x:v>Mensual</x:v>
      </x:c>
      <x:c r="H184" s="40" t="n">
        <x:v>95</x:v>
      </x:c>
      <x:c r="I184" s="22" t="str">
        <x:v>Mayor es mejor</x:v>
      </x:c>
      <x:c r="J184" s="40" t="n">
        <x:v>57</x:v>
      </x:c>
      <x:c r="K184" s="40" t="n">
        <x:v>60</x:v>
      </x:c>
      <x:c r="L184" s="40" t="n">
        <x:v>100</x:v>
      </x:c>
      <x:c r="M184" s="40" t="n">
        <x:f>IF(OR(J184="",K184="",K184=0),"",J184/K184*L184)</x:f>
        <x:v>95</x:v>
      </x:c>
      <x:c r="N184" s="22" t="str">
        <x:f>IF(M184="","",IF(I184="Mayor es mejor",IF(M184&gt;=H184,"En meta",IF(M184&gt;=H184*0.9,"Alerta","Crítico")),IF(M184&lt;=H184,"En meta",IF(M184&lt;=H184*1.1,"Alerta","Crítico"))))</x:f>
        <x:v>En meta</x:v>
      </x:c>
      <x:c r="O184" s="22" t="str">
        <x:v>%</x:v>
      </x:c>
      <x:c r="P184" s="22" t="str">
        <x:v>Líder SG-SST / Jurídica</x:v>
      </x:c>
      <x:c r="Q184" s="22" t="str">
        <x:v>Matriz legal SGRL</x:v>
      </x:c>
      <x:c r="R184" s="22" t="str"/>
    </x:row>
    <x:row r="185">
      <x:c r="A185" s="46" t="n">
        <x:v>45657</x:v>
      </x:c>
      <x:c r="B185" s="22" t="n">
        <x:v>2024</x:v>
      </x:c>
      <x:c r="C185" s="22" t="str">
        <x:v>Diciembre</x:v>
      </x:c>
      <x:c r="D185" s="22" t="str">
        <x:v>E05</x:v>
      </x:c>
      <x:c r="E185" s="22" t="str">
        <x:v>% proveedores y contratistas aprobados en SST</x:v>
      </x:c>
      <x:c r="F185" s="22" t="str">
        <x:v>Estructura</x:v>
      </x:c>
      <x:c r="G185" s="22" t="str">
        <x:v>Mensual</x:v>
      </x:c>
      <x:c r="H185" s="40" t="n">
        <x:v>90</x:v>
      </x:c>
      <x:c r="I185" s="22" t="str">
        <x:v>Mayor es mejor</x:v>
      </x:c>
      <x:c r="J185" s="40" t="n">
        <x:v>18</x:v>
      </x:c>
      <x:c r="K185" s="40" t="n">
        <x:v>20</x:v>
      </x:c>
      <x:c r="L185" s="40" t="n">
        <x:v>100</x:v>
      </x:c>
      <x:c r="M185" s="40" t="n">
        <x:f>IF(OR(J185="",K185="",K185=0),"",J185/K185*L185)</x:f>
        <x:v>90</x:v>
      </x:c>
      <x:c r="N185" s="22" t="str">
        <x:f>IF(M185="","",IF(I185="Mayor es mejor",IF(M185&gt;=H185,"En meta",IF(M185&gt;=H185*0.9,"Alerta","Crítico")),IF(M185&lt;=H185,"En meta",IF(M185&lt;=H185*1.1,"Alerta","Crítico"))))</x:f>
        <x:v>En meta</x:v>
      </x:c>
      <x:c r="O185" s="22" t="str">
        <x:v>%</x:v>
      </x:c>
      <x:c r="P185" s="22" t="str">
        <x:v>Compras / Líder SG-SST</x:v>
      </x:c>
      <x:c r="Q185" s="22" t="str">
        <x:v>Gestión de proveedores y contratistas</x:v>
      </x:c>
      <x:c r="R185" s="22" t="str"/>
    </x:row>
    <x:row r="186">
      <x:c r="A186" s="46" t="n">
        <x:v>45657</x:v>
      </x:c>
      <x:c r="B186" s="22" t="n">
        <x:v>2024</x:v>
      </x:c>
      <x:c r="C186" s="22" t="str">
        <x:v>Diciembre</x:v>
      </x:c>
      <x:c r="D186" s="22" t="str">
        <x:v>P01</x:v>
      </x:c>
      <x:c r="E186" s="22" t="str">
        <x:v>% ejecución del plan anual de trabajo SG-SST</x:v>
      </x:c>
      <x:c r="F186" s="22" t="str">
        <x:v>Proceso</x:v>
      </x:c>
      <x:c r="G186" s="22" t="str">
        <x:v>Mensual</x:v>
      </x:c>
      <x:c r="H186" s="40" t="n">
        <x:v>90</x:v>
      </x:c>
      <x:c r="I186" s="22" t="str">
        <x:v>Mayor es mejor</x:v>
      </x:c>
      <x:c r="J186" s="40" t="n">
        <x:v>9</x:v>
      </x:c>
      <x:c r="K186" s="40" t="n">
        <x:v>10</x:v>
      </x:c>
      <x:c r="L186" s="40" t="n">
        <x:v>100</x:v>
      </x:c>
      <x:c r="M186" s="40" t="n">
        <x:f>IF(OR(J186="",K186="",K186=0),"",J186/K186*L186)</x:f>
        <x:v>90</x:v>
      </x:c>
      <x:c r="N186" s="22" t="str">
        <x:f>IF(M186="","",IF(I186="Mayor es mejor",IF(M186&gt;=H186,"En meta",IF(M186&gt;=H186*0.9,"Alerta","Crítico")),IF(M186&lt;=H186,"En meta",IF(M186&lt;=H186*1.1,"Alerta","Crítico"))))</x:f>
        <x:v>En meta</x:v>
      </x:c>
      <x:c r="O186" s="22" t="str">
        <x:v>%</x:v>
      </x:c>
      <x:c r="P186" s="22" t="str">
        <x:v>Líder SG-SST</x:v>
      </x:c>
      <x:c r="Q186" s="22" t="str">
        <x:v>Plan anual de trabajo PHVA</x:v>
      </x:c>
      <x:c r="R186" s="22" t="str"/>
    </x:row>
    <x:row r="187">
      <x:c r="A187" s="46" t="n">
        <x:v>45657</x:v>
      </x:c>
      <x:c r="B187" s="22" t="n">
        <x:v>2024</x:v>
      </x:c>
      <x:c r="C187" s="22" t="str">
        <x:v>Diciembre</x:v>
      </x:c>
      <x:c r="D187" s="22" t="str">
        <x:v>P02</x:v>
      </x:c>
      <x:c r="E187" s="22" t="str">
        <x:v>% investigaciones de accidentes realizadas oportunamente</x:v>
      </x:c>
      <x:c r="F187" s="22" t="str">
        <x:v>Proceso</x:v>
      </x:c>
      <x:c r="G187" s="22" t="str">
        <x:v>Mensual</x:v>
      </x:c>
      <x:c r="H187" s="40" t="n">
        <x:v>95</x:v>
      </x:c>
      <x:c r="I187" s="22" t="str">
        <x:v>Mayor es mejor</x:v>
      </x:c>
      <x:c r="J187" s="40" t="n">
        <x:v>1</x:v>
      </x:c>
      <x:c r="K187" s="40" t="n">
        <x:v>1</x:v>
      </x:c>
      <x:c r="L187" s="40" t="n">
        <x:v>100</x:v>
      </x:c>
      <x:c r="M187" s="40" t="n">
        <x:f>IF(OR(J187="",K187="",K187=0),"",J187/K187*L187)</x:f>
        <x:v>100</x:v>
      </x:c>
      <x:c r="N187" s="22" t="str">
        <x:f>IF(M187="","",IF(I187="Mayor es mejor",IF(M187&gt;=H187,"En meta",IF(M187&gt;=H187*0.9,"Alerta","Crítico")),IF(M187&lt;=H187,"En meta",IF(M187&lt;=H187*1.1,"Alerta","Crítico"))))</x:f>
        <x:v>En meta</x:v>
      </x:c>
      <x:c r="O187" s="22" t="str">
        <x:v>%</x:v>
      </x:c>
      <x:c r="P187" s="22" t="str">
        <x:v>Líder SG-SST / COPASST</x:v>
      </x:c>
      <x:c r="Q187" s="22" t="str">
        <x:v>Matriz de accidentalidad</x:v>
      </x:c>
      <x:c r="R187" s="22" t="str"/>
    </x:row>
    <x:row r="188">
      <x:c r="A188" s="46" t="n">
        <x:v>45657</x:v>
      </x:c>
      <x:c r="B188" s="22" t="n">
        <x:v>2024</x:v>
      </x:c>
      <x:c r="C188" s="22" t="str">
        <x:v>Diciembre</x:v>
      </x:c>
      <x:c r="D188" s="22" t="str">
        <x:v>P03</x:v>
      </x:c>
      <x:c r="E188" s="22" t="str">
        <x:v>% cierre oportuno de acciones correctivas, preventivas y de mejora</x:v>
      </x:c>
      <x:c r="F188" s="22" t="str">
        <x:v>Proceso</x:v>
      </x:c>
      <x:c r="G188" s="22" t="str">
        <x:v>Mensual</x:v>
      </x:c>
      <x:c r="H188" s="40" t="n">
        <x:v>90</x:v>
      </x:c>
      <x:c r="I188" s="22" t="str">
        <x:v>Mayor es mejor</x:v>
      </x:c>
      <x:c r="J188" s="40" t="n">
        <x:v>11</x:v>
      </x:c>
      <x:c r="K188" s="40" t="n">
        <x:v>12</x:v>
      </x:c>
      <x:c r="L188" s="40" t="n">
        <x:v>100</x:v>
      </x:c>
      <x:c r="M188" s="40" t="n">
        <x:f>IF(OR(J188="",K188="",K188=0),"",J188/K188*L188)</x:f>
        <x:v>91.66666666666666</x:v>
      </x:c>
      <x:c r="N188" s="22" t="str">
        <x:f>IF(M188="","",IF(I188="Mayor es mejor",IF(M188&gt;=H188,"En meta",IF(M188&gt;=H188*0.9,"Alerta","Crítico")),IF(M188&lt;=H188,"En meta",IF(M188&lt;=H188*1.1,"Alerta","Crítico"))))</x:f>
        <x:v>En meta</x:v>
      </x:c>
      <x:c r="O188" s="22" t="str">
        <x:v>%</x:v>
      </x:c>
      <x:c r="P188" s="22" t="str">
        <x:v>Líder SG-SST / Responsables de proceso</x:v>
      </x:c>
      <x:c r="Q188" s="22" t="str">
        <x:v>Matriz APCM</x:v>
      </x:c>
      <x:c r="R188" s="22" t="str"/>
    </x:row>
    <x:row r="189">
      <x:c r="A189" s="46" t="n">
        <x:v>45657</x:v>
      </x:c>
      <x:c r="B189" s="22" t="n">
        <x:v>2024</x:v>
      </x:c>
      <x:c r="C189" s="22" t="str">
        <x:v>Diciembre</x:v>
      </x:c>
      <x:c r="D189" s="22" t="str">
        <x:v>P04</x:v>
      </x:c>
      <x:c r="E189" s="22" t="str">
        <x:v>% inspecciones de seguridad ejecutadas</x:v>
      </x:c>
      <x:c r="F189" s="22" t="str">
        <x:v>Proceso</x:v>
      </x:c>
      <x:c r="G189" s="22" t="str">
        <x:v>Mensual</x:v>
      </x:c>
      <x:c r="H189" s="40" t="n">
        <x:v>90</x:v>
      </x:c>
      <x:c r="I189" s="22" t="str">
        <x:v>Mayor es mejor</x:v>
      </x:c>
      <x:c r="J189" s="40" t="n">
        <x:v>7</x:v>
      </x:c>
      <x:c r="K189" s="40" t="n">
        <x:v>8</x:v>
      </x:c>
      <x:c r="L189" s="40" t="n">
        <x:v>100</x:v>
      </x:c>
      <x:c r="M189" s="40" t="n">
        <x:f>IF(OR(J189="",K189="",K189=0),"",J189/K189*L189)</x:f>
        <x:v>87.5</x:v>
      </x:c>
      <x:c r="N189" s="22" t="str">
        <x:f>IF(M189="","",IF(I189="Mayor es mejor",IF(M189&gt;=H189,"En meta",IF(M189&gt;=H189*0.9,"Alerta","Crítico")),IF(M189&lt;=H189,"En meta",IF(M189&lt;=H189*1.1,"Alerta","Crítico"))))</x:f>
        <x:v>Alerta</x:v>
      </x:c>
      <x:c r="O189" s="22" t="str">
        <x:v>%</x:v>
      </x:c>
      <x:c r="P189" s="22" t="str">
        <x:v>Líder SG-SST / Supervisores</x:v>
      </x:c>
      <x:c r="Q189" s="22" t="str">
        <x:v>Programa de inspecciones</x:v>
      </x:c>
      <x:c r="R189" s="22" t="str"/>
    </x:row>
    <x:row r="190">
      <x:c r="A190" s="46" t="n">
        <x:v>45657</x:v>
      </x:c>
      <x:c r="B190" s="22" t="n">
        <x:v>2024</x:v>
      </x:c>
      <x:c r="C190" s="22" t="str">
        <x:v>Diciembre</x:v>
      </x:c>
      <x:c r="D190" s="22" t="str">
        <x:v>P05</x:v>
      </x:c>
      <x:c r="E190" s="22" t="str">
        <x:v>% mantenimientos preventivos ejecutados</x:v>
      </x:c>
      <x:c r="F190" s="22" t="str">
        <x:v>Proceso</x:v>
      </x:c>
      <x:c r="G190" s="22" t="str">
        <x:v>Mensual</x:v>
      </x:c>
      <x:c r="H190" s="40" t="n">
        <x:v>90</x:v>
      </x:c>
      <x:c r="I190" s="22" t="str">
        <x:v>Mayor es mejor</x:v>
      </x:c>
      <x:c r="J190" s="40" t="n">
        <x:v>11</x:v>
      </x:c>
      <x:c r="K190" s="40" t="n">
        <x:v>12</x:v>
      </x:c>
      <x:c r="L190" s="40" t="n">
        <x:v>100</x:v>
      </x:c>
      <x:c r="M190" s="40" t="n">
        <x:f>IF(OR(J190="",K190="",K190=0),"",J190/K190*L190)</x:f>
        <x:v>91.66666666666666</x:v>
      </x:c>
      <x:c r="N190" s="22" t="str">
        <x:f>IF(M190="","",IF(I190="Mayor es mejor",IF(M190&gt;=H190,"En meta",IF(M190&gt;=H190*0.9,"Alerta","Crítico")),IF(M190&lt;=H190,"En meta",IF(M190&lt;=H190*1.1,"Alerta","Crítico"))))</x:f>
        <x:v>En meta</x:v>
      </x:c>
      <x:c r="O190" s="22" t="str">
        <x:v>%</x:v>
      </x:c>
      <x:c r="P190" s="22" t="str">
        <x:v>Mantenimiento / Líder SG-SST</x:v>
      </x:c>
      <x:c r="Q190" s="22" t="str">
        <x:v>Programa de mantenimiento preventivo</x:v>
      </x:c>
      <x:c r="R190" s="22" t="str"/>
    </x:row>
    <x:row r="191">
      <x:c r="A191" s="46" t="n">
        <x:v>45657</x:v>
      </x:c>
      <x:c r="B191" s="22" t="n">
        <x:v>2024</x:v>
      </x:c>
      <x:c r="C191" s="22" t="str">
        <x:v>Diciembre</x:v>
      </x:c>
      <x:c r="D191" s="22" t="str">
        <x:v>R01</x:v>
      </x:c>
      <x:c r="E191" s="22" t="str">
        <x:v>Índice de frecuencia de accidentalidad (IF)</x:v>
      </x:c>
      <x:c r="F191" s="22" t="str">
        <x:v>Resultado</x:v>
      </x:c>
      <x:c r="G191" s="22" t="str">
        <x:v>Mensual</x:v>
      </x:c>
      <x:c r="H191" s="40" t="n">
        <x:v>3.5</x:v>
      </x:c>
      <x:c r="I191" s="22" t="str">
        <x:v>Menor es mejor</x:v>
      </x:c>
      <x:c r="J191" s="40" t="n">
        <x:v>1</x:v>
      </x:c>
      <x:c r="K191" s="40" t="n">
        <x:v>54418</x:v>
      </x:c>
      <x:c r="L191" s="40" t="n">
        <x:v>200000</x:v>
      </x:c>
      <x:c r="M191" s="40" t="n">
        <x:f>IF(OR(J191="",K191="",K191=0),"",J191/K191*L191)</x:f>
        <x:v>3.6752545113749124</x:v>
      </x:c>
      <x:c r="N191" s="22" t="str">
        <x:f>IF(M191="","",IF(I191="Mayor es mejor",IF(M191&gt;=H191,"En meta",IF(M191&gt;=H191*0.9,"Alerta","Crítico")),IF(M191&lt;=H191,"En meta",IF(M191&lt;=H191*1.1,"Alerta","Crítico"))))</x:f>
        <x:v>Alerta</x:v>
      </x:c>
      <x:c r="O191" s="22" t="str">
        <x:v>Índice</x:v>
      </x:c>
      <x:c r="P191" s="22" t="str">
        <x:v>Líder SG-SST</x:v>
      </x:c>
      <x:c r="Q191" s="22" t="str">
        <x:v>Matriz de accidentalidad / nómina</x:v>
      </x:c>
      <x:c r="R191" s="22" t="str"/>
    </x:row>
    <x:row r="192">
      <x:c r="A192" s="46" t="n">
        <x:v>45657</x:v>
      </x:c>
      <x:c r="B192" s="22" t="n">
        <x:v>2024</x:v>
      </x:c>
      <x:c r="C192" s="22" t="str">
        <x:v>Diciembre</x:v>
      </x:c>
      <x:c r="D192" s="22" t="str">
        <x:v>R02</x:v>
      </x:c>
      <x:c r="E192" s="22" t="str">
        <x:v>Índice de severidad de accidentalidad (IS)</x:v>
      </x:c>
      <x:c r="F192" s="22" t="str">
        <x:v>Resultado</x:v>
      </x:c>
      <x:c r="G192" s="22" t="str">
        <x:v>Mensual</x:v>
      </x:c>
      <x:c r="H192" s="40" t="n">
        <x:v>80</x:v>
      </x:c>
      <x:c r="I192" s="22" t="str">
        <x:v>Menor es mejor</x:v>
      </x:c>
      <x:c r="J192" s="40" t="n">
        <x:v>18</x:v>
      </x:c>
      <x:c r="K192" s="40" t="n">
        <x:v>54418</x:v>
      </x:c>
      <x:c r="L192" s="40" t="n">
        <x:v>200000</x:v>
      </x:c>
      <x:c r="M192" s="40" t="n">
        <x:f>IF(OR(J192="",K192="",K192=0),"",J192/K192*L192)</x:f>
        <x:v>66.15458120474842</x:v>
      </x:c>
      <x:c r="N192" s="22" t="str">
        <x:f>IF(M192="","",IF(I192="Mayor es mejor",IF(M192&gt;=H192,"En meta",IF(M192&gt;=H192*0.9,"Alerta","Crítico")),IF(M192&lt;=H192,"En meta",IF(M192&lt;=H192*1.1,"Alerta","Crítico"))))</x:f>
        <x:v>En meta</x:v>
      </x:c>
      <x:c r="O192" s="22" t="str">
        <x:v>Índice</x:v>
      </x:c>
      <x:c r="P192" s="22" t="str">
        <x:v>Líder SG-SST</x:v>
      </x:c>
      <x:c r="Q192" s="22" t="str">
        <x:v>Matriz de accidentalidad / nómina</x:v>
      </x:c>
      <x:c r="R192" s="22" t="str"/>
    </x:row>
    <x:row r="193">
      <x:c r="A193" s="46" t="n">
        <x:v>45657</x:v>
      </x:c>
      <x:c r="B193" s="22" t="n">
        <x:v>2024</x:v>
      </x:c>
      <x:c r="C193" s="22" t="str">
        <x:v>Diciembre</x:v>
      </x:c>
      <x:c r="D193" s="22" t="str">
        <x:v>R03</x:v>
      </x:c>
      <x:c r="E193" s="22" t="str">
        <x:v>Índice de lesión incapacitante (ILI)</x:v>
      </x:c>
      <x:c r="F193" s="22" t="str">
        <x:v>Resultado</x:v>
      </x:c>
      <x:c r="G193" s="22" t="str">
        <x:v>Mensual</x:v>
      </x:c>
      <x:c r="H193" s="40" t="n">
        <x:v>0.25</x:v>
      </x:c>
      <x:c r="I193" s="22" t="str">
        <x:v>Menor es mejor</x:v>
      </x:c>
      <x:c r="J193" s="40" t="n">
        <x:v>243.1349</x:v>
      </x:c>
      <x:c r="K193" s="40" t="n">
        <x:v>1000</x:v>
      </x:c>
      <x:c r="L193" s="40" t="n">
        <x:v>1</x:v>
      </x:c>
      <x:c r="M193" s="40" t="n">
        <x:f>IF(OR(J193="",K193="",K193=0),"",J193/K193*L193)</x:f>
        <x:v>0.2431349</x:v>
      </x:c>
      <x:c r="N193" s="22" t="str">
        <x:f>IF(M193="","",IF(I193="Mayor es mejor",IF(M193&gt;=H193,"En meta",IF(M193&gt;=H193*0.9,"Alerta","Crítico")),IF(M193&lt;=H193,"En meta",IF(M193&lt;=H193*1.1,"Alerta","Crítico"))))</x:f>
        <x:v>En meta</x:v>
      </x:c>
      <x:c r="O193" s="22" t="str">
        <x:v>Índice</x:v>
      </x:c>
      <x:c r="P193" s="22" t="str">
        <x:v>Líder SG-SST</x:v>
      </x:c>
      <x:c r="Q193" s="22" t="str">
        <x:v>Indicadores derivados de accidentalidad</x:v>
      </x:c>
      <x:c r="R193" s="22" t="str">
        <x:v>ILI calculado sobre IF e IS del periodo.</x:v>
      </x:c>
    </x:row>
    <x:row r="194">
      <x:c r="A194" s="46" t="n">
        <x:v>45657</x:v>
      </x:c>
      <x:c r="B194" s="22" t="n">
        <x:v>2024</x:v>
      </x:c>
      <x:c r="C194" s="22" t="str">
        <x:v>Diciembre</x:v>
      </x:c>
      <x:c r="D194" s="22" t="str">
        <x:v>R04</x:v>
      </x:c>
      <x:c r="E194" s="22" t="str">
        <x:v>Tasa de accidentalidad</x:v>
      </x:c>
      <x:c r="F194" s="22" t="str">
        <x:v>Resultado</x:v>
      </x:c>
      <x:c r="G194" s="22" t="str">
        <x:v>Mensual</x:v>
      </x:c>
      <x:c r="H194" s="40" t="n">
        <x:v>0.6</x:v>
      </x:c>
      <x:c r="I194" s="22" t="str">
        <x:v>Menor es mejor</x:v>
      </x:c>
      <x:c r="J194" s="40" t="n">
        <x:v>4.87</x:v>
      </x:c>
      <x:c r="K194" s="40" t="n">
        <x:v>226</x:v>
      </x:c>
      <x:c r="L194" s="40" t="n">
        <x:v>100</x:v>
      </x:c>
      <x:c r="M194" s="40" t="n">
        <x:f>IF(OR(J194="",K194="",K194=0),"",J194/K194*L194)</x:f>
        <x:v>2.1548672566371683</x:v>
      </x:c>
      <x:c r="N194" s="22" t="str">
        <x:f>IF(M194="","",IF(I194="Mayor es mejor",IF(M194&gt;=H194,"En meta",IF(M194&gt;=H194*0.9,"Alerta","Crítico")),IF(M194&lt;=H194,"En meta",IF(M194&lt;=H194*1.1,"Alerta","Crítico"))))</x:f>
        <x:v>Crítico</x:v>
      </x:c>
      <x:c r="O194" s="22" t="str">
        <x:v>%</x:v>
      </x:c>
      <x:c r="P194" s="22" t="str">
        <x:v>Líder SG-SST</x:v>
      </x:c>
      <x:c r="Q194" s="22" t="str">
        <x:v>Matriz de accidentalidad / nómina</x:v>
      </x:c>
      <x:c r="R194" s="22" t="str"/>
    </x:row>
    <x:row r="195">
      <x:c r="A195" s="46" t="n">
        <x:v>45657</x:v>
      </x:c>
      <x:c r="B195" s="22" t="n">
        <x:v>2024</x:v>
      </x:c>
      <x:c r="C195" s="22" t="str">
        <x:v>Diciembre</x:v>
      </x:c>
      <x:c r="D195" s="22" t="str">
        <x:v>R05</x:v>
      </x:c>
      <x:c r="E195" s="22" t="str">
        <x:v>Prevalencia de enfermedad laboral</x:v>
      </x:c>
      <x:c r="F195" s="22" t="str">
        <x:v>Resultado</x:v>
      </x:c>
      <x:c r="G195" s="22" t="str">
        <x:v>Mensual</x:v>
      </x:c>
      <x:c r="H195" s="40" t="n">
        <x:v>0.3</x:v>
      </x:c>
      <x:c r="I195" s="22" t="str">
        <x:v>Menor es mejor</x:v>
      </x:c>
      <x:c r="J195" s="40" t="n">
        <x:v>2.39</x:v>
      </x:c>
      <x:c r="K195" s="40" t="n">
        <x:v>226</x:v>
      </x:c>
      <x:c r="L195" s="40" t="n">
        <x:v>100</x:v>
      </x:c>
      <x:c r="M195" s="40" t="n">
        <x:f>IF(OR(J195="",K195="",K195=0),"",J195/K195*L195)</x:f>
        <x:v>1.0575221238938055</x:v>
      </x:c>
      <x:c r="N195" s="22" t="str">
        <x:f>IF(M195="","",IF(I195="Mayor es mejor",IF(M195&gt;=H195,"En meta",IF(M195&gt;=H195*0.9,"Alerta","Crítico")),IF(M195&lt;=H195,"En meta",IF(M195&lt;=H195*1.1,"Alerta","Crítico"))))</x:f>
        <x:v>Crítico</x:v>
      </x:c>
      <x:c r="O195" s="22" t="str">
        <x:v>%</x:v>
      </x:c>
      <x:c r="P195" s="22" t="str">
        <x:v>Líder SG-SST / Medicina laboral</x:v>
      </x:c>
      <x:c r="Q195" s="22" t="str">
        <x:v>Matriz de enfermedad laboral / nómina</x:v>
      </x:c>
      <x:c r="R195" s="22" t="str"/>
    </x:row>
    <x:row r="196">
      <x:c r="A196" s="46" t="n">
        <x:v>45657</x:v>
      </x:c>
      <x:c r="B196" s="22" t="n">
        <x:v>2024</x:v>
      </x:c>
      <x:c r="C196" s="22" t="str">
        <x:v>Diciembre</x:v>
      </x:c>
      <x:c r="D196" s="22" t="str">
        <x:v>R06</x:v>
      </x:c>
      <x:c r="E196" s="22" t="str">
        <x:v>% cumplimiento de estándares mínimos Res. 0312 de 2019</x:v>
      </x:c>
      <x:c r="F196" s="22" t="str">
        <x:v>Resultado</x:v>
      </x:c>
      <x:c r="G196" s="22" t="str">
        <x:v>Mensual</x:v>
      </x:c>
      <x:c r="H196" s="40" t="n">
        <x:v>95</x:v>
      </x:c>
      <x:c r="I196" s="22" t="str">
        <x:v>Mayor es mejor</x:v>
      </x:c>
      <x:c r="J196" s="40" t="n">
        <x:v>97</x:v>
      </x:c>
      <x:c r="K196" s="40" t="n">
        <x:v>100</x:v>
      </x:c>
      <x:c r="L196" s="40" t="n">
        <x:v>100</x:v>
      </x:c>
      <x:c r="M196" s="40" t="n">
        <x:f>IF(OR(J196="",K196="",K196=0),"",J196/K196*L196)</x:f>
        <x:v>97</x:v>
      </x:c>
      <x:c r="N196" s="22" t="str">
        <x:f>IF(M196="","",IF(I196="Mayor es mejor",IF(M196&gt;=H196,"En meta",IF(M196&gt;=H196*0.9,"Alerta","Crítico")),IF(M196&lt;=H196,"En meta",IF(M196&lt;=H196*1.1,"Alerta","Crítico"))))</x:f>
        <x:v>En meta</x:v>
      </x:c>
      <x:c r="O196" s="22" t="str">
        <x:v>%</x:v>
      </x:c>
      <x:c r="P196" s="22" t="str">
        <x:v>Líder SG-SST / Alta Dirección</x:v>
      </x:c>
      <x:c r="Q196" s="22" t="str">
        <x:v>Autodiagnóstico Res. 0312 de 2019</x:v>
      </x:c>
      <x:c r="R196" s="22" t="str"/>
    </x:row>
  </x:sheetData>
  <x:mergeCells>
    <x:mergeCell ref="A1:R1"/>
    <x:mergeCell ref="A2:R2"/>
  </x:mergeCells>
  <x:conditionalFormatting sqref="N5:N196">
    <x:cfRule type="expression" dxfId="6" priority="1">
      <x:formula>N5="En meta"</x:formula>
    </x:cfRule>
    <x:cfRule type="expression" dxfId="7" priority="2">
      <x:formula>N5="Alerta"</x:formula>
    </x:cfRule>
    <x:cfRule type="expression" dxfId="8" priority="3">
      <x:formula>N5="Crítico"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Medición de indicadores SG-SST 2025</x:v>
      </x:c>
    </x:row>
    <x:row r="2">
      <x:c r="A2" s="9" t="str">
        <x:v>Los resultados se calculan automáticamente a partir de Base_1, Base_2 y Factor. Año completo.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45688</x:v>
      </x:c>
      <x:c r="B5" s="22" t="n">
        <x:v>2025</x:v>
      </x:c>
      <x:c r="C5" s="22" t="str">
        <x:v>Enero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n">
        <x:v>4383599</x:v>
      </x:c>
      <x:c r="K5" s="40" t="n">
        <x:v>4500000</x:v>
      </x:c>
      <x:c r="L5" s="40" t="n">
        <x:v>100</x:v>
      </x:c>
      <x:c r="M5" s="40" t="n">
        <x:f>IF(OR(J5="",K5="",K5=0),"",J5/K5*L5)</x:f>
        <x:v>97.41331111111111</x:v>
      </x:c>
      <x:c r="N5" s="22" t="str">
        <x:f>IF(M5="","",IF(I5="Mayor es mejor",IF(M5&gt;=H5,"En meta",IF(M5&gt;=H5*0.9,"Alerta","Crítico")),IF(M5&lt;=H5,"En meta",IF(M5&lt;=H5*1.1,"Alerta","Crítico"))))</x:f>
        <x:v>En meta</x:v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/>
    </x:row>
    <x:row r="6">
      <x:c r="A6" s="46" t="n">
        <x:v>45688</x:v>
      </x:c>
      <x:c r="B6" s="22" t="n">
        <x:v>2025</x:v>
      </x:c>
      <x:c r="C6" s="22" t="str">
        <x:v>Enero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n">
        <x:v>19</x:v>
      </x:c>
      <x:c r="K6" s="40" t="n">
        <x:v>20</x:v>
      </x:c>
      <x:c r="L6" s="40" t="n">
        <x:v>100</x:v>
      </x:c>
      <x:c r="M6" s="40" t="n">
        <x:f>IF(OR(J6="",K6="",K6=0),"",J6/K6*L6)</x:f>
        <x:v>95</x:v>
      </x:c>
      <x:c r="N6" s="22" t="str">
        <x:f>IF(M6="","",IF(I6="Mayor es mejor",IF(M6&gt;=H6,"En meta",IF(M6&gt;=H6*0.9,"Alerta","Crítico")),IF(M6&lt;=H6,"En meta",IF(M6&lt;=H6*1.1,"Alerta","Crítico"))))</x:f>
        <x:v>En meta</x:v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/>
    </x:row>
    <x:row r="7">
      <x:c r="A7" s="46" t="n">
        <x:v>45688</x:v>
      </x:c>
      <x:c r="B7" s="22" t="n">
        <x:v>2025</x:v>
      </x:c>
      <x:c r="C7" s="22" t="str">
        <x:v>Enero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n">
        <x:v>238</x:v>
      </x:c>
      <x:c r="K7" s="40" t="n">
        <x:v>243</x:v>
      </x:c>
      <x:c r="L7" s="40" t="n">
        <x:v>100</x:v>
      </x:c>
      <x:c r="M7" s="40" t="n">
        <x:f>IF(OR(J7="",K7="",K7=0),"",J7/K7*L7)</x:f>
        <x:v>97.94238683127571</x:v>
      </x:c>
      <x:c r="N7" s="22" t="str">
        <x:f>IF(M7="","",IF(I7="Mayor es mejor",IF(M7&gt;=H7,"En meta",IF(M7&gt;=H7*0.9,"Alerta","Crítico")),IF(M7&lt;=H7,"En meta",IF(M7&lt;=H7*1.1,"Alerta","Crítico"))))</x:f>
        <x:v>En meta</x:v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/>
    </x:row>
    <x:row r="8">
      <x:c r="A8" s="46" t="n">
        <x:v>45688</x:v>
      </x:c>
      <x:c r="B8" s="22" t="n">
        <x:v>2025</x:v>
      </x:c>
      <x:c r="C8" s="22" t="str">
        <x:v>Enero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n">
        <x:v>59</x:v>
      </x:c>
      <x:c r="K8" s="40" t="n">
        <x:v>60</x:v>
      </x:c>
      <x:c r="L8" s="40" t="n">
        <x:v>100</x:v>
      </x:c>
      <x:c r="M8" s="40" t="n">
        <x:f>IF(OR(J8="",K8="",K8=0),"",J8/K8*L8)</x:f>
        <x:v>98.33333333333333</x:v>
      </x:c>
      <x:c r="N8" s="22" t="str">
        <x:f>IF(M8="","",IF(I8="Mayor es mejor",IF(M8&gt;=H8,"En meta",IF(M8&gt;=H8*0.9,"Alerta","Crítico")),IF(M8&lt;=H8,"En meta",IF(M8&lt;=H8*1.1,"Alerta","Crítico"))))</x:f>
        <x:v>En meta</x:v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/>
    </x:row>
    <x:row r="9">
      <x:c r="A9" s="46" t="n">
        <x:v>45688</x:v>
      </x:c>
      <x:c r="B9" s="22" t="n">
        <x:v>2025</x:v>
      </x:c>
      <x:c r="C9" s="22" t="str">
        <x:v>Enero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n">
        <x:v>19</x:v>
      </x:c>
      <x:c r="K9" s="40" t="n">
        <x:v>20</x:v>
      </x:c>
      <x:c r="L9" s="40" t="n">
        <x:v>100</x:v>
      </x:c>
      <x:c r="M9" s="40" t="n">
        <x:f>IF(OR(J9="",K9="",K9=0),"",J9/K9*L9)</x:f>
        <x:v>95</x:v>
      </x:c>
      <x:c r="N9" s="22" t="str">
        <x:f>IF(M9="","",IF(I9="Mayor es mejor",IF(M9&gt;=H9,"En meta",IF(M9&gt;=H9*0.9,"Alerta","Crítico")),IF(M9&lt;=H9,"En meta",IF(M9&lt;=H9*1.1,"Alerta","Crítico"))))</x:f>
        <x:v>En meta</x:v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/>
    </x:row>
    <x:row r="10">
      <x:c r="A10" s="46" t="n">
        <x:v>45688</x:v>
      </x:c>
      <x:c r="B10" s="22" t="n">
        <x:v>2025</x:v>
      </x:c>
      <x:c r="C10" s="22" t="str">
        <x:v>Enero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n">
        <x:v>11</x:v>
      </x:c>
      <x:c r="K10" s="40" t="n">
        <x:v>12</x:v>
      </x:c>
      <x:c r="L10" s="40" t="n">
        <x:v>100</x:v>
      </x:c>
      <x:c r="M10" s="40" t="n">
        <x:f>IF(OR(J10="",K10="",K10=0),"",J10/K10*L10)</x:f>
        <x:v>91.66666666666666</x:v>
      </x:c>
      <x:c r="N10" s="22" t="str">
        <x:f>IF(M10="","",IF(I10="Mayor es mejor",IF(M10&gt;=H10,"En meta",IF(M10&gt;=H10*0.9,"Alerta","Crítico")),IF(M10&lt;=H10,"En meta",IF(M10&lt;=H10*1.1,"Alerta","Crítico"))))</x:f>
        <x:v>En meta</x:v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/>
    </x:row>
    <x:row r="11">
      <x:c r="A11" s="46" t="n">
        <x:v>45688</x:v>
      </x:c>
      <x:c r="B11" s="22" t="n">
        <x:v>2025</x:v>
      </x:c>
      <x:c r="C11" s="22" t="str">
        <x:v>Enero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n">
        <x:v>1</x:v>
      </x:c>
      <x:c r="K11" s="40" t="n">
        <x:v>1</x:v>
      </x:c>
      <x:c r="L11" s="40" t="n">
        <x:v>100</x:v>
      </x:c>
      <x:c r="M11" s="40" t="n">
        <x:f>IF(OR(J11="",K11="",K11=0),"",J11/K11*L11)</x:f>
        <x:v>100</x:v>
      </x:c>
      <x:c r="N11" s="22" t="str">
        <x:f>IF(M11="","",IF(I11="Mayor es mejor",IF(M11&gt;=H11,"En meta",IF(M11&gt;=H11*0.9,"Alerta","Crítico")),IF(M11&lt;=H11,"En meta",IF(M11&lt;=H11*1.1,"Alerta","Crítico"))))</x:f>
        <x:v>En meta</x:v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/>
    </x:row>
    <x:row r="12">
      <x:c r="A12" s="46" t="n">
        <x:v>45688</x:v>
      </x:c>
      <x:c r="B12" s="22" t="n">
        <x:v>2025</x:v>
      </x:c>
      <x:c r="C12" s="22" t="str">
        <x:v>Enero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n">
        <x:v>10</x:v>
      </x:c>
      <x:c r="K12" s="40" t="n">
        <x:v>11</x:v>
      </x:c>
      <x:c r="L12" s="40" t="n">
        <x:v>100</x:v>
      </x:c>
      <x:c r="M12" s="40" t="n">
        <x:f>IF(OR(J12="",K12="",K12=0),"",J12/K12*L12)</x:f>
        <x:v>90.9090909090909</x:v>
      </x:c>
      <x:c r="N12" s="22" t="str">
        <x:f>IF(M12="","",IF(I12="Mayor es mejor",IF(M12&gt;=H12,"En meta",IF(M12&gt;=H12*0.9,"Alerta","Crítico")),IF(M12&lt;=H12,"En meta",IF(M12&lt;=H12*1.1,"Alerta","Crítico"))))</x:f>
        <x:v>En meta</x:v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/>
    </x:row>
    <x:row r="13">
      <x:c r="A13" s="46" t="n">
        <x:v>45688</x:v>
      </x:c>
      <x:c r="B13" s="22" t="n">
        <x:v>2025</x:v>
      </x:c>
      <x:c r="C13" s="22" t="str">
        <x:v>Enero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n">
        <x:v>8</x:v>
      </x:c>
      <x:c r="K13" s="40" t="n">
        <x:v>9</x:v>
      </x:c>
      <x:c r="L13" s="40" t="n">
        <x:v>100</x:v>
      </x:c>
      <x:c r="M13" s="40" t="n">
        <x:f>IF(OR(J13="",K13="",K13=0),"",J13/K13*L13)</x:f>
        <x:v>88.88888888888889</x:v>
      </x:c>
      <x:c r="N13" s="22" t="str">
        <x:f>IF(M13="","",IF(I13="Mayor es mejor",IF(M13&gt;=H13,"En meta",IF(M13&gt;=H13*0.9,"Alerta","Crítico")),IF(M13&lt;=H13,"En meta",IF(M13&lt;=H13*1.1,"Alerta","Crítico"))))</x:f>
        <x:v>Alerta</x:v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/>
    </x:row>
    <x:row r="14">
      <x:c r="A14" s="46" t="n">
        <x:v>45688</x:v>
      </x:c>
      <x:c r="B14" s="22" t="n">
        <x:v>2025</x:v>
      </x:c>
      <x:c r="C14" s="22" t="str">
        <x:v>Enero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n">
        <x:v>12</x:v>
      </x:c>
      <x:c r="K14" s="40" t="n">
        <x:v>13</x:v>
      </x:c>
      <x:c r="L14" s="40" t="n">
        <x:v>100</x:v>
      </x:c>
      <x:c r="M14" s="40" t="n">
        <x:f>IF(OR(J14="",K14="",K14=0),"",J14/K14*L14)</x:f>
        <x:v>92.3076923076923</x:v>
      </x:c>
      <x:c r="N14" s="22" t="str">
        <x:f>IF(M14="","",IF(I14="Mayor es mejor",IF(M14&gt;=H14,"En meta",IF(M14&gt;=H14*0.9,"Alerta","Crítico")),IF(M14&lt;=H14,"En meta",IF(M14&lt;=H14*1.1,"Alerta","Crítico"))))</x:f>
        <x:v>En meta</x:v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/>
    </x:row>
    <x:row r="15">
      <x:c r="A15" s="46" t="n">
        <x:v>45688</x:v>
      </x:c>
      <x:c r="B15" s="22" t="n">
        <x:v>2025</x:v>
      </x:c>
      <x:c r="C15" s="22" t="str">
        <x:v>Enero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n">
        <x:v>1</x:v>
      </x:c>
      <x:c r="K15" s="40" t="n">
        <x:v>58971</x:v>
      </x:c>
      <x:c r="L15" s="40" t="n">
        <x:v>200000</x:v>
      </x:c>
      <x:c r="M15" s="40" t="n">
        <x:f>IF(OR(J15="",K15="",K15=0),"",J15/K15*L15)</x:f>
        <x:v>3.39149751572807</x:v>
      </x:c>
      <x:c r="N15" s="22" t="str">
        <x:f>IF(M15="","",IF(I15="Mayor es mejor",IF(M15&gt;=H15,"En meta",IF(M15&gt;=H15*0.9,"Alerta","Crítico")),IF(M15&lt;=H15,"En meta",IF(M15&lt;=H15*1.1,"Alerta","Crítico"))))</x:f>
        <x:v>En meta</x:v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/>
    </x:row>
    <x:row r="16">
      <x:c r="A16" s="46" t="n">
        <x:v>45688</x:v>
      </x:c>
      <x:c r="B16" s="22" t="n">
        <x:v>2025</x:v>
      </x:c>
      <x:c r="C16" s="22" t="str">
        <x:v>Enero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n">
        <x:v>18</x:v>
      </x:c>
      <x:c r="K16" s="40" t="n">
        <x:v>58971</x:v>
      </x:c>
      <x:c r="L16" s="40" t="n">
        <x:v>200000</x:v>
      </x:c>
      <x:c r="M16" s="40" t="n">
        <x:f>IF(OR(J16="",K16="",K16=0),"",J16/K16*L16)</x:f>
        <x:v>61.04695528310525</x:v>
      </x:c>
      <x:c r="N16" s="22" t="str">
        <x:f>IF(M16="","",IF(I16="Mayor es mejor",IF(M16&gt;=H16,"En meta",IF(M16&gt;=H16*0.9,"Alerta","Crítico")),IF(M16&lt;=H16,"En meta",IF(M16&lt;=H16*1.1,"Alerta","Crítico"))))</x:f>
        <x:v>En meta</x:v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/>
    </x:row>
    <x:row r="17">
      <x:c r="A17" s="46" t="n">
        <x:v>45688</x:v>
      </x:c>
      <x:c r="B17" s="22" t="n">
        <x:v>2025</x:v>
      </x:c>
      <x:c r="C17" s="22" t="str">
        <x:v>Enero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n">
        <x:v>207.0406</x:v>
      </x:c>
      <x:c r="K17" s="40" t="n">
        <x:v>1000</x:v>
      </x:c>
      <x:c r="L17" s="40" t="n">
        <x:v>1</x:v>
      </x:c>
      <x:c r="M17" s="40" t="n">
        <x:f>IF(OR(J17="",K17="",K17=0),"",J17/K17*L17)</x:f>
        <x:v>0.20704060000000002</x:v>
      </x:c>
      <x:c r="N17" s="22" t="str">
        <x:f>IF(M17="","",IF(I17="Mayor es mejor",IF(M17&gt;=H17,"En meta",IF(M17&gt;=H17*0.9,"Alerta","Crítico")),IF(M17&lt;=H17,"En meta",IF(M17&lt;=H17*1.1,"Alerta","Crítico"))))</x:f>
        <x:v>En meta</x:v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ILI calculado sobre IF e IS del periodo.</x:v>
      </x:c>
    </x:row>
    <x:row r="18">
      <x:c r="A18" s="46" t="n">
        <x:v>45688</x:v>
      </x:c>
      <x:c r="B18" s="22" t="n">
        <x:v>2025</x:v>
      </x:c>
      <x:c r="C18" s="22" t="str">
        <x:v>Enero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n">
        <x:v>0.52</x:v>
      </x:c>
      <x:c r="K18" s="40" t="n">
        <x:v>243</x:v>
      </x:c>
      <x:c r="L18" s="40" t="n">
        <x:v>100</x:v>
      </x:c>
      <x:c r="M18" s="40" t="n">
        <x:f>IF(OR(J18="",K18="",K18=0),"",J18/K18*L18)</x:f>
        <x:v>0.2139917695473251</x:v>
      </x:c>
      <x:c r="N18" s="22" t="str">
        <x:f>IF(M18="","",IF(I18="Mayor es mejor",IF(M18&gt;=H18,"En meta",IF(M18&gt;=H18*0.9,"Alerta","Crítico")),IF(M18&lt;=H18,"En meta",IF(M18&lt;=H18*1.1,"Alerta","Crítico"))))</x:f>
        <x:v>En meta</x:v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/>
    </x:row>
    <x:row r="19">
      <x:c r="A19" s="46" t="n">
        <x:v>45688</x:v>
      </x:c>
      <x:c r="B19" s="22" t="n">
        <x:v>2025</x:v>
      </x:c>
      <x:c r="C19" s="22" t="str">
        <x:v>Enero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n">
        <x:v>3.06</x:v>
      </x:c>
      <x:c r="K19" s="40" t="n">
        <x:v>243</x:v>
      </x:c>
      <x:c r="L19" s="40" t="n">
        <x:v>100</x:v>
      </x:c>
      <x:c r="M19" s="40" t="n">
        <x:f>IF(OR(J19="",K19="",K19=0),"",J19/K19*L19)</x:f>
        <x:v>1.2592592592592593</x:v>
      </x:c>
      <x:c r="N19" s="22" t="str">
        <x:f>IF(M19="","",IF(I19="Mayor es mejor",IF(M19&gt;=H19,"En meta",IF(M19&gt;=H19*0.9,"Alerta","Crítico")),IF(M19&lt;=H19,"En meta",IF(M19&lt;=H19*1.1,"Alerta","Crítico"))))</x:f>
        <x:v>Crítico</x:v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/>
    </x:row>
    <x:row r="20">
      <x:c r="A20" s="46" t="n">
        <x:v>45688</x:v>
      </x:c>
      <x:c r="B20" s="22" t="n">
        <x:v>2025</x:v>
      </x:c>
      <x:c r="C20" s="22" t="str">
        <x:v>Enero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n">
        <x:v>100</x:v>
      </x:c>
      <x:c r="K20" s="40" t="n">
        <x:v>100</x:v>
      </x:c>
      <x:c r="L20" s="40" t="n">
        <x:v>100</x:v>
      </x:c>
      <x:c r="M20" s="40" t="n">
        <x:f>IF(OR(J20="",K20="",K20=0),"",J20/K20*L20)</x:f>
        <x:v>100</x:v>
      </x:c>
      <x:c r="N20" s="22" t="str">
        <x:f>IF(M20="","",IF(I20="Mayor es mejor",IF(M20&gt;=H20,"En meta",IF(M20&gt;=H20*0.9,"Alerta","Crítico")),IF(M20&lt;=H20,"En meta",IF(M20&lt;=H20*1.1,"Alerta","Crítico"))))</x:f>
        <x:v>En meta</x:v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/>
    </x:row>
    <x:row r="21">
      <x:c r="A21" s="46" t="n">
        <x:v>45716</x:v>
      </x:c>
      <x:c r="B21" s="22" t="n">
        <x:v>2025</x:v>
      </x:c>
      <x:c r="C21" s="22" t="str">
        <x:v>Febrero</x:v>
      </x:c>
      <x:c r="D21" s="22" t="str">
        <x:v>E01</x:v>
      </x:c>
      <x:c r="E21" s="22" t="str">
        <x:v>% ejecución presupuestal del SG-SST</x:v>
      </x:c>
      <x:c r="F21" s="22" t="str">
        <x:v>Estructura</x:v>
      </x:c>
      <x:c r="G21" s="22" t="str">
        <x:v>Mensual</x:v>
      </x:c>
      <x:c r="H21" s="40" t="n">
        <x:v>95</x:v>
      </x:c>
      <x:c r="I21" s="22" t="str">
        <x:v>Mayor es mejor</x:v>
      </x:c>
      <x:c r="J21" s="40" t="n">
        <x:v>4737275</x:v>
      </x:c>
      <x:c r="K21" s="40" t="n">
        <x:v>5000000</x:v>
      </x:c>
      <x:c r="L21" s="40" t="n">
        <x:v>100</x:v>
      </x:c>
      <x:c r="M21" s="40" t="n">
        <x:f>IF(OR(J21="",K21="",K21=0),"",J21/K21*L21)</x:f>
        <x:v>94.7455</x:v>
      </x:c>
      <x:c r="N21" s="22" t="str">
        <x:f>IF(M21="","",IF(I21="Mayor es mejor",IF(M21&gt;=H21,"En meta",IF(M21&gt;=H21*0.9,"Alerta","Crítico")),IF(M21&lt;=H21,"En meta",IF(M21&lt;=H21*1.1,"Alerta","Crítico"))))</x:f>
        <x:v>Alerta</x:v>
      </x:c>
      <x:c r="O21" s="22" t="str">
        <x:v>%</x:v>
      </x:c>
      <x:c r="P21" s="22" t="str">
        <x:v>Líder SG-SST / Dirección Administrativa</x:v>
      </x:c>
      <x:c r="Q21" s="22" t="str">
        <x:v>Presupuesto SST</x:v>
      </x:c>
      <x:c r="R21" s="22" t="str"/>
    </x:row>
    <x:row r="22">
      <x:c r="A22" s="46" t="n">
        <x:v>45716</x:v>
      </x:c>
      <x:c r="B22" s="22" t="n">
        <x:v>2025</x:v>
      </x:c>
      <x:c r="C22" s="22" t="str">
        <x:v>Febrero</x:v>
      </x:c>
      <x:c r="D22" s="22" t="str">
        <x:v>E02</x:v>
      </x:c>
      <x:c r="E22" s="22" t="str">
        <x:v>% cobertura del plan de formación y capacitación SG-SST</x:v>
      </x:c>
      <x:c r="F22" s="22" t="str">
        <x:v>Estructura</x:v>
      </x:c>
      <x:c r="G22" s="22" t="str">
        <x:v>Mensual</x:v>
      </x:c>
      <x:c r="H22" s="40" t="n">
        <x:v>90</x:v>
      </x:c>
      <x:c r="I22" s="22" t="str">
        <x:v>Mayor es mejor</x:v>
      </x:c>
      <x:c r="J22" s="40" t="n">
        <x:v>21</x:v>
      </x:c>
      <x:c r="K22" s="40" t="n">
        <x:v>22</x:v>
      </x:c>
      <x:c r="L22" s="40" t="n">
        <x:v>100</x:v>
      </x:c>
      <x:c r="M22" s="40" t="n">
        <x:f>IF(OR(J22="",K22="",K22=0),"",J22/K22*L22)</x:f>
        <x:v>95.45454545454545</x:v>
      </x:c>
      <x:c r="N22" s="22" t="str">
        <x:f>IF(M22="","",IF(I22="Mayor es mejor",IF(M22&gt;=H22,"En meta",IF(M22&gt;=H22*0.9,"Alerta","Crítico")),IF(M22&lt;=H22,"En meta",IF(M22&lt;=H22*1.1,"Alerta","Crítico"))))</x:f>
        <x:v>En meta</x:v>
      </x:c>
      <x:c r="O22" s="22" t="str">
        <x:v>%</x:v>
      </x:c>
      <x:c r="P22" s="22" t="str">
        <x:v>Líder SG-SST / Talento Humano</x:v>
      </x:c>
      <x:c r="Q22" s="22" t="str">
        <x:v>Plan de formación y capacitaciones</x:v>
      </x:c>
      <x:c r="R22" s="22" t="str"/>
    </x:row>
    <x:row r="23">
      <x:c r="A23" s="46" t="n">
        <x:v>45716</x:v>
      </x:c>
      <x:c r="B23" s="22" t="n">
        <x:v>2025</x:v>
      </x:c>
      <x:c r="C23" s="22" t="str">
        <x:v>Febrero</x:v>
      </x:c>
      <x:c r="D23" s="22" t="str">
        <x:v>E03</x:v>
      </x:c>
      <x:c r="E23" s="22" t="str">
        <x:v>% trabajadores con exámenes médicos ocupacionales vigentes</x:v>
      </x:c>
      <x:c r="F23" s="22" t="str">
        <x:v>Estructura</x:v>
      </x:c>
      <x:c r="G23" s="22" t="str">
        <x:v>Mensual</x:v>
      </x:c>
      <x:c r="H23" s="40" t="n">
        <x:v>95</x:v>
      </x:c>
      <x:c r="I23" s="22" t="str">
        <x:v>Mayor es mejor</x:v>
      </x:c>
      <x:c r="J23" s="40" t="n">
        <x:v>231</x:v>
      </x:c>
      <x:c r="K23" s="40" t="n">
        <x:v>239</x:v>
      </x:c>
      <x:c r="L23" s="40" t="n">
        <x:v>100</x:v>
      </x:c>
      <x:c r="M23" s="40" t="n">
        <x:f>IF(OR(J23="",K23="",K23=0),"",J23/K23*L23)</x:f>
        <x:v>96.65271966527197</x:v>
      </x:c>
      <x:c r="N23" s="22" t="str">
        <x:f>IF(M23="","",IF(I23="Mayor es mejor",IF(M23&gt;=H23,"En meta",IF(M23&gt;=H23*0.9,"Alerta","Crítico")),IF(M23&lt;=H23,"En meta",IF(M23&lt;=H23*1.1,"Alerta","Crítico"))))</x:f>
        <x:v>En meta</x:v>
      </x:c>
      <x:c r="O23" s="22" t="str">
        <x:v>%</x:v>
      </x:c>
      <x:c r="P23" s="22" t="str">
        <x:v>Líder SG-SST / Talento Humano</x:v>
      </x:c>
      <x:c r="Q23" s="22" t="str">
        <x:v>Matriz de seguimiento EMO</x:v>
      </x:c>
      <x:c r="R23" s="22" t="str"/>
    </x:row>
    <x:row r="24">
      <x:c r="A24" s="46" t="n">
        <x:v>45716</x:v>
      </x:c>
      <x:c r="B24" s="22" t="n">
        <x:v>2025</x:v>
      </x:c>
      <x:c r="C24" s="22" t="str">
        <x:v>Febrero</x:v>
      </x:c>
      <x:c r="D24" s="22" t="str">
        <x:v>E04</x:v>
      </x:c>
      <x:c r="E24" s="22" t="str">
        <x:v>% cumplimiento de requisitos legales aplicables en SST</x:v>
      </x:c>
      <x:c r="F24" s="22" t="str">
        <x:v>Estructura</x:v>
      </x:c>
      <x:c r="G24" s="22" t="str">
        <x:v>Mensual</x:v>
      </x:c>
      <x:c r="H24" s="40" t="n">
        <x:v>95</x:v>
      </x:c>
      <x:c r="I24" s="22" t="str">
        <x:v>Mayor es mejor</x:v>
      </x:c>
      <x:c r="J24" s="40" t="n">
        <x:v>58</x:v>
      </x:c>
      <x:c r="K24" s="40" t="n">
        <x:v>60</x:v>
      </x:c>
      <x:c r="L24" s="40" t="n">
        <x:v>100</x:v>
      </x:c>
      <x:c r="M24" s="40" t="n">
        <x:f>IF(OR(J24="",K24="",K24=0),"",J24/K24*L24)</x:f>
        <x:v>96.66666666666667</x:v>
      </x:c>
      <x:c r="N24" s="22" t="str">
        <x:f>IF(M24="","",IF(I24="Mayor es mejor",IF(M24&gt;=H24,"En meta",IF(M24&gt;=H24*0.9,"Alerta","Crítico")),IF(M24&lt;=H24,"En meta",IF(M24&lt;=H24*1.1,"Alerta","Crítico"))))</x:f>
        <x:v>En meta</x:v>
      </x:c>
      <x:c r="O24" s="22" t="str">
        <x:v>%</x:v>
      </x:c>
      <x:c r="P24" s="22" t="str">
        <x:v>Líder SG-SST / Jurídica</x:v>
      </x:c>
      <x:c r="Q24" s="22" t="str">
        <x:v>Matriz legal SGRL</x:v>
      </x:c>
      <x:c r="R24" s="22" t="str"/>
    </x:row>
    <x:row r="25">
      <x:c r="A25" s="46" t="n">
        <x:v>45716</x:v>
      </x:c>
      <x:c r="B25" s="22" t="n">
        <x:v>2025</x:v>
      </x:c>
      <x:c r="C25" s="22" t="str">
        <x:v>Febrero</x:v>
      </x:c>
      <x:c r="D25" s="22" t="str">
        <x:v>E05</x:v>
      </x:c>
      <x:c r="E25" s="22" t="str">
        <x:v>% proveedores y contratistas aprobados en SST</x:v>
      </x:c>
      <x:c r="F25" s="22" t="str">
        <x:v>Estructura</x:v>
      </x:c>
      <x:c r="G25" s="22" t="str">
        <x:v>Mensual</x:v>
      </x:c>
      <x:c r="H25" s="40" t="n">
        <x:v>90</x:v>
      </x:c>
      <x:c r="I25" s="22" t="str">
        <x:v>Mayor es mejor</x:v>
      </x:c>
      <x:c r="J25" s="40" t="n">
        <x:v>19</x:v>
      </x:c>
      <x:c r="K25" s="40" t="n">
        <x:v>20</x:v>
      </x:c>
      <x:c r="L25" s="40" t="n">
        <x:v>100</x:v>
      </x:c>
      <x:c r="M25" s="40" t="n">
        <x:f>IF(OR(J25="",K25="",K25=0),"",J25/K25*L25)</x:f>
        <x:v>95</x:v>
      </x:c>
      <x:c r="N25" s="22" t="str">
        <x:f>IF(M25="","",IF(I25="Mayor es mejor",IF(M25&gt;=H25,"En meta",IF(M25&gt;=H25*0.9,"Alerta","Crítico")),IF(M25&lt;=H25,"En meta",IF(M25&lt;=H25*1.1,"Alerta","Crítico"))))</x:f>
        <x:v>En meta</x:v>
      </x:c>
      <x:c r="O25" s="22" t="str">
        <x:v>%</x:v>
      </x:c>
      <x:c r="P25" s="22" t="str">
        <x:v>Compras / Líder SG-SST</x:v>
      </x:c>
      <x:c r="Q25" s="22" t="str">
        <x:v>Gestión de proveedores y contratistas</x:v>
      </x:c>
      <x:c r="R25" s="22" t="str"/>
    </x:row>
    <x:row r="26">
      <x:c r="A26" s="46" t="n">
        <x:v>45716</x:v>
      </x:c>
      <x:c r="B26" s="22" t="n">
        <x:v>2025</x:v>
      </x:c>
      <x:c r="C26" s="22" t="str">
        <x:v>Febrero</x:v>
      </x:c>
      <x:c r="D26" s="22" t="str">
        <x:v>P01</x:v>
      </x:c>
      <x:c r="E26" s="22" t="str">
        <x:v>% ejecución del plan anual de trabajo SG-SST</x:v>
      </x:c>
      <x:c r="F26" s="22" t="str">
        <x:v>Proceso</x:v>
      </x:c>
      <x:c r="G26" s="22" t="str">
        <x:v>Mensual</x:v>
      </x:c>
      <x:c r="H26" s="40" t="n">
        <x:v>90</x:v>
      </x:c>
      <x:c r="I26" s="22" t="str">
        <x:v>Mayor es mejor</x:v>
      </x:c>
      <x:c r="J26" s="40" t="n">
        <x:v>13</x:v>
      </x:c>
      <x:c r="K26" s="40" t="n">
        <x:v>14</x:v>
      </x:c>
      <x:c r="L26" s="40" t="n">
        <x:v>100</x:v>
      </x:c>
      <x:c r="M26" s="40" t="n">
        <x:f>IF(OR(J26="",K26="",K26=0),"",J26/K26*L26)</x:f>
        <x:v>92.85714285714286</x:v>
      </x:c>
      <x:c r="N26" s="22" t="str">
        <x:f>IF(M26="","",IF(I26="Mayor es mejor",IF(M26&gt;=H26,"En meta",IF(M26&gt;=H26*0.9,"Alerta","Crítico")),IF(M26&lt;=H26,"En meta",IF(M26&lt;=H26*1.1,"Alerta","Crítico"))))</x:f>
        <x:v>En meta</x:v>
      </x:c>
      <x:c r="O26" s="22" t="str">
        <x:v>%</x:v>
      </x:c>
      <x:c r="P26" s="22" t="str">
        <x:v>Líder SG-SST</x:v>
      </x:c>
      <x:c r="Q26" s="22" t="str">
        <x:v>Plan anual de trabajo PHVA</x:v>
      </x:c>
      <x:c r="R26" s="22" t="str"/>
    </x:row>
    <x:row r="27">
      <x:c r="A27" s="46" t="n">
        <x:v>45716</x:v>
      </x:c>
      <x:c r="B27" s="22" t="n">
        <x:v>2025</x:v>
      </x:c>
      <x:c r="C27" s="22" t="str">
        <x:v>Febrero</x:v>
      </x:c>
      <x:c r="D27" s="22" t="str">
        <x:v>P02</x:v>
      </x:c>
      <x:c r="E27" s="22" t="str">
        <x:v>% investigaciones de accidentes realizadas oportunamente</x:v>
      </x:c>
      <x:c r="F27" s="22" t="str">
        <x:v>Proceso</x:v>
      </x:c>
      <x:c r="G27" s="22" t="str">
        <x:v>Mensual</x:v>
      </x:c>
      <x:c r="H27" s="40" t="n">
        <x:v>95</x:v>
      </x:c>
      <x:c r="I27" s="22" t="str">
        <x:v>Mayor es mejor</x:v>
      </x:c>
      <x:c r="J27" s="40" t="n">
        <x:v>1</x:v>
      </x:c>
      <x:c r="K27" s="40" t="n">
        <x:v>1</x:v>
      </x:c>
      <x:c r="L27" s="40" t="n">
        <x:v>100</x:v>
      </x:c>
      <x:c r="M27" s="40" t="n">
        <x:f>IF(OR(J27="",K27="",K27=0),"",J27/K27*L27)</x:f>
        <x:v>100</x:v>
      </x:c>
      <x:c r="N27" s="22" t="str">
        <x:f>IF(M27="","",IF(I27="Mayor es mejor",IF(M27&gt;=H27,"En meta",IF(M27&gt;=H27*0.9,"Alerta","Crítico")),IF(M27&lt;=H27,"En meta",IF(M27&lt;=H27*1.1,"Alerta","Crítico"))))</x:f>
        <x:v>En meta</x:v>
      </x:c>
      <x:c r="O27" s="22" t="str">
        <x:v>%</x:v>
      </x:c>
      <x:c r="P27" s="22" t="str">
        <x:v>Líder SG-SST / COPASST</x:v>
      </x:c>
      <x:c r="Q27" s="22" t="str">
        <x:v>Matriz de accidentalidad</x:v>
      </x:c>
      <x:c r="R27" s="22" t="str"/>
    </x:row>
    <x:row r="28">
      <x:c r="A28" s="46" t="n">
        <x:v>45716</x:v>
      </x:c>
      <x:c r="B28" s="22" t="n">
        <x:v>2025</x:v>
      </x:c>
      <x:c r="C28" s="22" t="str">
        <x:v>Febrero</x:v>
      </x:c>
      <x:c r="D28" s="22" t="str">
        <x:v>P03</x:v>
      </x:c>
      <x:c r="E28" s="22" t="str">
        <x:v>% cierre oportuno de acciones correctivas, preventivas y de mejora</x:v>
      </x:c>
      <x:c r="F28" s="22" t="str">
        <x:v>Proceso</x:v>
      </x:c>
      <x:c r="G28" s="22" t="str">
        <x:v>Mensual</x:v>
      </x:c>
      <x:c r="H28" s="40" t="n">
        <x:v>90</x:v>
      </x:c>
      <x:c r="I28" s="22" t="str">
        <x:v>Mayor es mejor</x:v>
      </x:c>
      <x:c r="J28" s="40" t="n">
        <x:v>11</x:v>
      </x:c>
      <x:c r="K28" s="40" t="n">
        <x:v>12</x:v>
      </x:c>
      <x:c r="L28" s="40" t="n">
        <x:v>100</x:v>
      </x:c>
      <x:c r="M28" s="40" t="n">
        <x:f>IF(OR(J28="",K28="",K28=0),"",J28/K28*L28)</x:f>
        <x:v>91.66666666666666</x:v>
      </x:c>
      <x:c r="N28" s="22" t="str">
        <x:f>IF(M28="","",IF(I28="Mayor es mejor",IF(M28&gt;=H28,"En meta",IF(M28&gt;=H28*0.9,"Alerta","Crítico")),IF(M28&lt;=H28,"En meta",IF(M28&lt;=H28*1.1,"Alerta","Crítico"))))</x:f>
        <x:v>En meta</x:v>
      </x:c>
      <x:c r="O28" s="22" t="str">
        <x:v>%</x:v>
      </x:c>
      <x:c r="P28" s="22" t="str">
        <x:v>Líder SG-SST / Responsables de proceso</x:v>
      </x:c>
      <x:c r="Q28" s="22" t="str">
        <x:v>Matriz APCM</x:v>
      </x:c>
      <x:c r="R28" s="22" t="str"/>
    </x:row>
    <x:row r="29">
      <x:c r="A29" s="46" t="n">
        <x:v>45716</x:v>
      </x:c>
      <x:c r="B29" s="22" t="n">
        <x:v>2025</x:v>
      </x:c>
      <x:c r="C29" s="22" t="str">
        <x:v>Febrero</x:v>
      </x:c>
      <x:c r="D29" s="22" t="str">
        <x:v>P04</x:v>
      </x:c>
      <x:c r="E29" s="22" t="str">
        <x:v>% inspecciones de seguridad ejecutadas</x:v>
      </x:c>
      <x:c r="F29" s="22" t="str">
        <x:v>Proceso</x:v>
      </x:c>
      <x:c r="G29" s="22" t="str">
        <x:v>Mensual</x:v>
      </x:c>
      <x:c r="H29" s="40" t="n">
        <x:v>90</x:v>
      </x:c>
      <x:c r="I29" s="22" t="str">
        <x:v>Mayor es mejor</x:v>
      </x:c>
      <x:c r="J29" s="40" t="n">
        <x:v>9</x:v>
      </x:c>
      <x:c r="K29" s="40" t="n">
        <x:v>10</x:v>
      </x:c>
      <x:c r="L29" s="40" t="n">
        <x:v>100</x:v>
      </x:c>
      <x:c r="M29" s="40" t="n">
        <x:f>IF(OR(J29="",K29="",K29=0),"",J29/K29*L29)</x:f>
        <x:v>90</x:v>
      </x:c>
      <x:c r="N29" s="22" t="str">
        <x:f>IF(M29="","",IF(I29="Mayor es mejor",IF(M29&gt;=H29,"En meta",IF(M29&gt;=H29*0.9,"Alerta","Crítico")),IF(M29&lt;=H29,"En meta",IF(M29&lt;=H29*1.1,"Alerta","Crítico"))))</x:f>
        <x:v>En meta</x:v>
      </x:c>
      <x:c r="O29" s="22" t="str">
        <x:v>%</x:v>
      </x:c>
      <x:c r="P29" s="22" t="str">
        <x:v>Líder SG-SST / Supervisores</x:v>
      </x:c>
      <x:c r="Q29" s="22" t="str">
        <x:v>Programa de inspecciones</x:v>
      </x:c>
      <x:c r="R29" s="22" t="str"/>
    </x:row>
    <x:row r="30">
      <x:c r="A30" s="46" t="n">
        <x:v>45716</x:v>
      </x:c>
      <x:c r="B30" s="22" t="n">
        <x:v>2025</x:v>
      </x:c>
      <x:c r="C30" s="22" t="str">
        <x:v>Febrero</x:v>
      </x:c>
      <x:c r="D30" s="22" t="str">
        <x:v>P05</x:v>
      </x:c>
      <x:c r="E30" s="22" t="str">
        <x:v>% mantenimientos preventivos ejecutados</x:v>
      </x:c>
      <x:c r="F30" s="22" t="str">
        <x:v>Proceso</x:v>
      </x:c>
      <x:c r="G30" s="22" t="str">
        <x:v>Mensual</x:v>
      </x:c>
      <x:c r="H30" s="40" t="n">
        <x:v>90</x:v>
      </x:c>
      <x:c r="I30" s="22" t="str">
        <x:v>Mayor es mejor</x:v>
      </x:c>
      <x:c r="J30" s="40" t="n">
        <x:v>13</x:v>
      </x:c>
      <x:c r="K30" s="40" t="n">
        <x:v>14</x:v>
      </x:c>
      <x:c r="L30" s="40" t="n">
        <x:v>100</x:v>
      </x:c>
      <x:c r="M30" s="40" t="n">
        <x:f>IF(OR(J30="",K30="",K30=0),"",J30/K30*L30)</x:f>
        <x:v>92.85714285714286</x:v>
      </x:c>
      <x:c r="N30" s="22" t="str">
        <x:f>IF(M30="","",IF(I30="Mayor es mejor",IF(M30&gt;=H30,"En meta",IF(M30&gt;=H30*0.9,"Alerta","Crítico")),IF(M30&lt;=H30,"En meta",IF(M30&lt;=H30*1.1,"Alerta","Crítico"))))</x:f>
        <x:v>En meta</x:v>
      </x:c>
      <x:c r="O30" s="22" t="str">
        <x:v>%</x:v>
      </x:c>
      <x:c r="P30" s="22" t="str">
        <x:v>Mantenimiento / Líder SG-SST</x:v>
      </x:c>
      <x:c r="Q30" s="22" t="str">
        <x:v>Programa de mantenimiento preventivo</x:v>
      </x:c>
      <x:c r="R30" s="22" t="str"/>
    </x:row>
    <x:row r="31">
      <x:c r="A31" s="46" t="n">
        <x:v>45716</x:v>
      </x:c>
      <x:c r="B31" s="22" t="n">
        <x:v>2025</x:v>
      </x:c>
      <x:c r="C31" s="22" t="str">
        <x:v>Febrero</x:v>
      </x:c>
      <x:c r="D31" s="22" t="str">
        <x:v>R01</x:v>
      </x:c>
      <x:c r="E31" s="22" t="str">
        <x:v>Índice de frecuencia de accidentalidad (IF)</x:v>
      </x:c>
      <x:c r="F31" s="22" t="str">
        <x:v>Resultado</x:v>
      </x:c>
      <x:c r="G31" s="22" t="str">
        <x:v>Mensual</x:v>
      </x:c>
      <x:c r="H31" s="40" t="n">
        <x:v>3.5</x:v>
      </x:c>
      <x:c r="I31" s="22" t="str">
        <x:v>Menor es mejor</x:v>
      </x:c>
      <x:c r="J31" s="40" t="n">
        <x:v>1</x:v>
      </x:c>
      <x:c r="K31" s="40" t="n">
        <x:v>57043</x:v>
      </x:c>
      <x:c r="L31" s="40" t="n">
        <x:v>200000</x:v>
      </x:c>
      <x:c r="M31" s="40" t="n">
        <x:f>IF(OR(J31="",K31="",K31=0),"",J31/K31*L31)</x:f>
        <x:v>3.506126956857108</x:v>
      </x:c>
      <x:c r="N31" s="22" t="str">
        <x:f>IF(M31="","",IF(I31="Mayor es mejor",IF(M31&gt;=H31,"En meta",IF(M31&gt;=H31*0.9,"Alerta","Crítico")),IF(M31&lt;=H31,"En meta",IF(M31&lt;=H31*1.1,"Alerta","Crítico"))))</x:f>
        <x:v>Alerta</x:v>
      </x:c>
      <x:c r="O31" s="22" t="str">
        <x:v>Índice</x:v>
      </x:c>
      <x:c r="P31" s="22" t="str">
        <x:v>Líder SG-SST</x:v>
      </x:c>
      <x:c r="Q31" s="22" t="str">
        <x:v>Matriz de accidentalidad / nómina</x:v>
      </x:c>
      <x:c r="R31" s="22" t="str"/>
    </x:row>
    <x:row r="32">
      <x:c r="A32" s="46" t="n">
        <x:v>45716</x:v>
      </x:c>
      <x:c r="B32" s="22" t="n">
        <x:v>2025</x:v>
      </x:c>
      <x:c r="C32" s="22" t="str">
        <x:v>Febrero</x:v>
      </x:c>
      <x:c r="D32" s="22" t="str">
        <x:v>R02</x:v>
      </x:c>
      <x:c r="E32" s="22" t="str">
        <x:v>Índice de severidad de accidentalidad (IS)</x:v>
      </x:c>
      <x:c r="F32" s="22" t="str">
        <x:v>Resultado</x:v>
      </x:c>
      <x:c r="G32" s="22" t="str">
        <x:v>Mensual</x:v>
      </x:c>
      <x:c r="H32" s="40" t="n">
        <x:v>80</x:v>
      </x:c>
      <x:c r="I32" s="22" t="str">
        <x:v>Menor es mejor</x:v>
      </x:c>
      <x:c r="J32" s="40" t="n">
        <x:v>15</x:v>
      </x:c>
      <x:c r="K32" s="40" t="n">
        <x:v>57043</x:v>
      </x:c>
      <x:c r="L32" s="40" t="n">
        <x:v>200000</x:v>
      </x:c>
      <x:c r="M32" s="40" t="n">
        <x:f>IF(OR(J32="",K32="",K32=0),"",J32/K32*L32)</x:f>
        <x:v>52.591904352856616</x:v>
      </x:c>
      <x:c r="N32" s="22" t="str">
        <x:f>IF(M32="","",IF(I32="Mayor es mejor",IF(M32&gt;=H32,"En meta",IF(M32&gt;=H32*0.9,"Alerta","Crítico")),IF(M32&lt;=H32,"En meta",IF(M32&lt;=H32*1.1,"Alerta","Crítico"))))</x:f>
        <x:v>En meta</x:v>
      </x:c>
      <x:c r="O32" s="22" t="str">
        <x:v>Índice</x:v>
      </x:c>
      <x:c r="P32" s="22" t="str">
        <x:v>Líder SG-SST</x:v>
      </x:c>
      <x:c r="Q32" s="22" t="str">
        <x:v>Matriz de accidentalidad / nómina</x:v>
      </x:c>
      <x:c r="R32" s="22" t="str"/>
    </x:row>
    <x:row r="33">
      <x:c r="A33" s="46" t="n">
        <x:v>45716</x:v>
      </x:c>
      <x:c r="B33" s="22" t="n">
        <x:v>2025</x:v>
      </x:c>
      <x:c r="C33" s="22" t="str">
        <x:v>Febrero</x:v>
      </x:c>
      <x:c r="D33" s="22" t="str">
        <x:v>R03</x:v>
      </x:c>
      <x:c r="E33" s="22" t="str">
        <x:v>Índice de lesión incapacitante (ILI)</x:v>
      </x:c>
      <x:c r="F33" s="22" t="str">
        <x:v>Resultado</x:v>
      </x:c>
      <x:c r="G33" s="22" t="str">
        <x:v>Mensual</x:v>
      </x:c>
      <x:c r="H33" s="40" t="n">
        <x:v>0.25</x:v>
      </x:c>
      <x:c r="I33" s="22" t="str">
        <x:v>Menor es mejor</x:v>
      </x:c>
      <x:c r="J33" s="40" t="n">
        <x:v>184.3939</x:v>
      </x:c>
      <x:c r="K33" s="40" t="n">
        <x:v>1000</x:v>
      </x:c>
      <x:c r="L33" s="40" t="n">
        <x:v>1</x:v>
      </x:c>
      <x:c r="M33" s="40" t="n">
        <x:f>IF(OR(J33="",K33="",K33=0),"",J33/K33*L33)</x:f>
        <x:v>0.1843939</x:v>
      </x:c>
      <x:c r="N33" s="22" t="str">
        <x:f>IF(M33="","",IF(I33="Mayor es mejor",IF(M33&gt;=H33,"En meta",IF(M33&gt;=H33*0.9,"Alerta","Crítico")),IF(M33&lt;=H33,"En meta",IF(M33&lt;=H33*1.1,"Alerta","Crítico"))))</x:f>
        <x:v>En meta</x:v>
      </x:c>
      <x:c r="O33" s="22" t="str">
        <x:v>Índice</x:v>
      </x:c>
      <x:c r="P33" s="22" t="str">
        <x:v>Líder SG-SST</x:v>
      </x:c>
      <x:c r="Q33" s="22" t="str">
        <x:v>Indicadores derivados de accidentalidad</x:v>
      </x:c>
      <x:c r="R33" s="22" t="str">
        <x:v>ILI calculado sobre IF e IS del periodo.</x:v>
      </x:c>
    </x:row>
    <x:row r="34">
      <x:c r="A34" s="46" t="n">
        <x:v>45716</x:v>
      </x:c>
      <x:c r="B34" s="22" t="n">
        <x:v>2025</x:v>
      </x:c>
      <x:c r="C34" s="22" t="str">
        <x:v>Febrero</x:v>
      </x:c>
      <x:c r="D34" s="22" t="str">
        <x:v>R04</x:v>
      </x:c>
      <x:c r="E34" s="22" t="str">
        <x:v>Tasa de accidentalidad</x:v>
      </x:c>
      <x:c r="F34" s="22" t="str">
        <x:v>Resultado</x:v>
      </x:c>
      <x:c r="G34" s="22" t="str">
        <x:v>Mensual</x:v>
      </x:c>
      <x:c r="H34" s="40" t="n">
        <x:v>0.6</x:v>
      </x:c>
      <x:c r="I34" s="22" t="str">
        <x:v>Menor es mejor</x:v>
      </x:c>
      <x:c r="J34" s="40" t="n">
        <x:v>2.4</x:v>
      </x:c>
      <x:c r="K34" s="40" t="n">
        <x:v>239</x:v>
      </x:c>
      <x:c r="L34" s="40" t="n">
        <x:v>100</x:v>
      </x:c>
      <x:c r="M34" s="40" t="n">
        <x:f>IF(OR(J34="",K34="",K34=0),"",J34/K34*L34)</x:f>
        <x:v>1.00418410041841</x:v>
      </x:c>
      <x:c r="N34" s="22" t="str">
        <x:f>IF(M34="","",IF(I34="Mayor es mejor",IF(M34&gt;=H34,"En meta",IF(M34&gt;=H34*0.9,"Alerta","Crítico")),IF(M34&lt;=H34,"En meta",IF(M34&lt;=H34*1.1,"Alerta","Crítico"))))</x:f>
        <x:v>Crítico</x:v>
      </x:c>
      <x:c r="O34" s="22" t="str">
        <x:v>%</x:v>
      </x:c>
      <x:c r="P34" s="22" t="str">
        <x:v>Líder SG-SST</x:v>
      </x:c>
      <x:c r="Q34" s="22" t="str">
        <x:v>Matriz de accidentalidad / nómina</x:v>
      </x:c>
      <x:c r="R34" s="22" t="str"/>
    </x:row>
    <x:row r="35">
      <x:c r="A35" s="46" t="n">
        <x:v>45716</x:v>
      </x:c>
      <x:c r="B35" s="22" t="n">
        <x:v>2025</x:v>
      </x:c>
      <x:c r="C35" s="22" t="str">
        <x:v>Febrero</x:v>
      </x:c>
      <x:c r="D35" s="22" t="str">
        <x:v>R05</x:v>
      </x:c>
      <x:c r="E35" s="22" t="str">
        <x:v>Prevalencia de enfermedad laboral</x:v>
      </x:c>
      <x:c r="F35" s="22" t="str">
        <x:v>Resultado</x:v>
      </x:c>
      <x:c r="G35" s="22" t="str">
        <x:v>Mensual</x:v>
      </x:c>
      <x:c r="H35" s="40" t="n">
        <x:v>0.3</x:v>
      </x:c>
      <x:c r="I35" s="22" t="str">
        <x:v>Menor es mejor</x:v>
      </x:c>
      <x:c r="J35" s="40" t="n">
        <x:v>0.02</x:v>
      </x:c>
      <x:c r="K35" s="40" t="n">
        <x:v>239</x:v>
      </x:c>
      <x:c r="L35" s="40" t="n">
        <x:v>100</x:v>
      </x:c>
      <x:c r="M35" s="40" t="n">
        <x:f>IF(OR(J35="",K35="",K35=0),"",J35/K35*L35)</x:f>
        <x:v>0.008368200836820085</x:v>
      </x:c>
      <x:c r="N35" s="22" t="str">
        <x:f>IF(M35="","",IF(I35="Mayor es mejor",IF(M35&gt;=H35,"En meta",IF(M35&gt;=H35*0.9,"Alerta","Crítico")),IF(M35&lt;=H35,"En meta",IF(M35&lt;=H35*1.1,"Alerta","Crítico"))))</x:f>
        <x:v>En meta</x:v>
      </x:c>
      <x:c r="O35" s="22" t="str">
        <x:v>%</x:v>
      </x:c>
      <x:c r="P35" s="22" t="str">
        <x:v>Líder SG-SST / Medicina laboral</x:v>
      </x:c>
      <x:c r="Q35" s="22" t="str">
        <x:v>Matriz de enfermedad laboral / nómina</x:v>
      </x:c>
      <x:c r="R35" s="22" t="str"/>
    </x:row>
    <x:row r="36">
      <x:c r="A36" s="46" t="n">
        <x:v>45716</x:v>
      </x:c>
      <x:c r="B36" s="22" t="n">
        <x:v>2025</x:v>
      </x:c>
      <x:c r="C36" s="22" t="str">
        <x:v>Febrero</x:v>
      </x:c>
      <x:c r="D36" s="22" t="str">
        <x:v>R06</x:v>
      </x:c>
      <x:c r="E36" s="22" t="str">
        <x:v>% cumplimiento de estándares mínimos Res. 0312 de 2019</x:v>
      </x:c>
      <x:c r="F36" s="22" t="str">
        <x:v>Resultado</x:v>
      </x:c>
      <x:c r="G36" s="22" t="str">
        <x:v>Mensual</x:v>
      </x:c>
      <x:c r="H36" s="40" t="n">
        <x:v>95</x:v>
      </x:c>
      <x:c r="I36" s="22" t="str">
        <x:v>Mayor es mejor</x:v>
      </x:c>
      <x:c r="J36" s="40" t="n">
        <x:v>97</x:v>
      </x:c>
      <x:c r="K36" s="40" t="n">
        <x:v>100</x:v>
      </x:c>
      <x:c r="L36" s="40" t="n">
        <x:v>100</x:v>
      </x:c>
      <x:c r="M36" s="40" t="n">
        <x:f>IF(OR(J36="",K36="",K36=0),"",J36/K36*L36)</x:f>
        <x:v>97</x:v>
      </x:c>
      <x:c r="N36" s="22" t="str">
        <x:f>IF(M36="","",IF(I36="Mayor es mejor",IF(M36&gt;=H36,"En meta",IF(M36&gt;=H36*0.9,"Alerta","Crítico")),IF(M36&lt;=H36,"En meta",IF(M36&lt;=H36*1.1,"Alerta","Crítico"))))</x:f>
        <x:v>En meta</x:v>
      </x:c>
      <x:c r="O36" s="22" t="str">
        <x:v>%</x:v>
      </x:c>
      <x:c r="P36" s="22" t="str">
        <x:v>Líder SG-SST / Alta Dirección</x:v>
      </x:c>
      <x:c r="Q36" s="22" t="str">
        <x:v>Autodiagnóstico Res. 0312 de 2019</x:v>
      </x:c>
      <x:c r="R36" s="22" t="str"/>
    </x:row>
    <x:row r="37">
      <x:c r="A37" s="46" t="n">
        <x:v>45747</x:v>
      </x:c>
      <x:c r="B37" s="22" t="n">
        <x:v>2025</x:v>
      </x:c>
      <x:c r="C37" s="22" t="str">
        <x:v>Marzo</x:v>
      </x:c>
      <x:c r="D37" s="22" t="str">
        <x:v>E01</x:v>
      </x:c>
      <x:c r="E37" s="22" t="str">
        <x:v>% ejecución presupuestal del SG-SST</x:v>
      </x:c>
      <x:c r="F37" s="22" t="str">
        <x:v>Estructura</x:v>
      </x:c>
      <x:c r="G37" s="22" t="str">
        <x:v>Mensual</x:v>
      </x:c>
      <x:c r="H37" s="40" t="n">
        <x:v>95</x:v>
      </x:c>
      <x:c r="I37" s="22" t="str">
        <x:v>Mayor es mejor</x:v>
      </x:c>
      <x:c r="J37" s="40" t="n">
        <x:v>5214575</x:v>
      </x:c>
      <x:c r="K37" s="40" t="n">
        <x:v>5500000</x:v>
      </x:c>
      <x:c r="L37" s="40" t="n">
        <x:v>100</x:v>
      </x:c>
      <x:c r="M37" s="40" t="n">
        <x:f>IF(OR(J37="",K37="",K37=0),"",J37/K37*L37)</x:f>
        <x:v>94.81045454545455</x:v>
      </x:c>
      <x:c r="N37" s="22" t="str">
        <x:f>IF(M37="","",IF(I37="Mayor es mejor",IF(M37&gt;=H37,"En meta",IF(M37&gt;=H37*0.9,"Alerta","Crítico")),IF(M37&lt;=H37,"En meta",IF(M37&lt;=H37*1.1,"Alerta","Crítico"))))</x:f>
        <x:v>Alerta</x:v>
      </x:c>
      <x:c r="O37" s="22" t="str">
        <x:v>%</x:v>
      </x:c>
      <x:c r="P37" s="22" t="str">
        <x:v>Líder SG-SST / Dirección Administrativa</x:v>
      </x:c>
      <x:c r="Q37" s="22" t="str">
        <x:v>Presupuesto SST</x:v>
      </x:c>
      <x:c r="R37" s="22" t="str"/>
    </x:row>
    <x:row r="38">
      <x:c r="A38" s="46" t="n">
        <x:v>45747</x:v>
      </x:c>
      <x:c r="B38" s="22" t="n">
        <x:v>2025</x:v>
      </x:c>
      <x:c r="C38" s="22" t="str">
        <x:v>Marzo</x:v>
      </x:c>
      <x:c r="D38" s="22" t="str">
        <x:v>E02</x:v>
      </x:c>
      <x:c r="E38" s="22" t="str">
        <x:v>% cobertura del plan de formación y capacitación SG-SST</x:v>
      </x:c>
      <x:c r="F38" s="22" t="str">
        <x:v>Estructura</x:v>
      </x:c>
      <x:c r="G38" s="22" t="str">
        <x:v>Mensual</x:v>
      </x:c>
      <x:c r="H38" s="40" t="n">
        <x:v>90</x:v>
      </x:c>
      <x:c r="I38" s="22" t="str">
        <x:v>Mayor es mejor</x:v>
      </x:c>
      <x:c r="J38" s="40" t="n">
        <x:v>22</x:v>
      </x:c>
      <x:c r="K38" s="40" t="n">
        <x:v>24</x:v>
      </x:c>
      <x:c r="L38" s="40" t="n">
        <x:v>100</x:v>
      </x:c>
      <x:c r="M38" s="40" t="n">
        <x:f>IF(OR(J38="",K38="",K38=0),"",J38/K38*L38)</x:f>
        <x:v>91.66666666666666</x:v>
      </x:c>
      <x:c r="N38" s="22" t="str">
        <x:f>IF(M38="","",IF(I38="Mayor es mejor",IF(M38&gt;=H38,"En meta",IF(M38&gt;=H38*0.9,"Alerta","Crítico")),IF(M38&lt;=H38,"En meta",IF(M38&lt;=H38*1.1,"Alerta","Crítico"))))</x:f>
        <x:v>En meta</x:v>
      </x:c>
      <x:c r="O38" s="22" t="str">
        <x:v>%</x:v>
      </x:c>
      <x:c r="P38" s="22" t="str">
        <x:v>Líder SG-SST / Talento Humano</x:v>
      </x:c>
      <x:c r="Q38" s="22" t="str">
        <x:v>Plan de formación y capacitaciones</x:v>
      </x:c>
      <x:c r="R38" s="22" t="str"/>
    </x:row>
    <x:row r="39">
      <x:c r="A39" s="46" t="n">
        <x:v>45747</x:v>
      </x:c>
      <x:c r="B39" s="22" t="n">
        <x:v>2025</x:v>
      </x:c>
      <x:c r="C39" s="22" t="str">
        <x:v>Marzo</x:v>
      </x:c>
      <x:c r="D39" s="22" t="str">
        <x:v>E03</x:v>
      </x:c>
      <x:c r="E39" s="22" t="str">
        <x:v>% trabajadores con exámenes médicos ocupacionales vigentes</x:v>
      </x:c>
      <x:c r="F39" s="22" t="str">
        <x:v>Estructura</x:v>
      </x:c>
      <x:c r="G39" s="22" t="str">
        <x:v>Mensual</x:v>
      </x:c>
      <x:c r="H39" s="40" t="n">
        <x:v>95</x:v>
      </x:c>
      <x:c r="I39" s="22" t="str">
        <x:v>Mayor es mejor</x:v>
      </x:c>
      <x:c r="J39" s="40" t="n">
        <x:v>236</x:v>
      </x:c>
      <x:c r="K39" s="40" t="n">
        <x:v>242</x:v>
      </x:c>
      <x:c r="L39" s="40" t="n">
        <x:v>100</x:v>
      </x:c>
      <x:c r="M39" s="40" t="n">
        <x:f>IF(OR(J39="",K39="",K39=0),"",J39/K39*L39)</x:f>
        <x:v>97.52066115702479</x:v>
      </x:c>
      <x:c r="N39" s="22" t="str">
        <x:f>IF(M39="","",IF(I39="Mayor es mejor",IF(M39&gt;=H39,"En meta",IF(M39&gt;=H39*0.9,"Alerta","Crítico")),IF(M39&lt;=H39,"En meta",IF(M39&lt;=H39*1.1,"Alerta","Crítico"))))</x:f>
        <x:v>En meta</x:v>
      </x:c>
      <x:c r="O39" s="22" t="str">
        <x:v>%</x:v>
      </x:c>
      <x:c r="P39" s="22" t="str">
        <x:v>Líder SG-SST / Talento Humano</x:v>
      </x:c>
      <x:c r="Q39" s="22" t="str">
        <x:v>Matriz de seguimiento EMO</x:v>
      </x:c>
      <x:c r="R39" s="22" t="str"/>
    </x:row>
    <x:row r="40">
      <x:c r="A40" s="46" t="n">
        <x:v>45747</x:v>
      </x:c>
      <x:c r="B40" s="22" t="n">
        <x:v>2025</x:v>
      </x:c>
      <x:c r="C40" s="22" t="str">
        <x:v>Marzo</x:v>
      </x:c>
      <x:c r="D40" s="22" t="str">
        <x:v>E04</x:v>
      </x:c>
      <x:c r="E40" s="22" t="str">
        <x:v>% cumplimiento de requisitos legales aplicables en SST</x:v>
      </x:c>
      <x:c r="F40" s="22" t="str">
        <x:v>Estructura</x:v>
      </x:c>
      <x:c r="G40" s="22" t="str">
        <x:v>Mensual</x:v>
      </x:c>
      <x:c r="H40" s="40" t="n">
        <x:v>95</x:v>
      </x:c>
      <x:c r="I40" s="22" t="str">
        <x:v>Mayor es mejor</x:v>
      </x:c>
      <x:c r="J40" s="40" t="n">
        <x:v>58</x:v>
      </x:c>
      <x:c r="K40" s="40" t="n">
        <x:v>60</x:v>
      </x:c>
      <x:c r="L40" s="40" t="n">
        <x:v>100</x:v>
      </x:c>
      <x:c r="M40" s="40" t="n">
        <x:f>IF(OR(J40="",K40="",K40=0),"",J40/K40*L40)</x:f>
        <x:v>96.66666666666667</x:v>
      </x:c>
      <x:c r="N40" s="22" t="str">
        <x:f>IF(M40="","",IF(I40="Mayor es mejor",IF(M40&gt;=H40,"En meta",IF(M40&gt;=H40*0.9,"Alerta","Crítico")),IF(M40&lt;=H40,"En meta",IF(M40&lt;=H40*1.1,"Alerta","Crítico"))))</x:f>
        <x:v>En meta</x:v>
      </x:c>
      <x:c r="O40" s="22" t="str">
        <x:v>%</x:v>
      </x:c>
      <x:c r="P40" s="22" t="str">
        <x:v>Líder SG-SST / Jurídica</x:v>
      </x:c>
      <x:c r="Q40" s="22" t="str">
        <x:v>Matriz legal SGRL</x:v>
      </x:c>
      <x:c r="R40" s="22" t="str"/>
    </x:row>
    <x:row r="41">
      <x:c r="A41" s="46" t="n">
        <x:v>45747</x:v>
      </x:c>
      <x:c r="B41" s="22" t="n">
        <x:v>2025</x:v>
      </x:c>
      <x:c r="C41" s="22" t="str">
        <x:v>Marzo</x:v>
      </x:c>
      <x:c r="D41" s="22" t="str">
        <x:v>E05</x:v>
      </x:c>
      <x:c r="E41" s="22" t="str">
        <x:v>% proveedores y contratistas aprobados en SST</x:v>
      </x:c>
      <x:c r="F41" s="22" t="str">
        <x:v>Estructura</x:v>
      </x:c>
      <x:c r="G41" s="22" t="str">
        <x:v>Mensual</x:v>
      </x:c>
      <x:c r="H41" s="40" t="n">
        <x:v>90</x:v>
      </x:c>
      <x:c r="I41" s="22" t="str">
        <x:v>Mayor es mejor</x:v>
      </x:c>
      <x:c r="J41" s="40" t="n">
        <x:v>19</x:v>
      </x:c>
      <x:c r="K41" s="40" t="n">
        <x:v>20</x:v>
      </x:c>
      <x:c r="L41" s="40" t="n">
        <x:v>100</x:v>
      </x:c>
      <x:c r="M41" s="40" t="n">
        <x:f>IF(OR(J41="",K41="",K41=0),"",J41/K41*L41)</x:f>
        <x:v>95</x:v>
      </x:c>
      <x:c r="N41" s="22" t="str">
        <x:f>IF(M41="","",IF(I41="Mayor es mejor",IF(M41&gt;=H41,"En meta",IF(M41&gt;=H41*0.9,"Alerta","Crítico")),IF(M41&lt;=H41,"En meta",IF(M41&lt;=H41*1.1,"Alerta","Crítico"))))</x:f>
        <x:v>En meta</x:v>
      </x:c>
      <x:c r="O41" s="22" t="str">
        <x:v>%</x:v>
      </x:c>
      <x:c r="P41" s="22" t="str">
        <x:v>Compras / Líder SG-SST</x:v>
      </x:c>
      <x:c r="Q41" s="22" t="str">
        <x:v>Gestión de proveedores y contratistas</x:v>
      </x:c>
      <x:c r="R41" s="22" t="str"/>
    </x:row>
    <x:row r="42">
      <x:c r="A42" s="46" t="n">
        <x:v>45747</x:v>
      </x:c>
      <x:c r="B42" s="22" t="n">
        <x:v>2025</x:v>
      </x:c>
      <x:c r="C42" s="22" t="str">
        <x:v>Marzo</x:v>
      </x:c>
      <x:c r="D42" s="22" t="str">
        <x:v>P01</x:v>
      </x:c>
      <x:c r="E42" s="22" t="str">
        <x:v>% ejecución del plan anual de trabajo SG-SST</x:v>
      </x:c>
      <x:c r="F42" s="22" t="str">
        <x:v>Proceso</x:v>
      </x:c>
      <x:c r="G42" s="22" t="str">
        <x:v>Mensual</x:v>
      </x:c>
      <x:c r="H42" s="40" t="n">
        <x:v>90</x:v>
      </x:c>
      <x:c r="I42" s="22" t="str">
        <x:v>Mayor es mejor</x:v>
      </x:c>
      <x:c r="J42" s="40" t="n">
        <x:v>9</x:v>
      </x:c>
      <x:c r="K42" s="40" t="n">
        <x:v>10</x:v>
      </x:c>
      <x:c r="L42" s="40" t="n">
        <x:v>100</x:v>
      </x:c>
      <x:c r="M42" s="40" t="n">
        <x:f>IF(OR(J42="",K42="",K42=0),"",J42/K42*L42)</x:f>
        <x:v>90</x:v>
      </x:c>
      <x:c r="N42" s="22" t="str">
        <x:f>IF(M42="","",IF(I42="Mayor es mejor",IF(M42&gt;=H42,"En meta",IF(M42&gt;=H42*0.9,"Alerta","Crítico")),IF(M42&lt;=H42,"En meta",IF(M42&lt;=H42*1.1,"Alerta","Crítico"))))</x:f>
        <x:v>En meta</x:v>
      </x:c>
      <x:c r="O42" s="22" t="str">
        <x:v>%</x:v>
      </x:c>
      <x:c r="P42" s="22" t="str">
        <x:v>Líder SG-SST</x:v>
      </x:c>
      <x:c r="Q42" s="22" t="str">
        <x:v>Plan anual de trabajo PHVA</x:v>
      </x:c>
      <x:c r="R42" s="22" t="str"/>
    </x:row>
    <x:row r="43">
      <x:c r="A43" s="46" t="n">
        <x:v>45747</x:v>
      </x:c>
      <x:c r="B43" s="22" t="n">
        <x:v>2025</x:v>
      </x:c>
      <x:c r="C43" s="22" t="str">
        <x:v>Marzo</x:v>
      </x:c>
      <x:c r="D43" s="22" t="str">
        <x:v>P02</x:v>
      </x:c>
      <x:c r="E43" s="22" t="str">
        <x:v>% investigaciones de accidentes realizadas oportunamente</x:v>
      </x:c>
      <x:c r="F43" s="22" t="str">
        <x:v>Proceso</x:v>
      </x:c>
      <x:c r="G43" s="22" t="str">
        <x:v>Mensual</x:v>
      </x:c>
      <x:c r="H43" s="40" t="n">
        <x:v>95</x:v>
      </x:c>
      <x:c r="I43" s="22" t="str">
        <x:v>Mayor es mejor</x:v>
      </x:c>
      <x:c r="J43" s="40" t="n">
        <x:v>1</x:v>
      </x:c>
      <x:c r="K43" s="40" t="n">
        <x:v>1</x:v>
      </x:c>
      <x:c r="L43" s="40" t="n">
        <x:v>100</x:v>
      </x:c>
      <x:c r="M43" s="40" t="n">
        <x:f>IF(OR(J43="",K43="",K43=0),"",J43/K43*L43)</x:f>
        <x:v>100</x:v>
      </x:c>
      <x:c r="N43" s="22" t="str">
        <x:f>IF(M43="","",IF(I43="Mayor es mejor",IF(M43&gt;=H43,"En meta",IF(M43&gt;=H43*0.9,"Alerta","Crítico")),IF(M43&lt;=H43,"En meta",IF(M43&lt;=H43*1.1,"Alerta","Crítico"))))</x:f>
        <x:v>En meta</x:v>
      </x:c>
      <x:c r="O43" s="22" t="str">
        <x:v>%</x:v>
      </x:c>
      <x:c r="P43" s="22" t="str">
        <x:v>Líder SG-SST / COPASST</x:v>
      </x:c>
      <x:c r="Q43" s="22" t="str">
        <x:v>Matriz de accidentalidad</x:v>
      </x:c>
      <x:c r="R43" s="22" t="str"/>
    </x:row>
    <x:row r="44">
      <x:c r="A44" s="46" t="n">
        <x:v>45747</x:v>
      </x:c>
      <x:c r="B44" s="22" t="n">
        <x:v>2025</x:v>
      </x:c>
      <x:c r="C44" s="22" t="str">
        <x:v>Marzo</x:v>
      </x:c>
      <x:c r="D44" s="22" t="str">
        <x:v>P03</x:v>
      </x:c>
      <x:c r="E44" s="22" t="str">
        <x:v>% cierre oportuno de acciones correctivas, preventivas y de mejora</x:v>
      </x:c>
      <x:c r="F44" s="22" t="str">
        <x:v>Proceso</x:v>
      </x:c>
      <x:c r="G44" s="22" t="str">
        <x:v>Mensual</x:v>
      </x:c>
      <x:c r="H44" s="40" t="n">
        <x:v>90</x:v>
      </x:c>
      <x:c r="I44" s="22" t="str">
        <x:v>Mayor es mejor</x:v>
      </x:c>
      <x:c r="J44" s="40" t="n">
        <x:v>12</x:v>
      </x:c>
      <x:c r="K44" s="40" t="n">
        <x:v>13</x:v>
      </x:c>
      <x:c r="L44" s="40" t="n">
        <x:v>100</x:v>
      </x:c>
      <x:c r="M44" s="40" t="n">
        <x:f>IF(OR(J44="",K44="",K44=0),"",J44/K44*L44)</x:f>
        <x:v>92.3076923076923</x:v>
      </x:c>
      <x:c r="N44" s="22" t="str">
        <x:f>IF(M44="","",IF(I44="Mayor es mejor",IF(M44&gt;=H44,"En meta",IF(M44&gt;=H44*0.9,"Alerta","Crítico")),IF(M44&lt;=H44,"En meta",IF(M44&lt;=H44*1.1,"Alerta","Crítico"))))</x:f>
        <x:v>En meta</x:v>
      </x:c>
      <x:c r="O44" s="22" t="str">
        <x:v>%</x:v>
      </x:c>
      <x:c r="P44" s="22" t="str">
        <x:v>Líder SG-SST / Responsables de proceso</x:v>
      </x:c>
      <x:c r="Q44" s="22" t="str">
        <x:v>Matriz APCM</x:v>
      </x:c>
      <x:c r="R44" s="22" t="str"/>
    </x:row>
    <x:row r="45">
      <x:c r="A45" s="46" t="n">
        <x:v>45747</x:v>
      </x:c>
      <x:c r="B45" s="22" t="n">
        <x:v>2025</x:v>
      </x:c>
      <x:c r="C45" s="22" t="str">
        <x:v>Marzo</x:v>
      </x:c>
      <x:c r="D45" s="22" t="str">
        <x:v>P04</x:v>
      </x:c>
      <x:c r="E45" s="22" t="str">
        <x:v>% inspecciones de seguridad ejecutadas</x:v>
      </x:c>
      <x:c r="F45" s="22" t="str">
        <x:v>Proceso</x:v>
      </x:c>
      <x:c r="G45" s="22" t="str">
        <x:v>Mensual</x:v>
      </x:c>
      <x:c r="H45" s="40" t="n">
        <x:v>90</x:v>
      </x:c>
      <x:c r="I45" s="22" t="str">
        <x:v>Mayor es mejor</x:v>
      </x:c>
      <x:c r="J45" s="40" t="n">
        <x:v>10</x:v>
      </x:c>
      <x:c r="K45" s="40" t="n">
        <x:v>11</x:v>
      </x:c>
      <x:c r="L45" s="40" t="n">
        <x:v>100</x:v>
      </x:c>
      <x:c r="M45" s="40" t="n">
        <x:f>IF(OR(J45="",K45="",K45=0),"",J45/K45*L45)</x:f>
        <x:v>90.9090909090909</x:v>
      </x:c>
      <x:c r="N45" s="22" t="str">
        <x:f>IF(M45="","",IF(I45="Mayor es mejor",IF(M45&gt;=H45,"En meta",IF(M45&gt;=H45*0.9,"Alerta","Crítico")),IF(M45&lt;=H45,"En meta",IF(M45&lt;=H45*1.1,"Alerta","Crítico"))))</x:f>
        <x:v>En meta</x:v>
      </x:c>
      <x:c r="O45" s="22" t="str">
        <x:v>%</x:v>
      </x:c>
      <x:c r="P45" s="22" t="str">
        <x:v>Líder SG-SST / Supervisores</x:v>
      </x:c>
      <x:c r="Q45" s="22" t="str">
        <x:v>Programa de inspecciones</x:v>
      </x:c>
      <x:c r="R45" s="22" t="str"/>
    </x:row>
    <x:row r="46">
      <x:c r="A46" s="46" t="n">
        <x:v>45747</x:v>
      </x:c>
      <x:c r="B46" s="22" t="n">
        <x:v>2025</x:v>
      </x:c>
      <x:c r="C46" s="22" t="str">
        <x:v>Marzo</x:v>
      </x:c>
      <x:c r="D46" s="22" t="str">
        <x:v>P05</x:v>
      </x:c>
      <x:c r="E46" s="22" t="str">
        <x:v>% mantenimientos preventivos ejecutados</x:v>
      </x:c>
      <x:c r="F46" s="22" t="str">
        <x:v>Proceso</x:v>
      </x:c>
      <x:c r="G46" s="22" t="str">
        <x:v>Mensual</x:v>
      </x:c>
      <x:c r="H46" s="40" t="n">
        <x:v>90</x:v>
      </x:c>
      <x:c r="I46" s="22" t="str">
        <x:v>Mayor es mejor</x:v>
      </x:c>
      <x:c r="J46" s="40" t="n">
        <x:v>14</x:v>
      </x:c>
      <x:c r="K46" s="40" t="n">
        <x:v>15</x:v>
      </x:c>
      <x:c r="L46" s="40" t="n">
        <x:v>100</x:v>
      </x:c>
      <x:c r="M46" s="40" t="n">
        <x:f>IF(OR(J46="",K46="",K46=0),"",J46/K46*L46)</x:f>
        <x:v>93.33333333333333</x:v>
      </x:c>
      <x:c r="N46" s="22" t="str">
        <x:f>IF(M46="","",IF(I46="Mayor es mejor",IF(M46&gt;=H46,"En meta",IF(M46&gt;=H46*0.9,"Alerta","Crítico")),IF(M46&lt;=H46,"En meta",IF(M46&lt;=H46*1.1,"Alerta","Crítico"))))</x:f>
        <x:v>En meta</x:v>
      </x:c>
      <x:c r="O46" s="22" t="str">
        <x:v>%</x:v>
      </x:c>
      <x:c r="P46" s="22" t="str">
        <x:v>Mantenimiento / Líder SG-SST</x:v>
      </x:c>
      <x:c r="Q46" s="22" t="str">
        <x:v>Programa de mantenimiento preventivo</x:v>
      </x:c>
      <x:c r="R46" s="22" t="str"/>
    </x:row>
    <x:row r="47">
      <x:c r="A47" s="46" t="n">
        <x:v>45747</x:v>
      </x:c>
      <x:c r="B47" s="22" t="n">
        <x:v>2025</x:v>
      </x:c>
      <x:c r="C47" s="22" t="str">
        <x:v>Marzo</x:v>
      </x:c>
      <x:c r="D47" s="22" t="str">
        <x:v>R01</x:v>
      </x:c>
      <x:c r="E47" s="22" t="str">
        <x:v>Índice de frecuencia de accidentalidad (IF)</x:v>
      </x:c>
      <x:c r="F47" s="22" t="str">
        <x:v>Resultado</x:v>
      </x:c>
      <x:c r="G47" s="22" t="str">
        <x:v>Mensual</x:v>
      </x:c>
      <x:c r="H47" s="40" t="n">
        <x:v>3.5</x:v>
      </x:c>
      <x:c r="I47" s="22" t="str">
        <x:v>Menor es mejor</x:v>
      </x:c>
      <x:c r="J47" s="40" t="n">
        <x:v>1</x:v>
      </x:c>
      <x:c r="K47" s="40" t="n">
        <x:v>58357</x:v>
      </x:c>
      <x:c r="L47" s="40" t="n">
        <x:v>200000</x:v>
      </x:c>
      <x:c r="M47" s="40" t="n">
        <x:f>IF(OR(J47="",K47="",K47=0),"",J47/K47*L47)</x:f>
        <x:v>3.4271809722912416</x:v>
      </x:c>
      <x:c r="N47" s="22" t="str">
        <x:f>IF(M47="","",IF(I47="Mayor es mejor",IF(M47&gt;=H47,"En meta",IF(M47&gt;=H47*0.9,"Alerta","Crítico")),IF(M47&lt;=H47,"En meta",IF(M47&lt;=H47*1.1,"Alerta","Crítico"))))</x:f>
        <x:v>En meta</x:v>
      </x:c>
      <x:c r="O47" s="22" t="str">
        <x:v>Índice</x:v>
      </x:c>
      <x:c r="P47" s="22" t="str">
        <x:v>Líder SG-SST</x:v>
      </x:c>
      <x:c r="Q47" s="22" t="str">
        <x:v>Matriz de accidentalidad / nómina</x:v>
      </x:c>
      <x:c r="R47" s="22" t="str"/>
    </x:row>
    <x:row r="48">
      <x:c r="A48" s="46" t="n">
        <x:v>45747</x:v>
      </x:c>
      <x:c r="B48" s="22" t="n">
        <x:v>2025</x:v>
      </x:c>
      <x:c r="C48" s="22" t="str">
        <x:v>Marzo</x:v>
      </x:c>
      <x:c r="D48" s="22" t="str">
        <x:v>R02</x:v>
      </x:c>
      <x:c r="E48" s="22" t="str">
        <x:v>Índice de severidad de accidentalidad (IS)</x:v>
      </x:c>
      <x:c r="F48" s="22" t="str">
        <x:v>Resultado</x:v>
      </x:c>
      <x:c r="G48" s="22" t="str">
        <x:v>Mensual</x:v>
      </x:c>
      <x:c r="H48" s="40" t="n">
        <x:v>80</x:v>
      </x:c>
      <x:c r="I48" s="22" t="str">
        <x:v>Menor es mejor</x:v>
      </x:c>
      <x:c r="J48" s="40" t="n">
        <x:v>17</x:v>
      </x:c>
      <x:c r="K48" s="40" t="n">
        <x:v>58357</x:v>
      </x:c>
      <x:c r="L48" s="40" t="n">
        <x:v>200000</x:v>
      </x:c>
      <x:c r="M48" s="40" t="n">
        <x:f>IF(OR(J48="",K48="",K48=0),"",J48/K48*L48)</x:f>
        <x:v>58.262076528951106</x:v>
      </x:c>
      <x:c r="N48" s="22" t="str">
        <x:f>IF(M48="","",IF(I48="Mayor es mejor",IF(M48&gt;=H48,"En meta",IF(M48&gt;=H48*0.9,"Alerta","Crítico")),IF(M48&lt;=H48,"En meta",IF(M48&lt;=H48*1.1,"Alerta","Crítico"))))</x:f>
        <x:v>En meta</x:v>
      </x:c>
      <x:c r="O48" s="22" t="str">
        <x:v>Índice</x:v>
      </x:c>
      <x:c r="P48" s="22" t="str">
        <x:v>Líder SG-SST</x:v>
      </x:c>
      <x:c r="Q48" s="22" t="str">
        <x:v>Matriz de accidentalidad / nómina</x:v>
      </x:c>
      <x:c r="R48" s="22" t="str"/>
    </x:row>
    <x:row r="49">
      <x:c r="A49" s="46" t="n">
        <x:v>45747</x:v>
      </x:c>
      <x:c r="B49" s="22" t="n">
        <x:v>2025</x:v>
      </x:c>
      <x:c r="C49" s="22" t="str">
        <x:v>Marzo</x:v>
      </x:c>
      <x:c r="D49" s="22" t="str">
        <x:v>R03</x:v>
      </x:c>
      <x:c r="E49" s="22" t="str">
        <x:v>Índice de lesión incapacitante (ILI)</x:v>
      </x:c>
      <x:c r="F49" s="22" t="str">
        <x:v>Resultado</x:v>
      </x:c>
      <x:c r="G49" s="22" t="str">
        <x:v>Mensual</x:v>
      </x:c>
      <x:c r="H49" s="40" t="n">
        <x:v>0.25</x:v>
      </x:c>
      <x:c r="I49" s="22" t="str">
        <x:v>Menor es mejor</x:v>
      </x:c>
      <x:c r="J49" s="40" t="n">
        <x:v>199.6747</x:v>
      </x:c>
      <x:c r="K49" s="40" t="n">
        <x:v>1000</x:v>
      </x:c>
      <x:c r="L49" s="40" t="n">
        <x:v>1</x:v>
      </x:c>
      <x:c r="M49" s="40" t="n">
        <x:f>IF(OR(J49="",K49="",K49=0),"",J49/K49*L49)</x:f>
        <x:v>0.1996747</x:v>
      </x:c>
      <x:c r="N49" s="22" t="str">
        <x:f>IF(M49="","",IF(I49="Mayor es mejor",IF(M49&gt;=H49,"En meta",IF(M49&gt;=H49*0.9,"Alerta","Crítico")),IF(M49&lt;=H49,"En meta",IF(M49&lt;=H49*1.1,"Alerta","Crítico"))))</x:f>
        <x:v>En meta</x:v>
      </x:c>
      <x:c r="O49" s="22" t="str">
        <x:v>Índice</x:v>
      </x:c>
      <x:c r="P49" s="22" t="str">
        <x:v>Líder SG-SST</x:v>
      </x:c>
      <x:c r="Q49" s="22" t="str">
        <x:v>Indicadores derivados de accidentalidad</x:v>
      </x:c>
      <x:c r="R49" s="22" t="str">
        <x:v>ILI calculado sobre IF e IS del periodo.</x:v>
      </x:c>
    </x:row>
    <x:row r="50">
      <x:c r="A50" s="46" t="n">
        <x:v>45747</x:v>
      </x:c>
      <x:c r="B50" s="22" t="n">
        <x:v>2025</x:v>
      </x:c>
      <x:c r="C50" s="22" t="str">
        <x:v>Marzo</x:v>
      </x:c>
      <x:c r="D50" s="22" t="str">
        <x:v>R04</x:v>
      </x:c>
      <x:c r="E50" s="22" t="str">
        <x:v>Tasa de accidentalidad</x:v>
      </x:c>
      <x:c r="F50" s="22" t="str">
        <x:v>Resultado</x:v>
      </x:c>
      <x:c r="G50" s="22" t="str">
        <x:v>Mensual</x:v>
      </x:c>
      <x:c r="H50" s="40" t="n">
        <x:v>0.6</x:v>
      </x:c>
      <x:c r="I50" s="22" t="str">
        <x:v>Menor es mejor</x:v>
      </x:c>
      <x:c r="J50" s="40" t="n">
        <x:v>0.58</x:v>
      </x:c>
      <x:c r="K50" s="40" t="n">
        <x:v>242</x:v>
      </x:c>
      <x:c r="L50" s="40" t="n">
        <x:v>100</x:v>
      </x:c>
      <x:c r="M50" s="40" t="n">
        <x:f>IF(OR(J50="",K50="",K50=0),"",J50/K50*L50)</x:f>
        <x:v>0.23966942148760328</x:v>
      </x:c>
      <x:c r="N50" s="22" t="str">
        <x:f>IF(M50="","",IF(I50="Mayor es mejor",IF(M50&gt;=H50,"En meta",IF(M50&gt;=H50*0.9,"Alerta","Crítico")),IF(M50&lt;=H50,"En meta",IF(M50&lt;=H50*1.1,"Alerta","Crítico"))))</x:f>
        <x:v>En meta</x:v>
      </x:c>
      <x:c r="O50" s="22" t="str">
        <x:v>%</x:v>
      </x:c>
      <x:c r="P50" s="22" t="str">
        <x:v>Líder SG-SST</x:v>
      </x:c>
      <x:c r="Q50" s="22" t="str">
        <x:v>Matriz de accidentalidad / nómina</x:v>
      </x:c>
      <x:c r="R50" s="22" t="str"/>
    </x:row>
    <x:row r="51">
      <x:c r="A51" s="46" t="n">
        <x:v>45747</x:v>
      </x:c>
      <x:c r="B51" s="22" t="n">
        <x:v>2025</x:v>
      </x:c>
      <x:c r="C51" s="22" t="str">
        <x:v>Marzo</x:v>
      </x:c>
      <x:c r="D51" s="22" t="str">
        <x:v>R05</x:v>
      </x:c>
      <x:c r="E51" s="22" t="str">
        <x:v>Prevalencia de enfermedad laboral</x:v>
      </x:c>
      <x:c r="F51" s="22" t="str">
        <x:v>Resultado</x:v>
      </x:c>
      <x:c r="G51" s="22" t="str">
        <x:v>Mensual</x:v>
      </x:c>
      <x:c r="H51" s="40" t="n">
        <x:v>0.3</x:v>
      </x:c>
      <x:c r="I51" s="22" t="str">
        <x:v>Menor es mejor</x:v>
      </x:c>
      <x:c r="J51" s="40" t="n">
        <x:v>3.86</x:v>
      </x:c>
      <x:c r="K51" s="40" t="n">
        <x:v>242</x:v>
      </x:c>
      <x:c r="L51" s="40" t="n">
        <x:v>100</x:v>
      </x:c>
      <x:c r="M51" s="40" t="n">
        <x:f>IF(OR(J51="",K51="",K51=0),"",J51/K51*L51)</x:f>
        <x:v>1.5950413223140496</x:v>
      </x:c>
      <x:c r="N51" s="22" t="str">
        <x:f>IF(M51="","",IF(I51="Mayor es mejor",IF(M51&gt;=H51,"En meta",IF(M51&gt;=H51*0.9,"Alerta","Crítico")),IF(M51&lt;=H51,"En meta",IF(M51&lt;=H51*1.1,"Alerta","Crítico"))))</x:f>
        <x:v>Crítico</x:v>
      </x:c>
      <x:c r="O51" s="22" t="str">
        <x:v>%</x:v>
      </x:c>
      <x:c r="P51" s="22" t="str">
        <x:v>Líder SG-SST / Medicina laboral</x:v>
      </x:c>
      <x:c r="Q51" s="22" t="str">
        <x:v>Matriz de enfermedad laboral / nómina</x:v>
      </x:c>
      <x:c r="R51" s="22" t="str"/>
    </x:row>
    <x:row r="52">
      <x:c r="A52" s="46" t="n">
        <x:v>45747</x:v>
      </x:c>
      <x:c r="B52" s="22" t="n">
        <x:v>2025</x:v>
      </x:c>
      <x:c r="C52" s="22" t="str">
        <x:v>Marzo</x:v>
      </x:c>
      <x:c r="D52" s="22" t="str">
        <x:v>R06</x:v>
      </x:c>
      <x:c r="E52" s="22" t="str">
        <x:v>% cumplimiento de estándares mínimos Res. 0312 de 2019</x:v>
      </x:c>
      <x:c r="F52" s="22" t="str">
        <x:v>Resultado</x:v>
      </x:c>
      <x:c r="G52" s="22" t="str">
        <x:v>Mensual</x:v>
      </x:c>
      <x:c r="H52" s="40" t="n">
        <x:v>95</x:v>
      </x:c>
      <x:c r="I52" s="22" t="str">
        <x:v>Mayor es mejor</x:v>
      </x:c>
      <x:c r="J52" s="40" t="n">
        <x:v>97</x:v>
      </x:c>
      <x:c r="K52" s="40" t="n">
        <x:v>100</x:v>
      </x:c>
      <x:c r="L52" s="40" t="n">
        <x:v>100</x:v>
      </x:c>
      <x:c r="M52" s="40" t="n">
        <x:f>IF(OR(J52="",K52="",K52=0),"",J52/K52*L52)</x:f>
        <x:v>97</x:v>
      </x:c>
      <x:c r="N52" s="22" t="str">
        <x:f>IF(M52="","",IF(I52="Mayor es mejor",IF(M52&gt;=H52,"En meta",IF(M52&gt;=H52*0.9,"Alerta","Crítico")),IF(M52&lt;=H52,"En meta",IF(M52&lt;=H52*1.1,"Alerta","Crítico"))))</x:f>
        <x:v>En meta</x:v>
      </x:c>
      <x:c r="O52" s="22" t="str">
        <x:v>%</x:v>
      </x:c>
      <x:c r="P52" s="22" t="str">
        <x:v>Líder SG-SST / Alta Dirección</x:v>
      </x:c>
      <x:c r="Q52" s="22" t="str">
        <x:v>Autodiagnóstico Res. 0312 de 2019</x:v>
      </x:c>
      <x:c r="R52" s="22" t="str"/>
    </x:row>
    <x:row r="53">
      <x:c r="A53" s="46" t="n">
        <x:v>45777</x:v>
      </x:c>
      <x:c r="B53" s="22" t="n">
        <x:v>2025</x:v>
      </x:c>
      <x:c r="C53" s="22" t="str">
        <x:v>Abril</x:v>
      </x:c>
      <x:c r="D53" s="22" t="str">
        <x:v>E01</x:v>
      </x:c>
      <x:c r="E53" s="22" t="str">
        <x:v>% ejecución presupuestal del SG-SST</x:v>
      </x:c>
      <x:c r="F53" s="22" t="str">
        <x:v>Estructura</x:v>
      </x:c>
      <x:c r="G53" s="22" t="str">
        <x:v>Mensual</x:v>
      </x:c>
      <x:c r="H53" s="40" t="n">
        <x:v>95</x:v>
      </x:c>
      <x:c r="I53" s="22" t="str">
        <x:v>Mayor es mejor</x:v>
      </x:c>
      <x:c r="J53" s="40" t="n">
        <x:v>5756089</x:v>
      </x:c>
      <x:c r="K53" s="40" t="n">
        <x:v>6000000</x:v>
      </x:c>
      <x:c r="L53" s="40" t="n">
        <x:v>100</x:v>
      </x:c>
      <x:c r="M53" s="40" t="n">
        <x:f>IF(OR(J53="",K53="",K53=0),"",J53/K53*L53)</x:f>
        <x:v>95.93481666666666</x:v>
      </x:c>
      <x:c r="N53" s="22" t="str">
        <x:f>IF(M53="","",IF(I53="Mayor es mejor",IF(M53&gt;=H53,"En meta",IF(M53&gt;=H53*0.9,"Alerta","Crítico")),IF(M53&lt;=H53,"En meta",IF(M53&lt;=H53*1.1,"Alerta","Crítico"))))</x:f>
        <x:v>En meta</x:v>
      </x:c>
      <x:c r="O53" s="22" t="str">
        <x:v>%</x:v>
      </x:c>
      <x:c r="P53" s="22" t="str">
        <x:v>Líder SG-SST / Dirección Administrativa</x:v>
      </x:c>
      <x:c r="Q53" s="22" t="str">
        <x:v>Presupuesto SST</x:v>
      </x:c>
      <x:c r="R53" s="22" t="str"/>
    </x:row>
    <x:row r="54">
      <x:c r="A54" s="46" t="n">
        <x:v>45777</x:v>
      </x:c>
      <x:c r="B54" s="22" t="n">
        <x:v>2025</x:v>
      </x:c>
      <x:c r="C54" s="22" t="str">
        <x:v>Abril</x:v>
      </x:c>
      <x:c r="D54" s="22" t="str">
        <x:v>E02</x:v>
      </x:c>
      <x:c r="E54" s="22" t="str">
        <x:v>% cobertura del plan de formación y capacitación SG-SST</x:v>
      </x:c>
      <x:c r="F54" s="22" t="str">
        <x:v>Estructura</x:v>
      </x:c>
      <x:c r="G54" s="22" t="str">
        <x:v>Mensual</x:v>
      </x:c>
      <x:c r="H54" s="40" t="n">
        <x:v>90</x:v>
      </x:c>
      <x:c r="I54" s="22" t="str">
        <x:v>Mayor es mejor</x:v>
      </x:c>
      <x:c r="J54" s="40" t="n">
        <x:v>17</x:v>
      </x:c>
      <x:c r="K54" s="40" t="n">
        <x:v>18</x:v>
      </x:c>
      <x:c r="L54" s="40" t="n">
        <x:v>100</x:v>
      </x:c>
      <x:c r="M54" s="40" t="n">
        <x:f>IF(OR(J54="",K54="",K54=0),"",J54/K54*L54)</x:f>
        <x:v>94.44444444444444</x:v>
      </x:c>
      <x:c r="N54" s="22" t="str">
        <x:f>IF(M54="","",IF(I54="Mayor es mejor",IF(M54&gt;=H54,"En meta",IF(M54&gt;=H54*0.9,"Alerta","Crítico")),IF(M54&lt;=H54,"En meta",IF(M54&lt;=H54*1.1,"Alerta","Crítico"))))</x:f>
        <x:v>En meta</x:v>
      </x:c>
      <x:c r="O54" s="22" t="str">
        <x:v>%</x:v>
      </x:c>
      <x:c r="P54" s="22" t="str">
        <x:v>Líder SG-SST / Talento Humano</x:v>
      </x:c>
      <x:c r="Q54" s="22" t="str">
        <x:v>Plan de formación y capacitaciones</x:v>
      </x:c>
      <x:c r="R54" s="22" t="str"/>
    </x:row>
    <x:row r="55">
      <x:c r="A55" s="46" t="n">
        <x:v>45777</x:v>
      </x:c>
      <x:c r="B55" s="22" t="n">
        <x:v>2025</x:v>
      </x:c>
      <x:c r="C55" s="22" t="str">
        <x:v>Abril</x:v>
      </x:c>
      <x:c r="D55" s="22" t="str">
        <x:v>E03</x:v>
      </x:c>
      <x:c r="E55" s="22" t="str">
        <x:v>% trabajadores con exámenes médicos ocupacionales vigentes</x:v>
      </x:c>
      <x:c r="F55" s="22" t="str">
        <x:v>Estructura</x:v>
      </x:c>
      <x:c r="G55" s="22" t="str">
        <x:v>Mensual</x:v>
      </x:c>
      <x:c r="H55" s="40" t="n">
        <x:v>95</x:v>
      </x:c>
      <x:c r="I55" s="22" t="str">
        <x:v>Mayor es mejor</x:v>
      </x:c>
      <x:c r="J55" s="40" t="n">
        <x:v>231</x:v>
      </x:c>
      <x:c r="K55" s="40" t="n">
        <x:v>239</x:v>
      </x:c>
      <x:c r="L55" s="40" t="n">
        <x:v>100</x:v>
      </x:c>
      <x:c r="M55" s="40" t="n">
        <x:f>IF(OR(J55="",K55="",K55=0),"",J55/K55*L55)</x:f>
        <x:v>96.65271966527197</x:v>
      </x:c>
      <x:c r="N55" s="22" t="str">
        <x:f>IF(M55="","",IF(I55="Mayor es mejor",IF(M55&gt;=H55,"En meta",IF(M55&gt;=H55*0.9,"Alerta","Crítico")),IF(M55&lt;=H55,"En meta",IF(M55&lt;=H55*1.1,"Alerta","Crítico"))))</x:f>
        <x:v>En meta</x:v>
      </x:c>
      <x:c r="O55" s="22" t="str">
        <x:v>%</x:v>
      </x:c>
      <x:c r="P55" s="22" t="str">
        <x:v>Líder SG-SST / Talento Humano</x:v>
      </x:c>
      <x:c r="Q55" s="22" t="str">
        <x:v>Matriz de seguimiento EMO</x:v>
      </x:c>
      <x:c r="R55" s="22" t="str"/>
    </x:row>
    <x:row r="56">
      <x:c r="A56" s="46" t="n">
        <x:v>45777</x:v>
      </x:c>
      <x:c r="B56" s="22" t="n">
        <x:v>2025</x:v>
      </x:c>
      <x:c r="C56" s="22" t="str">
        <x:v>Abril</x:v>
      </x:c>
      <x:c r="D56" s="22" t="str">
        <x:v>E04</x:v>
      </x:c>
      <x:c r="E56" s="22" t="str">
        <x:v>% cumplimiento de requisitos legales aplicables en SST</x:v>
      </x:c>
      <x:c r="F56" s="22" t="str">
        <x:v>Estructura</x:v>
      </x:c>
      <x:c r="G56" s="22" t="str">
        <x:v>Mensual</x:v>
      </x:c>
      <x:c r="H56" s="40" t="n">
        <x:v>95</x:v>
      </x:c>
      <x:c r="I56" s="22" t="str">
        <x:v>Mayor es mejor</x:v>
      </x:c>
      <x:c r="J56" s="40" t="n">
        <x:v>58</x:v>
      </x:c>
      <x:c r="K56" s="40" t="n">
        <x:v>60</x:v>
      </x:c>
      <x:c r="L56" s="40" t="n">
        <x:v>100</x:v>
      </x:c>
      <x:c r="M56" s="40" t="n">
        <x:f>IF(OR(J56="",K56="",K56=0),"",J56/K56*L56)</x:f>
        <x:v>96.66666666666667</x:v>
      </x:c>
      <x:c r="N56" s="22" t="str">
        <x:f>IF(M56="","",IF(I56="Mayor es mejor",IF(M56&gt;=H56,"En meta",IF(M56&gt;=H56*0.9,"Alerta","Crítico")),IF(M56&lt;=H56,"En meta",IF(M56&lt;=H56*1.1,"Alerta","Crítico"))))</x:f>
        <x:v>En meta</x:v>
      </x:c>
      <x:c r="O56" s="22" t="str">
        <x:v>%</x:v>
      </x:c>
      <x:c r="P56" s="22" t="str">
        <x:v>Líder SG-SST / Jurídica</x:v>
      </x:c>
      <x:c r="Q56" s="22" t="str">
        <x:v>Matriz legal SGRL</x:v>
      </x:c>
      <x:c r="R56" s="22" t="str"/>
    </x:row>
    <x:row r="57">
      <x:c r="A57" s="46" t="n">
        <x:v>45777</x:v>
      </x:c>
      <x:c r="B57" s="22" t="n">
        <x:v>2025</x:v>
      </x:c>
      <x:c r="C57" s="22" t="str">
        <x:v>Abril</x:v>
      </x:c>
      <x:c r="D57" s="22" t="str">
        <x:v>E05</x:v>
      </x:c>
      <x:c r="E57" s="22" t="str">
        <x:v>% proveedores y contratistas aprobados en SST</x:v>
      </x:c>
      <x:c r="F57" s="22" t="str">
        <x:v>Estructura</x:v>
      </x:c>
      <x:c r="G57" s="22" t="str">
        <x:v>Mensual</x:v>
      </x:c>
      <x:c r="H57" s="40" t="n">
        <x:v>90</x:v>
      </x:c>
      <x:c r="I57" s="22" t="str">
        <x:v>Mayor es mejor</x:v>
      </x:c>
      <x:c r="J57" s="40" t="n">
        <x:v>19</x:v>
      </x:c>
      <x:c r="K57" s="40" t="n">
        <x:v>20</x:v>
      </x:c>
      <x:c r="L57" s="40" t="n">
        <x:v>100</x:v>
      </x:c>
      <x:c r="M57" s="40" t="n">
        <x:f>IF(OR(J57="",K57="",K57=0),"",J57/K57*L57)</x:f>
        <x:v>95</x:v>
      </x:c>
      <x:c r="N57" s="22" t="str">
        <x:f>IF(M57="","",IF(I57="Mayor es mejor",IF(M57&gt;=H57,"En meta",IF(M57&gt;=H57*0.9,"Alerta","Crítico")),IF(M57&lt;=H57,"En meta",IF(M57&lt;=H57*1.1,"Alerta","Crítico"))))</x:f>
        <x:v>En meta</x:v>
      </x:c>
      <x:c r="O57" s="22" t="str">
        <x:v>%</x:v>
      </x:c>
      <x:c r="P57" s="22" t="str">
        <x:v>Compras / Líder SG-SST</x:v>
      </x:c>
      <x:c r="Q57" s="22" t="str">
        <x:v>Gestión de proveedores y contratistas</x:v>
      </x:c>
      <x:c r="R57" s="22" t="str"/>
    </x:row>
    <x:row r="58">
      <x:c r="A58" s="46" t="n">
        <x:v>45777</x:v>
      </x:c>
      <x:c r="B58" s="22" t="n">
        <x:v>2025</x:v>
      </x:c>
      <x:c r="C58" s="22" t="str">
        <x:v>Abril</x:v>
      </x:c>
      <x:c r="D58" s="22" t="str">
        <x:v>P01</x:v>
      </x:c>
      <x:c r="E58" s="22" t="str">
        <x:v>% ejecución del plan anual de trabajo SG-SST</x:v>
      </x:c>
      <x:c r="F58" s="22" t="str">
        <x:v>Proceso</x:v>
      </x:c>
      <x:c r="G58" s="22" t="str">
        <x:v>Mensual</x:v>
      </x:c>
      <x:c r="H58" s="40" t="n">
        <x:v>90</x:v>
      </x:c>
      <x:c r="I58" s="22" t="str">
        <x:v>Mayor es mejor</x:v>
      </x:c>
      <x:c r="J58" s="40" t="n">
        <x:v>11</x:v>
      </x:c>
      <x:c r="K58" s="40" t="n">
        <x:v>12</x:v>
      </x:c>
      <x:c r="L58" s="40" t="n">
        <x:v>100</x:v>
      </x:c>
      <x:c r="M58" s="40" t="n">
        <x:f>IF(OR(J58="",K58="",K58=0),"",J58/K58*L58)</x:f>
        <x:v>91.66666666666666</x:v>
      </x:c>
      <x:c r="N58" s="22" t="str">
        <x:f>IF(M58="","",IF(I58="Mayor es mejor",IF(M58&gt;=H58,"En meta",IF(M58&gt;=H58*0.9,"Alerta","Crítico")),IF(M58&lt;=H58,"En meta",IF(M58&lt;=H58*1.1,"Alerta","Crítico"))))</x:f>
        <x:v>En meta</x:v>
      </x:c>
      <x:c r="O58" s="22" t="str">
        <x:v>%</x:v>
      </x:c>
      <x:c r="P58" s="22" t="str">
        <x:v>Líder SG-SST</x:v>
      </x:c>
      <x:c r="Q58" s="22" t="str">
        <x:v>Plan anual de trabajo PHVA</x:v>
      </x:c>
      <x:c r="R58" s="22" t="str"/>
    </x:row>
    <x:row r="59">
      <x:c r="A59" s="46" t="n">
        <x:v>45777</x:v>
      </x:c>
      <x:c r="B59" s="22" t="n">
        <x:v>2025</x:v>
      </x:c>
      <x:c r="C59" s="22" t="str">
        <x:v>Abril</x:v>
      </x:c>
      <x:c r="D59" s="22" t="str">
        <x:v>P02</x:v>
      </x:c>
      <x:c r="E59" s="22" t="str">
        <x:v>% investigaciones de accidentes realizadas oportunamente</x:v>
      </x:c>
      <x:c r="F59" s="22" t="str">
        <x:v>Proceso</x:v>
      </x:c>
      <x:c r="G59" s="22" t="str">
        <x:v>Mensual</x:v>
      </x:c>
      <x:c r="H59" s="40" t="n">
        <x:v>95</x:v>
      </x:c>
      <x:c r="I59" s="22" t="str">
        <x:v>Mayor es mejor</x:v>
      </x:c>
      <x:c r="J59" s="40" t="n">
        <x:v>1</x:v>
      </x:c>
      <x:c r="K59" s="40" t="n">
        <x:v>1</x:v>
      </x:c>
      <x:c r="L59" s="40" t="n">
        <x:v>100</x:v>
      </x:c>
      <x:c r="M59" s="40" t="n">
        <x:f>IF(OR(J59="",K59="",K59=0),"",J59/K59*L59)</x:f>
        <x:v>100</x:v>
      </x:c>
      <x:c r="N59" s="22" t="str">
        <x:f>IF(M59="","",IF(I59="Mayor es mejor",IF(M59&gt;=H59,"En meta",IF(M59&gt;=H59*0.9,"Alerta","Crítico")),IF(M59&lt;=H59,"En meta",IF(M59&lt;=H59*1.1,"Alerta","Crítico"))))</x:f>
        <x:v>En meta</x:v>
      </x:c>
      <x:c r="O59" s="22" t="str">
        <x:v>%</x:v>
      </x:c>
      <x:c r="P59" s="22" t="str">
        <x:v>Líder SG-SST / COPASST</x:v>
      </x:c>
      <x:c r="Q59" s="22" t="str">
        <x:v>Matriz de accidentalidad</x:v>
      </x:c>
      <x:c r="R59" s="22" t="str"/>
    </x:row>
    <x:row r="60">
      <x:c r="A60" s="46" t="n">
        <x:v>45777</x:v>
      </x:c>
      <x:c r="B60" s="22" t="n">
        <x:v>2025</x:v>
      </x:c>
      <x:c r="C60" s="22" t="str">
        <x:v>Abril</x:v>
      </x:c>
      <x:c r="D60" s="22" t="str">
        <x:v>P03</x:v>
      </x:c>
      <x:c r="E60" s="22" t="str">
        <x:v>% cierre oportuno de acciones correctivas, preventivas y de mejora</x:v>
      </x:c>
      <x:c r="F60" s="22" t="str">
        <x:v>Proceso</x:v>
      </x:c>
      <x:c r="G60" s="22" t="str">
        <x:v>Mensual</x:v>
      </x:c>
      <x:c r="H60" s="40" t="n">
        <x:v>90</x:v>
      </x:c>
      <x:c r="I60" s="22" t="str">
        <x:v>Mayor es mejor</x:v>
      </x:c>
      <x:c r="J60" s="40" t="n">
        <x:v>13</x:v>
      </x:c>
      <x:c r="K60" s="40" t="n">
        <x:v>14</x:v>
      </x:c>
      <x:c r="L60" s="40" t="n">
        <x:v>100</x:v>
      </x:c>
      <x:c r="M60" s="40" t="n">
        <x:f>IF(OR(J60="",K60="",K60=0),"",J60/K60*L60)</x:f>
        <x:v>92.85714285714286</x:v>
      </x:c>
      <x:c r="N60" s="22" t="str">
        <x:f>IF(M60="","",IF(I60="Mayor es mejor",IF(M60&gt;=H60,"En meta",IF(M60&gt;=H60*0.9,"Alerta","Crítico")),IF(M60&lt;=H60,"En meta",IF(M60&lt;=H60*1.1,"Alerta","Crítico"))))</x:f>
        <x:v>En meta</x:v>
      </x:c>
      <x:c r="O60" s="22" t="str">
        <x:v>%</x:v>
      </x:c>
      <x:c r="P60" s="22" t="str">
        <x:v>Líder SG-SST / Responsables de proceso</x:v>
      </x:c>
      <x:c r="Q60" s="22" t="str">
        <x:v>Matriz APCM</x:v>
      </x:c>
      <x:c r="R60" s="22" t="str"/>
    </x:row>
    <x:row r="61">
      <x:c r="A61" s="46" t="n">
        <x:v>45777</x:v>
      </x:c>
      <x:c r="B61" s="22" t="n">
        <x:v>2025</x:v>
      </x:c>
      <x:c r="C61" s="22" t="str">
        <x:v>Abril</x:v>
      </x:c>
      <x:c r="D61" s="22" t="str">
        <x:v>P04</x:v>
      </x:c>
      <x:c r="E61" s="22" t="str">
        <x:v>% inspecciones de seguridad ejecutadas</x:v>
      </x:c>
      <x:c r="F61" s="22" t="str">
        <x:v>Proceso</x:v>
      </x:c>
      <x:c r="G61" s="22" t="str">
        <x:v>Mensual</x:v>
      </x:c>
      <x:c r="H61" s="40" t="n">
        <x:v>90</x:v>
      </x:c>
      <x:c r="I61" s="22" t="str">
        <x:v>Mayor es mejor</x:v>
      </x:c>
      <x:c r="J61" s="40" t="n">
        <x:v>8</x:v>
      </x:c>
      <x:c r="K61" s="40" t="n">
        <x:v>8</x:v>
      </x:c>
      <x:c r="L61" s="40" t="n">
        <x:v>100</x:v>
      </x:c>
      <x:c r="M61" s="40" t="n">
        <x:f>IF(OR(J61="",K61="",K61=0),"",J61/K61*L61)</x:f>
        <x:v>100</x:v>
      </x:c>
      <x:c r="N61" s="22" t="str">
        <x:f>IF(M61="","",IF(I61="Mayor es mejor",IF(M61&gt;=H61,"En meta",IF(M61&gt;=H61*0.9,"Alerta","Crítico")),IF(M61&lt;=H61,"En meta",IF(M61&lt;=H61*1.1,"Alerta","Crítico"))))</x:f>
        <x:v>En meta</x:v>
      </x:c>
      <x:c r="O61" s="22" t="str">
        <x:v>%</x:v>
      </x:c>
      <x:c r="P61" s="22" t="str">
        <x:v>Líder SG-SST / Supervisores</x:v>
      </x:c>
      <x:c r="Q61" s="22" t="str">
        <x:v>Programa de inspecciones</x:v>
      </x:c>
      <x:c r="R61" s="22" t="str"/>
    </x:row>
    <x:row r="62">
      <x:c r="A62" s="46" t="n">
        <x:v>45777</x:v>
      </x:c>
      <x:c r="B62" s="22" t="n">
        <x:v>2025</x:v>
      </x:c>
      <x:c r="C62" s="22" t="str">
        <x:v>Abril</x:v>
      </x:c>
      <x:c r="D62" s="22" t="str">
        <x:v>P05</x:v>
      </x:c>
      <x:c r="E62" s="22" t="str">
        <x:v>% mantenimientos preventivos ejecutados</x:v>
      </x:c>
      <x:c r="F62" s="22" t="str">
        <x:v>Proceso</x:v>
      </x:c>
      <x:c r="G62" s="22" t="str">
        <x:v>Mensual</x:v>
      </x:c>
      <x:c r="H62" s="40" t="n">
        <x:v>90</x:v>
      </x:c>
      <x:c r="I62" s="22" t="str">
        <x:v>Mayor es mejor</x:v>
      </x:c>
      <x:c r="J62" s="40" t="n">
        <x:v>11</x:v>
      </x:c>
      <x:c r="K62" s="40" t="n">
        <x:v>12</x:v>
      </x:c>
      <x:c r="L62" s="40" t="n">
        <x:v>100</x:v>
      </x:c>
      <x:c r="M62" s="40" t="n">
        <x:f>IF(OR(J62="",K62="",K62=0),"",J62/K62*L62)</x:f>
        <x:v>91.66666666666666</x:v>
      </x:c>
      <x:c r="N62" s="22" t="str">
        <x:f>IF(M62="","",IF(I62="Mayor es mejor",IF(M62&gt;=H62,"En meta",IF(M62&gt;=H62*0.9,"Alerta","Crítico")),IF(M62&lt;=H62,"En meta",IF(M62&lt;=H62*1.1,"Alerta","Crítico"))))</x:f>
        <x:v>En meta</x:v>
      </x:c>
      <x:c r="O62" s="22" t="str">
        <x:v>%</x:v>
      </x:c>
      <x:c r="P62" s="22" t="str">
        <x:v>Mantenimiento / Líder SG-SST</x:v>
      </x:c>
      <x:c r="Q62" s="22" t="str">
        <x:v>Programa de mantenimiento preventivo</x:v>
      </x:c>
      <x:c r="R62" s="22" t="str"/>
    </x:row>
    <x:row r="63">
      <x:c r="A63" s="46" t="n">
        <x:v>45777</x:v>
      </x:c>
      <x:c r="B63" s="22" t="n">
        <x:v>2025</x:v>
      </x:c>
      <x:c r="C63" s="22" t="str">
        <x:v>Abril</x:v>
      </x:c>
      <x:c r="D63" s="22" t="str">
        <x:v>R01</x:v>
      </x:c>
      <x:c r="E63" s="22" t="str">
        <x:v>Índice de frecuencia de accidentalidad (IF)</x:v>
      </x:c>
      <x:c r="F63" s="22" t="str">
        <x:v>Resultado</x:v>
      </x:c>
      <x:c r="G63" s="22" t="str">
        <x:v>Mensual</x:v>
      </x:c>
      <x:c r="H63" s="40" t="n">
        <x:v>3.5</x:v>
      </x:c>
      <x:c r="I63" s="22" t="str">
        <x:v>Menor es mejor</x:v>
      </x:c>
      <x:c r="J63" s="40" t="n">
        <x:v>1</x:v>
      </x:c>
      <x:c r="K63" s="40" t="n">
        <x:v>57082</x:v>
      </x:c>
      <x:c r="L63" s="40" t="n">
        <x:v>200000</x:v>
      </x:c>
      <x:c r="M63" s="40" t="n">
        <x:f>IF(OR(J63="",K63="",K63=0),"",J63/K63*L63)</x:f>
        <x:v>3.503731474019831</x:v>
      </x:c>
      <x:c r="N63" s="22" t="str">
        <x:f>IF(M63="","",IF(I63="Mayor es mejor",IF(M63&gt;=H63,"En meta",IF(M63&gt;=H63*0.9,"Alerta","Crítico")),IF(M63&lt;=H63,"En meta",IF(M63&lt;=H63*1.1,"Alerta","Crítico"))))</x:f>
        <x:v>Alerta</x:v>
      </x:c>
      <x:c r="O63" s="22" t="str">
        <x:v>Índice</x:v>
      </x:c>
      <x:c r="P63" s="22" t="str">
        <x:v>Líder SG-SST</x:v>
      </x:c>
      <x:c r="Q63" s="22" t="str">
        <x:v>Matriz de accidentalidad / nómina</x:v>
      </x:c>
      <x:c r="R63" s="22" t="str"/>
    </x:row>
    <x:row r="64">
      <x:c r="A64" s="46" t="n">
        <x:v>45777</x:v>
      </x:c>
      <x:c r="B64" s="22" t="n">
        <x:v>2025</x:v>
      </x:c>
      <x:c r="C64" s="22" t="str">
        <x:v>Abril</x:v>
      </x:c>
      <x:c r="D64" s="22" t="str">
        <x:v>R02</x:v>
      </x:c>
      <x:c r="E64" s="22" t="str">
        <x:v>Índice de severidad de accidentalidad (IS)</x:v>
      </x:c>
      <x:c r="F64" s="22" t="str">
        <x:v>Resultado</x:v>
      </x:c>
      <x:c r="G64" s="22" t="str">
        <x:v>Mensual</x:v>
      </x:c>
      <x:c r="H64" s="40" t="n">
        <x:v>80</x:v>
      </x:c>
      <x:c r="I64" s="22" t="str">
        <x:v>Menor es mejor</x:v>
      </x:c>
      <x:c r="J64" s="40" t="n">
        <x:v>15</x:v>
      </x:c>
      <x:c r="K64" s="40" t="n">
        <x:v>57082</x:v>
      </x:c>
      <x:c r="L64" s="40" t="n">
        <x:v>200000</x:v>
      </x:c>
      <x:c r="M64" s="40" t="n">
        <x:f>IF(OR(J64="",K64="",K64=0),"",J64/K64*L64)</x:f>
        <x:v>52.55597211029746</x:v>
      </x:c>
      <x:c r="N64" s="22" t="str">
        <x:f>IF(M64="","",IF(I64="Mayor es mejor",IF(M64&gt;=H64,"En meta",IF(M64&gt;=H64*0.9,"Alerta","Crítico")),IF(M64&lt;=H64,"En meta",IF(M64&lt;=H64*1.1,"Alerta","Crítico"))))</x:f>
        <x:v>En meta</x:v>
      </x:c>
      <x:c r="O64" s="22" t="str">
        <x:v>Índice</x:v>
      </x:c>
      <x:c r="P64" s="22" t="str">
        <x:v>Líder SG-SST</x:v>
      </x:c>
      <x:c r="Q64" s="22" t="str">
        <x:v>Matriz de accidentalidad / nómina</x:v>
      </x:c>
      <x:c r="R64" s="22" t="str"/>
    </x:row>
    <x:row r="65">
      <x:c r="A65" s="46" t="n">
        <x:v>45777</x:v>
      </x:c>
      <x:c r="B65" s="22" t="n">
        <x:v>2025</x:v>
      </x:c>
      <x:c r="C65" s="22" t="str">
        <x:v>Abril</x:v>
      </x:c>
      <x:c r="D65" s="22" t="str">
        <x:v>R03</x:v>
      </x:c>
      <x:c r="E65" s="22" t="str">
        <x:v>Índice de lesión incapacitante (ILI)</x:v>
      </x:c>
      <x:c r="F65" s="22" t="str">
        <x:v>Resultado</x:v>
      </x:c>
      <x:c r="G65" s="22" t="str">
        <x:v>Mensual</x:v>
      </x:c>
      <x:c r="H65" s="40" t="n">
        <x:v>0.25</x:v>
      </x:c>
      <x:c r="I65" s="22" t="str">
        <x:v>Menor es mejor</x:v>
      </x:c>
      <x:c r="J65" s="40" t="n">
        <x:v>184.142</x:v>
      </x:c>
      <x:c r="K65" s="40" t="n">
        <x:v>1000</x:v>
      </x:c>
      <x:c r="L65" s="40" t="n">
        <x:v>1</x:v>
      </x:c>
      <x:c r="M65" s="40" t="n">
        <x:f>IF(OR(J65="",K65="",K65=0),"",J65/K65*L65)</x:f>
        <x:v>0.184142</x:v>
      </x:c>
      <x:c r="N65" s="22" t="str">
        <x:f>IF(M65="","",IF(I65="Mayor es mejor",IF(M65&gt;=H65,"En meta",IF(M65&gt;=H65*0.9,"Alerta","Crítico")),IF(M65&lt;=H65,"En meta",IF(M65&lt;=H65*1.1,"Alerta","Crítico"))))</x:f>
        <x:v>En meta</x:v>
      </x:c>
      <x:c r="O65" s="22" t="str">
        <x:v>Índice</x:v>
      </x:c>
      <x:c r="P65" s="22" t="str">
        <x:v>Líder SG-SST</x:v>
      </x:c>
      <x:c r="Q65" s="22" t="str">
        <x:v>Indicadores derivados de accidentalidad</x:v>
      </x:c>
      <x:c r="R65" s="22" t="str">
        <x:v>ILI calculado sobre IF e IS del periodo.</x:v>
      </x:c>
    </x:row>
    <x:row r="66">
      <x:c r="A66" s="46" t="n">
        <x:v>45777</x:v>
      </x:c>
      <x:c r="B66" s="22" t="n">
        <x:v>2025</x:v>
      </x:c>
      <x:c r="C66" s="22" t="str">
        <x:v>Abril</x:v>
      </x:c>
      <x:c r="D66" s="22" t="str">
        <x:v>R04</x:v>
      </x:c>
      <x:c r="E66" s="22" t="str">
        <x:v>Tasa de accidentalidad</x:v>
      </x:c>
      <x:c r="F66" s="22" t="str">
        <x:v>Resultado</x:v>
      </x:c>
      <x:c r="G66" s="22" t="str">
        <x:v>Mensual</x:v>
      </x:c>
      <x:c r="H66" s="40" t="n">
        <x:v>0.6</x:v>
      </x:c>
      <x:c r="I66" s="22" t="str">
        <x:v>Menor es mejor</x:v>
      </x:c>
      <x:c r="J66" s="40" t="n">
        <x:v>0.02</x:v>
      </x:c>
      <x:c r="K66" s="40" t="n">
        <x:v>239</x:v>
      </x:c>
      <x:c r="L66" s="40" t="n">
        <x:v>100</x:v>
      </x:c>
      <x:c r="M66" s="40" t="n">
        <x:f>IF(OR(J66="",K66="",K66=0),"",J66/K66*L66)</x:f>
        <x:v>0.008368200836820085</x:v>
      </x:c>
      <x:c r="N66" s="22" t="str">
        <x:f>IF(M66="","",IF(I66="Mayor es mejor",IF(M66&gt;=H66,"En meta",IF(M66&gt;=H66*0.9,"Alerta","Crítico")),IF(M66&lt;=H66,"En meta",IF(M66&lt;=H66*1.1,"Alerta","Crítico"))))</x:f>
        <x:v>En meta</x:v>
      </x:c>
      <x:c r="O66" s="22" t="str">
        <x:v>%</x:v>
      </x:c>
      <x:c r="P66" s="22" t="str">
        <x:v>Líder SG-SST</x:v>
      </x:c>
      <x:c r="Q66" s="22" t="str">
        <x:v>Matriz de accidentalidad / nómina</x:v>
      </x:c>
      <x:c r="R66" s="22" t="str"/>
    </x:row>
    <x:row r="67">
      <x:c r="A67" s="46" t="n">
        <x:v>45777</x:v>
      </x:c>
      <x:c r="B67" s="22" t="n">
        <x:v>2025</x:v>
      </x:c>
      <x:c r="C67" s="22" t="str">
        <x:v>Abril</x:v>
      </x:c>
      <x:c r="D67" s="22" t="str">
        <x:v>R05</x:v>
      </x:c>
      <x:c r="E67" s="22" t="str">
        <x:v>Prevalencia de enfermedad laboral</x:v>
      </x:c>
      <x:c r="F67" s="22" t="str">
        <x:v>Resultado</x:v>
      </x:c>
      <x:c r="G67" s="22" t="str">
        <x:v>Mensual</x:v>
      </x:c>
      <x:c r="H67" s="40" t="n">
        <x:v>0.3</x:v>
      </x:c>
      <x:c r="I67" s="22" t="str">
        <x:v>Menor es mejor</x:v>
      </x:c>
      <x:c r="J67" s="40" t="n">
        <x:v>0.02</x:v>
      </x:c>
      <x:c r="K67" s="40" t="n">
        <x:v>239</x:v>
      </x:c>
      <x:c r="L67" s="40" t="n">
        <x:v>100</x:v>
      </x:c>
      <x:c r="M67" s="40" t="n">
        <x:f>IF(OR(J67="",K67="",K67=0),"",J67/K67*L67)</x:f>
        <x:v>0.008368200836820085</x:v>
      </x:c>
      <x:c r="N67" s="22" t="str">
        <x:f>IF(M67="","",IF(I67="Mayor es mejor",IF(M67&gt;=H67,"En meta",IF(M67&gt;=H67*0.9,"Alerta","Crítico")),IF(M67&lt;=H67,"En meta",IF(M67&lt;=H67*1.1,"Alerta","Crítico"))))</x:f>
        <x:v>En meta</x:v>
      </x:c>
      <x:c r="O67" s="22" t="str">
        <x:v>%</x:v>
      </x:c>
      <x:c r="P67" s="22" t="str">
        <x:v>Líder SG-SST / Medicina laboral</x:v>
      </x:c>
      <x:c r="Q67" s="22" t="str">
        <x:v>Matriz de enfermedad laboral / nómina</x:v>
      </x:c>
      <x:c r="R67" s="22" t="str"/>
    </x:row>
    <x:row r="68">
      <x:c r="A68" s="46" t="n">
        <x:v>45777</x:v>
      </x:c>
      <x:c r="B68" s="22" t="n">
        <x:v>2025</x:v>
      </x:c>
      <x:c r="C68" s="22" t="str">
        <x:v>Abril</x:v>
      </x:c>
      <x:c r="D68" s="22" t="str">
        <x:v>R06</x:v>
      </x:c>
      <x:c r="E68" s="22" t="str">
        <x:v>% cumplimiento de estándares mínimos Res. 0312 de 2019</x:v>
      </x:c>
      <x:c r="F68" s="22" t="str">
        <x:v>Resultado</x:v>
      </x:c>
      <x:c r="G68" s="22" t="str">
        <x:v>Mensual</x:v>
      </x:c>
      <x:c r="H68" s="40" t="n">
        <x:v>95</x:v>
      </x:c>
      <x:c r="I68" s="22" t="str">
        <x:v>Mayor es mejor</x:v>
      </x:c>
      <x:c r="J68" s="40" t="n">
        <x:v>98</x:v>
      </x:c>
      <x:c r="K68" s="40" t="n">
        <x:v>100</x:v>
      </x:c>
      <x:c r="L68" s="40" t="n">
        <x:v>100</x:v>
      </x:c>
      <x:c r="M68" s="40" t="n">
        <x:f>IF(OR(J68="",K68="",K68=0),"",J68/K68*L68)</x:f>
        <x:v>98</x:v>
      </x:c>
      <x:c r="N68" s="22" t="str">
        <x:f>IF(M68="","",IF(I68="Mayor es mejor",IF(M68&gt;=H68,"En meta",IF(M68&gt;=H68*0.9,"Alerta","Crítico")),IF(M68&lt;=H68,"En meta",IF(M68&lt;=H68*1.1,"Alerta","Crítico"))))</x:f>
        <x:v>En meta</x:v>
      </x:c>
      <x:c r="O68" s="22" t="str">
        <x:v>%</x:v>
      </x:c>
      <x:c r="P68" s="22" t="str">
        <x:v>Líder SG-SST / Alta Dirección</x:v>
      </x:c>
      <x:c r="Q68" s="22" t="str">
        <x:v>Autodiagnóstico Res. 0312 de 2019</x:v>
      </x:c>
      <x:c r="R68" s="22" t="str"/>
    </x:row>
    <x:row r="69">
      <x:c r="A69" s="46" t="n">
        <x:v>45808</x:v>
      </x:c>
      <x:c r="B69" s="22" t="n">
        <x:v>2025</x:v>
      </x:c>
      <x:c r="C69" s="22" t="str">
        <x:v>Mayo</x:v>
      </x:c>
      <x:c r="D69" s="22" t="str">
        <x:v>E01</x:v>
      </x:c>
      <x:c r="E69" s="22" t="str">
        <x:v>% ejecución presupuestal del SG-SST</x:v>
      </x:c>
      <x:c r="F69" s="22" t="str">
        <x:v>Estructura</x:v>
      </x:c>
      <x:c r="G69" s="22" t="str">
        <x:v>Mensual</x:v>
      </x:c>
      <x:c r="H69" s="40" t="n">
        <x:v>95</x:v>
      </x:c>
      <x:c r="I69" s="22" t="str">
        <x:v>Mayor es mejor</x:v>
      </x:c>
      <x:c r="J69" s="40" t="n">
        <x:v>6287739</x:v>
      </x:c>
      <x:c r="K69" s="40" t="n">
        <x:v>6500000</x:v>
      </x:c>
      <x:c r="L69" s="40" t="n">
        <x:v>100</x:v>
      </x:c>
      <x:c r="M69" s="40" t="n">
        <x:f>IF(OR(J69="",K69="",K69=0),"",J69/K69*L69)</x:f>
        <x:v>96.73444615384615</x:v>
      </x:c>
      <x:c r="N69" s="22" t="str">
        <x:f>IF(M69="","",IF(I69="Mayor es mejor",IF(M69&gt;=H69,"En meta",IF(M69&gt;=H69*0.9,"Alerta","Crítico")),IF(M69&lt;=H69,"En meta",IF(M69&lt;=H69*1.1,"Alerta","Crítico"))))</x:f>
        <x:v>En meta</x:v>
      </x:c>
      <x:c r="O69" s="22" t="str">
        <x:v>%</x:v>
      </x:c>
      <x:c r="P69" s="22" t="str">
        <x:v>Líder SG-SST / Dirección Administrativa</x:v>
      </x:c>
      <x:c r="Q69" s="22" t="str">
        <x:v>Presupuesto SST</x:v>
      </x:c>
      <x:c r="R69" s="22" t="str"/>
    </x:row>
    <x:row r="70">
      <x:c r="A70" s="46" t="n">
        <x:v>45808</x:v>
      </x:c>
      <x:c r="B70" s="22" t="n">
        <x:v>2025</x:v>
      </x:c>
      <x:c r="C70" s="22" t="str">
        <x:v>Mayo</x:v>
      </x:c>
      <x:c r="D70" s="22" t="str">
        <x:v>E02</x:v>
      </x:c>
      <x:c r="E70" s="22" t="str">
        <x:v>% cobertura del plan de formación y capacitación SG-SST</x:v>
      </x:c>
      <x:c r="F70" s="22" t="str">
        <x:v>Estructura</x:v>
      </x:c>
      <x:c r="G70" s="22" t="str">
        <x:v>Mensual</x:v>
      </x:c>
      <x:c r="H70" s="40" t="n">
        <x:v>90</x:v>
      </x:c>
      <x:c r="I70" s="22" t="str">
        <x:v>Mayor es mejor</x:v>
      </x:c>
      <x:c r="J70" s="40" t="n">
        <x:v>19</x:v>
      </x:c>
      <x:c r="K70" s="40" t="n">
        <x:v>20</x:v>
      </x:c>
      <x:c r="L70" s="40" t="n">
        <x:v>100</x:v>
      </x:c>
      <x:c r="M70" s="40" t="n">
        <x:f>IF(OR(J70="",K70="",K70=0),"",J70/K70*L70)</x:f>
        <x:v>95</x:v>
      </x:c>
      <x:c r="N70" s="22" t="str">
        <x:f>IF(M70="","",IF(I70="Mayor es mejor",IF(M70&gt;=H70,"En meta",IF(M70&gt;=H70*0.9,"Alerta","Crítico")),IF(M70&lt;=H70,"En meta",IF(M70&lt;=H70*1.1,"Alerta","Crítico"))))</x:f>
        <x:v>En meta</x:v>
      </x:c>
      <x:c r="O70" s="22" t="str">
        <x:v>%</x:v>
      </x:c>
      <x:c r="P70" s="22" t="str">
        <x:v>Líder SG-SST / Talento Humano</x:v>
      </x:c>
      <x:c r="Q70" s="22" t="str">
        <x:v>Plan de formación y capacitaciones</x:v>
      </x:c>
      <x:c r="R70" s="22" t="str"/>
    </x:row>
    <x:row r="71">
      <x:c r="A71" s="46" t="n">
        <x:v>45808</x:v>
      </x:c>
      <x:c r="B71" s="22" t="n">
        <x:v>2025</x:v>
      </x:c>
      <x:c r="C71" s="22" t="str">
        <x:v>Mayo</x:v>
      </x:c>
      <x:c r="D71" s="22" t="str">
        <x:v>E03</x:v>
      </x:c>
      <x:c r="E71" s="22" t="str">
        <x:v>% trabajadores con exámenes médicos ocupacionales vigentes</x:v>
      </x:c>
      <x:c r="F71" s="22" t="str">
        <x:v>Estructura</x:v>
      </x:c>
      <x:c r="G71" s="22" t="str">
        <x:v>Mensual</x:v>
      </x:c>
      <x:c r="H71" s="40" t="n">
        <x:v>95</x:v>
      </x:c>
      <x:c r="I71" s="22" t="str">
        <x:v>Mayor es mejor</x:v>
      </x:c>
      <x:c r="J71" s="40" t="n">
        <x:v>225</x:v>
      </x:c>
      <x:c r="K71" s="40" t="n">
        <x:v>235</x:v>
      </x:c>
      <x:c r="L71" s="40" t="n">
        <x:v>100</x:v>
      </x:c>
      <x:c r="M71" s="40" t="n">
        <x:f>IF(OR(J71="",K71="",K71=0),"",J71/K71*L71)</x:f>
        <x:v>95.74468085106383</x:v>
      </x:c>
      <x:c r="N71" s="22" t="str">
        <x:f>IF(M71="","",IF(I71="Mayor es mejor",IF(M71&gt;=H71,"En meta",IF(M71&gt;=H71*0.9,"Alerta","Crítico")),IF(M71&lt;=H71,"En meta",IF(M71&lt;=H71*1.1,"Alerta","Crítico"))))</x:f>
        <x:v>En meta</x:v>
      </x:c>
      <x:c r="O71" s="22" t="str">
        <x:v>%</x:v>
      </x:c>
      <x:c r="P71" s="22" t="str">
        <x:v>Líder SG-SST / Talento Humano</x:v>
      </x:c>
      <x:c r="Q71" s="22" t="str">
        <x:v>Matriz de seguimiento EMO</x:v>
      </x:c>
      <x:c r="R71" s="22" t="str"/>
    </x:row>
    <x:row r="72">
      <x:c r="A72" s="46" t="n">
        <x:v>45808</x:v>
      </x:c>
      <x:c r="B72" s="22" t="n">
        <x:v>2025</x:v>
      </x:c>
      <x:c r="C72" s="22" t="str">
        <x:v>Mayo</x:v>
      </x:c>
      <x:c r="D72" s="22" t="str">
        <x:v>E04</x:v>
      </x:c>
      <x:c r="E72" s="22" t="str">
        <x:v>% cumplimiento de requisitos legales aplicables en SST</x:v>
      </x:c>
      <x:c r="F72" s="22" t="str">
        <x:v>Estructura</x:v>
      </x:c>
      <x:c r="G72" s="22" t="str">
        <x:v>Mensual</x:v>
      </x:c>
      <x:c r="H72" s="40" t="n">
        <x:v>95</x:v>
      </x:c>
      <x:c r="I72" s="22" t="str">
        <x:v>Mayor es mejor</x:v>
      </x:c>
      <x:c r="J72" s="40" t="n">
        <x:v>57</x:v>
      </x:c>
      <x:c r="K72" s="40" t="n">
        <x:v>60</x:v>
      </x:c>
      <x:c r="L72" s="40" t="n">
        <x:v>100</x:v>
      </x:c>
      <x:c r="M72" s="40" t="n">
        <x:f>IF(OR(J72="",K72="",K72=0),"",J72/K72*L72)</x:f>
        <x:v>95</x:v>
      </x:c>
      <x:c r="N72" s="22" t="str">
        <x:f>IF(M72="","",IF(I72="Mayor es mejor",IF(M72&gt;=H72,"En meta",IF(M72&gt;=H72*0.9,"Alerta","Crítico")),IF(M72&lt;=H72,"En meta",IF(M72&lt;=H72*1.1,"Alerta","Crítico"))))</x:f>
        <x:v>En meta</x:v>
      </x:c>
      <x:c r="O72" s="22" t="str">
        <x:v>%</x:v>
      </x:c>
      <x:c r="P72" s="22" t="str">
        <x:v>Líder SG-SST / Jurídica</x:v>
      </x:c>
      <x:c r="Q72" s="22" t="str">
        <x:v>Matriz legal SGRL</x:v>
      </x:c>
      <x:c r="R72" s="22" t="str"/>
    </x:row>
    <x:row r="73">
      <x:c r="A73" s="46" t="n">
        <x:v>45808</x:v>
      </x:c>
      <x:c r="B73" s="22" t="n">
        <x:v>2025</x:v>
      </x:c>
      <x:c r="C73" s="22" t="str">
        <x:v>Mayo</x:v>
      </x:c>
      <x:c r="D73" s="22" t="str">
        <x:v>E05</x:v>
      </x:c>
      <x:c r="E73" s="22" t="str">
        <x:v>% proveedores y contratistas aprobados en SST</x:v>
      </x:c>
      <x:c r="F73" s="22" t="str">
        <x:v>Estructura</x:v>
      </x:c>
      <x:c r="G73" s="22" t="str">
        <x:v>Mensual</x:v>
      </x:c>
      <x:c r="H73" s="40" t="n">
        <x:v>90</x:v>
      </x:c>
      <x:c r="I73" s="22" t="str">
        <x:v>Mayor es mejor</x:v>
      </x:c>
      <x:c r="J73" s="40" t="n">
        <x:v>19</x:v>
      </x:c>
      <x:c r="K73" s="40" t="n">
        <x:v>20</x:v>
      </x:c>
      <x:c r="L73" s="40" t="n">
        <x:v>100</x:v>
      </x:c>
      <x:c r="M73" s="40" t="n">
        <x:f>IF(OR(J73="",K73="",K73=0),"",J73/K73*L73)</x:f>
        <x:v>95</x:v>
      </x:c>
      <x:c r="N73" s="22" t="str">
        <x:f>IF(M73="","",IF(I73="Mayor es mejor",IF(M73&gt;=H73,"En meta",IF(M73&gt;=H73*0.9,"Alerta","Crítico")),IF(M73&lt;=H73,"En meta",IF(M73&lt;=H73*1.1,"Alerta","Crítico"))))</x:f>
        <x:v>En meta</x:v>
      </x:c>
      <x:c r="O73" s="22" t="str">
        <x:v>%</x:v>
      </x:c>
      <x:c r="P73" s="22" t="str">
        <x:v>Compras / Líder SG-SST</x:v>
      </x:c>
      <x:c r="Q73" s="22" t="str">
        <x:v>Gestión de proveedores y contratistas</x:v>
      </x:c>
      <x:c r="R73" s="22" t="str"/>
    </x:row>
    <x:row r="74">
      <x:c r="A74" s="46" t="n">
        <x:v>45808</x:v>
      </x:c>
      <x:c r="B74" s="22" t="n">
        <x:v>2025</x:v>
      </x:c>
      <x:c r="C74" s="22" t="str">
        <x:v>Mayo</x:v>
      </x:c>
      <x:c r="D74" s="22" t="str">
        <x:v>P01</x:v>
      </x:c>
      <x:c r="E74" s="22" t="str">
        <x:v>% ejecución del plan anual de trabajo SG-SST</x:v>
      </x:c>
      <x:c r="F74" s="22" t="str">
        <x:v>Proceso</x:v>
      </x:c>
      <x:c r="G74" s="22" t="str">
        <x:v>Mensual</x:v>
      </x:c>
      <x:c r="H74" s="40" t="n">
        <x:v>90</x:v>
      </x:c>
      <x:c r="I74" s="22" t="str">
        <x:v>Mayor es mejor</x:v>
      </x:c>
      <x:c r="J74" s="40" t="n">
        <x:v>13</x:v>
      </x:c>
      <x:c r="K74" s="40" t="n">
        <x:v>14</x:v>
      </x:c>
      <x:c r="L74" s="40" t="n">
        <x:v>100</x:v>
      </x:c>
      <x:c r="M74" s="40" t="n">
        <x:f>IF(OR(J74="",K74="",K74=0),"",J74/K74*L74)</x:f>
        <x:v>92.85714285714286</x:v>
      </x:c>
      <x:c r="N74" s="22" t="str">
        <x:f>IF(M74="","",IF(I74="Mayor es mejor",IF(M74&gt;=H74,"En meta",IF(M74&gt;=H74*0.9,"Alerta","Crítico")),IF(M74&lt;=H74,"En meta",IF(M74&lt;=H74*1.1,"Alerta","Crítico"))))</x:f>
        <x:v>En meta</x:v>
      </x:c>
      <x:c r="O74" s="22" t="str">
        <x:v>%</x:v>
      </x:c>
      <x:c r="P74" s="22" t="str">
        <x:v>Líder SG-SST</x:v>
      </x:c>
      <x:c r="Q74" s="22" t="str">
        <x:v>Plan anual de trabajo PHVA</x:v>
      </x:c>
      <x:c r="R74" s="22" t="str"/>
    </x:row>
    <x:row r="75">
      <x:c r="A75" s="46" t="n">
        <x:v>45808</x:v>
      </x:c>
      <x:c r="B75" s="22" t="n">
        <x:v>2025</x:v>
      </x:c>
      <x:c r="C75" s="22" t="str">
        <x:v>Mayo</x:v>
      </x:c>
      <x:c r="D75" s="22" t="str">
        <x:v>P02</x:v>
      </x:c>
      <x:c r="E75" s="22" t="str">
        <x:v>% investigaciones de accidentes realizadas oportunamente</x:v>
      </x:c>
      <x:c r="F75" s="22" t="str">
        <x:v>Proceso</x:v>
      </x:c>
      <x:c r="G75" s="22" t="str">
        <x:v>Mensual</x:v>
      </x:c>
      <x:c r="H75" s="40" t="n">
        <x:v>95</x:v>
      </x:c>
      <x:c r="I75" s="22" t="str">
        <x:v>Mayor es mejor</x:v>
      </x:c>
      <x:c r="J75" s="40" t="n">
        <x:v>1</x:v>
      </x:c>
      <x:c r="K75" s="40" t="n">
        <x:v>1</x:v>
      </x:c>
      <x:c r="L75" s="40" t="n">
        <x:v>100</x:v>
      </x:c>
      <x:c r="M75" s="40" t="n">
        <x:f>IF(OR(J75="",K75="",K75=0),"",J75/K75*L75)</x:f>
        <x:v>100</x:v>
      </x:c>
      <x:c r="N75" s="22" t="str">
        <x:f>IF(M75="","",IF(I75="Mayor es mejor",IF(M75&gt;=H75,"En meta",IF(M75&gt;=H75*0.9,"Alerta","Crítico")),IF(M75&lt;=H75,"En meta",IF(M75&lt;=H75*1.1,"Alerta","Crítico"))))</x:f>
        <x:v>En meta</x:v>
      </x:c>
      <x:c r="O75" s="22" t="str">
        <x:v>%</x:v>
      </x:c>
      <x:c r="P75" s="22" t="str">
        <x:v>Líder SG-SST / COPASST</x:v>
      </x:c>
      <x:c r="Q75" s="22" t="str">
        <x:v>Matriz de accidentalidad</x:v>
      </x:c>
      <x:c r="R75" s="22" t="str"/>
    </x:row>
    <x:row r="76">
      <x:c r="A76" s="46" t="n">
        <x:v>45808</x:v>
      </x:c>
      <x:c r="B76" s="22" t="n">
        <x:v>2025</x:v>
      </x:c>
      <x:c r="C76" s="22" t="str">
        <x:v>Mayo</x:v>
      </x:c>
      <x:c r="D76" s="22" t="str">
        <x:v>P03</x:v>
      </x:c>
      <x:c r="E76" s="22" t="str">
        <x:v>% cierre oportuno de acciones correctivas, preventivas y de mejora</x:v>
      </x:c>
      <x:c r="F76" s="22" t="str">
        <x:v>Proceso</x:v>
      </x:c>
      <x:c r="G76" s="22" t="str">
        <x:v>Mensual</x:v>
      </x:c>
      <x:c r="H76" s="40" t="n">
        <x:v>90</x:v>
      </x:c>
      <x:c r="I76" s="22" t="str">
        <x:v>Mayor es mejor</x:v>
      </x:c>
      <x:c r="J76" s="40" t="n">
        <x:v>9</x:v>
      </x:c>
      <x:c r="K76" s="40" t="n">
        <x:v>10</x:v>
      </x:c>
      <x:c r="L76" s="40" t="n">
        <x:v>100</x:v>
      </x:c>
      <x:c r="M76" s="40" t="n">
        <x:f>IF(OR(J76="",K76="",K76=0),"",J76/K76*L76)</x:f>
        <x:v>90</x:v>
      </x:c>
      <x:c r="N76" s="22" t="str">
        <x:f>IF(M76="","",IF(I76="Mayor es mejor",IF(M76&gt;=H76,"En meta",IF(M76&gt;=H76*0.9,"Alerta","Crítico")),IF(M76&lt;=H76,"En meta",IF(M76&lt;=H76*1.1,"Alerta","Crítico"))))</x:f>
        <x:v>En meta</x:v>
      </x:c>
      <x:c r="O76" s="22" t="str">
        <x:v>%</x:v>
      </x:c>
      <x:c r="P76" s="22" t="str">
        <x:v>Líder SG-SST / Responsables de proceso</x:v>
      </x:c>
      <x:c r="Q76" s="22" t="str">
        <x:v>Matriz APCM</x:v>
      </x:c>
      <x:c r="R76" s="22" t="str"/>
    </x:row>
    <x:row r="77">
      <x:c r="A77" s="46" t="n">
        <x:v>45808</x:v>
      </x:c>
      <x:c r="B77" s="22" t="n">
        <x:v>2025</x:v>
      </x:c>
      <x:c r="C77" s="22" t="str">
        <x:v>Mayo</x:v>
      </x:c>
      <x:c r="D77" s="22" t="str">
        <x:v>P04</x:v>
      </x:c>
      <x:c r="E77" s="22" t="str">
        <x:v>% inspecciones de seguridad ejecutadas</x:v>
      </x:c>
      <x:c r="F77" s="22" t="str">
        <x:v>Proceso</x:v>
      </x:c>
      <x:c r="G77" s="22" t="str">
        <x:v>Mensual</x:v>
      </x:c>
      <x:c r="H77" s="40" t="n">
        <x:v>90</x:v>
      </x:c>
      <x:c r="I77" s="22" t="str">
        <x:v>Mayor es mejor</x:v>
      </x:c>
      <x:c r="J77" s="40" t="n">
        <x:v>8</x:v>
      </x:c>
      <x:c r="K77" s="40" t="n">
        <x:v>9</x:v>
      </x:c>
      <x:c r="L77" s="40" t="n">
        <x:v>100</x:v>
      </x:c>
      <x:c r="M77" s="40" t="n">
        <x:f>IF(OR(J77="",K77="",K77=0),"",J77/K77*L77)</x:f>
        <x:v>88.88888888888889</x:v>
      </x:c>
      <x:c r="N77" s="22" t="str">
        <x:f>IF(M77="","",IF(I77="Mayor es mejor",IF(M77&gt;=H77,"En meta",IF(M77&gt;=H77*0.9,"Alerta","Crítico")),IF(M77&lt;=H77,"En meta",IF(M77&lt;=H77*1.1,"Alerta","Crítico"))))</x:f>
        <x:v>Alerta</x:v>
      </x:c>
      <x:c r="O77" s="22" t="str">
        <x:v>%</x:v>
      </x:c>
      <x:c r="P77" s="22" t="str">
        <x:v>Líder SG-SST / Supervisores</x:v>
      </x:c>
      <x:c r="Q77" s="22" t="str">
        <x:v>Programa de inspecciones</x:v>
      </x:c>
      <x:c r="R77" s="22" t="str"/>
    </x:row>
    <x:row r="78">
      <x:c r="A78" s="46" t="n">
        <x:v>45808</x:v>
      </x:c>
      <x:c r="B78" s="22" t="n">
        <x:v>2025</x:v>
      </x:c>
      <x:c r="C78" s="22" t="str">
        <x:v>Mayo</x:v>
      </x:c>
      <x:c r="D78" s="22" t="str">
        <x:v>P05</x:v>
      </x:c>
      <x:c r="E78" s="22" t="str">
        <x:v>% mantenimientos preventivos ejecutados</x:v>
      </x:c>
      <x:c r="F78" s="22" t="str">
        <x:v>Proceso</x:v>
      </x:c>
      <x:c r="G78" s="22" t="str">
        <x:v>Mensual</x:v>
      </x:c>
      <x:c r="H78" s="40" t="n">
        <x:v>90</x:v>
      </x:c>
      <x:c r="I78" s="22" t="str">
        <x:v>Mayor es mejor</x:v>
      </x:c>
      <x:c r="J78" s="40" t="n">
        <x:v>12</x:v>
      </x:c>
      <x:c r="K78" s="40" t="n">
        <x:v>13</x:v>
      </x:c>
      <x:c r="L78" s="40" t="n">
        <x:v>100</x:v>
      </x:c>
      <x:c r="M78" s="40" t="n">
        <x:f>IF(OR(J78="",K78="",K78=0),"",J78/K78*L78)</x:f>
        <x:v>92.3076923076923</x:v>
      </x:c>
      <x:c r="N78" s="22" t="str">
        <x:f>IF(M78="","",IF(I78="Mayor es mejor",IF(M78&gt;=H78,"En meta",IF(M78&gt;=H78*0.9,"Alerta","Crítico")),IF(M78&lt;=H78,"En meta",IF(M78&lt;=H78*1.1,"Alerta","Crítico"))))</x:f>
        <x:v>En meta</x:v>
      </x:c>
      <x:c r="O78" s="22" t="str">
        <x:v>%</x:v>
      </x:c>
      <x:c r="P78" s="22" t="str">
        <x:v>Mantenimiento / Líder SG-SST</x:v>
      </x:c>
      <x:c r="Q78" s="22" t="str">
        <x:v>Programa de mantenimiento preventivo</x:v>
      </x:c>
      <x:c r="R78" s="22" t="str"/>
    </x:row>
    <x:row r="79">
      <x:c r="A79" s="46" t="n">
        <x:v>45808</x:v>
      </x:c>
      <x:c r="B79" s="22" t="n">
        <x:v>2025</x:v>
      </x:c>
      <x:c r="C79" s="22" t="str">
        <x:v>Mayo</x:v>
      </x:c>
      <x:c r="D79" s="22" t="str">
        <x:v>R01</x:v>
      </x:c>
      <x:c r="E79" s="22" t="str">
        <x:v>Índice de frecuencia de accidentalidad (IF)</x:v>
      </x:c>
      <x:c r="F79" s="22" t="str">
        <x:v>Resultado</x:v>
      </x:c>
      <x:c r="G79" s="22" t="str">
        <x:v>Mensual</x:v>
      </x:c>
      <x:c r="H79" s="40" t="n">
        <x:v>3.5</x:v>
      </x:c>
      <x:c r="I79" s="22" t="str">
        <x:v>Menor es mejor</x:v>
      </x:c>
      <x:c r="J79" s="40" t="n">
        <x:v>1</x:v>
      </x:c>
      <x:c r="K79" s="40" t="n">
        <x:v>55295</x:v>
      </x:c>
      <x:c r="L79" s="40" t="n">
        <x:v>200000</x:v>
      </x:c>
      <x:c r="M79" s="40" t="n">
        <x:f>IF(OR(J79="",K79="",K79=0),"",J79/K79*L79)</x:f>
        <x:v>3.6169635590921416</x:v>
      </x:c>
      <x:c r="N79" s="22" t="str">
        <x:f>IF(M79="","",IF(I79="Mayor es mejor",IF(M79&gt;=H79,"En meta",IF(M79&gt;=H79*0.9,"Alerta","Crítico")),IF(M79&lt;=H79,"En meta",IF(M79&lt;=H79*1.1,"Alerta","Crítico"))))</x:f>
        <x:v>Alerta</x:v>
      </x:c>
      <x:c r="O79" s="22" t="str">
        <x:v>Índice</x:v>
      </x:c>
      <x:c r="P79" s="22" t="str">
        <x:v>Líder SG-SST</x:v>
      </x:c>
      <x:c r="Q79" s="22" t="str">
        <x:v>Matriz de accidentalidad / nómina</x:v>
      </x:c>
      <x:c r="R79" s="22" t="str"/>
    </x:row>
    <x:row r="80">
      <x:c r="A80" s="46" t="n">
        <x:v>45808</x:v>
      </x:c>
      <x:c r="B80" s="22" t="n">
        <x:v>2025</x:v>
      </x:c>
      <x:c r="C80" s="22" t="str">
        <x:v>Mayo</x:v>
      </x:c>
      <x:c r="D80" s="22" t="str">
        <x:v>R02</x:v>
      </x:c>
      <x:c r="E80" s="22" t="str">
        <x:v>Índice de severidad de accidentalidad (IS)</x:v>
      </x:c>
      <x:c r="F80" s="22" t="str">
        <x:v>Resultado</x:v>
      </x:c>
      <x:c r="G80" s="22" t="str">
        <x:v>Mensual</x:v>
      </x:c>
      <x:c r="H80" s="40" t="n">
        <x:v>80</x:v>
      </x:c>
      <x:c r="I80" s="22" t="str">
        <x:v>Menor es mejor</x:v>
      </x:c>
      <x:c r="J80" s="40" t="n">
        <x:v>12</x:v>
      </x:c>
      <x:c r="K80" s="40" t="n">
        <x:v>55295</x:v>
      </x:c>
      <x:c r="L80" s="40" t="n">
        <x:v>200000</x:v>
      </x:c>
      <x:c r="M80" s="40" t="n">
        <x:f>IF(OR(J80="",K80="",K80=0),"",J80/K80*L80)</x:f>
        <x:v>43.40356270910571</x:v>
      </x:c>
      <x:c r="N80" s="22" t="str">
        <x:f>IF(M80="","",IF(I80="Mayor es mejor",IF(M80&gt;=H80,"En meta",IF(M80&gt;=H80*0.9,"Alerta","Crítico")),IF(M80&lt;=H80,"En meta",IF(M80&lt;=H80*1.1,"Alerta","Crítico"))))</x:f>
        <x:v>En meta</x:v>
      </x:c>
      <x:c r="O80" s="22" t="str">
        <x:v>Índice</x:v>
      </x:c>
      <x:c r="P80" s="22" t="str">
        <x:v>Líder SG-SST</x:v>
      </x:c>
      <x:c r="Q80" s="22" t="str">
        <x:v>Matriz de accidentalidad / nómina</x:v>
      </x:c>
      <x:c r="R80" s="22" t="str"/>
    </x:row>
    <x:row r="81">
      <x:c r="A81" s="46" t="n">
        <x:v>45808</x:v>
      </x:c>
      <x:c r="B81" s="22" t="n">
        <x:v>2025</x:v>
      </x:c>
      <x:c r="C81" s="22" t="str">
        <x:v>Mayo</x:v>
      </x:c>
      <x:c r="D81" s="22" t="str">
        <x:v>R03</x:v>
      </x:c>
      <x:c r="E81" s="22" t="str">
        <x:v>Índice de lesión incapacitante (ILI)</x:v>
      </x:c>
      <x:c r="F81" s="22" t="str">
        <x:v>Resultado</x:v>
      </x:c>
      <x:c r="G81" s="22" t="str">
        <x:v>Mensual</x:v>
      </x:c>
      <x:c r="H81" s="40" t="n">
        <x:v>0.25</x:v>
      </x:c>
      <x:c r="I81" s="22" t="str">
        <x:v>Menor es mejor</x:v>
      </x:c>
      <x:c r="J81" s="40" t="n">
        <x:v>156.9891</x:v>
      </x:c>
      <x:c r="K81" s="40" t="n">
        <x:v>1000</x:v>
      </x:c>
      <x:c r="L81" s="40" t="n">
        <x:v>1</x:v>
      </x:c>
      <x:c r="M81" s="40" t="n">
        <x:f>IF(OR(J81="",K81="",K81=0),"",J81/K81*L81)</x:f>
        <x:v>0.15698910000000002</x:v>
      </x:c>
      <x:c r="N81" s="22" t="str">
        <x:f>IF(M81="","",IF(I81="Mayor es mejor",IF(M81&gt;=H81,"En meta",IF(M81&gt;=H81*0.9,"Alerta","Crítico")),IF(M81&lt;=H81,"En meta",IF(M81&lt;=H81*1.1,"Alerta","Crítico"))))</x:f>
        <x:v>En meta</x:v>
      </x:c>
      <x:c r="O81" s="22" t="str">
        <x:v>Índice</x:v>
      </x:c>
      <x:c r="P81" s="22" t="str">
        <x:v>Líder SG-SST</x:v>
      </x:c>
      <x:c r="Q81" s="22" t="str">
        <x:v>Indicadores derivados de accidentalidad</x:v>
      </x:c>
      <x:c r="R81" s="22" t="str">
        <x:v>ILI calculado sobre IF e IS del periodo.</x:v>
      </x:c>
    </x:row>
    <x:row r="82">
      <x:c r="A82" s="46" t="n">
        <x:v>45808</x:v>
      </x:c>
      <x:c r="B82" s="22" t="n">
        <x:v>2025</x:v>
      </x:c>
      <x:c r="C82" s="22" t="str">
        <x:v>Mayo</x:v>
      </x:c>
      <x:c r="D82" s="22" t="str">
        <x:v>R04</x:v>
      </x:c>
      <x:c r="E82" s="22" t="str">
        <x:v>Tasa de accidentalidad</x:v>
      </x:c>
      <x:c r="F82" s="22" t="str">
        <x:v>Resultado</x:v>
      </x:c>
      <x:c r="G82" s="22" t="str">
        <x:v>Mensual</x:v>
      </x:c>
      <x:c r="H82" s="40" t="n">
        <x:v>0.6</x:v>
      </x:c>
      <x:c r="I82" s="22" t="str">
        <x:v>Menor es mejor</x:v>
      </x:c>
      <x:c r="J82" s="40" t="n">
        <x:v>1.33</x:v>
      </x:c>
      <x:c r="K82" s="40" t="n">
        <x:v>235</x:v>
      </x:c>
      <x:c r="L82" s="40" t="n">
        <x:v>100</x:v>
      </x:c>
      <x:c r="M82" s="40" t="n">
        <x:f>IF(OR(J82="",K82="",K82=0),"",J82/K82*L82)</x:f>
        <x:v>0.5659574468085107</x:v>
      </x:c>
      <x:c r="N82" s="22" t="str">
        <x:f>IF(M82="","",IF(I82="Mayor es mejor",IF(M82&gt;=H82,"En meta",IF(M82&gt;=H82*0.9,"Alerta","Crítico")),IF(M82&lt;=H82,"En meta",IF(M82&lt;=H82*1.1,"Alerta","Crítico"))))</x:f>
        <x:v>En meta</x:v>
      </x:c>
      <x:c r="O82" s="22" t="str">
        <x:v>%</x:v>
      </x:c>
      <x:c r="P82" s="22" t="str">
        <x:v>Líder SG-SST</x:v>
      </x:c>
      <x:c r="Q82" s="22" t="str">
        <x:v>Matriz de accidentalidad / nómina</x:v>
      </x:c>
      <x:c r="R82" s="22" t="str"/>
    </x:row>
    <x:row r="83">
      <x:c r="A83" s="46" t="n">
        <x:v>45808</x:v>
      </x:c>
      <x:c r="B83" s="22" t="n">
        <x:v>2025</x:v>
      </x:c>
      <x:c r="C83" s="22" t="str">
        <x:v>Mayo</x:v>
      </x:c>
      <x:c r="D83" s="22" t="str">
        <x:v>R05</x:v>
      </x:c>
      <x:c r="E83" s="22" t="str">
        <x:v>Prevalencia de enfermedad laboral</x:v>
      </x:c>
      <x:c r="F83" s="22" t="str">
        <x:v>Resultado</x:v>
      </x:c>
      <x:c r="G83" s="22" t="str">
        <x:v>Mensual</x:v>
      </x:c>
      <x:c r="H83" s="40" t="n">
        <x:v>0.3</x:v>
      </x:c>
      <x:c r="I83" s="22" t="str">
        <x:v>Menor es mejor</x:v>
      </x:c>
      <x:c r="J83" s="40" t="n">
        <x:v>0.02</x:v>
      </x:c>
      <x:c r="K83" s="40" t="n">
        <x:v>235</x:v>
      </x:c>
      <x:c r="L83" s="40" t="n">
        <x:v>100</x:v>
      </x:c>
      <x:c r="M83" s="40" t="n">
        <x:f>IF(OR(J83="",K83="",K83=0),"",J83/K83*L83)</x:f>
        <x:v>0.00851063829787234</x:v>
      </x:c>
      <x:c r="N83" s="22" t="str">
        <x:f>IF(M83="","",IF(I83="Mayor es mejor",IF(M83&gt;=H83,"En meta",IF(M83&gt;=H83*0.9,"Alerta","Crítico")),IF(M83&lt;=H83,"En meta",IF(M83&lt;=H83*1.1,"Alerta","Crítico"))))</x:f>
        <x:v>En meta</x:v>
      </x:c>
      <x:c r="O83" s="22" t="str">
        <x:v>%</x:v>
      </x:c>
      <x:c r="P83" s="22" t="str">
        <x:v>Líder SG-SST / Medicina laboral</x:v>
      </x:c>
      <x:c r="Q83" s="22" t="str">
        <x:v>Matriz de enfermedad laboral / nómina</x:v>
      </x:c>
      <x:c r="R83" s="22" t="str"/>
    </x:row>
    <x:row r="84">
      <x:c r="A84" s="46" t="n">
        <x:v>45808</x:v>
      </x:c>
      <x:c r="B84" s="22" t="n">
        <x:v>2025</x:v>
      </x:c>
      <x:c r="C84" s="22" t="str">
        <x:v>Mayo</x:v>
      </x:c>
      <x:c r="D84" s="22" t="str">
        <x:v>R06</x:v>
      </x:c>
      <x:c r="E84" s="22" t="str">
        <x:v>% cumplimiento de estándares mínimos Res. 0312 de 2019</x:v>
      </x:c>
      <x:c r="F84" s="22" t="str">
        <x:v>Resultado</x:v>
      </x:c>
      <x:c r="G84" s="22" t="str">
        <x:v>Mensual</x:v>
      </x:c>
      <x:c r="H84" s="40" t="n">
        <x:v>95</x:v>
      </x:c>
      <x:c r="I84" s="22" t="str">
        <x:v>Mayor es mejor</x:v>
      </x:c>
      <x:c r="J84" s="40" t="n">
        <x:v>99</x:v>
      </x:c>
      <x:c r="K84" s="40" t="n">
        <x:v>100</x:v>
      </x:c>
      <x:c r="L84" s="40" t="n">
        <x:v>100</x:v>
      </x:c>
      <x:c r="M84" s="40" t="n">
        <x:f>IF(OR(J84="",K84="",K84=0),"",J84/K84*L84)</x:f>
        <x:v>99</x:v>
      </x:c>
      <x:c r="N84" s="22" t="str">
        <x:f>IF(M84="","",IF(I84="Mayor es mejor",IF(M84&gt;=H84,"En meta",IF(M84&gt;=H84*0.9,"Alerta","Crítico")),IF(M84&lt;=H84,"En meta",IF(M84&lt;=H84*1.1,"Alerta","Crítico"))))</x:f>
        <x:v>En meta</x:v>
      </x:c>
      <x:c r="O84" s="22" t="str">
        <x:v>%</x:v>
      </x:c>
      <x:c r="P84" s="22" t="str">
        <x:v>Líder SG-SST / Alta Dirección</x:v>
      </x:c>
      <x:c r="Q84" s="22" t="str">
        <x:v>Autodiagnóstico Res. 0312 de 2019</x:v>
      </x:c>
      <x:c r="R84" s="22" t="str"/>
    </x:row>
    <x:row r="85">
      <x:c r="A85" s="46" t="n">
        <x:v>45838</x:v>
      </x:c>
      <x:c r="B85" s="22" t="n">
        <x:v>2025</x:v>
      </x:c>
      <x:c r="C85" s="22" t="str">
        <x:v>Junio</x:v>
      </x:c>
      <x:c r="D85" s="22" t="str">
        <x:v>E01</x:v>
      </x:c>
      <x:c r="E85" s="22" t="str">
        <x:v>% ejecución presupuestal del SG-SST</x:v>
      </x:c>
      <x:c r="F85" s="22" t="str">
        <x:v>Estructura</x:v>
      </x:c>
      <x:c r="G85" s="22" t="str">
        <x:v>Mensual</x:v>
      </x:c>
      <x:c r="H85" s="40" t="n">
        <x:v>95</x:v>
      </x:c>
      <x:c r="I85" s="22" t="str">
        <x:v>Mayor es mejor</x:v>
      </x:c>
      <x:c r="J85" s="40" t="n">
        <x:v>6666910</x:v>
      </x:c>
      <x:c r="K85" s="40" t="n">
        <x:v>7000000</x:v>
      </x:c>
      <x:c r="L85" s="40" t="n">
        <x:v>100</x:v>
      </x:c>
      <x:c r="M85" s="40" t="n">
        <x:f>IF(OR(J85="",K85="",K85=0),"",J85/K85*L85)</x:f>
        <x:v>95.24157142857142</x:v>
      </x:c>
      <x:c r="N85" s="22" t="str">
        <x:f>IF(M85="","",IF(I85="Mayor es mejor",IF(M85&gt;=H85,"En meta",IF(M85&gt;=H85*0.9,"Alerta","Crítico")),IF(M85&lt;=H85,"En meta",IF(M85&lt;=H85*1.1,"Alerta","Crítico"))))</x:f>
        <x:v>En meta</x:v>
      </x:c>
      <x:c r="O85" s="22" t="str">
        <x:v>%</x:v>
      </x:c>
      <x:c r="P85" s="22" t="str">
        <x:v>Líder SG-SST / Dirección Administrativa</x:v>
      </x:c>
      <x:c r="Q85" s="22" t="str">
        <x:v>Presupuesto SST</x:v>
      </x:c>
      <x:c r="R85" s="22" t="str"/>
    </x:row>
    <x:row r="86">
      <x:c r="A86" s="46" t="n">
        <x:v>45838</x:v>
      </x:c>
      <x:c r="B86" s="22" t="n">
        <x:v>2025</x:v>
      </x:c>
      <x:c r="C86" s="22" t="str">
        <x:v>Junio</x:v>
      </x:c>
      <x:c r="D86" s="22" t="str">
        <x:v>E02</x:v>
      </x:c>
      <x:c r="E86" s="22" t="str">
        <x:v>% cobertura del plan de formación y capacitación SG-SST</x:v>
      </x:c>
      <x:c r="F86" s="22" t="str">
        <x:v>Estructura</x:v>
      </x:c>
      <x:c r="G86" s="22" t="str">
        <x:v>Mensual</x:v>
      </x:c>
      <x:c r="H86" s="40" t="n">
        <x:v>90</x:v>
      </x:c>
      <x:c r="I86" s="22" t="str">
        <x:v>Mayor es mejor</x:v>
      </x:c>
      <x:c r="J86" s="40" t="n">
        <x:v>21</x:v>
      </x:c>
      <x:c r="K86" s="40" t="n">
        <x:v>22</x:v>
      </x:c>
      <x:c r="L86" s="40" t="n">
        <x:v>100</x:v>
      </x:c>
      <x:c r="M86" s="40" t="n">
        <x:f>IF(OR(J86="",K86="",K86=0),"",J86/K86*L86)</x:f>
        <x:v>95.45454545454545</x:v>
      </x:c>
      <x:c r="N86" s="22" t="str">
        <x:f>IF(M86="","",IF(I86="Mayor es mejor",IF(M86&gt;=H86,"En meta",IF(M86&gt;=H86*0.9,"Alerta","Crítico")),IF(M86&lt;=H86,"En meta",IF(M86&lt;=H86*1.1,"Alerta","Crítico"))))</x:f>
        <x:v>En meta</x:v>
      </x:c>
      <x:c r="O86" s="22" t="str">
        <x:v>%</x:v>
      </x:c>
      <x:c r="P86" s="22" t="str">
        <x:v>Líder SG-SST / Talento Humano</x:v>
      </x:c>
      <x:c r="Q86" s="22" t="str">
        <x:v>Plan de formación y capacitaciones</x:v>
      </x:c>
      <x:c r="R86" s="22" t="str"/>
    </x:row>
    <x:row r="87">
      <x:c r="A87" s="46" t="n">
        <x:v>45838</x:v>
      </x:c>
      <x:c r="B87" s="22" t="n">
        <x:v>2025</x:v>
      </x:c>
      <x:c r="C87" s="22" t="str">
        <x:v>Junio</x:v>
      </x:c>
      <x:c r="D87" s="22" t="str">
        <x:v>E03</x:v>
      </x:c>
      <x:c r="E87" s="22" t="str">
        <x:v>% trabajadores con exámenes médicos ocupacionales vigentes</x:v>
      </x:c>
      <x:c r="F87" s="22" t="str">
        <x:v>Estructura</x:v>
      </x:c>
      <x:c r="G87" s="22" t="str">
        <x:v>Mensual</x:v>
      </x:c>
      <x:c r="H87" s="40" t="n">
        <x:v>95</x:v>
      </x:c>
      <x:c r="I87" s="22" t="str">
        <x:v>Mayor es mejor</x:v>
      </x:c>
      <x:c r="J87" s="40" t="n">
        <x:v>233</x:v>
      </x:c>
      <x:c r="K87" s="40" t="n">
        <x:v>240</x:v>
      </x:c>
      <x:c r="L87" s="40" t="n">
        <x:v>100</x:v>
      </x:c>
      <x:c r="M87" s="40" t="n">
        <x:f>IF(OR(J87="",K87="",K87=0),"",J87/K87*L87)</x:f>
        <x:v>97.08333333333333</x:v>
      </x:c>
      <x:c r="N87" s="22" t="str">
        <x:f>IF(M87="","",IF(I87="Mayor es mejor",IF(M87&gt;=H87,"En meta",IF(M87&gt;=H87*0.9,"Alerta","Crítico")),IF(M87&lt;=H87,"En meta",IF(M87&lt;=H87*1.1,"Alerta","Crítico"))))</x:f>
        <x:v>En meta</x:v>
      </x:c>
      <x:c r="O87" s="22" t="str">
        <x:v>%</x:v>
      </x:c>
      <x:c r="P87" s="22" t="str">
        <x:v>Líder SG-SST / Talento Humano</x:v>
      </x:c>
      <x:c r="Q87" s="22" t="str">
        <x:v>Matriz de seguimiento EMO</x:v>
      </x:c>
      <x:c r="R87" s="22" t="str"/>
    </x:row>
    <x:row r="88">
      <x:c r="A88" s="46" t="n">
        <x:v>45838</x:v>
      </x:c>
      <x:c r="B88" s="22" t="n">
        <x:v>2025</x:v>
      </x:c>
      <x:c r="C88" s="22" t="str">
        <x:v>Junio</x:v>
      </x:c>
      <x:c r="D88" s="22" t="str">
        <x:v>E04</x:v>
      </x:c>
      <x:c r="E88" s="22" t="str">
        <x:v>% cumplimiento de requisitos legales aplicables en SST</x:v>
      </x:c>
      <x:c r="F88" s="22" t="str">
        <x:v>Estructura</x:v>
      </x:c>
      <x:c r="G88" s="22" t="str">
        <x:v>Mensual</x:v>
      </x:c>
      <x:c r="H88" s="40" t="n">
        <x:v>95</x:v>
      </x:c>
      <x:c r="I88" s="22" t="str">
        <x:v>Mayor es mejor</x:v>
      </x:c>
      <x:c r="J88" s="40" t="n">
        <x:v>58</x:v>
      </x:c>
      <x:c r="K88" s="40" t="n">
        <x:v>60</x:v>
      </x:c>
      <x:c r="L88" s="40" t="n">
        <x:v>100</x:v>
      </x:c>
      <x:c r="M88" s="40" t="n">
        <x:f>IF(OR(J88="",K88="",K88=0),"",J88/K88*L88)</x:f>
        <x:v>96.66666666666667</x:v>
      </x:c>
      <x:c r="N88" s="22" t="str">
        <x:f>IF(M88="","",IF(I88="Mayor es mejor",IF(M88&gt;=H88,"En meta",IF(M88&gt;=H88*0.9,"Alerta","Crítico")),IF(M88&lt;=H88,"En meta",IF(M88&lt;=H88*1.1,"Alerta","Crítico"))))</x:f>
        <x:v>En meta</x:v>
      </x:c>
      <x:c r="O88" s="22" t="str">
        <x:v>%</x:v>
      </x:c>
      <x:c r="P88" s="22" t="str">
        <x:v>Líder SG-SST / Jurídica</x:v>
      </x:c>
      <x:c r="Q88" s="22" t="str">
        <x:v>Matriz legal SGRL</x:v>
      </x:c>
      <x:c r="R88" s="22" t="str"/>
    </x:row>
    <x:row r="89">
      <x:c r="A89" s="46" t="n">
        <x:v>45838</x:v>
      </x:c>
      <x:c r="B89" s="22" t="n">
        <x:v>2025</x:v>
      </x:c>
      <x:c r="C89" s="22" t="str">
        <x:v>Junio</x:v>
      </x:c>
      <x:c r="D89" s="22" t="str">
        <x:v>E05</x:v>
      </x:c>
      <x:c r="E89" s="22" t="str">
        <x:v>% proveedores y contratistas aprobados en SST</x:v>
      </x:c>
      <x:c r="F89" s="22" t="str">
        <x:v>Estructura</x:v>
      </x:c>
      <x:c r="G89" s="22" t="str">
        <x:v>Mensual</x:v>
      </x:c>
      <x:c r="H89" s="40" t="n">
        <x:v>90</x:v>
      </x:c>
      <x:c r="I89" s="22" t="str">
        <x:v>Mayor es mejor</x:v>
      </x:c>
      <x:c r="J89" s="40" t="n">
        <x:v>19</x:v>
      </x:c>
      <x:c r="K89" s="40" t="n">
        <x:v>20</x:v>
      </x:c>
      <x:c r="L89" s="40" t="n">
        <x:v>100</x:v>
      </x:c>
      <x:c r="M89" s="40" t="n">
        <x:f>IF(OR(J89="",K89="",K89=0),"",J89/K89*L89)</x:f>
        <x:v>95</x:v>
      </x:c>
      <x:c r="N89" s="22" t="str">
        <x:f>IF(M89="","",IF(I89="Mayor es mejor",IF(M89&gt;=H89,"En meta",IF(M89&gt;=H89*0.9,"Alerta","Crítico")),IF(M89&lt;=H89,"En meta",IF(M89&lt;=H89*1.1,"Alerta","Crítico"))))</x:f>
        <x:v>En meta</x:v>
      </x:c>
      <x:c r="O89" s="22" t="str">
        <x:v>%</x:v>
      </x:c>
      <x:c r="P89" s="22" t="str">
        <x:v>Compras / Líder SG-SST</x:v>
      </x:c>
      <x:c r="Q89" s="22" t="str">
        <x:v>Gestión de proveedores y contratistas</x:v>
      </x:c>
      <x:c r="R89" s="22" t="str"/>
    </x:row>
    <x:row r="90">
      <x:c r="A90" s="46" t="n">
        <x:v>45838</x:v>
      </x:c>
      <x:c r="B90" s="22" t="n">
        <x:v>2025</x:v>
      </x:c>
      <x:c r="C90" s="22" t="str">
        <x:v>Junio</x:v>
      </x:c>
      <x:c r="D90" s="22" t="str">
        <x:v>P01</x:v>
      </x:c>
      <x:c r="E90" s="22" t="str">
        <x:v>% ejecución del plan anual de trabajo SG-SST</x:v>
      </x:c>
      <x:c r="F90" s="22" t="str">
        <x:v>Proceso</x:v>
      </x:c>
      <x:c r="G90" s="22" t="str">
        <x:v>Mensual</x:v>
      </x:c>
      <x:c r="H90" s="40" t="n">
        <x:v>90</x:v>
      </x:c>
      <x:c r="I90" s="22" t="str">
        <x:v>Mayor es mejor</x:v>
      </x:c>
      <x:c r="J90" s="40" t="n">
        <x:v>9</x:v>
      </x:c>
      <x:c r="K90" s="40" t="n">
        <x:v>10</x:v>
      </x:c>
      <x:c r="L90" s="40" t="n">
        <x:v>100</x:v>
      </x:c>
      <x:c r="M90" s="40" t="n">
        <x:f>IF(OR(J90="",K90="",K90=0),"",J90/K90*L90)</x:f>
        <x:v>90</x:v>
      </x:c>
      <x:c r="N90" s="22" t="str">
        <x:f>IF(M90="","",IF(I90="Mayor es mejor",IF(M90&gt;=H90,"En meta",IF(M90&gt;=H90*0.9,"Alerta","Crítico")),IF(M90&lt;=H90,"En meta",IF(M90&lt;=H90*1.1,"Alerta","Crítico"))))</x:f>
        <x:v>En meta</x:v>
      </x:c>
      <x:c r="O90" s="22" t="str">
        <x:v>%</x:v>
      </x:c>
      <x:c r="P90" s="22" t="str">
        <x:v>Líder SG-SST</x:v>
      </x:c>
      <x:c r="Q90" s="22" t="str">
        <x:v>Plan anual de trabajo PHVA</x:v>
      </x:c>
      <x:c r="R90" s="22" t="str"/>
    </x:row>
    <x:row r="91">
      <x:c r="A91" s="46" t="n">
        <x:v>45838</x:v>
      </x:c>
      <x:c r="B91" s="22" t="n">
        <x:v>2025</x:v>
      </x:c>
      <x:c r="C91" s="22" t="str">
        <x:v>Junio</x:v>
      </x:c>
      <x:c r="D91" s="22" t="str">
        <x:v>P02</x:v>
      </x:c>
      <x:c r="E91" s="22" t="str">
        <x:v>% investigaciones de accidentes realizadas oportunamente</x:v>
      </x:c>
      <x:c r="F91" s="22" t="str">
        <x:v>Proceso</x:v>
      </x:c>
      <x:c r="G91" s="22" t="str">
        <x:v>Mensual</x:v>
      </x:c>
      <x:c r="H91" s="40" t="n">
        <x:v>95</x:v>
      </x:c>
      <x:c r="I91" s="22" t="str">
        <x:v>Mayor es mejor</x:v>
      </x:c>
      <x:c r="J91" s="40" t="n">
        <x:v>1</x:v>
      </x:c>
      <x:c r="K91" s="40" t="n">
        <x:v>1</x:v>
      </x:c>
      <x:c r="L91" s="40" t="n">
        <x:v>100</x:v>
      </x:c>
      <x:c r="M91" s="40" t="n">
        <x:f>IF(OR(J91="",K91="",K91=0),"",J91/K91*L91)</x:f>
        <x:v>100</x:v>
      </x:c>
      <x:c r="N91" s="22" t="str">
        <x:f>IF(M91="","",IF(I91="Mayor es mejor",IF(M91&gt;=H91,"En meta",IF(M91&gt;=H91*0.9,"Alerta","Crítico")),IF(M91&lt;=H91,"En meta",IF(M91&lt;=H91*1.1,"Alerta","Crítico"))))</x:f>
        <x:v>En meta</x:v>
      </x:c>
      <x:c r="O91" s="22" t="str">
        <x:v>%</x:v>
      </x:c>
      <x:c r="P91" s="22" t="str">
        <x:v>Líder SG-SST / COPASST</x:v>
      </x:c>
      <x:c r="Q91" s="22" t="str">
        <x:v>Matriz de accidentalidad</x:v>
      </x:c>
      <x:c r="R91" s="22" t="str"/>
    </x:row>
    <x:row r="92">
      <x:c r="A92" s="46" t="n">
        <x:v>45838</x:v>
      </x:c>
      <x:c r="B92" s="22" t="n">
        <x:v>2025</x:v>
      </x:c>
      <x:c r="C92" s="22" t="str">
        <x:v>Junio</x:v>
      </x:c>
      <x:c r="D92" s="22" t="str">
        <x:v>P03</x:v>
      </x:c>
      <x:c r="E92" s="22" t="str">
        <x:v>% cierre oportuno de acciones correctivas, preventivas y de mejora</x:v>
      </x:c>
      <x:c r="F92" s="22" t="str">
        <x:v>Proceso</x:v>
      </x:c>
      <x:c r="G92" s="22" t="str">
        <x:v>Mensual</x:v>
      </x:c>
      <x:c r="H92" s="40" t="n">
        <x:v>90</x:v>
      </x:c>
      <x:c r="I92" s="22" t="str">
        <x:v>Mayor es mejor</x:v>
      </x:c>
      <x:c r="J92" s="40" t="n">
        <x:v>10</x:v>
      </x:c>
      <x:c r="K92" s="40" t="n">
        <x:v>11</x:v>
      </x:c>
      <x:c r="L92" s="40" t="n">
        <x:v>100</x:v>
      </x:c>
      <x:c r="M92" s="40" t="n">
        <x:f>IF(OR(J92="",K92="",K92=0),"",J92/K92*L92)</x:f>
        <x:v>90.9090909090909</x:v>
      </x:c>
      <x:c r="N92" s="22" t="str">
        <x:f>IF(M92="","",IF(I92="Mayor es mejor",IF(M92&gt;=H92,"En meta",IF(M92&gt;=H92*0.9,"Alerta","Crítico")),IF(M92&lt;=H92,"En meta",IF(M92&lt;=H92*1.1,"Alerta","Crítico"))))</x:f>
        <x:v>En meta</x:v>
      </x:c>
      <x:c r="O92" s="22" t="str">
        <x:v>%</x:v>
      </x:c>
      <x:c r="P92" s="22" t="str">
        <x:v>Líder SG-SST / Responsables de proceso</x:v>
      </x:c>
      <x:c r="Q92" s="22" t="str">
        <x:v>Matriz APCM</x:v>
      </x:c>
      <x:c r="R92" s="22" t="str"/>
    </x:row>
    <x:row r="93">
      <x:c r="A93" s="46" t="n">
        <x:v>45838</x:v>
      </x:c>
      <x:c r="B93" s="22" t="n">
        <x:v>2025</x:v>
      </x:c>
      <x:c r="C93" s="22" t="str">
        <x:v>Junio</x:v>
      </x:c>
      <x:c r="D93" s="22" t="str">
        <x:v>P04</x:v>
      </x:c>
      <x:c r="E93" s="22" t="str">
        <x:v>% inspecciones de seguridad ejecutadas</x:v>
      </x:c>
      <x:c r="F93" s="22" t="str">
        <x:v>Proceso</x:v>
      </x:c>
      <x:c r="G93" s="22" t="str">
        <x:v>Mensual</x:v>
      </x:c>
      <x:c r="H93" s="40" t="n">
        <x:v>90</x:v>
      </x:c>
      <x:c r="I93" s="22" t="str">
        <x:v>Mayor es mejor</x:v>
      </x:c>
      <x:c r="J93" s="40" t="n">
        <x:v>9</x:v>
      </x:c>
      <x:c r="K93" s="40" t="n">
        <x:v>10</x:v>
      </x:c>
      <x:c r="L93" s="40" t="n">
        <x:v>100</x:v>
      </x:c>
      <x:c r="M93" s="40" t="n">
        <x:f>IF(OR(J93="",K93="",K93=0),"",J93/K93*L93)</x:f>
        <x:v>90</x:v>
      </x:c>
      <x:c r="N93" s="22" t="str">
        <x:f>IF(M93="","",IF(I93="Mayor es mejor",IF(M93&gt;=H93,"En meta",IF(M93&gt;=H93*0.9,"Alerta","Crítico")),IF(M93&lt;=H93,"En meta",IF(M93&lt;=H93*1.1,"Alerta","Crítico"))))</x:f>
        <x:v>En meta</x:v>
      </x:c>
      <x:c r="O93" s="22" t="str">
        <x:v>%</x:v>
      </x:c>
      <x:c r="P93" s="22" t="str">
        <x:v>Líder SG-SST / Supervisores</x:v>
      </x:c>
      <x:c r="Q93" s="22" t="str">
        <x:v>Programa de inspecciones</x:v>
      </x:c>
      <x:c r="R93" s="22" t="str"/>
    </x:row>
    <x:row r="94">
      <x:c r="A94" s="46" t="n">
        <x:v>45838</x:v>
      </x:c>
      <x:c r="B94" s="22" t="n">
        <x:v>2025</x:v>
      </x:c>
      <x:c r="C94" s="22" t="str">
        <x:v>Junio</x:v>
      </x:c>
      <x:c r="D94" s="22" t="str">
        <x:v>P05</x:v>
      </x:c>
      <x:c r="E94" s="22" t="str">
        <x:v>% mantenimientos preventivos ejecutados</x:v>
      </x:c>
      <x:c r="F94" s="22" t="str">
        <x:v>Proceso</x:v>
      </x:c>
      <x:c r="G94" s="22" t="str">
        <x:v>Mensual</x:v>
      </x:c>
      <x:c r="H94" s="40" t="n">
        <x:v>90</x:v>
      </x:c>
      <x:c r="I94" s="22" t="str">
        <x:v>Mayor es mejor</x:v>
      </x:c>
      <x:c r="J94" s="40" t="n">
        <x:v>13</x:v>
      </x:c>
      <x:c r="K94" s="40" t="n">
        <x:v>14</x:v>
      </x:c>
      <x:c r="L94" s="40" t="n">
        <x:v>100</x:v>
      </x:c>
      <x:c r="M94" s="40" t="n">
        <x:f>IF(OR(J94="",K94="",K94=0),"",J94/K94*L94)</x:f>
        <x:v>92.85714285714286</x:v>
      </x:c>
      <x:c r="N94" s="22" t="str">
        <x:f>IF(M94="","",IF(I94="Mayor es mejor",IF(M94&gt;=H94,"En meta",IF(M94&gt;=H94*0.9,"Alerta","Crítico")),IF(M94&lt;=H94,"En meta",IF(M94&lt;=H94*1.1,"Alerta","Crítico"))))</x:f>
        <x:v>En meta</x:v>
      </x:c>
      <x:c r="O94" s="22" t="str">
        <x:v>%</x:v>
      </x:c>
      <x:c r="P94" s="22" t="str">
        <x:v>Mantenimiento / Líder SG-SST</x:v>
      </x:c>
      <x:c r="Q94" s="22" t="str">
        <x:v>Programa de mantenimiento preventivo</x:v>
      </x:c>
      <x:c r="R94" s="22" t="str"/>
    </x:row>
    <x:row r="95">
      <x:c r="A95" s="46" t="n">
        <x:v>45838</x:v>
      </x:c>
      <x:c r="B95" s="22" t="n">
        <x:v>2025</x:v>
      </x:c>
      <x:c r="C95" s="22" t="str">
        <x:v>Junio</x:v>
      </x:c>
      <x:c r="D95" s="22" t="str">
        <x:v>R01</x:v>
      </x:c>
      <x:c r="E95" s="22" t="str">
        <x:v>Índice de frecuencia de accidentalidad (IF)</x:v>
      </x:c>
      <x:c r="F95" s="22" t="str">
        <x:v>Resultado</x:v>
      </x:c>
      <x:c r="G95" s="22" t="str">
        <x:v>Mensual</x:v>
      </x:c>
      <x:c r="H95" s="40" t="n">
        <x:v>3.5</x:v>
      </x:c>
      <x:c r="I95" s="22" t="str">
        <x:v>Menor es mejor</x:v>
      </x:c>
      <x:c r="J95" s="40" t="n">
        <x:v>1</x:v>
      </x:c>
      <x:c r="K95" s="40" t="n">
        <x:v>57626</x:v>
      </x:c>
      <x:c r="L95" s="40" t="n">
        <x:v>200000</x:v>
      </x:c>
      <x:c r="M95" s="40" t="n">
        <x:f>IF(OR(J95="",K95="",K95=0),"",J95/K95*L95)</x:f>
        <x:v>3.470655606844133</x:v>
      </x:c>
      <x:c r="N95" s="22" t="str">
        <x:f>IF(M95="","",IF(I95="Mayor es mejor",IF(M95&gt;=H95,"En meta",IF(M95&gt;=H95*0.9,"Alerta","Crítico")),IF(M95&lt;=H95,"En meta",IF(M95&lt;=H95*1.1,"Alerta","Crítico"))))</x:f>
        <x:v>En meta</x:v>
      </x:c>
      <x:c r="O95" s="22" t="str">
        <x:v>Índice</x:v>
      </x:c>
      <x:c r="P95" s="22" t="str">
        <x:v>Líder SG-SST</x:v>
      </x:c>
      <x:c r="Q95" s="22" t="str">
        <x:v>Matriz de accidentalidad / nómina</x:v>
      </x:c>
      <x:c r="R95" s="22" t="str"/>
    </x:row>
    <x:row r="96">
      <x:c r="A96" s="46" t="n">
        <x:v>45838</x:v>
      </x:c>
      <x:c r="B96" s="22" t="n">
        <x:v>2025</x:v>
      </x:c>
      <x:c r="C96" s="22" t="str">
        <x:v>Junio</x:v>
      </x:c>
      <x:c r="D96" s="22" t="str">
        <x:v>R02</x:v>
      </x:c>
      <x:c r="E96" s="22" t="str">
        <x:v>Índice de severidad de accidentalidad (IS)</x:v>
      </x:c>
      <x:c r="F96" s="22" t="str">
        <x:v>Resultado</x:v>
      </x:c>
      <x:c r="G96" s="22" t="str">
        <x:v>Mensual</x:v>
      </x:c>
      <x:c r="H96" s="40" t="n">
        <x:v>80</x:v>
      </x:c>
      <x:c r="I96" s="22" t="str">
        <x:v>Menor es mejor</x:v>
      </x:c>
      <x:c r="J96" s="40" t="n">
        <x:v>16</x:v>
      </x:c>
      <x:c r="K96" s="40" t="n">
        <x:v>57626</x:v>
      </x:c>
      <x:c r="L96" s="40" t="n">
        <x:v>200000</x:v>
      </x:c>
      <x:c r="M96" s="40" t="n">
        <x:f>IF(OR(J96="",K96="",K96=0),"",J96/K96*L96)</x:f>
        <x:v>55.53048970950613</x:v>
      </x:c>
      <x:c r="N96" s="22" t="str">
        <x:f>IF(M96="","",IF(I96="Mayor es mejor",IF(M96&gt;=H96,"En meta",IF(M96&gt;=H96*0.9,"Alerta","Crítico")),IF(M96&lt;=H96,"En meta",IF(M96&lt;=H96*1.1,"Alerta","Crítico"))))</x:f>
        <x:v>En meta</x:v>
      </x:c>
      <x:c r="O96" s="22" t="str">
        <x:v>Índice</x:v>
      </x:c>
      <x:c r="P96" s="22" t="str">
        <x:v>Líder SG-SST</x:v>
      </x:c>
      <x:c r="Q96" s="22" t="str">
        <x:v>Matriz de accidentalidad / nómina</x:v>
      </x:c>
      <x:c r="R96" s="22" t="str"/>
    </x:row>
    <x:row r="97">
      <x:c r="A97" s="46" t="n">
        <x:v>45838</x:v>
      </x:c>
      <x:c r="B97" s="22" t="n">
        <x:v>2025</x:v>
      </x:c>
      <x:c r="C97" s="22" t="str">
        <x:v>Junio</x:v>
      </x:c>
      <x:c r="D97" s="22" t="str">
        <x:v>R03</x:v>
      </x:c>
      <x:c r="E97" s="22" t="str">
        <x:v>Índice de lesión incapacitante (ILI)</x:v>
      </x:c>
      <x:c r="F97" s="22" t="str">
        <x:v>Resultado</x:v>
      </x:c>
      <x:c r="G97" s="22" t="str">
        <x:v>Mensual</x:v>
      </x:c>
      <x:c r="H97" s="40" t="n">
        <x:v>0.25</x:v>
      </x:c>
      <x:c r="I97" s="22" t="str">
        <x:v>Menor es mejor</x:v>
      </x:c>
      <x:c r="J97" s="40" t="n">
        <x:v>192.7272</x:v>
      </x:c>
      <x:c r="K97" s="40" t="n">
        <x:v>1000</x:v>
      </x:c>
      <x:c r="L97" s="40" t="n">
        <x:v>1</x:v>
      </x:c>
      <x:c r="M97" s="40" t="n">
        <x:f>IF(OR(J97="",K97="",K97=0),"",J97/K97*L97)</x:f>
        <x:v>0.19272720000000002</x:v>
      </x:c>
      <x:c r="N97" s="22" t="str">
        <x:f>IF(M97="","",IF(I97="Mayor es mejor",IF(M97&gt;=H97,"En meta",IF(M97&gt;=H97*0.9,"Alerta","Crítico")),IF(M97&lt;=H97,"En meta",IF(M97&lt;=H97*1.1,"Alerta","Crítico"))))</x:f>
        <x:v>En meta</x:v>
      </x:c>
      <x:c r="O97" s="22" t="str">
        <x:v>Índice</x:v>
      </x:c>
      <x:c r="P97" s="22" t="str">
        <x:v>Líder SG-SST</x:v>
      </x:c>
      <x:c r="Q97" s="22" t="str">
        <x:v>Indicadores derivados de accidentalidad</x:v>
      </x:c>
      <x:c r="R97" s="22" t="str">
        <x:v>ILI calculado sobre IF e IS del periodo.</x:v>
      </x:c>
    </x:row>
    <x:row r="98">
      <x:c r="A98" s="46" t="n">
        <x:v>45838</x:v>
      </x:c>
      <x:c r="B98" s="22" t="n">
        <x:v>2025</x:v>
      </x:c>
      <x:c r="C98" s="22" t="str">
        <x:v>Junio</x:v>
      </x:c>
      <x:c r="D98" s="22" t="str">
        <x:v>R04</x:v>
      </x:c>
      <x:c r="E98" s="22" t="str">
        <x:v>Tasa de accidentalidad</x:v>
      </x:c>
      <x:c r="F98" s="22" t="str">
        <x:v>Resultado</x:v>
      </x:c>
      <x:c r="G98" s="22" t="str">
        <x:v>Mensual</x:v>
      </x:c>
      <x:c r="H98" s="40" t="n">
        <x:v>0.6</x:v>
      </x:c>
      <x:c r="I98" s="22" t="str">
        <x:v>Menor es mejor</x:v>
      </x:c>
      <x:c r="J98" s="40" t="n">
        <x:v>3.91</x:v>
      </x:c>
      <x:c r="K98" s="40" t="n">
        <x:v>240</x:v>
      </x:c>
      <x:c r="L98" s="40" t="n">
        <x:v>100</x:v>
      </x:c>
      <x:c r="M98" s="40" t="n">
        <x:f>IF(OR(J98="",K98="",K98=0),"",J98/K98*L98)</x:f>
        <x:v>1.6291666666666667</x:v>
      </x:c>
      <x:c r="N98" s="22" t="str">
        <x:f>IF(M98="","",IF(I98="Mayor es mejor",IF(M98&gt;=H98,"En meta",IF(M98&gt;=H98*0.9,"Alerta","Crítico")),IF(M98&lt;=H98,"En meta",IF(M98&lt;=H98*1.1,"Alerta","Crítico"))))</x:f>
        <x:v>Crítico</x:v>
      </x:c>
      <x:c r="O98" s="22" t="str">
        <x:v>%</x:v>
      </x:c>
      <x:c r="P98" s="22" t="str">
        <x:v>Líder SG-SST</x:v>
      </x:c>
      <x:c r="Q98" s="22" t="str">
        <x:v>Matriz de accidentalidad / nómina</x:v>
      </x:c>
      <x:c r="R98" s="22" t="str"/>
    </x:row>
    <x:row r="99">
      <x:c r="A99" s="46" t="n">
        <x:v>45838</x:v>
      </x:c>
      <x:c r="B99" s="22" t="n">
        <x:v>2025</x:v>
      </x:c>
      <x:c r="C99" s="22" t="str">
        <x:v>Junio</x:v>
      </x:c>
      <x:c r="D99" s="22" t="str">
        <x:v>R05</x:v>
      </x:c>
      <x:c r="E99" s="22" t="str">
        <x:v>Prevalencia de enfermedad laboral</x:v>
      </x:c>
      <x:c r="F99" s="22" t="str">
        <x:v>Resultado</x:v>
      </x:c>
      <x:c r="G99" s="22" t="str">
        <x:v>Mensual</x:v>
      </x:c>
      <x:c r="H99" s="40" t="n">
        <x:v>0.3</x:v>
      </x:c>
      <x:c r="I99" s="22" t="str">
        <x:v>Menor es mejor</x:v>
      </x:c>
      <x:c r="J99" s="40" t="n">
        <x:v>0.28</x:v>
      </x:c>
      <x:c r="K99" s="40" t="n">
        <x:v>240</x:v>
      </x:c>
      <x:c r="L99" s="40" t="n">
        <x:v>100</x:v>
      </x:c>
      <x:c r="M99" s="40" t="n">
        <x:f>IF(OR(J99="",K99="",K99=0),"",J99/K99*L99)</x:f>
        <x:v>0.11666666666666668</x:v>
      </x:c>
      <x:c r="N99" s="22" t="str">
        <x:f>IF(M99="","",IF(I99="Mayor es mejor",IF(M99&gt;=H99,"En meta",IF(M99&gt;=H99*0.9,"Alerta","Crítico")),IF(M99&lt;=H99,"En meta",IF(M99&lt;=H99*1.1,"Alerta","Crítico"))))</x:f>
        <x:v>En meta</x:v>
      </x:c>
      <x:c r="O99" s="22" t="str">
        <x:v>%</x:v>
      </x:c>
      <x:c r="P99" s="22" t="str">
        <x:v>Líder SG-SST / Medicina laboral</x:v>
      </x:c>
      <x:c r="Q99" s="22" t="str">
        <x:v>Matriz de enfermedad laboral / nómina</x:v>
      </x:c>
      <x:c r="R99" s="22" t="str"/>
    </x:row>
    <x:row r="100">
      <x:c r="A100" s="46" t="n">
        <x:v>45838</x:v>
      </x:c>
      <x:c r="B100" s="22" t="n">
        <x:v>2025</x:v>
      </x:c>
      <x:c r="C100" s="22" t="str">
        <x:v>Junio</x:v>
      </x:c>
      <x:c r="D100" s="22" t="str">
        <x:v>R06</x:v>
      </x:c>
      <x:c r="E100" s="22" t="str">
        <x:v>% cumplimiento de estándares mínimos Res. 0312 de 2019</x:v>
      </x:c>
      <x:c r="F100" s="22" t="str">
        <x:v>Resultado</x:v>
      </x:c>
      <x:c r="G100" s="22" t="str">
        <x:v>Mensual</x:v>
      </x:c>
      <x:c r="H100" s="40" t="n">
        <x:v>95</x:v>
      </x:c>
      <x:c r="I100" s="22" t="str">
        <x:v>Mayor es mejor</x:v>
      </x:c>
      <x:c r="J100" s="40" t="n">
        <x:v>98</x:v>
      </x:c>
      <x:c r="K100" s="40" t="n">
        <x:v>100</x:v>
      </x:c>
      <x:c r="L100" s="40" t="n">
        <x:v>100</x:v>
      </x:c>
      <x:c r="M100" s="40" t="n">
        <x:f>IF(OR(J100="",K100="",K100=0),"",J100/K100*L100)</x:f>
        <x:v>98</x:v>
      </x:c>
      <x:c r="N100" s="22" t="str">
        <x:f>IF(M100="","",IF(I100="Mayor es mejor",IF(M100&gt;=H100,"En meta",IF(M100&gt;=H100*0.9,"Alerta","Crítico")),IF(M100&lt;=H100,"En meta",IF(M100&lt;=H100*1.1,"Alerta","Crítico"))))</x:f>
        <x:v>En meta</x:v>
      </x:c>
      <x:c r="O100" s="22" t="str">
        <x:v>%</x:v>
      </x:c>
      <x:c r="P100" s="22" t="str">
        <x:v>Líder SG-SST / Alta Dirección</x:v>
      </x:c>
      <x:c r="Q100" s="22" t="str">
        <x:v>Autodiagnóstico Res. 0312 de 2019</x:v>
      </x:c>
      <x:c r="R100" s="22" t="str"/>
    </x:row>
    <x:row r="101">
      <x:c r="A101" s="46" t="n">
        <x:v>45869</x:v>
      </x:c>
      <x:c r="B101" s="22" t="n">
        <x:v>2025</x:v>
      </x:c>
      <x:c r="C101" s="22" t="str">
        <x:v>Julio</x:v>
      </x:c>
      <x:c r="D101" s="22" t="str">
        <x:v>E01</x:v>
      </x:c>
      <x:c r="E101" s="22" t="str">
        <x:v>% ejecución presupuestal del SG-SST</x:v>
      </x:c>
      <x:c r="F101" s="22" t="str">
        <x:v>Estructura</x:v>
      </x:c>
      <x:c r="G101" s="22" t="str">
        <x:v>Mensual</x:v>
      </x:c>
      <x:c r="H101" s="40" t="n">
        <x:v>95</x:v>
      </x:c>
      <x:c r="I101" s="22" t="str">
        <x:v>Mayor es mejor</x:v>
      </x:c>
      <x:c r="J101" s="40" t="n">
        <x:v>7106543</x:v>
      </x:c>
      <x:c r="K101" s="40" t="n">
        <x:v>7500000</x:v>
      </x:c>
      <x:c r="L101" s="40" t="n">
        <x:v>100</x:v>
      </x:c>
      <x:c r="M101" s="40" t="n">
        <x:f>IF(OR(J101="",K101="",K101=0),"",J101/K101*L101)</x:f>
        <x:v>94.75390666666667</x:v>
      </x:c>
      <x:c r="N101" s="22" t="str">
        <x:f>IF(M101="","",IF(I101="Mayor es mejor",IF(M101&gt;=H101,"En meta",IF(M101&gt;=H101*0.9,"Alerta","Crítico")),IF(M101&lt;=H101,"En meta",IF(M101&lt;=H101*1.1,"Alerta","Crítico"))))</x:f>
        <x:v>Alerta</x:v>
      </x:c>
      <x:c r="O101" s="22" t="str">
        <x:v>%</x:v>
      </x:c>
      <x:c r="P101" s="22" t="str">
        <x:v>Líder SG-SST / Dirección Administrativa</x:v>
      </x:c>
      <x:c r="Q101" s="22" t="str">
        <x:v>Presupuesto SST</x:v>
      </x:c>
      <x:c r="R101" s="22" t="str"/>
    </x:row>
    <x:row r="102">
      <x:c r="A102" s="46" t="n">
        <x:v>45869</x:v>
      </x:c>
      <x:c r="B102" s="22" t="n">
        <x:v>2025</x:v>
      </x:c>
      <x:c r="C102" s="22" t="str">
        <x:v>Julio</x:v>
      </x:c>
      <x:c r="D102" s="22" t="str">
        <x:v>E02</x:v>
      </x:c>
      <x:c r="E102" s="22" t="str">
        <x:v>% cobertura del plan de formación y capacitación SG-SST</x:v>
      </x:c>
      <x:c r="F102" s="22" t="str">
        <x:v>Estructura</x:v>
      </x:c>
      <x:c r="G102" s="22" t="str">
        <x:v>Mensual</x:v>
      </x:c>
      <x:c r="H102" s="40" t="n">
        <x:v>90</x:v>
      </x:c>
      <x:c r="I102" s="22" t="str">
        <x:v>Mayor es mejor</x:v>
      </x:c>
      <x:c r="J102" s="40" t="n">
        <x:v>22</x:v>
      </x:c>
      <x:c r="K102" s="40" t="n">
        <x:v>24</x:v>
      </x:c>
      <x:c r="L102" s="40" t="n">
        <x:v>100</x:v>
      </x:c>
      <x:c r="M102" s="40" t="n">
        <x:f>IF(OR(J102="",K102="",K102=0),"",J102/K102*L102)</x:f>
        <x:v>91.66666666666666</x:v>
      </x:c>
      <x:c r="N102" s="22" t="str">
        <x:f>IF(M102="","",IF(I102="Mayor es mejor",IF(M102&gt;=H102,"En meta",IF(M102&gt;=H102*0.9,"Alerta","Crítico")),IF(M102&lt;=H102,"En meta",IF(M102&lt;=H102*1.1,"Alerta","Crítico"))))</x:f>
        <x:v>En meta</x:v>
      </x:c>
      <x:c r="O102" s="22" t="str">
        <x:v>%</x:v>
      </x:c>
      <x:c r="P102" s="22" t="str">
        <x:v>Líder SG-SST / Talento Humano</x:v>
      </x:c>
      <x:c r="Q102" s="22" t="str">
        <x:v>Plan de formación y capacitaciones</x:v>
      </x:c>
      <x:c r="R102" s="22" t="str"/>
    </x:row>
    <x:row r="103">
      <x:c r="A103" s="46" t="n">
        <x:v>45869</x:v>
      </x:c>
      <x:c r="B103" s="22" t="n">
        <x:v>2025</x:v>
      </x:c>
      <x:c r="C103" s="22" t="str">
        <x:v>Julio</x:v>
      </x:c>
      <x:c r="D103" s="22" t="str">
        <x:v>E03</x:v>
      </x:c>
      <x:c r="E103" s="22" t="str">
        <x:v>% trabajadores con exámenes médicos ocupacionales vigentes</x:v>
      </x:c>
      <x:c r="F103" s="22" t="str">
        <x:v>Estructura</x:v>
      </x:c>
      <x:c r="G103" s="22" t="str">
        <x:v>Mensual</x:v>
      </x:c>
      <x:c r="H103" s="40" t="n">
        <x:v>95</x:v>
      </x:c>
      <x:c r="I103" s="22" t="str">
        <x:v>Mayor es mejor</x:v>
      </x:c>
      <x:c r="J103" s="40" t="n">
        <x:v>239</x:v>
      </x:c>
      <x:c r="K103" s="40" t="n">
        <x:v>244</x:v>
      </x:c>
      <x:c r="L103" s="40" t="n">
        <x:v>100</x:v>
      </x:c>
      <x:c r="M103" s="40" t="n">
        <x:f>IF(OR(J103="",K103="",K103=0),"",J103/K103*L103)</x:f>
        <x:v>97.95081967213115</x:v>
      </x:c>
      <x:c r="N103" s="22" t="str">
        <x:f>IF(M103="","",IF(I103="Mayor es mejor",IF(M103&gt;=H103,"En meta",IF(M103&gt;=H103*0.9,"Alerta","Crítico")),IF(M103&lt;=H103,"En meta",IF(M103&lt;=H103*1.1,"Alerta","Crítico"))))</x:f>
        <x:v>En meta</x:v>
      </x:c>
      <x:c r="O103" s="22" t="str">
        <x:v>%</x:v>
      </x:c>
      <x:c r="P103" s="22" t="str">
        <x:v>Líder SG-SST / Talento Humano</x:v>
      </x:c>
      <x:c r="Q103" s="22" t="str">
        <x:v>Matriz de seguimiento EMO</x:v>
      </x:c>
      <x:c r="R103" s="22" t="str"/>
    </x:row>
    <x:row r="104">
      <x:c r="A104" s="46" t="n">
        <x:v>45869</x:v>
      </x:c>
      <x:c r="B104" s="22" t="n">
        <x:v>2025</x:v>
      </x:c>
      <x:c r="C104" s="22" t="str">
        <x:v>Julio</x:v>
      </x:c>
      <x:c r="D104" s="22" t="str">
        <x:v>E04</x:v>
      </x:c>
      <x:c r="E104" s="22" t="str">
        <x:v>% cumplimiento de requisitos legales aplicables en SST</x:v>
      </x:c>
      <x:c r="F104" s="22" t="str">
        <x:v>Estructura</x:v>
      </x:c>
      <x:c r="G104" s="22" t="str">
        <x:v>Mensual</x:v>
      </x:c>
      <x:c r="H104" s="40" t="n">
        <x:v>95</x:v>
      </x:c>
      <x:c r="I104" s="22" t="str">
        <x:v>Mayor es mejor</x:v>
      </x:c>
      <x:c r="J104" s="40" t="n">
        <x:v>59</x:v>
      </x:c>
      <x:c r="K104" s="40" t="n">
        <x:v>60</x:v>
      </x:c>
      <x:c r="L104" s="40" t="n">
        <x:v>100</x:v>
      </x:c>
      <x:c r="M104" s="40" t="n">
        <x:f>IF(OR(J104="",K104="",K104=0),"",J104/K104*L104)</x:f>
        <x:v>98.33333333333333</x:v>
      </x:c>
      <x:c r="N104" s="22" t="str">
        <x:f>IF(M104="","",IF(I104="Mayor es mejor",IF(M104&gt;=H104,"En meta",IF(M104&gt;=H104*0.9,"Alerta","Crítico")),IF(M104&lt;=H104,"En meta",IF(M104&lt;=H104*1.1,"Alerta","Crítico"))))</x:f>
        <x:v>En meta</x:v>
      </x:c>
      <x:c r="O104" s="22" t="str">
        <x:v>%</x:v>
      </x:c>
      <x:c r="P104" s="22" t="str">
        <x:v>Líder SG-SST / Jurídica</x:v>
      </x:c>
      <x:c r="Q104" s="22" t="str">
        <x:v>Matriz legal SGRL</x:v>
      </x:c>
      <x:c r="R104" s="22" t="str"/>
    </x:row>
    <x:row r="105">
      <x:c r="A105" s="46" t="n">
        <x:v>45869</x:v>
      </x:c>
      <x:c r="B105" s="22" t="n">
        <x:v>2025</x:v>
      </x:c>
      <x:c r="C105" s="22" t="str">
        <x:v>Julio</x:v>
      </x:c>
      <x:c r="D105" s="22" t="str">
        <x:v>E05</x:v>
      </x:c>
      <x:c r="E105" s="22" t="str">
        <x:v>% proveedores y contratistas aprobados en SST</x:v>
      </x:c>
      <x:c r="F105" s="22" t="str">
        <x:v>Estructura</x:v>
      </x:c>
      <x:c r="G105" s="22" t="str">
        <x:v>Mensual</x:v>
      </x:c>
      <x:c r="H105" s="40" t="n">
        <x:v>90</x:v>
      </x:c>
      <x:c r="I105" s="22" t="str">
        <x:v>Mayor es mejor</x:v>
      </x:c>
      <x:c r="J105" s="40" t="n">
        <x:v>19</x:v>
      </x:c>
      <x:c r="K105" s="40" t="n">
        <x:v>20</x:v>
      </x:c>
      <x:c r="L105" s="40" t="n">
        <x:v>100</x:v>
      </x:c>
      <x:c r="M105" s="40" t="n">
        <x:f>IF(OR(J105="",K105="",K105=0),"",J105/K105*L105)</x:f>
        <x:v>95</x:v>
      </x:c>
      <x:c r="N105" s="22" t="str">
        <x:f>IF(M105="","",IF(I105="Mayor es mejor",IF(M105&gt;=H105,"En meta",IF(M105&gt;=H105*0.9,"Alerta","Crítico")),IF(M105&lt;=H105,"En meta",IF(M105&lt;=H105*1.1,"Alerta","Crítico"))))</x:f>
        <x:v>En meta</x:v>
      </x:c>
      <x:c r="O105" s="22" t="str">
        <x:v>%</x:v>
      </x:c>
      <x:c r="P105" s="22" t="str">
        <x:v>Compras / Líder SG-SST</x:v>
      </x:c>
      <x:c r="Q105" s="22" t="str">
        <x:v>Gestión de proveedores y contratistas</x:v>
      </x:c>
      <x:c r="R105" s="22" t="str"/>
    </x:row>
    <x:row r="106">
      <x:c r="A106" s="46" t="n">
        <x:v>45869</x:v>
      </x:c>
      <x:c r="B106" s="22" t="n">
        <x:v>2025</x:v>
      </x:c>
      <x:c r="C106" s="22" t="str">
        <x:v>Julio</x:v>
      </x:c>
      <x:c r="D106" s="22" t="str">
        <x:v>P01</x:v>
      </x:c>
      <x:c r="E106" s="22" t="str">
        <x:v>% ejecución del plan anual de trabajo SG-SST</x:v>
      </x:c>
      <x:c r="F106" s="22" t="str">
        <x:v>Proceso</x:v>
      </x:c>
      <x:c r="G106" s="22" t="str">
        <x:v>Mensual</x:v>
      </x:c>
      <x:c r="H106" s="40" t="n">
        <x:v>90</x:v>
      </x:c>
      <x:c r="I106" s="22" t="str">
        <x:v>Mayor es mejor</x:v>
      </x:c>
      <x:c r="J106" s="40" t="n">
        <x:v>11</x:v>
      </x:c>
      <x:c r="K106" s="40" t="n">
        <x:v>12</x:v>
      </x:c>
      <x:c r="L106" s="40" t="n">
        <x:v>100</x:v>
      </x:c>
      <x:c r="M106" s="40" t="n">
        <x:f>IF(OR(J106="",K106="",K106=0),"",J106/K106*L106)</x:f>
        <x:v>91.66666666666666</x:v>
      </x:c>
      <x:c r="N106" s="22" t="str">
        <x:f>IF(M106="","",IF(I106="Mayor es mejor",IF(M106&gt;=H106,"En meta",IF(M106&gt;=H106*0.9,"Alerta","Crítico")),IF(M106&lt;=H106,"En meta",IF(M106&lt;=H106*1.1,"Alerta","Crítico"))))</x:f>
        <x:v>En meta</x:v>
      </x:c>
      <x:c r="O106" s="22" t="str">
        <x:v>%</x:v>
      </x:c>
      <x:c r="P106" s="22" t="str">
        <x:v>Líder SG-SST</x:v>
      </x:c>
      <x:c r="Q106" s="22" t="str">
        <x:v>Plan anual de trabajo PHVA</x:v>
      </x:c>
      <x:c r="R106" s="22" t="str"/>
    </x:row>
    <x:row r="107">
      <x:c r="A107" s="46" t="n">
        <x:v>45869</x:v>
      </x:c>
      <x:c r="B107" s="22" t="n">
        <x:v>2025</x:v>
      </x:c>
      <x:c r="C107" s="22" t="str">
        <x:v>Julio</x:v>
      </x:c>
      <x:c r="D107" s="22" t="str">
        <x:v>P02</x:v>
      </x:c>
      <x:c r="E107" s="22" t="str">
        <x:v>% investigaciones de accidentes realizadas oportunamente</x:v>
      </x:c>
      <x:c r="F107" s="22" t="str">
        <x:v>Proceso</x:v>
      </x:c>
      <x:c r="G107" s="22" t="str">
        <x:v>Mensual</x:v>
      </x:c>
      <x:c r="H107" s="40" t="n">
        <x:v>95</x:v>
      </x:c>
      <x:c r="I107" s="22" t="str">
        <x:v>Mayor es mejor</x:v>
      </x:c>
      <x:c r="J107" s="40" t="n">
        <x:v>1</x:v>
      </x:c>
      <x:c r="K107" s="40" t="n">
        <x:v>1</x:v>
      </x:c>
      <x:c r="L107" s="40" t="n">
        <x:v>100</x:v>
      </x:c>
      <x:c r="M107" s="40" t="n">
        <x:f>IF(OR(J107="",K107="",K107=0),"",J107/K107*L107)</x:f>
        <x:v>100</x:v>
      </x:c>
      <x:c r="N107" s="22" t="str">
        <x:f>IF(M107="","",IF(I107="Mayor es mejor",IF(M107&gt;=H107,"En meta",IF(M107&gt;=H107*0.9,"Alerta","Crítico")),IF(M107&lt;=H107,"En meta",IF(M107&lt;=H107*1.1,"Alerta","Crítico"))))</x:f>
        <x:v>En meta</x:v>
      </x:c>
      <x:c r="O107" s="22" t="str">
        <x:v>%</x:v>
      </x:c>
      <x:c r="P107" s="22" t="str">
        <x:v>Líder SG-SST / COPASST</x:v>
      </x:c>
      <x:c r="Q107" s="22" t="str">
        <x:v>Matriz de accidentalidad</x:v>
      </x:c>
      <x:c r="R107" s="22" t="str"/>
    </x:row>
    <x:row r="108">
      <x:c r="A108" s="46" t="n">
        <x:v>45869</x:v>
      </x:c>
      <x:c r="B108" s="22" t="n">
        <x:v>2025</x:v>
      </x:c>
      <x:c r="C108" s="22" t="str">
        <x:v>Julio</x:v>
      </x:c>
      <x:c r="D108" s="22" t="str">
        <x:v>P03</x:v>
      </x:c>
      <x:c r="E108" s="22" t="str">
        <x:v>% cierre oportuno de acciones correctivas, preventivas y de mejora</x:v>
      </x:c>
      <x:c r="F108" s="22" t="str">
        <x:v>Proceso</x:v>
      </x:c>
      <x:c r="G108" s="22" t="str">
        <x:v>Mensual</x:v>
      </x:c>
      <x:c r="H108" s="40" t="n">
        <x:v>90</x:v>
      </x:c>
      <x:c r="I108" s="22" t="str">
        <x:v>Mayor es mejor</x:v>
      </x:c>
      <x:c r="J108" s="40" t="n">
        <x:v>11</x:v>
      </x:c>
      <x:c r="K108" s="40" t="n">
        <x:v>12</x:v>
      </x:c>
      <x:c r="L108" s="40" t="n">
        <x:v>100</x:v>
      </x:c>
      <x:c r="M108" s="40" t="n">
        <x:f>IF(OR(J108="",K108="",K108=0),"",J108/K108*L108)</x:f>
        <x:v>91.66666666666666</x:v>
      </x:c>
      <x:c r="N108" s="22" t="str">
        <x:f>IF(M108="","",IF(I108="Mayor es mejor",IF(M108&gt;=H108,"En meta",IF(M108&gt;=H108*0.9,"Alerta","Crítico")),IF(M108&lt;=H108,"En meta",IF(M108&lt;=H108*1.1,"Alerta","Crítico"))))</x:f>
        <x:v>En meta</x:v>
      </x:c>
      <x:c r="O108" s="22" t="str">
        <x:v>%</x:v>
      </x:c>
      <x:c r="P108" s="22" t="str">
        <x:v>Líder SG-SST / Responsables de proceso</x:v>
      </x:c>
      <x:c r="Q108" s="22" t="str">
        <x:v>Matriz APCM</x:v>
      </x:c>
      <x:c r="R108" s="22" t="str"/>
    </x:row>
    <x:row r="109">
      <x:c r="A109" s="46" t="n">
        <x:v>45869</x:v>
      </x:c>
      <x:c r="B109" s="22" t="n">
        <x:v>2025</x:v>
      </x:c>
      <x:c r="C109" s="22" t="str">
        <x:v>Julio</x:v>
      </x:c>
      <x:c r="D109" s="22" t="str">
        <x:v>P04</x:v>
      </x:c>
      <x:c r="E109" s="22" t="str">
        <x:v>% inspecciones de seguridad ejecutadas</x:v>
      </x:c>
      <x:c r="F109" s="22" t="str">
        <x:v>Proceso</x:v>
      </x:c>
      <x:c r="G109" s="22" t="str">
        <x:v>Mensual</x:v>
      </x:c>
      <x:c r="H109" s="40" t="n">
        <x:v>90</x:v>
      </x:c>
      <x:c r="I109" s="22" t="str">
        <x:v>Mayor es mejor</x:v>
      </x:c>
      <x:c r="J109" s="40" t="n">
        <x:v>10</x:v>
      </x:c>
      <x:c r="K109" s="40" t="n">
        <x:v>11</x:v>
      </x:c>
      <x:c r="L109" s="40" t="n">
        <x:v>100</x:v>
      </x:c>
      <x:c r="M109" s="40" t="n">
        <x:f>IF(OR(J109="",K109="",K109=0),"",J109/K109*L109)</x:f>
        <x:v>90.9090909090909</x:v>
      </x:c>
      <x:c r="N109" s="22" t="str">
        <x:f>IF(M109="","",IF(I109="Mayor es mejor",IF(M109&gt;=H109,"En meta",IF(M109&gt;=H109*0.9,"Alerta","Crítico")),IF(M109&lt;=H109,"En meta",IF(M109&lt;=H109*1.1,"Alerta","Crítico"))))</x:f>
        <x:v>En meta</x:v>
      </x:c>
      <x:c r="O109" s="22" t="str">
        <x:v>%</x:v>
      </x:c>
      <x:c r="P109" s="22" t="str">
        <x:v>Líder SG-SST / Supervisores</x:v>
      </x:c>
      <x:c r="Q109" s="22" t="str">
        <x:v>Programa de inspecciones</x:v>
      </x:c>
      <x:c r="R109" s="22" t="str"/>
    </x:row>
    <x:row r="110">
      <x:c r="A110" s="46" t="n">
        <x:v>45869</x:v>
      </x:c>
      <x:c r="B110" s="22" t="n">
        <x:v>2025</x:v>
      </x:c>
      <x:c r="C110" s="22" t="str">
        <x:v>Julio</x:v>
      </x:c>
      <x:c r="D110" s="22" t="str">
        <x:v>P05</x:v>
      </x:c>
      <x:c r="E110" s="22" t="str">
        <x:v>% mantenimientos preventivos ejecutados</x:v>
      </x:c>
      <x:c r="F110" s="22" t="str">
        <x:v>Proceso</x:v>
      </x:c>
      <x:c r="G110" s="22" t="str">
        <x:v>Mensual</x:v>
      </x:c>
      <x:c r="H110" s="40" t="n">
        <x:v>90</x:v>
      </x:c>
      <x:c r="I110" s="22" t="str">
        <x:v>Mayor es mejor</x:v>
      </x:c>
      <x:c r="J110" s="40" t="n">
        <x:v>14</x:v>
      </x:c>
      <x:c r="K110" s="40" t="n">
        <x:v>15</x:v>
      </x:c>
      <x:c r="L110" s="40" t="n">
        <x:v>100</x:v>
      </x:c>
      <x:c r="M110" s="40" t="n">
        <x:f>IF(OR(J110="",K110="",K110=0),"",J110/K110*L110)</x:f>
        <x:v>93.33333333333333</x:v>
      </x:c>
      <x:c r="N110" s="22" t="str">
        <x:f>IF(M110="","",IF(I110="Mayor es mejor",IF(M110&gt;=H110,"En meta",IF(M110&gt;=H110*0.9,"Alerta","Crítico")),IF(M110&lt;=H110,"En meta",IF(M110&lt;=H110*1.1,"Alerta","Crítico"))))</x:f>
        <x:v>En meta</x:v>
      </x:c>
      <x:c r="O110" s="22" t="str">
        <x:v>%</x:v>
      </x:c>
      <x:c r="P110" s="22" t="str">
        <x:v>Mantenimiento / Líder SG-SST</x:v>
      </x:c>
      <x:c r="Q110" s="22" t="str">
        <x:v>Programa de mantenimiento preventivo</x:v>
      </x:c>
      <x:c r="R110" s="22" t="str"/>
    </x:row>
    <x:row r="111">
      <x:c r="A111" s="46" t="n">
        <x:v>45869</x:v>
      </x:c>
      <x:c r="B111" s="22" t="n">
        <x:v>2025</x:v>
      </x:c>
      <x:c r="C111" s="22" t="str">
        <x:v>Julio</x:v>
      </x:c>
      <x:c r="D111" s="22" t="str">
        <x:v>R01</x:v>
      </x:c>
      <x:c r="E111" s="22" t="str">
        <x:v>Índice de frecuencia de accidentalidad (IF)</x:v>
      </x:c>
      <x:c r="F111" s="22" t="str">
        <x:v>Resultado</x:v>
      </x:c>
      <x:c r="G111" s="22" t="str">
        <x:v>Mensual</x:v>
      </x:c>
      <x:c r="H111" s="40" t="n">
        <x:v>3.5</x:v>
      </x:c>
      <x:c r="I111" s="22" t="str">
        <x:v>Menor es mejor</x:v>
      </x:c>
      <x:c r="J111" s="40" t="n">
        <x:v>1</x:v>
      </x:c>
      <x:c r="K111" s="40" t="n">
        <x:v>59399</x:v>
      </x:c>
      <x:c r="L111" s="40" t="n">
        <x:v>200000</x:v>
      </x:c>
      <x:c r="M111" s="40" t="n">
        <x:f>IF(OR(J111="",K111="",K111=0),"",J111/K111*L111)</x:f>
        <x:v>3.367060051516019</x:v>
      </x:c>
      <x:c r="N111" s="22" t="str">
        <x:f>IF(M111="","",IF(I111="Mayor es mejor",IF(M111&gt;=H111,"En meta",IF(M111&gt;=H111*0.9,"Alerta","Crítico")),IF(M111&lt;=H111,"En meta",IF(M111&lt;=H111*1.1,"Alerta","Crítico"))))</x:f>
        <x:v>En meta</x:v>
      </x:c>
      <x:c r="O111" s="22" t="str">
        <x:v>Índice</x:v>
      </x:c>
      <x:c r="P111" s="22" t="str">
        <x:v>Líder SG-SST</x:v>
      </x:c>
      <x:c r="Q111" s="22" t="str">
        <x:v>Matriz de accidentalidad / nómina</x:v>
      </x:c>
      <x:c r="R111" s="22" t="str"/>
    </x:row>
    <x:row r="112">
      <x:c r="A112" s="46" t="n">
        <x:v>45869</x:v>
      </x:c>
      <x:c r="B112" s="22" t="n">
        <x:v>2025</x:v>
      </x:c>
      <x:c r="C112" s="22" t="str">
        <x:v>Julio</x:v>
      </x:c>
      <x:c r="D112" s="22" t="str">
        <x:v>R02</x:v>
      </x:c>
      <x:c r="E112" s="22" t="str">
        <x:v>Índice de severidad de accidentalidad (IS)</x:v>
      </x:c>
      <x:c r="F112" s="22" t="str">
        <x:v>Resultado</x:v>
      </x:c>
      <x:c r="G112" s="22" t="str">
        <x:v>Mensual</x:v>
      </x:c>
      <x:c r="H112" s="40" t="n">
        <x:v>80</x:v>
      </x:c>
      <x:c r="I112" s="22" t="str">
        <x:v>Menor es mejor</x:v>
      </x:c>
      <x:c r="J112" s="40" t="n">
        <x:v>18</x:v>
      </x:c>
      <x:c r="K112" s="40" t="n">
        <x:v>59399</x:v>
      </x:c>
      <x:c r="L112" s="40" t="n">
        <x:v>200000</x:v>
      </x:c>
      <x:c r="M112" s="40" t="n">
        <x:f>IF(OR(J112="",K112="",K112=0),"",J112/K112*L112)</x:f>
        <x:v>60.607080927288344</x:v>
      </x:c>
      <x:c r="N112" s="22" t="str">
        <x:f>IF(M112="","",IF(I112="Mayor es mejor",IF(M112&gt;=H112,"En meta",IF(M112&gt;=H112*0.9,"Alerta","Crítico")),IF(M112&lt;=H112,"En meta",IF(M112&lt;=H112*1.1,"Alerta","Crítico"))))</x:f>
        <x:v>En meta</x:v>
      </x:c>
      <x:c r="O112" s="22" t="str">
        <x:v>Índice</x:v>
      </x:c>
      <x:c r="P112" s="22" t="str">
        <x:v>Líder SG-SST</x:v>
      </x:c>
      <x:c r="Q112" s="22" t="str">
        <x:v>Matriz de accidentalidad / nómina</x:v>
      </x:c>
      <x:c r="R112" s="22" t="str"/>
    </x:row>
    <x:row r="113">
      <x:c r="A113" s="46" t="n">
        <x:v>45869</x:v>
      </x:c>
      <x:c r="B113" s="22" t="n">
        <x:v>2025</x:v>
      </x:c>
      <x:c r="C113" s="22" t="str">
        <x:v>Julio</x:v>
      </x:c>
      <x:c r="D113" s="22" t="str">
        <x:v>R03</x:v>
      </x:c>
      <x:c r="E113" s="22" t="str">
        <x:v>Índice de lesión incapacitante (ILI)</x:v>
      </x:c>
      <x:c r="F113" s="22" t="str">
        <x:v>Resultado</x:v>
      </x:c>
      <x:c r="G113" s="22" t="str">
        <x:v>Mensual</x:v>
      </x:c>
      <x:c r="H113" s="40" t="n">
        <x:v>0.25</x:v>
      </x:c>
      <x:c r="I113" s="22" t="str">
        <x:v>Menor es mejor</x:v>
      </x:c>
      <x:c r="J113" s="40" t="n">
        <x:v>204.0677</x:v>
      </x:c>
      <x:c r="K113" s="40" t="n">
        <x:v>1000</x:v>
      </x:c>
      <x:c r="L113" s="40" t="n">
        <x:v>1</x:v>
      </x:c>
      <x:c r="M113" s="40" t="n">
        <x:f>IF(OR(J113="",K113="",K113=0),"",J113/K113*L113)</x:f>
        <x:v>0.2040677</x:v>
      </x:c>
      <x:c r="N113" s="22" t="str">
        <x:f>IF(M113="","",IF(I113="Mayor es mejor",IF(M113&gt;=H113,"En meta",IF(M113&gt;=H113*0.9,"Alerta","Crítico")),IF(M113&lt;=H113,"En meta",IF(M113&lt;=H113*1.1,"Alerta","Crítico"))))</x:f>
        <x:v>En meta</x:v>
      </x:c>
      <x:c r="O113" s="22" t="str">
        <x:v>Índice</x:v>
      </x:c>
      <x:c r="P113" s="22" t="str">
        <x:v>Líder SG-SST</x:v>
      </x:c>
      <x:c r="Q113" s="22" t="str">
        <x:v>Indicadores derivados de accidentalidad</x:v>
      </x:c>
      <x:c r="R113" s="22" t="str">
        <x:v>ILI calculado sobre IF e IS del periodo.</x:v>
      </x:c>
    </x:row>
    <x:row r="114">
      <x:c r="A114" s="46" t="n">
        <x:v>45869</x:v>
      </x:c>
      <x:c r="B114" s="22" t="n">
        <x:v>2025</x:v>
      </x:c>
      <x:c r="C114" s="22" t="str">
        <x:v>Julio</x:v>
      </x:c>
      <x:c r="D114" s="22" t="str">
        <x:v>R04</x:v>
      </x:c>
      <x:c r="E114" s="22" t="str">
        <x:v>Tasa de accidentalidad</x:v>
      </x:c>
      <x:c r="F114" s="22" t="str">
        <x:v>Resultado</x:v>
      </x:c>
      <x:c r="G114" s="22" t="str">
        <x:v>Mensual</x:v>
      </x:c>
      <x:c r="H114" s="40" t="n">
        <x:v>0.6</x:v>
      </x:c>
      <x:c r="I114" s="22" t="str">
        <x:v>Menor es mejor</x:v>
      </x:c>
      <x:c r="J114" s="40" t="n">
        <x:v>0.92</x:v>
      </x:c>
      <x:c r="K114" s="40" t="n">
        <x:v>244</x:v>
      </x:c>
      <x:c r="L114" s="40" t="n">
        <x:v>100</x:v>
      </x:c>
      <x:c r="M114" s="40" t="n">
        <x:f>IF(OR(J114="",K114="",K114=0),"",J114/K114*L114)</x:f>
        <x:v>0.3770491803278689</x:v>
      </x:c>
      <x:c r="N114" s="22" t="str">
        <x:f>IF(M114="","",IF(I114="Mayor es mejor",IF(M114&gt;=H114,"En meta",IF(M114&gt;=H114*0.9,"Alerta","Crítico")),IF(M114&lt;=H114,"En meta",IF(M114&lt;=H114*1.1,"Alerta","Crítico"))))</x:f>
        <x:v>En meta</x:v>
      </x:c>
      <x:c r="O114" s="22" t="str">
        <x:v>%</x:v>
      </x:c>
      <x:c r="P114" s="22" t="str">
        <x:v>Líder SG-SST</x:v>
      </x:c>
      <x:c r="Q114" s="22" t="str">
        <x:v>Matriz de accidentalidad / nómina</x:v>
      </x:c>
      <x:c r="R114" s="22" t="str"/>
    </x:row>
    <x:row r="115">
      <x:c r="A115" s="46" t="n">
        <x:v>45869</x:v>
      </x:c>
      <x:c r="B115" s="22" t="n">
        <x:v>2025</x:v>
      </x:c>
      <x:c r="C115" s="22" t="str">
        <x:v>Julio</x:v>
      </x:c>
      <x:c r="D115" s="22" t="str">
        <x:v>R05</x:v>
      </x:c>
      <x:c r="E115" s="22" t="str">
        <x:v>Prevalencia de enfermedad laboral</x:v>
      </x:c>
      <x:c r="F115" s="22" t="str">
        <x:v>Resultado</x:v>
      </x:c>
      <x:c r="G115" s="22" t="str">
        <x:v>Mensual</x:v>
      </x:c>
      <x:c r="H115" s="40" t="n">
        <x:v>0.3</x:v>
      </x:c>
      <x:c r="I115" s="22" t="str">
        <x:v>Menor es mejor</x:v>
      </x:c>
      <x:c r="J115" s="40" t="n">
        <x:v>2.23</x:v>
      </x:c>
      <x:c r="K115" s="40" t="n">
        <x:v>244</x:v>
      </x:c>
      <x:c r="L115" s="40" t="n">
        <x:v>100</x:v>
      </x:c>
      <x:c r="M115" s="40" t="n">
        <x:f>IF(OR(J115="",K115="",K115=0),"",J115/K115*L115)</x:f>
        <x:v>0.9139344262295082</x:v>
      </x:c>
      <x:c r="N115" s="22" t="str">
        <x:f>IF(M115="","",IF(I115="Mayor es mejor",IF(M115&gt;=H115,"En meta",IF(M115&gt;=H115*0.9,"Alerta","Crítico")),IF(M115&lt;=H115,"En meta",IF(M115&lt;=H115*1.1,"Alerta","Crítico"))))</x:f>
        <x:v>Crítico</x:v>
      </x:c>
      <x:c r="O115" s="22" t="str">
        <x:v>%</x:v>
      </x:c>
      <x:c r="P115" s="22" t="str">
        <x:v>Líder SG-SST / Medicina laboral</x:v>
      </x:c>
      <x:c r="Q115" s="22" t="str">
        <x:v>Matriz de enfermedad laboral / nómina</x:v>
      </x:c>
      <x:c r="R115" s="22" t="str"/>
    </x:row>
    <x:row r="116">
      <x:c r="A116" s="46" t="n">
        <x:v>45869</x:v>
      </x:c>
      <x:c r="B116" s="22" t="n">
        <x:v>2025</x:v>
      </x:c>
      <x:c r="C116" s="22" t="str">
        <x:v>Julio</x:v>
      </x:c>
      <x:c r="D116" s="22" t="str">
        <x:v>R06</x:v>
      </x:c>
      <x:c r="E116" s="22" t="str">
        <x:v>% cumplimiento de estándares mínimos Res. 0312 de 2019</x:v>
      </x:c>
      <x:c r="F116" s="22" t="str">
        <x:v>Resultado</x:v>
      </x:c>
      <x:c r="G116" s="22" t="str">
        <x:v>Mensual</x:v>
      </x:c>
      <x:c r="H116" s="40" t="n">
        <x:v>95</x:v>
      </x:c>
      <x:c r="I116" s="22" t="str">
        <x:v>Mayor es mejor</x:v>
      </x:c>
      <x:c r="J116" s="40" t="n">
        <x:v>97</x:v>
      </x:c>
      <x:c r="K116" s="40" t="n">
        <x:v>100</x:v>
      </x:c>
      <x:c r="L116" s="40" t="n">
        <x:v>100</x:v>
      </x:c>
      <x:c r="M116" s="40" t="n">
        <x:f>IF(OR(J116="",K116="",K116=0),"",J116/K116*L116)</x:f>
        <x:v>97</x:v>
      </x:c>
      <x:c r="N116" s="22" t="str">
        <x:f>IF(M116="","",IF(I116="Mayor es mejor",IF(M116&gt;=H116,"En meta",IF(M116&gt;=H116*0.9,"Alerta","Crítico")),IF(M116&lt;=H116,"En meta",IF(M116&lt;=H116*1.1,"Alerta","Crítico"))))</x:f>
        <x:v>En meta</x:v>
      </x:c>
      <x:c r="O116" s="22" t="str">
        <x:v>%</x:v>
      </x:c>
      <x:c r="P116" s="22" t="str">
        <x:v>Líder SG-SST / Alta Dirección</x:v>
      </x:c>
      <x:c r="Q116" s="22" t="str">
        <x:v>Autodiagnóstico Res. 0312 de 2019</x:v>
      </x:c>
      <x:c r="R116" s="22" t="str"/>
    </x:row>
    <x:row r="117">
      <x:c r="A117" s="46" t="n">
        <x:v>45900</x:v>
      </x:c>
      <x:c r="B117" s="22" t="n">
        <x:v>2025</x:v>
      </x:c>
      <x:c r="C117" s="22" t="str">
        <x:v>Agosto</x:v>
      </x:c>
      <x:c r="D117" s="22" t="str">
        <x:v>E01</x:v>
      </x:c>
      <x:c r="E117" s="22" t="str">
        <x:v>% ejecución presupuestal del SG-SST</x:v>
      </x:c>
      <x:c r="F117" s="22" t="str">
        <x:v>Estructura</x:v>
      </x:c>
      <x:c r="G117" s="22" t="str">
        <x:v>Mensual</x:v>
      </x:c>
      <x:c r="H117" s="40" t="n">
        <x:v>95</x:v>
      </x:c>
      <x:c r="I117" s="22" t="str">
        <x:v>Mayor es mejor</x:v>
      </x:c>
      <x:c r="J117" s="40" t="n">
        <x:v>7598023</x:v>
      </x:c>
      <x:c r="K117" s="40" t="n">
        <x:v>8000000</x:v>
      </x:c>
      <x:c r="L117" s="40" t="n">
        <x:v>100</x:v>
      </x:c>
      <x:c r="M117" s="40" t="n">
        <x:f>IF(OR(J117="",K117="",K117=0),"",J117/K117*L117)</x:f>
        <x:v>94.97528750000001</x:v>
      </x:c>
      <x:c r="N117" s="22" t="str">
        <x:f>IF(M117="","",IF(I117="Mayor es mejor",IF(M117&gt;=H117,"En meta",IF(M117&gt;=H117*0.9,"Alerta","Crítico")),IF(M117&lt;=H117,"En meta",IF(M117&lt;=H117*1.1,"Alerta","Crítico"))))</x:f>
        <x:v>Alerta</x:v>
      </x:c>
      <x:c r="O117" s="22" t="str">
        <x:v>%</x:v>
      </x:c>
      <x:c r="P117" s="22" t="str">
        <x:v>Líder SG-SST / Dirección Administrativa</x:v>
      </x:c>
      <x:c r="Q117" s="22" t="str">
        <x:v>Presupuesto SST</x:v>
      </x:c>
      <x:c r="R117" s="22" t="str"/>
    </x:row>
    <x:row r="118">
      <x:c r="A118" s="46" t="n">
        <x:v>45900</x:v>
      </x:c>
      <x:c r="B118" s="22" t="n">
        <x:v>2025</x:v>
      </x:c>
      <x:c r="C118" s="22" t="str">
        <x:v>Agosto</x:v>
      </x:c>
      <x:c r="D118" s="22" t="str">
        <x:v>E02</x:v>
      </x:c>
      <x:c r="E118" s="22" t="str">
        <x:v>% cobertura del plan de formación y capacitación SG-SST</x:v>
      </x:c>
      <x:c r="F118" s="22" t="str">
        <x:v>Estructura</x:v>
      </x:c>
      <x:c r="G118" s="22" t="str">
        <x:v>Mensual</x:v>
      </x:c>
      <x:c r="H118" s="40" t="n">
        <x:v>90</x:v>
      </x:c>
      <x:c r="I118" s="22" t="str">
        <x:v>Mayor es mejor</x:v>
      </x:c>
      <x:c r="J118" s="40" t="n">
        <x:v>17</x:v>
      </x:c>
      <x:c r="K118" s="40" t="n">
        <x:v>18</x:v>
      </x:c>
      <x:c r="L118" s="40" t="n">
        <x:v>100</x:v>
      </x:c>
      <x:c r="M118" s="40" t="n">
        <x:f>IF(OR(J118="",K118="",K118=0),"",J118/K118*L118)</x:f>
        <x:v>94.44444444444444</x:v>
      </x:c>
      <x:c r="N118" s="22" t="str">
        <x:f>IF(M118="","",IF(I118="Mayor es mejor",IF(M118&gt;=H118,"En meta",IF(M118&gt;=H118*0.9,"Alerta","Crítico")),IF(M118&lt;=H118,"En meta",IF(M118&lt;=H118*1.1,"Alerta","Crítico"))))</x:f>
        <x:v>En meta</x:v>
      </x:c>
      <x:c r="O118" s="22" t="str">
        <x:v>%</x:v>
      </x:c>
      <x:c r="P118" s="22" t="str">
        <x:v>Líder SG-SST / Talento Humano</x:v>
      </x:c>
      <x:c r="Q118" s="22" t="str">
        <x:v>Plan de formación y capacitaciones</x:v>
      </x:c>
      <x:c r="R118" s="22" t="str"/>
    </x:row>
    <x:row r="119">
      <x:c r="A119" s="46" t="n">
        <x:v>45900</x:v>
      </x:c>
      <x:c r="B119" s="22" t="n">
        <x:v>2025</x:v>
      </x:c>
      <x:c r="C119" s="22" t="str">
        <x:v>Agosto</x:v>
      </x:c>
      <x:c r="D119" s="22" t="str">
        <x:v>E03</x:v>
      </x:c>
      <x:c r="E119" s="22" t="str">
        <x:v>% trabajadores con exámenes médicos ocupacionales vigentes</x:v>
      </x:c>
      <x:c r="F119" s="22" t="str">
        <x:v>Estructura</x:v>
      </x:c>
      <x:c r="G119" s="22" t="str">
        <x:v>Mensual</x:v>
      </x:c>
      <x:c r="H119" s="40" t="n">
        <x:v>95</x:v>
      </x:c>
      <x:c r="I119" s="22" t="str">
        <x:v>Mayor es mejor</x:v>
      </x:c>
      <x:c r="J119" s="40" t="n">
        <x:v>231</x:v>
      </x:c>
      <x:c r="K119" s="40" t="n">
        <x:v>239</x:v>
      </x:c>
      <x:c r="L119" s="40" t="n">
        <x:v>100</x:v>
      </x:c>
      <x:c r="M119" s="40" t="n">
        <x:f>IF(OR(J119="",K119="",K119=0),"",J119/K119*L119)</x:f>
        <x:v>96.65271966527197</x:v>
      </x:c>
      <x:c r="N119" s="22" t="str">
        <x:f>IF(M119="","",IF(I119="Mayor es mejor",IF(M119&gt;=H119,"En meta",IF(M119&gt;=H119*0.9,"Alerta","Crítico")),IF(M119&lt;=H119,"En meta",IF(M119&lt;=H119*1.1,"Alerta","Crítico"))))</x:f>
        <x:v>En meta</x:v>
      </x:c>
      <x:c r="O119" s="22" t="str">
        <x:v>%</x:v>
      </x:c>
      <x:c r="P119" s="22" t="str">
        <x:v>Líder SG-SST / Talento Humano</x:v>
      </x:c>
      <x:c r="Q119" s="22" t="str">
        <x:v>Matriz de seguimiento EMO</x:v>
      </x:c>
      <x:c r="R119" s="22" t="str"/>
    </x:row>
    <x:row r="120">
      <x:c r="A120" s="46" t="n">
        <x:v>45900</x:v>
      </x:c>
      <x:c r="B120" s="22" t="n">
        <x:v>2025</x:v>
      </x:c>
      <x:c r="C120" s="22" t="str">
        <x:v>Agosto</x:v>
      </x:c>
      <x:c r="D120" s="22" t="str">
        <x:v>E04</x:v>
      </x:c>
      <x:c r="E120" s="22" t="str">
        <x:v>% cumplimiento de requisitos legales aplicables en SST</x:v>
      </x:c>
      <x:c r="F120" s="22" t="str">
        <x:v>Estructura</x:v>
      </x:c>
      <x:c r="G120" s="22" t="str">
        <x:v>Mensual</x:v>
      </x:c>
      <x:c r="H120" s="40" t="n">
        <x:v>95</x:v>
      </x:c>
      <x:c r="I120" s="22" t="str">
        <x:v>Mayor es mejor</x:v>
      </x:c>
      <x:c r="J120" s="40" t="n">
        <x:v>58</x:v>
      </x:c>
      <x:c r="K120" s="40" t="n">
        <x:v>60</x:v>
      </x:c>
      <x:c r="L120" s="40" t="n">
        <x:v>100</x:v>
      </x:c>
      <x:c r="M120" s="40" t="n">
        <x:f>IF(OR(J120="",K120="",K120=0),"",J120/K120*L120)</x:f>
        <x:v>96.66666666666667</x:v>
      </x:c>
      <x:c r="N120" s="22" t="str">
        <x:f>IF(M120="","",IF(I120="Mayor es mejor",IF(M120&gt;=H120,"En meta",IF(M120&gt;=H120*0.9,"Alerta","Crítico")),IF(M120&lt;=H120,"En meta",IF(M120&lt;=H120*1.1,"Alerta","Crítico"))))</x:f>
        <x:v>En meta</x:v>
      </x:c>
      <x:c r="O120" s="22" t="str">
        <x:v>%</x:v>
      </x:c>
      <x:c r="P120" s="22" t="str">
        <x:v>Líder SG-SST / Jurídica</x:v>
      </x:c>
      <x:c r="Q120" s="22" t="str">
        <x:v>Matriz legal SGRL</x:v>
      </x:c>
      <x:c r="R120" s="22" t="str"/>
    </x:row>
    <x:row r="121">
      <x:c r="A121" s="46" t="n">
        <x:v>45900</x:v>
      </x:c>
      <x:c r="B121" s="22" t="n">
        <x:v>2025</x:v>
      </x:c>
      <x:c r="C121" s="22" t="str">
        <x:v>Agosto</x:v>
      </x:c>
      <x:c r="D121" s="22" t="str">
        <x:v>E05</x:v>
      </x:c>
      <x:c r="E121" s="22" t="str">
        <x:v>% proveedores y contratistas aprobados en SST</x:v>
      </x:c>
      <x:c r="F121" s="22" t="str">
        <x:v>Estructura</x:v>
      </x:c>
      <x:c r="G121" s="22" t="str">
        <x:v>Mensual</x:v>
      </x:c>
      <x:c r="H121" s="40" t="n">
        <x:v>90</x:v>
      </x:c>
      <x:c r="I121" s="22" t="str">
        <x:v>Mayor es mejor</x:v>
      </x:c>
      <x:c r="J121" s="40" t="n">
        <x:v>19</x:v>
      </x:c>
      <x:c r="K121" s="40" t="n">
        <x:v>20</x:v>
      </x:c>
      <x:c r="L121" s="40" t="n">
        <x:v>100</x:v>
      </x:c>
      <x:c r="M121" s="40" t="n">
        <x:f>IF(OR(J121="",K121="",K121=0),"",J121/K121*L121)</x:f>
        <x:v>95</x:v>
      </x:c>
      <x:c r="N121" s="22" t="str">
        <x:f>IF(M121="","",IF(I121="Mayor es mejor",IF(M121&gt;=H121,"En meta",IF(M121&gt;=H121*0.9,"Alerta","Crítico")),IF(M121&lt;=H121,"En meta",IF(M121&lt;=H121*1.1,"Alerta","Crítico"))))</x:f>
        <x:v>En meta</x:v>
      </x:c>
      <x:c r="O121" s="22" t="str">
        <x:v>%</x:v>
      </x:c>
      <x:c r="P121" s="22" t="str">
        <x:v>Compras / Líder SG-SST</x:v>
      </x:c>
      <x:c r="Q121" s="22" t="str">
        <x:v>Gestión de proveedores y contratistas</x:v>
      </x:c>
      <x:c r="R121" s="22" t="str"/>
    </x:row>
    <x:row r="122">
      <x:c r="A122" s="46" t="n">
        <x:v>45900</x:v>
      </x:c>
      <x:c r="B122" s="22" t="n">
        <x:v>2025</x:v>
      </x:c>
      <x:c r="C122" s="22" t="str">
        <x:v>Agosto</x:v>
      </x:c>
      <x:c r="D122" s="22" t="str">
        <x:v>P01</x:v>
      </x:c>
      <x:c r="E122" s="22" t="str">
        <x:v>% ejecución del plan anual de trabajo SG-SST</x:v>
      </x:c>
      <x:c r="F122" s="22" t="str">
        <x:v>Proceso</x:v>
      </x:c>
      <x:c r="G122" s="22" t="str">
        <x:v>Mensual</x:v>
      </x:c>
      <x:c r="H122" s="40" t="n">
        <x:v>90</x:v>
      </x:c>
      <x:c r="I122" s="22" t="str">
        <x:v>Mayor es mejor</x:v>
      </x:c>
      <x:c r="J122" s="40" t="n">
        <x:v>13</x:v>
      </x:c>
      <x:c r="K122" s="40" t="n">
        <x:v>14</x:v>
      </x:c>
      <x:c r="L122" s="40" t="n">
        <x:v>100</x:v>
      </x:c>
      <x:c r="M122" s="40" t="n">
        <x:f>IF(OR(J122="",K122="",K122=0),"",J122/K122*L122)</x:f>
        <x:v>92.85714285714286</x:v>
      </x:c>
      <x:c r="N122" s="22" t="str">
        <x:f>IF(M122="","",IF(I122="Mayor es mejor",IF(M122&gt;=H122,"En meta",IF(M122&gt;=H122*0.9,"Alerta","Crítico")),IF(M122&lt;=H122,"En meta",IF(M122&lt;=H122*1.1,"Alerta","Crítico"))))</x:f>
        <x:v>En meta</x:v>
      </x:c>
      <x:c r="O122" s="22" t="str">
        <x:v>%</x:v>
      </x:c>
      <x:c r="P122" s="22" t="str">
        <x:v>Líder SG-SST</x:v>
      </x:c>
      <x:c r="Q122" s="22" t="str">
        <x:v>Plan anual de trabajo PHVA</x:v>
      </x:c>
      <x:c r="R122" s="22" t="str"/>
    </x:row>
    <x:row r="123">
      <x:c r="A123" s="46" t="n">
        <x:v>45900</x:v>
      </x:c>
      <x:c r="B123" s="22" t="n">
        <x:v>2025</x:v>
      </x:c>
      <x:c r="C123" s="22" t="str">
        <x:v>Agosto</x:v>
      </x:c>
      <x:c r="D123" s="22" t="str">
        <x:v>P02</x:v>
      </x:c>
      <x:c r="E123" s="22" t="str">
        <x:v>% investigaciones de accidentes realizadas oportunamente</x:v>
      </x:c>
      <x:c r="F123" s="22" t="str">
        <x:v>Proceso</x:v>
      </x:c>
      <x:c r="G123" s="22" t="str">
        <x:v>Mensual</x:v>
      </x:c>
      <x:c r="H123" s="40" t="n">
        <x:v>95</x:v>
      </x:c>
      <x:c r="I123" s="22" t="str">
        <x:v>Mayor es mejor</x:v>
      </x:c>
      <x:c r="J123" s="40" t="n">
        <x:v>1</x:v>
      </x:c>
      <x:c r="K123" s="40" t="n">
        <x:v>1</x:v>
      </x:c>
      <x:c r="L123" s="40" t="n">
        <x:v>100</x:v>
      </x:c>
      <x:c r="M123" s="40" t="n">
        <x:f>IF(OR(J123="",K123="",K123=0),"",J123/K123*L123)</x:f>
        <x:v>100</x:v>
      </x:c>
      <x:c r="N123" s="22" t="str">
        <x:f>IF(M123="","",IF(I123="Mayor es mejor",IF(M123&gt;=H123,"En meta",IF(M123&gt;=H123*0.9,"Alerta","Crítico")),IF(M123&lt;=H123,"En meta",IF(M123&lt;=H123*1.1,"Alerta","Crítico"))))</x:f>
        <x:v>En meta</x:v>
      </x:c>
      <x:c r="O123" s="22" t="str">
        <x:v>%</x:v>
      </x:c>
      <x:c r="P123" s="22" t="str">
        <x:v>Líder SG-SST / COPASST</x:v>
      </x:c>
      <x:c r="Q123" s="22" t="str">
        <x:v>Matriz de accidentalidad</x:v>
      </x:c>
      <x:c r="R123" s="22" t="str"/>
    </x:row>
    <x:row r="124">
      <x:c r="A124" s="46" t="n">
        <x:v>45900</x:v>
      </x:c>
      <x:c r="B124" s="22" t="n">
        <x:v>2025</x:v>
      </x:c>
      <x:c r="C124" s="22" t="str">
        <x:v>Agosto</x:v>
      </x:c>
      <x:c r="D124" s="22" t="str">
        <x:v>P03</x:v>
      </x:c>
      <x:c r="E124" s="22" t="str">
        <x:v>% cierre oportuno de acciones correctivas, preventivas y de mejora</x:v>
      </x:c>
      <x:c r="F124" s="22" t="str">
        <x:v>Proceso</x:v>
      </x:c>
      <x:c r="G124" s="22" t="str">
        <x:v>Mensual</x:v>
      </x:c>
      <x:c r="H124" s="40" t="n">
        <x:v>90</x:v>
      </x:c>
      <x:c r="I124" s="22" t="str">
        <x:v>Mayor es mejor</x:v>
      </x:c>
      <x:c r="J124" s="40" t="n">
        <x:v>12</x:v>
      </x:c>
      <x:c r="K124" s="40" t="n">
        <x:v>13</x:v>
      </x:c>
      <x:c r="L124" s="40" t="n">
        <x:v>100</x:v>
      </x:c>
      <x:c r="M124" s="40" t="n">
        <x:f>IF(OR(J124="",K124="",K124=0),"",J124/K124*L124)</x:f>
        <x:v>92.3076923076923</x:v>
      </x:c>
      <x:c r="N124" s="22" t="str">
        <x:f>IF(M124="","",IF(I124="Mayor es mejor",IF(M124&gt;=H124,"En meta",IF(M124&gt;=H124*0.9,"Alerta","Crítico")),IF(M124&lt;=H124,"En meta",IF(M124&lt;=H124*1.1,"Alerta","Crítico"))))</x:f>
        <x:v>En meta</x:v>
      </x:c>
      <x:c r="O124" s="22" t="str">
        <x:v>%</x:v>
      </x:c>
      <x:c r="P124" s="22" t="str">
        <x:v>Líder SG-SST / Responsables de proceso</x:v>
      </x:c>
      <x:c r="Q124" s="22" t="str">
        <x:v>Matriz APCM</x:v>
      </x:c>
      <x:c r="R124" s="22" t="str"/>
    </x:row>
    <x:row r="125">
      <x:c r="A125" s="46" t="n">
        <x:v>45900</x:v>
      </x:c>
      <x:c r="B125" s="22" t="n">
        <x:v>2025</x:v>
      </x:c>
      <x:c r="C125" s="22" t="str">
        <x:v>Agosto</x:v>
      </x:c>
      <x:c r="D125" s="22" t="str">
        <x:v>P04</x:v>
      </x:c>
      <x:c r="E125" s="22" t="str">
        <x:v>% inspecciones de seguridad ejecutadas</x:v>
      </x:c>
      <x:c r="F125" s="22" t="str">
        <x:v>Proceso</x:v>
      </x:c>
      <x:c r="G125" s="22" t="str">
        <x:v>Mensual</x:v>
      </x:c>
      <x:c r="H125" s="40" t="n">
        <x:v>90</x:v>
      </x:c>
      <x:c r="I125" s="22" t="str">
        <x:v>Mayor es mejor</x:v>
      </x:c>
      <x:c r="J125" s="40" t="n">
        <x:v>7</x:v>
      </x:c>
      <x:c r="K125" s="40" t="n">
        <x:v>8</x:v>
      </x:c>
      <x:c r="L125" s="40" t="n">
        <x:v>100</x:v>
      </x:c>
      <x:c r="M125" s="40" t="n">
        <x:f>IF(OR(J125="",K125="",K125=0),"",J125/K125*L125)</x:f>
        <x:v>87.5</x:v>
      </x:c>
      <x:c r="N125" s="22" t="str">
        <x:f>IF(M125="","",IF(I125="Mayor es mejor",IF(M125&gt;=H125,"En meta",IF(M125&gt;=H125*0.9,"Alerta","Crítico")),IF(M125&lt;=H125,"En meta",IF(M125&lt;=H125*1.1,"Alerta","Crítico"))))</x:f>
        <x:v>Alerta</x:v>
      </x:c>
      <x:c r="O125" s="22" t="str">
        <x:v>%</x:v>
      </x:c>
      <x:c r="P125" s="22" t="str">
        <x:v>Líder SG-SST / Supervisores</x:v>
      </x:c>
      <x:c r="Q125" s="22" t="str">
        <x:v>Programa de inspecciones</x:v>
      </x:c>
      <x:c r="R125" s="22" t="str"/>
    </x:row>
    <x:row r="126">
      <x:c r="A126" s="46" t="n">
        <x:v>45900</x:v>
      </x:c>
      <x:c r="B126" s="22" t="n">
        <x:v>2025</x:v>
      </x:c>
      <x:c r="C126" s="22" t="str">
        <x:v>Agosto</x:v>
      </x:c>
      <x:c r="D126" s="22" t="str">
        <x:v>P05</x:v>
      </x:c>
      <x:c r="E126" s="22" t="str">
        <x:v>% mantenimientos preventivos ejecutados</x:v>
      </x:c>
      <x:c r="F126" s="22" t="str">
        <x:v>Proceso</x:v>
      </x:c>
      <x:c r="G126" s="22" t="str">
        <x:v>Mensual</x:v>
      </x:c>
      <x:c r="H126" s="40" t="n">
        <x:v>90</x:v>
      </x:c>
      <x:c r="I126" s="22" t="str">
        <x:v>Mayor es mejor</x:v>
      </x:c>
      <x:c r="J126" s="40" t="n">
        <x:v>11</x:v>
      </x:c>
      <x:c r="K126" s="40" t="n">
        <x:v>12</x:v>
      </x:c>
      <x:c r="L126" s="40" t="n">
        <x:v>100</x:v>
      </x:c>
      <x:c r="M126" s="40" t="n">
        <x:f>IF(OR(J126="",K126="",K126=0),"",J126/K126*L126)</x:f>
        <x:v>91.66666666666666</x:v>
      </x:c>
      <x:c r="N126" s="22" t="str">
        <x:f>IF(M126="","",IF(I126="Mayor es mejor",IF(M126&gt;=H126,"En meta",IF(M126&gt;=H126*0.9,"Alerta","Crítico")),IF(M126&lt;=H126,"En meta",IF(M126&lt;=H126*1.1,"Alerta","Crítico"))))</x:f>
        <x:v>En meta</x:v>
      </x:c>
      <x:c r="O126" s="22" t="str">
        <x:v>%</x:v>
      </x:c>
      <x:c r="P126" s="22" t="str">
        <x:v>Mantenimiento / Líder SG-SST</x:v>
      </x:c>
      <x:c r="Q126" s="22" t="str">
        <x:v>Programa de mantenimiento preventivo</x:v>
      </x:c>
      <x:c r="R126" s="22" t="str"/>
    </x:row>
    <x:row r="127">
      <x:c r="A127" s="46" t="n">
        <x:v>45900</x:v>
      </x:c>
      <x:c r="B127" s="22" t="n">
        <x:v>2025</x:v>
      </x:c>
      <x:c r="C127" s="22" t="str">
        <x:v>Agosto</x:v>
      </x:c>
      <x:c r="D127" s="22" t="str">
        <x:v>R01</x:v>
      </x:c>
      <x:c r="E127" s="22" t="str">
        <x:v>Índice de frecuencia de accidentalidad (IF)</x:v>
      </x:c>
      <x:c r="F127" s="22" t="str">
        <x:v>Resultado</x:v>
      </x:c>
      <x:c r="G127" s="22" t="str">
        <x:v>Mensual</x:v>
      </x:c>
      <x:c r="H127" s="40" t="n">
        <x:v>3.5</x:v>
      </x:c>
      <x:c r="I127" s="22" t="str">
        <x:v>Menor es mejor</x:v>
      </x:c>
      <x:c r="J127" s="40" t="n">
        <x:v>1</x:v>
      </x:c>
      <x:c r="K127" s="40" t="n">
        <x:v>57312</x:v>
      </x:c>
      <x:c r="L127" s="40" t="n">
        <x:v>200000</x:v>
      </x:c>
      <x:c r="M127" s="40" t="n">
        <x:f>IF(OR(J127="",K127="",K127=0),"",J127/K127*L127)</x:f>
        <x:v>3.4896705750977106</x:v>
      </x:c>
      <x:c r="N127" s="22" t="str">
        <x:f>IF(M127="","",IF(I127="Mayor es mejor",IF(M127&gt;=H127,"En meta",IF(M127&gt;=H127*0.9,"Alerta","Crítico")),IF(M127&lt;=H127,"En meta",IF(M127&lt;=H127*1.1,"Alerta","Crítico"))))</x:f>
        <x:v>En meta</x:v>
      </x:c>
      <x:c r="O127" s="22" t="str">
        <x:v>Índice</x:v>
      </x:c>
      <x:c r="P127" s="22" t="str">
        <x:v>Líder SG-SST</x:v>
      </x:c>
      <x:c r="Q127" s="22" t="str">
        <x:v>Matriz de accidentalidad / nómina</x:v>
      </x:c>
      <x:c r="R127" s="22" t="str"/>
    </x:row>
    <x:row r="128">
      <x:c r="A128" s="46" t="n">
        <x:v>45900</x:v>
      </x:c>
      <x:c r="B128" s="22" t="n">
        <x:v>2025</x:v>
      </x:c>
      <x:c r="C128" s="22" t="str">
        <x:v>Agosto</x:v>
      </x:c>
      <x:c r="D128" s="22" t="str">
        <x:v>R02</x:v>
      </x:c>
      <x:c r="E128" s="22" t="str">
        <x:v>Índice de severidad de accidentalidad (IS)</x:v>
      </x:c>
      <x:c r="F128" s="22" t="str">
        <x:v>Resultado</x:v>
      </x:c>
      <x:c r="G128" s="22" t="str">
        <x:v>Mensual</x:v>
      </x:c>
      <x:c r="H128" s="40" t="n">
        <x:v>80</x:v>
      </x:c>
      <x:c r="I128" s="22" t="str">
        <x:v>Menor es mejor</x:v>
      </x:c>
      <x:c r="J128" s="40" t="n">
        <x:v>15</x:v>
      </x:c>
      <x:c r="K128" s="40" t="n">
        <x:v>57312</x:v>
      </x:c>
      <x:c r="L128" s="40" t="n">
        <x:v>200000</x:v>
      </x:c>
      <x:c r="M128" s="40" t="n">
        <x:f>IF(OR(J128="",K128="",K128=0),"",J128/K128*L128)</x:f>
        <x:v>52.34505862646566</x:v>
      </x:c>
      <x:c r="N128" s="22" t="str">
        <x:f>IF(M128="","",IF(I128="Mayor es mejor",IF(M128&gt;=H128,"En meta",IF(M128&gt;=H128*0.9,"Alerta","Crítico")),IF(M128&lt;=H128,"En meta",IF(M128&lt;=H128*1.1,"Alerta","Crítico"))))</x:f>
        <x:v>En meta</x:v>
      </x:c>
      <x:c r="O128" s="22" t="str">
        <x:v>Índice</x:v>
      </x:c>
      <x:c r="P128" s="22" t="str">
        <x:v>Líder SG-SST</x:v>
      </x:c>
      <x:c r="Q128" s="22" t="str">
        <x:v>Matriz de accidentalidad / nómina</x:v>
      </x:c>
      <x:c r="R128" s="22" t="str"/>
    </x:row>
    <x:row r="129">
      <x:c r="A129" s="46" t="n">
        <x:v>45900</x:v>
      </x:c>
      <x:c r="B129" s="22" t="n">
        <x:v>2025</x:v>
      </x:c>
      <x:c r="C129" s="22" t="str">
        <x:v>Agosto</x:v>
      </x:c>
      <x:c r="D129" s="22" t="str">
        <x:v>R03</x:v>
      </x:c>
      <x:c r="E129" s="22" t="str">
        <x:v>Índice de lesión incapacitante (ILI)</x:v>
      </x:c>
      <x:c r="F129" s="22" t="str">
        <x:v>Resultado</x:v>
      </x:c>
      <x:c r="G129" s="22" t="str">
        <x:v>Mensual</x:v>
      </x:c>
      <x:c r="H129" s="40" t="n">
        <x:v>0.25</x:v>
      </x:c>
      <x:c r="I129" s="22" t="str">
        <x:v>Menor es mejor</x:v>
      </x:c>
      <x:c r="J129" s="40" t="n">
        <x:v>182.667</x:v>
      </x:c>
      <x:c r="K129" s="40" t="n">
        <x:v>1000</x:v>
      </x:c>
      <x:c r="L129" s="40" t="n">
        <x:v>1</x:v>
      </x:c>
      <x:c r="M129" s="40" t="n">
        <x:f>IF(OR(J129="",K129="",K129=0),"",J129/K129*L129)</x:f>
        <x:v>0.182667</x:v>
      </x:c>
      <x:c r="N129" s="22" t="str">
        <x:f>IF(M129="","",IF(I129="Mayor es mejor",IF(M129&gt;=H129,"En meta",IF(M129&gt;=H129*0.9,"Alerta","Crítico")),IF(M129&lt;=H129,"En meta",IF(M129&lt;=H129*1.1,"Alerta","Crítico"))))</x:f>
        <x:v>En meta</x:v>
      </x:c>
      <x:c r="O129" s="22" t="str">
        <x:v>Índice</x:v>
      </x:c>
      <x:c r="P129" s="22" t="str">
        <x:v>Líder SG-SST</x:v>
      </x:c>
      <x:c r="Q129" s="22" t="str">
        <x:v>Indicadores derivados de accidentalidad</x:v>
      </x:c>
      <x:c r="R129" s="22" t="str">
        <x:v>ILI calculado sobre IF e IS del periodo.</x:v>
      </x:c>
    </x:row>
    <x:row r="130">
      <x:c r="A130" s="46" t="n">
        <x:v>45900</x:v>
      </x:c>
      <x:c r="B130" s="22" t="n">
        <x:v>2025</x:v>
      </x:c>
      <x:c r="C130" s="22" t="str">
        <x:v>Agosto</x:v>
      </x:c>
      <x:c r="D130" s="22" t="str">
        <x:v>R04</x:v>
      </x:c>
      <x:c r="E130" s="22" t="str">
        <x:v>Tasa de accidentalidad</x:v>
      </x:c>
      <x:c r="F130" s="22" t="str">
        <x:v>Resultado</x:v>
      </x:c>
      <x:c r="G130" s="22" t="str">
        <x:v>Mensual</x:v>
      </x:c>
      <x:c r="H130" s="40" t="n">
        <x:v>0.6</x:v>
      </x:c>
      <x:c r="I130" s="22" t="str">
        <x:v>Menor es mejor</x:v>
      </x:c>
      <x:c r="J130" s="40" t="n">
        <x:v>4.69</x:v>
      </x:c>
      <x:c r="K130" s="40" t="n">
        <x:v>239</x:v>
      </x:c>
      <x:c r="L130" s="40" t="n">
        <x:v>100</x:v>
      </x:c>
      <x:c r="M130" s="40" t="n">
        <x:f>IF(OR(J130="",K130="",K130=0),"",J130/K130*L130)</x:f>
        <x:v>1.9623430962343098</x:v>
      </x:c>
      <x:c r="N130" s="22" t="str">
        <x:f>IF(M130="","",IF(I130="Mayor es mejor",IF(M130&gt;=H130,"En meta",IF(M130&gt;=H130*0.9,"Alerta","Crítico")),IF(M130&lt;=H130,"En meta",IF(M130&lt;=H130*1.1,"Alerta","Crítico"))))</x:f>
        <x:v>Crítico</x:v>
      </x:c>
      <x:c r="O130" s="22" t="str">
        <x:v>%</x:v>
      </x:c>
      <x:c r="P130" s="22" t="str">
        <x:v>Líder SG-SST</x:v>
      </x:c>
      <x:c r="Q130" s="22" t="str">
        <x:v>Matriz de accidentalidad / nómina</x:v>
      </x:c>
      <x:c r="R130" s="22" t="str"/>
    </x:row>
    <x:row r="131">
      <x:c r="A131" s="46" t="n">
        <x:v>45900</x:v>
      </x:c>
      <x:c r="B131" s="22" t="n">
        <x:v>2025</x:v>
      </x:c>
      <x:c r="C131" s="22" t="str">
        <x:v>Agosto</x:v>
      </x:c>
      <x:c r="D131" s="22" t="str">
        <x:v>R05</x:v>
      </x:c>
      <x:c r="E131" s="22" t="str">
        <x:v>Prevalencia de enfermedad laboral</x:v>
      </x:c>
      <x:c r="F131" s="22" t="str">
        <x:v>Resultado</x:v>
      </x:c>
      <x:c r="G131" s="22" t="str">
        <x:v>Mensual</x:v>
      </x:c>
      <x:c r="H131" s="40" t="n">
        <x:v>0.3</x:v>
      </x:c>
      <x:c r="I131" s="22" t="str">
        <x:v>Menor es mejor</x:v>
      </x:c>
      <x:c r="J131" s="40" t="n">
        <x:v>0.02</x:v>
      </x:c>
      <x:c r="K131" s="40" t="n">
        <x:v>239</x:v>
      </x:c>
      <x:c r="L131" s="40" t="n">
        <x:v>100</x:v>
      </x:c>
      <x:c r="M131" s="40" t="n">
        <x:f>IF(OR(J131="",K131="",K131=0),"",J131/K131*L131)</x:f>
        <x:v>0.008368200836820085</x:v>
      </x:c>
      <x:c r="N131" s="22" t="str">
        <x:f>IF(M131="","",IF(I131="Mayor es mejor",IF(M131&gt;=H131,"En meta",IF(M131&gt;=H131*0.9,"Alerta","Crítico")),IF(M131&lt;=H131,"En meta",IF(M131&lt;=H131*1.1,"Alerta","Crítico"))))</x:f>
        <x:v>En meta</x:v>
      </x:c>
      <x:c r="O131" s="22" t="str">
        <x:v>%</x:v>
      </x:c>
      <x:c r="P131" s="22" t="str">
        <x:v>Líder SG-SST / Medicina laboral</x:v>
      </x:c>
      <x:c r="Q131" s="22" t="str">
        <x:v>Matriz de enfermedad laboral / nómina</x:v>
      </x:c>
      <x:c r="R131" s="22" t="str"/>
    </x:row>
    <x:row r="132">
      <x:c r="A132" s="46" t="n">
        <x:v>45900</x:v>
      </x:c>
      <x:c r="B132" s="22" t="n">
        <x:v>2025</x:v>
      </x:c>
      <x:c r="C132" s="22" t="str">
        <x:v>Agosto</x:v>
      </x:c>
      <x:c r="D132" s="22" t="str">
        <x:v>R06</x:v>
      </x:c>
      <x:c r="E132" s="22" t="str">
        <x:v>% cumplimiento de estándares mínimos Res. 0312 de 2019</x:v>
      </x:c>
      <x:c r="F132" s="22" t="str">
        <x:v>Resultado</x:v>
      </x:c>
      <x:c r="G132" s="22" t="str">
        <x:v>Mensual</x:v>
      </x:c>
      <x:c r="H132" s="40" t="n">
        <x:v>95</x:v>
      </x:c>
      <x:c r="I132" s="22" t="str">
        <x:v>Mayor es mejor</x:v>
      </x:c>
      <x:c r="J132" s="40" t="n">
        <x:v>97</x:v>
      </x:c>
      <x:c r="K132" s="40" t="n">
        <x:v>100</x:v>
      </x:c>
      <x:c r="L132" s="40" t="n">
        <x:v>100</x:v>
      </x:c>
      <x:c r="M132" s="40" t="n">
        <x:f>IF(OR(J132="",K132="",K132=0),"",J132/K132*L132)</x:f>
        <x:v>97</x:v>
      </x:c>
      <x:c r="N132" s="22" t="str">
        <x:f>IF(M132="","",IF(I132="Mayor es mejor",IF(M132&gt;=H132,"En meta",IF(M132&gt;=H132*0.9,"Alerta","Crítico")),IF(M132&lt;=H132,"En meta",IF(M132&lt;=H132*1.1,"Alerta","Crítico"))))</x:f>
        <x:v>En meta</x:v>
      </x:c>
      <x:c r="O132" s="22" t="str">
        <x:v>%</x:v>
      </x:c>
      <x:c r="P132" s="22" t="str">
        <x:v>Líder SG-SST / Alta Dirección</x:v>
      </x:c>
      <x:c r="Q132" s="22" t="str">
        <x:v>Autodiagnóstico Res. 0312 de 2019</x:v>
      </x:c>
      <x:c r="R132" s="22" t="str"/>
    </x:row>
    <x:row r="133">
      <x:c r="A133" s="46" t="n">
        <x:v>45930</x:v>
      </x:c>
      <x:c r="B133" s="22" t="n">
        <x:v>2025</x:v>
      </x:c>
      <x:c r="C133" s="22" t="str">
        <x:v>Septiembre</x:v>
      </x:c>
      <x:c r="D133" s="22" t="str">
        <x:v>E01</x:v>
      </x:c>
      <x:c r="E133" s="22" t="str">
        <x:v>% ejecución presupuestal del SG-SST</x:v>
      </x:c>
      <x:c r="F133" s="22" t="str">
        <x:v>Estructura</x:v>
      </x:c>
      <x:c r="G133" s="22" t="str">
        <x:v>Mensual</x:v>
      </x:c>
      <x:c r="H133" s="40" t="n">
        <x:v>95</x:v>
      </x:c>
      <x:c r="I133" s="22" t="str">
        <x:v>Mayor es mejor</x:v>
      </x:c>
      <x:c r="J133" s="40" t="n">
        <x:v>8271729</x:v>
      </x:c>
      <x:c r="K133" s="40" t="n">
        <x:v>8500000</x:v>
      </x:c>
      <x:c r="L133" s="40" t="n">
        <x:v>100</x:v>
      </x:c>
      <x:c r="M133" s="40" t="n">
        <x:f>IF(OR(J133="",K133="",K133=0),"",J133/K133*L133)</x:f>
        <x:v>97.31445882352942</x:v>
      </x:c>
      <x:c r="N133" s="22" t="str">
        <x:f>IF(M133="","",IF(I133="Mayor es mejor",IF(M133&gt;=H133,"En meta",IF(M133&gt;=H133*0.9,"Alerta","Crítico")),IF(M133&lt;=H133,"En meta",IF(M133&lt;=H133*1.1,"Alerta","Crítico"))))</x:f>
        <x:v>En meta</x:v>
      </x:c>
      <x:c r="O133" s="22" t="str">
        <x:v>%</x:v>
      </x:c>
      <x:c r="P133" s="22" t="str">
        <x:v>Líder SG-SST / Dirección Administrativa</x:v>
      </x:c>
      <x:c r="Q133" s="22" t="str">
        <x:v>Presupuesto SST</x:v>
      </x:c>
      <x:c r="R133" s="22" t="str"/>
    </x:row>
    <x:row r="134">
      <x:c r="A134" s="46" t="n">
        <x:v>45930</x:v>
      </x:c>
      <x:c r="B134" s="22" t="n">
        <x:v>2025</x:v>
      </x:c>
      <x:c r="C134" s="22" t="str">
        <x:v>Septiembre</x:v>
      </x:c>
      <x:c r="D134" s="22" t="str">
        <x:v>E02</x:v>
      </x:c>
      <x:c r="E134" s="22" t="str">
        <x:v>% cobertura del plan de formación y capacitación SG-SST</x:v>
      </x:c>
      <x:c r="F134" s="22" t="str">
        <x:v>Estructura</x:v>
      </x:c>
      <x:c r="G134" s="22" t="str">
        <x:v>Mensual</x:v>
      </x:c>
      <x:c r="H134" s="40" t="n">
        <x:v>90</x:v>
      </x:c>
      <x:c r="I134" s="22" t="str">
        <x:v>Mayor es mejor</x:v>
      </x:c>
      <x:c r="J134" s="40" t="n">
        <x:v>18</x:v>
      </x:c>
      <x:c r="K134" s="40" t="n">
        <x:v>20</x:v>
      </x:c>
      <x:c r="L134" s="40" t="n">
        <x:v>100</x:v>
      </x:c>
      <x:c r="M134" s="40" t="n">
        <x:f>IF(OR(J134="",K134="",K134=0),"",J134/K134*L134)</x:f>
        <x:v>90</x:v>
      </x:c>
      <x:c r="N134" s="22" t="str">
        <x:f>IF(M134="","",IF(I134="Mayor es mejor",IF(M134&gt;=H134,"En meta",IF(M134&gt;=H134*0.9,"Alerta","Crítico")),IF(M134&lt;=H134,"En meta",IF(M134&lt;=H134*1.1,"Alerta","Crítico"))))</x:f>
        <x:v>En meta</x:v>
      </x:c>
      <x:c r="O134" s="22" t="str">
        <x:v>%</x:v>
      </x:c>
      <x:c r="P134" s="22" t="str">
        <x:v>Líder SG-SST / Talento Humano</x:v>
      </x:c>
      <x:c r="Q134" s="22" t="str">
        <x:v>Plan de formación y capacitaciones</x:v>
      </x:c>
      <x:c r="R134" s="22" t="str"/>
    </x:row>
    <x:row r="135">
      <x:c r="A135" s="46" t="n">
        <x:v>45930</x:v>
      </x:c>
      <x:c r="B135" s="22" t="n">
        <x:v>2025</x:v>
      </x:c>
      <x:c r="C135" s="22" t="str">
        <x:v>Septiembre</x:v>
      </x:c>
      <x:c r="D135" s="22" t="str">
        <x:v>E03</x:v>
      </x:c>
      <x:c r="E135" s="22" t="str">
        <x:v>% trabajadores con exámenes médicos ocupacionales vigentes</x:v>
      </x:c>
      <x:c r="F135" s="22" t="str">
        <x:v>Estructura</x:v>
      </x:c>
      <x:c r="G135" s="22" t="str">
        <x:v>Mensual</x:v>
      </x:c>
      <x:c r="H135" s="40" t="n">
        <x:v>95</x:v>
      </x:c>
      <x:c r="I135" s="22" t="str">
        <x:v>Mayor es mejor</x:v>
      </x:c>
      <x:c r="J135" s="40" t="n">
        <x:v>241</x:v>
      </x:c>
      <x:c r="K135" s="40" t="n">
        <x:v>245</x:v>
      </x:c>
      <x:c r="L135" s="40" t="n">
        <x:v>100</x:v>
      </x:c>
      <x:c r="M135" s="40" t="n">
        <x:f>IF(OR(J135="",K135="",K135=0),"",J135/K135*L135)</x:f>
        <x:v>98.36734693877551</x:v>
      </x:c>
      <x:c r="N135" s="22" t="str">
        <x:f>IF(M135="","",IF(I135="Mayor es mejor",IF(M135&gt;=H135,"En meta",IF(M135&gt;=H135*0.9,"Alerta","Crítico")),IF(M135&lt;=H135,"En meta",IF(M135&lt;=H135*1.1,"Alerta","Crítico"))))</x:f>
        <x:v>En meta</x:v>
      </x:c>
      <x:c r="O135" s="22" t="str">
        <x:v>%</x:v>
      </x:c>
      <x:c r="P135" s="22" t="str">
        <x:v>Líder SG-SST / Talento Humano</x:v>
      </x:c>
      <x:c r="Q135" s="22" t="str">
        <x:v>Matriz de seguimiento EMO</x:v>
      </x:c>
      <x:c r="R135" s="22" t="str"/>
    </x:row>
    <x:row r="136">
      <x:c r="A136" s="46" t="n">
        <x:v>45930</x:v>
      </x:c>
      <x:c r="B136" s="22" t="n">
        <x:v>2025</x:v>
      </x:c>
      <x:c r="C136" s="22" t="str">
        <x:v>Septiembre</x:v>
      </x:c>
      <x:c r="D136" s="22" t="str">
        <x:v>E04</x:v>
      </x:c>
      <x:c r="E136" s="22" t="str">
        <x:v>% cumplimiento de requisitos legales aplicables en SST</x:v>
      </x:c>
      <x:c r="F136" s="22" t="str">
        <x:v>Estructura</x:v>
      </x:c>
      <x:c r="G136" s="22" t="str">
        <x:v>Mensual</x:v>
      </x:c>
      <x:c r="H136" s="40" t="n">
        <x:v>95</x:v>
      </x:c>
      <x:c r="I136" s="22" t="str">
        <x:v>Mayor es mejor</x:v>
      </x:c>
      <x:c r="J136" s="40" t="n">
        <x:v>59</x:v>
      </x:c>
      <x:c r="K136" s="40" t="n">
        <x:v>60</x:v>
      </x:c>
      <x:c r="L136" s="40" t="n">
        <x:v>100</x:v>
      </x:c>
      <x:c r="M136" s="40" t="n">
        <x:f>IF(OR(J136="",K136="",K136=0),"",J136/K136*L136)</x:f>
        <x:v>98.33333333333333</x:v>
      </x:c>
      <x:c r="N136" s="22" t="str">
        <x:f>IF(M136="","",IF(I136="Mayor es mejor",IF(M136&gt;=H136,"En meta",IF(M136&gt;=H136*0.9,"Alerta","Crítico")),IF(M136&lt;=H136,"En meta",IF(M136&lt;=H136*1.1,"Alerta","Crítico"))))</x:f>
        <x:v>En meta</x:v>
      </x:c>
      <x:c r="O136" s="22" t="str">
        <x:v>%</x:v>
      </x:c>
      <x:c r="P136" s="22" t="str">
        <x:v>Líder SG-SST / Jurídica</x:v>
      </x:c>
      <x:c r="Q136" s="22" t="str">
        <x:v>Matriz legal SGRL</x:v>
      </x:c>
      <x:c r="R136" s="22" t="str"/>
    </x:row>
    <x:row r="137">
      <x:c r="A137" s="46" t="n">
        <x:v>45930</x:v>
      </x:c>
      <x:c r="B137" s="22" t="n">
        <x:v>2025</x:v>
      </x:c>
      <x:c r="C137" s="22" t="str">
        <x:v>Septiembre</x:v>
      </x:c>
      <x:c r="D137" s="22" t="str">
        <x:v>E05</x:v>
      </x:c>
      <x:c r="E137" s="22" t="str">
        <x:v>% proveedores y contratistas aprobados en SST</x:v>
      </x:c>
      <x:c r="F137" s="22" t="str">
        <x:v>Estructura</x:v>
      </x:c>
      <x:c r="G137" s="22" t="str">
        <x:v>Mensual</x:v>
      </x:c>
      <x:c r="H137" s="40" t="n">
        <x:v>90</x:v>
      </x:c>
      <x:c r="I137" s="22" t="str">
        <x:v>Mayor es mejor</x:v>
      </x:c>
      <x:c r="J137" s="40" t="n">
        <x:v>19</x:v>
      </x:c>
      <x:c r="K137" s="40" t="n">
        <x:v>20</x:v>
      </x:c>
      <x:c r="L137" s="40" t="n">
        <x:v>100</x:v>
      </x:c>
      <x:c r="M137" s="40" t="n">
        <x:f>IF(OR(J137="",K137="",K137=0),"",J137/K137*L137)</x:f>
        <x:v>95</x:v>
      </x:c>
      <x:c r="N137" s="22" t="str">
        <x:f>IF(M137="","",IF(I137="Mayor es mejor",IF(M137&gt;=H137,"En meta",IF(M137&gt;=H137*0.9,"Alerta","Crítico")),IF(M137&lt;=H137,"En meta",IF(M137&lt;=H137*1.1,"Alerta","Crítico"))))</x:f>
        <x:v>En meta</x:v>
      </x:c>
      <x:c r="O137" s="22" t="str">
        <x:v>%</x:v>
      </x:c>
      <x:c r="P137" s="22" t="str">
        <x:v>Compras / Líder SG-SST</x:v>
      </x:c>
      <x:c r="Q137" s="22" t="str">
        <x:v>Gestión de proveedores y contratistas</x:v>
      </x:c>
      <x:c r="R137" s="22" t="str"/>
    </x:row>
    <x:row r="138">
      <x:c r="A138" s="46" t="n">
        <x:v>45930</x:v>
      </x:c>
      <x:c r="B138" s="22" t="n">
        <x:v>2025</x:v>
      </x:c>
      <x:c r="C138" s="22" t="str">
        <x:v>Septiembre</x:v>
      </x:c>
      <x:c r="D138" s="22" t="str">
        <x:v>P01</x:v>
      </x:c>
      <x:c r="E138" s="22" t="str">
        <x:v>% ejecución del plan anual de trabajo SG-SST</x:v>
      </x:c>
      <x:c r="F138" s="22" t="str">
        <x:v>Proceso</x:v>
      </x:c>
      <x:c r="G138" s="22" t="str">
        <x:v>Mensual</x:v>
      </x:c>
      <x:c r="H138" s="40" t="n">
        <x:v>90</x:v>
      </x:c>
      <x:c r="I138" s="22" t="str">
        <x:v>Mayor es mejor</x:v>
      </x:c>
      <x:c r="J138" s="40" t="n">
        <x:v>9</x:v>
      </x:c>
      <x:c r="K138" s="40" t="n">
        <x:v>10</x:v>
      </x:c>
      <x:c r="L138" s="40" t="n">
        <x:v>100</x:v>
      </x:c>
      <x:c r="M138" s="40" t="n">
        <x:f>IF(OR(J138="",K138="",K138=0),"",J138/K138*L138)</x:f>
        <x:v>90</x:v>
      </x:c>
      <x:c r="N138" s="22" t="str">
        <x:f>IF(M138="","",IF(I138="Mayor es mejor",IF(M138&gt;=H138,"En meta",IF(M138&gt;=H138*0.9,"Alerta","Crítico")),IF(M138&lt;=H138,"En meta",IF(M138&lt;=H138*1.1,"Alerta","Crítico"))))</x:f>
        <x:v>En meta</x:v>
      </x:c>
      <x:c r="O138" s="22" t="str">
        <x:v>%</x:v>
      </x:c>
      <x:c r="P138" s="22" t="str">
        <x:v>Líder SG-SST</x:v>
      </x:c>
      <x:c r="Q138" s="22" t="str">
        <x:v>Plan anual de trabajo PHVA</x:v>
      </x:c>
      <x:c r="R138" s="22" t="str"/>
    </x:row>
    <x:row r="139">
      <x:c r="A139" s="46" t="n">
        <x:v>45930</x:v>
      </x:c>
      <x:c r="B139" s="22" t="n">
        <x:v>2025</x:v>
      </x:c>
      <x:c r="C139" s="22" t="str">
        <x:v>Septiembre</x:v>
      </x:c>
      <x:c r="D139" s="22" t="str">
        <x:v>P02</x:v>
      </x:c>
      <x:c r="E139" s="22" t="str">
        <x:v>% investigaciones de accidentes realizadas oportunamente</x:v>
      </x:c>
      <x:c r="F139" s="22" t="str">
        <x:v>Proceso</x:v>
      </x:c>
      <x:c r="G139" s="22" t="str">
        <x:v>Mensual</x:v>
      </x:c>
      <x:c r="H139" s="40" t="n">
        <x:v>95</x:v>
      </x:c>
      <x:c r="I139" s="22" t="str">
        <x:v>Mayor es mejor</x:v>
      </x:c>
      <x:c r="J139" s="40" t="n">
        <x:v>1</x:v>
      </x:c>
      <x:c r="K139" s="40" t="n">
        <x:v>1</x:v>
      </x:c>
      <x:c r="L139" s="40" t="n">
        <x:v>100</x:v>
      </x:c>
      <x:c r="M139" s="40" t="n">
        <x:f>IF(OR(J139="",K139="",K139=0),"",J139/K139*L139)</x:f>
        <x:v>100</x:v>
      </x:c>
      <x:c r="N139" s="22" t="str">
        <x:f>IF(M139="","",IF(I139="Mayor es mejor",IF(M139&gt;=H139,"En meta",IF(M139&gt;=H139*0.9,"Alerta","Crítico")),IF(M139&lt;=H139,"En meta",IF(M139&lt;=H139*1.1,"Alerta","Crítico"))))</x:f>
        <x:v>En meta</x:v>
      </x:c>
      <x:c r="O139" s="22" t="str">
        <x:v>%</x:v>
      </x:c>
      <x:c r="P139" s="22" t="str">
        <x:v>Líder SG-SST / COPASST</x:v>
      </x:c>
      <x:c r="Q139" s="22" t="str">
        <x:v>Matriz de accidentalidad</x:v>
      </x:c>
      <x:c r="R139" s="22" t="str"/>
    </x:row>
    <x:row r="140">
      <x:c r="A140" s="46" t="n">
        <x:v>45930</x:v>
      </x:c>
      <x:c r="B140" s="22" t="n">
        <x:v>2025</x:v>
      </x:c>
      <x:c r="C140" s="22" t="str">
        <x:v>Septiembre</x:v>
      </x:c>
      <x:c r="D140" s="22" t="str">
        <x:v>P03</x:v>
      </x:c>
      <x:c r="E140" s="22" t="str">
        <x:v>% cierre oportuno de acciones correctivas, preventivas y de mejora</x:v>
      </x:c>
      <x:c r="F140" s="22" t="str">
        <x:v>Proceso</x:v>
      </x:c>
      <x:c r="G140" s="22" t="str">
        <x:v>Mensual</x:v>
      </x:c>
      <x:c r="H140" s="40" t="n">
        <x:v>90</x:v>
      </x:c>
      <x:c r="I140" s="22" t="str">
        <x:v>Mayor es mejor</x:v>
      </x:c>
      <x:c r="J140" s="40" t="n">
        <x:v>13</x:v>
      </x:c>
      <x:c r="K140" s="40" t="n">
        <x:v>14</x:v>
      </x:c>
      <x:c r="L140" s="40" t="n">
        <x:v>100</x:v>
      </x:c>
      <x:c r="M140" s="40" t="n">
        <x:f>IF(OR(J140="",K140="",K140=0),"",J140/K140*L140)</x:f>
        <x:v>92.85714285714286</x:v>
      </x:c>
      <x:c r="N140" s="22" t="str">
        <x:f>IF(M140="","",IF(I140="Mayor es mejor",IF(M140&gt;=H140,"En meta",IF(M140&gt;=H140*0.9,"Alerta","Crítico")),IF(M140&lt;=H140,"En meta",IF(M140&lt;=H140*1.1,"Alerta","Crítico"))))</x:f>
        <x:v>En meta</x:v>
      </x:c>
      <x:c r="O140" s="22" t="str">
        <x:v>%</x:v>
      </x:c>
      <x:c r="P140" s="22" t="str">
        <x:v>Líder SG-SST / Responsables de proceso</x:v>
      </x:c>
      <x:c r="Q140" s="22" t="str">
        <x:v>Matriz APCM</x:v>
      </x:c>
      <x:c r="R140" s="22" t="str"/>
    </x:row>
    <x:row r="141">
      <x:c r="A141" s="46" t="n">
        <x:v>45930</x:v>
      </x:c>
      <x:c r="B141" s="22" t="n">
        <x:v>2025</x:v>
      </x:c>
      <x:c r="C141" s="22" t="str">
        <x:v>Septiembre</x:v>
      </x:c>
      <x:c r="D141" s="22" t="str">
        <x:v>P04</x:v>
      </x:c>
      <x:c r="E141" s="22" t="str">
        <x:v>% inspecciones de seguridad ejecutadas</x:v>
      </x:c>
      <x:c r="F141" s="22" t="str">
        <x:v>Proceso</x:v>
      </x:c>
      <x:c r="G141" s="22" t="str">
        <x:v>Mensual</x:v>
      </x:c>
      <x:c r="H141" s="40" t="n">
        <x:v>90</x:v>
      </x:c>
      <x:c r="I141" s="22" t="str">
        <x:v>Mayor es mejor</x:v>
      </x:c>
      <x:c r="J141" s="40" t="n">
        <x:v>8</x:v>
      </x:c>
      <x:c r="K141" s="40" t="n">
        <x:v>9</x:v>
      </x:c>
      <x:c r="L141" s="40" t="n">
        <x:v>100</x:v>
      </x:c>
      <x:c r="M141" s="40" t="n">
        <x:f>IF(OR(J141="",K141="",K141=0),"",J141/K141*L141)</x:f>
        <x:v>88.88888888888889</x:v>
      </x:c>
      <x:c r="N141" s="22" t="str">
        <x:f>IF(M141="","",IF(I141="Mayor es mejor",IF(M141&gt;=H141,"En meta",IF(M141&gt;=H141*0.9,"Alerta","Crítico")),IF(M141&lt;=H141,"En meta",IF(M141&lt;=H141*1.1,"Alerta","Crítico"))))</x:f>
        <x:v>Alerta</x:v>
      </x:c>
      <x:c r="O141" s="22" t="str">
        <x:v>%</x:v>
      </x:c>
      <x:c r="P141" s="22" t="str">
        <x:v>Líder SG-SST / Supervisores</x:v>
      </x:c>
      <x:c r="Q141" s="22" t="str">
        <x:v>Programa de inspecciones</x:v>
      </x:c>
      <x:c r="R141" s="22" t="str"/>
    </x:row>
    <x:row r="142">
      <x:c r="A142" s="46" t="n">
        <x:v>45930</x:v>
      </x:c>
      <x:c r="B142" s="22" t="n">
        <x:v>2025</x:v>
      </x:c>
      <x:c r="C142" s="22" t="str">
        <x:v>Septiembre</x:v>
      </x:c>
      <x:c r="D142" s="22" t="str">
        <x:v>P05</x:v>
      </x:c>
      <x:c r="E142" s="22" t="str">
        <x:v>% mantenimientos preventivos ejecutados</x:v>
      </x:c>
      <x:c r="F142" s="22" t="str">
        <x:v>Proceso</x:v>
      </x:c>
      <x:c r="G142" s="22" t="str">
        <x:v>Mensual</x:v>
      </x:c>
      <x:c r="H142" s="40" t="n">
        <x:v>90</x:v>
      </x:c>
      <x:c r="I142" s="22" t="str">
        <x:v>Mayor es mejor</x:v>
      </x:c>
      <x:c r="J142" s="40" t="n">
        <x:v>12</x:v>
      </x:c>
      <x:c r="K142" s="40" t="n">
        <x:v>13</x:v>
      </x:c>
      <x:c r="L142" s="40" t="n">
        <x:v>100</x:v>
      </x:c>
      <x:c r="M142" s="40" t="n">
        <x:f>IF(OR(J142="",K142="",K142=0),"",J142/K142*L142)</x:f>
        <x:v>92.3076923076923</x:v>
      </x:c>
      <x:c r="N142" s="22" t="str">
        <x:f>IF(M142="","",IF(I142="Mayor es mejor",IF(M142&gt;=H142,"En meta",IF(M142&gt;=H142*0.9,"Alerta","Crítico")),IF(M142&lt;=H142,"En meta",IF(M142&lt;=H142*1.1,"Alerta","Crítico"))))</x:f>
        <x:v>En meta</x:v>
      </x:c>
      <x:c r="O142" s="22" t="str">
        <x:v>%</x:v>
      </x:c>
      <x:c r="P142" s="22" t="str">
        <x:v>Mantenimiento / Líder SG-SST</x:v>
      </x:c>
      <x:c r="Q142" s="22" t="str">
        <x:v>Programa de mantenimiento preventivo</x:v>
      </x:c>
      <x:c r="R142" s="22" t="str"/>
    </x:row>
    <x:row r="143">
      <x:c r="A143" s="46" t="n">
        <x:v>45930</x:v>
      </x:c>
      <x:c r="B143" s="22" t="n">
        <x:v>2025</x:v>
      </x:c>
      <x:c r="C143" s="22" t="str">
        <x:v>Septiembre</x:v>
      </x:c>
      <x:c r="D143" s="22" t="str">
        <x:v>R01</x:v>
      </x:c>
      <x:c r="E143" s="22" t="str">
        <x:v>Índice de frecuencia de accidentalidad (IF)</x:v>
      </x:c>
      <x:c r="F143" s="22" t="str">
        <x:v>Resultado</x:v>
      </x:c>
      <x:c r="G143" s="22" t="str">
        <x:v>Mensual</x:v>
      </x:c>
      <x:c r="H143" s="40" t="n">
        <x:v>3.5</x:v>
      </x:c>
      <x:c r="I143" s="22" t="str">
        <x:v>Menor es mejor</x:v>
      </x:c>
      <x:c r="J143" s="40" t="n">
        <x:v>1</x:v>
      </x:c>
      <x:c r="K143" s="40" t="n">
        <x:v>59956</x:v>
      </x:c>
      <x:c r="L143" s="40" t="n">
        <x:v>200000</x:v>
      </x:c>
      <x:c r="M143" s="40" t="n">
        <x:f>IF(OR(J143="",K143="",K143=0),"",J143/K143*L143)</x:f>
        <x:v>3.3357795716859027</x:v>
      </x:c>
      <x:c r="N143" s="22" t="str">
        <x:f>IF(M143="","",IF(I143="Mayor es mejor",IF(M143&gt;=H143,"En meta",IF(M143&gt;=H143*0.9,"Alerta","Crítico")),IF(M143&lt;=H143,"En meta",IF(M143&lt;=H143*1.1,"Alerta","Crítico"))))</x:f>
        <x:v>En meta</x:v>
      </x:c>
      <x:c r="O143" s="22" t="str">
        <x:v>Índice</x:v>
      </x:c>
      <x:c r="P143" s="22" t="str">
        <x:v>Líder SG-SST</x:v>
      </x:c>
      <x:c r="Q143" s="22" t="str">
        <x:v>Matriz de accidentalidad / nómina</x:v>
      </x:c>
      <x:c r="R143" s="22" t="str"/>
    </x:row>
    <x:row r="144">
      <x:c r="A144" s="46" t="n">
        <x:v>45930</x:v>
      </x:c>
      <x:c r="B144" s="22" t="n">
        <x:v>2025</x:v>
      </x:c>
      <x:c r="C144" s="22" t="str">
        <x:v>Septiembre</x:v>
      </x:c>
      <x:c r="D144" s="22" t="str">
        <x:v>R02</x:v>
      </x:c>
      <x:c r="E144" s="22" t="str">
        <x:v>Índice de severidad de accidentalidad (IS)</x:v>
      </x:c>
      <x:c r="F144" s="22" t="str">
        <x:v>Resultado</x:v>
      </x:c>
      <x:c r="G144" s="22" t="str">
        <x:v>Mensual</x:v>
      </x:c>
      <x:c r="H144" s="40" t="n">
        <x:v>80</x:v>
      </x:c>
      <x:c r="I144" s="22" t="str">
        <x:v>Menor es mejor</x:v>
      </x:c>
      <x:c r="J144" s="40" t="n">
        <x:v>19</x:v>
      </x:c>
      <x:c r="K144" s="40" t="n">
        <x:v>59956</x:v>
      </x:c>
      <x:c r="L144" s="40" t="n">
        <x:v>200000</x:v>
      </x:c>
      <x:c r="M144" s="40" t="n">
        <x:f>IF(OR(J144="",K144="",K144=0),"",J144/K144*L144)</x:f>
        <x:v>63.379811862032156</x:v>
      </x:c>
      <x:c r="N144" s="22" t="str">
        <x:f>IF(M144="","",IF(I144="Mayor es mejor",IF(M144&gt;=H144,"En meta",IF(M144&gt;=H144*0.9,"Alerta","Crítico")),IF(M144&lt;=H144,"En meta",IF(M144&lt;=H144*1.1,"Alerta","Crítico"))))</x:f>
        <x:v>En meta</x:v>
      </x:c>
      <x:c r="O144" s="22" t="str">
        <x:v>Índice</x:v>
      </x:c>
      <x:c r="P144" s="22" t="str">
        <x:v>Líder SG-SST</x:v>
      </x:c>
      <x:c r="Q144" s="22" t="str">
        <x:v>Matriz de accidentalidad / nómina</x:v>
      </x:c>
      <x:c r="R144" s="22" t="str"/>
    </x:row>
    <x:row r="145">
      <x:c r="A145" s="46" t="n">
        <x:v>45930</x:v>
      </x:c>
      <x:c r="B145" s="22" t="n">
        <x:v>2025</x:v>
      </x:c>
      <x:c r="C145" s="22" t="str">
        <x:v>Septiembre</x:v>
      </x:c>
      <x:c r="D145" s="22" t="str">
        <x:v>R03</x:v>
      </x:c>
      <x:c r="E145" s="22" t="str">
        <x:v>Índice de lesión incapacitante (ILI)</x:v>
      </x:c>
      <x:c r="F145" s="22" t="str">
        <x:v>Resultado</x:v>
      </x:c>
      <x:c r="G145" s="22" t="str">
        <x:v>Mensual</x:v>
      </x:c>
      <x:c r="H145" s="40" t="n">
        <x:v>0.25</x:v>
      </x:c>
      <x:c r="I145" s="22" t="str">
        <x:v>Menor es mejor</x:v>
      </x:c>
      <x:c r="J145" s="40" t="n">
        <x:v>211.4211</x:v>
      </x:c>
      <x:c r="K145" s="40" t="n">
        <x:v>1000</x:v>
      </x:c>
      <x:c r="L145" s="40" t="n">
        <x:v>1</x:v>
      </x:c>
      <x:c r="M145" s="40" t="n">
        <x:f>IF(OR(J145="",K145="",K145=0),"",J145/K145*L145)</x:f>
        <x:v>0.2114211</x:v>
      </x:c>
      <x:c r="N145" s="22" t="str">
        <x:f>IF(M145="","",IF(I145="Mayor es mejor",IF(M145&gt;=H145,"En meta",IF(M145&gt;=H145*0.9,"Alerta","Crítico")),IF(M145&lt;=H145,"En meta",IF(M145&lt;=H145*1.1,"Alerta","Crítico"))))</x:f>
        <x:v>En meta</x:v>
      </x:c>
      <x:c r="O145" s="22" t="str">
        <x:v>Índice</x:v>
      </x:c>
      <x:c r="P145" s="22" t="str">
        <x:v>Líder SG-SST</x:v>
      </x:c>
      <x:c r="Q145" s="22" t="str">
        <x:v>Indicadores derivados de accidentalidad</x:v>
      </x:c>
      <x:c r="R145" s="22" t="str">
        <x:v>ILI calculado sobre IF e IS del periodo.</x:v>
      </x:c>
    </x:row>
    <x:row r="146">
      <x:c r="A146" s="46" t="n">
        <x:v>45930</x:v>
      </x:c>
      <x:c r="B146" s="22" t="n">
        <x:v>2025</x:v>
      </x:c>
      <x:c r="C146" s="22" t="str">
        <x:v>Septiembre</x:v>
      </x:c>
      <x:c r="D146" s="22" t="str">
        <x:v>R04</x:v>
      </x:c>
      <x:c r="E146" s="22" t="str">
        <x:v>Tasa de accidentalidad</x:v>
      </x:c>
      <x:c r="F146" s="22" t="str">
        <x:v>Resultado</x:v>
      </x:c>
      <x:c r="G146" s="22" t="str">
        <x:v>Mensual</x:v>
      </x:c>
      <x:c r="H146" s="40" t="n">
        <x:v>0.6</x:v>
      </x:c>
      <x:c r="I146" s="22" t="str">
        <x:v>Menor es mejor</x:v>
      </x:c>
      <x:c r="J146" s="40" t="n">
        <x:v>0.02</x:v>
      </x:c>
      <x:c r="K146" s="40" t="n">
        <x:v>245</x:v>
      </x:c>
      <x:c r="L146" s="40" t="n">
        <x:v>100</x:v>
      </x:c>
      <x:c r="M146" s="40" t="n">
        <x:f>IF(OR(J146="",K146="",K146=0),"",J146/K146*L146)</x:f>
        <x:v>0.00816326530612245</x:v>
      </x:c>
      <x:c r="N146" s="22" t="str">
        <x:f>IF(M146="","",IF(I146="Mayor es mejor",IF(M146&gt;=H146,"En meta",IF(M146&gt;=H146*0.9,"Alerta","Crítico")),IF(M146&lt;=H146,"En meta",IF(M146&lt;=H146*1.1,"Alerta","Crítico"))))</x:f>
        <x:v>En meta</x:v>
      </x:c>
      <x:c r="O146" s="22" t="str">
        <x:v>%</x:v>
      </x:c>
      <x:c r="P146" s="22" t="str">
        <x:v>Líder SG-SST</x:v>
      </x:c>
      <x:c r="Q146" s="22" t="str">
        <x:v>Matriz de accidentalidad / nómina</x:v>
      </x:c>
      <x:c r="R146" s="22" t="str"/>
    </x:row>
    <x:row r="147">
      <x:c r="A147" s="46" t="n">
        <x:v>45930</x:v>
      </x:c>
      <x:c r="B147" s="22" t="n">
        <x:v>2025</x:v>
      </x:c>
      <x:c r="C147" s="22" t="str">
        <x:v>Septiembre</x:v>
      </x:c>
      <x:c r="D147" s="22" t="str">
        <x:v>R05</x:v>
      </x:c>
      <x:c r="E147" s="22" t="str">
        <x:v>Prevalencia de enfermedad laboral</x:v>
      </x:c>
      <x:c r="F147" s="22" t="str">
        <x:v>Resultado</x:v>
      </x:c>
      <x:c r="G147" s="22" t="str">
        <x:v>Mensual</x:v>
      </x:c>
      <x:c r="H147" s="40" t="n">
        <x:v>0.3</x:v>
      </x:c>
      <x:c r="I147" s="22" t="str">
        <x:v>Menor es mejor</x:v>
      </x:c>
      <x:c r="J147" s="40" t="n">
        <x:v>0.02</x:v>
      </x:c>
      <x:c r="K147" s="40" t="n">
        <x:v>245</x:v>
      </x:c>
      <x:c r="L147" s="40" t="n">
        <x:v>100</x:v>
      </x:c>
      <x:c r="M147" s="40" t="n">
        <x:f>IF(OR(J147="",K147="",K147=0),"",J147/K147*L147)</x:f>
        <x:v>0.00816326530612245</x:v>
      </x:c>
      <x:c r="N147" s="22" t="str">
        <x:f>IF(M147="","",IF(I147="Mayor es mejor",IF(M147&gt;=H147,"En meta",IF(M147&gt;=H147*0.9,"Alerta","Crítico")),IF(M147&lt;=H147,"En meta",IF(M147&lt;=H147*1.1,"Alerta","Crítico"))))</x:f>
        <x:v>En meta</x:v>
      </x:c>
      <x:c r="O147" s="22" t="str">
        <x:v>%</x:v>
      </x:c>
      <x:c r="P147" s="22" t="str">
        <x:v>Líder SG-SST / Medicina laboral</x:v>
      </x:c>
      <x:c r="Q147" s="22" t="str">
        <x:v>Matriz de enfermedad laboral / nómina</x:v>
      </x:c>
      <x:c r="R147" s="22" t="str"/>
    </x:row>
    <x:row r="148">
      <x:c r="A148" s="46" t="n">
        <x:v>45930</x:v>
      </x:c>
      <x:c r="B148" s="22" t="n">
        <x:v>2025</x:v>
      </x:c>
      <x:c r="C148" s="22" t="str">
        <x:v>Septiembre</x:v>
      </x:c>
      <x:c r="D148" s="22" t="str">
        <x:v>R06</x:v>
      </x:c>
      <x:c r="E148" s="22" t="str">
        <x:v>% cumplimiento de estándares mínimos Res. 0312 de 2019</x:v>
      </x:c>
      <x:c r="F148" s="22" t="str">
        <x:v>Resultado</x:v>
      </x:c>
      <x:c r="G148" s="22" t="str">
        <x:v>Mensual</x:v>
      </x:c>
      <x:c r="H148" s="40" t="n">
        <x:v>95</x:v>
      </x:c>
      <x:c r="I148" s="22" t="str">
        <x:v>Mayor es mejor</x:v>
      </x:c>
      <x:c r="J148" s="40" t="n">
        <x:v>100</x:v>
      </x:c>
      <x:c r="K148" s="40" t="n">
        <x:v>100</x:v>
      </x:c>
      <x:c r="L148" s="40" t="n">
        <x:v>100</x:v>
      </x:c>
      <x:c r="M148" s="40" t="n">
        <x:f>IF(OR(J148="",K148="",K148=0),"",J148/K148*L148)</x:f>
        <x:v>100</x:v>
      </x:c>
      <x:c r="N148" s="22" t="str">
        <x:f>IF(M148="","",IF(I148="Mayor es mejor",IF(M148&gt;=H148,"En meta",IF(M148&gt;=H148*0.9,"Alerta","Crítico")),IF(M148&lt;=H148,"En meta",IF(M148&lt;=H148*1.1,"Alerta","Crítico"))))</x:f>
        <x:v>En meta</x:v>
      </x:c>
      <x:c r="O148" s="22" t="str">
        <x:v>%</x:v>
      </x:c>
      <x:c r="P148" s="22" t="str">
        <x:v>Líder SG-SST / Alta Dirección</x:v>
      </x:c>
      <x:c r="Q148" s="22" t="str">
        <x:v>Autodiagnóstico Res. 0312 de 2019</x:v>
      </x:c>
      <x:c r="R148" s="22" t="str"/>
    </x:row>
    <x:row r="149">
      <x:c r="A149" s="46" t="n">
        <x:v>45961</x:v>
      </x:c>
      <x:c r="B149" s="22" t="n">
        <x:v>2025</x:v>
      </x:c>
      <x:c r="C149" s="22" t="str">
        <x:v>Octubre</x:v>
      </x:c>
      <x:c r="D149" s="22" t="str">
        <x:v>E01</x:v>
      </x:c>
      <x:c r="E149" s="22" t="str">
        <x:v>% ejecución presupuestal del SG-SST</x:v>
      </x:c>
      <x:c r="F149" s="22" t="str">
        <x:v>Estructura</x:v>
      </x:c>
      <x:c r="G149" s="22" t="str">
        <x:v>Mensual</x:v>
      </x:c>
      <x:c r="H149" s="40" t="n">
        <x:v>95</x:v>
      </x:c>
      <x:c r="I149" s="22" t="str">
        <x:v>Mayor es mejor</x:v>
      </x:c>
      <x:c r="J149" s="40" t="n">
        <x:v>8702571</x:v>
      </x:c>
      <x:c r="K149" s="40" t="n">
        <x:v>9000000</x:v>
      </x:c>
      <x:c r="L149" s="40" t="n">
        <x:v>100</x:v>
      </x:c>
      <x:c r="M149" s="40" t="n">
        <x:f>IF(OR(J149="",K149="",K149=0),"",J149/K149*L149)</x:f>
        <x:v>96.69523333333333</x:v>
      </x:c>
      <x:c r="N149" s="22" t="str">
        <x:f>IF(M149="","",IF(I149="Mayor es mejor",IF(M149&gt;=H149,"En meta",IF(M149&gt;=H149*0.9,"Alerta","Crítico")),IF(M149&lt;=H149,"En meta",IF(M149&lt;=H149*1.1,"Alerta","Crítico"))))</x:f>
        <x:v>En meta</x:v>
      </x:c>
      <x:c r="O149" s="22" t="str">
        <x:v>%</x:v>
      </x:c>
      <x:c r="P149" s="22" t="str">
        <x:v>Líder SG-SST / Dirección Administrativa</x:v>
      </x:c>
      <x:c r="Q149" s="22" t="str">
        <x:v>Presupuesto SST</x:v>
      </x:c>
      <x:c r="R149" s="22" t="str"/>
    </x:row>
    <x:row r="150">
      <x:c r="A150" s="46" t="n">
        <x:v>45961</x:v>
      </x:c>
      <x:c r="B150" s="22" t="n">
        <x:v>2025</x:v>
      </x:c>
      <x:c r="C150" s="22" t="str">
        <x:v>Octubre</x:v>
      </x:c>
      <x:c r="D150" s="22" t="str">
        <x:v>E02</x:v>
      </x:c>
      <x:c r="E150" s="22" t="str">
        <x:v>% cobertura del plan de formación y capacitación SG-SST</x:v>
      </x:c>
      <x:c r="F150" s="22" t="str">
        <x:v>Estructura</x:v>
      </x:c>
      <x:c r="G150" s="22" t="str">
        <x:v>Mensual</x:v>
      </x:c>
      <x:c r="H150" s="40" t="n">
        <x:v>90</x:v>
      </x:c>
      <x:c r="I150" s="22" t="str">
        <x:v>Mayor es mejor</x:v>
      </x:c>
      <x:c r="J150" s="40" t="n">
        <x:v>21</x:v>
      </x:c>
      <x:c r="K150" s="40" t="n">
        <x:v>22</x:v>
      </x:c>
      <x:c r="L150" s="40" t="n">
        <x:v>100</x:v>
      </x:c>
      <x:c r="M150" s="40" t="n">
        <x:f>IF(OR(J150="",K150="",K150=0),"",J150/K150*L150)</x:f>
        <x:v>95.45454545454545</x:v>
      </x:c>
      <x:c r="N150" s="22" t="str">
        <x:f>IF(M150="","",IF(I150="Mayor es mejor",IF(M150&gt;=H150,"En meta",IF(M150&gt;=H150*0.9,"Alerta","Crítico")),IF(M150&lt;=H150,"En meta",IF(M150&lt;=H150*1.1,"Alerta","Crítico"))))</x:f>
        <x:v>En meta</x:v>
      </x:c>
      <x:c r="O150" s="22" t="str">
        <x:v>%</x:v>
      </x:c>
      <x:c r="P150" s="22" t="str">
        <x:v>Líder SG-SST / Talento Humano</x:v>
      </x:c>
      <x:c r="Q150" s="22" t="str">
        <x:v>Plan de formación y capacitaciones</x:v>
      </x:c>
      <x:c r="R150" s="22" t="str"/>
    </x:row>
    <x:row r="151">
      <x:c r="A151" s="46" t="n">
        <x:v>45961</x:v>
      </x:c>
      <x:c r="B151" s="22" t="n">
        <x:v>2025</x:v>
      </x:c>
      <x:c r="C151" s="22" t="str">
        <x:v>Octubre</x:v>
      </x:c>
      <x:c r="D151" s="22" t="str">
        <x:v>E03</x:v>
      </x:c>
      <x:c r="E151" s="22" t="str">
        <x:v>% trabajadores con exámenes médicos ocupacionales vigentes</x:v>
      </x:c>
      <x:c r="F151" s="22" t="str">
        <x:v>Estructura</x:v>
      </x:c>
      <x:c r="G151" s="22" t="str">
        <x:v>Mensual</x:v>
      </x:c>
      <x:c r="H151" s="40" t="n">
        <x:v>95</x:v>
      </x:c>
      <x:c r="I151" s="22" t="str">
        <x:v>Mayor es mejor</x:v>
      </x:c>
      <x:c r="J151" s="40" t="n">
        <x:v>226</x:v>
      </x:c>
      <x:c r="K151" s="40" t="n">
        <x:v>236</x:v>
      </x:c>
      <x:c r="L151" s="40" t="n">
        <x:v>100</x:v>
      </x:c>
      <x:c r="M151" s="40" t="n">
        <x:f>IF(OR(J151="",K151="",K151=0),"",J151/K151*L151)</x:f>
        <x:v>95.76271186440678</x:v>
      </x:c>
      <x:c r="N151" s="22" t="str">
        <x:f>IF(M151="","",IF(I151="Mayor es mejor",IF(M151&gt;=H151,"En meta",IF(M151&gt;=H151*0.9,"Alerta","Crítico")),IF(M151&lt;=H151,"En meta",IF(M151&lt;=H151*1.1,"Alerta","Crítico"))))</x:f>
        <x:v>En meta</x:v>
      </x:c>
      <x:c r="O151" s="22" t="str">
        <x:v>%</x:v>
      </x:c>
      <x:c r="P151" s="22" t="str">
        <x:v>Líder SG-SST / Talento Humano</x:v>
      </x:c>
      <x:c r="Q151" s="22" t="str">
        <x:v>Matriz de seguimiento EMO</x:v>
      </x:c>
      <x:c r="R151" s="22" t="str"/>
    </x:row>
    <x:row r="152">
      <x:c r="A152" s="46" t="n">
        <x:v>45961</x:v>
      </x:c>
      <x:c r="B152" s="22" t="n">
        <x:v>2025</x:v>
      </x:c>
      <x:c r="C152" s="22" t="str">
        <x:v>Octubre</x:v>
      </x:c>
      <x:c r="D152" s="22" t="str">
        <x:v>E04</x:v>
      </x:c>
      <x:c r="E152" s="22" t="str">
        <x:v>% cumplimiento de requisitos legales aplicables en SST</x:v>
      </x:c>
      <x:c r="F152" s="22" t="str">
        <x:v>Estructura</x:v>
      </x:c>
      <x:c r="G152" s="22" t="str">
        <x:v>Mensual</x:v>
      </x:c>
      <x:c r="H152" s="40" t="n">
        <x:v>95</x:v>
      </x:c>
      <x:c r="I152" s="22" t="str">
        <x:v>Mayor es mejor</x:v>
      </x:c>
      <x:c r="J152" s="40" t="n">
        <x:v>57</x:v>
      </x:c>
      <x:c r="K152" s="40" t="n">
        <x:v>60</x:v>
      </x:c>
      <x:c r="L152" s="40" t="n">
        <x:v>100</x:v>
      </x:c>
      <x:c r="M152" s="40" t="n">
        <x:f>IF(OR(J152="",K152="",K152=0),"",J152/K152*L152)</x:f>
        <x:v>95</x:v>
      </x:c>
      <x:c r="N152" s="22" t="str">
        <x:f>IF(M152="","",IF(I152="Mayor es mejor",IF(M152&gt;=H152,"En meta",IF(M152&gt;=H152*0.9,"Alerta","Crítico")),IF(M152&lt;=H152,"En meta",IF(M152&lt;=H152*1.1,"Alerta","Crítico"))))</x:f>
        <x:v>En meta</x:v>
      </x:c>
      <x:c r="O152" s="22" t="str">
        <x:v>%</x:v>
      </x:c>
      <x:c r="P152" s="22" t="str">
        <x:v>Líder SG-SST / Jurídica</x:v>
      </x:c>
      <x:c r="Q152" s="22" t="str">
        <x:v>Matriz legal SGRL</x:v>
      </x:c>
      <x:c r="R152" s="22" t="str"/>
    </x:row>
    <x:row r="153">
      <x:c r="A153" s="46" t="n">
        <x:v>45961</x:v>
      </x:c>
      <x:c r="B153" s="22" t="n">
        <x:v>2025</x:v>
      </x:c>
      <x:c r="C153" s="22" t="str">
        <x:v>Octubre</x:v>
      </x:c>
      <x:c r="D153" s="22" t="str">
        <x:v>E05</x:v>
      </x:c>
      <x:c r="E153" s="22" t="str">
        <x:v>% proveedores y contratistas aprobados en SST</x:v>
      </x:c>
      <x:c r="F153" s="22" t="str">
        <x:v>Estructura</x:v>
      </x:c>
      <x:c r="G153" s="22" t="str">
        <x:v>Mensual</x:v>
      </x:c>
      <x:c r="H153" s="40" t="n">
        <x:v>90</x:v>
      </x:c>
      <x:c r="I153" s="22" t="str">
        <x:v>Mayor es mejor</x:v>
      </x:c>
      <x:c r="J153" s="40" t="n">
        <x:v>19</x:v>
      </x:c>
      <x:c r="K153" s="40" t="n">
        <x:v>20</x:v>
      </x:c>
      <x:c r="L153" s="40" t="n">
        <x:v>100</x:v>
      </x:c>
      <x:c r="M153" s="40" t="n">
        <x:f>IF(OR(J153="",K153="",K153=0),"",J153/K153*L153)</x:f>
        <x:v>95</x:v>
      </x:c>
      <x:c r="N153" s="22" t="str">
        <x:f>IF(M153="","",IF(I153="Mayor es mejor",IF(M153&gt;=H153,"En meta",IF(M153&gt;=H153*0.9,"Alerta","Crítico")),IF(M153&lt;=H153,"En meta",IF(M153&lt;=H153*1.1,"Alerta","Crítico"))))</x:f>
        <x:v>En meta</x:v>
      </x:c>
      <x:c r="O153" s="22" t="str">
        <x:v>%</x:v>
      </x:c>
      <x:c r="P153" s="22" t="str">
        <x:v>Compras / Líder SG-SST</x:v>
      </x:c>
      <x:c r="Q153" s="22" t="str">
        <x:v>Gestión de proveedores y contratistas</x:v>
      </x:c>
      <x:c r="R153" s="22" t="str"/>
    </x:row>
    <x:row r="154">
      <x:c r="A154" s="46" t="n">
        <x:v>45961</x:v>
      </x:c>
      <x:c r="B154" s="22" t="n">
        <x:v>2025</x:v>
      </x:c>
      <x:c r="C154" s="22" t="str">
        <x:v>Octubre</x:v>
      </x:c>
      <x:c r="D154" s="22" t="str">
        <x:v>P01</x:v>
      </x:c>
      <x:c r="E154" s="22" t="str">
        <x:v>% ejecución del plan anual de trabajo SG-SST</x:v>
      </x:c>
      <x:c r="F154" s="22" t="str">
        <x:v>Proceso</x:v>
      </x:c>
      <x:c r="G154" s="22" t="str">
        <x:v>Mensual</x:v>
      </x:c>
      <x:c r="H154" s="40" t="n">
        <x:v>90</x:v>
      </x:c>
      <x:c r="I154" s="22" t="str">
        <x:v>Mayor es mejor</x:v>
      </x:c>
      <x:c r="J154" s="40" t="n">
        <x:v>11</x:v>
      </x:c>
      <x:c r="K154" s="40" t="n">
        <x:v>12</x:v>
      </x:c>
      <x:c r="L154" s="40" t="n">
        <x:v>100</x:v>
      </x:c>
      <x:c r="M154" s="40" t="n">
        <x:f>IF(OR(J154="",K154="",K154=0),"",J154/K154*L154)</x:f>
        <x:v>91.66666666666666</x:v>
      </x:c>
      <x:c r="N154" s="22" t="str">
        <x:f>IF(M154="","",IF(I154="Mayor es mejor",IF(M154&gt;=H154,"En meta",IF(M154&gt;=H154*0.9,"Alerta","Crítico")),IF(M154&lt;=H154,"En meta",IF(M154&lt;=H154*1.1,"Alerta","Crítico"))))</x:f>
        <x:v>En meta</x:v>
      </x:c>
      <x:c r="O154" s="22" t="str">
        <x:v>%</x:v>
      </x:c>
      <x:c r="P154" s="22" t="str">
        <x:v>Líder SG-SST</x:v>
      </x:c>
      <x:c r="Q154" s="22" t="str">
        <x:v>Plan anual de trabajo PHVA</x:v>
      </x:c>
      <x:c r="R154" s="22" t="str"/>
    </x:row>
    <x:row r="155">
      <x:c r="A155" s="46" t="n">
        <x:v>45961</x:v>
      </x:c>
      <x:c r="B155" s="22" t="n">
        <x:v>2025</x:v>
      </x:c>
      <x:c r="C155" s="22" t="str">
        <x:v>Octubre</x:v>
      </x:c>
      <x:c r="D155" s="22" t="str">
        <x:v>P02</x:v>
      </x:c>
      <x:c r="E155" s="22" t="str">
        <x:v>% investigaciones de accidentes realizadas oportunamente</x:v>
      </x:c>
      <x:c r="F155" s="22" t="str">
        <x:v>Proceso</x:v>
      </x:c>
      <x:c r="G155" s="22" t="str">
        <x:v>Mensual</x:v>
      </x:c>
      <x:c r="H155" s="40" t="n">
        <x:v>95</x:v>
      </x:c>
      <x:c r="I155" s="22" t="str">
        <x:v>Mayor es mejor</x:v>
      </x:c>
      <x:c r="J155" s="40" t="n">
        <x:v>1</x:v>
      </x:c>
      <x:c r="K155" s="40" t="n">
        <x:v>1</x:v>
      </x:c>
      <x:c r="L155" s="40" t="n">
        <x:v>100</x:v>
      </x:c>
      <x:c r="M155" s="40" t="n">
        <x:f>IF(OR(J155="",K155="",K155=0),"",J155/K155*L155)</x:f>
        <x:v>100</x:v>
      </x:c>
      <x:c r="N155" s="22" t="str">
        <x:f>IF(M155="","",IF(I155="Mayor es mejor",IF(M155&gt;=H155,"En meta",IF(M155&gt;=H155*0.9,"Alerta","Crítico")),IF(M155&lt;=H155,"En meta",IF(M155&lt;=H155*1.1,"Alerta","Crítico"))))</x:f>
        <x:v>En meta</x:v>
      </x:c>
      <x:c r="O155" s="22" t="str">
        <x:v>%</x:v>
      </x:c>
      <x:c r="P155" s="22" t="str">
        <x:v>Líder SG-SST / COPASST</x:v>
      </x:c>
      <x:c r="Q155" s="22" t="str">
        <x:v>Matriz de accidentalidad</x:v>
      </x:c>
      <x:c r="R155" s="22" t="str"/>
    </x:row>
    <x:row r="156">
      <x:c r="A156" s="46" t="n">
        <x:v>45961</x:v>
      </x:c>
      <x:c r="B156" s="22" t="n">
        <x:v>2025</x:v>
      </x:c>
      <x:c r="C156" s="22" t="str">
        <x:v>Octubre</x:v>
      </x:c>
      <x:c r="D156" s="22" t="str">
        <x:v>P03</x:v>
      </x:c>
      <x:c r="E156" s="22" t="str">
        <x:v>% cierre oportuno de acciones correctivas, preventivas y de mejora</x:v>
      </x:c>
      <x:c r="F156" s="22" t="str">
        <x:v>Proceso</x:v>
      </x:c>
      <x:c r="G156" s="22" t="str">
        <x:v>Mensual</x:v>
      </x:c>
      <x:c r="H156" s="40" t="n">
        <x:v>90</x:v>
      </x:c>
      <x:c r="I156" s="22" t="str">
        <x:v>Mayor es mejor</x:v>
      </x:c>
      <x:c r="J156" s="40" t="n">
        <x:v>9</x:v>
      </x:c>
      <x:c r="K156" s="40" t="n">
        <x:v>10</x:v>
      </x:c>
      <x:c r="L156" s="40" t="n">
        <x:v>100</x:v>
      </x:c>
      <x:c r="M156" s="40" t="n">
        <x:f>IF(OR(J156="",K156="",K156=0),"",J156/K156*L156)</x:f>
        <x:v>90</x:v>
      </x:c>
      <x:c r="N156" s="22" t="str">
        <x:f>IF(M156="","",IF(I156="Mayor es mejor",IF(M156&gt;=H156,"En meta",IF(M156&gt;=H156*0.9,"Alerta","Crítico")),IF(M156&lt;=H156,"En meta",IF(M156&lt;=H156*1.1,"Alerta","Crítico"))))</x:f>
        <x:v>En meta</x:v>
      </x:c>
      <x:c r="O156" s="22" t="str">
        <x:v>%</x:v>
      </x:c>
      <x:c r="P156" s="22" t="str">
        <x:v>Líder SG-SST / Responsables de proceso</x:v>
      </x:c>
      <x:c r="Q156" s="22" t="str">
        <x:v>Matriz APCM</x:v>
      </x:c>
      <x:c r="R156" s="22" t="str"/>
    </x:row>
    <x:row r="157">
      <x:c r="A157" s="46" t="n">
        <x:v>45961</x:v>
      </x:c>
      <x:c r="B157" s="22" t="n">
        <x:v>2025</x:v>
      </x:c>
      <x:c r="C157" s="22" t="str">
        <x:v>Octubre</x:v>
      </x:c>
      <x:c r="D157" s="22" t="str">
        <x:v>P04</x:v>
      </x:c>
      <x:c r="E157" s="22" t="str">
        <x:v>% inspecciones de seguridad ejecutadas</x:v>
      </x:c>
      <x:c r="F157" s="22" t="str">
        <x:v>Proceso</x:v>
      </x:c>
      <x:c r="G157" s="22" t="str">
        <x:v>Mensual</x:v>
      </x:c>
      <x:c r="H157" s="40" t="n">
        <x:v>90</x:v>
      </x:c>
      <x:c r="I157" s="22" t="str">
        <x:v>Mayor es mejor</x:v>
      </x:c>
      <x:c r="J157" s="40" t="n">
        <x:v>9</x:v>
      </x:c>
      <x:c r="K157" s="40" t="n">
        <x:v>10</x:v>
      </x:c>
      <x:c r="L157" s="40" t="n">
        <x:v>100</x:v>
      </x:c>
      <x:c r="M157" s="40" t="n">
        <x:f>IF(OR(J157="",K157="",K157=0),"",J157/K157*L157)</x:f>
        <x:v>90</x:v>
      </x:c>
      <x:c r="N157" s="22" t="str">
        <x:f>IF(M157="","",IF(I157="Mayor es mejor",IF(M157&gt;=H157,"En meta",IF(M157&gt;=H157*0.9,"Alerta","Crítico")),IF(M157&lt;=H157,"En meta",IF(M157&lt;=H157*1.1,"Alerta","Crítico"))))</x:f>
        <x:v>En meta</x:v>
      </x:c>
      <x:c r="O157" s="22" t="str">
        <x:v>%</x:v>
      </x:c>
      <x:c r="P157" s="22" t="str">
        <x:v>Líder SG-SST / Supervisores</x:v>
      </x:c>
      <x:c r="Q157" s="22" t="str">
        <x:v>Programa de inspecciones</x:v>
      </x:c>
      <x:c r="R157" s="22" t="str"/>
    </x:row>
    <x:row r="158">
      <x:c r="A158" s="46" t="n">
        <x:v>45961</x:v>
      </x:c>
      <x:c r="B158" s="22" t="n">
        <x:v>2025</x:v>
      </x:c>
      <x:c r="C158" s="22" t="str">
        <x:v>Octubre</x:v>
      </x:c>
      <x:c r="D158" s="22" t="str">
        <x:v>P05</x:v>
      </x:c>
      <x:c r="E158" s="22" t="str">
        <x:v>% mantenimientos preventivos ejecutados</x:v>
      </x:c>
      <x:c r="F158" s="22" t="str">
        <x:v>Proceso</x:v>
      </x:c>
      <x:c r="G158" s="22" t="str">
        <x:v>Mensual</x:v>
      </x:c>
      <x:c r="H158" s="40" t="n">
        <x:v>90</x:v>
      </x:c>
      <x:c r="I158" s="22" t="str">
        <x:v>Mayor es mejor</x:v>
      </x:c>
      <x:c r="J158" s="40" t="n">
        <x:v>13</x:v>
      </x:c>
      <x:c r="K158" s="40" t="n">
        <x:v>14</x:v>
      </x:c>
      <x:c r="L158" s="40" t="n">
        <x:v>100</x:v>
      </x:c>
      <x:c r="M158" s="40" t="n">
        <x:f>IF(OR(J158="",K158="",K158=0),"",J158/K158*L158)</x:f>
        <x:v>92.85714285714286</x:v>
      </x:c>
      <x:c r="N158" s="22" t="str">
        <x:f>IF(M158="","",IF(I158="Mayor es mejor",IF(M158&gt;=H158,"En meta",IF(M158&gt;=H158*0.9,"Alerta","Crítico")),IF(M158&lt;=H158,"En meta",IF(M158&lt;=H158*1.1,"Alerta","Crítico"))))</x:f>
        <x:v>En meta</x:v>
      </x:c>
      <x:c r="O158" s="22" t="str">
        <x:v>%</x:v>
      </x:c>
      <x:c r="P158" s="22" t="str">
        <x:v>Mantenimiento / Líder SG-SST</x:v>
      </x:c>
      <x:c r="Q158" s="22" t="str">
        <x:v>Programa de mantenimiento preventivo</x:v>
      </x:c>
      <x:c r="R158" s="22" t="str"/>
    </x:row>
    <x:row r="159">
      <x:c r="A159" s="46" t="n">
        <x:v>45961</x:v>
      </x:c>
      <x:c r="B159" s="22" t="n">
        <x:v>2025</x:v>
      </x:c>
      <x:c r="C159" s="22" t="str">
        <x:v>Octubre</x:v>
      </x:c>
      <x:c r="D159" s="22" t="str">
        <x:v>R01</x:v>
      </x:c>
      <x:c r="E159" s="22" t="str">
        <x:v>Índice de frecuencia de accidentalidad (IF)</x:v>
      </x:c>
      <x:c r="F159" s="22" t="str">
        <x:v>Resultado</x:v>
      </x:c>
      <x:c r="G159" s="22" t="str">
        <x:v>Mensual</x:v>
      </x:c>
      <x:c r="H159" s="40" t="n">
        <x:v>3.5</x:v>
      </x:c>
      <x:c r="I159" s="22" t="str">
        <x:v>Menor es mejor</x:v>
      </x:c>
      <x:c r="J159" s="40" t="n">
        <x:v>1</x:v>
      </x:c>
      <x:c r="K159" s="40" t="n">
        <x:v>55509</x:v>
      </x:c>
      <x:c r="L159" s="40" t="n">
        <x:v>200000</x:v>
      </x:c>
      <x:c r="M159" s="40" t="n">
        <x:f>IF(OR(J159="",K159="",K159=0),"",J159/K159*L159)</x:f>
        <x:v>3.603019330198707</x:v>
      </x:c>
      <x:c r="N159" s="22" t="str">
        <x:f>IF(M159="","",IF(I159="Mayor es mejor",IF(M159&gt;=H159,"En meta",IF(M159&gt;=H159*0.9,"Alerta","Crítico")),IF(M159&lt;=H159,"En meta",IF(M159&lt;=H159*1.1,"Alerta","Crítico"))))</x:f>
        <x:v>Alerta</x:v>
      </x:c>
      <x:c r="O159" s="22" t="str">
        <x:v>Índice</x:v>
      </x:c>
      <x:c r="P159" s="22" t="str">
        <x:v>Líder SG-SST</x:v>
      </x:c>
      <x:c r="Q159" s="22" t="str">
        <x:v>Matriz de accidentalidad / nómina</x:v>
      </x:c>
      <x:c r="R159" s="22" t="str"/>
    </x:row>
    <x:row r="160">
      <x:c r="A160" s="46" t="n">
        <x:v>45961</x:v>
      </x:c>
      <x:c r="B160" s="22" t="n">
        <x:v>2025</x:v>
      </x:c>
      <x:c r="C160" s="22" t="str">
        <x:v>Octubre</x:v>
      </x:c>
      <x:c r="D160" s="22" t="str">
        <x:v>R02</x:v>
      </x:c>
      <x:c r="E160" s="22" t="str">
        <x:v>Índice de severidad de accidentalidad (IS)</x:v>
      </x:c>
      <x:c r="F160" s="22" t="str">
        <x:v>Resultado</x:v>
      </x:c>
      <x:c r="G160" s="22" t="str">
        <x:v>Mensual</x:v>
      </x:c>
      <x:c r="H160" s="40" t="n">
        <x:v>80</x:v>
      </x:c>
      <x:c r="I160" s="22" t="str">
        <x:v>Menor es mejor</x:v>
      </x:c>
      <x:c r="J160" s="40" t="n">
        <x:v>13</x:v>
      </x:c>
      <x:c r="K160" s="40" t="n">
        <x:v>55509</x:v>
      </x:c>
      <x:c r="L160" s="40" t="n">
        <x:v>200000</x:v>
      </x:c>
      <x:c r="M160" s="40" t="n">
        <x:f>IF(OR(J160="",K160="",K160=0),"",J160/K160*L160)</x:f>
        <x:v>46.839251292583185</x:v>
      </x:c>
      <x:c r="N160" s="22" t="str">
        <x:f>IF(M160="","",IF(I160="Mayor es mejor",IF(M160&gt;=H160,"En meta",IF(M160&gt;=H160*0.9,"Alerta","Crítico")),IF(M160&lt;=H160,"En meta",IF(M160&lt;=H160*1.1,"Alerta","Crítico"))))</x:f>
        <x:v>En meta</x:v>
      </x:c>
      <x:c r="O160" s="22" t="str">
        <x:v>Índice</x:v>
      </x:c>
      <x:c r="P160" s="22" t="str">
        <x:v>Líder SG-SST</x:v>
      </x:c>
      <x:c r="Q160" s="22" t="str">
        <x:v>Matriz de accidentalidad / nómina</x:v>
      </x:c>
      <x:c r="R160" s="22" t="str"/>
    </x:row>
    <x:row r="161">
      <x:c r="A161" s="46" t="n">
        <x:v>45961</x:v>
      </x:c>
      <x:c r="B161" s="22" t="n">
        <x:v>2025</x:v>
      </x:c>
      <x:c r="C161" s="22" t="str">
        <x:v>Octubre</x:v>
      </x:c>
      <x:c r="D161" s="22" t="str">
        <x:v>R03</x:v>
      </x:c>
      <x:c r="E161" s="22" t="str">
        <x:v>Índice de lesión incapacitante (ILI)</x:v>
      </x:c>
      <x:c r="F161" s="22" t="str">
        <x:v>Resultado</x:v>
      </x:c>
      <x:c r="G161" s="22" t="str">
        <x:v>Mensual</x:v>
      </x:c>
      <x:c r="H161" s="40" t="n">
        <x:v>0.25</x:v>
      </x:c>
      <x:c r="I161" s="22" t="str">
        <x:v>Menor es mejor</x:v>
      </x:c>
      <x:c r="J161" s="40" t="n">
        <x:v>168.7627</x:v>
      </x:c>
      <x:c r="K161" s="40" t="n">
        <x:v>1000</x:v>
      </x:c>
      <x:c r="L161" s="40" t="n">
        <x:v>1</x:v>
      </x:c>
      <x:c r="M161" s="40" t="n">
        <x:f>IF(OR(J161="",K161="",K161=0),"",J161/K161*L161)</x:f>
        <x:v>0.1687627</x:v>
      </x:c>
      <x:c r="N161" s="22" t="str">
        <x:f>IF(M161="","",IF(I161="Mayor es mejor",IF(M161&gt;=H161,"En meta",IF(M161&gt;=H161*0.9,"Alerta","Crítico")),IF(M161&lt;=H161,"En meta",IF(M161&lt;=H161*1.1,"Alerta","Crítico"))))</x:f>
        <x:v>En meta</x:v>
      </x:c>
      <x:c r="O161" s="22" t="str">
        <x:v>Índice</x:v>
      </x:c>
      <x:c r="P161" s="22" t="str">
        <x:v>Líder SG-SST</x:v>
      </x:c>
      <x:c r="Q161" s="22" t="str">
        <x:v>Indicadores derivados de accidentalidad</x:v>
      </x:c>
      <x:c r="R161" s="22" t="str">
        <x:v>ILI calculado sobre IF e IS del periodo.</x:v>
      </x:c>
    </x:row>
    <x:row r="162">
      <x:c r="A162" s="46" t="n">
        <x:v>45961</x:v>
      </x:c>
      <x:c r="B162" s="22" t="n">
        <x:v>2025</x:v>
      </x:c>
      <x:c r="C162" s="22" t="str">
        <x:v>Octubre</x:v>
      </x:c>
      <x:c r="D162" s="22" t="str">
        <x:v>R04</x:v>
      </x:c>
      <x:c r="E162" s="22" t="str">
        <x:v>Tasa de accidentalidad</x:v>
      </x:c>
      <x:c r="F162" s="22" t="str">
        <x:v>Resultado</x:v>
      </x:c>
      <x:c r="G162" s="22" t="str">
        <x:v>Mensual</x:v>
      </x:c>
      <x:c r="H162" s="40" t="n">
        <x:v>0.6</x:v>
      </x:c>
      <x:c r="I162" s="22" t="str">
        <x:v>Menor es mejor</x:v>
      </x:c>
      <x:c r="J162" s="40" t="n">
        <x:v>0.02</x:v>
      </x:c>
      <x:c r="K162" s="40" t="n">
        <x:v>236</x:v>
      </x:c>
      <x:c r="L162" s="40" t="n">
        <x:v>100</x:v>
      </x:c>
      <x:c r="M162" s="40" t="n">
        <x:f>IF(OR(J162="",K162="",K162=0),"",J162/K162*L162)</x:f>
        <x:v>0.00847457627118644</x:v>
      </x:c>
      <x:c r="N162" s="22" t="str">
        <x:f>IF(M162="","",IF(I162="Mayor es mejor",IF(M162&gt;=H162,"En meta",IF(M162&gt;=H162*0.9,"Alerta","Crítico")),IF(M162&lt;=H162,"En meta",IF(M162&lt;=H162*1.1,"Alerta","Crítico"))))</x:f>
        <x:v>En meta</x:v>
      </x:c>
      <x:c r="O162" s="22" t="str">
        <x:v>%</x:v>
      </x:c>
      <x:c r="P162" s="22" t="str">
        <x:v>Líder SG-SST</x:v>
      </x:c>
      <x:c r="Q162" s="22" t="str">
        <x:v>Matriz de accidentalidad / nómina</x:v>
      </x:c>
      <x:c r="R162" s="22" t="str"/>
    </x:row>
    <x:row r="163">
      <x:c r="A163" s="46" t="n">
        <x:v>45961</x:v>
      </x:c>
      <x:c r="B163" s="22" t="n">
        <x:v>2025</x:v>
      </x:c>
      <x:c r="C163" s="22" t="str">
        <x:v>Octubre</x:v>
      </x:c>
      <x:c r="D163" s="22" t="str">
        <x:v>R05</x:v>
      </x:c>
      <x:c r="E163" s="22" t="str">
        <x:v>Prevalencia de enfermedad laboral</x:v>
      </x:c>
      <x:c r="F163" s="22" t="str">
        <x:v>Resultado</x:v>
      </x:c>
      <x:c r="G163" s="22" t="str">
        <x:v>Mensual</x:v>
      </x:c>
      <x:c r="H163" s="40" t="n">
        <x:v>0.3</x:v>
      </x:c>
      <x:c r="I163" s="22" t="str">
        <x:v>Menor es mejor</x:v>
      </x:c>
      <x:c r="J163" s="40" t="n">
        <x:v>0.02</x:v>
      </x:c>
      <x:c r="K163" s="40" t="n">
        <x:v>236</x:v>
      </x:c>
      <x:c r="L163" s="40" t="n">
        <x:v>100</x:v>
      </x:c>
      <x:c r="M163" s="40" t="n">
        <x:f>IF(OR(J163="",K163="",K163=0),"",J163/K163*L163)</x:f>
        <x:v>0.00847457627118644</x:v>
      </x:c>
      <x:c r="N163" s="22" t="str">
        <x:f>IF(M163="","",IF(I163="Mayor es mejor",IF(M163&gt;=H163,"En meta",IF(M163&gt;=H163*0.9,"Alerta","Crítico")),IF(M163&lt;=H163,"En meta",IF(M163&lt;=H163*1.1,"Alerta","Crítico"))))</x:f>
        <x:v>En meta</x:v>
      </x:c>
      <x:c r="O163" s="22" t="str">
        <x:v>%</x:v>
      </x:c>
      <x:c r="P163" s="22" t="str">
        <x:v>Líder SG-SST / Medicina laboral</x:v>
      </x:c>
      <x:c r="Q163" s="22" t="str">
        <x:v>Matriz de enfermedad laboral / nómina</x:v>
      </x:c>
      <x:c r="R163" s="22" t="str"/>
    </x:row>
    <x:row r="164">
      <x:c r="A164" s="46" t="n">
        <x:v>45961</x:v>
      </x:c>
      <x:c r="B164" s="22" t="n">
        <x:v>2025</x:v>
      </x:c>
      <x:c r="C164" s="22" t="str">
        <x:v>Octubre</x:v>
      </x:c>
      <x:c r="D164" s="22" t="str">
        <x:v>R06</x:v>
      </x:c>
      <x:c r="E164" s="22" t="str">
        <x:v>% cumplimiento de estándares mínimos Res. 0312 de 2019</x:v>
      </x:c>
      <x:c r="F164" s="22" t="str">
        <x:v>Resultado</x:v>
      </x:c>
      <x:c r="G164" s="22" t="str">
        <x:v>Mensual</x:v>
      </x:c>
      <x:c r="H164" s="40" t="n">
        <x:v>95</x:v>
      </x:c>
      <x:c r="I164" s="22" t="str">
        <x:v>Mayor es mejor</x:v>
      </x:c>
      <x:c r="J164" s="40" t="n">
        <x:v>99</x:v>
      </x:c>
      <x:c r="K164" s="40" t="n">
        <x:v>100</x:v>
      </x:c>
      <x:c r="L164" s="40" t="n">
        <x:v>100</x:v>
      </x:c>
      <x:c r="M164" s="40" t="n">
        <x:f>IF(OR(J164="",K164="",K164=0),"",J164/K164*L164)</x:f>
        <x:v>99</x:v>
      </x:c>
      <x:c r="N164" s="22" t="str">
        <x:f>IF(M164="","",IF(I164="Mayor es mejor",IF(M164&gt;=H164,"En meta",IF(M164&gt;=H164*0.9,"Alerta","Crítico")),IF(M164&lt;=H164,"En meta",IF(M164&lt;=H164*1.1,"Alerta","Crítico"))))</x:f>
        <x:v>En meta</x:v>
      </x:c>
      <x:c r="O164" s="22" t="str">
        <x:v>%</x:v>
      </x:c>
      <x:c r="P164" s="22" t="str">
        <x:v>Líder SG-SST / Alta Dirección</x:v>
      </x:c>
      <x:c r="Q164" s="22" t="str">
        <x:v>Autodiagnóstico Res. 0312 de 2019</x:v>
      </x:c>
      <x:c r="R164" s="22" t="str"/>
    </x:row>
    <x:row r="165">
      <x:c r="A165" s="46" t="n">
        <x:v>45991</x:v>
      </x:c>
      <x:c r="B165" s="22" t="n">
        <x:v>2025</x:v>
      </x:c>
      <x:c r="C165" s="22" t="str">
        <x:v>Noviembre</x:v>
      </x:c>
      <x:c r="D165" s="22" t="str">
        <x:v>E01</x:v>
      </x:c>
      <x:c r="E165" s="22" t="str">
        <x:v>% ejecución presupuestal del SG-SST</x:v>
      </x:c>
      <x:c r="F165" s="22" t="str">
        <x:v>Estructura</x:v>
      </x:c>
      <x:c r="G165" s="22" t="str">
        <x:v>Mensual</x:v>
      </x:c>
      <x:c r="H165" s="40" t="n">
        <x:v>95</x:v>
      </x:c>
      <x:c r="I165" s="22" t="str">
        <x:v>Mayor es mejor</x:v>
      </x:c>
      <x:c r="J165" s="40" t="n">
        <x:v>9247593</x:v>
      </x:c>
      <x:c r="K165" s="40" t="n">
        <x:v>9500000</x:v>
      </x:c>
      <x:c r="L165" s="40" t="n">
        <x:v>100</x:v>
      </x:c>
      <x:c r="M165" s="40" t="n">
        <x:f>IF(OR(J165="",K165="",K165=0),"",J165/K165*L165)</x:f>
        <x:v>97.34308421052631</x:v>
      </x:c>
      <x:c r="N165" s="22" t="str">
        <x:f>IF(M165="","",IF(I165="Mayor es mejor",IF(M165&gt;=H165,"En meta",IF(M165&gt;=H165*0.9,"Alerta","Crítico")),IF(M165&lt;=H165,"En meta",IF(M165&lt;=H165*1.1,"Alerta","Crítico"))))</x:f>
        <x:v>En meta</x:v>
      </x:c>
      <x:c r="O165" s="22" t="str">
        <x:v>%</x:v>
      </x:c>
      <x:c r="P165" s="22" t="str">
        <x:v>Líder SG-SST / Dirección Administrativa</x:v>
      </x:c>
      <x:c r="Q165" s="22" t="str">
        <x:v>Presupuesto SST</x:v>
      </x:c>
      <x:c r="R165" s="22" t="str"/>
    </x:row>
    <x:row r="166">
      <x:c r="A166" s="46" t="n">
        <x:v>45991</x:v>
      </x:c>
      <x:c r="B166" s="22" t="n">
        <x:v>2025</x:v>
      </x:c>
      <x:c r="C166" s="22" t="str">
        <x:v>Noviembre</x:v>
      </x:c>
      <x:c r="D166" s="22" t="str">
        <x:v>E02</x:v>
      </x:c>
      <x:c r="E166" s="22" t="str">
        <x:v>% cobertura del plan de formación y capacitación SG-SST</x:v>
      </x:c>
      <x:c r="F166" s="22" t="str">
        <x:v>Estructura</x:v>
      </x:c>
      <x:c r="G166" s="22" t="str">
        <x:v>Mensual</x:v>
      </x:c>
      <x:c r="H166" s="40" t="n">
        <x:v>90</x:v>
      </x:c>
      <x:c r="I166" s="22" t="str">
        <x:v>Mayor es mejor</x:v>
      </x:c>
      <x:c r="J166" s="40" t="n">
        <x:v>22</x:v>
      </x:c>
      <x:c r="K166" s="40" t="n">
        <x:v>24</x:v>
      </x:c>
      <x:c r="L166" s="40" t="n">
        <x:v>100</x:v>
      </x:c>
      <x:c r="M166" s="40" t="n">
        <x:f>IF(OR(J166="",K166="",K166=0),"",J166/K166*L166)</x:f>
        <x:v>91.66666666666666</x:v>
      </x:c>
      <x:c r="N166" s="22" t="str">
        <x:f>IF(M166="","",IF(I166="Mayor es mejor",IF(M166&gt;=H166,"En meta",IF(M166&gt;=H166*0.9,"Alerta","Crítico")),IF(M166&lt;=H166,"En meta",IF(M166&lt;=H166*1.1,"Alerta","Crítico"))))</x:f>
        <x:v>En meta</x:v>
      </x:c>
      <x:c r="O166" s="22" t="str">
        <x:v>%</x:v>
      </x:c>
      <x:c r="P166" s="22" t="str">
        <x:v>Líder SG-SST / Talento Humano</x:v>
      </x:c>
      <x:c r="Q166" s="22" t="str">
        <x:v>Plan de formación y capacitaciones</x:v>
      </x:c>
      <x:c r="R166" s="22" t="str"/>
    </x:row>
    <x:row r="167">
      <x:c r="A167" s="46" t="n">
        <x:v>45991</x:v>
      </x:c>
      <x:c r="B167" s="22" t="n">
        <x:v>2025</x:v>
      </x:c>
      <x:c r="C167" s="22" t="str">
        <x:v>Noviembre</x:v>
      </x:c>
      <x:c r="D167" s="22" t="str">
        <x:v>E03</x:v>
      </x:c>
      <x:c r="E167" s="22" t="str">
        <x:v>% trabajadores con exámenes médicos ocupacionales vigentes</x:v>
      </x:c>
      <x:c r="F167" s="22" t="str">
        <x:v>Estructura</x:v>
      </x:c>
      <x:c r="G167" s="22" t="str">
        <x:v>Mensual</x:v>
      </x:c>
      <x:c r="H167" s="40" t="n">
        <x:v>95</x:v>
      </x:c>
      <x:c r="I167" s="22" t="str">
        <x:v>Mayor es mejor</x:v>
      </x:c>
      <x:c r="J167" s="40" t="n">
        <x:v>226</x:v>
      </x:c>
      <x:c r="K167" s="40" t="n">
        <x:v>236</x:v>
      </x:c>
      <x:c r="L167" s="40" t="n">
        <x:v>100</x:v>
      </x:c>
      <x:c r="M167" s="40" t="n">
        <x:f>IF(OR(J167="",K167="",K167=0),"",J167/K167*L167)</x:f>
        <x:v>95.76271186440678</x:v>
      </x:c>
      <x:c r="N167" s="22" t="str">
        <x:f>IF(M167="","",IF(I167="Mayor es mejor",IF(M167&gt;=H167,"En meta",IF(M167&gt;=H167*0.9,"Alerta","Crítico")),IF(M167&lt;=H167,"En meta",IF(M167&lt;=H167*1.1,"Alerta","Crítico"))))</x:f>
        <x:v>En meta</x:v>
      </x:c>
      <x:c r="O167" s="22" t="str">
        <x:v>%</x:v>
      </x:c>
      <x:c r="P167" s="22" t="str">
        <x:v>Líder SG-SST / Talento Humano</x:v>
      </x:c>
      <x:c r="Q167" s="22" t="str">
        <x:v>Matriz de seguimiento EMO</x:v>
      </x:c>
      <x:c r="R167" s="22" t="str"/>
    </x:row>
    <x:row r="168">
      <x:c r="A168" s="46" t="n">
        <x:v>45991</x:v>
      </x:c>
      <x:c r="B168" s="22" t="n">
        <x:v>2025</x:v>
      </x:c>
      <x:c r="C168" s="22" t="str">
        <x:v>Noviembre</x:v>
      </x:c>
      <x:c r="D168" s="22" t="str">
        <x:v>E04</x:v>
      </x:c>
      <x:c r="E168" s="22" t="str">
        <x:v>% cumplimiento de requisitos legales aplicables en SST</x:v>
      </x:c>
      <x:c r="F168" s="22" t="str">
        <x:v>Estructura</x:v>
      </x:c>
      <x:c r="G168" s="22" t="str">
        <x:v>Mensual</x:v>
      </x:c>
      <x:c r="H168" s="40" t="n">
        <x:v>95</x:v>
      </x:c>
      <x:c r="I168" s="22" t="str">
        <x:v>Mayor es mejor</x:v>
      </x:c>
      <x:c r="J168" s="40" t="n">
        <x:v>57</x:v>
      </x:c>
      <x:c r="K168" s="40" t="n">
        <x:v>60</x:v>
      </x:c>
      <x:c r="L168" s="40" t="n">
        <x:v>100</x:v>
      </x:c>
      <x:c r="M168" s="40" t="n">
        <x:f>IF(OR(J168="",K168="",K168=0),"",J168/K168*L168)</x:f>
        <x:v>95</x:v>
      </x:c>
      <x:c r="N168" s="22" t="str">
        <x:f>IF(M168="","",IF(I168="Mayor es mejor",IF(M168&gt;=H168,"En meta",IF(M168&gt;=H168*0.9,"Alerta","Crítico")),IF(M168&lt;=H168,"En meta",IF(M168&lt;=H168*1.1,"Alerta","Crítico"))))</x:f>
        <x:v>En meta</x:v>
      </x:c>
      <x:c r="O168" s="22" t="str">
        <x:v>%</x:v>
      </x:c>
      <x:c r="P168" s="22" t="str">
        <x:v>Líder SG-SST / Jurídica</x:v>
      </x:c>
      <x:c r="Q168" s="22" t="str">
        <x:v>Matriz legal SGRL</x:v>
      </x:c>
      <x:c r="R168" s="22" t="str"/>
    </x:row>
    <x:row r="169">
      <x:c r="A169" s="46" t="n">
        <x:v>45991</x:v>
      </x:c>
      <x:c r="B169" s="22" t="n">
        <x:v>2025</x:v>
      </x:c>
      <x:c r="C169" s="22" t="str">
        <x:v>Noviembre</x:v>
      </x:c>
      <x:c r="D169" s="22" t="str">
        <x:v>E05</x:v>
      </x:c>
      <x:c r="E169" s="22" t="str">
        <x:v>% proveedores y contratistas aprobados en SST</x:v>
      </x:c>
      <x:c r="F169" s="22" t="str">
        <x:v>Estructura</x:v>
      </x:c>
      <x:c r="G169" s="22" t="str">
        <x:v>Mensual</x:v>
      </x:c>
      <x:c r="H169" s="40" t="n">
        <x:v>90</x:v>
      </x:c>
      <x:c r="I169" s="22" t="str">
        <x:v>Mayor es mejor</x:v>
      </x:c>
      <x:c r="J169" s="40" t="n">
        <x:v>19</x:v>
      </x:c>
      <x:c r="K169" s="40" t="n">
        <x:v>20</x:v>
      </x:c>
      <x:c r="L169" s="40" t="n">
        <x:v>100</x:v>
      </x:c>
      <x:c r="M169" s="40" t="n">
        <x:f>IF(OR(J169="",K169="",K169=0),"",J169/K169*L169)</x:f>
        <x:v>95</x:v>
      </x:c>
      <x:c r="N169" s="22" t="str">
        <x:f>IF(M169="","",IF(I169="Mayor es mejor",IF(M169&gt;=H169,"En meta",IF(M169&gt;=H169*0.9,"Alerta","Crítico")),IF(M169&lt;=H169,"En meta",IF(M169&lt;=H169*1.1,"Alerta","Crítico"))))</x:f>
        <x:v>En meta</x:v>
      </x:c>
      <x:c r="O169" s="22" t="str">
        <x:v>%</x:v>
      </x:c>
      <x:c r="P169" s="22" t="str">
        <x:v>Compras / Líder SG-SST</x:v>
      </x:c>
      <x:c r="Q169" s="22" t="str">
        <x:v>Gestión de proveedores y contratistas</x:v>
      </x:c>
      <x:c r="R169" s="22" t="str"/>
    </x:row>
    <x:row r="170">
      <x:c r="A170" s="46" t="n">
        <x:v>45991</x:v>
      </x:c>
      <x:c r="B170" s="22" t="n">
        <x:v>2025</x:v>
      </x:c>
      <x:c r="C170" s="22" t="str">
        <x:v>Noviembre</x:v>
      </x:c>
      <x:c r="D170" s="22" t="str">
        <x:v>P01</x:v>
      </x:c>
      <x:c r="E170" s="22" t="str">
        <x:v>% ejecución del plan anual de trabajo SG-SST</x:v>
      </x:c>
      <x:c r="F170" s="22" t="str">
        <x:v>Proceso</x:v>
      </x:c>
      <x:c r="G170" s="22" t="str">
        <x:v>Mensual</x:v>
      </x:c>
      <x:c r="H170" s="40" t="n">
        <x:v>90</x:v>
      </x:c>
      <x:c r="I170" s="22" t="str">
        <x:v>Mayor es mejor</x:v>
      </x:c>
      <x:c r="J170" s="40" t="n">
        <x:v>13</x:v>
      </x:c>
      <x:c r="K170" s="40" t="n">
        <x:v>14</x:v>
      </x:c>
      <x:c r="L170" s="40" t="n">
        <x:v>100</x:v>
      </x:c>
      <x:c r="M170" s="40" t="n">
        <x:f>IF(OR(J170="",K170="",K170=0),"",J170/K170*L170)</x:f>
        <x:v>92.85714285714286</x:v>
      </x:c>
      <x:c r="N170" s="22" t="str">
        <x:f>IF(M170="","",IF(I170="Mayor es mejor",IF(M170&gt;=H170,"En meta",IF(M170&gt;=H170*0.9,"Alerta","Crítico")),IF(M170&lt;=H170,"En meta",IF(M170&lt;=H170*1.1,"Alerta","Crítico"))))</x:f>
        <x:v>En meta</x:v>
      </x:c>
      <x:c r="O170" s="22" t="str">
        <x:v>%</x:v>
      </x:c>
      <x:c r="P170" s="22" t="str">
        <x:v>Líder SG-SST</x:v>
      </x:c>
      <x:c r="Q170" s="22" t="str">
        <x:v>Plan anual de trabajo PHVA</x:v>
      </x:c>
      <x:c r="R170" s="22" t="str"/>
    </x:row>
    <x:row r="171">
      <x:c r="A171" s="46" t="n">
        <x:v>45991</x:v>
      </x:c>
      <x:c r="B171" s="22" t="n">
        <x:v>2025</x:v>
      </x:c>
      <x:c r="C171" s="22" t="str">
        <x:v>Noviembre</x:v>
      </x:c>
      <x:c r="D171" s="22" t="str">
        <x:v>P02</x:v>
      </x:c>
      <x:c r="E171" s="22" t="str">
        <x:v>% investigaciones de accidentes realizadas oportunamente</x:v>
      </x:c>
      <x:c r="F171" s="22" t="str">
        <x:v>Proceso</x:v>
      </x:c>
      <x:c r="G171" s="22" t="str">
        <x:v>Mensual</x:v>
      </x:c>
      <x:c r="H171" s="40" t="n">
        <x:v>95</x:v>
      </x:c>
      <x:c r="I171" s="22" t="str">
        <x:v>Mayor es mejor</x:v>
      </x:c>
      <x:c r="J171" s="40" t="n">
        <x:v>1</x:v>
      </x:c>
      <x:c r="K171" s="40" t="n">
        <x:v>1</x:v>
      </x:c>
      <x:c r="L171" s="40" t="n">
        <x:v>100</x:v>
      </x:c>
      <x:c r="M171" s="40" t="n">
        <x:f>IF(OR(J171="",K171="",K171=0),"",J171/K171*L171)</x:f>
        <x:v>100</x:v>
      </x:c>
      <x:c r="N171" s="22" t="str">
        <x:f>IF(M171="","",IF(I171="Mayor es mejor",IF(M171&gt;=H171,"En meta",IF(M171&gt;=H171*0.9,"Alerta","Crítico")),IF(M171&lt;=H171,"En meta",IF(M171&lt;=H171*1.1,"Alerta","Crítico"))))</x:f>
        <x:v>En meta</x:v>
      </x:c>
      <x:c r="O171" s="22" t="str">
        <x:v>%</x:v>
      </x:c>
      <x:c r="P171" s="22" t="str">
        <x:v>Líder SG-SST / COPASST</x:v>
      </x:c>
      <x:c r="Q171" s="22" t="str">
        <x:v>Matriz de accidentalidad</x:v>
      </x:c>
      <x:c r="R171" s="22" t="str"/>
    </x:row>
    <x:row r="172">
      <x:c r="A172" s="46" t="n">
        <x:v>45991</x:v>
      </x:c>
      <x:c r="B172" s="22" t="n">
        <x:v>2025</x:v>
      </x:c>
      <x:c r="C172" s="22" t="str">
        <x:v>Noviembre</x:v>
      </x:c>
      <x:c r="D172" s="22" t="str">
        <x:v>P03</x:v>
      </x:c>
      <x:c r="E172" s="22" t="str">
        <x:v>% cierre oportuno de acciones correctivas, preventivas y de mejora</x:v>
      </x:c>
      <x:c r="F172" s="22" t="str">
        <x:v>Proceso</x:v>
      </x:c>
      <x:c r="G172" s="22" t="str">
        <x:v>Mensual</x:v>
      </x:c>
      <x:c r="H172" s="40" t="n">
        <x:v>90</x:v>
      </x:c>
      <x:c r="I172" s="22" t="str">
        <x:v>Mayor es mejor</x:v>
      </x:c>
      <x:c r="J172" s="40" t="n">
        <x:v>10</x:v>
      </x:c>
      <x:c r="K172" s="40" t="n">
        <x:v>11</x:v>
      </x:c>
      <x:c r="L172" s="40" t="n">
        <x:v>100</x:v>
      </x:c>
      <x:c r="M172" s="40" t="n">
        <x:f>IF(OR(J172="",K172="",K172=0),"",J172/K172*L172)</x:f>
        <x:v>90.9090909090909</x:v>
      </x:c>
      <x:c r="N172" s="22" t="str">
        <x:f>IF(M172="","",IF(I172="Mayor es mejor",IF(M172&gt;=H172,"En meta",IF(M172&gt;=H172*0.9,"Alerta","Crítico")),IF(M172&lt;=H172,"En meta",IF(M172&lt;=H172*1.1,"Alerta","Crítico"))))</x:f>
        <x:v>En meta</x:v>
      </x:c>
      <x:c r="O172" s="22" t="str">
        <x:v>%</x:v>
      </x:c>
      <x:c r="P172" s="22" t="str">
        <x:v>Líder SG-SST / Responsables de proceso</x:v>
      </x:c>
      <x:c r="Q172" s="22" t="str">
        <x:v>Matriz APCM</x:v>
      </x:c>
      <x:c r="R172" s="22" t="str"/>
    </x:row>
    <x:row r="173">
      <x:c r="A173" s="46" t="n">
        <x:v>45991</x:v>
      </x:c>
      <x:c r="B173" s="22" t="n">
        <x:v>2025</x:v>
      </x:c>
      <x:c r="C173" s="22" t="str">
        <x:v>Noviembre</x:v>
      </x:c>
      <x:c r="D173" s="22" t="str">
        <x:v>P04</x:v>
      </x:c>
      <x:c r="E173" s="22" t="str">
        <x:v>% inspecciones de seguridad ejecutadas</x:v>
      </x:c>
      <x:c r="F173" s="22" t="str">
        <x:v>Proceso</x:v>
      </x:c>
      <x:c r="G173" s="22" t="str">
        <x:v>Mensual</x:v>
      </x:c>
      <x:c r="H173" s="40" t="n">
        <x:v>90</x:v>
      </x:c>
      <x:c r="I173" s="22" t="str">
        <x:v>Mayor es mejor</x:v>
      </x:c>
      <x:c r="J173" s="40" t="n">
        <x:v>10</x:v>
      </x:c>
      <x:c r="K173" s="40" t="n">
        <x:v>11</x:v>
      </x:c>
      <x:c r="L173" s="40" t="n">
        <x:v>100</x:v>
      </x:c>
      <x:c r="M173" s="40" t="n">
        <x:f>IF(OR(J173="",K173="",K173=0),"",J173/K173*L173)</x:f>
        <x:v>90.9090909090909</x:v>
      </x:c>
      <x:c r="N173" s="22" t="str">
        <x:f>IF(M173="","",IF(I173="Mayor es mejor",IF(M173&gt;=H173,"En meta",IF(M173&gt;=H173*0.9,"Alerta","Crítico")),IF(M173&lt;=H173,"En meta",IF(M173&lt;=H173*1.1,"Alerta","Crítico"))))</x:f>
        <x:v>En meta</x:v>
      </x:c>
      <x:c r="O173" s="22" t="str">
        <x:v>%</x:v>
      </x:c>
      <x:c r="P173" s="22" t="str">
        <x:v>Líder SG-SST / Supervisores</x:v>
      </x:c>
      <x:c r="Q173" s="22" t="str">
        <x:v>Programa de inspecciones</x:v>
      </x:c>
      <x:c r="R173" s="22" t="str"/>
    </x:row>
    <x:row r="174">
      <x:c r="A174" s="46" t="n">
        <x:v>45991</x:v>
      </x:c>
      <x:c r="B174" s="22" t="n">
        <x:v>2025</x:v>
      </x:c>
      <x:c r="C174" s="22" t="str">
        <x:v>Noviembre</x:v>
      </x:c>
      <x:c r="D174" s="22" t="str">
        <x:v>P05</x:v>
      </x:c>
      <x:c r="E174" s="22" t="str">
        <x:v>% mantenimientos preventivos ejecutados</x:v>
      </x:c>
      <x:c r="F174" s="22" t="str">
        <x:v>Proceso</x:v>
      </x:c>
      <x:c r="G174" s="22" t="str">
        <x:v>Mensual</x:v>
      </x:c>
      <x:c r="H174" s="40" t="n">
        <x:v>90</x:v>
      </x:c>
      <x:c r="I174" s="22" t="str">
        <x:v>Mayor es mejor</x:v>
      </x:c>
      <x:c r="J174" s="40" t="n">
        <x:v>14</x:v>
      </x:c>
      <x:c r="K174" s="40" t="n">
        <x:v>15</x:v>
      </x:c>
      <x:c r="L174" s="40" t="n">
        <x:v>100</x:v>
      </x:c>
      <x:c r="M174" s="40" t="n">
        <x:f>IF(OR(J174="",K174="",K174=0),"",J174/K174*L174)</x:f>
        <x:v>93.33333333333333</x:v>
      </x:c>
      <x:c r="N174" s="22" t="str">
        <x:f>IF(M174="","",IF(I174="Mayor es mejor",IF(M174&gt;=H174,"En meta",IF(M174&gt;=H174*0.9,"Alerta","Crítico")),IF(M174&lt;=H174,"En meta",IF(M174&lt;=H174*1.1,"Alerta","Crítico"))))</x:f>
        <x:v>En meta</x:v>
      </x:c>
      <x:c r="O174" s="22" t="str">
        <x:v>%</x:v>
      </x:c>
      <x:c r="P174" s="22" t="str">
        <x:v>Mantenimiento / Líder SG-SST</x:v>
      </x:c>
      <x:c r="Q174" s="22" t="str">
        <x:v>Programa de mantenimiento preventivo</x:v>
      </x:c>
      <x:c r="R174" s="22" t="str"/>
    </x:row>
    <x:row r="175">
      <x:c r="A175" s="46" t="n">
        <x:v>45991</x:v>
      </x:c>
      <x:c r="B175" s="22" t="n">
        <x:v>2025</x:v>
      </x:c>
      <x:c r="C175" s="22" t="str">
        <x:v>Noviembre</x:v>
      </x:c>
      <x:c r="D175" s="22" t="str">
        <x:v>R01</x:v>
      </x:c>
      <x:c r="E175" s="22" t="str">
        <x:v>Índice de frecuencia de accidentalidad (IF)</x:v>
      </x:c>
      <x:c r="F175" s="22" t="str">
        <x:v>Resultado</x:v>
      </x:c>
      <x:c r="G175" s="22" t="str">
        <x:v>Mensual</x:v>
      </x:c>
      <x:c r="H175" s="40" t="n">
        <x:v>3.5</x:v>
      </x:c>
      <x:c r="I175" s="22" t="str">
        <x:v>Menor es mejor</x:v>
      </x:c>
      <x:c r="J175" s="40" t="n">
        <x:v>1</x:v>
      </x:c>
      <x:c r="K175" s="40" t="n">
        <x:v>55617</x:v>
      </x:c>
      <x:c r="L175" s="40" t="n">
        <x:v>200000</x:v>
      </x:c>
      <x:c r="M175" s="40" t="n">
        <x:f>IF(OR(J175="",K175="",K175=0),"",J175/K175*L175)</x:f>
        <x:v>3.5960227987845443</x:v>
      </x:c>
      <x:c r="N175" s="22" t="str">
        <x:f>IF(M175="","",IF(I175="Mayor es mejor",IF(M175&gt;=H175,"En meta",IF(M175&gt;=H175*0.9,"Alerta","Crítico")),IF(M175&lt;=H175,"En meta",IF(M175&lt;=H175*1.1,"Alerta","Crítico"))))</x:f>
        <x:v>Alerta</x:v>
      </x:c>
      <x:c r="O175" s="22" t="str">
        <x:v>Índice</x:v>
      </x:c>
      <x:c r="P175" s="22" t="str">
        <x:v>Líder SG-SST</x:v>
      </x:c>
      <x:c r="Q175" s="22" t="str">
        <x:v>Matriz de accidentalidad / nómina</x:v>
      </x:c>
      <x:c r="R175" s="22" t="str"/>
    </x:row>
    <x:row r="176">
      <x:c r="A176" s="46" t="n">
        <x:v>45991</x:v>
      </x:c>
      <x:c r="B176" s="22" t="n">
        <x:v>2025</x:v>
      </x:c>
      <x:c r="C176" s="22" t="str">
        <x:v>Noviembre</x:v>
      </x:c>
      <x:c r="D176" s="22" t="str">
        <x:v>R02</x:v>
      </x:c>
      <x:c r="E176" s="22" t="str">
        <x:v>Índice de severidad de accidentalidad (IS)</x:v>
      </x:c>
      <x:c r="F176" s="22" t="str">
        <x:v>Resultado</x:v>
      </x:c>
      <x:c r="G176" s="22" t="str">
        <x:v>Mensual</x:v>
      </x:c>
      <x:c r="H176" s="40" t="n">
        <x:v>80</x:v>
      </x:c>
      <x:c r="I176" s="22" t="str">
        <x:v>Menor es mejor</x:v>
      </x:c>
      <x:c r="J176" s="40" t="n">
        <x:v>13</x:v>
      </x:c>
      <x:c r="K176" s="40" t="n">
        <x:v>55617</x:v>
      </x:c>
      <x:c r="L176" s="40" t="n">
        <x:v>200000</x:v>
      </x:c>
      <x:c r="M176" s="40" t="n">
        <x:f>IF(OR(J176="",K176="",K176=0),"",J176/K176*L176)</x:f>
        <x:v>46.74829638419908</x:v>
      </x:c>
      <x:c r="N176" s="22" t="str">
        <x:f>IF(M176="","",IF(I176="Mayor es mejor",IF(M176&gt;=H176,"En meta",IF(M176&gt;=H176*0.9,"Alerta","Crítico")),IF(M176&lt;=H176,"En meta",IF(M176&lt;=H176*1.1,"Alerta","Crítico"))))</x:f>
        <x:v>En meta</x:v>
      </x:c>
      <x:c r="O176" s="22" t="str">
        <x:v>Índice</x:v>
      </x:c>
      <x:c r="P176" s="22" t="str">
        <x:v>Líder SG-SST</x:v>
      </x:c>
      <x:c r="Q176" s="22" t="str">
        <x:v>Matriz de accidentalidad / nómina</x:v>
      </x:c>
      <x:c r="R176" s="22" t="str"/>
    </x:row>
    <x:row r="177">
      <x:c r="A177" s="46" t="n">
        <x:v>45991</x:v>
      </x:c>
      <x:c r="B177" s="22" t="n">
        <x:v>2025</x:v>
      </x:c>
      <x:c r="C177" s="22" t="str">
        <x:v>Noviembre</x:v>
      </x:c>
      <x:c r="D177" s="22" t="str">
        <x:v>R03</x:v>
      </x:c>
      <x:c r="E177" s="22" t="str">
        <x:v>Índice de lesión incapacitante (ILI)</x:v>
      </x:c>
      <x:c r="F177" s="22" t="str">
        <x:v>Resultado</x:v>
      </x:c>
      <x:c r="G177" s="22" t="str">
        <x:v>Mensual</x:v>
      </x:c>
      <x:c r="H177" s="40" t="n">
        <x:v>0.25</x:v>
      </x:c>
      <x:c r="I177" s="22" t="str">
        <x:v>Menor es mejor</x:v>
      </x:c>
      <x:c r="J177" s="40" t="n">
        <x:v>168.1079</x:v>
      </x:c>
      <x:c r="K177" s="40" t="n">
        <x:v>1000</x:v>
      </x:c>
      <x:c r="L177" s="40" t="n">
        <x:v>1</x:v>
      </x:c>
      <x:c r="M177" s="40" t="n">
        <x:f>IF(OR(J177="",K177="",K177=0),"",J177/K177*L177)</x:f>
        <x:v>0.1681079</x:v>
      </x:c>
      <x:c r="N177" s="22" t="str">
        <x:f>IF(M177="","",IF(I177="Mayor es mejor",IF(M177&gt;=H177,"En meta",IF(M177&gt;=H177*0.9,"Alerta","Crítico")),IF(M177&lt;=H177,"En meta",IF(M177&lt;=H177*1.1,"Alerta","Crítico"))))</x:f>
        <x:v>En meta</x:v>
      </x:c>
      <x:c r="O177" s="22" t="str">
        <x:v>Índice</x:v>
      </x:c>
      <x:c r="P177" s="22" t="str">
        <x:v>Líder SG-SST</x:v>
      </x:c>
      <x:c r="Q177" s="22" t="str">
        <x:v>Indicadores derivados de accidentalidad</x:v>
      </x:c>
      <x:c r="R177" s="22" t="str">
        <x:v>ILI calculado sobre IF e IS del periodo.</x:v>
      </x:c>
    </x:row>
    <x:row r="178">
      <x:c r="A178" s="46" t="n">
        <x:v>45991</x:v>
      </x:c>
      <x:c r="B178" s="22" t="n">
        <x:v>2025</x:v>
      </x:c>
      <x:c r="C178" s="22" t="str">
        <x:v>Noviembre</x:v>
      </x:c>
      <x:c r="D178" s="22" t="str">
        <x:v>R04</x:v>
      </x:c>
      <x:c r="E178" s="22" t="str">
        <x:v>Tasa de accidentalidad</x:v>
      </x:c>
      <x:c r="F178" s="22" t="str">
        <x:v>Resultado</x:v>
      </x:c>
      <x:c r="G178" s="22" t="str">
        <x:v>Mensual</x:v>
      </x:c>
      <x:c r="H178" s="40" t="n">
        <x:v>0.6</x:v>
      </x:c>
      <x:c r="I178" s="22" t="str">
        <x:v>Menor es mejor</x:v>
      </x:c>
      <x:c r="J178" s="40" t="n">
        <x:v>1.14</x:v>
      </x:c>
      <x:c r="K178" s="40" t="n">
        <x:v>236</x:v>
      </x:c>
      <x:c r="L178" s="40" t="n">
        <x:v>100</x:v>
      </x:c>
      <x:c r="M178" s="40" t="n">
        <x:f>IF(OR(J178="",K178="",K178=0),"",J178/K178*L178)</x:f>
        <x:v>0.48305084745762705</x:v>
      </x:c>
      <x:c r="N178" s="22" t="str">
        <x:f>IF(M178="","",IF(I178="Mayor es mejor",IF(M178&gt;=H178,"En meta",IF(M178&gt;=H178*0.9,"Alerta","Crítico")),IF(M178&lt;=H178,"En meta",IF(M178&lt;=H178*1.1,"Alerta","Crítico"))))</x:f>
        <x:v>En meta</x:v>
      </x:c>
      <x:c r="O178" s="22" t="str">
        <x:v>%</x:v>
      </x:c>
      <x:c r="P178" s="22" t="str">
        <x:v>Líder SG-SST</x:v>
      </x:c>
      <x:c r="Q178" s="22" t="str">
        <x:v>Matriz de accidentalidad / nómina</x:v>
      </x:c>
      <x:c r="R178" s="22" t="str"/>
    </x:row>
    <x:row r="179">
      <x:c r="A179" s="46" t="n">
        <x:v>45991</x:v>
      </x:c>
      <x:c r="B179" s="22" t="n">
        <x:v>2025</x:v>
      </x:c>
      <x:c r="C179" s="22" t="str">
        <x:v>Noviembre</x:v>
      </x:c>
      <x:c r="D179" s="22" t="str">
        <x:v>R05</x:v>
      </x:c>
      <x:c r="E179" s="22" t="str">
        <x:v>Prevalencia de enfermedad laboral</x:v>
      </x:c>
      <x:c r="F179" s="22" t="str">
        <x:v>Resultado</x:v>
      </x:c>
      <x:c r="G179" s="22" t="str">
        <x:v>Mensual</x:v>
      </x:c>
      <x:c r="H179" s="40" t="n">
        <x:v>0.3</x:v>
      </x:c>
      <x:c r="I179" s="22" t="str">
        <x:v>Menor es mejor</x:v>
      </x:c>
      <x:c r="J179" s="40" t="n">
        <x:v>3.53</x:v>
      </x:c>
      <x:c r="K179" s="40" t="n">
        <x:v>236</x:v>
      </x:c>
      <x:c r="L179" s="40" t="n">
        <x:v>100</x:v>
      </x:c>
      <x:c r="M179" s="40" t="n">
        <x:f>IF(OR(J179="",K179="",K179=0),"",J179/K179*L179)</x:f>
        <x:v>1.4957627118644066</x:v>
      </x:c>
      <x:c r="N179" s="22" t="str">
        <x:f>IF(M179="","",IF(I179="Mayor es mejor",IF(M179&gt;=H179,"En meta",IF(M179&gt;=H179*0.9,"Alerta","Crítico")),IF(M179&lt;=H179,"En meta",IF(M179&lt;=H179*1.1,"Alerta","Crítico"))))</x:f>
        <x:v>Crítico</x:v>
      </x:c>
      <x:c r="O179" s="22" t="str">
        <x:v>%</x:v>
      </x:c>
      <x:c r="P179" s="22" t="str">
        <x:v>Líder SG-SST / Medicina laboral</x:v>
      </x:c>
      <x:c r="Q179" s="22" t="str">
        <x:v>Matriz de enfermedad laboral / nómina</x:v>
      </x:c>
      <x:c r="R179" s="22" t="str"/>
    </x:row>
    <x:row r="180">
      <x:c r="A180" s="46" t="n">
        <x:v>45991</x:v>
      </x:c>
      <x:c r="B180" s="22" t="n">
        <x:v>2025</x:v>
      </x:c>
      <x:c r="C180" s="22" t="str">
        <x:v>Noviembre</x:v>
      </x:c>
      <x:c r="D180" s="22" t="str">
        <x:v>R06</x:v>
      </x:c>
      <x:c r="E180" s="22" t="str">
        <x:v>% cumplimiento de estándares mínimos Res. 0312 de 2019</x:v>
      </x:c>
      <x:c r="F180" s="22" t="str">
        <x:v>Resultado</x:v>
      </x:c>
      <x:c r="G180" s="22" t="str">
        <x:v>Mensual</x:v>
      </x:c>
      <x:c r="H180" s="40" t="n">
        <x:v>95</x:v>
      </x:c>
      <x:c r="I180" s="22" t="str">
        <x:v>Mayor es mejor</x:v>
      </x:c>
      <x:c r="J180" s="40" t="n">
        <x:v>100</x:v>
      </x:c>
      <x:c r="K180" s="40" t="n">
        <x:v>100</x:v>
      </x:c>
      <x:c r="L180" s="40" t="n">
        <x:v>100</x:v>
      </x:c>
      <x:c r="M180" s="40" t="n">
        <x:f>IF(OR(J180="",K180="",K180=0),"",J180/K180*L180)</x:f>
        <x:v>100</x:v>
      </x:c>
      <x:c r="N180" s="22" t="str">
        <x:f>IF(M180="","",IF(I180="Mayor es mejor",IF(M180&gt;=H180,"En meta",IF(M180&gt;=H180*0.9,"Alerta","Crítico")),IF(M180&lt;=H180,"En meta",IF(M180&lt;=H180*1.1,"Alerta","Crítico"))))</x:f>
        <x:v>En meta</x:v>
      </x:c>
      <x:c r="O180" s="22" t="str">
        <x:v>%</x:v>
      </x:c>
      <x:c r="P180" s="22" t="str">
        <x:v>Líder SG-SST / Alta Dirección</x:v>
      </x:c>
      <x:c r="Q180" s="22" t="str">
        <x:v>Autodiagnóstico Res. 0312 de 2019</x:v>
      </x:c>
      <x:c r="R180" s="22" t="str"/>
    </x:row>
    <x:row r="181">
      <x:c r="A181" s="46" t="n">
        <x:v>46022</x:v>
      </x:c>
      <x:c r="B181" s="22" t="n">
        <x:v>2025</x:v>
      </x:c>
      <x:c r="C181" s="22" t="str">
        <x:v>Diciembre</x:v>
      </x:c>
      <x:c r="D181" s="22" t="str">
        <x:v>E01</x:v>
      </x:c>
      <x:c r="E181" s="22" t="str">
        <x:v>% ejecución presupuestal del SG-SST</x:v>
      </x:c>
      <x:c r="F181" s="22" t="str">
        <x:v>Estructura</x:v>
      </x:c>
      <x:c r="G181" s="22" t="str">
        <x:v>Mensual</x:v>
      </x:c>
      <x:c r="H181" s="40" t="n">
        <x:v>95</x:v>
      </x:c>
      <x:c r="I181" s="22" t="str">
        <x:v>Mayor es mejor</x:v>
      </x:c>
      <x:c r="J181" s="40" t="n">
        <x:v>9648325</x:v>
      </x:c>
      <x:c r="K181" s="40" t="n">
        <x:v>10000000</x:v>
      </x:c>
      <x:c r="L181" s="40" t="n">
        <x:v>100</x:v>
      </x:c>
      <x:c r="M181" s="40" t="n">
        <x:f>IF(OR(J181="",K181="",K181=0),"",J181/K181*L181)</x:f>
        <x:v>96.48325</x:v>
      </x:c>
      <x:c r="N181" s="22" t="str">
        <x:f>IF(M181="","",IF(I181="Mayor es mejor",IF(M181&gt;=H181,"En meta",IF(M181&gt;=H181*0.9,"Alerta","Crítico")),IF(M181&lt;=H181,"En meta",IF(M181&lt;=H181*1.1,"Alerta","Crítico"))))</x:f>
        <x:v>En meta</x:v>
      </x:c>
      <x:c r="O181" s="22" t="str">
        <x:v>%</x:v>
      </x:c>
      <x:c r="P181" s="22" t="str">
        <x:v>Líder SG-SST / Dirección Administrativa</x:v>
      </x:c>
      <x:c r="Q181" s="22" t="str">
        <x:v>Presupuesto SST</x:v>
      </x:c>
      <x:c r="R181" s="22" t="str"/>
    </x:row>
    <x:row r="182">
      <x:c r="A182" s="46" t="n">
        <x:v>46022</x:v>
      </x:c>
      <x:c r="B182" s="22" t="n">
        <x:v>2025</x:v>
      </x:c>
      <x:c r="C182" s="22" t="str">
        <x:v>Diciembre</x:v>
      </x:c>
      <x:c r="D182" s="22" t="str">
        <x:v>E02</x:v>
      </x:c>
      <x:c r="E182" s="22" t="str">
        <x:v>% cobertura del plan de formación y capacitación SG-SST</x:v>
      </x:c>
      <x:c r="F182" s="22" t="str">
        <x:v>Estructura</x:v>
      </x:c>
      <x:c r="G182" s="22" t="str">
        <x:v>Mensual</x:v>
      </x:c>
      <x:c r="H182" s="40" t="n">
        <x:v>90</x:v>
      </x:c>
      <x:c r="I182" s="22" t="str">
        <x:v>Mayor es mejor</x:v>
      </x:c>
      <x:c r="J182" s="40" t="n">
        <x:v>17</x:v>
      </x:c>
      <x:c r="K182" s="40" t="n">
        <x:v>18</x:v>
      </x:c>
      <x:c r="L182" s="40" t="n">
        <x:v>100</x:v>
      </x:c>
      <x:c r="M182" s="40" t="n">
        <x:f>IF(OR(J182="",K182="",K182=0),"",J182/K182*L182)</x:f>
        <x:v>94.44444444444444</x:v>
      </x:c>
      <x:c r="N182" s="22" t="str">
        <x:f>IF(M182="","",IF(I182="Mayor es mejor",IF(M182&gt;=H182,"En meta",IF(M182&gt;=H182*0.9,"Alerta","Crítico")),IF(M182&lt;=H182,"En meta",IF(M182&lt;=H182*1.1,"Alerta","Crítico"))))</x:f>
        <x:v>En meta</x:v>
      </x:c>
      <x:c r="O182" s="22" t="str">
        <x:v>%</x:v>
      </x:c>
      <x:c r="P182" s="22" t="str">
        <x:v>Líder SG-SST / Talento Humano</x:v>
      </x:c>
      <x:c r="Q182" s="22" t="str">
        <x:v>Plan de formación y capacitaciones</x:v>
      </x:c>
      <x:c r="R182" s="22" t="str"/>
    </x:row>
    <x:row r="183">
      <x:c r="A183" s="46" t="n">
        <x:v>46022</x:v>
      </x:c>
      <x:c r="B183" s="22" t="n">
        <x:v>2025</x:v>
      </x:c>
      <x:c r="C183" s="22" t="str">
        <x:v>Diciembre</x:v>
      </x:c>
      <x:c r="D183" s="22" t="str">
        <x:v>E03</x:v>
      </x:c>
      <x:c r="E183" s="22" t="str">
        <x:v>% trabajadores con exámenes médicos ocupacionales vigentes</x:v>
      </x:c>
      <x:c r="F183" s="22" t="str">
        <x:v>Estructura</x:v>
      </x:c>
      <x:c r="G183" s="22" t="str">
        <x:v>Mensual</x:v>
      </x:c>
      <x:c r="H183" s="40" t="n">
        <x:v>95</x:v>
      </x:c>
      <x:c r="I183" s="22" t="str">
        <x:v>Mayor es mejor</x:v>
      </x:c>
      <x:c r="J183" s="40" t="n">
        <x:v>233</x:v>
      </x:c>
      <x:c r="K183" s="40" t="n">
        <x:v>240</x:v>
      </x:c>
      <x:c r="L183" s="40" t="n">
        <x:v>100</x:v>
      </x:c>
      <x:c r="M183" s="40" t="n">
        <x:f>IF(OR(J183="",K183="",K183=0),"",J183/K183*L183)</x:f>
        <x:v>97.08333333333333</x:v>
      </x:c>
      <x:c r="N183" s="22" t="str">
        <x:f>IF(M183="","",IF(I183="Mayor es mejor",IF(M183&gt;=H183,"En meta",IF(M183&gt;=H183*0.9,"Alerta","Crítico")),IF(M183&lt;=H183,"En meta",IF(M183&lt;=H183*1.1,"Alerta","Crítico"))))</x:f>
        <x:v>En meta</x:v>
      </x:c>
      <x:c r="O183" s="22" t="str">
        <x:v>%</x:v>
      </x:c>
      <x:c r="P183" s="22" t="str">
        <x:v>Líder SG-SST / Talento Humano</x:v>
      </x:c>
      <x:c r="Q183" s="22" t="str">
        <x:v>Matriz de seguimiento EMO</x:v>
      </x:c>
      <x:c r="R183" s="22" t="str"/>
    </x:row>
    <x:row r="184">
      <x:c r="A184" s="46" t="n">
        <x:v>46022</x:v>
      </x:c>
      <x:c r="B184" s="22" t="n">
        <x:v>2025</x:v>
      </x:c>
      <x:c r="C184" s="22" t="str">
        <x:v>Diciembre</x:v>
      </x:c>
      <x:c r="D184" s="22" t="str">
        <x:v>E04</x:v>
      </x:c>
      <x:c r="E184" s="22" t="str">
        <x:v>% cumplimiento de requisitos legales aplicables en SST</x:v>
      </x:c>
      <x:c r="F184" s="22" t="str">
        <x:v>Estructura</x:v>
      </x:c>
      <x:c r="G184" s="22" t="str">
        <x:v>Mensual</x:v>
      </x:c>
      <x:c r="H184" s="40" t="n">
        <x:v>95</x:v>
      </x:c>
      <x:c r="I184" s="22" t="str">
        <x:v>Mayor es mejor</x:v>
      </x:c>
      <x:c r="J184" s="40" t="n">
        <x:v>58</x:v>
      </x:c>
      <x:c r="K184" s="40" t="n">
        <x:v>60</x:v>
      </x:c>
      <x:c r="L184" s="40" t="n">
        <x:v>100</x:v>
      </x:c>
      <x:c r="M184" s="40" t="n">
        <x:f>IF(OR(J184="",K184="",K184=0),"",J184/K184*L184)</x:f>
        <x:v>96.66666666666667</x:v>
      </x:c>
      <x:c r="N184" s="22" t="str">
        <x:f>IF(M184="","",IF(I184="Mayor es mejor",IF(M184&gt;=H184,"En meta",IF(M184&gt;=H184*0.9,"Alerta","Crítico")),IF(M184&lt;=H184,"En meta",IF(M184&lt;=H184*1.1,"Alerta","Crítico"))))</x:f>
        <x:v>En meta</x:v>
      </x:c>
      <x:c r="O184" s="22" t="str">
        <x:v>%</x:v>
      </x:c>
      <x:c r="P184" s="22" t="str">
        <x:v>Líder SG-SST / Jurídica</x:v>
      </x:c>
      <x:c r="Q184" s="22" t="str">
        <x:v>Matriz legal SGRL</x:v>
      </x:c>
      <x:c r="R184" s="22" t="str"/>
    </x:row>
    <x:row r="185">
      <x:c r="A185" s="46" t="n">
        <x:v>46022</x:v>
      </x:c>
      <x:c r="B185" s="22" t="n">
        <x:v>2025</x:v>
      </x:c>
      <x:c r="C185" s="22" t="str">
        <x:v>Diciembre</x:v>
      </x:c>
      <x:c r="D185" s="22" t="str">
        <x:v>E05</x:v>
      </x:c>
      <x:c r="E185" s="22" t="str">
        <x:v>% proveedores y contratistas aprobados en SST</x:v>
      </x:c>
      <x:c r="F185" s="22" t="str">
        <x:v>Estructura</x:v>
      </x:c>
      <x:c r="G185" s="22" t="str">
        <x:v>Mensual</x:v>
      </x:c>
      <x:c r="H185" s="40" t="n">
        <x:v>90</x:v>
      </x:c>
      <x:c r="I185" s="22" t="str">
        <x:v>Mayor es mejor</x:v>
      </x:c>
      <x:c r="J185" s="40" t="n">
        <x:v>19</x:v>
      </x:c>
      <x:c r="K185" s="40" t="n">
        <x:v>20</x:v>
      </x:c>
      <x:c r="L185" s="40" t="n">
        <x:v>100</x:v>
      </x:c>
      <x:c r="M185" s="40" t="n">
        <x:f>IF(OR(J185="",K185="",K185=0),"",J185/K185*L185)</x:f>
        <x:v>95</x:v>
      </x:c>
      <x:c r="N185" s="22" t="str">
        <x:f>IF(M185="","",IF(I185="Mayor es mejor",IF(M185&gt;=H185,"En meta",IF(M185&gt;=H185*0.9,"Alerta","Crítico")),IF(M185&lt;=H185,"En meta",IF(M185&lt;=H185*1.1,"Alerta","Crítico"))))</x:f>
        <x:v>En meta</x:v>
      </x:c>
      <x:c r="O185" s="22" t="str">
        <x:v>%</x:v>
      </x:c>
      <x:c r="P185" s="22" t="str">
        <x:v>Compras / Líder SG-SST</x:v>
      </x:c>
      <x:c r="Q185" s="22" t="str">
        <x:v>Gestión de proveedores y contratistas</x:v>
      </x:c>
      <x:c r="R185" s="22" t="str"/>
    </x:row>
    <x:row r="186">
      <x:c r="A186" s="46" t="n">
        <x:v>46022</x:v>
      </x:c>
      <x:c r="B186" s="22" t="n">
        <x:v>2025</x:v>
      </x:c>
      <x:c r="C186" s="22" t="str">
        <x:v>Diciembre</x:v>
      </x:c>
      <x:c r="D186" s="22" t="str">
        <x:v>P01</x:v>
      </x:c>
      <x:c r="E186" s="22" t="str">
        <x:v>% ejecución del plan anual de trabajo SG-SST</x:v>
      </x:c>
      <x:c r="F186" s="22" t="str">
        <x:v>Proceso</x:v>
      </x:c>
      <x:c r="G186" s="22" t="str">
        <x:v>Mensual</x:v>
      </x:c>
      <x:c r="H186" s="40" t="n">
        <x:v>90</x:v>
      </x:c>
      <x:c r="I186" s="22" t="str">
        <x:v>Mayor es mejor</x:v>
      </x:c>
      <x:c r="J186" s="40" t="n">
        <x:v>9</x:v>
      </x:c>
      <x:c r="K186" s="40" t="n">
        <x:v>10</x:v>
      </x:c>
      <x:c r="L186" s="40" t="n">
        <x:v>100</x:v>
      </x:c>
      <x:c r="M186" s="40" t="n">
        <x:f>IF(OR(J186="",K186="",K186=0),"",J186/K186*L186)</x:f>
        <x:v>90</x:v>
      </x:c>
      <x:c r="N186" s="22" t="str">
        <x:f>IF(M186="","",IF(I186="Mayor es mejor",IF(M186&gt;=H186,"En meta",IF(M186&gt;=H186*0.9,"Alerta","Crítico")),IF(M186&lt;=H186,"En meta",IF(M186&lt;=H186*1.1,"Alerta","Crítico"))))</x:f>
        <x:v>En meta</x:v>
      </x:c>
      <x:c r="O186" s="22" t="str">
        <x:v>%</x:v>
      </x:c>
      <x:c r="P186" s="22" t="str">
        <x:v>Líder SG-SST</x:v>
      </x:c>
      <x:c r="Q186" s="22" t="str">
        <x:v>Plan anual de trabajo PHVA</x:v>
      </x:c>
      <x:c r="R186" s="22" t="str"/>
    </x:row>
    <x:row r="187">
      <x:c r="A187" s="46" t="n">
        <x:v>46022</x:v>
      </x:c>
      <x:c r="B187" s="22" t="n">
        <x:v>2025</x:v>
      </x:c>
      <x:c r="C187" s="22" t="str">
        <x:v>Diciembre</x:v>
      </x:c>
      <x:c r="D187" s="22" t="str">
        <x:v>P02</x:v>
      </x:c>
      <x:c r="E187" s="22" t="str">
        <x:v>% investigaciones de accidentes realizadas oportunamente</x:v>
      </x:c>
      <x:c r="F187" s="22" t="str">
        <x:v>Proceso</x:v>
      </x:c>
      <x:c r="G187" s="22" t="str">
        <x:v>Mensual</x:v>
      </x:c>
      <x:c r="H187" s="40" t="n">
        <x:v>95</x:v>
      </x:c>
      <x:c r="I187" s="22" t="str">
        <x:v>Mayor es mejor</x:v>
      </x:c>
      <x:c r="J187" s="40" t="n">
        <x:v>1</x:v>
      </x:c>
      <x:c r="K187" s="40" t="n">
        <x:v>1</x:v>
      </x:c>
      <x:c r="L187" s="40" t="n">
        <x:v>100</x:v>
      </x:c>
      <x:c r="M187" s="40" t="n">
        <x:f>IF(OR(J187="",K187="",K187=0),"",J187/K187*L187)</x:f>
        <x:v>100</x:v>
      </x:c>
      <x:c r="N187" s="22" t="str">
        <x:f>IF(M187="","",IF(I187="Mayor es mejor",IF(M187&gt;=H187,"En meta",IF(M187&gt;=H187*0.9,"Alerta","Crítico")),IF(M187&lt;=H187,"En meta",IF(M187&lt;=H187*1.1,"Alerta","Crítico"))))</x:f>
        <x:v>En meta</x:v>
      </x:c>
      <x:c r="O187" s="22" t="str">
        <x:v>%</x:v>
      </x:c>
      <x:c r="P187" s="22" t="str">
        <x:v>Líder SG-SST / COPASST</x:v>
      </x:c>
      <x:c r="Q187" s="22" t="str">
        <x:v>Matriz de accidentalidad</x:v>
      </x:c>
      <x:c r="R187" s="22" t="str"/>
    </x:row>
    <x:row r="188">
      <x:c r="A188" s="46" t="n">
        <x:v>46022</x:v>
      </x:c>
      <x:c r="B188" s="22" t="n">
        <x:v>2025</x:v>
      </x:c>
      <x:c r="C188" s="22" t="str">
        <x:v>Diciembre</x:v>
      </x:c>
      <x:c r="D188" s="22" t="str">
        <x:v>P03</x:v>
      </x:c>
      <x:c r="E188" s="22" t="str">
        <x:v>% cierre oportuno de acciones correctivas, preventivas y de mejora</x:v>
      </x:c>
      <x:c r="F188" s="22" t="str">
        <x:v>Proceso</x:v>
      </x:c>
      <x:c r="G188" s="22" t="str">
        <x:v>Mensual</x:v>
      </x:c>
      <x:c r="H188" s="40" t="n">
        <x:v>90</x:v>
      </x:c>
      <x:c r="I188" s="22" t="str">
        <x:v>Mayor es mejor</x:v>
      </x:c>
      <x:c r="J188" s="40" t="n">
        <x:v>11</x:v>
      </x:c>
      <x:c r="K188" s="40" t="n">
        <x:v>12</x:v>
      </x:c>
      <x:c r="L188" s="40" t="n">
        <x:v>100</x:v>
      </x:c>
      <x:c r="M188" s="40" t="n">
        <x:f>IF(OR(J188="",K188="",K188=0),"",J188/K188*L188)</x:f>
        <x:v>91.66666666666666</x:v>
      </x:c>
      <x:c r="N188" s="22" t="str">
        <x:f>IF(M188="","",IF(I188="Mayor es mejor",IF(M188&gt;=H188,"En meta",IF(M188&gt;=H188*0.9,"Alerta","Crítico")),IF(M188&lt;=H188,"En meta",IF(M188&lt;=H188*1.1,"Alerta","Crítico"))))</x:f>
        <x:v>En meta</x:v>
      </x:c>
      <x:c r="O188" s="22" t="str">
        <x:v>%</x:v>
      </x:c>
      <x:c r="P188" s="22" t="str">
        <x:v>Líder SG-SST / Responsables de proceso</x:v>
      </x:c>
      <x:c r="Q188" s="22" t="str">
        <x:v>Matriz APCM</x:v>
      </x:c>
      <x:c r="R188" s="22" t="str"/>
    </x:row>
    <x:row r="189">
      <x:c r="A189" s="46" t="n">
        <x:v>46022</x:v>
      </x:c>
      <x:c r="B189" s="22" t="n">
        <x:v>2025</x:v>
      </x:c>
      <x:c r="C189" s="22" t="str">
        <x:v>Diciembre</x:v>
      </x:c>
      <x:c r="D189" s="22" t="str">
        <x:v>P04</x:v>
      </x:c>
      <x:c r="E189" s="22" t="str">
        <x:v>% inspecciones de seguridad ejecutadas</x:v>
      </x:c>
      <x:c r="F189" s="22" t="str">
        <x:v>Proceso</x:v>
      </x:c>
      <x:c r="G189" s="22" t="str">
        <x:v>Mensual</x:v>
      </x:c>
      <x:c r="H189" s="40" t="n">
        <x:v>90</x:v>
      </x:c>
      <x:c r="I189" s="22" t="str">
        <x:v>Mayor es mejor</x:v>
      </x:c>
      <x:c r="J189" s="40" t="n">
        <x:v>7</x:v>
      </x:c>
      <x:c r="K189" s="40" t="n">
        <x:v>8</x:v>
      </x:c>
      <x:c r="L189" s="40" t="n">
        <x:v>100</x:v>
      </x:c>
      <x:c r="M189" s="40" t="n">
        <x:f>IF(OR(J189="",K189="",K189=0),"",J189/K189*L189)</x:f>
        <x:v>87.5</x:v>
      </x:c>
      <x:c r="N189" s="22" t="str">
        <x:f>IF(M189="","",IF(I189="Mayor es mejor",IF(M189&gt;=H189,"En meta",IF(M189&gt;=H189*0.9,"Alerta","Crítico")),IF(M189&lt;=H189,"En meta",IF(M189&lt;=H189*1.1,"Alerta","Crítico"))))</x:f>
        <x:v>Alerta</x:v>
      </x:c>
      <x:c r="O189" s="22" t="str">
        <x:v>%</x:v>
      </x:c>
      <x:c r="P189" s="22" t="str">
        <x:v>Líder SG-SST / Supervisores</x:v>
      </x:c>
      <x:c r="Q189" s="22" t="str">
        <x:v>Programa de inspecciones</x:v>
      </x:c>
      <x:c r="R189" s="22" t="str"/>
    </x:row>
    <x:row r="190">
      <x:c r="A190" s="46" t="n">
        <x:v>46022</x:v>
      </x:c>
      <x:c r="B190" s="22" t="n">
        <x:v>2025</x:v>
      </x:c>
      <x:c r="C190" s="22" t="str">
        <x:v>Diciembre</x:v>
      </x:c>
      <x:c r="D190" s="22" t="str">
        <x:v>P05</x:v>
      </x:c>
      <x:c r="E190" s="22" t="str">
        <x:v>% mantenimientos preventivos ejecutados</x:v>
      </x:c>
      <x:c r="F190" s="22" t="str">
        <x:v>Proceso</x:v>
      </x:c>
      <x:c r="G190" s="22" t="str">
        <x:v>Mensual</x:v>
      </x:c>
      <x:c r="H190" s="40" t="n">
        <x:v>90</x:v>
      </x:c>
      <x:c r="I190" s="22" t="str">
        <x:v>Mayor es mejor</x:v>
      </x:c>
      <x:c r="J190" s="40" t="n">
        <x:v>11</x:v>
      </x:c>
      <x:c r="K190" s="40" t="n">
        <x:v>12</x:v>
      </x:c>
      <x:c r="L190" s="40" t="n">
        <x:v>100</x:v>
      </x:c>
      <x:c r="M190" s="40" t="n">
        <x:f>IF(OR(J190="",K190="",K190=0),"",J190/K190*L190)</x:f>
        <x:v>91.66666666666666</x:v>
      </x:c>
      <x:c r="N190" s="22" t="str">
        <x:f>IF(M190="","",IF(I190="Mayor es mejor",IF(M190&gt;=H190,"En meta",IF(M190&gt;=H190*0.9,"Alerta","Crítico")),IF(M190&lt;=H190,"En meta",IF(M190&lt;=H190*1.1,"Alerta","Crítico"))))</x:f>
        <x:v>En meta</x:v>
      </x:c>
      <x:c r="O190" s="22" t="str">
        <x:v>%</x:v>
      </x:c>
      <x:c r="P190" s="22" t="str">
        <x:v>Mantenimiento / Líder SG-SST</x:v>
      </x:c>
      <x:c r="Q190" s="22" t="str">
        <x:v>Programa de mantenimiento preventivo</x:v>
      </x:c>
      <x:c r="R190" s="22" t="str"/>
    </x:row>
    <x:row r="191">
      <x:c r="A191" s="46" t="n">
        <x:v>46022</x:v>
      </x:c>
      <x:c r="B191" s="22" t="n">
        <x:v>2025</x:v>
      </x:c>
      <x:c r="C191" s="22" t="str">
        <x:v>Diciembre</x:v>
      </x:c>
      <x:c r="D191" s="22" t="str">
        <x:v>R01</x:v>
      </x:c>
      <x:c r="E191" s="22" t="str">
        <x:v>Índice de frecuencia de accidentalidad (IF)</x:v>
      </x:c>
      <x:c r="F191" s="22" t="str">
        <x:v>Resultado</x:v>
      </x:c>
      <x:c r="G191" s="22" t="str">
        <x:v>Mensual</x:v>
      </x:c>
      <x:c r="H191" s="40" t="n">
        <x:v>3.5</x:v>
      </x:c>
      <x:c r="I191" s="22" t="str">
        <x:v>Menor es mejor</x:v>
      </x:c>
      <x:c r="J191" s="40" t="n">
        <x:v>1</x:v>
      </x:c>
      <x:c r="K191" s="40" t="n">
        <x:v>57491</x:v>
      </x:c>
      <x:c r="L191" s="40" t="n">
        <x:v>200000</x:v>
      </x:c>
      <x:c r="M191" s="40" t="n">
        <x:f>IF(OR(J191="",K191="",K191=0),"",J191/K191*L191)</x:f>
        <x:v>3.478805378233115</x:v>
      </x:c>
      <x:c r="N191" s="22" t="str">
        <x:f>IF(M191="","",IF(I191="Mayor es mejor",IF(M191&gt;=H191,"En meta",IF(M191&gt;=H191*0.9,"Alerta","Crítico")),IF(M191&lt;=H191,"En meta",IF(M191&lt;=H191*1.1,"Alerta","Crítico"))))</x:f>
        <x:v>En meta</x:v>
      </x:c>
      <x:c r="O191" s="22" t="str">
        <x:v>Índice</x:v>
      </x:c>
      <x:c r="P191" s="22" t="str">
        <x:v>Líder SG-SST</x:v>
      </x:c>
      <x:c r="Q191" s="22" t="str">
        <x:v>Matriz de accidentalidad / nómina</x:v>
      </x:c>
      <x:c r="R191" s="22" t="str"/>
    </x:row>
    <x:row r="192">
      <x:c r="A192" s="46" t="n">
        <x:v>46022</x:v>
      </x:c>
      <x:c r="B192" s="22" t="n">
        <x:v>2025</x:v>
      </x:c>
      <x:c r="C192" s="22" t="str">
        <x:v>Diciembre</x:v>
      </x:c>
      <x:c r="D192" s="22" t="str">
        <x:v>R02</x:v>
      </x:c>
      <x:c r="E192" s="22" t="str">
        <x:v>Índice de severidad de accidentalidad (IS)</x:v>
      </x:c>
      <x:c r="F192" s="22" t="str">
        <x:v>Resultado</x:v>
      </x:c>
      <x:c r="G192" s="22" t="str">
        <x:v>Mensual</x:v>
      </x:c>
      <x:c r="H192" s="40" t="n">
        <x:v>80</x:v>
      </x:c>
      <x:c r="I192" s="22" t="str">
        <x:v>Menor es mejor</x:v>
      </x:c>
      <x:c r="J192" s="40" t="n">
        <x:v>15</x:v>
      </x:c>
      <x:c r="K192" s="40" t="n">
        <x:v>57491</x:v>
      </x:c>
      <x:c r="L192" s="40" t="n">
        <x:v>200000</x:v>
      </x:c>
      <x:c r="M192" s="40" t="n">
        <x:f>IF(OR(J192="",K192="",K192=0),"",J192/K192*L192)</x:f>
        <x:v>52.18208067349672</x:v>
      </x:c>
      <x:c r="N192" s="22" t="str">
        <x:f>IF(M192="","",IF(I192="Mayor es mejor",IF(M192&gt;=H192,"En meta",IF(M192&gt;=H192*0.9,"Alerta","Crítico")),IF(M192&lt;=H192,"En meta",IF(M192&lt;=H192*1.1,"Alerta","Crítico"))))</x:f>
        <x:v>En meta</x:v>
      </x:c>
      <x:c r="O192" s="22" t="str">
        <x:v>Índice</x:v>
      </x:c>
      <x:c r="P192" s="22" t="str">
        <x:v>Líder SG-SST</x:v>
      </x:c>
      <x:c r="Q192" s="22" t="str">
        <x:v>Matriz de accidentalidad / nómina</x:v>
      </x:c>
      <x:c r="R192" s="22" t="str"/>
    </x:row>
    <x:row r="193">
      <x:c r="A193" s="46" t="n">
        <x:v>46022</x:v>
      </x:c>
      <x:c r="B193" s="22" t="n">
        <x:v>2025</x:v>
      </x:c>
      <x:c r="C193" s="22" t="str">
        <x:v>Diciembre</x:v>
      </x:c>
      <x:c r="D193" s="22" t="str">
        <x:v>R03</x:v>
      </x:c>
      <x:c r="E193" s="22" t="str">
        <x:v>Índice de lesión incapacitante (ILI)</x:v>
      </x:c>
      <x:c r="F193" s="22" t="str">
        <x:v>Resultado</x:v>
      </x:c>
      <x:c r="G193" s="22" t="str">
        <x:v>Mensual</x:v>
      </x:c>
      <x:c r="H193" s="40" t="n">
        <x:v>0.25</x:v>
      </x:c>
      <x:c r="I193" s="22" t="str">
        <x:v>Menor es mejor</x:v>
      </x:c>
      <x:c r="J193" s="40" t="n">
        <x:v>181.5313</x:v>
      </x:c>
      <x:c r="K193" s="40" t="n">
        <x:v>1000</x:v>
      </x:c>
      <x:c r="L193" s="40" t="n">
        <x:v>1</x:v>
      </x:c>
      <x:c r="M193" s="40" t="n">
        <x:f>IF(OR(J193="",K193="",K193=0),"",J193/K193*L193)</x:f>
        <x:v>0.18153129999999998</x:v>
      </x:c>
      <x:c r="N193" s="22" t="str">
        <x:f>IF(M193="","",IF(I193="Mayor es mejor",IF(M193&gt;=H193,"En meta",IF(M193&gt;=H193*0.9,"Alerta","Crítico")),IF(M193&lt;=H193,"En meta",IF(M193&lt;=H193*1.1,"Alerta","Crítico"))))</x:f>
        <x:v>En meta</x:v>
      </x:c>
      <x:c r="O193" s="22" t="str">
        <x:v>Índice</x:v>
      </x:c>
      <x:c r="P193" s="22" t="str">
        <x:v>Líder SG-SST</x:v>
      </x:c>
      <x:c r="Q193" s="22" t="str">
        <x:v>Indicadores derivados de accidentalidad</x:v>
      </x:c>
      <x:c r="R193" s="22" t="str">
        <x:v>ILI calculado sobre IF e IS del periodo.</x:v>
      </x:c>
    </x:row>
    <x:row r="194">
      <x:c r="A194" s="46" t="n">
        <x:v>46022</x:v>
      </x:c>
      <x:c r="B194" s="22" t="n">
        <x:v>2025</x:v>
      </x:c>
      <x:c r="C194" s="22" t="str">
        <x:v>Diciembre</x:v>
      </x:c>
      <x:c r="D194" s="22" t="str">
        <x:v>R04</x:v>
      </x:c>
      <x:c r="E194" s="22" t="str">
        <x:v>Tasa de accidentalidad</x:v>
      </x:c>
      <x:c r="F194" s="22" t="str">
        <x:v>Resultado</x:v>
      </x:c>
      <x:c r="G194" s="22" t="str">
        <x:v>Mensual</x:v>
      </x:c>
      <x:c r="H194" s="40" t="n">
        <x:v>0.6</x:v>
      </x:c>
      <x:c r="I194" s="22" t="str">
        <x:v>Menor es mejor</x:v>
      </x:c>
      <x:c r="J194" s="40" t="n">
        <x:v>3.08</x:v>
      </x:c>
      <x:c r="K194" s="40" t="n">
        <x:v>240</x:v>
      </x:c>
      <x:c r="L194" s="40" t="n">
        <x:v>100</x:v>
      </x:c>
      <x:c r="M194" s="40" t="n">
        <x:f>IF(OR(J194="",K194="",K194=0),"",J194/K194*L194)</x:f>
        <x:v>1.2833333333333334</x:v>
      </x:c>
      <x:c r="N194" s="22" t="str">
        <x:f>IF(M194="","",IF(I194="Mayor es mejor",IF(M194&gt;=H194,"En meta",IF(M194&gt;=H194*0.9,"Alerta","Crítico")),IF(M194&lt;=H194,"En meta",IF(M194&lt;=H194*1.1,"Alerta","Crítico"))))</x:f>
        <x:v>Crítico</x:v>
      </x:c>
      <x:c r="O194" s="22" t="str">
        <x:v>%</x:v>
      </x:c>
      <x:c r="P194" s="22" t="str">
        <x:v>Líder SG-SST</x:v>
      </x:c>
      <x:c r="Q194" s="22" t="str">
        <x:v>Matriz de accidentalidad / nómina</x:v>
      </x:c>
      <x:c r="R194" s="22" t="str"/>
    </x:row>
    <x:row r="195">
      <x:c r="A195" s="46" t="n">
        <x:v>46022</x:v>
      </x:c>
      <x:c r="B195" s="22" t="n">
        <x:v>2025</x:v>
      </x:c>
      <x:c r="C195" s="22" t="str">
        <x:v>Diciembre</x:v>
      </x:c>
      <x:c r="D195" s="22" t="str">
        <x:v>R05</x:v>
      </x:c>
      <x:c r="E195" s="22" t="str">
        <x:v>Prevalencia de enfermedad laboral</x:v>
      </x:c>
      <x:c r="F195" s="22" t="str">
        <x:v>Resultado</x:v>
      </x:c>
      <x:c r="G195" s="22" t="str">
        <x:v>Mensual</x:v>
      </x:c>
      <x:c r="H195" s="40" t="n">
        <x:v>0.3</x:v>
      </x:c>
      <x:c r="I195" s="22" t="str">
        <x:v>Menor es mejor</x:v>
      </x:c>
      <x:c r="J195" s="40" t="n">
        <x:v>2.1</x:v>
      </x:c>
      <x:c r="K195" s="40" t="n">
        <x:v>240</x:v>
      </x:c>
      <x:c r="L195" s="40" t="n">
        <x:v>100</x:v>
      </x:c>
      <x:c r="M195" s="40" t="n">
        <x:f>IF(OR(J195="",K195="",K195=0),"",J195/K195*L195)</x:f>
        <x:v>0.8750000000000001</x:v>
      </x:c>
      <x:c r="N195" s="22" t="str">
        <x:f>IF(M195="","",IF(I195="Mayor es mejor",IF(M195&gt;=H195,"En meta",IF(M195&gt;=H195*0.9,"Alerta","Crítico")),IF(M195&lt;=H195,"En meta",IF(M195&lt;=H195*1.1,"Alerta","Crítico"))))</x:f>
        <x:v>Crítico</x:v>
      </x:c>
      <x:c r="O195" s="22" t="str">
        <x:v>%</x:v>
      </x:c>
      <x:c r="P195" s="22" t="str">
        <x:v>Líder SG-SST / Medicina laboral</x:v>
      </x:c>
      <x:c r="Q195" s="22" t="str">
        <x:v>Matriz de enfermedad laboral / nómina</x:v>
      </x:c>
      <x:c r="R195" s="22" t="str"/>
    </x:row>
    <x:row r="196">
      <x:c r="A196" s="46" t="n">
        <x:v>46022</x:v>
      </x:c>
      <x:c r="B196" s="22" t="n">
        <x:v>2025</x:v>
      </x:c>
      <x:c r="C196" s="22" t="str">
        <x:v>Diciembre</x:v>
      </x:c>
      <x:c r="D196" s="22" t="str">
        <x:v>R06</x:v>
      </x:c>
      <x:c r="E196" s="22" t="str">
        <x:v>% cumplimiento de estándares mínimos Res. 0312 de 2019</x:v>
      </x:c>
      <x:c r="F196" s="22" t="str">
        <x:v>Resultado</x:v>
      </x:c>
      <x:c r="G196" s="22" t="str">
        <x:v>Mensual</x:v>
      </x:c>
      <x:c r="H196" s="40" t="n">
        <x:v>95</x:v>
      </x:c>
      <x:c r="I196" s="22" t="str">
        <x:v>Mayor es mejor</x:v>
      </x:c>
      <x:c r="J196" s="40" t="n">
        <x:v>99</x:v>
      </x:c>
      <x:c r="K196" s="40" t="n">
        <x:v>100</x:v>
      </x:c>
      <x:c r="L196" s="40" t="n">
        <x:v>100</x:v>
      </x:c>
      <x:c r="M196" s="40" t="n">
        <x:f>IF(OR(J196="",K196="",K196=0),"",J196/K196*L196)</x:f>
        <x:v>99</x:v>
      </x:c>
      <x:c r="N196" s="22" t="str">
        <x:f>IF(M196="","",IF(I196="Mayor es mejor",IF(M196&gt;=H196,"En meta",IF(M196&gt;=H196*0.9,"Alerta","Crítico")),IF(M196&lt;=H196,"En meta",IF(M196&lt;=H196*1.1,"Alerta","Crítico"))))</x:f>
        <x:v>En meta</x:v>
      </x:c>
      <x:c r="O196" s="22" t="str">
        <x:v>%</x:v>
      </x:c>
      <x:c r="P196" s="22" t="str">
        <x:v>Líder SG-SST / Alta Dirección</x:v>
      </x:c>
      <x:c r="Q196" s="22" t="str">
        <x:v>Autodiagnóstico Res. 0312 de 2019</x:v>
      </x:c>
      <x:c r="R196" s="22" t="str"/>
    </x:row>
  </x:sheetData>
  <x:mergeCells>
    <x:mergeCell ref="A1:R1"/>
    <x:mergeCell ref="A2:R2"/>
  </x:mergeCells>
  <x:conditionalFormatting sqref="N5:N196">
    <x:cfRule type="expression" dxfId="9" priority="1">
      <x:formula>N5="En meta"</x:formula>
    </x:cfRule>
    <x:cfRule type="expression" dxfId="10" priority="2">
      <x:formula>N5="Alerta"</x:formula>
    </x:cfRule>
    <x:cfRule type="expression" dxfId="11" priority="3">
      <x:formula>N5="Crítico"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Medición de indicadores SG-SST 2026</x:v>
      </x:c>
    </x:row>
    <x:row r="2">
      <x:c r="A2" s="9" t="str">
        <x:v>Los resultados se calculan automáticamente a partir de Base_1, Base_2 y Factor. 2026 con corte a mayo.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46053</x:v>
      </x:c>
      <x:c r="B5" s="22" t="n">
        <x:v>2026</x:v>
      </x:c>
      <x:c r="C5" s="22" t="str">
        <x:v>Enero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n">
        <x:v>4336592</x:v>
      </x:c>
      <x:c r="K5" s="40" t="n">
        <x:v>4500000</x:v>
      </x:c>
      <x:c r="L5" s="40" t="n">
        <x:v>100</x:v>
      </x:c>
      <x:c r="M5" s="40" t="n">
        <x:f>IF(OR(J5="",K5="",K5=0),"",J5/K5*L5)</x:f>
        <x:v>96.36871111111111</x:v>
      </x:c>
      <x:c r="N5" s="22" t="str">
        <x:f>IF(M5="","",IF(I5="Mayor es mejor",IF(M5&gt;=H5,"En meta",IF(M5&gt;=H5*0.9,"Alerta","Crítico")),IF(M5&lt;=H5,"En meta",IF(M5&lt;=H5*1.1,"Alerta","Crítico"))))</x:f>
        <x:v>En meta</x:v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/>
    </x:row>
    <x:row r="6">
      <x:c r="A6" s="46" t="n">
        <x:v>46053</x:v>
      </x:c>
      <x:c r="B6" s="22" t="n">
        <x:v>2026</x:v>
      </x:c>
      <x:c r="C6" s="22" t="str">
        <x:v>Enero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n">
        <x:v>19</x:v>
      </x:c>
      <x:c r="K6" s="40" t="n">
        <x:v>20</x:v>
      </x:c>
      <x:c r="L6" s="40" t="n">
        <x:v>100</x:v>
      </x:c>
      <x:c r="M6" s="40" t="n">
        <x:f>IF(OR(J6="",K6="",K6=0),"",J6/K6*L6)</x:f>
        <x:v>95</x:v>
      </x:c>
      <x:c r="N6" s="22" t="str">
        <x:f>IF(M6="","",IF(I6="Mayor es mejor",IF(M6&gt;=H6,"En meta",IF(M6&gt;=H6*0.9,"Alerta","Crítico")),IF(M6&lt;=H6,"En meta",IF(M6&lt;=H6*1.1,"Alerta","Crítico"))))</x:f>
        <x:v>En meta</x:v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/>
    </x:row>
    <x:row r="7">
      <x:c r="A7" s="46" t="n">
        <x:v>46053</x:v>
      </x:c>
      <x:c r="B7" s="22" t="n">
        <x:v>2026</x:v>
      </x:c>
      <x:c r="C7" s="22" t="str">
        <x:v>Enero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n">
        <x:v>254</x:v>
      </x:c>
      <x:c r="K7" s="40" t="n">
        <x:v>259</x:v>
      </x:c>
      <x:c r="L7" s="40" t="n">
        <x:v>100</x:v>
      </x:c>
      <x:c r="M7" s="40" t="n">
        <x:f>IF(OR(J7="",K7="",K7=0),"",J7/K7*L7)</x:f>
        <x:v>98.06949806949807</x:v>
      </x:c>
      <x:c r="N7" s="22" t="str">
        <x:f>IF(M7="","",IF(I7="Mayor es mejor",IF(M7&gt;=H7,"En meta",IF(M7&gt;=H7*0.9,"Alerta","Crítico")),IF(M7&lt;=H7,"En meta",IF(M7&lt;=H7*1.1,"Alerta","Crítico"))))</x:f>
        <x:v>En meta</x:v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/>
    </x:row>
    <x:row r="8">
      <x:c r="A8" s="46" t="n">
        <x:v>46053</x:v>
      </x:c>
      <x:c r="B8" s="22" t="n">
        <x:v>2026</x:v>
      </x:c>
      <x:c r="C8" s="22" t="str">
        <x:v>Enero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n">
        <x:v>59</x:v>
      </x:c>
      <x:c r="K8" s="40" t="n">
        <x:v>60</x:v>
      </x:c>
      <x:c r="L8" s="40" t="n">
        <x:v>100</x:v>
      </x:c>
      <x:c r="M8" s="40" t="n">
        <x:f>IF(OR(J8="",K8="",K8=0),"",J8/K8*L8)</x:f>
        <x:v>98.33333333333333</x:v>
      </x:c>
      <x:c r="N8" s="22" t="str">
        <x:f>IF(M8="","",IF(I8="Mayor es mejor",IF(M8&gt;=H8,"En meta",IF(M8&gt;=H8*0.9,"Alerta","Crítico")),IF(M8&lt;=H8,"En meta",IF(M8&lt;=H8*1.1,"Alerta","Crítico"))))</x:f>
        <x:v>En meta</x:v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/>
    </x:row>
    <x:row r="9">
      <x:c r="A9" s="46" t="n">
        <x:v>46053</x:v>
      </x:c>
      <x:c r="B9" s="22" t="n">
        <x:v>2026</x:v>
      </x:c>
      <x:c r="C9" s="22" t="str">
        <x:v>Enero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n">
        <x:v>19</x:v>
      </x:c>
      <x:c r="K9" s="40" t="n">
        <x:v>20</x:v>
      </x:c>
      <x:c r="L9" s="40" t="n">
        <x:v>100</x:v>
      </x:c>
      <x:c r="M9" s="40" t="n">
        <x:f>IF(OR(J9="",K9="",K9=0),"",J9/K9*L9)</x:f>
        <x:v>95</x:v>
      </x:c>
      <x:c r="N9" s="22" t="str">
        <x:f>IF(M9="","",IF(I9="Mayor es mejor",IF(M9&gt;=H9,"En meta",IF(M9&gt;=H9*0.9,"Alerta","Crítico")),IF(M9&lt;=H9,"En meta",IF(M9&lt;=H9*1.1,"Alerta","Crítico"))))</x:f>
        <x:v>En meta</x:v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/>
    </x:row>
    <x:row r="10">
      <x:c r="A10" s="46" t="n">
        <x:v>46053</x:v>
      </x:c>
      <x:c r="B10" s="22" t="n">
        <x:v>2026</x:v>
      </x:c>
      <x:c r="C10" s="22" t="str">
        <x:v>Enero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n">
        <x:v>11</x:v>
      </x:c>
      <x:c r="K10" s="40" t="n">
        <x:v>12</x:v>
      </x:c>
      <x:c r="L10" s="40" t="n">
        <x:v>100</x:v>
      </x:c>
      <x:c r="M10" s="40" t="n">
        <x:f>IF(OR(J10="",K10="",K10=0),"",J10/K10*L10)</x:f>
        <x:v>91.66666666666666</x:v>
      </x:c>
      <x:c r="N10" s="22" t="str">
        <x:f>IF(M10="","",IF(I10="Mayor es mejor",IF(M10&gt;=H10,"En meta",IF(M10&gt;=H10*0.9,"Alerta","Crítico")),IF(M10&lt;=H10,"En meta",IF(M10&lt;=H10*1.1,"Alerta","Crítico"))))</x:f>
        <x:v>En meta</x:v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/>
    </x:row>
    <x:row r="11">
      <x:c r="A11" s="46" t="n">
        <x:v>46053</x:v>
      </x:c>
      <x:c r="B11" s="22" t="n">
        <x:v>2026</x:v>
      </x:c>
      <x:c r="C11" s="22" t="str">
        <x:v>Enero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n">
        <x:v>1</x:v>
      </x:c>
      <x:c r="K11" s="40" t="n">
        <x:v>1</x:v>
      </x:c>
      <x:c r="L11" s="40" t="n">
        <x:v>100</x:v>
      </x:c>
      <x:c r="M11" s="40" t="n">
        <x:f>IF(OR(J11="",K11="",K11=0),"",J11/K11*L11)</x:f>
        <x:v>100</x:v>
      </x:c>
      <x:c r="N11" s="22" t="str">
        <x:f>IF(M11="","",IF(I11="Mayor es mejor",IF(M11&gt;=H11,"En meta",IF(M11&gt;=H11*0.9,"Alerta","Crítico")),IF(M11&lt;=H11,"En meta",IF(M11&lt;=H11*1.1,"Alerta","Crítico"))))</x:f>
        <x:v>En meta</x:v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/>
    </x:row>
    <x:row r="12">
      <x:c r="A12" s="46" t="n">
        <x:v>46053</x:v>
      </x:c>
      <x:c r="B12" s="22" t="n">
        <x:v>2026</x:v>
      </x:c>
      <x:c r="C12" s="22" t="str">
        <x:v>Enero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n">
        <x:v>10</x:v>
      </x:c>
      <x:c r="K12" s="40" t="n">
        <x:v>11</x:v>
      </x:c>
      <x:c r="L12" s="40" t="n">
        <x:v>100</x:v>
      </x:c>
      <x:c r="M12" s="40" t="n">
        <x:f>IF(OR(J12="",K12="",K12=0),"",J12/K12*L12)</x:f>
        <x:v>90.9090909090909</x:v>
      </x:c>
      <x:c r="N12" s="22" t="str">
        <x:f>IF(M12="","",IF(I12="Mayor es mejor",IF(M12&gt;=H12,"En meta",IF(M12&gt;=H12*0.9,"Alerta","Crítico")),IF(M12&lt;=H12,"En meta",IF(M12&lt;=H12*1.1,"Alerta","Crítico"))))</x:f>
        <x:v>En meta</x:v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/>
    </x:row>
    <x:row r="13">
      <x:c r="A13" s="46" t="n">
        <x:v>46053</x:v>
      </x:c>
      <x:c r="B13" s="22" t="n">
        <x:v>2026</x:v>
      </x:c>
      <x:c r="C13" s="22" t="str">
        <x:v>Enero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n">
        <x:v>9</x:v>
      </x:c>
      <x:c r="K13" s="40" t="n">
        <x:v>9</x:v>
      </x:c>
      <x:c r="L13" s="40" t="n">
        <x:v>100</x:v>
      </x:c>
      <x:c r="M13" s="40" t="n">
        <x:f>IF(OR(J13="",K13="",K13=0),"",J13/K13*L13)</x:f>
        <x:v>100</x:v>
      </x:c>
      <x:c r="N13" s="22" t="str">
        <x:f>IF(M13="","",IF(I13="Mayor es mejor",IF(M13&gt;=H13,"En meta",IF(M13&gt;=H13*0.9,"Alerta","Crítico")),IF(M13&lt;=H13,"En meta",IF(M13&lt;=H13*1.1,"Alerta","Crítico"))))</x:f>
        <x:v>En meta</x:v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/>
    </x:row>
    <x:row r="14">
      <x:c r="A14" s="46" t="n">
        <x:v>46053</x:v>
      </x:c>
      <x:c r="B14" s="22" t="n">
        <x:v>2026</x:v>
      </x:c>
      <x:c r="C14" s="22" t="str">
        <x:v>Enero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n">
        <x:v>12</x:v>
      </x:c>
      <x:c r="K14" s="40" t="n">
        <x:v>13</x:v>
      </x:c>
      <x:c r="L14" s="40" t="n">
        <x:v>100</x:v>
      </x:c>
      <x:c r="M14" s="40" t="n">
        <x:f>IF(OR(J14="",K14="",K14=0),"",J14/K14*L14)</x:f>
        <x:v>92.3076923076923</x:v>
      </x:c>
      <x:c r="N14" s="22" t="str">
        <x:f>IF(M14="","",IF(I14="Mayor es mejor",IF(M14&gt;=H14,"En meta",IF(M14&gt;=H14*0.9,"Alerta","Crítico")),IF(M14&lt;=H14,"En meta",IF(M14&lt;=H14*1.1,"Alerta","Crítico"))))</x:f>
        <x:v>En meta</x:v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/>
    </x:row>
    <x:row r="15">
      <x:c r="A15" s="46" t="n">
        <x:v>46053</x:v>
      </x:c>
      <x:c r="B15" s="22" t="n">
        <x:v>2026</x:v>
      </x:c>
      <x:c r="C15" s="22" t="str">
        <x:v>Enero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n">
        <x:v>1</x:v>
      </x:c>
      <x:c r="K15" s="40" t="n">
        <x:v>63093</x:v>
      </x:c>
      <x:c r="L15" s="40" t="n">
        <x:v>200000</x:v>
      </x:c>
      <x:c r="M15" s="40" t="n">
        <x:f>IF(OR(J15="",K15="",K15=0),"",J15/K15*L15)</x:f>
        <x:v>3.1699237633334922</x:v>
      </x:c>
      <x:c r="N15" s="22" t="str">
        <x:f>IF(M15="","",IF(I15="Mayor es mejor",IF(M15&gt;=H15,"En meta",IF(M15&gt;=H15*0.9,"Alerta","Crítico")),IF(M15&lt;=H15,"En meta",IF(M15&lt;=H15*1.1,"Alerta","Crítico"))))</x:f>
        <x:v>En meta</x:v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/>
    </x:row>
    <x:row r="16">
      <x:c r="A16" s="46" t="n">
        <x:v>46053</x:v>
      </x:c>
      <x:c r="B16" s="22" t="n">
        <x:v>2026</x:v>
      </x:c>
      <x:c r="C16" s="22" t="str">
        <x:v>Enero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n">
        <x:v>17</x:v>
      </x:c>
      <x:c r="K16" s="40" t="n">
        <x:v>63093</x:v>
      </x:c>
      <x:c r="L16" s="40" t="n">
        <x:v>200000</x:v>
      </x:c>
      <x:c r="M16" s="40" t="n">
        <x:f>IF(OR(J16="",K16="",K16=0),"",J16/K16*L16)</x:f>
        <x:v>53.888703976669355</x:v>
      </x:c>
      <x:c r="N16" s="22" t="str">
        <x:f>IF(M16="","",IF(I16="Mayor es mejor",IF(M16&gt;=H16,"En meta",IF(M16&gt;=H16*0.9,"Alerta","Crítico")),IF(M16&lt;=H16,"En meta",IF(M16&lt;=H16*1.1,"Alerta","Crítico"))))</x:f>
        <x:v>En meta</x:v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/>
    </x:row>
    <x:row r="17">
      <x:c r="A17" s="46" t="n">
        <x:v>46053</x:v>
      </x:c>
      <x:c r="B17" s="22" t="n">
        <x:v>2026</x:v>
      </x:c>
      <x:c r="C17" s="22" t="str">
        <x:v>Enero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n">
        <x:v>170.8231</x:v>
      </x:c>
      <x:c r="K17" s="40" t="n">
        <x:v>1000</x:v>
      </x:c>
      <x:c r="L17" s="40" t="n">
        <x:v>1</x:v>
      </x:c>
      <x:c r="M17" s="40" t="n">
        <x:f>IF(OR(J17="",K17="",K17=0),"",J17/K17*L17)</x:f>
        <x:v>0.1708231</x:v>
      </x:c>
      <x:c r="N17" s="22" t="str">
        <x:f>IF(M17="","",IF(I17="Mayor es mejor",IF(M17&gt;=H17,"En meta",IF(M17&gt;=H17*0.9,"Alerta","Crítico")),IF(M17&lt;=H17,"En meta",IF(M17&lt;=H17*1.1,"Alerta","Crítico"))))</x:f>
        <x:v>En meta</x:v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ILI calculado sobre IF e IS del periodo.</x:v>
      </x:c>
    </x:row>
    <x:row r="18">
      <x:c r="A18" s="46" t="n">
        <x:v>46053</x:v>
      </x:c>
      <x:c r="B18" s="22" t="n">
        <x:v>2026</x:v>
      </x:c>
      <x:c r="C18" s="22" t="str">
        <x:v>Enero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n">
        <x:v>4.89</x:v>
      </x:c>
      <x:c r="K18" s="40" t="n">
        <x:v>259</x:v>
      </x:c>
      <x:c r="L18" s="40" t="n">
        <x:v>100</x:v>
      </x:c>
      <x:c r="M18" s="40" t="n">
        <x:f>IF(OR(J18="",K18="",K18=0),"",J18/K18*L18)</x:f>
        <x:v>1.888030888030888</x:v>
      </x:c>
      <x:c r="N18" s="22" t="str">
        <x:f>IF(M18="","",IF(I18="Mayor es mejor",IF(M18&gt;=H18,"En meta",IF(M18&gt;=H18*0.9,"Alerta","Crítico")),IF(M18&lt;=H18,"En meta",IF(M18&lt;=H18*1.1,"Alerta","Crítico"))))</x:f>
        <x:v>Crítico</x:v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/>
    </x:row>
    <x:row r="19">
      <x:c r="A19" s="46" t="n">
        <x:v>46053</x:v>
      </x:c>
      <x:c r="B19" s="22" t="n">
        <x:v>2026</x:v>
      </x:c>
      <x:c r="C19" s="22" t="str">
        <x:v>Enero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n">
        <x:v>0.36</x:v>
      </x:c>
      <x:c r="K19" s="40" t="n">
        <x:v>259</x:v>
      </x:c>
      <x:c r="L19" s="40" t="n">
        <x:v>100</x:v>
      </x:c>
      <x:c r="M19" s="40" t="n">
        <x:f>IF(OR(J19="",K19="",K19=0),"",J19/K19*L19)</x:f>
        <x:v>0.138996138996139</x:v>
      </x:c>
      <x:c r="N19" s="22" t="str">
        <x:f>IF(M19="","",IF(I19="Mayor es mejor",IF(M19&gt;=H19,"En meta",IF(M19&gt;=H19*0.9,"Alerta","Crítico")),IF(M19&lt;=H19,"En meta",IF(M19&lt;=H19*1.1,"Alerta","Crítico"))))</x:f>
        <x:v>En meta</x:v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/>
    </x:row>
    <x:row r="20">
      <x:c r="A20" s="46" t="n">
        <x:v>46053</x:v>
      </x:c>
      <x:c r="B20" s="22" t="n">
        <x:v>2026</x:v>
      </x:c>
      <x:c r="C20" s="22" t="str">
        <x:v>Enero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n">
        <x:v>98</x:v>
      </x:c>
      <x:c r="K20" s="40" t="n">
        <x:v>100</x:v>
      </x:c>
      <x:c r="L20" s="40" t="n">
        <x:v>100</x:v>
      </x:c>
      <x:c r="M20" s="40" t="n">
        <x:f>IF(OR(J20="",K20="",K20=0),"",J20/K20*L20)</x:f>
        <x:v>98</x:v>
      </x:c>
      <x:c r="N20" s="22" t="str">
        <x:f>IF(M20="","",IF(I20="Mayor es mejor",IF(M20&gt;=H20,"En meta",IF(M20&gt;=H20*0.9,"Alerta","Crítico")),IF(M20&lt;=H20,"En meta",IF(M20&lt;=H20*1.1,"Alerta","Crítico"))))</x:f>
        <x:v>En meta</x:v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/>
    </x:row>
    <x:row r="21">
      <x:c r="A21" s="46" t="n">
        <x:v>46081</x:v>
      </x:c>
      <x:c r="B21" s="22" t="n">
        <x:v>2026</x:v>
      </x:c>
      <x:c r="C21" s="22" t="str">
        <x:v>Febrero</x:v>
      </x:c>
      <x:c r="D21" s="22" t="str">
        <x:v>E01</x:v>
      </x:c>
      <x:c r="E21" s="22" t="str">
        <x:v>% ejecución presupuestal del SG-SST</x:v>
      </x:c>
      <x:c r="F21" s="22" t="str">
        <x:v>Estructura</x:v>
      </x:c>
      <x:c r="G21" s="22" t="str">
        <x:v>Mensual</x:v>
      </x:c>
      <x:c r="H21" s="40" t="n">
        <x:v>95</x:v>
      </x:c>
      <x:c r="I21" s="22" t="str">
        <x:v>Mayor es mejor</x:v>
      </x:c>
      <x:c r="J21" s="40" t="n">
        <x:v>4812782</x:v>
      </x:c>
      <x:c r="K21" s="40" t="n">
        <x:v>5000000</x:v>
      </x:c>
      <x:c r="L21" s="40" t="n">
        <x:v>100</x:v>
      </x:c>
      <x:c r="M21" s="40" t="n">
        <x:f>IF(OR(J21="",K21="",K21=0),"",J21/K21*L21)</x:f>
        <x:v>96.25564</x:v>
      </x:c>
      <x:c r="N21" s="22" t="str">
        <x:f>IF(M21="","",IF(I21="Mayor es mejor",IF(M21&gt;=H21,"En meta",IF(M21&gt;=H21*0.9,"Alerta","Crítico")),IF(M21&lt;=H21,"En meta",IF(M21&lt;=H21*1.1,"Alerta","Crítico"))))</x:f>
        <x:v>En meta</x:v>
      </x:c>
      <x:c r="O21" s="22" t="str">
        <x:v>%</x:v>
      </x:c>
      <x:c r="P21" s="22" t="str">
        <x:v>Líder SG-SST / Dirección Administrativa</x:v>
      </x:c>
      <x:c r="Q21" s="22" t="str">
        <x:v>Presupuesto SST</x:v>
      </x:c>
      <x:c r="R21" s="22" t="str"/>
    </x:row>
    <x:row r="22">
      <x:c r="A22" s="46" t="n">
        <x:v>46081</x:v>
      </x:c>
      <x:c r="B22" s="22" t="n">
        <x:v>2026</x:v>
      </x:c>
      <x:c r="C22" s="22" t="str">
        <x:v>Febrero</x:v>
      </x:c>
      <x:c r="D22" s="22" t="str">
        <x:v>E02</x:v>
      </x:c>
      <x:c r="E22" s="22" t="str">
        <x:v>% cobertura del plan de formación y capacitación SG-SST</x:v>
      </x:c>
      <x:c r="F22" s="22" t="str">
        <x:v>Estructura</x:v>
      </x:c>
      <x:c r="G22" s="22" t="str">
        <x:v>Mensual</x:v>
      </x:c>
      <x:c r="H22" s="40" t="n">
        <x:v>90</x:v>
      </x:c>
      <x:c r="I22" s="22" t="str">
        <x:v>Mayor es mejor</x:v>
      </x:c>
      <x:c r="J22" s="40" t="n">
        <x:v>21</x:v>
      </x:c>
      <x:c r="K22" s="40" t="n">
        <x:v>22</x:v>
      </x:c>
      <x:c r="L22" s="40" t="n">
        <x:v>100</x:v>
      </x:c>
      <x:c r="M22" s="40" t="n">
        <x:f>IF(OR(J22="",K22="",K22=0),"",J22/K22*L22)</x:f>
        <x:v>95.45454545454545</x:v>
      </x:c>
      <x:c r="N22" s="22" t="str">
        <x:f>IF(M22="","",IF(I22="Mayor es mejor",IF(M22&gt;=H22,"En meta",IF(M22&gt;=H22*0.9,"Alerta","Crítico")),IF(M22&lt;=H22,"En meta",IF(M22&lt;=H22*1.1,"Alerta","Crítico"))))</x:f>
        <x:v>En meta</x:v>
      </x:c>
      <x:c r="O22" s="22" t="str">
        <x:v>%</x:v>
      </x:c>
      <x:c r="P22" s="22" t="str">
        <x:v>Líder SG-SST / Talento Humano</x:v>
      </x:c>
      <x:c r="Q22" s="22" t="str">
        <x:v>Plan de formación y capacitaciones</x:v>
      </x:c>
      <x:c r="R22" s="22" t="str"/>
    </x:row>
    <x:row r="23">
      <x:c r="A23" s="46" t="n">
        <x:v>46081</x:v>
      </x:c>
      <x:c r="B23" s="22" t="n">
        <x:v>2026</x:v>
      </x:c>
      <x:c r="C23" s="22" t="str">
        <x:v>Febrero</x:v>
      </x:c>
      <x:c r="D23" s="22" t="str">
        <x:v>E03</x:v>
      </x:c>
      <x:c r="E23" s="22" t="str">
        <x:v>% trabajadores con exámenes médicos ocupacionales vigentes</x:v>
      </x:c>
      <x:c r="F23" s="22" t="str">
        <x:v>Estructura</x:v>
      </x:c>
      <x:c r="G23" s="22" t="str">
        <x:v>Mensual</x:v>
      </x:c>
      <x:c r="H23" s="40" t="n">
        <x:v>95</x:v>
      </x:c>
      <x:c r="I23" s="22" t="str">
        <x:v>Mayor es mejor</x:v>
      </x:c>
      <x:c r="J23" s="40" t="n">
        <x:v>256</x:v>
      </x:c>
      <x:c r="K23" s="40" t="n">
        <x:v>260</x:v>
      </x:c>
      <x:c r="L23" s="40" t="n">
        <x:v>100</x:v>
      </x:c>
      <x:c r="M23" s="40" t="n">
        <x:f>IF(OR(J23="",K23="",K23=0),"",J23/K23*L23)</x:f>
        <x:v>98.46153846153847</x:v>
      </x:c>
      <x:c r="N23" s="22" t="str">
        <x:f>IF(M23="","",IF(I23="Mayor es mejor",IF(M23&gt;=H23,"En meta",IF(M23&gt;=H23*0.9,"Alerta","Crítico")),IF(M23&lt;=H23,"En meta",IF(M23&lt;=H23*1.1,"Alerta","Crítico"))))</x:f>
        <x:v>En meta</x:v>
      </x:c>
      <x:c r="O23" s="22" t="str">
        <x:v>%</x:v>
      </x:c>
      <x:c r="P23" s="22" t="str">
        <x:v>Líder SG-SST / Talento Humano</x:v>
      </x:c>
      <x:c r="Q23" s="22" t="str">
        <x:v>Matriz de seguimiento EMO</x:v>
      </x:c>
      <x:c r="R23" s="22" t="str"/>
    </x:row>
    <x:row r="24">
      <x:c r="A24" s="46" t="n">
        <x:v>46081</x:v>
      </x:c>
      <x:c r="B24" s="22" t="n">
        <x:v>2026</x:v>
      </x:c>
      <x:c r="C24" s="22" t="str">
        <x:v>Febrero</x:v>
      </x:c>
      <x:c r="D24" s="22" t="str">
        <x:v>E04</x:v>
      </x:c>
      <x:c r="E24" s="22" t="str">
        <x:v>% cumplimiento de requisitos legales aplicables en SST</x:v>
      </x:c>
      <x:c r="F24" s="22" t="str">
        <x:v>Estructura</x:v>
      </x:c>
      <x:c r="G24" s="22" t="str">
        <x:v>Mensual</x:v>
      </x:c>
      <x:c r="H24" s="40" t="n">
        <x:v>95</x:v>
      </x:c>
      <x:c r="I24" s="22" t="str">
        <x:v>Mayor es mejor</x:v>
      </x:c>
      <x:c r="J24" s="40" t="n">
        <x:v>60</x:v>
      </x:c>
      <x:c r="K24" s="40" t="n">
        <x:v>60</x:v>
      </x:c>
      <x:c r="L24" s="40" t="n">
        <x:v>100</x:v>
      </x:c>
      <x:c r="M24" s="40" t="n">
        <x:f>IF(OR(J24="",K24="",K24=0),"",J24/K24*L24)</x:f>
        <x:v>100</x:v>
      </x:c>
      <x:c r="N24" s="22" t="str">
        <x:f>IF(M24="","",IF(I24="Mayor es mejor",IF(M24&gt;=H24,"En meta",IF(M24&gt;=H24*0.9,"Alerta","Crítico")),IF(M24&lt;=H24,"En meta",IF(M24&lt;=H24*1.1,"Alerta","Crítico"))))</x:f>
        <x:v>En meta</x:v>
      </x:c>
      <x:c r="O24" s="22" t="str">
        <x:v>%</x:v>
      </x:c>
      <x:c r="P24" s="22" t="str">
        <x:v>Líder SG-SST / Jurídica</x:v>
      </x:c>
      <x:c r="Q24" s="22" t="str">
        <x:v>Matriz legal SGRL</x:v>
      </x:c>
      <x:c r="R24" s="22" t="str"/>
    </x:row>
    <x:row r="25">
      <x:c r="A25" s="46" t="n">
        <x:v>46081</x:v>
      </x:c>
      <x:c r="B25" s="22" t="n">
        <x:v>2026</x:v>
      </x:c>
      <x:c r="C25" s="22" t="str">
        <x:v>Febrero</x:v>
      </x:c>
      <x:c r="D25" s="22" t="str">
        <x:v>E05</x:v>
      </x:c>
      <x:c r="E25" s="22" t="str">
        <x:v>% proveedores y contratistas aprobados en SST</x:v>
      </x:c>
      <x:c r="F25" s="22" t="str">
        <x:v>Estructura</x:v>
      </x:c>
      <x:c r="G25" s="22" t="str">
        <x:v>Mensual</x:v>
      </x:c>
      <x:c r="H25" s="40" t="n">
        <x:v>90</x:v>
      </x:c>
      <x:c r="I25" s="22" t="str">
        <x:v>Mayor es mejor</x:v>
      </x:c>
      <x:c r="J25" s="40" t="n">
        <x:v>19</x:v>
      </x:c>
      <x:c r="K25" s="40" t="n">
        <x:v>20</x:v>
      </x:c>
      <x:c r="L25" s="40" t="n">
        <x:v>100</x:v>
      </x:c>
      <x:c r="M25" s="40" t="n">
        <x:f>IF(OR(J25="",K25="",K25=0),"",J25/K25*L25)</x:f>
        <x:v>95</x:v>
      </x:c>
      <x:c r="N25" s="22" t="str">
        <x:f>IF(M25="","",IF(I25="Mayor es mejor",IF(M25&gt;=H25,"En meta",IF(M25&gt;=H25*0.9,"Alerta","Crítico")),IF(M25&lt;=H25,"En meta",IF(M25&lt;=H25*1.1,"Alerta","Crítico"))))</x:f>
        <x:v>En meta</x:v>
      </x:c>
      <x:c r="O25" s="22" t="str">
        <x:v>%</x:v>
      </x:c>
      <x:c r="P25" s="22" t="str">
        <x:v>Compras / Líder SG-SST</x:v>
      </x:c>
      <x:c r="Q25" s="22" t="str">
        <x:v>Gestión de proveedores y contratistas</x:v>
      </x:c>
      <x:c r="R25" s="22" t="str"/>
    </x:row>
    <x:row r="26">
      <x:c r="A26" s="46" t="n">
        <x:v>46081</x:v>
      </x:c>
      <x:c r="B26" s="22" t="n">
        <x:v>2026</x:v>
      </x:c>
      <x:c r="C26" s="22" t="str">
        <x:v>Febrero</x:v>
      </x:c>
      <x:c r="D26" s="22" t="str">
        <x:v>P01</x:v>
      </x:c>
      <x:c r="E26" s="22" t="str">
        <x:v>% ejecución del plan anual de trabajo SG-SST</x:v>
      </x:c>
      <x:c r="F26" s="22" t="str">
        <x:v>Proceso</x:v>
      </x:c>
      <x:c r="G26" s="22" t="str">
        <x:v>Mensual</x:v>
      </x:c>
      <x:c r="H26" s="40" t="n">
        <x:v>90</x:v>
      </x:c>
      <x:c r="I26" s="22" t="str">
        <x:v>Mayor es mejor</x:v>
      </x:c>
      <x:c r="J26" s="40" t="n">
        <x:v>13</x:v>
      </x:c>
      <x:c r="K26" s="40" t="n">
        <x:v>14</x:v>
      </x:c>
      <x:c r="L26" s="40" t="n">
        <x:v>100</x:v>
      </x:c>
      <x:c r="M26" s="40" t="n">
        <x:f>IF(OR(J26="",K26="",K26=0),"",J26/K26*L26)</x:f>
        <x:v>92.85714285714286</x:v>
      </x:c>
      <x:c r="N26" s="22" t="str">
        <x:f>IF(M26="","",IF(I26="Mayor es mejor",IF(M26&gt;=H26,"En meta",IF(M26&gt;=H26*0.9,"Alerta","Crítico")),IF(M26&lt;=H26,"En meta",IF(M26&lt;=H26*1.1,"Alerta","Crítico"))))</x:f>
        <x:v>En meta</x:v>
      </x:c>
      <x:c r="O26" s="22" t="str">
        <x:v>%</x:v>
      </x:c>
      <x:c r="P26" s="22" t="str">
        <x:v>Líder SG-SST</x:v>
      </x:c>
      <x:c r="Q26" s="22" t="str">
        <x:v>Plan anual de trabajo PHVA</x:v>
      </x:c>
      <x:c r="R26" s="22" t="str"/>
    </x:row>
    <x:row r="27">
      <x:c r="A27" s="46" t="n">
        <x:v>46081</x:v>
      </x:c>
      <x:c r="B27" s="22" t="n">
        <x:v>2026</x:v>
      </x:c>
      <x:c r="C27" s="22" t="str">
        <x:v>Febrero</x:v>
      </x:c>
      <x:c r="D27" s="22" t="str">
        <x:v>P02</x:v>
      </x:c>
      <x:c r="E27" s="22" t="str">
        <x:v>% investigaciones de accidentes realizadas oportunamente</x:v>
      </x:c>
      <x:c r="F27" s="22" t="str">
        <x:v>Proceso</x:v>
      </x:c>
      <x:c r="G27" s="22" t="str">
        <x:v>Mensual</x:v>
      </x:c>
      <x:c r="H27" s="40" t="n">
        <x:v>95</x:v>
      </x:c>
      <x:c r="I27" s="22" t="str">
        <x:v>Mayor es mejor</x:v>
      </x:c>
      <x:c r="J27" s="40" t="n">
        <x:v>1</x:v>
      </x:c>
      <x:c r="K27" s="40" t="n">
        <x:v>1</x:v>
      </x:c>
      <x:c r="L27" s="40" t="n">
        <x:v>100</x:v>
      </x:c>
      <x:c r="M27" s="40" t="n">
        <x:f>IF(OR(J27="",K27="",K27=0),"",J27/K27*L27)</x:f>
        <x:v>100</x:v>
      </x:c>
      <x:c r="N27" s="22" t="str">
        <x:f>IF(M27="","",IF(I27="Mayor es mejor",IF(M27&gt;=H27,"En meta",IF(M27&gt;=H27*0.9,"Alerta","Crítico")),IF(M27&lt;=H27,"En meta",IF(M27&lt;=H27*1.1,"Alerta","Crítico"))))</x:f>
        <x:v>En meta</x:v>
      </x:c>
      <x:c r="O27" s="22" t="str">
        <x:v>%</x:v>
      </x:c>
      <x:c r="P27" s="22" t="str">
        <x:v>Líder SG-SST / COPASST</x:v>
      </x:c>
      <x:c r="Q27" s="22" t="str">
        <x:v>Matriz de accidentalidad</x:v>
      </x:c>
      <x:c r="R27" s="22" t="str"/>
    </x:row>
    <x:row r="28">
      <x:c r="A28" s="46" t="n">
        <x:v>46081</x:v>
      </x:c>
      <x:c r="B28" s="22" t="n">
        <x:v>2026</x:v>
      </x:c>
      <x:c r="C28" s="22" t="str">
        <x:v>Febrero</x:v>
      </x:c>
      <x:c r="D28" s="22" t="str">
        <x:v>P03</x:v>
      </x:c>
      <x:c r="E28" s="22" t="str">
        <x:v>% cierre oportuno de acciones correctivas, preventivas y de mejora</x:v>
      </x:c>
      <x:c r="F28" s="22" t="str">
        <x:v>Proceso</x:v>
      </x:c>
      <x:c r="G28" s="22" t="str">
        <x:v>Mensual</x:v>
      </x:c>
      <x:c r="H28" s="40" t="n">
        <x:v>90</x:v>
      </x:c>
      <x:c r="I28" s="22" t="str">
        <x:v>Mayor es mejor</x:v>
      </x:c>
      <x:c r="J28" s="40" t="n">
        <x:v>11</x:v>
      </x:c>
      <x:c r="K28" s="40" t="n">
        <x:v>12</x:v>
      </x:c>
      <x:c r="L28" s="40" t="n">
        <x:v>100</x:v>
      </x:c>
      <x:c r="M28" s="40" t="n">
        <x:f>IF(OR(J28="",K28="",K28=0),"",J28/K28*L28)</x:f>
        <x:v>91.66666666666666</x:v>
      </x:c>
      <x:c r="N28" s="22" t="str">
        <x:f>IF(M28="","",IF(I28="Mayor es mejor",IF(M28&gt;=H28,"En meta",IF(M28&gt;=H28*0.9,"Alerta","Crítico")),IF(M28&lt;=H28,"En meta",IF(M28&lt;=H28*1.1,"Alerta","Crítico"))))</x:f>
        <x:v>En meta</x:v>
      </x:c>
      <x:c r="O28" s="22" t="str">
        <x:v>%</x:v>
      </x:c>
      <x:c r="P28" s="22" t="str">
        <x:v>Líder SG-SST / Responsables de proceso</x:v>
      </x:c>
      <x:c r="Q28" s="22" t="str">
        <x:v>Matriz APCM</x:v>
      </x:c>
      <x:c r="R28" s="22" t="str"/>
    </x:row>
    <x:row r="29">
      <x:c r="A29" s="46" t="n">
        <x:v>46081</x:v>
      </x:c>
      <x:c r="B29" s="22" t="n">
        <x:v>2026</x:v>
      </x:c>
      <x:c r="C29" s="22" t="str">
        <x:v>Febrero</x:v>
      </x:c>
      <x:c r="D29" s="22" t="str">
        <x:v>P04</x:v>
      </x:c>
      <x:c r="E29" s="22" t="str">
        <x:v>% inspecciones de seguridad ejecutadas</x:v>
      </x:c>
      <x:c r="F29" s="22" t="str">
        <x:v>Proceso</x:v>
      </x:c>
      <x:c r="G29" s="22" t="str">
        <x:v>Mensual</x:v>
      </x:c>
      <x:c r="H29" s="40" t="n">
        <x:v>90</x:v>
      </x:c>
      <x:c r="I29" s="22" t="str">
        <x:v>Mayor es mejor</x:v>
      </x:c>
      <x:c r="J29" s="40" t="n">
        <x:v>10</x:v>
      </x:c>
      <x:c r="K29" s="40" t="n">
        <x:v>10</x:v>
      </x:c>
      <x:c r="L29" s="40" t="n">
        <x:v>100</x:v>
      </x:c>
      <x:c r="M29" s="40" t="n">
        <x:f>IF(OR(J29="",K29="",K29=0),"",J29/K29*L29)</x:f>
        <x:v>100</x:v>
      </x:c>
      <x:c r="N29" s="22" t="str">
        <x:f>IF(M29="","",IF(I29="Mayor es mejor",IF(M29&gt;=H29,"En meta",IF(M29&gt;=H29*0.9,"Alerta","Crítico")),IF(M29&lt;=H29,"En meta",IF(M29&lt;=H29*1.1,"Alerta","Crítico"))))</x:f>
        <x:v>En meta</x:v>
      </x:c>
      <x:c r="O29" s="22" t="str">
        <x:v>%</x:v>
      </x:c>
      <x:c r="P29" s="22" t="str">
        <x:v>Líder SG-SST / Supervisores</x:v>
      </x:c>
      <x:c r="Q29" s="22" t="str">
        <x:v>Programa de inspecciones</x:v>
      </x:c>
      <x:c r="R29" s="22" t="str"/>
    </x:row>
    <x:row r="30">
      <x:c r="A30" s="46" t="n">
        <x:v>46081</x:v>
      </x:c>
      <x:c r="B30" s="22" t="n">
        <x:v>2026</x:v>
      </x:c>
      <x:c r="C30" s="22" t="str">
        <x:v>Febrero</x:v>
      </x:c>
      <x:c r="D30" s="22" t="str">
        <x:v>P05</x:v>
      </x:c>
      <x:c r="E30" s="22" t="str">
        <x:v>% mantenimientos preventivos ejecutados</x:v>
      </x:c>
      <x:c r="F30" s="22" t="str">
        <x:v>Proceso</x:v>
      </x:c>
      <x:c r="G30" s="22" t="str">
        <x:v>Mensual</x:v>
      </x:c>
      <x:c r="H30" s="40" t="n">
        <x:v>90</x:v>
      </x:c>
      <x:c r="I30" s="22" t="str">
        <x:v>Mayor es mejor</x:v>
      </x:c>
      <x:c r="J30" s="40" t="n">
        <x:v>13</x:v>
      </x:c>
      <x:c r="K30" s="40" t="n">
        <x:v>14</x:v>
      </x:c>
      <x:c r="L30" s="40" t="n">
        <x:v>100</x:v>
      </x:c>
      <x:c r="M30" s="40" t="n">
        <x:f>IF(OR(J30="",K30="",K30=0),"",J30/K30*L30)</x:f>
        <x:v>92.85714285714286</x:v>
      </x:c>
      <x:c r="N30" s="22" t="str">
        <x:f>IF(M30="","",IF(I30="Mayor es mejor",IF(M30&gt;=H30,"En meta",IF(M30&gt;=H30*0.9,"Alerta","Crítico")),IF(M30&lt;=H30,"En meta",IF(M30&lt;=H30*1.1,"Alerta","Crítico"))))</x:f>
        <x:v>En meta</x:v>
      </x:c>
      <x:c r="O30" s="22" t="str">
        <x:v>%</x:v>
      </x:c>
      <x:c r="P30" s="22" t="str">
        <x:v>Mantenimiento / Líder SG-SST</x:v>
      </x:c>
      <x:c r="Q30" s="22" t="str">
        <x:v>Programa de mantenimiento preventivo</x:v>
      </x:c>
      <x:c r="R30" s="22" t="str"/>
    </x:row>
    <x:row r="31">
      <x:c r="A31" s="46" t="n">
        <x:v>46081</x:v>
      </x:c>
      <x:c r="B31" s="22" t="n">
        <x:v>2026</x:v>
      </x:c>
      <x:c r="C31" s="22" t="str">
        <x:v>Febrero</x:v>
      </x:c>
      <x:c r="D31" s="22" t="str">
        <x:v>R01</x:v>
      </x:c>
      <x:c r="E31" s="22" t="str">
        <x:v>Índice de frecuencia de accidentalidad (IF)</x:v>
      </x:c>
      <x:c r="F31" s="22" t="str">
        <x:v>Resultado</x:v>
      </x:c>
      <x:c r="G31" s="22" t="str">
        <x:v>Mensual</x:v>
      </x:c>
      <x:c r="H31" s="40" t="n">
        <x:v>3.5</x:v>
      </x:c>
      <x:c r="I31" s="22" t="str">
        <x:v>Menor es mejor</x:v>
      </x:c>
      <x:c r="J31" s="40" t="n">
        <x:v>1</x:v>
      </x:c>
      <x:c r="K31" s="40" t="n">
        <x:v>63599</x:v>
      </x:c>
      <x:c r="L31" s="40" t="n">
        <x:v>200000</x:v>
      </x:c>
      <x:c r="M31" s="40" t="n">
        <x:f>IF(OR(J31="",K31="",K31=0),"",J31/K31*L31)</x:f>
        <x:v>3.1447035330744195</x:v>
      </x:c>
      <x:c r="N31" s="22" t="str">
        <x:f>IF(M31="","",IF(I31="Mayor es mejor",IF(M31&gt;=H31,"En meta",IF(M31&gt;=H31*0.9,"Alerta","Crítico")),IF(M31&lt;=H31,"En meta",IF(M31&lt;=H31*1.1,"Alerta","Crítico"))))</x:f>
        <x:v>En meta</x:v>
      </x:c>
      <x:c r="O31" s="22" t="str">
        <x:v>Índice</x:v>
      </x:c>
      <x:c r="P31" s="22" t="str">
        <x:v>Líder SG-SST</x:v>
      </x:c>
      <x:c r="Q31" s="22" t="str">
        <x:v>Matriz de accidentalidad / nómina</x:v>
      </x:c>
      <x:c r="R31" s="22" t="str"/>
    </x:row>
    <x:row r="32">
      <x:c r="A32" s="46" t="n">
        <x:v>46081</x:v>
      </x:c>
      <x:c r="B32" s="22" t="n">
        <x:v>2026</x:v>
      </x:c>
      <x:c r="C32" s="22" t="str">
        <x:v>Febrero</x:v>
      </x:c>
      <x:c r="D32" s="22" t="str">
        <x:v>R02</x:v>
      </x:c>
      <x:c r="E32" s="22" t="str">
        <x:v>Índice de severidad de accidentalidad (IS)</x:v>
      </x:c>
      <x:c r="F32" s="22" t="str">
        <x:v>Resultado</x:v>
      </x:c>
      <x:c r="G32" s="22" t="str">
        <x:v>Mensual</x:v>
      </x:c>
      <x:c r="H32" s="40" t="n">
        <x:v>80</x:v>
      </x:c>
      <x:c r="I32" s="22" t="str">
        <x:v>Menor es mejor</x:v>
      </x:c>
      <x:c r="J32" s="40" t="n">
        <x:v>18</x:v>
      </x:c>
      <x:c r="K32" s="40" t="n">
        <x:v>63599</x:v>
      </x:c>
      <x:c r="L32" s="40" t="n">
        <x:v>200000</x:v>
      </x:c>
      <x:c r="M32" s="40" t="n">
        <x:f>IF(OR(J32="",K32="",K32=0),"",J32/K32*L32)</x:f>
        <x:v>56.604663595339545</x:v>
      </x:c>
      <x:c r="N32" s="22" t="str">
        <x:f>IF(M32="","",IF(I32="Mayor es mejor",IF(M32&gt;=H32,"En meta",IF(M32&gt;=H32*0.9,"Alerta","Crítico")),IF(M32&lt;=H32,"En meta",IF(M32&lt;=H32*1.1,"Alerta","Crítico"))))</x:f>
        <x:v>En meta</x:v>
      </x:c>
      <x:c r="O32" s="22" t="str">
        <x:v>Índice</x:v>
      </x:c>
      <x:c r="P32" s="22" t="str">
        <x:v>Líder SG-SST</x:v>
      </x:c>
      <x:c r="Q32" s="22" t="str">
        <x:v>Matriz de accidentalidad / nómina</x:v>
      </x:c>
      <x:c r="R32" s="22" t="str"/>
    </x:row>
    <x:row r="33">
      <x:c r="A33" s="46" t="n">
        <x:v>46081</x:v>
      </x:c>
      <x:c r="B33" s="22" t="n">
        <x:v>2026</x:v>
      </x:c>
      <x:c r="C33" s="22" t="str">
        <x:v>Febrero</x:v>
      </x:c>
      <x:c r="D33" s="22" t="str">
        <x:v>R03</x:v>
      </x:c>
      <x:c r="E33" s="22" t="str">
        <x:v>Índice de lesión incapacitante (ILI)</x:v>
      </x:c>
      <x:c r="F33" s="22" t="str">
        <x:v>Resultado</x:v>
      </x:c>
      <x:c r="G33" s="22" t="str">
        <x:v>Mensual</x:v>
      </x:c>
      <x:c r="H33" s="40" t="n">
        <x:v>0.25</x:v>
      </x:c>
      <x:c r="I33" s="22" t="str">
        <x:v>Menor es mejor</x:v>
      </x:c>
      <x:c r="J33" s="40" t="n">
        <x:v>178.0049</x:v>
      </x:c>
      <x:c r="K33" s="40" t="n">
        <x:v>1000</x:v>
      </x:c>
      <x:c r="L33" s="40" t="n">
        <x:v>1</x:v>
      </x:c>
      <x:c r="M33" s="40" t="n">
        <x:f>IF(OR(J33="",K33="",K33=0),"",J33/K33*L33)</x:f>
        <x:v>0.1780049</x:v>
      </x:c>
      <x:c r="N33" s="22" t="str">
        <x:f>IF(M33="","",IF(I33="Mayor es mejor",IF(M33&gt;=H33,"En meta",IF(M33&gt;=H33*0.9,"Alerta","Crítico")),IF(M33&lt;=H33,"En meta",IF(M33&lt;=H33*1.1,"Alerta","Crítico"))))</x:f>
        <x:v>En meta</x:v>
      </x:c>
      <x:c r="O33" s="22" t="str">
        <x:v>Índice</x:v>
      </x:c>
      <x:c r="P33" s="22" t="str">
        <x:v>Líder SG-SST</x:v>
      </x:c>
      <x:c r="Q33" s="22" t="str">
        <x:v>Indicadores derivados de accidentalidad</x:v>
      </x:c>
      <x:c r="R33" s="22" t="str">
        <x:v>ILI calculado sobre IF e IS del periodo.</x:v>
      </x:c>
    </x:row>
    <x:row r="34">
      <x:c r="A34" s="46" t="n">
        <x:v>46081</x:v>
      </x:c>
      <x:c r="B34" s="22" t="n">
        <x:v>2026</x:v>
      </x:c>
      <x:c r="C34" s="22" t="str">
        <x:v>Febrero</x:v>
      </x:c>
      <x:c r="D34" s="22" t="str">
        <x:v>R04</x:v>
      </x:c>
      <x:c r="E34" s="22" t="str">
        <x:v>Tasa de accidentalidad</x:v>
      </x:c>
      <x:c r="F34" s="22" t="str">
        <x:v>Resultado</x:v>
      </x:c>
      <x:c r="G34" s="22" t="str">
        <x:v>Mensual</x:v>
      </x:c>
      <x:c r="H34" s="40" t="n">
        <x:v>0.6</x:v>
      </x:c>
      <x:c r="I34" s="22" t="str">
        <x:v>Menor es mejor</x:v>
      </x:c>
      <x:c r="J34" s="40" t="n">
        <x:v>0.03</x:v>
      </x:c>
      <x:c r="K34" s="40" t="n">
        <x:v>260</x:v>
      </x:c>
      <x:c r="L34" s="40" t="n">
        <x:v>100</x:v>
      </x:c>
      <x:c r="M34" s="40" t="n">
        <x:f>IF(OR(J34="",K34="",K34=0),"",J34/K34*L34)</x:f>
        <x:v>0.011538461538461537</x:v>
      </x:c>
      <x:c r="N34" s="22" t="str">
        <x:f>IF(M34="","",IF(I34="Mayor es mejor",IF(M34&gt;=H34,"En meta",IF(M34&gt;=H34*0.9,"Alerta","Crítico")),IF(M34&lt;=H34,"En meta",IF(M34&lt;=H34*1.1,"Alerta","Crítico"))))</x:f>
        <x:v>En meta</x:v>
      </x:c>
      <x:c r="O34" s="22" t="str">
        <x:v>%</x:v>
      </x:c>
      <x:c r="P34" s="22" t="str">
        <x:v>Líder SG-SST</x:v>
      </x:c>
      <x:c r="Q34" s="22" t="str">
        <x:v>Matriz de accidentalidad / nómina</x:v>
      </x:c>
      <x:c r="R34" s="22" t="str"/>
    </x:row>
    <x:row r="35">
      <x:c r="A35" s="46" t="n">
        <x:v>46081</x:v>
      </x:c>
      <x:c r="B35" s="22" t="n">
        <x:v>2026</x:v>
      </x:c>
      <x:c r="C35" s="22" t="str">
        <x:v>Febrero</x:v>
      </x:c>
      <x:c r="D35" s="22" t="str">
        <x:v>R05</x:v>
      </x:c>
      <x:c r="E35" s="22" t="str">
        <x:v>Prevalencia de enfermedad laboral</x:v>
      </x:c>
      <x:c r="F35" s="22" t="str">
        <x:v>Resultado</x:v>
      </x:c>
      <x:c r="G35" s="22" t="str">
        <x:v>Mensual</x:v>
      </x:c>
      <x:c r="H35" s="40" t="n">
        <x:v>0.3</x:v>
      </x:c>
      <x:c r="I35" s="22" t="str">
        <x:v>Menor es mejor</x:v>
      </x:c>
      <x:c r="J35" s="40" t="n">
        <x:v>4.22</x:v>
      </x:c>
      <x:c r="K35" s="40" t="n">
        <x:v>260</x:v>
      </x:c>
      <x:c r="L35" s="40" t="n">
        <x:v>100</x:v>
      </x:c>
      <x:c r="M35" s="40" t="n">
        <x:f>IF(OR(J35="",K35="",K35=0),"",J35/K35*L35)</x:f>
        <x:v>1.6230769230769229</x:v>
      </x:c>
      <x:c r="N35" s="22" t="str">
        <x:f>IF(M35="","",IF(I35="Mayor es mejor",IF(M35&gt;=H35,"En meta",IF(M35&gt;=H35*0.9,"Alerta","Crítico")),IF(M35&lt;=H35,"En meta",IF(M35&lt;=H35*1.1,"Alerta","Crítico"))))</x:f>
        <x:v>Crítico</x:v>
      </x:c>
      <x:c r="O35" s="22" t="str">
        <x:v>%</x:v>
      </x:c>
      <x:c r="P35" s="22" t="str">
        <x:v>Líder SG-SST / Medicina laboral</x:v>
      </x:c>
      <x:c r="Q35" s="22" t="str">
        <x:v>Matriz de enfermedad laboral / nómina</x:v>
      </x:c>
      <x:c r="R35" s="22" t="str"/>
    </x:row>
    <x:row r="36">
      <x:c r="A36" s="46" t="n">
        <x:v>46081</x:v>
      </x:c>
      <x:c r="B36" s="22" t="n">
        <x:v>2026</x:v>
      </x:c>
      <x:c r="C36" s="22" t="str">
        <x:v>Febrero</x:v>
      </x:c>
      <x:c r="D36" s="22" t="str">
        <x:v>R06</x:v>
      </x:c>
      <x:c r="E36" s="22" t="str">
        <x:v>% cumplimiento de estándares mínimos Res. 0312 de 2019</x:v>
      </x:c>
      <x:c r="F36" s="22" t="str">
        <x:v>Resultado</x:v>
      </x:c>
      <x:c r="G36" s="22" t="str">
        <x:v>Mensual</x:v>
      </x:c>
      <x:c r="H36" s="40" t="n">
        <x:v>95</x:v>
      </x:c>
      <x:c r="I36" s="22" t="str">
        <x:v>Mayor es mejor</x:v>
      </x:c>
      <x:c r="J36" s="40" t="n">
        <x:v>98</x:v>
      </x:c>
      <x:c r="K36" s="40" t="n">
        <x:v>100</x:v>
      </x:c>
      <x:c r="L36" s="40" t="n">
        <x:v>100</x:v>
      </x:c>
      <x:c r="M36" s="40" t="n">
        <x:f>IF(OR(J36="",K36="",K36=0),"",J36/K36*L36)</x:f>
        <x:v>98</x:v>
      </x:c>
      <x:c r="N36" s="22" t="str">
        <x:f>IF(M36="","",IF(I36="Mayor es mejor",IF(M36&gt;=H36,"En meta",IF(M36&gt;=H36*0.9,"Alerta","Crítico")),IF(M36&lt;=H36,"En meta",IF(M36&lt;=H36*1.1,"Alerta","Crítico"))))</x:f>
        <x:v>En meta</x:v>
      </x:c>
      <x:c r="O36" s="22" t="str">
        <x:v>%</x:v>
      </x:c>
      <x:c r="P36" s="22" t="str">
        <x:v>Líder SG-SST / Alta Dirección</x:v>
      </x:c>
      <x:c r="Q36" s="22" t="str">
        <x:v>Autodiagnóstico Res. 0312 de 2019</x:v>
      </x:c>
      <x:c r="R36" s="22" t="str"/>
    </x:row>
    <x:row r="37">
      <x:c r="A37" s="46" t="n">
        <x:v>46112</x:v>
      </x:c>
      <x:c r="B37" s="22" t="n">
        <x:v>2026</x:v>
      </x:c>
      <x:c r="C37" s="22" t="str">
        <x:v>Marzo</x:v>
      </x:c>
      <x:c r="D37" s="22" t="str">
        <x:v>E01</x:v>
      </x:c>
      <x:c r="E37" s="22" t="str">
        <x:v>% ejecución presupuestal del SG-SST</x:v>
      </x:c>
      <x:c r="F37" s="22" t="str">
        <x:v>Estructura</x:v>
      </x:c>
      <x:c r="G37" s="22" t="str">
        <x:v>Mensual</x:v>
      </x:c>
      <x:c r="H37" s="40" t="n">
        <x:v>95</x:v>
      </x:c>
      <x:c r="I37" s="22" t="str">
        <x:v>Mayor es mejor</x:v>
      </x:c>
      <x:c r="J37" s="40" t="n">
        <x:v>5325294</x:v>
      </x:c>
      <x:c r="K37" s="40" t="n">
        <x:v>5500000</x:v>
      </x:c>
      <x:c r="L37" s="40" t="n">
        <x:v>100</x:v>
      </x:c>
      <x:c r="M37" s="40" t="n">
        <x:f>IF(OR(J37="",K37="",K37=0),"",J37/K37*L37)</x:f>
        <x:v>96.82352727272728</x:v>
      </x:c>
      <x:c r="N37" s="22" t="str">
        <x:f>IF(M37="","",IF(I37="Mayor es mejor",IF(M37&gt;=H37,"En meta",IF(M37&gt;=H37*0.9,"Alerta","Crítico")),IF(M37&lt;=H37,"En meta",IF(M37&lt;=H37*1.1,"Alerta","Crítico"))))</x:f>
        <x:v>En meta</x:v>
      </x:c>
      <x:c r="O37" s="22" t="str">
        <x:v>%</x:v>
      </x:c>
      <x:c r="P37" s="22" t="str">
        <x:v>Líder SG-SST / Dirección Administrativa</x:v>
      </x:c>
      <x:c r="Q37" s="22" t="str">
        <x:v>Presupuesto SST</x:v>
      </x:c>
      <x:c r="R37" s="22" t="str"/>
    </x:row>
    <x:row r="38">
      <x:c r="A38" s="46" t="n">
        <x:v>46112</x:v>
      </x:c>
      <x:c r="B38" s="22" t="n">
        <x:v>2026</x:v>
      </x:c>
      <x:c r="C38" s="22" t="str">
        <x:v>Marzo</x:v>
      </x:c>
      <x:c r="D38" s="22" t="str">
        <x:v>E02</x:v>
      </x:c>
      <x:c r="E38" s="22" t="str">
        <x:v>% cobertura del plan de formación y capacitación SG-SST</x:v>
      </x:c>
      <x:c r="F38" s="22" t="str">
        <x:v>Estructura</x:v>
      </x:c>
      <x:c r="G38" s="22" t="str">
        <x:v>Mensual</x:v>
      </x:c>
      <x:c r="H38" s="40" t="n">
        <x:v>90</x:v>
      </x:c>
      <x:c r="I38" s="22" t="str">
        <x:v>Mayor es mejor</x:v>
      </x:c>
      <x:c r="J38" s="40" t="n">
        <x:v>22</x:v>
      </x:c>
      <x:c r="K38" s="40" t="n">
        <x:v>24</x:v>
      </x:c>
      <x:c r="L38" s="40" t="n">
        <x:v>100</x:v>
      </x:c>
      <x:c r="M38" s="40" t="n">
        <x:f>IF(OR(J38="",K38="",K38=0),"",J38/K38*L38)</x:f>
        <x:v>91.66666666666666</x:v>
      </x:c>
      <x:c r="N38" s="22" t="str">
        <x:f>IF(M38="","",IF(I38="Mayor es mejor",IF(M38&gt;=H38,"En meta",IF(M38&gt;=H38*0.9,"Alerta","Crítico")),IF(M38&lt;=H38,"En meta",IF(M38&lt;=H38*1.1,"Alerta","Crítico"))))</x:f>
        <x:v>En meta</x:v>
      </x:c>
      <x:c r="O38" s="22" t="str">
        <x:v>%</x:v>
      </x:c>
      <x:c r="P38" s="22" t="str">
        <x:v>Líder SG-SST / Talento Humano</x:v>
      </x:c>
      <x:c r="Q38" s="22" t="str">
        <x:v>Plan de formación y capacitaciones</x:v>
      </x:c>
      <x:c r="R38" s="22" t="str"/>
    </x:row>
    <x:row r="39">
      <x:c r="A39" s="46" t="n">
        <x:v>46112</x:v>
      </x:c>
      <x:c r="B39" s="22" t="n">
        <x:v>2026</x:v>
      </x:c>
      <x:c r="C39" s="22" t="str">
        <x:v>Marzo</x:v>
      </x:c>
      <x:c r="D39" s="22" t="str">
        <x:v>E03</x:v>
      </x:c>
      <x:c r="E39" s="22" t="str">
        <x:v>% trabajadores con exámenes médicos ocupacionales vigentes</x:v>
      </x:c>
      <x:c r="F39" s="22" t="str">
        <x:v>Estructura</x:v>
      </x:c>
      <x:c r="G39" s="22" t="str">
        <x:v>Mensual</x:v>
      </x:c>
      <x:c r="H39" s="40" t="n">
        <x:v>95</x:v>
      </x:c>
      <x:c r="I39" s="22" t="str">
        <x:v>Mayor es mejor</x:v>
      </x:c>
      <x:c r="J39" s="40" t="n">
        <x:v>240</x:v>
      </x:c>
      <x:c r="K39" s="40" t="n">
        <x:v>251</x:v>
      </x:c>
      <x:c r="L39" s="40" t="n">
        <x:v>100</x:v>
      </x:c>
      <x:c r="M39" s="40" t="n">
        <x:f>IF(OR(J39="",K39="",K39=0),"",J39/K39*L39)</x:f>
        <x:v>95.61752988047809</x:v>
      </x:c>
      <x:c r="N39" s="22" t="str">
        <x:f>IF(M39="","",IF(I39="Mayor es mejor",IF(M39&gt;=H39,"En meta",IF(M39&gt;=H39*0.9,"Alerta","Crítico")),IF(M39&lt;=H39,"En meta",IF(M39&lt;=H39*1.1,"Alerta","Crítico"))))</x:f>
        <x:v>En meta</x:v>
      </x:c>
      <x:c r="O39" s="22" t="str">
        <x:v>%</x:v>
      </x:c>
      <x:c r="P39" s="22" t="str">
        <x:v>Líder SG-SST / Talento Humano</x:v>
      </x:c>
      <x:c r="Q39" s="22" t="str">
        <x:v>Matriz de seguimiento EMO</x:v>
      </x:c>
      <x:c r="R39" s="22" t="str"/>
    </x:row>
    <x:row r="40">
      <x:c r="A40" s="46" t="n">
        <x:v>46112</x:v>
      </x:c>
      <x:c r="B40" s="22" t="n">
        <x:v>2026</x:v>
      </x:c>
      <x:c r="C40" s="22" t="str">
        <x:v>Marzo</x:v>
      </x:c>
      <x:c r="D40" s="22" t="str">
        <x:v>E04</x:v>
      </x:c>
      <x:c r="E40" s="22" t="str">
        <x:v>% cumplimiento de requisitos legales aplicables en SST</x:v>
      </x:c>
      <x:c r="F40" s="22" t="str">
        <x:v>Estructura</x:v>
      </x:c>
      <x:c r="G40" s="22" t="str">
        <x:v>Mensual</x:v>
      </x:c>
      <x:c r="H40" s="40" t="n">
        <x:v>95</x:v>
      </x:c>
      <x:c r="I40" s="22" t="str">
        <x:v>Mayor es mejor</x:v>
      </x:c>
      <x:c r="J40" s="40" t="n">
        <x:v>58</x:v>
      </x:c>
      <x:c r="K40" s="40" t="n">
        <x:v>60</x:v>
      </x:c>
      <x:c r="L40" s="40" t="n">
        <x:v>100</x:v>
      </x:c>
      <x:c r="M40" s="40" t="n">
        <x:f>IF(OR(J40="",K40="",K40=0),"",J40/K40*L40)</x:f>
        <x:v>96.66666666666667</x:v>
      </x:c>
      <x:c r="N40" s="22" t="str">
        <x:f>IF(M40="","",IF(I40="Mayor es mejor",IF(M40&gt;=H40,"En meta",IF(M40&gt;=H40*0.9,"Alerta","Crítico")),IF(M40&lt;=H40,"En meta",IF(M40&lt;=H40*1.1,"Alerta","Crítico"))))</x:f>
        <x:v>En meta</x:v>
      </x:c>
      <x:c r="O40" s="22" t="str">
        <x:v>%</x:v>
      </x:c>
      <x:c r="P40" s="22" t="str">
        <x:v>Líder SG-SST / Jurídica</x:v>
      </x:c>
      <x:c r="Q40" s="22" t="str">
        <x:v>Matriz legal SGRL</x:v>
      </x:c>
      <x:c r="R40" s="22" t="str"/>
    </x:row>
    <x:row r="41">
      <x:c r="A41" s="46" t="n">
        <x:v>46112</x:v>
      </x:c>
      <x:c r="B41" s="22" t="n">
        <x:v>2026</x:v>
      </x:c>
      <x:c r="C41" s="22" t="str">
        <x:v>Marzo</x:v>
      </x:c>
      <x:c r="D41" s="22" t="str">
        <x:v>E05</x:v>
      </x:c>
      <x:c r="E41" s="22" t="str">
        <x:v>% proveedores y contratistas aprobados en SST</x:v>
      </x:c>
      <x:c r="F41" s="22" t="str">
        <x:v>Estructura</x:v>
      </x:c>
      <x:c r="G41" s="22" t="str">
        <x:v>Mensual</x:v>
      </x:c>
      <x:c r="H41" s="40" t="n">
        <x:v>90</x:v>
      </x:c>
      <x:c r="I41" s="22" t="str">
        <x:v>Mayor es mejor</x:v>
      </x:c>
      <x:c r="J41" s="40" t="n">
        <x:v>19</x:v>
      </x:c>
      <x:c r="K41" s="40" t="n">
        <x:v>20</x:v>
      </x:c>
      <x:c r="L41" s="40" t="n">
        <x:v>100</x:v>
      </x:c>
      <x:c r="M41" s="40" t="n">
        <x:f>IF(OR(J41="",K41="",K41=0),"",J41/K41*L41)</x:f>
        <x:v>95</x:v>
      </x:c>
      <x:c r="N41" s="22" t="str">
        <x:f>IF(M41="","",IF(I41="Mayor es mejor",IF(M41&gt;=H41,"En meta",IF(M41&gt;=H41*0.9,"Alerta","Crítico")),IF(M41&lt;=H41,"En meta",IF(M41&lt;=H41*1.1,"Alerta","Crítico"))))</x:f>
        <x:v>En meta</x:v>
      </x:c>
      <x:c r="O41" s="22" t="str">
        <x:v>%</x:v>
      </x:c>
      <x:c r="P41" s="22" t="str">
        <x:v>Compras / Líder SG-SST</x:v>
      </x:c>
      <x:c r="Q41" s="22" t="str">
        <x:v>Gestión de proveedores y contratistas</x:v>
      </x:c>
      <x:c r="R41" s="22" t="str"/>
    </x:row>
    <x:row r="42">
      <x:c r="A42" s="46" t="n">
        <x:v>46112</x:v>
      </x:c>
      <x:c r="B42" s="22" t="n">
        <x:v>2026</x:v>
      </x:c>
      <x:c r="C42" s="22" t="str">
        <x:v>Marzo</x:v>
      </x:c>
      <x:c r="D42" s="22" t="str">
        <x:v>P01</x:v>
      </x:c>
      <x:c r="E42" s="22" t="str">
        <x:v>% ejecución del plan anual de trabajo SG-SST</x:v>
      </x:c>
      <x:c r="F42" s="22" t="str">
        <x:v>Proceso</x:v>
      </x:c>
      <x:c r="G42" s="22" t="str">
        <x:v>Mensual</x:v>
      </x:c>
      <x:c r="H42" s="40" t="n">
        <x:v>90</x:v>
      </x:c>
      <x:c r="I42" s="22" t="str">
        <x:v>Mayor es mejor</x:v>
      </x:c>
      <x:c r="J42" s="40" t="n">
        <x:v>10</x:v>
      </x:c>
      <x:c r="K42" s="40" t="n">
        <x:v>10</x:v>
      </x:c>
      <x:c r="L42" s="40" t="n">
        <x:v>100</x:v>
      </x:c>
      <x:c r="M42" s="40" t="n">
        <x:f>IF(OR(J42="",K42="",K42=0),"",J42/K42*L42)</x:f>
        <x:v>100</x:v>
      </x:c>
      <x:c r="N42" s="22" t="str">
        <x:f>IF(M42="","",IF(I42="Mayor es mejor",IF(M42&gt;=H42,"En meta",IF(M42&gt;=H42*0.9,"Alerta","Crítico")),IF(M42&lt;=H42,"En meta",IF(M42&lt;=H42*1.1,"Alerta","Crítico"))))</x:f>
        <x:v>En meta</x:v>
      </x:c>
      <x:c r="O42" s="22" t="str">
        <x:v>%</x:v>
      </x:c>
      <x:c r="P42" s="22" t="str">
        <x:v>Líder SG-SST</x:v>
      </x:c>
      <x:c r="Q42" s="22" t="str">
        <x:v>Plan anual de trabajo PHVA</x:v>
      </x:c>
      <x:c r="R42" s="22" t="str"/>
    </x:row>
    <x:row r="43">
      <x:c r="A43" s="46" t="n">
        <x:v>46112</x:v>
      </x:c>
      <x:c r="B43" s="22" t="n">
        <x:v>2026</x:v>
      </x:c>
      <x:c r="C43" s="22" t="str">
        <x:v>Marzo</x:v>
      </x:c>
      <x:c r="D43" s="22" t="str">
        <x:v>P02</x:v>
      </x:c>
      <x:c r="E43" s="22" t="str">
        <x:v>% investigaciones de accidentes realizadas oportunamente</x:v>
      </x:c>
      <x:c r="F43" s="22" t="str">
        <x:v>Proceso</x:v>
      </x:c>
      <x:c r="G43" s="22" t="str">
        <x:v>Mensual</x:v>
      </x:c>
      <x:c r="H43" s="40" t="n">
        <x:v>95</x:v>
      </x:c>
      <x:c r="I43" s="22" t="str">
        <x:v>Mayor es mejor</x:v>
      </x:c>
      <x:c r="J43" s="40" t="n">
        <x:v>1</x:v>
      </x:c>
      <x:c r="K43" s="40" t="n">
        <x:v>1</x:v>
      </x:c>
      <x:c r="L43" s="40" t="n">
        <x:v>100</x:v>
      </x:c>
      <x:c r="M43" s="40" t="n">
        <x:f>IF(OR(J43="",K43="",K43=0),"",J43/K43*L43)</x:f>
        <x:v>100</x:v>
      </x:c>
      <x:c r="N43" s="22" t="str">
        <x:f>IF(M43="","",IF(I43="Mayor es mejor",IF(M43&gt;=H43,"En meta",IF(M43&gt;=H43*0.9,"Alerta","Crítico")),IF(M43&lt;=H43,"En meta",IF(M43&lt;=H43*1.1,"Alerta","Crítico"))))</x:f>
        <x:v>En meta</x:v>
      </x:c>
      <x:c r="O43" s="22" t="str">
        <x:v>%</x:v>
      </x:c>
      <x:c r="P43" s="22" t="str">
        <x:v>Líder SG-SST / COPASST</x:v>
      </x:c>
      <x:c r="Q43" s="22" t="str">
        <x:v>Matriz de accidentalidad</x:v>
      </x:c>
      <x:c r="R43" s="22" t="str"/>
    </x:row>
    <x:row r="44">
      <x:c r="A44" s="46" t="n">
        <x:v>46112</x:v>
      </x:c>
      <x:c r="B44" s="22" t="n">
        <x:v>2026</x:v>
      </x:c>
      <x:c r="C44" s="22" t="str">
        <x:v>Marzo</x:v>
      </x:c>
      <x:c r="D44" s="22" t="str">
        <x:v>P03</x:v>
      </x:c>
      <x:c r="E44" s="22" t="str">
        <x:v>% cierre oportuno de acciones correctivas, preventivas y de mejora</x:v>
      </x:c>
      <x:c r="F44" s="22" t="str">
        <x:v>Proceso</x:v>
      </x:c>
      <x:c r="G44" s="22" t="str">
        <x:v>Mensual</x:v>
      </x:c>
      <x:c r="H44" s="40" t="n">
        <x:v>90</x:v>
      </x:c>
      <x:c r="I44" s="22" t="str">
        <x:v>Mayor es mejor</x:v>
      </x:c>
      <x:c r="J44" s="40" t="n">
        <x:v>12</x:v>
      </x:c>
      <x:c r="K44" s="40" t="n">
        <x:v>13</x:v>
      </x:c>
      <x:c r="L44" s="40" t="n">
        <x:v>100</x:v>
      </x:c>
      <x:c r="M44" s="40" t="n">
        <x:f>IF(OR(J44="",K44="",K44=0),"",J44/K44*L44)</x:f>
        <x:v>92.3076923076923</x:v>
      </x:c>
      <x:c r="N44" s="22" t="str">
        <x:f>IF(M44="","",IF(I44="Mayor es mejor",IF(M44&gt;=H44,"En meta",IF(M44&gt;=H44*0.9,"Alerta","Crítico")),IF(M44&lt;=H44,"En meta",IF(M44&lt;=H44*1.1,"Alerta","Crítico"))))</x:f>
        <x:v>En meta</x:v>
      </x:c>
      <x:c r="O44" s="22" t="str">
        <x:v>%</x:v>
      </x:c>
      <x:c r="P44" s="22" t="str">
        <x:v>Líder SG-SST / Responsables de proceso</x:v>
      </x:c>
      <x:c r="Q44" s="22" t="str">
        <x:v>Matriz APCM</x:v>
      </x:c>
      <x:c r="R44" s="22" t="str"/>
    </x:row>
    <x:row r="45">
      <x:c r="A45" s="46" t="n">
        <x:v>46112</x:v>
      </x:c>
      <x:c r="B45" s="22" t="n">
        <x:v>2026</x:v>
      </x:c>
      <x:c r="C45" s="22" t="str">
        <x:v>Marzo</x:v>
      </x:c>
      <x:c r="D45" s="22" t="str">
        <x:v>P04</x:v>
      </x:c>
      <x:c r="E45" s="22" t="str">
        <x:v>% inspecciones de seguridad ejecutadas</x:v>
      </x:c>
      <x:c r="F45" s="22" t="str">
        <x:v>Proceso</x:v>
      </x:c>
      <x:c r="G45" s="22" t="str">
        <x:v>Mensual</x:v>
      </x:c>
      <x:c r="H45" s="40" t="n">
        <x:v>90</x:v>
      </x:c>
      <x:c r="I45" s="22" t="str">
        <x:v>Mayor es mejor</x:v>
      </x:c>
      <x:c r="J45" s="40" t="n">
        <x:v>10</x:v>
      </x:c>
      <x:c r="K45" s="40" t="n">
        <x:v>11</x:v>
      </x:c>
      <x:c r="L45" s="40" t="n">
        <x:v>100</x:v>
      </x:c>
      <x:c r="M45" s="40" t="n">
        <x:f>IF(OR(J45="",K45="",K45=0),"",J45/K45*L45)</x:f>
        <x:v>90.9090909090909</x:v>
      </x:c>
      <x:c r="N45" s="22" t="str">
        <x:f>IF(M45="","",IF(I45="Mayor es mejor",IF(M45&gt;=H45,"En meta",IF(M45&gt;=H45*0.9,"Alerta","Crítico")),IF(M45&lt;=H45,"En meta",IF(M45&lt;=H45*1.1,"Alerta","Crítico"))))</x:f>
        <x:v>En meta</x:v>
      </x:c>
      <x:c r="O45" s="22" t="str">
        <x:v>%</x:v>
      </x:c>
      <x:c r="P45" s="22" t="str">
        <x:v>Líder SG-SST / Supervisores</x:v>
      </x:c>
      <x:c r="Q45" s="22" t="str">
        <x:v>Programa de inspecciones</x:v>
      </x:c>
      <x:c r="R45" s="22" t="str"/>
    </x:row>
    <x:row r="46">
      <x:c r="A46" s="46" t="n">
        <x:v>46112</x:v>
      </x:c>
      <x:c r="B46" s="22" t="n">
        <x:v>2026</x:v>
      </x:c>
      <x:c r="C46" s="22" t="str">
        <x:v>Marzo</x:v>
      </x:c>
      <x:c r="D46" s="22" t="str">
        <x:v>P05</x:v>
      </x:c>
      <x:c r="E46" s="22" t="str">
        <x:v>% mantenimientos preventivos ejecutados</x:v>
      </x:c>
      <x:c r="F46" s="22" t="str">
        <x:v>Proceso</x:v>
      </x:c>
      <x:c r="G46" s="22" t="str">
        <x:v>Mensual</x:v>
      </x:c>
      <x:c r="H46" s="40" t="n">
        <x:v>90</x:v>
      </x:c>
      <x:c r="I46" s="22" t="str">
        <x:v>Mayor es mejor</x:v>
      </x:c>
      <x:c r="J46" s="40" t="n">
        <x:v>14</x:v>
      </x:c>
      <x:c r="K46" s="40" t="n">
        <x:v>15</x:v>
      </x:c>
      <x:c r="L46" s="40" t="n">
        <x:v>100</x:v>
      </x:c>
      <x:c r="M46" s="40" t="n">
        <x:f>IF(OR(J46="",K46="",K46=0),"",J46/K46*L46)</x:f>
        <x:v>93.33333333333333</x:v>
      </x:c>
      <x:c r="N46" s="22" t="str">
        <x:f>IF(M46="","",IF(I46="Mayor es mejor",IF(M46&gt;=H46,"En meta",IF(M46&gt;=H46*0.9,"Alerta","Crítico")),IF(M46&lt;=H46,"En meta",IF(M46&lt;=H46*1.1,"Alerta","Crítico"))))</x:f>
        <x:v>En meta</x:v>
      </x:c>
      <x:c r="O46" s="22" t="str">
        <x:v>%</x:v>
      </x:c>
      <x:c r="P46" s="22" t="str">
        <x:v>Mantenimiento / Líder SG-SST</x:v>
      </x:c>
      <x:c r="Q46" s="22" t="str">
        <x:v>Programa de mantenimiento preventivo</x:v>
      </x:c>
      <x:c r="R46" s="22" t="str"/>
    </x:row>
    <x:row r="47">
      <x:c r="A47" s="46" t="n">
        <x:v>46112</x:v>
      </x:c>
      <x:c r="B47" s="22" t="n">
        <x:v>2026</x:v>
      </x:c>
      <x:c r="C47" s="22" t="str">
        <x:v>Marzo</x:v>
      </x:c>
      <x:c r="D47" s="22" t="str">
        <x:v>R01</x:v>
      </x:c>
      <x:c r="E47" s="22" t="str">
        <x:v>Índice de frecuencia de accidentalidad (IF)</x:v>
      </x:c>
      <x:c r="F47" s="22" t="str">
        <x:v>Resultado</x:v>
      </x:c>
      <x:c r="G47" s="22" t="str">
        <x:v>Mensual</x:v>
      </x:c>
      <x:c r="H47" s="40" t="n">
        <x:v>3.5</x:v>
      </x:c>
      <x:c r="I47" s="22" t="str">
        <x:v>Menor es mejor</x:v>
      </x:c>
      <x:c r="J47" s="40" t="n">
        <x:v>1</x:v>
      </x:c>
      <x:c r="K47" s="40" t="n">
        <x:v>59124</x:v>
      </x:c>
      <x:c r="L47" s="40" t="n">
        <x:v>200000</x:v>
      </x:c>
      <x:c r="M47" s="40" t="n">
        <x:f>IF(OR(J47="",K47="",K47=0),"",J47/K47*L47)</x:f>
        <x:v>3.382721060821325</x:v>
      </x:c>
      <x:c r="N47" s="22" t="str">
        <x:f>IF(M47="","",IF(I47="Mayor es mejor",IF(M47&gt;=H47,"En meta",IF(M47&gt;=H47*0.9,"Alerta","Crítico")),IF(M47&lt;=H47,"En meta",IF(M47&lt;=H47*1.1,"Alerta","Crítico"))))</x:f>
        <x:v>En meta</x:v>
      </x:c>
      <x:c r="O47" s="22" t="str">
        <x:v>Índice</x:v>
      </x:c>
      <x:c r="P47" s="22" t="str">
        <x:v>Líder SG-SST</x:v>
      </x:c>
      <x:c r="Q47" s="22" t="str">
        <x:v>Matriz de accidentalidad / nómina</x:v>
      </x:c>
      <x:c r="R47" s="22" t="str"/>
    </x:row>
    <x:row r="48">
      <x:c r="A48" s="46" t="n">
        <x:v>46112</x:v>
      </x:c>
      <x:c r="B48" s="22" t="n">
        <x:v>2026</x:v>
      </x:c>
      <x:c r="C48" s="22" t="str">
        <x:v>Marzo</x:v>
      </x:c>
      <x:c r="D48" s="22" t="str">
        <x:v>R02</x:v>
      </x:c>
      <x:c r="E48" s="22" t="str">
        <x:v>Índice de severidad de accidentalidad (IS)</x:v>
      </x:c>
      <x:c r="F48" s="22" t="str">
        <x:v>Resultado</x:v>
      </x:c>
      <x:c r="G48" s="22" t="str">
        <x:v>Mensual</x:v>
      </x:c>
      <x:c r="H48" s="40" t="n">
        <x:v>80</x:v>
      </x:c>
      <x:c r="I48" s="22" t="str">
        <x:v>Menor es mejor</x:v>
      </x:c>
      <x:c r="J48" s="40" t="n">
        <x:v>11</x:v>
      </x:c>
      <x:c r="K48" s="40" t="n">
        <x:v>59124</x:v>
      </x:c>
      <x:c r="L48" s="40" t="n">
        <x:v>200000</x:v>
      </x:c>
      <x:c r="M48" s="40" t="n">
        <x:f>IF(OR(J48="",K48="",K48=0),"",J48/K48*L48)</x:f>
        <x:v>37.20993166903457</x:v>
      </x:c>
      <x:c r="N48" s="22" t="str">
        <x:f>IF(M48="","",IF(I48="Mayor es mejor",IF(M48&gt;=H48,"En meta",IF(M48&gt;=H48*0.9,"Alerta","Crítico")),IF(M48&lt;=H48,"En meta",IF(M48&lt;=H48*1.1,"Alerta","Crítico"))))</x:f>
        <x:v>En meta</x:v>
      </x:c>
      <x:c r="O48" s="22" t="str">
        <x:v>Índice</x:v>
      </x:c>
      <x:c r="P48" s="22" t="str">
        <x:v>Líder SG-SST</x:v>
      </x:c>
      <x:c r="Q48" s="22" t="str">
        <x:v>Matriz de accidentalidad / nómina</x:v>
      </x:c>
      <x:c r="R48" s="22" t="str"/>
    </x:row>
    <x:row r="49">
      <x:c r="A49" s="46" t="n">
        <x:v>46112</x:v>
      </x:c>
      <x:c r="B49" s="22" t="n">
        <x:v>2026</x:v>
      </x:c>
      <x:c r="C49" s="22" t="str">
        <x:v>Marzo</x:v>
      </x:c>
      <x:c r="D49" s="22" t="str">
        <x:v>R03</x:v>
      </x:c>
      <x:c r="E49" s="22" t="str">
        <x:v>Índice de lesión incapacitante (ILI)</x:v>
      </x:c>
      <x:c r="F49" s="22" t="str">
        <x:v>Resultado</x:v>
      </x:c>
      <x:c r="G49" s="22" t="str">
        <x:v>Mensual</x:v>
      </x:c>
      <x:c r="H49" s="40" t="n">
        <x:v>0.25</x:v>
      </x:c>
      <x:c r="I49" s="22" t="str">
        <x:v>Menor es mejor</x:v>
      </x:c>
      <x:c r="J49" s="40" t="n">
        <x:v>125.8708</x:v>
      </x:c>
      <x:c r="K49" s="40" t="n">
        <x:v>1000</x:v>
      </x:c>
      <x:c r="L49" s="40" t="n">
        <x:v>1</x:v>
      </x:c>
      <x:c r="M49" s="40" t="n">
        <x:f>IF(OR(J49="",K49="",K49=0),"",J49/K49*L49)</x:f>
        <x:v>0.1258708</x:v>
      </x:c>
      <x:c r="N49" s="22" t="str">
        <x:f>IF(M49="","",IF(I49="Mayor es mejor",IF(M49&gt;=H49,"En meta",IF(M49&gt;=H49*0.9,"Alerta","Crítico")),IF(M49&lt;=H49,"En meta",IF(M49&lt;=H49*1.1,"Alerta","Crítico"))))</x:f>
        <x:v>En meta</x:v>
      </x:c>
      <x:c r="O49" s="22" t="str">
        <x:v>Índice</x:v>
      </x:c>
      <x:c r="P49" s="22" t="str">
        <x:v>Líder SG-SST</x:v>
      </x:c>
      <x:c r="Q49" s="22" t="str">
        <x:v>Indicadores derivados de accidentalidad</x:v>
      </x:c>
      <x:c r="R49" s="22" t="str">
        <x:v>ILI calculado sobre IF e IS del periodo.</x:v>
      </x:c>
    </x:row>
    <x:row r="50">
      <x:c r="A50" s="46" t="n">
        <x:v>46112</x:v>
      </x:c>
      <x:c r="B50" s="22" t="n">
        <x:v>2026</x:v>
      </x:c>
      <x:c r="C50" s="22" t="str">
        <x:v>Marzo</x:v>
      </x:c>
      <x:c r="D50" s="22" t="str">
        <x:v>R04</x:v>
      </x:c>
      <x:c r="E50" s="22" t="str">
        <x:v>Tasa de accidentalidad</x:v>
      </x:c>
      <x:c r="F50" s="22" t="str">
        <x:v>Resultado</x:v>
      </x:c>
      <x:c r="G50" s="22" t="str">
        <x:v>Mensual</x:v>
      </x:c>
      <x:c r="H50" s="40" t="n">
        <x:v>0.6</x:v>
      </x:c>
      <x:c r="I50" s="22" t="str">
        <x:v>Menor es mejor</x:v>
      </x:c>
      <x:c r="J50" s="40" t="n">
        <x:v>4.65</x:v>
      </x:c>
      <x:c r="K50" s="40" t="n">
        <x:v>251</x:v>
      </x:c>
      <x:c r="L50" s="40" t="n">
        <x:v>100</x:v>
      </x:c>
      <x:c r="M50" s="40" t="n">
        <x:f>IF(OR(J50="",K50="",K50=0),"",J50/K50*L50)</x:f>
        <x:v>1.852589641434263</x:v>
      </x:c>
      <x:c r="N50" s="22" t="str">
        <x:f>IF(M50="","",IF(I50="Mayor es mejor",IF(M50&gt;=H50,"En meta",IF(M50&gt;=H50*0.9,"Alerta","Crítico")),IF(M50&lt;=H50,"En meta",IF(M50&lt;=H50*1.1,"Alerta","Crítico"))))</x:f>
        <x:v>Crítico</x:v>
      </x:c>
      <x:c r="O50" s="22" t="str">
        <x:v>%</x:v>
      </x:c>
      <x:c r="P50" s="22" t="str">
        <x:v>Líder SG-SST</x:v>
      </x:c>
      <x:c r="Q50" s="22" t="str">
        <x:v>Matriz de accidentalidad / nómina</x:v>
      </x:c>
      <x:c r="R50" s="22" t="str"/>
    </x:row>
    <x:row r="51">
      <x:c r="A51" s="46" t="n">
        <x:v>46112</x:v>
      </x:c>
      <x:c r="B51" s="22" t="n">
        <x:v>2026</x:v>
      </x:c>
      <x:c r="C51" s="22" t="str">
        <x:v>Marzo</x:v>
      </x:c>
      <x:c r="D51" s="22" t="str">
        <x:v>R05</x:v>
      </x:c>
      <x:c r="E51" s="22" t="str">
        <x:v>Prevalencia de enfermedad laboral</x:v>
      </x:c>
      <x:c r="F51" s="22" t="str">
        <x:v>Resultado</x:v>
      </x:c>
      <x:c r="G51" s="22" t="str">
        <x:v>Mensual</x:v>
      </x:c>
      <x:c r="H51" s="40" t="n">
        <x:v>0.3</x:v>
      </x:c>
      <x:c r="I51" s="22" t="str">
        <x:v>Menor es mejor</x:v>
      </x:c>
      <x:c r="J51" s="40" t="n">
        <x:v>0.03</x:v>
      </x:c>
      <x:c r="K51" s="40" t="n">
        <x:v>251</x:v>
      </x:c>
      <x:c r="L51" s="40" t="n">
        <x:v>100</x:v>
      </x:c>
      <x:c r="M51" s="40" t="n">
        <x:f>IF(OR(J51="",K51="",K51=0),"",J51/K51*L51)</x:f>
        <x:v>0.01195219123505976</x:v>
      </x:c>
      <x:c r="N51" s="22" t="str">
        <x:f>IF(M51="","",IF(I51="Mayor es mejor",IF(M51&gt;=H51,"En meta",IF(M51&gt;=H51*0.9,"Alerta","Crítico")),IF(M51&lt;=H51,"En meta",IF(M51&lt;=H51*1.1,"Alerta","Crítico"))))</x:f>
        <x:v>En meta</x:v>
      </x:c>
      <x:c r="O51" s="22" t="str">
        <x:v>%</x:v>
      </x:c>
      <x:c r="P51" s="22" t="str">
        <x:v>Líder SG-SST / Medicina laboral</x:v>
      </x:c>
      <x:c r="Q51" s="22" t="str">
        <x:v>Matriz de enfermedad laboral / nómina</x:v>
      </x:c>
      <x:c r="R51" s="22" t="str"/>
    </x:row>
    <x:row r="52">
      <x:c r="A52" s="46" t="n">
        <x:v>46112</x:v>
      </x:c>
      <x:c r="B52" s="22" t="n">
        <x:v>2026</x:v>
      </x:c>
      <x:c r="C52" s="22" t="str">
        <x:v>Marzo</x:v>
      </x:c>
      <x:c r="D52" s="22" t="str">
        <x:v>R06</x:v>
      </x:c>
      <x:c r="E52" s="22" t="str">
        <x:v>% cumplimiento de estándares mínimos Res. 0312 de 2019</x:v>
      </x:c>
      <x:c r="F52" s="22" t="str">
        <x:v>Resultado</x:v>
      </x:c>
      <x:c r="G52" s="22" t="str">
        <x:v>Mensual</x:v>
      </x:c>
      <x:c r="H52" s="40" t="n">
        <x:v>95</x:v>
      </x:c>
      <x:c r="I52" s="22" t="str">
        <x:v>Mayor es mejor</x:v>
      </x:c>
      <x:c r="J52" s="40" t="n">
        <x:v>99</x:v>
      </x:c>
      <x:c r="K52" s="40" t="n">
        <x:v>100</x:v>
      </x:c>
      <x:c r="L52" s="40" t="n">
        <x:v>100</x:v>
      </x:c>
      <x:c r="M52" s="40" t="n">
        <x:f>IF(OR(J52="",K52="",K52=0),"",J52/K52*L52)</x:f>
        <x:v>99</x:v>
      </x:c>
      <x:c r="N52" s="22" t="str">
        <x:f>IF(M52="","",IF(I52="Mayor es mejor",IF(M52&gt;=H52,"En meta",IF(M52&gt;=H52*0.9,"Alerta","Crítico")),IF(M52&lt;=H52,"En meta",IF(M52&lt;=H52*1.1,"Alerta","Crítico"))))</x:f>
        <x:v>En meta</x:v>
      </x:c>
      <x:c r="O52" s="22" t="str">
        <x:v>%</x:v>
      </x:c>
      <x:c r="P52" s="22" t="str">
        <x:v>Líder SG-SST / Alta Dirección</x:v>
      </x:c>
      <x:c r="Q52" s="22" t="str">
        <x:v>Autodiagnóstico Res. 0312 de 2019</x:v>
      </x:c>
      <x:c r="R52" s="22" t="str"/>
    </x:row>
    <x:row r="53">
      <x:c r="A53" s="46" t="n">
        <x:v>46142</x:v>
      </x:c>
      <x:c r="B53" s="22" t="n">
        <x:v>2026</x:v>
      </x:c>
      <x:c r="C53" s="22" t="str">
        <x:v>Abril</x:v>
      </x:c>
      <x:c r="D53" s="22" t="str">
        <x:v>E01</x:v>
      </x:c>
      <x:c r="E53" s="22" t="str">
        <x:v>% ejecución presupuestal del SG-SST</x:v>
      </x:c>
      <x:c r="F53" s="22" t="str">
        <x:v>Estructura</x:v>
      </x:c>
      <x:c r="G53" s="22" t="str">
        <x:v>Mensual</x:v>
      </x:c>
      <x:c r="H53" s="40" t="n">
        <x:v>95</x:v>
      </x:c>
      <x:c r="I53" s="22" t="str">
        <x:v>Mayor es mejor</x:v>
      </x:c>
      <x:c r="J53" s="40" t="n">
        <x:v>5758681</x:v>
      </x:c>
      <x:c r="K53" s="40" t="n">
        <x:v>6000000</x:v>
      </x:c>
      <x:c r="L53" s="40" t="n">
        <x:v>100</x:v>
      </x:c>
      <x:c r="M53" s="40" t="n">
        <x:f>IF(OR(J53="",K53="",K53=0),"",J53/K53*L53)</x:f>
        <x:v>95.97801666666666</x:v>
      </x:c>
      <x:c r="N53" s="22" t="str">
        <x:f>IF(M53="","",IF(I53="Mayor es mejor",IF(M53&gt;=H53,"En meta",IF(M53&gt;=H53*0.9,"Alerta","Crítico")),IF(M53&lt;=H53,"En meta",IF(M53&lt;=H53*1.1,"Alerta","Crítico"))))</x:f>
        <x:v>En meta</x:v>
      </x:c>
      <x:c r="O53" s="22" t="str">
        <x:v>%</x:v>
      </x:c>
      <x:c r="P53" s="22" t="str">
        <x:v>Líder SG-SST / Dirección Administrativa</x:v>
      </x:c>
      <x:c r="Q53" s="22" t="str">
        <x:v>Presupuesto SST</x:v>
      </x:c>
      <x:c r="R53" s="22" t="str"/>
    </x:row>
    <x:row r="54">
      <x:c r="A54" s="46" t="n">
        <x:v>46142</x:v>
      </x:c>
      <x:c r="B54" s="22" t="n">
        <x:v>2026</x:v>
      </x:c>
      <x:c r="C54" s="22" t="str">
        <x:v>Abril</x:v>
      </x:c>
      <x:c r="D54" s="22" t="str">
        <x:v>E02</x:v>
      </x:c>
      <x:c r="E54" s="22" t="str">
        <x:v>% cobertura del plan de formación y capacitación SG-SST</x:v>
      </x:c>
      <x:c r="F54" s="22" t="str">
        <x:v>Estructura</x:v>
      </x:c>
      <x:c r="G54" s="22" t="str">
        <x:v>Mensual</x:v>
      </x:c>
      <x:c r="H54" s="40" t="n">
        <x:v>90</x:v>
      </x:c>
      <x:c r="I54" s="22" t="str">
        <x:v>Mayor es mejor</x:v>
      </x:c>
      <x:c r="J54" s="40" t="n">
        <x:v>17</x:v>
      </x:c>
      <x:c r="K54" s="40" t="n">
        <x:v>18</x:v>
      </x:c>
      <x:c r="L54" s="40" t="n">
        <x:v>100</x:v>
      </x:c>
      <x:c r="M54" s="40" t="n">
        <x:f>IF(OR(J54="",K54="",K54=0),"",J54/K54*L54)</x:f>
        <x:v>94.44444444444444</x:v>
      </x:c>
      <x:c r="N54" s="22" t="str">
        <x:f>IF(M54="","",IF(I54="Mayor es mejor",IF(M54&gt;=H54,"En meta",IF(M54&gt;=H54*0.9,"Alerta","Crítico")),IF(M54&lt;=H54,"En meta",IF(M54&lt;=H54*1.1,"Alerta","Crítico"))))</x:f>
        <x:v>En meta</x:v>
      </x:c>
      <x:c r="O54" s="22" t="str">
        <x:v>%</x:v>
      </x:c>
      <x:c r="P54" s="22" t="str">
        <x:v>Líder SG-SST / Talento Humano</x:v>
      </x:c>
      <x:c r="Q54" s="22" t="str">
        <x:v>Plan de formación y capacitaciones</x:v>
      </x:c>
      <x:c r="R54" s="22" t="str"/>
    </x:row>
    <x:row r="55">
      <x:c r="A55" s="46" t="n">
        <x:v>46142</x:v>
      </x:c>
      <x:c r="B55" s="22" t="n">
        <x:v>2026</x:v>
      </x:c>
      <x:c r="C55" s="22" t="str">
        <x:v>Abril</x:v>
      </x:c>
      <x:c r="D55" s="22" t="str">
        <x:v>E03</x:v>
      </x:c>
      <x:c r="E55" s="22" t="str">
        <x:v>% trabajadores con exámenes médicos ocupacionales vigentes</x:v>
      </x:c>
      <x:c r="F55" s="22" t="str">
        <x:v>Estructura</x:v>
      </x:c>
      <x:c r="G55" s="22" t="str">
        <x:v>Mensual</x:v>
      </x:c>
      <x:c r="H55" s="40" t="n">
        <x:v>95</x:v>
      </x:c>
      <x:c r="I55" s="22" t="str">
        <x:v>Mayor es mejor</x:v>
      </x:c>
      <x:c r="J55" s="40" t="n">
        <x:v>256</x:v>
      </x:c>
      <x:c r="K55" s="40" t="n">
        <x:v>260</x:v>
      </x:c>
      <x:c r="L55" s="40" t="n">
        <x:v>100</x:v>
      </x:c>
      <x:c r="M55" s="40" t="n">
        <x:f>IF(OR(J55="",K55="",K55=0),"",J55/K55*L55)</x:f>
        <x:v>98.46153846153847</x:v>
      </x:c>
      <x:c r="N55" s="22" t="str">
        <x:f>IF(M55="","",IF(I55="Mayor es mejor",IF(M55&gt;=H55,"En meta",IF(M55&gt;=H55*0.9,"Alerta","Crítico")),IF(M55&lt;=H55,"En meta",IF(M55&lt;=H55*1.1,"Alerta","Crítico"))))</x:f>
        <x:v>En meta</x:v>
      </x:c>
      <x:c r="O55" s="22" t="str">
        <x:v>%</x:v>
      </x:c>
      <x:c r="P55" s="22" t="str">
        <x:v>Líder SG-SST / Talento Humano</x:v>
      </x:c>
      <x:c r="Q55" s="22" t="str">
        <x:v>Matriz de seguimiento EMO</x:v>
      </x:c>
      <x:c r="R55" s="22" t="str"/>
    </x:row>
    <x:row r="56">
      <x:c r="A56" s="46" t="n">
        <x:v>46142</x:v>
      </x:c>
      <x:c r="B56" s="22" t="n">
        <x:v>2026</x:v>
      </x:c>
      <x:c r="C56" s="22" t="str">
        <x:v>Abril</x:v>
      </x:c>
      <x:c r="D56" s="22" t="str">
        <x:v>E04</x:v>
      </x:c>
      <x:c r="E56" s="22" t="str">
        <x:v>% cumplimiento de requisitos legales aplicables en SST</x:v>
      </x:c>
      <x:c r="F56" s="22" t="str">
        <x:v>Estructura</x:v>
      </x:c>
      <x:c r="G56" s="22" t="str">
        <x:v>Mensual</x:v>
      </x:c>
      <x:c r="H56" s="40" t="n">
        <x:v>95</x:v>
      </x:c>
      <x:c r="I56" s="22" t="str">
        <x:v>Mayor es mejor</x:v>
      </x:c>
      <x:c r="J56" s="40" t="n">
        <x:v>60</x:v>
      </x:c>
      <x:c r="K56" s="40" t="n">
        <x:v>60</x:v>
      </x:c>
      <x:c r="L56" s="40" t="n">
        <x:v>100</x:v>
      </x:c>
      <x:c r="M56" s="40" t="n">
        <x:f>IF(OR(J56="",K56="",K56=0),"",J56/K56*L56)</x:f>
        <x:v>100</x:v>
      </x:c>
      <x:c r="N56" s="22" t="str">
        <x:f>IF(M56="","",IF(I56="Mayor es mejor",IF(M56&gt;=H56,"En meta",IF(M56&gt;=H56*0.9,"Alerta","Crítico")),IF(M56&lt;=H56,"En meta",IF(M56&lt;=H56*1.1,"Alerta","Crítico"))))</x:f>
        <x:v>En meta</x:v>
      </x:c>
      <x:c r="O56" s="22" t="str">
        <x:v>%</x:v>
      </x:c>
      <x:c r="P56" s="22" t="str">
        <x:v>Líder SG-SST / Jurídica</x:v>
      </x:c>
      <x:c r="Q56" s="22" t="str">
        <x:v>Matriz legal SGRL</x:v>
      </x:c>
      <x:c r="R56" s="22" t="str"/>
    </x:row>
    <x:row r="57">
      <x:c r="A57" s="46" t="n">
        <x:v>46142</x:v>
      </x:c>
      <x:c r="B57" s="22" t="n">
        <x:v>2026</x:v>
      </x:c>
      <x:c r="C57" s="22" t="str">
        <x:v>Abril</x:v>
      </x:c>
      <x:c r="D57" s="22" t="str">
        <x:v>E05</x:v>
      </x:c>
      <x:c r="E57" s="22" t="str">
        <x:v>% proveedores y contratistas aprobados en SST</x:v>
      </x:c>
      <x:c r="F57" s="22" t="str">
        <x:v>Estructura</x:v>
      </x:c>
      <x:c r="G57" s="22" t="str">
        <x:v>Mensual</x:v>
      </x:c>
      <x:c r="H57" s="40" t="n">
        <x:v>90</x:v>
      </x:c>
      <x:c r="I57" s="22" t="str">
        <x:v>Mayor es mejor</x:v>
      </x:c>
      <x:c r="J57" s="40" t="n">
        <x:v>19</x:v>
      </x:c>
      <x:c r="K57" s="40" t="n">
        <x:v>20</x:v>
      </x:c>
      <x:c r="L57" s="40" t="n">
        <x:v>100</x:v>
      </x:c>
      <x:c r="M57" s="40" t="n">
        <x:f>IF(OR(J57="",K57="",K57=0),"",J57/K57*L57)</x:f>
        <x:v>95</x:v>
      </x:c>
      <x:c r="N57" s="22" t="str">
        <x:f>IF(M57="","",IF(I57="Mayor es mejor",IF(M57&gt;=H57,"En meta",IF(M57&gt;=H57*0.9,"Alerta","Crítico")),IF(M57&lt;=H57,"En meta",IF(M57&lt;=H57*1.1,"Alerta","Crítico"))))</x:f>
        <x:v>En meta</x:v>
      </x:c>
      <x:c r="O57" s="22" t="str">
        <x:v>%</x:v>
      </x:c>
      <x:c r="P57" s="22" t="str">
        <x:v>Compras / Líder SG-SST</x:v>
      </x:c>
      <x:c r="Q57" s="22" t="str">
        <x:v>Gestión de proveedores y contratistas</x:v>
      </x:c>
      <x:c r="R57" s="22" t="str"/>
    </x:row>
    <x:row r="58">
      <x:c r="A58" s="46" t="n">
        <x:v>46142</x:v>
      </x:c>
      <x:c r="B58" s="22" t="n">
        <x:v>2026</x:v>
      </x:c>
      <x:c r="C58" s="22" t="str">
        <x:v>Abril</x:v>
      </x:c>
      <x:c r="D58" s="22" t="str">
        <x:v>P01</x:v>
      </x:c>
      <x:c r="E58" s="22" t="str">
        <x:v>% ejecución del plan anual de trabajo SG-SST</x:v>
      </x:c>
      <x:c r="F58" s="22" t="str">
        <x:v>Proceso</x:v>
      </x:c>
      <x:c r="G58" s="22" t="str">
        <x:v>Mensual</x:v>
      </x:c>
      <x:c r="H58" s="40" t="n">
        <x:v>90</x:v>
      </x:c>
      <x:c r="I58" s="22" t="str">
        <x:v>Mayor es mejor</x:v>
      </x:c>
      <x:c r="J58" s="40" t="n">
        <x:v>11</x:v>
      </x:c>
      <x:c r="K58" s="40" t="n">
        <x:v>12</x:v>
      </x:c>
      <x:c r="L58" s="40" t="n">
        <x:v>100</x:v>
      </x:c>
      <x:c r="M58" s="40" t="n">
        <x:f>IF(OR(J58="",K58="",K58=0),"",J58/K58*L58)</x:f>
        <x:v>91.66666666666666</x:v>
      </x:c>
      <x:c r="N58" s="22" t="str">
        <x:f>IF(M58="","",IF(I58="Mayor es mejor",IF(M58&gt;=H58,"En meta",IF(M58&gt;=H58*0.9,"Alerta","Crítico")),IF(M58&lt;=H58,"En meta",IF(M58&lt;=H58*1.1,"Alerta","Crítico"))))</x:f>
        <x:v>En meta</x:v>
      </x:c>
      <x:c r="O58" s="22" t="str">
        <x:v>%</x:v>
      </x:c>
      <x:c r="P58" s="22" t="str">
        <x:v>Líder SG-SST</x:v>
      </x:c>
      <x:c r="Q58" s="22" t="str">
        <x:v>Plan anual de trabajo PHVA</x:v>
      </x:c>
      <x:c r="R58" s="22" t="str"/>
    </x:row>
    <x:row r="59">
      <x:c r="A59" s="46" t="n">
        <x:v>46142</x:v>
      </x:c>
      <x:c r="B59" s="22" t="n">
        <x:v>2026</x:v>
      </x:c>
      <x:c r="C59" s="22" t="str">
        <x:v>Abril</x:v>
      </x:c>
      <x:c r="D59" s="22" t="str">
        <x:v>P02</x:v>
      </x:c>
      <x:c r="E59" s="22" t="str">
        <x:v>% investigaciones de accidentes realizadas oportunamente</x:v>
      </x:c>
      <x:c r="F59" s="22" t="str">
        <x:v>Proceso</x:v>
      </x:c>
      <x:c r="G59" s="22" t="str">
        <x:v>Mensual</x:v>
      </x:c>
      <x:c r="H59" s="40" t="n">
        <x:v>95</x:v>
      </x:c>
      <x:c r="I59" s="22" t="str">
        <x:v>Mayor es mejor</x:v>
      </x:c>
      <x:c r="J59" s="40" t="n">
        <x:v>1</x:v>
      </x:c>
      <x:c r="K59" s="40" t="n">
        <x:v>1</x:v>
      </x:c>
      <x:c r="L59" s="40" t="n">
        <x:v>100</x:v>
      </x:c>
      <x:c r="M59" s="40" t="n">
        <x:f>IF(OR(J59="",K59="",K59=0),"",J59/K59*L59)</x:f>
        <x:v>100</x:v>
      </x:c>
      <x:c r="N59" s="22" t="str">
        <x:f>IF(M59="","",IF(I59="Mayor es mejor",IF(M59&gt;=H59,"En meta",IF(M59&gt;=H59*0.9,"Alerta","Crítico")),IF(M59&lt;=H59,"En meta",IF(M59&lt;=H59*1.1,"Alerta","Crítico"))))</x:f>
        <x:v>En meta</x:v>
      </x:c>
      <x:c r="O59" s="22" t="str">
        <x:v>%</x:v>
      </x:c>
      <x:c r="P59" s="22" t="str">
        <x:v>Líder SG-SST / COPASST</x:v>
      </x:c>
      <x:c r="Q59" s="22" t="str">
        <x:v>Matriz de accidentalidad</x:v>
      </x:c>
      <x:c r="R59" s="22" t="str"/>
    </x:row>
    <x:row r="60">
      <x:c r="A60" s="46" t="n">
        <x:v>46142</x:v>
      </x:c>
      <x:c r="B60" s="22" t="n">
        <x:v>2026</x:v>
      </x:c>
      <x:c r="C60" s="22" t="str">
        <x:v>Abril</x:v>
      </x:c>
      <x:c r="D60" s="22" t="str">
        <x:v>P03</x:v>
      </x:c>
      <x:c r="E60" s="22" t="str">
        <x:v>% cierre oportuno de acciones correctivas, preventivas y de mejora</x:v>
      </x:c>
      <x:c r="F60" s="22" t="str">
        <x:v>Proceso</x:v>
      </x:c>
      <x:c r="G60" s="22" t="str">
        <x:v>Mensual</x:v>
      </x:c>
      <x:c r="H60" s="40" t="n">
        <x:v>90</x:v>
      </x:c>
      <x:c r="I60" s="22" t="str">
        <x:v>Mayor es mejor</x:v>
      </x:c>
      <x:c r="J60" s="40" t="n">
        <x:v>13</x:v>
      </x:c>
      <x:c r="K60" s="40" t="n">
        <x:v>14</x:v>
      </x:c>
      <x:c r="L60" s="40" t="n">
        <x:v>100</x:v>
      </x:c>
      <x:c r="M60" s="40" t="n">
        <x:f>IF(OR(J60="",K60="",K60=0),"",J60/K60*L60)</x:f>
        <x:v>92.85714285714286</x:v>
      </x:c>
      <x:c r="N60" s="22" t="str">
        <x:f>IF(M60="","",IF(I60="Mayor es mejor",IF(M60&gt;=H60,"En meta",IF(M60&gt;=H60*0.9,"Alerta","Crítico")),IF(M60&lt;=H60,"En meta",IF(M60&lt;=H60*1.1,"Alerta","Crítico"))))</x:f>
        <x:v>En meta</x:v>
      </x:c>
      <x:c r="O60" s="22" t="str">
        <x:v>%</x:v>
      </x:c>
      <x:c r="P60" s="22" t="str">
        <x:v>Líder SG-SST / Responsables de proceso</x:v>
      </x:c>
      <x:c r="Q60" s="22" t="str">
        <x:v>Matriz APCM</x:v>
      </x:c>
      <x:c r="R60" s="22" t="str"/>
    </x:row>
    <x:row r="61">
      <x:c r="A61" s="46" t="n">
        <x:v>46142</x:v>
      </x:c>
      <x:c r="B61" s="22" t="n">
        <x:v>2026</x:v>
      </x:c>
      <x:c r="C61" s="22" t="str">
        <x:v>Abril</x:v>
      </x:c>
      <x:c r="D61" s="22" t="str">
        <x:v>P04</x:v>
      </x:c>
      <x:c r="E61" s="22" t="str">
        <x:v>% inspecciones de seguridad ejecutadas</x:v>
      </x:c>
      <x:c r="F61" s="22" t="str">
        <x:v>Proceso</x:v>
      </x:c>
      <x:c r="G61" s="22" t="str">
        <x:v>Mensual</x:v>
      </x:c>
      <x:c r="H61" s="40" t="n">
        <x:v>90</x:v>
      </x:c>
      <x:c r="I61" s="22" t="str">
        <x:v>Mayor es mejor</x:v>
      </x:c>
      <x:c r="J61" s="40" t="n">
        <x:v>8</x:v>
      </x:c>
      <x:c r="K61" s="40" t="n">
        <x:v>8</x:v>
      </x:c>
      <x:c r="L61" s="40" t="n">
        <x:v>100</x:v>
      </x:c>
      <x:c r="M61" s="40" t="n">
        <x:f>IF(OR(J61="",K61="",K61=0),"",J61/K61*L61)</x:f>
        <x:v>100</x:v>
      </x:c>
      <x:c r="N61" s="22" t="str">
        <x:f>IF(M61="","",IF(I61="Mayor es mejor",IF(M61&gt;=H61,"En meta",IF(M61&gt;=H61*0.9,"Alerta","Crítico")),IF(M61&lt;=H61,"En meta",IF(M61&lt;=H61*1.1,"Alerta","Crítico"))))</x:f>
        <x:v>En meta</x:v>
      </x:c>
      <x:c r="O61" s="22" t="str">
        <x:v>%</x:v>
      </x:c>
      <x:c r="P61" s="22" t="str">
        <x:v>Líder SG-SST / Supervisores</x:v>
      </x:c>
      <x:c r="Q61" s="22" t="str">
        <x:v>Programa de inspecciones</x:v>
      </x:c>
      <x:c r="R61" s="22" t="str"/>
    </x:row>
    <x:row r="62">
      <x:c r="A62" s="46" t="n">
        <x:v>46142</x:v>
      </x:c>
      <x:c r="B62" s="22" t="n">
        <x:v>2026</x:v>
      </x:c>
      <x:c r="C62" s="22" t="str">
        <x:v>Abril</x:v>
      </x:c>
      <x:c r="D62" s="22" t="str">
        <x:v>P05</x:v>
      </x:c>
      <x:c r="E62" s="22" t="str">
        <x:v>% mantenimientos preventivos ejecutados</x:v>
      </x:c>
      <x:c r="F62" s="22" t="str">
        <x:v>Proceso</x:v>
      </x:c>
      <x:c r="G62" s="22" t="str">
        <x:v>Mensual</x:v>
      </x:c>
      <x:c r="H62" s="40" t="n">
        <x:v>90</x:v>
      </x:c>
      <x:c r="I62" s="22" t="str">
        <x:v>Mayor es mejor</x:v>
      </x:c>
      <x:c r="J62" s="40" t="n">
        <x:v>11</x:v>
      </x:c>
      <x:c r="K62" s="40" t="n">
        <x:v>12</x:v>
      </x:c>
      <x:c r="L62" s="40" t="n">
        <x:v>100</x:v>
      </x:c>
      <x:c r="M62" s="40" t="n">
        <x:f>IF(OR(J62="",K62="",K62=0),"",J62/K62*L62)</x:f>
        <x:v>91.66666666666666</x:v>
      </x:c>
      <x:c r="N62" s="22" t="str">
        <x:f>IF(M62="","",IF(I62="Mayor es mejor",IF(M62&gt;=H62,"En meta",IF(M62&gt;=H62*0.9,"Alerta","Crítico")),IF(M62&lt;=H62,"En meta",IF(M62&lt;=H62*1.1,"Alerta","Crítico"))))</x:f>
        <x:v>En meta</x:v>
      </x:c>
      <x:c r="O62" s="22" t="str">
        <x:v>%</x:v>
      </x:c>
      <x:c r="P62" s="22" t="str">
        <x:v>Mantenimiento / Líder SG-SST</x:v>
      </x:c>
      <x:c r="Q62" s="22" t="str">
        <x:v>Programa de mantenimiento preventivo</x:v>
      </x:c>
      <x:c r="R62" s="22" t="str"/>
    </x:row>
    <x:row r="63">
      <x:c r="A63" s="46" t="n">
        <x:v>46142</x:v>
      </x:c>
      <x:c r="B63" s="22" t="n">
        <x:v>2026</x:v>
      </x:c>
      <x:c r="C63" s="22" t="str">
        <x:v>Abril</x:v>
      </x:c>
      <x:c r="D63" s="22" t="str">
        <x:v>R01</x:v>
      </x:c>
      <x:c r="E63" s="22" t="str">
        <x:v>Índice de frecuencia de accidentalidad (IF)</x:v>
      </x:c>
      <x:c r="F63" s="22" t="str">
        <x:v>Resultado</x:v>
      </x:c>
      <x:c r="G63" s="22" t="str">
        <x:v>Mensual</x:v>
      </x:c>
      <x:c r="H63" s="40" t="n">
        <x:v>3.5</x:v>
      </x:c>
      <x:c r="I63" s="22" t="str">
        <x:v>Menor es mejor</x:v>
      </x:c>
      <x:c r="J63" s="40" t="n">
        <x:v>1</x:v>
      </x:c>
      <x:c r="K63" s="40" t="n">
        <x:v>63537</x:v>
      </x:c>
      <x:c r="L63" s="40" t="n">
        <x:v>200000</x:v>
      </x:c>
      <x:c r="M63" s="40" t="n">
        <x:f>IF(OR(J63="",K63="",K63=0),"",J63/K63*L63)</x:f>
        <x:v>3.1477721642507515</x:v>
      </x:c>
      <x:c r="N63" s="22" t="str">
        <x:f>IF(M63="","",IF(I63="Mayor es mejor",IF(M63&gt;=H63,"En meta",IF(M63&gt;=H63*0.9,"Alerta","Crítico")),IF(M63&lt;=H63,"En meta",IF(M63&lt;=H63*1.1,"Alerta","Crítico"))))</x:f>
        <x:v>En meta</x:v>
      </x:c>
      <x:c r="O63" s="22" t="str">
        <x:v>Índice</x:v>
      </x:c>
      <x:c r="P63" s="22" t="str">
        <x:v>Líder SG-SST</x:v>
      </x:c>
      <x:c r="Q63" s="22" t="str">
        <x:v>Matriz de accidentalidad / nómina</x:v>
      </x:c>
      <x:c r="R63" s="22" t="str"/>
    </x:row>
    <x:row r="64">
      <x:c r="A64" s="46" t="n">
        <x:v>46142</x:v>
      </x:c>
      <x:c r="B64" s="22" t="n">
        <x:v>2026</x:v>
      </x:c>
      <x:c r="C64" s="22" t="str">
        <x:v>Abril</x:v>
      </x:c>
      <x:c r="D64" s="22" t="str">
        <x:v>R02</x:v>
      </x:c>
      <x:c r="E64" s="22" t="str">
        <x:v>Índice de severidad de accidentalidad (IS)</x:v>
      </x:c>
      <x:c r="F64" s="22" t="str">
        <x:v>Resultado</x:v>
      </x:c>
      <x:c r="G64" s="22" t="str">
        <x:v>Mensual</x:v>
      </x:c>
      <x:c r="H64" s="40" t="n">
        <x:v>80</x:v>
      </x:c>
      <x:c r="I64" s="22" t="str">
        <x:v>Menor es mejor</x:v>
      </x:c>
      <x:c r="J64" s="40" t="n">
        <x:v>18</x:v>
      </x:c>
      <x:c r="K64" s="40" t="n">
        <x:v>63537</x:v>
      </x:c>
      <x:c r="L64" s="40" t="n">
        <x:v>200000</x:v>
      </x:c>
      <x:c r="M64" s="40" t="n">
        <x:f>IF(OR(J64="",K64="",K64=0),"",J64/K64*L64)</x:f>
        <x:v>56.65989895651353</x:v>
      </x:c>
      <x:c r="N64" s="22" t="str">
        <x:f>IF(M64="","",IF(I64="Mayor es mejor",IF(M64&gt;=H64,"En meta",IF(M64&gt;=H64*0.9,"Alerta","Crítico")),IF(M64&lt;=H64,"En meta",IF(M64&lt;=H64*1.1,"Alerta","Crítico"))))</x:f>
        <x:v>En meta</x:v>
      </x:c>
      <x:c r="O64" s="22" t="str">
        <x:v>Índice</x:v>
      </x:c>
      <x:c r="P64" s="22" t="str">
        <x:v>Líder SG-SST</x:v>
      </x:c>
      <x:c r="Q64" s="22" t="str">
        <x:v>Matriz de accidentalidad / nómina</x:v>
      </x:c>
      <x:c r="R64" s="22" t="str"/>
    </x:row>
    <x:row r="65">
      <x:c r="A65" s="46" t="n">
        <x:v>46142</x:v>
      </x:c>
      <x:c r="B65" s="22" t="n">
        <x:v>2026</x:v>
      </x:c>
      <x:c r="C65" s="22" t="str">
        <x:v>Abril</x:v>
      </x:c>
      <x:c r="D65" s="22" t="str">
        <x:v>R03</x:v>
      </x:c>
      <x:c r="E65" s="22" t="str">
        <x:v>Índice de lesión incapacitante (ILI)</x:v>
      </x:c>
      <x:c r="F65" s="22" t="str">
        <x:v>Resultado</x:v>
      </x:c>
      <x:c r="G65" s="22" t="str">
        <x:v>Mensual</x:v>
      </x:c>
      <x:c r="H65" s="40" t="n">
        <x:v>0.25</x:v>
      </x:c>
      <x:c r="I65" s="22" t="str">
        <x:v>Menor es mejor</x:v>
      </x:c>
      <x:c r="J65" s="40" t="n">
        <x:v>178.3525</x:v>
      </x:c>
      <x:c r="K65" s="40" t="n">
        <x:v>1000</x:v>
      </x:c>
      <x:c r="L65" s="40" t="n">
        <x:v>1</x:v>
      </x:c>
      <x:c r="M65" s="40" t="n">
        <x:f>IF(OR(J65="",K65="",K65=0),"",J65/K65*L65)</x:f>
        <x:v>0.1783525</x:v>
      </x:c>
      <x:c r="N65" s="22" t="str">
        <x:f>IF(M65="","",IF(I65="Mayor es mejor",IF(M65&gt;=H65,"En meta",IF(M65&gt;=H65*0.9,"Alerta","Crítico")),IF(M65&lt;=H65,"En meta",IF(M65&lt;=H65*1.1,"Alerta","Crítico"))))</x:f>
        <x:v>En meta</x:v>
      </x:c>
      <x:c r="O65" s="22" t="str">
        <x:v>Índice</x:v>
      </x:c>
      <x:c r="P65" s="22" t="str">
        <x:v>Líder SG-SST</x:v>
      </x:c>
      <x:c r="Q65" s="22" t="str">
        <x:v>Indicadores derivados de accidentalidad</x:v>
      </x:c>
      <x:c r="R65" s="22" t="str">
        <x:v>ILI calculado sobre IF e IS del periodo.</x:v>
      </x:c>
    </x:row>
    <x:row r="66">
      <x:c r="A66" s="46" t="n">
        <x:v>46142</x:v>
      </x:c>
      <x:c r="B66" s="22" t="n">
        <x:v>2026</x:v>
      </x:c>
      <x:c r="C66" s="22" t="str">
        <x:v>Abril</x:v>
      </x:c>
      <x:c r="D66" s="22" t="str">
        <x:v>R04</x:v>
      </x:c>
      <x:c r="E66" s="22" t="str">
        <x:v>Tasa de accidentalidad</x:v>
      </x:c>
      <x:c r="F66" s="22" t="str">
        <x:v>Resultado</x:v>
      </x:c>
      <x:c r="G66" s="22" t="str">
        <x:v>Mensual</x:v>
      </x:c>
      <x:c r="H66" s="40" t="n">
        <x:v>0.6</x:v>
      </x:c>
      <x:c r="I66" s="22" t="str">
        <x:v>Menor es mejor</x:v>
      </x:c>
      <x:c r="J66" s="40" t="n">
        <x:v>4.72</x:v>
      </x:c>
      <x:c r="K66" s="40" t="n">
        <x:v>260</x:v>
      </x:c>
      <x:c r="L66" s="40" t="n">
        <x:v>100</x:v>
      </x:c>
      <x:c r="M66" s="40" t="n">
        <x:f>IF(OR(J66="",K66="",K66=0),"",J66/K66*L66)</x:f>
        <x:v>1.8153846153846152</x:v>
      </x:c>
      <x:c r="N66" s="22" t="str">
        <x:f>IF(M66="","",IF(I66="Mayor es mejor",IF(M66&gt;=H66,"En meta",IF(M66&gt;=H66*0.9,"Alerta","Crítico")),IF(M66&lt;=H66,"En meta",IF(M66&lt;=H66*1.1,"Alerta","Crítico"))))</x:f>
        <x:v>Crítico</x:v>
      </x:c>
      <x:c r="O66" s="22" t="str">
        <x:v>%</x:v>
      </x:c>
      <x:c r="P66" s="22" t="str">
        <x:v>Líder SG-SST</x:v>
      </x:c>
      <x:c r="Q66" s="22" t="str">
        <x:v>Matriz de accidentalidad / nómina</x:v>
      </x:c>
      <x:c r="R66" s="22" t="str"/>
    </x:row>
    <x:row r="67">
      <x:c r="A67" s="46" t="n">
        <x:v>46142</x:v>
      </x:c>
      <x:c r="B67" s="22" t="n">
        <x:v>2026</x:v>
      </x:c>
      <x:c r="C67" s="22" t="str">
        <x:v>Abril</x:v>
      </x:c>
      <x:c r="D67" s="22" t="str">
        <x:v>R05</x:v>
      </x:c>
      <x:c r="E67" s="22" t="str">
        <x:v>Prevalencia de enfermedad laboral</x:v>
      </x:c>
      <x:c r="F67" s="22" t="str">
        <x:v>Resultado</x:v>
      </x:c>
      <x:c r="G67" s="22" t="str">
        <x:v>Mensual</x:v>
      </x:c>
      <x:c r="H67" s="40" t="n">
        <x:v>0.3</x:v>
      </x:c>
      <x:c r="I67" s="22" t="str">
        <x:v>Menor es mejor</x:v>
      </x:c>
      <x:c r="J67" s="40" t="n">
        <x:v>0.03</x:v>
      </x:c>
      <x:c r="K67" s="40" t="n">
        <x:v>260</x:v>
      </x:c>
      <x:c r="L67" s="40" t="n">
        <x:v>100</x:v>
      </x:c>
      <x:c r="M67" s="40" t="n">
        <x:f>IF(OR(J67="",K67="",K67=0),"",J67/K67*L67)</x:f>
        <x:v>0.011538461538461537</x:v>
      </x:c>
      <x:c r="N67" s="22" t="str">
        <x:f>IF(M67="","",IF(I67="Mayor es mejor",IF(M67&gt;=H67,"En meta",IF(M67&gt;=H67*0.9,"Alerta","Crítico")),IF(M67&lt;=H67,"En meta",IF(M67&lt;=H67*1.1,"Alerta","Crítico"))))</x:f>
        <x:v>En meta</x:v>
      </x:c>
      <x:c r="O67" s="22" t="str">
        <x:v>%</x:v>
      </x:c>
      <x:c r="P67" s="22" t="str">
        <x:v>Líder SG-SST / Medicina laboral</x:v>
      </x:c>
      <x:c r="Q67" s="22" t="str">
        <x:v>Matriz de enfermedad laboral / nómina</x:v>
      </x:c>
      <x:c r="R67" s="22" t="str"/>
    </x:row>
    <x:row r="68">
      <x:c r="A68" s="46" t="n">
        <x:v>46142</x:v>
      </x:c>
      <x:c r="B68" s="22" t="n">
        <x:v>2026</x:v>
      </x:c>
      <x:c r="C68" s="22" t="str">
        <x:v>Abril</x:v>
      </x:c>
      <x:c r="D68" s="22" t="str">
        <x:v>R06</x:v>
      </x:c>
      <x:c r="E68" s="22" t="str">
        <x:v>% cumplimiento de estándares mínimos Res. 0312 de 2019</x:v>
      </x:c>
      <x:c r="F68" s="22" t="str">
        <x:v>Resultado</x:v>
      </x:c>
      <x:c r="G68" s="22" t="str">
        <x:v>Mensual</x:v>
      </x:c>
      <x:c r="H68" s="40" t="n">
        <x:v>95</x:v>
      </x:c>
      <x:c r="I68" s="22" t="str">
        <x:v>Mayor es mejor</x:v>
      </x:c>
      <x:c r="J68" s="40" t="n">
        <x:v>98</x:v>
      </x:c>
      <x:c r="K68" s="40" t="n">
        <x:v>100</x:v>
      </x:c>
      <x:c r="L68" s="40" t="n">
        <x:v>100</x:v>
      </x:c>
      <x:c r="M68" s="40" t="n">
        <x:f>IF(OR(J68="",K68="",K68=0),"",J68/K68*L68)</x:f>
        <x:v>98</x:v>
      </x:c>
      <x:c r="N68" s="22" t="str">
        <x:f>IF(M68="","",IF(I68="Mayor es mejor",IF(M68&gt;=H68,"En meta",IF(M68&gt;=H68*0.9,"Alerta","Crítico")),IF(M68&lt;=H68,"En meta",IF(M68&lt;=H68*1.1,"Alerta","Crítico"))))</x:f>
        <x:v>En meta</x:v>
      </x:c>
      <x:c r="O68" s="22" t="str">
        <x:v>%</x:v>
      </x:c>
      <x:c r="P68" s="22" t="str">
        <x:v>Líder SG-SST / Alta Dirección</x:v>
      </x:c>
      <x:c r="Q68" s="22" t="str">
        <x:v>Autodiagnóstico Res. 0312 de 2019</x:v>
      </x:c>
      <x:c r="R68" s="22" t="str"/>
    </x:row>
    <x:row r="69">
      <x:c r="A69" s="46" t="n">
        <x:v>46173</x:v>
      </x:c>
      <x:c r="B69" s="22" t="n">
        <x:v>2026</x:v>
      </x:c>
      <x:c r="C69" s="22" t="str">
        <x:v>Mayo</x:v>
      </x:c>
      <x:c r="D69" s="22" t="str">
        <x:v>E01</x:v>
      </x:c>
      <x:c r="E69" s="22" t="str">
        <x:v>% ejecución presupuestal del SG-SST</x:v>
      </x:c>
      <x:c r="F69" s="22" t="str">
        <x:v>Estructura</x:v>
      </x:c>
      <x:c r="G69" s="22" t="str">
        <x:v>Mensual</x:v>
      </x:c>
      <x:c r="H69" s="40" t="n">
        <x:v>95</x:v>
      </x:c>
      <x:c r="I69" s="22" t="str">
        <x:v>Mayor es mejor</x:v>
      </x:c>
      <x:c r="J69" s="40" t="n">
        <x:v>6397149</x:v>
      </x:c>
      <x:c r="K69" s="40" t="n">
        <x:v>6500000</x:v>
      </x:c>
      <x:c r="L69" s="40" t="n">
        <x:v>100</x:v>
      </x:c>
      <x:c r="M69" s="40" t="n">
        <x:f>IF(OR(J69="",K69="",K69=0),"",J69/K69*L69)</x:f>
        <x:v>98.41767692307693</x:v>
      </x:c>
      <x:c r="N69" s="22" t="str">
        <x:f>IF(M69="","",IF(I69="Mayor es mejor",IF(M69&gt;=H69,"En meta",IF(M69&gt;=H69*0.9,"Alerta","Crítico")),IF(M69&lt;=H69,"En meta",IF(M69&lt;=H69*1.1,"Alerta","Crítico"))))</x:f>
        <x:v>En meta</x:v>
      </x:c>
      <x:c r="O69" s="22" t="str">
        <x:v>%</x:v>
      </x:c>
      <x:c r="P69" s="22" t="str">
        <x:v>Líder SG-SST / Dirección Administrativa</x:v>
      </x:c>
      <x:c r="Q69" s="22" t="str">
        <x:v>Presupuesto SST</x:v>
      </x:c>
      <x:c r="R69" s="22" t="str"/>
    </x:row>
    <x:row r="70">
      <x:c r="A70" s="46" t="n">
        <x:v>46173</x:v>
      </x:c>
      <x:c r="B70" s="22" t="n">
        <x:v>2026</x:v>
      </x:c>
      <x:c r="C70" s="22" t="str">
        <x:v>Mayo</x:v>
      </x:c>
      <x:c r="D70" s="22" t="str">
        <x:v>E02</x:v>
      </x:c>
      <x:c r="E70" s="22" t="str">
        <x:v>% cobertura del plan de formación y capacitación SG-SST</x:v>
      </x:c>
      <x:c r="F70" s="22" t="str">
        <x:v>Estructura</x:v>
      </x:c>
      <x:c r="G70" s="22" t="str">
        <x:v>Mensual</x:v>
      </x:c>
      <x:c r="H70" s="40" t="n">
        <x:v>90</x:v>
      </x:c>
      <x:c r="I70" s="22" t="str">
        <x:v>Mayor es mejor</x:v>
      </x:c>
      <x:c r="J70" s="40" t="n">
        <x:v>19</x:v>
      </x:c>
      <x:c r="K70" s="40" t="n">
        <x:v>20</x:v>
      </x:c>
      <x:c r="L70" s="40" t="n">
        <x:v>100</x:v>
      </x:c>
      <x:c r="M70" s="40" t="n">
        <x:f>IF(OR(J70="",K70="",K70=0),"",J70/K70*L70)</x:f>
        <x:v>95</x:v>
      </x:c>
      <x:c r="N70" s="22" t="str">
        <x:f>IF(M70="","",IF(I70="Mayor es mejor",IF(M70&gt;=H70,"En meta",IF(M70&gt;=H70*0.9,"Alerta","Crítico")),IF(M70&lt;=H70,"En meta",IF(M70&lt;=H70*1.1,"Alerta","Crítico"))))</x:f>
        <x:v>En meta</x:v>
      </x:c>
      <x:c r="O70" s="22" t="str">
        <x:v>%</x:v>
      </x:c>
      <x:c r="P70" s="22" t="str">
        <x:v>Líder SG-SST / Talento Humano</x:v>
      </x:c>
      <x:c r="Q70" s="22" t="str">
        <x:v>Plan de formación y capacitaciones</x:v>
      </x:c>
      <x:c r="R70" s="22" t="str"/>
    </x:row>
    <x:row r="71">
      <x:c r="A71" s="46" t="n">
        <x:v>46173</x:v>
      </x:c>
      <x:c r="B71" s="22" t="n">
        <x:v>2026</x:v>
      </x:c>
      <x:c r="C71" s="22" t="str">
        <x:v>Mayo</x:v>
      </x:c>
      <x:c r="D71" s="22" t="str">
        <x:v>E03</x:v>
      </x:c>
      <x:c r="E71" s="22" t="str">
        <x:v>% trabajadores con exámenes médicos ocupacionales vigentes</x:v>
      </x:c>
      <x:c r="F71" s="22" t="str">
        <x:v>Estructura</x:v>
      </x:c>
      <x:c r="G71" s="22" t="str">
        <x:v>Mensual</x:v>
      </x:c>
      <x:c r="H71" s="40" t="n">
        <x:v>95</x:v>
      </x:c>
      <x:c r="I71" s="22" t="str">
        <x:v>Mayor es mejor</x:v>
      </x:c>
      <x:c r="J71" s="40" t="n">
        <x:v>256</x:v>
      </x:c>
      <x:c r="K71" s="40" t="n">
        <x:v>260</x:v>
      </x:c>
      <x:c r="L71" s="40" t="n">
        <x:v>100</x:v>
      </x:c>
      <x:c r="M71" s="40" t="n">
        <x:f>IF(OR(J71="",K71="",K71=0),"",J71/K71*L71)</x:f>
        <x:v>98.46153846153847</x:v>
      </x:c>
      <x:c r="N71" s="22" t="str">
        <x:f>IF(M71="","",IF(I71="Mayor es mejor",IF(M71&gt;=H71,"En meta",IF(M71&gt;=H71*0.9,"Alerta","Crítico")),IF(M71&lt;=H71,"En meta",IF(M71&lt;=H71*1.1,"Alerta","Crítico"))))</x:f>
        <x:v>En meta</x:v>
      </x:c>
      <x:c r="O71" s="22" t="str">
        <x:v>%</x:v>
      </x:c>
      <x:c r="P71" s="22" t="str">
        <x:v>Líder SG-SST / Talento Humano</x:v>
      </x:c>
      <x:c r="Q71" s="22" t="str">
        <x:v>Matriz de seguimiento EMO</x:v>
      </x:c>
      <x:c r="R71" s="22" t="str"/>
    </x:row>
    <x:row r="72">
      <x:c r="A72" s="46" t="n">
        <x:v>46173</x:v>
      </x:c>
      <x:c r="B72" s="22" t="n">
        <x:v>2026</x:v>
      </x:c>
      <x:c r="C72" s="22" t="str">
        <x:v>Mayo</x:v>
      </x:c>
      <x:c r="D72" s="22" t="str">
        <x:v>E04</x:v>
      </x:c>
      <x:c r="E72" s="22" t="str">
        <x:v>% cumplimiento de requisitos legales aplicables en SST</x:v>
      </x:c>
      <x:c r="F72" s="22" t="str">
        <x:v>Estructura</x:v>
      </x:c>
      <x:c r="G72" s="22" t="str">
        <x:v>Mensual</x:v>
      </x:c>
      <x:c r="H72" s="40" t="n">
        <x:v>95</x:v>
      </x:c>
      <x:c r="I72" s="22" t="str">
        <x:v>Mayor es mejor</x:v>
      </x:c>
      <x:c r="J72" s="40" t="n">
        <x:v>60</x:v>
      </x:c>
      <x:c r="K72" s="40" t="n">
        <x:v>60</x:v>
      </x:c>
      <x:c r="L72" s="40" t="n">
        <x:v>100</x:v>
      </x:c>
      <x:c r="M72" s="40" t="n">
        <x:f>IF(OR(J72="",K72="",K72=0),"",J72/K72*L72)</x:f>
        <x:v>100</x:v>
      </x:c>
      <x:c r="N72" s="22" t="str">
        <x:f>IF(M72="","",IF(I72="Mayor es mejor",IF(M72&gt;=H72,"En meta",IF(M72&gt;=H72*0.9,"Alerta","Crítico")),IF(M72&lt;=H72,"En meta",IF(M72&lt;=H72*1.1,"Alerta","Crítico"))))</x:f>
        <x:v>En meta</x:v>
      </x:c>
      <x:c r="O72" s="22" t="str">
        <x:v>%</x:v>
      </x:c>
      <x:c r="P72" s="22" t="str">
        <x:v>Líder SG-SST / Jurídica</x:v>
      </x:c>
      <x:c r="Q72" s="22" t="str">
        <x:v>Matriz legal SGRL</x:v>
      </x:c>
      <x:c r="R72" s="22" t="str"/>
    </x:row>
    <x:row r="73">
      <x:c r="A73" s="46" t="n">
        <x:v>46173</x:v>
      </x:c>
      <x:c r="B73" s="22" t="n">
        <x:v>2026</x:v>
      </x:c>
      <x:c r="C73" s="22" t="str">
        <x:v>Mayo</x:v>
      </x:c>
      <x:c r="D73" s="22" t="str">
        <x:v>E05</x:v>
      </x:c>
      <x:c r="E73" s="22" t="str">
        <x:v>% proveedores y contratistas aprobados en SST</x:v>
      </x:c>
      <x:c r="F73" s="22" t="str">
        <x:v>Estructura</x:v>
      </x:c>
      <x:c r="G73" s="22" t="str">
        <x:v>Mensual</x:v>
      </x:c>
      <x:c r="H73" s="40" t="n">
        <x:v>90</x:v>
      </x:c>
      <x:c r="I73" s="22" t="str">
        <x:v>Mayor es mejor</x:v>
      </x:c>
      <x:c r="J73" s="40" t="n">
        <x:v>19</x:v>
      </x:c>
      <x:c r="K73" s="40" t="n">
        <x:v>20</x:v>
      </x:c>
      <x:c r="L73" s="40" t="n">
        <x:v>100</x:v>
      </x:c>
      <x:c r="M73" s="40" t="n">
        <x:f>IF(OR(J73="",K73="",K73=0),"",J73/K73*L73)</x:f>
        <x:v>95</x:v>
      </x:c>
      <x:c r="N73" s="22" t="str">
        <x:f>IF(M73="","",IF(I73="Mayor es mejor",IF(M73&gt;=H73,"En meta",IF(M73&gt;=H73*0.9,"Alerta","Crítico")),IF(M73&lt;=H73,"En meta",IF(M73&lt;=H73*1.1,"Alerta","Crítico"))))</x:f>
        <x:v>En meta</x:v>
      </x:c>
      <x:c r="O73" s="22" t="str">
        <x:v>%</x:v>
      </x:c>
      <x:c r="P73" s="22" t="str">
        <x:v>Compras / Líder SG-SST</x:v>
      </x:c>
      <x:c r="Q73" s="22" t="str">
        <x:v>Gestión de proveedores y contratistas</x:v>
      </x:c>
      <x:c r="R73" s="22" t="str"/>
    </x:row>
    <x:row r="74">
      <x:c r="A74" s="46" t="n">
        <x:v>46173</x:v>
      </x:c>
      <x:c r="B74" s="22" t="n">
        <x:v>2026</x:v>
      </x:c>
      <x:c r="C74" s="22" t="str">
        <x:v>Mayo</x:v>
      </x:c>
      <x:c r="D74" s="22" t="str">
        <x:v>P01</x:v>
      </x:c>
      <x:c r="E74" s="22" t="str">
        <x:v>% ejecución del plan anual de trabajo SG-SST</x:v>
      </x:c>
      <x:c r="F74" s="22" t="str">
        <x:v>Proceso</x:v>
      </x:c>
      <x:c r="G74" s="22" t="str">
        <x:v>Mensual</x:v>
      </x:c>
      <x:c r="H74" s="40" t="n">
        <x:v>90</x:v>
      </x:c>
      <x:c r="I74" s="22" t="str">
        <x:v>Mayor es mejor</x:v>
      </x:c>
      <x:c r="J74" s="40" t="n">
        <x:v>13</x:v>
      </x:c>
      <x:c r="K74" s="40" t="n">
        <x:v>14</x:v>
      </x:c>
      <x:c r="L74" s="40" t="n">
        <x:v>100</x:v>
      </x:c>
      <x:c r="M74" s="40" t="n">
        <x:f>IF(OR(J74="",K74="",K74=0),"",J74/K74*L74)</x:f>
        <x:v>92.85714285714286</x:v>
      </x:c>
      <x:c r="N74" s="22" t="str">
        <x:f>IF(M74="","",IF(I74="Mayor es mejor",IF(M74&gt;=H74,"En meta",IF(M74&gt;=H74*0.9,"Alerta","Crítico")),IF(M74&lt;=H74,"En meta",IF(M74&lt;=H74*1.1,"Alerta","Crítico"))))</x:f>
        <x:v>En meta</x:v>
      </x:c>
      <x:c r="O74" s="22" t="str">
        <x:v>%</x:v>
      </x:c>
      <x:c r="P74" s="22" t="str">
        <x:v>Líder SG-SST</x:v>
      </x:c>
      <x:c r="Q74" s="22" t="str">
        <x:v>Plan anual de trabajo PHVA</x:v>
      </x:c>
      <x:c r="R74" s="22" t="str"/>
    </x:row>
    <x:row r="75">
      <x:c r="A75" s="46" t="n">
        <x:v>46173</x:v>
      </x:c>
      <x:c r="B75" s="22" t="n">
        <x:v>2026</x:v>
      </x:c>
      <x:c r="C75" s="22" t="str">
        <x:v>Mayo</x:v>
      </x:c>
      <x:c r="D75" s="22" t="str">
        <x:v>P02</x:v>
      </x:c>
      <x:c r="E75" s="22" t="str">
        <x:v>% investigaciones de accidentes realizadas oportunamente</x:v>
      </x:c>
      <x:c r="F75" s="22" t="str">
        <x:v>Proceso</x:v>
      </x:c>
      <x:c r="G75" s="22" t="str">
        <x:v>Mensual</x:v>
      </x:c>
      <x:c r="H75" s="40" t="n">
        <x:v>95</x:v>
      </x:c>
      <x:c r="I75" s="22" t="str">
        <x:v>Mayor es mejor</x:v>
      </x:c>
      <x:c r="J75" s="40" t="n">
        <x:v>1</x:v>
      </x:c>
      <x:c r="K75" s="40" t="n">
        <x:v>1</x:v>
      </x:c>
      <x:c r="L75" s="40" t="n">
        <x:v>100</x:v>
      </x:c>
      <x:c r="M75" s="40" t="n">
        <x:f>IF(OR(J75="",K75="",K75=0),"",J75/K75*L75)</x:f>
        <x:v>100</x:v>
      </x:c>
      <x:c r="N75" s="22" t="str">
        <x:f>IF(M75="","",IF(I75="Mayor es mejor",IF(M75&gt;=H75,"En meta",IF(M75&gt;=H75*0.9,"Alerta","Crítico")),IF(M75&lt;=H75,"En meta",IF(M75&lt;=H75*1.1,"Alerta","Crítico"))))</x:f>
        <x:v>En meta</x:v>
      </x:c>
      <x:c r="O75" s="22" t="str">
        <x:v>%</x:v>
      </x:c>
      <x:c r="P75" s="22" t="str">
        <x:v>Líder SG-SST / COPASST</x:v>
      </x:c>
      <x:c r="Q75" s="22" t="str">
        <x:v>Matriz de accidentalidad</x:v>
      </x:c>
      <x:c r="R75" s="22" t="str"/>
    </x:row>
    <x:row r="76">
      <x:c r="A76" s="46" t="n">
        <x:v>46173</x:v>
      </x:c>
      <x:c r="B76" s="22" t="n">
        <x:v>2026</x:v>
      </x:c>
      <x:c r="C76" s="22" t="str">
        <x:v>Mayo</x:v>
      </x:c>
      <x:c r="D76" s="22" t="str">
        <x:v>P03</x:v>
      </x:c>
      <x:c r="E76" s="22" t="str">
        <x:v>% cierre oportuno de acciones correctivas, preventivas y de mejora</x:v>
      </x:c>
      <x:c r="F76" s="22" t="str">
        <x:v>Proceso</x:v>
      </x:c>
      <x:c r="G76" s="22" t="str">
        <x:v>Mensual</x:v>
      </x:c>
      <x:c r="H76" s="40" t="n">
        <x:v>90</x:v>
      </x:c>
      <x:c r="I76" s="22" t="str">
        <x:v>Mayor es mejor</x:v>
      </x:c>
      <x:c r="J76" s="40" t="n">
        <x:v>9</x:v>
      </x:c>
      <x:c r="K76" s="40" t="n">
        <x:v>10</x:v>
      </x:c>
      <x:c r="L76" s="40" t="n">
        <x:v>100</x:v>
      </x:c>
      <x:c r="M76" s="40" t="n">
        <x:f>IF(OR(J76="",K76="",K76=0),"",J76/K76*L76)</x:f>
        <x:v>90</x:v>
      </x:c>
      <x:c r="N76" s="22" t="str">
        <x:f>IF(M76="","",IF(I76="Mayor es mejor",IF(M76&gt;=H76,"En meta",IF(M76&gt;=H76*0.9,"Alerta","Crítico")),IF(M76&lt;=H76,"En meta",IF(M76&lt;=H76*1.1,"Alerta","Crítico"))))</x:f>
        <x:v>En meta</x:v>
      </x:c>
      <x:c r="O76" s="22" t="str">
        <x:v>%</x:v>
      </x:c>
      <x:c r="P76" s="22" t="str">
        <x:v>Líder SG-SST / Responsables de proceso</x:v>
      </x:c>
      <x:c r="Q76" s="22" t="str">
        <x:v>Matriz APCM</x:v>
      </x:c>
      <x:c r="R76" s="22" t="str"/>
    </x:row>
    <x:row r="77">
      <x:c r="A77" s="46" t="n">
        <x:v>46173</x:v>
      </x:c>
      <x:c r="B77" s="22" t="n">
        <x:v>2026</x:v>
      </x:c>
      <x:c r="C77" s="22" t="str">
        <x:v>Mayo</x:v>
      </x:c>
      <x:c r="D77" s="22" t="str">
        <x:v>P04</x:v>
      </x:c>
      <x:c r="E77" s="22" t="str">
        <x:v>% inspecciones de seguridad ejecutadas</x:v>
      </x:c>
      <x:c r="F77" s="22" t="str">
        <x:v>Proceso</x:v>
      </x:c>
      <x:c r="G77" s="22" t="str">
        <x:v>Mensual</x:v>
      </x:c>
      <x:c r="H77" s="40" t="n">
        <x:v>90</x:v>
      </x:c>
      <x:c r="I77" s="22" t="str">
        <x:v>Mayor es mejor</x:v>
      </x:c>
      <x:c r="J77" s="40" t="n">
        <x:v>9</x:v>
      </x:c>
      <x:c r="K77" s="40" t="n">
        <x:v>9</x:v>
      </x:c>
      <x:c r="L77" s="40" t="n">
        <x:v>100</x:v>
      </x:c>
      <x:c r="M77" s="40" t="n">
        <x:f>IF(OR(J77="",K77="",K77=0),"",J77/K77*L77)</x:f>
        <x:v>100</x:v>
      </x:c>
      <x:c r="N77" s="22" t="str">
        <x:f>IF(M77="","",IF(I77="Mayor es mejor",IF(M77&gt;=H77,"En meta",IF(M77&gt;=H77*0.9,"Alerta","Crítico")),IF(M77&lt;=H77,"En meta",IF(M77&lt;=H77*1.1,"Alerta","Crítico"))))</x:f>
        <x:v>En meta</x:v>
      </x:c>
      <x:c r="O77" s="22" t="str">
        <x:v>%</x:v>
      </x:c>
      <x:c r="P77" s="22" t="str">
        <x:v>Líder SG-SST / Supervisores</x:v>
      </x:c>
      <x:c r="Q77" s="22" t="str">
        <x:v>Programa de inspecciones</x:v>
      </x:c>
      <x:c r="R77" s="22" t="str"/>
    </x:row>
    <x:row r="78">
      <x:c r="A78" s="46" t="n">
        <x:v>46173</x:v>
      </x:c>
      <x:c r="B78" s="22" t="n">
        <x:v>2026</x:v>
      </x:c>
      <x:c r="C78" s="22" t="str">
        <x:v>Mayo</x:v>
      </x:c>
      <x:c r="D78" s="22" t="str">
        <x:v>P05</x:v>
      </x:c>
      <x:c r="E78" s="22" t="str">
        <x:v>% mantenimientos preventivos ejecutados</x:v>
      </x:c>
      <x:c r="F78" s="22" t="str">
        <x:v>Proceso</x:v>
      </x:c>
      <x:c r="G78" s="22" t="str">
        <x:v>Mensual</x:v>
      </x:c>
      <x:c r="H78" s="40" t="n">
        <x:v>90</x:v>
      </x:c>
      <x:c r="I78" s="22" t="str">
        <x:v>Mayor es mejor</x:v>
      </x:c>
      <x:c r="J78" s="40" t="n">
        <x:v>12</x:v>
      </x:c>
      <x:c r="K78" s="40" t="n">
        <x:v>13</x:v>
      </x:c>
      <x:c r="L78" s="40" t="n">
        <x:v>100</x:v>
      </x:c>
      <x:c r="M78" s="40" t="n">
        <x:f>IF(OR(J78="",K78="",K78=0),"",J78/K78*L78)</x:f>
        <x:v>92.3076923076923</x:v>
      </x:c>
      <x:c r="N78" s="22" t="str">
        <x:f>IF(M78="","",IF(I78="Mayor es mejor",IF(M78&gt;=H78,"En meta",IF(M78&gt;=H78*0.9,"Alerta","Crítico")),IF(M78&lt;=H78,"En meta",IF(M78&lt;=H78*1.1,"Alerta","Crítico"))))</x:f>
        <x:v>En meta</x:v>
      </x:c>
      <x:c r="O78" s="22" t="str">
        <x:v>%</x:v>
      </x:c>
      <x:c r="P78" s="22" t="str">
        <x:v>Mantenimiento / Líder SG-SST</x:v>
      </x:c>
      <x:c r="Q78" s="22" t="str">
        <x:v>Programa de mantenimiento preventivo</x:v>
      </x:c>
      <x:c r="R78" s="22" t="str"/>
    </x:row>
    <x:row r="79">
      <x:c r="A79" s="46" t="n">
        <x:v>46173</x:v>
      </x:c>
      <x:c r="B79" s="22" t="n">
        <x:v>2026</x:v>
      </x:c>
      <x:c r="C79" s="22" t="str">
        <x:v>Mayo</x:v>
      </x:c>
      <x:c r="D79" s="22" t="str">
        <x:v>R01</x:v>
      </x:c>
      <x:c r="E79" s="22" t="str">
        <x:v>Índice de frecuencia de accidentalidad (IF)</x:v>
      </x:c>
      <x:c r="F79" s="22" t="str">
        <x:v>Resultado</x:v>
      </x:c>
      <x:c r="G79" s="22" t="str">
        <x:v>Mensual</x:v>
      </x:c>
      <x:c r="H79" s="40" t="n">
        <x:v>3.5</x:v>
      </x:c>
      <x:c r="I79" s="22" t="str">
        <x:v>Menor es mejor</x:v>
      </x:c>
      <x:c r="J79" s="40" t="n">
        <x:v>1</x:v>
      </x:c>
      <x:c r="K79" s="40" t="n">
        <x:v>63473</x:v>
      </x:c>
      <x:c r="L79" s="40" t="n">
        <x:v>200000</x:v>
      </x:c>
      <x:c r="M79" s="40" t="n">
        <x:f>IF(OR(J79="",K79="",K79=0),"",J79/K79*L79)</x:f>
        <x:v>3.1509460715579856</x:v>
      </x:c>
      <x:c r="N79" s="22" t="str">
        <x:f>IF(M79="","",IF(I79="Mayor es mejor",IF(M79&gt;=H79,"En meta",IF(M79&gt;=H79*0.9,"Alerta","Crítico")),IF(M79&lt;=H79,"En meta",IF(M79&lt;=H79*1.1,"Alerta","Crítico"))))</x:f>
        <x:v>En meta</x:v>
      </x:c>
      <x:c r="O79" s="22" t="str">
        <x:v>Índice</x:v>
      </x:c>
      <x:c r="P79" s="22" t="str">
        <x:v>Líder SG-SST</x:v>
      </x:c>
      <x:c r="Q79" s="22" t="str">
        <x:v>Matriz de accidentalidad / nómina</x:v>
      </x:c>
      <x:c r="R79" s="22" t="str"/>
    </x:row>
    <x:row r="80">
      <x:c r="A80" s="46" t="n">
        <x:v>46173</x:v>
      </x:c>
      <x:c r="B80" s="22" t="n">
        <x:v>2026</x:v>
      </x:c>
      <x:c r="C80" s="22" t="str">
        <x:v>Mayo</x:v>
      </x:c>
      <x:c r="D80" s="22" t="str">
        <x:v>R02</x:v>
      </x:c>
      <x:c r="E80" s="22" t="str">
        <x:v>Índice de severidad de accidentalidad (IS)</x:v>
      </x:c>
      <x:c r="F80" s="22" t="str">
        <x:v>Resultado</x:v>
      </x:c>
      <x:c r="G80" s="22" t="str">
        <x:v>Mensual</x:v>
      </x:c>
      <x:c r="H80" s="40" t="n">
        <x:v>80</x:v>
      </x:c>
      <x:c r="I80" s="22" t="str">
        <x:v>Menor es mejor</x:v>
      </x:c>
      <x:c r="J80" s="40" t="n">
        <x:v>17</x:v>
      </x:c>
      <x:c r="K80" s="40" t="n">
        <x:v>63473</x:v>
      </x:c>
      <x:c r="L80" s="40" t="n">
        <x:v>200000</x:v>
      </x:c>
      <x:c r="M80" s="40" t="n">
        <x:f>IF(OR(J80="",K80="",K80=0),"",J80/K80*L80)</x:f>
        <x:v>53.56608321648575</x:v>
      </x:c>
      <x:c r="N80" s="22" t="str">
        <x:f>IF(M80="","",IF(I80="Mayor es mejor",IF(M80&gt;=H80,"En meta",IF(M80&gt;=H80*0.9,"Alerta","Crítico")),IF(M80&lt;=H80,"En meta",IF(M80&lt;=H80*1.1,"Alerta","Crítico"))))</x:f>
        <x:v>En meta</x:v>
      </x:c>
      <x:c r="O80" s="22" t="str">
        <x:v>Índice</x:v>
      </x:c>
      <x:c r="P80" s="22" t="str">
        <x:v>Líder SG-SST</x:v>
      </x:c>
      <x:c r="Q80" s="22" t="str">
        <x:v>Matriz de accidentalidad / nómina</x:v>
      </x:c>
      <x:c r="R80" s="22" t="str"/>
    </x:row>
    <x:row r="81">
      <x:c r="A81" s="46" t="n">
        <x:v>46173</x:v>
      </x:c>
      <x:c r="B81" s="22" t="n">
        <x:v>2026</x:v>
      </x:c>
      <x:c r="C81" s="22" t="str">
        <x:v>Mayo</x:v>
      </x:c>
      <x:c r="D81" s="22" t="str">
        <x:v>R03</x:v>
      </x:c>
      <x:c r="E81" s="22" t="str">
        <x:v>Índice de lesión incapacitante (ILI)</x:v>
      </x:c>
      <x:c r="F81" s="22" t="str">
        <x:v>Resultado</x:v>
      </x:c>
      <x:c r="G81" s="22" t="str">
        <x:v>Mensual</x:v>
      </x:c>
      <x:c r="H81" s="40" t="n">
        <x:v>0.25</x:v>
      </x:c>
      <x:c r="I81" s="22" t="str">
        <x:v>Menor es mejor</x:v>
      </x:c>
      <x:c r="J81" s="40" t="n">
        <x:v>168.7838</x:v>
      </x:c>
      <x:c r="K81" s="40" t="n">
        <x:v>1000</x:v>
      </x:c>
      <x:c r="L81" s="40" t="n">
        <x:v>1</x:v>
      </x:c>
      <x:c r="M81" s="40" t="n">
        <x:f>IF(OR(J81="",K81="",K81=0),"",J81/K81*L81)</x:f>
        <x:v>0.1687838</x:v>
      </x:c>
      <x:c r="N81" s="22" t="str">
        <x:f>IF(M81="","",IF(I81="Mayor es mejor",IF(M81&gt;=H81,"En meta",IF(M81&gt;=H81*0.9,"Alerta","Crítico")),IF(M81&lt;=H81,"En meta",IF(M81&lt;=H81*1.1,"Alerta","Crítico"))))</x:f>
        <x:v>En meta</x:v>
      </x:c>
      <x:c r="O81" s="22" t="str">
        <x:v>Índice</x:v>
      </x:c>
      <x:c r="P81" s="22" t="str">
        <x:v>Líder SG-SST</x:v>
      </x:c>
      <x:c r="Q81" s="22" t="str">
        <x:v>Indicadores derivados de accidentalidad</x:v>
      </x:c>
      <x:c r="R81" s="22" t="str">
        <x:v>ILI calculado sobre IF e IS del periodo.</x:v>
      </x:c>
    </x:row>
    <x:row r="82">
      <x:c r="A82" s="46" t="n">
        <x:v>46173</x:v>
      </x:c>
      <x:c r="B82" s="22" t="n">
        <x:v>2026</x:v>
      </x:c>
      <x:c r="C82" s="22" t="str">
        <x:v>Mayo</x:v>
      </x:c>
      <x:c r="D82" s="22" t="str">
        <x:v>R04</x:v>
      </x:c>
      <x:c r="E82" s="22" t="str">
        <x:v>Tasa de accidentalidad</x:v>
      </x:c>
      <x:c r="F82" s="22" t="str">
        <x:v>Resultado</x:v>
      </x:c>
      <x:c r="G82" s="22" t="str">
        <x:v>Mensual</x:v>
      </x:c>
      <x:c r="H82" s="40" t="n">
        <x:v>0.6</x:v>
      </x:c>
      <x:c r="I82" s="22" t="str">
        <x:v>Menor es mejor</x:v>
      </x:c>
      <x:c r="J82" s="40" t="n">
        <x:v>1.24</x:v>
      </x:c>
      <x:c r="K82" s="40" t="n">
        <x:v>260</x:v>
      </x:c>
      <x:c r="L82" s="40" t="n">
        <x:v>100</x:v>
      </x:c>
      <x:c r="M82" s="40" t="n">
        <x:f>IF(OR(J82="",K82="",K82=0),"",J82/K82*L82)</x:f>
        <x:v>0.47692307692307695</x:v>
      </x:c>
      <x:c r="N82" s="22" t="str">
        <x:f>IF(M82="","",IF(I82="Mayor es mejor",IF(M82&gt;=H82,"En meta",IF(M82&gt;=H82*0.9,"Alerta","Crítico")),IF(M82&lt;=H82,"En meta",IF(M82&lt;=H82*1.1,"Alerta","Crítico"))))</x:f>
        <x:v>En meta</x:v>
      </x:c>
      <x:c r="O82" s="22" t="str">
        <x:v>%</x:v>
      </x:c>
      <x:c r="P82" s="22" t="str">
        <x:v>Líder SG-SST</x:v>
      </x:c>
      <x:c r="Q82" s="22" t="str">
        <x:v>Matriz de accidentalidad / nómina</x:v>
      </x:c>
      <x:c r="R82" s="22" t="str"/>
    </x:row>
    <x:row r="83">
      <x:c r="A83" s="46" t="n">
        <x:v>46173</x:v>
      </x:c>
      <x:c r="B83" s="22" t="n">
        <x:v>2026</x:v>
      </x:c>
      <x:c r="C83" s="22" t="str">
        <x:v>Mayo</x:v>
      </x:c>
      <x:c r="D83" s="22" t="str">
        <x:v>R05</x:v>
      </x:c>
      <x:c r="E83" s="22" t="str">
        <x:v>Prevalencia de enfermedad laboral</x:v>
      </x:c>
      <x:c r="F83" s="22" t="str">
        <x:v>Resultado</x:v>
      </x:c>
      <x:c r="G83" s="22" t="str">
        <x:v>Mensual</x:v>
      </x:c>
      <x:c r="H83" s="40" t="n">
        <x:v>0.3</x:v>
      </x:c>
      <x:c r="I83" s="22" t="str">
        <x:v>Menor es mejor</x:v>
      </x:c>
      <x:c r="J83" s="40" t="n">
        <x:v>0.03</x:v>
      </x:c>
      <x:c r="K83" s="40" t="n">
        <x:v>260</x:v>
      </x:c>
      <x:c r="L83" s="40" t="n">
        <x:v>100</x:v>
      </x:c>
      <x:c r="M83" s="40" t="n">
        <x:f>IF(OR(J83="",K83="",K83=0),"",J83/K83*L83)</x:f>
        <x:v>0.011538461538461537</x:v>
      </x:c>
      <x:c r="N83" s="22" t="str">
        <x:f>IF(M83="","",IF(I83="Mayor es mejor",IF(M83&gt;=H83,"En meta",IF(M83&gt;=H83*0.9,"Alerta","Crítico")),IF(M83&lt;=H83,"En meta",IF(M83&lt;=H83*1.1,"Alerta","Crítico"))))</x:f>
        <x:v>En meta</x:v>
      </x:c>
      <x:c r="O83" s="22" t="str">
        <x:v>%</x:v>
      </x:c>
      <x:c r="P83" s="22" t="str">
        <x:v>Líder SG-SST / Medicina laboral</x:v>
      </x:c>
      <x:c r="Q83" s="22" t="str">
        <x:v>Matriz de enfermedad laboral / nómina</x:v>
      </x:c>
      <x:c r="R83" s="22" t="str"/>
    </x:row>
    <x:row r="84">
      <x:c r="A84" s="46" t="n">
        <x:v>46173</x:v>
      </x:c>
      <x:c r="B84" s="22" t="n">
        <x:v>2026</x:v>
      </x:c>
      <x:c r="C84" s="22" t="str">
        <x:v>Mayo</x:v>
      </x:c>
      <x:c r="D84" s="22" t="str">
        <x:v>R06</x:v>
      </x:c>
      <x:c r="E84" s="22" t="str">
        <x:v>% cumplimiento de estándares mínimos Res. 0312 de 2019</x:v>
      </x:c>
      <x:c r="F84" s="22" t="str">
        <x:v>Resultado</x:v>
      </x:c>
      <x:c r="G84" s="22" t="str">
        <x:v>Mensual</x:v>
      </x:c>
      <x:c r="H84" s="40" t="n">
        <x:v>95</x:v>
      </x:c>
      <x:c r="I84" s="22" t="str">
        <x:v>Mayor es mejor</x:v>
      </x:c>
      <x:c r="J84" s="40" t="n">
        <x:v>100</x:v>
      </x:c>
      <x:c r="K84" s="40" t="n">
        <x:v>100</x:v>
      </x:c>
      <x:c r="L84" s="40" t="n">
        <x:v>100</x:v>
      </x:c>
      <x:c r="M84" s="40" t="n">
        <x:f>IF(OR(J84="",K84="",K84=0),"",J84/K84*L84)</x:f>
        <x:v>100</x:v>
      </x:c>
      <x:c r="N84" s="22" t="str">
        <x:f>IF(M84="","",IF(I84="Mayor es mejor",IF(M84&gt;=H84,"En meta",IF(M84&gt;=H84*0.9,"Alerta","Crítico")),IF(M84&lt;=H84,"En meta",IF(M84&lt;=H84*1.1,"Alerta","Crítico"))))</x:f>
        <x:v>En meta</x:v>
      </x:c>
      <x:c r="O84" s="22" t="str">
        <x:v>%</x:v>
      </x:c>
      <x:c r="P84" s="22" t="str">
        <x:v>Líder SG-SST / Alta Dirección</x:v>
      </x:c>
      <x:c r="Q84" s="22" t="str">
        <x:v>Autodiagnóstico Res. 0312 de 2019</x:v>
      </x:c>
      <x:c r="R84" s="22" t="str"/>
    </x:row>
  </x:sheetData>
  <x:mergeCells>
    <x:mergeCell ref="A1:R1"/>
    <x:mergeCell ref="A2:R2"/>
  </x:mergeCells>
  <x:conditionalFormatting sqref="N5:N84">
    <x:cfRule type="expression" dxfId="12" priority="1">
      <x:formula>N5="En meta"</x:formula>
    </x:cfRule>
    <x:cfRule type="expression" dxfId="13" priority="2">
      <x:formula>N5="Alerta"</x:formula>
    </x:cfRule>
    <x:cfRule type="expression" dxfId="14" priority="3">
      <x:formula>N5="Crítico"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6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2" hidden="0" customWidth="1"/>
  </x:cols>
  <x:sheetData>
    <x:row r="1">
      <x:c r="A1" s="4" t="str">
        <x:v>Consolidado histórico de indicadores SG-SST</x:v>
      </x:c>
    </x:row>
    <x:row r="2">
      <x:c r="A2" s="9" t="str">
        <x:v>Los resultados se calculan automáticamente a partir de Base_1, Base_2 y Factor. </x:v>
      </x:c>
    </x:row>
    <x:row r="4">
      <x:c r="A4" s="25" t="str">
        <x:v>Fecha_corte</x:v>
      </x:c>
      <x:c r="B4" s="25" t="str">
        <x:v>Año</x:v>
      </x:c>
      <x:c r="C4" s="25" t="str">
        <x:v>Mes</x:v>
      </x:c>
      <x:c r="D4" s="25" t="str">
        <x:v>Código</x:v>
      </x:c>
      <x:c r="E4" s="25" t="str">
        <x:v>Indicador</x:v>
      </x:c>
      <x:c r="F4" s="25" t="str">
        <x:v>Tipo</x:v>
      </x:c>
      <x:c r="G4" s="25" t="str">
        <x:v>Frecuencia</x:v>
      </x:c>
      <x:c r="H4" s="25" t="str">
        <x:v>Meta</x:v>
      </x:c>
      <x:c r="I4" s="25" t="str">
        <x:v>Sentido</x:v>
      </x:c>
      <x:c r="J4" s="25" t="str">
        <x:v>Base_1</x:v>
      </x:c>
      <x:c r="K4" s="25" t="str">
        <x:v>Base_2</x:v>
      </x:c>
      <x:c r="L4" s="25" t="str">
        <x:v>Factor</x:v>
      </x:c>
      <x:c r="M4" s="25" t="str">
        <x:v>Resultado</x:v>
      </x:c>
      <x:c r="N4" s="25" t="str">
        <x:v>Estado</x:v>
      </x:c>
      <x:c r="O4" s="25" t="str">
        <x:v>Unidad</x:v>
      </x:c>
      <x:c r="P4" s="25" t="str">
        <x:v>Responsable</x:v>
      </x:c>
      <x:c r="Q4" s="25" t="str">
        <x:v>Fuente</x:v>
      </x:c>
      <x:c r="R4" s="25" t="str">
        <x:v>Observaciones</x:v>
      </x:c>
    </x:row>
    <x:row r="5">
      <x:c r="A5" s="46" t="n">
        <x:v>44957</x:v>
      </x:c>
      <x:c r="B5" s="22" t="n">
        <x:v>2023</x:v>
      </x:c>
      <x:c r="C5" s="22" t="str">
        <x:v>Enero</x:v>
      </x:c>
      <x:c r="D5" s="22" t="str">
        <x:v>E01</x:v>
      </x:c>
      <x:c r="E5" s="22" t="str">
        <x:v>% ejecución presupuestal del SG-SST</x:v>
      </x:c>
      <x:c r="F5" s="22" t="str">
        <x:v>Estructura</x:v>
      </x:c>
      <x:c r="G5" s="22" t="str">
        <x:v>Mensual</x:v>
      </x:c>
      <x:c r="H5" s="40" t="n">
        <x:v>95</x:v>
      </x:c>
      <x:c r="I5" s="22" t="str">
        <x:v>Mayor es mejor</x:v>
      </x:c>
      <x:c r="J5" s="40" t="n">
        <x:v>4083422</x:v>
      </x:c>
      <x:c r="K5" s="40" t="n">
        <x:v>4500000</x:v>
      </x:c>
      <x:c r="L5" s="40" t="n">
        <x:v>100</x:v>
      </x:c>
      <x:c r="M5" s="40" t="n">
        <x:f>IF(OR(J5="",K5="",K5=0),"",J5/K5*L5)</x:f>
        <x:v>90.7427111111111</x:v>
      </x:c>
      <x:c r="N5" s="22" t="str">
        <x:f>IF(M5="","",IF(I5="Mayor es mejor",IF(M5&gt;=H5,"En meta",IF(M5&gt;=H5*0.9,"Alerta","Crítico")),IF(M5&lt;=H5,"En meta",IF(M5&lt;=H5*1.1,"Alerta","Crítico"))))</x:f>
        <x:v>Alerta</x:v>
      </x:c>
      <x:c r="O5" s="22" t="str">
        <x:v>%</x:v>
      </x:c>
      <x:c r="P5" s="22" t="str">
        <x:v>Líder SG-SST / Dirección Administrativa</x:v>
      </x:c>
      <x:c r="Q5" s="22" t="str">
        <x:v>Presupuesto SST</x:v>
      </x:c>
      <x:c r="R5" s="22" t="str"/>
    </x:row>
    <x:row r="6">
      <x:c r="A6" s="46" t="n">
        <x:v>44957</x:v>
      </x:c>
      <x:c r="B6" s="22" t="n">
        <x:v>2023</x:v>
      </x:c>
      <x:c r="C6" s="22" t="str">
        <x:v>Enero</x:v>
      </x:c>
      <x:c r="D6" s="22" t="str">
        <x:v>E02</x:v>
      </x:c>
      <x:c r="E6" s="22" t="str">
        <x:v>% cobertura del plan de formación y capacitación SG-SST</x:v>
      </x:c>
      <x:c r="F6" s="22" t="str">
        <x:v>Estructura</x:v>
      </x:c>
      <x:c r="G6" s="22" t="str">
        <x:v>Mensual</x:v>
      </x:c>
      <x:c r="H6" s="40" t="n">
        <x:v>90</x:v>
      </x:c>
      <x:c r="I6" s="22" t="str">
        <x:v>Mayor es mejor</x:v>
      </x:c>
      <x:c r="J6" s="40" t="n">
        <x:v>18</x:v>
      </x:c>
      <x:c r="K6" s="40" t="n">
        <x:v>20</x:v>
      </x:c>
      <x:c r="L6" s="40" t="n">
        <x:v>100</x:v>
      </x:c>
      <x:c r="M6" s="40" t="n">
        <x:f>IF(OR(J6="",K6="",K6=0),"",J6/K6*L6)</x:f>
        <x:v>90</x:v>
      </x:c>
      <x:c r="N6" s="22" t="str">
        <x:f>IF(M6="","",IF(I6="Mayor es mejor",IF(M6&gt;=H6,"En meta",IF(M6&gt;=H6*0.9,"Alerta","Crítico")),IF(M6&lt;=H6,"En meta",IF(M6&lt;=H6*1.1,"Alerta","Crítico"))))</x:f>
        <x:v>En meta</x:v>
      </x:c>
      <x:c r="O6" s="22" t="str">
        <x:v>%</x:v>
      </x:c>
      <x:c r="P6" s="22" t="str">
        <x:v>Líder SG-SST / Talento Humano</x:v>
      </x:c>
      <x:c r="Q6" s="22" t="str">
        <x:v>Plan de formación y capacitaciones</x:v>
      </x:c>
      <x:c r="R6" s="22" t="str"/>
    </x:row>
    <x:row r="7">
      <x:c r="A7" s="46" t="n">
        <x:v>44957</x:v>
      </x:c>
      <x:c r="B7" s="22" t="n">
        <x:v>2023</x:v>
      </x:c>
      <x:c r="C7" s="22" t="str">
        <x:v>Enero</x:v>
      </x:c>
      <x:c r="D7" s="22" t="str">
        <x:v>E03</x:v>
      </x:c>
      <x:c r="E7" s="22" t="str">
        <x:v>% trabajadores con exámenes médicos ocupacionales vigentes</x:v>
      </x:c>
      <x:c r="F7" s="22" t="str">
        <x:v>Estructura</x:v>
      </x:c>
      <x:c r="G7" s="22" t="str">
        <x:v>Mensual</x:v>
      </x:c>
      <x:c r="H7" s="40" t="n">
        <x:v>95</x:v>
      </x:c>
      <x:c r="I7" s="22" t="str">
        <x:v>Mayor es mejor</x:v>
      </x:c>
      <x:c r="J7" s="40" t="n">
        <x:v>196</x:v>
      </x:c>
      <x:c r="K7" s="40" t="n">
        <x:v>209</x:v>
      </x:c>
      <x:c r="L7" s="40" t="n">
        <x:v>100</x:v>
      </x:c>
      <x:c r="M7" s="40" t="n">
        <x:f>IF(OR(J7="",K7="",K7=0),"",J7/K7*L7)</x:f>
        <x:v>93.77990430622009</x:v>
      </x:c>
      <x:c r="N7" s="22" t="str">
        <x:f>IF(M7="","",IF(I7="Mayor es mejor",IF(M7&gt;=H7,"En meta",IF(M7&gt;=H7*0.9,"Alerta","Crítico")),IF(M7&lt;=H7,"En meta",IF(M7&lt;=H7*1.1,"Alerta","Crítico"))))</x:f>
        <x:v>Alerta</x:v>
      </x:c>
      <x:c r="O7" s="22" t="str">
        <x:v>%</x:v>
      </x:c>
      <x:c r="P7" s="22" t="str">
        <x:v>Líder SG-SST / Talento Humano</x:v>
      </x:c>
      <x:c r="Q7" s="22" t="str">
        <x:v>Matriz de seguimiento EMO</x:v>
      </x:c>
      <x:c r="R7" s="22" t="str"/>
    </x:row>
    <x:row r="8">
      <x:c r="A8" s="46" t="n">
        <x:v>44957</x:v>
      </x:c>
      <x:c r="B8" s="22" t="n">
        <x:v>2023</x:v>
      </x:c>
      <x:c r="C8" s="22" t="str">
        <x:v>Enero</x:v>
      </x:c>
      <x:c r="D8" s="22" t="str">
        <x:v>E04</x:v>
      </x:c>
      <x:c r="E8" s="22" t="str">
        <x:v>% cumplimiento de requisitos legales aplicables en SST</x:v>
      </x:c>
      <x:c r="F8" s="22" t="str">
        <x:v>Estructura</x:v>
      </x:c>
      <x:c r="G8" s="22" t="str">
        <x:v>Mensual</x:v>
      </x:c>
      <x:c r="H8" s="40" t="n">
        <x:v>95</x:v>
      </x:c>
      <x:c r="I8" s="22" t="str">
        <x:v>Mayor es mejor</x:v>
      </x:c>
      <x:c r="J8" s="40" t="n">
        <x:v>56</x:v>
      </x:c>
      <x:c r="K8" s="40" t="n">
        <x:v>60</x:v>
      </x:c>
      <x:c r="L8" s="40" t="n">
        <x:v>100</x:v>
      </x:c>
      <x:c r="M8" s="40" t="n">
        <x:f>IF(OR(J8="",K8="",K8=0),"",J8/K8*L8)</x:f>
        <x:v>93.33333333333333</x:v>
      </x:c>
      <x:c r="N8" s="22" t="str">
        <x:f>IF(M8="","",IF(I8="Mayor es mejor",IF(M8&gt;=H8,"En meta",IF(M8&gt;=H8*0.9,"Alerta","Crítico")),IF(M8&lt;=H8,"En meta",IF(M8&lt;=H8*1.1,"Alerta","Crítico"))))</x:f>
        <x:v>Alerta</x:v>
      </x:c>
      <x:c r="O8" s="22" t="str">
        <x:v>%</x:v>
      </x:c>
      <x:c r="P8" s="22" t="str">
        <x:v>Líder SG-SST / Jurídica</x:v>
      </x:c>
      <x:c r="Q8" s="22" t="str">
        <x:v>Matriz legal SGRL</x:v>
      </x:c>
      <x:c r="R8" s="22" t="str"/>
    </x:row>
    <x:row r="9">
      <x:c r="A9" s="46" t="n">
        <x:v>44957</x:v>
      </x:c>
      <x:c r="B9" s="22" t="n">
        <x:v>2023</x:v>
      </x:c>
      <x:c r="C9" s="22" t="str">
        <x:v>Enero</x:v>
      </x:c>
      <x:c r="D9" s="22" t="str">
        <x:v>E05</x:v>
      </x:c>
      <x:c r="E9" s="22" t="str">
        <x:v>% proveedores y contratistas aprobados en SST</x:v>
      </x:c>
      <x:c r="F9" s="22" t="str">
        <x:v>Estructura</x:v>
      </x:c>
      <x:c r="G9" s="22" t="str">
        <x:v>Mensual</x:v>
      </x:c>
      <x:c r="H9" s="40" t="n">
        <x:v>90</x:v>
      </x:c>
      <x:c r="I9" s="22" t="str">
        <x:v>Mayor es mejor</x:v>
      </x:c>
      <x:c r="J9" s="40" t="n">
        <x:v>18</x:v>
      </x:c>
      <x:c r="K9" s="40" t="n">
        <x:v>20</x:v>
      </x:c>
      <x:c r="L9" s="40" t="n">
        <x:v>100</x:v>
      </x:c>
      <x:c r="M9" s="40" t="n">
        <x:f>IF(OR(J9="",K9="",K9=0),"",J9/K9*L9)</x:f>
        <x:v>90</x:v>
      </x:c>
      <x:c r="N9" s="22" t="str">
        <x:f>IF(M9="","",IF(I9="Mayor es mejor",IF(M9&gt;=H9,"En meta",IF(M9&gt;=H9*0.9,"Alerta","Crítico")),IF(M9&lt;=H9,"En meta",IF(M9&lt;=H9*1.1,"Alerta","Crítico"))))</x:f>
        <x:v>En meta</x:v>
      </x:c>
      <x:c r="O9" s="22" t="str">
        <x:v>%</x:v>
      </x:c>
      <x:c r="P9" s="22" t="str">
        <x:v>Compras / Líder SG-SST</x:v>
      </x:c>
      <x:c r="Q9" s="22" t="str">
        <x:v>Gestión de proveedores y contratistas</x:v>
      </x:c>
      <x:c r="R9" s="22" t="str"/>
    </x:row>
    <x:row r="10">
      <x:c r="A10" s="46" t="n">
        <x:v>44957</x:v>
      </x:c>
      <x:c r="B10" s="22" t="n">
        <x:v>2023</x:v>
      </x:c>
      <x:c r="C10" s="22" t="str">
        <x:v>Enero</x:v>
      </x:c>
      <x:c r="D10" s="22" t="str">
        <x:v>P01</x:v>
      </x:c>
      <x:c r="E10" s="22" t="str">
        <x:v>% ejecución del plan anual de trabajo SG-SST</x:v>
      </x:c>
      <x:c r="F10" s="22" t="str">
        <x:v>Proceso</x:v>
      </x:c>
      <x:c r="G10" s="22" t="str">
        <x:v>Mensual</x:v>
      </x:c>
      <x:c r="H10" s="40" t="n">
        <x:v>90</x:v>
      </x:c>
      <x:c r="I10" s="22" t="str">
        <x:v>Mayor es mejor</x:v>
      </x:c>
      <x:c r="J10" s="40" t="n">
        <x:v>11</x:v>
      </x:c>
      <x:c r="K10" s="40" t="n">
        <x:v>12</x:v>
      </x:c>
      <x:c r="L10" s="40" t="n">
        <x:v>100</x:v>
      </x:c>
      <x:c r="M10" s="40" t="n">
        <x:f>IF(OR(J10="",K10="",K10=0),"",J10/K10*L10)</x:f>
        <x:v>91.66666666666666</x:v>
      </x:c>
      <x:c r="N10" s="22" t="str">
        <x:f>IF(M10="","",IF(I10="Mayor es mejor",IF(M10&gt;=H10,"En meta",IF(M10&gt;=H10*0.9,"Alerta","Crítico")),IF(M10&lt;=H10,"En meta",IF(M10&lt;=H10*1.1,"Alerta","Crítico"))))</x:f>
        <x:v>En meta</x:v>
      </x:c>
      <x:c r="O10" s="22" t="str">
        <x:v>%</x:v>
      </x:c>
      <x:c r="P10" s="22" t="str">
        <x:v>Líder SG-SST</x:v>
      </x:c>
      <x:c r="Q10" s="22" t="str">
        <x:v>Plan anual de trabajo PHVA</x:v>
      </x:c>
      <x:c r="R10" s="22" t="str"/>
    </x:row>
    <x:row r="11">
      <x:c r="A11" s="46" t="n">
        <x:v>44957</x:v>
      </x:c>
      <x:c r="B11" s="22" t="n">
        <x:v>2023</x:v>
      </x:c>
      <x:c r="C11" s="22" t="str">
        <x:v>Enero</x:v>
      </x:c>
      <x:c r="D11" s="22" t="str">
        <x:v>P02</x:v>
      </x:c>
      <x:c r="E11" s="22" t="str">
        <x:v>% investigaciones de accidentes realizadas oportunamente</x:v>
      </x:c>
      <x:c r="F11" s="22" t="str">
        <x:v>Proceso</x:v>
      </x:c>
      <x:c r="G11" s="22" t="str">
        <x:v>Mensual</x:v>
      </x:c>
      <x:c r="H11" s="40" t="n">
        <x:v>95</x:v>
      </x:c>
      <x:c r="I11" s="22" t="str">
        <x:v>Mayor es mejor</x:v>
      </x:c>
      <x:c r="J11" s="40" t="n">
        <x:v>1</x:v>
      </x:c>
      <x:c r="K11" s="40" t="n">
        <x:v>1</x:v>
      </x:c>
      <x:c r="L11" s="40" t="n">
        <x:v>100</x:v>
      </x:c>
      <x:c r="M11" s="40" t="n">
        <x:f>IF(OR(J11="",K11="",K11=0),"",J11/K11*L11)</x:f>
        <x:v>100</x:v>
      </x:c>
      <x:c r="N11" s="22" t="str">
        <x:f>IF(M11="","",IF(I11="Mayor es mejor",IF(M11&gt;=H11,"En meta",IF(M11&gt;=H11*0.9,"Alerta","Crítico")),IF(M11&lt;=H11,"En meta",IF(M11&lt;=H11*1.1,"Alerta","Crítico"))))</x:f>
        <x:v>En meta</x:v>
      </x:c>
      <x:c r="O11" s="22" t="str">
        <x:v>%</x:v>
      </x:c>
      <x:c r="P11" s="22" t="str">
        <x:v>Líder SG-SST / COPASST</x:v>
      </x:c>
      <x:c r="Q11" s="22" t="str">
        <x:v>Matriz de accidentalidad</x:v>
      </x:c>
      <x:c r="R11" s="22" t="str"/>
    </x:row>
    <x:row r="12">
      <x:c r="A12" s="46" t="n">
        <x:v>44957</x:v>
      </x:c>
      <x:c r="B12" s="22" t="n">
        <x:v>2023</x:v>
      </x:c>
      <x:c r="C12" s="22" t="str">
        <x:v>Enero</x:v>
      </x:c>
      <x:c r="D12" s="22" t="str">
        <x:v>P03</x:v>
      </x:c>
      <x:c r="E12" s="22" t="str">
        <x:v>% cierre oportuno de acciones correctivas, preventivas y de mejora</x:v>
      </x:c>
      <x:c r="F12" s="22" t="str">
        <x:v>Proceso</x:v>
      </x:c>
      <x:c r="G12" s="22" t="str">
        <x:v>Mensual</x:v>
      </x:c>
      <x:c r="H12" s="40" t="n">
        <x:v>90</x:v>
      </x:c>
      <x:c r="I12" s="22" t="str">
        <x:v>Mayor es mejor</x:v>
      </x:c>
      <x:c r="J12" s="40" t="n">
        <x:v>9</x:v>
      </x:c>
      <x:c r="K12" s="40" t="n">
        <x:v>11</x:v>
      </x:c>
      <x:c r="L12" s="40" t="n">
        <x:v>100</x:v>
      </x:c>
      <x:c r="M12" s="40" t="n">
        <x:f>IF(OR(J12="",K12="",K12=0),"",J12/K12*L12)</x:f>
        <x:v>81.81818181818183</x:v>
      </x:c>
      <x:c r="N12" s="22" t="str">
        <x:f>IF(M12="","",IF(I12="Mayor es mejor",IF(M12&gt;=H12,"En meta",IF(M12&gt;=H12*0.9,"Alerta","Crítico")),IF(M12&lt;=H12,"En meta",IF(M12&lt;=H12*1.1,"Alerta","Crítico"))))</x:f>
        <x:v>Alerta</x:v>
      </x:c>
      <x:c r="O12" s="22" t="str">
        <x:v>%</x:v>
      </x:c>
      <x:c r="P12" s="22" t="str">
        <x:v>Líder SG-SST / Responsables de proceso</x:v>
      </x:c>
      <x:c r="Q12" s="22" t="str">
        <x:v>Matriz APCM</x:v>
      </x:c>
      <x:c r="R12" s="22" t="str"/>
    </x:row>
    <x:row r="13">
      <x:c r="A13" s="46" t="n">
        <x:v>44957</x:v>
      </x:c>
      <x:c r="B13" s="22" t="n">
        <x:v>2023</x:v>
      </x:c>
      <x:c r="C13" s="22" t="str">
        <x:v>Enero</x:v>
      </x:c>
      <x:c r="D13" s="22" t="str">
        <x:v>P04</x:v>
      </x:c>
      <x:c r="E13" s="22" t="str">
        <x:v>% inspecciones de seguridad ejecutadas</x:v>
      </x:c>
      <x:c r="F13" s="22" t="str">
        <x:v>Proceso</x:v>
      </x:c>
      <x:c r="G13" s="22" t="str">
        <x:v>Mensual</x:v>
      </x:c>
      <x:c r="H13" s="40" t="n">
        <x:v>90</x:v>
      </x:c>
      <x:c r="I13" s="22" t="str">
        <x:v>Mayor es mejor</x:v>
      </x:c>
      <x:c r="J13" s="40" t="n">
        <x:v>8</x:v>
      </x:c>
      <x:c r="K13" s="40" t="n">
        <x:v>9</x:v>
      </x:c>
      <x:c r="L13" s="40" t="n">
        <x:v>100</x:v>
      </x:c>
      <x:c r="M13" s="40" t="n">
        <x:f>IF(OR(J13="",K13="",K13=0),"",J13/K13*L13)</x:f>
        <x:v>88.88888888888889</x:v>
      </x:c>
      <x:c r="N13" s="22" t="str">
        <x:f>IF(M13="","",IF(I13="Mayor es mejor",IF(M13&gt;=H13,"En meta",IF(M13&gt;=H13*0.9,"Alerta","Crítico")),IF(M13&lt;=H13,"En meta",IF(M13&lt;=H13*1.1,"Alerta","Crítico"))))</x:f>
        <x:v>Alerta</x:v>
      </x:c>
      <x:c r="O13" s="22" t="str">
        <x:v>%</x:v>
      </x:c>
      <x:c r="P13" s="22" t="str">
        <x:v>Líder SG-SST / Supervisores</x:v>
      </x:c>
      <x:c r="Q13" s="22" t="str">
        <x:v>Programa de inspecciones</x:v>
      </x:c>
      <x:c r="R13" s="22" t="str"/>
    </x:row>
    <x:row r="14">
      <x:c r="A14" s="46" t="n">
        <x:v>44957</x:v>
      </x:c>
      <x:c r="B14" s="22" t="n">
        <x:v>2023</x:v>
      </x:c>
      <x:c r="C14" s="22" t="str">
        <x:v>Enero</x:v>
      </x:c>
      <x:c r="D14" s="22" t="str">
        <x:v>P05</x:v>
      </x:c>
      <x:c r="E14" s="22" t="str">
        <x:v>% mantenimientos preventivos ejecutados</x:v>
      </x:c>
      <x:c r="F14" s="22" t="str">
        <x:v>Proceso</x:v>
      </x:c>
      <x:c r="G14" s="22" t="str">
        <x:v>Mensual</x:v>
      </x:c>
      <x:c r="H14" s="40" t="n">
        <x:v>90</x:v>
      </x:c>
      <x:c r="I14" s="22" t="str">
        <x:v>Mayor es mejor</x:v>
      </x:c>
      <x:c r="J14" s="40" t="n">
        <x:v>12</x:v>
      </x:c>
      <x:c r="K14" s="40" t="n">
        <x:v>13</x:v>
      </x:c>
      <x:c r="L14" s="40" t="n">
        <x:v>100</x:v>
      </x:c>
      <x:c r="M14" s="40" t="n">
        <x:f>IF(OR(J14="",K14="",K14=0),"",J14/K14*L14)</x:f>
        <x:v>92.3076923076923</x:v>
      </x:c>
      <x:c r="N14" s="22" t="str">
        <x:f>IF(M14="","",IF(I14="Mayor es mejor",IF(M14&gt;=H14,"En meta",IF(M14&gt;=H14*0.9,"Alerta","Crítico")),IF(M14&lt;=H14,"En meta",IF(M14&lt;=H14*1.1,"Alerta","Crítico"))))</x:f>
        <x:v>En meta</x:v>
      </x:c>
      <x:c r="O14" s="22" t="str">
        <x:v>%</x:v>
      </x:c>
      <x:c r="P14" s="22" t="str">
        <x:v>Mantenimiento / Líder SG-SST</x:v>
      </x:c>
      <x:c r="Q14" s="22" t="str">
        <x:v>Programa de mantenimiento preventivo</x:v>
      </x:c>
      <x:c r="R14" s="22" t="str"/>
    </x:row>
    <x:row r="15">
      <x:c r="A15" s="46" t="n">
        <x:v>44957</x:v>
      </x:c>
      <x:c r="B15" s="22" t="n">
        <x:v>2023</x:v>
      </x:c>
      <x:c r="C15" s="22" t="str">
        <x:v>Enero</x:v>
      </x:c>
      <x:c r="D15" s="22" t="str">
        <x:v>R01</x:v>
      </x:c>
      <x:c r="E15" s="22" t="str">
        <x:v>Índice de frecuencia de accidentalidad (IF)</x:v>
      </x:c>
      <x:c r="F15" s="22" t="str">
        <x:v>Resultado</x:v>
      </x:c>
      <x:c r="G15" s="22" t="str">
        <x:v>Mensual</x:v>
      </x:c>
      <x:c r="H15" s="40" t="n">
        <x:v>3.5</x:v>
      </x:c>
      <x:c r="I15" s="22" t="str">
        <x:v>Menor es mejor</x:v>
      </x:c>
      <x:c r="J15" s="40" t="n">
        <x:v>1</x:v>
      </x:c>
      <x:c r="K15" s="40" t="n">
        <x:v>50096</x:v>
      </x:c>
      <x:c r="L15" s="40" t="n">
        <x:v>200000</x:v>
      </x:c>
      <x:c r="M15" s="40" t="n">
        <x:f>IF(OR(J15="",K15="",K15=0),"",J15/K15*L15)</x:f>
        <x:v>3.992334717342702</x:v>
      </x:c>
      <x:c r="N15" s="22" t="str">
        <x:f>IF(M15="","",IF(I15="Mayor es mejor",IF(M15&gt;=H15,"En meta",IF(M15&gt;=H15*0.9,"Alerta","Crítico")),IF(M15&lt;=H15,"En meta",IF(M15&lt;=H15*1.1,"Alerta","Crítico"))))</x:f>
        <x:v>Crítico</x:v>
      </x:c>
      <x:c r="O15" s="22" t="str">
        <x:v>Índice</x:v>
      </x:c>
      <x:c r="P15" s="22" t="str">
        <x:v>Líder SG-SST</x:v>
      </x:c>
      <x:c r="Q15" s="22" t="str">
        <x:v>Matriz de accidentalidad / nómina</x:v>
      </x:c>
      <x:c r="R15" s="22" t="str"/>
    </x:row>
    <x:row r="16">
      <x:c r="A16" s="46" t="n">
        <x:v>44957</x:v>
      </x:c>
      <x:c r="B16" s="22" t="n">
        <x:v>2023</x:v>
      </x:c>
      <x:c r="C16" s="22" t="str">
        <x:v>Enero</x:v>
      </x:c>
      <x:c r="D16" s="22" t="str">
        <x:v>R02</x:v>
      </x:c>
      <x:c r="E16" s="22" t="str">
        <x:v>Índice de severidad de accidentalidad (IS)</x:v>
      </x:c>
      <x:c r="F16" s="22" t="str">
        <x:v>Resultado</x:v>
      </x:c>
      <x:c r="G16" s="22" t="str">
        <x:v>Mensual</x:v>
      </x:c>
      <x:c r="H16" s="40" t="n">
        <x:v>80</x:v>
      </x:c>
      <x:c r="I16" s="22" t="str">
        <x:v>Menor es mejor</x:v>
      </x:c>
      <x:c r="J16" s="40" t="n">
        <x:v>19</x:v>
      </x:c>
      <x:c r="K16" s="40" t="n">
        <x:v>50096</x:v>
      </x:c>
      <x:c r="L16" s="40" t="n">
        <x:v>200000</x:v>
      </x:c>
      <x:c r="M16" s="40" t="n">
        <x:f>IF(OR(J16="",K16="",K16=0),"",J16/K16*L16)</x:f>
        <x:v>75.85435962951134</x:v>
      </x:c>
      <x:c r="N16" s="22" t="str">
        <x:f>IF(M16="","",IF(I16="Mayor es mejor",IF(M16&gt;=H16,"En meta",IF(M16&gt;=H16*0.9,"Alerta","Crítico")),IF(M16&lt;=H16,"En meta",IF(M16&lt;=H16*1.1,"Alerta","Crítico"))))</x:f>
        <x:v>En meta</x:v>
      </x:c>
      <x:c r="O16" s="22" t="str">
        <x:v>Índice</x:v>
      </x:c>
      <x:c r="P16" s="22" t="str">
        <x:v>Líder SG-SST</x:v>
      </x:c>
      <x:c r="Q16" s="22" t="str">
        <x:v>Matriz de accidentalidad / nómina</x:v>
      </x:c>
      <x:c r="R16" s="22" t="str"/>
    </x:row>
    <x:row r="17">
      <x:c r="A17" s="46" t="n">
        <x:v>44957</x:v>
      </x:c>
      <x:c r="B17" s="22" t="n">
        <x:v>2023</x:v>
      </x:c>
      <x:c r="C17" s="22" t="str">
        <x:v>Enero</x:v>
      </x:c>
      <x:c r="D17" s="22" t="str">
        <x:v>R03</x:v>
      </x:c>
      <x:c r="E17" s="22" t="str">
        <x:v>Índice de lesión incapacitante (ILI)</x:v>
      </x:c>
      <x:c r="F17" s="22" t="str">
        <x:v>Resultado</x:v>
      </x:c>
      <x:c r="G17" s="22" t="str">
        <x:v>Mensual</x:v>
      </x:c>
      <x:c r="H17" s="40" t="n">
        <x:v>0.25</x:v>
      </x:c>
      <x:c r="I17" s="22" t="str">
        <x:v>Menor es mejor</x:v>
      </x:c>
      <x:c r="J17" s="40" t="n">
        <x:v>302.836</x:v>
      </x:c>
      <x:c r="K17" s="40" t="n">
        <x:v>1000</x:v>
      </x:c>
      <x:c r="L17" s="40" t="n">
        <x:v>1</x:v>
      </x:c>
      <x:c r="M17" s="40" t="n">
        <x:f>IF(OR(J17="",K17="",K17=0),"",J17/K17*L17)</x:f>
        <x:v>0.302836</x:v>
      </x:c>
      <x:c r="N17" s="22" t="str">
        <x:f>IF(M17="","",IF(I17="Mayor es mejor",IF(M17&gt;=H17,"En meta",IF(M17&gt;=H17*0.9,"Alerta","Crítico")),IF(M17&lt;=H17,"En meta",IF(M17&lt;=H17*1.1,"Alerta","Crítico"))))</x:f>
        <x:v>Crítico</x:v>
      </x:c>
      <x:c r="O17" s="22" t="str">
        <x:v>Índice</x:v>
      </x:c>
      <x:c r="P17" s="22" t="str">
        <x:v>Líder SG-SST</x:v>
      </x:c>
      <x:c r="Q17" s="22" t="str">
        <x:v>Indicadores derivados de accidentalidad</x:v>
      </x:c>
      <x:c r="R17" s="22" t="str">
        <x:v>ILI calculado sobre IF e IS del periodo.</x:v>
      </x:c>
    </x:row>
    <x:row r="18">
      <x:c r="A18" s="46" t="n">
        <x:v>44957</x:v>
      </x:c>
      <x:c r="B18" s="22" t="n">
        <x:v>2023</x:v>
      </x:c>
      <x:c r="C18" s="22" t="str">
        <x:v>Enero</x:v>
      </x:c>
      <x:c r="D18" s="22" t="str">
        <x:v>R04</x:v>
      </x:c>
      <x:c r="E18" s="22" t="str">
        <x:v>Tasa de accidentalidad</x:v>
      </x:c>
      <x:c r="F18" s="22" t="str">
        <x:v>Resultado</x:v>
      </x:c>
      <x:c r="G18" s="22" t="str">
        <x:v>Mensual</x:v>
      </x:c>
      <x:c r="H18" s="40" t="n">
        <x:v>0.6</x:v>
      </x:c>
      <x:c r="I18" s="22" t="str">
        <x:v>Menor es mejor</x:v>
      </x:c>
      <x:c r="J18" s="40" t="n">
        <x:v>0.02</x:v>
      </x:c>
      <x:c r="K18" s="40" t="n">
        <x:v>209</x:v>
      </x:c>
      <x:c r="L18" s="40" t="n">
        <x:v>100</x:v>
      </x:c>
      <x:c r="M18" s="40" t="n">
        <x:f>IF(OR(J18="",K18="",K18=0),"",J18/K18*L18)</x:f>
        <x:v>0.009569377990430622</x:v>
      </x:c>
      <x:c r="N18" s="22" t="str">
        <x:f>IF(M18="","",IF(I18="Mayor es mejor",IF(M18&gt;=H18,"En meta",IF(M18&gt;=H18*0.9,"Alerta","Crítico")),IF(M18&lt;=H18,"En meta",IF(M18&lt;=H18*1.1,"Alerta","Crítico"))))</x:f>
        <x:v>En meta</x:v>
      </x:c>
      <x:c r="O18" s="22" t="str">
        <x:v>%</x:v>
      </x:c>
      <x:c r="P18" s="22" t="str">
        <x:v>Líder SG-SST</x:v>
      </x:c>
      <x:c r="Q18" s="22" t="str">
        <x:v>Matriz de accidentalidad / nómina</x:v>
      </x:c>
      <x:c r="R18" s="22" t="str"/>
    </x:row>
    <x:row r="19">
      <x:c r="A19" s="46" t="n">
        <x:v>44957</x:v>
      </x:c>
      <x:c r="B19" s="22" t="n">
        <x:v>2023</x:v>
      </x:c>
      <x:c r="C19" s="22" t="str">
        <x:v>Enero</x:v>
      </x:c>
      <x:c r="D19" s="22" t="str">
        <x:v>R05</x:v>
      </x:c>
      <x:c r="E19" s="22" t="str">
        <x:v>Prevalencia de enfermedad laboral</x:v>
      </x:c>
      <x:c r="F19" s="22" t="str">
        <x:v>Resultado</x:v>
      </x:c>
      <x:c r="G19" s="22" t="str">
        <x:v>Mensual</x:v>
      </x:c>
      <x:c r="H19" s="40" t="n">
        <x:v>0.3</x:v>
      </x:c>
      <x:c r="I19" s="22" t="str">
        <x:v>Menor es mejor</x:v>
      </x:c>
      <x:c r="J19" s="40" t="n">
        <x:v>2.71</x:v>
      </x:c>
      <x:c r="K19" s="40" t="n">
        <x:v>209</x:v>
      </x:c>
      <x:c r="L19" s="40" t="n">
        <x:v>100</x:v>
      </x:c>
      <x:c r="M19" s="40" t="n">
        <x:f>IF(OR(J19="",K19="",K19=0),"",J19/K19*L19)</x:f>
        <x:v>1.2966507177033493</x:v>
      </x:c>
      <x:c r="N19" s="22" t="str">
        <x:f>IF(M19="","",IF(I19="Mayor es mejor",IF(M19&gt;=H19,"En meta",IF(M19&gt;=H19*0.9,"Alerta","Crítico")),IF(M19&lt;=H19,"En meta",IF(M19&lt;=H19*1.1,"Alerta","Crítico"))))</x:f>
        <x:v>Crítico</x:v>
      </x:c>
      <x:c r="O19" s="22" t="str">
        <x:v>%</x:v>
      </x:c>
      <x:c r="P19" s="22" t="str">
        <x:v>Líder SG-SST / Medicina laboral</x:v>
      </x:c>
      <x:c r="Q19" s="22" t="str">
        <x:v>Matriz de enfermedad laboral / nómina</x:v>
      </x:c>
      <x:c r="R19" s="22" t="str"/>
    </x:row>
    <x:row r="20">
      <x:c r="A20" s="46" t="n">
        <x:v>44957</x:v>
      </x:c>
      <x:c r="B20" s="22" t="n">
        <x:v>2023</x:v>
      </x:c>
      <x:c r="C20" s="22" t="str">
        <x:v>Enero</x:v>
      </x:c>
      <x:c r="D20" s="22" t="str">
        <x:v>R06</x:v>
      </x:c>
      <x:c r="E20" s="22" t="str">
        <x:v>% cumplimiento de estándares mínimos Res. 0312 de 2019</x:v>
      </x:c>
      <x:c r="F20" s="22" t="str">
        <x:v>Resultado</x:v>
      </x:c>
      <x:c r="G20" s="22" t="str">
        <x:v>Mensual</x:v>
      </x:c>
      <x:c r="H20" s="40" t="n">
        <x:v>95</x:v>
      </x:c>
      <x:c r="I20" s="22" t="str">
        <x:v>Mayor es mejor</x:v>
      </x:c>
      <x:c r="J20" s="40" t="n">
        <x:v>95</x:v>
      </x:c>
      <x:c r="K20" s="40" t="n">
        <x:v>100</x:v>
      </x:c>
      <x:c r="L20" s="40" t="n">
        <x:v>100</x:v>
      </x:c>
      <x:c r="M20" s="40" t="n">
        <x:f>IF(OR(J20="",K20="",K20=0),"",J20/K20*L20)</x:f>
        <x:v>95</x:v>
      </x:c>
      <x:c r="N20" s="22" t="str">
        <x:f>IF(M20="","",IF(I20="Mayor es mejor",IF(M20&gt;=H20,"En meta",IF(M20&gt;=H20*0.9,"Alerta","Crítico")),IF(M20&lt;=H20,"En meta",IF(M20&lt;=H20*1.1,"Alerta","Crítico"))))</x:f>
        <x:v>En meta</x:v>
      </x:c>
      <x:c r="O20" s="22" t="str">
        <x:v>%</x:v>
      </x:c>
      <x:c r="P20" s="22" t="str">
        <x:v>Líder SG-SST / Alta Dirección</x:v>
      </x:c>
      <x:c r="Q20" s="22" t="str">
        <x:v>Autodiagnóstico Res. 0312 de 2019</x:v>
      </x:c>
      <x:c r="R20" s="22" t="str"/>
    </x:row>
    <x:row r="21">
      <x:c r="A21" s="46" t="n">
        <x:v>44985</x:v>
      </x:c>
      <x:c r="B21" s="22" t="n">
        <x:v>2023</x:v>
      </x:c>
      <x:c r="C21" s="22" t="str">
        <x:v>Febrero</x:v>
      </x:c>
      <x:c r="D21" s="22" t="str">
        <x:v>E01</x:v>
      </x:c>
      <x:c r="E21" s="22" t="str">
        <x:v>% ejecución presupuestal del SG-SST</x:v>
      </x:c>
      <x:c r="F21" s="22" t="str">
        <x:v>Estructura</x:v>
      </x:c>
      <x:c r="G21" s="22" t="str">
        <x:v>Mensual</x:v>
      </x:c>
      <x:c r="H21" s="40" t="n">
        <x:v>95</x:v>
      </x:c>
      <x:c r="I21" s="22" t="str">
        <x:v>Mayor es mejor</x:v>
      </x:c>
      <x:c r="J21" s="40" t="n">
        <x:v>4616738</x:v>
      </x:c>
      <x:c r="K21" s="40" t="n">
        <x:v>5000000</x:v>
      </x:c>
      <x:c r="L21" s="40" t="n">
        <x:v>100</x:v>
      </x:c>
      <x:c r="M21" s="40" t="n">
        <x:f>IF(OR(J21="",K21="",K21=0),"",J21/K21*L21)</x:f>
        <x:v>92.33476</x:v>
      </x:c>
      <x:c r="N21" s="22" t="str">
        <x:f>IF(M21="","",IF(I21="Mayor es mejor",IF(M21&gt;=H21,"En meta",IF(M21&gt;=H21*0.9,"Alerta","Crítico")),IF(M21&lt;=H21,"En meta",IF(M21&lt;=H21*1.1,"Alerta","Crítico"))))</x:f>
        <x:v>Alerta</x:v>
      </x:c>
      <x:c r="O21" s="22" t="str">
        <x:v>%</x:v>
      </x:c>
      <x:c r="P21" s="22" t="str">
        <x:v>Líder SG-SST / Dirección Administrativa</x:v>
      </x:c>
      <x:c r="Q21" s="22" t="str">
        <x:v>Presupuesto SST</x:v>
      </x:c>
      <x:c r="R21" s="22" t="str"/>
    </x:row>
    <x:row r="22">
      <x:c r="A22" s="46" t="n">
        <x:v>44985</x:v>
      </x:c>
      <x:c r="B22" s="22" t="n">
        <x:v>2023</x:v>
      </x:c>
      <x:c r="C22" s="22" t="str">
        <x:v>Febrero</x:v>
      </x:c>
      <x:c r="D22" s="22" t="str">
        <x:v>E02</x:v>
      </x:c>
      <x:c r="E22" s="22" t="str">
        <x:v>% cobertura del plan de formación y capacitación SG-SST</x:v>
      </x:c>
      <x:c r="F22" s="22" t="str">
        <x:v>Estructura</x:v>
      </x:c>
      <x:c r="G22" s="22" t="str">
        <x:v>Mensual</x:v>
      </x:c>
      <x:c r="H22" s="40" t="n">
        <x:v>90</x:v>
      </x:c>
      <x:c r="I22" s="22" t="str">
        <x:v>Mayor es mejor</x:v>
      </x:c>
      <x:c r="J22" s="40" t="n">
        <x:v>19</x:v>
      </x:c>
      <x:c r="K22" s="40" t="n">
        <x:v>22</x:v>
      </x:c>
      <x:c r="L22" s="40" t="n">
        <x:v>100</x:v>
      </x:c>
      <x:c r="M22" s="40" t="n">
        <x:f>IF(OR(J22="",K22="",K22=0),"",J22/K22*L22)</x:f>
        <x:v>86.36363636363636</x:v>
      </x:c>
      <x:c r="N22" s="22" t="str">
        <x:f>IF(M22="","",IF(I22="Mayor es mejor",IF(M22&gt;=H22,"En meta",IF(M22&gt;=H22*0.9,"Alerta","Crítico")),IF(M22&lt;=H22,"En meta",IF(M22&lt;=H22*1.1,"Alerta","Crítico"))))</x:f>
        <x:v>Alerta</x:v>
      </x:c>
      <x:c r="O22" s="22" t="str">
        <x:v>%</x:v>
      </x:c>
      <x:c r="P22" s="22" t="str">
        <x:v>Líder SG-SST / Talento Humano</x:v>
      </x:c>
      <x:c r="Q22" s="22" t="str">
        <x:v>Plan de formación y capacitaciones</x:v>
      </x:c>
      <x:c r="R22" s="22" t="str"/>
    </x:row>
    <x:row r="23">
      <x:c r="A23" s="46" t="n">
        <x:v>44985</x:v>
      </x:c>
      <x:c r="B23" s="22" t="n">
        <x:v>2023</x:v>
      </x:c>
      <x:c r="C23" s="22" t="str">
        <x:v>Febrero</x:v>
      </x:c>
      <x:c r="D23" s="22" t="str">
        <x:v>E03</x:v>
      </x:c>
      <x:c r="E23" s="22" t="str">
        <x:v>% trabajadores con exámenes médicos ocupacionales vigentes</x:v>
      </x:c>
      <x:c r="F23" s="22" t="str">
        <x:v>Estructura</x:v>
      </x:c>
      <x:c r="G23" s="22" t="str">
        <x:v>Mensual</x:v>
      </x:c>
      <x:c r="H23" s="40" t="n">
        <x:v>95</x:v>
      </x:c>
      <x:c r="I23" s="22" t="str">
        <x:v>Mayor es mejor</x:v>
      </x:c>
      <x:c r="J23" s="40" t="n">
        <x:v>190</x:v>
      </x:c>
      <x:c r="K23" s="40" t="n">
        <x:v>205</x:v>
      </x:c>
      <x:c r="L23" s="40" t="n">
        <x:v>100</x:v>
      </x:c>
      <x:c r="M23" s="40" t="n">
        <x:f>IF(OR(J23="",K23="",K23=0),"",J23/K23*L23)</x:f>
        <x:v>92.6829268292683</x:v>
      </x:c>
      <x:c r="N23" s="22" t="str">
        <x:f>IF(M23="","",IF(I23="Mayor es mejor",IF(M23&gt;=H23,"En meta",IF(M23&gt;=H23*0.9,"Alerta","Crítico")),IF(M23&lt;=H23,"En meta",IF(M23&lt;=H23*1.1,"Alerta","Crítico"))))</x:f>
        <x:v>Alerta</x:v>
      </x:c>
      <x:c r="O23" s="22" t="str">
        <x:v>%</x:v>
      </x:c>
      <x:c r="P23" s="22" t="str">
        <x:v>Líder SG-SST / Talento Humano</x:v>
      </x:c>
      <x:c r="Q23" s="22" t="str">
        <x:v>Matriz de seguimiento EMO</x:v>
      </x:c>
      <x:c r="R23" s="22" t="str"/>
    </x:row>
    <x:row r="24">
      <x:c r="A24" s="46" t="n">
        <x:v>44985</x:v>
      </x:c>
      <x:c r="B24" s="22" t="n">
        <x:v>2023</x:v>
      </x:c>
      <x:c r="C24" s="22" t="str">
        <x:v>Febrero</x:v>
      </x:c>
      <x:c r="D24" s="22" t="str">
        <x:v>E04</x:v>
      </x:c>
      <x:c r="E24" s="22" t="str">
        <x:v>% cumplimiento de requisitos legales aplicables en SST</x:v>
      </x:c>
      <x:c r="F24" s="22" t="str">
        <x:v>Estructura</x:v>
      </x:c>
      <x:c r="G24" s="22" t="str">
        <x:v>Mensual</x:v>
      </x:c>
      <x:c r="H24" s="40" t="n">
        <x:v>95</x:v>
      </x:c>
      <x:c r="I24" s="22" t="str">
        <x:v>Mayor es mejor</x:v>
      </x:c>
      <x:c r="J24" s="40" t="n">
        <x:v>55</x:v>
      </x:c>
      <x:c r="K24" s="40" t="n">
        <x:v>60</x:v>
      </x:c>
      <x:c r="L24" s="40" t="n">
        <x:v>100</x:v>
      </x:c>
      <x:c r="M24" s="40" t="n">
        <x:f>IF(OR(J24="",K24="",K24=0),"",J24/K24*L24)</x:f>
        <x:v>91.66666666666666</x:v>
      </x:c>
      <x:c r="N24" s="22" t="str">
        <x:f>IF(M24="","",IF(I24="Mayor es mejor",IF(M24&gt;=H24,"En meta",IF(M24&gt;=H24*0.9,"Alerta","Crítico")),IF(M24&lt;=H24,"En meta",IF(M24&lt;=H24*1.1,"Alerta","Crítico"))))</x:f>
        <x:v>Alerta</x:v>
      </x:c>
      <x:c r="O24" s="22" t="str">
        <x:v>%</x:v>
      </x:c>
      <x:c r="P24" s="22" t="str">
        <x:v>Líder SG-SST / Jurídica</x:v>
      </x:c>
      <x:c r="Q24" s="22" t="str">
        <x:v>Matriz legal SGRL</x:v>
      </x:c>
      <x:c r="R24" s="22" t="str"/>
    </x:row>
    <x:row r="25">
      <x:c r="A25" s="46" t="n">
        <x:v>44985</x:v>
      </x:c>
      <x:c r="B25" s="22" t="n">
        <x:v>2023</x:v>
      </x:c>
      <x:c r="C25" s="22" t="str">
        <x:v>Febrero</x:v>
      </x:c>
      <x:c r="D25" s="22" t="str">
        <x:v>E05</x:v>
      </x:c>
      <x:c r="E25" s="22" t="str">
        <x:v>% proveedores y contratistas aprobados en SST</x:v>
      </x:c>
      <x:c r="F25" s="22" t="str">
        <x:v>Estructura</x:v>
      </x:c>
      <x:c r="G25" s="22" t="str">
        <x:v>Mensual</x:v>
      </x:c>
      <x:c r="H25" s="40" t="n">
        <x:v>90</x:v>
      </x:c>
      <x:c r="I25" s="22" t="str">
        <x:v>Mayor es mejor</x:v>
      </x:c>
      <x:c r="J25" s="40" t="n">
        <x:v>18</x:v>
      </x:c>
      <x:c r="K25" s="40" t="n">
        <x:v>20</x:v>
      </x:c>
      <x:c r="L25" s="40" t="n">
        <x:v>100</x:v>
      </x:c>
      <x:c r="M25" s="40" t="n">
        <x:f>IF(OR(J25="",K25="",K25=0),"",J25/K25*L25)</x:f>
        <x:v>90</x:v>
      </x:c>
      <x:c r="N25" s="22" t="str">
        <x:f>IF(M25="","",IF(I25="Mayor es mejor",IF(M25&gt;=H25,"En meta",IF(M25&gt;=H25*0.9,"Alerta","Crítico")),IF(M25&lt;=H25,"En meta",IF(M25&lt;=H25*1.1,"Alerta","Crítico"))))</x:f>
        <x:v>En meta</x:v>
      </x:c>
      <x:c r="O25" s="22" t="str">
        <x:v>%</x:v>
      </x:c>
      <x:c r="P25" s="22" t="str">
        <x:v>Compras / Líder SG-SST</x:v>
      </x:c>
      <x:c r="Q25" s="22" t="str">
        <x:v>Gestión de proveedores y contratistas</x:v>
      </x:c>
      <x:c r="R25" s="22" t="str"/>
    </x:row>
    <x:row r="26">
      <x:c r="A26" s="46" t="n">
        <x:v>44985</x:v>
      </x:c>
      <x:c r="B26" s="22" t="n">
        <x:v>2023</x:v>
      </x:c>
      <x:c r="C26" s="22" t="str">
        <x:v>Febrero</x:v>
      </x:c>
      <x:c r="D26" s="22" t="str">
        <x:v>P01</x:v>
      </x:c>
      <x:c r="E26" s="22" t="str">
        <x:v>% ejecución del plan anual de trabajo SG-SST</x:v>
      </x:c>
      <x:c r="F26" s="22" t="str">
        <x:v>Proceso</x:v>
      </x:c>
      <x:c r="G26" s="22" t="str">
        <x:v>Mensual</x:v>
      </x:c>
      <x:c r="H26" s="40" t="n">
        <x:v>90</x:v>
      </x:c>
      <x:c r="I26" s="22" t="str">
        <x:v>Mayor es mejor</x:v>
      </x:c>
      <x:c r="J26" s="40" t="n">
        <x:v>12</x:v>
      </x:c>
      <x:c r="K26" s="40" t="n">
        <x:v>14</x:v>
      </x:c>
      <x:c r="L26" s="40" t="n">
        <x:v>100</x:v>
      </x:c>
      <x:c r="M26" s="40" t="n">
        <x:f>IF(OR(J26="",K26="",K26=0),"",J26/K26*L26)</x:f>
        <x:v>85.71428571428571</x:v>
      </x:c>
      <x:c r="N26" s="22" t="str">
        <x:f>IF(M26="","",IF(I26="Mayor es mejor",IF(M26&gt;=H26,"En meta",IF(M26&gt;=H26*0.9,"Alerta","Crítico")),IF(M26&lt;=H26,"En meta",IF(M26&lt;=H26*1.1,"Alerta","Crítico"))))</x:f>
        <x:v>Alerta</x:v>
      </x:c>
      <x:c r="O26" s="22" t="str">
        <x:v>%</x:v>
      </x:c>
      <x:c r="P26" s="22" t="str">
        <x:v>Líder SG-SST</x:v>
      </x:c>
      <x:c r="Q26" s="22" t="str">
        <x:v>Plan anual de trabajo PHVA</x:v>
      </x:c>
      <x:c r="R26" s="22" t="str"/>
    </x:row>
    <x:row r="27">
      <x:c r="A27" s="46" t="n">
        <x:v>44985</x:v>
      </x:c>
      <x:c r="B27" s="22" t="n">
        <x:v>2023</x:v>
      </x:c>
      <x:c r="C27" s="22" t="str">
        <x:v>Febrero</x:v>
      </x:c>
      <x:c r="D27" s="22" t="str">
        <x:v>P02</x:v>
      </x:c>
      <x:c r="E27" s="22" t="str">
        <x:v>% investigaciones de accidentes realizadas oportunamente</x:v>
      </x:c>
      <x:c r="F27" s="22" t="str">
        <x:v>Proceso</x:v>
      </x:c>
      <x:c r="G27" s="22" t="str">
        <x:v>Mensual</x:v>
      </x:c>
      <x:c r="H27" s="40" t="n">
        <x:v>95</x:v>
      </x:c>
      <x:c r="I27" s="22" t="str">
        <x:v>Mayor es mejor</x:v>
      </x:c>
      <x:c r="J27" s="40" t="n">
        <x:v>1</x:v>
      </x:c>
      <x:c r="K27" s="40" t="n">
        <x:v>1</x:v>
      </x:c>
      <x:c r="L27" s="40" t="n">
        <x:v>100</x:v>
      </x:c>
      <x:c r="M27" s="40" t="n">
        <x:f>IF(OR(J27="",K27="",K27=0),"",J27/K27*L27)</x:f>
        <x:v>100</x:v>
      </x:c>
      <x:c r="N27" s="22" t="str">
        <x:f>IF(M27="","",IF(I27="Mayor es mejor",IF(M27&gt;=H27,"En meta",IF(M27&gt;=H27*0.9,"Alerta","Crítico")),IF(M27&lt;=H27,"En meta",IF(M27&lt;=H27*1.1,"Alerta","Crítico"))))</x:f>
        <x:v>En meta</x:v>
      </x:c>
      <x:c r="O27" s="22" t="str">
        <x:v>%</x:v>
      </x:c>
      <x:c r="P27" s="22" t="str">
        <x:v>Líder SG-SST / COPASST</x:v>
      </x:c>
      <x:c r="Q27" s="22" t="str">
        <x:v>Matriz de accidentalidad</x:v>
      </x:c>
      <x:c r="R27" s="22" t="str"/>
    </x:row>
    <x:row r="28">
      <x:c r="A28" s="46" t="n">
        <x:v>44985</x:v>
      </x:c>
      <x:c r="B28" s="22" t="n">
        <x:v>2023</x:v>
      </x:c>
      <x:c r="C28" s="22" t="str">
        <x:v>Febrero</x:v>
      </x:c>
      <x:c r="D28" s="22" t="str">
        <x:v>P03</x:v>
      </x:c>
      <x:c r="E28" s="22" t="str">
        <x:v>% cierre oportuno de acciones correctivas, preventivas y de mejora</x:v>
      </x:c>
      <x:c r="F28" s="22" t="str">
        <x:v>Proceso</x:v>
      </x:c>
      <x:c r="G28" s="22" t="str">
        <x:v>Mensual</x:v>
      </x:c>
      <x:c r="H28" s="40" t="n">
        <x:v>90</x:v>
      </x:c>
      <x:c r="I28" s="22" t="str">
        <x:v>Mayor es mejor</x:v>
      </x:c>
      <x:c r="J28" s="40" t="n">
        <x:v>10</x:v>
      </x:c>
      <x:c r="K28" s="40" t="n">
        <x:v>12</x:v>
      </x:c>
      <x:c r="L28" s="40" t="n">
        <x:v>100</x:v>
      </x:c>
      <x:c r="M28" s="40" t="n">
        <x:f>IF(OR(J28="",K28="",K28=0),"",J28/K28*L28)</x:f>
        <x:v>83.33333333333334</x:v>
      </x:c>
      <x:c r="N28" s="22" t="str">
        <x:f>IF(M28="","",IF(I28="Mayor es mejor",IF(M28&gt;=H28,"En meta",IF(M28&gt;=H28*0.9,"Alerta","Crítico")),IF(M28&lt;=H28,"En meta",IF(M28&lt;=H28*1.1,"Alerta","Crítico"))))</x:f>
        <x:v>Alerta</x:v>
      </x:c>
      <x:c r="O28" s="22" t="str">
        <x:v>%</x:v>
      </x:c>
      <x:c r="P28" s="22" t="str">
        <x:v>Líder SG-SST / Responsables de proceso</x:v>
      </x:c>
      <x:c r="Q28" s="22" t="str">
        <x:v>Matriz APCM</x:v>
      </x:c>
      <x:c r="R28" s="22" t="str"/>
    </x:row>
    <x:row r="29">
      <x:c r="A29" s="46" t="n">
        <x:v>44985</x:v>
      </x:c>
      <x:c r="B29" s="22" t="n">
        <x:v>2023</x:v>
      </x:c>
      <x:c r="C29" s="22" t="str">
        <x:v>Febrero</x:v>
      </x:c>
      <x:c r="D29" s="22" t="str">
        <x:v>P04</x:v>
      </x:c>
      <x:c r="E29" s="22" t="str">
        <x:v>% inspecciones de seguridad ejecutadas</x:v>
      </x:c>
      <x:c r="F29" s="22" t="str">
        <x:v>Proceso</x:v>
      </x:c>
      <x:c r="G29" s="22" t="str">
        <x:v>Mensual</x:v>
      </x:c>
      <x:c r="H29" s="40" t="n">
        <x:v>90</x:v>
      </x:c>
      <x:c r="I29" s="22" t="str">
        <x:v>Mayor es mejor</x:v>
      </x:c>
      <x:c r="J29" s="40" t="n">
        <x:v>9</x:v>
      </x:c>
      <x:c r="K29" s="40" t="n">
        <x:v>10</x:v>
      </x:c>
      <x:c r="L29" s="40" t="n">
        <x:v>100</x:v>
      </x:c>
      <x:c r="M29" s="40" t="n">
        <x:f>IF(OR(J29="",K29="",K29=0),"",J29/K29*L29)</x:f>
        <x:v>90</x:v>
      </x:c>
      <x:c r="N29" s="22" t="str">
        <x:f>IF(M29="","",IF(I29="Mayor es mejor",IF(M29&gt;=H29,"En meta",IF(M29&gt;=H29*0.9,"Alerta","Crítico")),IF(M29&lt;=H29,"En meta",IF(M29&lt;=H29*1.1,"Alerta","Crítico"))))</x:f>
        <x:v>En meta</x:v>
      </x:c>
      <x:c r="O29" s="22" t="str">
        <x:v>%</x:v>
      </x:c>
      <x:c r="P29" s="22" t="str">
        <x:v>Líder SG-SST / Supervisores</x:v>
      </x:c>
      <x:c r="Q29" s="22" t="str">
        <x:v>Programa de inspecciones</x:v>
      </x:c>
      <x:c r="R29" s="22" t="str"/>
    </x:row>
    <x:row r="30">
      <x:c r="A30" s="46" t="n">
        <x:v>44985</x:v>
      </x:c>
      <x:c r="B30" s="22" t="n">
        <x:v>2023</x:v>
      </x:c>
      <x:c r="C30" s="22" t="str">
        <x:v>Febrero</x:v>
      </x:c>
      <x:c r="D30" s="22" t="str">
        <x:v>P05</x:v>
      </x:c>
      <x:c r="E30" s="22" t="str">
        <x:v>% mantenimientos preventivos ejecutados</x:v>
      </x:c>
      <x:c r="F30" s="22" t="str">
        <x:v>Proceso</x:v>
      </x:c>
      <x:c r="G30" s="22" t="str">
        <x:v>Mensual</x:v>
      </x:c>
      <x:c r="H30" s="40" t="n">
        <x:v>90</x:v>
      </x:c>
      <x:c r="I30" s="22" t="str">
        <x:v>Mayor es mejor</x:v>
      </x:c>
      <x:c r="J30" s="40" t="n">
        <x:v>13</x:v>
      </x:c>
      <x:c r="K30" s="40" t="n">
        <x:v>14</x:v>
      </x:c>
      <x:c r="L30" s="40" t="n">
        <x:v>100</x:v>
      </x:c>
      <x:c r="M30" s="40" t="n">
        <x:f>IF(OR(J30="",K30="",K30=0),"",J30/K30*L30)</x:f>
        <x:v>92.85714285714286</x:v>
      </x:c>
      <x:c r="N30" s="22" t="str">
        <x:f>IF(M30="","",IF(I30="Mayor es mejor",IF(M30&gt;=H30,"En meta",IF(M30&gt;=H30*0.9,"Alerta","Crítico")),IF(M30&lt;=H30,"En meta",IF(M30&lt;=H30*1.1,"Alerta","Crítico"))))</x:f>
        <x:v>En meta</x:v>
      </x:c>
      <x:c r="O30" s="22" t="str">
        <x:v>%</x:v>
      </x:c>
      <x:c r="P30" s="22" t="str">
        <x:v>Mantenimiento / Líder SG-SST</x:v>
      </x:c>
      <x:c r="Q30" s="22" t="str">
        <x:v>Programa de mantenimiento preventivo</x:v>
      </x:c>
      <x:c r="R30" s="22" t="str"/>
    </x:row>
    <x:row r="31">
      <x:c r="A31" s="46" t="n">
        <x:v>44985</x:v>
      </x:c>
      <x:c r="B31" s="22" t="n">
        <x:v>2023</x:v>
      </x:c>
      <x:c r="C31" s="22" t="str">
        <x:v>Febrero</x:v>
      </x:c>
      <x:c r="D31" s="22" t="str">
        <x:v>R01</x:v>
      </x:c>
      <x:c r="E31" s="22" t="str">
        <x:v>Índice de frecuencia de accidentalidad (IF)</x:v>
      </x:c>
      <x:c r="F31" s="22" t="str">
        <x:v>Resultado</x:v>
      </x:c>
      <x:c r="G31" s="22" t="str">
        <x:v>Mensual</x:v>
      </x:c>
      <x:c r="H31" s="40" t="n">
        <x:v>3.5</x:v>
      </x:c>
      <x:c r="I31" s="22" t="str">
        <x:v>Menor es mejor</x:v>
      </x:c>
      <x:c r="J31" s="40" t="n">
        <x:v>1</x:v>
      </x:c>
      <x:c r="K31" s="40" t="n">
        <x:v>48141</x:v>
      </x:c>
      <x:c r="L31" s="40" t="n">
        <x:v>200000</x:v>
      </x:c>
      <x:c r="M31" s="40" t="n">
        <x:f>IF(OR(J31="",K31="",K31=0),"",J31/K31*L31)</x:f>
        <x:v>4.154462931804491</x:v>
      </x:c>
      <x:c r="N31" s="22" t="str">
        <x:f>IF(M31="","",IF(I31="Mayor es mejor",IF(M31&gt;=H31,"En meta",IF(M31&gt;=H31*0.9,"Alerta","Crítico")),IF(M31&lt;=H31,"En meta",IF(M31&lt;=H31*1.1,"Alerta","Crítico"))))</x:f>
        <x:v>Crítico</x:v>
      </x:c>
      <x:c r="O31" s="22" t="str">
        <x:v>Índice</x:v>
      </x:c>
      <x:c r="P31" s="22" t="str">
        <x:v>Líder SG-SST</x:v>
      </x:c>
      <x:c r="Q31" s="22" t="str">
        <x:v>Matriz de accidentalidad / nómina</x:v>
      </x:c>
      <x:c r="R31" s="22" t="str"/>
    </x:row>
    <x:row r="32">
      <x:c r="A32" s="46" t="n">
        <x:v>44985</x:v>
      </x:c>
      <x:c r="B32" s="22" t="n">
        <x:v>2023</x:v>
      </x:c>
      <x:c r="C32" s="22" t="str">
        <x:v>Febrero</x:v>
      </x:c>
      <x:c r="D32" s="22" t="str">
        <x:v>R02</x:v>
      </x:c>
      <x:c r="E32" s="22" t="str">
        <x:v>Índice de severidad de accidentalidad (IS)</x:v>
      </x:c>
      <x:c r="F32" s="22" t="str">
        <x:v>Resultado</x:v>
      </x:c>
      <x:c r="G32" s="22" t="str">
        <x:v>Mensual</x:v>
      </x:c>
      <x:c r="H32" s="40" t="n">
        <x:v>80</x:v>
      </x:c>
      <x:c r="I32" s="22" t="str">
        <x:v>Menor es mejor</x:v>
      </x:c>
      <x:c r="J32" s="40" t="n">
        <x:v>17</x:v>
      </x:c>
      <x:c r="K32" s="40" t="n">
        <x:v>48141</x:v>
      </x:c>
      <x:c r="L32" s="40" t="n">
        <x:v>200000</x:v>
      </x:c>
      <x:c r="M32" s="40" t="n">
        <x:f>IF(OR(J32="",K32="",K32=0),"",J32/K32*L32)</x:f>
        <x:v>70.62586984067634</x:v>
      </x:c>
      <x:c r="N32" s="22" t="str">
        <x:f>IF(M32="","",IF(I32="Mayor es mejor",IF(M32&gt;=H32,"En meta",IF(M32&gt;=H32*0.9,"Alerta","Crítico")),IF(M32&lt;=H32,"En meta",IF(M32&lt;=H32*1.1,"Alerta","Crítico"))))</x:f>
        <x:v>En meta</x:v>
      </x:c>
      <x:c r="O32" s="22" t="str">
        <x:v>Índice</x:v>
      </x:c>
      <x:c r="P32" s="22" t="str">
        <x:v>Líder SG-SST</x:v>
      </x:c>
      <x:c r="Q32" s="22" t="str">
        <x:v>Matriz de accidentalidad / nómina</x:v>
      </x:c>
      <x:c r="R32" s="22" t="str"/>
    </x:row>
    <x:row r="33">
      <x:c r="A33" s="46" t="n">
        <x:v>44985</x:v>
      </x:c>
      <x:c r="B33" s="22" t="n">
        <x:v>2023</x:v>
      </x:c>
      <x:c r="C33" s="22" t="str">
        <x:v>Febrero</x:v>
      </x:c>
      <x:c r="D33" s="22" t="str">
        <x:v>R03</x:v>
      </x:c>
      <x:c r="E33" s="22" t="str">
        <x:v>Índice de lesión incapacitante (ILI)</x:v>
      </x:c>
      <x:c r="F33" s="22" t="str">
        <x:v>Resultado</x:v>
      </x:c>
      <x:c r="G33" s="22" t="str">
        <x:v>Mensual</x:v>
      </x:c>
      <x:c r="H33" s="40" t="n">
        <x:v>0.25</x:v>
      </x:c>
      <x:c r="I33" s="22" t="str">
        <x:v>Menor es mejor</x:v>
      </x:c>
      <x:c r="J33" s="40" t="n">
        <x:v>293.4126</x:v>
      </x:c>
      <x:c r="K33" s="40" t="n">
        <x:v>1000</x:v>
      </x:c>
      <x:c r="L33" s="40" t="n">
        <x:v>1</x:v>
      </x:c>
      <x:c r="M33" s="40" t="n">
        <x:f>IF(OR(J33="",K33="",K33=0),"",J33/K33*L33)</x:f>
        <x:v>0.2934126</x:v>
      </x:c>
      <x:c r="N33" s="22" t="str">
        <x:f>IF(M33="","",IF(I33="Mayor es mejor",IF(M33&gt;=H33,"En meta",IF(M33&gt;=H33*0.9,"Alerta","Crítico")),IF(M33&lt;=H33,"En meta",IF(M33&lt;=H33*1.1,"Alerta","Crítico"))))</x:f>
        <x:v>Crítico</x:v>
      </x:c>
      <x:c r="O33" s="22" t="str">
        <x:v>Índice</x:v>
      </x:c>
      <x:c r="P33" s="22" t="str">
        <x:v>Líder SG-SST</x:v>
      </x:c>
      <x:c r="Q33" s="22" t="str">
        <x:v>Indicadores derivados de accidentalidad</x:v>
      </x:c>
      <x:c r="R33" s="22" t="str">
        <x:v>ILI calculado sobre IF e IS del periodo.</x:v>
      </x:c>
    </x:row>
    <x:row r="34">
      <x:c r="A34" s="46" t="n">
        <x:v>44985</x:v>
      </x:c>
      <x:c r="B34" s="22" t="n">
        <x:v>2023</x:v>
      </x:c>
      <x:c r="C34" s="22" t="str">
        <x:v>Febrero</x:v>
      </x:c>
      <x:c r="D34" s="22" t="str">
        <x:v>R04</x:v>
      </x:c>
      <x:c r="E34" s="22" t="str">
        <x:v>Tasa de accidentalidad</x:v>
      </x:c>
      <x:c r="F34" s="22" t="str">
        <x:v>Resultado</x:v>
      </x:c>
      <x:c r="G34" s="22" t="str">
        <x:v>Mensual</x:v>
      </x:c>
      <x:c r="H34" s="40" t="n">
        <x:v>0.6</x:v>
      </x:c>
      <x:c r="I34" s="22" t="str">
        <x:v>Menor es mejor</x:v>
      </x:c>
      <x:c r="J34" s="40" t="n">
        <x:v>0.93</x:v>
      </x:c>
      <x:c r="K34" s="40" t="n">
        <x:v>205</x:v>
      </x:c>
      <x:c r="L34" s="40" t="n">
        <x:v>100</x:v>
      </x:c>
      <x:c r="M34" s="40" t="n">
        <x:f>IF(OR(J34="",K34="",K34=0),"",J34/K34*L34)</x:f>
        <x:v>0.4536585365853659</x:v>
      </x:c>
      <x:c r="N34" s="22" t="str">
        <x:f>IF(M34="","",IF(I34="Mayor es mejor",IF(M34&gt;=H34,"En meta",IF(M34&gt;=H34*0.9,"Alerta","Crítico")),IF(M34&lt;=H34,"En meta",IF(M34&lt;=H34*1.1,"Alerta","Crítico"))))</x:f>
        <x:v>En meta</x:v>
      </x:c>
      <x:c r="O34" s="22" t="str">
        <x:v>%</x:v>
      </x:c>
      <x:c r="P34" s="22" t="str">
        <x:v>Líder SG-SST</x:v>
      </x:c>
      <x:c r="Q34" s="22" t="str">
        <x:v>Matriz de accidentalidad / nómina</x:v>
      </x:c>
      <x:c r="R34" s="22" t="str"/>
    </x:row>
    <x:row r="35">
      <x:c r="A35" s="46" t="n">
        <x:v>44985</x:v>
      </x:c>
      <x:c r="B35" s="22" t="n">
        <x:v>2023</x:v>
      </x:c>
      <x:c r="C35" s="22" t="str">
        <x:v>Febrero</x:v>
      </x:c>
      <x:c r="D35" s="22" t="str">
        <x:v>R05</x:v>
      </x:c>
      <x:c r="E35" s="22" t="str">
        <x:v>Prevalencia de enfermedad laboral</x:v>
      </x:c>
      <x:c r="F35" s="22" t="str">
        <x:v>Resultado</x:v>
      </x:c>
      <x:c r="G35" s="22" t="str">
        <x:v>Mensual</x:v>
      </x:c>
      <x:c r="H35" s="40" t="n">
        <x:v>0.3</x:v>
      </x:c>
      <x:c r="I35" s="22" t="str">
        <x:v>Menor es mejor</x:v>
      </x:c>
      <x:c r="J35" s="40" t="n">
        <x:v>0.02</x:v>
      </x:c>
      <x:c r="K35" s="40" t="n">
        <x:v>205</x:v>
      </x:c>
      <x:c r="L35" s="40" t="n">
        <x:v>100</x:v>
      </x:c>
      <x:c r="M35" s="40" t="n">
        <x:f>IF(OR(J35="",K35="",K35=0),"",J35/K35*L35)</x:f>
        <x:v>0.00975609756097561</x:v>
      </x:c>
      <x:c r="N35" s="22" t="str">
        <x:f>IF(M35="","",IF(I35="Mayor es mejor",IF(M35&gt;=H35,"En meta",IF(M35&gt;=H35*0.9,"Alerta","Crítico")),IF(M35&lt;=H35,"En meta",IF(M35&lt;=H35*1.1,"Alerta","Crítico"))))</x:f>
        <x:v>En meta</x:v>
      </x:c>
      <x:c r="O35" s="22" t="str">
        <x:v>%</x:v>
      </x:c>
      <x:c r="P35" s="22" t="str">
        <x:v>Líder SG-SST / Medicina laboral</x:v>
      </x:c>
      <x:c r="Q35" s="22" t="str">
        <x:v>Matriz de enfermedad laboral / nómina</x:v>
      </x:c>
      <x:c r="R35" s="22" t="str"/>
    </x:row>
    <x:row r="36">
      <x:c r="A36" s="46" t="n">
        <x:v>44985</x:v>
      </x:c>
      <x:c r="B36" s="22" t="n">
        <x:v>2023</x:v>
      </x:c>
      <x:c r="C36" s="22" t="str">
        <x:v>Febrero</x:v>
      </x:c>
      <x:c r="D36" s="22" t="str">
        <x:v>R06</x:v>
      </x:c>
      <x:c r="E36" s="22" t="str">
        <x:v>% cumplimiento de estándares mínimos Res. 0312 de 2019</x:v>
      </x:c>
      <x:c r="F36" s="22" t="str">
        <x:v>Resultado</x:v>
      </x:c>
      <x:c r="G36" s="22" t="str">
        <x:v>Mensual</x:v>
      </x:c>
      <x:c r="H36" s="40" t="n">
        <x:v>95</x:v>
      </x:c>
      <x:c r="I36" s="22" t="str">
        <x:v>Mayor es mejor</x:v>
      </x:c>
      <x:c r="J36" s="40" t="n">
        <x:v>97</x:v>
      </x:c>
      <x:c r="K36" s="40" t="n">
        <x:v>100</x:v>
      </x:c>
      <x:c r="L36" s="40" t="n">
        <x:v>100</x:v>
      </x:c>
      <x:c r="M36" s="40" t="n">
        <x:f>IF(OR(J36="",K36="",K36=0),"",J36/K36*L36)</x:f>
        <x:v>97</x:v>
      </x:c>
      <x:c r="N36" s="22" t="str">
        <x:f>IF(M36="","",IF(I36="Mayor es mejor",IF(M36&gt;=H36,"En meta",IF(M36&gt;=H36*0.9,"Alerta","Crítico")),IF(M36&lt;=H36,"En meta",IF(M36&lt;=H36*1.1,"Alerta","Crítico"))))</x:f>
        <x:v>En meta</x:v>
      </x:c>
      <x:c r="O36" s="22" t="str">
        <x:v>%</x:v>
      </x:c>
      <x:c r="P36" s="22" t="str">
        <x:v>Líder SG-SST / Alta Dirección</x:v>
      </x:c>
      <x:c r="Q36" s="22" t="str">
        <x:v>Autodiagnóstico Res. 0312 de 2019</x:v>
      </x:c>
      <x:c r="R36" s="22" t="str"/>
    </x:row>
    <x:row r="37">
      <x:c r="A37" s="46" t="n">
        <x:v>45016</x:v>
      </x:c>
      <x:c r="B37" s="22" t="n">
        <x:v>2023</x:v>
      </x:c>
      <x:c r="C37" s="22" t="str">
        <x:v>Marzo</x:v>
      </x:c>
      <x:c r="D37" s="22" t="str">
        <x:v>E01</x:v>
      </x:c>
      <x:c r="E37" s="22" t="str">
        <x:v>% ejecución presupuestal del SG-SST</x:v>
      </x:c>
      <x:c r="F37" s="22" t="str">
        <x:v>Estructura</x:v>
      </x:c>
      <x:c r="G37" s="22" t="str">
        <x:v>Mensual</x:v>
      </x:c>
      <x:c r="H37" s="40" t="n">
        <x:v>95</x:v>
      </x:c>
      <x:c r="I37" s="22" t="str">
        <x:v>Mayor es mejor</x:v>
      </x:c>
      <x:c r="J37" s="40" t="n">
        <x:v>5095690</x:v>
      </x:c>
      <x:c r="K37" s="40" t="n">
        <x:v>5500000</x:v>
      </x:c>
      <x:c r="L37" s="40" t="n">
        <x:v>100</x:v>
      </x:c>
      <x:c r="M37" s="40" t="n">
        <x:f>IF(OR(J37="",K37="",K37=0),"",J37/K37*L37)</x:f>
        <x:v>92.64890909090909</x:v>
      </x:c>
      <x:c r="N37" s="22" t="str">
        <x:f>IF(M37="","",IF(I37="Mayor es mejor",IF(M37&gt;=H37,"En meta",IF(M37&gt;=H37*0.9,"Alerta","Crítico")),IF(M37&lt;=H37,"En meta",IF(M37&lt;=H37*1.1,"Alerta","Crítico"))))</x:f>
        <x:v>Alerta</x:v>
      </x:c>
      <x:c r="O37" s="22" t="str">
        <x:v>%</x:v>
      </x:c>
      <x:c r="P37" s="22" t="str">
        <x:v>Líder SG-SST / Dirección Administrativa</x:v>
      </x:c>
      <x:c r="Q37" s="22" t="str">
        <x:v>Presupuesto SST</x:v>
      </x:c>
      <x:c r="R37" s="22" t="str"/>
    </x:row>
    <x:row r="38">
      <x:c r="A38" s="46" t="n">
        <x:v>45016</x:v>
      </x:c>
      <x:c r="B38" s="22" t="n">
        <x:v>2023</x:v>
      </x:c>
      <x:c r="C38" s="22" t="str">
        <x:v>Marzo</x:v>
      </x:c>
      <x:c r="D38" s="22" t="str">
        <x:v>E02</x:v>
      </x:c>
      <x:c r="E38" s="22" t="str">
        <x:v>% cobertura del plan de formación y capacitación SG-SST</x:v>
      </x:c>
      <x:c r="F38" s="22" t="str">
        <x:v>Estructura</x:v>
      </x:c>
      <x:c r="G38" s="22" t="str">
        <x:v>Mensual</x:v>
      </x:c>
      <x:c r="H38" s="40" t="n">
        <x:v>90</x:v>
      </x:c>
      <x:c r="I38" s="22" t="str">
        <x:v>Mayor es mejor</x:v>
      </x:c>
      <x:c r="J38" s="40" t="n">
        <x:v>21</x:v>
      </x:c>
      <x:c r="K38" s="40" t="n">
        <x:v>24</x:v>
      </x:c>
      <x:c r="L38" s="40" t="n">
        <x:v>100</x:v>
      </x:c>
      <x:c r="M38" s="40" t="n">
        <x:f>IF(OR(J38="",K38="",K38=0),"",J38/K38*L38)</x:f>
        <x:v>87.5</x:v>
      </x:c>
      <x:c r="N38" s="22" t="str">
        <x:f>IF(M38="","",IF(I38="Mayor es mejor",IF(M38&gt;=H38,"En meta",IF(M38&gt;=H38*0.9,"Alerta","Crítico")),IF(M38&lt;=H38,"En meta",IF(M38&lt;=H38*1.1,"Alerta","Crítico"))))</x:f>
        <x:v>Alerta</x:v>
      </x:c>
      <x:c r="O38" s="22" t="str">
        <x:v>%</x:v>
      </x:c>
      <x:c r="P38" s="22" t="str">
        <x:v>Líder SG-SST / Talento Humano</x:v>
      </x:c>
      <x:c r="Q38" s="22" t="str">
        <x:v>Plan de formación y capacitaciones</x:v>
      </x:c>
      <x:c r="R38" s="22" t="str"/>
    </x:row>
    <x:row r="39">
      <x:c r="A39" s="46" t="n">
        <x:v>45016</x:v>
      </x:c>
      <x:c r="B39" s="22" t="n">
        <x:v>2023</x:v>
      </x:c>
      <x:c r="C39" s="22" t="str">
        <x:v>Marzo</x:v>
      </x:c>
      <x:c r="D39" s="22" t="str">
        <x:v>E03</x:v>
      </x:c>
      <x:c r="E39" s="22" t="str">
        <x:v>% trabajadores con exámenes médicos ocupacionales vigentes</x:v>
      </x:c>
      <x:c r="F39" s="22" t="str">
        <x:v>Estructura</x:v>
      </x:c>
      <x:c r="G39" s="22" t="str">
        <x:v>Mensual</x:v>
      </x:c>
      <x:c r="H39" s="40" t="n">
        <x:v>95</x:v>
      </x:c>
      <x:c r="I39" s="22" t="str">
        <x:v>Mayor es mejor</x:v>
      </x:c>
      <x:c r="J39" s="40" t="n">
        <x:v>194</x:v>
      </x:c>
      <x:c r="K39" s="40" t="n">
        <x:v>208</x:v>
      </x:c>
      <x:c r="L39" s="40" t="n">
        <x:v>100</x:v>
      </x:c>
      <x:c r="M39" s="40" t="n">
        <x:f>IF(OR(J39="",K39="",K39=0),"",J39/K39*L39)</x:f>
        <x:v>93.26923076923077</x:v>
      </x:c>
      <x:c r="N39" s="22" t="str">
        <x:f>IF(M39="","",IF(I39="Mayor es mejor",IF(M39&gt;=H39,"En meta",IF(M39&gt;=H39*0.9,"Alerta","Crítico")),IF(M39&lt;=H39,"En meta",IF(M39&lt;=H39*1.1,"Alerta","Crítico"))))</x:f>
        <x:v>Alerta</x:v>
      </x:c>
      <x:c r="O39" s="22" t="str">
        <x:v>%</x:v>
      </x:c>
      <x:c r="P39" s="22" t="str">
        <x:v>Líder SG-SST / Talento Humano</x:v>
      </x:c>
      <x:c r="Q39" s="22" t="str">
        <x:v>Matriz de seguimiento EMO</x:v>
      </x:c>
      <x:c r="R39" s="22" t="str"/>
    </x:row>
    <x:row r="40">
      <x:c r="A40" s="46" t="n">
        <x:v>45016</x:v>
      </x:c>
      <x:c r="B40" s="22" t="n">
        <x:v>2023</x:v>
      </x:c>
      <x:c r="C40" s="22" t="str">
        <x:v>Marzo</x:v>
      </x:c>
      <x:c r="D40" s="22" t="str">
        <x:v>E04</x:v>
      </x:c>
      <x:c r="E40" s="22" t="str">
        <x:v>% cumplimiento de requisitos legales aplicables en SST</x:v>
      </x:c>
      <x:c r="F40" s="22" t="str">
        <x:v>Estructura</x:v>
      </x:c>
      <x:c r="G40" s="22" t="str">
        <x:v>Mensual</x:v>
      </x:c>
      <x:c r="H40" s="40" t="n">
        <x:v>95</x:v>
      </x:c>
      <x:c r="I40" s="22" t="str">
        <x:v>Mayor es mejor</x:v>
      </x:c>
      <x:c r="J40" s="40" t="n">
        <x:v>56</x:v>
      </x:c>
      <x:c r="K40" s="40" t="n">
        <x:v>60</x:v>
      </x:c>
      <x:c r="L40" s="40" t="n">
        <x:v>100</x:v>
      </x:c>
      <x:c r="M40" s="40" t="n">
        <x:f>IF(OR(J40="",K40="",K40=0),"",J40/K40*L40)</x:f>
        <x:v>93.33333333333333</x:v>
      </x:c>
      <x:c r="N40" s="22" t="str">
        <x:f>IF(M40="","",IF(I40="Mayor es mejor",IF(M40&gt;=H40,"En meta",IF(M40&gt;=H40*0.9,"Alerta","Crítico")),IF(M40&lt;=H40,"En meta",IF(M40&lt;=H40*1.1,"Alerta","Crítico"))))</x:f>
        <x:v>Alerta</x:v>
      </x:c>
      <x:c r="O40" s="22" t="str">
        <x:v>%</x:v>
      </x:c>
      <x:c r="P40" s="22" t="str">
        <x:v>Líder SG-SST / Jurídica</x:v>
      </x:c>
      <x:c r="Q40" s="22" t="str">
        <x:v>Matriz legal SGRL</x:v>
      </x:c>
      <x:c r="R40" s="22" t="str"/>
    </x:row>
    <x:row r="41">
      <x:c r="A41" s="46" t="n">
        <x:v>45016</x:v>
      </x:c>
      <x:c r="B41" s="22" t="n">
        <x:v>2023</x:v>
      </x:c>
      <x:c r="C41" s="22" t="str">
        <x:v>Marzo</x:v>
      </x:c>
      <x:c r="D41" s="22" t="str">
        <x:v>E05</x:v>
      </x:c>
      <x:c r="E41" s="22" t="str">
        <x:v>% proveedores y contratistas aprobados en SST</x:v>
      </x:c>
      <x:c r="F41" s="22" t="str">
        <x:v>Estructura</x:v>
      </x:c>
      <x:c r="G41" s="22" t="str">
        <x:v>Mensual</x:v>
      </x:c>
      <x:c r="H41" s="40" t="n">
        <x:v>90</x:v>
      </x:c>
      <x:c r="I41" s="22" t="str">
        <x:v>Mayor es mejor</x:v>
      </x:c>
      <x:c r="J41" s="40" t="n">
        <x:v>18</x:v>
      </x:c>
      <x:c r="K41" s="40" t="n">
        <x:v>20</x:v>
      </x:c>
      <x:c r="L41" s="40" t="n">
        <x:v>100</x:v>
      </x:c>
      <x:c r="M41" s="40" t="n">
        <x:f>IF(OR(J41="",K41="",K41=0),"",J41/K41*L41)</x:f>
        <x:v>90</x:v>
      </x:c>
      <x:c r="N41" s="22" t="str">
        <x:f>IF(M41="","",IF(I41="Mayor es mejor",IF(M41&gt;=H41,"En meta",IF(M41&gt;=H41*0.9,"Alerta","Crítico")),IF(M41&lt;=H41,"En meta",IF(M41&lt;=H41*1.1,"Alerta","Crítico"))))</x:f>
        <x:v>En meta</x:v>
      </x:c>
      <x:c r="O41" s="22" t="str">
        <x:v>%</x:v>
      </x:c>
      <x:c r="P41" s="22" t="str">
        <x:v>Compras / Líder SG-SST</x:v>
      </x:c>
      <x:c r="Q41" s="22" t="str">
        <x:v>Gestión de proveedores y contratistas</x:v>
      </x:c>
      <x:c r="R41" s="22" t="str"/>
    </x:row>
    <x:row r="42">
      <x:c r="A42" s="46" t="n">
        <x:v>45016</x:v>
      </x:c>
      <x:c r="B42" s="22" t="n">
        <x:v>2023</x:v>
      </x:c>
      <x:c r="C42" s="22" t="str">
        <x:v>Marzo</x:v>
      </x:c>
      <x:c r="D42" s="22" t="str">
        <x:v>P01</x:v>
      </x:c>
      <x:c r="E42" s="22" t="str">
        <x:v>% ejecución del plan anual de trabajo SG-SST</x:v>
      </x:c>
      <x:c r="F42" s="22" t="str">
        <x:v>Proceso</x:v>
      </x:c>
      <x:c r="G42" s="22" t="str">
        <x:v>Mensual</x:v>
      </x:c>
      <x:c r="H42" s="40" t="n">
        <x:v>90</x:v>
      </x:c>
      <x:c r="I42" s="22" t="str">
        <x:v>Mayor es mejor</x:v>
      </x:c>
      <x:c r="J42" s="40" t="n">
        <x:v>9</x:v>
      </x:c>
      <x:c r="K42" s="40" t="n">
        <x:v>10</x:v>
      </x:c>
      <x:c r="L42" s="40" t="n">
        <x:v>100</x:v>
      </x:c>
      <x:c r="M42" s="40" t="n">
        <x:f>IF(OR(J42="",K42="",K42=0),"",J42/K42*L42)</x:f>
        <x:v>90</x:v>
      </x:c>
      <x:c r="N42" s="22" t="str">
        <x:f>IF(M42="","",IF(I42="Mayor es mejor",IF(M42&gt;=H42,"En meta",IF(M42&gt;=H42*0.9,"Alerta","Crítico")),IF(M42&lt;=H42,"En meta",IF(M42&lt;=H42*1.1,"Alerta","Crítico"))))</x:f>
        <x:v>En meta</x:v>
      </x:c>
      <x:c r="O42" s="22" t="str">
        <x:v>%</x:v>
      </x:c>
      <x:c r="P42" s="22" t="str">
        <x:v>Líder SG-SST</x:v>
      </x:c>
      <x:c r="Q42" s="22" t="str">
        <x:v>Plan anual de trabajo PHVA</x:v>
      </x:c>
      <x:c r="R42" s="22" t="str"/>
    </x:row>
    <x:row r="43">
      <x:c r="A43" s="46" t="n">
        <x:v>45016</x:v>
      </x:c>
      <x:c r="B43" s="22" t="n">
        <x:v>2023</x:v>
      </x:c>
      <x:c r="C43" s="22" t="str">
        <x:v>Marzo</x:v>
      </x:c>
      <x:c r="D43" s="22" t="str">
        <x:v>P02</x:v>
      </x:c>
      <x:c r="E43" s="22" t="str">
        <x:v>% investigaciones de accidentes realizadas oportunamente</x:v>
      </x:c>
      <x:c r="F43" s="22" t="str">
        <x:v>Proceso</x:v>
      </x:c>
      <x:c r="G43" s="22" t="str">
        <x:v>Mensual</x:v>
      </x:c>
      <x:c r="H43" s="40" t="n">
        <x:v>95</x:v>
      </x:c>
      <x:c r="I43" s="22" t="str">
        <x:v>Mayor es mejor</x:v>
      </x:c>
      <x:c r="J43" s="40" t="n">
        <x:v>1</x:v>
      </x:c>
      <x:c r="K43" s="40" t="n">
        <x:v>1</x:v>
      </x:c>
      <x:c r="L43" s="40" t="n">
        <x:v>100</x:v>
      </x:c>
      <x:c r="M43" s="40" t="n">
        <x:f>IF(OR(J43="",K43="",K43=0),"",J43/K43*L43)</x:f>
        <x:v>100</x:v>
      </x:c>
      <x:c r="N43" s="22" t="str">
        <x:f>IF(M43="","",IF(I43="Mayor es mejor",IF(M43&gt;=H43,"En meta",IF(M43&gt;=H43*0.9,"Alerta","Crítico")),IF(M43&lt;=H43,"En meta",IF(M43&lt;=H43*1.1,"Alerta","Crítico"))))</x:f>
        <x:v>En meta</x:v>
      </x:c>
      <x:c r="O43" s="22" t="str">
        <x:v>%</x:v>
      </x:c>
      <x:c r="P43" s="22" t="str">
        <x:v>Líder SG-SST / COPASST</x:v>
      </x:c>
      <x:c r="Q43" s="22" t="str">
        <x:v>Matriz de accidentalidad</x:v>
      </x:c>
      <x:c r="R43" s="22" t="str"/>
    </x:row>
    <x:row r="44">
      <x:c r="A44" s="46" t="n">
        <x:v>45016</x:v>
      </x:c>
      <x:c r="B44" s="22" t="n">
        <x:v>2023</x:v>
      </x:c>
      <x:c r="C44" s="22" t="str">
        <x:v>Marzo</x:v>
      </x:c>
      <x:c r="D44" s="22" t="str">
        <x:v>P03</x:v>
      </x:c>
      <x:c r="E44" s="22" t="str">
        <x:v>% cierre oportuno de acciones correctivas, preventivas y de mejora</x:v>
      </x:c>
      <x:c r="F44" s="22" t="str">
        <x:v>Proceso</x:v>
      </x:c>
      <x:c r="G44" s="22" t="str">
        <x:v>Mensual</x:v>
      </x:c>
      <x:c r="H44" s="40" t="n">
        <x:v>90</x:v>
      </x:c>
      <x:c r="I44" s="22" t="str">
        <x:v>Mayor es mejor</x:v>
      </x:c>
      <x:c r="J44" s="40" t="n">
        <x:v>11</x:v>
      </x:c>
      <x:c r="K44" s="40" t="n">
        <x:v>13</x:v>
      </x:c>
      <x:c r="L44" s="40" t="n">
        <x:v>100</x:v>
      </x:c>
      <x:c r="M44" s="40" t="n">
        <x:f>IF(OR(J44="",K44="",K44=0),"",J44/K44*L44)</x:f>
        <x:v>84.61538461538461</x:v>
      </x:c>
      <x:c r="N44" s="22" t="str">
        <x:f>IF(M44="","",IF(I44="Mayor es mejor",IF(M44&gt;=H44,"En meta",IF(M44&gt;=H44*0.9,"Alerta","Crítico")),IF(M44&lt;=H44,"En meta",IF(M44&lt;=H44*1.1,"Alerta","Crítico"))))</x:f>
        <x:v>Alerta</x:v>
      </x:c>
      <x:c r="O44" s="22" t="str">
        <x:v>%</x:v>
      </x:c>
      <x:c r="P44" s="22" t="str">
        <x:v>Líder SG-SST / Responsables de proceso</x:v>
      </x:c>
      <x:c r="Q44" s="22" t="str">
        <x:v>Matriz APCM</x:v>
      </x:c>
      <x:c r="R44" s="22" t="str"/>
    </x:row>
    <x:row r="45">
      <x:c r="A45" s="46" t="n">
        <x:v>45016</x:v>
      </x:c>
      <x:c r="B45" s="22" t="n">
        <x:v>2023</x:v>
      </x:c>
      <x:c r="C45" s="22" t="str">
        <x:v>Marzo</x:v>
      </x:c>
      <x:c r="D45" s="22" t="str">
        <x:v>P04</x:v>
      </x:c>
      <x:c r="E45" s="22" t="str">
        <x:v>% inspecciones de seguridad ejecutadas</x:v>
      </x:c>
      <x:c r="F45" s="22" t="str">
        <x:v>Proceso</x:v>
      </x:c>
      <x:c r="G45" s="22" t="str">
        <x:v>Mensual</x:v>
      </x:c>
      <x:c r="H45" s="40" t="n">
        <x:v>90</x:v>
      </x:c>
      <x:c r="I45" s="22" t="str">
        <x:v>Mayor es mejor</x:v>
      </x:c>
      <x:c r="J45" s="40" t="n">
        <x:v>10</x:v>
      </x:c>
      <x:c r="K45" s="40" t="n">
        <x:v>11</x:v>
      </x:c>
      <x:c r="L45" s="40" t="n">
        <x:v>100</x:v>
      </x:c>
      <x:c r="M45" s="40" t="n">
        <x:f>IF(OR(J45="",K45="",K45=0),"",J45/K45*L45)</x:f>
        <x:v>90.9090909090909</x:v>
      </x:c>
      <x:c r="N45" s="22" t="str">
        <x:f>IF(M45="","",IF(I45="Mayor es mejor",IF(M45&gt;=H45,"En meta",IF(M45&gt;=H45*0.9,"Alerta","Crítico")),IF(M45&lt;=H45,"En meta",IF(M45&lt;=H45*1.1,"Alerta","Crítico"))))</x:f>
        <x:v>En meta</x:v>
      </x:c>
      <x:c r="O45" s="22" t="str">
        <x:v>%</x:v>
      </x:c>
      <x:c r="P45" s="22" t="str">
        <x:v>Líder SG-SST / Supervisores</x:v>
      </x:c>
      <x:c r="Q45" s="22" t="str">
        <x:v>Programa de inspecciones</x:v>
      </x:c>
      <x:c r="R45" s="22" t="str"/>
    </x:row>
    <x:row r="46">
      <x:c r="A46" s="46" t="n">
        <x:v>45016</x:v>
      </x:c>
      <x:c r="B46" s="22" t="n">
        <x:v>2023</x:v>
      </x:c>
      <x:c r="C46" s="22" t="str">
        <x:v>Marzo</x:v>
      </x:c>
      <x:c r="D46" s="22" t="str">
        <x:v>P05</x:v>
      </x:c>
      <x:c r="E46" s="22" t="str">
        <x:v>% mantenimientos preventivos ejecutados</x:v>
      </x:c>
      <x:c r="F46" s="22" t="str">
        <x:v>Proceso</x:v>
      </x:c>
      <x:c r="G46" s="22" t="str">
        <x:v>Mensual</x:v>
      </x:c>
      <x:c r="H46" s="40" t="n">
        <x:v>90</x:v>
      </x:c>
      <x:c r="I46" s="22" t="str">
        <x:v>Mayor es mejor</x:v>
      </x:c>
      <x:c r="J46" s="40" t="n">
        <x:v>13</x:v>
      </x:c>
      <x:c r="K46" s="40" t="n">
        <x:v>15</x:v>
      </x:c>
      <x:c r="L46" s="40" t="n">
        <x:v>100</x:v>
      </x:c>
      <x:c r="M46" s="40" t="n">
        <x:f>IF(OR(J46="",K46="",K46=0),"",J46/K46*L46)</x:f>
        <x:v>86.66666666666667</x:v>
      </x:c>
      <x:c r="N46" s="22" t="str">
        <x:f>IF(M46="","",IF(I46="Mayor es mejor",IF(M46&gt;=H46,"En meta",IF(M46&gt;=H46*0.9,"Alerta","Crítico")),IF(M46&lt;=H46,"En meta",IF(M46&lt;=H46*1.1,"Alerta","Crítico"))))</x:f>
        <x:v>Alerta</x:v>
      </x:c>
      <x:c r="O46" s="22" t="str">
        <x:v>%</x:v>
      </x:c>
      <x:c r="P46" s="22" t="str">
        <x:v>Mantenimiento / Líder SG-SST</x:v>
      </x:c>
      <x:c r="Q46" s="22" t="str">
        <x:v>Programa de mantenimiento preventivo</x:v>
      </x:c>
      <x:c r="R46" s="22" t="str"/>
    </x:row>
    <x:row r="47">
      <x:c r="A47" s="46" t="n">
        <x:v>45016</x:v>
      </x:c>
      <x:c r="B47" s="22" t="n">
        <x:v>2023</x:v>
      </x:c>
      <x:c r="C47" s="22" t="str">
        <x:v>Marzo</x:v>
      </x:c>
      <x:c r="D47" s="22" t="str">
        <x:v>R01</x:v>
      </x:c>
      <x:c r="E47" s="22" t="str">
        <x:v>Índice de frecuencia de accidentalidad (IF)</x:v>
      </x:c>
      <x:c r="F47" s="22" t="str">
        <x:v>Resultado</x:v>
      </x:c>
      <x:c r="G47" s="22" t="str">
        <x:v>Mensual</x:v>
      </x:c>
      <x:c r="H47" s="40" t="n">
        <x:v>3.5</x:v>
      </x:c>
      <x:c r="I47" s="22" t="str">
        <x:v>Menor es mejor</x:v>
      </x:c>
      <x:c r="J47" s="40" t="n">
        <x:v>1</x:v>
      </x:c>
      <x:c r="K47" s="40" t="n">
        <x:v>49571</x:v>
      </x:c>
      <x:c r="L47" s="40" t="n">
        <x:v>200000</x:v>
      </x:c>
      <x:c r="M47" s="40" t="n">
        <x:f>IF(OR(J47="",K47="",K47=0),"",J47/K47*L47)</x:f>
        <x:v>4.034617013979949</x:v>
      </x:c>
      <x:c r="N47" s="22" t="str">
        <x:f>IF(M47="","",IF(I47="Mayor es mejor",IF(M47&gt;=H47,"En meta",IF(M47&gt;=H47*0.9,"Alerta","Crítico")),IF(M47&lt;=H47,"En meta",IF(M47&lt;=H47*1.1,"Alerta","Crítico"))))</x:f>
        <x:v>Crítico</x:v>
      </x:c>
      <x:c r="O47" s="22" t="str">
        <x:v>Índice</x:v>
      </x:c>
      <x:c r="P47" s="22" t="str">
        <x:v>Líder SG-SST</x:v>
      </x:c>
      <x:c r="Q47" s="22" t="str">
        <x:v>Matriz de accidentalidad / nómina</x:v>
      </x:c>
      <x:c r="R47" s="22" t="str"/>
    </x:row>
    <x:row r="48">
      <x:c r="A48" s="46" t="n">
        <x:v>45016</x:v>
      </x:c>
      <x:c r="B48" s="22" t="n">
        <x:v>2023</x:v>
      </x:c>
      <x:c r="C48" s="22" t="str">
        <x:v>Marzo</x:v>
      </x:c>
      <x:c r="D48" s="22" t="str">
        <x:v>R02</x:v>
      </x:c>
      <x:c r="E48" s="22" t="str">
        <x:v>Índice de severidad de accidentalidad (IS)</x:v>
      </x:c>
      <x:c r="F48" s="22" t="str">
        <x:v>Resultado</x:v>
      </x:c>
      <x:c r="G48" s="22" t="str">
        <x:v>Mensual</x:v>
      </x:c>
      <x:c r="H48" s="40" t="n">
        <x:v>80</x:v>
      </x:c>
      <x:c r="I48" s="22" t="str">
        <x:v>Menor es mejor</x:v>
      </x:c>
      <x:c r="J48" s="40" t="n">
        <x:v>19</x:v>
      </x:c>
      <x:c r="K48" s="40" t="n">
        <x:v>49571</x:v>
      </x:c>
      <x:c r="L48" s="40" t="n">
        <x:v>200000</x:v>
      </x:c>
      <x:c r="M48" s="40" t="n">
        <x:f>IF(OR(J48="",K48="",K48=0),"",J48/K48*L48)</x:f>
        <x:v>76.65772326561901</x:v>
      </x:c>
      <x:c r="N48" s="22" t="str">
        <x:f>IF(M48="","",IF(I48="Mayor es mejor",IF(M48&gt;=H48,"En meta",IF(M48&gt;=H48*0.9,"Alerta","Crítico")),IF(M48&lt;=H48,"En meta",IF(M48&lt;=H48*1.1,"Alerta","Crítico"))))</x:f>
        <x:v>En meta</x:v>
      </x:c>
      <x:c r="O48" s="22" t="str">
        <x:v>Índice</x:v>
      </x:c>
      <x:c r="P48" s="22" t="str">
        <x:v>Líder SG-SST</x:v>
      </x:c>
      <x:c r="Q48" s="22" t="str">
        <x:v>Matriz de accidentalidad / nómina</x:v>
      </x:c>
      <x:c r="R48" s="22" t="str"/>
    </x:row>
    <x:row r="49">
      <x:c r="A49" s="46" t="n">
        <x:v>45016</x:v>
      </x:c>
      <x:c r="B49" s="22" t="n">
        <x:v>2023</x:v>
      </x:c>
      <x:c r="C49" s="22" t="str">
        <x:v>Marzo</x:v>
      </x:c>
      <x:c r="D49" s="22" t="str">
        <x:v>R03</x:v>
      </x:c>
      <x:c r="E49" s="22" t="str">
        <x:v>Índice de lesión incapacitante (ILI)</x:v>
      </x:c>
      <x:c r="F49" s="22" t="str">
        <x:v>Resultado</x:v>
      </x:c>
      <x:c r="G49" s="22" t="str">
        <x:v>Mensual</x:v>
      </x:c>
      <x:c r="H49" s="40" t="n">
        <x:v>0.25</x:v>
      </x:c>
      <x:c r="I49" s="22" t="str">
        <x:v>Menor es mejor</x:v>
      </x:c>
      <x:c r="J49" s="40" t="n">
        <x:v>309.2846</x:v>
      </x:c>
      <x:c r="K49" s="40" t="n">
        <x:v>1000</x:v>
      </x:c>
      <x:c r="L49" s="40" t="n">
        <x:v>1</x:v>
      </x:c>
      <x:c r="M49" s="40" t="n">
        <x:f>IF(OR(J49="",K49="",K49=0),"",J49/K49*L49)</x:f>
        <x:v>0.3092846</x:v>
      </x:c>
      <x:c r="N49" s="22" t="str">
        <x:f>IF(M49="","",IF(I49="Mayor es mejor",IF(M49&gt;=H49,"En meta",IF(M49&gt;=H49*0.9,"Alerta","Crítico")),IF(M49&lt;=H49,"En meta",IF(M49&lt;=H49*1.1,"Alerta","Crítico"))))</x:f>
        <x:v>Crítico</x:v>
      </x:c>
      <x:c r="O49" s="22" t="str">
        <x:v>Índice</x:v>
      </x:c>
      <x:c r="P49" s="22" t="str">
        <x:v>Líder SG-SST</x:v>
      </x:c>
      <x:c r="Q49" s="22" t="str">
        <x:v>Indicadores derivados de accidentalidad</x:v>
      </x:c>
      <x:c r="R49" s="22" t="str">
        <x:v>ILI calculado sobre IF e IS del periodo.</x:v>
      </x:c>
    </x:row>
    <x:row r="50">
      <x:c r="A50" s="46" t="n">
        <x:v>45016</x:v>
      </x:c>
      <x:c r="B50" s="22" t="n">
        <x:v>2023</x:v>
      </x:c>
      <x:c r="C50" s="22" t="str">
        <x:v>Marzo</x:v>
      </x:c>
      <x:c r="D50" s="22" t="str">
        <x:v>R04</x:v>
      </x:c>
      <x:c r="E50" s="22" t="str">
        <x:v>Tasa de accidentalidad</x:v>
      </x:c>
      <x:c r="F50" s="22" t="str">
        <x:v>Resultado</x:v>
      </x:c>
      <x:c r="G50" s="22" t="str">
        <x:v>Mensual</x:v>
      </x:c>
      <x:c r="H50" s="40" t="n">
        <x:v>0.6</x:v>
      </x:c>
      <x:c r="I50" s="22" t="str">
        <x:v>Menor es mejor</x:v>
      </x:c>
      <x:c r="J50" s="40" t="n">
        <x:v>3.33</x:v>
      </x:c>
      <x:c r="K50" s="40" t="n">
        <x:v>208</x:v>
      </x:c>
      <x:c r="L50" s="40" t="n">
        <x:v>100</x:v>
      </x:c>
      <x:c r="M50" s="40" t="n">
        <x:f>IF(OR(J50="",K50="",K50=0),"",J50/K50*L50)</x:f>
        <x:v>1.6009615384615385</x:v>
      </x:c>
      <x:c r="N50" s="22" t="str">
        <x:f>IF(M50="","",IF(I50="Mayor es mejor",IF(M50&gt;=H50,"En meta",IF(M50&gt;=H50*0.9,"Alerta","Crítico")),IF(M50&lt;=H50,"En meta",IF(M50&lt;=H50*1.1,"Alerta","Crítico"))))</x:f>
        <x:v>Crítico</x:v>
      </x:c>
      <x:c r="O50" s="22" t="str">
        <x:v>%</x:v>
      </x:c>
      <x:c r="P50" s="22" t="str">
        <x:v>Líder SG-SST</x:v>
      </x:c>
      <x:c r="Q50" s="22" t="str">
        <x:v>Matriz de accidentalidad / nómina</x:v>
      </x:c>
      <x:c r="R50" s="22" t="str"/>
    </x:row>
    <x:row r="51">
      <x:c r="A51" s="46" t="n">
        <x:v>45016</x:v>
      </x:c>
      <x:c r="B51" s="22" t="n">
        <x:v>2023</x:v>
      </x:c>
      <x:c r="C51" s="22" t="str">
        <x:v>Marzo</x:v>
      </x:c>
      <x:c r="D51" s="22" t="str">
        <x:v>R05</x:v>
      </x:c>
      <x:c r="E51" s="22" t="str">
        <x:v>Prevalencia de enfermedad laboral</x:v>
      </x:c>
      <x:c r="F51" s="22" t="str">
        <x:v>Resultado</x:v>
      </x:c>
      <x:c r="G51" s="22" t="str">
        <x:v>Mensual</x:v>
      </x:c>
      <x:c r="H51" s="40" t="n">
        <x:v>0.3</x:v>
      </x:c>
      <x:c r="I51" s="22" t="str">
        <x:v>Menor es mejor</x:v>
      </x:c>
      <x:c r="J51" s="40" t="n">
        <x:v>0.02</x:v>
      </x:c>
      <x:c r="K51" s="40" t="n">
        <x:v>208</x:v>
      </x:c>
      <x:c r="L51" s="40" t="n">
        <x:v>100</x:v>
      </x:c>
      <x:c r="M51" s="40" t="n">
        <x:f>IF(OR(J51="",K51="",K51=0),"",J51/K51*L51)</x:f>
        <x:v>0.009615384615384616</x:v>
      </x:c>
      <x:c r="N51" s="22" t="str">
        <x:f>IF(M51="","",IF(I51="Mayor es mejor",IF(M51&gt;=H51,"En meta",IF(M51&gt;=H51*0.9,"Alerta","Crítico")),IF(M51&lt;=H51,"En meta",IF(M51&lt;=H51*1.1,"Alerta","Crítico"))))</x:f>
        <x:v>En meta</x:v>
      </x:c>
      <x:c r="O51" s="22" t="str">
        <x:v>%</x:v>
      </x:c>
      <x:c r="P51" s="22" t="str">
        <x:v>Líder SG-SST / Medicina laboral</x:v>
      </x:c>
      <x:c r="Q51" s="22" t="str">
        <x:v>Matriz de enfermedad laboral / nómina</x:v>
      </x:c>
      <x:c r="R51" s="22" t="str"/>
    </x:row>
    <x:row r="52">
      <x:c r="A52" s="46" t="n">
        <x:v>45016</x:v>
      </x:c>
      <x:c r="B52" s="22" t="n">
        <x:v>2023</x:v>
      </x:c>
      <x:c r="C52" s="22" t="str">
        <x:v>Marzo</x:v>
      </x:c>
      <x:c r="D52" s="22" t="str">
        <x:v>R06</x:v>
      </x:c>
      <x:c r="E52" s="22" t="str">
        <x:v>% cumplimiento de estándares mínimos Res. 0312 de 2019</x:v>
      </x:c>
      <x:c r="F52" s="22" t="str">
        <x:v>Resultado</x:v>
      </x:c>
      <x:c r="G52" s="22" t="str">
        <x:v>Mensual</x:v>
      </x:c>
      <x:c r="H52" s="40" t="n">
        <x:v>95</x:v>
      </x:c>
      <x:c r="I52" s="22" t="str">
        <x:v>Mayor es mejor</x:v>
      </x:c>
      <x:c r="J52" s="40" t="n">
        <x:v>97</x:v>
      </x:c>
      <x:c r="K52" s="40" t="n">
        <x:v>100</x:v>
      </x:c>
      <x:c r="L52" s="40" t="n">
        <x:v>100</x:v>
      </x:c>
      <x:c r="M52" s="40" t="n">
        <x:f>IF(OR(J52="",K52="",K52=0),"",J52/K52*L52)</x:f>
        <x:v>97</x:v>
      </x:c>
      <x:c r="N52" s="22" t="str">
        <x:f>IF(M52="","",IF(I52="Mayor es mejor",IF(M52&gt;=H52,"En meta",IF(M52&gt;=H52*0.9,"Alerta","Crítico")),IF(M52&lt;=H52,"En meta",IF(M52&lt;=H52*1.1,"Alerta","Crítico"))))</x:f>
        <x:v>En meta</x:v>
      </x:c>
      <x:c r="O52" s="22" t="str">
        <x:v>%</x:v>
      </x:c>
      <x:c r="P52" s="22" t="str">
        <x:v>Líder SG-SST / Alta Dirección</x:v>
      </x:c>
      <x:c r="Q52" s="22" t="str">
        <x:v>Autodiagnóstico Res. 0312 de 2019</x:v>
      </x:c>
      <x:c r="R52" s="22" t="str"/>
    </x:row>
    <x:row r="53">
      <x:c r="A53" s="46" t="n">
        <x:v>45046</x:v>
      </x:c>
      <x:c r="B53" s="22" t="n">
        <x:v>2023</x:v>
      </x:c>
      <x:c r="C53" s="22" t="str">
        <x:v>Abril</x:v>
      </x:c>
      <x:c r="D53" s="22" t="str">
        <x:v>E01</x:v>
      </x:c>
      <x:c r="E53" s="22" t="str">
        <x:v>% ejecución presupuestal del SG-SST</x:v>
      </x:c>
      <x:c r="F53" s="22" t="str">
        <x:v>Estructura</x:v>
      </x:c>
      <x:c r="G53" s="22" t="str">
        <x:v>Mensual</x:v>
      </x:c>
      <x:c r="H53" s="40" t="n">
        <x:v>95</x:v>
      </x:c>
      <x:c r="I53" s="22" t="str">
        <x:v>Mayor es mejor</x:v>
      </x:c>
      <x:c r="J53" s="40" t="n">
        <x:v>5470169</x:v>
      </x:c>
      <x:c r="K53" s="40" t="n">
        <x:v>6000000</x:v>
      </x:c>
      <x:c r="L53" s="40" t="n">
        <x:v>100</x:v>
      </x:c>
      <x:c r="M53" s="40" t="n">
        <x:f>IF(OR(J53="",K53="",K53=0),"",J53/K53*L53)</x:f>
        <x:v>91.16948333333333</x:v>
      </x:c>
      <x:c r="N53" s="22" t="str">
        <x:f>IF(M53="","",IF(I53="Mayor es mejor",IF(M53&gt;=H53,"En meta",IF(M53&gt;=H53*0.9,"Alerta","Crítico")),IF(M53&lt;=H53,"En meta",IF(M53&lt;=H53*1.1,"Alerta","Crítico"))))</x:f>
        <x:v>Alerta</x:v>
      </x:c>
      <x:c r="O53" s="22" t="str">
        <x:v>%</x:v>
      </x:c>
      <x:c r="P53" s="22" t="str">
        <x:v>Líder SG-SST / Dirección Administrativa</x:v>
      </x:c>
      <x:c r="Q53" s="22" t="str">
        <x:v>Presupuesto SST</x:v>
      </x:c>
      <x:c r="R53" s="22" t="str"/>
    </x:row>
    <x:row r="54">
      <x:c r="A54" s="46" t="n">
        <x:v>45046</x:v>
      </x:c>
      <x:c r="B54" s="22" t="n">
        <x:v>2023</x:v>
      </x:c>
      <x:c r="C54" s="22" t="str">
        <x:v>Abril</x:v>
      </x:c>
      <x:c r="D54" s="22" t="str">
        <x:v>E02</x:v>
      </x:c>
      <x:c r="E54" s="22" t="str">
        <x:v>% cobertura del plan de formación y capacitación SG-SST</x:v>
      </x:c>
      <x:c r="F54" s="22" t="str">
        <x:v>Estructura</x:v>
      </x:c>
      <x:c r="G54" s="22" t="str">
        <x:v>Mensual</x:v>
      </x:c>
      <x:c r="H54" s="40" t="n">
        <x:v>90</x:v>
      </x:c>
      <x:c r="I54" s="22" t="str">
        <x:v>Mayor es mejor</x:v>
      </x:c>
      <x:c r="J54" s="40" t="n">
        <x:v>16</x:v>
      </x:c>
      <x:c r="K54" s="40" t="n">
        <x:v>18</x:v>
      </x:c>
      <x:c r="L54" s="40" t="n">
        <x:v>100</x:v>
      </x:c>
      <x:c r="M54" s="40" t="n">
        <x:f>IF(OR(J54="",K54="",K54=0),"",J54/K54*L54)</x:f>
        <x:v>88.88888888888889</x:v>
      </x:c>
      <x:c r="N54" s="22" t="str">
        <x:f>IF(M54="","",IF(I54="Mayor es mejor",IF(M54&gt;=H54,"En meta",IF(M54&gt;=H54*0.9,"Alerta","Crítico")),IF(M54&lt;=H54,"En meta",IF(M54&lt;=H54*1.1,"Alerta","Crítico"))))</x:f>
        <x:v>Alerta</x:v>
      </x:c>
      <x:c r="O54" s="22" t="str">
        <x:v>%</x:v>
      </x:c>
      <x:c r="P54" s="22" t="str">
        <x:v>Líder SG-SST / Talento Humano</x:v>
      </x:c>
      <x:c r="Q54" s="22" t="str">
        <x:v>Plan de formación y capacitaciones</x:v>
      </x:c>
      <x:c r="R54" s="22" t="str"/>
    </x:row>
    <x:row r="55">
      <x:c r="A55" s="46" t="n">
        <x:v>45046</x:v>
      </x:c>
      <x:c r="B55" s="22" t="n">
        <x:v>2023</x:v>
      </x:c>
      <x:c r="C55" s="22" t="str">
        <x:v>Abril</x:v>
      </x:c>
      <x:c r="D55" s="22" t="str">
        <x:v>E03</x:v>
      </x:c>
      <x:c r="E55" s="22" t="str">
        <x:v>% trabajadores con exámenes médicos ocupacionales vigentes</x:v>
      </x:c>
      <x:c r="F55" s="22" t="str">
        <x:v>Estructura</x:v>
      </x:c>
      <x:c r="G55" s="22" t="str">
        <x:v>Mensual</x:v>
      </x:c>
      <x:c r="H55" s="40" t="n">
        <x:v>95</x:v>
      </x:c>
      <x:c r="I55" s="22" t="str">
        <x:v>Mayor es mejor</x:v>
      </x:c>
      <x:c r="J55" s="40" t="n">
        <x:v>201</x:v>
      </x:c>
      <x:c r="K55" s="40" t="n">
        <x:v>212</x:v>
      </x:c>
      <x:c r="L55" s="40" t="n">
        <x:v>100</x:v>
      </x:c>
      <x:c r="M55" s="40" t="n">
        <x:f>IF(OR(J55="",K55="",K55=0),"",J55/K55*L55)</x:f>
        <x:v>94.81132075471697</x:v>
      </x:c>
      <x:c r="N55" s="22" t="str">
        <x:f>IF(M55="","",IF(I55="Mayor es mejor",IF(M55&gt;=H55,"En meta",IF(M55&gt;=H55*0.9,"Alerta","Crítico")),IF(M55&lt;=H55,"En meta",IF(M55&lt;=H55*1.1,"Alerta","Crítico"))))</x:f>
        <x:v>Alerta</x:v>
      </x:c>
      <x:c r="O55" s="22" t="str">
        <x:v>%</x:v>
      </x:c>
      <x:c r="P55" s="22" t="str">
        <x:v>Líder SG-SST / Talento Humano</x:v>
      </x:c>
      <x:c r="Q55" s="22" t="str">
        <x:v>Matriz de seguimiento EMO</x:v>
      </x:c>
      <x:c r="R55" s="22" t="str"/>
    </x:row>
    <x:row r="56">
      <x:c r="A56" s="46" t="n">
        <x:v>45046</x:v>
      </x:c>
      <x:c r="B56" s="22" t="n">
        <x:v>2023</x:v>
      </x:c>
      <x:c r="C56" s="22" t="str">
        <x:v>Abril</x:v>
      </x:c>
      <x:c r="D56" s="22" t="str">
        <x:v>E04</x:v>
      </x:c>
      <x:c r="E56" s="22" t="str">
        <x:v>% cumplimiento de requisitos legales aplicables en SST</x:v>
      </x:c>
      <x:c r="F56" s="22" t="str">
        <x:v>Estructura</x:v>
      </x:c>
      <x:c r="G56" s="22" t="str">
        <x:v>Mensual</x:v>
      </x:c>
      <x:c r="H56" s="40" t="n">
        <x:v>95</x:v>
      </x:c>
      <x:c r="I56" s="22" t="str">
        <x:v>Mayor es mejor</x:v>
      </x:c>
      <x:c r="J56" s="40" t="n">
        <x:v>56</x:v>
      </x:c>
      <x:c r="K56" s="40" t="n">
        <x:v>60</x:v>
      </x:c>
      <x:c r="L56" s="40" t="n">
        <x:v>100</x:v>
      </x:c>
      <x:c r="M56" s="40" t="n">
        <x:f>IF(OR(J56="",K56="",K56=0),"",J56/K56*L56)</x:f>
        <x:v>93.33333333333333</x:v>
      </x:c>
      <x:c r="N56" s="22" t="str">
        <x:f>IF(M56="","",IF(I56="Mayor es mejor",IF(M56&gt;=H56,"En meta",IF(M56&gt;=H56*0.9,"Alerta","Crítico")),IF(M56&lt;=H56,"En meta",IF(M56&lt;=H56*1.1,"Alerta","Crítico"))))</x:f>
        <x:v>Alerta</x:v>
      </x:c>
      <x:c r="O56" s="22" t="str">
        <x:v>%</x:v>
      </x:c>
      <x:c r="P56" s="22" t="str">
        <x:v>Líder SG-SST / Jurídica</x:v>
      </x:c>
      <x:c r="Q56" s="22" t="str">
        <x:v>Matriz legal SGRL</x:v>
      </x:c>
      <x:c r="R56" s="22" t="str"/>
    </x:row>
    <x:row r="57">
      <x:c r="A57" s="46" t="n">
        <x:v>45046</x:v>
      </x:c>
      <x:c r="B57" s="22" t="n">
        <x:v>2023</x:v>
      </x:c>
      <x:c r="C57" s="22" t="str">
        <x:v>Abril</x:v>
      </x:c>
      <x:c r="D57" s="22" t="str">
        <x:v>E05</x:v>
      </x:c>
      <x:c r="E57" s="22" t="str">
        <x:v>% proveedores y contratistas aprobados en SST</x:v>
      </x:c>
      <x:c r="F57" s="22" t="str">
        <x:v>Estructura</x:v>
      </x:c>
      <x:c r="G57" s="22" t="str">
        <x:v>Mensual</x:v>
      </x:c>
      <x:c r="H57" s="40" t="n">
        <x:v>90</x:v>
      </x:c>
      <x:c r="I57" s="22" t="str">
        <x:v>Mayor es mejor</x:v>
      </x:c>
      <x:c r="J57" s="40" t="n">
        <x:v>18</x:v>
      </x:c>
      <x:c r="K57" s="40" t="n">
        <x:v>20</x:v>
      </x:c>
      <x:c r="L57" s="40" t="n">
        <x:v>100</x:v>
      </x:c>
      <x:c r="M57" s="40" t="n">
        <x:f>IF(OR(J57="",K57="",K57=0),"",J57/K57*L57)</x:f>
        <x:v>90</x:v>
      </x:c>
      <x:c r="N57" s="22" t="str">
        <x:f>IF(M57="","",IF(I57="Mayor es mejor",IF(M57&gt;=H57,"En meta",IF(M57&gt;=H57*0.9,"Alerta","Crítico")),IF(M57&lt;=H57,"En meta",IF(M57&lt;=H57*1.1,"Alerta","Crítico"))))</x:f>
        <x:v>En meta</x:v>
      </x:c>
      <x:c r="O57" s="22" t="str">
        <x:v>%</x:v>
      </x:c>
      <x:c r="P57" s="22" t="str">
        <x:v>Compras / Líder SG-SST</x:v>
      </x:c>
      <x:c r="Q57" s="22" t="str">
        <x:v>Gestión de proveedores y contratistas</x:v>
      </x:c>
      <x:c r="R57" s="22" t="str"/>
    </x:row>
    <x:row r="58">
      <x:c r="A58" s="46" t="n">
        <x:v>45046</x:v>
      </x:c>
      <x:c r="B58" s="22" t="n">
        <x:v>2023</x:v>
      </x:c>
      <x:c r="C58" s="22" t="str">
        <x:v>Abril</x:v>
      </x:c>
      <x:c r="D58" s="22" t="str">
        <x:v>P01</x:v>
      </x:c>
      <x:c r="E58" s="22" t="str">
        <x:v>% ejecución del plan anual de trabajo SG-SST</x:v>
      </x:c>
      <x:c r="F58" s="22" t="str">
        <x:v>Proceso</x:v>
      </x:c>
      <x:c r="G58" s="22" t="str">
        <x:v>Mensual</x:v>
      </x:c>
      <x:c r="H58" s="40" t="n">
        <x:v>90</x:v>
      </x:c>
      <x:c r="I58" s="22" t="str">
        <x:v>Mayor es mejor</x:v>
      </x:c>
      <x:c r="J58" s="40" t="n">
        <x:v>10</x:v>
      </x:c>
      <x:c r="K58" s="40" t="n">
        <x:v>12</x:v>
      </x:c>
      <x:c r="L58" s="40" t="n">
        <x:v>100</x:v>
      </x:c>
      <x:c r="M58" s="40" t="n">
        <x:f>IF(OR(J58="",K58="",K58=0),"",J58/K58*L58)</x:f>
        <x:v>83.33333333333334</x:v>
      </x:c>
      <x:c r="N58" s="22" t="str">
        <x:f>IF(M58="","",IF(I58="Mayor es mejor",IF(M58&gt;=H58,"En meta",IF(M58&gt;=H58*0.9,"Alerta","Crítico")),IF(M58&lt;=H58,"En meta",IF(M58&lt;=H58*1.1,"Alerta","Crítico"))))</x:f>
        <x:v>Alerta</x:v>
      </x:c>
      <x:c r="O58" s="22" t="str">
        <x:v>%</x:v>
      </x:c>
      <x:c r="P58" s="22" t="str">
        <x:v>Líder SG-SST</x:v>
      </x:c>
      <x:c r="Q58" s="22" t="str">
        <x:v>Plan anual de trabajo PHVA</x:v>
      </x:c>
      <x:c r="R58" s="22" t="str"/>
    </x:row>
    <x:row r="59">
      <x:c r="A59" s="46" t="n">
        <x:v>45046</x:v>
      </x:c>
      <x:c r="B59" s="22" t="n">
        <x:v>2023</x:v>
      </x:c>
      <x:c r="C59" s="22" t="str">
        <x:v>Abril</x:v>
      </x:c>
      <x:c r="D59" s="22" t="str">
        <x:v>P02</x:v>
      </x:c>
      <x:c r="E59" s="22" t="str">
        <x:v>% investigaciones de accidentes realizadas oportunamente</x:v>
      </x:c>
      <x:c r="F59" s="22" t="str">
        <x:v>Proceso</x:v>
      </x:c>
      <x:c r="G59" s="22" t="str">
        <x:v>Mensual</x:v>
      </x:c>
      <x:c r="H59" s="40" t="n">
        <x:v>95</x:v>
      </x:c>
      <x:c r="I59" s="22" t="str">
        <x:v>Mayor es mejor</x:v>
      </x:c>
      <x:c r="J59" s="40" t="n">
        <x:v>1</x:v>
      </x:c>
      <x:c r="K59" s="40" t="n">
        <x:v>1</x:v>
      </x:c>
      <x:c r="L59" s="40" t="n">
        <x:v>100</x:v>
      </x:c>
      <x:c r="M59" s="40" t="n">
        <x:f>IF(OR(J59="",K59="",K59=0),"",J59/K59*L59)</x:f>
        <x:v>100</x:v>
      </x:c>
      <x:c r="N59" s="22" t="str">
        <x:f>IF(M59="","",IF(I59="Mayor es mejor",IF(M59&gt;=H59,"En meta",IF(M59&gt;=H59*0.9,"Alerta","Crítico")),IF(M59&lt;=H59,"En meta",IF(M59&lt;=H59*1.1,"Alerta","Crítico"))))</x:f>
        <x:v>En meta</x:v>
      </x:c>
      <x:c r="O59" s="22" t="str">
        <x:v>%</x:v>
      </x:c>
      <x:c r="P59" s="22" t="str">
        <x:v>Líder SG-SST / COPASST</x:v>
      </x:c>
      <x:c r="Q59" s="22" t="str">
        <x:v>Matriz de accidentalidad</x:v>
      </x:c>
      <x:c r="R59" s="22" t="str"/>
    </x:row>
    <x:row r="60">
      <x:c r="A60" s="46" t="n">
        <x:v>45046</x:v>
      </x:c>
      <x:c r="B60" s="22" t="n">
        <x:v>2023</x:v>
      </x:c>
      <x:c r="C60" s="22" t="str">
        <x:v>Abril</x:v>
      </x:c>
      <x:c r="D60" s="22" t="str">
        <x:v>P03</x:v>
      </x:c>
      <x:c r="E60" s="22" t="str">
        <x:v>% cierre oportuno de acciones correctivas, preventivas y de mejora</x:v>
      </x:c>
      <x:c r="F60" s="22" t="str">
        <x:v>Proceso</x:v>
      </x:c>
      <x:c r="G60" s="22" t="str">
        <x:v>Mensual</x:v>
      </x:c>
      <x:c r="H60" s="40" t="n">
        <x:v>90</x:v>
      </x:c>
      <x:c r="I60" s="22" t="str">
        <x:v>Mayor es mejor</x:v>
      </x:c>
      <x:c r="J60" s="40" t="n">
        <x:v>12</x:v>
      </x:c>
      <x:c r="K60" s="40" t="n">
        <x:v>14</x:v>
      </x:c>
      <x:c r="L60" s="40" t="n">
        <x:v>100</x:v>
      </x:c>
      <x:c r="M60" s="40" t="n">
        <x:f>IF(OR(J60="",K60="",K60=0),"",J60/K60*L60)</x:f>
        <x:v>85.71428571428571</x:v>
      </x:c>
      <x:c r="N60" s="22" t="str">
        <x:f>IF(M60="","",IF(I60="Mayor es mejor",IF(M60&gt;=H60,"En meta",IF(M60&gt;=H60*0.9,"Alerta","Crítico")),IF(M60&lt;=H60,"En meta",IF(M60&lt;=H60*1.1,"Alerta","Crítico"))))</x:f>
        <x:v>Alerta</x:v>
      </x:c>
      <x:c r="O60" s="22" t="str">
        <x:v>%</x:v>
      </x:c>
      <x:c r="P60" s="22" t="str">
        <x:v>Líder SG-SST / Responsables de proceso</x:v>
      </x:c>
      <x:c r="Q60" s="22" t="str">
        <x:v>Matriz APCM</x:v>
      </x:c>
      <x:c r="R60" s="22" t="str"/>
    </x:row>
    <x:row r="61">
      <x:c r="A61" s="46" t="n">
        <x:v>45046</x:v>
      </x:c>
      <x:c r="B61" s="22" t="n">
        <x:v>2023</x:v>
      </x:c>
      <x:c r="C61" s="22" t="str">
        <x:v>Abril</x:v>
      </x:c>
      <x:c r="D61" s="22" t="str">
        <x:v>P04</x:v>
      </x:c>
      <x:c r="E61" s="22" t="str">
        <x:v>% inspecciones de seguridad ejecutadas</x:v>
      </x:c>
      <x:c r="F61" s="22" t="str">
        <x:v>Proceso</x:v>
      </x:c>
      <x:c r="G61" s="22" t="str">
        <x:v>Mensual</x:v>
      </x:c>
      <x:c r="H61" s="40" t="n">
        <x:v>90</x:v>
      </x:c>
      <x:c r="I61" s="22" t="str">
        <x:v>Mayor es mejor</x:v>
      </x:c>
      <x:c r="J61" s="40" t="n">
        <x:v>7</x:v>
      </x:c>
      <x:c r="K61" s="40" t="n">
        <x:v>8</x:v>
      </x:c>
      <x:c r="L61" s="40" t="n">
        <x:v>100</x:v>
      </x:c>
      <x:c r="M61" s="40" t="n">
        <x:f>IF(OR(J61="",K61="",K61=0),"",J61/K61*L61)</x:f>
        <x:v>87.5</x:v>
      </x:c>
      <x:c r="N61" s="22" t="str">
        <x:f>IF(M61="","",IF(I61="Mayor es mejor",IF(M61&gt;=H61,"En meta",IF(M61&gt;=H61*0.9,"Alerta","Crítico")),IF(M61&lt;=H61,"En meta",IF(M61&lt;=H61*1.1,"Alerta","Crítico"))))</x:f>
        <x:v>Alerta</x:v>
      </x:c>
      <x:c r="O61" s="22" t="str">
        <x:v>%</x:v>
      </x:c>
      <x:c r="P61" s="22" t="str">
        <x:v>Líder SG-SST / Supervisores</x:v>
      </x:c>
      <x:c r="Q61" s="22" t="str">
        <x:v>Programa de inspecciones</x:v>
      </x:c>
      <x:c r="R61" s="22" t="str"/>
    </x:row>
    <x:row r="62">
      <x:c r="A62" s="46" t="n">
        <x:v>45046</x:v>
      </x:c>
      <x:c r="B62" s="22" t="n">
        <x:v>2023</x:v>
      </x:c>
      <x:c r="C62" s="22" t="str">
        <x:v>Abril</x:v>
      </x:c>
      <x:c r="D62" s="22" t="str">
        <x:v>P05</x:v>
      </x:c>
      <x:c r="E62" s="22" t="str">
        <x:v>% mantenimientos preventivos ejecutados</x:v>
      </x:c>
      <x:c r="F62" s="22" t="str">
        <x:v>Proceso</x:v>
      </x:c>
      <x:c r="G62" s="22" t="str">
        <x:v>Mensual</x:v>
      </x:c>
      <x:c r="H62" s="40" t="n">
        <x:v>90</x:v>
      </x:c>
      <x:c r="I62" s="22" t="str">
        <x:v>Mayor es mejor</x:v>
      </x:c>
      <x:c r="J62" s="40" t="n">
        <x:v>11</x:v>
      </x:c>
      <x:c r="K62" s="40" t="n">
        <x:v>12</x:v>
      </x:c>
      <x:c r="L62" s="40" t="n">
        <x:v>100</x:v>
      </x:c>
      <x:c r="M62" s="40" t="n">
        <x:f>IF(OR(J62="",K62="",K62=0),"",J62/K62*L62)</x:f>
        <x:v>91.66666666666666</x:v>
      </x:c>
      <x:c r="N62" s="22" t="str">
        <x:f>IF(M62="","",IF(I62="Mayor es mejor",IF(M62&gt;=H62,"En meta",IF(M62&gt;=H62*0.9,"Alerta","Crítico")),IF(M62&lt;=H62,"En meta",IF(M62&lt;=H62*1.1,"Alerta","Crítico"))))</x:f>
        <x:v>En meta</x:v>
      </x:c>
      <x:c r="O62" s="22" t="str">
        <x:v>%</x:v>
      </x:c>
      <x:c r="P62" s="22" t="str">
        <x:v>Mantenimiento / Líder SG-SST</x:v>
      </x:c>
      <x:c r="Q62" s="22" t="str">
        <x:v>Programa de mantenimiento preventivo</x:v>
      </x:c>
      <x:c r="R62" s="22" t="str"/>
    </x:row>
    <x:row r="63">
      <x:c r="A63" s="46" t="n">
        <x:v>45046</x:v>
      </x:c>
      <x:c r="B63" s="22" t="n">
        <x:v>2023</x:v>
      </x:c>
      <x:c r="C63" s="22" t="str">
        <x:v>Abril</x:v>
      </x:c>
      <x:c r="D63" s="22" t="str">
        <x:v>R01</x:v>
      </x:c>
      <x:c r="E63" s="22" t="str">
        <x:v>Índice de frecuencia de accidentalidad (IF)</x:v>
      </x:c>
      <x:c r="F63" s="22" t="str">
        <x:v>Resultado</x:v>
      </x:c>
      <x:c r="G63" s="22" t="str">
        <x:v>Mensual</x:v>
      </x:c>
      <x:c r="H63" s="40" t="n">
        <x:v>3.5</x:v>
      </x:c>
      <x:c r="I63" s="22" t="str">
        <x:v>Menor es mejor</x:v>
      </x:c>
      <x:c r="J63" s="40" t="n">
        <x:v>1</x:v>
      </x:c>
      <x:c r="K63" s="40" t="n">
        <x:v>51485</x:v>
      </x:c>
      <x:c r="L63" s="40" t="n">
        <x:v>200000</x:v>
      </x:c>
      <x:c r="M63" s="40" t="n">
        <x:f>IF(OR(J63="",K63="",K63=0),"",J63/K63*L63)</x:f>
        <x:v>3.8846265902690105</x:v>
      </x:c>
      <x:c r="N63" s="22" t="str">
        <x:f>IF(M63="","",IF(I63="Mayor es mejor",IF(M63&gt;=H63,"En meta",IF(M63&gt;=H63*0.9,"Alerta","Crítico")),IF(M63&lt;=H63,"En meta",IF(M63&lt;=H63*1.1,"Alerta","Crítico"))))</x:f>
        <x:v>Crítico</x:v>
      </x:c>
      <x:c r="O63" s="22" t="str">
        <x:v>Índice</x:v>
      </x:c>
      <x:c r="P63" s="22" t="str">
        <x:v>Líder SG-SST</x:v>
      </x:c>
      <x:c r="Q63" s="22" t="str">
        <x:v>Matriz de accidentalidad / nómina</x:v>
      </x:c>
      <x:c r="R63" s="22" t="str"/>
    </x:row>
    <x:row r="64">
      <x:c r="A64" s="46" t="n">
        <x:v>45046</x:v>
      </x:c>
      <x:c r="B64" s="22" t="n">
        <x:v>2023</x:v>
      </x:c>
      <x:c r="C64" s="22" t="str">
        <x:v>Abril</x:v>
      </x:c>
      <x:c r="D64" s="22" t="str">
        <x:v>R02</x:v>
      </x:c>
      <x:c r="E64" s="22" t="str">
        <x:v>Índice de severidad de accidentalidad (IS)</x:v>
      </x:c>
      <x:c r="F64" s="22" t="str">
        <x:v>Resultado</x:v>
      </x:c>
      <x:c r="G64" s="22" t="str">
        <x:v>Mensual</x:v>
      </x:c>
      <x:c r="H64" s="40" t="n">
        <x:v>80</x:v>
      </x:c>
      <x:c r="I64" s="22" t="str">
        <x:v>Menor es mejor</x:v>
      </x:c>
      <x:c r="J64" s="40" t="n">
        <x:v>21</x:v>
      </x:c>
      <x:c r="K64" s="40" t="n">
        <x:v>51485</x:v>
      </x:c>
      <x:c r="L64" s="40" t="n">
        <x:v>200000</x:v>
      </x:c>
      <x:c r="M64" s="40" t="n">
        <x:f>IF(OR(J64="",K64="",K64=0),"",J64/K64*L64)</x:f>
        <x:v>81.57715839564922</x:v>
      </x:c>
      <x:c r="N64" s="22" t="str">
        <x:f>IF(M64="","",IF(I64="Mayor es mejor",IF(M64&gt;=H64,"En meta",IF(M64&gt;=H64*0.9,"Alerta","Crítico")),IF(M64&lt;=H64,"En meta",IF(M64&lt;=H64*1.1,"Alerta","Crítico"))))</x:f>
        <x:v>Alerta</x:v>
      </x:c>
      <x:c r="O64" s="22" t="str">
        <x:v>Índice</x:v>
      </x:c>
      <x:c r="P64" s="22" t="str">
        <x:v>Líder SG-SST</x:v>
      </x:c>
      <x:c r="Q64" s="22" t="str">
        <x:v>Matriz de accidentalidad / nómina</x:v>
      </x:c>
      <x:c r="R64" s="22" t="str"/>
    </x:row>
    <x:row r="65">
      <x:c r="A65" s="46" t="n">
        <x:v>45046</x:v>
      </x:c>
      <x:c r="B65" s="22" t="n">
        <x:v>2023</x:v>
      </x:c>
      <x:c r="C65" s="22" t="str">
        <x:v>Abril</x:v>
      </x:c>
      <x:c r="D65" s="22" t="str">
        <x:v>R03</x:v>
      </x:c>
      <x:c r="E65" s="22" t="str">
        <x:v>Índice de lesión incapacitante (ILI)</x:v>
      </x:c>
      <x:c r="F65" s="22" t="str">
        <x:v>Resultado</x:v>
      </x:c>
      <x:c r="G65" s="22" t="str">
        <x:v>Mensual</x:v>
      </x:c>
      <x:c r="H65" s="40" t="n">
        <x:v>0.25</x:v>
      </x:c>
      <x:c r="I65" s="22" t="str">
        <x:v>Menor es mejor</x:v>
      </x:c>
      <x:c r="J65" s="40" t="n">
        <x:v>316.8968</x:v>
      </x:c>
      <x:c r="K65" s="40" t="n">
        <x:v>1000</x:v>
      </x:c>
      <x:c r="L65" s="40" t="n">
        <x:v>1</x:v>
      </x:c>
      <x:c r="M65" s="40" t="n">
        <x:f>IF(OR(J65="",K65="",K65=0),"",J65/K65*L65)</x:f>
        <x:v>0.3168968</x:v>
      </x:c>
      <x:c r="N65" s="22" t="str">
        <x:f>IF(M65="","",IF(I65="Mayor es mejor",IF(M65&gt;=H65,"En meta",IF(M65&gt;=H65*0.9,"Alerta","Crítico")),IF(M65&lt;=H65,"En meta",IF(M65&lt;=H65*1.1,"Alerta","Crítico"))))</x:f>
        <x:v>Crítico</x:v>
      </x:c>
      <x:c r="O65" s="22" t="str">
        <x:v>Índice</x:v>
      </x:c>
      <x:c r="P65" s="22" t="str">
        <x:v>Líder SG-SST</x:v>
      </x:c>
      <x:c r="Q65" s="22" t="str">
        <x:v>Indicadores derivados de accidentalidad</x:v>
      </x:c>
      <x:c r="R65" s="22" t="str">
        <x:v>ILI calculado sobre IF e IS del periodo.</x:v>
      </x:c>
    </x:row>
    <x:row r="66">
      <x:c r="A66" s="46" t="n">
        <x:v>45046</x:v>
      </x:c>
      <x:c r="B66" s="22" t="n">
        <x:v>2023</x:v>
      </x:c>
      <x:c r="C66" s="22" t="str">
        <x:v>Abril</x:v>
      </x:c>
      <x:c r="D66" s="22" t="str">
        <x:v>R04</x:v>
      </x:c>
      <x:c r="E66" s="22" t="str">
        <x:v>Tasa de accidentalidad</x:v>
      </x:c>
      <x:c r="F66" s="22" t="str">
        <x:v>Resultado</x:v>
      </x:c>
      <x:c r="G66" s="22" t="str">
        <x:v>Mensual</x:v>
      </x:c>
      <x:c r="H66" s="40" t="n">
        <x:v>0.6</x:v>
      </x:c>
      <x:c r="I66" s="22" t="str">
        <x:v>Menor es mejor</x:v>
      </x:c>
      <x:c r="J66" s="40" t="n">
        <x:v>4.28</x:v>
      </x:c>
      <x:c r="K66" s="40" t="n">
        <x:v>212</x:v>
      </x:c>
      <x:c r="L66" s="40" t="n">
        <x:v>100</x:v>
      </x:c>
      <x:c r="M66" s="40" t="n">
        <x:f>IF(OR(J66="",K66="",K66=0),"",J66/K66*L66)</x:f>
        <x:v>2.018867924528302</x:v>
      </x:c>
      <x:c r="N66" s="22" t="str">
        <x:f>IF(M66="","",IF(I66="Mayor es mejor",IF(M66&gt;=H66,"En meta",IF(M66&gt;=H66*0.9,"Alerta","Crítico")),IF(M66&lt;=H66,"En meta",IF(M66&lt;=H66*1.1,"Alerta","Crítico"))))</x:f>
        <x:v>Crítico</x:v>
      </x:c>
      <x:c r="O66" s="22" t="str">
        <x:v>%</x:v>
      </x:c>
      <x:c r="P66" s="22" t="str">
        <x:v>Líder SG-SST</x:v>
      </x:c>
      <x:c r="Q66" s="22" t="str">
        <x:v>Matriz de accidentalidad / nómina</x:v>
      </x:c>
      <x:c r="R66" s="22" t="str"/>
    </x:row>
    <x:row r="67">
      <x:c r="A67" s="46" t="n">
        <x:v>45046</x:v>
      </x:c>
      <x:c r="B67" s="22" t="n">
        <x:v>2023</x:v>
      </x:c>
      <x:c r="C67" s="22" t="str">
        <x:v>Abril</x:v>
      </x:c>
      <x:c r="D67" s="22" t="str">
        <x:v>R05</x:v>
      </x:c>
      <x:c r="E67" s="22" t="str">
        <x:v>Prevalencia de enfermedad laboral</x:v>
      </x:c>
      <x:c r="F67" s="22" t="str">
        <x:v>Resultado</x:v>
      </x:c>
      <x:c r="G67" s="22" t="str">
        <x:v>Mensual</x:v>
      </x:c>
      <x:c r="H67" s="40" t="n">
        <x:v>0.3</x:v>
      </x:c>
      <x:c r="I67" s="22" t="str">
        <x:v>Menor es mejor</x:v>
      </x:c>
      <x:c r="J67" s="40" t="n">
        <x:v>1.35</x:v>
      </x:c>
      <x:c r="K67" s="40" t="n">
        <x:v>212</x:v>
      </x:c>
      <x:c r="L67" s="40" t="n">
        <x:v>100</x:v>
      </x:c>
      <x:c r="M67" s="40" t="n">
        <x:f>IF(OR(J67="",K67="",K67=0),"",J67/K67*L67)</x:f>
        <x:v>0.6367924528301887</x:v>
      </x:c>
      <x:c r="N67" s="22" t="str">
        <x:f>IF(M67="","",IF(I67="Mayor es mejor",IF(M67&gt;=H67,"En meta",IF(M67&gt;=H67*0.9,"Alerta","Crítico")),IF(M67&lt;=H67,"En meta",IF(M67&lt;=H67*1.1,"Alerta","Crítico"))))</x:f>
        <x:v>Crítico</x:v>
      </x:c>
      <x:c r="O67" s="22" t="str">
        <x:v>%</x:v>
      </x:c>
      <x:c r="P67" s="22" t="str">
        <x:v>Líder SG-SST / Medicina laboral</x:v>
      </x:c>
      <x:c r="Q67" s="22" t="str">
        <x:v>Matriz de enfermedad laboral / nómina</x:v>
      </x:c>
      <x:c r="R67" s="22" t="str"/>
    </x:row>
    <x:row r="68">
      <x:c r="A68" s="46" t="n">
        <x:v>45046</x:v>
      </x:c>
      <x:c r="B68" s="22" t="n">
        <x:v>2023</x:v>
      </x:c>
      <x:c r="C68" s="22" t="str">
        <x:v>Abril</x:v>
      </x:c>
      <x:c r="D68" s="22" t="str">
        <x:v>R06</x:v>
      </x:c>
      <x:c r="E68" s="22" t="str">
        <x:v>% cumplimiento de estándares mínimos Res. 0312 de 2019</x:v>
      </x:c>
      <x:c r="F68" s="22" t="str">
        <x:v>Resultado</x:v>
      </x:c>
      <x:c r="G68" s="22" t="str">
        <x:v>Mensual</x:v>
      </x:c>
      <x:c r="H68" s="40" t="n">
        <x:v>95</x:v>
      </x:c>
      <x:c r="I68" s="22" t="str">
        <x:v>Mayor es mejor</x:v>
      </x:c>
      <x:c r="J68" s="40" t="n">
        <x:v>96</x:v>
      </x:c>
      <x:c r="K68" s="40" t="n">
        <x:v>100</x:v>
      </x:c>
      <x:c r="L68" s="40" t="n">
        <x:v>100</x:v>
      </x:c>
      <x:c r="M68" s="40" t="n">
        <x:f>IF(OR(J68="",K68="",K68=0),"",J68/K68*L68)</x:f>
        <x:v>96</x:v>
      </x:c>
      <x:c r="N68" s="22" t="str">
        <x:f>IF(M68="","",IF(I68="Mayor es mejor",IF(M68&gt;=H68,"En meta",IF(M68&gt;=H68*0.9,"Alerta","Crítico")),IF(M68&lt;=H68,"En meta",IF(M68&lt;=H68*1.1,"Alerta","Crítico"))))</x:f>
        <x:v>En meta</x:v>
      </x:c>
      <x:c r="O68" s="22" t="str">
        <x:v>%</x:v>
      </x:c>
      <x:c r="P68" s="22" t="str">
        <x:v>Líder SG-SST / Alta Dirección</x:v>
      </x:c>
      <x:c r="Q68" s="22" t="str">
        <x:v>Autodiagnóstico Res. 0312 de 2019</x:v>
      </x:c>
      <x:c r="R68" s="22" t="str"/>
    </x:row>
    <x:row r="69">
      <x:c r="A69" s="46" t="n">
        <x:v>45077</x:v>
      </x:c>
      <x:c r="B69" s="22" t="n">
        <x:v>2023</x:v>
      </x:c>
      <x:c r="C69" s="22" t="str">
        <x:v>Mayo</x:v>
      </x:c>
      <x:c r="D69" s="22" t="str">
        <x:v>E01</x:v>
      </x:c>
      <x:c r="E69" s="22" t="str">
        <x:v>% ejecución presupuestal del SG-SST</x:v>
      </x:c>
      <x:c r="F69" s="22" t="str">
        <x:v>Estructura</x:v>
      </x:c>
      <x:c r="G69" s="22" t="str">
        <x:v>Mensual</x:v>
      </x:c>
      <x:c r="H69" s="40" t="n">
        <x:v>95</x:v>
      </x:c>
      <x:c r="I69" s="22" t="str">
        <x:v>Mayor es mejor</x:v>
      </x:c>
      <x:c r="J69" s="40" t="n">
        <x:v>6054556</x:v>
      </x:c>
      <x:c r="K69" s="40" t="n">
        <x:v>6500000</x:v>
      </x:c>
      <x:c r="L69" s="40" t="n">
        <x:v>100</x:v>
      </x:c>
      <x:c r="M69" s="40" t="n">
        <x:f>IF(OR(J69="",K69="",K69=0),"",J69/K69*L69)</x:f>
        <x:v>93.14701538461539</x:v>
      </x:c>
      <x:c r="N69" s="22" t="str">
        <x:f>IF(M69="","",IF(I69="Mayor es mejor",IF(M69&gt;=H69,"En meta",IF(M69&gt;=H69*0.9,"Alerta","Crítico")),IF(M69&lt;=H69,"En meta",IF(M69&lt;=H69*1.1,"Alerta","Crítico"))))</x:f>
        <x:v>Alerta</x:v>
      </x:c>
      <x:c r="O69" s="22" t="str">
        <x:v>%</x:v>
      </x:c>
      <x:c r="P69" s="22" t="str">
        <x:v>Líder SG-SST / Dirección Administrativa</x:v>
      </x:c>
      <x:c r="Q69" s="22" t="str">
        <x:v>Presupuesto SST</x:v>
      </x:c>
      <x:c r="R69" s="22" t="str"/>
    </x:row>
    <x:row r="70">
      <x:c r="A70" s="46" t="n">
        <x:v>45077</x:v>
      </x:c>
      <x:c r="B70" s="22" t="n">
        <x:v>2023</x:v>
      </x:c>
      <x:c r="C70" s="22" t="str">
        <x:v>Mayo</x:v>
      </x:c>
      <x:c r="D70" s="22" t="str">
        <x:v>E02</x:v>
      </x:c>
      <x:c r="E70" s="22" t="str">
        <x:v>% cobertura del plan de formación y capacitación SG-SST</x:v>
      </x:c>
      <x:c r="F70" s="22" t="str">
        <x:v>Estructura</x:v>
      </x:c>
      <x:c r="G70" s="22" t="str">
        <x:v>Mensual</x:v>
      </x:c>
      <x:c r="H70" s="40" t="n">
        <x:v>90</x:v>
      </x:c>
      <x:c r="I70" s="22" t="str">
        <x:v>Mayor es mejor</x:v>
      </x:c>
      <x:c r="J70" s="40" t="n">
        <x:v>17</x:v>
      </x:c>
      <x:c r="K70" s="40" t="n">
        <x:v>20</x:v>
      </x:c>
      <x:c r="L70" s="40" t="n">
        <x:v>100</x:v>
      </x:c>
      <x:c r="M70" s="40" t="n">
        <x:f>IF(OR(J70="",K70="",K70=0),"",J70/K70*L70)</x:f>
        <x:v>85</x:v>
      </x:c>
      <x:c r="N70" s="22" t="str">
        <x:f>IF(M70="","",IF(I70="Mayor es mejor",IF(M70&gt;=H70,"En meta",IF(M70&gt;=H70*0.9,"Alerta","Crítico")),IF(M70&lt;=H70,"En meta",IF(M70&lt;=H70*1.1,"Alerta","Crítico"))))</x:f>
        <x:v>Alerta</x:v>
      </x:c>
      <x:c r="O70" s="22" t="str">
        <x:v>%</x:v>
      </x:c>
      <x:c r="P70" s="22" t="str">
        <x:v>Líder SG-SST / Talento Humano</x:v>
      </x:c>
      <x:c r="Q70" s="22" t="str">
        <x:v>Plan de formación y capacitaciones</x:v>
      </x:c>
      <x:c r="R70" s="22" t="str"/>
    </x:row>
    <x:row r="71">
      <x:c r="A71" s="46" t="n">
        <x:v>45077</x:v>
      </x:c>
      <x:c r="B71" s="22" t="n">
        <x:v>2023</x:v>
      </x:c>
      <x:c r="C71" s="22" t="str">
        <x:v>Mayo</x:v>
      </x:c>
      <x:c r="D71" s="22" t="str">
        <x:v>E03</x:v>
      </x:c>
      <x:c r="E71" s="22" t="str">
        <x:v>% trabajadores con exámenes médicos ocupacionales vigentes</x:v>
      </x:c>
      <x:c r="F71" s="22" t="str">
        <x:v>Estructura</x:v>
      </x:c>
      <x:c r="G71" s="22" t="str">
        <x:v>Mensual</x:v>
      </x:c>
      <x:c r="H71" s="40" t="n">
        <x:v>95</x:v>
      </x:c>
      <x:c r="I71" s="22" t="str">
        <x:v>Mayor es mejor</x:v>
      </x:c>
      <x:c r="J71" s="40" t="n">
        <x:v>203</x:v>
      </x:c>
      <x:c r="K71" s="40" t="n">
        <x:v>214</x:v>
      </x:c>
      <x:c r="L71" s="40" t="n">
        <x:v>100</x:v>
      </x:c>
      <x:c r="M71" s="40" t="n">
        <x:f>IF(OR(J71="",K71="",K71=0),"",J71/K71*L71)</x:f>
        <x:v>94.85981308411215</x:v>
      </x:c>
      <x:c r="N71" s="22" t="str">
        <x:f>IF(M71="","",IF(I71="Mayor es mejor",IF(M71&gt;=H71,"En meta",IF(M71&gt;=H71*0.9,"Alerta","Crítico")),IF(M71&lt;=H71,"En meta",IF(M71&lt;=H71*1.1,"Alerta","Crítico"))))</x:f>
        <x:v>Alerta</x:v>
      </x:c>
      <x:c r="O71" s="22" t="str">
        <x:v>%</x:v>
      </x:c>
      <x:c r="P71" s="22" t="str">
        <x:v>Líder SG-SST / Talento Humano</x:v>
      </x:c>
      <x:c r="Q71" s="22" t="str">
        <x:v>Matriz de seguimiento EMO</x:v>
      </x:c>
      <x:c r="R71" s="22" t="str"/>
    </x:row>
    <x:row r="72">
      <x:c r="A72" s="46" t="n">
        <x:v>45077</x:v>
      </x:c>
      <x:c r="B72" s="22" t="n">
        <x:v>2023</x:v>
      </x:c>
      <x:c r="C72" s="22" t="str">
        <x:v>Mayo</x:v>
      </x:c>
      <x:c r="D72" s="22" t="str">
        <x:v>E04</x:v>
      </x:c>
      <x:c r="E72" s="22" t="str">
        <x:v>% cumplimiento de requisitos legales aplicables en SST</x:v>
      </x:c>
      <x:c r="F72" s="22" t="str">
        <x:v>Estructura</x:v>
      </x:c>
      <x:c r="G72" s="22" t="str">
        <x:v>Mensual</x:v>
      </x:c>
      <x:c r="H72" s="40" t="n">
        <x:v>95</x:v>
      </x:c>
      <x:c r="I72" s="22" t="str">
        <x:v>Mayor es mejor</x:v>
      </x:c>
      <x:c r="J72" s="40" t="n">
        <x:v>56</x:v>
      </x:c>
      <x:c r="K72" s="40" t="n">
        <x:v>60</x:v>
      </x:c>
      <x:c r="L72" s="40" t="n">
        <x:v>100</x:v>
      </x:c>
      <x:c r="M72" s="40" t="n">
        <x:f>IF(OR(J72="",K72="",K72=0),"",J72/K72*L72)</x:f>
        <x:v>93.33333333333333</x:v>
      </x:c>
      <x:c r="N72" s="22" t="str">
        <x:f>IF(M72="","",IF(I72="Mayor es mejor",IF(M72&gt;=H72,"En meta",IF(M72&gt;=H72*0.9,"Alerta","Crítico")),IF(M72&lt;=H72,"En meta",IF(M72&lt;=H72*1.1,"Alerta","Crítico"))))</x:f>
        <x:v>Alerta</x:v>
      </x:c>
      <x:c r="O72" s="22" t="str">
        <x:v>%</x:v>
      </x:c>
      <x:c r="P72" s="22" t="str">
        <x:v>Líder SG-SST / Jurídica</x:v>
      </x:c>
      <x:c r="Q72" s="22" t="str">
        <x:v>Matriz legal SGRL</x:v>
      </x:c>
      <x:c r="R72" s="22" t="str"/>
    </x:row>
    <x:row r="73">
      <x:c r="A73" s="46" t="n">
        <x:v>45077</x:v>
      </x:c>
      <x:c r="B73" s="22" t="n">
        <x:v>2023</x:v>
      </x:c>
      <x:c r="C73" s="22" t="str">
        <x:v>Mayo</x:v>
      </x:c>
      <x:c r="D73" s="22" t="str">
        <x:v>E05</x:v>
      </x:c>
      <x:c r="E73" s="22" t="str">
        <x:v>% proveedores y contratistas aprobados en SST</x:v>
      </x:c>
      <x:c r="F73" s="22" t="str">
        <x:v>Estructura</x:v>
      </x:c>
      <x:c r="G73" s="22" t="str">
        <x:v>Mensual</x:v>
      </x:c>
      <x:c r="H73" s="40" t="n">
        <x:v>90</x:v>
      </x:c>
      <x:c r="I73" s="22" t="str">
        <x:v>Mayor es mejor</x:v>
      </x:c>
      <x:c r="J73" s="40" t="n">
        <x:v>18</x:v>
      </x:c>
      <x:c r="K73" s="40" t="n">
        <x:v>20</x:v>
      </x:c>
      <x:c r="L73" s="40" t="n">
        <x:v>100</x:v>
      </x:c>
      <x:c r="M73" s="40" t="n">
        <x:f>IF(OR(J73="",K73="",K73=0),"",J73/K73*L73)</x:f>
        <x:v>90</x:v>
      </x:c>
      <x:c r="N73" s="22" t="str">
        <x:f>IF(M73="","",IF(I73="Mayor es mejor",IF(M73&gt;=H73,"En meta",IF(M73&gt;=H73*0.9,"Alerta","Crítico")),IF(M73&lt;=H73,"En meta",IF(M73&lt;=H73*1.1,"Alerta","Crítico"))))</x:f>
        <x:v>En meta</x:v>
      </x:c>
      <x:c r="O73" s="22" t="str">
        <x:v>%</x:v>
      </x:c>
      <x:c r="P73" s="22" t="str">
        <x:v>Compras / Líder SG-SST</x:v>
      </x:c>
      <x:c r="Q73" s="22" t="str">
        <x:v>Gestión de proveedores y contratistas</x:v>
      </x:c>
      <x:c r="R73" s="22" t="str"/>
    </x:row>
    <x:row r="74">
      <x:c r="A74" s="46" t="n">
        <x:v>45077</x:v>
      </x:c>
      <x:c r="B74" s="22" t="n">
        <x:v>2023</x:v>
      </x:c>
      <x:c r="C74" s="22" t="str">
        <x:v>Mayo</x:v>
      </x:c>
      <x:c r="D74" s="22" t="str">
        <x:v>P01</x:v>
      </x:c>
      <x:c r="E74" s="22" t="str">
        <x:v>% ejecución del plan anual de trabajo SG-SST</x:v>
      </x:c>
      <x:c r="F74" s="22" t="str">
        <x:v>Proceso</x:v>
      </x:c>
      <x:c r="G74" s="22" t="str">
        <x:v>Mensual</x:v>
      </x:c>
      <x:c r="H74" s="40" t="n">
        <x:v>90</x:v>
      </x:c>
      <x:c r="I74" s="22" t="str">
        <x:v>Mayor es mejor</x:v>
      </x:c>
      <x:c r="J74" s="40" t="n">
        <x:v>12</x:v>
      </x:c>
      <x:c r="K74" s="40" t="n">
        <x:v>14</x:v>
      </x:c>
      <x:c r="L74" s="40" t="n">
        <x:v>100</x:v>
      </x:c>
      <x:c r="M74" s="40" t="n">
        <x:f>IF(OR(J74="",K74="",K74=0),"",J74/K74*L74)</x:f>
        <x:v>85.71428571428571</x:v>
      </x:c>
      <x:c r="N74" s="22" t="str">
        <x:f>IF(M74="","",IF(I74="Mayor es mejor",IF(M74&gt;=H74,"En meta",IF(M74&gt;=H74*0.9,"Alerta","Crítico")),IF(M74&lt;=H74,"En meta",IF(M74&lt;=H74*1.1,"Alerta","Crítico"))))</x:f>
        <x:v>Alerta</x:v>
      </x:c>
      <x:c r="O74" s="22" t="str">
        <x:v>%</x:v>
      </x:c>
      <x:c r="P74" s="22" t="str">
        <x:v>Líder SG-SST</x:v>
      </x:c>
      <x:c r="Q74" s="22" t="str">
        <x:v>Plan anual de trabajo PHVA</x:v>
      </x:c>
      <x:c r="R74" s="22" t="str"/>
    </x:row>
    <x:row r="75">
      <x:c r="A75" s="46" t="n">
        <x:v>45077</x:v>
      </x:c>
      <x:c r="B75" s="22" t="n">
        <x:v>2023</x:v>
      </x:c>
      <x:c r="C75" s="22" t="str">
        <x:v>Mayo</x:v>
      </x:c>
      <x:c r="D75" s="22" t="str">
        <x:v>P02</x:v>
      </x:c>
      <x:c r="E75" s="22" t="str">
        <x:v>% investigaciones de accidentes realizadas oportunamente</x:v>
      </x:c>
      <x:c r="F75" s="22" t="str">
        <x:v>Proceso</x:v>
      </x:c>
      <x:c r="G75" s="22" t="str">
        <x:v>Mensual</x:v>
      </x:c>
      <x:c r="H75" s="40" t="n">
        <x:v>95</x:v>
      </x:c>
      <x:c r="I75" s="22" t="str">
        <x:v>Mayor es mejor</x:v>
      </x:c>
      <x:c r="J75" s="40" t="n">
        <x:v>1</x:v>
      </x:c>
      <x:c r="K75" s="40" t="n">
        <x:v>1</x:v>
      </x:c>
      <x:c r="L75" s="40" t="n">
        <x:v>100</x:v>
      </x:c>
      <x:c r="M75" s="40" t="n">
        <x:f>IF(OR(J75="",K75="",K75=0),"",J75/K75*L75)</x:f>
        <x:v>100</x:v>
      </x:c>
      <x:c r="N75" s="22" t="str">
        <x:f>IF(M75="","",IF(I75="Mayor es mejor",IF(M75&gt;=H75,"En meta",IF(M75&gt;=H75*0.9,"Alerta","Crítico")),IF(M75&lt;=H75,"En meta",IF(M75&lt;=H75*1.1,"Alerta","Crítico"))))</x:f>
        <x:v>En meta</x:v>
      </x:c>
      <x:c r="O75" s="22" t="str">
        <x:v>%</x:v>
      </x:c>
      <x:c r="P75" s="22" t="str">
        <x:v>Líder SG-SST / COPASST</x:v>
      </x:c>
      <x:c r="Q75" s="22" t="str">
        <x:v>Matriz de accidentalidad</x:v>
      </x:c>
      <x:c r="R75" s="22" t="str"/>
    </x:row>
    <x:row r="76">
      <x:c r="A76" s="46" t="n">
        <x:v>45077</x:v>
      </x:c>
      <x:c r="B76" s="22" t="n">
        <x:v>2023</x:v>
      </x:c>
      <x:c r="C76" s="22" t="str">
        <x:v>Mayo</x:v>
      </x:c>
      <x:c r="D76" s="22" t="str">
        <x:v>P03</x:v>
      </x:c>
      <x:c r="E76" s="22" t="str">
        <x:v>% cierre oportuno de acciones correctivas, preventivas y de mejora</x:v>
      </x:c>
      <x:c r="F76" s="22" t="str">
        <x:v>Proceso</x:v>
      </x:c>
      <x:c r="G76" s="22" t="str">
        <x:v>Mensual</x:v>
      </x:c>
      <x:c r="H76" s="40" t="n">
        <x:v>90</x:v>
      </x:c>
      <x:c r="I76" s="22" t="str">
        <x:v>Mayor es mejor</x:v>
      </x:c>
      <x:c r="J76" s="40" t="n">
        <x:v>9</x:v>
      </x:c>
      <x:c r="K76" s="40" t="n">
        <x:v>10</x:v>
      </x:c>
      <x:c r="L76" s="40" t="n">
        <x:v>100</x:v>
      </x:c>
      <x:c r="M76" s="40" t="n">
        <x:f>IF(OR(J76="",K76="",K76=0),"",J76/K76*L76)</x:f>
        <x:v>90</x:v>
      </x:c>
      <x:c r="N76" s="22" t="str">
        <x:f>IF(M76="","",IF(I76="Mayor es mejor",IF(M76&gt;=H76,"En meta",IF(M76&gt;=H76*0.9,"Alerta","Crítico")),IF(M76&lt;=H76,"En meta",IF(M76&lt;=H76*1.1,"Alerta","Crítico"))))</x:f>
        <x:v>En meta</x:v>
      </x:c>
      <x:c r="O76" s="22" t="str">
        <x:v>%</x:v>
      </x:c>
      <x:c r="P76" s="22" t="str">
        <x:v>Líder SG-SST / Responsables de proceso</x:v>
      </x:c>
      <x:c r="Q76" s="22" t="str">
        <x:v>Matriz APCM</x:v>
      </x:c>
      <x:c r="R76" s="22" t="str"/>
    </x:row>
    <x:row r="77">
      <x:c r="A77" s="46" t="n">
        <x:v>45077</x:v>
      </x:c>
      <x:c r="B77" s="22" t="n">
        <x:v>2023</x:v>
      </x:c>
      <x:c r="C77" s="22" t="str">
        <x:v>Mayo</x:v>
      </x:c>
      <x:c r="D77" s="22" t="str">
        <x:v>P04</x:v>
      </x:c>
      <x:c r="E77" s="22" t="str">
        <x:v>% inspecciones de seguridad ejecutadas</x:v>
      </x:c>
      <x:c r="F77" s="22" t="str">
        <x:v>Proceso</x:v>
      </x:c>
      <x:c r="G77" s="22" t="str">
        <x:v>Mensual</x:v>
      </x:c>
      <x:c r="H77" s="40" t="n">
        <x:v>90</x:v>
      </x:c>
      <x:c r="I77" s="22" t="str">
        <x:v>Mayor es mejor</x:v>
      </x:c>
      <x:c r="J77" s="40" t="n">
        <x:v>8</x:v>
      </x:c>
      <x:c r="K77" s="40" t="n">
        <x:v>9</x:v>
      </x:c>
      <x:c r="L77" s="40" t="n">
        <x:v>100</x:v>
      </x:c>
      <x:c r="M77" s="40" t="n">
        <x:f>IF(OR(J77="",K77="",K77=0),"",J77/K77*L77)</x:f>
        <x:v>88.88888888888889</x:v>
      </x:c>
      <x:c r="N77" s="22" t="str">
        <x:f>IF(M77="","",IF(I77="Mayor es mejor",IF(M77&gt;=H77,"En meta",IF(M77&gt;=H77*0.9,"Alerta","Crítico")),IF(M77&lt;=H77,"En meta",IF(M77&lt;=H77*1.1,"Alerta","Crítico"))))</x:f>
        <x:v>Alerta</x:v>
      </x:c>
      <x:c r="O77" s="22" t="str">
        <x:v>%</x:v>
      </x:c>
      <x:c r="P77" s="22" t="str">
        <x:v>Líder SG-SST / Supervisores</x:v>
      </x:c>
      <x:c r="Q77" s="22" t="str">
        <x:v>Programa de inspecciones</x:v>
      </x:c>
      <x:c r="R77" s="22" t="str"/>
    </x:row>
    <x:row r="78">
      <x:c r="A78" s="46" t="n">
        <x:v>45077</x:v>
      </x:c>
      <x:c r="B78" s="22" t="n">
        <x:v>2023</x:v>
      </x:c>
      <x:c r="C78" s="22" t="str">
        <x:v>Mayo</x:v>
      </x:c>
      <x:c r="D78" s="22" t="str">
        <x:v>P05</x:v>
      </x:c>
      <x:c r="E78" s="22" t="str">
        <x:v>% mantenimientos preventivos ejecutados</x:v>
      </x:c>
      <x:c r="F78" s="22" t="str">
        <x:v>Proceso</x:v>
      </x:c>
      <x:c r="G78" s="22" t="str">
        <x:v>Mensual</x:v>
      </x:c>
      <x:c r="H78" s="40" t="n">
        <x:v>90</x:v>
      </x:c>
      <x:c r="I78" s="22" t="str">
        <x:v>Mayor es mejor</x:v>
      </x:c>
      <x:c r="J78" s="40" t="n">
        <x:v>12</x:v>
      </x:c>
      <x:c r="K78" s="40" t="n">
        <x:v>13</x:v>
      </x:c>
      <x:c r="L78" s="40" t="n">
        <x:v>100</x:v>
      </x:c>
      <x:c r="M78" s="40" t="n">
        <x:f>IF(OR(J78="",K78="",K78=0),"",J78/K78*L78)</x:f>
        <x:v>92.3076923076923</x:v>
      </x:c>
      <x:c r="N78" s="22" t="str">
        <x:f>IF(M78="","",IF(I78="Mayor es mejor",IF(M78&gt;=H78,"En meta",IF(M78&gt;=H78*0.9,"Alerta","Crítico")),IF(M78&lt;=H78,"En meta",IF(M78&lt;=H78*1.1,"Alerta","Crítico"))))</x:f>
        <x:v>En meta</x:v>
      </x:c>
      <x:c r="O78" s="22" t="str">
        <x:v>%</x:v>
      </x:c>
      <x:c r="P78" s="22" t="str">
        <x:v>Mantenimiento / Líder SG-SST</x:v>
      </x:c>
      <x:c r="Q78" s="22" t="str">
        <x:v>Programa de mantenimiento preventivo</x:v>
      </x:c>
      <x:c r="R78" s="22" t="str"/>
    </x:row>
    <x:row r="79">
      <x:c r="A79" s="46" t="n">
        <x:v>45077</x:v>
      </x:c>
      <x:c r="B79" s="22" t="n">
        <x:v>2023</x:v>
      </x:c>
      <x:c r="C79" s="22" t="str">
        <x:v>Mayo</x:v>
      </x:c>
      <x:c r="D79" s="22" t="str">
        <x:v>R01</x:v>
      </x:c>
      <x:c r="E79" s="22" t="str">
        <x:v>Índice de frecuencia de accidentalidad (IF)</x:v>
      </x:c>
      <x:c r="F79" s="22" t="str">
        <x:v>Resultado</x:v>
      </x:c>
      <x:c r="G79" s="22" t="str">
        <x:v>Mensual</x:v>
      </x:c>
      <x:c r="H79" s="40" t="n">
        <x:v>3.5</x:v>
      </x:c>
      <x:c r="I79" s="22" t="str">
        <x:v>Menor es mejor</x:v>
      </x:c>
      <x:c r="J79" s="40" t="n">
        <x:v>1</x:v>
      </x:c>
      <x:c r="K79" s="40" t="n">
        <x:v>52179</x:v>
      </x:c>
      <x:c r="L79" s="40" t="n">
        <x:v>200000</x:v>
      </x:c>
      <x:c r="M79" s="40" t="n">
        <x:f>IF(OR(J79="",K79="",K79=0),"",J79/K79*L79)</x:f>
        <x:v>3.832959619770406</x:v>
      </x:c>
      <x:c r="N79" s="22" t="str">
        <x:f>IF(M79="","",IF(I79="Mayor es mejor",IF(M79&gt;=H79,"En meta",IF(M79&gt;=H79*0.9,"Alerta","Crítico")),IF(M79&lt;=H79,"En meta",IF(M79&lt;=H79*1.1,"Alerta","Crítico"))))</x:f>
        <x:v>Alerta</x:v>
      </x:c>
      <x:c r="O79" s="22" t="str">
        <x:v>Índice</x:v>
      </x:c>
      <x:c r="P79" s="22" t="str">
        <x:v>Líder SG-SST</x:v>
      </x:c>
      <x:c r="Q79" s="22" t="str">
        <x:v>Matriz de accidentalidad / nómina</x:v>
      </x:c>
      <x:c r="R79" s="22" t="str"/>
    </x:row>
    <x:row r="80">
      <x:c r="A80" s="46" t="n">
        <x:v>45077</x:v>
      </x:c>
      <x:c r="B80" s="22" t="n">
        <x:v>2023</x:v>
      </x:c>
      <x:c r="C80" s="22" t="str">
        <x:v>Mayo</x:v>
      </x:c>
      <x:c r="D80" s="22" t="str">
        <x:v>R02</x:v>
      </x:c>
      <x:c r="E80" s="22" t="str">
        <x:v>Índice de severidad de accidentalidad (IS)</x:v>
      </x:c>
      <x:c r="F80" s="22" t="str">
        <x:v>Resultado</x:v>
      </x:c>
      <x:c r="G80" s="22" t="str">
        <x:v>Mensual</x:v>
      </x:c>
      <x:c r="H80" s="40" t="n">
        <x:v>80</x:v>
      </x:c>
      <x:c r="I80" s="22" t="str">
        <x:v>Menor es mejor</x:v>
      </x:c>
      <x:c r="J80" s="40" t="n">
        <x:v>22</x:v>
      </x:c>
      <x:c r="K80" s="40" t="n">
        <x:v>52179</x:v>
      </x:c>
      <x:c r="L80" s="40" t="n">
        <x:v>200000</x:v>
      </x:c>
      <x:c r="M80" s="40" t="n">
        <x:f>IF(OR(J80="",K80="",K80=0),"",J80/K80*L80)</x:f>
        <x:v>84.32511163494893</x:v>
      </x:c>
      <x:c r="N80" s="22" t="str">
        <x:f>IF(M80="","",IF(I80="Mayor es mejor",IF(M80&gt;=H80,"En meta",IF(M80&gt;=H80*0.9,"Alerta","Crítico")),IF(M80&lt;=H80,"En meta",IF(M80&lt;=H80*1.1,"Alerta","Crítico"))))</x:f>
        <x:v>Alerta</x:v>
      </x:c>
      <x:c r="O80" s="22" t="str">
        <x:v>Índice</x:v>
      </x:c>
      <x:c r="P80" s="22" t="str">
        <x:v>Líder SG-SST</x:v>
      </x:c>
      <x:c r="Q80" s="22" t="str">
        <x:v>Matriz de accidentalidad / nómina</x:v>
      </x:c>
      <x:c r="R80" s="22" t="str"/>
    </x:row>
    <x:row r="81">
      <x:c r="A81" s="46" t="n">
        <x:v>45077</x:v>
      </x:c>
      <x:c r="B81" s="22" t="n">
        <x:v>2023</x:v>
      </x:c>
      <x:c r="C81" s="22" t="str">
        <x:v>Mayo</x:v>
      </x:c>
      <x:c r="D81" s="22" t="str">
        <x:v>R03</x:v>
      </x:c>
      <x:c r="E81" s="22" t="str">
        <x:v>Índice de lesión incapacitante (ILI)</x:v>
      </x:c>
      <x:c r="F81" s="22" t="str">
        <x:v>Resultado</x:v>
      </x:c>
      <x:c r="G81" s="22" t="str">
        <x:v>Mensual</x:v>
      </x:c>
      <x:c r="H81" s="40" t="n">
        <x:v>0.25</x:v>
      </x:c>
      <x:c r="I81" s="22" t="str">
        <x:v>Menor es mejor</x:v>
      </x:c>
      <x:c r="J81" s="40" t="n">
        <x:v>323.2147</x:v>
      </x:c>
      <x:c r="K81" s="40" t="n">
        <x:v>1000</x:v>
      </x:c>
      <x:c r="L81" s="40" t="n">
        <x:v>1</x:v>
      </x:c>
      <x:c r="M81" s="40" t="n">
        <x:f>IF(OR(J81="",K81="",K81=0),"",J81/K81*L81)</x:f>
        <x:v>0.32321469999999997</x:v>
      </x:c>
      <x:c r="N81" s="22" t="str">
        <x:f>IF(M81="","",IF(I81="Mayor es mejor",IF(M81&gt;=H81,"En meta",IF(M81&gt;=H81*0.9,"Alerta","Crítico")),IF(M81&lt;=H81,"En meta",IF(M81&lt;=H81*1.1,"Alerta","Crítico"))))</x:f>
        <x:v>Crítico</x:v>
      </x:c>
      <x:c r="O81" s="22" t="str">
        <x:v>Índice</x:v>
      </x:c>
      <x:c r="P81" s="22" t="str">
        <x:v>Líder SG-SST</x:v>
      </x:c>
      <x:c r="Q81" s="22" t="str">
        <x:v>Indicadores derivados de accidentalidad</x:v>
      </x:c>
      <x:c r="R81" s="22" t="str">
        <x:v>ILI calculado sobre IF e IS del periodo.</x:v>
      </x:c>
    </x:row>
    <x:row r="82">
      <x:c r="A82" s="46" t="n">
        <x:v>45077</x:v>
      </x:c>
      <x:c r="B82" s="22" t="n">
        <x:v>2023</x:v>
      </x:c>
      <x:c r="C82" s="22" t="str">
        <x:v>Mayo</x:v>
      </x:c>
      <x:c r="D82" s="22" t="str">
        <x:v>R04</x:v>
      </x:c>
      <x:c r="E82" s="22" t="str">
        <x:v>Tasa de accidentalidad</x:v>
      </x:c>
      <x:c r="F82" s="22" t="str">
        <x:v>Resultado</x:v>
      </x:c>
      <x:c r="G82" s="22" t="str">
        <x:v>Mensual</x:v>
      </x:c>
      <x:c r="H82" s="40" t="n">
        <x:v>0.6</x:v>
      </x:c>
      <x:c r="I82" s="22" t="str">
        <x:v>Menor es mejor</x:v>
      </x:c>
      <x:c r="J82" s="40" t="n">
        <x:v>2.56</x:v>
      </x:c>
      <x:c r="K82" s="40" t="n">
        <x:v>214</x:v>
      </x:c>
      <x:c r="L82" s="40" t="n">
        <x:v>100</x:v>
      </x:c>
      <x:c r="M82" s="40" t="n">
        <x:f>IF(OR(J82="",K82="",K82=0),"",J82/K82*L82)</x:f>
        <x:v>1.1962616822429906</x:v>
      </x:c>
      <x:c r="N82" s="22" t="str">
        <x:f>IF(M82="","",IF(I82="Mayor es mejor",IF(M82&gt;=H82,"En meta",IF(M82&gt;=H82*0.9,"Alerta","Crítico")),IF(M82&lt;=H82,"En meta",IF(M82&lt;=H82*1.1,"Alerta","Crítico"))))</x:f>
        <x:v>Crítico</x:v>
      </x:c>
      <x:c r="O82" s="22" t="str">
        <x:v>%</x:v>
      </x:c>
      <x:c r="P82" s="22" t="str">
        <x:v>Líder SG-SST</x:v>
      </x:c>
      <x:c r="Q82" s="22" t="str">
        <x:v>Matriz de accidentalidad / nómina</x:v>
      </x:c>
      <x:c r="R82" s="22" t="str"/>
    </x:row>
    <x:row r="83">
      <x:c r="A83" s="46" t="n">
        <x:v>45077</x:v>
      </x:c>
      <x:c r="B83" s="22" t="n">
        <x:v>2023</x:v>
      </x:c>
      <x:c r="C83" s="22" t="str">
        <x:v>Mayo</x:v>
      </x:c>
      <x:c r="D83" s="22" t="str">
        <x:v>R05</x:v>
      </x:c>
      <x:c r="E83" s="22" t="str">
        <x:v>Prevalencia de enfermedad laboral</x:v>
      </x:c>
      <x:c r="F83" s="22" t="str">
        <x:v>Resultado</x:v>
      </x:c>
      <x:c r="G83" s="22" t="str">
        <x:v>Mensual</x:v>
      </x:c>
      <x:c r="H83" s="40" t="n">
        <x:v>0.3</x:v>
      </x:c>
      <x:c r="I83" s="22" t="str">
        <x:v>Menor es mejor</x:v>
      </x:c>
      <x:c r="J83" s="40" t="n">
        <x:v>2.03</x:v>
      </x:c>
      <x:c r="K83" s="40" t="n">
        <x:v>214</x:v>
      </x:c>
      <x:c r="L83" s="40" t="n">
        <x:v>100</x:v>
      </x:c>
      <x:c r="M83" s="40" t="n">
        <x:f>IF(OR(J83="",K83="",K83=0),"",J83/K83*L83)</x:f>
        <x:v>0.9485981308411214</x:v>
      </x:c>
      <x:c r="N83" s="22" t="str">
        <x:f>IF(M83="","",IF(I83="Mayor es mejor",IF(M83&gt;=H83,"En meta",IF(M83&gt;=H83*0.9,"Alerta","Crítico")),IF(M83&lt;=H83,"En meta",IF(M83&lt;=H83*1.1,"Alerta","Crítico"))))</x:f>
        <x:v>Crítico</x:v>
      </x:c>
      <x:c r="O83" s="22" t="str">
        <x:v>%</x:v>
      </x:c>
      <x:c r="P83" s="22" t="str">
        <x:v>Líder SG-SST / Medicina laboral</x:v>
      </x:c>
      <x:c r="Q83" s="22" t="str">
        <x:v>Matriz de enfermedad laboral / nómina</x:v>
      </x:c>
      <x:c r="R83" s="22" t="str"/>
    </x:row>
    <x:row r="84">
      <x:c r="A84" s="46" t="n">
        <x:v>45077</x:v>
      </x:c>
      <x:c r="B84" s="22" t="n">
        <x:v>2023</x:v>
      </x:c>
      <x:c r="C84" s="22" t="str">
        <x:v>Mayo</x:v>
      </x:c>
      <x:c r="D84" s="22" t="str">
        <x:v>R06</x:v>
      </x:c>
      <x:c r="E84" s="22" t="str">
        <x:v>% cumplimiento de estándares mínimos Res. 0312 de 2019</x:v>
      </x:c>
      <x:c r="F84" s="22" t="str">
        <x:v>Resultado</x:v>
      </x:c>
      <x:c r="G84" s="22" t="str">
        <x:v>Mensual</x:v>
      </x:c>
      <x:c r="H84" s="40" t="n">
        <x:v>95</x:v>
      </x:c>
      <x:c r="I84" s="22" t="str">
        <x:v>Mayor es mejor</x:v>
      </x:c>
      <x:c r="J84" s="40" t="n">
        <x:v>98</x:v>
      </x:c>
      <x:c r="K84" s="40" t="n">
        <x:v>100</x:v>
      </x:c>
      <x:c r="L84" s="40" t="n">
        <x:v>100</x:v>
      </x:c>
      <x:c r="M84" s="40" t="n">
        <x:f>IF(OR(J84="",K84="",K84=0),"",J84/K84*L84)</x:f>
        <x:v>98</x:v>
      </x:c>
      <x:c r="N84" s="22" t="str">
        <x:f>IF(M84="","",IF(I84="Mayor es mejor",IF(M84&gt;=H84,"En meta",IF(M84&gt;=H84*0.9,"Alerta","Crítico")),IF(M84&lt;=H84,"En meta",IF(M84&lt;=H84*1.1,"Alerta","Crítico"))))</x:f>
        <x:v>En meta</x:v>
      </x:c>
      <x:c r="O84" s="22" t="str">
        <x:v>%</x:v>
      </x:c>
      <x:c r="P84" s="22" t="str">
        <x:v>Líder SG-SST / Alta Dirección</x:v>
      </x:c>
      <x:c r="Q84" s="22" t="str">
        <x:v>Autodiagnóstico Res. 0312 de 2019</x:v>
      </x:c>
      <x:c r="R84" s="22" t="str"/>
    </x:row>
    <x:row r="85">
      <x:c r="A85" s="46" t="n">
        <x:v>45107</x:v>
      </x:c>
      <x:c r="B85" s="22" t="n">
        <x:v>2023</x:v>
      </x:c>
      <x:c r="C85" s="22" t="str">
        <x:v>Junio</x:v>
      </x:c>
      <x:c r="D85" s="22" t="str">
        <x:v>E01</x:v>
      </x:c>
      <x:c r="E85" s="22" t="str">
        <x:v>% ejecución presupuestal del SG-SST</x:v>
      </x:c>
      <x:c r="F85" s="22" t="str">
        <x:v>Estructura</x:v>
      </x:c>
      <x:c r="G85" s="22" t="str">
        <x:v>Mensual</x:v>
      </x:c>
      <x:c r="H85" s="40" t="n">
        <x:v>95</x:v>
      </x:c>
      <x:c r="I85" s="22" t="str">
        <x:v>Mayor es mejor</x:v>
      </x:c>
      <x:c r="J85" s="40" t="n">
        <x:v>6464254</x:v>
      </x:c>
      <x:c r="K85" s="40" t="n">
        <x:v>7000000</x:v>
      </x:c>
      <x:c r="L85" s="40" t="n">
        <x:v>100</x:v>
      </x:c>
      <x:c r="M85" s="40" t="n">
        <x:f>IF(OR(J85="",K85="",K85=0),"",J85/K85*L85)</x:f>
        <x:v>92.3464857142857</x:v>
      </x:c>
      <x:c r="N85" s="22" t="str">
        <x:f>IF(M85="","",IF(I85="Mayor es mejor",IF(M85&gt;=H85,"En meta",IF(M85&gt;=H85*0.9,"Alerta","Crítico")),IF(M85&lt;=H85,"En meta",IF(M85&lt;=H85*1.1,"Alerta","Crítico"))))</x:f>
        <x:v>Alerta</x:v>
      </x:c>
      <x:c r="O85" s="22" t="str">
        <x:v>%</x:v>
      </x:c>
      <x:c r="P85" s="22" t="str">
        <x:v>Líder SG-SST / Dirección Administrativa</x:v>
      </x:c>
      <x:c r="Q85" s="22" t="str">
        <x:v>Presupuesto SST</x:v>
      </x:c>
      <x:c r="R85" s="22" t="str"/>
    </x:row>
    <x:row r="86">
      <x:c r="A86" s="46" t="n">
        <x:v>45107</x:v>
      </x:c>
      <x:c r="B86" s="22" t="n">
        <x:v>2023</x:v>
      </x:c>
      <x:c r="C86" s="22" t="str">
        <x:v>Junio</x:v>
      </x:c>
      <x:c r="D86" s="22" t="str">
        <x:v>E02</x:v>
      </x:c>
      <x:c r="E86" s="22" t="str">
        <x:v>% cobertura del plan de formación y capacitación SG-SST</x:v>
      </x:c>
      <x:c r="F86" s="22" t="str">
        <x:v>Estructura</x:v>
      </x:c>
      <x:c r="G86" s="22" t="str">
        <x:v>Mensual</x:v>
      </x:c>
      <x:c r="H86" s="40" t="n">
        <x:v>90</x:v>
      </x:c>
      <x:c r="I86" s="22" t="str">
        <x:v>Mayor es mejor</x:v>
      </x:c>
      <x:c r="J86" s="40" t="n">
        <x:v>20</x:v>
      </x:c>
      <x:c r="K86" s="40" t="n">
        <x:v>22</x:v>
      </x:c>
      <x:c r="L86" s="40" t="n">
        <x:v>100</x:v>
      </x:c>
      <x:c r="M86" s="40" t="n">
        <x:f>IF(OR(J86="",K86="",K86=0),"",J86/K86*L86)</x:f>
        <x:v>90.9090909090909</x:v>
      </x:c>
      <x:c r="N86" s="22" t="str">
        <x:f>IF(M86="","",IF(I86="Mayor es mejor",IF(M86&gt;=H86,"En meta",IF(M86&gt;=H86*0.9,"Alerta","Crítico")),IF(M86&lt;=H86,"En meta",IF(M86&lt;=H86*1.1,"Alerta","Crítico"))))</x:f>
        <x:v>En meta</x:v>
      </x:c>
      <x:c r="O86" s="22" t="str">
        <x:v>%</x:v>
      </x:c>
      <x:c r="P86" s="22" t="str">
        <x:v>Líder SG-SST / Talento Humano</x:v>
      </x:c>
      <x:c r="Q86" s="22" t="str">
        <x:v>Plan de formación y capacitaciones</x:v>
      </x:c>
      <x:c r="R86" s="22" t="str"/>
    </x:row>
    <x:row r="87">
      <x:c r="A87" s="46" t="n">
        <x:v>45107</x:v>
      </x:c>
      <x:c r="B87" s="22" t="n">
        <x:v>2023</x:v>
      </x:c>
      <x:c r="C87" s="22" t="str">
        <x:v>Junio</x:v>
      </x:c>
      <x:c r="D87" s="22" t="str">
        <x:v>E03</x:v>
      </x:c>
      <x:c r="E87" s="22" t="str">
        <x:v>% trabajadores con exámenes médicos ocupacionales vigentes</x:v>
      </x:c>
      <x:c r="F87" s="22" t="str">
        <x:v>Estructura</x:v>
      </x:c>
      <x:c r="G87" s="22" t="str">
        <x:v>Mensual</x:v>
      </x:c>
      <x:c r="H87" s="40" t="n">
        <x:v>95</x:v>
      </x:c>
      <x:c r="I87" s="22" t="str">
        <x:v>Mayor es mejor</x:v>
      </x:c>
      <x:c r="J87" s="40" t="n">
        <x:v>199</x:v>
      </x:c>
      <x:c r="K87" s="40" t="n">
        <x:v>211</x:v>
      </x:c>
      <x:c r="L87" s="40" t="n">
        <x:v>100</x:v>
      </x:c>
      <x:c r="M87" s="40" t="n">
        <x:f>IF(OR(J87="",K87="",K87=0),"",J87/K87*L87)</x:f>
        <x:v>94.3127962085308</x:v>
      </x:c>
      <x:c r="N87" s="22" t="str">
        <x:f>IF(M87="","",IF(I87="Mayor es mejor",IF(M87&gt;=H87,"En meta",IF(M87&gt;=H87*0.9,"Alerta","Crítico")),IF(M87&lt;=H87,"En meta",IF(M87&lt;=H87*1.1,"Alerta","Crítico"))))</x:f>
        <x:v>Alerta</x:v>
      </x:c>
      <x:c r="O87" s="22" t="str">
        <x:v>%</x:v>
      </x:c>
      <x:c r="P87" s="22" t="str">
        <x:v>Líder SG-SST / Talento Humano</x:v>
      </x:c>
      <x:c r="Q87" s="22" t="str">
        <x:v>Matriz de seguimiento EMO</x:v>
      </x:c>
      <x:c r="R87" s="22" t="str"/>
    </x:row>
    <x:row r="88">
      <x:c r="A88" s="46" t="n">
        <x:v>45107</x:v>
      </x:c>
      <x:c r="B88" s="22" t="n">
        <x:v>2023</x:v>
      </x:c>
      <x:c r="C88" s="22" t="str">
        <x:v>Junio</x:v>
      </x:c>
      <x:c r="D88" s="22" t="str">
        <x:v>E04</x:v>
      </x:c>
      <x:c r="E88" s="22" t="str">
        <x:v>% cumplimiento de requisitos legales aplicables en SST</x:v>
      </x:c>
      <x:c r="F88" s="22" t="str">
        <x:v>Estructura</x:v>
      </x:c>
      <x:c r="G88" s="22" t="str">
        <x:v>Mensual</x:v>
      </x:c>
      <x:c r="H88" s="40" t="n">
        <x:v>95</x:v>
      </x:c>
      <x:c r="I88" s="22" t="str">
        <x:v>Mayor es mejor</x:v>
      </x:c>
      <x:c r="J88" s="40" t="n">
        <x:v>56</x:v>
      </x:c>
      <x:c r="K88" s="40" t="n">
        <x:v>60</x:v>
      </x:c>
      <x:c r="L88" s="40" t="n">
        <x:v>100</x:v>
      </x:c>
      <x:c r="M88" s="40" t="n">
        <x:f>IF(OR(J88="",K88="",K88=0),"",J88/K88*L88)</x:f>
        <x:v>93.33333333333333</x:v>
      </x:c>
      <x:c r="N88" s="22" t="str">
        <x:f>IF(M88="","",IF(I88="Mayor es mejor",IF(M88&gt;=H88,"En meta",IF(M88&gt;=H88*0.9,"Alerta","Crítico")),IF(M88&lt;=H88,"En meta",IF(M88&lt;=H88*1.1,"Alerta","Crítico"))))</x:f>
        <x:v>Alerta</x:v>
      </x:c>
      <x:c r="O88" s="22" t="str">
        <x:v>%</x:v>
      </x:c>
      <x:c r="P88" s="22" t="str">
        <x:v>Líder SG-SST / Jurídica</x:v>
      </x:c>
      <x:c r="Q88" s="22" t="str">
        <x:v>Matriz legal SGRL</x:v>
      </x:c>
      <x:c r="R88" s="22" t="str"/>
    </x:row>
    <x:row r="89">
      <x:c r="A89" s="46" t="n">
        <x:v>45107</x:v>
      </x:c>
      <x:c r="B89" s="22" t="n">
        <x:v>2023</x:v>
      </x:c>
      <x:c r="C89" s="22" t="str">
        <x:v>Junio</x:v>
      </x:c>
      <x:c r="D89" s="22" t="str">
        <x:v>E05</x:v>
      </x:c>
      <x:c r="E89" s="22" t="str">
        <x:v>% proveedores y contratistas aprobados en SST</x:v>
      </x:c>
      <x:c r="F89" s="22" t="str">
        <x:v>Estructura</x:v>
      </x:c>
      <x:c r="G89" s="22" t="str">
        <x:v>Mensual</x:v>
      </x:c>
      <x:c r="H89" s="40" t="n">
        <x:v>90</x:v>
      </x:c>
      <x:c r="I89" s="22" t="str">
        <x:v>Mayor es mejor</x:v>
      </x:c>
      <x:c r="J89" s="40" t="n">
        <x:v>18</x:v>
      </x:c>
      <x:c r="K89" s="40" t="n">
        <x:v>20</x:v>
      </x:c>
      <x:c r="L89" s="40" t="n">
        <x:v>100</x:v>
      </x:c>
      <x:c r="M89" s="40" t="n">
        <x:f>IF(OR(J89="",K89="",K89=0),"",J89/K89*L89)</x:f>
        <x:v>90</x:v>
      </x:c>
      <x:c r="N89" s="22" t="str">
        <x:f>IF(M89="","",IF(I89="Mayor es mejor",IF(M89&gt;=H89,"En meta",IF(M89&gt;=H89*0.9,"Alerta","Crítico")),IF(M89&lt;=H89,"En meta",IF(M89&lt;=H89*1.1,"Alerta","Crítico"))))</x:f>
        <x:v>En meta</x:v>
      </x:c>
      <x:c r="O89" s="22" t="str">
        <x:v>%</x:v>
      </x:c>
      <x:c r="P89" s="22" t="str">
        <x:v>Compras / Líder SG-SST</x:v>
      </x:c>
      <x:c r="Q89" s="22" t="str">
        <x:v>Gestión de proveedores y contratistas</x:v>
      </x:c>
      <x:c r="R89" s="22" t="str"/>
    </x:row>
    <x:row r="90">
      <x:c r="A90" s="46" t="n">
        <x:v>45107</x:v>
      </x:c>
      <x:c r="B90" s="22" t="n">
        <x:v>2023</x:v>
      </x:c>
      <x:c r="C90" s="22" t="str">
        <x:v>Junio</x:v>
      </x:c>
      <x:c r="D90" s="22" t="str">
        <x:v>P01</x:v>
      </x:c>
      <x:c r="E90" s="22" t="str">
        <x:v>% ejecución del plan anual de trabajo SG-SST</x:v>
      </x:c>
      <x:c r="F90" s="22" t="str">
        <x:v>Proceso</x:v>
      </x:c>
      <x:c r="G90" s="22" t="str">
        <x:v>Mensual</x:v>
      </x:c>
      <x:c r="H90" s="40" t="n">
        <x:v>90</x:v>
      </x:c>
      <x:c r="I90" s="22" t="str">
        <x:v>Mayor es mejor</x:v>
      </x:c>
      <x:c r="J90" s="40" t="n">
        <x:v>9</x:v>
      </x:c>
      <x:c r="K90" s="40" t="n">
        <x:v>10</x:v>
      </x:c>
      <x:c r="L90" s="40" t="n">
        <x:v>100</x:v>
      </x:c>
      <x:c r="M90" s="40" t="n">
        <x:f>IF(OR(J90="",K90="",K90=0),"",J90/K90*L90)</x:f>
        <x:v>90</x:v>
      </x:c>
      <x:c r="N90" s="22" t="str">
        <x:f>IF(M90="","",IF(I90="Mayor es mejor",IF(M90&gt;=H90,"En meta",IF(M90&gt;=H90*0.9,"Alerta","Crítico")),IF(M90&lt;=H90,"En meta",IF(M90&lt;=H90*1.1,"Alerta","Crítico"))))</x:f>
        <x:v>En meta</x:v>
      </x:c>
      <x:c r="O90" s="22" t="str">
        <x:v>%</x:v>
      </x:c>
      <x:c r="P90" s="22" t="str">
        <x:v>Líder SG-SST</x:v>
      </x:c>
      <x:c r="Q90" s="22" t="str">
        <x:v>Plan anual de trabajo PHVA</x:v>
      </x:c>
      <x:c r="R90" s="22" t="str"/>
    </x:row>
    <x:row r="91">
      <x:c r="A91" s="46" t="n">
        <x:v>45107</x:v>
      </x:c>
      <x:c r="B91" s="22" t="n">
        <x:v>2023</x:v>
      </x:c>
      <x:c r="C91" s="22" t="str">
        <x:v>Junio</x:v>
      </x:c>
      <x:c r="D91" s="22" t="str">
        <x:v>P02</x:v>
      </x:c>
      <x:c r="E91" s="22" t="str">
        <x:v>% investigaciones de accidentes realizadas oportunamente</x:v>
      </x:c>
      <x:c r="F91" s="22" t="str">
        <x:v>Proceso</x:v>
      </x:c>
      <x:c r="G91" s="22" t="str">
        <x:v>Mensual</x:v>
      </x:c>
      <x:c r="H91" s="40" t="n">
        <x:v>95</x:v>
      </x:c>
      <x:c r="I91" s="22" t="str">
        <x:v>Mayor es mejor</x:v>
      </x:c>
      <x:c r="J91" s="40" t="n">
        <x:v>1</x:v>
      </x:c>
      <x:c r="K91" s="40" t="n">
        <x:v>1</x:v>
      </x:c>
      <x:c r="L91" s="40" t="n">
        <x:v>100</x:v>
      </x:c>
      <x:c r="M91" s="40" t="n">
        <x:f>IF(OR(J91="",K91="",K91=0),"",J91/K91*L91)</x:f>
        <x:v>100</x:v>
      </x:c>
      <x:c r="N91" s="22" t="str">
        <x:f>IF(M91="","",IF(I91="Mayor es mejor",IF(M91&gt;=H91,"En meta",IF(M91&gt;=H91*0.9,"Alerta","Crítico")),IF(M91&lt;=H91,"En meta",IF(M91&lt;=H91*1.1,"Alerta","Crítico"))))</x:f>
        <x:v>En meta</x:v>
      </x:c>
      <x:c r="O91" s="22" t="str">
        <x:v>%</x:v>
      </x:c>
      <x:c r="P91" s="22" t="str">
        <x:v>Líder SG-SST / COPASST</x:v>
      </x:c>
      <x:c r="Q91" s="22" t="str">
        <x:v>Matriz de accidentalidad</x:v>
      </x:c>
      <x:c r="R91" s="22" t="str"/>
    </x:row>
    <x:row r="92">
      <x:c r="A92" s="46" t="n">
        <x:v>45107</x:v>
      </x:c>
      <x:c r="B92" s="22" t="n">
        <x:v>2023</x:v>
      </x:c>
      <x:c r="C92" s="22" t="str">
        <x:v>Junio</x:v>
      </x:c>
      <x:c r="D92" s="22" t="str">
        <x:v>P03</x:v>
      </x:c>
      <x:c r="E92" s="22" t="str">
        <x:v>% cierre oportuno de acciones correctivas, preventivas y de mejora</x:v>
      </x:c>
      <x:c r="F92" s="22" t="str">
        <x:v>Proceso</x:v>
      </x:c>
      <x:c r="G92" s="22" t="str">
        <x:v>Mensual</x:v>
      </x:c>
      <x:c r="H92" s="40" t="n">
        <x:v>90</x:v>
      </x:c>
      <x:c r="I92" s="22" t="str">
        <x:v>Mayor es mejor</x:v>
      </x:c>
      <x:c r="J92" s="40" t="n">
        <x:v>9</x:v>
      </x:c>
      <x:c r="K92" s="40" t="n">
        <x:v>11</x:v>
      </x:c>
      <x:c r="L92" s="40" t="n">
        <x:v>100</x:v>
      </x:c>
      <x:c r="M92" s="40" t="n">
        <x:f>IF(OR(J92="",K92="",K92=0),"",J92/K92*L92)</x:f>
        <x:v>81.81818181818183</x:v>
      </x:c>
      <x:c r="N92" s="22" t="str">
        <x:f>IF(M92="","",IF(I92="Mayor es mejor",IF(M92&gt;=H92,"En meta",IF(M92&gt;=H92*0.9,"Alerta","Crítico")),IF(M92&lt;=H92,"En meta",IF(M92&lt;=H92*1.1,"Alerta","Crítico"))))</x:f>
        <x:v>Alerta</x:v>
      </x:c>
      <x:c r="O92" s="22" t="str">
        <x:v>%</x:v>
      </x:c>
      <x:c r="P92" s="22" t="str">
        <x:v>Líder SG-SST / Responsables de proceso</x:v>
      </x:c>
      <x:c r="Q92" s="22" t="str">
        <x:v>Matriz APCM</x:v>
      </x:c>
      <x:c r="R92" s="22" t="str"/>
    </x:row>
    <x:row r="93">
      <x:c r="A93" s="46" t="n">
        <x:v>45107</x:v>
      </x:c>
      <x:c r="B93" s="22" t="n">
        <x:v>2023</x:v>
      </x:c>
      <x:c r="C93" s="22" t="str">
        <x:v>Junio</x:v>
      </x:c>
      <x:c r="D93" s="22" t="str">
        <x:v>P04</x:v>
      </x:c>
      <x:c r="E93" s="22" t="str">
        <x:v>% inspecciones de seguridad ejecutadas</x:v>
      </x:c>
      <x:c r="F93" s="22" t="str">
        <x:v>Proceso</x:v>
      </x:c>
      <x:c r="G93" s="22" t="str">
        <x:v>Mensual</x:v>
      </x:c>
      <x:c r="H93" s="40" t="n">
        <x:v>90</x:v>
      </x:c>
      <x:c r="I93" s="22" t="str">
        <x:v>Mayor es mejor</x:v>
      </x:c>
      <x:c r="J93" s="40" t="n">
        <x:v>9</x:v>
      </x:c>
      <x:c r="K93" s="40" t="n">
        <x:v>10</x:v>
      </x:c>
      <x:c r="L93" s="40" t="n">
        <x:v>100</x:v>
      </x:c>
      <x:c r="M93" s="40" t="n">
        <x:f>IF(OR(J93="",K93="",K93=0),"",J93/K93*L93)</x:f>
        <x:v>90</x:v>
      </x:c>
      <x:c r="N93" s="22" t="str">
        <x:f>IF(M93="","",IF(I93="Mayor es mejor",IF(M93&gt;=H93,"En meta",IF(M93&gt;=H93*0.9,"Alerta","Crítico")),IF(M93&lt;=H93,"En meta",IF(M93&lt;=H93*1.1,"Alerta","Crítico"))))</x:f>
        <x:v>En meta</x:v>
      </x:c>
      <x:c r="O93" s="22" t="str">
        <x:v>%</x:v>
      </x:c>
      <x:c r="P93" s="22" t="str">
        <x:v>Líder SG-SST / Supervisores</x:v>
      </x:c>
      <x:c r="Q93" s="22" t="str">
        <x:v>Programa de inspecciones</x:v>
      </x:c>
      <x:c r="R93" s="22" t="str"/>
    </x:row>
    <x:row r="94">
      <x:c r="A94" s="46" t="n">
        <x:v>45107</x:v>
      </x:c>
      <x:c r="B94" s="22" t="n">
        <x:v>2023</x:v>
      </x:c>
      <x:c r="C94" s="22" t="str">
        <x:v>Junio</x:v>
      </x:c>
      <x:c r="D94" s="22" t="str">
        <x:v>P05</x:v>
      </x:c>
      <x:c r="E94" s="22" t="str">
        <x:v>% mantenimientos preventivos ejecutados</x:v>
      </x:c>
      <x:c r="F94" s="22" t="str">
        <x:v>Proceso</x:v>
      </x:c>
      <x:c r="G94" s="22" t="str">
        <x:v>Mensual</x:v>
      </x:c>
      <x:c r="H94" s="40" t="n">
        <x:v>90</x:v>
      </x:c>
      <x:c r="I94" s="22" t="str">
        <x:v>Mayor es mejor</x:v>
      </x:c>
      <x:c r="J94" s="40" t="n">
        <x:v>13</x:v>
      </x:c>
      <x:c r="K94" s="40" t="n">
        <x:v>14</x:v>
      </x:c>
      <x:c r="L94" s="40" t="n">
        <x:v>100</x:v>
      </x:c>
      <x:c r="M94" s="40" t="n">
        <x:f>IF(OR(J94="",K94="",K94=0),"",J94/K94*L94)</x:f>
        <x:v>92.85714285714286</x:v>
      </x:c>
      <x:c r="N94" s="22" t="str">
        <x:f>IF(M94="","",IF(I94="Mayor es mejor",IF(M94&gt;=H94,"En meta",IF(M94&gt;=H94*0.9,"Alerta","Crítico")),IF(M94&lt;=H94,"En meta",IF(M94&lt;=H94*1.1,"Alerta","Crítico"))))</x:f>
        <x:v>En meta</x:v>
      </x:c>
      <x:c r="O94" s="22" t="str">
        <x:v>%</x:v>
      </x:c>
      <x:c r="P94" s="22" t="str">
        <x:v>Mantenimiento / Líder SG-SST</x:v>
      </x:c>
      <x:c r="Q94" s="22" t="str">
        <x:v>Programa de mantenimiento preventivo</x:v>
      </x:c>
      <x:c r="R94" s="22" t="str"/>
    </x:row>
    <x:row r="95">
      <x:c r="A95" s="46" t="n">
        <x:v>45107</x:v>
      </x:c>
      <x:c r="B95" s="22" t="n">
        <x:v>2023</x:v>
      </x:c>
      <x:c r="C95" s="22" t="str">
        <x:v>Junio</x:v>
      </x:c>
      <x:c r="D95" s="22" t="str">
        <x:v>R01</x:v>
      </x:c>
      <x:c r="E95" s="22" t="str">
        <x:v>Índice de frecuencia de accidentalidad (IF)</x:v>
      </x:c>
      <x:c r="F95" s="22" t="str">
        <x:v>Resultado</x:v>
      </x:c>
      <x:c r="G95" s="22" t="str">
        <x:v>Mensual</x:v>
      </x:c>
      <x:c r="H95" s="40" t="n">
        <x:v>3.5</x:v>
      </x:c>
      <x:c r="I95" s="22" t="str">
        <x:v>Menor es mejor</x:v>
      </x:c>
      <x:c r="J95" s="40" t="n">
        <x:v>1</x:v>
      </x:c>
      <x:c r="K95" s="40" t="n">
        <x:v>50809</x:v>
      </x:c>
      <x:c r="L95" s="40" t="n">
        <x:v>200000</x:v>
      </x:c>
      <x:c r="M95" s="40" t="n">
        <x:f>IF(OR(J95="",K95="",K95=0),"",J95/K95*L95)</x:f>
        <x:v>3.936310496171938</x:v>
      </x:c>
      <x:c r="N95" s="22" t="str">
        <x:f>IF(M95="","",IF(I95="Mayor es mejor",IF(M95&gt;=H95,"En meta",IF(M95&gt;=H95*0.9,"Alerta","Crítico")),IF(M95&lt;=H95,"En meta",IF(M95&lt;=H95*1.1,"Alerta","Crítico"))))</x:f>
        <x:v>Crítico</x:v>
      </x:c>
      <x:c r="O95" s="22" t="str">
        <x:v>Índice</x:v>
      </x:c>
      <x:c r="P95" s="22" t="str">
        <x:v>Líder SG-SST</x:v>
      </x:c>
      <x:c r="Q95" s="22" t="str">
        <x:v>Matriz de accidentalidad / nómina</x:v>
      </x:c>
      <x:c r="R95" s="22" t="str"/>
    </x:row>
    <x:row r="96">
      <x:c r="A96" s="46" t="n">
        <x:v>45107</x:v>
      </x:c>
      <x:c r="B96" s="22" t="n">
        <x:v>2023</x:v>
      </x:c>
      <x:c r="C96" s="22" t="str">
        <x:v>Junio</x:v>
      </x:c>
      <x:c r="D96" s="22" t="str">
        <x:v>R02</x:v>
      </x:c>
      <x:c r="E96" s="22" t="str">
        <x:v>Índice de severidad de accidentalidad (IS)</x:v>
      </x:c>
      <x:c r="F96" s="22" t="str">
        <x:v>Resultado</x:v>
      </x:c>
      <x:c r="G96" s="22" t="str">
        <x:v>Mensual</x:v>
      </x:c>
      <x:c r="H96" s="40" t="n">
        <x:v>80</x:v>
      </x:c>
      <x:c r="I96" s="22" t="str">
        <x:v>Menor es mejor</x:v>
      </x:c>
      <x:c r="J96" s="40" t="n">
        <x:v>20</x:v>
      </x:c>
      <x:c r="K96" s="40" t="n">
        <x:v>50809</x:v>
      </x:c>
      <x:c r="L96" s="40" t="n">
        <x:v>200000</x:v>
      </x:c>
      <x:c r="M96" s="40" t="n">
        <x:f>IF(OR(J96="",K96="",K96=0),"",J96/K96*L96)</x:f>
        <x:v>78.72620992343876</x:v>
      </x:c>
      <x:c r="N96" s="22" t="str">
        <x:f>IF(M96="","",IF(I96="Mayor es mejor",IF(M96&gt;=H96,"En meta",IF(M96&gt;=H96*0.9,"Alerta","Crítico")),IF(M96&lt;=H96,"En meta",IF(M96&lt;=H96*1.1,"Alerta","Crítico"))))</x:f>
        <x:v>En meta</x:v>
      </x:c>
      <x:c r="O96" s="22" t="str">
        <x:v>Índice</x:v>
      </x:c>
      <x:c r="P96" s="22" t="str">
        <x:v>Líder SG-SST</x:v>
      </x:c>
      <x:c r="Q96" s="22" t="str">
        <x:v>Matriz de accidentalidad / nómina</x:v>
      </x:c>
      <x:c r="R96" s="22" t="str"/>
    </x:row>
    <x:row r="97">
      <x:c r="A97" s="46" t="n">
        <x:v>45107</x:v>
      </x:c>
      <x:c r="B97" s="22" t="n">
        <x:v>2023</x:v>
      </x:c>
      <x:c r="C97" s="22" t="str">
        <x:v>Junio</x:v>
      </x:c>
      <x:c r="D97" s="22" t="str">
        <x:v>R03</x:v>
      </x:c>
      <x:c r="E97" s="22" t="str">
        <x:v>Índice de lesión incapacitante (ILI)</x:v>
      </x:c>
      <x:c r="F97" s="22" t="str">
        <x:v>Resultado</x:v>
      </x:c>
      <x:c r="G97" s="22" t="str">
        <x:v>Mensual</x:v>
      </x:c>
      <x:c r="H97" s="40" t="n">
        <x:v>0.25</x:v>
      </x:c>
      <x:c r="I97" s="22" t="str">
        <x:v>Menor es mejor</x:v>
      </x:c>
      <x:c r="J97" s="40" t="n">
        <x:v>309.8908</x:v>
      </x:c>
      <x:c r="K97" s="40" t="n">
        <x:v>1000</x:v>
      </x:c>
      <x:c r="L97" s="40" t="n">
        <x:v>1</x:v>
      </x:c>
      <x:c r="M97" s="40" t="n">
        <x:f>IF(OR(J97="",K97="",K97=0),"",J97/K97*L97)</x:f>
        <x:v>0.3098908</x:v>
      </x:c>
      <x:c r="N97" s="22" t="str">
        <x:f>IF(M97="","",IF(I97="Mayor es mejor",IF(M97&gt;=H97,"En meta",IF(M97&gt;=H97*0.9,"Alerta","Crítico")),IF(M97&lt;=H97,"En meta",IF(M97&lt;=H97*1.1,"Alerta","Crítico"))))</x:f>
        <x:v>Crítico</x:v>
      </x:c>
      <x:c r="O97" s="22" t="str">
        <x:v>Índice</x:v>
      </x:c>
      <x:c r="P97" s="22" t="str">
        <x:v>Líder SG-SST</x:v>
      </x:c>
      <x:c r="Q97" s="22" t="str">
        <x:v>Indicadores derivados de accidentalidad</x:v>
      </x:c>
      <x:c r="R97" s="22" t="str">
        <x:v>ILI calculado sobre IF e IS del periodo.</x:v>
      </x:c>
    </x:row>
    <x:row r="98">
      <x:c r="A98" s="46" t="n">
        <x:v>45107</x:v>
      </x:c>
      <x:c r="B98" s="22" t="n">
        <x:v>2023</x:v>
      </x:c>
      <x:c r="C98" s="22" t="str">
        <x:v>Junio</x:v>
      </x:c>
      <x:c r="D98" s="22" t="str">
        <x:v>R04</x:v>
      </x:c>
      <x:c r="E98" s="22" t="str">
        <x:v>Tasa de accidentalidad</x:v>
      </x:c>
      <x:c r="F98" s="22" t="str">
        <x:v>Resultado</x:v>
      </x:c>
      <x:c r="G98" s="22" t="str">
        <x:v>Mensual</x:v>
      </x:c>
      <x:c r="H98" s="40" t="n">
        <x:v>0.6</x:v>
      </x:c>
      <x:c r="I98" s="22" t="str">
        <x:v>Menor es mejor</x:v>
      </x:c>
      <x:c r="J98" s="40" t="n">
        <x:v>4.11</x:v>
      </x:c>
      <x:c r="K98" s="40" t="n">
        <x:v>211</x:v>
      </x:c>
      <x:c r="L98" s="40" t="n">
        <x:v>100</x:v>
      </x:c>
      <x:c r="M98" s="40" t="n">
        <x:f>IF(OR(J98="",K98="",K98=0),"",J98/K98*L98)</x:f>
        <x:v>1.9478672985781993</x:v>
      </x:c>
      <x:c r="N98" s="22" t="str">
        <x:f>IF(M98="","",IF(I98="Mayor es mejor",IF(M98&gt;=H98,"En meta",IF(M98&gt;=H98*0.9,"Alerta","Crítico")),IF(M98&lt;=H98,"En meta",IF(M98&lt;=H98*1.1,"Alerta","Crítico"))))</x:f>
        <x:v>Crítico</x:v>
      </x:c>
      <x:c r="O98" s="22" t="str">
        <x:v>%</x:v>
      </x:c>
      <x:c r="P98" s="22" t="str">
        <x:v>Líder SG-SST</x:v>
      </x:c>
      <x:c r="Q98" s="22" t="str">
        <x:v>Matriz de accidentalidad / nómina</x:v>
      </x:c>
      <x:c r="R98" s="22" t="str"/>
    </x:row>
    <x:row r="99">
      <x:c r="A99" s="46" t="n">
        <x:v>45107</x:v>
      </x:c>
      <x:c r="B99" s="22" t="n">
        <x:v>2023</x:v>
      </x:c>
      <x:c r="C99" s="22" t="str">
        <x:v>Junio</x:v>
      </x:c>
      <x:c r="D99" s="22" t="str">
        <x:v>R05</x:v>
      </x:c>
      <x:c r="E99" s="22" t="str">
        <x:v>Prevalencia de enfermedad laboral</x:v>
      </x:c>
      <x:c r="F99" s="22" t="str">
        <x:v>Resultado</x:v>
      </x:c>
      <x:c r="G99" s="22" t="str">
        <x:v>Mensual</x:v>
      </x:c>
      <x:c r="H99" s="40" t="n">
        <x:v>0.3</x:v>
      </x:c>
      <x:c r="I99" s="22" t="str">
        <x:v>Menor es mejor</x:v>
      </x:c>
      <x:c r="J99" s="40" t="n">
        <x:v>0.02</x:v>
      </x:c>
      <x:c r="K99" s="40" t="n">
        <x:v>211</x:v>
      </x:c>
      <x:c r="L99" s="40" t="n">
        <x:v>100</x:v>
      </x:c>
      <x:c r="M99" s="40" t="n">
        <x:f>IF(OR(J99="",K99="",K99=0),"",J99/K99*L99)</x:f>
        <x:v>0.00947867298578199</x:v>
      </x:c>
      <x:c r="N99" s="22" t="str">
        <x:f>IF(M99="","",IF(I99="Mayor es mejor",IF(M99&gt;=H99,"En meta",IF(M99&gt;=H99*0.9,"Alerta","Crítico")),IF(M99&lt;=H99,"En meta",IF(M99&lt;=H99*1.1,"Alerta","Crítico"))))</x:f>
        <x:v>En meta</x:v>
      </x:c>
      <x:c r="O99" s="22" t="str">
        <x:v>%</x:v>
      </x:c>
      <x:c r="P99" s="22" t="str">
        <x:v>Líder SG-SST / Medicina laboral</x:v>
      </x:c>
      <x:c r="Q99" s="22" t="str">
        <x:v>Matriz de enfermedad laboral / nómina</x:v>
      </x:c>
      <x:c r="R99" s="22" t="str"/>
    </x:row>
    <x:row r="100">
      <x:c r="A100" s="46" t="n">
        <x:v>45107</x:v>
      </x:c>
      <x:c r="B100" s="22" t="n">
        <x:v>2023</x:v>
      </x:c>
      <x:c r="C100" s="22" t="str">
        <x:v>Junio</x:v>
      </x:c>
      <x:c r="D100" s="22" t="str">
        <x:v>R06</x:v>
      </x:c>
      <x:c r="E100" s="22" t="str">
        <x:v>% cumplimiento de estándares mínimos Res. 0312 de 2019</x:v>
      </x:c>
      <x:c r="F100" s="22" t="str">
        <x:v>Resultado</x:v>
      </x:c>
      <x:c r="G100" s="22" t="str">
        <x:v>Mensual</x:v>
      </x:c>
      <x:c r="H100" s="40" t="n">
        <x:v>95</x:v>
      </x:c>
      <x:c r="I100" s="22" t="str">
        <x:v>Mayor es mejor</x:v>
      </x:c>
      <x:c r="J100" s="40" t="n">
        <x:v>97</x:v>
      </x:c>
      <x:c r="K100" s="40" t="n">
        <x:v>100</x:v>
      </x:c>
      <x:c r="L100" s="40" t="n">
        <x:v>100</x:v>
      </x:c>
      <x:c r="M100" s="40" t="n">
        <x:f>IF(OR(J100="",K100="",K100=0),"",J100/K100*L100)</x:f>
        <x:v>97</x:v>
      </x:c>
      <x:c r="N100" s="22" t="str">
        <x:f>IF(M100="","",IF(I100="Mayor es mejor",IF(M100&gt;=H100,"En meta",IF(M100&gt;=H100*0.9,"Alerta","Crítico")),IF(M100&lt;=H100,"En meta",IF(M100&lt;=H100*1.1,"Alerta","Crítico"))))</x:f>
        <x:v>En meta</x:v>
      </x:c>
      <x:c r="O100" s="22" t="str">
        <x:v>%</x:v>
      </x:c>
      <x:c r="P100" s="22" t="str">
        <x:v>Líder SG-SST / Alta Dirección</x:v>
      </x:c>
      <x:c r="Q100" s="22" t="str">
        <x:v>Autodiagnóstico Res. 0312 de 2019</x:v>
      </x:c>
      <x:c r="R100" s="22" t="str"/>
    </x:row>
    <x:row r="101">
      <x:c r="A101" s="46" t="n">
        <x:v>45138</x:v>
      </x:c>
      <x:c r="B101" s="22" t="n">
        <x:v>2023</x:v>
      </x:c>
      <x:c r="C101" s="22" t="str">
        <x:v>Julio</x:v>
      </x:c>
      <x:c r="D101" s="22" t="str">
        <x:v>E01</x:v>
      </x:c>
      <x:c r="E101" s="22" t="str">
        <x:v>% ejecución presupuestal del SG-SST</x:v>
      </x:c>
      <x:c r="F101" s="22" t="str">
        <x:v>Estructura</x:v>
      </x:c>
      <x:c r="G101" s="22" t="str">
        <x:v>Mensual</x:v>
      </x:c>
      <x:c r="H101" s="40" t="n">
        <x:v>95</x:v>
      </x:c>
      <x:c r="I101" s="22" t="str">
        <x:v>Mayor es mejor</x:v>
      </x:c>
      <x:c r="J101" s="40" t="n">
        <x:v>6899981</x:v>
      </x:c>
      <x:c r="K101" s="40" t="n">
        <x:v>7500000</x:v>
      </x:c>
      <x:c r="L101" s="40" t="n">
        <x:v>100</x:v>
      </x:c>
      <x:c r="M101" s="40" t="n">
        <x:f>IF(OR(J101="",K101="",K101=0),"",J101/K101*L101)</x:f>
        <x:v>91.99974666666667</x:v>
      </x:c>
      <x:c r="N101" s="22" t="str">
        <x:f>IF(M101="","",IF(I101="Mayor es mejor",IF(M101&gt;=H101,"En meta",IF(M101&gt;=H101*0.9,"Alerta","Crítico")),IF(M101&lt;=H101,"En meta",IF(M101&lt;=H101*1.1,"Alerta","Crítico"))))</x:f>
        <x:v>Alerta</x:v>
      </x:c>
      <x:c r="O101" s="22" t="str">
        <x:v>%</x:v>
      </x:c>
      <x:c r="P101" s="22" t="str">
        <x:v>Líder SG-SST / Dirección Administrativa</x:v>
      </x:c>
      <x:c r="Q101" s="22" t="str">
        <x:v>Presupuesto SST</x:v>
      </x:c>
      <x:c r="R101" s="22" t="str"/>
    </x:row>
    <x:row r="102">
      <x:c r="A102" s="46" t="n">
        <x:v>45138</x:v>
      </x:c>
      <x:c r="B102" s="22" t="n">
        <x:v>2023</x:v>
      </x:c>
      <x:c r="C102" s="22" t="str">
        <x:v>Julio</x:v>
      </x:c>
      <x:c r="D102" s="22" t="str">
        <x:v>E02</x:v>
      </x:c>
      <x:c r="E102" s="22" t="str">
        <x:v>% cobertura del plan de formación y capacitación SG-SST</x:v>
      </x:c>
      <x:c r="F102" s="22" t="str">
        <x:v>Estructura</x:v>
      </x:c>
      <x:c r="G102" s="22" t="str">
        <x:v>Mensual</x:v>
      </x:c>
      <x:c r="H102" s="40" t="n">
        <x:v>90</x:v>
      </x:c>
      <x:c r="I102" s="22" t="str">
        <x:v>Mayor es mejor</x:v>
      </x:c>
      <x:c r="J102" s="40" t="n">
        <x:v>21</x:v>
      </x:c>
      <x:c r="K102" s="40" t="n">
        <x:v>24</x:v>
      </x:c>
      <x:c r="L102" s="40" t="n">
        <x:v>100</x:v>
      </x:c>
      <x:c r="M102" s="40" t="n">
        <x:f>IF(OR(J102="",K102="",K102=0),"",J102/K102*L102)</x:f>
        <x:v>87.5</x:v>
      </x:c>
      <x:c r="N102" s="22" t="str">
        <x:f>IF(M102="","",IF(I102="Mayor es mejor",IF(M102&gt;=H102,"En meta",IF(M102&gt;=H102*0.9,"Alerta","Crítico")),IF(M102&lt;=H102,"En meta",IF(M102&lt;=H102*1.1,"Alerta","Crítico"))))</x:f>
        <x:v>Alerta</x:v>
      </x:c>
      <x:c r="O102" s="22" t="str">
        <x:v>%</x:v>
      </x:c>
      <x:c r="P102" s="22" t="str">
        <x:v>Líder SG-SST / Talento Humano</x:v>
      </x:c>
      <x:c r="Q102" s="22" t="str">
        <x:v>Plan de formación y capacitaciones</x:v>
      </x:c>
      <x:c r="R102" s="22" t="str"/>
    </x:row>
    <x:row r="103">
      <x:c r="A103" s="46" t="n">
        <x:v>45138</x:v>
      </x:c>
      <x:c r="B103" s="22" t="n">
        <x:v>2023</x:v>
      </x:c>
      <x:c r="C103" s="22" t="str">
        <x:v>Julio</x:v>
      </x:c>
      <x:c r="D103" s="22" t="str">
        <x:v>E03</x:v>
      </x:c>
      <x:c r="E103" s="22" t="str">
        <x:v>% trabajadores con exámenes médicos ocupacionales vigentes</x:v>
      </x:c>
      <x:c r="F103" s="22" t="str">
        <x:v>Estructura</x:v>
      </x:c>
      <x:c r="G103" s="22" t="str">
        <x:v>Mensual</x:v>
      </x:c>
      <x:c r="H103" s="40" t="n">
        <x:v>95</x:v>
      </x:c>
      <x:c r="I103" s="22" t="str">
        <x:v>Mayor es mejor</x:v>
      </x:c>
      <x:c r="J103" s="40" t="n">
        <x:v>202</x:v>
      </x:c>
      <x:c r="K103" s="40" t="n">
        <x:v>213</x:v>
      </x:c>
      <x:c r="L103" s="40" t="n">
        <x:v>100</x:v>
      </x:c>
      <x:c r="M103" s="40" t="n">
        <x:f>IF(OR(J103="",K103="",K103=0),"",J103/K103*L103)</x:f>
        <x:v>94.83568075117371</x:v>
      </x:c>
      <x:c r="N103" s="22" t="str">
        <x:f>IF(M103="","",IF(I103="Mayor es mejor",IF(M103&gt;=H103,"En meta",IF(M103&gt;=H103*0.9,"Alerta","Crítico")),IF(M103&lt;=H103,"En meta",IF(M103&lt;=H103*1.1,"Alerta","Crítico"))))</x:f>
        <x:v>Alerta</x:v>
      </x:c>
      <x:c r="O103" s="22" t="str">
        <x:v>%</x:v>
      </x:c>
      <x:c r="P103" s="22" t="str">
        <x:v>Líder SG-SST / Talento Humano</x:v>
      </x:c>
      <x:c r="Q103" s="22" t="str">
        <x:v>Matriz de seguimiento EMO</x:v>
      </x:c>
      <x:c r="R103" s="22" t="str"/>
    </x:row>
    <x:row r="104">
      <x:c r="A104" s="46" t="n">
        <x:v>45138</x:v>
      </x:c>
      <x:c r="B104" s="22" t="n">
        <x:v>2023</x:v>
      </x:c>
      <x:c r="C104" s="22" t="str">
        <x:v>Julio</x:v>
      </x:c>
      <x:c r="D104" s="22" t="str">
        <x:v>E04</x:v>
      </x:c>
      <x:c r="E104" s="22" t="str">
        <x:v>% cumplimiento de requisitos legales aplicables en SST</x:v>
      </x:c>
      <x:c r="F104" s="22" t="str">
        <x:v>Estructura</x:v>
      </x:c>
      <x:c r="G104" s="22" t="str">
        <x:v>Mensual</x:v>
      </x:c>
      <x:c r="H104" s="40" t="n">
        <x:v>95</x:v>
      </x:c>
      <x:c r="I104" s="22" t="str">
        <x:v>Mayor es mejor</x:v>
      </x:c>
      <x:c r="J104" s="40" t="n">
        <x:v>56</x:v>
      </x:c>
      <x:c r="K104" s="40" t="n">
        <x:v>60</x:v>
      </x:c>
      <x:c r="L104" s="40" t="n">
        <x:v>100</x:v>
      </x:c>
      <x:c r="M104" s="40" t="n">
        <x:f>IF(OR(J104="",K104="",K104=0),"",J104/K104*L104)</x:f>
        <x:v>93.33333333333333</x:v>
      </x:c>
      <x:c r="N104" s="22" t="str">
        <x:f>IF(M104="","",IF(I104="Mayor es mejor",IF(M104&gt;=H104,"En meta",IF(M104&gt;=H104*0.9,"Alerta","Crítico")),IF(M104&lt;=H104,"En meta",IF(M104&lt;=H104*1.1,"Alerta","Crítico"))))</x:f>
        <x:v>Alerta</x:v>
      </x:c>
      <x:c r="O104" s="22" t="str">
        <x:v>%</x:v>
      </x:c>
      <x:c r="P104" s="22" t="str">
        <x:v>Líder SG-SST / Jurídica</x:v>
      </x:c>
      <x:c r="Q104" s="22" t="str">
        <x:v>Matriz legal SGRL</x:v>
      </x:c>
      <x:c r="R104" s="22" t="str"/>
    </x:row>
    <x:row r="105">
      <x:c r="A105" s="46" t="n">
        <x:v>45138</x:v>
      </x:c>
      <x:c r="B105" s="22" t="n">
        <x:v>2023</x:v>
      </x:c>
      <x:c r="C105" s="22" t="str">
        <x:v>Julio</x:v>
      </x:c>
      <x:c r="D105" s="22" t="str">
        <x:v>E05</x:v>
      </x:c>
      <x:c r="E105" s="22" t="str">
        <x:v>% proveedores y contratistas aprobados en SST</x:v>
      </x:c>
      <x:c r="F105" s="22" t="str">
        <x:v>Estructura</x:v>
      </x:c>
      <x:c r="G105" s="22" t="str">
        <x:v>Mensual</x:v>
      </x:c>
      <x:c r="H105" s="40" t="n">
        <x:v>90</x:v>
      </x:c>
      <x:c r="I105" s="22" t="str">
        <x:v>Mayor es mejor</x:v>
      </x:c>
      <x:c r="J105" s="40" t="n">
        <x:v>18</x:v>
      </x:c>
      <x:c r="K105" s="40" t="n">
        <x:v>20</x:v>
      </x:c>
      <x:c r="L105" s="40" t="n">
        <x:v>100</x:v>
      </x:c>
      <x:c r="M105" s="40" t="n">
        <x:f>IF(OR(J105="",K105="",K105=0),"",J105/K105*L105)</x:f>
        <x:v>90</x:v>
      </x:c>
      <x:c r="N105" s="22" t="str">
        <x:f>IF(M105="","",IF(I105="Mayor es mejor",IF(M105&gt;=H105,"En meta",IF(M105&gt;=H105*0.9,"Alerta","Crítico")),IF(M105&lt;=H105,"En meta",IF(M105&lt;=H105*1.1,"Alerta","Crítico"))))</x:f>
        <x:v>En meta</x:v>
      </x:c>
      <x:c r="O105" s="22" t="str">
        <x:v>%</x:v>
      </x:c>
      <x:c r="P105" s="22" t="str">
        <x:v>Compras / Líder SG-SST</x:v>
      </x:c>
      <x:c r="Q105" s="22" t="str">
        <x:v>Gestión de proveedores y contratistas</x:v>
      </x:c>
      <x:c r="R105" s="22" t="str"/>
    </x:row>
    <x:row r="106">
      <x:c r="A106" s="46" t="n">
        <x:v>45138</x:v>
      </x:c>
      <x:c r="B106" s="22" t="n">
        <x:v>2023</x:v>
      </x:c>
      <x:c r="C106" s="22" t="str">
        <x:v>Julio</x:v>
      </x:c>
      <x:c r="D106" s="22" t="str">
        <x:v>P01</x:v>
      </x:c>
      <x:c r="E106" s="22" t="str">
        <x:v>% ejecución del plan anual de trabajo SG-SST</x:v>
      </x:c>
      <x:c r="F106" s="22" t="str">
        <x:v>Proceso</x:v>
      </x:c>
      <x:c r="G106" s="22" t="str">
        <x:v>Mensual</x:v>
      </x:c>
      <x:c r="H106" s="40" t="n">
        <x:v>90</x:v>
      </x:c>
      <x:c r="I106" s="22" t="str">
        <x:v>Mayor es mejor</x:v>
      </x:c>
      <x:c r="J106" s="40" t="n">
        <x:v>10</x:v>
      </x:c>
      <x:c r="K106" s="40" t="n">
        <x:v>12</x:v>
      </x:c>
      <x:c r="L106" s="40" t="n">
        <x:v>100</x:v>
      </x:c>
      <x:c r="M106" s="40" t="n">
        <x:f>IF(OR(J106="",K106="",K106=0),"",J106/K106*L106)</x:f>
        <x:v>83.33333333333334</x:v>
      </x:c>
      <x:c r="N106" s="22" t="str">
        <x:f>IF(M106="","",IF(I106="Mayor es mejor",IF(M106&gt;=H106,"En meta",IF(M106&gt;=H106*0.9,"Alerta","Crítico")),IF(M106&lt;=H106,"En meta",IF(M106&lt;=H106*1.1,"Alerta","Crítico"))))</x:f>
        <x:v>Alerta</x:v>
      </x:c>
      <x:c r="O106" s="22" t="str">
        <x:v>%</x:v>
      </x:c>
      <x:c r="P106" s="22" t="str">
        <x:v>Líder SG-SST</x:v>
      </x:c>
      <x:c r="Q106" s="22" t="str">
        <x:v>Plan anual de trabajo PHVA</x:v>
      </x:c>
      <x:c r="R106" s="22" t="str"/>
    </x:row>
    <x:row r="107">
      <x:c r="A107" s="46" t="n">
        <x:v>45138</x:v>
      </x:c>
      <x:c r="B107" s="22" t="n">
        <x:v>2023</x:v>
      </x:c>
      <x:c r="C107" s="22" t="str">
        <x:v>Julio</x:v>
      </x:c>
      <x:c r="D107" s="22" t="str">
        <x:v>P02</x:v>
      </x:c>
      <x:c r="E107" s="22" t="str">
        <x:v>% investigaciones de accidentes realizadas oportunamente</x:v>
      </x:c>
      <x:c r="F107" s="22" t="str">
        <x:v>Proceso</x:v>
      </x:c>
      <x:c r="G107" s="22" t="str">
        <x:v>Mensual</x:v>
      </x:c>
      <x:c r="H107" s="40" t="n">
        <x:v>95</x:v>
      </x:c>
      <x:c r="I107" s="22" t="str">
        <x:v>Mayor es mejor</x:v>
      </x:c>
      <x:c r="J107" s="40" t="n">
        <x:v>1</x:v>
      </x:c>
      <x:c r="K107" s="40" t="n">
        <x:v>1</x:v>
      </x:c>
      <x:c r="L107" s="40" t="n">
        <x:v>100</x:v>
      </x:c>
      <x:c r="M107" s="40" t="n">
        <x:f>IF(OR(J107="",K107="",K107=0),"",J107/K107*L107)</x:f>
        <x:v>100</x:v>
      </x:c>
      <x:c r="N107" s="22" t="str">
        <x:f>IF(M107="","",IF(I107="Mayor es mejor",IF(M107&gt;=H107,"En meta",IF(M107&gt;=H107*0.9,"Alerta","Crítico")),IF(M107&lt;=H107,"En meta",IF(M107&lt;=H107*1.1,"Alerta","Crítico"))))</x:f>
        <x:v>En meta</x:v>
      </x:c>
      <x:c r="O107" s="22" t="str">
        <x:v>%</x:v>
      </x:c>
      <x:c r="P107" s="22" t="str">
        <x:v>Líder SG-SST / COPASST</x:v>
      </x:c>
      <x:c r="Q107" s="22" t="str">
        <x:v>Matriz de accidentalidad</x:v>
      </x:c>
      <x:c r="R107" s="22" t="str"/>
    </x:row>
    <x:row r="108">
      <x:c r="A108" s="46" t="n">
        <x:v>45138</x:v>
      </x:c>
      <x:c r="B108" s="22" t="n">
        <x:v>2023</x:v>
      </x:c>
      <x:c r="C108" s="22" t="str">
        <x:v>Julio</x:v>
      </x:c>
      <x:c r="D108" s="22" t="str">
        <x:v>P03</x:v>
      </x:c>
      <x:c r="E108" s="22" t="str">
        <x:v>% cierre oportuno de acciones correctivas, preventivas y de mejora</x:v>
      </x:c>
      <x:c r="F108" s="22" t="str">
        <x:v>Proceso</x:v>
      </x:c>
      <x:c r="G108" s="22" t="str">
        <x:v>Mensual</x:v>
      </x:c>
      <x:c r="H108" s="40" t="n">
        <x:v>90</x:v>
      </x:c>
      <x:c r="I108" s="22" t="str">
        <x:v>Mayor es mejor</x:v>
      </x:c>
      <x:c r="J108" s="40" t="n">
        <x:v>10</x:v>
      </x:c>
      <x:c r="K108" s="40" t="n">
        <x:v>12</x:v>
      </x:c>
      <x:c r="L108" s="40" t="n">
        <x:v>100</x:v>
      </x:c>
      <x:c r="M108" s="40" t="n">
        <x:f>IF(OR(J108="",K108="",K108=0),"",J108/K108*L108)</x:f>
        <x:v>83.33333333333334</x:v>
      </x:c>
      <x:c r="N108" s="22" t="str">
        <x:f>IF(M108="","",IF(I108="Mayor es mejor",IF(M108&gt;=H108,"En meta",IF(M108&gt;=H108*0.9,"Alerta","Crítico")),IF(M108&lt;=H108,"En meta",IF(M108&lt;=H108*1.1,"Alerta","Crítico"))))</x:f>
        <x:v>Alerta</x:v>
      </x:c>
      <x:c r="O108" s="22" t="str">
        <x:v>%</x:v>
      </x:c>
      <x:c r="P108" s="22" t="str">
        <x:v>Líder SG-SST / Responsables de proceso</x:v>
      </x:c>
      <x:c r="Q108" s="22" t="str">
        <x:v>Matriz APCM</x:v>
      </x:c>
      <x:c r="R108" s="22" t="str"/>
    </x:row>
    <x:row r="109">
      <x:c r="A109" s="46" t="n">
        <x:v>45138</x:v>
      </x:c>
      <x:c r="B109" s="22" t="n">
        <x:v>2023</x:v>
      </x:c>
      <x:c r="C109" s="22" t="str">
        <x:v>Julio</x:v>
      </x:c>
      <x:c r="D109" s="22" t="str">
        <x:v>P04</x:v>
      </x:c>
      <x:c r="E109" s="22" t="str">
        <x:v>% inspecciones de seguridad ejecutadas</x:v>
      </x:c>
      <x:c r="F109" s="22" t="str">
        <x:v>Proceso</x:v>
      </x:c>
      <x:c r="G109" s="22" t="str">
        <x:v>Mensual</x:v>
      </x:c>
      <x:c r="H109" s="40" t="n">
        <x:v>90</x:v>
      </x:c>
      <x:c r="I109" s="22" t="str">
        <x:v>Mayor es mejor</x:v>
      </x:c>
      <x:c r="J109" s="40" t="n">
        <x:v>10</x:v>
      </x:c>
      <x:c r="K109" s="40" t="n">
        <x:v>11</x:v>
      </x:c>
      <x:c r="L109" s="40" t="n">
        <x:v>100</x:v>
      </x:c>
      <x:c r="M109" s="40" t="n">
        <x:f>IF(OR(J109="",K109="",K109=0),"",J109/K109*L109)</x:f>
        <x:v>90.9090909090909</x:v>
      </x:c>
      <x:c r="N109" s="22" t="str">
        <x:f>IF(M109="","",IF(I109="Mayor es mejor",IF(M109&gt;=H109,"En meta",IF(M109&gt;=H109*0.9,"Alerta","Crítico")),IF(M109&lt;=H109,"En meta",IF(M109&lt;=H109*1.1,"Alerta","Crítico"))))</x:f>
        <x:v>En meta</x:v>
      </x:c>
      <x:c r="O109" s="22" t="str">
        <x:v>%</x:v>
      </x:c>
      <x:c r="P109" s="22" t="str">
        <x:v>Líder SG-SST / Supervisores</x:v>
      </x:c>
      <x:c r="Q109" s="22" t="str">
        <x:v>Programa de inspecciones</x:v>
      </x:c>
      <x:c r="R109" s="22" t="str"/>
    </x:row>
    <x:row r="110">
      <x:c r="A110" s="46" t="n">
        <x:v>45138</x:v>
      </x:c>
      <x:c r="B110" s="22" t="n">
        <x:v>2023</x:v>
      </x:c>
      <x:c r="C110" s="22" t="str">
        <x:v>Julio</x:v>
      </x:c>
      <x:c r="D110" s="22" t="str">
        <x:v>P05</x:v>
      </x:c>
      <x:c r="E110" s="22" t="str">
        <x:v>% mantenimientos preventivos ejecutados</x:v>
      </x:c>
      <x:c r="F110" s="22" t="str">
        <x:v>Proceso</x:v>
      </x:c>
      <x:c r="G110" s="22" t="str">
        <x:v>Mensual</x:v>
      </x:c>
      <x:c r="H110" s="40" t="n">
        <x:v>90</x:v>
      </x:c>
      <x:c r="I110" s="22" t="str">
        <x:v>Mayor es mejor</x:v>
      </x:c>
      <x:c r="J110" s="40" t="n">
        <x:v>13</x:v>
      </x:c>
      <x:c r="K110" s="40" t="n">
        <x:v>15</x:v>
      </x:c>
      <x:c r="L110" s="40" t="n">
        <x:v>100</x:v>
      </x:c>
      <x:c r="M110" s="40" t="n">
        <x:f>IF(OR(J110="",K110="",K110=0),"",J110/K110*L110)</x:f>
        <x:v>86.66666666666667</x:v>
      </x:c>
      <x:c r="N110" s="22" t="str">
        <x:f>IF(M110="","",IF(I110="Mayor es mejor",IF(M110&gt;=H110,"En meta",IF(M110&gt;=H110*0.9,"Alerta","Crítico")),IF(M110&lt;=H110,"En meta",IF(M110&lt;=H110*1.1,"Alerta","Crítico"))))</x:f>
        <x:v>Alerta</x:v>
      </x:c>
      <x:c r="O110" s="22" t="str">
        <x:v>%</x:v>
      </x:c>
      <x:c r="P110" s="22" t="str">
        <x:v>Mantenimiento / Líder SG-SST</x:v>
      </x:c>
      <x:c r="Q110" s="22" t="str">
        <x:v>Programa de mantenimiento preventivo</x:v>
      </x:c>
      <x:c r="R110" s="22" t="str"/>
    </x:row>
    <x:row r="111">
      <x:c r="A111" s="46" t="n">
        <x:v>45138</x:v>
      </x:c>
      <x:c r="B111" s="22" t="n">
        <x:v>2023</x:v>
      </x:c>
      <x:c r="C111" s="22" t="str">
        <x:v>Julio</x:v>
      </x:c>
      <x:c r="D111" s="22" t="str">
        <x:v>R01</x:v>
      </x:c>
      <x:c r="E111" s="22" t="str">
        <x:v>Índice de frecuencia de accidentalidad (IF)</x:v>
      </x:c>
      <x:c r="F111" s="22" t="str">
        <x:v>Resultado</x:v>
      </x:c>
      <x:c r="G111" s="22" t="str">
        <x:v>Mensual</x:v>
      </x:c>
      <x:c r="H111" s="40" t="n">
        <x:v>3.5</x:v>
      </x:c>
      <x:c r="I111" s="22" t="str">
        <x:v>Menor es mejor</x:v>
      </x:c>
      <x:c r="J111" s="40" t="n">
        <x:v>1</x:v>
      </x:c>
      <x:c r="K111" s="40" t="n">
        <x:v>52065</x:v>
      </x:c>
      <x:c r="L111" s="40" t="n">
        <x:v>200000</x:v>
      </x:c>
      <x:c r="M111" s="40" t="n">
        <x:f>IF(OR(J111="",K111="",K111=0),"",J111/K111*L111)</x:f>
        <x:v>3.8413521559588975</x:v>
      </x:c>
      <x:c r="N111" s="22" t="str">
        <x:f>IF(M111="","",IF(I111="Mayor es mejor",IF(M111&gt;=H111,"En meta",IF(M111&gt;=H111*0.9,"Alerta","Crítico")),IF(M111&lt;=H111,"En meta",IF(M111&lt;=H111*1.1,"Alerta","Crítico"))))</x:f>
        <x:v>Alerta</x:v>
      </x:c>
      <x:c r="O111" s="22" t="str">
        <x:v>Índice</x:v>
      </x:c>
      <x:c r="P111" s="22" t="str">
        <x:v>Líder SG-SST</x:v>
      </x:c>
      <x:c r="Q111" s="22" t="str">
        <x:v>Matriz de accidentalidad / nómina</x:v>
      </x:c>
      <x:c r="R111" s="22" t="str"/>
    </x:row>
    <x:row r="112">
      <x:c r="A112" s="46" t="n">
        <x:v>45138</x:v>
      </x:c>
      <x:c r="B112" s="22" t="n">
        <x:v>2023</x:v>
      </x:c>
      <x:c r="C112" s="22" t="str">
        <x:v>Julio</x:v>
      </x:c>
      <x:c r="D112" s="22" t="str">
        <x:v>R02</x:v>
      </x:c>
      <x:c r="E112" s="22" t="str">
        <x:v>Índice de severidad de accidentalidad (IS)</x:v>
      </x:c>
      <x:c r="F112" s="22" t="str">
        <x:v>Resultado</x:v>
      </x:c>
      <x:c r="G112" s="22" t="str">
        <x:v>Mensual</x:v>
      </x:c>
      <x:c r="H112" s="40" t="n">
        <x:v>80</x:v>
      </x:c>
      <x:c r="I112" s="22" t="str">
        <x:v>Menor es mejor</x:v>
      </x:c>
      <x:c r="J112" s="40" t="n">
        <x:v>22</x:v>
      </x:c>
      <x:c r="K112" s="40" t="n">
        <x:v>52065</x:v>
      </x:c>
      <x:c r="L112" s="40" t="n">
        <x:v>200000</x:v>
      </x:c>
      <x:c r="M112" s="40" t="n">
        <x:f>IF(OR(J112="",K112="",K112=0),"",J112/K112*L112)</x:f>
        <x:v>84.50974743109575</x:v>
      </x:c>
      <x:c r="N112" s="22" t="str">
        <x:f>IF(M112="","",IF(I112="Mayor es mejor",IF(M112&gt;=H112,"En meta",IF(M112&gt;=H112*0.9,"Alerta","Crítico")),IF(M112&lt;=H112,"En meta",IF(M112&lt;=H112*1.1,"Alerta","Crítico"))))</x:f>
        <x:v>Alerta</x:v>
      </x:c>
      <x:c r="O112" s="22" t="str">
        <x:v>Índice</x:v>
      </x:c>
      <x:c r="P112" s="22" t="str">
        <x:v>Líder SG-SST</x:v>
      </x:c>
      <x:c r="Q112" s="22" t="str">
        <x:v>Matriz de accidentalidad / nómina</x:v>
      </x:c>
      <x:c r="R112" s="22" t="str"/>
    </x:row>
    <x:row r="113">
      <x:c r="A113" s="46" t="n">
        <x:v>45138</x:v>
      </x:c>
      <x:c r="B113" s="22" t="n">
        <x:v>2023</x:v>
      </x:c>
      <x:c r="C113" s="22" t="str">
        <x:v>Julio</x:v>
      </x:c>
      <x:c r="D113" s="22" t="str">
        <x:v>R03</x:v>
      </x:c>
      <x:c r="E113" s="22" t="str">
        <x:v>Índice de lesión incapacitante (ILI)</x:v>
      </x:c>
      <x:c r="F113" s="22" t="str">
        <x:v>Resultado</x:v>
      </x:c>
      <x:c r="G113" s="22" t="str">
        <x:v>Mensual</x:v>
      </x:c>
      <x:c r="H113" s="40" t="n">
        <x:v>0.25</x:v>
      </x:c>
      <x:c r="I113" s="22" t="str">
        <x:v>Menor es mejor</x:v>
      </x:c>
      <x:c r="J113" s="40" t="n">
        <x:v>324.6317</x:v>
      </x:c>
      <x:c r="K113" s="40" t="n">
        <x:v>1000</x:v>
      </x:c>
      <x:c r="L113" s="40" t="n">
        <x:v>1</x:v>
      </x:c>
      <x:c r="M113" s="40" t="n">
        <x:f>IF(OR(J113="",K113="",K113=0),"",J113/K113*L113)</x:f>
        <x:v>0.3246317</x:v>
      </x:c>
      <x:c r="N113" s="22" t="str">
        <x:f>IF(M113="","",IF(I113="Mayor es mejor",IF(M113&gt;=H113,"En meta",IF(M113&gt;=H113*0.9,"Alerta","Crítico")),IF(M113&lt;=H113,"En meta",IF(M113&lt;=H113*1.1,"Alerta","Crítico"))))</x:f>
        <x:v>Crítico</x:v>
      </x:c>
      <x:c r="O113" s="22" t="str">
        <x:v>Índice</x:v>
      </x:c>
      <x:c r="P113" s="22" t="str">
        <x:v>Líder SG-SST</x:v>
      </x:c>
      <x:c r="Q113" s="22" t="str">
        <x:v>Indicadores derivados de accidentalidad</x:v>
      </x:c>
      <x:c r="R113" s="22" t="str">
        <x:v>ILI calculado sobre IF e IS del periodo.</x:v>
      </x:c>
    </x:row>
    <x:row r="114">
      <x:c r="A114" s="46" t="n">
        <x:v>45138</x:v>
      </x:c>
      <x:c r="B114" s="22" t="n">
        <x:v>2023</x:v>
      </x:c>
      <x:c r="C114" s="22" t="str">
        <x:v>Julio</x:v>
      </x:c>
      <x:c r="D114" s="22" t="str">
        <x:v>R04</x:v>
      </x:c>
      <x:c r="E114" s="22" t="str">
        <x:v>Tasa de accidentalidad</x:v>
      </x:c>
      <x:c r="F114" s="22" t="str">
        <x:v>Resultado</x:v>
      </x:c>
      <x:c r="G114" s="22" t="str">
        <x:v>Mensual</x:v>
      </x:c>
      <x:c r="H114" s="40" t="n">
        <x:v>0.6</x:v>
      </x:c>
      <x:c r="I114" s="22" t="str">
        <x:v>Menor es mejor</x:v>
      </x:c>
      <x:c r="J114" s="40" t="n">
        <x:v>0.98</x:v>
      </x:c>
      <x:c r="K114" s="40" t="n">
        <x:v>213</x:v>
      </x:c>
      <x:c r="L114" s="40" t="n">
        <x:v>100</x:v>
      </x:c>
      <x:c r="M114" s="40" t="n">
        <x:f>IF(OR(J114="",K114="",K114=0),"",J114/K114*L114)</x:f>
        <x:v>0.46009389671361506</x:v>
      </x:c>
      <x:c r="N114" s="22" t="str">
        <x:f>IF(M114="","",IF(I114="Mayor es mejor",IF(M114&gt;=H114,"En meta",IF(M114&gt;=H114*0.9,"Alerta","Crítico")),IF(M114&lt;=H114,"En meta",IF(M114&lt;=H114*1.1,"Alerta","Crítico"))))</x:f>
        <x:v>En meta</x:v>
      </x:c>
      <x:c r="O114" s="22" t="str">
        <x:v>%</x:v>
      </x:c>
      <x:c r="P114" s="22" t="str">
        <x:v>Líder SG-SST</x:v>
      </x:c>
      <x:c r="Q114" s="22" t="str">
        <x:v>Matriz de accidentalidad / nómina</x:v>
      </x:c>
      <x:c r="R114" s="22" t="str"/>
    </x:row>
    <x:row r="115">
      <x:c r="A115" s="46" t="n">
        <x:v>45138</x:v>
      </x:c>
      <x:c r="B115" s="22" t="n">
        <x:v>2023</x:v>
      </x:c>
      <x:c r="C115" s="22" t="str">
        <x:v>Julio</x:v>
      </x:c>
      <x:c r="D115" s="22" t="str">
        <x:v>R05</x:v>
      </x:c>
      <x:c r="E115" s="22" t="str">
        <x:v>Prevalencia de enfermedad laboral</x:v>
      </x:c>
      <x:c r="F115" s="22" t="str">
        <x:v>Resultado</x:v>
      </x:c>
      <x:c r="G115" s="22" t="str">
        <x:v>Mensual</x:v>
      </x:c>
      <x:c r="H115" s="40" t="n">
        <x:v>0.3</x:v>
      </x:c>
      <x:c r="I115" s="22" t="str">
        <x:v>Menor es mejor</x:v>
      </x:c>
      <x:c r="J115" s="40" t="n">
        <x:v>3.08</x:v>
      </x:c>
      <x:c r="K115" s="40" t="n">
        <x:v>213</x:v>
      </x:c>
      <x:c r="L115" s="40" t="n">
        <x:v>100</x:v>
      </x:c>
      <x:c r="M115" s="40" t="n">
        <x:f>IF(OR(J115="",K115="",K115=0),"",J115/K115*L115)</x:f>
        <x:v>1.4460093896713615</x:v>
      </x:c>
      <x:c r="N115" s="22" t="str">
        <x:f>IF(M115="","",IF(I115="Mayor es mejor",IF(M115&gt;=H115,"En meta",IF(M115&gt;=H115*0.9,"Alerta","Crítico")),IF(M115&lt;=H115,"En meta",IF(M115&lt;=H115*1.1,"Alerta","Crítico"))))</x:f>
        <x:v>Crítico</x:v>
      </x:c>
      <x:c r="O115" s="22" t="str">
        <x:v>%</x:v>
      </x:c>
      <x:c r="P115" s="22" t="str">
        <x:v>Líder SG-SST / Medicina laboral</x:v>
      </x:c>
      <x:c r="Q115" s="22" t="str">
        <x:v>Matriz de enfermedad laboral / nómina</x:v>
      </x:c>
      <x:c r="R115" s="22" t="str"/>
    </x:row>
    <x:row r="116">
      <x:c r="A116" s="46" t="n">
        <x:v>45138</x:v>
      </x:c>
      <x:c r="B116" s="22" t="n">
        <x:v>2023</x:v>
      </x:c>
      <x:c r="C116" s="22" t="str">
        <x:v>Julio</x:v>
      </x:c>
      <x:c r="D116" s="22" t="str">
        <x:v>R06</x:v>
      </x:c>
      <x:c r="E116" s="22" t="str">
        <x:v>% cumplimiento de estándares mínimos Res. 0312 de 2019</x:v>
      </x:c>
      <x:c r="F116" s="22" t="str">
        <x:v>Resultado</x:v>
      </x:c>
      <x:c r="G116" s="22" t="str">
        <x:v>Mensual</x:v>
      </x:c>
      <x:c r="H116" s="40" t="n">
        <x:v>95</x:v>
      </x:c>
      <x:c r="I116" s="22" t="str">
        <x:v>Mayor es mejor</x:v>
      </x:c>
      <x:c r="J116" s="40" t="n">
        <x:v>96</x:v>
      </x:c>
      <x:c r="K116" s="40" t="n">
        <x:v>100</x:v>
      </x:c>
      <x:c r="L116" s="40" t="n">
        <x:v>100</x:v>
      </x:c>
      <x:c r="M116" s="40" t="n">
        <x:f>IF(OR(J116="",K116="",K116=0),"",J116/K116*L116)</x:f>
        <x:v>96</x:v>
      </x:c>
      <x:c r="N116" s="22" t="str">
        <x:f>IF(M116="","",IF(I116="Mayor es mejor",IF(M116&gt;=H116,"En meta",IF(M116&gt;=H116*0.9,"Alerta","Crítico")),IF(M116&lt;=H116,"En meta",IF(M116&lt;=H116*1.1,"Alerta","Crítico"))))</x:f>
        <x:v>En meta</x:v>
      </x:c>
      <x:c r="O116" s="22" t="str">
        <x:v>%</x:v>
      </x:c>
      <x:c r="P116" s="22" t="str">
        <x:v>Líder SG-SST / Alta Dirección</x:v>
      </x:c>
      <x:c r="Q116" s="22" t="str">
        <x:v>Autodiagnóstico Res. 0312 de 2019</x:v>
      </x:c>
      <x:c r="R116" s="22" t="str"/>
    </x:row>
    <x:row r="117">
      <x:c r="A117" s="46" t="n">
        <x:v>45169</x:v>
      </x:c>
      <x:c r="B117" s="22" t="n">
        <x:v>2023</x:v>
      </x:c>
      <x:c r="C117" s="22" t="str">
        <x:v>Agosto</x:v>
      </x:c>
      <x:c r="D117" s="22" t="str">
        <x:v>E01</x:v>
      </x:c>
      <x:c r="E117" s="22" t="str">
        <x:v>% ejecución presupuestal del SG-SST</x:v>
      </x:c>
      <x:c r="F117" s="22" t="str">
        <x:v>Estructura</x:v>
      </x:c>
      <x:c r="G117" s="22" t="str">
        <x:v>Mensual</x:v>
      </x:c>
      <x:c r="H117" s="40" t="n">
        <x:v>95</x:v>
      </x:c>
      <x:c r="I117" s="22" t="str">
        <x:v>Mayor es mejor</x:v>
      </x:c>
      <x:c r="J117" s="40" t="n">
        <x:v>7264954</x:v>
      </x:c>
      <x:c r="K117" s="40" t="n">
        <x:v>8000000</x:v>
      </x:c>
      <x:c r="L117" s="40" t="n">
        <x:v>100</x:v>
      </x:c>
      <x:c r="M117" s="40" t="n">
        <x:f>IF(OR(J117="",K117="",K117=0),"",J117/K117*L117)</x:f>
        <x:v>90.811925</x:v>
      </x:c>
      <x:c r="N117" s="22" t="str">
        <x:f>IF(M117="","",IF(I117="Mayor es mejor",IF(M117&gt;=H117,"En meta",IF(M117&gt;=H117*0.9,"Alerta","Crítico")),IF(M117&lt;=H117,"En meta",IF(M117&lt;=H117*1.1,"Alerta","Crítico"))))</x:f>
        <x:v>Alerta</x:v>
      </x:c>
      <x:c r="O117" s="22" t="str">
        <x:v>%</x:v>
      </x:c>
      <x:c r="P117" s="22" t="str">
        <x:v>Líder SG-SST / Dirección Administrativa</x:v>
      </x:c>
      <x:c r="Q117" s="22" t="str">
        <x:v>Presupuesto SST</x:v>
      </x:c>
      <x:c r="R117" s="22" t="str"/>
    </x:row>
    <x:row r="118">
      <x:c r="A118" s="46" t="n">
        <x:v>45169</x:v>
      </x:c>
      <x:c r="B118" s="22" t="n">
        <x:v>2023</x:v>
      </x:c>
      <x:c r="C118" s="22" t="str">
        <x:v>Agosto</x:v>
      </x:c>
      <x:c r="D118" s="22" t="str">
        <x:v>E02</x:v>
      </x:c>
      <x:c r="E118" s="22" t="str">
        <x:v>% cobertura del plan de formación y capacitación SG-SST</x:v>
      </x:c>
      <x:c r="F118" s="22" t="str">
        <x:v>Estructura</x:v>
      </x:c>
      <x:c r="G118" s="22" t="str">
        <x:v>Mensual</x:v>
      </x:c>
      <x:c r="H118" s="40" t="n">
        <x:v>90</x:v>
      </x:c>
      <x:c r="I118" s="22" t="str">
        <x:v>Mayor es mejor</x:v>
      </x:c>
      <x:c r="J118" s="40" t="n">
        <x:v>16</x:v>
      </x:c>
      <x:c r="K118" s="40" t="n">
        <x:v>18</x:v>
      </x:c>
      <x:c r="L118" s="40" t="n">
        <x:v>100</x:v>
      </x:c>
      <x:c r="M118" s="40" t="n">
        <x:f>IF(OR(J118="",K118="",K118=0),"",J118/K118*L118)</x:f>
        <x:v>88.88888888888889</x:v>
      </x:c>
      <x:c r="N118" s="22" t="str">
        <x:f>IF(M118="","",IF(I118="Mayor es mejor",IF(M118&gt;=H118,"En meta",IF(M118&gt;=H118*0.9,"Alerta","Crítico")),IF(M118&lt;=H118,"En meta",IF(M118&lt;=H118*1.1,"Alerta","Crítico"))))</x:f>
        <x:v>Alerta</x:v>
      </x:c>
      <x:c r="O118" s="22" t="str">
        <x:v>%</x:v>
      </x:c>
      <x:c r="P118" s="22" t="str">
        <x:v>Líder SG-SST / Talento Humano</x:v>
      </x:c>
      <x:c r="Q118" s="22" t="str">
        <x:v>Plan de formación y capacitaciones</x:v>
      </x:c>
      <x:c r="R118" s="22" t="str"/>
    </x:row>
    <x:row r="119">
      <x:c r="A119" s="46" t="n">
        <x:v>45169</x:v>
      </x:c>
      <x:c r="B119" s="22" t="n">
        <x:v>2023</x:v>
      </x:c>
      <x:c r="C119" s="22" t="str">
        <x:v>Agosto</x:v>
      </x:c>
      <x:c r="D119" s="22" t="str">
        <x:v>E03</x:v>
      </x:c>
      <x:c r="E119" s="22" t="str">
        <x:v>% trabajadores con exámenes médicos ocupacionales vigentes</x:v>
      </x:c>
      <x:c r="F119" s="22" t="str">
        <x:v>Estructura</x:v>
      </x:c>
      <x:c r="G119" s="22" t="str">
        <x:v>Mensual</x:v>
      </x:c>
      <x:c r="H119" s="40" t="n">
        <x:v>95</x:v>
      </x:c>
      <x:c r="I119" s="22" t="str">
        <x:v>Mayor es mejor</x:v>
      </x:c>
      <x:c r="J119" s="40" t="n">
        <x:v>195</x:v>
      </x:c>
      <x:c r="K119" s="40" t="n">
        <x:v>208</x:v>
      </x:c>
      <x:c r="L119" s="40" t="n">
        <x:v>100</x:v>
      </x:c>
      <x:c r="M119" s="40" t="n">
        <x:f>IF(OR(J119="",K119="",K119=0),"",J119/K119*L119)</x:f>
        <x:v>93.75</x:v>
      </x:c>
      <x:c r="N119" s="22" t="str">
        <x:f>IF(M119="","",IF(I119="Mayor es mejor",IF(M119&gt;=H119,"En meta",IF(M119&gt;=H119*0.9,"Alerta","Crítico")),IF(M119&lt;=H119,"En meta",IF(M119&lt;=H119*1.1,"Alerta","Crítico"))))</x:f>
        <x:v>Alerta</x:v>
      </x:c>
      <x:c r="O119" s="22" t="str">
        <x:v>%</x:v>
      </x:c>
      <x:c r="P119" s="22" t="str">
        <x:v>Líder SG-SST / Talento Humano</x:v>
      </x:c>
      <x:c r="Q119" s="22" t="str">
        <x:v>Matriz de seguimiento EMO</x:v>
      </x:c>
      <x:c r="R119" s="22" t="str"/>
    </x:row>
    <x:row r="120">
      <x:c r="A120" s="46" t="n">
        <x:v>45169</x:v>
      </x:c>
      <x:c r="B120" s="22" t="n">
        <x:v>2023</x:v>
      </x:c>
      <x:c r="C120" s="22" t="str">
        <x:v>Agosto</x:v>
      </x:c>
      <x:c r="D120" s="22" t="str">
        <x:v>E04</x:v>
      </x:c>
      <x:c r="E120" s="22" t="str">
        <x:v>% cumplimiento de requisitos legales aplicables en SST</x:v>
      </x:c>
      <x:c r="F120" s="22" t="str">
        <x:v>Estructura</x:v>
      </x:c>
      <x:c r="G120" s="22" t="str">
        <x:v>Mensual</x:v>
      </x:c>
      <x:c r="H120" s="40" t="n">
        <x:v>95</x:v>
      </x:c>
      <x:c r="I120" s="22" t="str">
        <x:v>Mayor es mejor</x:v>
      </x:c>
      <x:c r="J120" s="40" t="n">
        <x:v>56</x:v>
      </x:c>
      <x:c r="K120" s="40" t="n">
        <x:v>60</x:v>
      </x:c>
      <x:c r="L120" s="40" t="n">
        <x:v>100</x:v>
      </x:c>
      <x:c r="M120" s="40" t="n">
        <x:f>IF(OR(J120="",K120="",K120=0),"",J120/K120*L120)</x:f>
        <x:v>93.33333333333333</x:v>
      </x:c>
      <x:c r="N120" s="22" t="str">
        <x:f>IF(M120="","",IF(I120="Mayor es mejor",IF(M120&gt;=H120,"En meta",IF(M120&gt;=H120*0.9,"Alerta","Crítico")),IF(M120&lt;=H120,"En meta",IF(M120&lt;=H120*1.1,"Alerta","Crítico"))))</x:f>
        <x:v>Alerta</x:v>
      </x:c>
      <x:c r="O120" s="22" t="str">
        <x:v>%</x:v>
      </x:c>
      <x:c r="P120" s="22" t="str">
        <x:v>Líder SG-SST / Jurídica</x:v>
      </x:c>
      <x:c r="Q120" s="22" t="str">
        <x:v>Matriz legal SGRL</x:v>
      </x:c>
      <x:c r="R120" s="22" t="str"/>
    </x:row>
    <x:row r="121">
      <x:c r="A121" s="46" t="n">
        <x:v>45169</x:v>
      </x:c>
      <x:c r="B121" s="22" t="n">
        <x:v>2023</x:v>
      </x:c>
      <x:c r="C121" s="22" t="str">
        <x:v>Agosto</x:v>
      </x:c>
      <x:c r="D121" s="22" t="str">
        <x:v>E05</x:v>
      </x:c>
      <x:c r="E121" s="22" t="str">
        <x:v>% proveedores y contratistas aprobados en SST</x:v>
      </x:c>
      <x:c r="F121" s="22" t="str">
        <x:v>Estructura</x:v>
      </x:c>
      <x:c r="G121" s="22" t="str">
        <x:v>Mensual</x:v>
      </x:c>
      <x:c r="H121" s="40" t="n">
        <x:v>90</x:v>
      </x:c>
      <x:c r="I121" s="22" t="str">
        <x:v>Mayor es mejor</x:v>
      </x:c>
      <x:c r="J121" s="40" t="n">
        <x:v>18</x:v>
      </x:c>
      <x:c r="K121" s="40" t="n">
        <x:v>20</x:v>
      </x:c>
      <x:c r="L121" s="40" t="n">
        <x:v>100</x:v>
      </x:c>
      <x:c r="M121" s="40" t="n">
        <x:f>IF(OR(J121="",K121="",K121=0),"",J121/K121*L121)</x:f>
        <x:v>90</x:v>
      </x:c>
      <x:c r="N121" s="22" t="str">
        <x:f>IF(M121="","",IF(I121="Mayor es mejor",IF(M121&gt;=H121,"En meta",IF(M121&gt;=H121*0.9,"Alerta","Crítico")),IF(M121&lt;=H121,"En meta",IF(M121&lt;=H121*1.1,"Alerta","Crítico"))))</x:f>
        <x:v>En meta</x:v>
      </x:c>
      <x:c r="O121" s="22" t="str">
        <x:v>%</x:v>
      </x:c>
      <x:c r="P121" s="22" t="str">
        <x:v>Compras / Líder SG-SST</x:v>
      </x:c>
      <x:c r="Q121" s="22" t="str">
        <x:v>Gestión de proveedores y contratistas</x:v>
      </x:c>
      <x:c r="R121" s="22" t="str"/>
    </x:row>
    <x:row r="122">
      <x:c r="A122" s="46" t="n">
        <x:v>45169</x:v>
      </x:c>
      <x:c r="B122" s="22" t="n">
        <x:v>2023</x:v>
      </x:c>
      <x:c r="C122" s="22" t="str">
        <x:v>Agosto</x:v>
      </x:c>
      <x:c r="D122" s="22" t="str">
        <x:v>P01</x:v>
      </x:c>
      <x:c r="E122" s="22" t="str">
        <x:v>% ejecución del plan anual de trabajo SG-SST</x:v>
      </x:c>
      <x:c r="F122" s="22" t="str">
        <x:v>Proceso</x:v>
      </x:c>
      <x:c r="G122" s="22" t="str">
        <x:v>Mensual</x:v>
      </x:c>
      <x:c r="H122" s="40" t="n">
        <x:v>90</x:v>
      </x:c>
      <x:c r="I122" s="22" t="str">
        <x:v>Mayor es mejor</x:v>
      </x:c>
      <x:c r="J122" s="40" t="n">
        <x:v>12</x:v>
      </x:c>
      <x:c r="K122" s="40" t="n">
        <x:v>14</x:v>
      </x:c>
      <x:c r="L122" s="40" t="n">
        <x:v>100</x:v>
      </x:c>
      <x:c r="M122" s="40" t="n">
        <x:f>IF(OR(J122="",K122="",K122=0),"",J122/K122*L122)</x:f>
        <x:v>85.71428571428571</x:v>
      </x:c>
      <x:c r="N122" s="22" t="str">
        <x:f>IF(M122="","",IF(I122="Mayor es mejor",IF(M122&gt;=H122,"En meta",IF(M122&gt;=H122*0.9,"Alerta","Crítico")),IF(M122&lt;=H122,"En meta",IF(M122&lt;=H122*1.1,"Alerta","Crítico"))))</x:f>
        <x:v>Alerta</x:v>
      </x:c>
      <x:c r="O122" s="22" t="str">
        <x:v>%</x:v>
      </x:c>
      <x:c r="P122" s="22" t="str">
        <x:v>Líder SG-SST</x:v>
      </x:c>
      <x:c r="Q122" s="22" t="str">
        <x:v>Plan anual de trabajo PHVA</x:v>
      </x:c>
      <x:c r="R122" s="22" t="str"/>
    </x:row>
    <x:row r="123">
      <x:c r="A123" s="46" t="n">
        <x:v>45169</x:v>
      </x:c>
      <x:c r="B123" s="22" t="n">
        <x:v>2023</x:v>
      </x:c>
      <x:c r="C123" s="22" t="str">
        <x:v>Agosto</x:v>
      </x:c>
      <x:c r="D123" s="22" t="str">
        <x:v>P02</x:v>
      </x:c>
      <x:c r="E123" s="22" t="str">
        <x:v>% investigaciones de accidentes realizadas oportunamente</x:v>
      </x:c>
      <x:c r="F123" s="22" t="str">
        <x:v>Proceso</x:v>
      </x:c>
      <x:c r="G123" s="22" t="str">
        <x:v>Mensual</x:v>
      </x:c>
      <x:c r="H123" s="40" t="n">
        <x:v>95</x:v>
      </x:c>
      <x:c r="I123" s="22" t="str">
        <x:v>Mayor es mejor</x:v>
      </x:c>
      <x:c r="J123" s="40" t="n">
        <x:v>1</x:v>
      </x:c>
      <x:c r="K123" s="40" t="n">
        <x:v>1</x:v>
      </x:c>
      <x:c r="L123" s="40" t="n">
        <x:v>100</x:v>
      </x:c>
      <x:c r="M123" s="40" t="n">
        <x:f>IF(OR(J123="",K123="",K123=0),"",J123/K123*L123)</x:f>
        <x:v>100</x:v>
      </x:c>
      <x:c r="N123" s="22" t="str">
        <x:f>IF(M123="","",IF(I123="Mayor es mejor",IF(M123&gt;=H123,"En meta",IF(M123&gt;=H123*0.9,"Alerta","Crítico")),IF(M123&lt;=H123,"En meta",IF(M123&lt;=H123*1.1,"Alerta","Crítico"))))</x:f>
        <x:v>En meta</x:v>
      </x:c>
      <x:c r="O123" s="22" t="str">
        <x:v>%</x:v>
      </x:c>
      <x:c r="P123" s="22" t="str">
        <x:v>Líder SG-SST / COPASST</x:v>
      </x:c>
      <x:c r="Q123" s="22" t="str">
        <x:v>Matriz de accidentalidad</x:v>
      </x:c>
      <x:c r="R123" s="22" t="str"/>
    </x:row>
    <x:row r="124">
      <x:c r="A124" s="46" t="n">
        <x:v>45169</x:v>
      </x:c>
      <x:c r="B124" s="22" t="n">
        <x:v>2023</x:v>
      </x:c>
      <x:c r="C124" s="22" t="str">
        <x:v>Agosto</x:v>
      </x:c>
      <x:c r="D124" s="22" t="str">
        <x:v>P03</x:v>
      </x:c>
      <x:c r="E124" s="22" t="str">
        <x:v>% cierre oportuno de acciones correctivas, preventivas y de mejora</x:v>
      </x:c>
      <x:c r="F124" s="22" t="str">
        <x:v>Proceso</x:v>
      </x:c>
      <x:c r="G124" s="22" t="str">
        <x:v>Mensual</x:v>
      </x:c>
      <x:c r="H124" s="40" t="n">
        <x:v>90</x:v>
      </x:c>
      <x:c r="I124" s="22" t="str">
        <x:v>Mayor es mejor</x:v>
      </x:c>
      <x:c r="J124" s="40" t="n">
        <x:v>11</x:v>
      </x:c>
      <x:c r="K124" s="40" t="n">
        <x:v>13</x:v>
      </x:c>
      <x:c r="L124" s="40" t="n">
        <x:v>100</x:v>
      </x:c>
      <x:c r="M124" s="40" t="n">
        <x:f>IF(OR(J124="",K124="",K124=0),"",J124/K124*L124)</x:f>
        <x:v>84.61538461538461</x:v>
      </x:c>
      <x:c r="N124" s="22" t="str">
        <x:f>IF(M124="","",IF(I124="Mayor es mejor",IF(M124&gt;=H124,"En meta",IF(M124&gt;=H124*0.9,"Alerta","Crítico")),IF(M124&lt;=H124,"En meta",IF(M124&lt;=H124*1.1,"Alerta","Crítico"))))</x:f>
        <x:v>Alerta</x:v>
      </x:c>
      <x:c r="O124" s="22" t="str">
        <x:v>%</x:v>
      </x:c>
      <x:c r="P124" s="22" t="str">
        <x:v>Líder SG-SST / Responsables de proceso</x:v>
      </x:c>
      <x:c r="Q124" s="22" t="str">
        <x:v>Matriz APCM</x:v>
      </x:c>
      <x:c r="R124" s="22" t="str"/>
    </x:row>
    <x:row r="125">
      <x:c r="A125" s="46" t="n">
        <x:v>45169</x:v>
      </x:c>
      <x:c r="B125" s="22" t="n">
        <x:v>2023</x:v>
      </x:c>
      <x:c r="C125" s="22" t="str">
        <x:v>Agosto</x:v>
      </x:c>
      <x:c r="D125" s="22" t="str">
        <x:v>P04</x:v>
      </x:c>
      <x:c r="E125" s="22" t="str">
        <x:v>% inspecciones de seguridad ejecutadas</x:v>
      </x:c>
      <x:c r="F125" s="22" t="str">
        <x:v>Proceso</x:v>
      </x:c>
      <x:c r="G125" s="22" t="str">
        <x:v>Mensual</x:v>
      </x:c>
      <x:c r="H125" s="40" t="n">
        <x:v>90</x:v>
      </x:c>
      <x:c r="I125" s="22" t="str">
        <x:v>Mayor es mejor</x:v>
      </x:c>
      <x:c r="J125" s="40" t="n">
        <x:v>7</x:v>
      </x:c>
      <x:c r="K125" s="40" t="n">
        <x:v>8</x:v>
      </x:c>
      <x:c r="L125" s="40" t="n">
        <x:v>100</x:v>
      </x:c>
      <x:c r="M125" s="40" t="n">
        <x:f>IF(OR(J125="",K125="",K125=0),"",J125/K125*L125)</x:f>
        <x:v>87.5</x:v>
      </x:c>
      <x:c r="N125" s="22" t="str">
        <x:f>IF(M125="","",IF(I125="Mayor es mejor",IF(M125&gt;=H125,"En meta",IF(M125&gt;=H125*0.9,"Alerta","Crítico")),IF(M125&lt;=H125,"En meta",IF(M125&lt;=H125*1.1,"Alerta","Crítico"))))</x:f>
        <x:v>Alerta</x:v>
      </x:c>
      <x:c r="O125" s="22" t="str">
        <x:v>%</x:v>
      </x:c>
      <x:c r="P125" s="22" t="str">
        <x:v>Líder SG-SST / Supervisores</x:v>
      </x:c>
      <x:c r="Q125" s="22" t="str">
        <x:v>Programa de inspecciones</x:v>
      </x:c>
      <x:c r="R125" s="22" t="str"/>
    </x:row>
    <x:row r="126">
      <x:c r="A126" s="46" t="n">
        <x:v>45169</x:v>
      </x:c>
      <x:c r="B126" s="22" t="n">
        <x:v>2023</x:v>
      </x:c>
      <x:c r="C126" s="22" t="str">
        <x:v>Agosto</x:v>
      </x:c>
      <x:c r="D126" s="22" t="str">
        <x:v>P05</x:v>
      </x:c>
      <x:c r="E126" s="22" t="str">
        <x:v>% mantenimientos preventivos ejecutados</x:v>
      </x:c>
      <x:c r="F126" s="22" t="str">
        <x:v>Proceso</x:v>
      </x:c>
      <x:c r="G126" s="22" t="str">
        <x:v>Mensual</x:v>
      </x:c>
      <x:c r="H126" s="40" t="n">
        <x:v>90</x:v>
      </x:c>
      <x:c r="I126" s="22" t="str">
        <x:v>Mayor es mejor</x:v>
      </x:c>
      <x:c r="J126" s="40" t="n">
        <x:v>11</x:v>
      </x:c>
      <x:c r="K126" s="40" t="n">
        <x:v>12</x:v>
      </x:c>
      <x:c r="L126" s="40" t="n">
        <x:v>100</x:v>
      </x:c>
      <x:c r="M126" s="40" t="n">
        <x:f>IF(OR(J126="",K126="",K126=0),"",J126/K126*L126)</x:f>
        <x:v>91.66666666666666</x:v>
      </x:c>
      <x:c r="N126" s="22" t="str">
        <x:f>IF(M126="","",IF(I126="Mayor es mejor",IF(M126&gt;=H126,"En meta",IF(M126&gt;=H126*0.9,"Alerta","Crítico")),IF(M126&lt;=H126,"En meta",IF(M126&lt;=H126*1.1,"Alerta","Crítico"))))</x:f>
        <x:v>En meta</x:v>
      </x:c>
      <x:c r="O126" s="22" t="str">
        <x:v>%</x:v>
      </x:c>
      <x:c r="P126" s="22" t="str">
        <x:v>Mantenimiento / Líder SG-SST</x:v>
      </x:c>
      <x:c r="Q126" s="22" t="str">
        <x:v>Programa de mantenimiento preventivo</x:v>
      </x:c>
      <x:c r="R126" s="22" t="str"/>
    </x:row>
    <x:row r="127">
      <x:c r="A127" s="46" t="n">
        <x:v>45169</x:v>
      </x:c>
      <x:c r="B127" s="22" t="n">
        <x:v>2023</x:v>
      </x:c>
      <x:c r="C127" s="22" t="str">
        <x:v>Agosto</x:v>
      </x:c>
      <x:c r="D127" s="22" t="str">
        <x:v>R01</x:v>
      </x:c>
      <x:c r="E127" s="22" t="str">
        <x:v>Índice de frecuencia de accidentalidad (IF)</x:v>
      </x:c>
      <x:c r="F127" s="22" t="str">
        <x:v>Resultado</x:v>
      </x:c>
      <x:c r="G127" s="22" t="str">
        <x:v>Mensual</x:v>
      </x:c>
      <x:c r="H127" s="40" t="n">
        <x:v>3.5</x:v>
      </x:c>
      <x:c r="I127" s="22" t="str">
        <x:v>Menor es mejor</x:v>
      </x:c>
      <x:c r="J127" s="40" t="n">
        <x:v>1</x:v>
      </x:c>
      <x:c r="K127" s="40" t="n">
        <x:v>49584</x:v>
      </x:c>
      <x:c r="L127" s="40" t="n">
        <x:v>200000</x:v>
      </x:c>
      <x:c r="M127" s="40" t="n">
        <x:f>IF(OR(J127="",K127="",K127=0),"",J127/K127*L127)</x:f>
        <x:v>4.033559212649242</x:v>
      </x:c>
      <x:c r="N127" s="22" t="str">
        <x:f>IF(M127="","",IF(I127="Mayor es mejor",IF(M127&gt;=H127,"En meta",IF(M127&gt;=H127*0.9,"Alerta","Crítico")),IF(M127&lt;=H127,"En meta",IF(M127&lt;=H127*1.1,"Alerta","Crítico"))))</x:f>
        <x:v>Crítico</x:v>
      </x:c>
      <x:c r="O127" s="22" t="str">
        <x:v>Índice</x:v>
      </x:c>
      <x:c r="P127" s="22" t="str">
        <x:v>Líder SG-SST</x:v>
      </x:c>
      <x:c r="Q127" s="22" t="str">
        <x:v>Matriz de accidentalidad / nómina</x:v>
      </x:c>
      <x:c r="R127" s="22" t="str"/>
    </x:row>
    <x:row r="128">
      <x:c r="A128" s="46" t="n">
        <x:v>45169</x:v>
      </x:c>
      <x:c r="B128" s="22" t="n">
        <x:v>2023</x:v>
      </x:c>
      <x:c r="C128" s="22" t="str">
        <x:v>Agosto</x:v>
      </x:c>
      <x:c r="D128" s="22" t="str">
        <x:v>R02</x:v>
      </x:c>
      <x:c r="E128" s="22" t="str">
        <x:v>Índice de severidad de accidentalidad (IS)</x:v>
      </x:c>
      <x:c r="F128" s="22" t="str">
        <x:v>Resultado</x:v>
      </x:c>
      <x:c r="G128" s="22" t="str">
        <x:v>Mensual</x:v>
      </x:c>
      <x:c r="H128" s="40" t="n">
        <x:v>80</x:v>
      </x:c>
      <x:c r="I128" s="22" t="str">
        <x:v>Menor es mejor</x:v>
      </x:c>
      <x:c r="J128" s="40" t="n">
        <x:v>19</x:v>
      </x:c>
      <x:c r="K128" s="40" t="n">
        <x:v>49584</x:v>
      </x:c>
      <x:c r="L128" s="40" t="n">
        <x:v>200000</x:v>
      </x:c>
      <x:c r="M128" s="40" t="n">
        <x:f>IF(OR(J128="",K128="",K128=0),"",J128/K128*L128)</x:f>
        <x:v>76.63762504033559</x:v>
      </x:c>
      <x:c r="N128" s="22" t="str">
        <x:f>IF(M128="","",IF(I128="Mayor es mejor",IF(M128&gt;=H128,"En meta",IF(M128&gt;=H128*0.9,"Alerta","Crítico")),IF(M128&lt;=H128,"En meta",IF(M128&lt;=H128*1.1,"Alerta","Crítico"))))</x:f>
        <x:v>En meta</x:v>
      </x:c>
      <x:c r="O128" s="22" t="str">
        <x:v>Índice</x:v>
      </x:c>
      <x:c r="P128" s="22" t="str">
        <x:v>Líder SG-SST</x:v>
      </x:c>
      <x:c r="Q128" s="22" t="str">
        <x:v>Matriz de accidentalidad / nómina</x:v>
      </x:c>
      <x:c r="R128" s="22" t="str"/>
    </x:row>
    <x:row r="129">
      <x:c r="A129" s="46" t="n">
        <x:v>45169</x:v>
      </x:c>
      <x:c r="B129" s="22" t="n">
        <x:v>2023</x:v>
      </x:c>
      <x:c r="C129" s="22" t="str">
        <x:v>Agosto</x:v>
      </x:c>
      <x:c r="D129" s="22" t="str">
        <x:v>R03</x:v>
      </x:c>
      <x:c r="E129" s="22" t="str">
        <x:v>Índice de lesión incapacitante (ILI)</x:v>
      </x:c>
      <x:c r="F129" s="22" t="str">
        <x:v>Resultado</x:v>
      </x:c>
      <x:c r="G129" s="22" t="str">
        <x:v>Mensual</x:v>
      </x:c>
      <x:c r="H129" s="40" t="n">
        <x:v>0.25</x:v>
      </x:c>
      <x:c r="I129" s="22" t="str">
        <x:v>Menor es mejor</x:v>
      </x:c>
      <x:c r="J129" s="40" t="n">
        <x:v>309.1224</x:v>
      </x:c>
      <x:c r="K129" s="40" t="n">
        <x:v>1000</x:v>
      </x:c>
      <x:c r="L129" s="40" t="n">
        <x:v>1</x:v>
      </x:c>
      <x:c r="M129" s="40" t="n">
        <x:f>IF(OR(J129="",K129="",K129=0),"",J129/K129*L129)</x:f>
        <x:v>0.3091224</x:v>
      </x:c>
      <x:c r="N129" s="22" t="str">
        <x:f>IF(M129="","",IF(I129="Mayor es mejor",IF(M129&gt;=H129,"En meta",IF(M129&gt;=H129*0.9,"Alerta","Crítico")),IF(M129&lt;=H129,"En meta",IF(M129&lt;=H129*1.1,"Alerta","Crítico"))))</x:f>
        <x:v>Crítico</x:v>
      </x:c>
      <x:c r="O129" s="22" t="str">
        <x:v>Índice</x:v>
      </x:c>
      <x:c r="P129" s="22" t="str">
        <x:v>Líder SG-SST</x:v>
      </x:c>
      <x:c r="Q129" s="22" t="str">
        <x:v>Indicadores derivados de accidentalidad</x:v>
      </x:c>
      <x:c r="R129" s="22" t="str">
        <x:v>ILI calculado sobre IF e IS del periodo.</x:v>
      </x:c>
    </x:row>
    <x:row r="130">
      <x:c r="A130" s="46" t="n">
        <x:v>45169</x:v>
      </x:c>
      <x:c r="B130" s="22" t="n">
        <x:v>2023</x:v>
      </x:c>
      <x:c r="C130" s="22" t="str">
        <x:v>Agosto</x:v>
      </x:c>
      <x:c r="D130" s="22" t="str">
        <x:v>R04</x:v>
      </x:c>
      <x:c r="E130" s="22" t="str">
        <x:v>Tasa de accidentalidad</x:v>
      </x:c>
      <x:c r="F130" s="22" t="str">
        <x:v>Resultado</x:v>
      </x:c>
      <x:c r="G130" s="22" t="str">
        <x:v>Mensual</x:v>
      </x:c>
      <x:c r="H130" s="40" t="n">
        <x:v>0.6</x:v>
      </x:c>
      <x:c r="I130" s="22" t="str">
        <x:v>Menor es mejor</x:v>
      </x:c>
      <x:c r="J130" s="40" t="n">
        <x:v>0.02</x:v>
      </x:c>
      <x:c r="K130" s="40" t="n">
        <x:v>208</x:v>
      </x:c>
      <x:c r="L130" s="40" t="n">
        <x:v>100</x:v>
      </x:c>
      <x:c r="M130" s="40" t="n">
        <x:f>IF(OR(J130="",K130="",K130=0),"",J130/K130*L130)</x:f>
        <x:v>0.009615384615384616</x:v>
      </x:c>
      <x:c r="N130" s="22" t="str">
        <x:f>IF(M130="","",IF(I130="Mayor es mejor",IF(M130&gt;=H130,"En meta",IF(M130&gt;=H130*0.9,"Alerta","Crítico")),IF(M130&lt;=H130,"En meta",IF(M130&lt;=H130*1.1,"Alerta","Crítico"))))</x:f>
        <x:v>En meta</x:v>
      </x:c>
      <x:c r="O130" s="22" t="str">
        <x:v>%</x:v>
      </x:c>
      <x:c r="P130" s="22" t="str">
        <x:v>Líder SG-SST</x:v>
      </x:c>
      <x:c r="Q130" s="22" t="str">
        <x:v>Matriz de accidentalidad / nómina</x:v>
      </x:c>
      <x:c r="R130" s="22" t="str"/>
    </x:row>
    <x:row r="131">
      <x:c r="A131" s="46" t="n">
        <x:v>45169</x:v>
      </x:c>
      <x:c r="B131" s="22" t="n">
        <x:v>2023</x:v>
      </x:c>
      <x:c r="C131" s="22" t="str">
        <x:v>Agosto</x:v>
      </x:c>
      <x:c r="D131" s="22" t="str">
        <x:v>R05</x:v>
      </x:c>
      <x:c r="E131" s="22" t="str">
        <x:v>Prevalencia de enfermedad laboral</x:v>
      </x:c>
      <x:c r="F131" s="22" t="str">
        <x:v>Resultado</x:v>
      </x:c>
      <x:c r="G131" s="22" t="str">
        <x:v>Mensual</x:v>
      </x:c>
      <x:c r="H131" s="40" t="n">
        <x:v>0.3</x:v>
      </x:c>
      <x:c r="I131" s="22" t="str">
        <x:v>Menor es mejor</x:v>
      </x:c>
      <x:c r="J131" s="40" t="n">
        <x:v>1.34</x:v>
      </x:c>
      <x:c r="K131" s="40" t="n">
        <x:v>208</x:v>
      </x:c>
      <x:c r="L131" s="40" t="n">
        <x:v>100</x:v>
      </x:c>
      <x:c r="M131" s="40" t="n">
        <x:f>IF(OR(J131="",K131="",K131=0),"",J131/K131*L131)</x:f>
        <x:v>0.6442307692307693</x:v>
      </x:c>
      <x:c r="N131" s="22" t="str">
        <x:f>IF(M131="","",IF(I131="Mayor es mejor",IF(M131&gt;=H131,"En meta",IF(M131&gt;=H131*0.9,"Alerta","Crítico")),IF(M131&lt;=H131,"En meta",IF(M131&lt;=H131*1.1,"Alerta","Crítico"))))</x:f>
        <x:v>Crítico</x:v>
      </x:c>
      <x:c r="O131" s="22" t="str">
        <x:v>%</x:v>
      </x:c>
      <x:c r="P131" s="22" t="str">
        <x:v>Líder SG-SST / Medicina laboral</x:v>
      </x:c>
      <x:c r="Q131" s="22" t="str">
        <x:v>Matriz de enfermedad laboral / nómina</x:v>
      </x:c>
      <x:c r="R131" s="22" t="str"/>
    </x:row>
    <x:row r="132">
      <x:c r="A132" s="46" t="n">
        <x:v>45169</x:v>
      </x:c>
      <x:c r="B132" s="22" t="n">
        <x:v>2023</x:v>
      </x:c>
      <x:c r="C132" s="22" t="str">
        <x:v>Agosto</x:v>
      </x:c>
      <x:c r="D132" s="22" t="str">
        <x:v>R06</x:v>
      </x:c>
      <x:c r="E132" s="22" t="str">
        <x:v>% cumplimiento de estándares mínimos Res. 0312 de 2019</x:v>
      </x:c>
      <x:c r="F132" s="22" t="str">
        <x:v>Resultado</x:v>
      </x:c>
      <x:c r="G132" s="22" t="str">
        <x:v>Mensual</x:v>
      </x:c>
      <x:c r="H132" s="40" t="n">
        <x:v>95</x:v>
      </x:c>
      <x:c r="I132" s="22" t="str">
        <x:v>Mayor es mejor</x:v>
      </x:c>
      <x:c r="J132" s="40" t="n">
        <x:v>95</x:v>
      </x:c>
      <x:c r="K132" s="40" t="n">
        <x:v>100</x:v>
      </x:c>
      <x:c r="L132" s="40" t="n">
        <x:v>100</x:v>
      </x:c>
      <x:c r="M132" s="40" t="n">
        <x:f>IF(OR(J132="",K132="",K132=0),"",J132/K132*L132)</x:f>
        <x:v>95</x:v>
      </x:c>
      <x:c r="N132" s="22" t="str">
        <x:f>IF(M132="","",IF(I132="Mayor es mejor",IF(M132&gt;=H132,"En meta",IF(M132&gt;=H132*0.9,"Alerta","Crítico")),IF(M132&lt;=H132,"En meta",IF(M132&lt;=H132*1.1,"Alerta","Crítico"))))</x:f>
        <x:v>En meta</x:v>
      </x:c>
      <x:c r="O132" s="22" t="str">
        <x:v>%</x:v>
      </x:c>
      <x:c r="P132" s="22" t="str">
        <x:v>Líder SG-SST / Alta Dirección</x:v>
      </x:c>
      <x:c r="Q132" s="22" t="str">
        <x:v>Autodiagnóstico Res. 0312 de 2019</x:v>
      </x:c>
      <x:c r="R132" s="22" t="str"/>
    </x:row>
    <x:row r="133">
      <x:c r="A133" s="46" t="n">
        <x:v>45199</x:v>
      </x:c>
      <x:c r="B133" s="22" t="n">
        <x:v>2023</x:v>
      </x:c>
      <x:c r="C133" s="22" t="str">
        <x:v>Septiembre</x:v>
      </x:c>
      <x:c r="D133" s="22" t="str">
        <x:v>E01</x:v>
      </x:c>
      <x:c r="E133" s="22" t="str">
        <x:v>% ejecución presupuestal del SG-SST</x:v>
      </x:c>
      <x:c r="F133" s="22" t="str">
        <x:v>Estructura</x:v>
      </x:c>
      <x:c r="G133" s="22" t="str">
        <x:v>Mensual</x:v>
      </x:c>
      <x:c r="H133" s="40" t="n">
        <x:v>95</x:v>
      </x:c>
      <x:c r="I133" s="22" t="str">
        <x:v>Mayor es mejor</x:v>
      </x:c>
      <x:c r="J133" s="40" t="n">
        <x:v>7809594</x:v>
      </x:c>
      <x:c r="K133" s="40" t="n">
        <x:v>8500000</x:v>
      </x:c>
      <x:c r="L133" s="40" t="n">
        <x:v>100</x:v>
      </x:c>
      <x:c r="M133" s="40" t="n">
        <x:f>IF(OR(J133="",K133="",K133=0),"",J133/K133*L133)</x:f>
        <x:v>91.87757647058824</x:v>
      </x:c>
      <x:c r="N133" s="22" t="str">
        <x:f>IF(M133="","",IF(I133="Mayor es mejor",IF(M133&gt;=H133,"En meta",IF(M133&gt;=H133*0.9,"Alerta","Crítico")),IF(M133&lt;=H133,"En meta",IF(M133&lt;=H133*1.1,"Alerta","Crítico"))))</x:f>
        <x:v>Alerta</x:v>
      </x:c>
      <x:c r="O133" s="22" t="str">
        <x:v>%</x:v>
      </x:c>
      <x:c r="P133" s="22" t="str">
        <x:v>Líder SG-SST / Dirección Administrativa</x:v>
      </x:c>
      <x:c r="Q133" s="22" t="str">
        <x:v>Presupuesto SST</x:v>
      </x:c>
      <x:c r="R133" s="22" t="str"/>
    </x:row>
    <x:row r="134">
      <x:c r="A134" s="46" t="n">
        <x:v>45199</x:v>
      </x:c>
      <x:c r="B134" s="22" t="n">
        <x:v>2023</x:v>
      </x:c>
      <x:c r="C134" s="22" t="str">
        <x:v>Septiembre</x:v>
      </x:c>
      <x:c r="D134" s="22" t="str">
        <x:v>E02</x:v>
      </x:c>
      <x:c r="E134" s="22" t="str">
        <x:v>% cobertura del plan de formación y capacitación SG-SST</x:v>
      </x:c>
      <x:c r="F134" s="22" t="str">
        <x:v>Estructura</x:v>
      </x:c>
      <x:c r="G134" s="22" t="str">
        <x:v>Mensual</x:v>
      </x:c>
      <x:c r="H134" s="40" t="n">
        <x:v>90</x:v>
      </x:c>
      <x:c r="I134" s="22" t="str">
        <x:v>Mayor es mejor</x:v>
      </x:c>
      <x:c r="J134" s="40" t="n">
        <x:v>17</x:v>
      </x:c>
      <x:c r="K134" s="40" t="n">
        <x:v>20</x:v>
      </x:c>
      <x:c r="L134" s="40" t="n">
        <x:v>100</x:v>
      </x:c>
      <x:c r="M134" s="40" t="n">
        <x:f>IF(OR(J134="",K134="",K134=0),"",J134/K134*L134)</x:f>
        <x:v>85</x:v>
      </x:c>
      <x:c r="N134" s="22" t="str">
        <x:f>IF(M134="","",IF(I134="Mayor es mejor",IF(M134&gt;=H134,"En meta",IF(M134&gt;=H134*0.9,"Alerta","Crítico")),IF(M134&lt;=H134,"En meta",IF(M134&lt;=H134*1.1,"Alerta","Crítico"))))</x:f>
        <x:v>Alerta</x:v>
      </x:c>
      <x:c r="O134" s="22" t="str">
        <x:v>%</x:v>
      </x:c>
      <x:c r="P134" s="22" t="str">
        <x:v>Líder SG-SST / Talento Humano</x:v>
      </x:c>
      <x:c r="Q134" s="22" t="str">
        <x:v>Plan de formación y capacitaciones</x:v>
      </x:c>
      <x:c r="R134" s="22" t="str"/>
    </x:row>
    <x:row r="135">
      <x:c r="A135" s="46" t="n">
        <x:v>45199</x:v>
      </x:c>
      <x:c r="B135" s="22" t="n">
        <x:v>2023</x:v>
      </x:c>
      <x:c r="C135" s="22" t="str">
        <x:v>Septiembre</x:v>
      </x:c>
      <x:c r="D135" s="22" t="str">
        <x:v>E03</x:v>
      </x:c>
      <x:c r="E135" s="22" t="str">
        <x:v>% trabajadores con exámenes médicos ocupacionales vigentes</x:v>
      </x:c>
      <x:c r="F135" s="22" t="str">
        <x:v>Estructura</x:v>
      </x:c>
      <x:c r="G135" s="22" t="str">
        <x:v>Mensual</x:v>
      </x:c>
      <x:c r="H135" s="40" t="n">
        <x:v>95</x:v>
      </x:c>
      <x:c r="I135" s="22" t="str">
        <x:v>Mayor es mejor</x:v>
      </x:c>
      <x:c r="J135" s="40" t="n">
        <x:v>191</x:v>
      </x:c>
      <x:c r="K135" s="40" t="n">
        <x:v>206</x:v>
      </x:c>
      <x:c r="L135" s="40" t="n">
        <x:v>100</x:v>
      </x:c>
      <x:c r="M135" s="40" t="n">
        <x:f>IF(OR(J135="",K135="",K135=0),"",J135/K135*L135)</x:f>
        <x:v>92.71844660194175</x:v>
      </x:c>
      <x:c r="N135" s="22" t="str">
        <x:f>IF(M135="","",IF(I135="Mayor es mejor",IF(M135&gt;=H135,"En meta",IF(M135&gt;=H135*0.9,"Alerta","Crítico")),IF(M135&lt;=H135,"En meta",IF(M135&lt;=H135*1.1,"Alerta","Crítico"))))</x:f>
        <x:v>Alerta</x:v>
      </x:c>
      <x:c r="O135" s="22" t="str">
        <x:v>%</x:v>
      </x:c>
      <x:c r="P135" s="22" t="str">
        <x:v>Líder SG-SST / Talento Humano</x:v>
      </x:c>
      <x:c r="Q135" s="22" t="str">
        <x:v>Matriz de seguimiento EMO</x:v>
      </x:c>
      <x:c r="R135" s="22" t="str"/>
    </x:row>
    <x:row r="136">
      <x:c r="A136" s="46" t="n">
        <x:v>45199</x:v>
      </x:c>
      <x:c r="B136" s="22" t="n">
        <x:v>2023</x:v>
      </x:c>
      <x:c r="C136" s="22" t="str">
        <x:v>Septiembre</x:v>
      </x:c>
      <x:c r="D136" s="22" t="str">
        <x:v>E04</x:v>
      </x:c>
      <x:c r="E136" s="22" t="str">
        <x:v>% cumplimiento de requisitos legales aplicables en SST</x:v>
      </x:c>
      <x:c r="F136" s="22" t="str">
        <x:v>Estructura</x:v>
      </x:c>
      <x:c r="G136" s="22" t="str">
        <x:v>Mensual</x:v>
      </x:c>
      <x:c r="H136" s="40" t="n">
        <x:v>95</x:v>
      </x:c>
      <x:c r="I136" s="22" t="str">
        <x:v>Mayor es mejor</x:v>
      </x:c>
      <x:c r="J136" s="40" t="n">
        <x:v>55</x:v>
      </x:c>
      <x:c r="K136" s="40" t="n">
        <x:v>60</x:v>
      </x:c>
      <x:c r="L136" s="40" t="n">
        <x:v>100</x:v>
      </x:c>
      <x:c r="M136" s="40" t="n">
        <x:f>IF(OR(J136="",K136="",K136=0),"",J136/K136*L136)</x:f>
        <x:v>91.66666666666666</x:v>
      </x:c>
      <x:c r="N136" s="22" t="str">
        <x:f>IF(M136="","",IF(I136="Mayor es mejor",IF(M136&gt;=H136,"En meta",IF(M136&gt;=H136*0.9,"Alerta","Crítico")),IF(M136&lt;=H136,"En meta",IF(M136&lt;=H136*1.1,"Alerta","Crítico"))))</x:f>
        <x:v>Alerta</x:v>
      </x:c>
      <x:c r="O136" s="22" t="str">
        <x:v>%</x:v>
      </x:c>
      <x:c r="P136" s="22" t="str">
        <x:v>Líder SG-SST / Jurídica</x:v>
      </x:c>
      <x:c r="Q136" s="22" t="str">
        <x:v>Matriz legal SGRL</x:v>
      </x:c>
      <x:c r="R136" s="22" t="str"/>
    </x:row>
    <x:row r="137">
      <x:c r="A137" s="46" t="n">
        <x:v>45199</x:v>
      </x:c>
      <x:c r="B137" s="22" t="n">
        <x:v>2023</x:v>
      </x:c>
      <x:c r="C137" s="22" t="str">
        <x:v>Septiembre</x:v>
      </x:c>
      <x:c r="D137" s="22" t="str">
        <x:v>E05</x:v>
      </x:c>
      <x:c r="E137" s="22" t="str">
        <x:v>% proveedores y contratistas aprobados en SST</x:v>
      </x:c>
      <x:c r="F137" s="22" t="str">
        <x:v>Estructura</x:v>
      </x:c>
      <x:c r="G137" s="22" t="str">
        <x:v>Mensual</x:v>
      </x:c>
      <x:c r="H137" s="40" t="n">
        <x:v>90</x:v>
      </x:c>
      <x:c r="I137" s="22" t="str">
        <x:v>Mayor es mejor</x:v>
      </x:c>
      <x:c r="J137" s="40" t="n">
        <x:v>18</x:v>
      </x:c>
      <x:c r="K137" s="40" t="n">
        <x:v>20</x:v>
      </x:c>
      <x:c r="L137" s="40" t="n">
        <x:v>100</x:v>
      </x:c>
      <x:c r="M137" s="40" t="n">
        <x:f>IF(OR(J137="",K137="",K137=0),"",J137/K137*L137)</x:f>
        <x:v>90</x:v>
      </x:c>
      <x:c r="N137" s="22" t="str">
        <x:f>IF(M137="","",IF(I137="Mayor es mejor",IF(M137&gt;=H137,"En meta",IF(M137&gt;=H137*0.9,"Alerta","Crítico")),IF(M137&lt;=H137,"En meta",IF(M137&lt;=H137*1.1,"Alerta","Crítico"))))</x:f>
        <x:v>En meta</x:v>
      </x:c>
      <x:c r="O137" s="22" t="str">
        <x:v>%</x:v>
      </x:c>
      <x:c r="P137" s="22" t="str">
        <x:v>Compras / Líder SG-SST</x:v>
      </x:c>
      <x:c r="Q137" s="22" t="str">
        <x:v>Gestión de proveedores y contratistas</x:v>
      </x:c>
      <x:c r="R137" s="22" t="str"/>
    </x:row>
    <x:row r="138">
      <x:c r="A138" s="46" t="n">
        <x:v>45199</x:v>
      </x:c>
      <x:c r="B138" s="22" t="n">
        <x:v>2023</x:v>
      </x:c>
      <x:c r="C138" s="22" t="str">
        <x:v>Septiembre</x:v>
      </x:c>
      <x:c r="D138" s="22" t="str">
        <x:v>P01</x:v>
      </x:c>
      <x:c r="E138" s="22" t="str">
        <x:v>% ejecución del plan anual de trabajo SG-SST</x:v>
      </x:c>
      <x:c r="F138" s="22" t="str">
        <x:v>Proceso</x:v>
      </x:c>
      <x:c r="G138" s="22" t="str">
        <x:v>Mensual</x:v>
      </x:c>
      <x:c r="H138" s="40" t="n">
        <x:v>90</x:v>
      </x:c>
      <x:c r="I138" s="22" t="str">
        <x:v>Mayor es mejor</x:v>
      </x:c>
      <x:c r="J138" s="40" t="n">
        <x:v>9</x:v>
      </x:c>
      <x:c r="K138" s="40" t="n">
        <x:v>10</x:v>
      </x:c>
      <x:c r="L138" s="40" t="n">
        <x:v>100</x:v>
      </x:c>
      <x:c r="M138" s="40" t="n">
        <x:f>IF(OR(J138="",K138="",K138=0),"",J138/K138*L138)</x:f>
        <x:v>90</x:v>
      </x:c>
      <x:c r="N138" s="22" t="str">
        <x:f>IF(M138="","",IF(I138="Mayor es mejor",IF(M138&gt;=H138,"En meta",IF(M138&gt;=H138*0.9,"Alerta","Crítico")),IF(M138&lt;=H138,"En meta",IF(M138&lt;=H138*1.1,"Alerta","Crítico"))))</x:f>
        <x:v>En meta</x:v>
      </x:c>
      <x:c r="O138" s="22" t="str">
        <x:v>%</x:v>
      </x:c>
      <x:c r="P138" s="22" t="str">
        <x:v>Líder SG-SST</x:v>
      </x:c>
      <x:c r="Q138" s="22" t="str">
        <x:v>Plan anual de trabajo PHVA</x:v>
      </x:c>
      <x:c r="R138" s="22" t="str"/>
    </x:row>
    <x:row r="139">
      <x:c r="A139" s="46" t="n">
        <x:v>45199</x:v>
      </x:c>
      <x:c r="B139" s="22" t="n">
        <x:v>2023</x:v>
      </x:c>
      <x:c r="C139" s="22" t="str">
        <x:v>Septiembre</x:v>
      </x:c>
      <x:c r="D139" s="22" t="str">
        <x:v>P02</x:v>
      </x:c>
      <x:c r="E139" s="22" t="str">
        <x:v>% investigaciones de accidentes realizadas oportunamente</x:v>
      </x:c>
      <x:c r="F139" s="22" t="str">
        <x:v>Proceso</x:v>
      </x:c>
      <x:c r="G139" s="22" t="str">
        <x:v>Mensual</x:v>
      </x:c>
      <x:c r="H139" s="40" t="n">
        <x:v>95</x:v>
      </x:c>
      <x:c r="I139" s="22" t="str">
        <x:v>Mayor es mejor</x:v>
      </x:c>
      <x:c r="J139" s="40" t="n">
        <x:v>1</x:v>
      </x:c>
      <x:c r="K139" s="40" t="n">
        <x:v>1</x:v>
      </x:c>
      <x:c r="L139" s="40" t="n">
        <x:v>100</x:v>
      </x:c>
      <x:c r="M139" s="40" t="n">
        <x:f>IF(OR(J139="",K139="",K139=0),"",J139/K139*L139)</x:f>
        <x:v>100</x:v>
      </x:c>
      <x:c r="N139" s="22" t="str">
        <x:f>IF(M139="","",IF(I139="Mayor es mejor",IF(M139&gt;=H139,"En meta",IF(M139&gt;=H139*0.9,"Alerta","Crítico")),IF(M139&lt;=H139,"En meta",IF(M139&lt;=H139*1.1,"Alerta","Crítico"))))</x:f>
        <x:v>En meta</x:v>
      </x:c>
      <x:c r="O139" s="22" t="str">
        <x:v>%</x:v>
      </x:c>
      <x:c r="P139" s="22" t="str">
        <x:v>Líder SG-SST / COPASST</x:v>
      </x:c>
      <x:c r="Q139" s="22" t="str">
        <x:v>Matriz de accidentalidad</x:v>
      </x:c>
      <x:c r="R139" s="22" t="str"/>
    </x:row>
    <x:row r="140">
      <x:c r="A140" s="46" t="n">
        <x:v>45199</x:v>
      </x:c>
      <x:c r="B140" s="22" t="n">
        <x:v>2023</x:v>
      </x:c>
      <x:c r="C140" s="22" t="str">
        <x:v>Septiembre</x:v>
      </x:c>
      <x:c r="D140" s="22" t="str">
        <x:v>P03</x:v>
      </x:c>
      <x:c r="E140" s="22" t="str">
        <x:v>% cierre oportuno de acciones correctivas, preventivas y de mejora</x:v>
      </x:c>
      <x:c r="F140" s="22" t="str">
        <x:v>Proceso</x:v>
      </x:c>
      <x:c r="G140" s="22" t="str">
        <x:v>Mensual</x:v>
      </x:c>
      <x:c r="H140" s="40" t="n">
        <x:v>90</x:v>
      </x:c>
      <x:c r="I140" s="22" t="str">
        <x:v>Mayor es mejor</x:v>
      </x:c>
      <x:c r="J140" s="40" t="n">
        <x:v>12</x:v>
      </x:c>
      <x:c r="K140" s="40" t="n">
        <x:v>14</x:v>
      </x:c>
      <x:c r="L140" s="40" t="n">
        <x:v>100</x:v>
      </x:c>
      <x:c r="M140" s="40" t="n">
        <x:f>IF(OR(J140="",K140="",K140=0),"",J140/K140*L140)</x:f>
        <x:v>85.71428571428571</x:v>
      </x:c>
      <x:c r="N140" s="22" t="str">
        <x:f>IF(M140="","",IF(I140="Mayor es mejor",IF(M140&gt;=H140,"En meta",IF(M140&gt;=H140*0.9,"Alerta","Crítico")),IF(M140&lt;=H140,"En meta",IF(M140&lt;=H140*1.1,"Alerta","Crítico"))))</x:f>
        <x:v>Alerta</x:v>
      </x:c>
      <x:c r="O140" s="22" t="str">
        <x:v>%</x:v>
      </x:c>
      <x:c r="P140" s="22" t="str">
        <x:v>Líder SG-SST / Responsables de proceso</x:v>
      </x:c>
      <x:c r="Q140" s="22" t="str">
        <x:v>Matriz APCM</x:v>
      </x:c>
      <x:c r="R140" s="22" t="str"/>
    </x:row>
    <x:row r="141">
      <x:c r="A141" s="46" t="n">
        <x:v>45199</x:v>
      </x:c>
      <x:c r="B141" s="22" t="n">
        <x:v>2023</x:v>
      </x:c>
      <x:c r="C141" s="22" t="str">
        <x:v>Septiembre</x:v>
      </x:c>
      <x:c r="D141" s="22" t="str">
        <x:v>P04</x:v>
      </x:c>
      <x:c r="E141" s="22" t="str">
        <x:v>% inspecciones de seguridad ejecutadas</x:v>
      </x:c>
      <x:c r="F141" s="22" t="str">
        <x:v>Proceso</x:v>
      </x:c>
      <x:c r="G141" s="22" t="str">
        <x:v>Mensual</x:v>
      </x:c>
      <x:c r="H141" s="40" t="n">
        <x:v>90</x:v>
      </x:c>
      <x:c r="I141" s="22" t="str">
        <x:v>Mayor es mejor</x:v>
      </x:c>
      <x:c r="J141" s="40" t="n">
        <x:v>8</x:v>
      </x:c>
      <x:c r="K141" s="40" t="n">
        <x:v>9</x:v>
      </x:c>
      <x:c r="L141" s="40" t="n">
        <x:v>100</x:v>
      </x:c>
      <x:c r="M141" s="40" t="n">
        <x:f>IF(OR(J141="",K141="",K141=0),"",J141/K141*L141)</x:f>
        <x:v>88.88888888888889</x:v>
      </x:c>
      <x:c r="N141" s="22" t="str">
        <x:f>IF(M141="","",IF(I141="Mayor es mejor",IF(M141&gt;=H141,"En meta",IF(M141&gt;=H141*0.9,"Alerta","Crítico")),IF(M141&lt;=H141,"En meta",IF(M141&lt;=H141*1.1,"Alerta","Crítico"))))</x:f>
        <x:v>Alerta</x:v>
      </x:c>
      <x:c r="O141" s="22" t="str">
        <x:v>%</x:v>
      </x:c>
      <x:c r="P141" s="22" t="str">
        <x:v>Líder SG-SST / Supervisores</x:v>
      </x:c>
      <x:c r="Q141" s="22" t="str">
        <x:v>Programa de inspecciones</x:v>
      </x:c>
      <x:c r="R141" s="22" t="str"/>
    </x:row>
    <x:row r="142">
      <x:c r="A142" s="46" t="n">
        <x:v>45199</x:v>
      </x:c>
      <x:c r="B142" s="22" t="n">
        <x:v>2023</x:v>
      </x:c>
      <x:c r="C142" s="22" t="str">
        <x:v>Septiembre</x:v>
      </x:c>
      <x:c r="D142" s="22" t="str">
        <x:v>P05</x:v>
      </x:c>
      <x:c r="E142" s="22" t="str">
        <x:v>% mantenimientos preventivos ejecutados</x:v>
      </x:c>
      <x:c r="F142" s="22" t="str">
        <x:v>Proceso</x:v>
      </x:c>
      <x:c r="G142" s="22" t="str">
        <x:v>Mensual</x:v>
      </x:c>
      <x:c r="H142" s="40" t="n">
        <x:v>90</x:v>
      </x:c>
      <x:c r="I142" s="22" t="str">
        <x:v>Mayor es mejor</x:v>
      </x:c>
      <x:c r="J142" s="40" t="n">
        <x:v>12</x:v>
      </x:c>
      <x:c r="K142" s="40" t="n">
        <x:v>13</x:v>
      </x:c>
      <x:c r="L142" s="40" t="n">
        <x:v>100</x:v>
      </x:c>
      <x:c r="M142" s="40" t="n">
        <x:f>IF(OR(J142="",K142="",K142=0),"",J142/K142*L142)</x:f>
        <x:v>92.3076923076923</x:v>
      </x:c>
      <x:c r="N142" s="22" t="str">
        <x:f>IF(M142="","",IF(I142="Mayor es mejor",IF(M142&gt;=H142,"En meta",IF(M142&gt;=H142*0.9,"Alerta","Crítico")),IF(M142&lt;=H142,"En meta",IF(M142&lt;=H142*1.1,"Alerta","Crítico"))))</x:f>
        <x:v>En meta</x:v>
      </x:c>
      <x:c r="O142" s="22" t="str">
        <x:v>%</x:v>
      </x:c>
      <x:c r="P142" s="22" t="str">
        <x:v>Mantenimiento / Líder SG-SST</x:v>
      </x:c>
      <x:c r="Q142" s="22" t="str">
        <x:v>Programa de mantenimiento preventivo</x:v>
      </x:c>
      <x:c r="R142" s="22" t="str"/>
    </x:row>
    <x:row r="143">
      <x:c r="A143" s="46" t="n">
        <x:v>45199</x:v>
      </x:c>
      <x:c r="B143" s="22" t="n">
        <x:v>2023</x:v>
      </x:c>
      <x:c r="C143" s="22" t="str">
        <x:v>Septiembre</x:v>
      </x:c>
      <x:c r="D143" s="22" t="str">
        <x:v>R01</x:v>
      </x:c>
      <x:c r="E143" s="22" t="str">
        <x:v>Índice de frecuencia de accidentalidad (IF)</x:v>
      </x:c>
      <x:c r="F143" s="22" t="str">
        <x:v>Resultado</x:v>
      </x:c>
      <x:c r="G143" s="22" t="str">
        <x:v>Mensual</x:v>
      </x:c>
      <x:c r="H143" s="40" t="n">
        <x:v>3.5</x:v>
      </x:c>
      <x:c r="I143" s="22" t="str">
        <x:v>Menor es mejor</x:v>
      </x:c>
      <x:c r="J143" s="40" t="n">
        <x:v>1</x:v>
      </x:c>
      <x:c r="K143" s="40" t="n">
        <x:v>48305</x:v>
      </x:c>
      <x:c r="L143" s="40" t="n">
        <x:v>200000</x:v>
      </x:c>
      <x:c r="M143" s="40" t="n">
        <x:f>IF(OR(J143="",K143="",K143=0),"",J143/K143*L143)</x:f>
        <x:v>4.1403581409791945</x:v>
      </x:c>
      <x:c r="N143" s="22" t="str">
        <x:f>IF(M143="","",IF(I143="Mayor es mejor",IF(M143&gt;=H143,"En meta",IF(M143&gt;=H143*0.9,"Alerta","Crítico")),IF(M143&lt;=H143,"En meta",IF(M143&lt;=H143*1.1,"Alerta","Crítico"))))</x:f>
        <x:v>Crítico</x:v>
      </x:c>
      <x:c r="O143" s="22" t="str">
        <x:v>Índice</x:v>
      </x:c>
      <x:c r="P143" s="22" t="str">
        <x:v>Líder SG-SST</x:v>
      </x:c>
      <x:c r="Q143" s="22" t="str">
        <x:v>Matriz de accidentalidad / nómina</x:v>
      </x:c>
      <x:c r="R143" s="22" t="str"/>
    </x:row>
    <x:row r="144">
      <x:c r="A144" s="46" t="n">
        <x:v>45199</x:v>
      </x:c>
      <x:c r="B144" s="22" t="n">
        <x:v>2023</x:v>
      </x:c>
      <x:c r="C144" s="22" t="str">
        <x:v>Septiembre</x:v>
      </x:c>
      <x:c r="D144" s="22" t="str">
        <x:v>R02</x:v>
      </x:c>
      <x:c r="E144" s="22" t="str">
        <x:v>Índice de severidad de accidentalidad (IS)</x:v>
      </x:c>
      <x:c r="F144" s="22" t="str">
        <x:v>Resultado</x:v>
      </x:c>
      <x:c r="G144" s="22" t="str">
        <x:v>Mensual</x:v>
      </x:c>
      <x:c r="H144" s="40" t="n">
        <x:v>80</x:v>
      </x:c>
      <x:c r="I144" s="22" t="str">
        <x:v>Menor es mejor</x:v>
      </x:c>
      <x:c r="J144" s="40" t="n">
        <x:v>17</x:v>
      </x:c>
      <x:c r="K144" s="40" t="n">
        <x:v>48305</x:v>
      </x:c>
      <x:c r="L144" s="40" t="n">
        <x:v>200000</x:v>
      </x:c>
      <x:c r="M144" s="40" t="n">
        <x:f>IF(OR(J144="",K144="",K144=0),"",J144/K144*L144)</x:f>
        <x:v>70.38608839664631</x:v>
      </x:c>
      <x:c r="N144" s="22" t="str">
        <x:f>IF(M144="","",IF(I144="Mayor es mejor",IF(M144&gt;=H144,"En meta",IF(M144&gt;=H144*0.9,"Alerta","Crítico")),IF(M144&lt;=H144,"En meta",IF(M144&lt;=H144*1.1,"Alerta","Crítico"))))</x:f>
        <x:v>En meta</x:v>
      </x:c>
      <x:c r="O144" s="22" t="str">
        <x:v>Índice</x:v>
      </x:c>
      <x:c r="P144" s="22" t="str">
        <x:v>Líder SG-SST</x:v>
      </x:c>
      <x:c r="Q144" s="22" t="str">
        <x:v>Matriz de accidentalidad / nómina</x:v>
      </x:c>
      <x:c r="R144" s="22" t="str"/>
    </x:row>
    <x:row r="145">
      <x:c r="A145" s="46" t="n">
        <x:v>45199</x:v>
      </x:c>
      <x:c r="B145" s="22" t="n">
        <x:v>2023</x:v>
      </x:c>
      <x:c r="C145" s="22" t="str">
        <x:v>Septiembre</x:v>
      </x:c>
      <x:c r="D145" s="22" t="str">
        <x:v>R03</x:v>
      </x:c>
      <x:c r="E145" s="22" t="str">
        <x:v>Índice de lesión incapacitante (ILI)</x:v>
      </x:c>
      <x:c r="F145" s="22" t="str">
        <x:v>Resultado</x:v>
      </x:c>
      <x:c r="G145" s="22" t="str">
        <x:v>Mensual</x:v>
      </x:c>
      <x:c r="H145" s="40" t="n">
        <x:v>0.25</x:v>
      </x:c>
      <x:c r="I145" s="22" t="str">
        <x:v>Menor es mejor</x:v>
      </x:c>
      <x:c r="J145" s="40" t="n">
        <x:v>291.4236</x:v>
      </x:c>
      <x:c r="K145" s="40" t="n">
        <x:v>1000</x:v>
      </x:c>
      <x:c r="L145" s="40" t="n">
        <x:v>1</x:v>
      </x:c>
      <x:c r="M145" s="40" t="n">
        <x:f>IF(OR(J145="",K145="",K145=0),"",J145/K145*L145)</x:f>
        <x:v>0.2914236</x:v>
      </x:c>
      <x:c r="N145" s="22" t="str">
        <x:f>IF(M145="","",IF(I145="Mayor es mejor",IF(M145&gt;=H145,"En meta",IF(M145&gt;=H145*0.9,"Alerta","Crítico")),IF(M145&lt;=H145,"En meta",IF(M145&lt;=H145*1.1,"Alerta","Crítico"))))</x:f>
        <x:v>Crítico</x:v>
      </x:c>
      <x:c r="O145" s="22" t="str">
        <x:v>Índice</x:v>
      </x:c>
      <x:c r="P145" s="22" t="str">
        <x:v>Líder SG-SST</x:v>
      </x:c>
      <x:c r="Q145" s="22" t="str">
        <x:v>Indicadores derivados de accidentalidad</x:v>
      </x:c>
      <x:c r="R145" s="22" t="str">
        <x:v>ILI calculado sobre IF e IS del periodo.</x:v>
      </x:c>
    </x:row>
    <x:row r="146">
      <x:c r="A146" s="46" t="n">
        <x:v>45199</x:v>
      </x:c>
      <x:c r="B146" s="22" t="n">
        <x:v>2023</x:v>
      </x:c>
      <x:c r="C146" s="22" t="str">
        <x:v>Septiembre</x:v>
      </x:c>
      <x:c r="D146" s="22" t="str">
        <x:v>R04</x:v>
      </x:c>
      <x:c r="E146" s="22" t="str">
        <x:v>Tasa de accidentalidad</x:v>
      </x:c>
      <x:c r="F146" s="22" t="str">
        <x:v>Resultado</x:v>
      </x:c>
      <x:c r="G146" s="22" t="str">
        <x:v>Mensual</x:v>
      </x:c>
      <x:c r="H146" s="40" t="n">
        <x:v>0.6</x:v>
      </x:c>
      <x:c r="I146" s="22" t="str">
        <x:v>Menor es mejor</x:v>
      </x:c>
      <x:c r="J146" s="40" t="n">
        <x:v>2.65</x:v>
      </x:c>
      <x:c r="K146" s="40" t="n">
        <x:v>206</x:v>
      </x:c>
      <x:c r="L146" s="40" t="n">
        <x:v>100</x:v>
      </x:c>
      <x:c r="M146" s="40" t="n">
        <x:f>IF(OR(J146="",K146="",K146=0),"",J146/K146*L146)</x:f>
        <x:v>1.2864077669902914</x:v>
      </x:c>
      <x:c r="N146" s="22" t="str">
        <x:f>IF(M146="","",IF(I146="Mayor es mejor",IF(M146&gt;=H146,"En meta",IF(M146&gt;=H146*0.9,"Alerta","Crítico")),IF(M146&lt;=H146,"En meta",IF(M146&lt;=H146*1.1,"Alerta","Crítico"))))</x:f>
        <x:v>Crítico</x:v>
      </x:c>
      <x:c r="O146" s="22" t="str">
        <x:v>%</x:v>
      </x:c>
      <x:c r="P146" s="22" t="str">
        <x:v>Líder SG-SST</x:v>
      </x:c>
      <x:c r="Q146" s="22" t="str">
        <x:v>Matriz de accidentalidad / nómina</x:v>
      </x:c>
      <x:c r="R146" s="22" t="str"/>
    </x:row>
    <x:row r="147">
      <x:c r="A147" s="46" t="n">
        <x:v>45199</x:v>
      </x:c>
      <x:c r="B147" s="22" t="n">
        <x:v>2023</x:v>
      </x:c>
      <x:c r="C147" s="22" t="str">
        <x:v>Septiembre</x:v>
      </x:c>
      <x:c r="D147" s="22" t="str">
        <x:v>R05</x:v>
      </x:c>
      <x:c r="E147" s="22" t="str">
        <x:v>Prevalencia de enfermedad laboral</x:v>
      </x:c>
      <x:c r="F147" s="22" t="str">
        <x:v>Resultado</x:v>
      </x:c>
      <x:c r="G147" s="22" t="str">
        <x:v>Mensual</x:v>
      </x:c>
      <x:c r="H147" s="40" t="n">
        <x:v>0.3</x:v>
      </x:c>
      <x:c r="I147" s="22" t="str">
        <x:v>Menor es mejor</x:v>
      </x:c>
      <x:c r="J147" s="40" t="n">
        <x:v>0.62</x:v>
      </x:c>
      <x:c r="K147" s="40" t="n">
        <x:v>206</x:v>
      </x:c>
      <x:c r="L147" s="40" t="n">
        <x:v>100</x:v>
      </x:c>
      <x:c r="M147" s="40" t="n">
        <x:f>IF(OR(J147="",K147="",K147=0),"",J147/K147*L147)</x:f>
        <x:v>0.3009708737864078</x:v>
      </x:c>
      <x:c r="N147" s="22" t="str">
        <x:f>IF(M147="","",IF(I147="Mayor es mejor",IF(M147&gt;=H147,"En meta",IF(M147&gt;=H147*0.9,"Alerta","Crítico")),IF(M147&lt;=H147,"En meta",IF(M147&lt;=H147*1.1,"Alerta","Crítico"))))</x:f>
        <x:v>Alerta</x:v>
      </x:c>
      <x:c r="O147" s="22" t="str">
        <x:v>%</x:v>
      </x:c>
      <x:c r="P147" s="22" t="str">
        <x:v>Líder SG-SST / Medicina laboral</x:v>
      </x:c>
      <x:c r="Q147" s="22" t="str">
        <x:v>Matriz de enfermedad laboral / nómina</x:v>
      </x:c>
      <x:c r="R147" s="22" t="str"/>
    </x:row>
    <x:row r="148">
      <x:c r="A148" s="46" t="n">
        <x:v>45199</x:v>
      </x:c>
      <x:c r="B148" s="22" t="n">
        <x:v>2023</x:v>
      </x:c>
      <x:c r="C148" s="22" t="str">
        <x:v>Septiembre</x:v>
      </x:c>
      <x:c r="D148" s="22" t="str">
        <x:v>R06</x:v>
      </x:c>
      <x:c r="E148" s="22" t="str">
        <x:v>% cumplimiento de estándares mínimos Res. 0312 de 2019</x:v>
      </x:c>
      <x:c r="F148" s="22" t="str">
        <x:v>Resultado</x:v>
      </x:c>
      <x:c r="G148" s="22" t="str">
        <x:v>Mensual</x:v>
      </x:c>
      <x:c r="H148" s="40" t="n">
        <x:v>95</x:v>
      </x:c>
      <x:c r="I148" s="22" t="str">
        <x:v>Mayor es mejor</x:v>
      </x:c>
      <x:c r="J148" s="40" t="n">
        <x:v>96</x:v>
      </x:c>
      <x:c r="K148" s="40" t="n">
        <x:v>100</x:v>
      </x:c>
      <x:c r="L148" s="40" t="n">
        <x:v>100</x:v>
      </x:c>
      <x:c r="M148" s="40" t="n">
        <x:f>IF(OR(J148="",K148="",K148=0),"",J148/K148*L148)</x:f>
        <x:v>96</x:v>
      </x:c>
      <x:c r="N148" s="22" t="str">
        <x:f>IF(M148="","",IF(I148="Mayor es mejor",IF(M148&gt;=H148,"En meta",IF(M148&gt;=H148*0.9,"Alerta","Crítico")),IF(M148&lt;=H148,"En meta",IF(M148&lt;=H148*1.1,"Alerta","Crítico"))))</x:f>
        <x:v>En meta</x:v>
      </x:c>
      <x:c r="O148" s="22" t="str">
        <x:v>%</x:v>
      </x:c>
      <x:c r="P148" s="22" t="str">
        <x:v>Líder SG-SST / Alta Dirección</x:v>
      </x:c>
      <x:c r="Q148" s="22" t="str">
        <x:v>Autodiagnóstico Res. 0312 de 2019</x:v>
      </x:c>
      <x:c r="R148" s="22" t="str"/>
    </x:row>
    <x:row r="149">
      <x:c r="A149" s="46" t="n">
        <x:v>45230</x:v>
      </x:c>
      <x:c r="B149" s="22" t="n">
        <x:v>2023</x:v>
      </x:c>
      <x:c r="C149" s="22" t="str">
        <x:v>Octubre</x:v>
      </x:c>
      <x:c r="D149" s="22" t="str">
        <x:v>E01</x:v>
      </x:c>
      <x:c r="E149" s="22" t="str">
        <x:v>% ejecución presupuestal del SG-SST</x:v>
      </x:c>
      <x:c r="F149" s="22" t="str">
        <x:v>Estructura</x:v>
      </x:c>
      <x:c r="G149" s="22" t="str">
        <x:v>Mensual</x:v>
      </x:c>
      <x:c r="H149" s="40" t="n">
        <x:v>95</x:v>
      </x:c>
      <x:c r="I149" s="22" t="str">
        <x:v>Mayor es mejor</x:v>
      </x:c>
      <x:c r="J149" s="40" t="n">
        <x:v>8212929</x:v>
      </x:c>
      <x:c r="K149" s="40" t="n">
        <x:v>9000000</x:v>
      </x:c>
      <x:c r="L149" s="40" t="n">
        <x:v>100</x:v>
      </x:c>
      <x:c r="M149" s="40" t="n">
        <x:f>IF(OR(J149="",K149="",K149=0),"",J149/K149*L149)</x:f>
        <x:v>91.25476666666667</x:v>
      </x:c>
      <x:c r="N149" s="22" t="str">
        <x:f>IF(M149="","",IF(I149="Mayor es mejor",IF(M149&gt;=H149,"En meta",IF(M149&gt;=H149*0.9,"Alerta","Crítico")),IF(M149&lt;=H149,"En meta",IF(M149&lt;=H149*1.1,"Alerta","Crítico"))))</x:f>
        <x:v>Alerta</x:v>
      </x:c>
      <x:c r="O149" s="22" t="str">
        <x:v>%</x:v>
      </x:c>
      <x:c r="P149" s="22" t="str">
        <x:v>Líder SG-SST / Dirección Administrativa</x:v>
      </x:c>
      <x:c r="Q149" s="22" t="str">
        <x:v>Presupuesto SST</x:v>
      </x:c>
      <x:c r="R149" s="22" t="str"/>
    </x:row>
    <x:row r="150">
      <x:c r="A150" s="46" t="n">
        <x:v>45230</x:v>
      </x:c>
      <x:c r="B150" s="22" t="n">
        <x:v>2023</x:v>
      </x:c>
      <x:c r="C150" s="22" t="str">
        <x:v>Octubre</x:v>
      </x:c>
      <x:c r="D150" s="22" t="str">
        <x:v>E02</x:v>
      </x:c>
      <x:c r="E150" s="22" t="str">
        <x:v>% cobertura del plan de formación y capacitación SG-SST</x:v>
      </x:c>
      <x:c r="F150" s="22" t="str">
        <x:v>Estructura</x:v>
      </x:c>
      <x:c r="G150" s="22" t="str">
        <x:v>Mensual</x:v>
      </x:c>
      <x:c r="H150" s="40" t="n">
        <x:v>90</x:v>
      </x:c>
      <x:c r="I150" s="22" t="str">
        <x:v>Mayor es mejor</x:v>
      </x:c>
      <x:c r="J150" s="40" t="n">
        <x:v>19</x:v>
      </x:c>
      <x:c r="K150" s="40" t="n">
        <x:v>22</x:v>
      </x:c>
      <x:c r="L150" s="40" t="n">
        <x:v>100</x:v>
      </x:c>
      <x:c r="M150" s="40" t="n">
        <x:f>IF(OR(J150="",K150="",K150=0),"",J150/K150*L150)</x:f>
        <x:v>86.36363636363636</x:v>
      </x:c>
      <x:c r="N150" s="22" t="str">
        <x:f>IF(M150="","",IF(I150="Mayor es mejor",IF(M150&gt;=H150,"En meta",IF(M150&gt;=H150*0.9,"Alerta","Crítico")),IF(M150&lt;=H150,"En meta",IF(M150&lt;=H150*1.1,"Alerta","Crítico"))))</x:f>
        <x:v>Alerta</x:v>
      </x:c>
      <x:c r="O150" s="22" t="str">
        <x:v>%</x:v>
      </x:c>
      <x:c r="P150" s="22" t="str">
        <x:v>Líder SG-SST / Talento Humano</x:v>
      </x:c>
      <x:c r="Q150" s="22" t="str">
        <x:v>Plan de formación y capacitaciones</x:v>
      </x:c>
      <x:c r="R150" s="22" t="str"/>
    </x:row>
    <x:row r="151">
      <x:c r="A151" s="46" t="n">
        <x:v>45230</x:v>
      </x:c>
      <x:c r="B151" s="22" t="n">
        <x:v>2023</x:v>
      </x:c>
      <x:c r="C151" s="22" t="str">
        <x:v>Octubre</x:v>
      </x:c>
      <x:c r="D151" s="22" t="str">
        <x:v>E03</x:v>
      </x:c>
      <x:c r="E151" s="22" t="str">
        <x:v>% trabajadores con exámenes médicos ocupacionales vigentes</x:v>
      </x:c>
      <x:c r="F151" s="22" t="str">
        <x:v>Estructura</x:v>
      </x:c>
      <x:c r="G151" s="22" t="str">
        <x:v>Mensual</x:v>
      </x:c>
      <x:c r="H151" s="40" t="n">
        <x:v>95</x:v>
      </x:c>
      <x:c r="I151" s="22" t="str">
        <x:v>Mayor es mejor</x:v>
      </x:c>
      <x:c r="J151" s="40" t="n">
        <x:v>199</x:v>
      </x:c>
      <x:c r="K151" s="40" t="n">
        <x:v>211</x:v>
      </x:c>
      <x:c r="L151" s="40" t="n">
        <x:v>100</x:v>
      </x:c>
      <x:c r="M151" s="40" t="n">
        <x:f>IF(OR(J151="",K151="",K151=0),"",J151/K151*L151)</x:f>
        <x:v>94.3127962085308</x:v>
      </x:c>
      <x:c r="N151" s="22" t="str">
        <x:f>IF(M151="","",IF(I151="Mayor es mejor",IF(M151&gt;=H151,"En meta",IF(M151&gt;=H151*0.9,"Alerta","Crítico")),IF(M151&lt;=H151,"En meta",IF(M151&lt;=H151*1.1,"Alerta","Crítico"))))</x:f>
        <x:v>Alerta</x:v>
      </x:c>
      <x:c r="O151" s="22" t="str">
        <x:v>%</x:v>
      </x:c>
      <x:c r="P151" s="22" t="str">
        <x:v>Líder SG-SST / Talento Humano</x:v>
      </x:c>
      <x:c r="Q151" s="22" t="str">
        <x:v>Matriz de seguimiento EMO</x:v>
      </x:c>
      <x:c r="R151" s="22" t="str"/>
    </x:row>
    <x:row r="152">
      <x:c r="A152" s="46" t="n">
        <x:v>45230</x:v>
      </x:c>
      <x:c r="B152" s="22" t="n">
        <x:v>2023</x:v>
      </x:c>
      <x:c r="C152" s="22" t="str">
        <x:v>Octubre</x:v>
      </x:c>
      <x:c r="D152" s="22" t="str">
        <x:v>E04</x:v>
      </x:c>
      <x:c r="E152" s="22" t="str">
        <x:v>% cumplimiento de requisitos legales aplicables en SST</x:v>
      </x:c>
      <x:c r="F152" s="22" t="str">
        <x:v>Estructura</x:v>
      </x:c>
      <x:c r="G152" s="22" t="str">
        <x:v>Mensual</x:v>
      </x:c>
      <x:c r="H152" s="40" t="n">
        <x:v>95</x:v>
      </x:c>
      <x:c r="I152" s="22" t="str">
        <x:v>Mayor es mejor</x:v>
      </x:c>
      <x:c r="J152" s="40" t="n">
        <x:v>56</x:v>
      </x:c>
      <x:c r="K152" s="40" t="n">
        <x:v>60</x:v>
      </x:c>
      <x:c r="L152" s="40" t="n">
        <x:v>100</x:v>
      </x:c>
      <x:c r="M152" s="40" t="n">
        <x:f>IF(OR(J152="",K152="",K152=0),"",J152/K152*L152)</x:f>
        <x:v>93.33333333333333</x:v>
      </x:c>
      <x:c r="N152" s="22" t="str">
        <x:f>IF(M152="","",IF(I152="Mayor es mejor",IF(M152&gt;=H152,"En meta",IF(M152&gt;=H152*0.9,"Alerta","Crítico")),IF(M152&lt;=H152,"En meta",IF(M152&lt;=H152*1.1,"Alerta","Crítico"))))</x:f>
        <x:v>Alerta</x:v>
      </x:c>
      <x:c r="O152" s="22" t="str">
        <x:v>%</x:v>
      </x:c>
      <x:c r="P152" s="22" t="str">
        <x:v>Líder SG-SST / Jurídica</x:v>
      </x:c>
      <x:c r="Q152" s="22" t="str">
        <x:v>Matriz legal SGRL</x:v>
      </x:c>
      <x:c r="R152" s="22" t="str"/>
    </x:row>
    <x:row r="153">
      <x:c r="A153" s="46" t="n">
        <x:v>45230</x:v>
      </x:c>
      <x:c r="B153" s="22" t="n">
        <x:v>2023</x:v>
      </x:c>
      <x:c r="C153" s="22" t="str">
        <x:v>Octubre</x:v>
      </x:c>
      <x:c r="D153" s="22" t="str">
        <x:v>E05</x:v>
      </x:c>
      <x:c r="E153" s="22" t="str">
        <x:v>% proveedores y contratistas aprobados en SST</x:v>
      </x:c>
      <x:c r="F153" s="22" t="str">
        <x:v>Estructura</x:v>
      </x:c>
      <x:c r="G153" s="22" t="str">
        <x:v>Mensual</x:v>
      </x:c>
      <x:c r="H153" s="40" t="n">
        <x:v>90</x:v>
      </x:c>
      <x:c r="I153" s="22" t="str">
        <x:v>Mayor es mejor</x:v>
      </x:c>
      <x:c r="J153" s="40" t="n">
        <x:v>18</x:v>
      </x:c>
      <x:c r="K153" s="40" t="n">
        <x:v>20</x:v>
      </x:c>
      <x:c r="L153" s="40" t="n">
        <x:v>100</x:v>
      </x:c>
      <x:c r="M153" s="40" t="n">
        <x:f>IF(OR(J153="",K153="",K153=0),"",J153/K153*L153)</x:f>
        <x:v>90</x:v>
      </x:c>
      <x:c r="N153" s="22" t="str">
        <x:f>IF(M153="","",IF(I153="Mayor es mejor",IF(M153&gt;=H153,"En meta",IF(M153&gt;=H153*0.9,"Alerta","Crítico")),IF(M153&lt;=H153,"En meta",IF(M153&lt;=H153*1.1,"Alerta","Crítico"))))</x:f>
        <x:v>En meta</x:v>
      </x:c>
      <x:c r="O153" s="22" t="str">
        <x:v>%</x:v>
      </x:c>
      <x:c r="P153" s="22" t="str">
        <x:v>Compras / Líder SG-SST</x:v>
      </x:c>
      <x:c r="Q153" s="22" t="str">
        <x:v>Gestión de proveedores y contratistas</x:v>
      </x:c>
      <x:c r="R153" s="22" t="str"/>
    </x:row>
    <x:row r="154">
      <x:c r="A154" s="46" t="n">
        <x:v>45230</x:v>
      </x:c>
      <x:c r="B154" s="22" t="n">
        <x:v>2023</x:v>
      </x:c>
      <x:c r="C154" s="22" t="str">
        <x:v>Octubre</x:v>
      </x:c>
      <x:c r="D154" s="22" t="str">
        <x:v>P01</x:v>
      </x:c>
      <x:c r="E154" s="22" t="str">
        <x:v>% ejecución del plan anual de trabajo SG-SST</x:v>
      </x:c>
      <x:c r="F154" s="22" t="str">
        <x:v>Proceso</x:v>
      </x:c>
      <x:c r="G154" s="22" t="str">
        <x:v>Mensual</x:v>
      </x:c>
      <x:c r="H154" s="40" t="n">
        <x:v>90</x:v>
      </x:c>
      <x:c r="I154" s="22" t="str">
        <x:v>Mayor es mejor</x:v>
      </x:c>
      <x:c r="J154" s="40" t="n">
        <x:v>11</x:v>
      </x:c>
      <x:c r="K154" s="40" t="n">
        <x:v>12</x:v>
      </x:c>
      <x:c r="L154" s="40" t="n">
        <x:v>100</x:v>
      </x:c>
      <x:c r="M154" s="40" t="n">
        <x:f>IF(OR(J154="",K154="",K154=0),"",J154/K154*L154)</x:f>
        <x:v>91.66666666666666</x:v>
      </x:c>
      <x:c r="N154" s="22" t="str">
        <x:f>IF(M154="","",IF(I154="Mayor es mejor",IF(M154&gt;=H154,"En meta",IF(M154&gt;=H154*0.9,"Alerta","Crítico")),IF(M154&lt;=H154,"En meta",IF(M154&lt;=H154*1.1,"Alerta","Crítico"))))</x:f>
        <x:v>En meta</x:v>
      </x:c>
      <x:c r="O154" s="22" t="str">
        <x:v>%</x:v>
      </x:c>
      <x:c r="P154" s="22" t="str">
        <x:v>Líder SG-SST</x:v>
      </x:c>
      <x:c r="Q154" s="22" t="str">
        <x:v>Plan anual de trabajo PHVA</x:v>
      </x:c>
      <x:c r="R154" s="22" t="str"/>
    </x:row>
    <x:row r="155">
      <x:c r="A155" s="46" t="n">
        <x:v>45230</x:v>
      </x:c>
      <x:c r="B155" s="22" t="n">
        <x:v>2023</x:v>
      </x:c>
      <x:c r="C155" s="22" t="str">
        <x:v>Octubre</x:v>
      </x:c>
      <x:c r="D155" s="22" t="str">
        <x:v>P02</x:v>
      </x:c>
      <x:c r="E155" s="22" t="str">
        <x:v>% investigaciones de accidentes realizadas oportunamente</x:v>
      </x:c>
      <x:c r="F155" s="22" t="str">
        <x:v>Proceso</x:v>
      </x:c>
      <x:c r="G155" s="22" t="str">
        <x:v>Mensual</x:v>
      </x:c>
      <x:c r="H155" s="40" t="n">
        <x:v>95</x:v>
      </x:c>
      <x:c r="I155" s="22" t="str">
        <x:v>Mayor es mejor</x:v>
      </x:c>
      <x:c r="J155" s="40" t="n">
        <x:v>1</x:v>
      </x:c>
      <x:c r="K155" s="40" t="n">
        <x:v>1</x:v>
      </x:c>
      <x:c r="L155" s="40" t="n">
        <x:v>100</x:v>
      </x:c>
      <x:c r="M155" s="40" t="n">
        <x:f>IF(OR(J155="",K155="",K155=0),"",J155/K155*L155)</x:f>
        <x:v>100</x:v>
      </x:c>
      <x:c r="N155" s="22" t="str">
        <x:f>IF(M155="","",IF(I155="Mayor es mejor",IF(M155&gt;=H155,"En meta",IF(M155&gt;=H155*0.9,"Alerta","Crítico")),IF(M155&lt;=H155,"En meta",IF(M155&lt;=H155*1.1,"Alerta","Crítico"))))</x:f>
        <x:v>En meta</x:v>
      </x:c>
      <x:c r="O155" s="22" t="str">
        <x:v>%</x:v>
      </x:c>
      <x:c r="P155" s="22" t="str">
        <x:v>Líder SG-SST / COPASST</x:v>
      </x:c>
      <x:c r="Q155" s="22" t="str">
        <x:v>Matriz de accidentalidad</x:v>
      </x:c>
      <x:c r="R155" s="22" t="str"/>
    </x:row>
    <x:row r="156">
      <x:c r="A156" s="46" t="n">
        <x:v>45230</x:v>
      </x:c>
      <x:c r="B156" s="22" t="n">
        <x:v>2023</x:v>
      </x:c>
      <x:c r="C156" s="22" t="str">
        <x:v>Octubre</x:v>
      </x:c>
      <x:c r="D156" s="22" t="str">
        <x:v>P03</x:v>
      </x:c>
      <x:c r="E156" s="22" t="str">
        <x:v>% cierre oportuno de acciones correctivas, preventivas y de mejora</x:v>
      </x:c>
      <x:c r="F156" s="22" t="str">
        <x:v>Proceso</x:v>
      </x:c>
      <x:c r="G156" s="22" t="str">
        <x:v>Mensual</x:v>
      </x:c>
      <x:c r="H156" s="40" t="n">
        <x:v>90</x:v>
      </x:c>
      <x:c r="I156" s="22" t="str">
        <x:v>Mayor es mejor</x:v>
      </x:c>
      <x:c r="J156" s="40" t="n">
        <x:v>8</x:v>
      </x:c>
      <x:c r="K156" s="40" t="n">
        <x:v>10</x:v>
      </x:c>
      <x:c r="L156" s="40" t="n">
        <x:v>100</x:v>
      </x:c>
      <x:c r="M156" s="40" t="n">
        <x:f>IF(OR(J156="",K156="",K156=0),"",J156/K156*L156)</x:f>
        <x:v>80</x:v>
      </x:c>
      <x:c r="N156" s="22" t="str">
        <x:f>IF(M156="","",IF(I156="Mayor es mejor",IF(M156&gt;=H156,"En meta",IF(M156&gt;=H156*0.9,"Alerta","Crítico")),IF(M156&lt;=H156,"En meta",IF(M156&lt;=H156*1.1,"Alerta","Crítico"))))</x:f>
        <x:v>Crítico</x:v>
      </x:c>
      <x:c r="O156" s="22" t="str">
        <x:v>%</x:v>
      </x:c>
      <x:c r="P156" s="22" t="str">
        <x:v>Líder SG-SST / Responsables de proceso</x:v>
      </x:c>
      <x:c r="Q156" s="22" t="str">
        <x:v>Matriz APCM</x:v>
      </x:c>
      <x:c r="R156" s="22" t="str"/>
    </x:row>
    <x:row r="157">
      <x:c r="A157" s="46" t="n">
        <x:v>45230</x:v>
      </x:c>
      <x:c r="B157" s="22" t="n">
        <x:v>2023</x:v>
      </x:c>
      <x:c r="C157" s="22" t="str">
        <x:v>Octubre</x:v>
      </x:c>
      <x:c r="D157" s="22" t="str">
        <x:v>P04</x:v>
      </x:c>
      <x:c r="E157" s="22" t="str">
        <x:v>% inspecciones de seguridad ejecutadas</x:v>
      </x:c>
      <x:c r="F157" s="22" t="str">
        <x:v>Proceso</x:v>
      </x:c>
      <x:c r="G157" s="22" t="str">
        <x:v>Mensual</x:v>
      </x:c>
      <x:c r="H157" s="40" t="n">
        <x:v>90</x:v>
      </x:c>
      <x:c r="I157" s="22" t="str">
        <x:v>Mayor es mejor</x:v>
      </x:c>
      <x:c r="J157" s="40" t="n">
        <x:v>9</x:v>
      </x:c>
      <x:c r="K157" s="40" t="n">
        <x:v>10</x:v>
      </x:c>
      <x:c r="L157" s="40" t="n">
        <x:v>100</x:v>
      </x:c>
      <x:c r="M157" s="40" t="n">
        <x:f>IF(OR(J157="",K157="",K157=0),"",J157/K157*L157)</x:f>
        <x:v>90</x:v>
      </x:c>
      <x:c r="N157" s="22" t="str">
        <x:f>IF(M157="","",IF(I157="Mayor es mejor",IF(M157&gt;=H157,"En meta",IF(M157&gt;=H157*0.9,"Alerta","Crítico")),IF(M157&lt;=H157,"En meta",IF(M157&lt;=H157*1.1,"Alerta","Crítico"))))</x:f>
        <x:v>En meta</x:v>
      </x:c>
      <x:c r="O157" s="22" t="str">
        <x:v>%</x:v>
      </x:c>
      <x:c r="P157" s="22" t="str">
        <x:v>Líder SG-SST / Supervisores</x:v>
      </x:c>
      <x:c r="Q157" s="22" t="str">
        <x:v>Programa de inspecciones</x:v>
      </x:c>
      <x:c r="R157" s="22" t="str"/>
    </x:row>
    <x:row r="158">
      <x:c r="A158" s="46" t="n">
        <x:v>45230</x:v>
      </x:c>
      <x:c r="B158" s="22" t="n">
        <x:v>2023</x:v>
      </x:c>
      <x:c r="C158" s="22" t="str">
        <x:v>Octubre</x:v>
      </x:c>
      <x:c r="D158" s="22" t="str">
        <x:v>P05</x:v>
      </x:c>
      <x:c r="E158" s="22" t="str">
        <x:v>% mantenimientos preventivos ejecutados</x:v>
      </x:c>
      <x:c r="F158" s="22" t="str">
        <x:v>Proceso</x:v>
      </x:c>
      <x:c r="G158" s="22" t="str">
        <x:v>Mensual</x:v>
      </x:c>
      <x:c r="H158" s="40" t="n">
        <x:v>90</x:v>
      </x:c>
      <x:c r="I158" s="22" t="str">
        <x:v>Mayor es mejor</x:v>
      </x:c>
      <x:c r="J158" s="40" t="n">
        <x:v>13</x:v>
      </x:c>
      <x:c r="K158" s="40" t="n">
        <x:v>14</x:v>
      </x:c>
      <x:c r="L158" s="40" t="n">
        <x:v>100</x:v>
      </x:c>
      <x:c r="M158" s="40" t="n">
        <x:f>IF(OR(J158="",K158="",K158=0),"",J158/K158*L158)</x:f>
        <x:v>92.85714285714286</x:v>
      </x:c>
      <x:c r="N158" s="22" t="str">
        <x:f>IF(M158="","",IF(I158="Mayor es mejor",IF(M158&gt;=H158,"En meta",IF(M158&gt;=H158*0.9,"Alerta","Crítico")),IF(M158&lt;=H158,"En meta",IF(M158&lt;=H158*1.1,"Alerta","Crítico"))))</x:f>
        <x:v>En meta</x:v>
      </x:c>
      <x:c r="O158" s="22" t="str">
        <x:v>%</x:v>
      </x:c>
      <x:c r="P158" s="22" t="str">
        <x:v>Mantenimiento / Líder SG-SST</x:v>
      </x:c>
      <x:c r="Q158" s="22" t="str">
        <x:v>Programa de mantenimiento preventivo</x:v>
      </x:c>
      <x:c r="R158" s="22" t="str"/>
    </x:row>
    <x:row r="159">
      <x:c r="A159" s="46" t="n">
        <x:v>45230</x:v>
      </x:c>
      <x:c r="B159" s="22" t="n">
        <x:v>2023</x:v>
      </x:c>
      <x:c r="C159" s="22" t="str">
        <x:v>Octubre</x:v>
      </x:c>
      <x:c r="D159" s="22" t="str">
        <x:v>R01</x:v>
      </x:c>
      <x:c r="E159" s="22" t="str">
        <x:v>Índice de frecuencia de accidentalidad (IF)</x:v>
      </x:c>
      <x:c r="F159" s="22" t="str">
        <x:v>Resultado</x:v>
      </x:c>
      <x:c r="G159" s="22" t="str">
        <x:v>Mensual</x:v>
      </x:c>
      <x:c r="H159" s="40" t="n">
        <x:v>3.5</x:v>
      </x:c>
      <x:c r="I159" s="22" t="str">
        <x:v>Menor es mejor</x:v>
      </x:c>
      <x:c r="J159" s="40" t="n">
        <x:v>1</x:v>
      </x:c>
      <x:c r="K159" s="40" t="n">
        <x:v>50958</x:v>
      </x:c>
      <x:c r="L159" s="40" t="n">
        <x:v>200000</x:v>
      </x:c>
      <x:c r="M159" s="40" t="n">
        <x:f>IF(OR(J159="",K159="",K159=0),"",J159/K159*L159)</x:f>
        <x:v>3.92480081635857</x:v>
      </x:c>
      <x:c r="N159" s="22" t="str">
        <x:f>IF(M159="","",IF(I159="Mayor es mejor",IF(M159&gt;=H159,"En meta",IF(M159&gt;=H159*0.9,"Alerta","Crítico")),IF(M159&lt;=H159,"En meta",IF(M159&lt;=H159*1.1,"Alerta","Crítico"))))</x:f>
        <x:v>Crítico</x:v>
      </x:c>
      <x:c r="O159" s="22" t="str">
        <x:v>Índice</x:v>
      </x:c>
      <x:c r="P159" s="22" t="str">
        <x:v>Líder SG-SST</x:v>
      </x:c>
      <x:c r="Q159" s="22" t="str">
        <x:v>Matriz de accidentalidad / nómina</x:v>
      </x:c>
      <x:c r="R159" s="22" t="str"/>
    </x:row>
    <x:row r="160">
      <x:c r="A160" s="46" t="n">
        <x:v>45230</x:v>
      </x:c>
      <x:c r="B160" s="22" t="n">
        <x:v>2023</x:v>
      </x:c>
      <x:c r="C160" s="22" t="str">
        <x:v>Octubre</x:v>
      </x:c>
      <x:c r="D160" s="22" t="str">
        <x:v>R02</x:v>
      </x:c>
      <x:c r="E160" s="22" t="str">
        <x:v>Índice de severidad de accidentalidad (IS)</x:v>
      </x:c>
      <x:c r="F160" s="22" t="str">
        <x:v>Resultado</x:v>
      </x:c>
      <x:c r="G160" s="22" t="str">
        <x:v>Mensual</x:v>
      </x:c>
      <x:c r="H160" s="40" t="n">
        <x:v>80</x:v>
      </x:c>
      <x:c r="I160" s="22" t="str">
        <x:v>Menor es mejor</x:v>
      </x:c>
      <x:c r="J160" s="40" t="n">
        <x:v>20</x:v>
      </x:c>
      <x:c r="K160" s="40" t="n">
        <x:v>50958</x:v>
      </x:c>
      <x:c r="L160" s="40" t="n">
        <x:v>200000</x:v>
      </x:c>
      <x:c r="M160" s="40" t="n">
        <x:f>IF(OR(J160="",K160="",K160=0),"",J160/K160*L160)</x:f>
        <x:v>78.4960163271714</x:v>
      </x:c>
      <x:c r="N160" s="22" t="str">
        <x:f>IF(M160="","",IF(I160="Mayor es mejor",IF(M160&gt;=H160,"En meta",IF(M160&gt;=H160*0.9,"Alerta","Crítico")),IF(M160&lt;=H160,"En meta",IF(M160&lt;=H160*1.1,"Alerta","Crítico"))))</x:f>
        <x:v>En meta</x:v>
      </x:c>
      <x:c r="O160" s="22" t="str">
        <x:v>Índice</x:v>
      </x:c>
      <x:c r="P160" s="22" t="str">
        <x:v>Líder SG-SST</x:v>
      </x:c>
      <x:c r="Q160" s="22" t="str">
        <x:v>Matriz de accidentalidad / nómina</x:v>
      </x:c>
      <x:c r="R160" s="22" t="str"/>
    </x:row>
    <x:row r="161">
      <x:c r="A161" s="46" t="n">
        <x:v>45230</x:v>
      </x:c>
      <x:c r="B161" s="22" t="n">
        <x:v>2023</x:v>
      </x:c>
      <x:c r="C161" s="22" t="str">
        <x:v>Octubre</x:v>
      </x:c>
      <x:c r="D161" s="22" t="str">
        <x:v>R03</x:v>
      </x:c>
      <x:c r="E161" s="22" t="str">
        <x:v>Índice de lesión incapacitante (ILI)</x:v>
      </x:c>
      <x:c r="F161" s="22" t="str">
        <x:v>Resultado</x:v>
      </x:c>
      <x:c r="G161" s="22" t="str">
        <x:v>Mensual</x:v>
      </x:c>
      <x:c r="H161" s="40" t="n">
        <x:v>0.25</x:v>
      </x:c>
      <x:c r="I161" s="22" t="str">
        <x:v>Menor es mejor</x:v>
      </x:c>
      <x:c r="J161" s="40" t="n">
        <x:v>308.0812</x:v>
      </x:c>
      <x:c r="K161" s="40" t="n">
        <x:v>1000</x:v>
      </x:c>
      <x:c r="L161" s="40" t="n">
        <x:v>1</x:v>
      </x:c>
      <x:c r="M161" s="40" t="n">
        <x:f>IF(OR(J161="",K161="",K161=0),"",J161/K161*L161)</x:f>
        <x:v>0.3080812</x:v>
      </x:c>
      <x:c r="N161" s="22" t="str">
        <x:f>IF(M161="","",IF(I161="Mayor es mejor",IF(M161&gt;=H161,"En meta",IF(M161&gt;=H161*0.9,"Alerta","Crítico")),IF(M161&lt;=H161,"En meta",IF(M161&lt;=H161*1.1,"Alerta","Crítico"))))</x:f>
        <x:v>Crítico</x:v>
      </x:c>
      <x:c r="O161" s="22" t="str">
        <x:v>Índice</x:v>
      </x:c>
      <x:c r="P161" s="22" t="str">
        <x:v>Líder SG-SST</x:v>
      </x:c>
      <x:c r="Q161" s="22" t="str">
        <x:v>Indicadores derivados de accidentalidad</x:v>
      </x:c>
      <x:c r="R161" s="22" t="str">
        <x:v>ILI calculado sobre IF e IS del periodo.</x:v>
      </x:c>
    </x:row>
    <x:row r="162">
      <x:c r="A162" s="46" t="n">
        <x:v>45230</x:v>
      </x:c>
      <x:c r="B162" s="22" t="n">
        <x:v>2023</x:v>
      </x:c>
      <x:c r="C162" s="22" t="str">
        <x:v>Octubre</x:v>
      </x:c>
      <x:c r="D162" s="22" t="str">
        <x:v>R04</x:v>
      </x:c>
      <x:c r="E162" s="22" t="str">
        <x:v>Tasa de accidentalidad</x:v>
      </x:c>
      <x:c r="F162" s="22" t="str">
        <x:v>Resultado</x:v>
      </x:c>
      <x:c r="G162" s="22" t="str">
        <x:v>Mensual</x:v>
      </x:c>
      <x:c r="H162" s="40" t="n">
        <x:v>0.6</x:v>
      </x:c>
      <x:c r="I162" s="22" t="str">
        <x:v>Menor es mejor</x:v>
      </x:c>
      <x:c r="J162" s="40" t="n">
        <x:v>3.37</x:v>
      </x:c>
      <x:c r="K162" s="40" t="n">
        <x:v>211</x:v>
      </x:c>
      <x:c r="L162" s="40" t="n">
        <x:v>100</x:v>
      </x:c>
      <x:c r="M162" s="40" t="n">
        <x:f>IF(OR(J162="",K162="",K162=0),"",J162/K162*L162)</x:f>
        <x:v>1.5971563981042654</x:v>
      </x:c>
      <x:c r="N162" s="22" t="str">
        <x:f>IF(M162="","",IF(I162="Mayor es mejor",IF(M162&gt;=H162,"En meta",IF(M162&gt;=H162*0.9,"Alerta","Crítico")),IF(M162&lt;=H162,"En meta",IF(M162&lt;=H162*1.1,"Alerta","Crítico"))))</x:f>
        <x:v>Crítico</x:v>
      </x:c>
      <x:c r="O162" s="22" t="str">
        <x:v>%</x:v>
      </x:c>
      <x:c r="P162" s="22" t="str">
        <x:v>Líder SG-SST</x:v>
      </x:c>
      <x:c r="Q162" s="22" t="str">
        <x:v>Matriz de accidentalidad / nómina</x:v>
      </x:c>
      <x:c r="R162" s="22" t="str"/>
    </x:row>
    <x:row r="163">
      <x:c r="A163" s="46" t="n">
        <x:v>45230</x:v>
      </x:c>
      <x:c r="B163" s="22" t="n">
        <x:v>2023</x:v>
      </x:c>
      <x:c r="C163" s="22" t="str">
        <x:v>Octubre</x:v>
      </x:c>
      <x:c r="D163" s="22" t="str">
        <x:v>R05</x:v>
      </x:c>
      <x:c r="E163" s="22" t="str">
        <x:v>Prevalencia de enfermedad laboral</x:v>
      </x:c>
      <x:c r="F163" s="22" t="str">
        <x:v>Resultado</x:v>
      </x:c>
      <x:c r="G163" s="22" t="str">
        <x:v>Mensual</x:v>
      </x:c>
      <x:c r="H163" s="40" t="n">
        <x:v>0.3</x:v>
      </x:c>
      <x:c r="I163" s="22" t="str">
        <x:v>Menor es mejor</x:v>
      </x:c>
      <x:c r="J163" s="40" t="n">
        <x:v>0.02</x:v>
      </x:c>
      <x:c r="K163" s="40" t="n">
        <x:v>211</x:v>
      </x:c>
      <x:c r="L163" s="40" t="n">
        <x:v>100</x:v>
      </x:c>
      <x:c r="M163" s="40" t="n">
        <x:f>IF(OR(J163="",K163="",K163=0),"",J163/K163*L163)</x:f>
        <x:v>0.00947867298578199</x:v>
      </x:c>
      <x:c r="N163" s="22" t="str">
        <x:f>IF(M163="","",IF(I163="Mayor es mejor",IF(M163&gt;=H163,"En meta",IF(M163&gt;=H163*0.9,"Alerta","Crítico")),IF(M163&lt;=H163,"En meta",IF(M163&lt;=H163*1.1,"Alerta","Crítico"))))</x:f>
        <x:v>En meta</x:v>
      </x:c>
      <x:c r="O163" s="22" t="str">
        <x:v>%</x:v>
      </x:c>
      <x:c r="P163" s="22" t="str">
        <x:v>Líder SG-SST / Medicina laboral</x:v>
      </x:c>
      <x:c r="Q163" s="22" t="str">
        <x:v>Matriz de enfermedad laboral / nómina</x:v>
      </x:c>
      <x:c r="R163" s="22" t="str"/>
    </x:row>
    <x:row r="164">
      <x:c r="A164" s="46" t="n">
        <x:v>45230</x:v>
      </x:c>
      <x:c r="B164" s="22" t="n">
        <x:v>2023</x:v>
      </x:c>
      <x:c r="C164" s="22" t="str">
        <x:v>Octubre</x:v>
      </x:c>
      <x:c r="D164" s="22" t="str">
        <x:v>R06</x:v>
      </x:c>
      <x:c r="E164" s="22" t="str">
        <x:v>% cumplimiento de estándares mínimos Res. 0312 de 2019</x:v>
      </x:c>
      <x:c r="F164" s="22" t="str">
        <x:v>Resultado</x:v>
      </x:c>
      <x:c r="G164" s="22" t="str">
        <x:v>Mensual</x:v>
      </x:c>
      <x:c r="H164" s="40" t="n">
        <x:v>95</x:v>
      </x:c>
      <x:c r="I164" s="22" t="str">
        <x:v>Mayor es mejor</x:v>
      </x:c>
      <x:c r="J164" s="40" t="n">
        <x:v>96</x:v>
      </x:c>
      <x:c r="K164" s="40" t="n">
        <x:v>100</x:v>
      </x:c>
      <x:c r="L164" s="40" t="n">
        <x:v>100</x:v>
      </x:c>
      <x:c r="M164" s="40" t="n">
        <x:f>IF(OR(J164="",K164="",K164=0),"",J164/K164*L164)</x:f>
        <x:v>96</x:v>
      </x:c>
      <x:c r="N164" s="22" t="str">
        <x:f>IF(M164="","",IF(I164="Mayor es mejor",IF(M164&gt;=H164,"En meta",IF(M164&gt;=H164*0.9,"Alerta","Crítico")),IF(M164&lt;=H164,"En meta",IF(M164&lt;=H164*1.1,"Alerta","Crítico"))))</x:f>
        <x:v>En meta</x:v>
      </x:c>
      <x:c r="O164" s="22" t="str">
        <x:v>%</x:v>
      </x:c>
      <x:c r="P164" s="22" t="str">
        <x:v>Líder SG-SST / Alta Dirección</x:v>
      </x:c>
      <x:c r="Q164" s="22" t="str">
        <x:v>Autodiagnóstico Res. 0312 de 2019</x:v>
      </x:c>
      <x:c r="R164" s="22" t="str"/>
    </x:row>
    <x:row r="165">
      <x:c r="A165" s="46" t="n">
        <x:v>45260</x:v>
      </x:c>
      <x:c r="B165" s="22" t="n">
        <x:v>2023</x:v>
      </x:c>
      <x:c r="C165" s="22" t="str">
        <x:v>Noviembre</x:v>
      </x:c>
      <x:c r="D165" s="22" t="str">
        <x:v>E01</x:v>
      </x:c>
      <x:c r="E165" s="22" t="str">
        <x:v>% ejecución presupuestal del SG-SST</x:v>
      </x:c>
      <x:c r="F165" s="22" t="str">
        <x:v>Estructura</x:v>
      </x:c>
      <x:c r="G165" s="22" t="str">
        <x:v>Mensual</x:v>
      </x:c>
      <x:c r="H165" s="40" t="n">
        <x:v>95</x:v>
      </x:c>
      <x:c r="I165" s="22" t="str">
        <x:v>Mayor es mejor</x:v>
      </x:c>
      <x:c r="J165" s="40" t="n">
        <x:v>8838152</x:v>
      </x:c>
      <x:c r="K165" s="40" t="n">
        <x:v>9500000</x:v>
      </x:c>
      <x:c r="L165" s="40" t="n">
        <x:v>100</x:v>
      </x:c>
      <x:c r="M165" s="40" t="n">
        <x:f>IF(OR(J165="",K165="",K165=0),"",J165/K165*L165)</x:f>
        <x:v>93.03317894736843</x:v>
      </x:c>
      <x:c r="N165" s="22" t="str">
        <x:f>IF(M165="","",IF(I165="Mayor es mejor",IF(M165&gt;=H165,"En meta",IF(M165&gt;=H165*0.9,"Alerta","Crítico")),IF(M165&lt;=H165,"En meta",IF(M165&lt;=H165*1.1,"Alerta","Crítico"))))</x:f>
        <x:v>Alerta</x:v>
      </x:c>
      <x:c r="O165" s="22" t="str">
        <x:v>%</x:v>
      </x:c>
      <x:c r="P165" s="22" t="str">
        <x:v>Líder SG-SST / Dirección Administrativa</x:v>
      </x:c>
      <x:c r="Q165" s="22" t="str">
        <x:v>Presupuesto SST</x:v>
      </x:c>
      <x:c r="R165" s="22" t="str"/>
    </x:row>
    <x:row r="166">
      <x:c r="A166" s="46" t="n">
        <x:v>45260</x:v>
      </x:c>
      <x:c r="B166" s="22" t="n">
        <x:v>2023</x:v>
      </x:c>
      <x:c r="C166" s="22" t="str">
        <x:v>Noviembre</x:v>
      </x:c>
      <x:c r="D166" s="22" t="str">
        <x:v>E02</x:v>
      </x:c>
      <x:c r="E166" s="22" t="str">
        <x:v>% cobertura del plan de formación y capacitación SG-SST</x:v>
      </x:c>
      <x:c r="F166" s="22" t="str">
        <x:v>Estructura</x:v>
      </x:c>
      <x:c r="G166" s="22" t="str">
        <x:v>Mensual</x:v>
      </x:c>
      <x:c r="H166" s="40" t="n">
        <x:v>90</x:v>
      </x:c>
      <x:c r="I166" s="22" t="str">
        <x:v>Mayor es mejor</x:v>
      </x:c>
      <x:c r="J166" s="40" t="n">
        <x:v>21</x:v>
      </x:c>
      <x:c r="K166" s="40" t="n">
        <x:v>24</x:v>
      </x:c>
      <x:c r="L166" s="40" t="n">
        <x:v>100</x:v>
      </x:c>
      <x:c r="M166" s="40" t="n">
        <x:f>IF(OR(J166="",K166="",K166=0),"",J166/K166*L166)</x:f>
        <x:v>87.5</x:v>
      </x:c>
      <x:c r="N166" s="22" t="str">
        <x:f>IF(M166="","",IF(I166="Mayor es mejor",IF(M166&gt;=H166,"En meta",IF(M166&gt;=H166*0.9,"Alerta","Crítico")),IF(M166&lt;=H166,"En meta",IF(M166&lt;=H166*1.1,"Alerta","Crítico"))))</x:f>
        <x:v>Alerta</x:v>
      </x:c>
      <x:c r="O166" s="22" t="str">
        <x:v>%</x:v>
      </x:c>
      <x:c r="P166" s="22" t="str">
        <x:v>Líder SG-SST / Talento Humano</x:v>
      </x:c>
      <x:c r="Q166" s="22" t="str">
        <x:v>Plan de formación y capacitaciones</x:v>
      </x:c>
      <x:c r="R166" s="22" t="str"/>
    </x:row>
    <x:row r="167">
      <x:c r="A167" s="46" t="n">
        <x:v>45260</x:v>
      </x:c>
      <x:c r="B167" s="22" t="n">
        <x:v>2023</x:v>
      </x:c>
      <x:c r="C167" s="22" t="str">
        <x:v>Noviembre</x:v>
      </x:c>
      <x:c r="D167" s="22" t="str">
        <x:v>E03</x:v>
      </x:c>
      <x:c r="E167" s="22" t="str">
        <x:v>% trabajadores con exámenes médicos ocupacionales vigentes</x:v>
      </x:c>
      <x:c r="F167" s="22" t="str">
        <x:v>Estructura</x:v>
      </x:c>
      <x:c r="G167" s="22" t="str">
        <x:v>Mensual</x:v>
      </x:c>
      <x:c r="H167" s="40" t="n">
        <x:v>95</x:v>
      </x:c>
      <x:c r="I167" s="22" t="str">
        <x:v>Mayor es mejor</x:v>
      </x:c>
      <x:c r="J167" s="40" t="n">
        <x:v>201</x:v>
      </x:c>
      <x:c r="K167" s="40" t="n">
        <x:v>212</x:v>
      </x:c>
      <x:c r="L167" s="40" t="n">
        <x:v>100</x:v>
      </x:c>
      <x:c r="M167" s="40" t="n">
        <x:f>IF(OR(J167="",K167="",K167=0),"",J167/K167*L167)</x:f>
        <x:v>94.81132075471697</x:v>
      </x:c>
      <x:c r="N167" s="22" t="str">
        <x:f>IF(M167="","",IF(I167="Mayor es mejor",IF(M167&gt;=H167,"En meta",IF(M167&gt;=H167*0.9,"Alerta","Crítico")),IF(M167&lt;=H167,"En meta",IF(M167&lt;=H167*1.1,"Alerta","Crítico"))))</x:f>
        <x:v>Alerta</x:v>
      </x:c>
      <x:c r="O167" s="22" t="str">
        <x:v>%</x:v>
      </x:c>
      <x:c r="P167" s="22" t="str">
        <x:v>Líder SG-SST / Talento Humano</x:v>
      </x:c>
      <x:c r="Q167" s="22" t="str">
        <x:v>Matriz de seguimiento EMO</x:v>
      </x:c>
      <x:c r="R167" s="22" t="str"/>
    </x:row>
    <x:row r="168">
      <x:c r="A168" s="46" t="n">
        <x:v>45260</x:v>
      </x:c>
      <x:c r="B168" s="22" t="n">
        <x:v>2023</x:v>
      </x:c>
      <x:c r="C168" s="22" t="str">
        <x:v>Noviembre</x:v>
      </x:c>
      <x:c r="D168" s="22" t="str">
        <x:v>E04</x:v>
      </x:c>
      <x:c r="E168" s="22" t="str">
        <x:v>% cumplimiento de requisitos legales aplicables en SST</x:v>
      </x:c>
      <x:c r="F168" s="22" t="str">
        <x:v>Estructura</x:v>
      </x:c>
      <x:c r="G168" s="22" t="str">
        <x:v>Mensual</x:v>
      </x:c>
      <x:c r="H168" s="40" t="n">
        <x:v>95</x:v>
      </x:c>
      <x:c r="I168" s="22" t="str">
        <x:v>Mayor es mejor</x:v>
      </x:c>
      <x:c r="J168" s="40" t="n">
        <x:v>56</x:v>
      </x:c>
      <x:c r="K168" s="40" t="n">
        <x:v>60</x:v>
      </x:c>
      <x:c r="L168" s="40" t="n">
        <x:v>100</x:v>
      </x:c>
      <x:c r="M168" s="40" t="n">
        <x:f>IF(OR(J168="",K168="",K168=0),"",J168/K168*L168)</x:f>
        <x:v>93.33333333333333</x:v>
      </x:c>
      <x:c r="N168" s="22" t="str">
        <x:f>IF(M168="","",IF(I168="Mayor es mejor",IF(M168&gt;=H168,"En meta",IF(M168&gt;=H168*0.9,"Alerta","Crítico")),IF(M168&lt;=H168,"En meta",IF(M168&lt;=H168*1.1,"Alerta","Crítico"))))</x:f>
        <x:v>Alerta</x:v>
      </x:c>
      <x:c r="O168" s="22" t="str">
        <x:v>%</x:v>
      </x:c>
      <x:c r="P168" s="22" t="str">
        <x:v>Líder SG-SST / Jurídica</x:v>
      </x:c>
      <x:c r="Q168" s="22" t="str">
        <x:v>Matriz legal SGRL</x:v>
      </x:c>
      <x:c r="R168" s="22" t="str"/>
    </x:row>
    <x:row r="169">
      <x:c r="A169" s="46" t="n">
        <x:v>45260</x:v>
      </x:c>
      <x:c r="B169" s="22" t="n">
        <x:v>2023</x:v>
      </x:c>
      <x:c r="C169" s="22" t="str">
        <x:v>Noviembre</x:v>
      </x:c>
      <x:c r="D169" s="22" t="str">
        <x:v>E05</x:v>
      </x:c>
      <x:c r="E169" s="22" t="str">
        <x:v>% proveedores y contratistas aprobados en SST</x:v>
      </x:c>
      <x:c r="F169" s="22" t="str">
        <x:v>Estructura</x:v>
      </x:c>
      <x:c r="G169" s="22" t="str">
        <x:v>Mensual</x:v>
      </x:c>
      <x:c r="H169" s="40" t="n">
        <x:v>90</x:v>
      </x:c>
      <x:c r="I169" s="22" t="str">
        <x:v>Mayor es mejor</x:v>
      </x:c>
      <x:c r="J169" s="40" t="n">
        <x:v>18</x:v>
      </x:c>
      <x:c r="K169" s="40" t="n">
        <x:v>20</x:v>
      </x:c>
      <x:c r="L169" s="40" t="n">
        <x:v>100</x:v>
      </x:c>
      <x:c r="M169" s="40" t="n">
        <x:f>IF(OR(J169="",K169="",K169=0),"",J169/K169*L169)</x:f>
        <x:v>90</x:v>
      </x:c>
      <x:c r="N169" s="22" t="str">
        <x:f>IF(M169="","",IF(I169="Mayor es mejor",IF(M169&gt;=H169,"En meta",IF(M169&gt;=H169*0.9,"Alerta","Crítico")),IF(M169&lt;=H169,"En meta",IF(M169&lt;=H169*1.1,"Alerta","Crítico"))))</x:f>
        <x:v>En meta</x:v>
      </x:c>
      <x:c r="O169" s="22" t="str">
        <x:v>%</x:v>
      </x:c>
      <x:c r="P169" s="22" t="str">
        <x:v>Compras / Líder SG-SST</x:v>
      </x:c>
      <x:c r="Q169" s="22" t="str">
        <x:v>Gestión de proveedores y contratistas</x:v>
      </x:c>
      <x:c r="R169" s="22" t="str"/>
    </x:row>
    <x:row r="170">
      <x:c r="A170" s="46" t="n">
        <x:v>45260</x:v>
      </x:c>
      <x:c r="B170" s="22" t="n">
        <x:v>2023</x:v>
      </x:c>
      <x:c r="C170" s="22" t="str">
        <x:v>Noviembre</x:v>
      </x:c>
      <x:c r="D170" s="22" t="str">
        <x:v>P01</x:v>
      </x:c>
      <x:c r="E170" s="22" t="str">
        <x:v>% ejecución del plan anual de trabajo SG-SST</x:v>
      </x:c>
      <x:c r="F170" s="22" t="str">
        <x:v>Proceso</x:v>
      </x:c>
      <x:c r="G170" s="22" t="str">
        <x:v>Mensual</x:v>
      </x:c>
      <x:c r="H170" s="40" t="n">
        <x:v>90</x:v>
      </x:c>
      <x:c r="I170" s="22" t="str">
        <x:v>Mayor es mejor</x:v>
      </x:c>
      <x:c r="J170" s="40" t="n">
        <x:v>12</x:v>
      </x:c>
      <x:c r="K170" s="40" t="n">
        <x:v>14</x:v>
      </x:c>
      <x:c r="L170" s="40" t="n">
        <x:v>100</x:v>
      </x:c>
      <x:c r="M170" s="40" t="n">
        <x:f>IF(OR(J170="",K170="",K170=0),"",J170/K170*L170)</x:f>
        <x:v>85.71428571428571</x:v>
      </x:c>
      <x:c r="N170" s="22" t="str">
        <x:f>IF(M170="","",IF(I170="Mayor es mejor",IF(M170&gt;=H170,"En meta",IF(M170&gt;=H170*0.9,"Alerta","Crítico")),IF(M170&lt;=H170,"En meta",IF(M170&lt;=H170*1.1,"Alerta","Crítico"))))</x:f>
        <x:v>Alerta</x:v>
      </x:c>
      <x:c r="O170" s="22" t="str">
        <x:v>%</x:v>
      </x:c>
      <x:c r="P170" s="22" t="str">
        <x:v>Líder SG-SST</x:v>
      </x:c>
      <x:c r="Q170" s="22" t="str">
        <x:v>Plan anual de trabajo PHVA</x:v>
      </x:c>
      <x:c r="R170" s="22" t="str"/>
    </x:row>
    <x:row r="171">
      <x:c r="A171" s="46" t="n">
        <x:v>45260</x:v>
      </x:c>
      <x:c r="B171" s="22" t="n">
        <x:v>2023</x:v>
      </x:c>
      <x:c r="C171" s="22" t="str">
        <x:v>Noviembre</x:v>
      </x:c>
      <x:c r="D171" s="22" t="str">
        <x:v>P02</x:v>
      </x:c>
      <x:c r="E171" s="22" t="str">
        <x:v>% investigaciones de accidentes realizadas oportunamente</x:v>
      </x:c>
      <x:c r="F171" s="22" t="str">
        <x:v>Proceso</x:v>
      </x:c>
      <x:c r="G171" s="22" t="str">
        <x:v>Mensual</x:v>
      </x:c>
      <x:c r="H171" s="40" t="n">
        <x:v>95</x:v>
      </x:c>
      <x:c r="I171" s="22" t="str">
        <x:v>Mayor es mejor</x:v>
      </x:c>
      <x:c r="J171" s="40" t="n">
        <x:v>1</x:v>
      </x:c>
      <x:c r="K171" s="40" t="n">
        <x:v>1</x:v>
      </x:c>
      <x:c r="L171" s="40" t="n">
        <x:v>100</x:v>
      </x:c>
      <x:c r="M171" s="40" t="n">
        <x:f>IF(OR(J171="",K171="",K171=0),"",J171/K171*L171)</x:f>
        <x:v>100</x:v>
      </x:c>
      <x:c r="N171" s="22" t="str">
        <x:f>IF(M171="","",IF(I171="Mayor es mejor",IF(M171&gt;=H171,"En meta",IF(M171&gt;=H171*0.9,"Alerta","Crítico")),IF(M171&lt;=H171,"En meta",IF(M171&lt;=H171*1.1,"Alerta","Crítico"))))</x:f>
        <x:v>En meta</x:v>
      </x:c>
      <x:c r="O171" s="22" t="str">
        <x:v>%</x:v>
      </x:c>
      <x:c r="P171" s="22" t="str">
        <x:v>Líder SG-SST / COPASST</x:v>
      </x:c>
      <x:c r="Q171" s="22" t="str">
        <x:v>Matriz de accidentalidad</x:v>
      </x:c>
      <x:c r="R171" s="22" t="str"/>
    </x:row>
    <x:row r="172">
      <x:c r="A172" s="46" t="n">
        <x:v>45260</x:v>
      </x:c>
      <x:c r="B172" s="22" t="n">
        <x:v>2023</x:v>
      </x:c>
      <x:c r="C172" s="22" t="str">
        <x:v>Noviembre</x:v>
      </x:c>
      <x:c r="D172" s="22" t="str">
        <x:v>P03</x:v>
      </x:c>
      <x:c r="E172" s="22" t="str">
        <x:v>% cierre oportuno de acciones correctivas, preventivas y de mejora</x:v>
      </x:c>
      <x:c r="F172" s="22" t="str">
        <x:v>Proceso</x:v>
      </x:c>
      <x:c r="G172" s="22" t="str">
        <x:v>Mensual</x:v>
      </x:c>
      <x:c r="H172" s="40" t="n">
        <x:v>90</x:v>
      </x:c>
      <x:c r="I172" s="22" t="str">
        <x:v>Mayor es mejor</x:v>
      </x:c>
      <x:c r="J172" s="40" t="n">
        <x:v>9</x:v>
      </x:c>
      <x:c r="K172" s="40" t="n">
        <x:v>11</x:v>
      </x:c>
      <x:c r="L172" s="40" t="n">
        <x:v>100</x:v>
      </x:c>
      <x:c r="M172" s="40" t="n">
        <x:f>IF(OR(J172="",K172="",K172=0),"",J172/K172*L172)</x:f>
        <x:v>81.81818181818183</x:v>
      </x:c>
      <x:c r="N172" s="22" t="str">
        <x:f>IF(M172="","",IF(I172="Mayor es mejor",IF(M172&gt;=H172,"En meta",IF(M172&gt;=H172*0.9,"Alerta","Crítico")),IF(M172&lt;=H172,"En meta",IF(M172&lt;=H172*1.1,"Alerta","Crítico"))))</x:f>
        <x:v>Alerta</x:v>
      </x:c>
      <x:c r="O172" s="22" t="str">
        <x:v>%</x:v>
      </x:c>
      <x:c r="P172" s="22" t="str">
        <x:v>Líder SG-SST / Responsables de proceso</x:v>
      </x:c>
      <x:c r="Q172" s="22" t="str">
        <x:v>Matriz APCM</x:v>
      </x:c>
      <x:c r="R172" s="22" t="str"/>
    </x:row>
    <x:row r="173">
      <x:c r="A173" s="46" t="n">
        <x:v>45260</x:v>
      </x:c>
      <x:c r="B173" s="22" t="n">
        <x:v>2023</x:v>
      </x:c>
      <x:c r="C173" s="22" t="str">
        <x:v>Noviembre</x:v>
      </x:c>
      <x:c r="D173" s="22" t="str">
        <x:v>P04</x:v>
      </x:c>
      <x:c r="E173" s="22" t="str">
        <x:v>% inspecciones de seguridad ejecutadas</x:v>
      </x:c>
      <x:c r="F173" s="22" t="str">
        <x:v>Proceso</x:v>
      </x:c>
      <x:c r="G173" s="22" t="str">
        <x:v>Mensual</x:v>
      </x:c>
      <x:c r="H173" s="40" t="n">
        <x:v>90</x:v>
      </x:c>
      <x:c r="I173" s="22" t="str">
        <x:v>Mayor es mejor</x:v>
      </x:c>
      <x:c r="J173" s="40" t="n">
        <x:v>10</x:v>
      </x:c>
      <x:c r="K173" s="40" t="n">
        <x:v>11</x:v>
      </x:c>
      <x:c r="L173" s="40" t="n">
        <x:v>100</x:v>
      </x:c>
      <x:c r="M173" s="40" t="n">
        <x:f>IF(OR(J173="",K173="",K173=0),"",J173/K173*L173)</x:f>
        <x:v>90.9090909090909</x:v>
      </x:c>
      <x:c r="N173" s="22" t="str">
        <x:f>IF(M173="","",IF(I173="Mayor es mejor",IF(M173&gt;=H173,"En meta",IF(M173&gt;=H173*0.9,"Alerta","Crítico")),IF(M173&lt;=H173,"En meta",IF(M173&lt;=H173*1.1,"Alerta","Crítico"))))</x:f>
        <x:v>En meta</x:v>
      </x:c>
      <x:c r="O173" s="22" t="str">
        <x:v>%</x:v>
      </x:c>
      <x:c r="P173" s="22" t="str">
        <x:v>Líder SG-SST / Supervisores</x:v>
      </x:c>
      <x:c r="Q173" s="22" t="str">
        <x:v>Programa de inspecciones</x:v>
      </x:c>
      <x:c r="R173" s="22" t="str"/>
    </x:row>
    <x:row r="174">
      <x:c r="A174" s="46" t="n">
        <x:v>45260</x:v>
      </x:c>
      <x:c r="B174" s="22" t="n">
        <x:v>2023</x:v>
      </x:c>
      <x:c r="C174" s="22" t="str">
        <x:v>Noviembre</x:v>
      </x:c>
      <x:c r="D174" s="22" t="str">
        <x:v>P05</x:v>
      </x:c>
      <x:c r="E174" s="22" t="str">
        <x:v>% mantenimientos preventivos ejecutados</x:v>
      </x:c>
      <x:c r="F174" s="22" t="str">
        <x:v>Proceso</x:v>
      </x:c>
      <x:c r="G174" s="22" t="str">
        <x:v>Mensual</x:v>
      </x:c>
      <x:c r="H174" s="40" t="n">
        <x:v>90</x:v>
      </x:c>
      <x:c r="I174" s="22" t="str">
        <x:v>Mayor es mejor</x:v>
      </x:c>
      <x:c r="J174" s="40" t="n">
        <x:v>13</x:v>
      </x:c>
      <x:c r="K174" s="40" t="n">
        <x:v>15</x:v>
      </x:c>
      <x:c r="L174" s="40" t="n">
        <x:v>100</x:v>
      </x:c>
      <x:c r="M174" s="40" t="n">
        <x:f>IF(OR(J174="",K174="",K174=0),"",J174/K174*L174)</x:f>
        <x:v>86.66666666666667</x:v>
      </x:c>
      <x:c r="N174" s="22" t="str">
        <x:f>IF(M174="","",IF(I174="Mayor es mejor",IF(M174&gt;=H174,"En meta",IF(M174&gt;=H174*0.9,"Alerta","Crítico")),IF(M174&lt;=H174,"En meta",IF(M174&lt;=H174*1.1,"Alerta","Crítico"))))</x:f>
        <x:v>Alerta</x:v>
      </x:c>
      <x:c r="O174" s="22" t="str">
        <x:v>%</x:v>
      </x:c>
      <x:c r="P174" s="22" t="str">
        <x:v>Mantenimiento / Líder SG-SST</x:v>
      </x:c>
      <x:c r="Q174" s="22" t="str">
        <x:v>Programa de mantenimiento preventivo</x:v>
      </x:c>
      <x:c r="R174" s="22" t="str"/>
    </x:row>
    <x:row r="175">
      <x:c r="A175" s="46" t="n">
        <x:v>45260</x:v>
      </x:c>
      <x:c r="B175" s="22" t="n">
        <x:v>2023</x:v>
      </x:c>
      <x:c r="C175" s="22" t="str">
        <x:v>Noviembre</x:v>
      </x:c>
      <x:c r="D175" s="22" t="str">
        <x:v>R01</x:v>
      </x:c>
      <x:c r="E175" s="22" t="str">
        <x:v>Índice de frecuencia de accidentalidad (IF)</x:v>
      </x:c>
      <x:c r="F175" s="22" t="str">
        <x:v>Resultado</x:v>
      </x:c>
      <x:c r="G175" s="22" t="str">
        <x:v>Mensual</x:v>
      </x:c>
      <x:c r="H175" s="40" t="n">
        <x:v>3.5</x:v>
      </x:c>
      <x:c r="I175" s="22" t="str">
        <x:v>Menor es mejor</x:v>
      </x:c>
      <x:c r="J175" s="40" t="n">
        <x:v>1</x:v>
      </x:c>
      <x:c r="K175" s="40" t="n">
        <x:v>51482</x:v>
      </x:c>
      <x:c r="L175" s="40" t="n">
        <x:v>200000</x:v>
      </x:c>
      <x:c r="M175" s="40" t="n">
        <x:f>IF(OR(J175="",K175="",K175=0),"",J175/K175*L175)</x:f>
        <x:v>3.8848529583155282</x:v>
      </x:c>
      <x:c r="N175" s="22" t="str">
        <x:f>IF(M175="","",IF(I175="Mayor es mejor",IF(M175&gt;=H175,"En meta",IF(M175&gt;=H175*0.9,"Alerta","Crítico")),IF(M175&lt;=H175,"En meta",IF(M175&lt;=H175*1.1,"Alerta","Crítico"))))</x:f>
        <x:v>Crítico</x:v>
      </x:c>
      <x:c r="O175" s="22" t="str">
        <x:v>Índice</x:v>
      </x:c>
      <x:c r="P175" s="22" t="str">
        <x:v>Líder SG-SST</x:v>
      </x:c>
      <x:c r="Q175" s="22" t="str">
        <x:v>Matriz de accidentalidad / nómina</x:v>
      </x:c>
      <x:c r="R175" s="22" t="str"/>
    </x:row>
    <x:row r="176">
      <x:c r="A176" s="46" t="n">
        <x:v>45260</x:v>
      </x:c>
      <x:c r="B176" s="22" t="n">
        <x:v>2023</x:v>
      </x:c>
      <x:c r="C176" s="22" t="str">
        <x:v>Noviembre</x:v>
      </x:c>
      <x:c r="D176" s="22" t="str">
        <x:v>R02</x:v>
      </x:c>
      <x:c r="E176" s="22" t="str">
        <x:v>Índice de severidad de accidentalidad (IS)</x:v>
      </x:c>
      <x:c r="F176" s="22" t="str">
        <x:v>Resultado</x:v>
      </x:c>
      <x:c r="G176" s="22" t="str">
        <x:v>Mensual</x:v>
      </x:c>
      <x:c r="H176" s="40" t="n">
        <x:v>80</x:v>
      </x:c>
      <x:c r="I176" s="22" t="str">
        <x:v>Menor es mejor</x:v>
      </x:c>
      <x:c r="J176" s="40" t="n">
        <x:v>21</x:v>
      </x:c>
      <x:c r="K176" s="40" t="n">
        <x:v>51482</x:v>
      </x:c>
      <x:c r="L176" s="40" t="n">
        <x:v>200000</x:v>
      </x:c>
      <x:c r="M176" s="40" t="n">
        <x:f>IF(OR(J176="",K176="",K176=0),"",J176/K176*L176)</x:f>
        <x:v>81.58191212462609</x:v>
      </x:c>
      <x:c r="N176" s="22" t="str">
        <x:f>IF(M176="","",IF(I176="Mayor es mejor",IF(M176&gt;=H176,"En meta",IF(M176&gt;=H176*0.9,"Alerta","Crítico")),IF(M176&lt;=H176,"En meta",IF(M176&lt;=H176*1.1,"Alerta","Crítico"))))</x:f>
        <x:v>Alerta</x:v>
      </x:c>
      <x:c r="O176" s="22" t="str">
        <x:v>Índice</x:v>
      </x:c>
      <x:c r="P176" s="22" t="str">
        <x:v>Líder SG-SST</x:v>
      </x:c>
      <x:c r="Q176" s="22" t="str">
        <x:v>Matriz de accidentalidad / nómina</x:v>
      </x:c>
      <x:c r="R176" s="22" t="str"/>
    </x:row>
    <x:row r="177">
      <x:c r="A177" s="46" t="n">
        <x:v>45260</x:v>
      </x:c>
      <x:c r="B177" s="22" t="n">
        <x:v>2023</x:v>
      </x:c>
      <x:c r="C177" s="22" t="str">
        <x:v>Noviembre</x:v>
      </x:c>
      <x:c r="D177" s="22" t="str">
        <x:v>R03</x:v>
      </x:c>
      <x:c r="E177" s="22" t="str">
        <x:v>Índice de lesión incapacitante (ILI)</x:v>
      </x:c>
      <x:c r="F177" s="22" t="str">
        <x:v>Resultado</x:v>
      </x:c>
      <x:c r="G177" s="22" t="str">
        <x:v>Mensual</x:v>
      </x:c>
      <x:c r="H177" s="40" t="n">
        <x:v>0.25</x:v>
      </x:c>
      <x:c r="I177" s="22" t="str">
        <x:v>Menor es mejor</x:v>
      </x:c>
      <x:c r="J177" s="40" t="n">
        <x:v>316.9337</x:v>
      </x:c>
      <x:c r="K177" s="40" t="n">
        <x:v>1000</x:v>
      </x:c>
      <x:c r="L177" s="40" t="n">
        <x:v>1</x:v>
      </x:c>
      <x:c r="M177" s="40" t="n">
        <x:f>IF(OR(J177="",K177="",K177=0),"",J177/K177*L177)</x:f>
        <x:v>0.3169337</x:v>
      </x:c>
      <x:c r="N177" s="22" t="str">
        <x:f>IF(M177="","",IF(I177="Mayor es mejor",IF(M177&gt;=H177,"En meta",IF(M177&gt;=H177*0.9,"Alerta","Crítico")),IF(M177&lt;=H177,"En meta",IF(M177&lt;=H177*1.1,"Alerta","Crítico"))))</x:f>
        <x:v>Crítico</x:v>
      </x:c>
      <x:c r="O177" s="22" t="str">
        <x:v>Índice</x:v>
      </x:c>
      <x:c r="P177" s="22" t="str">
        <x:v>Líder SG-SST</x:v>
      </x:c>
      <x:c r="Q177" s="22" t="str">
        <x:v>Indicadores derivados de accidentalidad</x:v>
      </x:c>
      <x:c r="R177" s="22" t="str">
        <x:v>ILI calculado sobre IF e IS del periodo.</x:v>
      </x:c>
    </x:row>
    <x:row r="178">
      <x:c r="A178" s="46" t="n">
        <x:v>45260</x:v>
      </x:c>
      <x:c r="B178" s="22" t="n">
        <x:v>2023</x:v>
      </x:c>
      <x:c r="C178" s="22" t="str">
        <x:v>Noviembre</x:v>
      </x:c>
      <x:c r="D178" s="22" t="str">
        <x:v>R04</x:v>
      </x:c>
      <x:c r="E178" s="22" t="str">
        <x:v>Tasa de accidentalidad</x:v>
      </x:c>
      <x:c r="F178" s="22" t="str">
        <x:v>Resultado</x:v>
      </x:c>
      <x:c r="G178" s="22" t="str">
        <x:v>Mensual</x:v>
      </x:c>
      <x:c r="H178" s="40" t="n">
        <x:v>0.6</x:v>
      </x:c>
      <x:c r="I178" s="22" t="str">
        <x:v>Menor es mejor</x:v>
      </x:c>
      <x:c r="J178" s="40" t="n">
        <x:v>0.25</x:v>
      </x:c>
      <x:c r="K178" s="40" t="n">
        <x:v>212</x:v>
      </x:c>
      <x:c r="L178" s="40" t="n">
        <x:v>100</x:v>
      </x:c>
      <x:c r="M178" s="40" t="n">
        <x:f>IF(OR(J178="",K178="",K178=0),"",J178/K178*L178)</x:f>
        <x:v>0.1179245283018868</x:v>
      </x:c>
      <x:c r="N178" s="22" t="str">
        <x:f>IF(M178="","",IF(I178="Mayor es mejor",IF(M178&gt;=H178,"En meta",IF(M178&gt;=H178*0.9,"Alerta","Crítico")),IF(M178&lt;=H178,"En meta",IF(M178&lt;=H178*1.1,"Alerta","Crítico"))))</x:f>
        <x:v>En meta</x:v>
      </x:c>
      <x:c r="O178" s="22" t="str">
        <x:v>%</x:v>
      </x:c>
      <x:c r="P178" s="22" t="str">
        <x:v>Líder SG-SST</x:v>
      </x:c>
      <x:c r="Q178" s="22" t="str">
        <x:v>Matriz de accidentalidad / nómina</x:v>
      </x:c>
      <x:c r="R178" s="22" t="str"/>
    </x:row>
    <x:row r="179">
      <x:c r="A179" s="46" t="n">
        <x:v>45260</x:v>
      </x:c>
      <x:c r="B179" s="22" t="n">
        <x:v>2023</x:v>
      </x:c>
      <x:c r="C179" s="22" t="str">
        <x:v>Noviembre</x:v>
      </x:c>
      <x:c r="D179" s="22" t="str">
        <x:v>R05</x:v>
      </x:c>
      <x:c r="E179" s="22" t="str">
        <x:v>Prevalencia de enfermedad laboral</x:v>
      </x:c>
      <x:c r="F179" s="22" t="str">
        <x:v>Resultado</x:v>
      </x:c>
      <x:c r="G179" s="22" t="str">
        <x:v>Mensual</x:v>
      </x:c>
      <x:c r="H179" s="40" t="n">
        <x:v>0.3</x:v>
      </x:c>
      <x:c r="I179" s="22" t="str">
        <x:v>Menor es mejor</x:v>
      </x:c>
      <x:c r="J179" s="40" t="n">
        <x:v>0.38</x:v>
      </x:c>
      <x:c r="K179" s="40" t="n">
        <x:v>212</x:v>
      </x:c>
      <x:c r="L179" s="40" t="n">
        <x:v>100</x:v>
      </x:c>
      <x:c r="M179" s="40" t="n">
        <x:f>IF(OR(J179="",K179="",K179=0),"",J179/K179*L179)</x:f>
        <x:v>0.1792452830188679</x:v>
      </x:c>
      <x:c r="N179" s="22" t="str">
        <x:f>IF(M179="","",IF(I179="Mayor es mejor",IF(M179&gt;=H179,"En meta",IF(M179&gt;=H179*0.9,"Alerta","Crítico")),IF(M179&lt;=H179,"En meta",IF(M179&lt;=H179*1.1,"Alerta","Crítico"))))</x:f>
        <x:v>En meta</x:v>
      </x:c>
      <x:c r="O179" s="22" t="str">
        <x:v>%</x:v>
      </x:c>
      <x:c r="P179" s="22" t="str">
        <x:v>Líder SG-SST / Medicina laboral</x:v>
      </x:c>
      <x:c r="Q179" s="22" t="str">
        <x:v>Matriz de enfermedad laboral / nómina</x:v>
      </x:c>
      <x:c r="R179" s="22" t="str"/>
    </x:row>
    <x:row r="180">
      <x:c r="A180" s="46" t="n">
        <x:v>45260</x:v>
      </x:c>
      <x:c r="B180" s="22" t="n">
        <x:v>2023</x:v>
      </x:c>
      <x:c r="C180" s="22" t="str">
        <x:v>Noviembre</x:v>
      </x:c>
      <x:c r="D180" s="22" t="str">
        <x:v>R06</x:v>
      </x:c>
      <x:c r="E180" s="22" t="str">
        <x:v>% cumplimiento de estándares mínimos Res. 0312 de 2019</x:v>
      </x:c>
      <x:c r="F180" s="22" t="str">
        <x:v>Resultado</x:v>
      </x:c>
      <x:c r="G180" s="22" t="str">
        <x:v>Mensual</x:v>
      </x:c>
      <x:c r="H180" s="40" t="n">
        <x:v>95</x:v>
      </x:c>
      <x:c r="I180" s="22" t="str">
        <x:v>Mayor es mejor</x:v>
      </x:c>
      <x:c r="J180" s="40" t="n">
        <x:v>98</x:v>
      </x:c>
      <x:c r="K180" s="40" t="n">
        <x:v>100</x:v>
      </x:c>
      <x:c r="L180" s="40" t="n">
        <x:v>100</x:v>
      </x:c>
      <x:c r="M180" s="40" t="n">
        <x:f>IF(OR(J180="",K180="",K180=0),"",J180/K180*L180)</x:f>
        <x:v>98</x:v>
      </x:c>
      <x:c r="N180" s="22" t="str">
        <x:f>IF(M180="","",IF(I180="Mayor es mejor",IF(M180&gt;=H180,"En meta",IF(M180&gt;=H180*0.9,"Alerta","Crítico")),IF(M180&lt;=H180,"En meta",IF(M180&lt;=H180*1.1,"Alerta","Crítico"))))</x:f>
        <x:v>En meta</x:v>
      </x:c>
      <x:c r="O180" s="22" t="str">
        <x:v>%</x:v>
      </x:c>
      <x:c r="P180" s="22" t="str">
        <x:v>Líder SG-SST / Alta Dirección</x:v>
      </x:c>
      <x:c r="Q180" s="22" t="str">
        <x:v>Autodiagnóstico Res. 0312 de 2019</x:v>
      </x:c>
      <x:c r="R180" s="22" t="str"/>
    </x:row>
    <x:row r="181">
      <x:c r="A181" s="46" t="n">
        <x:v>45291</x:v>
      </x:c>
      <x:c r="B181" s="22" t="n">
        <x:v>2023</x:v>
      </x:c>
      <x:c r="C181" s="22" t="str">
        <x:v>Diciembre</x:v>
      </x:c>
      <x:c r="D181" s="22" t="str">
        <x:v>E01</x:v>
      </x:c>
      <x:c r="E181" s="22" t="str">
        <x:v>% ejecución presupuestal del SG-SST</x:v>
      </x:c>
      <x:c r="F181" s="22" t="str">
        <x:v>Estructura</x:v>
      </x:c>
      <x:c r="G181" s="22" t="str">
        <x:v>Mensual</x:v>
      </x:c>
      <x:c r="H181" s="40" t="n">
        <x:v>95</x:v>
      </x:c>
      <x:c r="I181" s="22" t="str">
        <x:v>Mayor es mejor</x:v>
      </x:c>
      <x:c r="J181" s="40" t="n">
        <x:v>9258485</x:v>
      </x:c>
      <x:c r="K181" s="40" t="n">
        <x:v>10000000</x:v>
      </x:c>
      <x:c r="L181" s="40" t="n">
        <x:v>100</x:v>
      </x:c>
      <x:c r="M181" s="40" t="n">
        <x:f>IF(OR(J181="",K181="",K181=0),"",J181/K181*L181)</x:f>
        <x:v>92.58485</x:v>
      </x:c>
      <x:c r="N181" s="22" t="str">
        <x:f>IF(M181="","",IF(I181="Mayor es mejor",IF(M181&gt;=H181,"En meta",IF(M181&gt;=H181*0.9,"Alerta","Crítico")),IF(M181&lt;=H181,"En meta",IF(M181&lt;=H181*1.1,"Alerta","Crítico"))))</x:f>
        <x:v>Alerta</x:v>
      </x:c>
      <x:c r="O181" s="22" t="str">
        <x:v>%</x:v>
      </x:c>
      <x:c r="P181" s="22" t="str">
        <x:v>Líder SG-SST / Dirección Administrativa</x:v>
      </x:c>
      <x:c r="Q181" s="22" t="str">
        <x:v>Presupuesto SST</x:v>
      </x:c>
      <x:c r="R181" s="22" t="str"/>
    </x:row>
    <x:row r="182">
      <x:c r="A182" s="46" t="n">
        <x:v>45291</x:v>
      </x:c>
      <x:c r="B182" s="22" t="n">
        <x:v>2023</x:v>
      </x:c>
      <x:c r="C182" s="22" t="str">
        <x:v>Diciembre</x:v>
      </x:c>
      <x:c r="D182" s="22" t="str">
        <x:v>E02</x:v>
      </x:c>
      <x:c r="E182" s="22" t="str">
        <x:v>% cobertura del plan de formación y capacitación SG-SST</x:v>
      </x:c>
      <x:c r="F182" s="22" t="str">
        <x:v>Estructura</x:v>
      </x:c>
      <x:c r="G182" s="22" t="str">
        <x:v>Mensual</x:v>
      </x:c>
      <x:c r="H182" s="40" t="n">
        <x:v>90</x:v>
      </x:c>
      <x:c r="I182" s="22" t="str">
        <x:v>Mayor es mejor</x:v>
      </x:c>
      <x:c r="J182" s="40" t="n">
        <x:v>16</x:v>
      </x:c>
      <x:c r="K182" s="40" t="n">
        <x:v>18</x:v>
      </x:c>
      <x:c r="L182" s="40" t="n">
        <x:v>100</x:v>
      </x:c>
      <x:c r="M182" s="40" t="n">
        <x:f>IF(OR(J182="",K182="",K182=0),"",J182/K182*L182)</x:f>
        <x:v>88.88888888888889</x:v>
      </x:c>
      <x:c r="N182" s="22" t="str">
        <x:f>IF(M182="","",IF(I182="Mayor es mejor",IF(M182&gt;=H182,"En meta",IF(M182&gt;=H182*0.9,"Alerta","Crítico")),IF(M182&lt;=H182,"En meta",IF(M182&lt;=H182*1.1,"Alerta","Crítico"))))</x:f>
        <x:v>Alerta</x:v>
      </x:c>
      <x:c r="O182" s="22" t="str">
        <x:v>%</x:v>
      </x:c>
      <x:c r="P182" s="22" t="str">
        <x:v>Líder SG-SST / Talento Humano</x:v>
      </x:c>
      <x:c r="Q182" s="22" t="str">
        <x:v>Plan de formación y capacitaciones</x:v>
      </x:c>
      <x:c r="R182" s="22" t="str"/>
    </x:row>
    <x:row r="183">
      <x:c r="A183" s="46" t="n">
        <x:v>45291</x:v>
      </x:c>
      <x:c r="B183" s="22" t="n">
        <x:v>2023</x:v>
      </x:c>
      <x:c r="C183" s="22" t="str">
        <x:v>Diciembre</x:v>
      </x:c>
      <x:c r="D183" s="22" t="str">
        <x:v>E03</x:v>
      </x:c>
      <x:c r="E183" s="22" t="str">
        <x:v>% trabajadores con exámenes médicos ocupacionales vigentes</x:v>
      </x:c>
      <x:c r="F183" s="22" t="str">
        <x:v>Estructura</x:v>
      </x:c>
      <x:c r="G183" s="22" t="str">
        <x:v>Mensual</x:v>
      </x:c>
      <x:c r="H183" s="40" t="n">
        <x:v>95</x:v>
      </x:c>
      <x:c r="I183" s="22" t="str">
        <x:v>Mayor es mejor</x:v>
      </x:c>
      <x:c r="J183" s="40" t="n">
        <x:v>193</x:v>
      </x:c>
      <x:c r="K183" s="40" t="n">
        <x:v>207</x:v>
      </x:c>
      <x:c r="L183" s="40" t="n">
        <x:v>100</x:v>
      </x:c>
      <x:c r="M183" s="40" t="n">
        <x:f>IF(OR(J183="",K183="",K183=0),"",J183/K183*L183)</x:f>
        <x:v>93.23671497584542</x:v>
      </x:c>
      <x:c r="N183" s="22" t="str">
        <x:f>IF(M183="","",IF(I183="Mayor es mejor",IF(M183&gt;=H183,"En meta",IF(M183&gt;=H183*0.9,"Alerta","Crítico")),IF(M183&lt;=H183,"En meta",IF(M183&lt;=H183*1.1,"Alerta","Crítico"))))</x:f>
        <x:v>Alerta</x:v>
      </x:c>
      <x:c r="O183" s="22" t="str">
        <x:v>%</x:v>
      </x:c>
      <x:c r="P183" s="22" t="str">
        <x:v>Líder SG-SST / Talento Humano</x:v>
      </x:c>
      <x:c r="Q183" s="22" t="str">
        <x:v>Matriz de seguimiento EMO</x:v>
      </x:c>
      <x:c r="R183" s="22" t="str"/>
    </x:row>
    <x:row r="184">
      <x:c r="A184" s="46" t="n">
        <x:v>45291</x:v>
      </x:c>
      <x:c r="B184" s="22" t="n">
        <x:v>2023</x:v>
      </x:c>
      <x:c r="C184" s="22" t="str">
        <x:v>Diciembre</x:v>
      </x:c>
      <x:c r="D184" s="22" t="str">
        <x:v>E04</x:v>
      </x:c>
      <x:c r="E184" s="22" t="str">
        <x:v>% cumplimiento de requisitos legales aplicables en SST</x:v>
      </x:c>
      <x:c r="F184" s="22" t="str">
        <x:v>Estructura</x:v>
      </x:c>
      <x:c r="G184" s="22" t="str">
        <x:v>Mensual</x:v>
      </x:c>
      <x:c r="H184" s="40" t="n">
        <x:v>95</x:v>
      </x:c>
      <x:c r="I184" s="22" t="str">
        <x:v>Mayor es mejor</x:v>
      </x:c>
      <x:c r="J184" s="40" t="n">
        <x:v>55</x:v>
      </x:c>
      <x:c r="K184" s="40" t="n">
        <x:v>60</x:v>
      </x:c>
      <x:c r="L184" s="40" t="n">
        <x:v>100</x:v>
      </x:c>
      <x:c r="M184" s="40" t="n">
        <x:f>IF(OR(J184="",K184="",K184=0),"",J184/K184*L184)</x:f>
        <x:v>91.66666666666666</x:v>
      </x:c>
      <x:c r="N184" s="22" t="str">
        <x:f>IF(M184="","",IF(I184="Mayor es mejor",IF(M184&gt;=H184,"En meta",IF(M184&gt;=H184*0.9,"Alerta","Crítico")),IF(M184&lt;=H184,"En meta",IF(M184&lt;=H184*1.1,"Alerta","Crítico"))))</x:f>
        <x:v>Alerta</x:v>
      </x:c>
      <x:c r="O184" s="22" t="str">
        <x:v>%</x:v>
      </x:c>
      <x:c r="P184" s="22" t="str">
        <x:v>Líder SG-SST / Jurídica</x:v>
      </x:c>
      <x:c r="Q184" s="22" t="str">
        <x:v>Matriz legal SGRL</x:v>
      </x:c>
      <x:c r="R184" s="22" t="str"/>
    </x:row>
    <x:row r="185">
      <x:c r="A185" s="46" t="n">
        <x:v>45291</x:v>
      </x:c>
      <x:c r="B185" s="22" t="n">
        <x:v>2023</x:v>
      </x:c>
      <x:c r="C185" s="22" t="str">
        <x:v>Diciembre</x:v>
      </x:c>
      <x:c r="D185" s="22" t="str">
        <x:v>E05</x:v>
      </x:c>
      <x:c r="E185" s="22" t="str">
        <x:v>% proveedores y contratistas aprobados en SST</x:v>
      </x:c>
      <x:c r="F185" s="22" t="str">
        <x:v>Estructura</x:v>
      </x:c>
      <x:c r="G185" s="22" t="str">
        <x:v>Mensual</x:v>
      </x:c>
      <x:c r="H185" s="40" t="n">
        <x:v>90</x:v>
      </x:c>
      <x:c r="I185" s="22" t="str">
        <x:v>Mayor es mejor</x:v>
      </x:c>
      <x:c r="J185" s="40" t="n">
        <x:v>18</x:v>
      </x:c>
      <x:c r="K185" s="40" t="n">
        <x:v>20</x:v>
      </x:c>
      <x:c r="L185" s="40" t="n">
        <x:v>100</x:v>
      </x:c>
      <x:c r="M185" s="40" t="n">
        <x:f>IF(OR(J185="",K185="",K185=0),"",J185/K185*L185)</x:f>
        <x:v>90</x:v>
      </x:c>
      <x:c r="N185" s="22" t="str">
        <x:f>IF(M185="","",IF(I185="Mayor es mejor",IF(M185&gt;=H185,"En meta",IF(M185&gt;=H185*0.9,"Alerta","Crítico")),IF(M185&lt;=H185,"En meta",IF(M185&lt;=H185*1.1,"Alerta","Crítico"))))</x:f>
        <x:v>En meta</x:v>
      </x:c>
      <x:c r="O185" s="22" t="str">
        <x:v>%</x:v>
      </x:c>
      <x:c r="P185" s="22" t="str">
        <x:v>Compras / Líder SG-SST</x:v>
      </x:c>
      <x:c r="Q185" s="22" t="str">
        <x:v>Gestión de proveedores y contratistas</x:v>
      </x:c>
      <x:c r="R185" s="22" t="str"/>
    </x:row>
    <x:row r="186">
      <x:c r="A186" s="46" t="n">
        <x:v>45291</x:v>
      </x:c>
      <x:c r="B186" s="22" t="n">
        <x:v>2023</x:v>
      </x:c>
      <x:c r="C186" s="22" t="str">
        <x:v>Diciembre</x:v>
      </x:c>
      <x:c r="D186" s="22" t="str">
        <x:v>P01</x:v>
      </x:c>
      <x:c r="E186" s="22" t="str">
        <x:v>% ejecución del plan anual de trabajo SG-SST</x:v>
      </x:c>
      <x:c r="F186" s="22" t="str">
        <x:v>Proceso</x:v>
      </x:c>
      <x:c r="G186" s="22" t="str">
        <x:v>Mensual</x:v>
      </x:c>
      <x:c r="H186" s="40" t="n">
        <x:v>90</x:v>
      </x:c>
      <x:c r="I186" s="22" t="str">
        <x:v>Mayor es mejor</x:v>
      </x:c>
      <x:c r="J186" s="40" t="n">
        <x:v>9</x:v>
      </x:c>
      <x:c r="K186" s="40" t="n">
        <x:v>10</x:v>
      </x:c>
      <x:c r="L186" s="40" t="n">
        <x:v>100</x:v>
      </x:c>
      <x:c r="M186" s="40" t="n">
        <x:f>IF(OR(J186="",K186="",K186=0),"",J186/K186*L186)</x:f>
        <x:v>90</x:v>
      </x:c>
      <x:c r="N186" s="22" t="str">
        <x:f>IF(M186="","",IF(I186="Mayor es mejor",IF(M186&gt;=H186,"En meta",IF(M186&gt;=H186*0.9,"Alerta","Crítico")),IF(M186&lt;=H186,"En meta",IF(M186&lt;=H186*1.1,"Alerta","Crítico"))))</x:f>
        <x:v>En meta</x:v>
      </x:c>
      <x:c r="O186" s="22" t="str">
        <x:v>%</x:v>
      </x:c>
      <x:c r="P186" s="22" t="str">
        <x:v>Líder SG-SST</x:v>
      </x:c>
      <x:c r="Q186" s="22" t="str">
        <x:v>Plan anual de trabajo PHVA</x:v>
      </x:c>
      <x:c r="R186" s="22" t="str"/>
    </x:row>
    <x:row r="187">
      <x:c r="A187" s="46" t="n">
        <x:v>45291</x:v>
      </x:c>
      <x:c r="B187" s="22" t="n">
        <x:v>2023</x:v>
      </x:c>
      <x:c r="C187" s="22" t="str">
        <x:v>Diciembre</x:v>
      </x:c>
      <x:c r="D187" s="22" t="str">
        <x:v>P02</x:v>
      </x:c>
      <x:c r="E187" s="22" t="str">
        <x:v>% investigaciones de accidentes realizadas oportunamente</x:v>
      </x:c>
      <x:c r="F187" s="22" t="str">
        <x:v>Proceso</x:v>
      </x:c>
      <x:c r="G187" s="22" t="str">
        <x:v>Mensual</x:v>
      </x:c>
      <x:c r="H187" s="40" t="n">
        <x:v>95</x:v>
      </x:c>
      <x:c r="I187" s="22" t="str">
        <x:v>Mayor es mejor</x:v>
      </x:c>
      <x:c r="J187" s="40" t="n">
        <x:v>1</x:v>
      </x:c>
      <x:c r="K187" s="40" t="n">
        <x:v>1</x:v>
      </x:c>
      <x:c r="L187" s="40" t="n">
        <x:v>100</x:v>
      </x:c>
      <x:c r="M187" s="40" t="n">
        <x:f>IF(OR(J187="",K187="",K187=0),"",J187/K187*L187)</x:f>
        <x:v>100</x:v>
      </x:c>
      <x:c r="N187" s="22" t="str">
        <x:f>IF(M187="","",IF(I187="Mayor es mejor",IF(M187&gt;=H187,"En meta",IF(M187&gt;=H187*0.9,"Alerta","Crítico")),IF(M187&lt;=H187,"En meta",IF(M187&lt;=H187*1.1,"Alerta","Crítico"))))</x:f>
        <x:v>En meta</x:v>
      </x:c>
      <x:c r="O187" s="22" t="str">
        <x:v>%</x:v>
      </x:c>
      <x:c r="P187" s="22" t="str">
        <x:v>Líder SG-SST / COPASST</x:v>
      </x:c>
      <x:c r="Q187" s="22" t="str">
        <x:v>Matriz de accidentalidad</x:v>
      </x:c>
      <x:c r="R187" s="22" t="str"/>
    </x:row>
    <x:row r="188">
      <x:c r="A188" s="46" t="n">
        <x:v>45291</x:v>
      </x:c>
      <x:c r="B188" s="22" t="n">
        <x:v>2023</x:v>
      </x:c>
      <x:c r="C188" s="22" t="str">
        <x:v>Diciembre</x:v>
      </x:c>
      <x:c r="D188" s="22" t="str">
        <x:v>P03</x:v>
      </x:c>
      <x:c r="E188" s="22" t="str">
        <x:v>% cierre oportuno de acciones correctivas, preventivas y de mejora</x:v>
      </x:c>
      <x:c r="F188" s="22" t="str">
        <x:v>Proceso</x:v>
      </x:c>
      <x:c r="G188" s="22" t="str">
        <x:v>Mensual</x:v>
      </x:c>
      <x:c r="H188" s="40" t="n">
        <x:v>90</x:v>
      </x:c>
      <x:c r="I188" s="22" t="str">
        <x:v>Mayor es mejor</x:v>
      </x:c>
      <x:c r="J188" s="40" t="n">
        <x:v>10</x:v>
      </x:c>
      <x:c r="K188" s="40" t="n">
        <x:v>12</x:v>
      </x:c>
      <x:c r="L188" s="40" t="n">
        <x:v>100</x:v>
      </x:c>
      <x:c r="M188" s="40" t="n">
        <x:f>IF(OR(J188="",K188="",K188=0),"",J188/K188*L188)</x:f>
        <x:v>83.33333333333334</x:v>
      </x:c>
      <x:c r="N188" s="22" t="str">
        <x:f>IF(M188="","",IF(I188="Mayor es mejor",IF(M188&gt;=H188,"En meta",IF(M188&gt;=H188*0.9,"Alerta","Crítico")),IF(M188&lt;=H188,"En meta",IF(M188&lt;=H188*1.1,"Alerta","Crítico"))))</x:f>
        <x:v>Alerta</x:v>
      </x:c>
      <x:c r="O188" s="22" t="str">
        <x:v>%</x:v>
      </x:c>
      <x:c r="P188" s="22" t="str">
        <x:v>Líder SG-SST / Responsables de proceso</x:v>
      </x:c>
      <x:c r="Q188" s="22" t="str">
        <x:v>Matriz APCM</x:v>
      </x:c>
      <x:c r="R188" s="22" t="str"/>
    </x:row>
    <x:row r="189">
      <x:c r="A189" s="46" t="n">
        <x:v>45291</x:v>
      </x:c>
      <x:c r="B189" s="22" t="n">
        <x:v>2023</x:v>
      </x:c>
      <x:c r="C189" s="22" t="str">
        <x:v>Diciembre</x:v>
      </x:c>
      <x:c r="D189" s="22" t="str">
        <x:v>P04</x:v>
      </x:c>
      <x:c r="E189" s="22" t="str">
        <x:v>% inspecciones de seguridad ejecutadas</x:v>
      </x:c>
      <x:c r="F189" s="22" t="str">
        <x:v>Proceso</x:v>
      </x:c>
      <x:c r="G189" s="22" t="str">
        <x:v>Mensual</x:v>
      </x:c>
      <x:c r="H189" s="40" t="n">
        <x:v>90</x:v>
      </x:c>
      <x:c r="I189" s="22" t="str">
        <x:v>Mayor es mejor</x:v>
      </x:c>
      <x:c r="J189" s="40" t="n">
        <x:v>7</x:v>
      </x:c>
      <x:c r="K189" s="40" t="n">
        <x:v>8</x:v>
      </x:c>
      <x:c r="L189" s="40" t="n">
        <x:v>100</x:v>
      </x:c>
      <x:c r="M189" s="40" t="n">
        <x:f>IF(OR(J189="",K189="",K189=0),"",J189/K189*L189)</x:f>
        <x:v>87.5</x:v>
      </x:c>
      <x:c r="N189" s="22" t="str">
        <x:f>IF(M189="","",IF(I189="Mayor es mejor",IF(M189&gt;=H189,"En meta",IF(M189&gt;=H189*0.9,"Alerta","Crítico")),IF(M189&lt;=H189,"En meta",IF(M189&lt;=H189*1.1,"Alerta","Crítico"))))</x:f>
        <x:v>Alerta</x:v>
      </x:c>
      <x:c r="O189" s="22" t="str">
        <x:v>%</x:v>
      </x:c>
      <x:c r="P189" s="22" t="str">
        <x:v>Líder SG-SST / Supervisores</x:v>
      </x:c>
      <x:c r="Q189" s="22" t="str">
        <x:v>Programa de inspecciones</x:v>
      </x:c>
      <x:c r="R189" s="22" t="str"/>
    </x:row>
    <x:row r="190">
      <x:c r="A190" s="46" t="n">
        <x:v>45291</x:v>
      </x:c>
      <x:c r="B190" s="22" t="n">
        <x:v>2023</x:v>
      </x:c>
      <x:c r="C190" s="22" t="str">
        <x:v>Diciembre</x:v>
      </x:c>
      <x:c r="D190" s="22" t="str">
        <x:v>P05</x:v>
      </x:c>
      <x:c r="E190" s="22" t="str">
        <x:v>% mantenimientos preventivos ejecutados</x:v>
      </x:c>
      <x:c r="F190" s="22" t="str">
        <x:v>Proceso</x:v>
      </x:c>
      <x:c r="G190" s="22" t="str">
        <x:v>Mensual</x:v>
      </x:c>
      <x:c r="H190" s="40" t="n">
        <x:v>90</x:v>
      </x:c>
      <x:c r="I190" s="22" t="str">
        <x:v>Mayor es mejor</x:v>
      </x:c>
      <x:c r="J190" s="40" t="n">
        <x:v>11</x:v>
      </x:c>
      <x:c r="K190" s="40" t="n">
        <x:v>12</x:v>
      </x:c>
      <x:c r="L190" s="40" t="n">
        <x:v>100</x:v>
      </x:c>
      <x:c r="M190" s="40" t="n">
        <x:f>IF(OR(J190="",K190="",K190=0),"",J190/K190*L190)</x:f>
        <x:v>91.66666666666666</x:v>
      </x:c>
      <x:c r="N190" s="22" t="str">
        <x:f>IF(M190="","",IF(I190="Mayor es mejor",IF(M190&gt;=H190,"En meta",IF(M190&gt;=H190*0.9,"Alerta","Crítico")),IF(M190&lt;=H190,"En meta",IF(M190&lt;=H190*1.1,"Alerta","Crítico"))))</x:f>
        <x:v>En meta</x:v>
      </x:c>
      <x:c r="O190" s="22" t="str">
        <x:v>%</x:v>
      </x:c>
      <x:c r="P190" s="22" t="str">
        <x:v>Mantenimiento / Líder SG-SST</x:v>
      </x:c>
      <x:c r="Q190" s="22" t="str">
        <x:v>Programa de mantenimiento preventivo</x:v>
      </x:c>
      <x:c r="R190" s="22" t="str"/>
    </x:row>
    <x:row r="191">
      <x:c r="A191" s="46" t="n">
        <x:v>45291</x:v>
      </x:c>
      <x:c r="B191" s="22" t="n">
        <x:v>2023</x:v>
      </x:c>
      <x:c r="C191" s="22" t="str">
        <x:v>Diciembre</x:v>
      </x:c>
      <x:c r="D191" s="22" t="str">
        <x:v>R01</x:v>
      </x:c>
      <x:c r="E191" s="22" t="str">
        <x:v>Índice de frecuencia de accidentalidad (IF)</x:v>
      </x:c>
      <x:c r="F191" s="22" t="str">
        <x:v>Resultado</x:v>
      </x:c>
      <x:c r="G191" s="22" t="str">
        <x:v>Mensual</x:v>
      </x:c>
      <x:c r="H191" s="40" t="n">
        <x:v>3.5</x:v>
      </x:c>
      <x:c r="I191" s="22" t="str">
        <x:v>Menor es mejor</x:v>
      </x:c>
      <x:c r="J191" s="40" t="n">
        <x:v>1</x:v>
      </x:c>
      <x:c r="K191" s="40" t="n">
        <x:v>49016</x:v>
      </x:c>
      <x:c r="L191" s="40" t="n">
        <x:v>200000</x:v>
      </x:c>
      <x:c r="M191" s="40" t="n">
        <x:f>IF(OR(J191="",K191="",K191=0),"",J191/K191*L191)</x:f>
        <x:v>4.080300310102824</x:v>
      </x:c>
      <x:c r="N191" s="22" t="str">
        <x:f>IF(M191="","",IF(I191="Mayor es mejor",IF(M191&gt;=H191,"En meta",IF(M191&gt;=H191*0.9,"Alerta","Crítico")),IF(M191&lt;=H191,"En meta",IF(M191&lt;=H191*1.1,"Alerta","Crítico"))))</x:f>
        <x:v>Crítico</x:v>
      </x:c>
      <x:c r="O191" s="22" t="str">
        <x:v>Índice</x:v>
      </x:c>
      <x:c r="P191" s="22" t="str">
        <x:v>Líder SG-SST</x:v>
      </x:c>
      <x:c r="Q191" s="22" t="str">
        <x:v>Matriz de accidentalidad / nómina</x:v>
      </x:c>
      <x:c r="R191" s="22" t="str"/>
    </x:row>
    <x:row r="192">
      <x:c r="A192" s="46" t="n">
        <x:v>45291</x:v>
      </x:c>
      <x:c r="B192" s="22" t="n">
        <x:v>2023</x:v>
      </x:c>
      <x:c r="C192" s="22" t="str">
        <x:v>Diciembre</x:v>
      </x:c>
      <x:c r="D192" s="22" t="str">
        <x:v>R02</x:v>
      </x:c>
      <x:c r="E192" s="22" t="str">
        <x:v>Índice de severidad de accidentalidad (IS)</x:v>
      </x:c>
      <x:c r="F192" s="22" t="str">
        <x:v>Resultado</x:v>
      </x:c>
      <x:c r="G192" s="22" t="str">
        <x:v>Mensual</x:v>
      </x:c>
      <x:c r="H192" s="40" t="n">
        <x:v>80</x:v>
      </x:c>
      <x:c r="I192" s="22" t="str">
        <x:v>Menor es mejor</x:v>
      </x:c>
      <x:c r="J192" s="40" t="n">
        <x:v>18</x:v>
      </x:c>
      <x:c r="K192" s="40" t="n">
        <x:v>49016</x:v>
      </x:c>
      <x:c r="L192" s="40" t="n">
        <x:v>200000</x:v>
      </x:c>
      <x:c r="M192" s="40" t="n">
        <x:f>IF(OR(J192="",K192="",K192=0),"",J192/K192*L192)</x:f>
        <x:v>73.44540558185084</x:v>
      </x:c>
      <x:c r="N192" s="22" t="str">
        <x:f>IF(M192="","",IF(I192="Mayor es mejor",IF(M192&gt;=H192,"En meta",IF(M192&gt;=H192*0.9,"Alerta","Crítico")),IF(M192&lt;=H192,"En meta",IF(M192&lt;=H192*1.1,"Alerta","Crítico"))))</x:f>
        <x:v>En meta</x:v>
      </x:c>
      <x:c r="O192" s="22" t="str">
        <x:v>Índice</x:v>
      </x:c>
      <x:c r="P192" s="22" t="str">
        <x:v>Líder SG-SST</x:v>
      </x:c>
      <x:c r="Q192" s="22" t="str">
        <x:v>Matriz de accidentalidad / nómina</x:v>
      </x:c>
      <x:c r="R192" s="22" t="str"/>
    </x:row>
    <x:row r="193">
      <x:c r="A193" s="46" t="n">
        <x:v>45291</x:v>
      </x:c>
      <x:c r="B193" s="22" t="n">
        <x:v>2023</x:v>
      </x:c>
      <x:c r="C193" s="22" t="str">
        <x:v>Diciembre</x:v>
      </x:c>
      <x:c r="D193" s="22" t="str">
        <x:v>R03</x:v>
      </x:c>
      <x:c r="E193" s="22" t="str">
        <x:v>Índice de lesión incapacitante (ILI)</x:v>
      </x:c>
      <x:c r="F193" s="22" t="str">
        <x:v>Resultado</x:v>
      </x:c>
      <x:c r="G193" s="22" t="str">
        <x:v>Mensual</x:v>
      </x:c>
      <x:c r="H193" s="40" t="n">
        <x:v>0.25</x:v>
      </x:c>
      <x:c r="I193" s="22" t="str">
        <x:v>Menor es mejor</x:v>
      </x:c>
      <x:c r="J193" s="40" t="n">
        <x:v>299.6793</x:v>
      </x:c>
      <x:c r="K193" s="40" t="n">
        <x:v>1000</x:v>
      </x:c>
      <x:c r="L193" s="40" t="n">
        <x:v>1</x:v>
      </x:c>
      <x:c r="M193" s="40" t="n">
        <x:f>IF(OR(J193="",K193="",K193=0),"",J193/K193*L193)</x:f>
        <x:v>0.29967930000000004</x:v>
      </x:c>
      <x:c r="N193" s="22" t="str">
        <x:f>IF(M193="","",IF(I193="Mayor es mejor",IF(M193&gt;=H193,"En meta",IF(M193&gt;=H193*0.9,"Alerta","Crítico")),IF(M193&lt;=H193,"En meta",IF(M193&lt;=H193*1.1,"Alerta","Crítico"))))</x:f>
        <x:v>Crítico</x:v>
      </x:c>
      <x:c r="O193" s="22" t="str">
        <x:v>Índice</x:v>
      </x:c>
      <x:c r="P193" s="22" t="str">
        <x:v>Líder SG-SST</x:v>
      </x:c>
      <x:c r="Q193" s="22" t="str">
        <x:v>Indicadores derivados de accidentalidad</x:v>
      </x:c>
      <x:c r="R193" s="22" t="str">
        <x:v>ILI calculado sobre IF e IS del periodo.</x:v>
      </x:c>
    </x:row>
    <x:row r="194">
      <x:c r="A194" s="46" t="n">
        <x:v>45291</x:v>
      </x:c>
      <x:c r="B194" s="22" t="n">
        <x:v>2023</x:v>
      </x:c>
      <x:c r="C194" s="22" t="str">
        <x:v>Diciembre</x:v>
      </x:c>
      <x:c r="D194" s="22" t="str">
        <x:v>R04</x:v>
      </x:c>
      <x:c r="E194" s="22" t="str">
        <x:v>Tasa de accidentalidad</x:v>
      </x:c>
      <x:c r="F194" s="22" t="str">
        <x:v>Resultado</x:v>
      </x:c>
      <x:c r="G194" s="22" t="str">
        <x:v>Mensual</x:v>
      </x:c>
      <x:c r="H194" s="40" t="n">
        <x:v>0.6</x:v>
      </x:c>
      <x:c r="I194" s="22" t="str">
        <x:v>Menor es mejor</x:v>
      </x:c>
      <x:c r="J194" s="40" t="n">
        <x:v>4.34</x:v>
      </x:c>
      <x:c r="K194" s="40" t="n">
        <x:v>207</x:v>
      </x:c>
      <x:c r="L194" s="40" t="n">
        <x:v>100</x:v>
      </x:c>
      <x:c r="M194" s="40" t="n">
        <x:f>IF(OR(J194="",K194="",K194=0),"",J194/K194*L194)</x:f>
        <x:v>2.0966183574879227</x:v>
      </x:c>
      <x:c r="N194" s="22" t="str">
        <x:f>IF(M194="","",IF(I194="Mayor es mejor",IF(M194&gt;=H194,"En meta",IF(M194&gt;=H194*0.9,"Alerta","Crítico")),IF(M194&lt;=H194,"En meta",IF(M194&lt;=H194*1.1,"Alerta","Crítico"))))</x:f>
        <x:v>Crítico</x:v>
      </x:c>
      <x:c r="O194" s="22" t="str">
        <x:v>%</x:v>
      </x:c>
      <x:c r="P194" s="22" t="str">
        <x:v>Líder SG-SST</x:v>
      </x:c>
      <x:c r="Q194" s="22" t="str">
        <x:v>Matriz de accidentalidad / nómina</x:v>
      </x:c>
      <x:c r="R194" s="22" t="str"/>
    </x:row>
    <x:row r="195">
      <x:c r="A195" s="46" t="n">
        <x:v>45291</x:v>
      </x:c>
      <x:c r="B195" s="22" t="n">
        <x:v>2023</x:v>
      </x:c>
      <x:c r="C195" s="22" t="str">
        <x:v>Diciembre</x:v>
      </x:c>
      <x:c r="D195" s="22" t="str">
        <x:v>R05</x:v>
      </x:c>
      <x:c r="E195" s="22" t="str">
        <x:v>Prevalencia de enfermedad laboral</x:v>
      </x:c>
      <x:c r="F195" s="22" t="str">
        <x:v>Resultado</x:v>
      </x:c>
      <x:c r="G195" s="22" t="str">
        <x:v>Mensual</x:v>
      </x:c>
      <x:c r="H195" s="40" t="n">
        <x:v>0.3</x:v>
      </x:c>
      <x:c r="I195" s="22" t="str">
        <x:v>Menor es mejor</x:v>
      </x:c>
      <x:c r="J195" s="40" t="n">
        <x:v>0.02</x:v>
      </x:c>
      <x:c r="K195" s="40" t="n">
        <x:v>207</x:v>
      </x:c>
      <x:c r="L195" s="40" t="n">
        <x:v>100</x:v>
      </x:c>
      <x:c r="M195" s="40" t="n">
        <x:f>IF(OR(J195="",K195="",K195=0),"",J195/K195*L195)</x:f>
        <x:v>0.00966183574879227</x:v>
      </x:c>
      <x:c r="N195" s="22" t="str">
        <x:f>IF(M195="","",IF(I195="Mayor es mejor",IF(M195&gt;=H195,"En meta",IF(M195&gt;=H195*0.9,"Alerta","Crítico")),IF(M195&lt;=H195,"En meta",IF(M195&lt;=H195*1.1,"Alerta","Crítico"))))</x:f>
        <x:v>En meta</x:v>
      </x:c>
      <x:c r="O195" s="22" t="str">
        <x:v>%</x:v>
      </x:c>
      <x:c r="P195" s="22" t="str">
        <x:v>Líder SG-SST / Medicina laboral</x:v>
      </x:c>
      <x:c r="Q195" s="22" t="str">
        <x:v>Matriz de enfermedad laboral / nómina</x:v>
      </x:c>
      <x:c r="R195" s="22" t="str"/>
    </x:row>
    <x:row r="196">
      <x:c r="A196" s="46" t="n">
        <x:v>45291</x:v>
      </x:c>
      <x:c r="B196" s="22" t="n">
        <x:v>2023</x:v>
      </x:c>
      <x:c r="C196" s="22" t="str">
        <x:v>Diciembre</x:v>
      </x:c>
      <x:c r="D196" s="22" t="str">
        <x:v>R06</x:v>
      </x:c>
      <x:c r="E196" s="22" t="str">
        <x:v>% cumplimiento de estándares mínimos Res. 0312 de 2019</x:v>
      </x:c>
      <x:c r="F196" s="22" t="str">
        <x:v>Resultado</x:v>
      </x:c>
      <x:c r="G196" s="22" t="str">
        <x:v>Mensual</x:v>
      </x:c>
      <x:c r="H196" s="40" t="n">
        <x:v>95</x:v>
      </x:c>
      <x:c r="I196" s="22" t="str">
        <x:v>Mayor es mejor</x:v>
      </x:c>
      <x:c r="J196" s="40" t="n">
        <x:v>97</x:v>
      </x:c>
      <x:c r="K196" s="40" t="n">
        <x:v>100</x:v>
      </x:c>
      <x:c r="L196" s="40" t="n">
        <x:v>100</x:v>
      </x:c>
      <x:c r="M196" s="40" t="n">
        <x:f>IF(OR(J196="",K196="",K196=0),"",J196/K196*L196)</x:f>
        <x:v>97</x:v>
      </x:c>
      <x:c r="N196" s="22" t="str">
        <x:f>IF(M196="","",IF(I196="Mayor es mejor",IF(M196&gt;=H196,"En meta",IF(M196&gt;=H196*0.9,"Alerta","Crítico")),IF(M196&lt;=H196,"En meta",IF(M196&lt;=H196*1.1,"Alerta","Crítico"))))</x:f>
        <x:v>En meta</x:v>
      </x:c>
      <x:c r="O196" s="22" t="str">
        <x:v>%</x:v>
      </x:c>
      <x:c r="P196" s="22" t="str">
        <x:v>Líder SG-SST / Alta Dirección</x:v>
      </x:c>
      <x:c r="Q196" s="22" t="str">
        <x:v>Autodiagnóstico Res. 0312 de 2019</x:v>
      </x:c>
      <x:c r="R196" s="22" t="str"/>
    </x:row>
    <x:row r="197">
      <x:c r="A197" s="46" t="n">
        <x:v>45322</x:v>
      </x:c>
      <x:c r="B197" s="22" t="n">
        <x:v>2024</x:v>
      </x:c>
      <x:c r="C197" s="22" t="str">
        <x:v>Enero</x:v>
      </x:c>
      <x:c r="D197" s="22" t="str">
        <x:v>E01</x:v>
      </x:c>
      <x:c r="E197" s="22" t="str">
        <x:v>% ejecución presupuestal del SG-SST</x:v>
      </x:c>
      <x:c r="F197" s="22" t="str">
        <x:v>Estructura</x:v>
      </x:c>
      <x:c r="G197" s="22" t="str">
        <x:v>Mensual</x:v>
      </x:c>
      <x:c r="H197" s="40" t="n">
        <x:v>95</x:v>
      </x:c>
      <x:c r="I197" s="22" t="str">
        <x:v>Mayor es mejor</x:v>
      </x:c>
      <x:c r="J197" s="40" t="n">
        <x:v>4267965</x:v>
      </x:c>
      <x:c r="K197" s="40" t="n">
        <x:v>4500000</x:v>
      </x:c>
      <x:c r="L197" s="40" t="n">
        <x:v>100</x:v>
      </x:c>
      <x:c r="M197" s="40" t="n">
        <x:f>IF(OR(J197="",K197="",K197=0),"",J197/K197*L197)</x:f>
        <x:v>94.84366666666666</x:v>
      </x:c>
      <x:c r="N197" s="22" t="str">
        <x:f>IF(M197="","",IF(I197="Mayor es mejor",IF(M197&gt;=H197,"En meta",IF(M197&gt;=H197*0.9,"Alerta","Crítico")),IF(M197&lt;=H197,"En meta",IF(M197&lt;=H197*1.1,"Alerta","Crítico"))))</x:f>
        <x:v>Alerta</x:v>
      </x:c>
      <x:c r="O197" s="22" t="str">
        <x:v>%</x:v>
      </x:c>
      <x:c r="P197" s="22" t="str">
        <x:v>Líder SG-SST / Dirección Administrativa</x:v>
      </x:c>
      <x:c r="Q197" s="22" t="str">
        <x:v>Presupuesto SST</x:v>
      </x:c>
      <x:c r="R197" s="22" t="str"/>
    </x:row>
    <x:row r="198">
      <x:c r="A198" s="46" t="n">
        <x:v>45322</x:v>
      </x:c>
      <x:c r="B198" s="22" t="n">
        <x:v>2024</x:v>
      </x:c>
      <x:c r="C198" s="22" t="str">
        <x:v>Enero</x:v>
      </x:c>
      <x:c r="D198" s="22" t="str">
        <x:v>E02</x:v>
      </x:c>
      <x:c r="E198" s="22" t="str">
        <x:v>% cobertura del plan de formación y capacitación SG-SST</x:v>
      </x:c>
      <x:c r="F198" s="22" t="str">
        <x:v>Estructura</x:v>
      </x:c>
      <x:c r="G198" s="22" t="str">
        <x:v>Mensual</x:v>
      </x:c>
      <x:c r="H198" s="40" t="n">
        <x:v>90</x:v>
      </x:c>
      <x:c r="I198" s="22" t="str">
        <x:v>Mayor es mejor</x:v>
      </x:c>
      <x:c r="J198" s="40" t="n">
        <x:v>18</x:v>
      </x:c>
      <x:c r="K198" s="40" t="n">
        <x:v>20</x:v>
      </x:c>
      <x:c r="L198" s="40" t="n">
        <x:v>100</x:v>
      </x:c>
      <x:c r="M198" s="40" t="n">
        <x:f>IF(OR(J198="",K198="",K198=0),"",J198/K198*L198)</x:f>
        <x:v>90</x:v>
      </x:c>
      <x:c r="N198" s="22" t="str">
        <x:f>IF(M198="","",IF(I198="Mayor es mejor",IF(M198&gt;=H198,"En meta",IF(M198&gt;=H198*0.9,"Alerta","Crítico")),IF(M198&lt;=H198,"En meta",IF(M198&lt;=H198*1.1,"Alerta","Crítico"))))</x:f>
        <x:v>En meta</x:v>
      </x:c>
      <x:c r="O198" s="22" t="str">
        <x:v>%</x:v>
      </x:c>
      <x:c r="P198" s="22" t="str">
        <x:v>Líder SG-SST / Talento Humano</x:v>
      </x:c>
      <x:c r="Q198" s="22" t="str">
        <x:v>Plan de formación y capacitaciones</x:v>
      </x:c>
      <x:c r="R198" s="22" t="str"/>
    </x:row>
    <x:row r="199">
      <x:c r="A199" s="46" t="n">
        <x:v>45322</x:v>
      </x:c>
      <x:c r="B199" s="22" t="n">
        <x:v>2024</x:v>
      </x:c>
      <x:c r="C199" s="22" t="str">
        <x:v>Enero</x:v>
      </x:c>
      <x:c r="D199" s="22" t="str">
        <x:v>E03</x:v>
      </x:c>
      <x:c r="E199" s="22" t="str">
        <x:v>% trabajadores con exámenes médicos ocupacionales vigentes</x:v>
      </x:c>
      <x:c r="F199" s="22" t="str">
        <x:v>Estructura</x:v>
      </x:c>
      <x:c r="G199" s="22" t="str">
        <x:v>Mensual</x:v>
      </x:c>
      <x:c r="H199" s="40" t="n">
        <x:v>95</x:v>
      </x:c>
      <x:c r="I199" s="22" t="str">
        <x:v>Mayor es mejor</x:v>
      </x:c>
      <x:c r="J199" s="40" t="n">
        <x:v>219</x:v>
      </x:c>
      <x:c r="K199" s="40" t="n">
        <x:v>228</x:v>
      </x:c>
      <x:c r="L199" s="40" t="n">
        <x:v>100</x:v>
      </x:c>
      <x:c r="M199" s="40" t="n">
        <x:f>IF(OR(J199="",K199="",K199=0),"",J199/K199*L199)</x:f>
        <x:v>96.05263157894737</x:v>
      </x:c>
      <x:c r="N199" s="22" t="str">
        <x:f>IF(M199="","",IF(I199="Mayor es mejor",IF(M199&gt;=H199,"En meta",IF(M199&gt;=H199*0.9,"Alerta","Crítico")),IF(M199&lt;=H199,"En meta",IF(M199&lt;=H199*1.1,"Alerta","Crítico"))))</x:f>
        <x:v>En meta</x:v>
      </x:c>
      <x:c r="O199" s="22" t="str">
        <x:v>%</x:v>
      </x:c>
      <x:c r="P199" s="22" t="str">
        <x:v>Líder SG-SST / Talento Humano</x:v>
      </x:c>
      <x:c r="Q199" s="22" t="str">
        <x:v>Matriz de seguimiento EMO</x:v>
      </x:c>
      <x:c r="R199" s="22" t="str"/>
    </x:row>
    <x:row r="200">
      <x:c r="A200" s="46" t="n">
        <x:v>45322</x:v>
      </x:c>
      <x:c r="B200" s="22" t="n">
        <x:v>2024</x:v>
      </x:c>
      <x:c r="C200" s="22" t="str">
        <x:v>Enero</x:v>
      </x:c>
      <x:c r="D200" s="22" t="str">
        <x:v>E04</x:v>
      </x:c>
      <x:c r="E200" s="22" t="str">
        <x:v>% cumplimiento de requisitos legales aplicables en SST</x:v>
      </x:c>
      <x:c r="F200" s="22" t="str">
        <x:v>Estructura</x:v>
      </x:c>
      <x:c r="G200" s="22" t="str">
        <x:v>Mensual</x:v>
      </x:c>
      <x:c r="H200" s="40" t="n">
        <x:v>95</x:v>
      </x:c>
      <x:c r="I200" s="22" t="str">
        <x:v>Mayor es mejor</x:v>
      </x:c>
      <x:c r="J200" s="40" t="n">
        <x:v>58</x:v>
      </x:c>
      <x:c r="K200" s="40" t="n">
        <x:v>60</x:v>
      </x:c>
      <x:c r="L200" s="40" t="n">
        <x:v>100</x:v>
      </x:c>
      <x:c r="M200" s="40" t="n">
        <x:f>IF(OR(J200="",K200="",K200=0),"",J200/K200*L200)</x:f>
        <x:v>96.66666666666667</x:v>
      </x:c>
      <x:c r="N200" s="22" t="str">
        <x:f>IF(M200="","",IF(I200="Mayor es mejor",IF(M200&gt;=H200,"En meta",IF(M200&gt;=H200*0.9,"Alerta","Crítico")),IF(M200&lt;=H200,"En meta",IF(M200&lt;=H200*1.1,"Alerta","Crítico"))))</x:f>
        <x:v>En meta</x:v>
      </x:c>
      <x:c r="O200" s="22" t="str">
        <x:v>%</x:v>
      </x:c>
      <x:c r="P200" s="22" t="str">
        <x:v>Líder SG-SST / Jurídica</x:v>
      </x:c>
      <x:c r="Q200" s="22" t="str">
        <x:v>Matriz legal SGRL</x:v>
      </x:c>
      <x:c r="R200" s="22" t="str"/>
    </x:row>
    <x:row r="201">
      <x:c r="A201" s="46" t="n">
        <x:v>45322</x:v>
      </x:c>
      <x:c r="B201" s="22" t="n">
        <x:v>2024</x:v>
      </x:c>
      <x:c r="C201" s="22" t="str">
        <x:v>Enero</x:v>
      </x:c>
      <x:c r="D201" s="22" t="str">
        <x:v>E05</x:v>
      </x:c>
      <x:c r="E201" s="22" t="str">
        <x:v>% proveedores y contratistas aprobados en SST</x:v>
      </x:c>
      <x:c r="F201" s="22" t="str">
        <x:v>Estructura</x:v>
      </x:c>
      <x:c r="G201" s="22" t="str">
        <x:v>Mensual</x:v>
      </x:c>
      <x:c r="H201" s="40" t="n">
        <x:v>90</x:v>
      </x:c>
      <x:c r="I201" s="22" t="str">
        <x:v>Mayor es mejor</x:v>
      </x:c>
      <x:c r="J201" s="40" t="n">
        <x:v>18</x:v>
      </x:c>
      <x:c r="K201" s="40" t="n">
        <x:v>20</x:v>
      </x:c>
      <x:c r="L201" s="40" t="n">
        <x:v>100</x:v>
      </x:c>
      <x:c r="M201" s="40" t="n">
        <x:f>IF(OR(J201="",K201="",K201=0),"",J201/K201*L201)</x:f>
        <x:v>90</x:v>
      </x:c>
      <x:c r="N201" s="22" t="str">
        <x:f>IF(M201="","",IF(I201="Mayor es mejor",IF(M201&gt;=H201,"En meta",IF(M201&gt;=H201*0.9,"Alerta","Crítico")),IF(M201&lt;=H201,"En meta",IF(M201&lt;=H201*1.1,"Alerta","Crítico"))))</x:f>
        <x:v>En meta</x:v>
      </x:c>
      <x:c r="O201" s="22" t="str">
        <x:v>%</x:v>
      </x:c>
      <x:c r="P201" s="22" t="str">
        <x:v>Compras / Líder SG-SST</x:v>
      </x:c>
      <x:c r="Q201" s="22" t="str">
        <x:v>Gestión de proveedores y contratistas</x:v>
      </x:c>
      <x:c r="R201" s="22" t="str"/>
    </x:row>
    <x:row r="202">
      <x:c r="A202" s="46" t="n">
        <x:v>45322</x:v>
      </x:c>
      <x:c r="B202" s="22" t="n">
        <x:v>2024</x:v>
      </x:c>
      <x:c r="C202" s="22" t="str">
        <x:v>Enero</x:v>
      </x:c>
      <x:c r="D202" s="22" t="str">
        <x:v>P01</x:v>
      </x:c>
      <x:c r="E202" s="22" t="str">
        <x:v>% ejecución del plan anual de trabajo SG-SST</x:v>
      </x:c>
      <x:c r="F202" s="22" t="str">
        <x:v>Proceso</x:v>
      </x:c>
      <x:c r="G202" s="22" t="str">
        <x:v>Mensual</x:v>
      </x:c>
      <x:c r="H202" s="40" t="n">
        <x:v>90</x:v>
      </x:c>
      <x:c r="I202" s="22" t="str">
        <x:v>Mayor es mejor</x:v>
      </x:c>
      <x:c r="J202" s="40" t="n">
        <x:v>11</x:v>
      </x:c>
      <x:c r="K202" s="40" t="n">
        <x:v>12</x:v>
      </x:c>
      <x:c r="L202" s="40" t="n">
        <x:v>100</x:v>
      </x:c>
      <x:c r="M202" s="40" t="n">
        <x:f>IF(OR(J202="",K202="",K202=0),"",J202/K202*L202)</x:f>
        <x:v>91.66666666666666</x:v>
      </x:c>
      <x:c r="N202" s="22" t="str">
        <x:f>IF(M202="","",IF(I202="Mayor es mejor",IF(M202&gt;=H202,"En meta",IF(M202&gt;=H202*0.9,"Alerta","Crítico")),IF(M202&lt;=H202,"En meta",IF(M202&lt;=H202*1.1,"Alerta","Crítico"))))</x:f>
        <x:v>En meta</x:v>
      </x:c>
      <x:c r="O202" s="22" t="str">
        <x:v>%</x:v>
      </x:c>
      <x:c r="P202" s="22" t="str">
        <x:v>Líder SG-SST</x:v>
      </x:c>
      <x:c r="Q202" s="22" t="str">
        <x:v>Plan anual de trabajo PHVA</x:v>
      </x:c>
      <x:c r="R202" s="22" t="str"/>
    </x:row>
    <x:row r="203">
      <x:c r="A203" s="46" t="n">
        <x:v>45322</x:v>
      </x:c>
      <x:c r="B203" s="22" t="n">
        <x:v>2024</x:v>
      </x:c>
      <x:c r="C203" s="22" t="str">
        <x:v>Enero</x:v>
      </x:c>
      <x:c r="D203" s="22" t="str">
        <x:v>P02</x:v>
      </x:c>
      <x:c r="E203" s="22" t="str">
        <x:v>% investigaciones de accidentes realizadas oportunamente</x:v>
      </x:c>
      <x:c r="F203" s="22" t="str">
        <x:v>Proceso</x:v>
      </x:c>
      <x:c r="G203" s="22" t="str">
        <x:v>Mensual</x:v>
      </x:c>
      <x:c r="H203" s="40" t="n">
        <x:v>95</x:v>
      </x:c>
      <x:c r="I203" s="22" t="str">
        <x:v>Mayor es mejor</x:v>
      </x:c>
      <x:c r="J203" s="40" t="n">
        <x:v>1</x:v>
      </x:c>
      <x:c r="K203" s="40" t="n">
        <x:v>1</x:v>
      </x:c>
      <x:c r="L203" s="40" t="n">
        <x:v>100</x:v>
      </x:c>
      <x:c r="M203" s="40" t="n">
        <x:f>IF(OR(J203="",K203="",K203=0),"",J203/K203*L203)</x:f>
        <x:v>100</x:v>
      </x:c>
      <x:c r="N203" s="22" t="str">
        <x:f>IF(M203="","",IF(I203="Mayor es mejor",IF(M203&gt;=H203,"En meta",IF(M203&gt;=H203*0.9,"Alerta","Crítico")),IF(M203&lt;=H203,"En meta",IF(M203&lt;=H203*1.1,"Alerta","Crítico"))))</x:f>
        <x:v>En meta</x:v>
      </x:c>
      <x:c r="O203" s="22" t="str">
        <x:v>%</x:v>
      </x:c>
      <x:c r="P203" s="22" t="str">
        <x:v>Líder SG-SST / COPASST</x:v>
      </x:c>
      <x:c r="Q203" s="22" t="str">
        <x:v>Matriz de accidentalidad</x:v>
      </x:c>
      <x:c r="R203" s="22" t="str"/>
    </x:row>
    <x:row r="204">
      <x:c r="A204" s="46" t="n">
        <x:v>45322</x:v>
      </x:c>
      <x:c r="B204" s="22" t="n">
        <x:v>2024</x:v>
      </x:c>
      <x:c r="C204" s="22" t="str">
        <x:v>Enero</x:v>
      </x:c>
      <x:c r="D204" s="22" t="str">
        <x:v>P03</x:v>
      </x:c>
      <x:c r="E204" s="22" t="str">
        <x:v>% cierre oportuno de acciones correctivas, preventivas y de mejora</x:v>
      </x:c>
      <x:c r="F204" s="22" t="str">
        <x:v>Proceso</x:v>
      </x:c>
      <x:c r="G204" s="22" t="str">
        <x:v>Mensual</x:v>
      </x:c>
      <x:c r="H204" s="40" t="n">
        <x:v>90</x:v>
      </x:c>
      <x:c r="I204" s="22" t="str">
        <x:v>Mayor es mejor</x:v>
      </x:c>
      <x:c r="J204" s="40" t="n">
        <x:v>10</x:v>
      </x:c>
      <x:c r="K204" s="40" t="n">
        <x:v>11</x:v>
      </x:c>
      <x:c r="L204" s="40" t="n">
        <x:v>100</x:v>
      </x:c>
      <x:c r="M204" s="40" t="n">
        <x:f>IF(OR(J204="",K204="",K204=0),"",J204/K204*L204)</x:f>
        <x:v>90.9090909090909</x:v>
      </x:c>
      <x:c r="N204" s="22" t="str">
        <x:f>IF(M204="","",IF(I204="Mayor es mejor",IF(M204&gt;=H204,"En meta",IF(M204&gt;=H204*0.9,"Alerta","Crítico")),IF(M204&lt;=H204,"En meta",IF(M204&lt;=H204*1.1,"Alerta","Crítico"))))</x:f>
        <x:v>En meta</x:v>
      </x:c>
      <x:c r="O204" s="22" t="str">
        <x:v>%</x:v>
      </x:c>
      <x:c r="P204" s="22" t="str">
        <x:v>Líder SG-SST / Responsables de proceso</x:v>
      </x:c>
      <x:c r="Q204" s="22" t="str">
        <x:v>Matriz APCM</x:v>
      </x:c>
      <x:c r="R204" s="22" t="str"/>
    </x:row>
    <x:row r="205">
      <x:c r="A205" s="46" t="n">
        <x:v>45322</x:v>
      </x:c>
      <x:c r="B205" s="22" t="n">
        <x:v>2024</x:v>
      </x:c>
      <x:c r="C205" s="22" t="str">
        <x:v>Enero</x:v>
      </x:c>
      <x:c r="D205" s="22" t="str">
        <x:v>P04</x:v>
      </x:c>
      <x:c r="E205" s="22" t="str">
        <x:v>% inspecciones de seguridad ejecutadas</x:v>
      </x:c>
      <x:c r="F205" s="22" t="str">
        <x:v>Proceso</x:v>
      </x:c>
      <x:c r="G205" s="22" t="str">
        <x:v>Mensual</x:v>
      </x:c>
      <x:c r="H205" s="40" t="n">
        <x:v>90</x:v>
      </x:c>
      <x:c r="I205" s="22" t="str">
        <x:v>Mayor es mejor</x:v>
      </x:c>
      <x:c r="J205" s="40" t="n">
        <x:v>8</x:v>
      </x:c>
      <x:c r="K205" s="40" t="n">
        <x:v>9</x:v>
      </x:c>
      <x:c r="L205" s="40" t="n">
        <x:v>100</x:v>
      </x:c>
      <x:c r="M205" s="40" t="n">
        <x:f>IF(OR(J205="",K205="",K205=0),"",J205/K205*L205)</x:f>
        <x:v>88.88888888888889</x:v>
      </x:c>
      <x:c r="N205" s="22" t="str">
        <x:f>IF(M205="","",IF(I205="Mayor es mejor",IF(M205&gt;=H205,"En meta",IF(M205&gt;=H205*0.9,"Alerta","Crítico")),IF(M205&lt;=H205,"En meta",IF(M205&lt;=H205*1.1,"Alerta","Crítico"))))</x:f>
        <x:v>Alerta</x:v>
      </x:c>
      <x:c r="O205" s="22" t="str">
        <x:v>%</x:v>
      </x:c>
      <x:c r="P205" s="22" t="str">
        <x:v>Líder SG-SST / Supervisores</x:v>
      </x:c>
      <x:c r="Q205" s="22" t="str">
        <x:v>Programa de inspecciones</x:v>
      </x:c>
      <x:c r="R205" s="22" t="str"/>
    </x:row>
    <x:row r="206">
      <x:c r="A206" s="46" t="n">
        <x:v>45322</x:v>
      </x:c>
      <x:c r="B206" s="22" t="n">
        <x:v>2024</x:v>
      </x:c>
      <x:c r="C206" s="22" t="str">
        <x:v>Enero</x:v>
      </x:c>
      <x:c r="D206" s="22" t="str">
        <x:v>P05</x:v>
      </x:c>
      <x:c r="E206" s="22" t="str">
        <x:v>% mantenimientos preventivos ejecutados</x:v>
      </x:c>
      <x:c r="F206" s="22" t="str">
        <x:v>Proceso</x:v>
      </x:c>
      <x:c r="G206" s="22" t="str">
        <x:v>Mensual</x:v>
      </x:c>
      <x:c r="H206" s="40" t="n">
        <x:v>90</x:v>
      </x:c>
      <x:c r="I206" s="22" t="str">
        <x:v>Mayor es mejor</x:v>
      </x:c>
      <x:c r="J206" s="40" t="n">
        <x:v>12</x:v>
      </x:c>
      <x:c r="K206" s="40" t="n">
        <x:v>13</x:v>
      </x:c>
      <x:c r="L206" s="40" t="n">
        <x:v>100</x:v>
      </x:c>
      <x:c r="M206" s="40" t="n">
        <x:f>IF(OR(J206="",K206="",K206=0),"",J206/K206*L206)</x:f>
        <x:v>92.3076923076923</x:v>
      </x:c>
      <x:c r="N206" s="22" t="str">
        <x:f>IF(M206="","",IF(I206="Mayor es mejor",IF(M206&gt;=H206,"En meta",IF(M206&gt;=H206*0.9,"Alerta","Crítico")),IF(M206&lt;=H206,"En meta",IF(M206&lt;=H206*1.1,"Alerta","Crítico"))))</x:f>
        <x:v>En meta</x:v>
      </x:c>
      <x:c r="O206" s="22" t="str">
        <x:v>%</x:v>
      </x:c>
      <x:c r="P206" s="22" t="str">
        <x:v>Mantenimiento / Líder SG-SST</x:v>
      </x:c>
      <x:c r="Q206" s="22" t="str">
        <x:v>Programa de mantenimiento preventivo</x:v>
      </x:c>
      <x:c r="R206" s="22" t="str"/>
    </x:row>
    <x:row r="207">
      <x:c r="A207" s="46" t="n">
        <x:v>45322</x:v>
      </x:c>
      <x:c r="B207" s="22" t="n">
        <x:v>2024</x:v>
      </x:c>
      <x:c r="C207" s="22" t="str">
        <x:v>Enero</x:v>
      </x:c>
      <x:c r="D207" s="22" t="str">
        <x:v>R01</x:v>
      </x:c>
      <x:c r="E207" s="22" t="str">
        <x:v>Índice de frecuencia de accidentalidad (IF)</x:v>
      </x:c>
      <x:c r="F207" s="22" t="str">
        <x:v>Resultado</x:v>
      </x:c>
      <x:c r="G207" s="22" t="str">
        <x:v>Mensual</x:v>
      </x:c>
      <x:c r="H207" s="40" t="n">
        <x:v>3.5</x:v>
      </x:c>
      <x:c r="I207" s="22" t="str">
        <x:v>Menor es mejor</x:v>
      </x:c>
      <x:c r="J207" s="40" t="n">
        <x:v>1</x:v>
      </x:c>
      <x:c r="K207" s="40" t="n">
        <x:v>55535</x:v>
      </x:c>
      <x:c r="L207" s="40" t="n">
        <x:v>200000</x:v>
      </x:c>
      <x:c r="M207" s="40" t="n">
        <x:f>IF(OR(J207="",K207="",K207=0),"",J207/K207*L207)</x:f>
        <x:v>3.601332493022418</x:v>
      </x:c>
      <x:c r="N207" s="22" t="str">
        <x:f>IF(M207="","",IF(I207="Mayor es mejor",IF(M207&gt;=H207,"En meta",IF(M207&gt;=H207*0.9,"Alerta","Crítico")),IF(M207&lt;=H207,"En meta",IF(M207&lt;=H207*1.1,"Alerta","Crítico"))))</x:f>
        <x:v>Alerta</x:v>
      </x:c>
      <x:c r="O207" s="22" t="str">
        <x:v>Índice</x:v>
      </x:c>
      <x:c r="P207" s="22" t="str">
        <x:v>Líder SG-SST</x:v>
      </x:c>
      <x:c r="Q207" s="22" t="str">
        <x:v>Matriz de accidentalidad / nómina</x:v>
      </x:c>
      <x:c r="R207" s="22" t="str"/>
    </x:row>
    <x:row r="208">
      <x:c r="A208" s="46" t="n">
        <x:v>45322</x:v>
      </x:c>
      <x:c r="B208" s="22" t="n">
        <x:v>2024</x:v>
      </x:c>
      <x:c r="C208" s="22" t="str">
        <x:v>Enero</x:v>
      </x:c>
      <x:c r="D208" s="22" t="str">
        <x:v>R02</x:v>
      </x:c>
      <x:c r="E208" s="22" t="str">
        <x:v>Índice de severidad de accidentalidad (IS)</x:v>
      </x:c>
      <x:c r="F208" s="22" t="str">
        <x:v>Resultado</x:v>
      </x:c>
      <x:c r="G208" s="22" t="str">
        <x:v>Mensual</x:v>
      </x:c>
      <x:c r="H208" s="40" t="n">
        <x:v>80</x:v>
      </x:c>
      <x:c r="I208" s="22" t="str">
        <x:v>Menor es mejor</x:v>
      </x:c>
      <x:c r="J208" s="40" t="n">
        <x:v>20</x:v>
      </x:c>
      <x:c r="K208" s="40" t="n">
        <x:v>55535</x:v>
      </x:c>
      <x:c r="L208" s="40" t="n">
        <x:v>200000</x:v>
      </x:c>
      <x:c r="M208" s="40" t="n">
        <x:f>IF(OR(J208="",K208="",K208=0),"",J208/K208*L208)</x:f>
        <x:v>72.02664986044837</x:v>
      </x:c>
      <x:c r="N208" s="22" t="str">
        <x:f>IF(M208="","",IF(I208="Mayor es mejor",IF(M208&gt;=H208,"En meta",IF(M208&gt;=H208*0.9,"Alerta","Crítico")),IF(M208&lt;=H208,"En meta",IF(M208&lt;=H208*1.1,"Alerta","Crítico"))))</x:f>
        <x:v>En meta</x:v>
      </x:c>
      <x:c r="O208" s="22" t="str">
        <x:v>Índice</x:v>
      </x:c>
      <x:c r="P208" s="22" t="str">
        <x:v>Líder SG-SST</x:v>
      </x:c>
      <x:c r="Q208" s="22" t="str">
        <x:v>Matriz de accidentalidad / nómina</x:v>
      </x:c>
      <x:c r="R208" s="22" t="str"/>
    </x:row>
    <x:row r="209">
      <x:c r="A209" s="46" t="n">
        <x:v>45322</x:v>
      </x:c>
      <x:c r="B209" s="22" t="n">
        <x:v>2024</x:v>
      </x:c>
      <x:c r="C209" s="22" t="str">
        <x:v>Enero</x:v>
      </x:c>
      <x:c r="D209" s="22" t="str">
        <x:v>R03</x:v>
      </x:c>
      <x:c r="E209" s="22" t="str">
        <x:v>Índice de lesión incapacitante (ILI)</x:v>
      </x:c>
      <x:c r="F209" s="22" t="str">
        <x:v>Resultado</x:v>
      </x:c>
      <x:c r="G209" s="22" t="str">
        <x:v>Mensual</x:v>
      </x:c>
      <x:c r="H209" s="40" t="n">
        <x:v>0.25</x:v>
      </x:c>
      <x:c r="I209" s="22" t="str">
        <x:v>Menor es mejor</x:v>
      </x:c>
      <x:c r="J209" s="40" t="n">
        <x:v>259.3919</x:v>
      </x:c>
      <x:c r="K209" s="40" t="n">
        <x:v>1000</x:v>
      </x:c>
      <x:c r="L209" s="40" t="n">
        <x:v>1</x:v>
      </x:c>
      <x:c r="M209" s="40" t="n">
        <x:f>IF(OR(J209="",K209="",K209=0),"",J209/K209*L209)</x:f>
        <x:v>0.2593919</x:v>
      </x:c>
      <x:c r="N209" s="22" t="str">
        <x:f>IF(M209="","",IF(I209="Mayor es mejor",IF(M209&gt;=H209,"En meta",IF(M209&gt;=H209*0.9,"Alerta","Crítico")),IF(M209&lt;=H209,"En meta",IF(M209&lt;=H209*1.1,"Alerta","Crítico"))))</x:f>
        <x:v>Alerta</x:v>
      </x:c>
      <x:c r="O209" s="22" t="str">
        <x:v>Índice</x:v>
      </x:c>
      <x:c r="P209" s="22" t="str">
        <x:v>Líder SG-SST</x:v>
      </x:c>
      <x:c r="Q209" s="22" t="str">
        <x:v>Indicadores derivados de accidentalidad</x:v>
      </x:c>
      <x:c r="R209" s="22" t="str">
        <x:v>ILI calculado sobre IF e IS del periodo.</x:v>
      </x:c>
    </x:row>
    <x:row r="210">
      <x:c r="A210" s="46" t="n">
        <x:v>45322</x:v>
      </x:c>
      <x:c r="B210" s="22" t="n">
        <x:v>2024</x:v>
      </x:c>
      <x:c r="C210" s="22" t="str">
        <x:v>Enero</x:v>
      </x:c>
      <x:c r="D210" s="22" t="str">
        <x:v>R04</x:v>
      </x:c>
      <x:c r="E210" s="22" t="str">
        <x:v>Tasa de accidentalidad</x:v>
      </x:c>
      <x:c r="F210" s="22" t="str">
        <x:v>Resultado</x:v>
      </x:c>
      <x:c r="G210" s="22" t="str">
        <x:v>Mensual</x:v>
      </x:c>
      <x:c r="H210" s="40" t="n">
        <x:v>0.6</x:v>
      </x:c>
      <x:c r="I210" s="22" t="str">
        <x:v>Menor es mejor</x:v>
      </x:c>
      <x:c r="J210" s="40" t="n">
        <x:v>1.76</x:v>
      </x:c>
      <x:c r="K210" s="40" t="n">
        <x:v>228</x:v>
      </x:c>
      <x:c r="L210" s="40" t="n">
        <x:v>100</x:v>
      </x:c>
      <x:c r="M210" s="40" t="n">
        <x:f>IF(OR(J210="",K210="",K210=0),"",J210/K210*L210)</x:f>
        <x:v>0.7719298245614036</x:v>
      </x:c>
      <x:c r="N210" s="22" t="str">
        <x:f>IF(M210="","",IF(I210="Mayor es mejor",IF(M210&gt;=H210,"En meta",IF(M210&gt;=H210*0.9,"Alerta","Crítico")),IF(M210&lt;=H210,"En meta",IF(M210&lt;=H210*1.1,"Alerta","Crítico"))))</x:f>
        <x:v>Crítico</x:v>
      </x:c>
      <x:c r="O210" s="22" t="str">
        <x:v>%</x:v>
      </x:c>
      <x:c r="P210" s="22" t="str">
        <x:v>Líder SG-SST</x:v>
      </x:c>
      <x:c r="Q210" s="22" t="str">
        <x:v>Matriz de accidentalidad / nómina</x:v>
      </x:c>
      <x:c r="R210" s="22" t="str"/>
    </x:row>
    <x:row r="211">
      <x:c r="A211" s="46" t="n">
        <x:v>45322</x:v>
      </x:c>
      <x:c r="B211" s="22" t="n">
        <x:v>2024</x:v>
      </x:c>
      <x:c r="C211" s="22" t="str">
        <x:v>Enero</x:v>
      </x:c>
      <x:c r="D211" s="22" t="str">
        <x:v>R05</x:v>
      </x:c>
      <x:c r="E211" s="22" t="str">
        <x:v>Prevalencia de enfermedad laboral</x:v>
      </x:c>
      <x:c r="F211" s="22" t="str">
        <x:v>Resultado</x:v>
      </x:c>
      <x:c r="G211" s="22" t="str">
        <x:v>Mensual</x:v>
      </x:c>
      <x:c r="H211" s="40" t="n">
        <x:v>0.3</x:v>
      </x:c>
      <x:c r="I211" s="22" t="str">
        <x:v>Menor es mejor</x:v>
      </x:c>
      <x:c r="J211" s="40" t="n">
        <x:v>0.02</x:v>
      </x:c>
      <x:c r="K211" s="40" t="n">
        <x:v>228</x:v>
      </x:c>
      <x:c r="L211" s="40" t="n">
        <x:v>100</x:v>
      </x:c>
      <x:c r="M211" s="40" t="n">
        <x:f>IF(OR(J211="",K211="",K211=0),"",J211/K211*L211)</x:f>
        <x:v>0.008771929824561405</x:v>
      </x:c>
      <x:c r="N211" s="22" t="str">
        <x:f>IF(M211="","",IF(I211="Mayor es mejor",IF(M211&gt;=H211,"En meta",IF(M211&gt;=H211*0.9,"Alerta","Crítico")),IF(M211&lt;=H211,"En meta",IF(M211&lt;=H211*1.1,"Alerta","Crítico"))))</x:f>
        <x:v>En meta</x:v>
      </x:c>
      <x:c r="O211" s="22" t="str">
        <x:v>%</x:v>
      </x:c>
      <x:c r="P211" s="22" t="str">
        <x:v>Líder SG-SST / Medicina laboral</x:v>
      </x:c>
      <x:c r="Q211" s="22" t="str">
        <x:v>Matriz de enfermedad laboral / nómina</x:v>
      </x:c>
      <x:c r="R211" s="22" t="str"/>
    </x:row>
    <x:row r="212">
      <x:c r="A212" s="46" t="n">
        <x:v>45322</x:v>
      </x:c>
      <x:c r="B212" s="22" t="n">
        <x:v>2024</x:v>
      </x:c>
      <x:c r="C212" s="22" t="str">
        <x:v>Enero</x:v>
      </x:c>
      <x:c r="D212" s="22" t="str">
        <x:v>R06</x:v>
      </x:c>
      <x:c r="E212" s="22" t="str">
        <x:v>% cumplimiento de estándares mínimos Res. 0312 de 2019</x:v>
      </x:c>
      <x:c r="F212" s="22" t="str">
        <x:v>Resultado</x:v>
      </x:c>
      <x:c r="G212" s="22" t="str">
        <x:v>Mensual</x:v>
      </x:c>
      <x:c r="H212" s="40" t="n">
        <x:v>95</x:v>
      </x:c>
      <x:c r="I212" s="22" t="str">
        <x:v>Mayor es mejor</x:v>
      </x:c>
      <x:c r="J212" s="40" t="n">
        <x:v>98</x:v>
      </x:c>
      <x:c r="K212" s="40" t="n">
        <x:v>100</x:v>
      </x:c>
      <x:c r="L212" s="40" t="n">
        <x:v>100</x:v>
      </x:c>
      <x:c r="M212" s="40" t="n">
        <x:f>IF(OR(J212="",K212="",K212=0),"",J212/K212*L212)</x:f>
        <x:v>98</x:v>
      </x:c>
      <x:c r="N212" s="22" t="str">
        <x:f>IF(M212="","",IF(I212="Mayor es mejor",IF(M212&gt;=H212,"En meta",IF(M212&gt;=H212*0.9,"Alerta","Crítico")),IF(M212&lt;=H212,"En meta",IF(M212&lt;=H212*1.1,"Alerta","Crítico"))))</x:f>
        <x:v>En meta</x:v>
      </x:c>
      <x:c r="O212" s="22" t="str">
        <x:v>%</x:v>
      </x:c>
      <x:c r="P212" s="22" t="str">
        <x:v>Líder SG-SST / Alta Dirección</x:v>
      </x:c>
      <x:c r="Q212" s="22" t="str">
        <x:v>Autodiagnóstico Res. 0312 de 2019</x:v>
      </x:c>
      <x:c r="R212" s="22" t="str"/>
    </x:row>
    <x:row r="213">
      <x:c r="A213" s="46" t="n">
        <x:v>45351</x:v>
      </x:c>
      <x:c r="B213" s="22" t="n">
        <x:v>2024</x:v>
      </x:c>
      <x:c r="C213" s="22" t="str">
        <x:v>Febrero</x:v>
      </x:c>
      <x:c r="D213" s="22" t="str">
        <x:v>E01</x:v>
      </x:c>
      <x:c r="E213" s="22" t="str">
        <x:v>% ejecución presupuestal del SG-SST</x:v>
      </x:c>
      <x:c r="F213" s="22" t="str">
        <x:v>Estructura</x:v>
      </x:c>
      <x:c r="G213" s="22" t="str">
        <x:v>Mensual</x:v>
      </x:c>
      <x:c r="H213" s="40" t="n">
        <x:v>95</x:v>
      </x:c>
      <x:c r="I213" s="22" t="str">
        <x:v>Mayor es mejor</x:v>
      </x:c>
      <x:c r="J213" s="40" t="n">
        <x:v>4637084</x:v>
      </x:c>
      <x:c r="K213" s="40" t="n">
        <x:v>5000000</x:v>
      </x:c>
      <x:c r="L213" s="40" t="n">
        <x:v>100</x:v>
      </x:c>
      <x:c r="M213" s="40" t="n">
        <x:f>IF(OR(J213="",K213="",K213=0),"",J213/K213*L213)</x:f>
        <x:v>92.74168</x:v>
      </x:c>
      <x:c r="N213" s="22" t="str">
        <x:f>IF(M213="","",IF(I213="Mayor es mejor",IF(M213&gt;=H213,"En meta",IF(M213&gt;=H213*0.9,"Alerta","Crítico")),IF(M213&lt;=H213,"En meta",IF(M213&lt;=H213*1.1,"Alerta","Crítico"))))</x:f>
        <x:v>Alerta</x:v>
      </x:c>
      <x:c r="O213" s="22" t="str">
        <x:v>%</x:v>
      </x:c>
      <x:c r="P213" s="22" t="str">
        <x:v>Líder SG-SST / Dirección Administrativa</x:v>
      </x:c>
      <x:c r="Q213" s="22" t="str">
        <x:v>Presupuesto SST</x:v>
      </x:c>
      <x:c r="R213" s="22" t="str"/>
    </x:row>
    <x:row r="214">
      <x:c r="A214" s="46" t="n">
        <x:v>45351</x:v>
      </x:c>
      <x:c r="B214" s="22" t="n">
        <x:v>2024</x:v>
      </x:c>
      <x:c r="C214" s="22" t="str">
        <x:v>Febrero</x:v>
      </x:c>
      <x:c r="D214" s="22" t="str">
        <x:v>E02</x:v>
      </x:c>
      <x:c r="E214" s="22" t="str">
        <x:v>% cobertura del plan de formación y capacitación SG-SST</x:v>
      </x:c>
      <x:c r="F214" s="22" t="str">
        <x:v>Estructura</x:v>
      </x:c>
      <x:c r="G214" s="22" t="str">
        <x:v>Mensual</x:v>
      </x:c>
      <x:c r="H214" s="40" t="n">
        <x:v>90</x:v>
      </x:c>
      <x:c r="I214" s="22" t="str">
        <x:v>Mayor es mejor</x:v>
      </x:c>
      <x:c r="J214" s="40" t="n">
        <x:v>20</x:v>
      </x:c>
      <x:c r="K214" s="40" t="n">
        <x:v>22</x:v>
      </x:c>
      <x:c r="L214" s="40" t="n">
        <x:v>100</x:v>
      </x:c>
      <x:c r="M214" s="40" t="n">
        <x:f>IF(OR(J214="",K214="",K214=0),"",J214/K214*L214)</x:f>
        <x:v>90.9090909090909</x:v>
      </x:c>
      <x:c r="N214" s="22" t="str">
        <x:f>IF(M214="","",IF(I214="Mayor es mejor",IF(M214&gt;=H214,"En meta",IF(M214&gt;=H214*0.9,"Alerta","Crítico")),IF(M214&lt;=H214,"En meta",IF(M214&lt;=H214*1.1,"Alerta","Crítico"))))</x:f>
        <x:v>En meta</x:v>
      </x:c>
      <x:c r="O214" s="22" t="str">
        <x:v>%</x:v>
      </x:c>
      <x:c r="P214" s="22" t="str">
        <x:v>Líder SG-SST / Talento Humano</x:v>
      </x:c>
      <x:c r="Q214" s="22" t="str">
        <x:v>Plan de formación y capacitaciones</x:v>
      </x:c>
      <x:c r="R214" s="22" t="str"/>
    </x:row>
    <x:row r="215">
      <x:c r="A215" s="46" t="n">
        <x:v>45351</x:v>
      </x:c>
      <x:c r="B215" s="22" t="n">
        <x:v>2024</x:v>
      </x:c>
      <x:c r="C215" s="22" t="str">
        <x:v>Febrero</x:v>
      </x:c>
      <x:c r="D215" s="22" t="str">
        <x:v>E03</x:v>
      </x:c>
      <x:c r="E215" s="22" t="str">
        <x:v>% trabajadores con exámenes médicos ocupacionales vigentes</x:v>
      </x:c>
      <x:c r="F215" s="22" t="str">
        <x:v>Estructura</x:v>
      </x:c>
      <x:c r="G215" s="22" t="str">
        <x:v>Mensual</x:v>
      </x:c>
      <x:c r="H215" s="40" t="n">
        <x:v>95</x:v>
      </x:c>
      <x:c r="I215" s="22" t="str">
        <x:v>Mayor es mejor</x:v>
      </x:c>
      <x:c r="J215" s="40" t="n">
        <x:v>214</x:v>
      </x:c>
      <x:c r="K215" s="40" t="n">
        <x:v>225</x:v>
      </x:c>
      <x:c r="L215" s="40" t="n">
        <x:v>100</x:v>
      </x:c>
      <x:c r="M215" s="40" t="n">
        <x:f>IF(OR(J215="",K215="",K215=0),"",J215/K215*L215)</x:f>
        <x:v>95.11111111111111</x:v>
      </x:c>
      <x:c r="N215" s="22" t="str">
        <x:f>IF(M215="","",IF(I215="Mayor es mejor",IF(M215&gt;=H215,"En meta",IF(M215&gt;=H215*0.9,"Alerta","Crítico")),IF(M215&lt;=H215,"En meta",IF(M215&lt;=H215*1.1,"Alerta","Crítico"))))</x:f>
        <x:v>En meta</x:v>
      </x:c>
      <x:c r="O215" s="22" t="str">
        <x:v>%</x:v>
      </x:c>
      <x:c r="P215" s="22" t="str">
        <x:v>Líder SG-SST / Talento Humano</x:v>
      </x:c>
      <x:c r="Q215" s="22" t="str">
        <x:v>Matriz de seguimiento EMO</x:v>
      </x:c>
      <x:c r="R215" s="22" t="str"/>
    </x:row>
    <x:row r="216">
      <x:c r="A216" s="46" t="n">
        <x:v>45351</x:v>
      </x:c>
      <x:c r="B216" s="22" t="n">
        <x:v>2024</x:v>
      </x:c>
      <x:c r="C216" s="22" t="str">
        <x:v>Febrero</x:v>
      </x:c>
      <x:c r="D216" s="22" t="str">
        <x:v>E04</x:v>
      </x:c>
      <x:c r="E216" s="22" t="str">
        <x:v>% cumplimiento de requisitos legales aplicables en SST</x:v>
      </x:c>
      <x:c r="F216" s="22" t="str">
        <x:v>Estructura</x:v>
      </x:c>
      <x:c r="G216" s="22" t="str">
        <x:v>Mensual</x:v>
      </x:c>
      <x:c r="H216" s="40" t="n">
        <x:v>95</x:v>
      </x:c>
      <x:c r="I216" s="22" t="str">
        <x:v>Mayor es mejor</x:v>
      </x:c>
      <x:c r="J216" s="40" t="n">
        <x:v>57</x:v>
      </x:c>
      <x:c r="K216" s="40" t="n">
        <x:v>60</x:v>
      </x:c>
      <x:c r="L216" s="40" t="n">
        <x:v>100</x:v>
      </x:c>
      <x:c r="M216" s="40" t="n">
        <x:f>IF(OR(J216="",K216="",K216=0),"",J216/K216*L216)</x:f>
        <x:v>95</x:v>
      </x:c>
      <x:c r="N216" s="22" t="str">
        <x:f>IF(M216="","",IF(I216="Mayor es mejor",IF(M216&gt;=H216,"En meta",IF(M216&gt;=H216*0.9,"Alerta","Crítico")),IF(M216&lt;=H216,"En meta",IF(M216&lt;=H216*1.1,"Alerta","Crítico"))))</x:f>
        <x:v>En meta</x:v>
      </x:c>
      <x:c r="O216" s="22" t="str">
        <x:v>%</x:v>
      </x:c>
      <x:c r="P216" s="22" t="str">
        <x:v>Líder SG-SST / Jurídica</x:v>
      </x:c>
      <x:c r="Q216" s="22" t="str">
        <x:v>Matriz legal SGRL</x:v>
      </x:c>
      <x:c r="R216" s="22" t="str"/>
    </x:row>
    <x:row r="217">
      <x:c r="A217" s="46" t="n">
        <x:v>45351</x:v>
      </x:c>
      <x:c r="B217" s="22" t="n">
        <x:v>2024</x:v>
      </x:c>
      <x:c r="C217" s="22" t="str">
        <x:v>Febrero</x:v>
      </x:c>
      <x:c r="D217" s="22" t="str">
        <x:v>E05</x:v>
      </x:c>
      <x:c r="E217" s="22" t="str">
        <x:v>% proveedores y contratistas aprobados en SST</x:v>
      </x:c>
      <x:c r="F217" s="22" t="str">
        <x:v>Estructura</x:v>
      </x:c>
      <x:c r="G217" s="22" t="str">
        <x:v>Mensual</x:v>
      </x:c>
      <x:c r="H217" s="40" t="n">
        <x:v>90</x:v>
      </x:c>
      <x:c r="I217" s="22" t="str">
        <x:v>Mayor es mejor</x:v>
      </x:c>
      <x:c r="J217" s="40" t="n">
        <x:v>18</x:v>
      </x:c>
      <x:c r="K217" s="40" t="n">
        <x:v>20</x:v>
      </x:c>
      <x:c r="L217" s="40" t="n">
        <x:v>100</x:v>
      </x:c>
      <x:c r="M217" s="40" t="n">
        <x:f>IF(OR(J217="",K217="",K217=0),"",J217/K217*L217)</x:f>
        <x:v>90</x:v>
      </x:c>
      <x:c r="N217" s="22" t="str">
        <x:f>IF(M217="","",IF(I217="Mayor es mejor",IF(M217&gt;=H217,"En meta",IF(M217&gt;=H217*0.9,"Alerta","Crítico")),IF(M217&lt;=H217,"En meta",IF(M217&lt;=H217*1.1,"Alerta","Crítico"))))</x:f>
        <x:v>En meta</x:v>
      </x:c>
      <x:c r="O217" s="22" t="str">
        <x:v>%</x:v>
      </x:c>
      <x:c r="P217" s="22" t="str">
        <x:v>Compras / Líder SG-SST</x:v>
      </x:c>
      <x:c r="Q217" s="22" t="str">
        <x:v>Gestión de proveedores y contratistas</x:v>
      </x:c>
      <x:c r="R217" s="22" t="str"/>
    </x:row>
    <x:row r="218">
      <x:c r="A218" s="46" t="n">
        <x:v>45351</x:v>
      </x:c>
      <x:c r="B218" s="22" t="n">
        <x:v>2024</x:v>
      </x:c>
      <x:c r="C218" s="22" t="str">
        <x:v>Febrero</x:v>
      </x:c>
      <x:c r="D218" s="22" t="str">
        <x:v>P01</x:v>
      </x:c>
      <x:c r="E218" s="22" t="str">
        <x:v>% ejecución del plan anual de trabajo SG-SST</x:v>
      </x:c>
      <x:c r="F218" s="22" t="str">
        <x:v>Proceso</x:v>
      </x:c>
      <x:c r="G218" s="22" t="str">
        <x:v>Mensual</x:v>
      </x:c>
      <x:c r="H218" s="40" t="n">
        <x:v>90</x:v>
      </x:c>
      <x:c r="I218" s="22" t="str">
        <x:v>Mayor es mejor</x:v>
      </x:c>
      <x:c r="J218" s="40" t="n">
        <x:v>13</x:v>
      </x:c>
      <x:c r="K218" s="40" t="n">
        <x:v>14</x:v>
      </x:c>
      <x:c r="L218" s="40" t="n">
        <x:v>100</x:v>
      </x:c>
      <x:c r="M218" s="40" t="n">
        <x:f>IF(OR(J218="",K218="",K218=0),"",J218/K218*L218)</x:f>
        <x:v>92.85714285714286</x:v>
      </x:c>
      <x:c r="N218" s="22" t="str">
        <x:f>IF(M218="","",IF(I218="Mayor es mejor",IF(M218&gt;=H218,"En meta",IF(M218&gt;=H218*0.9,"Alerta","Crítico")),IF(M218&lt;=H218,"En meta",IF(M218&lt;=H218*1.1,"Alerta","Crítico"))))</x:f>
        <x:v>En meta</x:v>
      </x:c>
      <x:c r="O218" s="22" t="str">
        <x:v>%</x:v>
      </x:c>
      <x:c r="P218" s="22" t="str">
        <x:v>Líder SG-SST</x:v>
      </x:c>
      <x:c r="Q218" s="22" t="str">
        <x:v>Plan anual de trabajo PHVA</x:v>
      </x:c>
      <x:c r="R218" s="22" t="str"/>
    </x:row>
    <x:row r="219">
      <x:c r="A219" s="46" t="n">
        <x:v>45351</x:v>
      </x:c>
      <x:c r="B219" s="22" t="n">
        <x:v>2024</x:v>
      </x:c>
      <x:c r="C219" s="22" t="str">
        <x:v>Febrero</x:v>
      </x:c>
      <x:c r="D219" s="22" t="str">
        <x:v>P02</x:v>
      </x:c>
      <x:c r="E219" s="22" t="str">
        <x:v>% investigaciones de accidentes realizadas oportunamente</x:v>
      </x:c>
      <x:c r="F219" s="22" t="str">
        <x:v>Proceso</x:v>
      </x:c>
      <x:c r="G219" s="22" t="str">
        <x:v>Mensual</x:v>
      </x:c>
      <x:c r="H219" s="40" t="n">
        <x:v>95</x:v>
      </x:c>
      <x:c r="I219" s="22" t="str">
        <x:v>Mayor es mejor</x:v>
      </x:c>
      <x:c r="J219" s="40" t="n">
        <x:v>1</x:v>
      </x:c>
      <x:c r="K219" s="40" t="n">
        <x:v>1</x:v>
      </x:c>
      <x:c r="L219" s="40" t="n">
        <x:v>100</x:v>
      </x:c>
      <x:c r="M219" s="40" t="n">
        <x:f>IF(OR(J219="",K219="",K219=0),"",J219/K219*L219)</x:f>
        <x:v>100</x:v>
      </x:c>
      <x:c r="N219" s="22" t="str">
        <x:f>IF(M219="","",IF(I219="Mayor es mejor",IF(M219&gt;=H219,"En meta",IF(M219&gt;=H219*0.9,"Alerta","Crítico")),IF(M219&lt;=H219,"En meta",IF(M219&lt;=H219*1.1,"Alerta","Crítico"))))</x:f>
        <x:v>En meta</x:v>
      </x:c>
      <x:c r="O219" s="22" t="str">
        <x:v>%</x:v>
      </x:c>
      <x:c r="P219" s="22" t="str">
        <x:v>Líder SG-SST / COPASST</x:v>
      </x:c>
      <x:c r="Q219" s="22" t="str">
        <x:v>Matriz de accidentalidad</x:v>
      </x:c>
      <x:c r="R219" s="22" t="str"/>
    </x:row>
    <x:row r="220">
      <x:c r="A220" s="46" t="n">
        <x:v>45351</x:v>
      </x:c>
      <x:c r="B220" s="22" t="n">
        <x:v>2024</x:v>
      </x:c>
      <x:c r="C220" s="22" t="str">
        <x:v>Febrero</x:v>
      </x:c>
      <x:c r="D220" s="22" t="str">
        <x:v>P03</x:v>
      </x:c>
      <x:c r="E220" s="22" t="str">
        <x:v>% cierre oportuno de acciones correctivas, preventivas y de mejora</x:v>
      </x:c>
      <x:c r="F220" s="22" t="str">
        <x:v>Proceso</x:v>
      </x:c>
      <x:c r="G220" s="22" t="str">
        <x:v>Mensual</x:v>
      </x:c>
      <x:c r="H220" s="40" t="n">
        <x:v>90</x:v>
      </x:c>
      <x:c r="I220" s="22" t="str">
        <x:v>Mayor es mejor</x:v>
      </x:c>
      <x:c r="J220" s="40" t="n">
        <x:v>11</x:v>
      </x:c>
      <x:c r="K220" s="40" t="n">
        <x:v>12</x:v>
      </x:c>
      <x:c r="L220" s="40" t="n">
        <x:v>100</x:v>
      </x:c>
      <x:c r="M220" s="40" t="n">
        <x:f>IF(OR(J220="",K220="",K220=0),"",J220/K220*L220)</x:f>
        <x:v>91.66666666666666</x:v>
      </x:c>
      <x:c r="N220" s="22" t="str">
        <x:f>IF(M220="","",IF(I220="Mayor es mejor",IF(M220&gt;=H220,"En meta",IF(M220&gt;=H220*0.9,"Alerta","Crítico")),IF(M220&lt;=H220,"En meta",IF(M220&lt;=H220*1.1,"Alerta","Crítico"))))</x:f>
        <x:v>En meta</x:v>
      </x:c>
      <x:c r="O220" s="22" t="str">
        <x:v>%</x:v>
      </x:c>
      <x:c r="P220" s="22" t="str">
        <x:v>Líder SG-SST / Responsables de proceso</x:v>
      </x:c>
      <x:c r="Q220" s="22" t="str">
        <x:v>Matriz APCM</x:v>
      </x:c>
      <x:c r="R220" s="22" t="str"/>
    </x:row>
    <x:row r="221">
      <x:c r="A221" s="46" t="n">
        <x:v>45351</x:v>
      </x:c>
      <x:c r="B221" s="22" t="n">
        <x:v>2024</x:v>
      </x:c>
      <x:c r="C221" s="22" t="str">
        <x:v>Febrero</x:v>
      </x:c>
      <x:c r="D221" s="22" t="str">
        <x:v>P04</x:v>
      </x:c>
      <x:c r="E221" s="22" t="str">
        <x:v>% inspecciones de seguridad ejecutadas</x:v>
      </x:c>
      <x:c r="F221" s="22" t="str">
        <x:v>Proceso</x:v>
      </x:c>
      <x:c r="G221" s="22" t="str">
        <x:v>Mensual</x:v>
      </x:c>
      <x:c r="H221" s="40" t="n">
        <x:v>90</x:v>
      </x:c>
      <x:c r="I221" s="22" t="str">
        <x:v>Mayor es mejor</x:v>
      </x:c>
      <x:c r="J221" s="40" t="n">
        <x:v>9</x:v>
      </x:c>
      <x:c r="K221" s="40" t="n">
        <x:v>10</x:v>
      </x:c>
      <x:c r="L221" s="40" t="n">
        <x:v>100</x:v>
      </x:c>
      <x:c r="M221" s="40" t="n">
        <x:f>IF(OR(J221="",K221="",K221=0),"",J221/K221*L221)</x:f>
        <x:v>90</x:v>
      </x:c>
      <x:c r="N221" s="22" t="str">
        <x:f>IF(M221="","",IF(I221="Mayor es mejor",IF(M221&gt;=H221,"En meta",IF(M221&gt;=H221*0.9,"Alerta","Crítico")),IF(M221&lt;=H221,"En meta",IF(M221&lt;=H221*1.1,"Alerta","Crítico"))))</x:f>
        <x:v>En meta</x:v>
      </x:c>
      <x:c r="O221" s="22" t="str">
        <x:v>%</x:v>
      </x:c>
      <x:c r="P221" s="22" t="str">
        <x:v>Líder SG-SST / Supervisores</x:v>
      </x:c>
      <x:c r="Q221" s="22" t="str">
        <x:v>Programa de inspecciones</x:v>
      </x:c>
      <x:c r="R221" s="22" t="str"/>
    </x:row>
    <x:row r="222">
      <x:c r="A222" s="46" t="n">
        <x:v>45351</x:v>
      </x:c>
      <x:c r="B222" s="22" t="n">
        <x:v>2024</x:v>
      </x:c>
      <x:c r="C222" s="22" t="str">
        <x:v>Febrero</x:v>
      </x:c>
      <x:c r="D222" s="22" t="str">
        <x:v>P05</x:v>
      </x:c>
      <x:c r="E222" s="22" t="str">
        <x:v>% mantenimientos preventivos ejecutados</x:v>
      </x:c>
      <x:c r="F222" s="22" t="str">
        <x:v>Proceso</x:v>
      </x:c>
      <x:c r="G222" s="22" t="str">
        <x:v>Mensual</x:v>
      </x:c>
      <x:c r="H222" s="40" t="n">
        <x:v>90</x:v>
      </x:c>
      <x:c r="I222" s="22" t="str">
        <x:v>Mayor es mejor</x:v>
      </x:c>
      <x:c r="J222" s="40" t="n">
        <x:v>13</x:v>
      </x:c>
      <x:c r="K222" s="40" t="n">
        <x:v>14</x:v>
      </x:c>
      <x:c r="L222" s="40" t="n">
        <x:v>100</x:v>
      </x:c>
      <x:c r="M222" s="40" t="n">
        <x:f>IF(OR(J222="",K222="",K222=0),"",J222/K222*L222)</x:f>
        <x:v>92.85714285714286</x:v>
      </x:c>
      <x:c r="N222" s="22" t="str">
        <x:f>IF(M222="","",IF(I222="Mayor es mejor",IF(M222&gt;=H222,"En meta",IF(M222&gt;=H222*0.9,"Alerta","Crítico")),IF(M222&lt;=H222,"En meta",IF(M222&lt;=H222*1.1,"Alerta","Crítico"))))</x:f>
        <x:v>En meta</x:v>
      </x:c>
      <x:c r="O222" s="22" t="str">
        <x:v>%</x:v>
      </x:c>
      <x:c r="P222" s="22" t="str">
        <x:v>Mantenimiento / Líder SG-SST</x:v>
      </x:c>
      <x:c r="Q222" s="22" t="str">
        <x:v>Programa de mantenimiento preventivo</x:v>
      </x:c>
      <x:c r="R222" s="22" t="str"/>
    </x:row>
    <x:row r="223">
      <x:c r="A223" s="46" t="n">
        <x:v>45351</x:v>
      </x:c>
      <x:c r="B223" s="22" t="n">
        <x:v>2024</x:v>
      </x:c>
      <x:c r="C223" s="22" t="str">
        <x:v>Febrero</x:v>
      </x:c>
      <x:c r="D223" s="22" t="str">
        <x:v>R01</x:v>
      </x:c>
      <x:c r="E223" s="22" t="str">
        <x:v>Índice de frecuencia de accidentalidad (IF)</x:v>
      </x:c>
      <x:c r="F223" s="22" t="str">
        <x:v>Resultado</x:v>
      </x:c>
      <x:c r="G223" s="22" t="str">
        <x:v>Mensual</x:v>
      </x:c>
      <x:c r="H223" s="40" t="n">
        <x:v>3.5</x:v>
      </x:c>
      <x:c r="I223" s="22" t="str">
        <x:v>Menor es mejor</x:v>
      </x:c>
      <x:c r="J223" s="40" t="n">
        <x:v>1</x:v>
      </x:c>
      <x:c r="K223" s="40" t="n">
        <x:v>54038</x:v>
      </x:c>
      <x:c r="L223" s="40" t="n">
        <x:v>200000</x:v>
      </x:c>
      <x:c r="M223" s="40" t="n">
        <x:f>IF(OR(J223="",K223="",K223=0),"",J223/K223*L223)</x:f>
        <x:v>3.7010992264702613</x:v>
      </x:c>
      <x:c r="N223" s="22" t="str">
        <x:f>IF(M223="","",IF(I223="Mayor es mejor",IF(M223&gt;=H223,"En meta",IF(M223&gt;=H223*0.9,"Alerta","Crítico")),IF(M223&lt;=H223,"En meta",IF(M223&lt;=H223*1.1,"Alerta","Crítico"))))</x:f>
        <x:v>Alerta</x:v>
      </x:c>
      <x:c r="O223" s="22" t="str">
        <x:v>Índice</x:v>
      </x:c>
      <x:c r="P223" s="22" t="str">
        <x:v>Líder SG-SST</x:v>
      </x:c>
      <x:c r="Q223" s="22" t="str">
        <x:v>Matriz de accidentalidad / nómina</x:v>
      </x:c>
      <x:c r="R223" s="22" t="str"/>
    </x:row>
    <x:row r="224">
      <x:c r="A224" s="46" t="n">
        <x:v>45351</x:v>
      </x:c>
      <x:c r="B224" s="22" t="n">
        <x:v>2024</x:v>
      </x:c>
      <x:c r="C224" s="22" t="str">
        <x:v>Febrero</x:v>
      </x:c>
      <x:c r="D224" s="22" t="str">
        <x:v>R02</x:v>
      </x:c>
      <x:c r="E224" s="22" t="str">
        <x:v>Índice de severidad de accidentalidad (IS)</x:v>
      </x:c>
      <x:c r="F224" s="22" t="str">
        <x:v>Resultado</x:v>
      </x:c>
      <x:c r="G224" s="22" t="str">
        <x:v>Mensual</x:v>
      </x:c>
      <x:c r="H224" s="40" t="n">
        <x:v>80</x:v>
      </x:c>
      <x:c r="I224" s="22" t="str">
        <x:v>Menor es mejor</x:v>
      </x:c>
      <x:c r="J224" s="40" t="n">
        <x:v>18</x:v>
      </x:c>
      <x:c r="K224" s="40" t="n">
        <x:v>54038</x:v>
      </x:c>
      <x:c r="L224" s="40" t="n">
        <x:v>200000</x:v>
      </x:c>
      <x:c r="M224" s="40" t="n">
        <x:f>IF(OR(J224="",K224="",K224=0),"",J224/K224*L224)</x:f>
        <x:v>66.6197860764647</x:v>
      </x:c>
      <x:c r="N224" s="22" t="str">
        <x:f>IF(M224="","",IF(I224="Mayor es mejor",IF(M224&gt;=H224,"En meta",IF(M224&gt;=H224*0.9,"Alerta","Crítico")),IF(M224&lt;=H224,"En meta",IF(M224&lt;=H224*1.1,"Alerta","Crítico"))))</x:f>
        <x:v>En meta</x:v>
      </x:c>
      <x:c r="O224" s="22" t="str">
        <x:v>Índice</x:v>
      </x:c>
      <x:c r="P224" s="22" t="str">
        <x:v>Líder SG-SST</x:v>
      </x:c>
      <x:c r="Q224" s="22" t="str">
        <x:v>Matriz de accidentalidad / nómina</x:v>
      </x:c>
      <x:c r="R224" s="22" t="str"/>
    </x:row>
    <x:row r="225">
      <x:c r="A225" s="46" t="n">
        <x:v>45351</x:v>
      </x:c>
      <x:c r="B225" s="22" t="n">
        <x:v>2024</x:v>
      </x:c>
      <x:c r="C225" s="22" t="str">
        <x:v>Febrero</x:v>
      </x:c>
      <x:c r="D225" s="22" t="str">
        <x:v>R03</x:v>
      </x:c>
      <x:c r="E225" s="22" t="str">
        <x:v>Índice de lesión incapacitante (ILI)</x:v>
      </x:c>
      <x:c r="F225" s="22" t="str">
        <x:v>Resultado</x:v>
      </x:c>
      <x:c r="G225" s="22" t="str">
        <x:v>Mensual</x:v>
      </x:c>
      <x:c r="H225" s="40" t="n">
        <x:v>0.25</x:v>
      </x:c>
      <x:c r="I225" s="22" t="str">
        <x:v>Menor es mejor</x:v>
      </x:c>
      <x:c r="J225" s="40" t="n">
        <x:v>246.5664</x:v>
      </x:c>
      <x:c r="K225" s="40" t="n">
        <x:v>1000</x:v>
      </x:c>
      <x:c r="L225" s="40" t="n">
        <x:v>1</x:v>
      </x:c>
      <x:c r="M225" s="40" t="n">
        <x:f>IF(OR(J225="",K225="",K225=0),"",J225/K225*L225)</x:f>
        <x:v>0.2465664</x:v>
      </x:c>
      <x:c r="N225" s="22" t="str">
        <x:f>IF(M225="","",IF(I225="Mayor es mejor",IF(M225&gt;=H225,"En meta",IF(M225&gt;=H225*0.9,"Alerta","Crítico")),IF(M225&lt;=H225,"En meta",IF(M225&lt;=H225*1.1,"Alerta","Crítico"))))</x:f>
        <x:v>En meta</x:v>
      </x:c>
      <x:c r="O225" s="22" t="str">
        <x:v>Índice</x:v>
      </x:c>
      <x:c r="P225" s="22" t="str">
        <x:v>Líder SG-SST</x:v>
      </x:c>
      <x:c r="Q225" s="22" t="str">
        <x:v>Indicadores derivados de accidentalidad</x:v>
      </x:c>
      <x:c r="R225" s="22" t="str">
        <x:v>ILI calculado sobre IF e IS del periodo.</x:v>
      </x:c>
    </x:row>
    <x:row r="226">
      <x:c r="A226" s="46" t="n">
        <x:v>45351</x:v>
      </x:c>
      <x:c r="B226" s="22" t="n">
        <x:v>2024</x:v>
      </x:c>
      <x:c r="C226" s="22" t="str">
        <x:v>Febrero</x:v>
      </x:c>
      <x:c r="D226" s="22" t="str">
        <x:v>R04</x:v>
      </x:c>
      <x:c r="E226" s="22" t="str">
        <x:v>Tasa de accidentalidad</x:v>
      </x:c>
      <x:c r="F226" s="22" t="str">
        <x:v>Resultado</x:v>
      </x:c>
      <x:c r="G226" s="22" t="str">
        <x:v>Mensual</x:v>
      </x:c>
      <x:c r="H226" s="40" t="n">
        <x:v>0.6</x:v>
      </x:c>
      <x:c r="I226" s="22" t="str">
        <x:v>Menor es mejor</x:v>
      </x:c>
      <x:c r="J226" s="40" t="n">
        <x:v>1.56</x:v>
      </x:c>
      <x:c r="K226" s="40" t="n">
        <x:v>225</x:v>
      </x:c>
      <x:c r="L226" s="40" t="n">
        <x:v>100</x:v>
      </x:c>
      <x:c r="M226" s="40" t="n">
        <x:f>IF(OR(J226="",K226="",K226=0),"",J226/K226*L226)</x:f>
        <x:v>0.6933333333333334</x:v>
      </x:c>
      <x:c r="N226" s="22" t="str">
        <x:f>IF(M226="","",IF(I226="Mayor es mejor",IF(M226&gt;=H226,"En meta",IF(M226&gt;=H226*0.9,"Alerta","Crítico")),IF(M226&lt;=H226,"En meta",IF(M226&lt;=H226*1.1,"Alerta","Crítico"))))</x:f>
        <x:v>Crítico</x:v>
      </x:c>
      <x:c r="O226" s="22" t="str">
        <x:v>%</x:v>
      </x:c>
      <x:c r="P226" s="22" t="str">
        <x:v>Líder SG-SST</x:v>
      </x:c>
      <x:c r="Q226" s="22" t="str">
        <x:v>Matriz de accidentalidad / nómina</x:v>
      </x:c>
      <x:c r="R226" s="22" t="str"/>
    </x:row>
    <x:row r="227">
      <x:c r="A227" s="46" t="n">
        <x:v>45351</x:v>
      </x:c>
      <x:c r="B227" s="22" t="n">
        <x:v>2024</x:v>
      </x:c>
      <x:c r="C227" s="22" t="str">
        <x:v>Febrero</x:v>
      </x:c>
      <x:c r="D227" s="22" t="str">
        <x:v>R05</x:v>
      </x:c>
      <x:c r="E227" s="22" t="str">
        <x:v>Prevalencia de enfermedad laboral</x:v>
      </x:c>
      <x:c r="F227" s="22" t="str">
        <x:v>Resultado</x:v>
      </x:c>
      <x:c r="G227" s="22" t="str">
        <x:v>Mensual</x:v>
      </x:c>
      <x:c r="H227" s="40" t="n">
        <x:v>0.3</x:v>
      </x:c>
      <x:c r="I227" s="22" t="str">
        <x:v>Menor es mejor</x:v>
      </x:c>
      <x:c r="J227" s="40" t="n">
        <x:v>3.14</x:v>
      </x:c>
      <x:c r="K227" s="40" t="n">
        <x:v>225</x:v>
      </x:c>
      <x:c r="L227" s="40" t="n">
        <x:v>100</x:v>
      </x:c>
      <x:c r="M227" s="40" t="n">
        <x:f>IF(OR(J227="",K227="",K227=0),"",J227/K227*L227)</x:f>
        <x:v>1.3955555555555557</x:v>
      </x:c>
      <x:c r="N227" s="22" t="str">
        <x:f>IF(M227="","",IF(I227="Mayor es mejor",IF(M227&gt;=H227,"En meta",IF(M227&gt;=H227*0.9,"Alerta","Crítico")),IF(M227&lt;=H227,"En meta",IF(M227&lt;=H227*1.1,"Alerta","Crítico"))))</x:f>
        <x:v>Crítico</x:v>
      </x:c>
      <x:c r="O227" s="22" t="str">
        <x:v>%</x:v>
      </x:c>
      <x:c r="P227" s="22" t="str">
        <x:v>Líder SG-SST / Medicina laboral</x:v>
      </x:c>
      <x:c r="Q227" s="22" t="str">
        <x:v>Matriz de enfermedad laboral / nómina</x:v>
      </x:c>
      <x:c r="R227" s="22" t="str"/>
    </x:row>
    <x:row r="228">
      <x:c r="A228" s="46" t="n">
        <x:v>45351</x:v>
      </x:c>
      <x:c r="B228" s="22" t="n">
        <x:v>2024</x:v>
      </x:c>
      <x:c r="C228" s="22" t="str">
        <x:v>Febrero</x:v>
      </x:c>
      <x:c r="D228" s="22" t="str">
        <x:v>R06</x:v>
      </x:c>
      <x:c r="E228" s="22" t="str">
        <x:v>% cumplimiento de estándares mínimos Res. 0312 de 2019</x:v>
      </x:c>
      <x:c r="F228" s="22" t="str">
        <x:v>Resultado</x:v>
      </x:c>
      <x:c r="G228" s="22" t="str">
        <x:v>Mensual</x:v>
      </x:c>
      <x:c r="H228" s="40" t="n">
        <x:v>95</x:v>
      </x:c>
      <x:c r="I228" s="22" t="str">
        <x:v>Mayor es mejor</x:v>
      </x:c>
      <x:c r="J228" s="40" t="n">
        <x:v>96</x:v>
      </x:c>
      <x:c r="K228" s="40" t="n">
        <x:v>100</x:v>
      </x:c>
      <x:c r="L228" s="40" t="n">
        <x:v>100</x:v>
      </x:c>
      <x:c r="M228" s="40" t="n">
        <x:f>IF(OR(J228="",K228="",K228=0),"",J228/K228*L228)</x:f>
        <x:v>96</x:v>
      </x:c>
      <x:c r="N228" s="22" t="str">
        <x:f>IF(M228="","",IF(I228="Mayor es mejor",IF(M228&gt;=H228,"En meta",IF(M228&gt;=H228*0.9,"Alerta","Crítico")),IF(M228&lt;=H228,"En meta",IF(M228&lt;=H228*1.1,"Alerta","Crítico"))))</x:f>
        <x:v>En meta</x:v>
      </x:c>
      <x:c r="O228" s="22" t="str">
        <x:v>%</x:v>
      </x:c>
      <x:c r="P228" s="22" t="str">
        <x:v>Líder SG-SST / Alta Dirección</x:v>
      </x:c>
      <x:c r="Q228" s="22" t="str">
        <x:v>Autodiagnóstico Res. 0312 de 2019</x:v>
      </x:c>
      <x:c r="R228" s="22" t="str"/>
    </x:row>
    <x:row r="229">
      <x:c r="A229" s="46" t="n">
        <x:v>45382</x:v>
      </x:c>
      <x:c r="B229" s="22" t="n">
        <x:v>2024</x:v>
      </x:c>
      <x:c r="C229" s="22" t="str">
        <x:v>Marzo</x:v>
      </x:c>
      <x:c r="D229" s="22" t="str">
        <x:v>E01</x:v>
      </x:c>
      <x:c r="E229" s="22" t="str">
        <x:v>% ejecución presupuestal del SG-SST</x:v>
      </x:c>
      <x:c r="F229" s="22" t="str">
        <x:v>Estructura</x:v>
      </x:c>
      <x:c r="G229" s="22" t="str">
        <x:v>Mensual</x:v>
      </x:c>
      <x:c r="H229" s="40" t="n">
        <x:v>95</x:v>
      </x:c>
      <x:c r="I229" s="22" t="str">
        <x:v>Mayor es mejor</x:v>
      </x:c>
      <x:c r="J229" s="40" t="n">
        <x:v>5127834</x:v>
      </x:c>
      <x:c r="K229" s="40" t="n">
        <x:v>5500000</x:v>
      </x:c>
      <x:c r="L229" s="40" t="n">
        <x:v>100</x:v>
      </x:c>
      <x:c r="M229" s="40" t="n">
        <x:f>IF(OR(J229="",K229="",K229=0),"",J229/K229*L229)</x:f>
        <x:v>93.23334545454546</x:v>
      </x:c>
      <x:c r="N229" s="22" t="str">
        <x:f>IF(M229="","",IF(I229="Mayor es mejor",IF(M229&gt;=H229,"En meta",IF(M229&gt;=H229*0.9,"Alerta","Crítico")),IF(M229&lt;=H229,"En meta",IF(M229&lt;=H229*1.1,"Alerta","Crítico"))))</x:f>
        <x:v>Alerta</x:v>
      </x:c>
      <x:c r="O229" s="22" t="str">
        <x:v>%</x:v>
      </x:c>
      <x:c r="P229" s="22" t="str">
        <x:v>Líder SG-SST / Dirección Administrativa</x:v>
      </x:c>
      <x:c r="Q229" s="22" t="str">
        <x:v>Presupuesto SST</x:v>
      </x:c>
      <x:c r="R229" s="22" t="str"/>
    </x:row>
    <x:row r="230">
      <x:c r="A230" s="46" t="n">
        <x:v>45382</x:v>
      </x:c>
      <x:c r="B230" s="22" t="n">
        <x:v>2024</x:v>
      </x:c>
      <x:c r="C230" s="22" t="str">
        <x:v>Marzo</x:v>
      </x:c>
      <x:c r="D230" s="22" t="str">
        <x:v>E02</x:v>
      </x:c>
      <x:c r="E230" s="22" t="str">
        <x:v>% cobertura del plan de formación y capacitación SG-SST</x:v>
      </x:c>
      <x:c r="F230" s="22" t="str">
        <x:v>Estructura</x:v>
      </x:c>
      <x:c r="G230" s="22" t="str">
        <x:v>Mensual</x:v>
      </x:c>
      <x:c r="H230" s="40" t="n">
        <x:v>90</x:v>
      </x:c>
      <x:c r="I230" s="22" t="str">
        <x:v>Mayor es mejor</x:v>
      </x:c>
      <x:c r="J230" s="40" t="n">
        <x:v>21</x:v>
      </x:c>
      <x:c r="K230" s="40" t="n">
        <x:v>24</x:v>
      </x:c>
      <x:c r="L230" s="40" t="n">
        <x:v>100</x:v>
      </x:c>
      <x:c r="M230" s="40" t="n">
        <x:f>IF(OR(J230="",K230="",K230=0),"",J230/K230*L230)</x:f>
        <x:v>87.5</x:v>
      </x:c>
      <x:c r="N230" s="22" t="str">
        <x:f>IF(M230="","",IF(I230="Mayor es mejor",IF(M230&gt;=H230,"En meta",IF(M230&gt;=H230*0.9,"Alerta","Crítico")),IF(M230&lt;=H230,"En meta",IF(M230&lt;=H230*1.1,"Alerta","Crítico"))))</x:f>
        <x:v>Alerta</x:v>
      </x:c>
      <x:c r="O230" s="22" t="str">
        <x:v>%</x:v>
      </x:c>
      <x:c r="P230" s="22" t="str">
        <x:v>Líder SG-SST / Talento Humano</x:v>
      </x:c>
      <x:c r="Q230" s="22" t="str">
        <x:v>Plan de formación y capacitaciones</x:v>
      </x:c>
      <x:c r="R230" s="22" t="str"/>
    </x:row>
    <x:row r="231">
      <x:c r="A231" s="46" t="n">
        <x:v>45382</x:v>
      </x:c>
      <x:c r="B231" s="22" t="n">
        <x:v>2024</x:v>
      </x:c>
      <x:c r="C231" s="22" t="str">
        <x:v>Marzo</x:v>
      </x:c>
      <x:c r="D231" s="22" t="str">
        <x:v>E03</x:v>
      </x:c>
      <x:c r="E231" s="22" t="str">
        <x:v>% trabajadores con exámenes médicos ocupacionales vigentes</x:v>
      </x:c>
      <x:c r="F231" s="22" t="str">
        <x:v>Estructura</x:v>
      </x:c>
      <x:c r="G231" s="22" t="str">
        <x:v>Mensual</x:v>
      </x:c>
      <x:c r="H231" s="40" t="n">
        <x:v>95</x:v>
      </x:c>
      <x:c r="I231" s="22" t="str">
        <x:v>Mayor es mejor</x:v>
      </x:c>
      <x:c r="J231" s="40" t="n">
        <x:v>214</x:v>
      </x:c>
      <x:c r="K231" s="40" t="n">
        <x:v>225</x:v>
      </x:c>
      <x:c r="L231" s="40" t="n">
        <x:v>100</x:v>
      </x:c>
      <x:c r="M231" s="40" t="n">
        <x:f>IF(OR(J231="",K231="",K231=0),"",J231/K231*L231)</x:f>
        <x:v>95.11111111111111</x:v>
      </x:c>
      <x:c r="N231" s="22" t="str">
        <x:f>IF(M231="","",IF(I231="Mayor es mejor",IF(M231&gt;=H231,"En meta",IF(M231&gt;=H231*0.9,"Alerta","Crítico")),IF(M231&lt;=H231,"En meta",IF(M231&lt;=H231*1.1,"Alerta","Crítico"))))</x:f>
        <x:v>En meta</x:v>
      </x:c>
      <x:c r="O231" s="22" t="str">
        <x:v>%</x:v>
      </x:c>
      <x:c r="P231" s="22" t="str">
        <x:v>Líder SG-SST / Talento Humano</x:v>
      </x:c>
      <x:c r="Q231" s="22" t="str">
        <x:v>Matriz de seguimiento EMO</x:v>
      </x:c>
      <x:c r="R231" s="22" t="str"/>
    </x:row>
    <x:row r="232">
      <x:c r="A232" s="46" t="n">
        <x:v>45382</x:v>
      </x:c>
      <x:c r="B232" s="22" t="n">
        <x:v>2024</x:v>
      </x:c>
      <x:c r="C232" s="22" t="str">
        <x:v>Marzo</x:v>
      </x:c>
      <x:c r="D232" s="22" t="str">
        <x:v>E04</x:v>
      </x:c>
      <x:c r="E232" s="22" t="str">
        <x:v>% cumplimiento de requisitos legales aplicables en SST</x:v>
      </x:c>
      <x:c r="F232" s="22" t="str">
        <x:v>Estructura</x:v>
      </x:c>
      <x:c r="G232" s="22" t="str">
        <x:v>Mensual</x:v>
      </x:c>
      <x:c r="H232" s="40" t="n">
        <x:v>95</x:v>
      </x:c>
      <x:c r="I232" s="22" t="str">
        <x:v>Mayor es mejor</x:v>
      </x:c>
      <x:c r="J232" s="40" t="n">
        <x:v>57</x:v>
      </x:c>
      <x:c r="K232" s="40" t="n">
        <x:v>60</x:v>
      </x:c>
      <x:c r="L232" s="40" t="n">
        <x:v>100</x:v>
      </x:c>
      <x:c r="M232" s="40" t="n">
        <x:f>IF(OR(J232="",K232="",K232=0),"",J232/K232*L232)</x:f>
        <x:v>95</x:v>
      </x:c>
      <x:c r="N232" s="22" t="str">
        <x:f>IF(M232="","",IF(I232="Mayor es mejor",IF(M232&gt;=H232,"En meta",IF(M232&gt;=H232*0.9,"Alerta","Crítico")),IF(M232&lt;=H232,"En meta",IF(M232&lt;=H232*1.1,"Alerta","Crítico"))))</x:f>
        <x:v>En meta</x:v>
      </x:c>
      <x:c r="O232" s="22" t="str">
        <x:v>%</x:v>
      </x:c>
      <x:c r="P232" s="22" t="str">
        <x:v>Líder SG-SST / Jurídica</x:v>
      </x:c>
      <x:c r="Q232" s="22" t="str">
        <x:v>Matriz legal SGRL</x:v>
      </x:c>
      <x:c r="R232" s="22" t="str"/>
    </x:row>
    <x:row r="233">
      <x:c r="A233" s="46" t="n">
        <x:v>45382</x:v>
      </x:c>
      <x:c r="B233" s="22" t="n">
        <x:v>2024</x:v>
      </x:c>
      <x:c r="C233" s="22" t="str">
        <x:v>Marzo</x:v>
      </x:c>
      <x:c r="D233" s="22" t="str">
        <x:v>E05</x:v>
      </x:c>
      <x:c r="E233" s="22" t="str">
        <x:v>% proveedores y contratistas aprobados en SST</x:v>
      </x:c>
      <x:c r="F233" s="22" t="str">
        <x:v>Estructura</x:v>
      </x:c>
      <x:c r="G233" s="22" t="str">
        <x:v>Mensual</x:v>
      </x:c>
      <x:c r="H233" s="40" t="n">
        <x:v>90</x:v>
      </x:c>
      <x:c r="I233" s="22" t="str">
        <x:v>Mayor es mejor</x:v>
      </x:c>
      <x:c r="J233" s="40" t="n">
        <x:v>18</x:v>
      </x:c>
      <x:c r="K233" s="40" t="n">
        <x:v>20</x:v>
      </x:c>
      <x:c r="L233" s="40" t="n">
        <x:v>100</x:v>
      </x:c>
      <x:c r="M233" s="40" t="n">
        <x:f>IF(OR(J233="",K233="",K233=0),"",J233/K233*L233)</x:f>
        <x:v>90</x:v>
      </x:c>
      <x:c r="N233" s="22" t="str">
        <x:f>IF(M233="","",IF(I233="Mayor es mejor",IF(M233&gt;=H233,"En meta",IF(M233&gt;=H233*0.9,"Alerta","Crítico")),IF(M233&lt;=H233,"En meta",IF(M233&lt;=H233*1.1,"Alerta","Crítico"))))</x:f>
        <x:v>En meta</x:v>
      </x:c>
      <x:c r="O233" s="22" t="str">
        <x:v>%</x:v>
      </x:c>
      <x:c r="P233" s="22" t="str">
        <x:v>Compras / Líder SG-SST</x:v>
      </x:c>
      <x:c r="Q233" s="22" t="str">
        <x:v>Gestión de proveedores y contratistas</x:v>
      </x:c>
      <x:c r="R233" s="22" t="str"/>
    </x:row>
    <x:row r="234">
      <x:c r="A234" s="46" t="n">
        <x:v>45382</x:v>
      </x:c>
      <x:c r="B234" s="22" t="n">
        <x:v>2024</x:v>
      </x:c>
      <x:c r="C234" s="22" t="str">
        <x:v>Marzo</x:v>
      </x:c>
      <x:c r="D234" s="22" t="str">
        <x:v>P01</x:v>
      </x:c>
      <x:c r="E234" s="22" t="str">
        <x:v>% ejecución del plan anual de trabajo SG-SST</x:v>
      </x:c>
      <x:c r="F234" s="22" t="str">
        <x:v>Proceso</x:v>
      </x:c>
      <x:c r="G234" s="22" t="str">
        <x:v>Mensual</x:v>
      </x:c>
      <x:c r="H234" s="40" t="n">
        <x:v>90</x:v>
      </x:c>
      <x:c r="I234" s="22" t="str">
        <x:v>Mayor es mejor</x:v>
      </x:c>
      <x:c r="J234" s="40" t="n">
        <x:v>9</x:v>
      </x:c>
      <x:c r="K234" s="40" t="n">
        <x:v>10</x:v>
      </x:c>
      <x:c r="L234" s="40" t="n">
        <x:v>100</x:v>
      </x:c>
      <x:c r="M234" s="40" t="n">
        <x:f>IF(OR(J234="",K234="",K234=0),"",J234/K234*L234)</x:f>
        <x:v>90</x:v>
      </x:c>
      <x:c r="N234" s="22" t="str">
        <x:f>IF(M234="","",IF(I234="Mayor es mejor",IF(M234&gt;=H234,"En meta",IF(M234&gt;=H234*0.9,"Alerta","Crítico")),IF(M234&lt;=H234,"En meta",IF(M234&lt;=H234*1.1,"Alerta","Crítico"))))</x:f>
        <x:v>En meta</x:v>
      </x:c>
      <x:c r="O234" s="22" t="str">
        <x:v>%</x:v>
      </x:c>
      <x:c r="P234" s="22" t="str">
        <x:v>Líder SG-SST</x:v>
      </x:c>
      <x:c r="Q234" s="22" t="str">
        <x:v>Plan anual de trabajo PHVA</x:v>
      </x:c>
      <x:c r="R234" s="22" t="str"/>
    </x:row>
    <x:row r="235">
      <x:c r="A235" s="46" t="n">
        <x:v>45382</x:v>
      </x:c>
      <x:c r="B235" s="22" t="n">
        <x:v>2024</x:v>
      </x:c>
      <x:c r="C235" s="22" t="str">
        <x:v>Marzo</x:v>
      </x:c>
      <x:c r="D235" s="22" t="str">
        <x:v>P02</x:v>
      </x:c>
      <x:c r="E235" s="22" t="str">
        <x:v>% investigaciones de accidentes realizadas oportunamente</x:v>
      </x:c>
      <x:c r="F235" s="22" t="str">
        <x:v>Proceso</x:v>
      </x:c>
      <x:c r="G235" s="22" t="str">
        <x:v>Mensual</x:v>
      </x:c>
      <x:c r="H235" s="40" t="n">
        <x:v>95</x:v>
      </x:c>
      <x:c r="I235" s="22" t="str">
        <x:v>Mayor es mejor</x:v>
      </x:c>
      <x:c r="J235" s="40" t="n">
        <x:v>1</x:v>
      </x:c>
      <x:c r="K235" s="40" t="n">
        <x:v>1</x:v>
      </x:c>
      <x:c r="L235" s="40" t="n">
        <x:v>100</x:v>
      </x:c>
      <x:c r="M235" s="40" t="n">
        <x:f>IF(OR(J235="",K235="",K235=0),"",J235/K235*L235)</x:f>
        <x:v>100</x:v>
      </x:c>
      <x:c r="N235" s="22" t="str">
        <x:f>IF(M235="","",IF(I235="Mayor es mejor",IF(M235&gt;=H235,"En meta",IF(M235&gt;=H235*0.9,"Alerta","Crítico")),IF(M235&lt;=H235,"En meta",IF(M235&lt;=H235*1.1,"Alerta","Crítico"))))</x:f>
        <x:v>En meta</x:v>
      </x:c>
      <x:c r="O235" s="22" t="str">
        <x:v>%</x:v>
      </x:c>
      <x:c r="P235" s="22" t="str">
        <x:v>Líder SG-SST / COPASST</x:v>
      </x:c>
      <x:c r="Q235" s="22" t="str">
        <x:v>Matriz de accidentalidad</x:v>
      </x:c>
      <x:c r="R235" s="22" t="str"/>
    </x:row>
    <x:row r="236">
      <x:c r="A236" s="46" t="n">
        <x:v>45382</x:v>
      </x:c>
      <x:c r="B236" s="22" t="n">
        <x:v>2024</x:v>
      </x:c>
      <x:c r="C236" s="22" t="str">
        <x:v>Marzo</x:v>
      </x:c>
      <x:c r="D236" s="22" t="str">
        <x:v>P03</x:v>
      </x:c>
      <x:c r="E236" s="22" t="str">
        <x:v>% cierre oportuno de acciones correctivas, preventivas y de mejora</x:v>
      </x:c>
      <x:c r="F236" s="22" t="str">
        <x:v>Proceso</x:v>
      </x:c>
      <x:c r="G236" s="22" t="str">
        <x:v>Mensual</x:v>
      </x:c>
      <x:c r="H236" s="40" t="n">
        <x:v>90</x:v>
      </x:c>
      <x:c r="I236" s="22" t="str">
        <x:v>Mayor es mejor</x:v>
      </x:c>
      <x:c r="J236" s="40" t="n">
        <x:v>12</x:v>
      </x:c>
      <x:c r="K236" s="40" t="n">
        <x:v>13</x:v>
      </x:c>
      <x:c r="L236" s="40" t="n">
        <x:v>100</x:v>
      </x:c>
      <x:c r="M236" s="40" t="n">
        <x:f>IF(OR(J236="",K236="",K236=0),"",J236/K236*L236)</x:f>
        <x:v>92.3076923076923</x:v>
      </x:c>
      <x:c r="N236" s="22" t="str">
        <x:f>IF(M236="","",IF(I236="Mayor es mejor",IF(M236&gt;=H236,"En meta",IF(M236&gt;=H236*0.9,"Alerta","Crítico")),IF(M236&lt;=H236,"En meta",IF(M236&lt;=H236*1.1,"Alerta","Crítico"))))</x:f>
        <x:v>En meta</x:v>
      </x:c>
      <x:c r="O236" s="22" t="str">
        <x:v>%</x:v>
      </x:c>
      <x:c r="P236" s="22" t="str">
        <x:v>Líder SG-SST / Responsables de proceso</x:v>
      </x:c>
      <x:c r="Q236" s="22" t="str">
        <x:v>Matriz APCM</x:v>
      </x:c>
      <x:c r="R236" s="22" t="str"/>
    </x:row>
    <x:row r="237">
      <x:c r="A237" s="46" t="n">
        <x:v>45382</x:v>
      </x:c>
      <x:c r="B237" s="22" t="n">
        <x:v>2024</x:v>
      </x:c>
      <x:c r="C237" s="22" t="str">
        <x:v>Marzo</x:v>
      </x:c>
      <x:c r="D237" s="22" t="str">
        <x:v>P04</x:v>
      </x:c>
      <x:c r="E237" s="22" t="str">
        <x:v>% inspecciones de seguridad ejecutadas</x:v>
      </x:c>
      <x:c r="F237" s="22" t="str">
        <x:v>Proceso</x:v>
      </x:c>
      <x:c r="G237" s="22" t="str">
        <x:v>Mensual</x:v>
      </x:c>
      <x:c r="H237" s="40" t="n">
        <x:v>90</x:v>
      </x:c>
      <x:c r="I237" s="22" t="str">
        <x:v>Mayor es mejor</x:v>
      </x:c>
      <x:c r="J237" s="40" t="n">
        <x:v>10</x:v>
      </x:c>
      <x:c r="K237" s="40" t="n">
        <x:v>11</x:v>
      </x:c>
      <x:c r="L237" s="40" t="n">
        <x:v>100</x:v>
      </x:c>
      <x:c r="M237" s="40" t="n">
        <x:f>IF(OR(J237="",K237="",K237=0),"",J237/K237*L237)</x:f>
        <x:v>90.9090909090909</x:v>
      </x:c>
      <x:c r="N237" s="22" t="str">
        <x:f>IF(M237="","",IF(I237="Mayor es mejor",IF(M237&gt;=H237,"En meta",IF(M237&gt;=H237*0.9,"Alerta","Crítico")),IF(M237&lt;=H237,"En meta",IF(M237&lt;=H237*1.1,"Alerta","Crítico"))))</x:f>
        <x:v>En meta</x:v>
      </x:c>
      <x:c r="O237" s="22" t="str">
        <x:v>%</x:v>
      </x:c>
      <x:c r="P237" s="22" t="str">
        <x:v>Líder SG-SST / Supervisores</x:v>
      </x:c>
      <x:c r="Q237" s="22" t="str">
        <x:v>Programa de inspecciones</x:v>
      </x:c>
      <x:c r="R237" s="22" t="str"/>
    </x:row>
    <x:row r="238">
      <x:c r="A238" s="46" t="n">
        <x:v>45382</x:v>
      </x:c>
      <x:c r="B238" s="22" t="n">
        <x:v>2024</x:v>
      </x:c>
      <x:c r="C238" s="22" t="str">
        <x:v>Marzo</x:v>
      </x:c>
      <x:c r="D238" s="22" t="str">
        <x:v>P05</x:v>
      </x:c>
      <x:c r="E238" s="22" t="str">
        <x:v>% mantenimientos preventivos ejecutados</x:v>
      </x:c>
      <x:c r="F238" s="22" t="str">
        <x:v>Proceso</x:v>
      </x:c>
      <x:c r="G238" s="22" t="str">
        <x:v>Mensual</x:v>
      </x:c>
      <x:c r="H238" s="40" t="n">
        <x:v>90</x:v>
      </x:c>
      <x:c r="I238" s="22" t="str">
        <x:v>Mayor es mejor</x:v>
      </x:c>
      <x:c r="J238" s="40" t="n">
        <x:v>14</x:v>
      </x:c>
      <x:c r="K238" s="40" t="n">
        <x:v>15</x:v>
      </x:c>
      <x:c r="L238" s="40" t="n">
        <x:v>100</x:v>
      </x:c>
      <x:c r="M238" s="40" t="n">
        <x:f>IF(OR(J238="",K238="",K238=0),"",J238/K238*L238)</x:f>
        <x:v>93.33333333333333</x:v>
      </x:c>
      <x:c r="N238" s="22" t="str">
        <x:f>IF(M238="","",IF(I238="Mayor es mejor",IF(M238&gt;=H238,"En meta",IF(M238&gt;=H238*0.9,"Alerta","Crítico")),IF(M238&lt;=H238,"En meta",IF(M238&lt;=H238*1.1,"Alerta","Crítico"))))</x:f>
        <x:v>En meta</x:v>
      </x:c>
      <x:c r="O238" s="22" t="str">
        <x:v>%</x:v>
      </x:c>
      <x:c r="P238" s="22" t="str">
        <x:v>Mantenimiento / Líder SG-SST</x:v>
      </x:c>
      <x:c r="Q238" s="22" t="str">
        <x:v>Programa de mantenimiento preventivo</x:v>
      </x:c>
      <x:c r="R238" s="22" t="str"/>
    </x:row>
    <x:row r="239">
      <x:c r="A239" s="46" t="n">
        <x:v>45382</x:v>
      </x:c>
      <x:c r="B239" s="22" t="n">
        <x:v>2024</x:v>
      </x:c>
      <x:c r="C239" s="22" t="str">
        <x:v>Marzo</x:v>
      </x:c>
      <x:c r="D239" s="22" t="str">
        <x:v>R01</x:v>
      </x:c>
      <x:c r="E239" s="22" t="str">
        <x:v>Índice de frecuencia de accidentalidad (IF)</x:v>
      </x:c>
      <x:c r="F239" s="22" t="str">
        <x:v>Resultado</x:v>
      </x:c>
      <x:c r="G239" s="22" t="str">
        <x:v>Mensual</x:v>
      </x:c>
      <x:c r="H239" s="40" t="n">
        <x:v>3.5</x:v>
      </x:c>
      <x:c r="I239" s="22" t="str">
        <x:v>Menor es mejor</x:v>
      </x:c>
      <x:c r="J239" s="40" t="n">
        <x:v>1</x:v>
      </x:c>
      <x:c r="K239" s="40" t="n">
        <x:v>53905</x:v>
      </x:c>
      <x:c r="L239" s="40" t="n">
        <x:v>200000</x:v>
      </x:c>
      <x:c r="M239" s="40" t="n">
        <x:f>IF(OR(J239="",K239="",K239=0),"",J239/K239*L239)</x:f>
        <x:v>3.7102309618773766</x:v>
      </x:c>
      <x:c r="N239" s="22" t="str">
        <x:f>IF(M239="","",IF(I239="Mayor es mejor",IF(M239&gt;=H239,"En meta",IF(M239&gt;=H239*0.9,"Alerta","Crítico")),IF(M239&lt;=H239,"En meta",IF(M239&lt;=H239*1.1,"Alerta","Crítico"))))</x:f>
        <x:v>Alerta</x:v>
      </x:c>
      <x:c r="O239" s="22" t="str">
        <x:v>Índice</x:v>
      </x:c>
      <x:c r="P239" s="22" t="str">
        <x:v>Líder SG-SST</x:v>
      </x:c>
      <x:c r="Q239" s="22" t="str">
        <x:v>Matriz de accidentalidad / nómina</x:v>
      </x:c>
      <x:c r="R239" s="22" t="str"/>
    </x:row>
    <x:row r="240">
      <x:c r="A240" s="46" t="n">
        <x:v>45382</x:v>
      </x:c>
      <x:c r="B240" s="22" t="n">
        <x:v>2024</x:v>
      </x:c>
      <x:c r="C240" s="22" t="str">
        <x:v>Marzo</x:v>
      </x:c>
      <x:c r="D240" s="22" t="str">
        <x:v>R02</x:v>
      </x:c>
      <x:c r="E240" s="22" t="str">
        <x:v>Índice de severidad de accidentalidad (IS)</x:v>
      </x:c>
      <x:c r="F240" s="22" t="str">
        <x:v>Resultado</x:v>
      </x:c>
      <x:c r="G240" s="22" t="str">
        <x:v>Mensual</x:v>
      </x:c>
      <x:c r="H240" s="40" t="n">
        <x:v>80</x:v>
      </x:c>
      <x:c r="I240" s="22" t="str">
        <x:v>Menor es mejor</x:v>
      </x:c>
      <x:c r="J240" s="40" t="n">
        <x:v>18</x:v>
      </x:c>
      <x:c r="K240" s="40" t="n">
        <x:v>53905</x:v>
      </x:c>
      <x:c r="L240" s="40" t="n">
        <x:v>200000</x:v>
      </x:c>
      <x:c r="M240" s="40" t="n">
        <x:f>IF(OR(J240="",K240="",K240=0),"",J240/K240*L240)</x:f>
        <x:v>66.78415731379278</x:v>
      </x:c>
      <x:c r="N240" s="22" t="str">
        <x:f>IF(M240="","",IF(I240="Mayor es mejor",IF(M240&gt;=H240,"En meta",IF(M240&gt;=H240*0.9,"Alerta","Crítico")),IF(M240&lt;=H240,"En meta",IF(M240&lt;=H240*1.1,"Alerta","Crítico"))))</x:f>
        <x:v>En meta</x:v>
      </x:c>
      <x:c r="O240" s="22" t="str">
        <x:v>Índice</x:v>
      </x:c>
      <x:c r="P240" s="22" t="str">
        <x:v>Líder SG-SST</x:v>
      </x:c>
      <x:c r="Q240" s="22" t="str">
        <x:v>Matriz de accidentalidad / nómina</x:v>
      </x:c>
      <x:c r="R240" s="22" t="str"/>
    </x:row>
    <x:row r="241">
      <x:c r="A241" s="46" t="n">
        <x:v>45382</x:v>
      </x:c>
      <x:c r="B241" s="22" t="n">
        <x:v>2024</x:v>
      </x:c>
      <x:c r="C241" s="22" t="str">
        <x:v>Marzo</x:v>
      </x:c>
      <x:c r="D241" s="22" t="str">
        <x:v>R03</x:v>
      </x:c>
      <x:c r="E241" s="22" t="str">
        <x:v>Índice de lesión incapacitante (ILI)</x:v>
      </x:c>
      <x:c r="F241" s="22" t="str">
        <x:v>Resultado</x:v>
      </x:c>
      <x:c r="G241" s="22" t="str">
        <x:v>Mensual</x:v>
      </x:c>
      <x:c r="H241" s="40" t="n">
        <x:v>0.25</x:v>
      </x:c>
      <x:c r="I241" s="22" t="str">
        <x:v>Menor es mejor</x:v>
      </x:c>
      <x:c r="J241" s="40" t="n">
        <x:v>247.7846</x:v>
      </x:c>
      <x:c r="K241" s="40" t="n">
        <x:v>1000</x:v>
      </x:c>
      <x:c r="L241" s="40" t="n">
        <x:v>1</x:v>
      </x:c>
      <x:c r="M241" s="40" t="n">
        <x:f>IF(OR(J241="",K241="",K241=0),"",J241/K241*L241)</x:f>
        <x:v>0.24778460000000002</x:v>
      </x:c>
      <x:c r="N241" s="22" t="str">
        <x:f>IF(M241="","",IF(I241="Mayor es mejor",IF(M241&gt;=H241,"En meta",IF(M241&gt;=H241*0.9,"Alerta","Crítico")),IF(M241&lt;=H241,"En meta",IF(M241&lt;=H241*1.1,"Alerta","Crítico"))))</x:f>
        <x:v>En meta</x:v>
      </x:c>
      <x:c r="O241" s="22" t="str">
        <x:v>Índice</x:v>
      </x:c>
      <x:c r="P241" s="22" t="str">
        <x:v>Líder SG-SST</x:v>
      </x:c>
      <x:c r="Q241" s="22" t="str">
        <x:v>Indicadores derivados de accidentalidad</x:v>
      </x:c>
      <x:c r="R241" s="22" t="str">
        <x:v>ILI calculado sobre IF e IS del periodo.</x:v>
      </x:c>
    </x:row>
    <x:row r="242">
      <x:c r="A242" s="46" t="n">
        <x:v>45382</x:v>
      </x:c>
      <x:c r="B242" s="22" t="n">
        <x:v>2024</x:v>
      </x:c>
      <x:c r="C242" s="22" t="str">
        <x:v>Marzo</x:v>
      </x:c>
      <x:c r="D242" s="22" t="str">
        <x:v>R04</x:v>
      </x:c>
      <x:c r="E242" s="22" t="str">
        <x:v>Tasa de accidentalidad</x:v>
      </x:c>
      <x:c r="F242" s="22" t="str">
        <x:v>Resultado</x:v>
      </x:c>
      <x:c r="G242" s="22" t="str">
        <x:v>Mensual</x:v>
      </x:c>
      <x:c r="H242" s="40" t="n">
        <x:v>0.6</x:v>
      </x:c>
      <x:c r="I242" s="22" t="str">
        <x:v>Menor es mejor</x:v>
      </x:c>
      <x:c r="J242" s="40" t="n">
        <x:v>2.7</x:v>
      </x:c>
      <x:c r="K242" s="40" t="n">
        <x:v>225</x:v>
      </x:c>
      <x:c r="L242" s="40" t="n">
        <x:v>100</x:v>
      </x:c>
      <x:c r="M242" s="40" t="n">
        <x:f>IF(OR(J242="",K242="",K242=0),"",J242/K242*L242)</x:f>
        <x:v>1.2</x:v>
      </x:c>
      <x:c r="N242" s="22" t="str">
        <x:f>IF(M242="","",IF(I242="Mayor es mejor",IF(M242&gt;=H242,"En meta",IF(M242&gt;=H242*0.9,"Alerta","Crítico")),IF(M242&lt;=H242,"En meta",IF(M242&lt;=H242*1.1,"Alerta","Crítico"))))</x:f>
        <x:v>Crítico</x:v>
      </x:c>
      <x:c r="O242" s="22" t="str">
        <x:v>%</x:v>
      </x:c>
      <x:c r="P242" s="22" t="str">
        <x:v>Líder SG-SST</x:v>
      </x:c>
      <x:c r="Q242" s="22" t="str">
        <x:v>Matriz de accidentalidad / nómina</x:v>
      </x:c>
      <x:c r="R242" s="22" t="str"/>
    </x:row>
    <x:row r="243">
      <x:c r="A243" s="46" t="n">
        <x:v>45382</x:v>
      </x:c>
      <x:c r="B243" s="22" t="n">
        <x:v>2024</x:v>
      </x:c>
      <x:c r="C243" s="22" t="str">
        <x:v>Marzo</x:v>
      </x:c>
      <x:c r="D243" s="22" t="str">
        <x:v>R05</x:v>
      </x:c>
      <x:c r="E243" s="22" t="str">
        <x:v>Prevalencia de enfermedad laboral</x:v>
      </x:c>
      <x:c r="F243" s="22" t="str">
        <x:v>Resultado</x:v>
      </x:c>
      <x:c r="G243" s="22" t="str">
        <x:v>Mensual</x:v>
      </x:c>
      <x:c r="H243" s="40" t="n">
        <x:v>0.3</x:v>
      </x:c>
      <x:c r="I243" s="22" t="str">
        <x:v>Menor es mejor</x:v>
      </x:c>
      <x:c r="J243" s="40" t="n">
        <x:v>2.44</x:v>
      </x:c>
      <x:c r="K243" s="40" t="n">
        <x:v>225</x:v>
      </x:c>
      <x:c r="L243" s="40" t="n">
        <x:v>100</x:v>
      </x:c>
      <x:c r="M243" s="40" t="n">
        <x:f>IF(OR(J243="",K243="",K243=0),"",J243/K243*L243)</x:f>
        <x:v>1.0844444444444445</x:v>
      </x:c>
      <x:c r="N243" s="22" t="str">
        <x:f>IF(M243="","",IF(I243="Mayor es mejor",IF(M243&gt;=H243,"En meta",IF(M243&gt;=H243*0.9,"Alerta","Crítico")),IF(M243&lt;=H243,"En meta",IF(M243&lt;=H243*1.1,"Alerta","Crítico"))))</x:f>
        <x:v>Crítico</x:v>
      </x:c>
      <x:c r="O243" s="22" t="str">
        <x:v>%</x:v>
      </x:c>
      <x:c r="P243" s="22" t="str">
        <x:v>Líder SG-SST / Medicina laboral</x:v>
      </x:c>
      <x:c r="Q243" s="22" t="str">
        <x:v>Matriz de enfermedad laboral / nómina</x:v>
      </x:c>
      <x:c r="R243" s="22" t="str"/>
    </x:row>
    <x:row r="244">
      <x:c r="A244" s="46" t="n">
        <x:v>45382</x:v>
      </x:c>
      <x:c r="B244" s="22" t="n">
        <x:v>2024</x:v>
      </x:c>
      <x:c r="C244" s="22" t="str">
        <x:v>Marzo</x:v>
      </x:c>
      <x:c r="D244" s="22" t="str">
        <x:v>R06</x:v>
      </x:c>
      <x:c r="E244" s="22" t="str">
        <x:v>% cumplimiento de estándares mínimos Res. 0312 de 2019</x:v>
      </x:c>
      <x:c r="F244" s="22" t="str">
        <x:v>Resultado</x:v>
      </x:c>
      <x:c r="G244" s="22" t="str">
        <x:v>Mensual</x:v>
      </x:c>
      <x:c r="H244" s="40" t="n">
        <x:v>95</x:v>
      </x:c>
      <x:c r="I244" s="22" t="str">
        <x:v>Mayor es mejor</x:v>
      </x:c>
      <x:c r="J244" s="40" t="n">
        <x:v>96</x:v>
      </x:c>
      <x:c r="K244" s="40" t="n">
        <x:v>100</x:v>
      </x:c>
      <x:c r="L244" s="40" t="n">
        <x:v>100</x:v>
      </x:c>
      <x:c r="M244" s="40" t="n">
        <x:f>IF(OR(J244="",K244="",K244=0),"",J244/K244*L244)</x:f>
        <x:v>96</x:v>
      </x:c>
      <x:c r="N244" s="22" t="str">
        <x:f>IF(M244="","",IF(I244="Mayor es mejor",IF(M244&gt;=H244,"En meta",IF(M244&gt;=H244*0.9,"Alerta","Crítico")),IF(M244&lt;=H244,"En meta",IF(M244&lt;=H244*1.1,"Alerta","Crítico"))))</x:f>
        <x:v>En meta</x:v>
      </x:c>
      <x:c r="O244" s="22" t="str">
        <x:v>%</x:v>
      </x:c>
      <x:c r="P244" s="22" t="str">
        <x:v>Líder SG-SST / Alta Dirección</x:v>
      </x:c>
      <x:c r="Q244" s="22" t="str">
        <x:v>Autodiagnóstico Res. 0312 de 2019</x:v>
      </x:c>
      <x:c r="R244" s="22" t="str"/>
    </x:row>
    <x:row r="245">
      <x:c r="A245" s="46" t="n">
        <x:v>45412</x:v>
      </x:c>
      <x:c r="B245" s="22" t="n">
        <x:v>2024</x:v>
      </x:c>
      <x:c r="C245" s="22" t="str">
        <x:v>Abril</x:v>
      </x:c>
      <x:c r="D245" s="22" t="str">
        <x:v>E01</x:v>
      </x:c>
      <x:c r="E245" s="22" t="str">
        <x:v>% ejecución presupuestal del SG-SST</x:v>
      </x:c>
      <x:c r="F245" s="22" t="str">
        <x:v>Estructura</x:v>
      </x:c>
      <x:c r="G245" s="22" t="str">
        <x:v>Mensual</x:v>
      </x:c>
      <x:c r="H245" s="40" t="n">
        <x:v>95</x:v>
      </x:c>
      <x:c r="I245" s="22" t="str">
        <x:v>Mayor es mejor</x:v>
      </x:c>
      <x:c r="J245" s="40" t="n">
        <x:v>5655059</x:v>
      </x:c>
      <x:c r="K245" s="40" t="n">
        <x:v>6000000</x:v>
      </x:c>
      <x:c r="L245" s="40" t="n">
        <x:v>100</x:v>
      </x:c>
      <x:c r="M245" s="40" t="n">
        <x:f>IF(OR(J245="",K245="",K245=0),"",J245/K245*L245)</x:f>
        <x:v>94.25098333333334</x:v>
      </x:c>
      <x:c r="N245" s="22" t="str">
        <x:f>IF(M245="","",IF(I245="Mayor es mejor",IF(M245&gt;=H245,"En meta",IF(M245&gt;=H245*0.9,"Alerta","Crítico")),IF(M245&lt;=H245,"En meta",IF(M245&lt;=H245*1.1,"Alerta","Crítico"))))</x:f>
        <x:v>Alerta</x:v>
      </x:c>
      <x:c r="O245" s="22" t="str">
        <x:v>%</x:v>
      </x:c>
      <x:c r="P245" s="22" t="str">
        <x:v>Líder SG-SST / Dirección Administrativa</x:v>
      </x:c>
      <x:c r="Q245" s="22" t="str">
        <x:v>Presupuesto SST</x:v>
      </x:c>
      <x:c r="R245" s="22" t="str"/>
    </x:row>
    <x:row r="246">
      <x:c r="A246" s="46" t="n">
        <x:v>45412</x:v>
      </x:c>
      <x:c r="B246" s="22" t="n">
        <x:v>2024</x:v>
      </x:c>
      <x:c r="C246" s="22" t="str">
        <x:v>Abril</x:v>
      </x:c>
      <x:c r="D246" s="22" t="str">
        <x:v>E02</x:v>
      </x:c>
      <x:c r="E246" s="22" t="str">
        <x:v>% cobertura del plan de formación y capacitación SG-SST</x:v>
      </x:c>
      <x:c r="F246" s="22" t="str">
        <x:v>Estructura</x:v>
      </x:c>
      <x:c r="G246" s="22" t="str">
        <x:v>Mensual</x:v>
      </x:c>
      <x:c r="H246" s="40" t="n">
        <x:v>90</x:v>
      </x:c>
      <x:c r="I246" s="22" t="str">
        <x:v>Mayor es mejor</x:v>
      </x:c>
      <x:c r="J246" s="40" t="n">
        <x:v>16</x:v>
      </x:c>
      <x:c r="K246" s="40" t="n">
        <x:v>18</x:v>
      </x:c>
      <x:c r="L246" s="40" t="n">
        <x:v>100</x:v>
      </x:c>
      <x:c r="M246" s="40" t="n">
        <x:f>IF(OR(J246="",K246="",K246=0),"",J246/K246*L246)</x:f>
        <x:v>88.88888888888889</x:v>
      </x:c>
      <x:c r="N246" s="22" t="str">
        <x:f>IF(M246="","",IF(I246="Mayor es mejor",IF(M246&gt;=H246,"En meta",IF(M246&gt;=H246*0.9,"Alerta","Crítico")),IF(M246&lt;=H246,"En meta",IF(M246&lt;=H246*1.1,"Alerta","Crítico"))))</x:f>
        <x:v>Alerta</x:v>
      </x:c>
      <x:c r="O246" s="22" t="str">
        <x:v>%</x:v>
      </x:c>
      <x:c r="P246" s="22" t="str">
        <x:v>Líder SG-SST / Talento Humano</x:v>
      </x:c>
      <x:c r="Q246" s="22" t="str">
        <x:v>Plan de formación y capacitaciones</x:v>
      </x:c>
      <x:c r="R246" s="22" t="str"/>
    </x:row>
    <x:row r="247">
      <x:c r="A247" s="46" t="n">
        <x:v>45412</x:v>
      </x:c>
      <x:c r="B247" s="22" t="n">
        <x:v>2024</x:v>
      </x:c>
      <x:c r="C247" s="22" t="str">
        <x:v>Abril</x:v>
      </x:c>
      <x:c r="D247" s="22" t="str">
        <x:v>E03</x:v>
      </x:c>
      <x:c r="E247" s="22" t="str">
        <x:v>% trabajadores con exámenes médicos ocupacionales vigentes</x:v>
      </x:c>
      <x:c r="F247" s="22" t="str">
        <x:v>Estructura</x:v>
      </x:c>
      <x:c r="G247" s="22" t="str">
        <x:v>Mensual</x:v>
      </x:c>
      <x:c r="H247" s="40" t="n">
        <x:v>95</x:v>
      </x:c>
      <x:c r="I247" s="22" t="str">
        <x:v>Mayor es mejor</x:v>
      </x:c>
      <x:c r="J247" s="40" t="n">
        <x:v>216</x:v>
      </x:c>
      <x:c r="K247" s="40" t="n">
        <x:v>226</x:v>
      </x:c>
      <x:c r="L247" s="40" t="n">
        <x:v>100</x:v>
      </x:c>
      <x:c r="M247" s="40" t="n">
        <x:f>IF(OR(J247="",K247="",K247=0),"",J247/K247*L247)</x:f>
        <x:v>95.57522123893806</x:v>
      </x:c>
      <x:c r="N247" s="22" t="str">
        <x:f>IF(M247="","",IF(I247="Mayor es mejor",IF(M247&gt;=H247,"En meta",IF(M247&gt;=H247*0.9,"Alerta","Crítico")),IF(M247&lt;=H247,"En meta",IF(M247&lt;=H247*1.1,"Alerta","Crítico"))))</x:f>
        <x:v>En meta</x:v>
      </x:c>
      <x:c r="O247" s="22" t="str">
        <x:v>%</x:v>
      </x:c>
      <x:c r="P247" s="22" t="str">
        <x:v>Líder SG-SST / Talento Humano</x:v>
      </x:c>
      <x:c r="Q247" s="22" t="str">
        <x:v>Matriz de seguimiento EMO</x:v>
      </x:c>
      <x:c r="R247" s="22" t="str"/>
    </x:row>
    <x:row r="248">
      <x:c r="A248" s="46" t="n">
        <x:v>45412</x:v>
      </x:c>
      <x:c r="B248" s="22" t="n">
        <x:v>2024</x:v>
      </x:c>
      <x:c r="C248" s="22" t="str">
        <x:v>Abril</x:v>
      </x:c>
      <x:c r="D248" s="22" t="str">
        <x:v>E04</x:v>
      </x:c>
      <x:c r="E248" s="22" t="str">
        <x:v>% cumplimiento de requisitos legales aplicables en SST</x:v>
      </x:c>
      <x:c r="F248" s="22" t="str">
        <x:v>Estructura</x:v>
      </x:c>
      <x:c r="G248" s="22" t="str">
        <x:v>Mensual</x:v>
      </x:c>
      <x:c r="H248" s="40" t="n">
        <x:v>95</x:v>
      </x:c>
      <x:c r="I248" s="22" t="str">
        <x:v>Mayor es mejor</x:v>
      </x:c>
      <x:c r="J248" s="40" t="n">
        <x:v>57</x:v>
      </x:c>
      <x:c r="K248" s="40" t="n">
        <x:v>60</x:v>
      </x:c>
      <x:c r="L248" s="40" t="n">
        <x:v>100</x:v>
      </x:c>
      <x:c r="M248" s="40" t="n">
        <x:f>IF(OR(J248="",K248="",K248=0),"",J248/K248*L248)</x:f>
        <x:v>95</x:v>
      </x:c>
      <x:c r="N248" s="22" t="str">
        <x:f>IF(M248="","",IF(I248="Mayor es mejor",IF(M248&gt;=H248,"En meta",IF(M248&gt;=H248*0.9,"Alerta","Crítico")),IF(M248&lt;=H248,"En meta",IF(M248&lt;=H248*1.1,"Alerta","Crítico"))))</x:f>
        <x:v>En meta</x:v>
      </x:c>
      <x:c r="O248" s="22" t="str">
        <x:v>%</x:v>
      </x:c>
      <x:c r="P248" s="22" t="str">
        <x:v>Líder SG-SST / Jurídica</x:v>
      </x:c>
      <x:c r="Q248" s="22" t="str">
        <x:v>Matriz legal SGRL</x:v>
      </x:c>
      <x:c r="R248" s="22" t="str"/>
    </x:row>
    <x:row r="249">
      <x:c r="A249" s="46" t="n">
        <x:v>45412</x:v>
      </x:c>
      <x:c r="B249" s="22" t="n">
        <x:v>2024</x:v>
      </x:c>
      <x:c r="C249" s="22" t="str">
        <x:v>Abril</x:v>
      </x:c>
      <x:c r="D249" s="22" t="str">
        <x:v>E05</x:v>
      </x:c>
      <x:c r="E249" s="22" t="str">
        <x:v>% proveedores y contratistas aprobados en SST</x:v>
      </x:c>
      <x:c r="F249" s="22" t="str">
        <x:v>Estructura</x:v>
      </x:c>
      <x:c r="G249" s="22" t="str">
        <x:v>Mensual</x:v>
      </x:c>
      <x:c r="H249" s="40" t="n">
        <x:v>90</x:v>
      </x:c>
      <x:c r="I249" s="22" t="str">
        <x:v>Mayor es mejor</x:v>
      </x:c>
      <x:c r="J249" s="40" t="n">
        <x:v>18</x:v>
      </x:c>
      <x:c r="K249" s="40" t="n">
        <x:v>20</x:v>
      </x:c>
      <x:c r="L249" s="40" t="n">
        <x:v>100</x:v>
      </x:c>
      <x:c r="M249" s="40" t="n">
        <x:f>IF(OR(J249="",K249="",K249=0),"",J249/K249*L249)</x:f>
        <x:v>90</x:v>
      </x:c>
      <x:c r="N249" s="22" t="str">
        <x:f>IF(M249="","",IF(I249="Mayor es mejor",IF(M249&gt;=H249,"En meta",IF(M249&gt;=H249*0.9,"Alerta","Crítico")),IF(M249&lt;=H249,"En meta",IF(M249&lt;=H249*1.1,"Alerta","Crítico"))))</x:f>
        <x:v>En meta</x:v>
      </x:c>
      <x:c r="O249" s="22" t="str">
        <x:v>%</x:v>
      </x:c>
      <x:c r="P249" s="22" t="str">
        <x:v>Compras / Líder SG-SST</x:v>
      </x:c>
      <x:c r="Q249" s="22" t="str">
        <x:v>Gestión de proveedores y contratistas</x:v>
      </x:c>
      <x:c r="R249" s="22" t="str"/>
    </x:row>
    <x:row r="250">
      <x:c r="A250" s="46" t="n">
        <x:v>45412</x:v>
      </x:c>
      <x:c r="B250" s="22" t="n">
        <x:v>2024</x:v>
      </x:c>
      <x:c r="C250" s="22" t="str">
        <x:v>Abril</x:v>
      </x:c>
      <x:c r="D250" s="22" t="str">
        <x:v>P01</x:v>
      </x:c>
      <x:c r="E250" s="22" t="str">
        <x:v>% ejecución del plan anual de trabajo SG-SST</x:v>
      </x:c>
      <x:c r="F250" s="22" t="str">
        <x:v>Proceso</x:v>
      </x:c>
      <x:c r="G250" s="22" t="str">
        <x:v>Mensual</x:v>
      </x:c>
      <x:c r="H250" s="40" t="n">
        <x:v>90</x:v>
      </x:c>
      <x:c r="I250" s="22" t="str">
        <x:v>Mayor es mejor</x:v>
      </x:c>
      <x:c r="J250" s="40" t="n">
        <x:v>11</x:v>
      </x:c>
      <x:c r="K250" s="40" t="n">
        <x:v>12</x:v>
      </x:c>
      <x:c r="L250" s="40" t="n">
        <x:v>100</x:v>
      </x:c>
      <x:c r="M250" s="40" t="n">
        <x:f>IF(OR(J250="",K250="",K250=0),"",J250/K250*L250)</x:f>
        <x:v>91.66666666666666</x:v>
      </x:c>
      <x:c r="N250" s="22" t="str">
        <x:f>IF(M250="","",IF(I250="Mayor es mejor",IF(M250&gt;=H250,"En meta",IF(M250&gt;=H250*0.9,"Alerta","Crítico")),IF(M250&lt;=H250,"En meta",IF(M250&lt;=H250*1.1,"Alerta","Crítico"))))</x:f>
        <x:v>En meta</x:v>
      </x:c>
      <x:c r="O250" s="22" t="str">
        <x:v>%</x:v>
      </x:c>
      <x:c r="P250" s="22" t="str">
        <x:v>Líder SG-SST</x:v>
      </x:c>
      <x:c r="Q250" s="22" t="str">
        <x:v>Plan anual de trabajo PHVA</x:v>
      </x:c>
      <x:c r="R250" s="22" t="str"/>
    </x:row>
    <x:row r="251">
      <x:c r="A251" s="46" t="n">
        <x:v>45412</x:v>
      </x:c>
      <x:c r="B251" s="22" t="n">
        <x:v>2024</x:v>
      </x:c>
      <x:c r="C251" s="22" t="str">
        <x:v>Abril</x:v>
      </x:c>
      <x:c r="D251" s="22" t="str">
        <x:v>P02</x:v>
      </x:c>
      <x:c r="E251" s="22" t="str">
        <x:v>% investigaciones de accidentes realizadas oportunamente</x:v>
      </x:c>
      <x:c r="F251" s="22" t="str">
        <x:v>Proceso</x:v>
      </x:c>
      <x:c r="G251" s="22" t="str">
        <x:v>Mensual</x:v>
      </x:c>
      <x:c r="H251" s="40" t="n">
        <x:v>95</x:v>
      </x:c>
      <x:c r="I251" s="22" t="str">
        <x:v>Mayor es mejor</x:v>
      </x:c>
      <x:c r="J251" s="40" t="n">
        <x:v>1</x:v>
      </x:c>
      <x:c r="K251" s="40" t="n">
        <x:v>1</x:v>
      </x:c>
      <x:c r="L251" s="40" t="n">
        <x:v>100</x:v>
      </x:c>
      <x:c r="M251" s="40" t="n">
        <x:f>IF(OR(J251="",K251="",K251=0),"",J251/K251*L251)</x:f>
        <x:v>100</x:v>
      </x:c>
      <x:c r="N251" s="22" t="str">
        <x:f>IF(M251="","",IF(I251="Mayor es mejor",IF(M251&gt;=H251,"En meta",IF(M251&gt;=H251*0.9,"Alerta","Crítico")),IF(M251&lt;=H251,"En meta",IF(M251&lt;=H251*1.1,"Alerta","Crítico"))))</x:f>
        <x:v>En meta</x:v>
      </x:c>
      <x:c r="O251" s="22" t="str">
        <x:v>%</x:v>
      </x:c>
      <x:c r="P251" s="22" t="str">
        <x:v>Líder SG-SST / COPASST</x:v>
      </x:c>
      <x:c r="Q251" s="22" t="str">
        <x:v>Matriz de accidentalidad</x:v>
      </x:c>
      <x:c r="R251" s="22" t="str"/>
    </x:row>
    <x:row r="252">
      <x:c r="A252" s="46" t="n">
        <x:v>45412</x:v>
      </x:c>
      <x:c r="B252" s="22" t="n">
        <x:v>2024</x:v>
      </x:c>
      <x:c r="C252" s="22" t="str">
        <x:v>Abril</x:v>
      </x:c>
      <x:c r="D252" s="22" t="str">
        <x:v>P03</x:v>
      </x:c>
      <x:c r="E252" s="22" t="str">
        <x:v>% cierre oportuno de acciones correctivas, preventivas y de mejora</x:v>
      </x:c>
      <x:c r="F252" s="22" t="str">
        <x:v>Proceso</x:v>
      </x:c>
      <x:c r="G252" s="22" t="str">
        <x:v>Mensual</x:v>
      </x:c>
      <x:c r="H252" s="40" t="n">
        <x:v>90</x:v>
      </x:c>
      <x:c r="I252" s="22" t="str">
        <x:v>Mayor es mejor</x:v>
      </x:c>
      <x:c r="J252" s="40" t="n">
        <x:v>12</x:v>
      </x:c>
      <x:c r="K252" s="40" t="n">
        <x:v>14</x:v>
      </x:c>
      <x:c r="L252" s="40" t="n">
        <x:v>100</x:v>
      </x:c>
      <x:c r="M252" s="40" t="n">
        <x:f>IF(OR(J252="",K252="",K252=0),"",J252/K252*L252)</x:f>
        <x:v>85.71428571428571</x:v>
      </x:c>
      <x:c r="N252" s="22" t="str">
        <x:f>IF(M252="","",IF(I252="Mayor es mejor",IF(M252&gt;=H252,"En meta",IF(M252&gt;=H252*0.9,"Alerta","Crítico")),IF(M252&lt;=H252,"En meta",IF(M252&lt;=H252*1.1,"Alerta","Crítico"))))</x:f>
        <x:v>Alerta</x:v>
      </x:c>
      <x:c r="O252" s="22" t="str">
        <x:v>%</x:v>
      </x:c>
      <x:c r="P252" s="22" t="str">
        <x:v>Líder SG-SST / Responsables de proceso</x:v>
      </x:c>
      <x:c r="Q252" s="22" t="str">
        <x:v>Matriz APCM</x:v>
      </x:c>
      <x:c r="R252" s="22" t="str"/>
    </x:row>
    <x:row r="253">
      <x:c r="A253" s="46" t="n">
        <x:v>45412</x:v>
      </x:c>
      <x:c r="B253" s="22" t="n">
        <x:v>2024</x:v>
      </x:c>
      <x:c r="C253" s="22" t="str">
        <x:v>Abril</x:v>
      </x:c>
      <x:c r="D253" s="22" t="str">
        <x:v>P04</x:v>
      </x:c>
      <x:c r="E253" s="22" t="str">
        <x:v>% inspecciones de seguridad ejecutadas</x:v>
      </x:c>
      <x:c r="F253" s="22" t="str">
        <x:v>Proceso</x:v>
      </x:c>
      <x:c r="G253" s="22" t="str">
        <x:v>Mensual</x:v>
      </x:c>
      <x:c r="H253" s="40" t="n">
        <x:v>90</x:v>
      </x:c>
      <x:c r="I253" s="22" t="str">
        <x:v>Mayor es mejor</x:v>
      </x:c>
      <x:c r="J253" s="40" t="n">
        <x:v>7</x:v>
      </x:c>
      <x:c r="K253" s="40" t="n">
        <x:v>8</x:v>
      </x:c>
      <x:c r="L253" s="40" t="n">
        <x:v>100</x:v>
      </x:c>
      <x:c r="M253" s="40" t="n">
        <x:f>IF(OR(J253="",K253="",K253=0),"",J253/K253*L253)</x:f>
        <x:v>87.5</x:v>
      </x:c>
      <x:c r="N253" s="22" t="str">
        <x:f>IF(M253="","",IF(I253="Mayor es mejor",IF(M253&gt;=H253,"En meta",IF(M253&gt;=H253*0.9,"Alerta","Crítico")),IF(M253&lt;=H253,"En meta",IF(M253&lt;=H253*1.1,"Alerta","Crítico"))))</x:f>
        <x:v>Alerta</x:v>
      </x:c>
      <x:c r="O253" s="22" t="str">
        <x:v>%</x:v>
      </x:c>
      <x:c r="P253" s="22" t="str">
        <x:v>Líder SG-SST / Supervisores</x:v>
      </x:c>
      <x:c r="Q253" s="22" t="str">
        <x:v>Programa de inspecciones</x:v>
      </x:c>
      <x:c r="R253" s="22" t="str"/>
    </x:row>
    <x:row r="254">
      <x:c r="A254" s="46" t="n">
        <x:v>45412</x:v>
      </x:c>
      <x:c r="B254" s="22" t="n">
        <x:v>2024</x:v>
      </x:c>
      <x:c r="C254" s="22" t="str">
        <x:v>Abril</x:v>
      </x:c>
      <x:c r="D254" s="22" t="str">
        <x:v>P05</x:v>
      </x:c>
      <x:c r="E254" s="22" t="str">
        <x:v>% mantenimientos preventivos ejecutados</x:v>
      </x:c>
      <x:c r="F254" s="22" t="str">
        <x:v>Proceso</x:v>
      </x:c>
      <x:c r="G254" s="22" t="str">
        <x:v>Mensual</x:v>
      </x:c>
      <x:c r="H254" s="40" t="n">
        <x:v>90</x:v>
      </x:c>
      <x:c r="I254" s="22" t="str">
        <x:v>Mayor es mejor</x:v>
      </x:c>
      <x:c r="J254" s="40" t="n">
        <x:v>11</x:v>
      </x:c>
      <x:c r="K254" s="40" t="n">
        <x:v>12</x:v>
      </x:c>
      <x:c r="L254" s="40" t="n">
        <x:v>100</x:v>
      </x:c>
      <x:c r="M254" s="40" t="n">
        <x:f>IF(OR(J254="",K254="",K254=0),"",J254/K254*L254)</x:f>
        <x:v>91.66666666666666</x:v>
      </x:c>
      <x:c r="N254" s="22" t="str">
        <x:f>IF(M254="","",IF(I254="Mayor es mejor",IF(M254&gt;=H254,"En meta",IF(M254&gt;=H254*0.9,"Alerta","Crítico")),IF(M254&lt;=H254,"En meta",IF(M254&lt;=H254*1.1,"Alerta","Crítico"))))</x:f>
        <x:v>En meta</x:v>
      </x:c>
      <x:c r="O254" s="22" t="str">
        <x:v>%</x:v>
      </x:c>
      <x:c r="P254" s="22" t="str">
        <x:v>Mantenimiento / Líder SG-SST</x:v>
      </x:c>
      <x:c r="Q254" s="22" t="str">
        <x:v>Programa de mantenimiento preventivo</x:v>
      </x:c>
      <x:c r="R254" s="22" t="str"/>
    </x:row>
    <x:row r="255">
      <x:c r="A255" s="46" t="n">
        <x:v>45412</x:v>
      </x:c>
      <x:c r="B255" s="22" t="n">
        <x:v>2024</x:v>
      </x:c>
      <x:c r="C255" s="22" t="str">
        <x:v>Abril</x:v>
      </x:c>
      <x:c r="D255" s="22" t="str">
        <x:v>R01</x:v>
      </x:c>
      <x:c r="E255" s="22" t="str">
        <x:v>Índice de frecuencia de accidentalidad (IF)</x:v>
      </x:c>
      <x:c r="F255" s="22" t="str">
        <x:v>Resultado</x:v>
      </x:c>
      <x:c r="G255" s="22" t="str">
        <x:v>Mensual</x:v>
      </x:c>
      <x:c r="H255" s="40" t="n">
        <x:v>3.5</x:v>
      </x:c>
      <x:c r="I255" s="22" t="str">
        <x:v>Menor es mejor</x:v>
      </x:c>
      <x:c r="J255" s="40" t="n">
        <x:v>1</x:v>
      </x:c>
      <x:c r="K255" s="40" t="n">
        <x:v>54750</x:v>
      </x:c>
      <x:c r="L255" s="40" t="n">
        <x:v>200000</x:v>
      </x:c>
      <x:c r="M255" s="40" t="n">
        <x:f>IF(OR(J255="",K255="",K255=0),"",J255/K255*L255)</x:f>
        <x:v>3.6529680365296806</x:v>
      </x:c>
      <x:c r="N255" s="22" t="str">
        <x:f>IF(M255="","",IF(I255="Mayor es mejor",IF(M255&gt;=H255,"En meta",IF(M255&gt;=H255*0.9,"Alerta","Crítico")),IF(M255&lt;=H255,"En meta",IF(M255&lt;=H255*1.1,"Alerta","Crítico"))))</x:f>
        <x:v>Alerta</x:v>
      </x:c>
      <x:c r="O255" s="22" t="str">
        <x:v>Índice</x:v>
      </x:c>
      <x:c r="P255" s="22" t="str">
        <x:v>Líder SG-SST</x:v>
      </x:c>
      <x:c r="Q255" s="22" t="str">
        <x:v>Matriz de accidentalidad / nómina</x:v>
      </x:c>
      <x:c r="R255" s="22" t="str"/>
    </x:row>
    <x:row r="256">
      <x:c r="A256" s="46" t="n">
        <x:v>45412</x:v>
      </x:c>
      <x:c r="B256" s="22" t="n">
        <x:v>2024</x:v>
      </x:c>
      <x:c r="C256" s="22" t="str">
        <x:v>Abril</x:v>
      </x:c>
      <x:c r="D256" s="22" t="str">
        <x:v>R02</x:v>
      </x:c>
      <x:c r="E256" s="22" t="str">
        <x:v>Índice de severidad de accidentalidad (IS)</x:v>
      </x:c>
      <x:c r="F256" s="22" t="str">
        <x:v>Resultado</x:v>
      </x:c>
      <x:c r="G256" s="22" t="str">
        <x:v>Mensual</x:v>
      </x:c>
      <x:c r="H256" s="40" t="n">
        <x:v>80</x:v>
      </x:c>
      <x:c r="I256" s="22" t="str">
        <x:v>Menor es mejor</x:v>
      </x:c>
      <x:c r="J256" s="40" t="n">
        <x:v>19</x:v>
      </x:c>
      <x:c r="K256" s="40" t="n">
        <x:v>54750</x:v>
      </x:c>
      <x:c r="L256" s="40" t="n">
        <x:v>200000</x:v>
      </x:c>
      <x:c r="M256" s="40" t="n">
        <x:f>IF(OR(J256="",K256="",K256=0),"",J256/K256*L256)</x:f>
        <x:v>69.40639269406392</x:v>
      </x:c>
      <x:c r="N256" s="22" t="str">
        <x:f>IF(M256="","",IF(I256="Mayor es mejor",IF(M256&gt;=H256,"En meta",IF(M256&gt;=H256*0.9,"Alerta","Crítico")),IF(M256&lt;=H256,"En meta",IF(M256&lt;=H256*1.1,"Alerta","Crítico"))))</x:f>
        <x:v>En meta</x:v>
      </x:c>
      <x:c r="O256" s="22" t="str">
        <x:v>Índice</x:v>
      </x:c>
      <x:c r="P256" s="22" t="str">
        <x:v>Líder SG-SST</x:v>
      </x:c>
      <x:c r="Q256" s="22" t="str">
        <x:v>Matriz de accidentalidad / nómina</x:v>
      </x:c>
      <x:c r="R256" s="22" t="str"/>
    </x:row>
    <x:row r="257">
      <x:c r="A257" s="46" t="n">
        <x:v>45412</x:v>
      </x:c>
      <x:c r="B257" s="22" t="n">
        <x:v>2024</x:v>
      </x:c>
      <x:c r="C257" s="22" t="str">
        <x:v>Abril</x:v>
      </x:c>
      <x:c r="D257" s="22" t="str">
        <x:v>R03</x:v>
      </x:c>
      <x:c r="E257" s="22" t="str">
        <x:v>Índice de lesión incapacitante (ILI)</x:v>
      </x:c>
      <x:c r="F257" s="22" t="str">
        <x:v>Resultado</x:v>
      </x:c>
      <x:c r="G257" s="22" t="str">
        <x:v>Mensual</x:v>
      </x:c>
      <x:c r="H257" s="40" t="n">
        <x:v>0.25</x:v>
      </x:c>
      <x:c r="I257" s="22" t="str">
        <x:v>Menor es mejor</x:v>
      </x:c>
      <x:c r="J257" s="40" t="n">
        <x:v>253.5393</x:v>
      </x:c>
      <x:c r="K257" s="40" t="n">
        <x:v>1000</x:v>
      </x:c>
      <x:c r="L257" s="40" t="n">
        <x:v>1</x:v>
      </x:c>
      <x:c r="M257" s="40" t="n">
        <x:f>IF(OR(J257="",K257="",K257=0),"",J257/K257*L257)</x:f>
        <x:v>0.2535393</x:v>
      </x:c>
      <x:c r="N257" s="22" t="str">
        <x:f>IF(M257="","",IF(I257="Mayor es mejor",IF(M257&gt;=H257,"En meta",IF(M257&gt;=H257*0.9,"Alerta","Crítico")),IF(M257&lt;=H257,"En meta",IF(M257&lt;=H257*1.1,"Alerta","Crítico"))))</x:f>
        <x:v>Alerta</x:v>
      </x:c>
      <x:c r="O257" s="22" t="str">
        <x:v>Índice</x:v>
      </x:c>
      <x:c r="P257" s="22" t="str">
        <x:v>Líder SG-SST</x:v>
      </x:c>
      <x:c r="Q257" s="22" t="str">
        <x:v>Indicadores derivados de accidentalidad</x:v>
      </x:c>
      <x:c r="R257" s="22" t="str">
        <x:v>ILI calculado sobre IF e IS del periodo.</x:v>
      </x:c>
    </x:row>
    <x:row r="258">
      <x:c r="A258" s="46" t="n">
        <x:v>45412</x:v>
      </x:c>
      <x:c r="B258" s="22" t="n">
        <x:v>2024</x:v>
      </x:c>
      <x:c r="C258" s="22" t="str">
        <x:v>Abril</x:v>
      </x:c>
      <x:c r="D258" s="22" t="str">
        <x:v>R04</x:v>
      </x:c>
      <x:c r="E258" s="22" t="str">
        <x:v>Tasa de accidentalidad</x:v>
      </x:c>
      <x:c r="F258" s="22" t="str">
        <x:v>Resultado</x:v>
      </x:c>
      <x:c r="G258" s="22" t="str">
        <x:v>Mensual</x:v>
      </x:c>
      <x:c r="H258" s="40" t="n">
        <x:v>0.6</x:v>
      </x:c>
      <x:c r="I258" s="22" t="str">
        <x:v>Menor es mejor</x:v>
      </x:c>
      <x:c r="J258" s="40" t="n">
        <x:v>4</x:v>
      </x:c>
      <x:c r="K258" s="40" t="n">
        <x:v>226</x:v>
      </x:c>
      <x:c r="L258" s="40" t="n">
        <x:v>100</x:v>
      </x:c>
      <x:c r="M258" s="40" t="n">
        <x:f>IF(OR(J258="",K258="",K258=0),"",J258/K258*L258)</x:f>
        <x:v>1.7699115044247788</x:v>
      </x:c>
      <x:c r="N258" s="22" t="str">
        <x:f>IF(M258="","",IF(I258="Mayor es mejor",IF(M258&gt;=H258,"En meta",IF(M258&gt;=H258*0.9,"Alerta","Crítico")),IF(M258&lt;=H258,"En meta",IF(M258&lt;=H258*1.1,"Alerta","Crítico"))))</x:f>
        <x:v>Crítico</x:v>
      </x:c>
      <x:c r="O258" s="22" t="str">
        <x:v>%</x:v>
      </x:c>
      <x:c r="P258" s="22" t="str">
        <x:v>Líder SG-SST</x:v>
      </x:c>
      <x:c r="Q258" s="22" t="str">
        <x:v>Matriz de accidentalidad / nómina</x:v>
      </x:c>
      <x:c r="R258" s="22" t="str"/>
    </x:row>
    <x:row r="259">
      <x:c r="A259" s="46" t="n">
        <x:v>45412</x:v>
      </x:c>
      <x:c r="B259" s="22" t="n">
        <x:v>2024</x:v>
      </x:c>
      <x:c r="C259" s="22" t="str">
        <x:v>Abril</x:v>
      </x:c>
      <x:c r="D259" s="22" t="str">
        <x:v>R05</x:v>
      </x:c>
      <x:c r="E259" s="22" t="str">
        <x:v>Prevalencia de enfermedad laboral</x:v>
      </x:c>
      <x:c r="F259" s="22" t="str">
        <x:v>Resultado</x:v>
      </x:c>
      <x:c r="G259" s="22" t="str">
        <x:v>Mensual</x:v>
      </x:c>
      <x:c r="H259" s="40" t="n">
        <x:v>0.3</x:v>
      </x:c>
      <x:c r="I259" s="22" t="str">
        <x:v>Menor es mejor</x:v>
      </x:c>
      <x:c r="J259" s="40" t="n">
        <x:v>0.02</x:v>
      </x:c>
      <x:c r="K259" s="40" t="n">
        <x:v>226</x:v>
      </x:c>
      <x:c r="L259" s="40" t="n">
        <x:v>100</x:v>
      </x:c>
      <x:c r="M259" s="40" t="n">
        <x:f>IF(OR(J259="",K259="",K259=0),"",J259/K259*L259)</x:f>
        <x:v>0.008849557522123894</x:v>
      </x:c>
      <x:c r="N259" s="22" t="str">
        <x:f>IF(M259="","",IF(I259="Mayor es mejor",IF(M259&gt;=H259,"En meta",IF(M259&gt;=H259*0.9,"Alerta","Crítico")),IF(M259&lt;=H259,"En meta",IF(M259&lt;=H259*1.1,"Alerta","Crítico"))))</x:f>
        <x:v>En meta</x:v>
      </x:c>
      <x:c r="O259" s="22" t="str">
        <x:v>%</x:v>
      </x:c>
      <x:c r="P259" s="22" t="str">
        <x:v>Líder SG-SST / Medicina laboral</x:v>
      </x:c>
      <x:c r="Q259" s="22" t="str">
        <x:v>Matriz de enfermedad laboral / nómina</x:v>
      </x:c>
      <x:c r="R259" s="22" t="str"/>
    </x:row>
    <x:row r="260">
      <x:c r="A260" s="46" t="n">
        <x:v>45412</x:v>
      </x:c>
      <x:c r="B260" s="22" t="n">
        <x:v>2024</x:v>
      </x:c>
      <x:c r="C260" s="22" t="str">
        <x:v>Abril</x:v>
      </x:c>
      <x:c r="D260" s="22" t="str">
        <x:v>R06</x:v>
      </x:c>
      <x:c r="E260" s="22" t="str">
        <x:v>% cumplimiento de estándares mínimos Res. 0312 de 2019</x:v>
      </x:c>
      <x:c r="F260" s="22" t="str">
        <x:v>Resultado</x:v>
      </x:c>
      <x:c r="G260" s="22" t="str">
        <x:v>Mensual</x:v>
      </x:c>
      <x:c r="H260" s="40" t="n">
        <x:v>95</x:v>
      </x:c>
      <x:c r="I260" s="22" t="str">
        <x:v>Mayor es mejor</x:v>
      </x:c>
      <x:c r="J260" s="40" t="n">
        <x:v>97</x:v>
      </x:c>
      <x:c r="K260" s="40" t="n">
        <x:v>100</x:v>
      </x:c>
      <x:c r="L260" s="40" t="n">
        <x:v>100</x:v>
      </x:c>
      <x:c r="M260" s="40" t="n">
        <x:f>IF(OR(J260="",K260="",K260=0),"",J260/K260*L260)</x:f>
        <x:v>97</x:v>
      </x:c>
      <x:c r="N260" s="22" t="str">
        <x:f>IF(M260="","",IF(I260="Mayor es mejor",IF(M260&gt;=H260,"En meta",IF(M260&gt;=H260*0.9,"Alerta","Crítico")),IF(M260&lt;=H260,"En meta",IF(M260&lt;=H260*1.1,"Alerta","Crítico"))))</x:f>
        <x:v>En meta</x:v>
      </x:c>
      <x:c r="O260" s="22" t="str">
        <x:v>%</x:v>
      </x:c>
      <x:c r="P260" s="22" t="str">
        <x:v>Líder SG-SST / Alta Dirección</x:v>
      </x:c>
      <x:c r="Q260" s="22" t="str">
        <x:v>Autodiagnóstico Res. 0312 de 2019</x:v>
      </x:c>
      <x:c r="R260" s="22" t="str"/>
    </x:row>
    <x:row r="261">
      <x:c r="A261" s="46" t="n">
        <x:v>45443</x:v>
      </x:c>
      <x:c r="B261" s="22" t="n">
        <x:v>2024</x:v>
      </x:c>
      <x:c r="C261" s="22" t="str">
        <x:v>Mayo</x:v>
      </x:c>
      <x:c r="D261" s="22" t="str">
        <x:v>E01</x:v>
      </x:c>
      <x:c r="E261" s="22" t="str">
        <x:v>% ejecución presupuestal del SG-SST</x:v>
      </x:c>
      <x:c r="F261" s="22" t="str">
        <x:v>Estructura</x:v>
      </x:c>
      <x:c r="G261" s="22" t="str">
        <x:v>Mensual</x:v>
      </x:c>
      <x:c r="H261" s="40" t="n">
        <x:v>95</x:v>
      </x:c>
      <x:c r="I261" s="22" t="str">
        <x:v>Mayor es mejor</x:v>
      </x:c>
      <x:c r="J261" s="40" t="n">
        <x:v>6201375</x:v>
      </x:c>
      <x:c r="K261" s="40" t="n">
        <x:v>6500000</x:v>
      </x:c>
      <x:c r="L261" s="40" t="n">
        <x:v>100</x:v>
      </x:c>
      <x:c r="M261" s="40" t="n">
        <x:f>IF(OR(J261="",K261="",K261=0),"",J261/K261*L261)</x:f>
        <x:v>95.40576923076924</x:v>
      </x:c>
      <x:c r="N261" s="22" t="str">
        <x:f>IF(M261="","",IF(I261="Mayor es mejor",IF(M261&gt;=H261,"En meta",IF(M261&gt;=H261*0.9,"Alerta","Crítico")),IF(M261&lt;=H261,"En meta",IF(M261&lt;=H261*1.1,"Alerta","Crítico"))))</x:f>
        <x:v>En meta</x:v>
      </x:c>
      <x:c r="O261" s="22" t="str">
        <x:v>%</x:v>
      </x:c>
      <x:c r="P261" s="22" t="str">
        <x:v>Líder SG-SST / Dirección Administrativa</x:v>
      </x:c>
      <x:c r="Q261" s="22" t="str">
        <x:v>Presupuesto SST</x:v>
      </x:c>
      <x:c r="R261" s="22" t="str"/>
    </x:row>
    <x:row r="262">
      <x:c r="A262" s="46" t="n">
        <x:v>45443</x:v>
      </x:c>
      <x:c r="B262" s="22" t="n">
        <x:v>2024</x:v>
      </x:c>
      <x:c r="C262" s="22" t="str">
        <x:v>Mayo</x:v>
      </x:c>
      <x:c r="D262" s="22" t="str">
        <x:v>E02</x:v>
      </x:c>
      <x:c r="E262" s="22" t="str">
        <x:v>% cobertura del plan de formación y capacitación SG-SST</x:v>
      </x:c>
      <x:c r="F262" s="22" t="str">
        <x:v>Estructura</x:v>
      </x:c>
      <x:c r="G262" s="22" t="str">
        <x:v>Mensual</x:v>
      </x:c>
      <x:c r="H262" s="40" t="n">
        <x:v>90</x:v>
      </x:c>
      <x:c r="I262" s="22" t="str">
        <x:v>Mayor es mejor</x:v>
      </x:c>
      <x:c r="J262" s="40" t="n">
        <x:v>18</x:v>
      </x:c>
      <x:c r="K262" s="40" t="n">
        <x:v>20</x:v>
      </x:c>
      <x:c r="L262" s="40" t="n">
        <x:v>100</x:v>
      </x:c>
      <x:c r="M262" s="40" t="n">
        <x:f>IF(OR(J262="",K262="",K262=0),"",J262/K262*L262)</x:f>
        <x:v>90</x:v>
      </x:c>
      <x:c r="N262" s="22" t="str">
        <x:f>IF(M262="","",IF(I262="Mayor es mejor",IF(M262&gt;=H262,"En meta",IF(M262&gt;=H262*0.9,"Alerta","Crítico")),IF(M262&lt;=H262,"En meta",IF(M262&lt;=H262*1.1,"Alerta","Crítico"))))</x:f>
        <x:v>En meta</x:v>
      </x:c>
      <x:c r="O262" s="22" t="str">
        <x:v>%</x:v>
      </x:c>
      <x:c r="P262" s="22" t="str">
        <x:v>Líder SG-SST / Talento Humano</x:v>
      </x:c>
      <x:c r="Q262" s="22" t="str">
        <x:v>Plan de formación y capacitaciones</x:v>
      </x:c>
      <x:c r="R262" s="22" t="str"/>
    </x:row>
    <x:row r="263">
      <x:c r="A263" s="46" t="n">
        <x:v>45443</x:v>
      </x:c>
      <x:c r="B263" s="22" t="n">
        <x:v>2024</x:v>
      </x:c>
      <x:c r="C263" s="22" t="str">
        <x:v>Mayo</x:v>
      </x:c>
      <x:c r="D263" s="22" t="str">
        <x:v>E03</x:v>
      </x:c>
      <x:c r="E263" s="22" t="str">
        <x:v>% trabajadores con exámenes médicos ocupacionales vigentes</x:v>
      </x:c>
      <x:c r="F263" s="22" t="str">
        <x:v>Estructura</x:v>
      </x:c>
      <x:c r="G263" s="22" t="str">
        <x:v>Mensual</x:v>
      </x:c>
      <x:c r="H263" s="40" t="n">
        <x:v>95</x:v>
      </x:c>
      <x:c r="I263" s="22" t="str">
        <x:v>Mayor es mejor</x:v>
      </x:c>
      <x:c r="J263" s="40" t="n">
        <x:v>219</x:v>
      </x:c>
      <x:c r="K263" s="40" t="n">
        <x:v>228</x:v>
      </x:c>
      <x:c r="L263" s="40" t="n">
        <x:v>100</x:v>
      </x:c>
      <x:c r="M263" s="40" t="n">
        <x:f>IF(OR(J263="",K263="",K263=0),"",J263/K263*L263)</x:f>
        <x:v>96.05263157894737</x:v>
      </x:c>
      <x:c r="N263" s="22" t="str">
        <x:f>IF(M263="","",IF(I263="Mayor es mejor",IF(M263&gt;=H263,"En meta",IF(M263&gt;=H263*0.9,"Alerta","Crítico")),IF(M263&lt;=H263,"En meta",IF(M263&lt;=H263*1.1,"Alerta","Crítico"))))</x:f>
        <x:v>En meta</x:v>
      </x:c>
      <x:c r="O263" s="22" t="str">
        <x:v>%</x:v>
      </x:c>
      <x:c r="P263" s="22" t="str">
        <x:v>Líder SG-SST / Talento Humano</x:v>
      </x:c>
      <x:c r="Q263" s="22" t="str">
        <x:v>Matriz de seguimiento EMO</x:v>
      </x:c>
      <x:c r="R263" s="22" t="str"/>
    </x:row>
    <x:row r="264">
      <x:c r="A264" s="46" t="n">
        <x:v>45443</x:v>
      </x:c>
      <x:c r="B264" s="22" t="n">
        <x:v>2024</x:v>
      </x:c>
      <x:c r="C264" s="22" t="str">
        <x:v>Mayo</x:v>
      </x:c>
      <x:c r="D264" s="22" t="str">
        <x:v>E04</x:v>
      </x:c>
      <x:c r="E264" s="22" t="str">
        <x:v>% cumplimiento de requisitos legales aplicables en SST</x:v>
      </x:c>
      <x:c r="F264" s="22" t="str">
        <x:v>Estructura</x:v>
      </x:c>
      <x:c r="G264" s="22" t="str">
        <x:v>Mensual</x:v>
      </x:c>
      <x:c r="H264" s="40" t="n">
        <x:v>95</x:v>
      </x:c>
      <x:c r="I264" s="22" t="str">
        <x:v>Mayor es mejor</x:v>
      </x:c>
      <x:c r="J264" s="40" t="n">
        <x:v>58</x:v>
      </x:c>
      <x:c r="K264" s="40" t="n">
        <x:v>60</x:v>
      </x:c>
      <x:c r="L264" s="40" t="n">
        <x:v>100</x:v>
      </x:c>
      <x:c r="M264" s="40" t="n">
        <x:f>IF(OR(J264="",K264="",K264=0),"",J264/K264*L264)</x:f>
        <x:v>96.66666666666667</x:v>
      </x:c>
      <x:c r="N264" s="22" t="str">
        <x:f>IF(M264="","",IF(I264="Mayor es mejor",IF(M264&gt;=H264,"En meta",IF(M264&gt;=H264*0.9,"Alerta","Crítico")),IF(M264&lt;=H264,"En meta",IF(M264&lt;=H264*1.1,"Alerta","Crítico"))))</x:f>
        <x:v>En meta</x:v>
      </x:c>
      <x:c r="O264" s="22" t="str">
        <x:v>%</x:v>
      </x:c>
      <x:c r="P264" s="22" t="str">
        <x:v>Líder SG-SST / Jurídica</x:v>
      </x:c>
      <x:c r="Q264" s="22" t="str">
        <x:v>Matriz legal SGRL</x:v>
      </x:c>
      <x:c r="R264" s="22" t="str"/>
    </x:row>
    <x:row r="265">
      <x:c r="A265" s="46" t="n">
        <x:v>45443</x:v>
      </x:c>
      <x:c r="B265" s="22" t="n">
        <x:v>2024</x:v>
      </x:c>
      <x:c r="C265" s="22" t="str">
        <x:v>Mayo</x:v>
      </x:c>
      <x:c r="D265" s="22" t="str">
        <x:v>E05</x:v>
      </x:c>
      <x:c r="E265" s="22" t="str">
        <x:v>% proveedores y contratistas aprobados en SST</x:v>
      </x:c>
      <x:c r="F265" s="22" t="str">
        <x:v>Estructura</x:v>
      </x:c>
      <x:c r="G265" s="22" t="str">
        <x:v>Mensual</x:v>
      </x:c>
      <x:c r="H265" s="40" t="n">
        <x:v>90</x:v>
      </x:c>
      <x:c r="I265" s="22" t="str">
        <x:v>Mayor es mejor</x:v>
      </x:c>
      <x:c r="J265" s="40" t="n">
        <x:v>18</x:v>
      </x:c>
      <x:c r="K265" s="40" t="n">
        <x:v>20</x:v>
      </x:c>
      <x:c r="L265" s="40" t="n">
        <x:v>100</x:v>
      </x:c>
      <x:c r="M265" s="40" t="n">
        <x:f>IF(OR(J265="",K265="",K265=0),"",J265/K265*L265)</x:f>
        <x:v>90</x:v>
      </x:c>
      <x:c r="N265" s="22" t="str">
        <x:f>IF(M265="","",IF(I265="Mayor es mejor",IF(M265&gt;=H265,"En meta",IF(M265&gt;=H265*0.9,"Alerta","Crítico")),IF(M265&lt;=H265,"En meta",IF(M265&lt;=H265*1.1,"Alerta","Crítico"))))</x:f>
        <x:v>En meta</x:v>
      </x:c>
      <x:c r="O265" s="22" t="str">
        <x:v>%</x:v>
      </x:c>
      <x:c r="P265" s="22" t="str">
        <x:v>Compras / Líder SG-SST</x:v>
      </x:c>
      <x:c r="Q265" s="22" t="str">
        <x:v>Gestión de proveedores y contratistas</x:v>
      </x:c>
      <x:c r="R265" s="22" t="str"/>
    </x:row>
    <x:row r="266">
      <x:c r="A266" s="46" t="n">
        <x:v>45443</x:v>
      </x:c>
      <x:c r="B266" s="22" t="n">
        <x:v>2024</x:v>
      </x:c>
      <x:c r="C266" s="22" t="str">
        <x:v>Mayo</x:v>
      </x:c>
      <x:c r="D266" s="22" t="str">
        <x:v>P01</x:v>
      </x:c>
      <x:c r="E266" s="22" t="str">
        <x:v>% ejecución del plan anual de trabajo SG-SST</x:v>
      </x:c>
      <x:c r="F266" s="22" t="str">
        <x:v>Proceso</x:v>
      </x:c>
      <x:c r="G266" s="22" t="str">
        <x:v>Mensual</x:v>
      </x:c>
      <x:c r="H266" s="40" t="n">
        <x:v>90</x:v>
      </x:c>
      <x:c r="I266" s="22" t="str">
        <x:v>Mayor es mejor</x:v>
      </x:c>
      <x:c r="J266" s="40" t="n">
        <x:v>12</x:v>
      </x:c>
      <x:c r="K266" s="40" t="n">
        <x:v>14</x:v>
      </x:c>
      <x:c r="L266" s="40" t="n">
        <x:v>100</x:v>
      </x:c>
      <x:c r="M266" s="40" t="n">
        <x:f>IF(OR(J266="",K266="",K266=0),"",J266/K266*L266)</x:f>
        <x:v>85.71428571428571</x:v>
      </x:c>
      <x:c r="N266" s="22" t="str">
        <x:f>IF(M266="","",IF(I266="Mayor es mejor",IF(M266&gt;=H266,"En meta",IF(M266&gt;=H266*0.9,"Alerta","Crítico")),IF(M266&lt;=H266,"En meta",IF(M266&lt;=H266*1.1,"Alerta","Crítico"))))</x:f>
        <x:v>Alerta</x:v>
      </x:c>
      <x:c r="O266" s="22" t="str">
        <x:v>%</x:v>
      </x:c>
      <x:c r="P266" s="22" t="str">
        <x:v>Líder SG-SST</x:v>
      </x:c>
      <x:c r="Q266" s="22" t="str">
        <x:v>Plan anual de trabajo PHVA</x:v>
      </x:c>
      <x:c r="R266" s="22" t="str"/>
    </x:row>
    <x:row r="267">
      <x:c r="A267" s="46" t="n">
        <x:v>45443</x:v>
      </x:c>
      <x:c r="B267" s="22" t="n">
        <x:v>2024</x:v>
      </x:c>
      <x:c r="C267" s="22" t="str">
        <x:v>Mayo</x:v>
      </x:c>
      <x:c r="D267" s="22" t="str">
        <x:v>P02</x:v>
      </x:c>
      <x:c r="E267" s="22" t="str">
        <x:v>% investigaciones de accidentes realizadas oportunamente</x:v>
      </x:c>
      <x:c r="F267" s="22" t="str">
        <x:v>Proceso</x:v>
      </x:c>
      <x:c r="G267" s="22" t="str">
        <x:v>Mensual</x:v>
      </x:c>
      <x:c r="H267" s="40" t="n">
        <x:v>95</x:v>
      </x:c>
      <x:c r="I267" s="22" t="str">
        <x:v>Mayor es mejor</x:v>
      </x:c>
      <x:c r="J267" s="40" t="n">
        <x:v>1</x:v>
      </x:c>
      <x:c r="K267" s="40" t="n">
        <x:v>1</x:v>
      </x:c>
      <x:c r="L267" s="40" t="n">
        <x:v>100</x:v>
      </x:c>
      <x:c r="M267" s="40" t="n">
        <x:f>IF(OR(J267="",K267="",K267=0),"",J267/K267*L267)</x:f>
        <x:v>100</x:v>
      </x:c>
      <x:c r="N267" s="22" t="str">
        <x:f>IF(M267="","",IF(I267="Mayor es mejor",IF(M267&gt;=H267,"En meta",IF(M267&gt;=H267*0.9,"Alerta","Crítico")),IF(M267&lt;=H267,"En meta",IF(M267&lt;=H267*1.1,"Alerta","Crítico"))))</x:f>
        <x:v>En meta</x:v>
      </x:c>
      <x:c r="O267" s="22" t="str">
        <x:v>%</x:v>
      </x:c>
      <x:c r="P267" s="22" t="str">
        <x:v>Líder SG-SST / COPASST</x:v>
      </x:c>
      <x:c r="Q267" s="22" t="str">
        <x:v>Matriz de accidentalidad</x:v>
      </x:c>
      <x:c r="R267" s="22" t="str"/>
    </x:row>
    <x:row r="268">
      <x:c r="A268" s="46" t="n">
        <x:v>45443</x:v>
      </x:c>
      <x:c r="B268" s="22" t="n">
        <x:v>2024</x:v>
      </x:c>
      <x:c r="C268" s="22" t="str">
        <x:v>Mayo</x:v>
      </x:c>
      <x:c r="D268" s="22" t="str">
        <x:v>P03</x:v>
      </x:c>
      <x:c r="E268" s="22" t="str">
        <x:v>% cierre oportuno de acciones correctivas, preventivas y de mejora</x:v>
      </x:c>
      <x:c r="F268" s="22" t="str">
        <x:v>Proceso</x:v>
      </x:c>
      <x:c r="G268" s="22" t="str">
        <x:v>Mensual</x:v>
      </x:c>
      <x:c r="H268" s="40" t="n">
        <x:v>90</x:v>
      </x:c>
      <x:c r="I268" s="22" t="str">
        <x:v>Mayor es mejor</x:v>
      </x:c>
      <x:c r="J268" s="40" t="n">
        <x:v>9</x:v>
      </x:c>
      <x:c r="K268" s="40" t="n">
        <x:v>10</x:v>
      </x:c>
      <x:c r="L268" s="40" t="n">
        <x:v>100</x:v>
      </x:c>
      <x:c r="M268" s="40" t="n">
        <x:f>IF(OR(J268="",K268="",K268=0),"",J268/K268*L268)</x:f>
        <x:v>90</x:v>
      </x:c>
      <x:c r="N268" s="22" t="str">
        <x:f>IF(M268="","",IF(I268="Mayor es mejor",IF(M268&gt;=H268,"En meta",IF(M268&gt;=H268*0.9,"Alerta","Crítico")),IF(M268&lt;=H268,"En meta",IF(M268&lt;=H268*1.1,"Alerta","Crítico"))))</x:f>
        <x:v>En meta</x:v>
      </x:c>
      <x:c r="O268" s="22" t="str">
        <x:v>%</x:v>
      </x:c>
      <x:c r="P268" s="22" t="str">
        <x:v>Líder SG-SST / Responsables de proceso</x:v>
      </x:c>
      <x:c r="Q268" s="22" t="str">
        <x:v>Matriz APCM</x:v>
      </x:c>
      <x:c r="R268" s="22" t="str"/>
    </x:row>
    <x:row r="269">
      <x:c r="A269" s="46" t="n">
        <x:v>45443</x:v>
      </x:c>
      <x:c r="B269" s="22" t="n">
        <x:v>2024</x:v>
      </x:c>
      <x:c r="C269" s="22" t="str">
        <x:v>Mayo</x:v>
      </x:c>
      <x:c r="D269" s="22" t="str">
        <x:v>P04</x:v>
      </x:c>
      <x:c r="E269" s="22" t="str">
        <x:v>% inspecciones de seguridad ejecutadas</x:v>
      </x:c>
      <x:c r="F269" s="22" t="str">
        <x:v>Proceso</x:v>
      </x:c>
      <x:c r="G269" s="22" t="str">
        <x:v>Mensual</x:v>
      </x:c>
      <x:c r="H269" s="40" t="n">
        <x:v>90</x:v>
      </x:c>
      <x:c r="I269" s="22" t="str">
        <x:v>Mayor es mejor</x:v>
      </x:c>
      <x:c r="J269" s="40" t="n">
        <x:v>8</x:v>
      </x:c>
      <x:c r="K269" s="40" t="n">
        <x:v>9</x:v>
      </x:c>
      <x:c r="L269" s="40" t="n">
        <x:v>100</x:v>
      </x:c>
      <x:c r="M269" s="40" t="n">
        <x:f>IF(OR(J269="",K269="",K269=0),"",J269/K269*L269)</x:f>
        <x:v>88.88888888888889</x:v>
      </x:c>
      <x:c r="N269" s="22" t="str">
        <x:f>IF(M269="","",IF(I269="Mayor es mejor",IF(M269&gt;=H269,"En meta",IF(M269&gt;=H269*0.9,"Alerta","Crítico")),IF(M269&lt;=H269,"En meta",IF(M269&lt;=H269*1.1,"Alerta","Crítico"))))</x:f>
        <x:v>Alerta</x:v>
      </x:c>
      <x:c r="O269" s="22" t="str">
        <x:v>%</x:v>
      </x:c>
      <x:c r="P269" s="22" t="str">
        <x:v>Líder SG-SST / Supervisores</x:v>
      </x:c>
      <x:c r="Q269" s="22" t="str">
        <x:v>Programa de inspecciones</x:v>
      </x:c>
      <x:c r="R269" s="22" t="str"/>
    </x:row>
    <x:row r="270">
      <x:c r="A270" s="46" t="n">
        <x:v>45443</x:v>
      </x:c>
      <x:c r="B270" s="22" t="n">
        <x:v>2024</x:v>
      </x:c>
      <x:c r="C270" s="22" t="str">
        <x:v>Mayo</x:v>
      </x:c>
      <x:c r="D270" s="22" t="str">
        <x:v>P05</x:v>
      </x:c>
      <x:c r="E270" s="22" t="str">
        <x:v>% mantenimientos preventivos ejecutados</x:v>
      </x:c>
      <x:c r="F270" s="22" t="str">
        <x:v>Proceso</x:v>
      </x:c>
      <x:c r="G270" s="22" t="str">
        <x:v>Mensual</x:v>
      </x:c>
      <x:c r="H270" s="40" t="n">
        <x:v>90</x:v>
      </x:c>
      <x:c r="I270" s="22" t="str">
        <x:v>Mayor es mejor</x:v>
      </x:c>
      <x:c r="J270" s="40" t="n">
        <x:v>12</x:v>
      </x:c>
      <x:c r="K270" s="40" t="n">
        <x:v>13</x:v>
      </x:c>
      <x:c r="L270" s="40" t="n">
        <x:v>100</x:v>
      </x:c>
      <x:c r="M270" s="40" t="n">
        <x:f>IF(OR(J270="",K270="",K270=0),"",J270/K270*L270)</x:f>
        <x:v>92.3076923076923</x:v>
      </x:c>
      <x:c r="N270" s="22" t="str">
        <x:f>IF(M270="","",IF(I270="Mayor es mejor",IF(M270&gt;=H270,"En meta",IF(M270&gt;=H270*0.9,"Alerta","Crítico")),IF(M270&lt;=H270,"En meta",IF(M270&lt;=H270*1.1,"Alerta","Crítico"))))</x:f>
        <x:v>En meta</x:v>
      </x:c>
      <x:c r="O270" s="22" t="str">
        <x:v>%</x:v>
      </x:c>
      <x:c r="P270" s="22" t="str">
        <x:v>Mantenimiento / Líder SG-SST</x:v>
      </x:c>
      <x:c r="Q270" s="22" t="str">
        <x:v>Programa de mantenimiento preventivo</x:v>
      </x:c>
      <x:c r="R270" s="22" t="str"/>
    </x:row>
    <x:row r="271">
      <x:c r="A271" s="46" t="n">
        <x:v>45443</x:v>
      </x:c>
      <x:c r="B271" s="22" t="n">
        <x:v>2024</x:v>
      </x:c>
      <x:c r="C271" s="22" t="str">
        <x:v>Mayo</x:v>
      </x:c>
      <x:c r="D271" s="22" t="str">
        <x:v>R01</x:v>
      </x:c>
      <x:c r="E271" s="22" t="str">
        <x:v>Índice de frecuencia de accidentalidad (IF)</x:v>
      </x:c>
      <x:c r="F271" s="22" t="str">
        <x:v>Resultado</x:v>
      </x:c>
      <x:c r="G271" s="22" t="str">
        <x:v>Mensual</x:v>
      </x:c>
      <x:c r="H271" s="40" t="n">
        <x:v>3.5</x:v>
      </x:c>
      <x:c r="I271" s="22" t="str">
        <x:v>Menor es mejor</x:v>
      </x:c>
      <x:c r="J271" s="40" t="n">
        <x:v>1</x:v>
      </x:c>
      <x:c r="K271" s="40" t="n">
        <x:v>55701</x:v>
      </x:c>
      <x:c r="L271" s="40" t="n">
        <x:v>200000</x:v>
      </x:c>
      <x:c r="M271" s="40" t="n">
        <x:f>IF(OR(J271="",K271="",K271=0),"",J271/K271*L271)</x:f>
        <x:v>3.59059980969821</x:v>
      </x:c>
      <x:c r="N271" s="22" t="str">
        <x:f>IF(M271="","",IF(I271="Mayor es mejor",IF(M271&gt;=H271,"En meta",IF(M271&gt;=H271*0.9,"Alerta","Crítico")),IF(M271&lt;=H271,"En meta",IF(M271&lt;=H271*1.1,"Alerta","Crítico"))))</x:f>
        <x:v>Alerta</x:v>
      </x:c>
      <x:c r="O271" s="22" t="str">
        <x:v>Índice</x:v>
      </x:c>
      <x:c r="P271" s="22" t="str">
        <x:v>Líder SG-SST</x:v>
      </x:c>
      <x:c r="Q271" s="22" t="str">
        <x:v>Matriz de accidentalidad / nómina</x:v>
      </x:c>
      <x:c r="R271" s="22" t="str"/>
    </x:row>
    <x:row r="272">
      <x:c r="A272" s="46" t="n">
        <x:v>45443</x:v>
      </x:c>
      <x:c r="B272" s="22" t="n">
        <x:v>2024</x:v>
      </x:c>
      <x:c r="C272" s="22" t="str">
        <x:v>Mayo</x:v>
      </x:c>
      <x:c r="D272" s="22" t="str">
        <x:v>R02</x:v>
      </x:c>
      <x:c r="E272" s="22" t="str">
        <x:v>Índice de severidad de accidentalidad (IS)</x:v>
      </x:c>
      <x:c r="F272" s="22" t="str">
        <x:v>Resultado</x:v>
      </x:c>
      <x:c r="G272" s="22" t="str">
        <x:v>Mensual</x:v>
      </x:c>
      <x:c r="H272" s="40" t="n">
        <x:v>80</x:v>
      </x:c>
      <x:c r="I272" s="22" t="str">
        <x:v>Menor es mejor</x:v>
      </x:c>
      <x:c r="J272" s="40" t="n">
        <x:v>20</x:v>
      </x:c>
      <x:c r="K272" s="40" t="n">
        <x:v>55701</x:v>
      </x:c>
      <x:c r="L272" s="40" t="n">
        <x:v>200000</x:v>
      </x:c>
      <x:c r="M272" s="40" t="n">
        <x:f>IF(OR(J272="",K272="",K272=0),"",J272/K272*L272)</x:f>
        <x:v>71.8119961939642</x:v>
      </x:c>
      <x:c r="N272" s="22" t="str">
        <x:f>IF(M272="","",IF(I272="Mayor es mejor",IF(M272&gt;=H272,"En meta",IF(M272&gt;=H272*0.9,"Alerta","Crítico")),IF(M272&lt;=H272,"En meta",IF(M272&lt;=H272*1.1,"Alerta","Crítico"))))</x:f>
        <x:v>En meta</x:v>
      </x:c>
      <x:c r="O272" s="22" t="str">
        <x:v>Índice</x:v>
      </x:c>
      <x:c r="P272" s="22" t="str">
        <x:v>Líder SG-SST</x:v>
      </x:c>
      <x:c r="Q272" s="22" t="str">
        <x:v>Matriz de accidentalidad / nómina</x:v>
      </x:c>
      <x:c r="R272" s="22" t="str"/>
    </x:row>
    <x:row r="273">
      <x:c r="A273" s="46" t="n">
        <x:v>45443</x:v>
      </x:c>
      <x:c r="B273" s="22" t="n">
        <x:v>2024</x:v>
      </x:c>
      <x:c r="C273" s="22" t="str">
        <x:v>Mayo</x:v>
      </x:c>
      <x:c r="D273" s="22" t="str">
        <x:v>R03</x:v>
      </x:c>
      <x:c r="E273" s="22" t="str">
        <x:v>Índice de lesión incapacitante (ILI)</x:v>
      </x:c>
      <x:c r="F273" s="22" t="str">
        <x:v>Resultado</x:v>
      </x:c>
      <x:c r="G273" s="22" t="str">
        <x:v>Mensual</x:v>
      </x:c>
      <x:c r="H273" s="40" t="n">
        <x:v>0.25</x:v>
      </x:c>
      <x:c r="I273" s="22" t="str">
        <x:v>Menor es mejor</x:v>
      </x:c>
      <x:c r="J273" s="40" t="n">
        <x:v>257.8481</x:v>
      </x:c>
      <x:c r="K273" s="40" t="n">
        <x:v>1000</x:v>
      </x:c>
      <x:c r="L273" s="40" t="n">
        <x:v>1</x:v>
      </x:c>
      <x:c r="M273" s="40" t="n">
        <x:f>IF(OR(J273="",K273="",K273=0),"",J273/K273*L273)</x:f>
        <x:v>0.25784809999999997</x:v>
      </x:c>
      <x:c r="N273" s="22" t="str">
        <x:f>IF(M273="","",IF(I273="Mayor es mejor",IF(M273&gt;=H273,"En meta",IF(M273&gt;=H273*0.9,"Alerta","Crítico")),IF(M273&lt;=H273,"En meta",IF(M273&lt;=H273*1.1,"Alerta","Crítico"))))</x:f>
        <x:v>Alerta</x:v>
      </x:c>
      <x:c r="O273" s="22" t="str">
        <x:v>Índice</x:v>
      </x:c>
      <x:c r="P273" s="22" t="str">
        <x:v>Líder SG-SST</x:v>
      </x:c>
      <x:c r="Q273" s="22" t="str">
        <x:v>Indicadores derivados de accidentalidad</x:v>
      </x:c>
      <x:c r="R273" s="22" t="str">
        <x:v>ILI calculado sobre IF e IS del periodo.</x:v>
      </x:c>
    </x:row>
    <x:row r="274">
      <x:c r="A274" s="46" t="n">
        <x:v>45443</x:v>
      </x:c>
      <x:c r="B274" s="22" t="n">
        <x:v>2024</x:v>
      </x:c>
      <x:c r="C274" s="22" t="str">
        <x:v>Mayo</x:v>
      </x:c>
      <x:c r="D274" s="22" t="str">
        <x:v>R04</x:v>
      </x:c>
      <x:c r="E274" s="22" t="str">
        <x:v>Tasa de accidentalidad</x:v>
      </x:c>
      <x:c r="F274" s="22" t="str">
        <x:v>Resultado</x:v>
      </x:c>
      <x:c r="G274" s="22" t="str">
        <x:v>Mensual</x:v>
      </x:c>
      <x:c r="H274" s="40" t="n">
        <x:v>0.6</x:v>
      </x:c>
      <x:c r="I274" s="22" t="str">
        <x:v>Menor es mejor</x:v>
      </x:c>
      <x:c r="J274" s="40" t="n">
        <x:v>3.5</x:v>
      </x:c>
      <x:c r="K274" s="40" t="n">
        <x:v>228</x:v>
      </x:c>
      <x:c r="L274" s="40" t="n">
        <x:v>100</x:v>
      </x:c>
      <x:c r="M274" s="40" t="n">
        <x:f>IF(OR(J274="",K274="",K274=0),"",J274/K274*L274)</x:f>
        <x:v>1.5350877192982455</x:v>
      </x:c>
      <x:c r="N274" s="22" t="str">
        <x:f>IF(M274="","",IF(I274="Mayor es mejor",IF(M274&gt;=H274,"En meta",IF(M274&gt;=H274*0.9,"Alerta","Crítico")),IF(M274&lt;=H274,"En meta",IF(M274&lt;=H274*1.1,"Alerta","Crítico"))))</x:f>
        <x:v>Crítico</x:v>
      </x:c>
      <x:c r="O274" s="22" t="str">
        <x:v>%</x:v>
      </x:c>
      <x:c r="P274" s="22" t="str">
        <x:v>Líder SG-SST</x:v>
      </x:c>
      <x:c r="Q274" s="22" t="str">
        <x:v>Matriz de accidentalidad / nómina</x:v>
      </x:c>
      <x:c r="R274" s="22" t="str"/>
    </x:row>
    <x:row r="275">
      <x:c r="A275" s="46" t="n">
        <x:v>45443</x:v>
      </x:c>
      <x:c r="B275" s="22" t="n">
        <x:v>2024</x:v>
      </x:c>
      <x:c r="C275" s="22" t="str">
        <x:v>Mayo</x:v>
      </x:c>
      <x:c r="D275" s="22" t="str">
        <x:v>R05</x:v>
      </x:c>
      <x:c r="E275" s="22" t="str">
        <x:v>Prevalencia de enfermedad laboral</x:v>
      </x:c>
      <x:c r="F275" s="22" t="str">
        <x:v>Resultado</x:v>
      </x:c>
      <x:c r="G275" s="22" t="str">
        <x:v>Mensual</x:v>
      </x:c>
      <x:c r="H275" s="40" t="n">
        <x:v>0.3</x:v>
      </x:c>
      <x:c r="I275" s="22" t="str">
        <x:v>Menor es mejor</x:v>
      </x:c>
      <x:c r="J275" s="40" t="n">
        <x:v>0.02</x:v>
      </x:c>
      <x:c r="K275" s="40" t="n">
        <x:v>228</x:v>
      </x:c>
      <x:c r="L275" s="40" t="n">
        <x:v>100</x:v>
      </x:c>
      <x:c r="M275" s="40" t="n">
        <x:f>IF(OR(J275="",K275="",K275=0),"",J275/K275*L275)</x:f>
        <x:v>0.008771929824561405</x:v>
      </x:c>
      <x:c r="N275" s="22" t="str">
        <x:f>IF(M275="","",IF(I275="Mayor es mejor",IF(M275&gt;=H275,"En meta",IF(M275&gt;=H275*0.9,"Alerta","Crítico")),IF(M275&lt;=H275,"En meta",IF(M275&lt;=H275*1.1,"Alerta","Crítico"))))</x:f>
        <x:v>En meta</x:v>
      </x:c>
      <x:c r="O275" s="22" t="str">
        <x:v>%</x:v>
      </x:c>
      <x:c r="P275" s="22" t="str">
        <x:v>Líder SG-SST / Medicina laboral</x:v>
      </x:c>
      <x:c r="Q275" s="22" t="str">
        <x:v>Matriz de enfermedad laboral / nómina</x:v>
      </x:c>
      <x:c r="R275" s="22" t="str"/>
    </x:row>
    <x:row r="276">
      <x:c r="A276" s="46" t="n">
        <x:v>45443</x:v>
      </x:c>
      <x:c r="B276" s="22" t="n">
        <x:v>2024</x:v>
      </x:c>
      <x:c r="C276" s="22" t="str">
        <x:v>Mayo</x:v>
      </x:c>
      <x:c r="D276" s="22" t="str">
        <x:v>R06</x:v>
      </x:c>
      <x:c r="E276" s="22" t="str">
        <x:v>% cumplimiento de estándares mínimos Res. 0312 de 2019</x:v>
      </x:c>
      <x:c r="F276" s="22" t="str">
        <x:v>Resultado</x:v>
      </x:c>
      <x:c r="G276" s="22" t="str">
        <x:v>Mensual</x:v>
      </x:c>
      <x:c r="H276" s="40" t="n">
        <x:v>95</x:v>
      </x:c>
      <x:c r="I276" s="22" t="str">
        <x:v>Mayor es mejor</x:v>
      </x:c>
      <x:c r="J276" s="40" t="n">
        <x:v>98</x:v>
      </x:c>
      <x:c r="K276" s="40" t="n">
        <x:v>100</x:v>
      </x:c>
      <x:c r="L276" s="40" t="n">
        <x:v>100</x:v>
      </x:c>
      <x:c r="M276" s="40" t="n">
        <x:f>IF(OR(J276="",K276="",K276=0),"",J276/K276*L276)</x:f>
        <x:v>98</x:v>
      </x:c>
      <x:c r="N276" s="22" t="str">
        <x:f>IF(M276="","",IF(I276="Mayor es mejor",IF(M276&gt;=H276,"En meta",IF(M276&gt;=H276*0.9,"Alerta","Crítico")),IF(M276&lt;=H276,"En meta",IF(M276&lt;=H276*1.1,"Alerta","Crítico"))))</x:f>
        <x:v>En meta</x:v>
      </x:c>
      <x:c r="O276" s="22" t="str">
        <x:v>%</x:v>
      </x:c>
      <x:c r="P276" s="22" t="str">
        <x:v>Líder SG-SST / Alta Dirección</x:v>
      </x:c>
      <x:c r="Q276" s="22" t="str">
        <x:v>Autodiagnóstico Res. 0312 de 2019</x:v>
      </x:c>
      <x:c r="R276" s="22" t="str"/>
    </x:row>
    <x:row r="277">
      <x:c r="A277" s="46" t="n">
        <x:v>45473</x:v>
      </x:c>
      <x:c r="B277" s="22" t="n">
        <x:v>2024</x:v>
      </x:c>
      <x:c r="C277" s="22" t="str">
        <x:v>Junio</x:v>
      </x:c>
      <x:c r="D277" s="22" t="str">
        <x:v>E01</x:v>
      </x:c>
      <x:c r="E277" s="22" t="str">
        <x:v>% ejecución presupuestal del SG-SST</x:v>
      </x:c>
      <x:c r="F277" s="22" t="str">
        <x:v>Estructura</x:v>
      </x:c>
      <x:c r="G277" s="22" t="str">
        <x:v>Mensual</x:v>
      </x:c>
      <x:c r="H277" s="40" t="n">
        <x:v>95</x:v>
      </x:c>
      <x:c r="I277" s="22" t="str">
        <x:v>Mayor es mejor</x:v>
      </x:c>
      <x:c r="J277" s="40" t="n">
        <x:v>6662983</x:v>
      </x:c>
      <x:c r="K277" s="40" t="n">
        <x:v>7000000</x:v>
      </x:c>
      <x:c r="L277" s="40" t="n">
        <x:v>100</x:v>
      </x:c>
      <x:c r="M277" s="40" t="n">
        <x:f>IF(OR(J277="",K277="",K277=0),"",J277/K277*L277)</x:f>
        <x:v>95.18547142857143</x:v>
      </x:c>
      <x:c r="N277" s="22" t="str">
        <x:f>IF(M277="","",IF(I277="Mayor es mejor",IF(M277&gt;=H277,"En meta",IF(M277&gt;=H277*0.9,"Alerta","Crítico")),IF(M277&lt;=H277,"En meta",IF(M277&lt;=H277*1.1,"Alerta","Crítico"))))</x:f>
        <x:v>En meta</x:v>
      </x:c>
      <x:c r="O277" s="22" t="str">
        <x:v>%</x:v>
      </x:c>
      <x:c r="P277" s="22" t="str">
        <x:v>Líder SG-SST / Dirección Administrativa</x:v>
      </x:c>
      <x:c r="Q277" s="22" t="str">
        <x:v>Presupuesto SST</x:v>
      </x:c>
      <x:c r="R277" s="22" t="str"/>
    </x:row>
    <x:row r="278">
      <x:c r="A278" s="46" t="n">
        <x:v>45473</x:v>
      </x:c>
      <x:c r="B278" s="22" t="n">
        <x:v>2024</x:v>
      </x:c>
      <x:c r="C278" s="22" t="str">
        <x:v>Junio</x:v>
      </x:c>
      <x:c r="D278" s="22" t="str">
        <x:v>E02</x:v>
      </x:c>
      <x:c r="E278" s="22" t="str">
        <x:v>% cobertura del plan de formación y capacitación SG-SST</x:v>
      </x:c>
      <x:c r="F278" s="22" t="str">
        <x:v>Estructura</x:v>
      </x:c>
      <x:c r="G278" s="22" t="str">
        <x:v>Mensual</x:v>
      </x:c>
      <x:c r="H278" s="40" t="n">
        <x:v>90</x:v>
      </x:c>
      <x:c r="I278" s="22" t="str">
        <x:v>Mayor es mejor</x:v>
      </x:c>
      <x:c r="J278" s="40" t="n">
        <x:v>20</x:v>
      </x:c>
      <x:c r="K278" s="40" t="n">
        <x:v>22</x:v>
      </x:c>
      <x:c r="L278" s="40" t="n">
        <x:v>100</x:v>
      </x:c>
      <x:c r="M278" s="40" t="n">
        <x:f>IF(OR(J278="",K278="",K278=0),"",J278/K278*L278)</x:f>
        <x:v>90.9090909090909</x:v>
      </x:c>
      <x:c r="N278" s="22" t="str">
        <x:f>IF(M278="","",IF(I278="Mayor es mejor",IF(M278&gt;=H278,"En meta",IF(M278&gt;=H278*0.9,"Alerta","Crítico")),IF(M278&lt;=H278,"En meta",IF(M278&lt;=H278*1.1,"Alerta","Crítico"))))</x:f>
        <x:v>En meta</x:v>
      </x:c>
      <x:c r="O278" s="22" t="str">
        <x:v>%</x:v>
      </x:c>
      <x:c r="P278" s="22" t="str">
        <x:v>Líder SG-SST / Talento Humano</x:v>
      </x:c>
      <x:c r="Q278" s="22" t="str">
        <x:v>Plan de formación y capacitaciones</x:v>
      </x:c>
      <x:c r="R278" s="22" t="str"/>
    </x:row>
    <x:row r="279">
      <x:c r="A279" s="46" t="n">
        <x:v>45473</x:v>
      </x:c>
      <x:c r="B279" s="22" t="n">
        <x:v>2024</x:v>
      </x:c>
      <x:c r="C279" s="22" t="str">
        <x:v>Junio</x:v>
      </x:c>
      <x:c r="D279" s="22" t="str">
        <x:v>E03</x:v>
      </x:c>
      <x:c r="E279" s="22" t="str">
        <x:v>% trabajadores con exámenes médicos ocupacionales vigentes</x:v>
      </x:c>
      <x:c r="F279" s="22" t="str">
        <x:v>Estructura</x:v>
      </x:c>
      <x:c r="G279" s="22" t="str">
        <x:v>Mensual</x:v>
      </x:c>
      <x:c r="H279" s="40" t="n">
        <x:v>95</x:v>
      </x:c>
      <x:c r="I279" s="22" t="str">
        <x:v>Mayor es mejor</x:v>
      </x:c>
      <x:c r="J279" s="40" t="n">
        <x:v>218</x:v>
      </x:c>
      <x:c r="K279" s="40" t="n">
        <x:v>228</x:v>
      </x:c>
      <x:c r="L279" s="40" t="n">
        <x:v>100</x:v>
      </x:c>
      <x:c r="M279" s="40" t="n">
        <x:f>IF(OR(J279="",K279="",K279=0),"",J279/K279*L279)</x:f>
        <x:v>95.6140350877193</x:v>
      </x:c>
      <x:c r="N279" s="22" t="str">
        <x:f>IF(M279="","",IF(I279="Mayor es mejor",IF(M279&gt;=H279,"En meta",IF(M279&gt;=H279*0.9,"Alerta","Crítico")),IF(M279&lt;=H279,"En meta",IF(M279&lt;=H279*1.1,"Alerta","Crítico"))))</x:f>
        <x:v>En meta</x:v>
      </x:c>
      <x:c r="O279" s="22" t="str">
        <x:v>%</x:v>
      </x:c>
      <x:c r="P279" s="22" t="str">
        <x:v>Líder SG-SST / Talento Humano</x:v>
      </x:c>
      <x:c r="Q279" s="22" t="str">
        <x:v>Matriz de seguimiento EMO</x:v>
      </x:c>
      <x:c r="R279" s="22" t="str"/>
    </x:row>
    <x:row r="280">
      <x:c r="A280" s="46" t="n">
        <x:v>45473</x:v>
      </x:c>
      <x:c r="B280" s="22" t="n">
        <x:v>2024</x:v>
      </x:c>
      <x:c r="C280" s="22" t="str">
        <x:v>Junio</x:v>
      </x:c>
      <x:c r="D280" s="22" t="str">
        <x:v>E04</x:v>
      </x:c>
      <x:c r="E280" s="22" t="str">
        <x:v>% cumplimiento de requisitos legales aplicables en SST</x:v>
      </x:c>
      <x:c r="F280" s="22" t="str">
        <x:v>Estructura</x:v>
      </x:c>
      <x:c r="G280" s="22" t="str">
        <x:v>Mensual</x:v>
      </x:c>
      <x:c r="H280" s="40" t="n">
        <x:v>95</x:v>
      </x:c>
      <x:c r="I280" s="22" t="str">
        <x:v>Mayor es mejor</x:v>
      </x:c>
      <x:c r="J280" s="40" t="n">
        <x:v>57</x:v>
      </x:c>
      <x:c r="K280" s="40" t="n">
        <x:v>60</x:v>
      </x:c>
      <x:c r="L280" s="40" t="n">
        <x:v>100</x:v>
      </x:c>
      <x:c r="M280" s="40" t="n">
        <x:f>IF(OR(J280="",K280="",K280=0),"",J280/K280*L280)</x:f>
        <x:v>95</x:v>
      </x:c>
      <x:c r="N280" s="22" t="str">
        <x:f>IF(M280="","",IF(I280="Mayor es mejor",IF(M280&gt;=H280,"En meta",IF(M280&gt;=H280*0.9,"Alerta","Crítico")),IF(M280&lt;=H280,"En meta",IF(M280&lt;=H280*1.1,"Alerta","Crítico"))))</x:f>
        <x:v>En meta</x:v>
      </x:c>
      <x:c r="O280" s="22" t="str">
        <x:v>%</x:v>
      </x:c>
      <x:c r="P280" s="22" t="str">
        <x:v>Líder SG-SST / Jurídica</x:v>
      </x:c>
      <x:c r="Q280" s="22" t="str">
        <x:v>Matriz legal SGRL</x:v>
      </x:c>
      <x:c r="R280" s="22" t="str"/>
    </x:row>
    <x:row r="281">
      <x:c r="A281" s="46" t="n">
        <x:v>45473</x:v>
      </x:c>
      <x:c r="B281" s="22" t="n">
        <x:v>2024</x:v>
      </x:c>
      <x:c r="C281" s="22" t="str">
        <x:v>Junio</x:v>
      </x:c>
      <x:c r="D281" s="22" t="str">
        <x:v>E05</x:v>
      </x:c>
      <x:c r="E281" s="22" t="str">
        <x:v>% proveedores y contratistas aprobados en SST</x:v>
      </x:c>
      <x:c r="F281" s="22" t="str">
        <x:v>Estructura</x:v>
      </x:c>
      <x:c r="G281" s="22" t="str">
        <x:v>Mensual</x:v>
      </x:c>
      <x:c r="H281" s="40" t="n">
        <x:v>90</x:v>
      </x:c>
      <x:c r="I281" s="22" t="str">
        <x:v>Mayor es mejor</x:v>
      </x:c>
      <x:c r="J281" s="40" t="n">
        <x:v>18</x:v>
      </x:c>
      <x:c r="K281" s="40" t="n">
        <x:v>20</x:v>
      </x:c>
      <x:c r="L281" s="40" t="n">
        <x:v>100</x:v>
      </x:c>
      <x:c r="M281" s="40" t="n">
        <x:f>IF(OR(J281="",K281="",K281=0),"",J281/K281*L281)</x:f>
        <x:v>90</x:v>
      </x:c>
      <x:c r="N281" s="22" t="str">
        <x:f>IF(M281="","",IF(I281="Mayor es mejor",IF(M281&gt;=H281,"En meta",IF(M281&gt;=H281*0.9,"Alerta","Crítico")),IF(M281&lt;=H281,"En meta",IF(M281&lt;=H281*1.1,"Alerta","Crítico"))))</x:f>
        <x:v>En meta</x:v>
      </x:c>
      <x:c r="O281" s="22" t="str">
        <x:v>%</x:v>
      </x:c>
      <x:c r="P281" s="22" t="str">
        <x:v>Compras / Líder SG-SST</x:v>
      </x:c>
      <x:c r="Q281" s="22" t="str">
        <x:v>Gestión de proveedores y contratistas</x:v>
      </x:c>
      <x:c r="R281" s="22" t="str"/>
    </x:row>
    <x:row r="282">
      <x:c r="A282" s="46" t="n">
        <x:v>45473</x:v>
      </x:c>
      <x:c r="B282" s="22" t="n">
        <x:v>2024</x:v>
      </x:c>
      <x:c r="C282" s="22" t="str">
        <x:v>Junio</x:v>
      </x:c>
      <x:c r="D282" s="22" t="str">
        <x:v>P01</x:v>
      </x:c>
      <x:c r="E282" s="22" t="str">
        <x:v>% ejecución del plan anual de trabajo SG-SST</x:v>
      </x:c>
      <x:c r="F282" s="22" t="str">
        <x:v>Proceso</x:v>
      </x:c>
      <x:c r="G282" s="22" t="str">
        <x:v>Mensual</x:v>
      </x:c>
      <x:c r="H282" s="40" t="n">
        <x:v>90</x:v>
      </x:c>
      <x:c r="I282" s="22" t="str">
        <x:v>Mayor es mejor</x:v>
      </x:c>
      <x:c r="J282" s="40" t="n">
        <x:v>9</x:v>
      </x:c>
      <x:c r="K282" s="40" t="n">
        <x:v>10</x:v>
      </x:c>
      <x:c r="L282" s="40" t="n">
        <x:v>100</x:v>
      </x:c>
      <x:c r="M282" s="40" t="n">
        <x:f>IF(OR(J282="",K282="",K282=0),"",J282/K282*L282)</x:f>
        <x:v>90</x:v>
      </x:c>
      <x:c r="N282" s="22" t="str">
        <x:f>IF(M282="","",IF(I282="Mayor es mejor",IF(M282&gt;=H282,"En meta",IF(M282&gt;=H282*0.9,"Alerta","Crítico")),IF(M282&lt;=H282,"En meta",IF(M282&lt;=H282*1.1,"Alerta","Crítico"))))</x:f>
        <x:v>En meta</x:v>
      </x:c>
      <x:c r="O282" s="22" t="str">
        <x:v>%</x:v>
      </x:c>
      <x:c r="P282" s="22" t="str">
        <x:v>Líder SG-SST</x:v>
      </x:c>
      <x:c r="Q282" s="22" t="str">
        <x:v>Plan anual de trabajo PHVA</x:v>
      </x:c>
      <x:c r="R282" s="22" t="str"/>
    </x:row>
    <x:row r="283">
      <x:c r="A283" s="46" t="n">
        <x:v>45473</x:v>
      </x:c>
      <x:c r="B283" s="22" t="n">
        <x:v>2024</x:v>
      </x:c>
      <x:c r="C283" s="22" t="str">
        <x:v>Junio</x:v>
      </x:c>
      <x:c r="D283" s="22" t="str">
        <x:v>P02</x:v>
      </x:c>
      <x:c r="E283" s="22" t="str">
        <x:v>% investigaciones de accidentes realizadas oportunamente</x:v>
      </x:c>
      <x:c r="F283" s="22" t="str">
        <x:v>Proceso</x:v>
      </x:c>
      <x:c r="G283" s="22" t="str">
        <x:v>Mensual</x:v>
      </x:c>
      <x:c r="H283" s="40" t="n">
        <x:v>95</x:v>
      </x:c>
      <x:c r="I283" s="22" t="str">
        <x:v>Mayor es mejor</x:v>
      </x:c>
      <x:c r="J283" s="40" t="n">
        <x:v>1</x:v>
      </x:c>
      <x:c r="K283" s="40" t="n">
        <x:v>1</x:v>
      </x:c>
      <x:c r="L283" s="40" t="n">
        <x:v>100</x:v>
      </x:c>
      <x:c r="M283" s="40" t="n">
        <x:f>IF(OR(J283="",K283="",K283=0),"",J283/K283*L283)</x:f>
        <x:v>100</x:v>
      </x:c>
      <x:c r="N283" s="22" t="str">
        <x:f>IF(M283="","",IF(I283="Mayor es mejor",IF(M283&gt;=H283,"En meta",IF(M283&gt;=H283*0.9,"Alerta","Crítico")),IF(M283&lt;=H283,"En meta",IF(M283&lt;=H283*1.1,"Alerta","Crítico"))))</x:f>
        <x:v>En meta</x:v>
      </x:c>
      <x:c r="O283" s="22" t="str">
        <x:v>%</x:v>
      </x:c>
      <x:c r="P283" s="22" t="str">
        <x:v>Líder SG-SST / COPASST</x:v>
      </x:c>
      <x:c r="Q283" s="22" t="str">
        <x:v>Matriz de accidentalidad</x:v>
      </x:c>
      <x:c r="R283" s="22" t="str"/>
    </x:row>
    <x:row r="284">
      <x:c r="A284" s="46" t="n">
        <x:v>45473</x:v>
      </x:c>
      <x:c r="B284" s="22" t="n">
        <x:v>2024</x:v>
      </x:c>
      <x:c r="C284" s="22" t="str">
        <x:v>Junio</x:v>
      </x:c>
      <x:c r="D284" s="22" t="str">
        <x:v>P03</x:v>
      </x:c>
      <x:c r="E284" s="22" t="str">
        <x:v>% cierre oportuno de acciones correctivas, preventivas y de mejora</x:v>
      </x:c>
      <x:c r="F284" s="22" t="str">
        <x:v>Proceso</x:v>
      </x:c>
      <x:c r="G284" s="22" t="str">
        <x:v>Mensual</x:v>
      </x:c>
      <x:c r="H284" s="40" t="n">
        <x:v>90</x:v>
      </x:c>
      <x:c r="I284" s="22" t="str">
        <x:v>Mayor es mejor</x:v>
      </x:c>
      <x:c r="J284" s="40" t="n">
        <x:v>10</x:v>
      </x:c>
      <x:c r="K284" s="40" t="n">
        <x:v>11</x:v>
      </x:c>
      <x:c r="L284" s="40" t="n">
        <x:v>100</x:v>
      </x:c>
      <x:c r="M284" s="40" t="n">
        <x:f>IF(OR(J284="",K284="",K284=0),"",J284/K284*L284)</x:f>
        <x:v>90.9090909090909</x:v>
      </x:c>
      <x:c r="N284" s="22" t="str">
        <x:f>IF(M284="","",IF(I284="Mayor es mejor",IF(M284&gt;=H284,"En meta",IF(M284&gt;=H284*0.9,"Alerta","Crítico")),IF(M284&lt;=H284,"En meta",IF(M284&lt;=H284*1.1,"Alerta","Crítico"))))</x:f>
        <x:v>En meta</x:v>
      </x:c>
      <x:c r="O284" s="22" t="str">
        <x:v>%</x:v>
      </x:c>
      <x:c r="P284" s="22" t="str">
        <x:v>Líder SG-SST / Responsables de proceso</x:v>
      </x:c>
      <x:c r="Q284" s="22" t="str">
        <x:v>Matriz APCM</x:v>
      </x:c>
      <x:c r="R284" s="22" t="str"/>
    </x:row>
    <x:row r="285">
      <x:c r="A285" s="46" t="n">
        <x:v>45473</x:v>
      </x:c>
      <x:c r="B285" s="22" t="n">
        <x:v>2024</x:v>
      </x:c>
      <x:c r="C285" s="22" t="str">
        <x:v>Junio</x:v>
      </x:c>
      <x:c r="D285" s="22" t="str">
        <x:v>P04</x:v>
      </x:c>
      <x:c r="E285" s="22" t="str">
        <x:v>% inspecciones de seguridad ejecutadas</x:v>
      </x:c>
      <x:c r="F285" s="22" t="str">
        <x:v>Proceso</x:v>
      </x:c>
      <x:c r="G285" s="22" t="str">
        <x:v>Mensual</x:v>
      </x:c>
      <x:c r="H285" s="40" t="n">
        <x:v>90</x:v>
      </x:c>
      <x:c r="I285" s="22" t="str">
        <x:v>Mayor es mejor</x:v>
      </x:c>
      <x:c r="J285" s="40" t="n">
        <x:v>9</x:v>
      </x:c>
      <x:c r="K285" s="40" t="n">
        <x:v>10</x:v>
      </x:c>
      <x:c r="L285" s="40" t="n">
        <x:v>100</x:v>
      </x:c>
      <x:c r="M285" s="40" t="n">
        <x:f>IF(OR(J285="",K285="",K285=0),"",J285/K285*L285)</x:f>
        <x:v>90</x:v>
      </x:c>
      <x:c r="N285" s="22" t="str">
        <x:f>IF(M285="","",IF(I285="Mayor es mejor",IF(M285&gt;=H285,"En meta",IF(M285&gt;=H285*0.9,"Alerta","Crítico")),IF(M285&lt;=H285,"En meta",IF(M285&lt;=H285*1.1,"Alerta","Crítico"))))</x:f>
        <x:v>En meta</x:v>
      </x:c>
      <x:c r="O285" s="22" t="str">
        <x:v>%</x:v>
      </x:c>
      <x:c r="P285" s="22" t="str">
        <x:v>Líder SG-SST / Supervisores</x:v>
      </x:c>
      <x:c r="Q285" s="22" t="str">
        <x:v>Programa de inspecciones</x:v>
      </x:c>
      <x:c r="R285" s="22" t="str"/>
    </x:row>
    <x:row r="286">
      <x:c r="A286" s="46" t="n">
        <x:v>45473</x:v>
      </x:c>
      <x:c r="B286" s="22" t="n">
        <x:v>2024</x:v>
      </x:c>
      <x:c r="C286" s="22" t="str">
        <x:v>Junio</x:v>
      </x:c>
      <x:c r="D286" s="22" t="str">
        <x:v>P05</x:v>
      </x:c>
      <x:c r="E286" s="22" t="str">
        <x:v>% mantenimientos preventivos ejecutados</x:v>
      </x:c>
      <x:c r="F286" s="22" t="str">
        <x:v>Proceso</x:v>
      </x:c>
      <x:c r="G286" s="22" t="str">
        <x:v>Mensual</x:v>
      </x:c>
      <x:c r="H286" s="40" t="n">
        <x:v>90</x:v>
      </x:c>
      <x:c r="I286" s="22" t="str">
        <x:v>Mayor es mejor</x:v>
      </x:c>
      <x:c r="J286" s="40" t="n">
        <x:v>13</x:v>
      </x:c>
      <x:c r="K286" s="40" t="n">
        <x:v>14</x:v>
      </x:c>
      <x:c r="L286" s="40" t="n">
        <x:v>100</x:v>
      </x:c>
      <x:c r="M286" s="40" t="n">
        <x:f>IF(OR(J286="",K286="",K286=0),"",J286/K286*L286)</x:f>
        <x:v>92.85714285714286</x:v>
      </x:c>
      <x:c r="N286" s="22" t="str">
        <x:f>IF(M286="","",IF(I286="Mayor es mejor",IF(M286&gt;=H286,"En meta",IF(M286&gt;=H286*0.9,"Alerta","Crítico")),IF(M286&lt;=H286,"En meta",IF(M286&lt;=H286*1.1,"Alerta","Crítico"))))</x:f>
        <x:v>En meta</x:v>
      </x:c>
      <x:c r="O286" s="22" t="str">
        <x:v>%</x:v>
      </x:c>
      <x:c r="P286" s="22" t="str">
        <x:v>Mantenimiento / Líder SG-SST</x:v>
      </x:c>
      <x:c r="Q286" s="22" t="str">
        <x:v>Programa de mantenimiento preventivo</x:v>
      </x:c>
      <x:c r="R286" s="22" t="str"/>
    </x:row>
    <x:row r="287">
      <x:c r="A287" s="46" t="n">
        <x:v>45473</x:v>
      </x:c>
      <x:c r="B287" s="22" t="n">
        <x:v>2024</x:v>
      </x:c>
      <x:c r="C287" s="22" t="str">
        <x:v>Junio</x:v>
      </x:c>
      <x:c r="D287" s="22" t="str">
        <x:v>R01</x:v>
      </x:c>
      <x:c r="E287" s="22" t="str">
        <x:v>Índice de frecuencia de accidentalidad (IF)</x:v>
      </x:c>
      <x:c r="F287" s="22" t="str">
        <x:v>Resultado</x:v>
      </x:c>
      <x:c r="G287" s="22" t="str">
        <x:v>Mensual</x:v>
      </x:c>
      <x:c r="H287" s="40" t="n">
        <x:v>3.5</x:v>
      </x:c>
      <x:c r="I287" s="22" t="str">
        <x:v>Menor es mejor</x:v>
      </x:c>
      <x:c r="J287" s="40" t="n">
        <x:v>1</x:v>
      </x:c>
      <x:c r="K287" s="40" t="n">
        <x:v>55306</x:v>
      </x:c>
      <x:c r="L287" s="40" t="n">
        <x:v>200000</x:v>
      </x:c>
      <x:c r="M287" s="40" t="n">
        <x:f>IF(OR(J287="",K287="",K287=0),"",J287/K287*L287)</x:f>
        <x:v>3.6162441688062774</x:v>
      </x:c>
      <x:c r="N287" s="22" t="str">
        <x:f>IF(M287="","",IF(I287="Mayor es mejor",IF(M287&gt;=H287,"En meta",IF(M287&gt;=H287*0.9,"Alerta","Crítico")),IF(M287&lt;=H287,"En meta",IF(M287&lt;=H287*1.1,"Alerta","Crítico"))))</x:f>
        <x:v>Alerta</x:v>
      </x:c>
      <x:c r="O287" s="22" t="str">
        <x:v>Índice</x:v>
      </x:c>
      <x:c r="P287" s="22" t="str">
        <x:v>Líder SG-SST</x:v>
      </x:c>
      <x:c r="Q287" s="22" t="str">
        <x:v>Matriz de accidentalidad / nómina</x:v>
      </x:c>
      <x:c r="R287" s="22" t="str"/>
    </x:row>
    <x:row r="288">
      <x:c r="A288" s="46" t="n">
        <x:v>45473</x:v>
      </x:c>
      <x:c r="B288" s="22" t="n">
        <x:v>2024</x:v>
      </x:c>
      <x:c r="C288" s="22" t="str">
        <x:v>Junio</x:v>
      </x:c>
      <x:c r="D288" s="22" t="str">
        <x:v>R02</x:v>
      </x:c>
      <x:c r="E288" s="22" t="str">
        <x:v>Índice de severidad de accidentalidad (IS)</x:v>
      </x:c>
      <x:c r="F288" s="22" t="str">
        <x:v>Resultado</x:v>
      </x:c>
      <x:c r="G288" s="22" t="str">
        <x:v>Mensual</x:v>
      </x:c>
      <x:c r="H288" s="40" t="n">
        <x:v>80</x:v>
      </x:c>
      <x:c r="I288" s="22" t="str">
        <x:v>Menor es mejor</x:v>
      </x:c>
      <x:c r="J288" s="40" t="n">
        <x:v>20</x:v>
      </x:c>
      <x:c r="K288" s="40" t="n">
        <x:v>55306</x:v>
      </x:c>
      <x:c r="L288" s="40" t="n">
        <x:v>200000</x:v>
      </x:c>
      <x:c r="M288" s="40" t="n">
        <x:f>IF(OR(J288="",K288="",K288=0),"",J288/K288*L288)</x:f>
        <x:v>72.32488337612556</x:v>
      </x:c>
      <x:c r="N288" s="22" t="str">
        <x:f>IF(M288="","",IF(I288="Mayor es mejor",IF(M288&gt;=H288,"En meta",IF(M288&gt;=H288*0.9,"Alerta","Crítico")),IF(M288&lt;=H288,"En meta",IF(M288&lt;=H288*1.1,"Alerta","Crítico"))))</x:f>
        <x:v>En meta</x:v>
      </x:c>
      <x:c r="O288" s="22" t="str">
        <x:v>Índice</x:v>
      </x:c>
      <x:c r="P288" s="22" t="str">
        <x:v>Líder SG-SST</x:v>
      </x:c>
      <x:c r="Q288" s="22" t="str">
        <x:v>Matriz de accidentalidad / nómina</x:v>
      </x:c>
      <x:c r="R288" s="22" t="str"/>
    </x:row>
    <x:row r="289">
      <x:c r="A289" s="46" t="n">
        <x:v>45473</x:v>
      </x:c>
      <x:c r="B289" s="22" t="n">
        <x:v>2024</x:v>
      </x:c>
      <x:c r="C289" s="22" t="str">
        <x:v>Junio</x:v>
      </x:c>
      <x:c r="D289" s="22" t="str">
        <x:v>R03</x:v>
      </x:c>
      <x:c r="E289" s="22" t="str">
        <x:v>Índice de lesión incapacitante (ILI)</x:v>
      </x:c>
      <x:c r="F289" s="22" t="str">
        <x:v>Resultado</x:v>
      </x:c>
      <x:c r="G289" s="22" t="str">
        <x:v>Mensual</x:v>
      </x:c>
      <x:c r="H289" s="40" t="n">
        <x:v>0.25</x:v>
      </x:c>
      <x:c r="I289" s="22" t="str">
        <x:v>Menor es mejor</x:v>
      </x:c>
      <x:c r="J289" s="40" t="n">
        <x:v>261.5444</x:v>
      </x:c>
      <x:c r="K289" s="40" t="n">
        <x:v>1000</x:v>
      </x:c>
      <x:c r="L289" s="40" t="n">
        <x:v>1</x:v>
      </x:c>
      <x:c r="M289" s="40" t="n">
        <x:f>IF(OR(J289="",K289="",K289=0),"",J289/K289*L289)</x:f>
        <x:v>0.2615444</x:v>
      </x:c>
      <x:c r="N289" s="22" t="str">
        <x:f>IF(M289="","",IF(I289="Mayor es mejor",IF(M289&gt;=H289,"En meta",IF(M289&gt;=H289*0.9,"Alerta","Crítico")),IF(M289&lt;=H289,"En meta",IF(M289&lt;=H289*1.1,"Alerta","Crítico"))))</x:f>
        <x:v>Alerta</x:v>
      </x:c>
      <x:c r="O289" s="22" t="str">
        <x:v>Índice</x:v>
      </x:c>
      <x:c r="P289" s="22" t="str">
        <x:v>Líder SG-SST</x:v>
      </x:c>
      <x:c r="Q289" s="22" t="str">
        <x:v>Indicadores derivados de accidentalidad</x:v>
      </x:c>
      <x:c r="R289" s="22" t="str">
        <x:v>ILI calculado sobre IF e IS del periodo.</x:v>
      </x:c>
    </x:row>
    <x:row r="290">
      <x:c r="A290" s="46" t="n">
        <x:v>45473</x:v>
      </x:c>
      <x:c r="B290" s="22" t="n">
        <x:v>2024</x:v>
      </x:c>
      <x:c r="C290" s="22" t="str">
        <x:v>Junio</x:v>
      </x:c>
      <x:c r="D290" s="22" t="str">
        <x:v>R04</x:v>
      </x:c>
      <x:c r="E290" s="22" t="str">
        <x:v>Tasa de accidentalidad</x:v>
      </x:c>
      <x:c r="F290" s="22" t="str">
        <x:v>Resultado</x:v>
      </x:c>
      <x:c r="G290" s="22" t="str">
        <x:v>Mensual</x:v>
      </x:c>
      <x:c r="H290" s="40" t="n">
        <x:v>0.6</x:v>
      </x:c>
      <x:c r="I290" s="22" t="str">
        <x:v>Menor es mejor</x:v>
      </x:c>
      <x:c r="J290" s="40" t="n">
        <x:v>0.02</x:v>
      </x:c>
      <x:c r="K290" s="40" t="n">
        <x:v>228</x:v>
      </x:c>
      <x:c r="L290" s="40" t="n">
        <x:v>100</x:v>
      </x:c>
      <x:c r="M290" s="40" t="n">
        <x:f>IF(OR(J290="",K290="",K290=0),"",J290/K290*L290)</x:f>
        <x:v>0.008771929824561405</x:v>
      </x:c>
      <x:c r="N290" s="22" t="str">
        <x:f>IF(M290="","",IF(I290="Mayor es mejor",IF(M290&gt;=H290,"En meta",IF(M290&gt;=H290*0.9,"Alerta","Crítico")),IF(M290&lt;=H290,"En meta",IF(M290&lt;=H290*1.1,"Alerta","Crítico"))))</x:f>
        <x:v>En meta</x:v>
      </x:c>
      <x:c r="O290" s="22" t="str">
        <x:v>%</x:v>
      </x:c>
      <x:c r="P290" s="22" t="str">
        <x:v>Líder SG-SST</x:v>
      </x:c>
      <x:c r="Q290" s="22" t="str">
        <x:v>Matriz de accidentalidad / nómina</x:v>
      </x:c>
      <x:c r="R290" s="22" t="str"/>
    </x:row>
    <x:row r="291">
      <x:c r="A291" s="46" t="n">
        <x:v>45473</x:v>
      </x:c>
      <x:c r="B291" s="22" t="n">
        <x:v>2024</x:v>
      </x:c>
      <x:c r="C291" s="22" t="str">
        <x:v>Junio</x:v>
      </x:c>
      <x:c r="D291" s="22" t="str">
        <x:v>R05</x:v>
      </x:c>
      <x:c r="E291" s="22" t="str">
        <x:v>Prevalencia de enfermedad laboral</x:v>
      </x:c>
      <x:c r="F291" s="22" t="str">
        <x:v>Resultado</x:v>
      </x:c>
      <x:c r="G291" s="22" t="str">
        <x:v>Mensual</x:v>
      </x:c>
      <x:c r="H291" s="40" t="n">
        <x:v>0.3</x:v>
      </x:c>
      <x:c r="I291" s="22" t="str">
        <x:v>Menor es mejor</x:v>
      </x:c>
      <x:c r="J291" s="40" t="n">
        <x:v>1.12</x:v>
      </x:c>
      <x:c r="K291" s="40" t="n">
        <x:v>228</x:v>
      </x:c>
      <x:c r="L291" s="40" t="n">
        <x:v>100</x:v>
      </x:c>
      <x:c r="M291" s="40" t="n">
        <x:f>IF(OR(J291="",K291="",K291=0),"",J291/K291*L291)</x:f>
        <x:v>0.4912280701754386</x:v>
      </x:c>
      <x:c r="N291" s="22" t="str">
        <x:f>IF(M291="","",IF(I291="Mayor es mejor",IF(M291&gt;=H291,"En meta",IF(M291&gt;=H291*0.9,"Alerta","Crítico")),IF(M291&lt;=H291,"En meta",IF(M291&lt;=H291*1.1,"Alerta","Crítico"))))</x:f>
        <x:v>Crítico</x:v>
      </x:c>
      <x:c r="O291" s="22" t="str">
        <x:v>%</x:v>
      </x:c>
      <x:c r="P291" s="22" t="str">
        <x:v>Líder SG-SST / Medicina laboral</x:v>
      </x:c>
      <x:c r="Q291" s="22" t="str">
        <x:v>Matriz de enfermedad laboral / nómina</x:v>
      </x:c>
      <x:c r="R291" s="22" t="str"/>
    </x:row>
    <x:row r="292">
      <x:c r="A292" s="46" t="n">
        <x:v>45473</x:v>
      </x:c>
      <x:c r="B292" s="22" t="n">
        <x:v>2024</x:v>
      </x:c>
      <x:c r="C292" s="22" t="str">
        <x:v>Junio</x:v>
      </x:c>
      <x:c r="D292" s="22" t="str">
        <x:v>R06</x:v>
      </x:c>
      <x:c r="E292" s="22" t="str">
        <x:v>% cumplimiento de estándares mínimos Res. 0312 de 2019</x:v>
      </x:c>
      <x:c r="F292" s="22" t="str">
        <x:v>Resultado</x:v>
      </x:c>
      <x:c r="G292" s="22" t="str">
        <x:v>Mensual</x:v>
      </x:c>
      <x:c r="H292" s="40" t="n">
        <x:v>95</x:v>
      </x:c>
      <x:c r="I292" s="22" t="str">
        <x:v>Mayor es mejor</x:v>
      </x:c>
      <x:c r="J292" s="40" t="n">
        <x:v>98</x:v>
      </x:c>
      <x:c r="K292" s="40" t="n">
        <x:v>100</x:v>
      </x:c>
      <x:c r="L292" s="40" t="n">
        <x:v>100</x:v>
      </x:c>
      <x:c r="M292" s="40" t="n">
        <x:f>IF(OR(J292="",K292="",K292=0),"",J292/K292*L292)</x:f>
        <x:v>98</x:v>
      </x:c>
      <x:c r="N292" s="22" t="str">
        <x:f>IF(M292="","",IF(I292="Mayor es mejor",IF(M292&gt;=H292,"En meta",IF(M292&gt;=H292*0.9,"Alerta","Crítico")),IF(M292&lt;=H292,"En meta",IF(M292&lt;=H292*1.1,"Alerta","Crítico"))))</x:f>
        <x:v>En meta</x:v>
      </x:c>
      <x:c r="O292" s="22" t="str">
        <x:v>%</x:v>
      </x:c>
      <x:c r="P292" s="22" t="str">
        <x:v>Líder SG-SST / Alta Dirección</x:v>
      </x:c>
      <x:c r="Q292" s="22" t="str">
        <x:v>Autodiagnóstico Res. 0312 de 2019</x:v>
      </x:c>
      <x:c r="R292" s="22" t="str"/>
    </x:row>
    <x:row r="293">
      <x:c r="A293" s="46" t="n">
        <x:v>45504</x:v>
      </x:c>
      <x:c r="B293" s="22" t="n">
        <x:v>2024</x:v>
      </x:c>
      <x:c r="C293" s="22" t="str">
        <x:v>Julio</x:v>
      </x:c>
      <x:c r="D293" s="22" t="str">
        <x:v>E01</x:v>
      </x:c>
      <x:c r="E293" s="22" t="str">
        <x:v>% ejecución presupuestal del SG-SST</x:v>
      </x:c>
      <x:c r="F293" s="22" t="str">
        <x:v>Estructura</x:v>
      </x:c>
      <x:c r="G293" s="22" t="str">
        <x:v>Mensual</x:v>
      </x:c>
      <x:c r="H293" s="40" t="n">
        <x:v>95</x:v>
      </x:c>
      <x:c r="I293" s="22" t="str">
        <x:v>Mayor es mejor</x:v>
      </x:c>
      <x:c r="J293" s="40" t="n">
        <x:v>6989275</x:v>
      </x:c>
      <x:c r="K293" s="40" t="n">
        <x:v>7500000</x:v>
      </x:c>
      <x:c r="L293" s="40" t="n">
        <x:v>100</x:v>
      </x:c>
      <x:c r="M293" s="40" t="n">
        <x:f>IF(OR(J293="",K293="",K293=0),"",J293/K293*L293)</x:f>
        <x:v>93.19033333333333</x:v>
      </x:c>
      <x:c r="N293" s="22" t="str">
        <x:f>IF(M293="","",IF(I293="Mayor es mejor",IF(M293&gt;=H293,"En meta",IF(M293&gt;=H293*0.9,"Alerta","Crítico")),IF(M293&lt;=H293,"En meta",IF(M293&lt;=H293*1.1,"Alerta","Crítico"))))</x:f>
        <x:v>Alerta</x:v>
      </x:c>
      <x:c r="O293" s="22" t="str">
        <x:v>%</x:v>
      </x:c>
      <x:c r="P293" s="22" t="str">
        <x:v>Líder SG-SST / Dirección Administrativa</x:v>
      </x:c>
      <x:c r="Q293" s="22" t="str">
        <x:v>Presupuesto SST</x:v>
      </x:c>
      <x:c r="R293" s="22" t="str"/>
    </x:row>
    <x:row r="294">
      <x:c r="A294" s="46" t="n">
        <x:v>45504</x:v>
      </x:c>
      <x:c r="B294" s="22" t="n">
        <x:v>2024</x:v>
      </x:c>
      <x:c r="C294" s="22" t="str">
        <x:v>Julio</x:v>
      </x:c>
      <x:c r="D294" s="22" t="str">
        <x:v>E02</x:v>
      </x:c>
      <x:c r="E294" s="22" t="str">
        <x:v>% cobertura del plan de formación y capacitación SG-SST</x:v>
      </x:c>
      <x:c r="F294" s="22" t="str">
        <x:v>Estructura</x:v>
      </x:c>
      <x:c r="G294" s="22" t="str">
        <x:v>Mensual</x:v>
      </x:c>
      <x:c r="H294" s="40" t="n">
        <x:v>90</x:v>
      </x:c>
      <x:c r="I294" s="22" t="str">
        <x:v>Mayor es mejor</x:v>
      </x:c>
      <x:c r="J294" s="40" t="n">
        <x:v>22</x:v>
      </x:c>
      <x:c r="K294" s="40" t="n">
        <x:v>24</x:v>
      </x:c>
      <x:c r="L294" s="40" t="n">
        <x:v>100</x:v>
      </x:c>
      <x:c r="M294" s="40" t="n">
        <x:f>IF(OR(J294="",K294="",K294=0),"",J294/K294*L294)</x:f>
        <x:v>91.66666666666666</x:v>
      </x:c>
      <x:c r="N294" s="22" t="str">
        <x:f>IF(M294="","",IF(I294="Mayor es mejor",IF(M294&gt;=H294,"En meta",IF(M294&gt;=H294*0.9,"Alerta","Crítico")),IF(M294&lt;=H294,"En meta",IF(M294&lt;=H294*1.1,"Alerta","Crítico"))))</x:f>
        <x:v>En meta</x:v>
      </x:c>
      <x:c r="O294" s="22" t="str">
        <x:v>%</x:v>
      </x:c>
      <x:c r="P294" s="22" t="str">
        <x:v>Líder SG-SST / Talento Humano</x:v>
      </x:c>
      <x:c r="Q294" s="22" t="str">
        <x:v>Plan de formación y capacitaciones</x:v>
      </x:c>
      <x:c r="R294" s="22" t="str"/>
    </x:row>
    <x:row r="295">
      <x:c r="A295" s="46" t="n">
        <x:v>45504</x:v>
      </x:c>
      <x:c r="B295" s="22" t="n">
        <x:v>2024</x:v>
      </x:c>
      <x:c r="C295" s="22" t="str">
        <x:v>Julio</x:v>
      </x:c>
      <x:c r="D295" s="22" t="str">
        <x:v>E03</x:v>
      </x:c>
      <x:c r="E295" s="22" t="str">
        <x:v>% trabajadores con exámenes médicos ocupacionales vigentes</x:v>
      </x:c>
      <x:c r="F295" s="22" t="str">
        <x:v>Estructura</x:v>
      </x:c>
      <x:c r="G295" s="22" t="str">
        <x:v>Mensual</x:v>
      </x:c>
      <x:c r="H295" s="40" t="n">
        <x:v>95</x:v>
      </x:c>
      <x:c r="I295" s="22" t="str">
        <x:v>Mayor es mejor</x:v>
      </x:c>
      <x:c r="J295" s="40" t="n">
        <x:v>206</x:v>
      </x:c>
      <x:c r="K295" s="40" t="n">
        <x:v>220</x:v>
      </x:c>
      <x:c r="L295" s="40" t="n">
        <x:v>100</x:v>
      </x:c>
      <x:c r="M295" s="40" t="n">
        <x:f>IF(OR(J295="",K295="",K295=0),"",J295/K295*L295)</x:f>
        <x:v>93.63636363636364</x:v>
      </x:c>
      <x:c r="N295" s="22" t="str">
        <x:f>IF(M295="","",IF(I295="Mayor es mejor",IF(M295&gt;=H295,"En meta",IF(M295&gt;=H295*0.9,"Alerta","Crítico")),IF(M295&lt;=H295,"En meta",IF(M295&lt;=H295*1.1,"Alerta","Crítico"))))</x:f>
        <x:v>Alerta</x:v>
      </x:c>
      <x:c r="O295" s="22" t="str">
        <x:v>%</x:v>
      </x:c>
      <x:c r="P295" s="22" t="str">
        <x:v>Líder SG-SST / Talento Humano</x:v>
      </x:c>
      <x:c r="Q295" s="22" t="str">
        <x:v>Matriz de seguimiento EMO</x:v>
      </x:c>
      <x:c r="R295" s="22" t="str"/>
    </x:row>
    <x:row r="296">
      <x:c r="A296" s="46" t="n">
        <x:v>45504</x:v>
      </x:c>
      <x:c r="B296" s="22" t="n">
        <x:v>2024</x:v>
      </x:c>
      <x:c r="C296" s="22" t="str">
        <x:v>Julio</x:v>
      </x:c>
      <x:c r="D296" s="22" t="str">
        <x:v>E04</x:v>
      </x:c>
      <x:c r="E296" s="22" t="str">
        <x:v>% cumplimiento de requisitos legales aplicables en SST</x:v>
      </x:c>
      <x:c r="F296" s="22" t="str">
        <x:v>Estructura</x:v>
      </x:c>
      <x:c r="G296" s="22" t="str">
        <x:v>Mensual</x:v>
      </x:c>
      <x:c r="H296" s="40" t="n">
        <x:v>95</x:v>
      </x:c>
      <x:c r="I296" s="22" t="str">
        <x:v>Mayor es mejor</x:v>
      </x:c>
      <x:c r="J296" s="40" t="n">
        <x:v>56</x:v>
      </x:c>
      <x:c r="K296" s="40" t="n">
        <x:v>60</x:v>
      </x:c>
      <x:c r="L296" s="40" t="n">
        <x:v>100</x:v>
      </x:c>
      <x:c r="M296" s="40" t="n">
        <x:f>IF(OR(J296="",K296="",K296=0),"",J296/K296*L296)</x:f>
        <x:v>93.33333333333333</x:v>
      </x:c>
      <x:c r="N296" s="22" t="str">
        <x:f>IF(M296="","",IF(I296="Mayor es mejor",IF(M296&gt;=H296,"En meta",IF(M296&gt;=H296*0.9,"Alerta","Crítico")),IF(M296&lt;=H296,"En meta",IF(M296&lt;=H296*1.1,"Alerta","Crítico"))))</x:f>
        <x:v>Alerta</x:v>
      </x:c>
      <x:c r="O296" s="22" t="str">
        <x:v>%</x:v>
      </x:c>
      <x:c r="P296" s="22" t="str">
        <x:v>Líder SG-SST / Jurídica</x:v>
      </x:c>
      <x:c r="Q296" s="22" t="str">
        <x:v>Matriz legal SGRL</x:v>
      </x:c>
      <x:c r="R296" s="22" t="str"/>
    </x:row>
    <x:row r="297">
      <x:c r="A297" s="46" t="n">
        <x:v>45504</x:v>
      </x:c>
      <x:c r="B297" s="22" t="n">
        <x:v>2024</x:v>
      </x:c>
      <x:c r="C297" s="22" t="str">
        <x:v>Julio</x:v>
      </x:c>
      <x:c r="D297" s="22" t="str">
        <x:v>E05</x:v>
      </x:c>
      <x:c r="E297" s="22" t="str">
        <x:v>% proveedores y contratistas aprobados en SST</x:v>
      </x:c>
      <x:c r="F297" s="22" t="str">
        <x:v>Estructura</x:v>
      </x:c>
      <x:c r="G297" s="22" t="str">
        <x:v>Mensual</x:v>
      </x:c>
      <x:c r="H297" s="40" t="n">
        <x:v>90</x:v>
      </x:c>
      <x:c r="I297" s="22" t="str">
        <x:v>Mayor es mejor</x:v>
      </x:c>
      <x:c r="J297" s="40" t="n">
        <x:v>18</x:v>
      </x:c>
      <x:c r="K297" s="40" t="n">
        <x:v>20</x:v>
      </x:c>
      <x:c r="L297" s="40" t="n">
        <x:v>100</x:v>
      </x:c>
      <x:c r="M297" s="40" t="n">
        <x:f>IF(OR(J297="",K297="",K297=0),"",J297/K297*L297)</x:f>
        <x:v>90</x:v>
      </x:c>
      <x:c r="N297" s="22" t="str">
        <x:f>IF(M297="","",IF(I297="Mayor es mejor",IF(M297&gt;=H297,"En meta",IF(M297&gt;=H297*0.9,"Alerta","Crítico")),IF(M297&lt;=H297,"En meta",IF(M297&lt;=H297*1.1,"Alerta","Crítico"))))</x:f>
        <x:v>En meta</x:v>
      </x:c>
      <x:c r="O297" s="22" t="str">
        <x:v>%</x:v>
      </x:c>
      <x:c r="P297" s="22" t="str">
        <x:v>Compras / Líder SG-SST</x:v>
      </x:c>
      <x:c r="Q297" s="22" t="str">
        <x:v>Gestión de proveedores y contratistas</x:v>
      </x:c>
      <x:c r="R297" s="22" t="str"/>
    </x:row>
    <x:row r="298">
      <x:c r="A298" s="46" t="n">
        <x:v>45504</x:v>
      </x:c>
      <x:c r="B298" s="22" t="n">
        <x:v>2024</x:v>
      </x:c>
      <x:c r="C298" s="22" t="str">
        <x:v>Julio</x:v>
      </x:c>
      <x:c r="D298" s="22" t="str">
        <x:v>P01</x:v>
      </x:c>
      <x:c r="E298" s="22" t="str">
        <x:v>% ejecución del plan anual de trabajo SG-SST</x:v>
      </x:c>
      <x:c r="F298" s="22" t="str">
        <x:v>Proceso</x:v>
      </x:c>
      <x:c r="G298" s="22" t="str">
        <x:v>Mensual</x:v>
      </x:c>
      <x:c r="H298" s="40" t="n">
        <x:v>90</x:v>
      </x:c>
      <x:c r="I298" s="22" t="str">
        <x:v>Mayor es mejor</x:v>
      </x:c>
      <x:c r="J298" s="40" t="n">
        <x:v>11</x:v>
      </x:c>
      <x:c r="K298" s="40" t="n">
        <x:v>12</x:v>
      </x:c>
      <x:c r="L298" s="40" t="n">
        <x:v>100</x:v>
      </x:c>
      <x:c r="M298" s="40" t="n">
        <x:f>IF(OR(J298="",K298="",K298=0),"",J298/K298*L298)</x:f>
        <x:v>91.66666666666666</x:v>
      </x:c>
      <x:c r="N298" s="22" t="str">
        <x:f>IF(M298="","",IF(I298="Mayor es mejor",IF(M298&gt;=H298,"En meta",IF(M298&gt;=H298*0.9,"Alerta","Crítico")),IF(M298&lt;=H298,"En meta",IF(M298&lt;=H298*1.1,"Alerta","Crítico"))))</x:f>
        <x:v>En meta</x:v>
      </x:c>
      <x:c r="O298" s="22" t="str">
        <x:v>%</x:v>
      </x:c>
      <x:c r="P298" s="22" t="str">
        <x:v>Líder SG-SST</x:v>
      </x:c>
      <x:c r="Q298" s="22" t="str">
        <x:v>Plan anual de trabajo PHVA</x:v>
      </x:c>
      <x:c r="R298" s="22" t="str"/>
    </x:row>
    <x:row r="299">
      <x:c r="A299" s="46" t="n">
        <x:v>45504</x:v>
      </x:c>
      <x:c r="B299" s="22" t="n">
        <x:v>2024</x:v>
      </x:c>
      <x:c r="C299" s="22" t="str">
        <x:v>Julio</x:v>
      </x:c>
      <x:c r="D299" s="22" t="str">
        <x:v>P02</x:v>
      </x:c>
      <x:c r="E299" s="22" t="str">
        <x:v>% investigaciones de accidentes realizadas oportunamente</x:v>
      </x:c>
      <x:c r="F299" s="22" t="str">
        <x:v>Proceso</x:v>
      </x:c>
      <x:c r="G299" s="22" t="str">
        <x:v>Mensual</x:v>
      </x:c>
      <x:c r="H299" s="40" t="n">
        <x:v>95</x:v>
      </x:c>
      <x:c r="I299" s="22" t="str">
        <x:v>Mayor es mejor</x:v>
      </x:c>
      <x:c r="J299" s="40" t="n">
        <x:v>1</x:v>
      </x:c>
      <x:c r="K299" s="40" t="n">
        <x:v>1</x:v>
      </x:c>
      <x:c r="L299" s="40" t="n">
        <x:v>100</x:v>
      </x:c>
      <x:c r="M299" s="40" t="n">
        <x:f>IF(OR(J299="",K299="",K299=0),"",J299/K299*L299)</x:f>
        <x:v>100</x:v>
      </x:c>
      <x:c r="N299" s="22" t="str">
        <x:f>IF(M299="","",IF(I299="Mayor es mejor",IF(M299&gt;=H299,"En meta",IF(M299&gt;=H299*0.9,"Alerta","Crítico")),IF(M299&lt;=H299,"En meta",IF(M299&lt;=H299*1.1,"Alerta","Crítico"))))</x:f>
        <x:v>En meta</x:v>
      </x:c>
      <x:c r="O299" s="22" t="str">
        <x:v>%</x:v>
      </x:c>
      <x:c r="P299" s="22" t="str">
        <x:v>Líder SG-SST / COPASST</x:v>
      </x:c>
      <x:c r="Q299" s="22" t="str">
        <x:v>Matriz de accidentalidad</x:v>
      </x:c>
      <x:c r="R299" s="22" t="str"/>
    </x:row>
    <x:row r="300">
      <x:c r="A300" s="46" t="n">
        <x:v>45504</x:v>
      </x:c>
      <x:c r="B300" s="22" t="n">
        <x:v>2024</x:v>
      </x:c>
      <x:c r="C300" s="22" t="str">
        <x:v>Julio</x:v>
      </x:c>
      <x:c r="D300" s="22" t="str">
        <x:v>P03</x:v>
      </x:c>
      <x:c r="E300" s="22" t="str">
        <x:v>% cierre oportuno de acciones correctivas, preventivas y de mejora</x:v>
      </x:c>
      <x:c r="F300" s="22" t="str">
        <x:v>Proceso</x:v>
      </x:c>
      <x:c r="G300" s="22" t="str">
        <x:v>Mensual</x:v>
      </x:c>
      <x:c r="H300" s="40" t="n">
        <x:v>90</x:v>
      </x:c>
      <x:c r="I300" s="22" t="str">
        <x:v>Mayor es mejor</x:v>
      </x:c>
      <x:c r="J300" s="40" t="n">
        <x:v>11</x:v>
      </x:c>
      <x:c r="K300" s="40" t="n">
        <x:v>12</x:v>
      </x:c>
      <x:c r="L300" s="40" t="n">
        <x:v>100</x:v>
      </x:c>
      <x:c r="M300" s="40" t="n">
        <x:f>IF(OR(J300="",K300="",K300=0),"",J300/K300*L300)</x:f>
        <x:v>91.66666666666666</x:v>
      </x:c>
      <x:c r="N300" s="22" t="str">
        <x:f>IF(M300="","",IF(I300="Mayor es mejor",IF(M300&gt;=H300,"En meta",IF(M300&gt;=H300*0.9,"Alerta","Crítico")),IF(M300&lt;=H300,"En meta",IF(M300&lt;=H300*1.1,"Alerta","Crítico"))))</x:f>
        <x:v>En meta</x:v>
      </x:c>
      <x:c r="O300" s="22" t="str">
        <x:v>%</x:v>
      </x:c>
      <x:c r="P300" s="22" t="str">
        <x:v>Líder SG-SST / Responsables de proceso</x:v>
      </x:c>
      <x:c r="Q300" s="22" t="str">
        <x:v>Matriz APCM</x:v>
      </x:c>
      <x:c r="R300" s="22" t="str"/>
    </x:row>
    <x:row r="301">
      <x:c r="A301" s="46" t="n">
        <x:v>45504</x:v>
      </x:c>
      <x:c r="B301" s="22" t="n">
        <x:v>2024</x:v>
      </x:c>
      <x:c r="C301" s="22" t="str">
        <x:v>Julio</x:v>
      </x:c>
      <x:c r="D301" s="22" t="str">
        <x:v>P04</x:v>
      </x:c>
      <x:c r="E301" s="22" t="str">
        <x:v>% inspecciones de seguridad ejecutadas</x:v>
      </x:c>
      <x:c r="F301" s="22" t="str">
        <x:v>Proceso</x:v>
      </x:c>
      <x:c r="G301" s="22" t="str">
        <x:v>Mensual</x:v>
      </x:c>
      <x:c r="H301" s="40" t="n">
        <x:v>90</x:v>
      </x:c>
      <x:c r="I301" s="22" t="str">
        <x:v>Mayor es mejor</x:v>
      </x:c>
      <x:c r="J301" s="40" t="n">
        <x:v>10</x:v>
      </x:c>
      <x:c r="K301" s="40" t="n">
        <x:v>11</x:v>
      </x:c>
      <x:c r="L301" s="40" t="n">
        <x:v>100</x:v>
      </x:c>
      <x:c r="M301" s="40" t="n">
        <x:f>IF(OR(J301="",K301="",K301=0),"",J301/K301*L301)</x:f>
        <x:v>90.9090909090909</x:v>
      </x:c>
      <x:c r="N301" s="22" t="str">
        <x:f>IF(M301="","",IF(I301="Mayor es mejor",IF(M301&gt;=H301,"En meta",IF(M301&gt;=H301*0.9,"Alerta","Crítico")),IF(M301&lt;=H301,"En meta",IF(M301&lt;=H301*1.1,"Alerta","Crítico"))))</x:f>
        <x:v>En meta</x:v>
      </x:c>
      <x:c r="O301" s="22" t="str">
        <x:v>%</x:v>
      </x:c>
      <x:c r="P301" s="22" t="str">
        <x:v>Líder SG-SST / Supervisores</x:v>
      </x:c>
      <x:c r="Q301" s="22" t="str">
        <x:v>Programa de inspecciones</x:v>
      </x:c>
      <x:c r="R301" s="22" t="str"/>
    </x:row>
    <x:row r="302">
      <x:c r="A302" s="46" t="n">
        <x:v>45504</x:v>
      </x:c>
      <x:c r="B302" s="22" t="n">
        <x:v>2024</x:v>
      </x:c>
      <x:c r="C302" s="22" t="str">
        <x:v>Julio</x:v>
      </x:c>
      <x:c r="D302" s="22" t="str">
        <x:v>P05</x:v>
      </x:c>
      <x:c r="E302" s="22" t="str">
        <x:v>% mantenimientos preventivos ejecutados</x:v>
      </x:c>
      <x:c r="F302" s="22" t="str">
        <x:v>Proceso</x:v>
      </x:c>
      <x:c r="G302" s="22" t="str">
        <x:v>Mensual</x:v>
      </x:c>
      <x:c r="H302" s="40" t="n">
        <x:v>90</x:v>
      </x:c>
      <x:c r="I302" s="22" t="str">
        <x:v>Mayor es mejor</x:v>
      </x:c>
      <x:c r="J302" s="40" t="n">
        <x:v>14</x:v>
      </x:c>
      <x:c r="K302" s="40" t="n">
        <x:v>15</x:v>
      </x:c>
      <x:c r="L302" s="40" t="n">
        <x:v>100</x:v>
      </x:c>
      <x:c r="M302" s="40" t="n">
        <x:f>IF(OR(J302="",K302="",K302=0),"",J302/K302*L302)</x:f>
        <x:v>93.33333333333333</x:v>
      </x:c>
      <x:c r="N302" s="22" t="str">
        <x:f>IF(M302="","",IF(I302="Mayor es mejor",IF(M302&gt;=H302,"En meta",IF(M302&gt;=H302*0.9,"Alerta","Crítico")),IF(M302&lt;=H302,"En meta",IF(M302&lt;=H302*1.1,"Alerta","Crítico"))))</x:f>
        <x:v>En meta</x:v>
      </x:c>
      <x:c r="O302" s="22" t="str">
        <x:v>%</x:v>
      </x:c>
      <x:c r="P302" s="22" t="str">
        <x:v>Mantenimiento / Líder SG-SST</x:v>
      </x:c>
      <x:c r="Q302" s="22" t="str">
        <x:v>Programa de mantenimiento preventivo</x:v>
      </x:c>
      <x:c r="R302" s="22" t="str"/>
    </x:row>
    <x:row r="303">
      <x:c r="A303" s="46" t="n">
        <x:v>45504</x:v>
      </x:c>
      <x:c r="B303" s="22" t="n">
        <x:v>2024</x:v>
      </x:c>
      <x:c r="C303" s="22" t="str">
        <x:v>Julio</x:v>
      </x:c>
      <x:c r="D303" s="22" t="str">
        <x:v>R01</x:v>
      </x:c>
      <x:c r="E303" s="22" t="str">
        <x:v>Índice de frecuencia de accidentalidad (IF)</x:v>
      </x:c>
      <x:c r="F303" s="22" t="str">
        <x:v>Resultado</x:v>
      </x:c>
      <x:c r="G303" s="22" t="str">
        <x:v>Mensual</x:v>
      </x:c>
      <x:c r="H303" s="40" t="n">
        <x:v>3.5</x:v>
      </x:c>
      <x:c r="I303" s="22" t="str">
        <x:v>Menor es mejor</x:v>
      </x:c>
      <x:c r="J303" s="40" t="n">
        <x:v>1</x:v>
      </x:c>
      <x:c r="K303" s="40" t="n">
        <x:v>51678</x:v>
      </x:c>
      <x:c r="L303" s="40" t="n">
        <x:v>200000</x:v>
      </x:c>
      <x:c r="M303" s="40" t="n">
        <x:f>IF(OR(J303="",K303="",K303=0),"",J303/K303*L303)</x:f>
        <x:v>3.8701188126475485</x:v>
      </x:c>
      <x:c r="N303" s="22" t="str">
        <x:f>IF(M303="","",IF(I303="Mayor es mejor",IF(M303&gt;=H303,"En meta",IF(M303&gt;=H303*0.9,"Alerta","Crítico")),IF(M303&lt;=H303,"En meta",IF(M303&lt;=H303*1.1,"Alerta","Crítico"))))</x:f>
        <x:v>Crítico</x:v>
      </x:c>
      <x:c r="O303" s="22" t="str">
        <x:v>Índice</x:v>
      </x:c>
      <x:c r="P303" s="22" t="str">
        <x:v>Líder SG-SST</x:v>
      </x:c>
      <x:c r="Q303" s="22" t="str">
        <x:v>Matriz de accidentalidad / nómina</x:v>
      </x:c>
      <x:c r="R303" s="22" t="str"/>
    </x:row>
    <x:row r="304">
      <x:c r="A304" s="46" t="n">
        <x:v>45504</x:v>
      </x:c>
      <x:c r="B304" s="22" t="n">
        <x:v>2024</x:v>
      </x:c>
      <x:c r="C304" s="22" t="str">
        <x:v>Julio</x:v>
      </x:c>
      <x:c r="D304" s="22" t="str">
        <x:v>R02</x:v>
      </x:c>
      <x:c r="E304" s="22" t="str">
        <x:v>Índice de severidad de accidentalidad (IS)</x:v>
      </x:c>
      <x:c r="F304" s="22" t="str">
        <x:v>Resultado</x:v>
      </x:c>
      <x:c r="G304" s="22" t="str">
        <x:v>Mensual</x:v>
      </x:c>
      <x:c r="H304" s="40" t="n">
        <x:v>80</x:v>
      </x:c>
      <x:c r="I304" s="22" t="str">
        <x:v>Menor es mejor</x:v>
      </x:c>
      <x:c r="J304" s="40" t="n">
        <x:v>15</x:v>
      </x:c>
      <x:c r="K304" s="40" t="n">
        <x:v>51678</x:v>
      </x:c>
      <x:c r="L304" s="40" t="n">
        <x:v>200000</x:v>
      </x:c>
      <x:c r="M304" s="40" t="n">
        <x:f>IF(OR(J304="",K304="",K304=0),"",J304/K304*L304)</x:f>
        <x:v>58.05178218971323</x:v>
      </x:c>
      <x:c r="N304" s="22" t="str">
        <x:f>IF(M304="","",IF(I304="Mayor es mejor",IF(M304&gt;=H304,"En meta",IF(M304&gt;=H304*0.9,"Alerta","Crítico")),IF(M304&lt;=H304,"En meta",IF(M304&lt;=H304*1.1,"Alerta","Crítico"))))</x:f>
        <x:v>En meta</x:v>
      </x:c>
      <x:c r="O304" s="22" t="str">
        <x:v>Índice</x:v>
      </x:c>
      <x:c r="P304" s="22" t="str">
        <x:v>Líder SG-SST</x:v>
      </x:c>
      <x:c r="Q304" s="22" t="str">
        <x:v>Matriz de accidentalidad / nómina</x:v>
      </x:c>
      <x:c r="R304" s="22" t="str"/>
    </x:row>
    <x:row r="305">
      <x:c r="A305" s="46" t="n">
        <x:v>45504</x:v>
      </x:c>
      <x:c r="B305" s="22" t="n">
        <x:v>2024</x:v>
      </x:c>
      <x:c r="C305" s="22" t="str">
        <x:v>Julio</x:v>
      </x:c>
      <x:c r="D305" s="22" t="str">
        <x:v>R03</x:v>
      </x:c>
      <x:c r="E305" s="22" t="str">
        <x:v>Índice de lesión incapacitante (ILI)</x:v>
      </x:c>
      <x:c r="F305" s="22" t="str">
        <x:v>Resultado</x:v>
      </x:c>
      <x:c r="G305" s="22" t="str">
        <x:v>Mensual</x:v>
      </x:c>
      <x:c r="H305" s="40" t="n">
        <x:v>0.25</x:v>
      </x:c>
      <x:c r="I305" s="22" t="str">
        <x:v>Menor es mejor</x:v>
      </x:c>
      <x:c r="J305" s="40" t="n">
        <x:v>224.6673</x:v>
      </x:c>
      <x:c r="K305" s="40" t="n">
        <x:v>1000</x:v>
      </x:c>
      <x:c r="L305" s="40" t="n">
        <x:v>1</x:v>
      </x:c>
      <x:c r="M305" s="40" t="n">
        <x:f>IF(OR(J305="",K305="",K305=0),"",J305/K305*L305)</x:f>
        <x:v>0.22466730000000001</x:v>
      </x:c>
      <x:c r="N305" s="22" t="str">
        <x:f>IF(M305="","",IF(I305="Mayor es mejor",IF(M305&gt;=H305,"En meta",IF(M305&gt;=H305*0.9,"Alerta","Crítico")),IF(M305&lt;=H305,"En meta",IF(M305&lt;=H305*1.1,"Alerta","Crítico"))))</x:f>
        <x:v>En meta</x:v>
      </x:c>
      <x:c r="O305" s="22" t="str">
        <x:v>Índice</x:v>
      </x:c>
      <x:c r="P305" s="22" t="str">
        <x:v>Líder SG-SST</x:v>
      </x:c>
      <x:c r="Q305" s="22" t="str">
        <x:v>Indicadores derivados de accidentalidad</x:v>
      </x:c>
      <x:c r="R305" s="22" t="str">
        <x:v>ILI calculado sobre IF e IS del periodo.</x:v>
      </x:c>
    </x:row>
    <x:row r="306">
      <x:c r="A306" s="46" t="n">
        <x:v>45504</x:v>
      </x:c>
      <x:c r="B306" s="22" t="n">
        <x:v>2024</x:v>
      </x:c>
      <x:c r="C306" s="22" t="str">
        <x:v>Julio</x:v>
      </x:c>
      <x:c r="D306" s="22" t="str">
        <x:v>R04</x:v>
      </x:c>
      <x:c r="E306" s="22" t="str">
        <x:v>Tasa de accidentalidad</x:v>
      </x:c>
      <x:c r="F306" s="22" t="str">
        <x:v>Resultado</x:v>
      </x:c>
      <x:c r="G306" s="22" t="str">
        <x:v>Mensual</x:v>
      </x:c>
      <x:c r="H306" s="40" t="n">
        <x:v>0.6</x:v>
      </x:c>
      <x:c r="I306" s="22" t="str">
        <x:v>Menor es mejor</x:v>
      </x:c>
      <x:c r="J306" s="40" t="n">
        <x:v>4.2</x:v>
      </x:c>
      <x:c r="K306" s="40" t="n">
        <x:v>220</x:v>
      </x:c>
      <x:c r="L306" s="40" t="n">
        <x:v>100</x:v>
      </x:c>
      <x:c r="M306" s="40" t="n">
        <x:f>IF(OR(J306="",K306="",K306=0),"",J306/K306*L306)</x:f>
        <x:v>1.9090909090909092</x:v>
      </x:c>
      <x:c r="N306" s="22" t="str">
        <x:f>IF(M306="","",IF(I306="Mayor es mejor",IF(M306&gt;=H306,"En meta",IF(M306&gt;=H306*0.9,"Alerta","Crítico")),IF(M306&lt;=H306,"En meta",IF(M306&lt;=H306*1.1,"Alerta","Crítico"))))</x:f>
        <x:v>Crítico</x:v>
      </x:c>
      <x:c r="O306" s="22" t="str">
        <x:v>%</x:v>
      </x:c>
      <x:c r="P306" s="22" t="str">
        <x:v>Líder SG-SST</x:v>
      </x:c>
      <x:c r="Q306" s="22" t="str">
        <x:v>Matriz de accidentalidad / nómina</x:v>
      </x:c>
      <x:c r="R306" s="22" t="str"/>
    </x:row>
    <x:row r="307">
      <x:c r="A307" s="46" t="n">
        <x:v>45504</x:v>
      </x:c>
      <x:c r="B307" s="22" t="n">
        <x:v>2024</x:v>
      </x:c>
      <x:c r="C307" s="22" t="str">
        <x:v>Julio</x:v>
      </x:c>
      <x:c r="D307" s="22" t="str">
        <x:v>R05</x:v>
      </x:c>
      <x:c r="E307" s="22" t="str">
        <x:v>Prevalencia de enfermedad laboral</x:v>
      </x:c>
      <x:c r="F307" s="22" t="str">
        <x:v>Resultado</x:v>
      </x:c>
      <x:c r="G307" s="22" t="str">
        <x:v>Mensual</x:v>
      </x:c>
      <x:c r="H307" s="40" t="n">
        <x:v>0.3</x:v>
      </x:c>
      <x:c r="I307" s="22" t="str">
        <x:v>Menor es mejor</x:v>
      </x:c>
      <x:c r="J307" s="40" t="n">
        <x:v>3.62</x:v>
      </x:c>
      <x:c r="K307" s="40" t="n">
        <x:v>220</x:v>
      </x:c>
      <x:c r="L307" s="40" t="n">
        <x:v>100</x:v>
      </x:c>
      <x:c r="M307" s="40" t="n">
        <x:f>IF(OR(J307="",K307="",K307=0),"",J307/K307*L307)</x:f>
        <x:v>1.6454545454545455</x:v>
      </x:c>
      <x:c r="N307" s="22" t="str">
        <x:f>IF(M307="","",IF(I307="Mayor es mejor",IF(M307&gt;=H307,"En meta",IF(M307&gt;=H307*0.9,"Alerta","Crítico")),IF(M307&lt;=H307,"En meta",IF(M307&lt;=H307*1.1,"Alerta","Crítico"))))</x:f>
        <x:v>Crítico</x:v>
      </x:c>
      <x:c r="O307" s="22" t="str">
        <x:v>%</x:v>
      </x:c>
      <x:c r="P307" s="22" t="str">
        <x:v>Líder SG-SST / Medicina laboral</x:v>
      </x:c>
      <x:c r="Q307" s="22" t="str">
        <x:v>Matriz de enfermedad laboral / nómina</x:v>
      </x:c>
      <x:c r="R307" s="22" t="str"/>
    </x:row>
    <x:row r="308">
      <x:c r="A308" s="46" t="n">
        <x:v>45504</x:v>
      </x:c>
      <x:c r="B308" s="22" t="n">
        <x:v>2024</x:v>
      </x:c>
      <x:c r="C308" s="22" t="str">
        <x:v>Julio</x:v>
      </x:c>
      <x:c r="D308" s="22" t="str">
        <x:v>R06</x:v>
      </x:c>
      <x:c r="E308" s="22" t="str">
        <x:v>% cumplimiento de estándares mínimos Res. 0312 de 2019</x:v>
      </x:c>
      <x:c r="F308" s="22" t="str">
        <x:v>Resultado</x:v>
      </x:c>
      <x:c r="G308" s="22" t="str">
        <x:v>Mensual</x:v>
      </x:c>
      <x:c r="H308" s="40" t="n">
        <x:v>95</x:v>
      </x:c>
      <x:c r="I308" s="22" t="str">
        <x:v>Mayor es mejor</x:v>
      </x:c>
      <x:c r="J308" s="40" t="n">
        <x:v>96</x:v>
      </x:c>
      <x:c r="K308" s="40" t="n">
        <x:v>100</x:v>
      </x:c>
      <x:c r="L308" s="40" t="n">
        <x:v>100</x:v>
      </x:c>
      <x:c r="M308" s="40" t="n">
        <x:f>IF(OR(J308="",K308="",K308=0),"",J308/K308*L308)</x:f>
        <x:v>96</x:v>
      </x:c>
      <x:c r="N308" s="22" t="str">
        <x:f>IF(M308="","",IF(I308="Mayor es mejor",IF(M308&gt;=H308,"En meta",IF(M308&gt;=H308*0.9,"Alerta","Crítico")),IF(M308&lt;=H308,"En meta",IF(M308&lt;=H308*1.1,"Alerta","Crítico"))))</x:f>
        <x:v>En meta</x:v>
      </x:c>
      <x:c r="O308" s="22" t="str">
        <x:v>%</x:v>
      </x:c>
      <x:c r="P308" s="22" t="str">
        <x:v>Líder SG-SST / Alta Dirección</x:v>
      </x:c>
      <x:c r="Q308" s="22" t="str">
        <x:v>Autodiagnóstico Res. 0312 de 2019</x:v>
      </x:c>
      <x:c r="R308" s="22" t="str"/>
    </x:row>
    <x:row r="309">
      <x:c r="A309" s="46" t="n">
        <x:v>45535</x:v>
      </x:c>
      <x:c r="B309" s="22" t="n">
        <x:v>2024</x:v>
      </x:c>
      <x:c r="C309" s="22" t="str">
        <x:v>Agosto</x:v>
      </x:c>
      <x:c r="D309" s="22" t="str">
        <x:v>E01</x:v>
      </x:c>
      <x:c r="E309" s="22" t="str">
        <x:v>% ejecución presupuestal del SG-SST</x:v>
      </x:c>
      <x:c r="F309" s="22" t="str">
        <x:v>Estructura</x:v>
      </x:c>
      <x:c r="G309" s="22" t="str">
        <x:v>Mensual</x:v>
      </x:c>
      <x:c r="H309" s="40" t="n">
        <x:v>95</x:v>
      </x:c>
      <x:c r="I309" s="22" t="str">
        <x:v>Mayor es mejor</x:v>
      </x:c>
      <x:c r="J309" s="40" t="n">
        <x:v>7599081</x:v>
      </x:c>
      <x:c r="K309" s="40" t="n">
        <x:v>8000000</x:v>
      </x:c>
      <x:c r="L309" s="40" t="n">
        <x:v>100</x:v>
      </x:c>
      <x:c r="M309" s="40" t="n">
        <x:f>IF(OR(J309="",K309="",K309=0),"",J309/K309*L309)</x:f>
        <x:v>94.9885125</x:v>
      </x:c>
      <x:c r="N309" s="22" t="str">
        <x:f>IF(M309="","",IF(I309="Mayor es mejor",IF(M309&gt;=H309,"En meta",IF(M309&gt;=H309*0.9,"Alerta","Crítico")),IF(M309&lt;=H309,"En meta",IF(M309&lt;=H309*1.1,"Alerta","Crítico"))))</x:f>
        <x:v>Alerta</x:v>
      </x:c>
      <x:c r="O309" s="22" t="str">
        <x:v>%</x:v>
      </x:c>
      <x:c r="P309" s="22" t="str">
        <x:v>Líder SG-SST / Dirección Administrativa</x:v>
      </x:c>
      <x:c r="Q309" s="22" t="str">
        <x:v>Presupuesto SST</x:v>
      </x:c>
      <x:c r="R309" s="22" t="str"/>
    </x:row>
    <x:row r="310">
      <x:c r="A310" s="46" t="n">
        <x:v>45535</x:v>
      </x:c>
      <x:c r="B310" s="22" t="n">
        <x:v>2024</x:v>
      </x:c>
      <x:c r="C310" s="22" t="str">
        <x:v>Agosto</x:v>
      </x:c>
      <x:c r="D310" s="22" t="str">
        <x:v>E02</x:v>
      </x:c>
      <x:c r="E310" s="22" t="str">
        <x:v>% cobertura del plan de formación y capacitación SG-SST</x:v>
      </x:c>
      <x:c r="F310" s="22" t="str">
        <x:v>Estructura</x:v>
      </x:c>
      <x:c r="G310" s="22" t="str">
        <x:v>Mensual</x:v>
      </x:c>
      <x:c r="H310" s="40" t="n">
        <x:v>90</x:v>
      </x:c>
      <x:c r="I310" s="22" t="str">
        <x:v>Mayor es mejor</x:v>
      </x:c>
      <x:c r="J310" s="40" t="n">
        <x:v>16</x:v>
      </x:c>
      <x:c r="K310" s="40" t="n">
        <x:v>18</x:v>
      </x:c>
      <x:c r="L310" s="40" t="n">
        <x:v>100</x:v>
      </x:c>
      <x:c r="M310" s="40" t="n">
        <x:f>IF(OR(J310="",K310="",K310=0),"",J310/K310*L310)</x:f>
        <x:v>88.88888888888889</x:v>
      </x:c>
      <x:c r="N310" s="22" t="str">
        <x:f>IF(M310="","",IF(I310="Mayor es mejor",IF(M310&gt;=H310,"En meta",IF(M310&gt;=H310*0.9,"Alerta","Crítico")),IF(M310&lt;=H310,"En meta",IF(M310&lt;=H310*1.1,"Alerta","Crítico"))))</x:f>
        <x:v>Alerta</x:v>
      </x:c>
      <x:c r="O310" s="22" t="str">
        <x:v>%</x:v>
      </x:c>
      <x:c r="P310" s="22" t="str">
        <x:v>Líder SG-SST / Talento Humano</x:v>
      </x:c>
      <x:c r="Q310" s="22" t="str">
        <x:v>Plan de formación y capacitaciones</x:v>
      </x:c>
      <x:c r="R310" s="22" t="str"/>
    </x:row>
    <x:row r="311">
      <x:c r="A311" s="46" t="n">
        <x:v>45535</x:v>
      </x:c>
      <x:c r="B311" s="22" t="n">
        <x:v>2024</x:v>
      </x:c>
      <x:c r="C311" s="22" t="str">
        <x:v>Agosto</x:v>
      </x:c>
      <x:c r="D311" s="22" t="str">
        <x:v>E03</x:v>
      </x:c>
      <x:c r="E311" s="22" t="str">
        <x:v>% trabajadores con exámenes médicos ocupacionales vigentes</x:v>
      </x:c>
      <x:c r="F311" s="22" t="str">
        <x:v>Estructura</x:v>
      </x:c>
      <x:c r="G311" s="22" t="str">
        <x:v>Mensual</x:v>
      </x:c>
      <x:c r="H311" s="40" t="n">
        <x:v>95</x:v>
      </x:c>
      <x:c r="I311" s="22" t="str">
        <x:v>Mayor es mejor</x:v>
      </x:c>
      <x:c r="J311" s="40" t="n">
        <x:v>220</x:v>
      </x:c>
      <x:c r="K311" s="40" t="n">
        <x:v>229</x:v>
      </x:c>
      <x:c r="L311" s="40" t="n">
        <x:v>100</x:v>
      </x:c>
      <x:c r="M311" s="40" t="n">
        <x:f>IF(OR(J311="",K311="",K311=0),"",J311/K311*L311)</x:f>
        <x:v>96.06986899563319</x:v>
      </x:c>
      <x:c r="N311" s="22" t="str">
        <x:f>IF(M311="","",IF(I311="Mayor es mejor",IF(M311&gt;=H311,"En meta",IF(M311&gt;=H311*0.9,"Alerta","Crítico")),IF(M311&lt;=H311,"En meta",IF(M311&lt;=H311*1.1,"Alerta","Crítico"))))</x:f>
        <x:v>En meta</x:v>
      </x:c>
      <x:c r="O311" s="22" t="str">
        <x:v>%</x:v>
      </x:c>
      <x:c r="P311" s="22" t="str">
        <x:v>Líder SG-SST / Talento Humano</x:v>
      </x:c>
      <x:c r="Q311" s="22" t="str">
        <x:v>Matriz de seguimiento EMO</x:v>
      </x:c>
      <x:c r="R311" s="22" t="str"/>
    </x:row>
    <x:row r="312">
      <x:c r="A312" s="46" t="n">
        <x:v>45535</x:v>
      </x:c>
      <x:c r="B312" s="22" t="n">
        <x:v>2024</x:v>
      </x:c>
      <x:c r="C312" s="22" t="str">
        <x:v>Agosto</x:v>
      </x:c>
      <x:c r="D312" s="22" t="str">
        <x:v>E04</x:v>
      </x:c>
      <x:c r="E312" s="22" t="str">
        <x:v>% cumplimiento de requisitos legales aplicables en SST</x:v>
      </x:c>
      <x:c r="F312" s="22" t="str">
        <x:v>Estructura</x:v>
      </x:c>
      <x:c r="G312" s="22" t="str">
        <x:v>Mensual</x:v>
      </x:c>
      <x:c r="H312" s="40" t="n">
        <x:v>95</x:v>
      </x:c>
      <x:c r="I312" s="22" t="str">
        <x:v>Mayor es mejor</x:v>
      </x:c>
      <x:c r="J312" s="40" t="n">
        <x:v>58</x:v>
      </x:c>
      <x:c r="K312" s="40" t="n">
        <x:v>60</x:v>
      </x:c>
      <x:c r="L312" s="40" t="n">
        <x:v>100</x:v>
      </x:c>
      <x:c r="M312" s="40" t="n">
        <x:f>IF(OR(J312="",K312="",K312=0),"",J312/K312*L312)</x:f>
        <x:v>96.66666666666667</x:v>
      </x:c>
      <x:c r="N312" s="22" t="str">
        <x:f>IF(M312="","",IF(I312="Mayor es mejor",IF(M312&gt;=H312,"En meta",IF(M312&gt;=H312*0.9,"Alerta","Crítico")),IF(M312&lt;=H312,"En meta",IF(M312&lt;=H312*1.1,"Alerta","Crítico"))))</x:f>
        <x:v>En meta</x:v>
      </x:c>
      <x:c r="O312" s="22" t="str">
        <x:v>%</x:v>
      </x:c>
      <x:c r="P312" s="22" t="str">
        <x:v>Líder SG-SST / Jurídica</x:v>
      </x:c>
      <x:c r="Q312" s="22" t="str">
        <x:v>Matriz legal SGRL</x:v>
      </x:c>
      <x:c r="R312" s="22" t="str"/>
    </x:row>
    <x:row r="313">
      <x:c r="A313" s="46" t="n">
        <x:v>45535</x:v>
      </x:c>
      <x:c r="B313" s="22" t="n">
        <x:v>2024</x:v>
      </x:c>
      <x:c r="C313" s="22" t="str">
        <x:v>Agosto</x:v>
      </x:c>
      <x:c r="D313" s="22" t="str">
        <x:v>E05</x:v>
      </x:c>
      <x:c r="E313" s="22" t="str">
        <x:v>% proveedores y contratistas aprobados en SST</x:v>
      </x:c>
      <x:c r="F313" s="22" t="str">
        <x:v>Estructura</x:v>
      </x:c>
      <x:c r="G313" s="22" t="str">
        <x:v>Mensual</x:v>
      </x:c>
      <x:c r="H313" s="40" t="n">
        <x:v>90</x:v>
      </x:c>
      <x:c r="I313" s="22" t="str">
        <x:v>Mayor es mejor</x:v>
      </x:c>
      <x:c r="J313" s="40" t="n">
        <x:v>18</x:v>
      </x:c>
      <x:c r="K313" s="40" t="n">
        <x:v>20</x:v>
      </x:c>
      <x:c r="L313" s="40" t="n">
        <x:v>100</x:v>
      </x:c>
      <x:c r="M313" s="40" t="n">
        <x:f>IF(OR(J313="",K313="",K313=0),"",J313/K313*L313)</x:f>
        <x:v>90</x:v>
      </x:c>
      <x:c r="N313" s="22" t="str">
        <x:f>IF(M313="","",IF(I313="Mayor es mejor",IF(M313&gt;=H313,"En meta",IF(M313&gt;=H313*0.9,"Alerta","Crítico")),IF(M313&lt;=H313,"En meta",IF(M313&lt;=H313*1.1,"Alerta","Crítico"))))</x:f>
        <x:v>En meta</x:v>
      </x:c>
      <x:c r="O313" s="22" t="str">
        <x:v>%</x:v>
      </x:c>
      <x:c r="P313" s="22" t="str">
        <x:v>Compras / Líder SG-SST</x:v>
      </x:c>
      <x:c r="Q313" s="22" t="str">
        <x:v>Gestión de proveedores y contratistas</x:v>
      </x:c>
      <x:c r="R313" s="22" t="str"/>
    </x:row>
    <x:row r="314">
      <x:c r="A314" s="46" t="n">
        <x:v>45535</x:v>
      </x:c>
      <x:c r="B314" s="22" t="n">
        <x:v>2024</x:v>
      </x:c>
      <x:c r="C314" s="22" t="str">
        <x:v>Agosto</x:v>
      </x:c>
      <x:c r="D314" s="22" t="str">
        <x:v>P01</x:v>
      </x:c>
      <x:c r="E314" s="22" t="str">
        <x:v>% ejecución del plan anual de trabajo SG-SST</x:v>
      </x:c>
      <x:c r="F314" s="22" t="str">
        <x:v>Proceso</x:v>
      </x:c>
      <x:c r="G314" s="22" t="str">
        <x:v>Mensual</x:v>
      </x:c>
      <x:c r="H314" s="40" t="n">
        <x:v>90</x:v>
      </x:c>
      <x:c r="I314" s="22" t="str">
        <x:v>Mayor es mejor</x:v>
      </x:c>
      <x:c r="J314" s="40" t="n">
        <x:v>13</x:v>
      </x:c>
      <x:c r="K314" s="40" t="n">
        <x:v>14</x:v>
      </x:c>
      <x:c r="L314" s="40" t="n">
        <x:v>100</x:v>
      </x:c>
      <x:c r="M314" s="40" t="n">
        <x:f>IF(OR(J314="",K314="",K314=0),"",J314/K314*L314)</x:f>
        <x:v>92.85714285714286</x:v>
      </x:c>
      <x:c r="N314" s="22" t="str">
        <x:f>IF(M314="","",IF(I314="Mayor es mejor",IF(M314&gt;=H314,"En meta",IF(M314&gt;=H314*0.9,"Alerta","Crítico")),IF(M314&lt;=H314,"En meta",IF(M314&lt;=H314*1.1,"Alerta","Crítico"))))</x:f>
        <x:v>En meta</x:v>
      </x:c>
      <x:c r="O314" s="22" t="str">
        <x:v>%</x:v>
      </x:c>
      <x:c r="P314" s="22" t="str">
        <x:v>Líder SG-SST</x:v>
      </x:c>
      <x:c r="Q314" s="22" t="str">
        <x:v>Plan anual de trabajo PHVA</x:v>
      </x:c>
      <x:c r="R314" s="22" t="str"/>
    </x:row>
    <x:row r="315">
      <x:c r="A315" s="46" t="n">
        <x:v>45535</x:v>
      </x:c>
      <x:c r="B315" s="22" t="n">
        <x:v>2024</x:v>
      </x:c>
      <x:c r="C315" s="22" t="str">
        <x:v>Agosto</x:v>
      </x:c>
      <x:c r="D315" s="22" t="str">
        <x:v>P02</x:v>
      </x:c>
      <x:c r="E315" s="22" t="str">
        <x:v>% investigaciones de accidentes realizadas oportunamente</x:v>
      </x:c>
      <x:c r="F315" s="22" t="str">
        <x:v>Proceso</x:v>
      </x:c>
      <x:c r="G315" s="22" t="str">
        <x:v>Mensual</x:v>
      </x:c>
      <x:c r="H315" s="40" t="n">
        <x:v>95</x:v>
      </x:c>
      <x:c r="I315" s="22" t="str">
        <x:v>Mayor es mejor</x:v>
      </x:c>
      <x:c r="J315" s="40" t="n">
        <x:v>1</x:v>
      </x:c>
      <x:c r="K315" s="40" t="n">
        <x:v>1</x:v>
      </x:c>
      <x:c r="L315" s="40" t="n">
        <x:v>100</x:v>
      </x:c>
      <x:c r="M315" s="40" t="n">
        <x:f>IF(OR(J315="",K315="",K315=0),"",J315/K315*L315)</x:f>
        <x:v>100</x:v>
      </x:c>
      <x:c r="N315" s="22" t="str">
        <x:f>IF(M315="","",IF(I315="Mayor es mejor",IF(M315&gt;=H315,"En meta",IF(M315&gt;=H315*0.9,"Alerta","Crítico")),IF(M315&lt;=H315,"En meta",IF(M315&lt;=H315*1.1,"Alerta","Crítico"))))</x:f>
        <x:v>En meta</x:v>
      </x:c>
      <x:c r="O315" s="22" t="str">
        <x:v>%</x:v>
      </x:c>
      <x:c r="P315" s="22" t="str">
        <x:v>Líder SG-SST / COPASST</x:v>
      </x:c>
      <x:c r="Q315" s="22" t="str">
        <x:v>Matriz de accidentalidad</x:v>
      </x:c>
      <x:c r="R315" s="22" t="str"/>
    </x:row>
    <x:row r="316">
      <x:c r="A316" s="46" t="n">
        <x:v>45535</x:v>
      </x:c>
      <x:c r="B316" s="22" t="n">
        <x:v>2024</x:v>
      </x:c>
      <x:c r="C316" s="22" t="str">
        <x:v>Agosto</x:v>
      </x:c>
      <x:c r="D316" s="22" t="str">
        <x:v>P03</x:v>
      </x:c>
      <x:c r="E316" s="22" t="str">
        <x:v>% cierre oportuno de acciones correctivas, preventivas y de mejora</x:v>
      </x:c>
      <x:c r="F316" s="22" t="str">
        <x:v>Proceso</x:v>
      </x:c>
      <x:c r="G316" s="22" t="str">
        <x:v>Mensual</x:v>
      </x:c>
      <x:c r="H316" s="40" t="n">
        <x:v>90</x:v>
      </x:c>
      <x:c r="I316" s="22" t="str">
        <x:v>Mayor es mejor</x:v>
      </x:c>
      <x:c r="J316" s="40" t="n">
        <x:v>12</x:v>
      </x:c>
      <x:c r="K316" s="40" t="n">
        <x:v>13</x:v>
      </x:c>
      <x:c r="L316" s="40" t="n">
        <x:v>100</x:v>
      </x:c>
      <x:c r="M316" s="40" t="n">
        <x:f>IF(OR(J316="",K316="",K316=0),"",J316/K316*L316)</x:f>
        <x:v>92.3076923076923</x:v>
      </x:c>
      <x:c r="N316" s="22" t="str">
        <x:f>IF(M316="","",IF(I316="Mayor es mejor",IF(M316&gt;=H316,"En meta",IF(M316&gt;=H316*0.9,"Alerta","Crítico")),IF(M316&lt;=H316,"En meta",IF(M316&lt;=H316*1.1,"Alerta","Crítico"))))</x:f>
        <x:v>En meta</x:v>
      </x:c>
      <x:c r="O316" s="22" t="str">
        <x:v>%</x:v>
      </x:c>
      <x:c r="P316" s="22" t="str">
        <x:v>Líder SG-SST / Responsables de proceso</x:v>
      </x:c>
      <x:c r="Q316" s="22" t="str">
        <x:v>Matriz APCM</x:v>
      </x:c>
      <x:c r="R316" s="22" t="str"/>
    </x:row>
    <x:row r="317">
      <x:c r="A317" s="46" t="n">
        <x:v>45535</x:v>
      </x:c>
      <x:c r="B317" s="22" t="n">
        <x:v>2024</x:v>
      </x:c>
      <x:c r="C317" s="22" t="str">
        <x:v>Agosto</x:v>
      </x:c>
      <x:c r="D317" s="22" t="str">
        <x:v>P04</x:v>
      </x:c>
      <x:c r="E317" s="22" t="str">
        <x:v>% inspecciones de seguridad ejecutadas</x:v>
      </x:c>
      <x:c r="F317" s="22" t="str">
        <x:v>Proceso</x:v>
      </x:c>
      <x:c r="G317" s="22" t="str">
        <x:v>Mensual</x:v>
      </x:c>
      <x:c r="H317" s="40" t="n">
        <x:v>90</x:v>
      </x:c>
      <x:c r="I317" s="22" t="str">
        <x:v>Mayor es mejor</x:v>
      </x:c>
      <x:c r="J317" s="40" t="n">
        <x:v>7</x:v>
      </x:c>
      <x:c r="K317" s="40" t="n">
        <x:v>8</x:v>
      </x:c>
      <x:c r="L317" s="40" t="n">
        <x:v>100</x:v>
      </x:c>
      <x:c r="M317" s="40" t="n">
        <x:f>IF(OR(J317="",K317="",K317=0),"",J317/K317*L317)</x:f>
        <x:v>87.5</x:v>
      </x:c>
      <x:c r="N317" s="22" t="str">
        <x:f>IF(M317="","",IF(I317="Mayor es mejor",IF(M317&gt;=H317,"En meta",IF(M317&gt;=H317*0.9,"Alerta","Crítico")),IF(M317&lt;=H317,"En meta",IF(M317&lt;=H317*1.1,"Alerta","Crítico"))))</x:f>
        <x:v>Alerta</x:v>
      </x:c>
      <x:c r="O317" s="22" t="str">
        <x:v>%</x:v>
      </x:c>
      <x:c r="P317" s="22" t="str">
        <x:v>Líder SG-SST / Supervisores</x:v>
      </x:c>
      <x:c r="Q317" s="22" t="str">
        <x:v>Programa de inspecciones</x:v>
      </x:c>
      <x:c r="R317" s="22" t="str"/>
    </x:row>
    <x:row r="318">
      <x:c r="A318" s="46" t="n">
        <x:v>45535</x:v>
      </x:c>
      <x:c r="B318" s="22" t="n">
        <x:v>2024</x:v>
      </x:c>
      <x:c r="C318" s="22" t="str">
        <x:v>Agosto</x:v>
      </x:c>
      <x:c r="D318" s="22" t="str">
        <x:v>P05</x:v>
      </x:c>
      <x:c r="E318" s="22" t="str">
        <x:v>% mantenimientos preventivos ejecutados</x:v>
      </x:c>
      <x:c r="F318" s="22" t="str">
        <x:v>Proceso</x:v>
      </x:c>
      <x:c r="G318" s="22" t="str">
        <x:v>Mensual</x:v>
      </x:c>
      <x:c r="H318" s="40" t="n">
        <x:v>90</x:v>
      </x:c>
      <x:c r="I318" s="22" t="str">
        <x:v>Mayor es mejor</x:v>
      </x:c>
      <x:c r="J318" s="40" t="n">
        <x:v>11</x:v>
      </x:c>
      <x:c r="K318" s="40" t="n">
        <x:v>12</x:v>
      </x:c>
      <x:c r="L318" s="40" t="n">
        <x:v>100</x:v>
      </x:c>
      <x:c r="M318" s="40" t="n">
        <x:f>IF(OR(J318="",K318="",K318=0),"",J318/K318*L318)</x:f>
        <x:v>91.66666666666666</x:v>
      </x:c>
      <x:c r="N318" s="22" t="str">
        <x:f>IF(M318="","",IF(I318="Mayor es mejor",IF(M318&gt;=H318,"En meta",IF(M318&gt;=H318*0.9,"Alerta","Crítico")),IF(M318&lt;=H318,"En meta",IF(M318&lt;=H318*1.1,"Alerta","Crítico"))))</x:f>
        <x:v>En meta</x:v>
      </x:c>
      <x:c r="O318" s="22" t="str">
        <x:v>%</x:v>
      </x:c>
      <x:c r="P318" s="22" t="str">
        <x:v>Mantenimiento / Líder SG-SST</x:v>
      </x:c>
      <x:c r="Q318" s="22" t="str">
        <x:v>Programa de mantenimiento preventivo</x:v>
      </x:c>
      <x:c r="R318" s="22" t="str"/>
    </x:row>
    <x:row r="319">
      <x:c r="A319" s="46" t="n">
        <x:v>45535</x:v>
      </x:c>
      <x:c r="B319" s="22" t="n">
        <x:v>2024</x:v>
      </x:c>
      <x:c r="C319" s="22" t="str">
        <x:v>Agosto</x:v>
      </x:c>
      <x:c r="D319" s="22" t="str">
        <x:v>R01</x:v>
      </x:c>
      <x:c r="E319" s="22" t="str">
        <x:v>Índice de frecuencia de accidentalidad (IF)</x:v>
      </x:c>
      <x:c r="F319" s="22" t="str">
        <x:v>Resultado</x:v>
      </x:c>
      <x:c r="G319" s="22" t="str">
        <x:v>Mensual</x:v>
      </x:c>
      <x:c r="H319" s="40" t="n">
        <x:v>3.5</x:v>
      </x:c>
      <x:c r="I319" s="22" t="str">
        <x:v>Menor es mejor</x:v>
      </x:c>
      <x:c r="J319" s="40" t="n">
        <x:v>1</x:v>
      </x:c>
      <x:c r="K319" s="40" t="n">
        <x:v>55929</x:v>
      </x:c>
      <x:c r="L319" s="40" t="n">
        <x:v>200000</x:v>
      </x:c>
      <x:c r="M319" s="40" t="n">
        <x:f>IF(OR(J319="",K319="",K319=0),"",J319/K319*L319)</x:f>
        <x:v>3.5759623808757532</x:v>
      </x:c>
      <x:c r="N319" s="22" t="str">
        <x:f>IF(M319="","",IF(I319="Mayor es mejor",IF(M319&gt;=H319,"En meta",IF(M319&gt;=H319*0.9,"Alerta","Crítico")),IF(M319&lt;=H319,"En meta",IF(M319&lt;=H319*1.1,"Alerta","Crítico"))))</x:f>
        <x:v>Alerta</x:v>
      </x:c>
      <x:c r="O319" s="22" t="str">
        <x:v>Índice</x:v>
      </x:c>
      <x:c r="P319" s="22" t="str">
        <x:v>Líder SG-SST</x:v>
      </x:c>
      <x:c r="Q319" s="22" t="str">
        <x:v>Matriz de accidentalidad / nómina</x:v>
      </x:c>
      <x:c r="R319" s="22" t="str"/>
    </x:row>
    <x:row r="320">
      <x:c r="A320" s="46" t="n">
        <x:v>45535</x:v>
      </x:c>
      <x:c r="B320" s="22" t="n">
        <x:v>2024</x:v>
      </x:c>
      <x:c r="C320" s="22" t="str">
        <x:v>Agosto</x:v>
      </x:c>
      <x:c r="D320" s="22" t="str">
        <x:v>R02</x:v>
      </x:c>
      <x:c r="E320" s="22" t="str">
        <x:v>Índice de severidad de accidentalidad (IS)</x:v>
      </x:c>
      <x:c r="F320" s="22" t="str">
        <x:v>Resultado</x:v>
      </x:c>
      <x:c r="G320" s="22" t="str">
        <x:v>Mensual</x:v>
      </x:c>
      <x:c r="H320" s="40" t="n">
        <x:v>80</x:v>
      </x:c>
      <x:c r="I320" s="22" t="str">
        <x:v>Menor es mejor</x:v>
      </x:c>
      <x:c r="J320" s="40" t="n">
        <x:v>21</x:v>
      </x:c>
      <x:c r="K320" s="40" t="n">
        <x:v>55929</x:v>
      </x:c>
      <x:c r="L320" s="40" t="n">
        <x:v>200000</x:v>
      </x:c>
      <x:c r="M320" s="40" t="n">
        <x:f>IF(OR(J320="",K320="",K320=0),"",J320/K320*L320)</x:f>
        <x:v>75.09520999839081</x:v>
      </x:c>
      <x:c r="N320" s="22" t="str">
        <x:f>IF(M320="","",IF(I320="Mayor es mejor",IF(M320&gt;=H320,"En meta",IF(M320&gt;=H320*0.9,"Alerta","Crítico")),IF(M320&lt;=H320,"En meta",IF(M320&lt;=H320*1.1,"Alerta","Crítico"))))</x:f>
        <x:v>En meta</x:v>
      </x:c>
      <x:c r="O320" s="22" t="str">
        <x:v>Índice</x:v>
      </x:c>
      <x:c r="P320" s="22" t="str">
        <x:v>Líder SG-SST</x:v>
      </x:c>
      <x:c r="Q320" s="22" t="str">
        <x:v>Matriz de accidentalidad / nómina</x:v>
      </x:c>
      <x:c r="R320" s="22" t="str"/>
    </x:row>
    <x:row r="321">
      <x:c r="A321" s="46" t="n">
        <x:v>45535</x:v>
      </x:c>
      <x:c r="B321" s="22" t="n">
        <x:v>2024</x:v>
      </x:c>
      <x:c r="C321" s="22" t="str">
        <x:v>Agosto</x:v>
      </x:c>
      <x:c r="D321" s="22" t="str">
        <x:v>R03</x:v>
      </x:c>
      <x:c r="E321" s="22" t="str">
        <x:v>Índice de lesión incapacitante (ILI)</x:v>
      </x:c>
      <x:c r="F321" s="22" t="str">
        <x:v>Resultado</x:v>
      </x:c>
      <x:c r="G321" s="22" t="str">
        <x:v>Mensual</x:v>
      </x:c>
      <x:c r="H321" s="40" t="n">
        <x:v>0.25</x:v>
      </x:c>
      <x:c r="I321" s="22" t="str">
        <x:v>Menor es mejor</x:v>
      </x:c>
      <x:c r="J321" s="40" t="n">
        <x:v>268.5376</x:v>
      </x:c>
      <x:c r="K321" s="40" t="n">
        <x:v>1000</x:v>
      </x:c>
      <x:c r="L321" s="40" t="n">
        <x:v>1</x:v>
      </x:c>
      <x:c r="M321" s="40" t="n">
        <x:f>IF(OR(J321="",K321="",K321=0),"",J321/K321*L321)</x:f>
        <x:v>0.2685376</x:v>
      </x:c>
      <x:c r="N321" s="22" t="str">
        <x:f>IF(M321="","",IF(I321="Mayor es mejor",IF(M321&gt;=H321,"En meta",IF(M321&gt;=H321*0.9,"Alerta","Crítico")),IF(M321&lt;=H321,"En meta",IF(M321&lt;=H321*1.1,"Alerta","Crítico"))))</x:f>
        <x:v>Alerta</x:v>
      </x:c>
      <x:c r="O321" s="22" t="str">
        <x:v>Índice</x:v>
      </x:c>
      <x:c r="P321" s="22" t="str">
        <x:v>Líder SG-SST</x:v>
      </x:c>
      <x:c r="Q321" s="22" t="str">
        <x:v>Indicadores derivados de accidentalidad</x:v>
      </x:c>
      <x:c r="R321" s="22" t="str">
        <x:v>ILI calculado sobre IF e IS del periodo.</x:v>
      </x:c>
    </x:row>
    <x:row r="322">
      <x:c r="A322" s="46" t="n">
        <x:v>45535</x:v>
      </x:c>
      <x:c r="B322" s="22" t="n">
        <x:v>2024</x:v>
      </x:c>
      <x:c r="C322" s="22" t="str">
        <x:v>Agosto</x:v>
      </x:c>
      <x:c r="D322" s="22" t="str">
        <x:v>R04</x:v>
      </x:c>
      <x:c r="E322" s="22" t="str">
        <x:v>Tasa de accidentalidad</x:v>
      </x:c>
      <x:c r="F322" s="22" t="str">
        <x:v>Resultado</x:v>
      </x:c>
      <x:c r="G322" s="22" t="str">
        <x:v>Mensual</x:v>
      </x:c>
      <x:c r="H322" s="40" t="n">
        <x:v>0.6</x:v>
      </x:c>
      <x:c r="I322" s="22" t="str">
        <x:v>Menor es mejor</x:v>
      </x:c>
      <x:c r="J322" s="40" t="n">
        <x:v>3.65</x:v>
      </x:c>
      <x:c r="K322" s="40" t="n">
        <x:v>229</x:v>
      </x:c>
      <x:c r="L322" s="40" t="n">
        <x:v>100</x:v>
      </x:c>
      <x:c r="M322" s="40" t="n">
        <x:f>IF(OR(J322="",K322="",K322=0),"",J322/K322*L322)</x:f>
        <x:v>1.5938864628820961</x:v>
      </x:c>
      <x:c r="N322" s="22" t="str">
        <x:f>IF(M322="","",IF(I322="Mayor es mejor",IF(M322&gt;=H322,"En meta",IF(M322&gt;=H322*0.9,"Alerta","Crítico")),IF(M322&lt;=H322,"En meta",IF(M322&lt;=H322*1.1,"Alerta","Crítico"))))</x:f>
        <x:v>Crítico</x:v>
      </x:c>
      <x:c r="O322" s="22" t="str">
        <x:v>%</x:v>
      </x:c>
      <x:c r="P322" s="22" t="str">
        <x:v>Líder SG-SST</x:v>
      </x:c>
      <x:c r="Q322" s="22" t="str">
        <x:v>Matriz de accidentalidad / nómina</x:v>
      </x:c>
      <x:c r="R322" s="22" t="str"/>
    </x:row>
    <x:row r="323">
      <x:c r="A323" s="46" t="n">
        <x:v>45535</x:v>
      </x:c>
      <x:c r="B323" s="22" t="n">
        <x:v>2024</x:v>
      </x:c>
      <x:c r="C323" s="22" t="str">
        <x:v>Agosto</x:v>
      </x:c>
      <x:c r="D323" s="22" t="str">
        <x:v>R05</x:v>
      </x:c>
      <x:c r="E323" s="22" t="str">
        <x:v>Prevalencia de enfermedad laboral</x:v>
      </x:c>
      <x:c r="F323" s="22" t="str">
        <x:v>Resultado</x:v>
      </x:c>
      <x:c r="G323" s="22" t="str">
        <x:v>Mensual</x:v>
      </x:c>
      <x:c r="H323" s="40" t="n">
        <x:v>0.3</x:v>
      </x:c>
      <x:c r="I323" s="22" t="str">
        <x:v>Menor es mejor</x:v>
      </x:c>
      <x:c r="J323" s="40" t="n">
        <x:v>3.26</x:v>
      </x:c>
      <x:c r="K323" s="40" t="n">
        <x:v>229</x:v>
      </x:c>
      <x:c r="L323" s="40" t="n">
        <x:v>100</x:v>
      </x:c>
      <x:c r="M323" s="40" t="n">
        <x:f>IF(OR(J323="",K323="",K323=0),"",J323/K323*L323)</x:f>
        <x:v>1.4235807860262006</x:v>
      </x:c>
      <x:c r="N323" s="22" t="str">
        <x:f>IF(M323="","",IF(I323="Mayor es mejor",IF(M323&gt;=H323,"En meta",IF(M323&gt;=H323*0.9,"Alerta","Crítico")),IF(M323&lt;=H323,"En meta",IF(M323&lt;=H323*1.1,"Alerta","Crítico"))))</x:f>
        <x:v>Crítico</x:v>
      </x:c>
      <x:c r="O323" s="22" t="str">
        <x:v>%</x:v>
      </x:c>
      <x:c r="P323" s="22" t="str">
        <x:v>Líder SG-SST / Medicina laboral</x:v>
      </x:c>
      <x:c r="Q323" s="22" t="str">
        <x:v>Matriz de enfermedad laboral / nómina</x:v>
      </x:c>
      <x:c r="R323" s="22" t="str"/>
    </x:row>
    <x:row r="324">
      <x:c r="A324" s="46" t="n">
        <x:v>45535</x:v>
      </x:c>
      <x:c r="B324" s="22" t="n">
        <x:v>2024</x:v>
      </x:c>
      <x:c r="C324" s="22" t="str">
        <x:v>Agosto</x:v>
      </x:c>
      <x:c r="D324" s="22" t="str">
        <x:v>R06</x:v>
      </x:c>
      <x:c r="E324" s="22" t="str">
        <x:v>% cumplimiento de estándares mínimos Res. 0312 de 2019</x:v>
      </x:c>
      <x:c r="F324" s="22" t="str">
        <x:v>Resultado</x:v>
      </x:c>
      <x:c r="G324" s="22" t="str">
        <x:v>Mensual</x:v>
      </x:c>
      <x:c r="H324" s="40" t="n">
        <x:v>95</x:v>
      </x:c>
      <x:c r="I324" s="22" t="str">
        <x:v>Mayor es mejor</x:v>
      </x:c>
      <x:c r="J324" s="40" t="n">
        <x:v>98</x:v>
      </x:c>
      <x:c r="K324" s="40" t="n">
        <x:v>100</x:v>
      </x:c>
      <x:c r="L324" s="40" t="n">
        <x:v>100</x:v>
      </x:c>
      <x:c r="M324" s="40" t="n">
        <x:f>IF(OR(J324="",K324="",K324=0),"",J324/K324*L324)</x:f>
        <x:v>98</x:v>
      </x:c>
      <x:c r="N324" s="22" t="str">
        <x:f>IF(M324="","",IF(I324="Mayor es mejor",IF(M324&gt;=H324,"En meta",IF(M324&gt;=H324*0.9,"Alerta","Crítico")),IF(M324&lt;=H324,"En meta",IF(M324&lt;=H324*1.1,"Alerta","Crítico"))))</x:f>
        <x:v>En meta</x:v>
      </x:c>
      <x:c r="O324" s="22" t="str">
        <x:v>%</x:v>
      </x:c>
      <x:c r="P324" s="22" t="str">
        <x:v>Líder SG-SST / Alta Dirección</x:v>
      </x:c>
      <x:c r="Q324" s="22" t="str">
        <x:v>Autodiagnóstico Res. 0312 de 2019</x:v>
      </x:c>
      <x:c r="R324" s="22" t="str"/>
    </x:row>
    <x:row r="325">
      <x:c r="A325" s="46" t="n">
        <x:v>45565</x:v>
      </x:c>
      <x:c r="B325" s="22" t="n">
        <x:v>2024</x:v>
      </x:c>
      <x:c r="C325" s="22" t="str">
        <x:v>Septiembre</x:v>
      </x:c>
      <x:c r="D325" s="22" t="str">
        <x:v>E01</x:v>
      </x:c>
      <x:c r="E325" s="22" t="str">
        <x:v>% ejecución presupuestal del SG-SST</x:v>
      </x:c>
      <x:c r="F325" s="22" t="str">
        <x:v>Estructura</x:v>
      </x:c>
      <x:c r="G325" s="22" t="str">
        <x:v>Mensual</x:v>
      </x:c>
      <x:c r="H325" s="40" t="n">
        <x:v>95</x:v>
      </x:c>
      <x:c r="I325" s="22" t="str">
        <x:v>Mayor es mejor</x:v>
      </x:c>
      <x:c r="J325" s="40" t="n">
        <x:v>8102542</x:v>
      </x:c>
      <x:c r="K325" s="40" t="n">
        <x:v>8500000</x:v>
      </x:c>
      <x:c r="L325" s="40" t="n">
        <x:v>100</x:v>
      </x:c>
      <x:c r="M325" s="40" t="n">
        <x:f>IF(OR(J325="",K325="",K325=0),"",J325/K325*L325)</x:f>
        <x:v>95.32402352941176</x:v>
      </x:c>
      <x:c r="N325" s="22" t="str">
        <x:f>IF(M325="","",IF(I325="Mayor es mejor",IF(M325&gt;=H325,"En meta",IF(M325&gt;=H325*0.9,"Alerta","Crítico")),IF(M325&lt;=H325,"En meta",IF(M325&lt;=H325*1.1,"Alerta","Crítico"))))</x:f>
        <x:v>En meta</x:v>
      </x:c>
      <x:c r="O325" s="22" t="str">
        <x:v>%</x:v>
      </x:c>
      <x:c r="P325" s="22" t="str">
        <x:v>Líder SG-SST / Dirección Administrativa</x:v>
      </x:c>
      <x:c r="Q325" s="22" t="str">
        <x:v>Presupuesto SST</x:v>
      </x:c>
      <x:c r="R325" s="22" t="str"/>
    </x:row>
    <x:row r="326">
      <x:c r="A326" s="46" t="n">
        <x:v>45565</x:v>
      </x:c>
      <x:c r="B326" s="22" t="n">
        <x:v>2024</x:v>
      </x:c>
      <x:c r="C326" s="22" t="str">
        <x:v>Septiembre</x:v>
      </x:c>
      <x:c r="D326" s="22" t="str">
        <x:v>E02</x:v>
      </x:c>
      <x:c r="E326" s="22" t="str">
        <x:v>% cobertura del plan de formación y capacitación SG-SST</x:v>
      </x:c>
      <x:c r="F326" s="22" t="str">
        <x:v>Estructura</x:v>
      </x:c>
      <x:c r="G326" s="22" t="str">
        <x:v>Mensual</x:v>
      </x:c>
      <x:c r="H326" s="40" t="n">
        <x:v>90</x:v>
      </x:c>
      <x:c r="I326" s="22" t="str">
        <x:v>Mayor es mejor</x:v>
      </x:c>
      <x:c r="J326" s="40" t="n">
        <x:v>18</x:v>
      </x:c>
      <x:c r="K326" s="40" t="n">
        <x:v>20</x:v>
      </x:c>
      <x:c r="L326" s="40" t="n">
        <x:v>100</x:v>
      </x:c>
      <x:c r="M326" s="40" t="n">
        <x:f>IF(OR(J326="",K326="",K326=0),"",J326/K326*L326)</x:f>
        <x:v>90</x:v>
      </x:c>
      <x:c r="N326" s="22" t="str">
        <x:f>IF(M326="","",IF(I326="Mayor es mejor",IF(M326&gt;=H326,"En meta",IF(M326&gt;=H326*0.9,"Alerta","Crítico")),IF(M326&lt;=H326,"En meta",IF(M326&lt;=H326*1.1,"Alerta","Crítico"))))</x:f>
        <x:v>En meta</x:v>
      </x:c>
      <x:c r="O326" s="22" t="str">
        <x:v>%</x:v>
      </x:c>
      <x:c r="P326" s="22" t="str">
        <x:v>Líder SG-SST / Talento Humano</x:v>
      </x:c>
      <x:c r="Q326" s="22" t="str">
        <x:v>Plan de formación y capacitaciones</x:v>
      </x:c>
      <x:c r="R326" s="22" t="str"/>
    </x:row>
    <x:row r="327">
      <x:c r="A327" s="46" t="n">
        <x:v>45565</x:v>
      </x:c>
      <x:c r="B327" s="22" t="n">
        <x:v>2024</x:v>
      </x:c>
      <x:c r="C327" s="22" t="str">
        <x:v>Septiembre</x:v>
      </x:c>
      <x:c r="D327" s="22" t="str">
        <x:v>E03</x:v>
      </x:c>
      <x:c r="E327" s="22" t="str">
        <x:v>% trabajadores con exámenes médicos ocupacionales vigentes</x:v>
      </x:c>
      <x:c r="F327" s="22" t="str">
        <x:v>Estructura</x:v>
      </x:c>
      <x:c r="G327" s="22" t="str">
        <x:v>Mensual</x:v>
      </x:c>
      <x:c r="H327" s="40" t="n">
        <x:v>95</x:v>
      </x:c>
      <x:c r="I327" s="22" t="str">
        <x:v>Mayor es mejor</x:v>
      </x:c>
      <x:c r="J327" s="40" t="n">
        <x:v>219</x:v>
      </x:c>
      <x:c r="K327" s="40" t="n">
        <x:v>228</x:v>
      </x:c>
      <x:c r="L327" s="40" t="n">
        <x:v>100</x:v>
      </x:c>
      <x:c r="M327" s="40" t="n">
        <x:f>IF(OR(J327="",K327="",K327=0),"",J327/K327*L327)</x:f>
        <x:v>96.05263157894737</x:v>
      </x:c>
      <x:c r="N327" s="22" t="str">
        <x:f>IF(M327="","",IF(I327="Mayor es mejor",IF(M327&gt;=H327,"En meta",IF(M327&gt;=H327*0.9,"Alerta","Crítico")),IF(M327&lt;=H327,"En meta",IF(M327&lt;=H327*1.1,"Alerta","Crítico"))))</x:f>
        <x:v>En meta</x:v>
      </x:c>
      <x:c r="O327" s="22" t="str">
        <x:v>%</x:v>
      </x:c>
      <x:c r="P327" s="22" t="str">
        <x:v>Líder SG-SST / Talento Humano</x:v>
      </x:c>
      <x:c r="Q327" s="22" t="str">
        <x:v>Matriz de seguimiento EMO</x:v>
      </x:c>
      <x:c r="R327" s="22" t="str"/>
    </x:row>
    <x:row r="328">
      <x:c r="A328" s="46" t="n">
        <x:v>45565</x:v>
      </x:c>
      <x:c r="B328" s="22" t="n">
        <x:v>2024</x:v>
      </x:c>
      <x:c r="C328" s="22" t="str">
        <x:v>Septiembre</x:v>
      </x:c>
      <x:c r="D328" s="22" t="str">
        <x:v>E04</x:v>
      </x:c>
      <x:c r="E328" s="22" t="str">
        <x:v>% cumplimiento de requisitos legales aplicables en SST</x:v>
      </x:c>
      <x:c r="F328" s="22" t="str">
        <x:v>Estructura</x:v>
      </x:c>
      <x:c r="G328" s="22" t="str">
        <x:v>Mensual</x:v>
      </x:c>
      <x:c r="H328" s="40" t="n">
        <x:v>95</x:v>
      </x:c>
      <x:c r="I328" s="22" t="str">
        <x:v>Mayor es mejor</x:v>
      </x:c>
      <x:c r="J328" s="40" t="n">
        <x:v>58</x:v>
      </x:c>
      <x:c r="K328" s="40" t="n">
        <x:v>60</x:v>
      </x:c>
      <x:c r="L328" s="40" t="n">
        <x:v>100</x:v>
      </x:c>
      <x:c r="M328" s="40" t="n">
        <x:f>IF(OR(J328="",K328="",K328=0),"",J328/K328*L328)</x:f>
        <x:v>96.66666666666667</x:v>
      </x:c>
      <x:c r="N328" s="22" t="str">
        <x:f>IF(M328="","",IF(I328="Mayor es mejor",IF(M328&gt;=H328,"En meta",IF(M328&gt;=H328*0.9,"Alerta","Crítico")),IF(M328&lt;=H328,"En meta",IF(M328&lt;=H328*1.1,"Alerta","Crítico"))))</x:f>
        <x:v>En meta</x:v>
      </x:c>
      <x:c r="O328" s="22" t="str">
        <x:v>%</x:v>
      </x:c>
      <x:c r="P328" s="22" t="str">
        <x:v>Líder SG-SST / Jurídica</x:v>
      </x:c>
      <x:c r="Q328" s="22" t="str">
        <x:v>Matriz legal SGRL</x:v>
      </x:c>
      <x:c r="R328" s="22" t="str"/>
    </x:row>
    <x:row r="329">
      <x:c r="A329" s="46" t="n">
        <x:v>45565</x:v>
      </x:c>
      <x:c r="B329" s="22" t="n">
        <x:v>2024</x:v>
      </x:c>
      <x:c r="C329" s="22" t="str">
        <x:v>Septiembre</x:v>
      </x:c>
      <x:c r="D329" s="22" t="str">
        <x:v>E05</x:v>
      </x:c>
      <x:c r="E329" s="22" t="str">
        <x:v>% proveedores y contratistas aprobados en SST</x:v>
      </x:c>
      <x:c r="F329" s="22" t="str">
        <x:v>Estructura</x:v>
      </x:c>
      <x:c r="G329" s="22" t="str">
        <x:v>Mensual</x:v>
      </x:c>
      <x:c r="H329" s="40" t="n">
        <x:v>90</x:v>
      </x:c>
      <x:c r="I329" s="22" t="str">
        <x:v>Mayor es mejor</x:v>
      </x:c>
      <x:c r="J329" s="40" t="n">
        <x:v>18</x:v>
      </x:c>
      <x:c r="K329" s="40" t="n">
        <x:v>20</x:v>
      </x:c>
      <x:c r="L329" s="40" t="n">
        <x:v>100</x:v>
      </x:c>
      <x:c r="M329" s="40" t="n">
        <x:f>IF(OR(J329="",K329="",K329=0),"",J329/K329*L329)</x:f>
        <x:v>90</x:v>
      </x:c>
      <x:c r="N329" s="22" t="str">
        <x:f>IF(M329="","",IF(I329="Mayor es mejor",IF(M329&gt;=H329,"En meta",IF(M329&gt;=H329*0.9,"Alerta","Crítico")),IF(M329&lt;=H329,"En meta",IF(M329&lt;=H329*1.1,"Alerta","Crítico"))))</x:f>
        <x:v>En meta</x:v>
      </x:c>
      <x:c r="O329" s="22" t="str">
        <x:v>%</x:v>
      </x:c>
      <x:c r="P329" s="22" t="str">
        <x:v>Compras / Líder SG-SST</x:v>
      </x:c>
      <x:c r="Q329" s="22" t="str">
        <x:v>Gestión de proveedores y contratistas</x:v>
      </x:c>
      <x:c r="R329" s="22" t="str"/>
    </x:row>
    <x:row r="330">
      <x:c r="A330" s="46" t="n">
        <x:v>45565</x:v>
      </x:c>
      <x:c r="B330" s="22" t="n">
        <x:v>2024</x:v>
      </x:c>
      <x:c r="C330" s="22" t="str">
        <x:v>Septiembre</x:v>
      </x:c>
      <x:c r="D330" s="22" t="str">
        <x:v>P01</x:v>
      </x:c>
      <x:c r="E330" s="22" t="str">
        <x:v>% ejecución del plan anual de trabajo SG-SST</x:v>
      </x:c>
      <x:c r="F330" s="22" t="str">
        <x:v>Proceso</x:v>
      </x:c>
      <x:c r="G330" s="22" t="str">
        <x:v>Mensual</x:v>
      </x:c>
      <x:c r="H330" s="40" t="n">
        <x:v>90</x:v>
      </x:c>
      <x:c r="I330" s="22" t="str">
        <x:v>Mayor es mejor</x:v>
      </x:c>
      <x:c r="J330" s="40" t="n">
        <x:v>9</x:v>
      </x:c>
      <x:c r="K330" s="40" t="n">
        <x:v>10</x:v>
      </x:c>
      <x:c r="L330" s="40" t="n">
        <x:v>100</x:v>
      </x:c>
      <x:c r="M330" s="40" t="n">
        <x:f>IF(OR(J330="",K330="",K330=0),"",J330/K330*L330)</x:f>
        <x:v>90</x:v>
      </x:c>
      <x:c r="N330" s="22" t="str">
        <x:f>IF(M330="","",IF(I330="Mayor es mejor",IF(M330&gt;=H330,"En meta",IF(M330&gt;=H330*0.9,"Alerta","Crítico")),IF(M330&lt;=H330,"En meta",IF(M330&lt;=H330*1.1,"Alerta","Crítico"))))</x:f>
        <x:v>En meta</x:v>
      </x:c>
      <x:c r="O330" s="22" t="str">
        <x:v>%</x:v>
      </x:c>
      <x:c r="P330" s="22" t="str">
        <x:v>Líder SG-SST</x:v>
      </x:c>
      <x:c r="Q330" s="22" t="str">
        <x:v>Plan anual de trabajo PHVA</x:v>
      </x:c>
      <x:c r="R330" s="22" t="str"/>
    </x:row>
    <x:row r="331">
      <x:c r="A331" s="46" t="n">
        <x:v>45565</x:v>
      </x:c>
      <x:c r="B331" s="22" t="n">
        <x:v>2024</x:v>
      </x:c>
      <x:c r="C331" s="22" t="str">
        <x:v>Septiembre</x:v>
      </x:c>
      <x:c r="D331" s="22" t="str">
        <x:v>P02</x:v>
      </x:c>
      <x:c r="E331" s="22" t="str">
        <x:v>% investigaciones de accidentes realizadas oportunamente</x:v>
      </x:c>
      <x:c r="F331" s="22" t="str">
        <x:v>Proceso</x:v>
      </x:c>
      <x:c r="G331" s="22" t="str">
        <x:v>Mensual</x:v>
      </x:c>
      <x:c r="H331" s="40" t="n">
        <x:v>95</x:v>
      </x:c>
      <x:c r="I331" s="22" t="str">
        <x:v>Mayor es mejor</x:v>
      </x:c>
      <x:c r="J331" s="40" t="n">
        <x:v>1</x:v>
      </x:c>
      <x:c r="K331" s="40" t="n">
        <x:v>1</x:v>
      </x:c>
      <x:c r="L331" s="40" t="n">
        <x:v>100</x:v>
      </x:c>
      <x:c r="M331" s="40" t="n">
        <x:f>IF(OR(J331="",K331="",K331=0),"",J331/K331*L331)</x:f>
        <x:v>100</x:v>
      </x:c>
      <x:c r="N331" s="22" t="str">
        <x:f>IF(M331="","",IF(I331="Mayor es mejor",IF(M331&gt;=H331,"En meta",IF(M331&gt;=H331*0.9,"Alerta","Crítico")),IF(M331&lt;=H331,"En meta",IF(M331&lt;=H331*1.1,"Alerta","Crítico"))))</x:f>
        <x:v>En meta</x:v>
      </x:c>
      <x:c r="O331" s="22" t="str">
        <x:v>%</x:v>
      </x:c>
      <x:c r="P331" s="22" t="str">
        <x:v>Líder SG-SST / COPASST</x:v>
      </x:c>
      <x:c r="Q331" s="22" t="str">
        <x:v>Matriz de accidentalidad</x:v>
      </x:c>
      <x:c r="R331" s="22" t="str"/>
    </x:row>
    <x:row r="332">
      <x:c r="A332" s="46" t="n">
        <x:v>45565</x:v>
      </x:c>
      <x:c r="B332" s="22" t="n">
        <x:v>2024</x:v>
      </x:c>
      <x:c r="C332" s="22" t="str">
        <x:v>Septiembre</x:v>
      </x:c>
      <x:c r="D332" s="22" t="str">
        <x:v>P03</x:v>
      </x:c>
      <x:c r="E332" s="22" t="str">
        <x:v>% cierre oportuno de acciones correctivas, preventivas y de mejora</x:v>
      </x:c>
      <x:c r="F332" s="22" t="str">
        <x:v>Proceso</x:v>
      </x:c>
      <x:c r="G332" s="22" t="str">
        <x:v>Mensual</x:v>
      </x:c>
      <x:c r="H332" s="40" t="n">
        <x:v>90</x:v>
      </x:c>
      <x:c r="I332" s="22" t="str">
        <x:v>Mayor es mejor</x:v>
      </x:c>
      <x:c r="J332" s="40" t="n">
        <x:v>12</x:v>
      </x:c>
      <x:c r="K332" s="40" t="n">
        <x:v>14</x:v>
      </x:c>
      <x:c r="L332" s="40" t="n">
        <x:v>100</x:v>
      </x:c>
      <x:c r="M332" s="40" t="n">
        <x:f>IF(OR(J332="",K332="",K332=0),"",J332/K332*L332)</x:f>
        <x:v>85.71428571428571</x:v>
      </x:c>
      <x:c r="N332" s="22" t="str">
        <x:f>IF(M332="","",IF(I332="Mayor es mejor",IF(M332&gt;=H332,"En meta",IF(M332&gt;=H332*0.9,"Alerta","Crítico")),IF(M332&lt;=H332,"En meta",IF(M332&lt;=H332*1.1,"Alerta","Crítico"))))</x:f>
        <x:v>Alerta</x:v>
      </x:c>
      <x:c r="O332" s="22" t="str">
        <x:v>%</x:v>
      </x:c>
      <x:c r="P332" s="22" t="str">
        <x:v>Líder SG-SST / Responsables de proceso</x:v>
      </x:c>
      <x:c r="Q332" s="22" t="str">
        <x:v>Matriz APCM</x:v>
      </x:c>
      <x:c r="R332" s="22" t="str"/>
    </x:row>
    <x:row r="333">
      <x:c r="A333" s="46" t="n">
        <x:v>45565</x:v>
      </x:c>
      <x:c r="B333" s="22" t="n">
        <x:v>2024</x:v>
      </x:c>
      <x:c r="C333" s="22" t="str">
        <x:v>Septiembre</x:v>
      </x:c>
      <x:c r="D333" s="22" t="str">
        <x:v>P04</x:v>
      </x:c>
      <x:c r="E333" s="22" t="str">
        <x:v>% inspecciones de seguridad ejecutadas</x:v>
      </x:c>
      <x:c r="F333" s="22" t="str">
        <x:v>Proceso</x:v>
      </x:c>
      <x:c r="G333" s="22" t="str">
        <x:v>Mensual</x:v>
      </x:c>
      <x:c r="H333" s="40" t="n">
        <x:v>90</x:v>
      </x:c>
      <x:c r="I333" s="22" t="str">
        <x:v>Mayor es mejor</x:v>
      </x:c>
      <x:c r="J333" s="40" t="n">
        <x:v>8</x:v>
      </x:c>
      <x:c r="K333" s="40" t="n">
        <x:v>9</x:v>
      </x:c>
      <x:c r="L333" s="40" t="n">
        <x:v>100</x:v>
      </x:c>
      <x:c r="M333" s="40" t="n">
        <x:f>IF(OR(J333="",K333="",K333=0),"",J333/K333*L333)</x:f>
        <x:v>88.88888888888889</x:v>
      </x:c>
      <x:c r="N333" s="22" t="str">
        <x:f>IF(M333="","",IF(I333="Mayor es mejor",IF(M333&gt;=H333,"En meta",IF(M333&gt;=H333*0.9,"Alerta","Crítico")),IF(M333&lt;=H333,"En meta",IF(M333&lt;=H333*1.1,"Alerta","Crítico"))))</x:f>
        <x:v>Alerta</x:v>
      </x:c>
      <x:c r="O333" s="22" t="str">
        <x:v>%</x:v>
      </x:c>
      <x:c r="P333" s="22" t="str">
        <x:v>Líder SG-SST / Supervisores</x:v>
      </x:c>
      <x:c r="Q333" s="22" t="str">
        <x:v>Programa de inspecciones</x:v>
      </x:c>
      <x:c r="R333" s="22" t="str"/>
    </x:row>
    <x:row r="334">
      <x:c r="A334" s="46" t="n">
        <x:v>45565</x:v>
      </x:c>
      <x:c r="B334" s="22" t="n">
        <x:v>2024</x:v>
      </x:c>
      <x:c r="C334" s="22" t="str">
        <x:v>Septiembre</x:v>
      </x:c>
      <x:c r="D334" s="22" t="str">
        <x:v>P05</x:v>
      </x:c>
      <x:c r="E334" s="22" t="str">
        <x:v>% mantenimientos preventivos ejecutados</x:v>
      </x:c>
      <x:c r="F334" s="22" t="str">
        <x:v>Proceso</x:v>
      </x:c>
      <x:c r="G334" s="22" t="str">
        <x:v>Mensual</x:v>
      </x:c>
      <x:c r="H334" s="40" t="n">
        <x:v>90</x:v>
      </x:c>
      <x:c r="I334" s="22" t="str">
        <x:v>Mayor es mejor</x:v>
      </x:c>
      <x:c r="J334" s="40" t="n">
        <x:v>12</x:v>
      </x:c>
      <x:c r="K334" s="40" t="n">
        <x:v>13</x:v>
      </x:c>
      <x:c r="L334" s="40" t="n">
        <x:v>100</x:v>
      </x:c>
      <x:c r="M334" s="40" t="n">
        <x:f>IF(OR(J334="",K334="",K334=0),"",J334/K334*L334)</x:f>
        <x:v>92.3076923076923</x:v>
      </x:c>
      <x:c r="N334" s="22" t="str">
        <x:f>IF(M334="","",IF(I334="Mayor es mejor",IF(M334&gt;=H334,"En meta",IF(M334&gt;=H334*0.9,"Alerta","Crítico")),IF(M334&lt;=H334,"En meta",IF(M334&lt;=H334*1.1,"Alerta","Crítico"))))</x:f>
        <x:v>En meta</x:v>
      </x:c>
      <x:c r="O334" s="22" t="str">
        <x:v>%</x:v>
      </x:c>
      <x:c r="P334" s="22" t="str">
        <x:v>Mantenimiento / Líder SG-SST</x:v>
      </x:c>
      <x:c r="Q334" s="22" t="str">
        <x:v>Programa de mantenimiento preventivo</x:v>
      </x:c>
      <x:c r="R334" s="22" t="str"/>
    </x:row>
    <x:row r="335">
      <x:c r="A335" s="46" t="n">
        <x:v>45565</x:v>
      </x:c>
      <x:c r="B335" s="22" t="n">
        <x:v>2024</x:v>
      </x:c>
      <x:c r="C335" s="22" t="str">
        <x:v>Septiembre</x:v>
      </x:c>
      <x:c r="D335" s="22" t="str">
        <x:v>R01</x:v>
      </x:c>
      <x:c r="E335" s="22" t="str">
        <x:v>Índice de frecuencia de accidentalidad (IF)</x:v>
      </x:c>
      <x:c r="F335" s="22" t="str">
        <x:v>Resultado</x:v>
      </x:c>
      <x:c r="G335" s="22" t="str">
        <x:v>Mensual</x:v>
      </x:c>
      <x:c r="H335" s="40" t="n">
        <x:v>3.5</x:v>
      </x:c>
      <x:c r="I335" s="22" t="str">
        <x:v>Menor es mejor</x:v>
      </x:c>
      <x:c r="J335" s="40" t="n">
        <x:v>1</x:v>
      </x:c>
      <x:c r="K335" s="40" t="n">
        <x:v>55406</x:v>
      </x:c>
      <x:c r="L335" s="40" t="n">
        <x:v>200000</x:v>
      </x:c>
      <x:c r="M335" s="40" t="n">
        <x:f>IF(OR(J335="",K335="",K335=0),"",J335/K335*L335)</x:f>
        <x:v>3.60971735913078</x:v>
      </x:c>
      <x:c r="N335" s="22" t="str">
        <x:f>IF(M335="","",IF(I335="Mayor es mejor",IF(M335&gt;=H335,"En meta",IF(M335&gt;=H335*0.9,"Alerta","Crítico")),IF(M335&lt;=H335,"En meta",IF(M335&lt;=H335*1.1,"Alerta","Crítico"))))</x:f>
        <x:v>Alerta</x:v>
      </x:c>
      <x:c r="O335" s="22" t="str">
        <x:v>Índice</x:v>
      </x:c>
      <x:c r="P335" s="22" t="str">
        <x:v>Líder SG-SST</x:v>
      </x:c>
      <x:c r="Q335" s="22" t="str">
        <x:v>Matriz de accidentalidad / nómina</x:v>
      </x:c>
      <x:c r="R335" s="22" t="str"/>
    </x:row>
    <x:row r="336">
      <x:c r="A336" s="46" t="n">
        <x:v>45565</x:v>
      </x:c>
      <x:c r="B336" s="22" t="n">
        <x:v>2024</x:v>
      </x:c>
      <x:c r="C336" s="22" t="str">
        <x:v>Septiembre</x:v>
      </x:c>
      <x:c r="D336" s="22" t="str">
        <x:v>R02</x:v>
      </x:c>
      <x:c r="E336" s="22" t="str">
        <x:v>Índice de severidad de accidentalidad (IS)</x:v>
      </x:c>
      <x:c r="F336" s="22" t="str">
        <x:v>Resultado</x:v>
      </x:c>
      <x:c r="G336" s="22" t="str">
        <x:v>Mensual</x:v>
      </x:c>
      <x:c r="H336" s="40" t="n">
        <x:v>80</x:v>
      </x:c>
      <x:c r="I336" s="22" t="str">
        <x:v>Menor es mejor</x:v>
      </x:c>
      <x:c r="J336" s="40" t="n">
        <x:v>20</x:v>
      </x:c>
      <x:c r="K336" s="40" t="n">
        <x:v>55406</x:v>
      </x:c>
      <x:c r="L336" s="40" t="n">
        <x:v>200000</x:v>
      </x:c>
      <x:c r="M336" s="40" t="n">
        <x:f>IF(OR(J336="",K336="",K336=0),"",J336/K336*L336)</x:f>
        <x:v>72.1943471826156</x:v>
      </x:c>
      <x:c r="N336" s="22" t="str">
        <x:f>IF(M336="","",IF(I336="Mayor es mejor",IF(M336&gt;=H336,"En meta",IF(M336&gt;=H336*0.9,"Alerta","Crítico")),IF(M336&lt;=H336,"En meta",IF(M336&lt;=H336*1.1,"Alerta","Crítico"))))</x:f>
        <x:v>En meta</x:v>
      </x:c>
      <x:c r="O336" s="22" t="str">
        <x:v>Índice</x:v>
      </x:c>
      <x:c r="P336" s="22" t="str">
        <x:v>Líder SG-SST</x:v>
      </x:c>
      <x:c r="Q336" s="22" t="str">
        <x:v>Matriz de accidentalidad / nómina</x:v>
      </x:c>
      <x:c r="R336" s="22" t="str"/>
    </x:row>
    <x:row r="337">
      <x:c r="A337" s="46" t="n">
        <x:v>45565</x:v>
      </x:c>
      <x:c r="B337" s="22" t="n">
        <x:v>2024</x:v>
      </x:c>
      <x:c r="C337" s="22" t="str">
        <x:v>Septiembre</x:v>
      </x:c>
      <x:c r="D337" s="22" t="str">
        <x:v>R03</x:v>
      </x:c>
      <x:c r="E337" s="22" t="str">
        <x:v>Índice de lesión incapacitante (ILI)</x:v>
      </x:c>
      <x:c r="F337" s="22" t="str">
        <x:v>Resultado</x:v>
      </x:c>
      <x:c r="G337" s="22" t="str">
        <x:v>Mensual</x:v>
      </x:c>
      <x:c r="H337" s="40" t="n">
        <x:v>0.25</x:v>
      </x:c>
      <x:c r="I337" s="22" t="str">
        <x:v>Menor es mejor</x:v>
      </x:c>
      <x:c r="J337" s="40" t="n">
        <x:v>260.6012</x:v>
      </x:c>
      <x:c r="K337" s="40" t="n">
        <x:v>1000</x:v>
      </x:c>
      <x:c r="L337" s="40" t="n">
        <x:v>1</x:v>
      </x:c>
      <x:c r="M337" s="40" t="n">
        <x:f>IF(OR(J337="",K337="",K337=0),"",J337/K337*L337)</x:f>
        <x:v>0.26060120000000003</x:v>
      </x:c>
      <x:c r="N337" s="22" t="str">
        <x:f>IF(M337="","",IF(I337="Mayor es mejor",IF(M337&gt;=H337,"En meta",IF(M337&gt;=H337*0.9,"Alerta","Crítico")),IF(M337&lt;=H337,"En meta",IF(M337&lt;=H337*1.1,"Alerta","Crítico"))))</x:f>
        <x:v>Alerta</x:v>
      </x:c>
      <x:c r="O337" s="22" t="str">
        <x:v>Índice</x:v>
      </x:c>
      <x:c r="P337" s="22" t="str">
        <x:v>Líder SG-SST</x:v>
      </x:c>
      <x:c r="Q337" s="22" t="str">
        <x:v>Indicadores derivados de accidentalidad</x:v>
      </x:c>
      <x:c r="R337" s="22" t="str">
        <x:v>ILI calculado sobre IF e IS del periodo.</x:v>
      </x:c>
    </x:row>
    <x:row r="338">
      <x:c r="A338" s="46" t="n">
        <x:v>45565</x:v>
      </x:c>
      <x:c r="B338" s="22" t="n">
        <x:v>2024</x:v>
      </x:c>
      <x:c r="C338" s="22" t="str">
        <x:v>Septiembre</x:v>
      </x:c>
      <x:c r="D338" s="22" t="str">
        <x:v>R04</x:v>
      </x:c>
      <x:c r="E338" s="22" t="str">
        <x:v>Tasa de accidentalidad</x:v>
      </x:c>
      <x:c r="F338" s="22" t="str">
        <x:v>Resultado</x:v>
      </x:c>
      <x:c r="G338" s="22" t="str">
        <x:v>Mensual</x:v>
      </x:c>
      <x:c r="H338" s="40" t="n">
        <x:v>0.6</x:v>
      </x:c>
      <x:c r="I338" s="22" t="str">
        <x:v>Menor es mejor</x:v>
      </x:c>
      <x:c r="J338" s="40" t="n">
        <x:v>0.02</x:v>
      </x:c>
      <x:c r="K338" s="40" t="n">
        <x:v>228</x:v>
      </x:c>
      <x:c r="L338" s="40" t="n">
        <x:v>100</x:v>
      </x:c>
      <x:c r="M338" s="40" t="n">
        <x:f>IF(OR(J338="",K338="",K338=0),"",J338/K338*L338)</x:f>
        <x:v>0.008771929824561405</x:v>
      </x:c>
      <x:c r="N338" s="22" t="str">
        <x:f>IF(M338="","",IF(I338="Mayor es mejor",IF(M338&gt;=H338,"En meta",IF(M338&gt;=H338*0.9,"Alerta","Crítico")),IF(M338&lt;=H338,"En meta",IF(M338&lt;=H338*1.1,"Alerta","Crítico"))))</x:f>
        <x:v>En meta</x:v>
      </x:c>
      <x:c r="O338" s="22" t="str">
        <x:v>%</x:v>
      </x:c>
      <x:c r="P338" s="22" t="str">
        <x:v>Líder SG-SST</x:v>
      </x:c>
      <x:c r="Q338" s="22" t="str">
        <x:v>Matriz de accidentalidad / nómina</x:v>
      </x:c>
      <x:c r="R338" s="22" t="str"/>
    </x:row>
    <x:row r="339">
      <x:c r="A339" s="46" t="n">
        <x:v>45565</x:v>
      </x:c>
      <x:c r="B339" s="22" t="n">
        <x:v>2024</x:v>
      </x:c>
      <x:c r="C339" s="22" t="str">
        <x:v>Septiembre</x:v>
      </x:c>
      <x:c r="D339" s="22" t="str">
        <x:v>R05</x:v>
      </x:c>
      <x:c r="E339" s="22" t="str">
        <x:v>Prevalencia de enfermedad laboral</x:v>
      </x:c>
      <x:c r="F339" s="22" t="str">
        <x:v>Resultado</x:v>
      </x:c>
      <x:c r="G339" s="22" t="str">
        <x:v>Mensual</x:v>
      </x:c>
      <x:c r="H339" s="40" t="n">
        <x:v>0.3</x:v>
      </x:c>
      <x:c r="I339" s="22" t="str">
        <x:v>Menor es mejor</x:v>
      </x:c>
      <x:c r="J339" s="40" t="n">
        <x:v>0.02</x:v>
      </x:c>
      <x:c r="K339" s="40" t="n">
        <x:v>228</x:v>
      </x:c>
      <x:c r="L339" s="40" t="n">
        <x:v>100</x:v>
      </x:c>
      <x:c r="M339" s="40" t="n">
        <x:f>IF(OR(J339="",K339="",K339=0),"",J339/K339*L339)</x:f>
        <x:v>0.008771929824561405</x:v>
      </x:c>
      <x:c r="N339" s="22" t="str">
        <x:f>IF(M339="","",IF(I339="Mayor es mejor",IF(M339&gt;=H339,"En meta",IF(M339&gt;=H339*0.9,"Alerta","Crítico")),IF(M339&lt;=H339,"En meta",IF(M339&lt;=H339*1.1,"Alerta","Crítico"))))</x:f>
        <x:v>En meta</x:v>
      </x:c>
      <x:c r="O339" s="22" t="str">
        <x:v>%</x:v>
      </x:c>
      <x:c r="P339" s="22" t="str">
        <x:v>Líder SG-SST / Medicina laboral</x:v>
      </x:c>
      <x:c r="Q339" s="22" t="str">
        <x:v>Matriz de enfermedad laboral / nómina</x:v>
      </x:c>
      <x:c r="R339" s="22" t="str"/>
    </x:row>
    <x:row r="340">
      <x:c r="A340" s="46" t="n">
        <x:v>45565</x:v>
      </x:c>
      <x:c r="B340" s="22" t="n">
        <x:v>2024</x:v>
      </x:c>
      <x:c r="C340" s="22" t="str">
        <x:v>Septiembre</x:v>
      </x:c>
      <x:c r="D340" s="22" t="str">
        <x:v>R06</x:v>
      </x:c>
      <x:c r="E340" s="22" t="str">
        <x:v>% cumplimiento de estándares mínimos Res. 0312 de 2019</x:v>
      </x:c>
      <x:c r="F340" s="22" t="str">
        <x:v>Resultado</x:v>
      </x:c>
      <x:c r="G340" s="22" t="str">
        <x:v>Mensual</x:v>
      </x:c>
      <x:c r="H340" s="40" t="n">
        <x:v>95</x:v>
      </x:c>
      <x:c r="I340" s="22" t="str">
        <x:v>Mayor es mejor</x:v>
      </x:c>
      <x:c r="J340" s="40" t="n">
        <x:v>98</x:v>
      </x:c>
      <x:c r="K340" s="40" t="n">
        <x:v>100</x:v>
      </x:c>
      <x:c r="L340" s="40" t="n">
        <x:v>100</x:v>
      </x:c>
      <x:c r="M340" s="40" t="n">
        <x:f>IF(OR(J340="",K340="",K340=0),"",J340/K340*L340)</x:f>
        <x:v>98</x:v>
      </x:c>
      <x:c r="N340" s="22" t="str">
        <x:f>IF(M340="","",IF(I340="Mayor es mejor",IF(M340&gt;=H340,"En meta",IF(M340&gt;=H340*0.9,"Alerta","Crítico")),IF(M340&lt;=H340,"En meta",IF(M340&lt;=H340*1.1,"Alerta","Crítico"))))</x:f>
        <x:v>En meta</x:v>
      </x:c>
      <x:c r="O340" s="22" t="str">
        <x:v>%</x:v>
      </x:c>
      <x:c r="P340" s="22" t="str">
        <x:v>Líder SG-SST / Alta Dirección</x:v>
      </x:c>
      <x:c r="Q340" s="22" t="str">
        <x:v>Autodiagnóstico Res. 0312 de 2019</x:v>
      </x:c>
      <x:c r="R340" s="22" t="str"/>
    </x:row>
    <x:row r="341">
      <x:c r="A341" s="46" t="n">
        <x:v>45596</x:v>
      </x:c>
      <x:c r="B341" s="22" t="n">
        <x:v>2024</x:v>
      </x:c>
      <x:c r="C341" s="22" t="str">
        <x:v>Octubre</x:v>
      </x:c>
      <x:c r="D341" s="22" t="str">
        <x:v>E01</x:v>
      </x:c>
      <x:c r="E341" s="22" t="str">
        <x:v>% ejecución presupuestal del SG-SST</x:v>
      </x:c>
      <x:c r="F341" s="22" t="str">
        <x:v>Estructura</x:v>
      </x:c>
      <x:c r="G341" s="22" t="str">
        <x:v>Mensual</x:v>
      </x:c>
      <x:c r="H341" s="40" t="n">
        <x:v>95</x:v>
      </x:c>
      <x:c r="I341" s="22" t="str">
        <x:v>Mayor es mejor</x:v>
      </x:c>
      <x:c r="J341" s="40" t="n">
        <x:v>8533452</x:v>
      </x:c>
      <x:c r="K341" s="40" t="n">
        <x:v>9000000</x:v>
      </x:c>
      <x:c r="L341" s="40" t="n">
        <x:v>100</x:v>
      </x:c>
      <x:c r="M341" s="40" t="n">
        <x:f>IF(OR(J341="",K341="",K341=0),"",J341/K341*L341)</x:f>
        <x:v>94.81613333333333</x:v>
      </x:c>
      <x:c r="N341" s="22" t="str">
        <x:f>IF(M341="","",IF(I341="Mayor es mejor",IF(M341&gt;=H341,"En meta",IF(M341&gt;=H341*0.9,"Alerta","Crítico")),IF(M341&lt;=H341,"En meta",IF(M341&lt;=H341*1.1,"Alerta","Crítico"))))</x:f>
        <x:v>Alerta</x:v>
      </x:c>
      <x:c r="O341" s="22" t="str">
        <x:v>%</x:v>
      </x:c>
      <x:c r="P341" s="22" t="str">
        <x:v>Líder SG-SST / Dirección Administrativa</x:v>
      </x:c>
      <x:c r="Q341" s="22" t="str">
        <x:v>Presupuesto SST</x:v>
      </x:c>
      <x:c r="R341" s="22" t="str"/>
    </x:row>
    <x:row r="342">
      <x:c r="A342" s="46" t="n">
        <x:v>45596</x:v>
      </x:c>
      <x:c r="B342" s="22" t="n">
        <x:v>2024</x:v>
      </x:c>
      <x:c r="C342" s="22" t="str">
        <x:v>Octubre</x:v>
      </x:c>
      <x:c r="D342" s="22" t="str">
        <x:v>E02</x:v>
      </x:c>
      <x:c r="E342" s="22" t="str">
        <x:v>% cobertura del plan de formación y capacitación SG-SST</x:v>
      </x:c>
      <x:c r="F342" s="22" t="str">
        <x:v>Estructura</x:v>
      </x:c>
      <x:c r="G342" s="22" t="str">
        <x:v>Mensual</x:v>
      </x:c>
      <x:c r="H342" s="40" t="n">
        <x:v>90</x:v>
      </x:c>
      <x:c r="I342" s="22" t="str">
        <x:v>Mayor es mejor</x:v>
      </x:c>
      <x:c r="J342" s="40" t="n">
        <x:v>20</x:v>
      </x:c>
      <x:c r="K342" s="40" t="n">
        <x:v>22</x:v>
      </x:c>
      <x:c r="L342" s="40" t="n">
        <x:v>100</x:v>
      </x:c>
      <x:c r="M342" s="40" t="n">
        <x:f>IF(OR(J342="",K342="",K342=0),"",J342/K342*L342)</x:f>
        <x:v>90.9090909090909</x:v>
      </x:c>
      <x:c r="N342" s="22" t="str">
        <x:f>IF(M342="","",IF(I342="Mayor es mejor",IF(M342&gt;=H342,"En meta",IF(M342&gt;=H342*0.9,"Alerta","Crítico")),IF(M342&lt;=H342,"En meta",IF(M342&lt;=H342*1.1,"Alerta","Crítico"))))</x:f>
        <x:v>En meta</x:v>
      </x:c>
      <x:c r="O342" s="22" t="str">
        <x:v>%</x:v>
      </x:c>
      <x:c r="P342" s="22" t="str">
        <x:v>Líder SG-SST / Talento Humano</x:v>
      </x:c>
      <x:c r="Q342" s="22" t="str">
        <x:v>Plan de formación y capacitaciones</x:v>
      </x:c>
      <x:c r="R342" s="22" t="str"/>
    </x:row>
    <x:row r="343">
      <x:c r="A343" s="46" t="n">
        <x:v>45596</x:v>
      </x:c>
      <x:c r="B343" s="22" t="n">
        <x:v>2024</x:v>
      </x:c>
      <x:c r="C343" s="22" t="str">
        <x:v>Octubre</x:v>
      </x:c>
      <x:c r="D343" s="22" t="str">
        <x:v>E03</x:v>
      </x:c>
      <x:c r="E343" s="22" t="str">
        <x:v>% trabajadores con exámenes médicos ocupacionales vigentes</x:v>
      </x:c>
      <x:c r="F343" s="22" t="str">
        <x:v>Estructura</x:v>
      </x:c>
      <x:c r="G343" s="22" t="str">
        <x:v>Mensual</x:v>
      </x:c>
      <x:c r="H343" s="40" t="n">
        <x:v>95</x:v>
      </x:c>
      <x:c r="I343" s="22" t="str">
        <x:v>Mayor es mejor</x:v>
      </x:c>
      <x:c r="J343" s="40" t="n">
        <x:v>207</x:v>
      </x:c>
      <x:c r="K343" s="40" t="n">
        <x:v>221</x:v>
      </x:c>
      <x:c r="L343" s="40" t="n">
        <x:v>100</x:v>
      </x:c>
      <x:c r="M343" s="40" t="n">
        <x:f>IF(OR(J343="",K343="",K343=0),"",J343/K343*L343)</x:f>
        <x:v>93.66515837104072</x:v>
      </x:c>
      <x:c r="N343" s="22" t="str">
        <x:f>IF(M343="","",IF(I343="Mayor es mejor",IF(M343&gt;=H343,"En meta",IF(M343&gt;=H343*0.9,"Alerta","Crítico")),IF(M343&lt;=H343,"En meta",IF(M343&lt;=H343*1.1,"Alerta","Crítico"))))</x:f>
        <x:v>Alerta</x:v>
      </x:c>
      <x:c r="O343" s="22" t="str">
        <x:v>%</x:v>
      </x:c>
      <x:c r="P343" s="22" t="str">
        <x:v>Líder SG-SST / Talento Humano</x:v>
      </x:c>
      <x:c r="Q343" s="22" t="str">
        <x:v>Matriz de seguimiento EMO</x:v>
      </x:c>
      <x:c r="R343" s="22" t="str"/>
    </x:row>
    <x:row r="344">
      <x:c r="A344" s="46" t="n">
        <x:v>45596</x:v>
      </x:c>
      <x:c r="B344" s="22" t="n">
        <x:v>2024</x:v>
      </x:c>
      <x:c r="C344" s="22" t="str">
        <x:v>Octubre</x:v>
      </x:c>
      <x:c r="D344" s="22" t="str">
        <x:v>E04</x:v>
      </x:c>
      <x:c r="E344" s="22" t="str">
        <x:v>% cumplimiento de requisitos legales aplicables en SST</x:v>
      </x:c>
      <x:c r="F344" s="22" t="str">
        <x:v>Estructura</x:v>
      </x:c>
      <x:c r="G344" s="22" t="str">
        <x:v>Mensual</x:v>
      </x:c>
      <x:c r="H344" s="40" t="n">
        <x:v>95</x:v>
      </x:c>
      <x:c r="I344" s="22" t="str">
        <x:v>Mayor es mejor</x:v>
      </x:c>
      <x:c r="J344" s="40" t="n">
        <x:v>56</x:v>
      </x:c>
      <x:c r="K344" s="40" t="n">
        <x:v>60</x:v>
      </x:c>
      <x:c r="L344" s="40" t="n">
        <x:v>100</x:v>
      </x:c>
      <x:c r="M344" s="40" t="n">
        <x:f>IF(OR(J344="",K344="",K344=0),"",J344/K344*L344)</x:f>
        <x:v>93.33333333333333</x:v>
      </x:c>
      <x:c r="N344" s="22" t="str">
        <x:f>IF(M344="","",IF(I344="Mayor es mejor",IF(M344&gt;=H344,"En meta",IF(M344&gt;=H344*0.9,"Alerta","Crítico")),IF(M344&lt;=H344,"En meta",IF(M344&lt;=H344*1.1,"Alerta","Crítico"))))</x:f>
        <x:v>Alerta</x:v>
      </x:c>
      <x:c r="O344" s="22" t="str">
        <x:v>%</x:v>
      </x:c>
      <x:c r="P344" s="22" t="str">
        <x:v>Líder SG-SST / Jurídica</x:v>
      </x:c>
      <x:c r="Q344" s="22" t="str">
        <x:v>Matriz legal SGRL</x:v>
      </x:c>
      <x:c r="R344" s="22" t="str"/>
    </x:row>
    <x:row r="345">
      <x:c r="A345" s="46" t="n">
        <x:v>45596</x:v>
      </x:c>
      <x:c r="B345" s="22" t="n">
        <x:v>2024</x:v>
      </x:c>
      <x:c r="C345" s="22" t="str">
        <x:v>Octubre</x:v>
      </x:c>
      <x:c r="D345" s="22" t="str">
        <x:v>E05</x:v>
      </x:c>
      <x:c r="E345" s="22" t="str">
        <x:v>% proveedores y contratistas aprobados en SST</x:v>
      </x:c>
      <x:c r="F345" s="22" t="str">
        <x:v>Estructura</x:v>
      </x:c>
      <x:c r="G345" s="22" t="str">
        <x:v>Mensual</x:v>
      </x:c>
      <x:c r="H345" s="40" t="n">
        <x:v>90</x:v>
      </x:c>
      <x:c r="I345" s="22" t="str">
        <x:v>Mayor es mejor</x:v>
      </x:c>
      <x:c r="J345" s="40" t="n">
        <x:v>18</x:v>
      </x:c>
      <x:c r="K345" s="40" t="n">
        <x:v>20</x:v>
      </x:c>
      <x:c r="L345" s="40" t="n">
        <x:v>100</x:v>
      </x:c>
      <x:c r="M345" s="40" t="n">
        <x:f>IF(OR(J345="",K345="",K345=0),"",J345/K345*L345)</x:f>
        <x:v>90</x:v>
      </x:c>
      <x:c r="N345" s="22" t="str">
        <x:f>IF(M345="","",IF(I345="Mayor es mejor",IF(M345&gt;=H345,"En meta",IF(M345&gt;=H345*0.9,"Alerta","Crítico")),IF(M345&lt;=H345,"En meta",IF(M345&lt;=H345*1.1,"Alerta","Crítico"))))</x:f>
        <x:v>En meta</x:v>
      </x:c>
      <x:c r="O345" s="22" t="str">
        <x:v>%</x:v>
      </x:c>
      <x:c r="P345" s="22" t="str">
        <x:v>Compras / Líder SG-SST</x:v>
      </x:c>
      <x:c r="Q345" s="22" t="str">
        <x:v>Gestión de proveedores y contratistas</x:v>
      </x:c>
      <x:c r="R345" s="22" t="str"/>
    </x:row>
    <x:row r="346">
      <x:c r="A346" s="46" t="n">
        <x:v>45596</x:v>
      </x:c>
      <x:c r="B346" s="22" t="n">
        <x:v>2024</x:v>
      </x:c>
      <x:c r="C346" s="22" t="str">
        <x:v>Octubre</x:v>
      </x:c>
      <x:c r="D346" s="22" t="str">
        <x:v>P01</x:v>
      </x:c>
      <x:c r="E346" s="22" t="str">
        <x:v>% ejecución del plan anual de trabajo SG-SST</x:v>
      </x:c>
      <x:c r="F346" s="22" t="str">
        <x:v>Proceso</x:v>
      </x:c>
      <x:c r="G346" s="22" t="str">
        <x:v>Mensual</x:v>
      </x:c>
      <x:c r="H346" s="40" t="n">
        <x:v>90</x:v>
      </x:c>
      <x:c r="I346" s="22" t="str">
        <x:v>Mayor es mejor</x:v>
      </x:c>
      <x:c r="J346" s="40" t="n">
        <x:v>11</x:v>
      </x:c>
      <x:c r="K346" s="40" t="n">
        <x:v>12</x:v>
      </x:c>
      <x:c r="L346" s="40" t="n">
        <x:v>100</x:v>
      </x:c>
      <x:c r="M346" s="40" t="n">
        <x:f>IF(OR(J346="",K346="",K346=0),"",J346/K346*L346)</x:f>
        <x:v>91.66666666666666</x:v>
      </x:c>
      <x:c r="N346" s="22" t="str">
        <x:f>IF(M346="","",IF(I346="Mayor es mejor",IF(M346&gt;=H346,"En meta",IF(M346&gt;=H346*0.9,"Alerta","Crítico")),IF(M346&lt;=H346,"En meta",IF(M346&lt;=H346*1.1,"Alerta","Crítico"))))</x:f>
        <x:v>En meta</x:v>
      </x:c>
      <x:c r="O346" s="22" t="str">
        <x:v>%</x:v>
      </x:c>
      <x:c r="P346" s="22" t="str">
        <x:v>Líder SG-SST</x:v>
      </x:c>
      <x:c r="Q346" s="22" t="str">
        <x:v>Plan anual de trabajo PHVA</x:v>
      </x:c>
      <x:c r="R346" s="22" t="str"/>
    </x:row>
    <x:row r="347">
      <x:c r="A347" s="46" t="n">
        <x:v>45596</x:v>
      </x:c>
      <x:c r="B347" s="22" t="n">
        <x:v>2024</x:v>
      </x:c>
      <x:c r="C347" s="22" t="str">
        <x:v>Octubre</x:v>
      </x:c>
      <x:c r="D347" s="22" t="str">
        <x:v>P02</x:v>
      </x:c>
      <x:c r="E347" s="22" t="str">
        <x:v>% investigaciones de accidentes realizadas oportunamente</x:v>
      </x:c>
      <x:c r="F347" s="22" t="str">
        <x:v>Proceso</x:v>
      </x:c>
      <x:c r="G347" s="22" t="str">
        <x:v>Mensual</x:v>
      </x:c>
      <x:c r="H347" s="40" t="n">
        <x:v>95</x:v>
      </x:c>
      <x:c r="I347" s="22" t="str">
        <x:v>Mayor es mejor</x:v>
      </x:c>
      <x:c r="J347" s="40" t="n">
        <x:v>1</x:v>
      </x:c>
      <x:c r="K347" s="40" t="n">
        <x:v>1</x:v>
      </x:c>
      <x:c r="L347" s="40" t="n">
        <x:v>100</x:v>
      </x:c>
      <x:c r="M347" s="40" t="n">
        <x:f>IF(OR(J347="",K347="",K347=0),"",J347/K347*L347)</x:f>
        <x:v>100</x:v>
      </x:c>
      <x:c r="N347" s="22" t="str">
        <x:f>IF(M347="","",IF(I347="Mayor es mejor",IF(M347&gt;=H347,"En meta",IF(M347&gt;=H347*0.9,"Alerta","Crítico")),IF(M347&lt;=H347,"En meta",IF(M347&lt;=H347*1.1,"Alerta","Crítico"))))</x:f>
        <x:v>En meta</x:v>
      </x:c>
      <x:c r="O347" s="22" t="str">
        <x:v>%</x:v>
      </x:c>
      <x:c r="P347" s="22" t="str">
        <x:v>Líder SG-SST / COPASST</x:v>
      </x:c>
      <x:c r="Q347" s="22" t="str">
        <x:v>Matriz de accidentalidad</x:v>
      </x:c>
      <x:c r="R347" s="22" t="str"/>
    </x:row>
    <x:row r="348">
      <x:c r="A348" s="46" t="n">
        <x:v>45596</x:v>
      </x:c>
      <x:c r="B348" s="22" t="n">
        <x:v>2024</x:v>
      </x:c>
      <x:c r="C348" s="22" t="str">
        <x:v>Octubre</x:v>
      </x:c>
      <x:c r="D348" s="22" t="str">
        <x:v>P03</x:v>
      </x:c>
      <x:c r="E348" s="22" t="str">
        <x:v>% cierre oportuno de acciones correctivas, preventivas y de mejora</x:v>
      </x:c>
      <x:c r="F348" s="22" t="str">
        <x:v>Proceso</x:v>
      </x:c>
      <x:c r="G348" s="22" t="str">
        <x:v>Mensual</x:v>
      </x:c>
      <x:c r="H348" s="40" t="n">
        <x:v>90</x:v>
      </x:c>
      <x:c r="I348" s="22" t="str">
        <x:v>Mayor es mejor</x:v>
      </x:c>
      <x:c r="J348" s="40" t="n">
        <x:v>9</x:v>
      </x:c>
      <x:c r="K348" s="40" t="n">
        <x:v>10</x:v>
      </x:c>
      <x:c r="L348" s="40" t="n">
        <x:v>100</x:v>
      </x:c>
      <x:c r="M348" s="40" t="n">
        <x:f>IF(OR(J348="",K348="",K348=0),"",J348/K348*L348)</x:f>
        <x:v>90</x:v>
      </x:c>
      <x:c r="N348" s="22" t="str">
        <x:f>IF(M348="","",IF(I348="Mayor es mejor",IF(M348&gt;=H348,"En meta",IF(M348&gt;=H348*0.9,"Alerta","Crítico")),IF(M348&lt;=H348,"En meta",IF(M348&lt;=H348*1.1,"Alerta","Crítico"))))</x:f>
        <x:v>En meta</x:v>
      </x:c>
      <x:c r="O348" s="22" t="str">
        <x:v>%</x:v>
      </x:c>
      <x:c r="P348" s="22" t="str">
        <x:v>Líder SG-SST / Responsables de proceso</x:v>
      </x:c>
      <x:c r="Q348" s="22" t="str">
        <x:v>Matriz APCM</x:v>
      </x:c>
      <x:c r="R348" s="22" t="str"/>
    </x:row>
    <x:row r="349">
      <x:c r="A349" s="46" t="n">
        <x:v>45596</x:v>
      </x:c>
      <x:c r="B349" s="22" t="n">
        <x:v>2024</x:v>
      </x:c>
      <x:c r="C349" s="22" t="str">
        <x:v>Octubre</x:v>
      </x:c>
      <x:c r="D349" s="22" t="str">
        <x:v>P04</x:v>
      </x:c>
      <x:c r="E349" s="22" t="str">
        <x:v>% inspecciones de seguridad ejecutadas</x:v>
      </x:c>
      <x:c r="F349" s="22" t="str">
        <x:v>Proceso</x:v>
      </x:c>
      <x:c r="G349" s="22" t="str">
        <x:v>Mensual</x:v>
      </x:c>
      <x:c r="H349" s="40" t="n">
        <x:v>90</x:v>
      </x:c>
      <x:c r="I349" s="22" t="str">
        <x:v>Mayor es mejor</x:v>
      </x:c>
      <x:c r="J349" s="40" t="n">
        <x:v>9</x:v>
      </x:c>
      <x:c r="K349" s="40" t="n">
        <x:v>10</x:v>
      </x:c>
      <x:c r="L349" s="40" t="n">
        <x:v>100</x:v>
      </x:c>
      <x:c r="M349" s="40" t="n">
        <x:f>IF(OR(J349="",K349="",K349=0),"",J349/K349*L349)</x:f>
        <x:v>90</x:v>
      </x:c>
      <x:c r="N349" s="22" t="str">
        <x:f>IF(M349="","",IF(I349="Mayor es mejor",IF(M349&gt;=H349,"En meta",IF(M349&gt;=H349*0.9,"Alerta","Crítico")),IF(M349&lt;=H349,"En meta",IF(M349&lt;=H349*1.1,"Alerta","Crítico"))))</x:f>
        <x:v>En meta</x:v>
      </x:c>
      <x:c r="O349" s="22" t="str">
        <x:v>%</x:v>
      </x:c>
      <x:c r="P349" s="22" t="str">
        <x:v>Líder SG-SST / Supervisores</x:v>
      </x:c>
      <x:c r="Q349" s="22" t="str">
        <x:v>Programa de inspecciones</x:v>
      </x:c>
      <x:c r="R349" s="22" t="str"/>
    </x:row>
    <x:row r="350">
      <x:c r="A350" s="46" t="n">
        <x:v>45596</x:v>
      </x:c>
      <x:c r="B350" s="22" t="n">
        <x:v>2024</x:v>
      </x:c>
      <x:c r="C350" s="22" t="str">
        <x:v>Octubre</x:v>
      </x:c>
      <x:c r="D350" s="22" t="str">
        <x:v>P05</x:v>
      </x:c>
      <x:c r="E350" s="22" t="str">
        <x:v>% mantenimientos preventivos ejecutados</x:v>
      </x:c>
      <x:c r="F350" s="22" t="str">
        <x:v>Proceso</x:v>
      </x:c>
      <x:c r="G350" s="22" t="str">
        <x:v>Mensual</x:v>
      </x:c>
      <x:c r="H350" s="40" t="n">
        <x:v>90</x:v>
      </x:c>
      <x:c r="I350" s="22" t="str">
        <x:v>Mayor es mejor</x:v>
      </x:c>
      <x:c r="J350" s="40" t="n">
        <x:v>13</x:v>
      </x:c>
      <x:c r="K350" s="40" t="n">
        <x:v>14</x:v>
      </x:c>
      <x:c r="L350" s="40" t="n">
        <x:v>100</x:v>
      </x:c>
      <x:c r="M350" s="40" t="n">
        <x:f>IF(OR(J350="",K350="",K350=0),"",J350/K350*L350)</x:f>
        <x:v>92.85714285714286</x:v>
      </x:c>
      <x:c r="N350" s="22" t="str">
        <x:f>IF(M350="","",IF(I350="Mayor es mejor",IF(M350&gt;=H350,"En meta",IF(M350&gt;=H350*0.9,"Alerta","Crítico")),IF(M350&lt;=H350,"En meta",IF(M350&lt;=H350*1.1,"Alerta","Crítico"))))</x:f>
        <x:v>En meta</x:v>
      </x:c>
      <x:c r="O350" s="22" t="str">
        <x:v>%</x:v>
      </x:c>
      <x:c r="P350" s="22" t="str">
        <x:v>Mantenimiento / Líder SG-SST</x:v>
      </x:c>
      <x:c r="Q350" s="22" t="str">
        <x:v>Programa de mantenimiento preventivo</x:v>
      </x:c>
      <x:c r="R350" s="22" t="str"/>
    </x:row>
    <x:row r="351">
      <x:c r="A351" s="46" t="n">
        <x:v>45596</x:v>
      </x:c>
      <x:c r="B351" s="22" t="n">
        <x:v>2024</x:v>
      </x:c>
      <x:c r="C351" s="22" t="str">
        <x:v>Octubre</x:v>
      </x:c>
      <x:c r="D351" s="22" t="str">
        <x:v>R01</x:v>
      </x:c>
      <x:c r="E351" s="22" t="str">
        <x:v>Índice de frecuencia de accidentalidad (IF)</x:v>
      </x:c>
      <x:c r="F351" s="22" t="str">
        <x:v>Resultado</x:v>
      </x:c>
      <x:c r="G351" s="22" t="str">
        <x:v>Mensual</x:v>
      </x:c>
      <x:c r="H351" s="40" t="n">
        <x:v>3.5</x:v>
      </x:c>
      <x:c r="I351" s="22" t="str">
        <x:v>Menor es mejor</x:v>
      </x:c>
      <x:c r="J351" s="40" t="n">
        <x:v>1</x:v>
      </x:c>
      <x:c r="K351" s="40" t="n">
        <x:v>51903</x:v>
      </x:c>
      <x:c r="L351" s="40" t="n">
        <x:v>200000</x:v>
      </x:c>
      <x:c r="M351" s="40" t="n">
        <x:f>IF(OR(J351="",K351="",K351=0),"",J351/K351*L351)</x:f>
        <x:v>3.8533418106853166</x:v>
      </x:c>
      <x:c r="N351" s="22" t="str">
        <x:f>IF(M351="","",IF(I351="Mayor es mejor",IF(M351&gt;=H351,"En meta",IF(M351&gt;=H351*0.9,"Alerta","Crítico")),IF(M351&lt;=H351,"En meta",IF(M351&lt;=H351*1.1,"Alerta","Crítico"))))</x:f>
        <x:v>Crítico</x:v>
      </x:c>
      <x:c r="O351" s="22" t="str">
        <x:v>Índice</x:v>
      </x:c>
      <x:c r="P351" s="22" t="str">
        <x:v>Líder SG-SST</x:v>
      </x:c>
      <x:c r="Q351" s="22" t="str">
        <x:v>Matriz de accidentalidad / nómina</x:v>
      </x:c>
      <x:c r="R351" s="22" t="str"/>
    </x:row>
    <x:row r="352">
      <x:c r="A352" s="46" t="n">
        <x:v>45596</x:v>
      </x:c>
      <x:c r="B352" s="22" t="n">
        <x:v>2024</x:v>
      </x:c>
      <x:c r="C352" s="22" t="str">
        <x:v>Octubre</x:v>
      </x:c>
      <x:c r="D352" s="22" t="str">
        <x:v>R02</x:v>
      </x:c>
      <x:c r="E352" s="22" t="str">
        <x:v>Índice de severidad de accidentalidad (IS)</x:v>
      </x:c>
      <x:c r="F352" s="22" t="str">
        <x:v>Resultado</x:v>
      </x:c>
      <x:c r="G352" s="22" t="str">
        <x:v>Mensual</x:v>
      </x:c>
      <x:c r="H352" s="40" t="n">
        <x:v>80</x:v>
      </x:c>
      <x:c r="I352" s="22" t="str">
        <x:v>Menor es mejor</x:v>
      </x:c>
      <x:c r="J352" s="40" t="n">
        <x:v>15</x:v>
      </x:c>
      <x:c r="K352" s="40" t="n">
        <x:v>51903</x:v>
      </x:c>
      <x:c r="L352" s="40" t="n">
        <x:v>200000</x:v>
      </x:c>
      <x:c r="M352" s="40" t="n">
        <x:f>IF(OR(J352="",K352="",K352=0),"",J352/K352*L352)</x:f>
        <x:v>57.80012716027975</x:v>
      </x:c>
      <x:c r="N352" s="22" t="str">
        <x:f>IF(M352="","",IF(I352="Mayor es mejor",IF(M352&gt;=H352,"En meta",IF(M352&gt;=H352*0.9,"Alerta","Crítico")),IF(M352&lt;=H352,"En meta",IF(M352&lt;=H352*1.1,"Alerta","Crítico"))))</x:f>
        <x:v>En meta</x:v>
      </x:c>
      <x:c r="O352" s="22" t="str">
        <x:v>Índice</x:v>
      </x:c>
      <x:c r="P352" s="22" t="str">
        <x:v>Líder SG-SST</x:v>
      </x:c>
      <x:c r="Q352" s="22" t="str">
        <x:v>Matriz de accidentalidad / nómina</x:v>
      </x:c>
      <x:c r="R352" s="22" t="str"/>
    </x:row>
    <x:row r="353">
      <x:c r="A353" s="46" t="n">
        <x:v>45596</x:v>
      </x:c>
      <x:c r="B353" s="22" t="n">
        <x:v>2024</x:v>
      </x:c>
      <x:c r="C353" s="22" t="str">
        <x:v>Octubre</x:v>
      </x:c>
      <x:c r="D353" s="22" t="str">
        <x:v>R03</x:v>
      </x:c>
      <x:c r="E353" s="22" t="str">
        <x:v>Índice de lesión incapacitante (ILI)</x:v>
      </x:c>
      <x:c r="F353" s="22" t="str">
        <x:v>Resultado</x:v>
      </x:c>
      <x:c r="G353" s="22" t="str">
        <x:v>Mensual</x:v>
      </x:c>
      <x:c r="H353" s="40" t="n">
        <x:v>0.25</x:v>
      </x:c>
      <x:c r="I353" s="22" t="str">
        <x:v>Menor es mejor</x:v>
      </x:c>
      <x:c r="J353" s="40" t="n">
        <x:v>222.7236</x:v>
      </x:c>
      <x:c r="K353" s="40" t="n">
        <x:v>1000</x:v>
      </x:c>
      <x:c r="L353" s="40" t="n">
        <x:v>1</x:v>
      </x:c>
      <x:c r="M353" s="40" t="n">
        <x:f>IF(OR(J353="",K353="",K353=0),"",J353/K353*L353)</x:f>
        <x:v>0.2227236</x:v>
      </x:c>
      <x:c r="N353" s="22" t="str">
        <x:f>IF(M353="","",IF(I353="Mayor es mejor",IF(M353&gt;=H353,"En meta",IF(M353&gt;=H353*0.9,"Alerta","Crítico")),IF(M353&lt;=H353,"En meta",IF(M353&lt;=H353*1.1,"Alerta","Crítico"))))</x:f>
        <x:v>En meta</x:v>
      </x:c>
      <x:c r="O353" s="22" t="str">
        <x:v>Índice</x:v>
      </x:c>
      <x:c r="P353" s="22" t="str">
        <x:v>Líder SG-SST</x:v>
      </x:c>
      <x:c r="Q353" s="22" t="str">
        <x:v>Indicadores derivados de accidentalidad</x:v>
      </x:c>
      <x:c r="R353" s="22" t="str">
        <x:v>ILI calculado sobre IF e IS del periodo.</x:v>
      </x:c>
    </x:row>
    <x:row r="354">
      <x:c r="A354" s="46" t="n">
        <x:v>45596</x:v>
      </x:c>
      <x:c r="B354" s="22" t="n">
        <x:v>2024</x:v>
      </x:c>
      <x:c r="C354" s="22" t="str">
        <x:v>Octubre</x:v>
      </x:c>
      <x:c r="D354" s="22" t="str">
        <x:v>R04</x:v>
      </x:c>
      <x:c r="E354" s="22" t="str">
        <x:v>Tasa de accidentalidad</x:v>
      </x:c>
      <x:c r="F354" s="22" t="str">
        <x:v>Resultado</x:v>
      </x:c>
      <x:c r="G354" s="22" t="str">
        <x:v>Mensual</x:v>
      </x:c>
      <x:c r="H354" s="40" t="n">
        <x:v>0.6</x:v>
      </x:c>
      <x:c r="I354" s="22" t="str">
        <x:v>Menor es mejor</x:v>
      </x:c>
      <x:c r="J354" s="40" t="n">
        <x:v>0.02</x:v>
      </x:c>
      <x:c r="K354" s="40" t="n">
        <x:v>221</x:v>
      </x:c>
      <x:c r="L354" s="40" t="n">
        <x:v>100</x:v>
      </x:c>
      <x:c r="M354" s="40" t="n">
        <x:f>IF(OR(J354="",K354="",K354=0),"",J354/K354*L354)</x:f>
        <x:v>0.009049773755656108</x:v>
      </x:c>
      <x:c r="N354" s="22" t="str">
        <x:f>IF(M354="","",IF(I354="Mayor es mejor",IF(M354&gt;=H354,"En meta",IF(M354&gt;=H354*0.9,"Alerta","Crítico")),IF(M354&lt;=H354,"En meta",IF(M354&lt;=H354*1.1,"Alerta","Crítico"))))</x:f>
        <x:v>En meta</x:v>
      </x:c>
      <x:c r="O354" s="22" t="str">
        <x:v>%</x:v>
      </x:c>
      <x:c r="P354" s="22" t="str">
        <x:v>Líder SG-SST</x:v>
      </x:c>
      <x:c r="Q354" s="22" t="str">
        <x:v>Matriz de accidentalidad / nómina</x:v>
      </x:c>
      <x:c r="R354" s="22" t="str"/>
    </x:row>
    <x:row r="355">
      <x:c r="A355" s="46" t="n">
        <x:v>45596</x:v>
      </x:c>
      <x:c r="B355" s="22" t="n">
        <x:v>2024</x:v>
      </x:c>
      <x:c r="C355" s="22" t="str">
        <x:v>Octubre</x:v>
      </x:c>
      <x:c r="D355" s="22" t="str">
        <x:v>R05</x:v>
      </x:c>
      <x:c r="E355" s="22" t="str">
        <x:v>Prevalencia de enfermedad laboral</x:v>
      </x:c>
      <x:c r="F355" s="22" t="str">
        <x:v>Resultado</x:v>
      </x:c>
      <x:c r="G355" s="22" t="str">
        <x:v>Mensual</x:v>
      </x:c>
      <x:c r="H355" s="40" t="n">
        <x:v>0.3</x:v>
      </x:c>
      <x:c r="I355" s="22" t="str">
        <x:v>Menor es mejor</x:v>
      </x:c>
      <x:c r="J355" s="40" t="n">
        <x:v>2.72</x:v>
      </x:c>
      <x:c r="K355" s="40" t="n">
        <x:v>221</x:v>
      </x:c>
      <x:c r="L355" s="40" t="n">
        <x:v>100</x:v>
      </x:c>
      <x:c r="M355" s="40" t="n">
        <x:f>IF(OR(J355="",K355="",K355=0),"",J355/K355*L355)</x:f>
        <x:v>1.2307692307692308</x:v>
      </x:c>
      <x:c r="N355" s="22" t="str">
        <x:f>IF(M355="","",IF(I355="Mayor es mejor",IF(M355&gt;=H355,"En meta",IF(M355&gt;=H355*0.9,"Alerta","Crítico")),IF(M355&lt;=H355,"En meta",IF(M355&lt;=H355*1.1,"Alerta","Crítico"))))</x:f>
        <x:v>Crítico</x:v>
      </x:c>
      <x:c r="O355" s="22" t="str">
        <x:v>%</x:v>
      </x:c>
      <x:c r="P355" s="22" t="str">
        <x:v>Líder SG-SST / Medicina laboral</x:v>
      </x:c>
      <x:c r="Q355" s="22" t="str">
        <x:v>Matriz de enfermedad laboral / nómina</x:v>
      </x:c>
      <x:c r="R355" s="22" t="str"/>
    </x:row>
    <x:row r="356">
      <x:c r="A356" s="46" t="n">
        <x:v>45596</x:v>
      </x:c>
      <x:c r="B356" s="22" t="n">
        <x:v>2024</x:v>
      </x:c>
      <x:c r="C356" s="22" t="str">
        <x:v>Octubre</x:v>
      </x:c>
      <x:c r="D356" s="22" t="str">
        <x:v>R06</x:v>
      </x:c>
      <x:c r="E356" s="22" t="str">
        <x:v>% cumplimiento de estándares mínimos Res. 0312 de 2019</x:v>
      </x:c>
      <x:c r="F356" s="22" t="str">
        <x:v>Resultado</x:v>
      </x:c>
      <x:c r="G356" s="22" t="str">
        <x:v>Mensual</x:v>
      </x:c>
      <x:c r="H356" s="40" t="n">
        <x:v>95</x:v>
      </x:c>
      <x:c r="I356" s="22" t="str">
        <x:v>Mayor es mejor</x:v>
      </x:c>
      <x:c r="J356" s="40" t="n">
        <x:v>98</x:v>
      </x:c>
      <x:c r="K356" s="40" t="n">
        <x:v>100</x:v>
      </x:c>
      <x:c r="L356" s="40" t="n">
        <x:v>100</x:v>
      </x:c>
      <x:c r="M356" s="40" t="n">
        <x:f>IF(OR(J356="",K356="",K356=0),"",J356/K356*L356)</x:f>
        <x:v>98</x:v>
      </x:c>
      <x:c r="N356" s="22" t="str">
        <x:f>IF(M356="","",IF(I356="Mayor es mejor",IF(M356&gt;=H356,"En meta",IF(M356&gt;=H356*0.9,"Alerta","Crítico")),IF(M356&lt;=H356,"En meta",IF(M356&lt;=H356*1.1,"Alerta","Crítico"))))</x:f>
        <x:v>En meta</x:v>
      </x:c>
      <x:c r="O356" s="22" t="str">
        <x:v>%</x:v>
      </x:c>
      <x:c r="P356" s="22" t="str">
        <x:v>Líder SG-SST / Alta Dirección</x:v>
      </x:c>
      <x:c r="Q356" s="22" t="str">
        <x:v>Autodiagnóstico Res. 0312 de 2019</x:v>
      </x:c>
      <x:c r="R356" s="22" t="str"/>
    </x:row>
    <x:row r="357">
      <x:c r="A357" s="46" t="n">
        <x:v>45626</x:v>
      </x:c>
      <x:c r="B357" s="22" t="n">
        <x:v>2024</x:v>
      </x:c>
      <x:c r="C357" s="22" t="str">
        <x:v>Noviembre</x:v>
      </x:c>
      <x:c r="D357" s="22" t="str">
        <x:v>E01</x:v>
      </x:c>
      <x:c r="E357" s="22" t="str">
        <x:v>% ejecución presupuestal del SG-SST</x:v>
      </x:c>
      <x:c r="F357" s="22" t="str">
        <x:v>Estructura</x:v>
      </x:c>
      <x:c r="G357" s="22" t="str">
        <x:v>Mensual</x:v>
      </x:c>
      <x:c r="H357" s="40" t="n">
        <x:v>95</x:v>
      </x:c>
      <x:c r="I357" s="22" t="str">
        <x:v>Mayor es mejor</x:v>
      </x:c>
      <x:c r="J357" s="40" t="n">
        <x:v>8837286</x:v>
      </x:c>
      <x:c r="K357" s="40" t="n">
        <x:v>9500000</x:v>
      </x:c>
      <x:c r="L357" s="40" t="n">
        <x:v>100</x:v>
      </x:c>
      <x:c r="M357" s="40" t="n">
        <x:f>IF(OR(J357="",K357="",K357=0),"",J357/K357*L357)</x:f>
        <x:v>93.02406315789473</x:v>
      </x:c>
      <x:c r="N357" s="22" t="str">
        <x:f>IF(M357="","",IF(I357="Mayor es mejor",IF(M357&gt;=H357,"En meta",IF(M357&gt;=H357*0.9,"Alerta","Crítico")),IF(M357&lt;=H357,"En meta",IF(M357&lt;=H357*1.1,"Alerta","Crítico"))))</x:f>
        <x:v>Alerta</x:v>
      </x:c>
      <x:c r="O357" s="22" t="str">
        <x:v>%</x:v>
      </x:c>
      <x:c r="P357" s="22" t="str">
        <x:v>Líder SG-SST / Dirección Administrativa</x:v>
      </x:c>
      <x:c r="Q357" s="22" t="str">
        <x:v>Presupuesto SST</x:v>
      </x:c>
      <x:c r="R357" s="22" t="str"/>
    </x:row>
    <x:row r="358">
      <x:c r="A358" s="46" t="n">
        <x:v>45626</x:v>
      </x:c>
      <x:c r="B358" s="22" t="n">
        <x:v>2024</x:v>
      </x:c>
      <x:c r="C358" s="22" t="str">
        <x:v>Noviembre</x:v>
      </x:c>
      <x:c r="D358" s="22" t="str">
        <x:v>E02</x:v>
      </x:c>
      <x:c r="E358" s="22" t="str">
        <x:v>% cobertura del plan de formación y capacitación SG-SST</x:v>
      </x:c>
      <x:c r="F358" s="22" t="str">
        <x:v>Estructura</x:v>
      </x:c>
      <x:c r="G358" s="22" t="str">
        <x:v>Mensual</x:v>
      </x:c>
      <x:c r="H358" s="40" t="n">
        <x:v>90</x:v>
      </x:c>
      <x:c r="I358" s="22" t="str">
        <x:v>Mayor es mejor</x:v>
      </x:c>
      <x:c r="J358" s="40" t="n">
        <x:v>22</x:v>
      </x:c>
      <x:c r="K358" s="40" t="n">
        <x:v>24</x:v>
      </x:c>
      <x:c r="L358" s="40" t="n">
        <x:v>100</x:v>
      </x:c>
      <x:c r="M358" s="40" t="n">
        <x:f>IF(OR(J358="",K358="",K358=0),"",J358/K358*L358)</x:f>
        <x:v>91.66666666666666</x:v>
      </x:c>
      <x:c r="N358" s="22" t="str">
        <x:f>IF(M358="","",IF(I358="Mayor es mejor",IF(M358&gt;=H358,"En meta",IF(M358&gt;=H358*0.9,"Alerta","Crítico")),IF(M358&lt;=H358,"En meta",IF(M358&lt;=H358*1.1,"Alerta","Crítico"))))</x:f>
        <x:v>En meta</x:v>
      </x:c>
      <x:c r="O358" s="22" t="str">
        <x:v>%</x:v>
      </x:c>
      <x:c r="P358" s="22" t="str">
        <x:v>Líder SG-SST / Talento Humano</x:v>
      </x:c>
      <x:c r="Q358" s="22" t="str">
        <x:v>Plan de formación y capacitaciones</x:v>
      </x:c>
      <x:c r="R358" s="22" t="str"/>
    </x:row>
    <x:row r="359">
      <x:c r="A359" s="46" t="n">
        <x:v>45626</x:v>
      </x:c>
      <x:c r="B359" s="22" t="n">
        <x:v>2024</x:v>
      </x:c>
      <x:c r="C359" s="22" t="str">
        <x:v>Noviembre</x:v>
      </x:c>
      <x:c r="D359" s="22" t="str">
        <x:v>E03</x:v>
      </x:c>
      <x:c r="E359" s="22" t="str">
        <x:v>% trabajadores con exámenes médicos ocupacionales vigentes</x:v>
      </x:c>
      <x:c r="F359" s="22" t="str">
        <x:v>Estructura</x:v>
      </x:c>
      <x:c r="G359" s="22" t="str">
        <x:v>Mensual</x:v>
      </x:c>
      <x:c r="H359" s="40" t="n">
        <x:v>95</x:v>
      </x:c>
      <x:c r="I359" s="22" t="str">
        <x:v>Mayor es mejor</x:v>
      </x:c>
      <x:c r="J359" s="40" t="n">
        <x:v>209</x:v>
      </x:c>
      <x:c r="K359" s="40" t="n">
        <x:v>222</x:v>
      </x:c>
      <x:c r="L359" s="40" t="n">
        <x:v>100</x:v>
      </x:c>
      <x:c r="M359" s="40" t="n">
        <x:f>IF(OR(J359="",K359="",K359=0),"",J359/K359*L359)</x:f>
        <x:v>94.14414414414415</x:v>
      </x:c>
      <x:c r="N359" s="22" t="str">
        <x:f>IF(M359="","",IF(I359="Mayor es mejor",IF(M359&gt;=H359,"En meta",IF(M359&gt;=H359*0.9,"Alerta","Crítico")),IF(M359&lt;=H359,"En meta",IF(M359&lt;=H359*1.1,"Alerta","Crítico"))))</x:f>
        <x:v>Alerta</x:v>
      </x:c>
      <x:c r="O359" s="22" t="str">
        <x:v>%</x:v>
      </x:c>
      <x:c r="P359" s="22" t="str">
        <x:v>Líder SG-SST / Talento Humano</x:v>
      </x:c>
      <x:c r="Q359" s="22" t="str">
        <x:v>Matriz de seguimiento EMO</x:v>
      </x:c>
      <x:c r="R359" s="22" t="str"/>
    </x:row>
    <x:row r="360">
      <x:c r="A360" s="46" t="n">
        <x:v>45626</x:v>
      </x:c>
      <x:c r="B360" s="22" t="n">
        <x:v>2024</x:v>
      </x:c>
      <x:c r="C360" s="22" t="str">
        <x:v>Noviembre</x:v>
      </x:c>
      <x:c r="D360" s="22" t="str">
        <x:v>E04</x:v>
      </x:c>
      <x:c r="E360" s="22" t="str">
        <x:v>% cumplimiento de requisitos legales aplicables en SST</x:v>
      </x:c>
      <x:c r="F360" s="22" t="str">
        <x:v>Estructura</x:v>
      </x:c>
      <x:c r="G360" s="22" t="str">
        <x:v>Mensual</x:v>
      </x:c>
      <x:c r="H360" s="40" t="n">
        <x:v>95</x:v>
      </x:c>
      <x:c r="I360" s="22" t="str">
        <x:v>Mayor es mejor</x:v>
      </x:c>
      <x:c r="J360" s="40" t="n">
        <x:v>57</x:v>
      </x:c>
      <x:c r="K360" s="40" t="n">
        <x:v>60</x:v>
      </x:c>
      <x:c r="L360" s="40" t="n">
        <x:v>100</x:v>
      </x:c>
      <x:c r="M360" s="40" t="n">
        <x:f>IF(OR(J360="",K360="",K360=0),"",J360/K360*L360)</x:f>
        <x:v>95</x:v>
      </x:c>
      <x:c r="N360" s="22" t="str">
        <x:f>IF(M360="","",IF(I360="Mayor es mejor",IF(M360&gt;=H360,"En meta",IF(M360&gt;=H360*0.9,"Alerta","Crítico")),IF(M360&lt;=H360,"En meta",IF(M360&lt;=H360*1.1,"Alerta","Crítico"))))</x:f>
        <x:v>En meta</x:v>
      </x:c>
      <x:c r="O360" s="22" t="str">
        <x:v>%</x:v>
      </x:c>
      <x:c r="P360" s="22" t="str">
        <x:v>Líder SG-SST / Jurídica</x:v>
      </x:c>
      <x:c r="Q360" s="22" t="str">
        <x:v>Matriz legal SGRL</x:v>
      </x:c>
      <x:c r="R360" s="22" t="str"/>
    </x:row>
    <x:row r="361">
      <x:c r="A361" s="46" t="n">
        <x:v>45626</x:v>
      </x:c>
      <x:c r="B361" s="22" t="n">
        <x:v>2024</x:v>
      </x:c>
      <x:c r="C361" s="22" t="str">
        <x:v>Noviembre</x:v>
      </x:c>
      <x:c r="D361" s="22" t="str">
        <x:v>E05</x:v>
      </x:c>
      <x:c r="E361" s="22" t="str">
        <x:v>% proveedores y contratistas aprobados en SST</x:v>
      </x:c>
      <x:c r="F361" s="22" t="str">
        <x:v>Estructura</x:v>
      </x:c>
      <x:c r="G361" s="22" t="str">
        <x:v>Mensual</x:v>
      </x:c>
      <x:c r="H361" s="40" t="n">
        <x:v>90</x:v>
      </x:c>
      <x:c r="I361" s="22" t="str">
        <x:v>Mayor es mejor</x:v>
      </x:c>
      <x:c r="J361" s="40" t="n">
        <x:v>18</x:v>
      </x:c>
      <x:c r="K361" s="40" t="n">
        <x:v>20</x:v>
      </x:c>
      <x:c r="L361" s="40" t="n">
        <x:v>100</x:v>
      </x:c>
      <x:c r="M361" s="40" t="n">
        <x:f>IF(OR(J361="",K361="",K361=0),"",J361/K361*L361)</x:f>
        <x:v>90</x:v>
      </x:c>
      <x:c r="N361" s="22" t="str">
        <x:f>IF(M361="","",IF(I361="Mayor es mejor",IF(M361&gt;=H361,"En meta",IF(M361&gt;=H361*0.9,"Alerta","Crítico")),IF(M361&lt;=H361,"En meta",IF(M361&lt;=H361*1.1,"Alerta","Crítico"))))</x:f>
        <x:v>En meta</x:v>
      </x:c>
      <x:c r="O361" s="22" t="str">
        <x:v>%</x:v>
      </x:c>
      <x:c r="P361" s="22" t="str">
        <x:v>Compras / Líder SG-SST</x:v>
      </x:c>
      <x:c r="Q361" s="22" t="str">
        <x:v>Gestión de proveedores y contratistas</x:v>
      </x:c>
      <x:c r="R361" s="22" t="str"/>
    </x:row>
    <x:row r="362">
      <x:c r="A362" s="46" t="n">
        <x:v>45626</x:v>
      </x:c>
      <x:c r="B362" s="22" t="n">
        <x:v>2024</x:v>
      </x:c>
      <x:c r="C362" s="22" t="str">
        <x:v>Noviembre</x:v>
      </x:c>
      <x:c r="D362" s="22" t="str">
        <x:v>P01</x:v>
      </x:c>
      <x:c r="E362" s="22" t="str">
        <x:v>% ejecución del plan anual de trabajo SG-SST</x:v>
      </x:c>
      <x:c r="F362" s="22" t="str">
        <x:v>Proceso</x:v>
      </x:c>
      <x:c r="G362" s="22" t="str">
        <x:v>Mensual</x:v>
      </x:c>
      <x:c r="H362" s="40" t="n">
        <x:v>90</x:v>
      </x:c>
      <x:c r="I362" s="22" t="str">
        <x:v>Mayor es mejor</x:v>
      </x:c>
      <x:c r="J362" s="40" t="n">
        <x:v>13</x:v>
      </x:c>
      <x:c r="K362" s="40" t="n">
        <x:v>14</x:v>
      </x:c>
      <x:c r="L362" s="40" t="n">
        <x:v>100</x:v>
      </x:c>
      <x:c r="M362" s="40" t="n">
        <x:f>IF(OR(J362="",K362="",K362=0),"",J362/K362*L362)</x:f>
        <x:v>92.85714285714286</x:v>
      </x:c>
      <x:c r="N362" s="22" t="str">
        <x:f>IF(M362="","",IF(I362="Mayor es mejor",IF(M362&gt;=H362,"En meta",IF(M362&gt;=H362*0.9,"Alerta","Crítico")),IF(M362&lt;=H362,"En meta",IF(M362&lt;=H362*1.1,"Alerta","Crítico"))))</x:f>
        <x:v>En meta</x:v>
      </x:c>
      <x:c r="O362" s="22" t="str">
        <x:v>%</x:v>
      </x:c>
      <x:c r="P362" s="22" t="str">
        <x:v>Líder SG-SST</x:v>
      </x:c>
      <x:c r="Q362" s="22" t="str">
        <x:v>Plan anual de trabajo PHVA</x:v>
      </x:c>
      <x:c r="R362" s="22" t="str"/>
    </x:row>
    <x:row r="363">
      <x:c r="A363" s="46" t="n">
        <x:v>45626</x:v>
      </x:c>
      <x:c r="B363" s="22" t="n">
        <x:v>2024</x:v>
      </x:c>
      <x:c r="C363" s="22" t="str">
        <x:v>Noviembre</x:v>
      </x:c>
      <x:c r="D363" s="22" t="str">
        <x:v>P02</x:v>
      </x:c>
      <x:c r="E363" s="22" t="str">
        <x:v>% investigaciones de accidentes realizadas oportunamente</x:v>
      </x:c>
      <x:c r="F363" s="22" t="str">
        <x:v>Proceso</x:v>
      </x:c>
      <x:c r="G363" s="22" t="str">
        <x:v>Mensual</x:v>
      </x:c>
      <x:c r="H363" s="40" t="n">
        <x:v>95</x:v>
      </x:c>
      <x:c r="I363" s="22" t="str">
        <x:v>Mayor es mejor</x:v>
      </x:c>
      <x:c r="J363" s="40" t="n">
        <x:v>1</x:v>
      </x:c>
      <x:c r="K363" s="40" t="n">
        <x:v>1</x:v>
      </x:c>
      <x:c r="L363" s="40" t="n">
        <x:v>100</x:v>
      </x:c>
      <x:c r="M363" s="40" t="n">
        <x:f>IF(OR(J363="",K363="",K363=0),"",J363/K363*L363)</x:f>
        <x:v>100</x:v>
      </x:c>
      <x:c r="N363" s="22" t="str">
        <x:f>IF(M363="","",IF(I363="Mayor es mejor",IF(M363&gt;=H363,"En meta",IF(M363&gt;=H363*0.9,"Alerta","Crítico")),IF(M363&lt;=H363,"En meta",IF(M363&lt;=H363*1.1,"Alerta","Crítico"))))</x:f>
        <x:v>En meta</x:v>
      </x:c>
      <x:c r="O363" s="22" t="str">
        <x:v>%</x:v>
      </x:c>
      <x:c r="P363" s="22" t="str">
        <x:v>Líder SG-SST / COPASST</x:v>
      </x:c>
      <x:c r="Q363" s="22" t="str">
        <x:v>Matriz de accidentalidad</x:v>
      </x:c>
      <x:c r="R363" s="22" t="str"/>
    </x:row>
    <x:row r="364">
      <x:c r="A364" s="46" t="n">
        <x:v>45626</x:v>
      </x:c>
      <x:c r="B364" s="22" t="n">
        <x:v>2024</x:v>
      </x:c>
      <x:c r="C364" s="22" t="str">
        <x:v>Noviembre</x:v>
      </x:c>
      <x:c r="D364" s="22" t="str">
        <x:v>P03</x:v>
      </x:c>
      <x:c r="E364" s="22" t="str">
        <x:v>% cierre oportuno de acciones correctivas, preventivas y de mejora</x:v>
      </x:c>
      <x:c r="F364" s="22" t="str">
        <x:v>Proceso</x:v>
      </x:c>
      <x:c r="G364" s="22" t="str">
        <x:v>Mensual</x:v>
      </x:c>
      <x:c r="H364" s="40" t="n">
        <x:v>90</x:v>
      </x:c>
      <x:c r="I364" s="22" t="str">
        <x:v>Mayor es mejor</x:v>
      </x:c>
      <x:c r="J364" s="40" t="n">
        <x:v>10</x:v>
      </x:c>
      <x:c r="K364" s="40" t="n">
        <x:v>11</x:v>
      </x:c>
      <x:c r="L364" s="40" t="n">
        <x:v>100</x:v>
      </x:c>
      <x:c r="M364" s="40" t="n">
        <x:f>IF(OR(J364="",K364="",K364=0),"",J364/K364*L364)</x:f>
        <x:v>90.9090909090909</x:v>
      </x:c>
      <x:c r="N364" s="22" t="str">
        <x:f>IF(M364="","",IF(I364="Mayor es mejor",IF(M364&gt;=H364,"En meta",IF(M364&gt;=H364*0.9,"Alerta","Crítico")),IF(M364&lt;=H364,"En meta",IF(M364&lt;=H364*1.1,"Alerta","Crítico"))))</x:f>
        <x:v>En meta</x:v>
      </x:c>
      <x:c r="O364" s="22" t="str">
        <x:v>%</x:v>
      </x:c>
      <x:c r="P364" s="22" t="str">
        <x:v>Líder SG-SST / Responsables de proceso</x:v>
      </x:c>
      <x:c r="Q364" s="22" t="str">
        <x:v>Matriz APCM</x:v>
      </x:c>
      <x:c r="R364" s="22" t="str"/>
    </x:row>
    <x:row r="365">
      <x:c r="A365" s="46" t="n">
        <x:v>45626</x:v>
      </x:c>
      <x:c r="B365" s="22" t="n">
        <x:v>2024</x:v>
      </x:c>
      <x:c r="C365" s="22" t="str">
        <x:v>Noviembre</x:v>
      </x:c>
      <x:c r="D365" s="22" t="str">
        <x:v>P04</x:v>
      </x:c>
      <x:c r="E365" s="22" t="str">
        <x:v>% inspecciones de seguridad ejecutadas</x:v>
      </x:c>
      <x:c r="F365" s="22" t="str">
        <x:v>Proceso</x:v>
      </x:c>
      <x:c r="G365" s="22" t="str">
        <x:v>Mensual</x:v>
      </x:c>
      <x:c r="H365" s="40" t="n">
        <x:v>90</x:v>
      </x:c>
      <x:c r="I365" s="22" t="str">
        <x:v>Mayor es mejor</x:v>
      </x:c>
      <x:c r="J365" s="40" t="n">
        <x:v>10</x:v>
      </x:c>
      <x:c r="K365" s="40" t="n">
        <x:v>11</x:v>
      </x:c>
      <x:c r="L365" s="40" t="n">
        <x:v>100</x:v>
      </x:c>
      <x:c r="M365" s="40" t="n">
        <x:f>IF(OR(J365="",K365="",K365=0),"",J365/K365*L365)</x:f>
        <x:v>90.9090909090909</x:v>
      </x:c>
      <x:c r="N365" s="22" t="str">
        <x:f>IF(M365="","",IF(I365="Mayor es mejor",IF(M365&gt;=H365,"En meta",IF(M365&gt;=H365*0.9,"Alerta","Crítico")),IF(M365&lt;=H365,"En meta",IF(M365&lt;=H365*1.1,"Alerta","Crítico"))))</x:f>
        <x:v>En meta</x:v>
      </x:c>
      <x:c r="O365" s="22" t="str">
        <x:v>%</x:v>
      </x:c>
      <x:c r="P365" s="22" t="str">
        <x:v>Líder SG-SST / Supervisores</x:v>
      </x:c>
      <x:c r="Q365" s="22" t="str">
        <x:v>Programa de inspecciones</x:v>
      </x:c>
      <x:c r="R365" s="22" t="str"/>
    </x:row>
    <x:row r="366">
      <x:c r="A366" s="46" t="n">
        <x:v>45626</x:v>
      </x:c>
      <x:c r="B366" s="22" t="n">
        <x:v>2024</x:v>
      </x:c>
      <x:c r="C366" s="22" t="str">
        <x:v>Noviembre</x:v>
      </x:c>
      <x:c r="D366" s="22" t="str">
        <x:v>P05</x:v>
      </x:c>
      <x:c r="E366" s="22" t="str">
        <x:v>% mantenimientos preventivos ejecutados</x:v>
      </x:c>
      <x:c r="F366" s="22" t="str">
        <x:v>Proceso</x:v>
      </x:c>
      <x:c r="G366" s="22" t="str">
        <x:v>Mensual</x:v>
      </x:c>
      <x:c r="H366" s="40" t="n">
        <x:v>90</x:v>
      </x:c>
      <x:c r="I366" s="22" t="str">
        <x:v>Mayor es mejor</x:v>
      </x:c>
      <x:c r="J366" s="40" t="n">
        <x:v>14</x:v>
      </x:c>
      <x:c r="K366" s="40" t="n">
        <x:v>15</x:v>
      </x:c>
      <x:c r="L366" s="40" t="n">
        <x:v>100</x:v>
      </x:c>
      <x:c r="M366" s="40" t="n">
        <x:f>IF(OR(J366="",K366="",K366=0),"",J366/K366*L366)</x:f>
        <x:v>93.33333333333333</x:v>
      </x:c>
      <x:c r="N366" s="22" t="str">
        <x:f>IF(M366="","",IF(I366="Mayor es mejor",IF(M366&gt;=H366,"En meta",IF(M366&gt;=H366*0.9,"Alerta","Crítico")),IF(M366&lt;=H366,"En meta",IF(M366&lt;=H366*1.1,"Alerta","Crítico"))))</x:f>
        <x:v>En meta</x:v>
      </x:c>
      <x:c r="O366" s="22" t="str">
        <x:v>%</x:v>
      </x:c>
      <x:c r="P366" s="22" t="str">
        <x:v>Mantenimiento / Líder SG-SST</x:v>
      </x:c>
      <x:c r="Q366" s="22" t="str">
        <x:v>Programa de mantenimiento preventivo</x:v>
      </x:c>
      <x:c r="R366" s="22" t="str"/>
    </x:row>
    <x:row r="367">
      <x:c r="A367" s="46" t="n">
        <x:v>45626</x:v>
      </x:c>
      <x:c r="B367" s="22" t="n">
        <x:v>2024</x:v>
      </x:c>
      <x:c r="C367" s="22" t="str">
        <x:v>Noviembre</x:v>
      </x:c>
      <x:c r="D367" s="22" t="str">
        <x:v>R01</x:v>
      </x:c>
      <x:c r="E367" s="22" t="str">
        <x:v>Índice de frecuencia de accidentalidad (IF)</x:v>
      </x:c>
      <x:c r="F367" s="22" t="str">
        <x:v>Resultado</x:v>
      </x:c>
      <x:c r="G367" s="22" t="str">
        <x:v>Mensual</x:v>
      </x:c>
      <x:c r="H367" s="40" t="n">
        <x:v>3.5</x:v>
      </x:c>
      <x:c r="I367" s="22" t="str">
        <x:v>Menor es mejor</x:v>
      </x:c>
      <x:c r="J367" s="40" t="n">
        <x:v>1</x:v>
      </x:c>
      <x:c r="K367" s="40" t="n">
        <x:v>52722</x:v>
      </x:c>
      <x:c r="L367" s="40" t="n">
        <x:v>200000</x:v>
      </x:c>
      <x:c r="M367" s="40" t="n">
        <x:f>IF(OR(J367="",K367="",K367=0),"",J367/K367*L367)</x:f>
        <x:v>3.793482796555518</x:v>
      </x:c>
      <x:c r="N367" s="22" t="str">
        <x:f>IF(M367="","",IF(I367="Mayor es mejor",IF(M367&gt;=H367,"En meta",IF(M367&gt;=H367*0.9,"Alerta","Crítico")),IF(M367&lt;=H367,"En meta",IF(M367&lt;=H367*1.1,"Alerta","Crítico"))))</x:f>
        <x:v>Alerta</x:v>
      </x:c>
      <x:c r="O367" s="22" t="str">
        <x:v>Índice</x:v>
      </x:c>
      <x:c r="P367" s="22" t="str">
        <x:v>Líder SG-SST</x:v>
      </x:c>
      <x:c r="Q367" s="22" t="str">
        <x:v>Matriz de accidentalidad / nómina</x:v>
      </x:c>
      <x:c r="R367" s="22" t="str"/>
    </x:row>
    <x:row r="368">
      <x:c r="A368" s="46" t="n">
        <x:v>45626</x:v>
      </x:c>
      <x:c r="B368" s="22" t="n">
        <x:v>2024</x:v>
      </x:c>
      <x:c r="C368" s="22" t="str">
        <x:v>Noviembre</x:v>
      </x:c>
      <x:c r="D368" s="22" t="str">
        <x:v>R02</x:v>
      </x:c>
      <x:c r="E368" s="22" t="str">
        <x:v>Índice de severidad de accidentalidad (IS)</x:v>
      </x:c>
      <x:c r="F368" s="22" t="str">
        <x:v>Resultado</x:v>
      </x:c>
      <x:c r="G368" s="22" t="str">
        <x:v>Mensual</x:v>
      </x:c>
      <x:c r="H368" s="40" t="n">
        <x:v>80</x:v>
      </x:c>
      <x:c r="I368" s="22" t="str">
        <x:v>Menor es mejor</x:v>
      </x:c>
      <x:c r="J368" s="40" t="n">
        <x:v>16</x:v>
      </x:c>
      <x:c r="K368" s="40" t="n">
        <x:v>52722</x:v>
      </x:c>
      <x:c r="L368" s="40" t="n">
        <x:v>200000</x:v>
      </x:c>
      <x:c r="M368" s="40" t="n">
        <x:f>IF(OR(J368="",K368="",K368=0),"",J368/K368*L368)</x:f>
        <x:v>60.69572474488829</x:v>
      </x:c>
      <x:c r="N368" s="22" t="str">
        <x:f>IF(M368="","",IF(I368="Mayor es mejor",IF(M368&gt;=H368,"En meta",IF(M368&gt;=H368*0.9,"Alerta","Crítico")),IF(M368&lt;=H368,"En meta",IF(M368&lt;=H368*1.1,"Alerta","Crítico"))))</x:f>
        <x:v>En meta</x:v>
      </x:c>
      <x:c r="O368" s="22" t="str">
        <x:v>Índice</x:v>
      </x:c>
      <x:c r="P368" s="22" t="str">
        <x:v>Líder SG-SST</x:v>
      </x:c>
      <x:c r="Q368" s="22" t="str">
        <x:v>Matriz de accidentalidad / nómina</x:v>
      </x:c>
      <x:c r="R368" s="22" t="str"/>
    </x:row>
    <x:row r="369">
      <x:c r="A369" s="46" t="n">
        <x:v>45626</x:v>
      </x:c>
      <x:c r="B369" s="22" t="n">
        <x:v>2024</x:v>
      </x:c>
      <x:c r="C369" s="22" t="str">
        <x:v>Noviembre</x:v>
      </x:c>
      <x:c r="D369" s="22" t="str">
        <x:v>R03</x:v>
      </x:c>
      <x:c r="E369" s="22" t="str">
        <x:v>Índice de lesión incapacitante (ILI)</x:v>
      </x:c>
      <x:c r="F369" s="22" t="str">
        <x:v>Resultado</x:v>
      </x:c>
      <x:c r="G369" s="22" t="str">
        <x:v>Mensual</x:v>
      </x:c>
      <x:c r="H369" s="40" t="n">
        <x:v>0.25</x:v>
      </x:c>
      <x:c r="I369" s="22" t="str">
        <x:v>Menor es mejor</x:v>
      </x:c>
      <x:c r="J369" s="40" t="n">
        <x:v>230.2482</x:v>
      </x:c>
      <x:c r="K369" s="40" t="n">
        <x:v>1000</x:v>
      </x:c>
      <x:c r="L369" s="40" t="n">
        <x:v>1</x:v>
      </x:c>
      <x:c r="M369" s="40" t="n">
        <x:f>IF(OR(J369="",K369="",K369=0),"",J369/K369*L369)</x:f>
        <x:v>0.2302482</x:v>
      </x:c>
      <x:c r="N369" s="22" t="str">
        <x:f>IF(M369="","",IF(I369="Mayor es mejor",IF(M369&gt;=H369,"En meta",IF(M369&gt;=H369*0.9,"Alerta","Crítico")),IF(M369&lt;=H369,"En meta",IF(M369&lt;=H369*1.1,"Alerta","Crítico"))))</x:f>
        <x:v>En meta</x:v>
      </x:c>
      <x:c r="O369" s="22" t="str">
        <x:v>Índice</x:v>
      </x:c>
      <x:c r="P369" s="22" t="str">
        <x:v>Líder SG-SST</x:v>
      </x:c>
      <x:c r="Q369" s="22" t="str">
        <x:v>Indicadores derivados de accidentalidad</x:v>
      </x:c>
      <x:c r="R369" s="22" t="str">
        <x:v>ILI calculado sobre IF e IS del periodo.</x:v>
      </x:c>
    </x:row>
    <x:row r="370">
      <x:c r="A370" s="46" t="n">
        <x:v>45626</x:v>
      </x:c>
      <x:c r="B370" s="22" t="n">
        <x:v>2024</x:v>
      </x:c>
      <x:c r="C370" s="22" t="str">
        <x:v>Noviembre</x:v>
      </x:c>
      <x:c r="D370" s="22" t="str">
        <x:v>R04</x:v>
      </x:c>
      <x:c r="E370" s="22" t="str">
        <x:v>Tasa de accidentalidad</x:v>
      </x:c>
      <x:c r="F370" s="22" t="str">
        <x:v>Resultado</x:v>
      </x:c>
      <x:c r="G370" s="22" t="str">
        <x:v>Mensual</x:v>
      </x:c>
      <x:c r="H370" s="40" t="n">
        <x:v>0.6</x:v>
      </x:c>
      <x:c r="I370" s="22" t="str">
        <x:v>Menor es mejor</x:v>
      </x:c>
      <x:c r="J370" s="40" t="n">
        <x:v>2.22</x:v>
      </x:c>
      <x:c r="K370" s="40" t="n">
        <x:v>222</x:v>
      </x:c>
      <x:c r="L370" s="40" t="n">
        <x:v>100</x:v>
      </x:c>
      <x:c r="M370" s="40" t="n">
        <x:f>IF(OR(J370="",K370="",K370=0),"",J370/K370*L370)</x:f>
        <x:v>1</x:v>
      </x:c>
      <x:c r="N370" s="22" t="str">
        <x:f>IF(M370="","",IF(I370="Mayor es mejor",IF(M370&gt;=H370,"En meta",IF(M370&gt;=H370*0.9,"Alerta","Crítico")),IF(M370&lt;=H370,"En meta",IF(M370&lt;=H370*1.1,"Alerta","Crítico"))))</x:f>
        <x:v>Crítico</x:v>
      </x:c>
      <x:c r="O370" s="22" t="str">
        <x:v>%</x:v>
      </x:c>
      <x:c r="P370" s="22" t="str">
        <x:v>Líder SG-SST</x:v>
      </x:c>
      <x:c r="Q370" s="22" t="str">
        <x:v>Matriz de accidentalidad / nómina</x:v>
      </x:c>
      <x:c r="R370" s="22" t="str"/>
    </x:row>
    <x:row r="371">
      <x:c r="A371" s="46" t="n">
        <x:v>45626</x:v>
      </x:c>
      <x:c r="B371" s="22" t="n">
        <x:v>2024</x:v>
      </x:c>
      <x:c r="C371" s="22" t="str">
        <x:v>Noviembre</x:v>
      </x:c>
      <x:c r="D371" s="22" t="str">
        <x:v>R05</x:v>
      </x:c>
      <x:c r="E371" s="22" t="str">
        <x:v>Prevalencia de enfermedad laboral</x:v>
      </x:c>
      <x:c r="F371" s="22" t="str">
        <x:v>Resultado</x:v>
      </x:c>
      <x:c r="G371" s="22" t="str">
        <x:v>Mensual</x:v>
      </x:c>
      <x:c r="H371" s="40" t="n">
        <x:v>0.3</x:v>
      </x:c>
      <x:c r="I371" s="22" t="str">
        <x:v>Menor es mejor</x:v>
      </x:c>
      <x:c r="J371" s="40" t="n">
        <x:v>3.47</x:v>
      </x:c>
      <x:c r="K371" s="40" t="n">
        <x:v>222</x:v>
      </x:c>
      <x:c r="L371" s="40" t="n">
        <x:v>100</x:v>
      </x:c>
      <x:c r="M371" s="40" t="n">
        <x:f>IF(OR(J371="",K371="",K371=0),"",J371/K371*L371)</x:f>
        <x:v>1.563063063063063</x:v>
      </x:c>
      <x:c r="N371" s="22" t="str">
        <x:f>IF(M371="","",IF(I371="Mayor es mejor",IF(M371&gt;=H371,"En meta",IF(M371&gt;=H371*0.9,"Alerta","Crítico")),IF(M371&lt;=H371,"En meta",IF(M371&lt;=H371*1.1,"Alerta","Crítico"))))</x:f>
        <x:v>Crítico</x:v>
      </x:c>
      <x:c r="O371" s="22" t="str">
        <x:v>%</x:v>
      </x:c>
      <x:c r="P371" s="22" t="str">
        <x:v>Líder SG-SST / Medicina laboral</x:v>
      </x:c>
      <x:c r="Q371" s="22" t="str">
        <x:v>Matriz de enfermedad laboral / nómina</x:v>
      </x:c>
      <x:c r="R371" s="22" t="str"/>
    </x:row>
    <x:row r="372">
      <x:c r="A372" s="46" t="n">
        <x:v>45626</x:v>
      </x:c>
      <x:c r="B372" s="22" t="n">
        <x:v>2024</x:v>
      </x:c>
      <x:c r="C372" s="22" t="str">
        <x:v>Noviembre</x:v>
      </x:c>
      <x:c r="D372" s="22" t="str">
        <x:v>R06</x:v>
      </x:c>
      <x:c r="E372" s="22" t="str">
        <x:v>% cumplimiento de estándares mínimos Res. 0312 de 2019</x:v>
      </x:c>
      <x:c r="F372" s="22" t="str">
        <x:v>Resultado</x:v>
      </x:c>
      <x:c r="G372" s="22" t="str">
        <x:v>Mensual</x:v>
      </x:c>
      <x:c r="H372" s="40" t="n">
        <x:v>95</x:v>
      </x:c>
      <x:c r="I372" s="22" t="str">
        <x:v>Mayor es mejor</x:v>
      </x:c>
      <x:c r="J372" s="40" t="n">
        <x:v>96</x:v>
      </x:c>
      <x:c r="K372" s="40" t="n">
        <x:v>100</x:v>
      </x:c>
      <x:c r="L372" s="40" t="n">
        <x:v>100</x:v>
      </x:c>
      <x:c r="M372" s="40" t="n">
        <x:f>IF(OR(J372="",K372="",K372=0),"",J372/K372*L372)</x:f>
        <x:v>96</x:v>
      </x:c>
      <x:c r="N372" s="22" t="str">
        <x:f>IF(M372="","",IF(I372="Mayor es mejor",IF(M372&gt;=H372,"En meta",IF(M372&gt;=H372*0.9,"Alerta","Crítico")),IF(M372&lt;=H372,"En meta",IF(M372&lt;=H372*1.1,"Alerta","Crítico"))))</x:f>
        <x:v>En meta</x:v>
      </x:c>
      <x:c r="O372" s="22" t="str">
        <x:v>%</x:v>
      </x:c>
      <x:c r="P372" s="22" t="str">
        <x:v>Líder SG-SST / Alta Dirección</x:v>
      </x:c>
      <x:c r="Q372" s="22" t="str">
        <x:v>Autodiagnóstico Res. 0312 de 2019</x:v>
      </x:c>
      <x:c r="R372" s="22" t="str"/>
    </x:row>
    <x:row r="373">
      <x:c r="A373" s="46" t="n">
        <x:v>45657</x:v>
      </x:c>
      <x:c r="B373" s="22" t="n">
        <x:v>2024</x:v>
      </x:c>
      <x:c r="C373" s="22" t="str">
        <x:v>Diciembre</x:v>
      </x:c>
      <x:c r="D373" s="22" t="str">
        <x:v>E01</x:v>
      </x:c>
      <x:c r="E373" s="22" t="str">
        <x:v>% ejecución presupuestal del SG-SST</x:v>
      </x:c>
      <x:c r="F373" s="22" t="str">
        <x:v>Estructura</x:v>
      </x:c>
      <x:c r="G373" s="22" t="str">
        <x:v>Mensual</x:v>
      </x:c>
      <x:c r="H373" s="40" t="n">
        <x:v>95</x:v>
      </x:c>
      <x:c r="I373" s="22" t="str">
        <x:v>Mayor es mejor</x:v>
      </x:c>
      <x:c r="J373" s="40" t="n">
        <x:v>9391549</x:v>
      </x:c>
      <x:c r="K373" s="40" t="n">
        <x:v>10000000</x:v>
      </x:c>
      <x:c r="L373" s="40" t="n">
        <x:v>100</x:v>
      </x:c>
      <x:c r="M373" s="40" t="n">
        <x:f>IF(OR(J373="",K373="",K373=0),"",J373/K373*L373)</x:f>
        <x:v>93.91549</x:v>
      </x:c>
      <x:c r="N373" s="22" t="str">
        <x:f>IF(M373="","",IF(I373="Mayor es mejor",IF(M373&gt;=H373,"En meta",IF(M373&gt;=H373*0.9,"Alerta","Crítico")),IF(M373&lt;=H373,"En meta",IF(M373&lt;=H373*1.1,"Alerta","Crítico"))))</x:f>
        <x:v>Alerta</x:v>
      </x:c>
      <x:c r="O373" s="22" t="str">
        <x:v>%</x:v>
      </x:c>
      <x:c r="P373" s="22" t="str">
        <x:v>Líder SG-SST / Dirección Administrativa</x:v>
      </x:c>
      <x:c r="Q373" s="22" t="str">
        <x:v>Presupuesto SST</x:v>
      </x:c>
      <x:c r="R373" s="22" t="str"/>
    </x:row>
    <x:row r="374">
      <x:c r="A374" s="46" t="n">
        <x:v>45657</x:v>
      </x:c>
      <x:c r="B374" s="22" t="n">
        <x:v>2024</x:v>
      </x:c>
      <x:c r="C374" s="22" t="str">
        <x:v>Diciembre</x:v>
      </x:c>
      <x:c r="D374" s="22" t="str">
        <x:v>E02</x:v>
      </x:c>
      <x:c r="E374" s="22" t="str">
        <x:v>% cobertura del plan de formación y capacitación SG-SST</x:v>
      </x:c>
      <x:c r="F374" s="22" t="str">
        <x:v>Estructura</x:v>
      </x:c>
      <x:c r="G374" s="22" t="str">
        <x:v>Mensual</x:v>
      </x:c>
      <x:c r="H374" s="40" t="n">
        <x:v>90</x:v>
      </x:c>
      <x:c r="I374" s="22" t="str">
        <x:v>Mayor es mejor</x:v>
      </x:c>
      <x:c r="J374" s="40" t="n">
        <x:v>16</x:v>
      </x:c>
      <x:c r="K374" s="40" t="n">
        <x:v>18</x:v>
      </x:c>
      <x:c r="L374" s="40" t="n">
        <x:v>100</x:v>
      </x:c>
      <x:c r="M374" s="40" t="n">
        <x:f>IF(OR(J374="",K374="",K374=0),"",J374/K374*L374)</x:f>
        <x:v>88.88888888888889</x:v>
      </x:c>
      <x:c r="N374" s="22" t="str">
        <x:f>IF(M374="","",IF(I374="Mayor es mejor",IF(M374&gt;=H374,"En meta",IF(M374&gt;=H374*0.9,"Alerta","Crítico")),IF(M374&lt;=H374,"En meta",IF(M374&lt;=H374*1.1,"Alerta","Crítico"))))</x:f>
        <x:v>Alerta</x:v>
      </x:c>
      <x:c r="O374" s="22" t="str">
        <x:v>%</x:v>
      </x:c>
      <x:c r="P374" s="22" t="str">
        <x:v>Líder SG-SST / Talento Humano</x:v>
      </x:c>
      <x:c r="Q374" s="22" t="str">
        <x:v>Plan de formación y capacitaciones</x:v>
      </x:c>
      <x:c r="R374" s="22" t="str"/>
    </x:row>
    <x:row r="375">
      <x:c r="A375" s="46" t="n">
        <x:v>45657</x:v>
      </x:c>
      <x:c r="B375" s="22" t="n">
        <x:v>2024</x:v>
      </x:c>
      <x:c r="C375" s="22" t="str">
        <x:v>Diciembre</x:v>
      </x:c>
      <x:c r="D375" s="22" t="str">
        <x:v>E03</x:v>
      </x:c>
      <x:c r="E375" s="22" t="str">
        <x:v>% trabajadores con exámenes médicos ocupacionales vigentes</x:v>
      </x:c>
      <x:c r="F375" s="22" t="str">
        <x:v>Estructura</x:v>
      </x:c>
      <x:c r="G375" s="22" t="str">
        <x:v>Mensual</x:v>
      </x:c>
      <x:c r="H375" s="40" t="n">
        <x:v>95</x:v>
      </x:c>
      <x:c r="I375" s="22" t="str">
        <x:v>Mayor es mejor</x:v>
      </x:c>
      <x:c r="J375" s="40" t="n">
        <x:v>215</x:v>
      </x:c>
      <x:c r="K375" s="40" t="n">
        <x:v>226</x:v>
      </x:c>
      <x:c r="L375" s="40" t="n">
        <x:v>100</x:v>
      </x:c>
      <x:c r="M375" s="40" t="n">
        <x:f>IF(OR(J375="",K375="",K375=0),"",J375/K375*L375)</x:f>
        <x:v>95.13274336283186</x:v>
      </x:c>
      <x:c r="N375" s="22" t="str">
        <x:f>IF(M375="","",IF(I375="Mayor es mejor",IF(M375&gt;=H375,"En meta",IF(M375&gt;=H375*0.9,"Alerta","Crítico")),IF(M375&lt;=H375,"En meta",IF(M375&lt;=H375*1.1,"Alerta","Crítico"))))</x:f>
        <x:v>En meta</x:v>
      </x:c>
      <x:c r="O375" s="22" t="str">
        <x:v>%</x:v>
      </x:c>
      <x:c r="P375" s="22" t="str">
        <x:v>Líder SG-SST / Talento Humano</x:v>
      </x:c>
      <x:c r="Q375" s="22" t="str">
        <x:v>Matriz de seguimiento EMO</x:v>
      </x:c>
      <x:c r="R375" s="22" t="str"/>
    </x:row>
    <x:row r="376">
      <x:c r="A376" s="46" t="n">
        <x:v>45657</x:v>
      </x:c>
      <x:c r="B376" s="22" t="n">
        <x:v>2024</x:v>
      </x:c>
      <x:c r="C376" s="22" t="str">
        <x:v>Diciembre</x:v>
      </x:c>
      <x:c r="D376" s="22" t="str">
        <x:v>E04</x:v>
      </x:c>
      <x:c r="E376" s="22" t="str">
        <x:v>% cumplimiento de requisitos legales aplicables en SST</x:v>
      </x:c>
      <x:c r="F376" s="22" t="str">
        <x:v>Estructura</x:v>
      </x:c>
      <x:c r="G376" s="22" t="str">
        <x:v>Mensual</x:v>
      </x:c>
      <x:c r="H376" s="40" t="n">
        <x:v>95</x:v>
      </x:c>
      <x:c r="I376" s="22" t="str">
        <x:v>Mayor es mejor</x:v>
      </x:c>
      <x:c r="J376" s="40" t="n">
        <x:v>57</x:v>
      </x:c>
      <x:c r="K376" s="40" t="n">
        <x:v>60</x:v>
      </x:c>
      <x:c r="L376" s="40" t="n">
        <x:v>100</x:v>
      </x:c>
      <x:c r="M376" s="40" t="n">
        <x:f>IF(OR(J376="",K376="",K376=0),"",J376/K376*L376)</x:f>
        <x:v>95</x:v>
      </x:c>
      <x:c r="N376" s="22" t="str">
        <x:f>IF(M376="","",IF(I376="Mayor es mejor",IF(M376&gt;=H376,"En meta",IF(M376&gt;=H376*0.9,"Alerta","Crítico")),IF(M376&lt;=H376,"En meta",IF(M376&lt;=H376*1.1,"Alerta","Crítico"))))</x:f>
        <x:v>En meta</x:v>
      </x:c>
      <x:c r="O376" s="22" t="str">
        <x:v>%</x:v>
      </x:c>
      <x:c r="P376" s="22" t="str">
        <x:v>Líder SG-SST / Jurídica</x:v>
      </x:c>
      <x:c r="Q376" s="22" t="str">
        <x:v>Matriz legal SGRL</x:v>
      </x:c>
      <x:c r="R376" s="22" t="str"/>
    </x:row>
    <x:row r="377">
      <x:c r="A377" s="46" t="n">
        <x:v>45657</x:v>
      </x:c>
      <x:c r="B377" s="22" t="n">
        <x:v>2024</x:v>
      </x:c>
      <x:c r="C377" s="22" t="str">
        <x:v>Diciembre</x:v>
      </x:c>
      <x:c r="D377" s="22" t="str">
        <x:v>E05</x:v>
      </x:c>
      <x:c r="E377" s="22" t="str">
        <x:v>% proveedores y contratistas aprobados en SST</x:v>
      </x:c>
      <x:c r="F377" s="22" t="str">
        <x:v>Estructura</x:v>
      </x:c>
      <x:c r="G377" s="22" t="str">
        <x:v>Mensual</x:v>
      </x:c>
      <x:c r="H377" s="40" t="n">
        <x:v>90</x:v>
      </x:c>
      <x:c r="I377" s="22" t="str">
        <x:v>Mayor es mejor</x:v>
      </x:c>
      <x:c r="J377" s="40" t="n">
        <x:v>18</x:v>
      </x:c>
      <x:c r="K377" s="40" t="n">
        <x:v>20</x:v>
      </x:c>
      <x:c r="L377" s="40" t="n">
        <x:v>100</x:v>
      </x:c>
      <x:c r="M377" s="40" t="n">
        <x:f>IF(OR(J377="",K377="",K377=0),"",J377/K377*L377)</x:f>
        <x:v>90</x:v>
      </x:c>
      <x:c r="N377" s="22" t="str">
        <x:f>IF(M377="","",IF(I377="Mayor es mejor",IF(M377&gt;=H377,"En meta",IF(M377&gt;=H377*0.9,"Alerta","Crítico")),IF(M377&lt;=H377,"En meta",IF(M377&lt;=H377*1.1,"Alerta","Crítico"))))</x:f>
        <x:v>En meta</x:v>
      </x:c>
      <x:c r="O377" s="22" t="str">
        <x:v>%</x:v>
      </x:c>
      <x:c r="P377" s="22" t="str">
        <x:v>Compras / Líder SG-SST</x:v>
      </x:c>
      <x:c r="Q377" s="22" t="str">
        <x:v>Gestión de proveedores y contratistas</x:v>
      </x:c>
      <x:c r="R377" s="22" t="str"/>
    </x:row>
    <x:row r="378">
      <x:c r="A378" s="46" t="n">
        <x:v>45657</x:v>
      </x:c>
      <x:c r="B378" s="22" t="n">
        <x:v>2024</x:v>
      </x:c>
      <x:c r="C378" s="22" t="str">
        <x:v>Diciembre</x:v>
      </x:c>
      <x:c r="D378" s="22" t="str">
        <x:v>P01</x:v>
      </x:c>
      <x:c r="E378" s="22" t="str">
        <x:v>% ejecución del plan anual de trabajo SG-SST</x:v>
      </x:c>
      <x:c r="F378" s="22" t="str">
        <x:v>Proceso</x:v>
      </x:c>
      <x:c r="G378" s="22" t="str">
        <x:v>Mensual</x:v>
      </x:c>
      <x:c r="H378" s="40" t="n">
        <x:v>90</x:v>
      </x:c>
      <x:c r="I378" s="22" t="str">
        <x:v>Mayor es mejor</x:v>
      </x:c>
      <x:c r="J378" s="40" t="n">
        <x:v>9</x:v>
      </x:c>
      <x:c r="K378" s="40" t="n">
        <x:v>10</x:v>
      </x:c>
      <x:c r="L378" s="40" t="n">
        <x:v>100</x:v>
      </x:c>
      <x:c r="M378" s="40" t="n">
        <x:f>IF(OR(J378="",K378="",K378=0),"",J378/K378*L378)</x:f>
        <x:v>90</x:v>
      </x:c>
      <x:c r="N378" s="22" t="str">
        <x:f>IF(M378="","",IF(I378="Mayor es mejor",IF(M378&gt;=H378,"En meta",IF(M378&gt;=H378*0.9,"Alerta","Crítico")),IF(M378&lt;=H378,"En meta",IF(M378&lt;=H378*1.1,"Alerta","Crítico"))))</x:f>
        <x:v>En meta</x:v>
      </x:c>
      <x:c r="O378" s="22" t="str">
        <x:v>%</x:v>
      </x:c>
      <x:c r="P378" s="22" t="str">
        <x:v>Líder SG-SST</x:v>
      </x:c>
      <x:c r="Q378" s="22" t="str">
        <x:v>Plan anual de trabajo PHVA</x:v>
      </x:c>
      <x:c r="R378" s="22" t="str"/>
    </x:row>
    <x:row r="379">
      <x:c r="A379" s="46" t="n">
        <x:v>45657</x:v>
      </x:c>
      <x:c r="B379" s="22" t="n">
        <x:v>2024</x:v>
      </x:c>
      <x:c r="C379" s="22" t="str">
        <x:v>Diciembre</x:v>
      </x:c>
      <x:c r="D379" s="22" t="str">
        <x:v>P02</x:v>
      </x:c>
      <x:c r="E379" s="22" t="str">
        <x:v>% investigaciones de accidentes realizadas oportunamente</x:v>
      </x:c>
      <x:c r="F379" s="22" t="str">
        <x:v>Proceso</x:v>
      </x:c>
      <x:c r="G379" s="22" t="str">
        <x:v>Mensual</x:v>
      </x:c>
      <x:c r="H379" s="40" t="n">
        <x:v>95</x:v>
      </x:c>
      <x:c r="I379" s="22" t="str">
        <x:v>Mayor es mejor</x:v>
      </x:c>
      <x:c r="J379" s="40" t="n">
        <x:v>1</x:v>
      </x:c>
      <x:c r="K379" s="40" t="n">
        <x:v>1</x:v>
      </x:c>
      <x:c r="L379" s="40" t="n">
        <x:v>100</x:v>
      </x:c>
      <x:c r="M379" s="40" t="n">
        <x:f>IF(OR(J379="",K379="",K379=0),"",J379/K379*L379)</x:f>
        <x:v>100</x:v>
      </x:c>
      <x:c r="N379" s="22" t="str">
        <x:f>IF(M379="","",IF(I379="Mayor es mejor",IF(M379&gt;=H379,"En meta",IF(M379&gt;=H379*0.9,"Alerta","Crítico")),IF(M379&lt;=H379,"En meta",IF(M379&lt;=H379*1.1,"Alerta","Crítico"))))</x:f>
        <x:v>En meta</x:v>
      </x:c>
      <x:c r="O379" s="22" t="str">
        <x:v>%</x:v>
      </x:c>
      <x:c r="P379" s="22" t="str">
        <x:v>Líder SG-SST / COPASST</x:v>
      </x:c>
      <x:c r="Q379" s="22" t="str">
        <x:v>Matriz de accidentalidad</x:v>
      </x:c>
      <x:c r="R379" s="22" t="str"/>
    </x:row>
    <x:row r="380">
      <x:c r="A380" s="46" t="n">
        <x:v>45657</x:v>
      </x:c>
      <x:c r="B380" s="22" t="n">
        <x:v>2024</x:v>
      </x:c>
      <x:c r="C380" s="22" t="str">
        <x:v>Diciembre</x:v>
      </x:c>
      <x:c r="D380" s="22" t="str">
        <x:v>P03</x:v>
      </x:c>
      <x:c r="E380" s="22" t="str">
        <x:v>% cierre oportuno de acciones correctivas, preventivas y de mejora</x:v>
      </x:c>
      <x:c r="F380" s="22" t="str">
        <x:v>Proceso</x:v>
      </x:c>
      <x:c r="G380" s="22" t="str">
        <x:v>Mensual</x:v>
      </x:c>
      <x:c r="H380" s="40" t="n">
        <x:v>90</x:v>
      </x:c>
      <x:c r="I380" s="22" t="str">
        <x:v>Mayor es mejor</x:v>
      </x:c>
      <x:c r="J380" s="40" t="n">
        <x:v>11</x:v>
      </x:c>
      <x:c r="K380" s="40" t="n">
        <x:v>12</x:v>
      </x:c>
      <x:c r="L380" s="40" t="n">
        <x:v>100</x:v>
      </x:c>
      <x:c r="M380" s="40" t="n">
        <x:f>IF(OR(J380="",K380="",K380=0),"",J380/K380*L380)</x:f>
        <x:v>91.66666666666666</x:v>
      </x:c>
      <x:c r="N380" s="22" t="str">
        <x:f>IF(M380="","",IF(I380="Mayor es mejor",IF(M380&gt;=H380,"En meta",IF(M380&gt;=H380*0.9,"Alerta","Crítico")),IF(M380&lt;=H380,"En meta",IF(M380&lt;=H380*1.1,"Alerta","Crítico"))))</x:f>
        <x:v>En meta</x:v>
      </x:c>
      <x:c r="O380" s="22" t="str">
        <x:v>%</x:v>
      </x:c>
      <x:c r="P380" s="22" t="str">
        <x:v>Líder SG-SST / Responsables de proceso</x:v>
      </x:c>
      <x:c r="Q380" s="22" t="str">
        <x:v>Matriz APCM</x:v>
      </x:c>
      <x:c r="R380" s="22" t="str"/>
    </x:row>
    <x:row r="381">
      <x:c r="A381" s="46" t="n">
        <x:v>45657</x:v>
      </x:c>
      <x:c r="B381" s="22" t="n">
        <x:v>2024</x:v>
      </x:c>
      <x:c r="C381" s="22" t="str">
        <x:v>Diciembre</x:v>
      </x:c>
      <x:c r="D381" s="22" t="str">
        <x:v>P04</x:v>
      </x:c>
      <x:c r="E381" s="22" t="str">
        <x:v>% inspecciones de seguridad ejecutadas</x:v>
      </x:c>
      <x:c r="F381" s="22" t="str">
        <x:v>Proceso</x:v>
      </x:c>
      <x:c r="G381" s="22" t="str">
        <x:v>Mensual</x:v>
      </x:c>
      <x:c r="H381" s="40" t="n">
        <x:v>90</x:v>
      </x:c>
      <x:c r="I381" s="22" t="str">
        <x:v>Mayor es mejor</x:v>
      </x:c>
      <x:c r="J381" s="40" t="n">
        <x:v>7</x:v>
      </x:c>
      <x:c r="K381" s="40" t="n">
        <x:v>8</x:v>
      </x:c>
      <x:c r="L381" s="40" t="n">
        <x:v>100</x:v>
      </x:c>
      <x:c r="M381" s="40" t="n">
        <x:f>IF(OR(J381="",K381="",K381=0),"",J381/K381*L381)</x:f>
        <x:v>87.5</x:v>
      </x:c>
      <x:c r="N381" s="22" t="str">
        <x:f>IF(M381="","",IF(I381="Mayor es mejor",IF(M381&gt;=H381,"En meta",IF(M381&gt;=H381*0.9,"Alerta","Crítico")),IF(M381&lt;=H381,"En meta",IF(M381&lt;=H381*1.1,"Alerta","Crítico"))))</x:f>
        <x:v>Alerta</x:v>
      </x:c>
      <x:c r="O381" s="22" t="str">
        <x:v>%</x:v>
      </x:c>
      <x:c r="P381" s="22" t="str">
        <x:v>Líder SG-SST / Supervisores</x:v>
      </x:c>
      <x:c r="Q381" s="22" t="str">
        <x:v>Programa de inspecciones</x:v>
      </x:c>
      <x:c r="R381" s="22" t="str"/>
    </x:row>
    <x:row r="382">
      <x:c r="A382" s="46" t="n">
        <x:v>45657</x:v>
      </x:c>
      <x:c r="B382" s="22" t="n">
        <x:v>2024</x:v>
      </x:c>
      <x:c r="C382" s="22" t="str">
        <x:v>Diciembre</x:v>
      </x:c>
      <x:c r="D382" s="22" t="str">
        <x:v>P05</x:v>
      </x:c>
      <x:c r="E382" s="22" t="str">
        <x:v>% mantenimientos preventivos ejecutados</x:v>
      </x:c>
      <x:c r="F382" s="22" t="str">
        <x:v>Proceso</x:v>
      </x:c>
      <x:c r="G382" s="22" t="str">
        <x:v>Mensual</x:v>
      </x:c>
      <x:c r="H382" s="40" t="n">
        <x:v>90</x:v>
      </x:c>
      <x:c r="I382" s="22" t="str">
        <x:v>Mayor es mejor</x:v>
      </x:c>
      <x:c r="J382" s="40" t="n">
        <x:v>11</x:v>
      </x:c>
      <x:c r="K382" s="40" t="n">
        <x:v>12</x:v>
      </x:c>
      <x:c r="L382" s="40" t="n">
        <x:v>100</x:v>
      </x:c>
      <x:c r="M382" s="40" t="n">
        <x:f>IF(OR(J382="",K382="",K382=0),"",J382/K382*L382)</x:f>
        <x:v>91.66666666666666</x:v>
      </x:c>
      <x:c r="N382" s="22" t="str">
        <x:f>IF(M382="","",IF(I382="Mayor es mejor",IF(M382&gt;=H382,"En meta",IF(M382&gt;=H382*0.9,"Alerta","Crítico")),IF(M382&lt;=H382,"En meta",IF(M382&lt;=H382*1.1,"Alerta","Crítico"))))</x:f>
        <x:v>En meta</x:v>
      </x:c>
      <x:c r="O382" s="22" t="str">
        <x:v>%</x:v>
      </x:c>
      <x:c r="P382" s="22" t="str">
        <x:v>Mantenimiento / Líder SG-SST</x:v>
      </x:c>
      <x:c r="Q382" s="22" t="str">
        <x:v>Programa de mantenimiento preventivo</x:v>
      </x:c>
      <x:c r="R382" s="22" t="str"/>
    </x:row>
    <x:row r="383">
      <x:c r="A383" s="46" t="n">
        <x:v>45657</x:v>
      </x:c>
      <x:c r="B383" s="22" t="n">
        <x:v>2024</x:v>
      </x:c>
      <x:c r="C383" s="22" t="str">
        <x:v>Diciembre</x:v>
      </x:c>
      <x:c r="D383" s="22" t="str">
        <x:v>R01</x:v>
      </x:c>
      <x:c r="E383" s="22" t="str">
        <x:v>Índice de frecuencia de accidentalidad (IF)</x:v>
      </x:c>
      <x:c r="F383" s="22" t="str">
        <x:v>Resultado</x:v>
      </x:c>
      <x:c r="G383" s="22" t="str">
        <x:v>Mensual</x:v>
      </x:c>
      <x:c r="H383" s="40" t="n">
        <x:v>3.5</x:v>
      </x:c>
      <x:c r="I383" s="22" t="str">
        <x:v>Menor es mejor</x:v>
      </x:c>
      <x:c r="J383" s="40" t="n">
        <x:v>1</x:v>
      </x:c>
      <x:c r="K383" s="40" t="n">
        <x:v>54418</x:v>
      </x:c>
      <x:c r="L383" s="40" t="n">
        <x:v>200000</x:v>
      </x:c>
      <x:c r="M383" s="40" t="n">
        <x:f>IF(OR(J383="",K383="",K383=0),"",J383/K383*L383)</x:f>
        <x:v>3.6752545113749124</x:v>
      </x:c>
      <x:c r="N383" s="22" t="str">
        <x:f>IF(M383="","",IF(I383="Mayor es mejor",IF(M383&gt;=H383,"En meta",IF(M383&gt;=H383*0.9,"Alerta","Crítico")),IF(M383&lt;=H383,"En meta",IF(M383&lt;=H383*1.1,"Alerta","Crítico"))))</x:f>
        <x:v>Alerta</x:v>
      </x:c>
      <x:c r="O383" s="22" t="str">
        <x:v>Índice</x:v>
      </x:c>
      <x:c r="P383" s="22" t="str">
        <x:v>Líder SG-SST</x:v>
      </x:c>
      <x:c r="Q383" s="22" t="str">
        <x:v>Matriz de accidentalidad / nómina</x:v>
      </x:c>
      <x:c r="R383" s="22" t="str"/>
    </x:row>
    <x:row r="384">
      <x:c r="A384" s="46" t="n">
        <x:v>45657</x:v>
      </x:c>
      <x:c r="B384" s="22" t="n">
        <x:v>2024</x:v>
      </x:c>
      <x:c r="C384" s="22" t="str">
        <x:v>Diciembre</x:v>
      </x:c>
      <x:c r="D384" s="22" t="str">
        <x:v>R02</x:v>
      </x:c>
      <x:c r="E384" s="22" t="str">
        <x:v>Índice de severidad de accidentalidad (IS)</x:v>
      </x:c>
      <x:c r="F384" s="22" t="str">
        <x:v>Resultado</x:v>
      </x:c>
      <x:c r="G384" s="22" t="str">
        <x:v>Mensual</x:v>
      </x:c>
      <x:c r="H384" s="40" t="n">
        <x:v>80</x:v>
      </x:c>
      <x:c r="I384" s="22" t="str">
        <x:v>Menor es mejor</x:v>
      </x:c>
      <x:c r="J384" s="40" t="n">
        <x:v>18</x:v>
      </x:c>
      <x:c r="K384" s="40" t="n">
        <x:v>54418</x:v>
      </x:c>
      <x:c r="L384" s="40" t="n">
        <x:v>200000</x:v>
      </x:c>
      <x:c r="M384" s="40" t="n">
        <x:f>IF(OR(J384="",K384="",K384=0),"",J384/K384*L384)</x:f>
        <x:v>66.15458120474842</x:v>
      </x:c>
      <x:c r="N384" s="22" t="str">
        <x:f>IF(M384="","",IF(I384="Mayor es mejor",IF(M384&gt;=H384,"En meta",IF(M384&gt;=H384*0.9,"Alerta","Crítico")),IF(M384&lt;=H384,"En meta",IF(M384&lt;=H384*1.1,"Alerta","Crítico"))))</x:f>
        <x:v>En meta</x:v>
      </x:c>
      <x:c r="O384" s="22" t="str">
        <x:v>Índice</x:v>
      </x:c>
      <x:c r="P384" s="22" t="str">
        <x:v>Líder SG-SST</x:v>
      </x:c>
      <x:c r="Q384" s="22" t="str">
        <x:v>Matriz de accidentalidad / nómina</x:v>
      </x:c>
      <x:c r="R384" s="22" t="str"/>
    </x:row>
    <x:row r="385">
      <x:c r="A385" s="46" t="n">
        <x:v>45657</x:v>
      </x:c>
      <x:c r="B385" s="22" t="n">
        <x:v>2024</x:v>
      </x:c>
      <x:c r="C385" s="22" t="str">
        <x:v>Diciembre</x:v>
      </x:c>
      <x:c r="D385" s="22" t="str">
        <x:v>R03</x:v>
      </x:c>
      <x:c r="E385" s="22" t="str">
        <x:v>Índice de lesión incapacitante (ILI)</x:v>
      </x:c>
      <x:c r="F385" s="22" t="str">
        <x:v>Resultado</x:v>
      </x:c>
      <x:c r="G385" s="22" t="str">
        <x:v>Mensual</x:v>
      </x:c>
      <x:c r="H385" s="40" t="n">
        <x:v>0.25</x:v>
      </x:c>
      <x:c r="I385" s="22" t="str">
        <x:v>Menor es mejor</x:v>
      </x:c>
      <x:c r="J385" s="40" t="n">
        <x:v>243.1349</x:v>
      </x:c>
      <x:c r="K385" s="40" t="n">
        <x:v>1000</x:v>
      </x:c>
      <x:c r="L385" s="40" t="n">
        <x:v>1</x:v>
      </x:c>
      <x:c r="M385" s="40" t="n">
        <x:f>IF(OR(J385="",K385="",K385=0),"",J385/K385*L385)</x:f>
        <x:v>0.2431349</x:v>
      </x:c>
      <x:c r="N385" s="22" t="str">
        <x:f>IF(M385="","",IF(I385="Mayor es mejor",IF(M385&gt;=H385,"En meta",IF(M385&gt;=H385*0.9,"Alerta","Crítico")),IF(M385&lt;=H385,"En meta",IF(M385&lt;=H385*1.1,"Alerta","Crítico"))))</x:f>
        <x:v>En meta</x:v>
      </x:c>
      <x:c r="O385" s="22" t="str">
        <x:v>Índice</x:v>
      </x:c>
      <x:c r="P385" s="22" t="str">
        <x:v>Líder SG-SST</x:v>
      </x:c>
      <x:c r="Q385" s="22" t="str">
        <x:v>Indicadores derivados de accidentalidad</x:v>
      </x:c>
      <x:c r="R385" s="22" t="str">
        <x:v>ILI calculado sobre IF e IS del periodo.</x:v>
      </x:c>
    </x:row>
    <x:row r="386">
      <x:c r="A386" s="46" t="n">
        <x:v>45657</x:v>
      </x:c>
      <x:c r="B386" s="22" t="n">
        <x:v>2024</x:v>
      </x:c>
      <x:c r="C386" s="22" t="str">
        <x:v>Diciembre</x:v>
      </x:c>
      <x:c r="D386" s="22" t="str">
        <x:v>R04</x:v>
      </x:c>
      <x:c r="E386" s="22" t="str">
        <x:v>Tasa de accidentalidad</x:v>
      </x:c>
      <x:c r="F386" s="22" t="str">
        <x:v>Resultado</x:v>
      </x:c>
      <x:c r="G386" s="22" t="str">
        <x:v>Mensual</x:v>
      </x:c>
      <x:c r="H386" s="40" t="n">
        <x:v>0.6</x:v>
      </x:c>
      <x:c r="I386" s="22" t="str">
        <x:v>Menor es mejor</x:v>
      </x:c>
      <x:c r="J386" s="40" t="n">
        <x:v>4.87</x:v>
      </x:c>
      <x:c r="K386" s="40" t="n">
        <x:v>226</x:v>
      </x:c>
      <x:c r="L386" s="40" t="n">
        <x:v>100</x:v>
      </x:c>
      <x:c r="M386" s="40" t="n">
        <x:f>IF(OR(J386="",K386="",K386=0),"",J386/K386*L386)</x:f>
        <x:v>2.1548672566371683</x:v>
      </x:c>
      <x:c r="N386" s="22" t="str">
        <x:f>IF(M386="","",IF(I386="Mayor es mejor",IF(M386&gt;=H386,"En meta",IF(M386&gt;=H386*0.9,"Alerta","Crítico")),IF(M386&lt;=H386,"En meta",IF(M386&lt;=H386*1.1,"Alerta","Crítico"))))</x:f>
        <x:v>Crítico</x:v>
      </x:c>
      <x:c r="O386" s="22" t="str">
        <x:v>%</x:v>
      </x:c>
      <x:c r="P386" s="22" t="str">
        <x:v>Líder SG-SST</x:v>
      </x:c>
      <x:c r="Q386" s="22" t="str">
        <x:v>Matriz de accidentalidad / nómina</x:v>
      </x:c>
      <x:c r="R386" s="22" t="str"/>
    </x:row>
    <x:row r="387">
      <x:c r="A387" s="46" t="n">
        <x:v>45657</x:v>
      </x:c>
      <x:c r="B387" s="22" t="n">
        <x:v>2024</x:v>
      </x:c>
      <x:c r="C387" s="22" t="str">
        <x:v>Diciembre</x:v>
      </x:c>
      <x:c r="D387" s="22" t="str">
        <x:v>R05</x:v>
      </x:c>
      <x:c r="E387" s="22" t="str">
        <x:v>Prevalencia de enfermedad laboral</x:v>
      </x:c>
      <x:c r="F387" s="22" t="str">
        <x:v>Resultado</x:v>
      </x:c>
      <x:c r="G387" s="22" t="str">
        <x:v>Mensual</x:v>
      </x:c>
      <x:c r="H387" s="40" t="n">
        <x:v>0.3</x:v>
      </x:c>
      <x:c r="I387" s="22" t="str">
        <x:v>Menor es mejor</x:v>
      </x:c>
      <x:c r="J387" s="40" t="n">
        <x:v>2.39</x:v>
      </x:c>
      <x:c r="K387" s="40" t="n">
        <x:v>226</x:v>
      </x:c>
      <x:c r="L387" s="40" t="n">
        <x:v>100</x:v>
      </x:c>
      <x:c r="M387" s="40" t="n">
        <x:f>IF(OR(J387="",K387="",K387=0),"",J387/K387*L387)</x:f>
        <x:v>1.0575221238938055</x:v>
      </x:c>
      <x:c r="N387" s="22" t="str">
        <x:f>IF(M387="","",IF(I387="Mayor es mejor",IF(M387&gt;=H387,"En meta",IF(M387&gt;=H387*0.9,"Alerta","Crítico")),IF(M387&lt;=H387,"En meta",IF(M387&lt;=H387*1.1,"Alerta","Crítico"))))</x:f>
        <x:v>Crítico</x:v>
      </x:c>
      <x:c r="O387" s="22" t="str">
        <x:v>%</x:v>
      </x:c>
      <x:c r="P387" s="22" t="str">
        <x:v>Líder SG-SST / Medicina laboral</x:v>
      </x:c>
      <x:c r="Q387" s="22" t="str">
        <x:v>Matriz de enfermedad laboral / nómina</x:v>
      </x:c>
      <x:c r="R387" s="22" t="str"/>
    </x:row>
    <x:row r="388">
      <x:c r="A388" s="46" t="n">
        <x:v>45657</x:v>
      </x:c>
      <x:c r="B388" s="22" t="n">
        <x:v>2024</x:v>
      </x:c>
      <x:c r="C388" s="22" t="str">
        <x:v>Diciembre</x:v>
      </x:c>
      <x:c r="D388" s="22" t="str">
        <x:v>R06</x:v>
      </x:c>
      <x:c r="E388" s="22" t="str">
        <x:v>% cumplimiento de estándares mínimos Res. 0312 de 2019</x:v>
      </x:c>
      <x:c r="F388" s="22" t="str">
        <x:v>Resultado</x:v>
      </x:c>
      <x:c r="G388" s="22" t="str">
        <x:v>Mensual</x:v>
      </x:c>
      <x:c r="H388" s="40" t="n">
        <x:v>95</x:v>
      </x:c>
      <x:c r="I388" s="22" t="str">
        <x:v>Mayor es mejor</x:v>
      </x:c>
      <x:c r="J388" s="40" t="n">
        <x:v>97</x:v>
      </x:c>
      <x:c r="K388" s="40" t="n">
        <x:v>100</x:v>
      </x:c>
      <x:c r="L388" s="40" t="n">
        <x:v>100</x:v>
      </x:c>
      <x:c r="M388" s="40" t="n">
        <x:f>IF(OR(J388="",K388="",K388=0),"",J388/K388*L388)</x:f>
        <x:v>97</x:v>
      </x:c>
      <x:c r="N388" s="22" t="str">
        <x:f>IF(M388="","",IF(I388="Mayor es mejor",IF(M388&gt;=H388,"En meta",IF(M388&gt;=H388*0.9,"Alerta","Crítico")),IF(M388&lt;=H388,"En meta",IF(M388&lt;=H388*1.1,"Alerta","Crítico"))))</x:f>
        <x:v>En meta</x:v>
      </x:c>
      <x:c r="O388" s="22" t="str">
        <x:v>%</x:v>
      </x:c>
      <x:c r="P388" s="22" t="str">
        <x:v>Líder SG-SST / Alta Dirección</x:v>
      </x:c>
      <x:c r="Q388" s="22" t="str">
        <x:v>Autodiagnóstico Res. 0312 de 2019</x:v>
      </x:c>
      <x:c r="R388" s="22" t="str"/>
    </x:row>
    <x:row r="389">
      <x:c r="A389" s="46" t="n">
        <x:v>45688</x:v>
      </x:c>
      <x:c r="B389" s="22" t="n">
        <x:v>2025</x:v>
      </x:c>
      <x:c r="C389" s="22" t="str">
        <x:v>Enero</x:v>
      </x:c>
      <x:c r="D389" s="22" t="str">
        <x:v>E01</x:v>
      </x:c>
      <x:c r="E389" s="22" t="str">
        <x:v>% ejecución presupuestal del SG-SST</x:v>
      </x:c>
      <x:c r="F389" s="22" t="str">
        <x:v>Estructura</x:v>
      </x:c>
      <x:c r="G389" s="22" t="str">
        <x:v>Mensual</x:v>
      </x:c>
      <x:c r="H389" s="40" t="n">
        <x:v>95</x:v>
      </x:c>
      <x:c r="I389" s="22" t="str">
        <x:v>Mayor es mejor</x:v>
      </x:c>
      <x:c r="J389" s="40" t="n">
        <x:v>4383599</x:v>
      </x:c>
      <x:c r="K389" s="40" t="n">
        <x:v>4500000</x:v>
      </x:c>
      <x:c r="L389" s="40" t="n">
        <x:v>100</x:v>
      </x:c>
      <x:c r="M389" s="40" t="n">
        <x:f>IF(OR(J389="",K389="",K389=0),"",J389/K389*L389)</x:f>
        <x:v>97.41331111111111</x:v>
      </x:c>
      <x:c r="N389" s="22" t="str">
        <x:f>IF(M389="","",IF(I389="Mayor es mejor",IF(M389&gt;=H389,"En meta",IF(M389&gt;=H389*0.9,"Alerta","Crítico")),IF(M389&lt;=H389,"En meta",IF(M389&lt;=H389*1.1,"Alerta","Crítico"))))</x:f>
        <x:v>En meta</x:v>
      </x:c>
      <x:c r="O389" s="22" t="str">
        <x:v>%</x:v>
      </x:c>
      <x:c r="P389" s="22" t="str">
        <x:v>Líder SG-SST / Dirección Administrativa</x:v>
      </x:c>
      <x:c r="Q389" s="22" t="str">
        <x:v>Presupuesto SST</x:v>
      </x:c>
      <x:c r="R389" s="22" t="str"/>
    </x:row>
    <x:row r="390">
      <x:c r="A390" s="46" t="n">
        <x:v>45688</x:v>
      </x:c>
      <x:c r="B390" s="22" t="n">
        <x:v>2025</x:v>
      </x:c>
      <x:c r="C390" s="22" t="str">
        <x:v>Enero</x:v>
      </x:c>
      <x:c r="D390" s="22" t="str">
        <x:v>E02</x:v>
      </x:c>
      <x:c r="E390" s="22" t="str">
        <x:v>% cobertura del plan de formación y capacitación SG-SST</x:v>
      </x:c>
      <x:c r="F390" s="22" t="str">
        <x:v>Estructura</x:v>
      </x:c>
      <x:c r="G390" s="22" t="str">
        <x:v>Mensual</x:v>
      </x:c>
      <x:c r="H390" s="40" t="n">
        <x:v>90</x:v>
      </x:c>
      <x:c r="I390" s="22" t="str">
        <x:v>Mayor es mejor</x:v>
      </x:c>
      <x:c r="J390" s="40" t="n">
        <x:v>19</x:v>
      </x:c>
      <x:c r="K390" s="40" t="n">
        <x:v>20</x:v>
      </x:c>
      <x:c r="L390" s="40" t="n">
        <x:v>100</x:v>
      </x:c>
      <x:c r="M390" s="40" t="n">
        <x:f>IF(OR(J390="",K390="",K390=0),"",J390/K390*L390)</x:f>
        <x:v>95</x:v>
      </x:c>
      <x:c r="N390" s="22" t="str">
        <x:f>IF(M390="","",IF(I390="Mayor es mejor",IF(M390&gt;=H390,"En meta",IF(M390&gt;=H390*0.9,"Alerta","Crítico")),IF(M390&lt;=H390,"En meta",IF(M390&lt;=H390*1.1,"Alerta","Crítico"))))</x:f>
        <x:v>En meta</x:v>
      </x:c>
      <x:c r="O390" s="22" t="str">
        <x:v>%</x:v>
      </x:c>
      <x:c r="P390" s="22" t="str">
        <x:v>Líder SG-SST / Talento Humano</x:v>
      </x:c>
      <x:c r="Q390" s="22" t="str">
        <x:v>Plan de formación y capacitaciones</x:v>
      </x:c>
      <x:c r="R390" s="22" t="str"/>
    </x:row>
    <x:row r="391">
      <x:c r="A391" s="46" t="n">
        <x:v>45688</x:v>
      </x:c>
      <x:c r="B391" s="22" t="n">
        <x:v>2025</x:v>
      </x:c>
      <x:c r="C391" s="22" t="str">
        <x:v>Enero</x:v>
      </x:c>
      <x:c r="D391" s="22" t="str">
        <x:v>E03</x:v>
      </x:c>
      <x:c r="E391" s="22" t="str">
        <x:v>% trabajadores con exámenes médicos ocupacionales vigentes</x:v>
      </x:c>
      <x:c r="F391" s="22" t="str">
        <x:v>Estructura</x:v>
      </x:c>
      <x:c r="G391" s="22" t="str">
        <x:v>Mensual</x:v>
      </x:c>
      <x:c r="H391" s="40" t="n">
        <x:v>95</x:v>
      </x:c>
      <x:c r="I391" s="22" t="str">
        <x:v>Mayor es mejor</x:v>
      </x:c>
      <x:c r="J391" s="40" t="n">
        <x:v>238</x:v>
      </x:c>
      <x:c r="K391" s="40" t="n">
        <x:v>243</x:v>
      </x:c>
      <x:c r="L391" s="40" t="n">
        <x:v>100</x:v>
      </x:c>
      <x:c r="M391" s="40" t="n">
        <x:f>IF(OR(J391="",K391="",K391=0),"",J391/K391*L391)</x:f>
        <x:v>97.94238683127571</x:v>
      </x:c>
      <x:c r="N391" s="22" t="str">
        <x:f>IF(M391="","",IF(I391="Mayor es mejor",IF(M391&gt;=H391,"En meta",IF(M391&gt;=H391*0.9,"Alerta","Crítico")),IF(M391&lt;=H391,"En meta",IF(M391&lt;=H391*1.1,"Alerta","Crítico"))))</x:f>
        <x:v>En meta</x:v>
      </x:c>
      <x:c r="O391" s="22" t="str">
        <x:v>%</x:v>
      </x:c>
      <x:c r="P391" s="22" t="str">
        <x:v>Líder SG-SST / Talento Humano</x:v>
      </x:c>
      <x:c r="Q391" s="22" t="str">
        <x:v>Matriz de seguimiento EMO</x:v>
      </x:c>
      <x:c r="R391" s="22" t="str"/>
    </x:row>
    <x:row r="392">
      <x:c r="A392" s="46" t="n">
        <x:v>45688</x:v>
      </x:c>
      <x:c r="B392" s="22" t="n">
        <x:v>2025</x:v>
      </x:c>
      <x:c r="C392" s="22" t="str">
        <x:v>Enero</x:v>
      </x:c>
      <x:c r="D392" s="22" t="str">
        <x:v>E04</x:v>
      </x:c>
      <x:c r="E392" s="22" t="str">
        <x:v>% cumplimiento de requisitos legales aplicables en SST</x:v>
      </x:c>
      <x:c r="F392" s="22" t="str">
        <x:v>Estructura</x:v>
      </x:c>
      <x:c r="G392" s="22" t="str">
        <x:v>Mensual</x:v>
      </x:c>
      <x:c r="H392" s="40" t="n">
        <x:v>95</x:v>
      </x:c>
      <x:c r="I392" s="22" t="str">
        <x:v>Mayor es mejor</x:v>
      </x:c>
      <x:c r="J392" s="40" t="n">
        <x:v>59</x:v>
      </x:c>
      <x:c r="K392" s="40" t="n">
        <x:v>60</x:v>
      </x:c>
      <x:c r="L392" s="40" t="n">
        <x:v>100</x:v>
      </x:c>
      <x:c r="M392" s="40" t="n">
        <x:f>IF(OR(J392="",K392="",K392=0),"",J392/K392*L392)</x:f>
        <x:v>98.33333333333333</x:v>
      </x:c>
      <x:c r="N392" s="22" t="str">
        <x:f>IF(M392="","",IF(I392="Mayor es mejor",IF(M392&gt;=H392,"En meta",IF(M392&gt;=H392*0.9,"Alerta","Crítico")),IF(M392&lt;=H392,"En meta",IF(M392&lt;=H392*1.1,"Alerta","Crítico"))))</x:f>
        <x:v>En meta</x:v>
      </x:c>
      <x:c r="O392" s="22" t="str">
        <x:v>%</x:v>
      </x:c>
      <x:c r="P392" s="22" t="str">
        <x:v>Líder SG-SST / Jurídica</x:v>
      </x:c>
      <x:c r="Q392" s="22" t="str">
        <x:v>Matriz legal SGRL</x:v>
      </x:c>
      <x:c r="R392" s="22" t="str"/>
    </x:row>
    <x:row r="393">
      <x:c r="A393" s="46" t="n">
        <x:v>45688</x:v>
      </x:c>
      <x:c r="B393" s="22" t="n">
        <x:v>2025</x:v>
      </x:c>
      <x:c r="C393" s="22" t="str">
        <x:v>Enero</x:v>
      </x:c>
      <x:c r="D393" s="22" t="str">
        <x:v>E05</x:v>
      </x:c>
      <x:c r="E393" s="22" t="str">
        <x:v>% proveedores y contratistas aprobados en SST</x:v>
      </x:c>
      <x:c r="F393" s="22" t="str">
        <x:v>Estructura</x:v>
      </x:c>
      <x:c r="G393" s="22" t="str">
        <x:v>Mensual</x:v>
      </x:c>
      <x:c r="H393" s="40" t="n">
        <x:v>90</x:v>
      </x:c>
      <x:c r="I393" s="22" t="str">
        <x:v>Mayor es mejor</x:v>
      </x:c>
      <x:c r="J393" s="40" t="n">
        <x:v>19</x:v>
      </x:c>
      <x:c r="K393" s="40" t="n">
        <x:v>20</x:v>
      </x:c>
      <x:c r="L393" s="40" t="n">
        <x:v>100</x:v>
      </x:c>
      <x:c r="M393" s="40" t="n">
        <x:f>IF(OR(J393="",K393="",K393=0),"",J393/K393*L393)</x:f>
        <x:v>95</x:v>
      </x:c>
      <x:c r="N393" s="22" t="str">
        <x:f>IF(M393="","",IF(I393="Mayor es mejor",IF(M393&gt;=H393,"En meta",IF(M393&gt;=H393*0.9,"Alerta","Crítico")),IF(M393&lt;=H393,"En meta",IF(M393&lt;=H393*1.1,"Alerta","Crítico"))))</x:f>
        <x:v>En meta</x:v>
      </x:c>
      <x:c r="O393" s="22" t="str">
        <x:v>%</x:v>
      </x:c>
      <x:c r="P393" s="22" t="str">
        <x:v>Compras / Líder SG-SST</x:v>
      </x:c>
      <x:c r="Q393" s="22" t="str">
        <x:v>Gestión de proveedores y contratistas</x:v>
      </x:c>
      <x:c r="R393" s="22" t="str"/>
    </x:row>
    <x:row r="394">
      <x:c r="A394" s="46" t="n">
        <x:v>45688</x:v>
      </x:c>
      <x:c r="B394" s="22" t="n">
        <x:v>2025</x:v>
      </x:c>
      <x:c r="C394" s="22" t="str">
        <x:v>Enero</x:v>
      </x:c>
      <x:c r="D394" s="22" t="str">
        <x:v>P01</x:v>
      </x:c>
      <x:c r="E394" s="22" t="str">
        <x:v>% ejecución del plan anual de trabajo SG-SST</x:v>
      </x:c>
      <x:c r="F394" s="22" t="str">
        <x:v>Proceso</x:v>
      </x:c>
      <x:c r="G394" s="22" t="str">
        <x:v>Mensual</x:v>
      </x:c>
      <x:c r="H394" s="40" t="n">
        <x:v>90</x:v>
      </x:c>
      <x:c r="I394" s="22" t="str">
        <x:v>Mayor es mejor</x:v>
      </x:c>
      <x:c r="J394" s="40" t="n">
        <x:v>11</x:v>
      </x:c>
      <x:c r="K394" s="40" t="n">
        <x:v>12</x:v>
      </x:c>
      <x:c r="L394" s="40" t="n">
        <x:v>100</x:v>
      </x:c>
      <x:c r="M394" s="40" t="n">
        <x:f>IF(OR(J394="",K394="",K394=0),"",J394/K394*L394)</x:f>
        <x:v>91.66666666666666</x:v>
      </x:c>
      <x:c r="N394" s="22" t="str">
        <x:f>IF(M394="","",IF(I394="Mayor es mejor",IF(M394&gt;=H394,"En meta",IF(M394&gt;=H394*0.9,"Alerta","Crítico")),IF(M394&lt;=H394,"En meta",IF(M394&lt;=H394*1.1,"Alerta","Crítico"))))</x:f>
        <x:v>En meta</x:v>
      </x:c>
      <x:c r="O394" s="22" t="str">
        <x:v>%</x:v>
      </x:c>
      <x:c r="P394" s="22" t="str">
        <x:v>Líder SG-SST</x:v>
      </x:c>
      <x:c r="Q394" s="22" t="str">
        <x:v>Plan anual de trabajo PHVA</x:v>
      </x:c>
      <x:c r="R394" s="22" t="str"/>
    </x:row>
    <x:row r="395">
      <x:c r="A395" s="46" t="n">
        <x:v>45688</x:v>
      </x:c>
      <x:c r="B395" s="22" t="n">
        <x:v>2025</x:v>
      </x:c>
      <x:c r="C395" s="22" t="str">
        <x:v>Enero</x:v>
      </x:c>
      <x:c r="D395" s="22" t="str">
        <x:v>P02</x:v>
      </x:c>
      <x:c r="E395" s="22" t="str">
        <x:v>% investigaciones de accidentes realizadas oportunamente</x:v>
      </x:c>
      <x:c r="F395" s="22" t="str">
        <x:v>Proceso</x:v>
      </x:c>
      <x:c r="G395" s="22" t="str">
        <x:v>Mensual</x:v>
      </x:c>
      <x:c r="H395" s="40" t="n">
        <x:v>95</x:v>
      </x:c>
      <x:c r="I395" s="22" t="str">
        <x:v>Mayor es mejor</x:v>
      </x:c>
      <x:c r="J395" s="40" t="n">
        <x:v>1</x:v>
      </x:c>
      <x:c r="K395" s="40" t="n">
        <x:v>1</x:v>
      </x:c>
      <x:c r="L395" s="40" t="n">
        <x:v>100</x:v>
      </x:c>
      <x:c r="M395" s="40" t="n">
        <x:f>IF(OR(J395="",K395="",K395=0),"",J395/K395*L395)</x:f>
        <x:v>100</x:v>
      </x:c>
      <x:c r="N395" s="22" t="str">
        <x:f>IF(M395="","",IF(I395="Mayor es mejor",IF(M395&gt;=H395,"En meta",IF(M395&gt;=H395*0.9,"Alerta","Crítico")),IF(M395&lt;=H395,"En meta",IF(M395&lt;=H395*1.1,"Alerta","Crítico"))))</x:f>
        <x:v>En meta</x:v>
      </x:c>
      <x:c r="O395" s="22" t="str">
        <x:v>%</x:v>
      </x:c>
      <x:c r="P395" s="22" t="str">
        <x:v>Líder SG-SST / COPASST</x:v>
      </x:c>
      <x:c r="Q395" s="22" t="str">
        <x:v>Matriz de accidentalidad</x:v>
      </x:c>
      <x:c r="R395" s="22" t="str"/>
    </x:row>
    <x:row r="396">
      <x:c r="A396" s="46" t="n">
        <x:v>45688</x:v>
      </x:c>
      <x:c r="B396" s="22" t="n">
        <x:v>2025</x:v>
      </x:c>
      <x:c r="C396" s="22" t="str">
        <x:v>Enero</x:v>
      </x:c>
      <x:c r="D396" s="22" t="str">
        <x:v>P03</x:v>
      </x:c>
      <x:c r="E396" s="22" t="str">
        <x:v>% cierre oportuno de acciones correctivas, preventivas y de mejora</x:v>
      </x:c>
      <x:c r="F396" s="22" t="str">
        <x:v>Proceso</x:v>
      </x:c>
      <x:c r="G396" s="22" t="str">
        <x:v>Mensual</x:v>
      </x:c>
      <x:c r="H396" s="40" t="n">
        <x:v>90</x:v>
      </x:c>
      <x:c r="I396" s="22" t="str">
        <x:v>Mayor es mejor</x:v>
      </x:c>
      <x:c r="J396" s="40" t="n">
        <x:v>10</x:v>
      </x:c>
      <x:c r="K396" s="40" t="n">
        <x:v>11</x:v>
      </x:c>
      <x:c r="L396" s="40" t="n">
        <x:v>100</x:v>
      </x:c>
      <x:c r="M396" s="40" t="n">
        <x:f>IF(OR(J396="",K396="",K396=0),"",J396/K396*L396)</x:f>
        <x:v>90.9090909090909</x:v>
      </x:c>
      <x:c r="N396" s="22" t="str">
        <x:f>IF(M396="","",IF(I396="Mayor es mejor",IF(M396&gt;=H396,"En meta",IF(M396&gt;=H396*0.9,"Alerta","Crítico")),IF(M396&lt;=H396,"En meta",IF(M396&lt;=H396*1.1,"Alerta","Crítico"))))</x:f>
        <x:v>En meta</x:v>
      </x:c>
      <x:c r="O396" s="22" t="str">
        <x:v>%</x:v>
      </x:c>
      <x:c r="P396" s="22" t="str">
        <x:v>Líder SG-SST / Responsables de proceso</x:v>
      </x:c>
      <x:c r="Q396" s="22" t="str">
        <x:v>Matriz APCM</x:v>
      </x:c>
      <x:c r="R396" s="22" t="str"/>
    </x:row>
    <x:row r="397">
      <x:c r="A397" s="46" t="n">
        <x:v>45688</x:v>
      </x:c>
      <x:c r="B397" s="22" t="n">
        <x:v>2025</x:v>
      </x:c>
      <x:c r="C397" s="22" t="str">
        <x:v>Enero</x:v>
      </x:c>
      <x:c r="D397" s="22" t="str">
        <x:v>P04</x:v>
      </x:c>
      <x:c r="E397" s="22" t="str">
        <x:v>% inspecciones de seguridad ejecutadas</x:v>
      </x:c>
      <x:c r="F397" s="22" t="str">
        <x:v>Proceso</x:v>
      </x:c>
      <x:c r="G397" s="22" t="str">
        <x:v>Mensual</x:v>
      </x:c>
      <x:c r="H397" s="40" t="n">
        <x:v>90</x:v>
      </x:c>
      <x:c r="I397" s="22" t="str">
        <x:v>Mayor es mejor</x:v>
      </x:c>
      <x:c r="J397" s="40" t="n">
        <x:v>8</x:v>
      </x:c>
      <x:c r="K397" s="40" t="n">
        <x:v>9</x:v>
      </x:c>
      <x:c r="L397" s="40" t="n">
        <x:v>100</x:v>
      </x:c>
      <x:c r="M397" s="40" t="n">
        <x:f>IF(OR(J397="",K397="",K397=0),"",J397/K397*L397)</x:f>
        <x:v>88.88888888888889</x:v>
      </x:c>
      <x:c r="N397" s="22" t="str">
        <x:f>IF(M397="","",IF(I397="Mayor es mejor",IF(M397&gt;=H397,"En meta",IF(M397&gt;=H397*0.9,"Alerta","Crítico")),IF(M397&lt;=H397,"En meta",IF(M397&lt;=H397*1.1,"Alerta","Crítico"))))</x:f>
        <x:v>Alerta</x:v>
      </x:c>
      <x:c r="O397" s="22" t="str">
        <x:v>%</x:v>
      </x:c>
      <x:c r="P397" s="22" t="str">
        <x:v>Líder SG-SST / Supervisores</x:v>
      </x:c>
      <x:c r="Q397" s="22" t="str">
        <x:v>Programa de inspecciones</x:v>
      </x:c>
      <x:c r="R397" s="22" t="str"/>
    </x:row>
    <x:row r="398">
      <x:c r="A398" s="46" t="n">
        <x:v>45688</x:v>
      </x:c>
      <x:c r="B398" s="22" t="n">
        <x:v>2025</x:v>
      </x:c>
      <x:c r="C398" s="22" t="str">
        <x:v>Enero</x:v>
      </x:c>
      <x:c r="D398" s="22" t="str">
        <x:v>P05</x:v>
      </x:c>
      <x:c r="E398" s="22" t="str">
        <x:v>% mantenimientos preventivos ejecutados</x:v>
      </x:c>
      <x:c r="F398" s="22" t="str">
        <x:v>Proceso</x:v>
      </x:c>
      <x:c r="G398" s="22" t="str">
        <x:v>Mensual</x:v>
      </x:c>
      <x:c r="H398" s="40" t="n">
        <x:v>90</x:v>
      </x:c>
      <x:c r="I398" s="22" t="str">
        <x:v>Mayor es mejor</x:v>
      </x:c>
      <x:c r="J398" s="40" t="n">
        <x:v>12</x:v>
      </x:c>
      <x:c r="K398" s="40" t="n">
        <x:v>13</x:v>
      </x:c>
      <x:c r="L398" s="40" t="n">
        <x:v>100</x:v>
      </x:c>
      <x:c r="M398" s="40" t="n">
        <x:f>IF(OR(J398="",K398="",K398=0),"",J398/K398*L398)</x:f>
        <x:v>92.3076923076923</x:v>
      </x:c>
      <x:c r="N398" s="22" t="str">
        <x:f>IF(M398="","",IF(I398="Mayor es mejor",IF(M398&gt;=H398,"En meta",IF(M398&gt;=H398*0.9,"Alerta","Crítico")),IF(M398&lt;=H398,"En meta",IF(M398&lt;=H398*1.1,"Alerta","Crítico"))))</x:f>
        <x:v>En meta</x:v>
      </x:c>
      <x:c r="O398" s="22" t="str">
        <x:v>%</x:v>
      </x:c>
      <x:c r="P398" s="22" t="str">
        <x:v>Mantenimiento / Líder SG-SST</x:v>
      </x:c>
      <x:c r="Q398" s="22" t="str">
        <x:v>Programa de mantenimiento preventivo</x:v>
      </x:c>
      <x:c r="R398" s="22" t="str"/>
    </x:row>
    <x:row r="399">
      <x:c r="A399" s="46" t="n">
        <x:v>45688</x:v>
      </x:c>
      <x:c r="B399" s="22" t="n">
        <x:v>2025</x:v>
      </x:c>
      <x:c r="C399" s="22" t="str">
        <x:v>Enero</x:v>
      </x:c>
      <x:c r="D399" s="22" t="str">
        <x:v>R01</x:v>
      </x:c>
      <x:c r="E399" s="22" t="str">
        <x:v>Índice de frecuencia de accidentalidad (IF)</x:v>
      </x:c>
      <x:c r="F399" s="22" t="str">
        <x:v>Resultado</x:v>
      </x:c>
      <x:c r="G399" s="22" t="str">
        <x:v>Mensual</x:v>
      </x:c>
      <x:c r="H399" s="40" t="n">
        <x:v>3.5</x:v>
      </x:c>
      <x:c r="I399" s="22" t="str">
        <x:v>Menor es mejor</x:v>
      </x:c>
      <x:c r="J399" s="40" t="n">
        <x:v>1</x:v>
      </x:c>
      <x:c r="K399" s="40" t="n">
        <x:v>58971</x:v>
      </x:c>
      <x:c r="L399" s="40" t="n">
        <x:v>200000</x:v>
      </x:c>
      <x:c r="M399" s="40" t="n">
        <x:f>IF(OR(J399="",K399="",K399=0),"",J399/K399*L399)</x:f>
        <x:v>3.39149751572807</x:v>
      </x:c>
      <x:c r="N399" s="22" t="str">
        <x:f>IF(M399="","",IF(I399="Mayor es mejor",IF(M399&gt;=H399,"En meta",IF(M399&gt;=H399*0.9,"Alerta","Crítico")),IF(M399&lt;=H399,"En meta",IF(M399&lt;=H399*1.1,"Alerta","Crítico"))))</x:f>
        <x:v>En meta</x:v>
      </x:c>
      <x:c r="O399" s="22" t="str">
        <x:v>Índice</x:v>
      </x:c>
      <x:c r="P399" s="22" t="str">
        <x:v>Líder SG-SST</x:v>
      </x:c>
      <x:c r="Q399" s="22" t="str">
        <x:v>Matriz de accidentalidad / nómina</x:v>
      </x:c>
      <x:c r="R399" s="22" t="str"/>
    </x:row>
    <x:row r="400">
      <x:c r="A400" s="46" t="n">
        <x:v>45688</x:v>
      </x:c>
      <x:c r="B400" s="22" t="n">
        <x:v>2025</x:v>
      </x:c>
      <x:c r="C400" s="22" t="str">
        <x:v>Enero</x:v>
      </x:c>
      <x:c r="D400" s="22" t="str">
        <x:v>R02</x:v>
      </x:c>
      <x:c r="E400" s="22" t="str">
        <x:v>Índice de severidad de accidentalidad (IS)</x:v>
      </x:c>
      <x:c r="F400" s="22" t="str">
        <x:v>Resultado</x:v>
      </x:c>
      <x:c r="G400" s="22" t="str">
        <x:v>Mensual</x:v>
      </x:c>
      <x:c r="H400" s="40" t="n">
        <x:v>80</x:v>
      </x:c>
      <x:c r="I400" s="22" t="str">
        <x:v>Menor es mejor</x:v>
      </x:c>
      <x:c r="J400" s="40" t="n">
        <x:v>18</x:v>
      </x:c>
      <x:c r="K400" s="40" t="n">
        <x:v>58971</x:v>
      </x:c>
      <x:c r="L400" s="40" t="n">
        <x:v>200000</x:v>
      </x:c>
      <x:c r="M400" s="40" t="n">
        <x:f>IF(OR(J400="",K400="",K400=0),"",J400/K400*L400)</x:f>
        <x:v>61.04695528310525</x:v>
      </x:c>
      <x:c r="N400" s="22" t="str">
        <x:f>IF(M400="","",IF(I400="Mayor es mejor",IF(M400&gt;=H400,"En meta",IF(M400&gt;=H400*0.9,"Alerta","Crítico")),IF(M400&lt;=H400,"En meta",IF(M400&lt;=H400*1.1,"Alerta","Crítico"))))</x:f>
        <x:v>En meta</x:v>
      </x:c>
      <x:c r="O400" s="22" t="str">
        <x:v>Índice</x:v>
      </x:c>
      <x:c r="P400" s="22" t="str">
        <x:v>Líder SG-SST</x:v>
      </x:c>
      <x:c r="Q400" s="22" t="str">
        <x:v>Matriz de accidentalidad / nómina</x:v>
      </x:c>
      <x:c r="R400" s="22" t="str"/>
    </x:row>
    <x:row r="401">
      <x:c r="A401" s="46" t="n">
        <x:v>45688</x:v>
      </x:c>
      <x:c r="B401" s="22" t="n">
        <x:v>2025</x:v>
      </x:c>
      <x:c r="C401" s="22" t="str">
        <x:v>Enero</x:v>
      </x:c>
      <x:c r="D401" s="22" t="str">
        <x:v>R03</x:v>
      </x:c>
      <x:c r="E401" s="22" t="str">
        <x:v>Índice de lesión incapacitante (ILI)</x:v>
      </x:c>
      <x:c r="F401" s="22" t="str">
        <x:v>Resultado</x:v>
      </x:c>
      <x:c r="G401" s="22" t="str">
        <x:v>Mensual</x:v>
      </x:c>
      <x:c r="H401" s="40" t="n">
        <x:v>0.25</x:v>
      </x:c>
      <x:c r="I401" s="22" t="str">
        <x:v>Menor es mejor</x:v>
      </x:c>
      <x:c r="J401" s="40" t="n">
        <x:v>207.0406</x:v>
      </x:c>
      <x:c r="K401" s="40" t="n">
        <x:v>1000</x:v>
      </x:c>
      <x:c r="L401" s="40" t="n">
        <x:v>1</x:v>
      </x:c>
      <x:c r="M401" s="40" t="n">
        <x:f>IF(OR(J401="",K401="",K401=0),"",J401/K401*L401)</x:f>
        <x:v>0.20704060000000002</x:v>
      </x:c>
      <x:c r="N401" s="22" t="str">
        <x:f>IF(M401="","",IF(I401="Mayor es mejor",IF(M401&gt;=H401,"En meta",IF(M401&gt;=H401*0.9,"Alerta","Crítico")),IF(M401&lt;=H401,"En meta",IF(M401&lt;=H401*1.1,"Alerta","Crítico"))))</x:f>
        <x:v>En meta</x:v>
      </x:c>
      <x:c r="O401" s="22" t="str">
        <x:v>Índice</x:v>
      </x:c>
      <x:c r="P401" s="22" t="str">
        <x:v>Líder SG-SST</x:v>
      </x:c>
      <x:c r="Q401" s="22" t="str">
        <x:v>Indicadores derivados de accidentalidad</x:v>
      </x:c>
      <x:c r="R401" s="22" t="str">
        <x:v>ILI calculado sobre IF e IS del periodo.</x:v>
      </x:c>
    </x:row>
    <x:row r="402">
      <x:c r="A402" s="46" t="n">
        <x:v>45688</x:v>
      </x:c>
      <x:c r="B402" s="22" t="n">
        <x:v>2025</x:v>
      </x:c>
      <x:c r="C402" s="22" t="str">
        <x:v>Enero</x:v>
      </x:c>
      <x:c r="D402" s="22" t="str">
        <x:v>R04</x:v>
      </x:c>
      <x:c r="E402" s="22" t="str">
        <x:v>Tasa de accidentalidad</x:v>
      </x:c>
      <x:c r="F402" s="22" t="str">
        <x:v>Resultado</x:v>
      </x:c>
      <x:c r="G402" s="22" t="str">
        <x:v>Mensual</x:v>
      </x:c>
      <x:c r="H402" s="40" t="n">
        <x:v>0.6</x:v>
      </x:c>
      <x:c r="I402" s="22" t="str">
        <x:v>Menor es mejor</x:v>
      </x:c>
      <x:c r="J402" s="40" t="n">
        <x:v>0.52</x:v>
      </x:c>
      <x:c r="K402" s="40" t="n">
        <x:v>243</x:v>
      </x:c>
      <x:c r="L402" s="40" t="n">
        <x:v>100</x:v>
      </x:c>
      <x:c r="M402" s="40" t="n">
        <x:f>IF(OR(J402="",K402="",K402=0),"",J402/K402*L402)</x:f>
        <x:v>0.2139917695473251</x:v>
      </x:c>
      <x:c r="N402" s="22" t="str">
        <x:f>IF(M402="","",IF(I402="Mayor es mejor",IF(M402&gt;=H402,"En meta",IF(M402&gt;=H402*0.9,"Alerta","Crítico")),IF(M402&lt;=H402,"En meta",IF(M402&lt;=H402*1.1,"Alerta","Crítico"))))</x:f>
        <x:v>En meta</x:v>
      </x:c>
      <x:c r="O402" s="22" t="str">
        <x:v>%</x:v>
      </x:c>
      <x:c r="P402" s="22" t="str">
        <x:v>Líder SG-SST</x:v>
      </x:c>
      <x:c r="Q402" s="22" t="str">
        <x:v>Matriz de accidentalidad / nómina</x:v>
      </x:c>
      <x:c r="R402" s="22" t="str"/>
    </x:row>
    <x:row r="403">
      <x:c r="A403" s="46" t="n">
        <x:v>45688</x:v>
      </x:c>
      <x:c r="B403" s="22" t="n">
        <x:v>2025</x:v>
      </x:c>
      <x:c r="C403" s="22" t="str">
        <x:v>Enero</x:v>
      </x:c>
      <x:c r="D403" s="22" t="str">
        <x:v>R05</x:v>
      </x:c>
      <x:c r="E403" s="22" t="str">
        <x:v>Prevalencia de enfermedad laboral</x:v>
      </x:c>
      <x:c r="F403" s="22" t="str">
        <x:v>Resultado</x:v>
      </x:c>
      <x:c r="G403" s="22" t="str">
        <x:v>Mensual</x:v>
      </x:c>
      <x:c r="H403" s="40" t="n">
        <x:v>0.3</x:v>
      </x:c>
      <x:c r="I403" s="22" t="str">
        <x:v>Menor es mejor</x:v>
      </x:c>
      <x:c r="J403" s="40" t="n">
        <x:v>3.06</x:v>
      </x:c>
      <x:c r="K403" s="40" t="n">
        <x:v>243</x:v>
      </x:c>
      <x:c r="L403" s="40" t="n">
        <x:v>100</x:v>
      </x:c>
      <x:c r="M403" s="40" t="n">
        <x:f>IF(OR(J403="",K403="",K403=0),"",J403/K403*L403)</x:f>
        <x:v>1.2592592592592593</x:v>
      </x:c>
      <x:c r="N403" s="22" t="str">
        <x:f>IF(M403="","",IF(I403="Mayor es mejor",IF(M403&gt;=H403,"En meta",IF(M403&gt;=H403*0.9,"Alerta","Crítico")),IF(M403&lt;=H403,"En meta",IF(M403&lt;=H403*1.1,"Alerta","Crítico"))))</x:f>
        <x:v>Crítico</x:v>
      </x:c>
      <x:c r="O403" s="22" t="str">
        <x:v>%</x:v>
      </x:c>
      <x:c r="P403" s="22" t="str">
        <x:v>Líder SG-SST / Medicina laboral</x:v>
      </x:c>
      <x:c r="Q403" s="22" t="str">
        <x:v>Matriz de enfermedad laboral / nómina</x:v>
      </x:c>
      <x:c r="R403" s="22" t="str"/>
    </x:row>
    <x:row r="404">
      <x:c r="A404" s="46" t="n">
        <x:v>45688</x:v>
      </x:c>
      <x:c r="B404" s="22" t="n">
        <x:v>2025</x:v>
      </x:c>
      <x:c r="C404" s="22" t="str">
        <x:v>Enero</x:v>
      </x:c>
      <x:c r="D404" s="22" t="str">
        <x:v>R06</x:v>
      </x:c>
      <x:c r="E404" s="22" t="str">
        <x:v>% cumplimiento de estándares mínimos Res. 0312 de 2019</x:v>
      </x:c>
      <x:c r="F404" s="22" t="str">
        <x:v>Resultado</x:v>
      </x:c>
      <x:c r="G404" s="22" t="str">
        <x:v>Mensual</x:v>
      </x:c>
      <x:c r="H404" s="40" t="n">
        <x:v>95</x:v>
      </x:c>
      <x:c r="I404" s="22" t="str">
        <x:v>Mayor es mejor</x:v>
      </x:c>
      <x:c r="J404" s="40" t="n">
        <x:v>100</x:v>
      </x:c>
      <x:c r="K404" s="40" t="n">
        <x:v>100</x:v>
      </x:c>
      <x:c r="L404" s="40" t="n">
        <x:v>100</x:v>
      </x:c>
      <x:c r="M404" s="40" t="n">
        <x:f>IF(OR(J404="",K404="",K404=0),"",J404/K404*L404)</x:f>
        <x:v>100</x:v>
      </x:c>
      <x:c r="N404" s="22" t="str">
        <x:f>IF(M404="","",IF(I404="Mayor es mejor",IF(M404&gt;=H404,"En meta",IF(M404&gt;=H404*0.9,"Alerta","Crítico")),IF(M404&lt;=H404,"En meta",IF(M404&lt;=H404*1.1,"Alerta","Crítico"))))</x:f>
        <x:v>En meta</x:v>
      </x:c>
      <x:c r="O404" s="22" t="str">
        <x:v>%</x:v>
      </x:c>
      <x:c r="P404" s="22" t="str">
        <x:v>Líder SG-SST / Alta Dirección</x:v>
      </x:c>
      <x:c r="Q404" s="22" t="str">
        <x:v>Autodiagnóstico Res. 0312 de 2019</x:v>
      </x:c>
      <x:c r="R404" s="22" t="str"/>
    </x:row>
    <x:row r="405">
      <x:c r="A405" s="46" t="n">
        <x:v>45716</x:v>
      </x:c>
      <x:c r="B405" s="22" t="n">
        <x:v>2025</x:v>
      </x:c>
      <x:c r="C405" s="22" t="str">
        <x:v>Febrero</x:v>
      </x:c>
      <x:c r="D405" s="22" t="str">
        <x:v>E01</x:v>
      </x:c>
      <x:c r="E405" s="22" t="str">
        <x:v>% ejecución presupuestal del SG-SST</x:v>
      </x:c>
      <x:c r="F405" s="22" t="str">
        <x:v>Estructura</x:v>
      </x:c>
      <x:c r="G405" s="22" t="str">
        <x:v>Mensual</x:v>
      </x:c>
      <x:c r="H405" s="40" t="n">
        <x:v>95</x:v>
      </x:c>
      <x:c r="I405" s="22" t="str">
        <x:v>Mayor es mejor</x:v>
      </x:c>
      <x:c r="J405" s="40" t="n">
        <x:v>4737275</x:v>
      </x:c>
      <x:c r="K405" s="40" t="n">
        <x:v>5000000</x:v>
      </x:c>
      <x:c r="L405" s="40" t="n">
        <x:v>100</x:v>
      </x:c>
      <x:c r="M405" s="40" t="n">
        <x:f>IF(OR(J405="",K405="",K405=0),"",J405/K405*L405)</x:f>
        <x:v>94.7455</x:v>
      </x:c>
      <x:c r="N405" s="22" t="str">
        <x:f>IF(M405="","",IF(I405="Mayor es mejor",IF(M405&gt;=H405,"En meta",IF(M405&gt;=H405*0.9,"Alerta","Crítico")),IF(M405&lt;=H405,"En meta",IF(M405&lt;=H405*1.1,"Alerta","Crítico"))))</x:f>
        <x:v>Alerta</x:v>
      </x:c>
      <x:c r="O405" s="22" t="str">
        <x:v>%</x:v>
      </x:c>
      <x:c r="P405" s="22" t="str">
        <x:v>Líder SG-SST / Dirección Administrativa</x:v>
      </x:c>
      <x:c r="Q405" s="22" t="str">
        <x:v>Presupuesto SST</x:v>
      </x:c>
      <x:c r="R405" s="22" t="str"/>
    </x:row>
    <x:row r="406">
      <x:c r="A406" s="46" t="n">
        <x:v>45716</x:v>
      </x:c>
      <x:c r="B406" s="22" t="n">
        <x:v>2025</x:v>
      </x:c>
      <x:c r="C406" s="22" t="str">
        <x:v>Febrero</x:v>
      </x:c>
      <x:c r="D406" s="22" t="str">
        <x:v>E02</x:v>
      </x:c>
      <x:c r="E406" s="22" t="str">
        <x:v>% cobertura del plan de formación y capacitación SG-SST</x:v>
      </x:c>
      <x:c r="F406" s="22" t="str">
        <x:v>Estructura</x:v>
      </x:c>
      <x:c r="G406" s="22" t="str">
        <x:v>Mensual</x:v>
      </x:c>
      <x:c r="H406" s="40" t="n">
        <x:v>90</x:v>
      </x:c>
      <x:c r="I406" s="22" t="str">
        <x:v>Mayor es mejor</x:v>
      </x:c>
      <x:c r="J406" s="40" t="n">
        <x:v>21</x:v>
      </x:c>
      <x:c r="K406" s="40" t="n">
        <x:v>22</x:v>
      </x:c>
      <x:c r="L406" s="40" t="n">
        <x:v>100</x:v>
      </x:c>
      <x:c r="M406" s="40" t="n">
        <x:f>IF(OR(J406="",K406="",K406=0),"",J406/K406*L406)</x:f>
        <x:v>95.45454545454545</x:v>
      </x:c>
      <x:c r="N406" s="22" t="str">
        <x:f>IF(M406="","",IF(I406="Mayor es mejor",IF(M406&gt;=H406,"En meta",IF(M406&gt;=H406*0.9,"Alerta","Crítico")),IF(M406&lt;=H406,"En meta",IF(M406&lt;=H406*1.1,"Alerta","Crítico"))))</x:f>
        <x:v>En meta</x:v>
      </x:c>
      <x:c r="O406" s="22" t="str">
        <x:v>%</x:v>
      </x:c>
      <x:c r="P406" s="22" t="str">
        <x:v>Líder SG-SST / Talento Humano</x:v>
      </x:c>
      <x:c r="Q406" s="22" t="str">
        <x:v>Plan de formación y capacitaciones</x:v>
      </x:c>
      <x:c r="R406" s="22" t="str"/>
    </x:row>
    <x:row r="407">
      <x:c r="A407" s="46" t="n">
        <x:v>45716</x:v>
      </x:c>
      <x:c r="B407" s="22" t="n">
        <x:v>2025</x:v>
      </x:c>
      <x:c r="C407" s="22" t="str">
        <x:v>Febrero</x:v>
      </x:c>
      <x:c r="D407" s="22" t="str">
        <x:v>E03</x:v>
      </x:c>
      <x:c r="E407" s="22" t="str">
        <x:v>% trabajadores con exámenes médicos ocupacionales vigentes</x:v>
      </x:c>
      <x:c r="F407" s="22" t="str">
        <x:v>Estructura</x:v>
      </x:c>
      <x:c r="G407" s="22" t="str">
        <x:v>Mensual</x:v>
      </x:c>
      <x:c r="H407" s="40" t="n">
        <x:v>95</x:v>
      </x:c>
      <x:c r="I407" s="22" t="str">
        <x:v>Mayor es mejor</x:v>
      </x:c>
      <x:c r="J407" s="40" t="n">
        <x:v>231</x:v>
      </x:c>
      <x:c r="K407" s="40" t="n">
        <x:v>239</x:v>
      </x:c>
      <x:c r="L407" s="40" t="n">
        <x:v>100</x:v>
      </x:c>
      <x:c r="M407" s="40" t="n">
        <x:f>IF(OR(J407="",K407="",K407=0),"",J407/K407*L407)</x:f>
        <x:v>96.65271966527197</x:v>
      </x:c>
      <x:c r="N407" s="22" t="str">
        <x:f>IF(M407="","",IF(I407="Mayor es mejor",IF(M407&gt;=H407,"En meta",IF(M407&gt;=H407*0.9,"Alerta","Crítico")),IF(M407&lt;=H407,"En meta",IF(M407&lt;=H407*1.1,"Alerta","Crítico"))))</x:f>
        <x:v>En meta</x:v>
      </x:c>
      <x:c r="O407" s="22" t="str">
        <x:v>%</x:v>
      </x:c>
      <x:c r="P407" s="22" t="str">
        <x:v>Líder SG-SST / Talento Humano</x:v>
      </x:c>
      <x:c r="Q407" s="22" t="str">
        <x:v>Matriz de seguimiento EMO</x:v>
      </x:c>
      <x:c r="R407" s="22" t="str"/>
    </x:row>
    <x:row r="408">
      <x:c r="A408" s="46" t="n">
        <x:v>45716</x:v>
      </x:c>
      <x:c r="B408" s="22" t="n">
        <x:v>2025</x:v>
      </x:c>
      <x:c r="C408" s="22" t="str">
        <x:v>Febrero</x:v>
      </x:c>
      <x:c r="D408" s="22" t="str">
        <x:v>E04</x:v>
      </x:c>
      <x:c r="E408" s="22" t="str">
        <x:v>% cumplimiento de requisitos legales aplicables en SST</x:v>
      </x:c>
      <x:c r="F408" s="22" t="str">
        <x:v>Estructura</x:v>
      </x:c>
      <x:c r="G408" s="22" t="str">
        <x:v>Mensual</x:v>
      </x:c>
      <x:c r="H408" s="40" t="n">
        <x:v>95</x:v>
      </x:c>
      <x:c r="I408" s="22" t="str">
        <x:v>Mayor es mejor</x:v>
      </x:c>
      <x:c r="J408" s="40" t="n">
        <x:v>58</x:v>
      </x:c>
      <x:c r="K408" s="40" t="n">
        <x:v>60</x:v>
      </x:c>
      <x:c r="L408" s="40" t="n">
        <x:v>100</x:v>
      </x:c>
      <x:c r="M408" s="40" t="n">
        <x:f>IF(OR(J408="",K408="",K408=0),"",J408/K408*L408)</x:f>
        <x:v>96.66666666666667</x:v>
      </x:c>
      <x:c r="N408" s="22" t="str">
        <x:f>IF(M408="","",IF(I408="Mayor es mejor",IF(M408&gt;=H408,"En meta",IF(M408&gt;=H408*0.9,"Alerta","Crítico")),IF(M408&lt;=H408,"En meta",IF(M408&lt;=H408*1.1,"Alerta","Crítico"))))</x:f>
        <x:v>En meta</x:v>
      </x:c>
      <x:c r="O408" s="22" t="str">
        <x:v>%</x:v>
      </x:c>
      <x:c r="P408" s="22" t="str">
        <x:v>Líder SG-SST / Jurídica</x:v>
      </x:c>
      <x:c r="Q408" s="22" t="str">
        <x:v>Matriz legal SGRL</x:v>
      </x:c>
      <x:c r="R408" s="22" t="str"/>
    </x:row>
    <x:row r="409">
      <x:c r="A409" s="46" t="n">
        <x:v>45716</x:v>
      </x:c>
      <x:c r="B409" s="22" t="n">
        <x:v>2025</x:v>
      </x:c>
      <x:c r="C409" s="22" t="str">
        <x:v>Febrero</x:v>
      </x:c>
      <x:c r="D409" s="22" t="str">
        <x:v>E05</x:v>
      </x:c>
      <x:c r="E409" s="22" t="str">
        <x:v>% proveedores y contratistas aprobados en SST</x:v>
      </x:c>
      <x:c r="F409" s="22" t="str">
        <x:v>Estructura</x:v>
      </x:c>
      <x:c r="G409" s="22" t="str">
        <x:v>Mensual</x:v>
      </x:c>
      <x:c r="H409" s="40" t="n">
        <x:v>90</x:v>
      </x:c>
      <x:c r="I409" s="22" t="str">
        <x:v>Mayor es mejor</x:v>
      </x:c>
      <x:c r="J409" s="40" t="n">
        <x:v>19</x:v>
      </x:c>
      <x:c r="K409" s="40" t="n">
        <x:v>20</x:v>
      </x:c>
      <x:c r="L409" s="40" t="n">
        <x:v>100</x:v>
      </x:c>
      <x:c r="M409" s="40" t="n">
        <x:f>IF(OR(J409="",K409="",K409=0),"",J409/K409*L409)</x:f>
        <x:v>95</x:v>
      </x:c>
      <x:c r="N409" s="22" t="str">
        <x:f>IF(M409="","",IF(I409="Mayor es mejor",IF(M409&gt;=H409,"En meta",IF(M409&gt;=H409*0.9,"Alerta","Crítico")),IF(M409&lt;=H409,"En meta",IF(M409&lt;=H409*1.1,"Alerta","Crítico"))))</x:f>
        <x:v>En meta</x:v>
      </x:c>
      <x:c r="O409" s="22" t="str">
        <x:v>%</x:v>
      </x:c>
      <x:c r="P409" s="22" t="str">
        <x:v>Compras / Líder SG-SST</x:v>
      </x:c>
      <x:c r="Q409" s="22" t="str">
        <x:v>Gestión de proveedores y contratistas</x:v>
      </x:c>
      <x:c r="R409" s="22" t="str"/>
    </x:row>
    <x:row r="410">
      <x:c r="A410" s="46" t="n">
        <x:v>45716</x:v>
      </x:c>
      <x:c r="B410" s="22" t="n">
        <x:v>2025</x:v>
      </x:c>
      <x:c r="C410" s="22" t="str">
        <x:v>Febrero</x:v>
      </x:c>
      <x:c r="D410" s="22" t="str">
        <x:v>P01</x:v>
      </x:c>
      <x:c r="E410" s="22" t="str">
        <x:v>% ejecución del plan anual de trabajo SG-SST</x:v>
      </x:c>
      <x:c r="F410" s="22" t="str">
        <x:v>Proceso</x:v>
      </x:c>
      <x:c r="G410" s="22" t="str">
        <x:v>Mensual</x:v>
      </x:c>
      <x:c r="H410" s="40" t="n">
        <x:v>90</x:v>
      </x:c>
      <x:c r="I410" s="22" t="str">
        <x:v>Mayor es mejor</x:v>
      </x:c>
      <x:c r="J410" s="40" t="n">
        <x:v>13</x:v>
      </x:c>
      <x:c r="K410" s="40" t="n">
        <x:v>14</x:v>
      </x:c>
      <x:c r="L410" s="40" t="n">
        <x:v>100</x:v>
      </x:c>
      <x:c r="M410" s="40" t="n">
        <x:f>IF(OR(J410="",K410="",K410=0),"",J410/K410*L410)</x:f>
        <x:v>92.85714285714286</x:v>
      </x:c>
      <x:c r="N410" s="22" t="str">
        <x:f>IF(M410="","",IF(I410="Mayor es mejor",IF(M410&gt;=H410,"En meta",IF(M410&gt;=H410*0.9,"Alerta","Crítico")),IF(M410&lt;=H410,"En meta",IF(M410&lt;=H410*1.1,"Alerta","Crítico"))))</x:f>
        <x:v>En meta</x:v>
      </x:c>
      <x:c r="O410" s="22" t="str">
        <x:v>%</x:v>
      </x:c>
      <x:c r="P410" s="22" t="str">
        <x:v>Líder SG-SST</x:v>
      </x:c>
      <x:c r="Q410" s="22" t="str">
        <x:v>Plan anual de trabajo PHVA</x:v>
      </x:c>
      <x:c r="R410" s="22" t="str"/>
    </x:row>
    <x:row r="411">
      <x:c r="A411" s="46" t="n">
        <x:v>45716</x:v>
      </x:c>
      <x:c r="B411" s="22" t="n">
        <x:v>2025</x:v>
      </x:c>
      <x:c r="C411" s="22" t="str">
        <x:v>Febrero</x:v>
      </x:c>
      <x:c r="D411" s="22" t="str">
        <x:v>P02</x:v>
      </x:c>
      <x:c r="E411" s="22" t="str">
        <x:v>% investigaciones de accidentes realizadas oportunamente</x:v>
      </x:c>
      <x:c r="F411" s="22" t="str">
        <x:v>Proceso</x:v>
      </x:c>
      <x:c r="G411" s="22" t="str">
        <x:v>Mensual</x:v>
      </x:c>
      <x:c r="H411" s="40" t="n">
        <x:v>95</x:v>
      </x:c>
      <x:c r="I411" s="22" t="str">
        <x:v>Mayor es mejor</x:v>
      </x:c>
      <x:c r="J411" s="40" t="n">
        <x:v>1</x:v>
      </x:c>
      <x:c r="K411" s="40" t="n">
        <x:v>1</x:v>
      </x:c>
      <x:c r="L411" s="40" t="n">
        <x:v>100</x:v>
      </x:c>
      <x:c r="M411" s="40" t="n">
        <x:f>IF(OR(J411="",K411="",K411=0),"",J411/K411*L411)</x:f>
        <x:v>100</x:v>
      </x:c>
      <x:c r="N411" s="22" t="str">
        <x:f>IF(M411="","",IF(I411="Mayor es mejor",IF(M411&gt;=H411,"En meta",IF(M411&gt;=H411*0.9,"Alerta","Crítico")),IF(M411&lt;=H411,"En meta",IF(M411&lt;=H411*1.1,"Alerta","Crítico"))))</x:f>
        <x:v>En meta</x:v>
      </x:c>
      <x:c r="O411" s="22" t="str">
        <x:v>%</x:v>
      </x:c>
      <x:c r="P411" s="22" t="str">
        <x:v>Líder SG-SST / COPASST</x:v>
      </x:c>
      <x:c r="Q411" s="22" t="str">
        <x:v>Matriz de accidentalidad</x:v>
      </x:c>
      <x:c r="R411" s="22" t="str"/>
    </x:row>
    <x:row r="412">
      <x:c r="A412" s="46" t="n">
        <x:v>45716</x:v>
      </x:c>
      <x:c r="B412" s="22" t="n">
        <x:v>2025</x:v>
      </x:c>
      <x:c r="C412" s="22" t="str">
        <x:v>Febrero</x:v>
      </x:c>
      <x:c r="D412" s="22" t="str">
        <x:v>P03</x:v>
      </x:c>
      <x:c r="E412" s="22" t="str">
        <x:v>% cierre oportuno de acciones correctivas, preventivas y de mejora</x:v>
      </x:c>
      <x:c r="F412" s="22" t="str">
        <x:v>Proceso</x:v>
      </x:c>
      <x:c r="G412" s="22" t="str">
        <x:v>Mensual</x:v>
      </x:c>
      <x:c r="H412" s="40" t="n">
        <x:v>90</x:v>
      </x:c>
      <x:c r="I412" s="22" t="str">
        <x:v>Mayor es mejor</x:v>
      </x:c>
      <x:c r="J412" s="40" t="n">
        <x:v>11</x:v>
      </x:c>
      <x:c r="K412" s="40" t="n">
        <x:v>12</x:v>
      </x:c>
      <x:c r="L412" s="40" t="n">
        <x:v>100</x:v>
      </x:c>
      <x:c r="M412" s="40" t="n">
        <x:f>IF(OR(J412="",K412="",K412=0),"",J412/K412*L412)</x:f>
        <x:v>91.66666666666666</x:v>
      </x:c>
      <x:c r="N412" s="22" t="str">
        <x:f>IF(M412="","",IF(I412="Mayor es mejor",IF(M412&gt;=H412,"En meta",IF(M412&gt;=H412*0.9,"Alerta","Crítico")),IF(M412&lt;=H412,"En meta",IF(M412&lt;=H412*1.1,"Alerta","Crítico"))))</x:f>
        <x:v>En meta</x:v>
      </x:c>
      <x:c r="O412" s="22" t="str">
        <x:v>%</x:v>
      </x:c>
      <x:c r="P412" s="22" t="str">
        <x:v>Líder SG-SST / Responsables de proceso</x:v>
      </x:c>
      <x:c r="Q412" s="22" t="str">
        <x:v>Matriz APCM</x:v>
      </x:c>
      <x:c r="R412" s="22" t="str"/>
    </x:row>
    <x:row r="413">
      <x:c r="A413" s="46" t="n">
        <x:v>45716</x:v>
      </x:c>
      <x:c r="B413" s="22" t="n">
        <x:v>2025</x:v>
      </x:c>
      <x:c r="C413" s="22" t="str">
        <x:v>Febrero</x:v>
      </x:c>
      <x:c r="D413" s="22" t="str">
        <x:v>P04</x:v>
      </x:c>
      <x:c r="E413" s="22" t="str">
        <x:v>% inspecciones de seguridad ejecutadas</x:v>
      </x:c>
      <x:c r="F413" s="22" t="str">
        <x:v>Proceso</x:v>
      </x:c>
      <x:c r="G413" s="22" t="str">
        <x:v>Mensual</x:v>
      </x:c>
      <x:c r="H413" s="40" t="n">
        <x:v>90</x:v>
      </x:c>
      <x:c r="I413" s="22" t="str">
        <x:v>Mayor es mejor</x:v>
      </x:c>
      <x:c r="J413" s="40" t="n">
        <x:v>9</x:v>
      </x:c>
      <x:c r="K413" s="40" t="n">
        <x:v>10</x:v>
      </x:c>
      <x:c r="L413" s="40" t="n">
        <x:v>100</x:v>
      </x:c>
      <x:c r="M413" s="40" t="n">
        <x:f>IF(OR(J413="",K413="",K413=0),"",J413/K413*L413)</x:f>
        <x:v>90</x:v>
      </x:c>
      <x:c r="N413" s="22" t="str">
        <x:f>IF(M413="","",IF(I413="Mayor es mejor",IF(M413&gt;=H413,"En meta",IF(M413&gt;=H413*0.9,"Alerta","Crítico")),IF(M413&lt;=H413,"En meta",IF(M413&lt;=H413*1.1,"Alerta","Crítico"))))</x:f>
        <x:v>En meta</x:v>
      </x:c>
      <x:c r="O413" s="22" t="str">
        <x:v>%</x:v>
      </x:c>
      <x:c r="P413" s="22" t="str">
        <x:v>Líder SG-SST / Supervisores</x:v>
      </x:c>
      <x:c r="Q413" s="22" t="str">
        <x:v>Programa de inspecciones</x:v>
      </x:c>
      <x:c r="R413" s="22" t="str"/>
    </x:row>
    <x:row r="414">
      <x:c r="A414" s="46" t="n">
        <x:v>45716</x:v>
      </x:c>
      <x:c r="B414" s="22" t="n">
        <x:v>2025</x:v>
      </x:c>
      <x:c r="C414" s="22" t="str">
        <x:v>Febrero</x:v>
      </x:c>
      <x:c r="D414" s="22" t="str">
        <x:v>P05</x:v>
      </x:c>
      <x:c r="E414" s="22" t="str">
        <x:v>% mantenimientos preventivos ejecutados</x:v>
      </x:c>
      <x:c r="F414" s="22" t="str">
        <x:v>Proceso</x:v>
      </x:c>
      <x:c r="G414" s="22" t="str">
        <x:v>Mensual</x:v>
      </x:c>
      <x:c r="H414" s="40" t="n">
        <x:v>90</x:v>
      </x:c>
      <x:c r="I414" s="22" t="str">
        <x:v>Mayor es mejor</x:v>
      </x:c>
      <x:c r="J414" s="40" t="n">
        <x:v>13</x:v>
      </x:c>
      <x:c r="K414" s="40" t="n">
        <x:v>14</x:v>
      </x:c>
      <x:c r="L414" s="40" t="n">
        <x:v>100</x:v>
      </x:c>
      <x:c r="M414" s="40" t="n">
        <x:f>IF(OR(J414="",K414="",K414=0),"",J414/K414*L414)</x:f>
        <x:v>92.85714285714286</x:v>
      </x:c>
      <x:c r="N414" s="22" t="str">
        <x:f>IF(M414="","",IF(I414="Mayor es mejor",IF(M414&gt;=H414,"En meta",IF(M414&gt;=H414*0.9,"Alerta","Crítico")),IF(M414&lt;=H414,"En meta",IF(M414&lt;=H414*1.1,"Alerta","Crítico"))))</x:f>
        <x:v>En meta</x:v>
      </x:c>
      <x:c r="O414" s="22" t="str">
        <x:v>%</x:v>
      </x:c>
      <x:c r="P414" s="22" t="str">
        <x:v>Mantenimiento / Líder SG-SST</x:v>
      </x:c>
      <x:c r="Q414" s="22" t="str">
        <x:v>Programa de mantenimiento preventivo</x:v>
      </x:c>
      <x:c r="R414" s="22" t="str"/>
    </x:row>
    <x:row r="415">
      <x:c r="A415" s="46" t="n">
        <x:v>45716</x:v>
      </x:c>
      <x:c r="B415" s="22" t="n">
        <x:v>2025</x:v>
      </x:c>
      <x:c r="C415" s="22" t="str">
        <x:v>Febrero</x:v>
      </x:c>
      <x:c r="D415" s="22" t="str">
        <x:v>R01</x:v>
      </x:c>
      <x:c r="E415" s="22" t="str">
        <x:v>Índice de frecuencia de accidentalidad (IF)</x:v>
      </x:c>
      <x:c r="F415" s="22" t="str">
        <x:v>Resultado</x:v>
      </x:c>
      <x:c r="G415" s="22" t="str">
        <x:v>Mensual</x:v>
      </x:c>
      <x:c r="H415" s="40" t="n">
        <x:v>3.5</x:v>
      </x:c>
      <x:c r="I415" s="22" t="str">
        <x:v>Menor es mejor</x:v>
      </x:c>
      <x:c r="J415" s="40" t="n">
        <x:v>1</x:v>
      </x:c>
      <x:c r="K415" s="40" t="n">
        <x:v>57043</x:v>
      </x:c>
      <x:c r="L415" s="40" t="n">
        <x:v>200000</x:v>
      </x:c>
      <x:c r="M415" s="40" t="n">
        <x:f>IF(OR(J415="",K415="",K415=0),"",J415/K415*L415)</x:f>
        <x:v>3.506126956857108</x:v>
      </x:c>
      <x:c r="N415" s="22" t="str">
        <x:f>IF(M415="","",IF(I415="Mayor es mejor",IF(M415&gt;=H415,"En meta",IF(M415&gt;=H415*0.9,"Alerta","Crítico")),IF(M415&lt;=H415,"En meta",IF(M415&lt;=H415*1.1,"Alerta","Crítico"))))</x:f>
        <x:v>Alerta</x:v>
      </x:c>
      <x:c r="O415" s="22" t="str">
        <x:v>Índice</x:v>
      </x:c>
      <x:c r="P415" s="22" t="str">
        <x:v>Líder SG-SST</x:v>
      </x:c>
      <x:c r="Q415" s="22" t="str">
        <x:v>Matriz de accidentalidad / nómina</x:v>
      </x:c>
      <x:c r="R415" s="22" t="str"/>
    </x:row>
    <x:row r="416">
      <x:c r="A416" s="46" t="n">
        <x:v>45716</x:v>
      </x:c>
      <x:c r="B416" s="22" t="n">
        <x:v>2025</x:v>
      </x:c>
      <x:c r="C416" s="22" t="str">
        <x:v>Febrero</x:v>
      </x:c>
      <x:c r="D416" s="22" t="str">
        <x:v>R02</x:v>
      </x:c>
      <x:c r="E416" s="22" t="str">
        <x:v>Índice de severidad de accidentalidad (IS)</x:v>
      </x:c>
      <x:c r="F416" s="22" t="str">
        <x:v>Resultado</x:v>
      </x:c>
      <x:c r="G416" s="22" t="str">
        <x:v>Mensual</x:v>
      </x:c>
      <x:c r="H416" s="40" t="n">
        <x:v>80</x:v>
      </x:c>
      <x:c r="I416" s="22" t="str">
        <x:v>Menor es mejor</x:v>
      </x:c>
      <x:c r="J416" s="40" t="n">
        <x:v>15</x:v>
      </x:c>
      <x:c r="K416" s="40" t="n">
        <x:v>57043</x:v>
      </x:c>
      <x:c r="L416" s="40" t="n">
        <x:v>200000</x:v>
      </x:c>
      <x:c r="M416" s="40" t="n">
        <x:f>IF(OR(J416="",K416="",K416=0),"",J416/K416*L416)</x:f>
        <x:v>52.591904352856616</x:v>
      </x:c>
      <x:c r="N416" s="22" t="str">
        <x:f>IF(M416="","",IF(I416="Mayor es mejor",IF(M416&gt;=H416,"En meta",IF(M416&gt;=H416*0.9,"Alerta","Crítico")),IF(M416&lt;=H416,"En meta",IF(M416&lt;=H416*1.1,"Alerta","Crítico"))))</x:f>
        <x:v>En meta</x:v>
      </x:c>
      <x:c r="O416" s="22" t="str">
        <x:v>Índice</x:v>
      </x:c>
      <x:c r="P416" s="22" t="str">
        <x:v>Líder SG-SST</x:v>
      </x:c>
      <x:c r="Q416" s="22" t="str">
        <x:v>Matriz de accidentalidad / nómina</x:v>
      </x:c>
      <x:c r="R416" s="22" t="str"/>
    </x:row>
    <x:row r="417">
      <x:c r="A417" s="46" t="n">
        <x:v>45716</x:v>
      </x:c>
      <x:c r="B417" s="22" t="n">
        <x:v>2025</x:v>
      </x:c>
      <x:c r="C417" s="22" t="str">
        <x:v>Febrero</x:v>
      </x:c>
      <x:c r="D417" s="22" t="str">
        <x:v>R03</x:v>
      </x:c>
      <x:c r="E417" s="22" t="str">
        <x:v>Índice de lesión incapacitante (ILI)</x:v>
      </x:c>
      <x:c r="F417" s="22" t="str">
        <x:v>Resultado</x:v>
      </x:c>
      <x:c r="G417" s="22" t="str">
        <x:v>Mensual</x:v>
      </x:c>
      <x:c r="H417" s="40" t="n">
        <x:v>0.25</x:v>
      </x:c>
      <x:c r="I417" s="22" t="str">
        <x:v>Menor es mejor</x:v>
      </x:c>
      <x:c r="J417" s="40" t="n">
        <x:v>184.3939</x:v>
      </x:c>
      <x:c r="K417" s="40" t="n">
        <x:v>1000</x:v>
      </x:c>
      <x:c r="L417" s="40" t="n">
        <x:v>1</x:v>
      </x:c>
      <x:c r="M417" s="40" t="n">
        <x:f>IF(OR(J417="",K417="",K417=0),"",J417/K417*L417)</x:f>
        <x:v>0.1843939</x:v>
      </x:c>
      <x:c r="N417" s="22" t="str">
        <x:f>IF(M417="","",IF(I417="Mayor es mejor",IF(M417&gt;=H417,"En meta",IF(M417&gt;=H417*0.9,"Alerta","Crítico")),IF(M417&lt;=H417,"En meta",IF(M417&lt;=H417*1.1,"Alerta","Crítico"))))</x:f>
        <x:v>En meta</x:v>
      </x:c>
      <x:c r="O417" s="22" t="str">
        <x:v>Índice</x:v>
      </x:c>
      <x:c r="P417" s="22" t="str">
        <x:v>Líder SG-SST</x:v>
      </x:c>
      <x:c r="Q417" s="22" t="str">
        <x:v>Indicadores derivados de accidentalidad</x:v>
      </x:c>
      <x:c r="R417" s="22" t="str">
        <x:v>ILI calculado sobre IF e IS del periodo.</x:v>
      </x:c>
    </x:row>
    <x:row r="418">
      <x:c r="A418" s="46" t="n">
        <x:v>45716</x:v>
      </x:c>
      <x:c r="B418" s="22" t="n">
        <x:v>2025</x:v>
      </x:c>
      <x:c r="C418" s="22" t="str">
        <x:v>Febrero</x:v>
      </x:c>
      <x:c r="D418" s="22" t="str">
        <x:v>R04</x:v>
      </x:c>
      <x:c r="E418" s="22" t="str">
        <x:v>Tasa de accidentalidad</x:v>
      </x:c>
      <x:c r="F418" s="22" t="str">
        <x:v>Resultado</x:v>
      </x:c>
      <x:c r="G418" s="22" t="str">
        <x:v>Mensual</x:v>
      </x:c>
      <x:c r="H418" s="40" t="n">
        <x:v>0.6</x:v>
      </x:c>
      <x:c r="I418" s="22" t="str">
        <x:v>Menor es mejor</x:v>
      </x:c>
      <x:c r="J418" s="40" t="n">
        <x:v>2.4</x:v>
      </x:c>
      <x:c r="K418" s="40" t="n">
        <x:v>239</x:v>
      </x:c>
      <x:c r="L418" s="40" t="n">
        <x:v>100</x:v>
      </x:c>
      <x:c r="M418" s="40" t="n">
        <x:f>IF(OR(J418="",K418="",K418=0),"",J418/K418*L418)</x:f>
        <x:v>1.00418410041841</x:v>
      </x:c>
      <x:c r="N418" s="22" t="str">
        <x:f>IF(M418="","",IF(I418="Mayor es mejor",IF(M418&gt;=H418,"En meta",IF(M418&gt;=H418*0.9,"Alerta","Crítico")),IF(M418&lt;=H418,"En meta",IF(M418&lt;=H418*1.1,"Alerta","Crítico"))))</x:f>
        <x:v>Crítico</x:v>
      </x:c>
      <x:c r="O418" s="22" t="str">
        <x:v>%</x:v>
      </x:c>
      <x:c r="P418" s="22" t="str">
        <x:v>Líder SG-SST</x:v>
      </x:c>
      <x:c r="Q418" s="22" t="str">
        <x:v>Matriz de accidentalidad / nómina</x:v>
      </x:c>
      <x:c r="R418" s="22" t="str"/>
    </x:row>
    <x:row r="419">
      <x:c r="A419" s="46" t="n">
        <x:v>45716</x:v>
      </x:c>
      <x:c r="B419" s="22" t="n">
        <x:v>2025</x:v>
      </x:c>
      <x:c r="C419" s="22" t="str">
        <x:v>Febrero</x:v>
      </x:c>
      <x:c r="D419" s="22" t="str">
        <x:v>R05</x:v>
      </x:c>
      <x:c r="E419" s="22" t="str">
        <x:v>Prevalencia de enfermedad laboral</x:v>
      </x:c>
      <x:c r="F419" s="22" t="str">
        <x:v>Resultado</x:v>
      </x:c>
      <x:c r="G419" s="22" t="str">
        <x:v>Mensual</x:v>
      </x:c>
      <x:c r="H419" s="40" t="n">
        <x:v>0.3</x:v>
      </x:c>
      <x:c r="I419" s="22" t="str">
        <x:v>Menor es mejor</x:v>
      </x:c>
      <x:c r="J419" s="40" t="n">
        <x:v>0.02</x:v>
      </x:c>
      <x:c r="K419" s="40" t="n">
        <x:v>239</x:v>
      </x:c>
      <x:c r="L419" s="40" t="n">
        <x:v>100</x:v>
      </x:c>
      <x:c r="M419" s="40" t="n">
        <x:f>IF(OR(J419="",K419="",K419=0),"",J419/K419*L419)</x:f>
        <x:v>0.008368200836820085</x:v>
      </x:c>
      <x:c r="N419" s="22" t="str">
        <x:f>IF(M419="","",IF(I419="Mayor es mejor",IF(M419&gt;=H419,"En meta",IF(M419&gt;=H419*0.9,"Alerta","Crítico")),IF(M419&lt;=H419,"En meta",IF(M419&lt;=H419*1.1,"Alerta","Crítico"))))</x:f>
        <x:v>En meta</x:v>
      </x:c>
      <x:c r="O419" s="22" t="str">
        <x:v>%</x:v>
      </x:c>
      <x:c r="P419" s="22" t="str">
        <x:v>Líder SG-SST / Medicina laboral</x:v>
      </x:c>
      <x:c r="Q419" s="22" t="str">
        <x:v>Matriz de enfermedad laboral / nómina</x:v>
      </x:c>
      <x:c r="R419" s="22" t="str"/>
    </x:row>
    <x:row r="420">
      <x:c r="A420" s="46" t="n">
        <x:v>45716</x:v>
      </x:c>
      <x:c r="B420" s="22" t="n">
        <x:v>2025</x:v>
      </x:c>
      <x:c r="C420" s="22" t="str">
        <x:v>Febrero</x:v>
      </x:c>
      <x:c r="D420" s="22" t="str">
        <x:v>R06</x:v>
      </x:c>
      <x:c r="E420" s="22" t="str">
        <x:v>% cumplimiento de estándares mínimos Res. 0312 de 2019</x:v>
      </x:c>
      <x:c r="F420" s="22" t="str">
        <x:v>Resultado</x:v>
      </x:c>
      <x:c r="G420" s="22" t="str">
        <x:v>Mensual</x:v>
      </x:c>
      <x:c r="H420" s="40" t="n">
        <x:v>95</x:v>
      </x:c>
      <x:c r="I420" s="22" t="str">
        <x:v>Mayor es mejor</x:v>
      </x:c>
      <x:c r="J420" s="40" t="n">
        <x:v>97</x:v>
      </x:c>
      <x:c r="K420" s="40" t="n">
        <x:v>100</x:v>
      </x:c>
      <x:c r="L420" s="40" t="n">
        <x:v>100</x:v>
      </x:c>
      <x:c r="M420" s="40" t="n">
        <x:f>IF(OR(J420="",K420="",K420=0),"",J420/K420*L420)</x:f>
        <x:v>97</x:v>
      </x:c>
      <x:c r="N420" s="22" t="str">
        <x:f>IF(M420="","",IF(I420="Mayor es mejor",IF(M420&gt;=H420,"En meta",IF(M420&gt;=H420*0.9,"Alerta","Crítico")),IF(M420&lt;=H420,"En meta",IF(M420&lt;=H420*1.1,"Alerta","Crítico"))))</x:f>
        <x:v>En meta</x:v>
      </x:c>
      <x:c r="O420" s="22" t="str">
        <x:v>%</x:v>
      </x:c>
      <x:c r="P420" s="22" t="str">
        <x:v>Líder SG-SST / Alta Dirección</x:v>
      </x:c>
      <x:c r="Q420" s="22" t="str">
        <x:v>Autodiagnóstico Res. 0312 de 2019</x:v>
      </x:c>
      <x:c r="R420" s="22" t="str"/>
    </x:row>
    <x:row r="421">
      <x:c r="A421" s="46" t="n">
        <x:v>45747</x:v>
      </x:c>
      <x:c r="B421" s="22" t="n">
        <x:v>2025</x:v>
      </x:c>
      <x:c r="C421" s="22" t="str">
        <x:v>Marzo</x:v>
      </x:c>
      <x:c r="D421" s="22" t="str">
        <x:v>E01</x:v>
      </x:c>
      <x:c r="E421" s="22" t="str">
        <x:v>% ejecución presupuestal del SG-SST</x:v>
      </x:c>
      <x:c r="F421" s="22" t="str">
        <x:v>Estructura</x:v>
      </x:c>
      <x:c r="G421" s="22" t="str">
        <x:v>Mensual</x:v>
      </x:c>
      <x:c r="H421" s="40" t="n">
        <x:v>95</x:v>
      </x:c>
      <x:c r="I421" s="22" t="str">
        <x:v>Mayor es mejor</x:v>
      </x:c>
      <x:c r="J421" s="40" t="n">
        <x:v>5214575</x:v>
      </x:c>
      <x:c r="K421" s="40" t="n">
        <x:v>5500000</x:v>
      </x:c>
      <x:c r="L421" s="40" t="n">
        <x:v>100</x:v>
      </x:c>
      <x:c r="M421" s="40" t="n">
        <x:f>IF(OR(J421="",K421="",K421=0),"",J421/K421*L421)</x:f>
        <x:v>94.81045454545455</x:v>
      </x:c>
      <x:c r="N421" s="22" t="str">
        <x:f>IF(M421="","",IF(I421="Mayor es mejor",IF(M421&gt;=H421,"En meta",IF(M421&gt;=H421*0.9,"Alerta","Crítico")),IF(M421&lt;=H421,"En meta",IF(M421&lt;=H421*1.1,"Alerta","Crítico"))))</x:f>
        <x:v>Alerta</x:v>
      </x:c>
      <x:c r="O421" s="22" t="str">
        <x:v>%</x:v>
      </x:c>
      <x:c r="P421" s="22" t="str">
        <x:v>Líder SG-SST / Dirección Administrativa</x:v>
      </x:c>
      <x:c r="Q421" s="22" t="str">
        <x:v>Presupuesto SST</x:v>
      </x:c>
      <x:c r="R421" s="22" t="str"/>
    </x:row>
    <x:row r="422">
      <x:c r="A422" s="46" t="n">
        <x:v>45747</x:v>
      </x:c>
      <x:c r="B422" s="22" t="n">
        <x:v>2025</x:v>
      </x:c>
      <x:c r="C422" s="22" t="str">
        <x:v>Marzo</x:v>
      </x:c>
      <x:c r="D422" s="22" t="str">
        <x:v>E02</x:v>
      </x:c>
      <x:c r="E422" s="22" t="str">
        <x:v>% cobertura del plan de formación y capacitación SG-SST</x:v>
      </x:c>
      <x:c r="F422" s="22" t="str">
        <x:v>Estructura</x:v>
      </x:c>
      <x:c r="G422" s="22" t="str">
        <x:v>Mensual</x:v>
      </x:c>
      <x:c r="H422" s="40" t="n">
        <x:v>90</x:v>
      </x:c>
      <x:c r="I422" s="22" t="str">
        <x:v>Mayor es mejor</x:v>
      </x:c>
      <x:c r="J422" s="40" t="n">
        <x:v>22</x:v>
      </x:c>
      <x:c r="K422" s="40" t="n">
        <x:v>24</x:v>
      </x:c>
      <x:c r="L422" s="40" t="n">
        <x:v>100</x:v>
      </x:c>
      <x:c r="M422" s="40" t="n">
        <x:f>IF(OR(J422="",K422="",K422=0),"",J422/K422*L422)</x:f>
        <x:v>91.66666666666666</x:v>
      </x:c>
      <x:c r="N422" s="22" t="str">
        <x:f>IF(M422="","",IF(I422="Mayor es mejor",IF(M422&gt;=H422,"En meta",IF(M422&gt;=H422*0.9,"Alerta","Crítico")),IF(M422&lt;=H422,"En meta",IF(M422&lt;=H422*1.1,"Alerta","Crítico"))))</x:f>
        <x:v>En meta</x:v>
      </x:c>
      <x:c r="O422" s="22" t="str">
        <x:v>%</x:v>
      </x:c>
      <x:c r="P422" s="22" t="str">
        <x:v>Líder SG-SST / Talento Humano</x:v>
      </x:c>
      <x:c r="Q422" s="22" t="str">
        <x:v>Plan de formación y capacitaciones</x:v>
      </x:c>
      <x:c r="R422" s="22" t="str"/>
    </x:row>
    <x:row r="423">
      <x:c r="A423" s="46" t="n">
        <x:v>45747</x:v>
      </x:c>
      <x:c r="B423" s="22" t="n">
        <x:v>2025</x:v>
      </x:c>
      <x:c r="C423" s="22" t="str">
        <x:v>Marzo</x:v>
      </x:c>
      <x:c r="D423" s="22" t="str">
        <x:v>E03</x:v>
      </x:c>
      <x:c r="E423" s="22" t="str">
        <x:v>% trabajadores con exámenes médicos ocupacionales vigentes</x:v>
      </x:c>
      <x:c r="F423" s="22" t="str">
        <x:v>Estructura</x:v>
      </x:c>
      <x:c r="G423" s="22" t="str">
        <x:v>Mensual</x:v>
      </x:c>
      <x:c r="H423" s="40" t="n">
        <x:v>95</x:v>
      </x:c>
      <x:c r="I423" s="22" t="str">
        <x:v>Mayor es mejor</x:v>
      </x:c>
      <x:c r="J423" s="40" t="n">
        <x:v>236</x:v>
      </x:c>
      <x:c r="K423" s="40" t="n">
        <x:v>242</x:v>
      </x:c>
      <x:c r="L423" s="40" t="n">
        <x:v>100</x:v>
      </x:c>
      <x:c r="M423" s="40" t="n">
        <x:f>IF(OR(J423="",K423="",K423=0),"",J423/K423*L423)</x:f>
        <x:v>97.52066115702479</x:v>
      </x:c>
      <x:c r="N423" s="22" t="str">
        <x:f>IF(M423="","",IF(I423="Mayor es mejor",IF(M423&gt;=H423,"En meta",IF(M423&gt;=H423*0.9,"Alerta","Crítico")),IF(M423&lt;=H423,"En meta",IF(M423&lt;=H423*1.1,"Alerta","Crítico"))))</x:f>
        <x:v>En meta</x:v>
      </x:c>
      <x:c r="O423" s="22" t="str">
        <x:v>%</x:v>
      </x:c>
      <x:c r="P423" s="22" t="str">
        <x:v>Líder SG-SST / Talento Humano</x:v>
      </x:c>
      <x:c r="Q423" s="22" t="str">
        <x:v>Matriz de seguimiento EMO</x:v>
      </x:c>
      <x:c r="R423" s="22" t="str"/>
    </x:row>
    <x:row r="424">
      <x:c r="A424" s="46" t="n">
        <x:v>45747</x:v>
      </x:c>
      <x:c r="B424" s="22" t="n">
        <x:v>2025</x:v>
      </x:c>
      <x:c r="C424" s="22" t="str">
        <x:v>Marzo</x:v>
      </x:c>
      <x:c r="D424" s="22" t="str">
        <x:v>E04</x:v>
      </x:c>
      <x:c r="E424" s="22" t="str">
        <x:v>% cumplimiento de requisitos legales aplicables en SST</x:v>
      </x:c>
      <x:c r="F424" s="22" t="str">
        <x:v>Estructura</x:v>
      </x:c>
      <x:c r="G424" s="22" t="str">
        <x:v>Mensual</x:v>
      </x:c>
      <x:c r="H424" s="40" t="n">
        <x:v>95</x:v>
      </x:c>
      <x:c r="I424" s="22" t="str">
        <x:v>Mayor es mejor</x:v>
      </x:c>
      <x:c r="J424" s="40" t="n">
        <x:v>58</x:v>
      </x:c>
      <x:c r="K424" s="40" t="n">
        <x:v>60</x:v>
      </x:c>
      <x:c r="L424" s="40" t="n">
        <x:v>100</x:v>
      </x:c>
      <x:c r="M424" s="40" t="n">
        <x:f>IF(OR(J424="",K424="",K424=0),"",J424/K424*L424)</x:f>
        <x:v>96.66666666666667</x:v>
      </x:c>
      <x:c r="N424" s="22" t="str">
        <x:f>IF(M424="","",IF(I424="Mayor es mejor",IF(M424&gt;=H424,"En meta",IF(M424&gt;=H424*0.9,"Alerta","Crítico")),IF(M424&lt;=H424,"En meta",IF(M424&lt;=H424*1.1,"Alerta","Crítico"))))</x:f>
        <x:v>En meta</x:v>
      </x:c>
      <x:c r="O424" s="22" t="str">
        <x:v>%</x:v>
      </x:c>
      <x:c r="P424" s="22" t="str">
        <x:v>Líder SG-SST / Jurídica</x:v>
      </x:c>
      <x:c r="Q424" s="22" t="str">
        <x:v>Matriz legal SGRL</x:v>
      </x:c>
      <x:c r="R424" s="22" t="str"/>
    </x:row>
    <x:row r="425">
      <x:c r="A425" s="46" t="n">
        <x:v>45747</x:v>
      </x:c>
      <x:c r="B425" s="22" t="n">
        <x:v>2025</x:v>
      </x:c>
      <x:c r="C425" s="22" t="str">
        <x:v>Marzo</x:v>
      </x:c>
      <x:c r="D425" s="22" t="str">
        <x:v>E05</x:v>
      </x:c>
      <x:c r="E425" s="22" t="str">
        <x:v>% proveedores y contratistas aprobados en SST</x:v>
      </x:c>
      <x:c r="F425" s="22" t="str">
        <x:v>Estructura</x:v>
      </x:c>
      <x:c r="G425" s="22" t="str">
        <x:v>Mensual</x:v>
      </x:c>
      <x:c r="H425" s="40" t="n">
        <x:v>90</x:v>
      </x:c>
      <x:c r="I425" s="22" t="str">
        <x:v>Mayor es mejor</x:v>
      </x:c>
      <x:c r="J425" s="40" t="n">
        <x:v>19</x:v>
      </x:c>
      <x:c r="K425" s="40" t="n">
        <x:v>20</x:v>
      </x:c>
      <x:c r="L425" s="40" t="n">
        <x:v>100</x:v>
      </x:c>
      <x:c r="M425" s="40" t="n">
        <x:f>IF(OR(J425="",K425="",K425=0),"",J425/K425*L425)</x:f>
        <x:v>95</x:v>
      </x:c>
      <x:c r="N425" s="22" t="str">
        <x:f>IF(M425="","",IF(I425="Mayor es mejor",IF(M425&gt;=H425,"En meta",IF(M425&gt;=H425*0.9,"Alerta","Crítico")),IF(M425&lt;=H425,"En meta",IF(M425&lt;=H425*1.1,"Alerta","Crítico"))))</x:f>
        <x:v>En meta</x:v>
      </x:c>
      <x:c r="O425" s="22" t="str">
        <x:v>%</x:v>
      </x:c>
      <x:c r="P425" s="22" t="str">
        <x:v>Compras / Líder SG-SST</x:v>
      </x:c>
      <x:c r="Q425" s="22" t="str">
        <x:v>Gestión de proveedores y contratistas</x:v>
      </x:c>
      <x:c r="R425" s="22" t="str"/>
    </x:row>
    <x:row r="426">
      <x:c r="A426" s="46" t="n">
        <x:v>45747</x:v>
      </x:c>
      <x:c r="B426" s="22" t="n">
        <x:v>2025</x:v>
      </x:c>
      <x:c r="C426" s="22" t="str">
        <x:v>Marzo</x:v>
      </x:c>
      <x:c r="D426" s="22" t="str">
        <x:v>P01</x:v>
      </x:c>
      <x:c r="E426" s="22" t="str">
        <x:v>% ejecución del plan anual de trabajo SG-SST</x:v>
      </x:c>
      <x:c r="F426" s="22" t="str">
        <x:v>Proceso</x:v>
      </x:c>
      <x:c r="G426" s="22" t="str">
        <x:v>Mensual</x:v>
      </x:c>
      <x:c r="H426" s="40" t="n">
        <x:v>90</x:v>
      </x:c>
      <x:c r="I426" s="22" t="str">
        <x:v>Mayor es mejor</x:v>
      </x:c>
      <x:c r="J426" s="40" t="n">
        <x:v>9</x:v>
      </x:c>
      <x:c r="K426" s="40" t="n">
        <x:v>10</x:v>
      </x:c>
      <x:c r="L426" s="40" t="n">
        <x:v>100</x:v>
      </x:c>
      <x:c r="M426" s="40" t="n">
        <x:f>IF(OR(J426="",K426="",K426=0),"",J426/K426*L426)</x:f>
        <x:v>90</x:v>
      </x:c>
      <x:c r="N426" s="22" t="str">
        <x:f>IF(M426="","",IF(I426="Mayor es mejor",IF(M426&gt;=H426,"En meta",IF(M426&gt;=H426*0.9,"Alerta","Crítico")),IF(M426&lt;=H426,"En meta",IF(M426&lt;=H426*1.1,"Alerta","Crítico"))))</x:f>
        <x:v>En meta</x:v>
      </x:c>
      <x:c r="O426" s="22" t="str">
        <x:v>%</x:v>
      </x:c>
      <x:c r="P426" s="22" t="str">
        <x:v>Líder SG-SST</x:v>
      </x:c>
      <x:c r="Q426" s="22" t="str">
        <x:v>Plan anual de trabajo PHVA</x:v>
      </x:c>
      <x:c r="R426" s="22" t="str"/>
    </x:row>
    <x:row r="427">
      <x:c r="A427" s="46" t="n">
        <x:v>45747</x:v>
      </x:c>
      <x:c r="B427" s="22" t="n">
        <x:v>2025</x:v>
      </x:c>
      <x:c r="C427" s="22" t="str">
        <x:v>Marzo</x:v>
      </x:c>
      <x:c r="D427" s="22" t="str">
        <x:v>P02</x:v>
      </x:c>
      <x:c r="E427" s="22" t="str">
        <x:v>% investigaciones de accidentes realizadas oportunamente</x:v>
      </x:c>
      <x:c r="F427" s="22" t="str">
        <x:v>Proceso</x:v>
      </x:c>
      <x:c r="G427" s="22" t="str">
        <x:v>Mensual</x:v>
      </x:c>
      <x:c r="H427" s="40" t="n">
        <x:v>95</x:v>
      </x:c>
      <x:c r="I427" s="22" t="str">
        <x:v>Mayor es mejor</x:v>
      </x:c>
      <x:c r="J427" s="40" t="n">
        <x:v>1</x:v>
      </x:c>
      <x:c r="K427" s="40" t="n">
        <x:v>1</x:v>
      </x:c>
      <x:c r="L427" s="40" t="n">
        <x:v>100</x:v>
      </x:c>
      <x:c r="M427" s="40" t="n">
        <x:f>IF(OR(J427="",K427="",K427=0),"",J427/K427*L427)</x:f>
        <x:v>100</x:v>
      </x:c>
      <x:c r="N427" s="22" t="str">
        <x:f>IF(M427="","",IF(I427="Mayor es mejor",IF(M427&gt;=H427,"En meta",IF(M427&gt;=H427*0.9,"Alerta","Crítico")),IF(M427&lt;=H427,"En meta",IF(M427&lt;=H427*1.1,"Alerta","Crítico"))))</x:f>
        <x:v>En meta</x:v>
      </x:c>
      <x:c r="O427" s="22" t="str">
        <x:v>%</x:v>
      </x:c>
      <x:c r="P427" s="22" t="str">
        <x:v>Líder SG-SST / COPASST</x:v>
      </x:c>
      <x:c r="Q427" s="22" t="str">
        <x:v>Matriz de accidentalidad</x:v>
      </x:c>
      <x:c r="R427" s="22" t="str"/>
    </x:row>
    <x:row r="428">
      <x:c r="A428" s="46" t="n">
        <x:v>45747</x:v>
      </x:c>
      <x:c r="B428" s="22" t="n">
        <x:v>2025</x:v>
      </x:c>
      <x:c r="C428" s="22" t="str">
        <x:v>Marzo</x:v>
      </x:c>
      <x:c r="D428" s="22" t="str">
        <x:v>P03</x:v>
      </x:c>
      <x:c r="E428" s="22" t="str">
        <x:v>% cierre oportuno de acciones correctivas, preventivas y de mejora</x:v>
      </x:c>
      <x:c r="F428" s="22" t="str">
        <x:v>Proceso</x:v>
      </x:c>
      <x:c r="G428" s="22" t="str">
        <x:v>Mensual</x:v>
      </x:c>
      <x:c r="H428" s="40" t="n">
        <x:v>90</x:v>
      </x:c>
      <x:c r="I428" s="22" t="str">
        <x:v>Mayor es mejor</x:v>
      </x:c>
      <x:c r="J428" s="40" t="n">
        <x:v>12</x:v>
      </x:c>
      <x:c r="K428" s="40" t="n">
        <x:v>13</x:v>
      </x:c>
      <x:c r="L428" s="40" t="n">
        <x:v>100</x:v>
      </x:c>
      <x:c r="M428" s="40" t="n">
        <x:f>IF(OR(J428="",K428="",K428=0),"",J428/K428*L428)</x:f>
        <x:v>92.3076923076923</x:v>
      </x:c>
      <x:c r="N428" s="22" t="str">
        <x:f>IF(M428="","",IF(I428="Mayor es mejor",IF(M428&gt;=H428,"En meta",IF(M428&gt;=H428*0.9,"Alerta","Crítico")),IF(M428&lt;=H428,"En meta",IF(M428&lt;=H428*1.1,"Alerta","Crítico"))))</x:f>
        <x:v>En meta</x:v>
      </x:c>
      <x:c r="O428" s="22" t="str">
        <x:v>%</x:v>
      </x:c>
      <x:c r="P428" s="22" t="str">
        <x:v>Líder SG-SST / Responsables de proceso</x:v>
      </x:c>
      <x:c r="Q428" s="22" t="str">
        <x:v>Matriz APCM</x:v>
      </x:c>
      <x:c r="R428" s="22" t="str"/>
    </x:row>
    <x:row r="429">
      <x:c r="A429" s="46" t="n">
        <x:v>45747</x:v>
      </x:c>
      <x:c r="B429" s="22" t="n">
        <x:v>2025</x:v>
      </x:c>
      <x:c r="C429" s="22" t="str">
        <x:v>Marzo</x:v>
      </x:c>
      <x:c r="D429" s="22" t="str">
        <x:v>P04</x:v>
      </x:c>
      <x:c r="E429" s="22" t="str">
        <x:v>% inspecciones de seguridad ejecutadas</x:v>
      </x:c>
      <x:c r="F429" s="22" t="str">
        <x:v>Proceso</x:v>
      </x:c>
      <x:c r="G429" s="22" t="str">
        <x:v>Mensual</x:v>
      </x:c>
      <x:c r="H429" s="40" t="n">
        <x:v>90</x:v>
      </x:c>
      <x:c r="I429" s="22" t="str">
        <x:v>Mayor es mejor</x:v>
      </x:c>
      <x:c r="J429" s="40" t="n">
        <x:v>10</x:v>
      </x:c>
      <x:c r="K429" s="40" t="n">
        <x:v>11</x:v>
      </x:c>
      <x:c r="L429" s="40" t="n">
        <x:v>100</x:v>
      </x:c>
      <x:c r="M429" s="40" t="n">
        <x:f>IF(OR(J429="",K429="",K429=0),"",J429/K429*L429)</x:f>
        <x:v>90.9090909090909</x:v>
      </x:c>
      <x:c r="N429" s="22" t="str">
        <x:f>IF(M429="","",IF(I429="Mayor es mejor",IF(M429&gt;=H429,"En meta",IF(M429&gt;=H429*0.9,"Alerta","Crítico")),IF(M429&lt;=H429,"En meta",IF(M429&lt;=H429*1.1,"Alerta","Crítico"))))</x:f>
        <x:v>En meta</x:v>
      </x:c>
      <x:c r="O429" s="22" t="str">
        <x:v>%</x:v>
      </x:c>
      <x:c r="P429" s="22" t="str">
        <x:v>Líder SG-SST / Supervisores</x:v>
      </x:c>
      <x:c r="Q429" s="22" t="str">
        <x:v>Programa de inspecciones</x:v>
      </x:c>
      <x:c r="R429" s="22" t="str"/>
    </x:row>
    <x:row r="430">
      <x:c r="A430" s="46" t="n">
        <x:v>45747</x:v>
      </x:c>
      <x:c r="B430" s="22" t="n">
        <x:v>2025</x:v>
      </x:c>
      <x:c r="C430" s="22" t="str">
        <x:v>Marzo</x:v>
      </x:c>
      <x:c r="D430" s="22" t="str">
        <x:v>P05</x:v>
      </x:c>
      <x:c r="E430" s="22" t="str">
        <x:v>% mantenimientos preventivos ejecutados</x:v>
      </x:c>
      <x:c r="F430" s="22" t="str">
        <x:v>Proceso</x:v>
      </x:c>
      <x:c r="G430" s="22" t="str">
        <x:v>Mensual</x:v>
      </x:c>
      <x:c r="H430" s="40" t="n">
        <x:v>90</x:v>
      </x:c>
      <x:c r="I430" s="22" t="str">
        <x:v>Mayor es mejor</x:v>
      </x:c>
      <x:c r="J430" s="40" t="n">
        <x:v>14</x:v>
      </x:c>
      <x:c r="K430" s="40" t="n">
        <x:v>15</x:v>
      </x:c>
      <x:c r="L430" s="40" t="n">
        <x:v>100</x:v>
      </x:c>
      <x:c r="M430" s="40" t="n">
        <x:f>IF(OR(J430="",K430="",K430=0),"",J430/K430*L430)</x:f>
        <x:v>93.33333333333333</x:v>
      </x:c>
      <x:c r="N430" s="22" t="str">
        <x:f>IF(M430="","",IF(I430="Mayor es mejor",IF(M430&gt;=H430,"En meta",IF(M430&gt;=H430*0.9,"Alerta","Crítico")),IF(M430&lt;=H430,"En meta",IF(M430&lt;=H430*1.1,"Alerta","Crítico"))))</x:f>
        <x:v>En meta</x:v>
      </x:c>
      <x:c r="O430" s="22" t="str">
        <x:v>%</x:v>
      </x:c>
      <x:c r="P430" s="22" t="str">
        <x:v>Mantenimiento / Líder SG-SST</x:v>
      </x:c>
      <x:c r="Q430" s="22" t="str">
        <x:v>Programa de mantenimiento preventivo</x:v>
      </x:c>
      <x:c r="R430" s="22" t="str"/>
    </x:row>
    <x:row r="431">
      <x:c r="A431" s="46" t="n">
        <x:v>45747</x:v>
      </x:c>
      <x:c r="B431" s="22" t="n">
        <x:v>2025</x:v>
      </x:c>
      <x:c r="C431" s="22" t="str">
        <x:v>Marzo</x:v>
      </x:c>
      <x:c r="D431" s="22" t="str">
        <x:v>R01</x:v>
      </x:c>
      <x:c r="E431" s="22" t="str">
        <x:v>Índice de frecuencia de accidentalidad (IF)</x:v>
      </x:c>
      <x:c r="F431" s="22" t="str">
        <x:v>Resultado</x:v>
      </x:c>
      <x:c r="G431" s="22" t="str">
        <x:v>Mensual</x:v>
      </x:c>
      <x:c r="H431" s="40" t="n">
        <x:v>3.5</x:v>
      </x:c>
      <x:c r="I431" s="22" t="str">
        <x:v>Menor es mejor</x:v>
      </x:c>
      <x:c r="J431" s="40" t="n">
        <x:v>1</x:v>
      </x:c>
      <x:c r="K431" s="40" t="n">
        <x:v>58357</x:v>
      </x:c>
      <x:c r="L431" s="40" t="n">
        <x:v>200000</x:v>
      </x:c>
      <x:c r="M431" s="40" t="n">
        <x:f>IF(OR(J431="",K431="",K431=0),"",J431/K431*L431)</x:f>
        <x:v>3.4271809722912416</x:v>
      </x:c>
      <x:c r="N431" s="22" t="str">
        <x:f>IF(M431="","",IF(I431="Mayor es mejor",IF(M431&gt;=H431,"En meta",IF(M431&gt;=H431*0.9,"Alerta","Crítico")),IF(M431&lt;=H431,"En meta",IF(M431&lt;=H431*1.1,"Alerta","Crítico"))))</x:f>
        <x:v>En meta</x:v>
      </x:c>
      <x:c r="O431" s="22" t="str">
        <x:v>Índice</x:v>
      </x:c>
      <x:c r="P431" s="22" t="str">
        <x:v>Líder SG-SST</x:v>
      </x:c>
      <x:c r="Q431" s="22" t="str">
        <x:v>Matriz de accidentalidad / nómina</x:v>
      </x:c>
      <x:c r="R431" s="22" t="str"/>
    </x:row>
    <x:row r="432">
      <x:c r="A432" s="46" t="n">
        <x:v>45747</x:v>
      </x:c>
      <x:c r="B432" s="22" t="n">
        <x:v>2025</x:v>
      </x:c>
      <x:c r="C432" s="22" t="str">
        <x:v>Marzo</x:v>
      </x:c>
      <x:c r="D432" s="22" t="str">
        <x:v>R02</x:v>
      </x:c>
      <x:c r="E432" s="22" t="str">
        <x:v>Índice de severidad de accidentalidad (IS)</x:v>
      </x:c>
      <x:c r="F432" s="22" t="str">
        <x:v>Resultado</x:v>
      </x:c>
      <x:c r="G432" s="22" t="str">
        <x:v>Mensual</x:v>
      </x:c>
      <x:c r="H432" s="40" t="n">
        <x:v>80</x:v>
      </x:c>
      <x:c r="I432" s="22" t="str">
        <x:v>Menor es mejor</x:v>
      </x:c>
      <x:c r="J432" s="40" t="n">
        <x:v>17</x:v>
      </x:c>
      <x:c r="K432" s="40" t="n">
        <x:v>58357</x:v>
      </x:c>
      <x:c r="L432" s="40" t="n">
        <x:v>200000</x:v>
      </x:c>
      <x:c r="M432" s="40" t="n">
        <x:f>IF(OR(J432="",K432="",K432=0),"",J432/K432*L432)</x:f>
        <x:v>58.262076528951106</x:v>
      </x:c>
      <x:c r="N432" s="22" t="str">
        <x:f>IF(M432="","",IF(I432="Mayor es mejor",IF(M432&gt;=H432,"En meta",IF(M432&gt;=H432*0.9,"Alerta","Crítico")),IF(M432&lt;=H432,"En meta",IF(M432&lt;=H432*1.1,"Alerta","Crítico"))))</x:f>
        <x:v>En meta</x:v>
      </x:c>
      <x:c r="O432" s="22" t="str">
        <x:v>Índice</x:v>
      </x:c>
      <x:c r="P432" s="22" t="str">
        <x:v>Líder SG-SST</x:v>
      </x:c>
      <x:c r="Q432" s="22" t="str">
        <x:v>Matriz de accidentalidad / nómina</x:v>
      </x:c>
      <x:c r="R432" s="22" t="str"/>
    </x:row>
    <x:row r="433">
      <x:c r="A433" s="46" t="n">
        <x:v>45747</x:v>
      </x:c>
      <x:c r="B433" s="22" t="n">
        <x:v>2025</x:v>
      </x:c>
      <x:c r="C433" s="22" t="str">
        <x:v>Marzo</x:v>
      </x:c>
      <x:c r="D433" s="22" t="str">
        <x:v>R03</x:v>
      </x:c>
      <x:c r="E433" s="22" t="str">
        <x:v>Índice de lesión incapacitante (ILI)</x:v>
      </x:c>
      <x:c r="F433" s="22" t="str">
        <x:v>Resultado</x:v>
      </x:c>
      <x:c r="G433" s="22" t="str">
        <x:v>Mensual</x:v>
      </x:c>
      <x:c r="H433" s="40" t="n">
        <x:v>0.25</x:v>
      </x:c>
      <x:c r="I433" s="22" t="str">
        <x:v>Menor es mejor</x:v>
      </x:c>
      <x:c r="J433" s="40" t="n">
        <x:v>199.6747</x:v>
      </x:c>
      <x:c r="K433" s="40" t="n">
        <x:v>1000</x:v>
      </x:c>
      <x:c r="L433" s="40" t="n">
        <x:v>1</x:v>
      </x:c>
      <x:c r="M433" s="40" t="n">
        <x:f>IF(OR(J433="",K433="",K433=0),"",J433/K433*L433)</x:f>
        <x:v>0.1996747</x:v>
      </x:c>
      <x:c r="N433" s="22" t="str">
        <x:f>IF(M433="","",IF(I433="Mayor es mejor",IF(M433&gt;=H433,"En meta",IF(M433&gt;=H433*0.9,"Alerta","Crítico")),IF(M433&lt;=H433,"En meta",IF(M433&lt;=H433*1.1,"Alerta","Crítico"))))</x:f>
        <x:v>En meta</x:v>
      </x:c>
      <x:c r="O433" s="22" t="str">
        <x:v>Índice</x:v>
      </x:c>
      <x:c r="P433" s="22" t="str">
        <x:v>Líder SG-SST</x:v>
      </x:c>
      <x:c r="Q433" s="22" t="str">
        <x:v>Indicadores derivados de accidentalidad</x:v>
      </x:c>
      <x:c r="R433" s="22" t="str">
        <x:v>ILI calculado sobre IF e IS del periodo.</x:v>
      </x:c>
    </x:row>
    <x:row r="434">
      <x:c r="A434" s="46" t="n">
        <x:v>45747</x:v>
      </x:c>
      <x:c r="B434" s="22" t="n">
        <x:v>2025</x:v>
      </x:c>
      <x:c r="C434" s="22" t="str">
        <x:v>Marzo</x:v>
      </x:c>
      <x:c r="D434" s="22" t="str">
        <x:v>R04</x:v>
      </x:c>
      <x:c r="E434" s="22" t="str">
        <x:v>Tasa de accidentalidad</x:v>
      </x:c>
      <x:c r="F434" s="22" t="str">
        <x:v>Resultado</x:v>
      </x:c>
      <x:c r="G434" s="22" t="str">
        <x:v>Mensual</x:v>
      </x:c>
      <x:c r="H434" s="40" t="n">
        <x:v>0.6</x:v>
      </x:c>
      <x:c r="I434" s="22" t="str">
        <x:v>Menor es mejor</x:v>
      </x:c>
      <x:c r="J434" s="40" t="n">
        <x:v>0.58</x:v>
      </x:c>
      <x:c r="K434" s="40" t="n">
        <x:v>242</x:v>
      </x:c>
      <x:c r="L434" s="40" t="n">
        <x:v>100</x:v>
      </x:c>
      <x:c r="M434" s="40" t="n">
        <x:f>IF(OR(J434="",K434="",K434=0),"",J434/K434*L434)</x:f>
        <x:v>0.23966942148760328</x:v>
      </x:c>
      <x:c r="N434" s="22" t="str">
        <x:f>IF(M434="","",IF(I434="Mayor es mejor",IF(M434&gt;=H434,"En meta",IF(M434&gt;=H434*0.9,"Alerta","Crítico")),IF(M434&lt;=H434,"En meta",IF(M434&lt;=H434*1.1,"Alerta","Crítico"))))</x:f>
        <x:v>En meta</x:v>
      </x:c>
      <x:c r="O434" s="22" t="str">
        <x:v>%</x:v>
      </x:c>
      <x:c r="P434" s="22" t="str">
        <x:v>Líder SG-SST</x:v>
      </x:c>
      <x:c r="Q434" s="22" t="str">
        <x:v>Matriz de accidentalidad / nómina</x:v>
      </x:c>
      <x:c r="R434" s="22" t="str"/>
    </x:row>
    <x:row r="435">
      <x:c r="A435" s="46" t="n">
        <x:v>45747</x:v>
      </x:c>
      <x:c r="B435" s="22" t="n">
        <x:v>2025</x:v>
      </x:c>
      <x:c r="C435" s="22" t="str">
        <x:v>Marzo</x:v>
      </x:c>
      <x:c r="D435" s="22" t="str">
        <x:v>R05</x:v>
      </x:c>
      <x:c r="E435" s="22" t="str">
        <x:v>Prevalencia de enfermedad laboral</x:v>
      </x:c>
      <x:c r="F435" s="22" t="str">
        <x:v>Resultado</x:v>
      </x:c>
      <x:c r="G435" s="22" t="str">
        <x:v>Mensual</x:v>
      </x:c>
      <x:c r="H435" s="40" t="n">
        <x:v>0.3</x:v>
      </x:c>
      <x:c r="I435" s="22" t="str">
        <x:v>Menor es mejor</x:v>
      </x:c>
      <x:c r="J435" s="40" t="n">
        <x:v>3.86</x:v>
      </x:c>
      <x:c r="K435" s="40" t="n">
        <x:v>242</x:v>
      </x:c>
      <x:c r="L435" s="40" t="n">
        <x:v>100</x:v>
      </x:c>
      <x:c r="M435" s="40" t="n">
        <x:f>IF(OR(J435="",K435="",K435=0),"",J435/K435*L435)</x:f>
        <x:v>1.5950413223140496</x:v>
      </x:c>
      <x:c r="N435" s="22" t="str">
        <x:f>IF(M435="","",IF(I435="Mayor es mejor",IF(M435&gt;=H435,"En meta",IF(M435&gt;=H435*0.9,"Alerta","Crítico")),IF(M435&lt;=H435,"En meta",IF(M435&lt;=H435*1.1,"Alerta","Crítico"))))</x:f>
        <x:v>Crítico</x:v>
      </x:c>
      <x:c r="O435" s="22" t="str">
        <x:v>%</x:v>
      </x:c>
      <x:c r="P435" s="22" t="str">
        <x:v>Líder SG-SST / Medicina laboral</x:v>
      </x:c>
      <x:c r="Q435" s="22" t="str">
        <x:v>Matriz de enfermedad laboral / nómina</x:v>
      </x:c>
      <x:c r="R435" s="22" t="str"/>
    </x:row>
    <x:row r="436">
      <x:c r="A436" s="46" t="n">
        <x:v>45747</x:v>
      </x:c>
      <x:c r="B436" s="22" t="n">
        <x:v>2025</x:v>
      </x:c>
      <x:c r="C436" s="22" t="str">
        <x:v>Marzo</x:v>
      </x:c>
      <x:c r="D436" s="22" t="str">
        <x:v>R06</x:v>
      </x:c>
      <x:c r="E436" s="22" t="str">
        <x:v>% cumplimiento de estándares mínimos Res. 0312 de 2019</x:v>
      </x:c>
      <x:c r="F436" s="22" t="str">
        <x:v>Resultado</x:v>
      </x:c>
      <x:c r="G436" s="22" t="str">
        <x:v>Mensual</x:v>
      </x:c>
      <x:c r="H436" s="40" t="n">
        <x:v>95</x:v>
      </x:c>
      <x:c r="I436" s="22" t="str">
        <x:v>Mayor es mejor</x:v>
      </x:c>
      <x:c r="J436" s="40" t="n">
        <x:v>97</x:v>
      </x:c>
      <x:c r="K436" s="40" t="n">
        <x:v>100</x:v>
      </x:c>
      <x:c r="L436" s="40" t="n">
        <x:v>100</x:v>
      </x:c>
      <x:c r="M436" s="40" t="n">
        <x:f>IF(OR(J436="",K436="",K436=0),"",J436/K436*L436)</x:f>
        <x:v>97</x:v>
      </x:c>
      <x:c r="N436" s="22" t="str">
        <x:f>IF(M436="","",IF(I436="Mayor es mejor",IF(M436&gt;=H436,"En meta",IF(M436&gt;=H436*0.9,"Alerta","Crítico")),IF(M436&lt;=H436,"En meta",IF(M436&lt;=H436*1.1,"Alerta","Crítico"))))</x:f>
        <x:v>En meta</x:v>
      </x:c>
      <x:c r="O436" s="22" t="str">
        <x:v>%</x:v>
      </x:c>
      <x:c r="P436" s="22" t="str">
        <x:v>Líder SG-SST / Alta Dirección</x:v>
      </x:c>
      <x:c r="Q436" s="22" t="str">
        <x:v>Autodiagnóstico Res. 0312 de 2019</x:v>
      </x:c>
      <x:c r="R436" s="22" t="str"/>
    </x:row>
    <x:row r="437">
      <x:c r="A437" s="46" t="n">
        <x:v>45777</x:v>
      </x:c>
      <x:c r="B437" s="22" t="n">
        <x:v>2025</x:v>
      </x:c>
      <x:c r="C437" s="22" t="str">
        <x:v>Abril</x:v>
      </x:c>
      <x:c r="D437" s="22" t="str">
        <x:v>E01</x:v>
      </x:c>
      <x:c r="E437" s="22" t="str">
        <x:v>% ejecución presupuestal del SG-SST</x:v>
      </x:c>
      <x:c r="F437" s="22" t="str">
        <x:v>Estructura</x:v>
      </x:c>
      <x:c r="G437" s="22" t="str">
        <x:v>Mensual</x:v>
      </x:c>
      <x:c r="H437" s="40" t="n">
        <x:v>95</x:v>
      </x:c>
      <x:c r="I437" s="22" t="str">
        <x:v>Mayor es mejor</x:v>
      </x:c>
      <x:c r="J437" s="40" t="n">
        <x:v>5756089</x:v>
      </x:c>
      <x:c r="K437" s="40" t="n">
        <x:v>6000000</x:v>
      </x:c>
      <x:c r="L437" s="40" t="n">
        <x:v>100</x:v>
      </x:c>
      <x:c r="M437" s="40" t="n">
        <x:f>IF(OR(J437="",K437="",K437=0),"",J437/K437*L437)</x:f>
        <x:v>95.93481666666666</x:v>
      </x:c>
      <x:c r="N437" s="22" t="str">
        <x:f>IF(M437="","",IF(I437="Mayor es mejor",IF(M437&gt;=H437,"En meta",IF(M437&gt;=H437*0.9,"Alerta","Crítico")),IF(M437&lt;=H437,"En meta",IF(M437&lt;=H437*1.1,"Alerta","Crítico"))))</x:f>
        <x:v>En meta</x:v>
      </x:c>
      <x:c r="O437" s="22" t="str">
        <x:v>%</x:v>
      </x:c>
      <x:c r="P437" s="22" t="str">
        <x:v>Líder SG-SST / Dirección Administrativa</x:v>
      </x:c>
      <x:c r="Q437" s="22" t="str">
        <x:v>Presupuesto SST</x:v>
      </x:c>
      <x:c r="R437" s="22" t="str"/>
    </x:row>
    <x:row r="438">
      <x:c r="A438" s="46" t="n">
        <x:v>45777</x:v>
      </x:c>
      <x:c r="B438" s="22" t="n">
        <x:v>2025</x:v>
      </x:c>
      <x:c r="C438" s="22" t="str">
        <x:v>Abril</x:v>
      </x:c>
      <x:c r="D438" s="22" t="str">
        <x:v>E02</x:v>
      </x:c>
      <x:c r="E438" s="22" t="str">
        <x:v>% cobertura del plan de formación y capacitación SG-SST</x:v>
      </x:c>
      <x:c r="F438" s="22" t="str">
        <x:v>Estructura</x:v>
      </x:c>
      <x:c r="G438" s="22" t="str">
        <x:v>Mensual</x:v>
      </x:c>
      <x:c r="H438" s="40" t="n">
        <x:v>90</x:v>
      </x:c>
      <x:c r="I438" s="22" t="str">
        <x:v>Mayor es mejor</x:v>
      </x:c>
      <x:c r="J438" s="40" t="n">
        <x:v>17</x:v>
      </x:c>
      <x:c r="K438" s="40" t="n">
        <x:v>18</x:v>
      </x:c>
      <x:c r="L438" s="40" t="n">
        <x:v>100</x:v>
      </x:c>
      <x:c r="M438" s="40" t="n">
        <x:f>IF(OR(J438="",K438="",K438=0),"",J438/K438*L438)</x:f>
        <x:v>94.44444444444444</x:v>
      </x:c>
      <x:c r="N438" s="22" t="str">
        <x:f>IF(M438="","",IF(I438="Mayor es mejor",IF(M438&gt;=H438,"En meta",IF(M438&gt;=H438*0.9,"Alerta","Crítico")),IF(M438&lt;=H438,"En meta",IF(M438&lt;=H438*1.1,"Alerta","Crítico"))))</x:f>
        <x:v>En meta</x:v>
      </x:c>
      <x:c r="O438" s="22" t="str">
        <x:v>%</x:v>
      </x:c>
      <x:c r="P438" s="22" t="str">
        <x:v>Líder SG-SST / Talento Humano</x:v>
      </x:c>
      <x:c r="Q438" s="22" t="str">
        <x:v>Plan de formación y capacitaciones</x:v>
      </x:c>
      <x:c r="R438" s="22" t="str"/>
    </x:row>
    <x:row r="439">
      <x:c r="A439" s="46" t="n">
        <x:v>45777</x:v>
      </x:c>
      <x:c r="B439" s="22" t="n">
        <x:v>2025</x:v>
      </x:c>
      <x:c r="C439" s="22" t="str">
        <x:v>Abril</x:v>
      </x:c>
      <x:c r="D439" s="22" t="str">
        <x:v>E03</x:v>
      </x:c>
      <x:c r="E439" s="22" t="str">
        <x:v>% trabajadores con exámenes médicos ocupacionales vigentes</x:v>
      </x:c>
      <x:c r="F439" s="22" t="str">
        <x:v>Estructura</x:v>
      </x:c>
      <x:c r="G439" s="22" t="str">
        <x:v>Mensual</x:v>
      </x:c>
      <x:c r="H439" s="40" t="n">
        <x:v>95</x:v>
      </x:c>
      <x:c r="I439" s="22" t="str">
        <x:v>Mayor es mejor</x:v>
      </x:c>
      <x:c r="J439" s="40" t="n">
        <x:v>231</x:v>
      </x:c>
      <x:c r="K439" s="40" t="n">
        <x:v>239</x:v>
      </x:c>
      <x:c r="L439" s="40" t="n">
        <x:v>100</x:v>
      </x:c>
      <x:c r="M439" s="40" t="n">
        <x:f>IF(OR(J439="",K439="",K439=0),"",J439/K439*L439)</x:f>
        <x:v>96.65271966527197</x:v>
      </x:c>
      <x:c r="N439" s="22" t="str">
        <x:f>IF(M439="","",IF(I439="Mayor es mejor",IF(M439&gt;=H439,"En meta",IF(M439&gt;=H439*0.9,"Alerta","Crítico")),IF(M439&lt;=H439,"En meta",IF(M439&lt;=H439*1.1,"Alerta","Crítico"))))</x:f>
        <x:v>En meta</x:v>
      </x:c>
      <x:c r="O439" s="22" t="str">
        <x:v>%</x:v>
      </x:c>
      <x:c r="P439" s="22" t="str">
        <x:v>Líder SG-SST / Talento Humano</x:v>
      </x:c>
      <x:c r="Q439" s="22" t="str">
        <x:v>Matriz de seguimiento EMO</x:v>
      </x:c>
      <x:c r="R439" s="22" t="str"/>
    </x:row>
    <x:row r="440">
      <x:c r="A440" s="46" t="n">
        <x:v>45777</x:v>
      </x:c>
      <x:c r="B440" s="22" t="n">
        <x:v>2025</x:v>
      </x:c>
      <x:c r="C440" s="22" t="str">
        <x:v>Abril</x:v>
      </x:c>
      <x:c r="D440" s="22" t="str">
        <x:v>E04</x:v>
      </x:c>
      <x:c r="E440" s="22" t="str">
        <x:v>% cumplimiento de requisitos legales aplicables en SST</x:v>
      </x:c>
      <x:c r="F440" s="22" t="str">
        <x:v>Estructura</x:v>
      </x:c>
      <x:c r="G440" s="22" t="str">
        <x:v>Mensual</x:v>
      </x:c>
      <x:c r="H440" s="40" t="n">
        <x:v>95</x:v>
      </x:c>
      <x:c r="I440" s="22" t="str">
        <x:v>Mayor es mejor</x:v>
      </x:c>
      <x:c r="J440" s="40" t="n">
        <x:v>58</x:v>
      </x:c>
      <x:c r="K440" s="40" t="n">
        <x:v>60</x:v>
      </x:c>
      <x:c r="L440" s="40" t="n">
        <x:v>100</x:v>
      </x:c>
      <x:c r="M440" s="40" t="n">
        <x:f>IF(OR(J440="",K440="",K440=0),"",J440/K440*L440)</x:f>
        <x:v>96.66666666666667</x:v>
      </x:c>
      <x:c r="N440" s="22" t="str">
        <x:f>IF(M440="","",IF(I440="Mayor es mejor",IF(M440&gt;=H440,"En meta",IF(M440&gt;=H440*0.9,"Alerta","Crítico")),IF(M440&lt;=H440,"En meta",IF(M440&lt;=H440*1.1,"Alerta","Crítico"))))</x:f>
        <x:v>En meta</x:v>
      </x:c>
      <x:c r="O440" s="22" t="str">
        <x:v>%</x:v>
      </x:c>
      <x:c r="P440" s="22" t="str">
        <x:v>Líder SG-SST / Jurídica</x:v>
      </x:c>
      <x:c r="Q440" s="22" t="str">
        <x:v>Matriz legal SGRL</x:v>
      </x:c>
      <x:c r="R440" s="22" t="str"/>
    </x:row>
    <x:row r="441">
      <x:c r="A441" s="46" t="n">
        <x:v>45777</x:v>
      </x:c>
      <x:c r="B441" s="22" t="n">
        <x:v>2025</x:v>
      </x:c>
      <x:c r="C441" s="22" t="str">
        <x:v>Abril</x:v>
      </x:c>
      <x:c r="D441" s="22" t="str">
        <x:v>E05</x:v>
      </x:c>
      <x:c r="E441" s="22" t="str">
        <x:v>% proveedores y contratistas aprobados en SST</x:v>
      </x:c>
      <x:c r="F441" s="22" t="str">
        <x:v>Estructura</x:v>
      </x:c>
      <x:c r="G441" s="22" t="str">
        <x:v>Mensual</x:v>
      </x:c>
      <x:c r="H441" s="40" t="n">
        <x:v>90</x:v>
      </x:c>
      <x:c r="I441" s="22" t="str">
        <x:v>Mayor es mejor</x:v>
      </x:c>
      <x:c r="J441" s="40" t="n">
        <x:v>19</x:v>
      </x:c>
      <x:c r="K441" s="40" t="n">
        <x:v>20</x:v>
      </x:c>
      <x:c r="L441" s="40" t="n">
        <x:v>100</x:v>
      </x:c>
      <x:c r="M441" s="40" t="n">
        <x:f>IF(OR(J441="",K441="",K441=0),"",J441/K441*L441)</x:f>
        <x:v>95</x:v>
      </x:c>
      <x:c r="N441" s="22" t="str">
        <x:f>IF(M441="","",IF(I441="Mayor es mejor",IF(M441&gt;=H441,"En meta",IF(M441&gt;=H441*0.9,"Alerta","Crítico")),IF(M441&lt;=H441,"En meta",IF(M441&lt;=H441*1.1,"Alerta","Crítico"))))</x:f>
        <x:v>En meta</x:v>
      </x:c>
      <x:c r="O441" s="22" t="str">
        <x:v>%</x:v>
      </x:c>
      <x:c r="P441" s="22" t="str">
        <x:v>Compras / Líder SG-SST</x:v>
      </x:c>
      <x:c r="Q441" s="22" t="str">
        <x:v>Gestión de proveedores y contratistas</x:v>
      </x:c>
      <x:c r="R441" s="22" t="str"/>
    </x:row>
    <x:row r="442">
      <x:c r="A442" s="46" t="n">
        <x:v>45777</x:v>
      </x:c>
      <x:c r="B442" s="22" t="n">
        <x:v>2025</x:v>
      </x:c>
      <x:c r="C442" s="22" t="str">
        <x:v>Abril</x:v>
      </x:c>
      <x:c r="D442" s="22" t="str">
        <x:v>P01</x:v>
      </x:c>
      <x:c r="E442" s="22" t="str">
        <x:v>% ejecución del plan anual de trabajo SG-SST</x:v>
      </x:c>
      <x:c r="F442" s="22" t="str">
        <x:v>Proceso</x:v>
      </x:c>
      <x:c r="G442" s="22" t="str">
        <x:v>Mensual</x:v>
      </x:c>
      <x:c r="H442" s="40" t="n">
        <x:v>90</x:v>
      </x:c>
      <x:c r="I442" s="22" t="str">
        <x:v>Mayor es mejor</x:v>
      </x:c>
      <x:c r="J442" s="40" t="n">
        <x:v>11</x:v>
      </x:c>
      <x:c r="K442" s="40" t="n">
        <x:v>12</x:v>
      </x:c>
      <x:c r="L442" s="40" t="n">
        <x:v>100</x:v>
      </x:c>
      <x:c r="M442" s="40" t="n">
        <x:f>IF(OR(J442="",K442="",K442=0),"",J442/K442*L442)</x:f>
        <x:v>91.66666666666666</x:v>
      </x:c>
      <x:c r="N442" s="22" t="str">
        <x:f>IF(M442="","",IF(I442="Mayor es mejor",IF(M442&gt;=H442,"En meta",IF(M442&gt;=H442*0.9,"Alerta","Crítico")),IF(M442&lt;=H442,"En meta",IF(M442&lt;=H442*1.1,"Alerta","Crítico"))))</x:f>
        <x:v>En meta</x:v>
      </x:c>
      <x:c r="O442" s="22" t="str">
        <x:v>%</x:v>
      </x:c>
      <x:c r="P442" s="22" t="str">
        <x:v>Líder SG-SST</x:v>
      </x:c>
      <x:c r="Q442" s="22" t="str">
        <x:v>Plan anual de trabajo PHVA</x:v>
      </x:c>
      <x:c r="R442" s="22" t="str"/>
    </x:row>
    <x:row r="443">
      <x:c r="A443" s="46" t="n">
        <x:v>45777</x:v>
      </x:c>
      <x:c r="B443" s="22" t="n">
        <x:v>2025</x:v>
      </x:c>
      <x:c r="C443" s="22" t="str">
        <x:v>Abril</x:v>
      </x:c>
      <x:c r="D443" s="22" t="str">
        <x:v>P02</x:v>
      </x:c>
      <x:c r="E443" s="22" t="str">
        <x:v>% investigaciones de accidentes realizadas oportunamente</x:v>
      </x:c>
      <x:c r="F443" s="22" t="str">
        <x:v>Proceso</x:v>
      </x:c>
      <x:c r="G443" s="22" t="str">
        <x:v>Mensual</x:v>
      </x:c>
      <x:c r="H443" s="40" t="n">
        <x:v>95</x:v>
      </x:c>
      <x:c r="I443" s="22" t="str">
        <x:v>Mayor es mejor</x:v>
      </x:c>
      <x:c r="J443" s="40" t="n">
        <x:v>1</x:v>
      </x:c>
      <x:c r="K443" s="40" t="n">
        <x:v>1</x:v>
      </x:c>
      <x:c r="L443" s="40" t="n">
        <x:v>100</x:v>
      </x:c>
      <x:c r="M443" s="40" t="n">
        <x:f>IF(OR(J443="",K443="",K443=0),"",J443/K443*L443)</x:f>
        <x:v>100</x:v>
      </x:c>
      <x:c r="N443" s="22" t="str">
        <x:f>IF(M443="","",IF(I443="Mayor es mejor",IF(M443&gt;=H443,"En meta",IF(M443&gt;=H443*0.9,"Alerta","Crítico")),IF(M443&lt;=H443,"En meta",IF(M443&lt;=H443*1.1,"Alerta","Crítico"))))</x:f>
        <x:v>En meta</x:v>
      </x:c>
      <x:c r="O443" s="22" t="str">
        <x:v>%</x:v>
      </x:c>
      <x:c r="P443" s="22" t="str">
        <x:v>Líder SG-SST / COPASST</x:v>
      </x:c>
      <x:c r="Q443" s="22" t="str">
        <x:v>Matriz de accidentalidad</x:v>
      </x:c>
      <x:c r="R443" s="22" t="str"/>
    </x:row>
    <x:row r="444">
      <x:c r="A444" s="46" t="n">
        <x:v>45777</x:v>
      </x:c>
      <x:c r="B444" s="22" t="n">
        <x:v>2025</x:v>
      </x:c>
      <x:c r="C444" s="22" t="str">
        <x:v>Abril</x:v>
      </x:c>
      <x:c r="D444" s="22" t="str">
        <x:v>P03</x:v>
      </x:c>
      <x:c r="E444" s="22" t="str">
        <x:v>% cierre oportuno de acciones correctivas, preventivas y de mejora</x:v>
      </x:c>
      <x:c r="F444" s="22" t="str">
        <x:v>Proceso</x:v>
      </x:c>
      <x:c r="G444" s="22" t="str">
        <x:v>Mensual</x:v>
      </x:c>
      <x:c r="H444" s="40" t="n">
        <x:v>90</x:v>
      </x:c>
      <x:c r="I444" s="22" t="str">
        <x:v>Mayor es mejor</x:v>
      </x:c>
      <x:c r="J444" s="40" t="n">
        <x:v>13</x:v>
      </x:c>
      <x:c r="K444" s="40" t="n">
        <x:v>14</x:v>
      </x:c>
      <x:c r="L444" s="40" t="n">
        <x:v>100</x:v>
      </x:c>
      <x:c r="M444" s="40" t="n">
        <x:f>IF(OR(J444="",K444="",K444=0),"",J444/K444*L444)</x:f>
        <x:v>92.85714285714286</x:v>
      </x:c>
      <x:c r="N444" s="22" t="str">
        <x:f>IF(M444="","",IF(I444="Mayor es mejor",IF(M444&gt;=H444,"En meta",IF(M444&gt;=H444*0.9,"Alerta","Crítico")),IF(M444&lt;=H444,"En meta",IF(M444&lt;=H444*1.1,"Alerta","Crítico"))))</x:f>
        <x:v>En meta</x:v>
      </x:c>
      <x:c r="O444" s="22" t="str">
        <x:v>%</x:v>
      </x:c>
      <x:c r="P444" s="22" t="str">
        <x:v>Líder SG-SST / Responsables de proceso</x:v>
      </x:c>
      <x:c r="Q444" s="22" t="str">
        <x:v>Matriz APCM</x:v>
      </x:c>
      <x:c r="R444" s="22" t="str"/>
    </x:row>
    <x:row r="445">
      <x:c r="A445" s="46" t="n">
        <x:v>45777</x:v>
      </x:c>
      <x:c r="B445" s="22" t="n">
        <x:v>2025</x:v>
      </x:c>
      <x:c r="C445" s="22" t="str">
        <x:v>Abril</x:v>
      </x:c>
      <x:c r="D445" s="22" t="str">
        <x:v>P04</x:v>
      </x:c>
      <x:c r="E445" s="22" t="str">
        <x:v>% inspecciones de seguridad ejecutadas</x:v>
      </x:c>
      <x:c r="F445" s="22" t="str">
        <x:v>Proceso</x:v>
      </x:c>
      <x:c r="G445" s="22" t="str">
        <x:v>Mensual</x:v>
      </x:c>
      <x:c r="H445" s="40" t="n">
        <x:v>90</x:v>
      </x:c>
      <x:c r="I445" s="22" t="str">
        <x:v>Mayor es mejor</x:v>
      </x:c>
      <x:c r="J445" s="40" t="n">
        <x:v>8</x:v>
      </x:c>
      <x:c r="K445" s="40" t="n">
        <x:v>8</x:v>
      </x:c>
      <x:c r="L445" s="40" t="n">
        <x:v>100</x:v>
      </x:c>
      <x:c r="M445" s="40" t="n">
        <x:f>IF(OR(J445="",K445="",K445=0),"",J445/K445*L445)</x:f>
        <x:v>100</x:v>
      </x:c>
      <x:c r="N445" s="22" t="str">
        <x:f>IF(M445="","",IF(I445="Mayor es mejor",IF(M445&gt;=H445,"En meta",IF(M445&gt;=H445*0.9,"Alerta","Crítico")),IF(M445&lt;=H445,"En meta",IF(M445&lt;=H445*1.1,"Alerta","Crítico"))))</x:f>
        <x:v>En meta</x:v>
      </x:c>
      <x:c r="O445" s="22" t="str">
        <x:v>%</x:v>
      </x:c>
      <x:c r="P445" s="22" t="str">
        <x:v>Líder SG-SST / Supervisores</x:v>
      </x:c>
      <x:c r="Q445" s="22" t="str">
        <x:v>Programa de inspecciones</x:v>
      </x:c>
      <x:c r="R445" s="22" t="str"/>
    </x:row>
    <x:row r="446">
      <x:c r="A446" s="46" t="n">
        <x:v>45777</x:v>
      </x:c>
      <x:c r="B446" s="22" t="n">
        <x:v>2025</x:v>
      </x:c>
      <x:c r="C446" s="22" t="str">
        <x:v>Abril</x:v>
      </x:c>
      <x:c r="D446" s="22" t="str">
        <x:v>P05</x:v>
      </x:c>
      <x:c r="E446" s="22" t="str">
        <x:v>% mantenimientos preventivos ejecutados</x:v>
      </x:c>
      <x:c r="F446" s="22" t="str">
        <x:v>Proceso</x:v>
      </x:c>
      <x:c r="G446" s="22" t="str">
        <x:v>Mensual</x:v>
      </x:c>
      <x:c r="H446" s="40" t="n">
        <x:v>90</x:v>
      </x:c>
      <x:c r="I446" s="22" t="str">
        <x:v>Mayor es mejor</x:v>
      </x:c>
      <x:c r="J446" s="40" t="n">
        <x:v>11</x:v>
      </x:c>
      <x:c r="K446" s="40" t="n">
        <x:v>12</x:v>
      </x:c>
      <x:c r="L446" s="40" t="n">
        <x:v>100</x:v>
      </x:c>
      <x:c r="M446" s="40" t="n">
        <x:f>IF(OR(J446="",K446="",K446=0),"",J446/K446*L446)</x:f>
        <x:v>91.66666666666666</x:v>
      </x:c>
      <x:c r="N446" s="22" t="str">
        <x:f>IF(M446="","",IF(I446="Mayor es mejor",IF(M446&gt;=H446,"En meta",IF(M446&gt;=H446*0.9,"Alerta","Crítico")),IF(M446&lt;=H446,"En meta",IF(M446&lt;=H446*1.1,"Alerta","Crítico"))))</x:f>
        <x:v>En meta</x:v>
      </x:c>
      <x:c r="O446" s="22" t="str">
        <x:v>%</x:v>
      </x:c>
      <x:c r="P446" s="22" t="str">
        <x:v>Mantenimiento / Líder SG-SST</x:v>
      </x:c>
      <x:c r="Q446" s="22" t="str">
        <x:v>Programa de mantenimiento preventivo</x:v>
      </x:c>
      <x:c r="R446" s="22" t="str"/>
    </x:row>
    <x:row r="447">
      <x:c r="A447" s="46" t="n">
        <x:v>45777</x:v>
      </x:c>
      <x:c r="B447" s="22" t="n">
        <x:v>2025</x:v>
      </x:c>
      <x:c r="C447" s="22" t="str">
        <x:v>Abril</x:v>
      </x:c>
      <x:c r="D447" s="22" t="str">
        <x:v>R01</x:v>
      </x:c>
      <x:c r="E447" s="22" t="str">
        <x:v>Índice de frecuencia de accidentalidad (IF)</x:v>
      </x:c>
      <x:c r="F447" s="22" t="str">
        <x:v>Resultado</x:v>
      </x:c>
      <x:c r="G447" s="22" t="str">
        <x:v>Mensual</x:v>
      </x:c>
      <x:c r="H447" s="40" t="n">
        <x:v>3.5</x:v>
      </x:c>
      <x:c r="I447" s="22" t="str">
        <x:v>Menor es mejor</x:v>
      </x:c>
      <x:c r="J447" s="40" t="n">
        <x:v>1</x:v>
      </x:c>
      <x:c r="K447" s="40" t="n">
        <x:v>57082</x:v>
      </x:c>
      <x:c r="L447" s="40" t="n">
        <x:v>200000</x:v>
      </x:c>
      <x:c r="M447" s="40" t="n">
        <x:f>IF(OR(J447="",K447="",K447=0),"",J447/K447*L447)</x:f>
        <x:v>3.503731474019831</x:v>
      </x:c>
      <x:c r="N447" s="22" t="str">
        <x:f>IF(M447="","",IF(I447="Mayor es mejor",IF(M447&gt;=H447,"En meta",IF(M447&gt;=H447*0.9,"Alerta","Crítico")),IF(M447&lt;=H447,"En meta",IF(M447&lt;=H447*1.1,"Alerta","Crítico"))))</x:f>
        <x:v>Alerta</x:v>
      </x:c>
      <x:c r="O447" s="22" t="str">
        <x:v>Índice</x:v>
      </x:c>
      <x:c r="P447" s="22" t="str">
        <x:v>Líder SG-SST</x:v>
      </x:c>
      <x:c r="Q447" s="22" t="str">
        <x:v>Matriz de accidentalidad / nómina</x:v>
      </x:c>
      <x:c r="R447" s="22" t="str"/>
    </x:row>
    <x:row r="448">
      <x:c r="A448" s="46" t="n">
        <x:v>45777</x:v>
      </x:c>
      <x:c r="B448" s="22" t="n">
        <x:v>2025</x:v>
      </x:c>
      <x:c r="C448" s="22" t="str">
        <x:v>Abril</x:v>
      </x:c>
      <x:c r="D448" s="22" t="str">
        <x:v>R02</x:v>
      </x:c>
      <x:c r="E448" s="22" t="str">
        <x:v>Índice de severidad de accidentalidad (IS)</x:v>
      </x:c>
      <x:c r="F448" s="22" t="str">
        <x:v>Resultado</x:v>
      </x:c>
      <x:c r="G448" s="22" t="str">
        <x:v>Mensual</x:v>
      </x:c>
      <x:c r="H448" s="40" t="n">
        <x:v>80</x:v>
      </x:c>
      <x:c r="I448" s="22" t="str">
        <x:v>Menor es mejor</x:v>
      </x:c>
      <x:c r="J448" s="40" t="n">
        <x:v>15</x:v>
      </x:c>
      <x:c r="K448" s="40" t="n">
        <x:v>57082</x:v>
      </x:c>
      <x:c r="L448" s="40" t="n">
        <x:v>200000</x:v>
      </x:c>
      <x:c r="M448" s="40" t="n">
        <x:f>IF(OR(J448="",K448="",K448=0),"",J448/K448*L448)</x:f>
        <x:v>52.55597211029746</x:v>
      </x:c>
      <x:c r="N448" s="22" t="str">
        <x:f>IF(M448="","",IF(I448="Mayor es mejor",IF(M448&gt;=H448,"En meta",IF(M448&gt;=H448*0.9,"Alerta","Crítico")),IF(M448&lt;=H448,"En meta",IF(M448&lt;=H448*1.1,"Alerta","Crítico"))))</x:f>
        <x:v>En meta</x:v>
      </x:c>
      <x:c r="O448" s="22" t="str">
        <x:v>Índice</x:v>
      </x:c>
      <x:c r="P448" s="22" t="str">
        <x:v>Líder SG-SST</x:v>
      </x:c>
      <x:c r="Q448" s="22" t="str">
        <x:v>Matriz de accidentalidad / nómina</x:v>
      </x:c>
      <x:c r="R448" s="22" t="str"/>
    </x:row>
    <x:row r="449">
      <x:c r="A449" s="46" t="n">
        <x:v>45777</x:v>
      </x:c>
      <x:c r="B449" s="22" t="n">
        <x:v>2025</x:v>
      </x:c>
      <x:c r="C449" s="22" t="str">
        <x:v>Abril</x:v>
      </x:c>
      <x:c r="D449" s="22" t="str">
        <x:v>R03</x:v>
      </x:c>
      <x:c r="E449" s="22" t="str">
        <x:v>Índice de lesión incapacitante (ILI)</x:v>
      </x:c>
      <x:c r="F449" s="22" t="str">
        <x:v>Resultado</x:v>
      </x:c>
      <x:c r="G449" s="22" t="str">
        <x:v>Mensual</x:v>
      </x:c>
      <x:c r="H449" s="40" t="n">
        <x:v>0.25</x:v>
      </x:c>
      <x:c r="I449" s="22" t="str">
        <x:v>Menor es mejor</x:v>
      </x:c>
      <x:c r="J449" s="40" t="n">
        <x:v>184.142</x:v>
      </x:c>
      <x:c r="K449" s="40" t="n">
        <x:v>1000</x:v>
      </x:c>
      <x:c r="L449" s="40" t="n">
        <x:v>1</x:v>
      </x:c>
      <x:c r="M449" s="40" t="n">
        <x:f>IF(OR(J449="",K449="",K449=0),"",J449/K449*L449)</x:f>
        <x:v>0.184142</x:v>
      </x:c>
      <x:c r="N449" s="22" t="str">
        <x:f>IF(M449="","",IF(I449="Mayor es mejor",IF(M449&gt;=H449,"En meta",IF(M449&gt;=H449*0.9,"Alerta","Crítico")),IF(M449&lt;=H449,"En meta",IF(M449&lt;=H449*1.1,"Alerta","Crítico"))))</x:f>
        <x:v>En meta</x:v>
      </x:c>
      <x:c r="O449" s="22" t="str">
        <x:v>Índice</x:v>
      </x:c>
      <x:c r="P449" s="22" t="str">
        <x:v>Líder SG-SST</x:v>
      </x:c>
      <x:c r="Q449" s="22" t="str">
        <x:v>Indicadores derivados de accidentalidad</x:v>
      </x:c>
      <x:c r="R449" s="22" t="str">
        <x:v>ILI calculado sobre IF e IS del periodo.</x:v>
      </x:c>
    </x:row>
    <x:row r="450">
      <x:c r="A450" s="46" t="n">
        <x:v>45777</x:v>
      </x:c>
      <x:c r="B450" s="22" t="n">
        <x:v>2025</x:v>
      </x:c>
      <x:c r="C450" s="22" t="str">
        <x:v>Abril</x:v>
      </x:c>
      <x:c r="D450" s="22" t="str">
        <x:v>R04</x:v>
      </x:c>
      <x:c r="E450" s="22" t="str">
        <x:v>Tasa de accidentalidad</x:v>
      </x:c>
      <x:c r="F450" s="22" t="str">
        <x:v>Resultado</x:v>
      </x:c>
      <x:c r="G450" s="22" t="str">
        <x:v>Mensual</x:v>
      </x:c>
      <x:c r="H450" s="40" t="n">
        <x:v>0.6</x:v>
      </x:c>
      <x:c r="I450" s="22" t="str">
        <x:v>Menor es mejor</x:v>
      </x:c>
      <x:c r="J450" s="40" t="n">
        <x:v>0.02</x:v>
      </x:c>
      <x:c r="K450" s="40" t="n">
        <x:v>239</x:v>
      </x:c>
      <x:c r="L450" s="40" t="n">
        <x:v>100</x:v>
      </x:c>
      <x:c r="M450" s="40" t="n">
        <x:f>IF(OR(J450="",K450="",K450=0),"",J450/K450*L450)</x:f>
        <x:v>0.008368200836820085</x:v>
      </x:c>
      <x:c r="N450" s="22" t="str">
        <x:f>IF(M450="","",IF(I450="Mayor es mejor",IF(M450&gt;=H450,"En meta",IF(M450&gt;=H450*0.9,"Alerta","Crítico")),IF(M450&lt;=H450,"En meta",IF(M450&lt;=H450*1.1,"Alerta","Crítico"))))</x:f>
        <x:v>En meta</x:v>
      </x:c>
      <x:c r="O450" s="22" t="str">
        <x:v>%</x:v>
      </x:c>
      <x:c r="P450" s="22" t="str">
        <x:v>Líder SG-SST</x:v>
      </x:c>
      <x:c r="Q450" s="22" t="str">
        <x:v>Matriz de accidentalidad / nómina</x:v>
      </x:c>
      <x:c r="R450" s="22" t="str"/>
    </x:row>
    <x:row r="451">
      <x:c r="A451" s="46" t="n">
        <x:v>45777</x:v>
      </x:c>
      <x:c r="B451" s="22" t="n">
        <x:v>2025</x:v>
      </x:c>
      <x:c r="C451" s="22" t="str">
        <x:v>Abril</x:v>
      </x:c>
      <x:c r="D451" s="22" t="str">
        <x:v>R05</x:v>
      </x:c>
      <x:c r="E451" s="22" t="str">
        <x:v>Prevalencia de enfermedad laboral</x:v>
      </x:c>
      <x:c r="F451" s="22" t="str">
        <x:v>Resultado</x:v>
      </x:c>
      <x:c r="G451" s="22" t="str">
        <x:v>Mensual</x:v>
      </x:c>
      <x:c r="H451" s="40" t="n">
        <x:v>0.3</x:v>
      </x:c>
      <x:c r="I451" s="22" t="str">
        <x:v>Menor es mejor</x:v>
      </x:c>
      <x:c r="J451" s="40" t="n">
        <x:v>0.02</x:v>
      </x:c>
      <x:c r="K451" s="40" t="n">
        <x:v>239</x:v>
      </x:c>
      <x:c r="L451" s="40" t="n">
        <x:v>100</x:v>
      </x:c>
      <x:c r="M451" s="40" t="n">
        <x:f>IF(OR(J451="",K451="",K451=0),"",J451/K451*L451)</x:f>
        <x:v>0.008368200836820085</x:v>
      </x:c>
      <x:c r="N451" s="22" t="str">
        <x:f>IF(M451="","",IF(I451="Mayor es mejor",IF(M451&gt;=H451,"En meta",IF(M451&gt;=H451*0.9,"Alerta","Crítico")),IF(M451&lt;=H451,"En meta",IF(M451&lt;=H451*1.1,"Alerta","Crítico"))))</x:f>
        <x:v>En meta</x:v>
      </x:c>
      <x:c r="O451" s="22" t="str">
        <x:v>%</x:v>
      </x:c>
      <x:c r="P451" s="22" t="str">
        <x:v>Líder SG-SST / Medicina laboral</x:v>
      </x:c>
      <x:c r="Q451" s="22" t="str">
        <x:v>Matriz de enfermedad laboral / nómina</x:v>
      </x:c>
      <x:c r="R451" s="22" t="str"/>
    </x:row>
    <x:row r="452">
      <x:c r="A452" s="46" t="n">
        <x:v>45777</x:v>
      </x:c>
      <x:c r="B452" s="22" t="n">
        <x:v>2025</x:v>
      </x:c>
      <x:c r="C452" s="22" t="str">
        <x:v>Abril</x:v>
      </x:c>
      <x:c r="D452" s="22" t="str">
        <x:v>R06</x:v>
      </x:c>
      <x:c r="E452" s="22" t="str">
        <x:v>% cumplimiento de estándares mínimos Res. 0312 de 2019</x:v>
      </x:c>
      <x:c r="F452" s="22" t="str">
        <x:v>Resultado</x:v>
      </x:c>
      <x:c r="G452" s="22" t="str">
        <x:v>Mensual</x:v>
      </x:c>
      <x:c r="H452" s="40" t="n">
        <x:v>95</x:v>
      </x:c>
      <x:c r="I452" s="22" t="str">
        <x:v>Mayor es mejor</x:v>
      </x:c>
      <x:c r="J452" s="40" t="n">
        <x:v>98</x:v>
      </x:c>
      <x:c r="K452" s="40" t="n">
        <x:v>100</x:v>
      </x:c>
      <x:c r="L452" s="40" t="n">
        <x:v>100</x:v>
      </x:c>
      <x:c r="M452" s="40" t="n">
        <x:f>IF(OR(J452="",K452="",K452=0),"",J452/K452*L452)</x:f>
        <x:v>98</x:v>
      </x:c>
      <x:c r="N452" s="22" t="str">
        <x:f>IF(M452="","",IF(I452="Mayor es mejor",IF(M452&gt;=H452,"En meta",IF(M452&gt;=H452*0.9,"Alerta","Crítico")),IF(M452&lt;=H452,"En meta",IF(M452&lt;=H452*1.1,"Alerta","Crítico"))))</x:f>
        <x:v>En meta</x:v>
      </x:c>
      <x:c r="O452" s="22" t="str">
        <x:v>%</x:v>
      </x:c>
      <x:c r="P452" s="22" t="str">
        <x:v>Líder SG-SST / Alta Dirección</x:v>
      </x:c>
      <x:c r="Q452" s="22" t="str">
        <x:v>Autodiagnóstico Res. 0312 de 2019</x:v>
      </x:c>
      <x:c r="R452" s="22" t="str"/>
    </x:row>
    <x:row r="453">
      <x:c r="A453" s="46" t="n">
        <x:v>45808</x:v>
      </x:c>
      <x:c r="B453" s="22" t="n">
        <x:v>2025</x:v>
      </x:c>
      <x:c r="C453" s="22" t="str">
        <x:v>Mayo</x:v>
      </x:c>
      <x:c r="D453" s="22" t="str">
        <x:v>E01</x:v>
      </x:c>
      <x:c r="E453" s="22" t="str">
        <x:v>% ejecución presupuestal del SG-SST</x:v>
      </x:c>
      <x:c r="F453" s="22" t="str">
        <x:v>Estructura</x:v>
      </x:c>
      <x:c r="G453" s="22" t="str">
        <x:v>Mensual</x:v>
      </x:c>
      <x:c r="H453" s="40" t="n">
        <x:v>95</x:v>
      </x:c>
      <x:c r="I453" s="22" t="str">
        <x:v>Mayor es mejor</x:v>
      </x:c>
      <x:c r="J453" s="40" t="n">
        <x:v>6287739</x:v>
      </x:c>
      <x:c r="K453" s="40" t="n">
        <x:v>6500000</x:v>
      </x:c>
      <x:c r="L453" s="40" t="n">
        <x:v>100</x:v>
      </x:c>
      <x:c r="M453" s="40" t="n">
        <x:f>IF(OR(J453="",K453="",K453=0),"",J453/K453*L453)</x:f>
        <x:v>96.73444615384615</x:v>
      </x:c>
      <x:c r="N453" s="22" t="str">
        <x:f>IF(M453="","",IF(I453="Mayor es mejor",IF(M453&gt;=H453,"En meta",IF(M453&gt;=H453*0.9,"Alerta","Crítico")),IF(M453&lt;=H453,"En meta",IF(M453&lt;=H453*1.1,"Alerta","Crítico"))))</x:f>
        <x:v>En meta</x:v>
      </x:c>
      <x:c r="O453" s="22" t="str">
        <x:v>%</x:v>
      </x:c>
      <x:c r="P453" s="22" t="str">
        <x:v>Líder SG-SST / Dirección Administrativa</x:v>
      </x:c>
      <x:c r="Q453" s="22" t="str">
        <x:v>Presupuesto SST</x:v>
      </x:c>
      <x:c r="R453" s="22" t="str"/>
    </x:row>
    <x:row r="454">
      <x:c r="A454" s="46" t="n">
        <x:v>45808</x:v>
      </x:c>
      <x:c r="B454" s="22" t="n">
        <x:v>2025</x:v>
      </x:c>
      <x:c r="C454" s="22" t="str">
        <x:v>Mayo</x:v>
      </x:c>
      <x:c r="D454" s="22" t="str">
        <x:v>E02</x:v>
      </x:c>
      <x:c r="E454" s="22" t="str">
        <x:v>% cobertura del plan de formación y capacitación SG-SST</x:v>
      </x:c>
      <x:c r="F454" s="22" t="str">
        <x:v>Estructura</x:v>
      </x:c>
      <x:c r="G454" s="22" t="str">
        <x:v>Mensual</x:v>
      </x:c>
      <x:c r="H454" s="40" t="n">
        <x:v>90</x:v>
      </x:c>
      <x:c r="I454" s="22" t="str">
        <x:v>Mayor es mejor</x:v>
      </x:c>
      <x:c r="J454" s="40" t="n">
        <x:v>19</x:v>
      </x:c>
      <x:c r="K454" s="40" t="n">
        <x:v>20</x:v>
      </x:c>
      <x:c r="L454" s="40" t="n">
        <x:v>100</x:v>
      </x:c>
      <x:c r="M454" s="40" t="n">
        <x:f>IF(OR(J454="",K454="",K454=0),"",J454/K454*L454)</x:f>
        <x:v>95</x:v>
      </x:c>
      <x:c r="N454" s="22" t="str">
        <x:f>IF(M454="","",IF(I454="Mayor es mejor",IF(M454&gt;=H454,"En meta",IF(M454&gt;=H454*0.9,"Alerta","Crítico")),IF(M454&lt;=H454,"En meta",IF(M454&lt;=H454*1.1,"Alerta","Crítico"))))</x:f>
        <x:v>En meta</x:v>
      </x:c>
      <x:c r="O454" s="22" t="str">
        <x:v>%</x:v>
      </x:c>
      <x:c r="P454" s="22" t="str">
        <x:v>Líder SG-SST / Talento Humano</x:v>
      </x:c>
      <x:c r="Q454" s="22" t="str">
        <x:v>Plan de formación y capacitaciones</x:v>
      </x:c>
      <x:c r="R454" s="22" t="str"/>
    </x:row>
    <x:row r="455">
      <x:c r="A455" s="46" t="n">
        <x:v>45808</x:v>
      </x:c>
      <x:c r="B455" s="22" t="n">
        <x:v>2025</x:v>
      </x:c>
      <x:c r="C455" s="22" t="str">
        <x:v>Mayo</x:v>
      </x:c>
      <x:c r="D455" s="22" t="str">
        <x:v>E03</x:v>
      </x:c>
      <x:c r="E455" s="22" t="str">
        <x:v>% trabajadores con exámenes médicos ocupacionales vigentes</x:v>
      </x:c>
      <x:c r="F455" s="22" t="str">
        <x:v>Estructura</x:v>
      </x:c>
      <x:c r="G455" s="22" t="str">
        <x:v>Mensual</x:v>
      </x:c>
      <x:c r="H455" s="40" t="n">
        <x:v>95</x:v>
      </x:c>
      <x:c r="I455" s="22" t="str">
        <x:v>Mayor es mejor</x:v>
      </x:c>
      <x:c r="J455" s="40" t="n">
        <x:v>225</x:v>
      </x:c>
      <x:c r="K455" s="40" t="n">
        <x:v>235</x:v>
      </x:c>
      <x:c r="L455" s="40" t="n">
        <x:v>100</x:v>
      </x:c>
      <x:c r="M455" s="40" t="n">
        <x:f>IF(OR(J455="",K455="",K455=0),"",J455/K455*L455)</x:f>
        <x:v>95.74468085106383</x:v>
      </x:c>
      <x:c r="N455" s="22" t="str">
        <x:f>IF(M455="","",IF(I455="Mayor es mejor",IF(M455&gt;=H455,"En meta",IF(M455&gt;=H455*0.9,"Alerta","Crítico")),IF(M455&lt;=H455,"En meta",IF(M455&lt;=H455*1.1,"Alerta","Crítico"))))</x:f>
        <x:v>En meta</x:v>
      </x:c>
      <x:c r="O455" s="22" t="str">
        <x:v>%</x:v>
      </x:c>
      <x:c r="P455" s="22" t="str">
        <x:v>Líder SG-SST / Talento Humano</x:v>
      </x:c>
      <x:c r="Q455" s="22" t="str">
        <x:v>Matriz de seguimiento EMO</x:v>
      </x:c>
      <x:c r="R455" s="22" t="str"/>
    </x:row>
    <x:row r="456">
      <x:c r="A456" s="46" t="n">
        <x:v>45808</x:v>
      </x:c>
      <x:c r="B456" s="22" t="n">
        <x:v>2025</x:v>
      </x:c>
      <x:c r="C456" s="22" t="str">
        <x:v>Mayo</x:v>
      </x:c>
      <x:c r="D456" s="22" t="str">
        <x:v>E04</x:v>
      </x:c>
      <x:c r="E456" s="22" t="str">
        <x:v>% cumplimiento de requisitos legales aplicables en SST</x:v>
      </x:c>
      <x:c r="F456" s="22" t="str">
        <x:v>Estructura</x:v>
      </x:c>
      <x:c r="G456" s="22" t="str">
        <x:v>Mensual</x:v>
      </x:c>
      <x:c r="H456" s="40" t="n">
        <x:v>95</x:v>
      </x:c>
      <x:c r="I456" s="22" t="str">
        <x:v>Mayor es mejor</x:v>
      </x:c>
      <x:c r="J456" s="40" t="n">
        <x:v>57</x:v>
      </x:c>
      <x:c r="K456" s="40" t="n">
        <x:v>60</x:v>
      </x:c>
      <x:c r="L456" s="40" t="n">
        <x:v>100</x:v>
      </x:c>
      <x:c r="M456" s="40" t="n">
        <x:f>IF(OR(J456="",K456="",K456=0),"",J456/K456*L456)</x:f>
        <x:v>95</x:v>
      </x:c>
      <x:c r="N456" s="22" t="str">
        <x:f>IF(M456="","",IF(I456="Mayor es mejor",IF(M456&gt;=H456,"En meta",IF(M456&gt;=H456*0.9,"Alerta","Crítico")),IF(M456&lt;=H456,"En meta",IF(M456&lt;=H456*1.1,"Alerta","Crítico"))))</x:f>
        <x:v>En meta</x:v>
      </x:c>
      <x:c r="O456" s="22" t="str">
        <x:v>%</x:v>
      </x:c>
      <x:c r="P456" s="22" t="str">
        <x:v>Líder SG-SST / Jurídica</x:v>
      </x:c>
      <x:c r="Q456" s="22" t="str">
        <x:v>Matriz legal SGRL</x:v>
      </x:c>
      <x:c r="R456" s="22" t="str"/>
    </x:row>
    <x:row r="457">
      <x:c r="A457" s="46" t="n">
        <x:v>45808</x:v>
      </x:c>
      <x:c r="B457" s="22" t="n">
        <x:v>2025</x:v>
      </x:c>
      <x:c r="C457" s="22" t="str">
        <x:v>Mayo</x:v>
      </x:c>
      <x:c r="D457" s="22" t="str">
        <x:v>E05</x:v>
      </x:c>
      <x:c r="E457" s="22" t="str">
        <x:v>% proveedores y contratistas aprobados en SST</x:v>
      </x:c>
      <x:c r="F457" s="22" t="str">
        <x:v>Estructura</x:v>
      </x:c>
      <x:c r="G457" s="22" t="str">
        <x:v>Mensual</x:v>
      </x:c>
      <x:c r="H457" s="40" t="n">
        <x:v>90</x:v>
      </x:c>
      <x:c r="I457" s="22" t="str">
        <x:v>Mayor es mejor</x:v>
      </x:c>
      <x:c r="J457" s="40" t="n">
        <x:v>19</x:v>
      </x:c>
      <x:c r="K457" s="40" t="n">
        <x:v>20</x:v>
      </x:c>
      <x:c r="L457" s="40" t="n">
        <x:v>100</x:v>
      </x:c>
      <x:c r="M457" s="40" t="n">
        <x:f>IF(OR(J457="",K457="",K457=0),"",J457/K457*L457)</x:f>
        <x:v>95</x:v>
      </x:c>
      <x:c r="N457" s="22" t="str">
        <x:f>IF(M457="","",IF(I457="Mayor es mejor",IF(M457&gt;=H457,"En meta",IF(M457&gt;=H457*0.9,"Alerta","Crítico")),IF(M457&lt;=H457,"En meta",IF(M457&lt;=H457*1.1,"Alerta","Crítico"))))</x:f>
        <x:v>En meta</x:v>
      </x:c>
      <x:c r="O457" s="22" t="str">
        <x:v>%</x:v>
      </x:c>
      <x:c r="P457" s="22" t="str">
        <x:v>Compras / Líder SG-SST</x:v>
      </x:c>
      <x:c r="Q457" s="22" t="str">
        <x:v>Gestión de proveedores y contratistas</x:v>
      </x:c>
      <x:c r="R457" s="22" t="str"/>
    </x:row>
    <x:row r="458">
      <x:c r="A458" s="46" t="n">
        <x:v>45808</x:v>
      </x:c>
      <x:c r="B458" s="22" t="n">
        <x:v>2025</x:v>
      </x:c>
      <x:c r="C458" s="22" t="str">
        <x:v>Mayo</x:v>
      </x:c>
      <x:c r="D458" s="22" t="str">
        <x:v>P01</x:v>
      </x:c>
      <x:c r="E458" s="22" t="str">
        <x:v>% ejecución del plan anual de trabajo SG-SST</x:v>
      </x:c>
      <x:c r="F458" s="22" t="str">
        <x:v>Proceso</x:v>
      </x:c>
      <x:c r="G458" s="22" t="str">
        <x:v>Mensual</x:v>
      </x:c>
      <x:c r="H458" s="40" t="n">
        <x:v>90</x:v>
      </x:c>
      <x:c r="I458" s="22" t="str">
        <x:v>Mayor es mejor</x:v>
      </x:c>
      <x:c r="J458" s="40" t="n">
        <x:v>13</x:v>
      </x:c>
      <x:c r="K458" s="40" t="n">
        <x:v>14</x:v>
      </x:c>
      <x:c r="L458" s="40" t="n">
        <x:v>100</x:v>
      </x:c>
      <x:c r="M458" s="40" t="n">
        <x:f>IF(OR(J458="",K458="",K458=0),"",J458/K458*L458)</x:f>
        <x:v>92.85714285714286</x:v>
      </x:c>
      <x:c r="N458" s="22" t="str">
        <x:f>IF(M458="","",IF(I458="Mayor es mejor",IF(M458&gt;=H458,"En meta",IF(M458&gt;=H458*0.9,"Alerta","Crítico")),IF(M458&lt;=H458,"En meta",IF(M458&lt;=H458*1.1,"Alerta","Crítico"))))</x:f>
        <x:v>En meta</x:v>
      </x:c>
      <x:c r="O458" s="22" t="str">
        <x:v>%</x:v>
      </x:c>
      <x:c r="P458" s="22" t="str">
        <x:v>Líder SG-SST</x:v>
      </x:c>
      <x:c r="Q458" s="22" t="str">
        <x:v>Plan anual de trabajo PHVA</x:v>
      </x:c>
      <x:c r="R458" s="22" t="str"/>
    </x:row>
    <x:row r="459">
      <x:c r="A459" s="46" t="n">
        <x:v>45808</x:v>
      </x:c>
      <x:c r="B459" s="22" t="n">
        <x:v>2025</x:v>
      </x:c>
      <x:c r="C459" s="22" t="str">
        <x:v>Mayo</x:v>
      </x:c>
      <x:c r="D459" s="22" t="str">
        <x:v>P02</x:v>
      </x:c>
      <x:c r="E459" s="22" t="str">
        <x:v>% investigaciones de accidentes realizadas oportunamente</x:v>
      </x:c>
      <x:c r="F459" s="22" t="str">
        <x:v>Proceso</x:v>
      </x:c>
      <x:c r="G459" s="22" t="str">
        <x:v>Mensual</x:v>
      </x:c>
      <x:c r="H459" s="40" t="n">
        <x:v>95</x:v>
      </x:c>
      <x:c r="I459" s="22" t="str">
        <x:v>Mayor es mejor</x:v>
      </x:c>
      <x:c r="J459" s="40" t="n">
        <x:v>1</x:v>
      </x:c>
      <x:c r="K459" s="40" t="n">
        <x:v>1</x:v>
      </x:c>
      <x:c r="L459" s="40" t="n">
        <x:v>100</x:v>
      </x:c>
      <x:c r="M459" s="40" t="n">
        <x:f>IF(OR(J459="",K459="",K459=0),"",J459/K459*L459)</x:f>
        <x:v>100</x:v>
      </x:c>
      <x:c r="N459" s="22" t="str">
        <x:f>IF(M459="","",IF(I459="Mayor es mejor",IF(M459&gt;=H459,"En meta",IF(M459&gt;=H459*0.9,"Alerta","Crítico")),IF(M459&lt;=H459,"En meta",IF(M459&lt;=H459*1.1,"Alerta","Crítico"))))</x:f>
        <x:v>En meta</x:v>
      </x:c>
      <x:c r="O459" s="22" t="str">
        <x:v>%</x:v>
      </x:c>
      <x:c r="P459" s="22" t="str">
        <x:v>Líder SG-SST / COPASST</x:v>
      </x:c>
      <x:c r="Q459" s="22" t="str">
        <x:v>Matriz de accidentalidad</x:v>
      </x:c>
      <x:c r="R459" s="22" t="str"/>
    </x:row>
    <x:row r="460">
      <x:c r="A460" s="46" t="n">
        <x:v>45808</x:v>
      </x:c>
      <x:c r="B460" s="22" t="n">
        <x:v>2025</x:v>
      </x:c>
      <x:c r="C460" s="22" t="str">
        <x:v>Mayo</x:v>
      </x:c>
      <x:c r="D460" s="22" t="str">
        <x:v>P03</x:v>
      </x:c>
      <x:c r="E460" s="22" t="str">
        <x:v>% cierre oportuno de acciones correctivas, preventivas y de mejora</x:v>
      </x:c>
      <x:c r="F460" s="22" t="str">
        <x:v>Proceso</x:v>
      </x:c>
      <x:c r="G460" s="22" t="str">
        <x:v>Mensual</x:v>
      </x:c>
      <x:c r="H460" s="40" t="n">
        <x:v>90</x:v>
      </x:c>
      <x:c r="I460" s="22" t="str">
        <x:v>Mayor es mejor</x:v>
      </x:c>
      <x:c r="J460" s="40" t="n">
        <x:v>9</x:v>
      </x:c>
      <x:c r="K460" s="40" t="n">
        <x:v>10</x:v>
      </x:c>
      <x:c r="L460" s="40" t="n">
        <x:v>100</x:v>
      </x:c>
      <x:c r="M460" s="40" t="n">
        <x:f>IF(OR(J460="",K460="",K460=0),"",J460/K460*L460)</x:f>
        <x:v>90</x:v>
      </x:c>
      <x:c r="N460" s="22" t="str">
        <x:f>IF(M460="","",IF(I460="Mayor es mejor",IF(M460&gt;=H460,"En meta",IF(M460&gt;=H460*0.9,"Alerta","Crítico")),IF(M460&lt;=H460,"En meta",IF(M460&lt;=H460*1.1,"Alerta","Crítico"))))</x:f>
        <x:v>En meta</x:v>
      </x:c>
      <x:c r="O460" s="22" t="str">
        <x:v>%</x:v>
      </x:c>
      <x:c r="P460" s="22" t="str">
        <x:v>Líder SG-SST / Responsables de proceso</x:v>
      </x:c>
      <x:c r="Q460" s="22" t="str">
        <x:v>Matriz APCM</x:v>
      </x:c>
      <x:c r="R460" s="22" t="str"/>
    </x:row>
    <x:row r="461">
      <x:c r="A461" s="46" t="n">
        <x:v>45808</x:v>
      </x:c>
      <x:c r="B461" s="22" t="n">
        <x:v>2025</x:v>
      </x:c>
      <x:c r="C461" s="22" t="str">
        <x:v>Mayo</x:v>
      </x:c>
      <x:c r="D461" s="22" t="str">
        <x:v>P04</x:v>
      </x:c>
      <x:c r="E461" s="22" t="str">
        <x:v>% inspecciones de seguridad ejecutadas</x:v>
      </x:c>
      <x:c r="F461" s="22" t="str">
        <x:v>Proceso</x:v>
      </x:c>
      <x:c r="G461" s="22" t="str">
        <x:v>Mensual</x:v>
      </x:c>
      <x:c r="H461" s="40" t="n">
        <x:v>90</x:v>
      </x:c>
      <x:c r="I461" s="22" t="str">
        <x:v>Mayor es mejor</x:v>
      </x:c>
      <x:c r="J461" s="40" t="n">
        <x:v>8</x:v>
      </x:c>
      <x:c r="K461" s="40" t="n">
        <x:v>9</x:v>
      </x:c>
      <x:c r="L461" s="40" t="n">
        <x:v>100</x:v>
      </x:c>
      <x:c r="M461" s="40" t="n">
        <x:f>IF(OR(J461="",K461="",K461=0),"",J461/K461*L461)</x:f>
        <x:v>88.88888888888889</x:v>
      </x:c>
      <x:c r="N461" s="22" t="str">
        <x:f>IF(M461="","",IF(I461="Mayor es mejor",IF(M461&gt;=H461,"En meta",IF(M461&gt;=H461*0.9,"Alerta","Crítico")),IF(M461&lt;=H461,"En meta",IF(M461&lt;=H461*1.1,"Alerta","Crítico"))))</x:f>
        <x:v>Alerta</x:v>
      </x:c>
      <x:c r="O461" s="22" t="str">
        <x:v>%</x:v>
      </x:c>
      <x:c r="P461" s="22" t="str">
        <x:v>Líder SG-SST / Supervisores</x:v>
      </x:c>
      <x:c r="Q461" s="22" t="str">
        <x:v>Programa de inspecciones</x:v>
      </x:c>
      <x:c r="R461" s="22" t="str"/>
    </x:row>
    <x:row r="462">
      <x:c r="A462" s="46" t="n">
        <x:v>45808</x:v>
      </x:c>
      <x:c r="B462" s="22" t="n">
        <x:v>2025</x:v>
      </x:c>
      <x:c r="C462" s="22" t="str">
        <x:v>Mayo</x:v>
      </x:c>
      <x:c r="D462" s="22" t="str">
        <x:v>P05</x:v>
      </x:c>
      <x:c r="E462" s="22" t="str">
        <x:v>% mantenimientos preventivos ejecutados</x:v>
      </x:c>
      <x:c r="F462" s="22" t="str">
        <x:v>Proceso</x:v>
      </x:c>
      <x:c r="G462" s="22" t="str">
        <x:v>Mensual</x:v>
      </x:c>
      <x:c r="H462" s="40" t="n">
        <x:v>90</x:v>
      </x:c>
      <x:c r="I462" s="22" t="str">
        <x:v>Mayor es mejor</x:v>
      </x:c>
      <x:c r="J462" s="40" t="n">
        <x:v>12</x:v>
      </x:c>
      <x:c r="K462" s="40" t="n">
        <x:v>13</x:v>
      </x:c>
      <x:c r="L462" s="40" t="n">
        <x:v>100</x:v>
      </x:c>
      <x:c r="M462" s="40" t="n">
        <x:f>IF(OR(J462="",K462="",K462=0),"",J462/K462*L462)</x:f>
        <x:v>92.3076923076923</x:v>
      </x:c>
      <x:c r="N462" s="22" t="str">
        <x:f>IF(M462="","",IF(I462="Mayor es mejor",IF(M462&gt;=H462,"En meta",IF(M462&gt;=H462*0.9,"Alerta","Crítico")),IF(M462&lt;=H462,"En meta",IF(M462&lt;=H462*1.1,"Alerta","Crítico"))))</x:f>
        <x:v>En meta</x:v>
      </x:c>
      <x:c r="O462" s="22" t="str">
        <x:v>%</x:v>
      </x:c>
      <x:c r="P462" s="22" t="str">
        <x:v>Mantenimiento / Líder SG-SST</x:v>
      </x:c>
      <x:c r="Q462" s="22" t="str">
        <x:v>Programa de mantenimiento preventivo</x:v>
      </x:c>
      <x:c r="R462" s="22" t="str"/>
    </x:row>
    <x:row r="463">
      <x:c r="A463" s="46" t="n">
        <x:v>45808</x:v>
      </x:c>
      <x:c r="B463" s="22" t="n">
        <x:v>2025</x:v>
      </x:c>
      <x:c r="C463" s="22" t="str">
        <x:v>Mayo</x:v>
      </x:c>
      <x:c r="D463" s="22" t="str">
        <x:v>R01</x:v>
      </x:c>
      <x:c r="E463" s="22" t="str">
        <x:v>Índice de frecuencia de accidentalidad (IF)</x:v>
      </x:c>
      <x:c r="F463" s="22" t="str">
        <x:v>Resultado</x:v>
      </x:c>
      <x:c r="G463" s="22" t="str">
        <x:v>Mensual</x:v>
      </x:c>
      <x:c r="H463" s="40" t="n">
        <x:v>3.5</x:v>
      </x:c>
      <x:c r="I463" s="22" t="str">
        <x:v>Menor es mejor</x:v>
      </x:c>
      <x:c r="J463" s="40" t="n">
        <x:v>1</x:v>
      </x:c>
      <x:c r="K463" s="40" t="n">
        <x:v>55295</x:v>
      </x:c>
      <x:c r="L463" s="40" t="n">
        <x:v>200000</x:v>
      </x:c>
      <x:c r="M463" s="40" t="n">
        <x:f>IF(OR(J463="",K463="",K463=0),"",J463/K463*L463)</x:f>
        <x:v>3.6169635590921416</x:v>
      </x:c>
      <x:c r="N463" s="22" t="str">
        <x:f>IF(M463="","",IF(I463="Mayor es mejor",IF(M463&gt;=H463,"En meta",IF(M463&gt;=H463*0.9,"Alerta","Crítico")),IF(M463&lt;=H463,"En meta",IF(M463&lt;=H463*1.1,"Alerta","Crítico"))))</x:f>
        <x:v>Alerta</x:v>
      </x:c>
      <x:c r="O463" s="22" t="str">
        <x:v>Índice</x:v>
      </x:c>
      <x:c r="P463" s="22" t="str">
        <x:v>Líder SG-SST</x:v>
      </x:c>
      <x:c r="Q463" s="22" t="str">
        <x:v>Matriz de accidentalidad / nómina</x:v>
      </x:c>
      <x:c r="R463" s="22" t="str"/>
    </x:row>
    <x:row r="464">
      <x:c r="A464" s="46" t="n">
        <x:v>45808</x:v>
      </x:c>
      <x:c r="B464" s="22" t="n">
        <x:v>2025</x:v>
      </x:c>
      <x:c r="C464" s="22" t="str">
        <x:v>Mayo</x:v>
      </x:c>
      <x:c r="D464" s="22" t="str">
        <x:v>R02</x:v>
      </x:c>
      <x:c r="E464" s="22" t="str">
        <x:v>Índice de severidad de accidentalidad (IS)</x:v>
      </x:c>
      <x:c r="F464" s="22" t="str">
        <x:v>Resultado</x:v>
      </x:c>
      <x:c r="G464" s="22" t="str">
        <x:v>Mensual</x:v>
      </x:c>
      <x:c r="H464" s="40" t="n">
        <x:v>80</x:v>
      </x:c>
      <x:c r="I464" s="22" t="str">
        <x:v>Menor es mejor</x:v>
      </x:c>
      <x:c r="J464" s="40" t="n">
        <x:v>12</x:v>
      </x:c>
      <x:c r="K464" s="40" t="n">
        <x:v>55295</x:v>
      </x:c>
      <x:c r="L464" s="40" t="n">
        <x:v>200000</x:v>
      </x:c>
      <x:c r="M464" s="40" t="n">
        <x:f>IF(OR(J464="",K464="",K464=0),"",J464/K464*L464)</x:f>
        <x:v>43.40356270910571</x:v>
      </x:c>
      <x:c r="N464" s="22" t="str">
        <x:f>IF(M464="","",IF(I464="Mayor es mejor",IF(M464&gt;=H464,"En meta",IF(M464&gt;=H464*0.9,"Alerta","Crítico")),IF(M464&lt;=H464,"En meta",IF(M464&lt;=H464*1.1,"Alerta","Crítico"))))</x:f>
        <x:v>En meta</x:v>
      </x:c>
      <x:c r="O464" s="22" t="str">
        <x:v>Índice</x:v>
      </x:c>
      <x:c r="P464" s="22" t="str">
        <x:v>Líder SG-SST</x:v>
      </x:c>
      <x:c r="Q464" s="22" t="str">
        <x:v>Matriz de accidentalidad / nómina</x:v>
      </x:c>
      <x:c r="R464" s="22" t="str"/>
    </x:row>
    <x:row r="465">
      <x:c r="A465" s="46" t="n">
        <x:v>45808</x:v>
      </x:c>
      <x:c r="B465" s="22" t="n">
        <x:v>2025</x:v>
      </x:c>
      <x:c r="C465" s="22" t="str">
        <x:v>Mayo</x:v>
      </x:c>
      <x:c r="D465" s="22" t="str">
        <x:v>R03</x:v>
      </x:c>
      <x:c r="E465" s="22" t="str">
        <x:v>Índice de lesión incapacitante (ILI)</x:v>
      </x:c>
      <x:c r="F465" s="22" t="str">
        <x:v>Resultado</x:v>
      </x:c>
      <x:c r="G465" s="22" t="str">
        <x:v>Mensual</x:v>
      </x:c>
      <x:c r="H465" s="40" t="n">
        <x:v>0.25</x:v>
      </x:c>
      <x:c r="I465" s="22" t="str">
        <x:v>Menor es mejor</x:v>
      </x:c>
      <x:c r="J465" s="40" t="n">
        <x:v>156.9891</x:v>
      </x:c>
      <x:c r="K465" s="40" t="n">
        <x:v>1000</x:v>
      </x:c>
      <x:c r="L465" s="40" t="n">
        <x:v>1</x:v>
      </x:c>
      <x:c r="M465" s="40" t="n">
        <x:f>IF(OR(J465="",K465="",K465=0),"",J465/K465*L465)</x:f>
        <x:v>0.15698910000000002</x:v>
      </x:c>
      <x:c r="N465" s="22" t="str">
        <x:f>IF(M465="","",IF(I465="Mayor es mejor",IF(M465&gt;=H465,"En meta",IF(M465&gt;=H465*0.9,"Alerta","Crítico")),IF(M465&lt;=H465,"En meta",IF(M465&lt;=H465*1.1,"Alerta","Crítico"))))</x:f>
        <x:v>En meta</x:v>
      </x:c>
      <x:c r="O465" s="22" t="str">
        <x:v>Índice</x:v>
      </x:c>
      <x:c r="P465" s="22" t="str">
        <x:v>Líder SG-SST</x:v>
      </x:c>
      <x:c r="Q465" s="22" t="str">
        <x:v>Indicadores derivados de accidentalidad</x:v>
      </x:c>
      <x:c r="R465" s="22" t="str">
        <x:v>ILI calculado sobre IF e IS del periodo.</x:v>
      </x:c>
    </x:row>
    <x:row r="466">
      <x:c r="A466" s="46" t="n">
        <x:v>45808</x:v>
      </x:c>
      <x:c r="B466" s="22" t="n">
        <x:v>2025</x:v>
      </x:c>
      <x:c r="C466" s="22" t="str">
        <x:v>Mayo</x:v>
      </x:c>
      <x:c r="D466" s="22" t="str">
        <x:v>R04</x:v>
      </x:c>
      <x:c r="E466" s="22" t="str">
        <x:v>Tasa de accidentalidad</x:v>
      </x:c>
      <x:c r="F466" s="22" t="str">
        <x:v>Resultado</x:v>
      </x:c>
      <x:c r="G466" s="22" t="str">
        <x:v>Mensual</x:v>
      </x:c>
      <x:c r="H466" s="40" t="n">
        <x:v>0.6</x:v>
      </x:c>
      <x:c r="I466" s="22" t="str">
        <x:v>Menor es mejor</x:v>
      </x:c>
      <x:c r="J466" s="40" t="n">
        <x:v>1.33</x:v>
      </x:c>
      <x:c r="K466" s="40" t="n">
        <x:v>235</x:v>
      </x:c>
      <x:c r="L466" s="40" t="n">
        <x:v>100</x:v>
      </x:c>
      <x:c r="M466" s="40" t="n">
        <x:f>IF(OR(J466="",K466="",K466=0),"",J466/K466*L466)</x:f>
        <x:v>0.5659574468085107</x:v>
      </x:c>
      <x:c r="N466" s="22" t="str">
        <x:f>IF(M466="","",IF(I466="Mayor es mejor",IF(M466&gt;=H466,"En meta",IF(M466&gt;=H466*0.9,"Alerta","Crítico")),IF(M466&lt;=H466,"En meta",IF(M466&lt;=H466*1.1,"Alerta","Crítico"))))</x:f>
        <x:v>En meta</x:v>
      </x:c>
      <x:c r="O466" s="22" t="str">
        <x:v>%</x:v>
      </x:c>
      <x:c r="P466" s="22" t="str">
        <x:v>Líder SG-SST</x:v>
      </x:c>
      <x:c r="Q466" s="22" t="str">
        <x:v>Matriz de accidentalidad / nómina</x:v>
      </x:c>
      <x:c r="R466" s="22" t="str"/>
    </x:row>
    <x:row r="467">
      <x:c r="A467" s="46" t="n">
        <x:v>45808</x:v>
      </x:c>
      <x:c r="B467" s="22" t="n">
        <x:v>2025</x:v>
      </x:c>
      <x:c r="C467" s="22" t="str">
        <x:v>Mayo</x:v>
      </x:c>
      <x:c r="D467" s="22" t="str">
        <x:v>R05</x:v>
      </x:c>
      <x:c r="E467" s="22" t="str">
        <x:v>Prevalencia de enfermedad laboral</x:v>
      </x:c>
      <x:c r="F467" s="22" t="str">
        <x:v>Resultado</x:v>
      </x:c>
      <x:c r="G467" s="22" t="str">
        <x:v>Mensual</x:v>
      </x:c>
      <x:c r="H467" s="40" t="n">
        <x:v>0.3</x:v>
      </x:c>
      <x:c r="I467" s="22" t="str">
        <x:v>Menor es mejor</x:v>
      </x:c>
      <x:c r="J467" s="40" t="n">
        <x:v>0.02</x:v>
      </x:c>
      <x:c r="K467" s="40" t="n">
        <x:v>235</x:v>
      </x:c>
      <x:c r="L467" s="40" t="n">
        <x:v>100</x:v>
      </x:c>
      <x:c r="M467" s="40" t="n">
        <x:f>IF(OR(J467="",K467="",K467=0),"",J467/K467*L467)</x:f>
        <x:v>0.00851063829787234</x:v>
      </x:c>
      <x:c r="N467" s="22" t="str">
        <x:f>IF(M467="","",IF(I467="Mayor es mejor",IF(M467&gt;=H467,"En meta",IF(M467&gt;=H467*0.9,"Alerta","Crítico")),IF(M467&lt;=H467,"En meta",IF(M467&lt;=H467*1.1,"Alerta","Crítico"))))</x:f>
        <x:v>En meta</x:v>
      </x:c>
      <x:c r="O467" s="22" t="str">
        <x:v>%</x:v>
      </x:c>
      <x:c r="P467" s="22" t="str">
        <x:v>Líder SG-SST / Medicina laboral</x:v>
      </x:c>
      <x:c r="Q467" s="22" t="str">
        <x:v>Matriz de enfermedad laboral / nómina</x:v>
      </x:c>
      <x:c r="R467" s="22" t="str"/>
    </x:row>
    <x:row r="468">
      <x:c r="A468" s="46" t="n">
        <x:v>45808</x:v>
      </x:c>
      <x:c r="B468" s="22" t="n">
        <x:v>2025</x:v>
      </x:c>
      <x:c r="C468" s="22" t="str">
        <x:v>Mayo</x:v>
      </x:c>
      <x:c r="D468" s="22" t="str">
        <x:v>R06</x:v>
      </x:c>
      <x:c r="E468" s="22" t="str">
        <x:v>% cumplimiento de estándares mínimos Res. 0312 de 2019</x:v>
      </x:c>
      <x:c r="F468" s="22" t="str">
        <x:v>Resultado</x:v>
      </x:c>
      <x:c r="G468" s="22" t="str">
        <x:v>Mensual</x:v>
      </x:c>
      <x:c r="H468" s="40" t="n">
        <x:v>95</x:v>
      </x:c>
      <x:c r="I468" s="22" t="str">
        <x:v>Mayor es mejor</x:v>
      </x:c>
      <x:c r="J468" s="40" t="n">
        <x:v>99</x:v>
      </x:c>
      <x:c r="K468" s="40" t="n">
        <x:v>100</x:v>
      </x:c>
      <x:c r="L468" s="40" t="n">
        <x:v>100</x:v>
      </x:c>
      <x:c r="M468" s="40" t="n">
        <x:f>IF(OR(J468="",K468="",K468=0),"",J468/K468*L468)</x:f>
        <x:v>99</x:v>
      </x:c>
      <x:c r="N468" s="22" t="str">
        <x:f>IF(M468="","",IF(I468="Mayor es mejor",IF(M468&gt;=H468,"En meta",IF(M468&gt;=H468*0.9,"Alerta","Crítico")),IF(M468&lt;=H468,"En meta",IF(M468&lt;=H468*1.1,"Alerta","Crítico"))))</x:f>
        <x:v>En meta</x:v>
      </x:c>
      <x:c r="O468" s="22" t="str">
        <x:v>%</x:v>
      </x:c>
      <x:c r="P468" s="22" t="str">
        <x:v>Líder SG-SST / Alta Dirección</x:v>
      </x:c>
      <x:c r="Q468" s="22" t="str">
        <x:v>Autodiagnóstico Res. 0312 de 2019</x:v>
      </x:c>
      <x:c r="R468" s="22" t="str"/>
    </x:row>
    <x:row r="469">
      <x:c r="A469" s="46" t="n">
        <x:v>45838</x:v>
      </x:c>
      <x:c r="B469" s="22" t="n">
        <x:v>2025</x:v>
      </x:c>
      <x:c r="C469" s="22" t="str">
        <x:v>Junio</x:v>
      </x:c>
      <x:c r="D469" s="22" t="str">
        <x:v>E01</x:v>
      </x:c>
      <x:c r="E469" s="22" t="str">
        <x:v>% ejecución presupuestal del SG-SST</x:v>
      </x:c>
      <x:c r="F469" s="22" t="str">
        <x:v>Estructura</x:v>
      </x:c>
      <x:c r="G469" s="22" t="str">
        <x:v>Mensual</x:v>
      </x:c>
      <x:c r="H469" s="40" t="n">
        <x:v>95</x:v>
      </x:c>
      <x:c r="I469" s="22" t="str">
        <x:v>Mayor es mejor</x:v>
      </x:c>
      <x:c r="J469" s="40" t="n">
        <x:v>6666910</x:v>
      </x:c>
      <x:c r="K469" s="40" t="n">
        <x:v>7000000</x:v>
      </x:c>
      <x:c r="L469" s="40" t="n">
        <x:v>100</x:v>
      </x:c>
      <x:c r="M469" s="40" t="n">
        <x:f>IF(OR(J469="",K469="",K469=0),"",J469/K469*L469)</x:f>
        <x:v>95.24157142857142</x:v>
      </x:c>
      <x:c r="N469" s="22" t="str">
        <x:f>IF(M469="","",IF(I469="Mayor es mejor",IF(M469&gt;=H469,"En meta",IF(M469&gt;=H469*0.9,"Alerta","Crítico")),IF(M469&lt;=H469,"En meta",IF(M469&lt;=H469*1.1,"Alerta","Crítico"))))</x:f>
        <x:v>En meta</x:v>
      </x:c>
      <x:c r="O469" s="22" t="str">
        <x:v>%</x:v>
      </x:c>
      <x:c r="P469" s="22" t="str">
        <x:v>Líder SG-SST / Dirección Administrativa</x:v>
      </x:c>
      <x:c r="Q469" s="22" t="str">
        <x:v>Presupuesto SST</x:v>
      </x:c>
      <x:c r="R469" s="22" t="str"/>
    </x:row>
    <x:row r="470">
      <x:c r="A470" s="46" t="n">
        <x:v>45838</x:v>
      </x:c>
      <x:c r="B470" s="22" t="n">
        <x:v>2025</x:v>
      </x:c>
      <x:c r="C470" s="22" t="str">
        <x:v>Junio</x:v>
      </x:c>
      <x:c r="D470" s="22" t="str">
        <x:v>E02</x:v>
      </x:c>
      <x:c r="E470" s="22" t="str">
        <x:v>% cobertura del plan de formación y capacitación SG-SST</x:v>
      </x:c>
      <x:c r="F470" s="22" t="str">
        <x:v>Estructura</x:v>
      </x:c>
      <x:c r="G470" s="22" t="str">
        <x:v>Mensual</x:v>
      </x:c>
      <x:c r="H470" s="40" t="n">
        <x:v>90</x:v>
      </x:c>
      <x:c r="I470" s="22" t="str">
        <x:v>Mayor es mejor</x:v>
      </x:c>
      <x:c r="J470" s="40" t="n">
        <x:v>21</x:v>
      </x:c>
      <x:c r="K470" s="40" t="n">
        <x:v>22</x:v>
      </x:c>
      <x:c r="L470" s="40" t="n">
        <x:v>100</x:v>
      </x:c>
      <x:c r="M470" s="40" t="n">
        <x:f>IF(OR(J470="",K470="",K470=0),"",J470/K470*L470)</x:f>
        <x:v>95.45454545454545</x:v>
      </x:c>
      <x:c r="N470" s="22" t="str">
        <x:f>IF(M470="","",IF(I470="Mayor es mejor",IF(M470&gt;=H470,"En meta",IF(M470&gt;=H470*0.9,"Alerta","Crítico")),IF(M470&lt;=H470,"En meta",IF(M470&lt;=H470*1.1,"Alerta","Crítico"))))</x:f>
        <x:v>En meta</x:v>
      </x:c>
      <x:c r="O470" s="22" t="str">
        <x:v>%</x:v>
      </x:c>
      <x:c r="P470" s="22" t="str">
        <x:v>Líder SG-SST / Talento Humano</x:v>
      </x:c>
      <x:c r="Q470" s="22" t="str">
        <x:v>Plan de formación y capacitaciones</x:v>
      </x:c>
      <x:c r="R470" s="22" t="str"/>
    </x:row>
    <x:row r="471">
      <x:c r="A471" s="46" t="n">
        <x:v>45838</x:v>
      </x:c>
      <x:c r="B471" s="22" t="n">
        <x:v>2025</x:v>
      </x:c>
      <x:c r="C471" s="22" t="str">
        <x:v>Junio</x:v>
      </x:c>
      <x:c r="D471" s="22" t="str">
        <x:v>E03</x:v>
      </x:c>
      <x:c r="E471" s="22" t="str">
        <x:v>% trabajadores con exámenes médicos ocupacionales vigentes</x:v>
      </x:c>
      <x:c r="F471" s="22" t="str">
        <x:v>Estructura</x:v>
      </x:c>
      <x:c r="G471" s="22" t="str">
        <x:v>Mensual</x:v>
      </x:c>
      <x:c r="H471" s="40" t="n">
        <x:v>95</x:v>
      </x:c>
      <x:c r="I471" s="22" t="str">
        <x:v>Mayor es mejor</x:v>
      </x:c>
      <x:c r="J471" s="40" t="n">
        <x:v>233</x:v>
      </x:c>
      <x:c r="K471" s="40" t="n">
        <x:v>240</x:v>
      </x:c>
      <x:c r="L471" s="40" t="n">
        <x:v>100</x:v>
      </x:c>
      <x:c r="M471" s="40" t="n">
        <x:f>IF(OR(J471="",K471="",K471=0),"",J471/K471*L471)</x:f>
        <x:v>97.08333333333333</x:v>
      </x:c>
      <x:c r="N471" s="22" t="str">
        <x:f>IF(M471="","",IF(I471="Mayor es mejor",IF(M471&gt;=H471,"En meta",IF(M471&gt;=H471*0.9,"Alerta","Crítico")),IF(M471&lt;=H471,"En meta",IF(M471&lt;=H471*1.1,"Alerta","Crítico"))))</x:f>
        <x:v>En meta</x:v>
      </x:c>
      <x:c r="O471" s="22" t="str">
        <x:v>%</x:v>
      </x:c>
      <x:c r="P471" s="22" t="str">
        <x:v>Líder SG-SST / Talento Humano</x:v>
      </x:c>
      <x:c r="Q471" s="22" t="str">
        <x:v>Matriz de seguimiento EMO</x:v>
      </x:c>
      <x:c r="R471" s="22" t="str"/>
    </x:row>
    <x:row r="472">
      <x:c r="A472" s="46" t="n">
        <x:v>45838</x:v>
      </x:c>
      <x:c r="B472" s="22" t="n">
        <x:v>2025</x:v>
      </x:c>
      <x:c r="C472" s="22" t="str">
        <x:v>Junio</x:v>
      </x:c>
      <x:c r="D472" s="22" t="str">
        <x:v>E04</x:v>
      </x:c>
      <x:c r="E472" s="22" t="str">
        <x:v>% cumplimiento de requisitos legales aplicables en SST</x:v>
      </x:c>
      <x:c r="F472" s="22" t="str">
        <x:v>Estructura</x:v>
      </x:c>
      <x:c r="G472" s="22" t="str">
        <x:v>Mensual</x:v>
      </x:c>
      <x:c r="H472" s="40" t="n">
        <x:v>95</x:v>
      </x:c>
      <x:c r="I472" s="22" t="str">
        <x:v>Mayor es mejor</x:v>
      </x:c>
      <x:c r="J472" s="40" t="n">
        <x:v>58</x:v>
      </x:c>
      <x:c r="K472" s="40" t="n">
        <x:v>60</x:v>
      </x:c>
      <x:c r="L472" s="40" t="n">
        <x:v>100</x:v>
      </x:c>
      <x:c r="M472" s="40" t="n">
        <x:f>IF(OR(J472="",K472="",K472=0),"",J472/K472*L472)</x:f>
        <x:v>96.66666666666667</x:v>
      </x:c>
      <x:c r="N472" s="22" t="str">
        <x:f>IF(M472="","",IF(I472="Mayor es mejor",IF(M472&gt;=H472,"En meta",IF(M472&gt;=H472*0.9,"Alerta","Crítico")),IF(M472&lt;=H472,"En meta",IF(M472&lt;=H472*1.1,"Alerta","Crítico"))))</x:f>
        <x:v>En meta</x:v>
      </x:c>
      <x:c r="O472" s="22" t="str">
        <x:v>%</x:v>
      </x:c>
      <x:c r="P472" s="22" t="str">
        <x:v>Líder SG-SST / Jurídica</x:v>
      </x:c>
      <x:c r="Q472" s="22" t="str">
        <x:v>Matriz legal SGRL</x:v>
      </x:c>
      <x:c r="R472" s="22" t="str"/>
    </x:row>
    <x:row r="473">
      <x:c r="A473" s="46" t="n">
        <x:v>45838</x:v>
      </x:c>
      <x:c r="B473" s="22" t="n">
        <x:v>2025</x:v>
      </x:c>
      <x:c r="C473" s="22" t="str">
        <x:v>Junio</x:v>
      </x:c>
      <x:c r="D473" s="22" t="str">
        <x:v>E05</x:v>
      </x:c>
      <x:c r="E473" s="22" t="str">
        <x:v>% proveedores y contratistas aprobados en SST</x:v>
      </x:c>
      <x:c r="F473" s="22" t="str">
        <x:v>Estructura</x:v>
      </x:c>
      <x:c r="G473" s="22" t="str">
        <x:v>Mensual</x:v>
      </x:c>
      <x:c r="H473" s="40" t="n">
        <x:v>90</x:v>
      </x:c>
      <x:c r="I473" s="22" t="str">
        <x:v>Mayor es mejor</x:v>
      </x:c>
      <x:c r="J473" s="40" t="n">
        <x:v>19</x:v>
      </x:c>
      <x:c r="K473" s="40" t="n">
        <x:v>20</x:v>
      </x:c>
      <x:c r="L473" s="40" t="n">
        <x:v>100</x:v>
      </x:c>
      <x:c r="M473" s="40" t="n">
        <x:f>IF(OR(J473="",K473="",K473=0),"",J473/K473*L473)</x:f>
        <x:v>95</x:v>
      </x:c>
      <x:c r="N473" s="22" t="str">
        <x:f>IF(M473="","",IF(I473="Mayor es mejor",IF(M473&gt;=H473,"En meta",IF(M473&gt;=H473*0.9,"Alerta","Crítico")),IF(M473&lt;=H473,"En meta",IF(M473&lt;=H473*1.1,"Alerta","Crítico"))))</x:f>
        <x:v>En meta</x:v>
      </x:c>
      <x:c r="O473" s="22" t="str">
        <x:v>%</x:v>
      </x:c>
      <x:c r="P473" s="22" t="str">
        <x:v>Compras / Líder SG-SST</x:v>
      </x:c>
      <x:c r="Q473" s="22" t="str">
        <x:v>Gestión de proveedores y contratistas</x:v>
      </x:c>
      <x:c r="R473" s="22" t="str"/>
    </x:row>
    <x:row r="474">
      <x:c r="A474" s="46" t="n">
        <x:v>45838</x:v>
      </x:c>
      <x:c r="B474" s="22" t="n">
        <x:v>2025</x:v>
      </x:c>
      <x:c r="C474" s="22" t="str">
        <x:v>Junio</x:v>
      </x:c>
      <x:c r="D474" s="22" t="str">
        <x:v>P01</x:v>
      </x:c>
      <x:c r="E474" s="22" t="str">
        <x:v>% ejecución del plan anual de trabajo SG-SST</x:v>
      </x:c>
      <x:c r="F474" s="22" t="str">
        <x:v>Proceso</x:v>
      </x:c>
      <x:c r="G474" s="22" t="str">
        <x:v>Mensual</x:v>
      </x:c>
      <x:c r="H474" s="40" t="n">
        <x:v>90</x:v>
      </x:c>
      <x:c r="I474" s="22" t="str">
        <x:v>Mayor es mejor</x:v>
      </x:c>
      <x:c r="J474" s="40" t="n">
        <x:v>9</x:v>
      </x:c>
      <x:c r="K474" s="40" t="n">
        <x:v>10</x:v>
      </x:c>
      <x:c r="L474" s="40" t="n">
        <x:v>100</x:v>
      </x:c>
      <x:c r="M474" s="40" t="n">
        <x:f>IF(OR(J474="",K474="",K474=0),"",J474/K474*L474)</x:f>
        <x:v>90</x:v>
      </x:c>
      <x:c r="N474" s="22" t="str">
        <x:f>IF(M474="","",IF(I474="Mayor es mejor",IF(M474&gt;=H474,"En meta",IF(M474&gt;=H474*0.9,"Alerta","Crítico")),IF(M474&lt;=H474,"En meta",IF(M474&lt;=H474*1.1,"Alerta","Crítico"))))</x:f>
        <x:v>En meta</x:v>
      </x:c>
      <x:c r="O474" s="22" t="str">
        <x:v>%</x:v>
      </x:c>
      <x:c r="P474" s="22" t="str">
        <x:v>Líder SG-SST</x:v>
      </x:c>
      <x:c r="Q474" s="22" t="str">
        <x:v>Plan anual de trabajo PHVA</x:v>
      </x:c>
      <x:c r="R474" s="22" t="str"/>
    </x:row>
    <x:row r="475">
      <x:c r="A475" s="46" t="n">
        <x:v>45838</x:v>
      </x:c>
      <x:c r="B475" s="22" t="n">
        <x:v>2025</x:v>
      </x:c>
      <x:c r="C475" s="22" t="str">
        <x:v>Junio</x:v>
      </x:c>
      <x:c r="D475" s="22" t="str">
        <x:v>P02</x:v>
      </x:c>
      <x:c r="E475" s="22" t="str">
        <x:v>% investigaciones de accidentes realizadas oportunamente</x:v>
      </x:c>
      <x:c r="F475" s="22" t="str">
        <x:v>Proceso</x:v>
      </x:c>
      <x:c r="G475" s="22" t="str">
        <x:v>Mensual</x:v>
      </x:c>
      <x:c r="H475" s="40" t="n">
        <x:v>95</x:v>
      </x:c>
      <x:c r="I475" s="22" t="str">
        <x:v>Mayor es mejor</x:v>
      </x:c>
      <x:c r="J475" s="40" t="n">
        <x:v>1</x:v>
      </x:c>
      <x:c r="K475" s="40" t="n">
        <x:v>1</x:v>
      </x:c>
      <x:c r="L475" s="40" t="n">
        <x:v>100</x:v>
      </x:c>
      <x:c r="M475" s="40" t="n">
        <x:f>IF(OR(J475="",K475="",K475=0),"",J475/K475*L475)</x:f>
        <x:v>100</x:v>
      </x:c>
      <x:c r="N475" s="22" t="str">
        <x:f>IF(M475="","",IF(I475="Mayor es mejor",IF(M475&gt;=H475,"En meta",IF(M475&gt;=H475*0.9,"Alerta","Crítico")),IF(M475&lt;=H475,"En meta",IF(M475&lt;=H475*1.1,"Alerta","Crítico"))))</x:f>
        <x:v>En meta</x:v>
      </x:c>
      <x:c r="O475" s="22" t="str">
        <x:v>%</x:v>
      </x:c>
      <x:c r="P475" s="22" t="str">
        <x:v>Líder SG-SST / COPASST</x:v>
      </x:c>
      <x:c r="Q475" s="22" t="str">
        <x:v>Matriz de accidentalidad</x:v>
      </x:c>
      <x:c r="R475" s="22" t="str"/>
    </x:row>
    <x:row r="476">
      <x:c r="A476" s="46" t="n">
        <x:v>45838</x:v>
      </x:c>
      <x:c r="B476" s="22" t="n">
        <x:v>2025</x:v>
      </x:c>
      <x:c r="C476" s="22" t="str">
        <x:v>Junio</x:v>
      </x:c>
      <x:c r="D476" s="22" t="str">
        <x:v>P03</x:v>
      </x:c>
      <x:c r="E476" s="22" t="str">
        <x:v>% cierre oportuno de acciones correctivas, preventivas y de mejora</x:v>
      </x:c>
      <x:c r="F476" s="22" t="str">
        <x:v>Proceso</x:v>
      </x:c>
      <x:c r="G476" s="22" t="str">
        <x:v>Mensual</x:v>
      </x:c>
      <x:c r="H476" s="40" t="n">
        <x:v>90</x:v>
      </x:c>
      <x:c r="I476" s="22" t="str">
        <x:v>Mayor es mejor</x:v>
      </x:c>
      <x:c r="J476" s="40" t="n">
        <x:v>10</x:v>
      </x:c>
      <x:c r="K476" s="40" t="n">
        <x:v>11</x:v>
      </x:c>
      <x:c r="L476" s="40" t="n">
        <x:v>100</x:v>
      </x:c>
      <x:c r="M476" s="40" t="n">
        <x:f>IF(OR(J476="",K476="",K476=0),"",J476/K476*L476)</x:f>
        <x:v>90.9090909090909</x:v>
      </x:c>
      <x:c r="N476" s="22" t="str">
        <x:f>IF(M476="","",IF(I476="Mayor es mejor",IF(M476&gt;=H476,"En meta",IF(M476&gt;=H476*0.9,"Alerta","Crítico")),IF(M476&lt;=H476,"En meta",IF(M476&lt;=H476*1.1,"Alerta","Crítico"))))</x:f>
        <x:v>En meta</x:v>
      </x:c>
      <x:c r="O476" s="22" t="str">
        <x:v>%</x:v>
      </x:c>
      <x:c r="P476" s="22" t="str">
        <x:v>Líder SG-SST / Responsables de proceso</x:v>
      </x:c>
      <x:c r="Q476" s="22" t="str">
        <x:v>Matriz APCM</x:v>
      </x:c>
      <x:c r="R476" s="22" t="str"/>
    </x:row>
    <x:row r="477">
      <x:c r="A477" s="46" t="n">
        <x:v>45838</x:v>
      </x:c>
      <x:c r="B477" s="22" t="n">
        <x:v>2025</x:v>
      </x:c>
      <x:c r="C477" s="22" t="str">
        <x:v>Junio</x:v>
      </x:c>
      <x:c r="D477" s="22" t="str">
        <x:v>P04</x:v>
      </x:c>
      <x:c r="E477" s="22" t="str">
        <x:v>% inspecciones de seguridad ejecutadas</x:v>
      </x:c>
      <x:c r="F477" s="22" t="str">
        <x:v>Proceso</x:v>
      </x:c>
      <x:c r="G477" s="22" t="str">
        <x:v>Mensual</x:v>
      </x:c>
      <x:c r="H477" s="40" t="n">
        <x:v>90</x:v>
      </x:c>
      <x:c r="I477" s="22" t="str">
        <x:v>Mayor es mejor</x:v>
      </x:c>
      <x:c r="J477" s="40" t="n">
        <x:v>9</x:v>
      </x:c>
      <x:c r="K477" s="40" t="n">
        <x:v>10</x:v>
      </x:c>
      <x:c r="L477" s="40" t="n">
        <x:v>100</x:v>
      </x:c>
      <x:c r="M477" s="40" t="n">
        <x:f>IF(OR(J477="",K477="",K477=0),"",J477/K477*L477)</x:f>
        <x:v>90</x:v>
      </x:c>
      <x:c r="N477" s="22" t="str">
        <x:f>IF(M477="","",IF(I477="Mayor es mejor",IF(M477&gt;=H477,"En meta",IF(M477&gt;=H477*0.9,"Alerta","Crítico")),IF(M477&lt;=H477,"En meta",IF(M477&lt;=H477*1.1,"Alerta","Crítico"))))</x:f>
        <x:v>En meta</x:v>
      </x:c>
      <x:c r="O477" s="22" t="str">
        <x:v>%</x:v>
      </x:c>
      <x:c r="P477" s="22" t="str">
        <x:v>Líder SG-SST / Supervisores</x:v>
      </x:c>
      <x:c r="Q477" s="22" t="str">
        <x:v>Programa de inspecciones</x:v>
      </x:c>
      <x:c r="R477" s="22" t="str"/>
    </x:row>
    <x:row r="478">
      <x:c r="A478" s="46" t="n">
        <x:v>45838</x:v>
      </x:c>
      <x:c r="B478" s="22" t="n">
        <x:v>2025</x:v>
      </x:c>
      <x:c r="C478" s="22" t="str">
        <x:v>Junio</x:v>
      </x:c>
      <x:c r="D478" s="22" t="str">
        <x:v>P05</x:v>
      </x:c>
      <x:c r="E478" s="22" t="str">
        <x:v>% mantenimientos preventivos ejecutados</x:v>
      </x:c>
      <x:c r="F478" s="22" t="str">
        <x:v>Proceso</x:v>
      </x:c>
      <x:c r="G478" s="22" t="str">
        <x:v>Mensual</x:v>
      </x:c>
      <x:c r="H478" s="40" t="n">
        <x:v>90</x:v>
      </x:c>
      <x:c r="I478" s="22" t="str">
        <x:v>Mayor es mejor</x:v>
      </x:c>
      <x:c r="J478" s="40" t="n">
        <x:v>13</x:v>
      </x:c>
      <x:c r="K478" s="40" t="n">
        <x:v>14</x:v>
      </x:c>
      <x:c r="L478" s="40" t="n">
        <x:v>100</x:v>
      </x:c>
      <x:c r="M478" s="40" t="n">
        <x:f>IF(OR(J478="",K478="",K478=0),"",J478/K478*L478)</x:f>
        <x:v>92.85714285714286</x:v>
      </x:c>
      <x:c r="N478" s="22" t="str">
        <x:f>IF(M478="","",IF(I478="Mayor es mejor",IF(M478&gt;=H478,"En meta",IF(M478&gt;=H478*0.9,"Alerta","Crítico")),IF(M478&lt;=H478,"En meta",IF(M478&lt;=H478*1.1,"Alerta","Crítico"))))</x:f>
        <x:v>En meta</x:v>
      </x:c>
      <x:c r="O478" s="22" t="str">
        <x:v>%</x:v>
      </x:c>
      <x:c r="P478" s="22" t="str">
        <x:v>Mantenimiento / Líder SG-SST</x:v>
      </x:c>
      <x:c r="Q478" s="22" t="str">
        <x:v>Programa de mantenimiento preventivo</x:v>
      </x:c>
      <x:c r="R478" s="22" t="str"/>
    </x:row>
    <x:row r="479">
      <x:c r="A479" s="46" t="n">
        <x:v>45838</x:v>
      </x:c>
      <x:c r="B479" s="22" t="n">
        <x:v>2025</x:v>
      </x:c>
      <x:c r="C479" s="22" t="str">
        <x:v>Junio</x:v>
      </x:c>
      <x:c r="D479" s="22" t="str">
        <x:v>R01</x:v>
      </x:c>
      <x:c r="E479" s="22" t="str">
        <x:v>Índice de frecuencia de accidentalidad (IF)</x:v>
      </x:c>
      <x:c r="F479" s="22" t="str">
        <x:v>Resultado</x:v>
      </x:c>
      <x:c r="G479" s="22" t="str">
        <x:v>Mensual</x:v>
      </x:c>
      <x:c r="H479" s="40" t="n">
        <x:v>3.5</x:v>
      </x:c>
      <x:c r="I479" s="22" t="str">
        <x:v>Menor es mejor</x:v>
      </x:c>
      <x:c r="J479" s="40" t="n">
        <x:v>1</x:v>
      </x:c>
      <x:c r="K479" s="40" t="n">
        <x:v>57626</x:v>
      </x:c>
      <x:c r="L479" s="40" t="n">
        <x:v>200000</x:v>
      </x:c>
      <x:c r="M479" s="40" t="n">
        <x:f>IF(OR(J479="",K479="",K479=0),"",J479/K479*L479)</x:f>
        <x:v>3.470655606844133</x:v>
      </x:c>
      <x:c r="N479" s="22" t="str">
        <x:f>IF(M479="","",IF(I479="Mayor es mejor",IF(M479&gt;=H479,"En meta",IF(M479&gt;=H479*0.9,"Alerta","Crítico")),IF(M479&lt;=H479,"En meta",IF(M479&lt;=H479*1.1,"Alerta","Crítico"))))</x:f>
        <x:v>En meta</x:v>
      </x:c>
      <x:c r="O479" s="22" t="str">
        <x:v>Índice</x:v>
      </x:c>
      <x:c r="P479" s="22" t="str">
        <x:v>Líder SG-SST</x:v>
      </x:c>
      <x:c r="Q479" s="22" t="str">
        <x:v>Matriz de accidentalidad / nómina</x:v>
      </x:c>
      <x:c r="R479" s="22" t="str"/>
    </x:row>
    <x:row r="480">
      <x:c r="A480" s="46" t="n">
        <x:v>45838</x:v>
      </x:c>
      <x:c r="B480" s="22" t="n">
        <x:v>2025</x:v>
      </x:c>
      <x:c r="C480" s="22" t="str">
        <x:v>Junio</x:v>
      </x:c>
      <x:c r="D480" s="22" t="str">
        <x:v>R02</x:v>
      </x:c>
      <x:c r="E480" s="22" t="str">
        <x:v>Índice de severidad de accidentalidad (IS)</x:v>
      </x:c>
      <x:c r="F480" s="22" t="str">
        <x:v>Resultado</x:v>
      </x:c>
      <x:c r="G480" s="22" t="str">
        <x:v>Mensual</x:v>
      </x:c>
      <x:c r="H480" s="40" t="n">
        <x:v>80</x:v>
      </x:c>
      <x:c r="I480" s="22" t="str">
        <x:v>Menor es mejor</x:v>
      </x:c>
      <x:c r="J480" s="40" t="n">
        <x:v>16</x:v>
      </x:c>
      <x:c r="K480" s="40" t="n">
        <x:v>57626</x:v>
      </x:c>
      <x:c r="L480" s="40" t="n">
        <x:v>200000</x:v>
      </x:c>
      <x:c r="M480" s="40" t="n">
        <x:f>IF(OR(J480="",K480="",K480=0),"",J480/K480*L480)</x:f>
        <x:v>55.53048970950613</x:v>
      </x:c>
      <x:c r="N480" s="22" t="str">
        <x:f>IF(M480="","",IF(I480="Mayor es mejor",IF(M480&gt;=H480,"En meta",IF(M480&gt;=H480*0.9,"Alerta","Crítico")),IF(M480&lt;=H480,"En meta",IF(M480&lt;=H480*1.1,"Alerta","Crítico"))))</x:f>
        <x:v>En meta</x:v>
      </x:c>
      <x:c r="O480" s="22" t="str">
        <x:v>Índice</x:v>
      </x:c>
      <x:c r="P480" s="22" t="str">
        <x:v>Líder SG-SST</x:v>
      </x:c>
      <x:c r="Q480" s="22" t="str">
        <x:v>Matriz de accidentalidad / nómina</x:v>
      </x:c>
      <x:c r="R480" s="22" t="str"/>
    </x:row>
    <x:row r="481">
      <x:c r="A481" s="46" t="n">
        <x:v>45838</x:v>
      </x:c>
      <x:c r="B481" s="22" t="n">
        <x:v>2025</x:v>
      </x:c>
      <x:c r="C481" s="22" t="str">
        <x:v>Junio</x:v>
      </x:c>
      <x:c r="D481" s="22" t="str">
        <x:v>R03</x:v>
      </x:c>
      <x:c r="E481" s="22" t="str">
        <x:v>Índice de lesión incapacitante (ILI)</x:v>
      </x:c>
      <x:c r="F481" s="22" t="str">
        <x:v>Resultado</x:v>
      </x:c>
      <x:c r="G481" s="22" t="str">
        <x:v>Mensual</x:v>
      </x:c>
      <x:c r="H481" s="40" t="n">
        <x:v>0.25</x:v>
      </x:c>
      <x:c r="I481" s="22" t="str">
        <x:v>Menor es mejor</x:v>
      </x:c>
      <x:c r="J481" s="40" t="n">
        <x:v>192.7272</x:v>
      </x:c>
      <x:c r="K481" s="40" t="n">
        <x:v>1000</x:v>
      </x:c>
      <x:c r="L481" s="40" t="n">
        <x:v>1</x:v>
      </x:c>
      <x:c r="M481" s="40" t="n">
        <x:f>IF(OR(J481="",K481="",K481=0),"",J481/K481*L481)</x:f>
        <x:v>0.19272720000000002</x:v>
      </x:c>
      <x:c r="N481" s="22" t="str">
        <x:f>IF(M481="","",IF(I481="Mayor es mejor",IF(M481&gt;=H481,"En meta",IF(M481&gt;=H481*0.9,"Alerta","Crítico")),IF(M481&lt;=H481,"En meta",IF(M481&lt;=H481*1.1,"Alerta","Crítico"))))</x:f>
        <x:v>En meta</x:v>
      </x:c>
      <x:c r="O481" s="22" t="str">
        <x:v>Índice</x:v>
      </x:c>
      <x:c r="P481" s="22" t="str">
        <x:v>Líder SG-SST</x:v>
      </x:c>
      <x:c r="Q481" s="22" t="str">
        <x:v>Indicadores derivados de accidentalidad</x:v>
      </x:c>
      <x:c r="R481" s="22" t="str">
        <x:v>ILI calculado sobre IF e IS del periodo.</x:v>
      </x:c>
    </x:row>
    <x:row r="482">
      <x:c r="A482" s="46" t="n">
        <x:v>45838</x:v>
      </x:c>
      <x:c r="B482" s="22" t="n">
        <x:v>2025</x:v>
      </x:c>
      <x:c r="C482" s="22" t="str">
        <x:v>Junio</x:v>
      </x:c>
      <x:c r="D482" s="22" t="str">
        <x:v>R04</x:v>
      </x:c>
      <x:c r="E482" s="22" t="str">
        <x:v>Tasa de accidentalidad</x:v>
      </x:c>
      <x:c r="F482" s="22" t="str">
        <x:v>Resultado</x:v>
      </x:c>
      <x:c r="G482" s="22" t="str">
        <x:v>Mensual</x:v>
      </x:c>
      <x:c r="H482" s="40" t="n">
        <x:v>0.6</x:v>
      </x:c>
      <x:c r="I482" s="22" t="str">
        <x:v>Menor es mejor</x:v>
      </x:c>
      <x:c r="J482" s="40" t="n">
        <x:v>3.91</x:v>
      </x:c>
      <x:c r="K482" s="40" t="n">
        <x:v>240</x:v>
      </x:c>
      <x:c r="L482" s="40" t="n">
        <x:v>100</x:v>
      </x:c>
      <x:c r="M482" s="40" t="n">
        <x:f>IF(OR(J482="",K482="",K482=0),"",J482/K482*L482)</x:f>
        <x:v>1.6291666666666667</x:v>
      </x:c>
      <x:c r="N482" s="22" t="str">
        <x:f>IF(M482="","",IF(I482="Mayor es mejor",IF(M482&gt;=H482,"En meta",IF(M482&gt;=H482*0.9,"Alerta","Crítico")),IF(M482&lt;=H482,"En meta",IF(M482&lt;=H482*1.1,"Alerta","Crítico"))))</x:f>
        <x:v>Crítico</x:v>
      </x:c>
      <x:c r="O482" s="22" t="str">
        <x:v>%</x:v>
      </x:c>
      <x:c r="P482" s="22" t="str">
        <x:v>Líder SG-SST</x:v>
      </x:c>
      <x:c r="Q482" s="22" t="str">
        <x:v>Matriz de accidentalidad / nómina</x:v>
      </x:c>
      <x:c r="R482" s="22" t="str"/>
    </x:row>
    <x:row r="483">
      <x:c r="A483" s="46" t="n">
        <x:v>45838</x:v>
      </x:c>
      <x:c r="B483" s="22" t="n">
        <x:v>2025</x:v>
      </x:c>
      <x:c r="C483" s="22" t="str">
        <x:v>Junio</x:v>
      </x:c>
      <x:c r="D483" s="22" t="str">
        <x:v>R05</x:v>
      </x:c>
      <x:c r="E483" s="22" t="str">
        <x:v>Prevalencia de enfermedad laboral</x:v>
      </x:c>
      <x:c r="F483" s="22" t="str">
        <x:v>Resultado</x:v>
      </x:c>
      <x:c r="G483" s="22" t="str">
        <x:v>Mensual</x:v>
      </x:c>
      <x:c r="H483" s="40" t="n">
        <x:v>0.3</x:v>
      </x:c>
      <x:c r="I483" s="22" t="str">
        <x:v>Menor es mejor</x:v>
      </x:c>
      <x:c r="J483" s="40" t="n">
        <x:v>0.28</x:v>
      </x:c>
      <x:c r="K483" s="40" t="n">
        <x:v>240</x:v>
      </x:c>
      <x:c r="L483" s="40" t="n">
        <x:v>100</x:v>
      </x:c>
      <x:c r="M483" s="40" t="n">
        <x:f>IF(OR(J483="",K483="",K483=0),"",J483/K483*L483)</x:f>
        <x:v>0.11666666666666668</x:v>
      </x:c>
      <x:c r="N483" s="22" t="str">
        <x:f>IF(M483="","",IF(I483="Mayor es mejor",IF(M483&gt;=H483,"En meta",IF(M483&gt;=H483*0.9,"Alerta","Crítico")),IF(M483&lt;=H483,"En meta",IF(M483&lt;=H483*1.1,"Alerta","Crítico"))))</x:f>
        <x:v>En meta</x:v>
      </x:c>
      <x:c r="O483" s="22" t="str">
        <x:v>%</x:v>
      </x:c>
      <x:c r="P483" s="22" t="str">
        <x:v>Líder SG-SST / Medicina laboral</x:v>
      </x:c>
      <x:c r="Q483" s="22" t="str">
        <x:v>Matriz de enfermedad laboral / nómina</x:v>
      </x:c>
      <x:c r="R483" s="22" t="str"/>
    </x:row>
    <x:row r="484">
      <x:c r="A484" s="46" t="n">
        <x:v>45838</x:v>
      </x:c>
      <x:c r="B484" s="22" t="n">
        <x:v>2025</x:v>
      </x:c>
      <x:c r="C484" s="22" t="str">
        <x:v>Junio</x:v>
      </x:c>
      <x:c r="D484" s="22" t="str">
        <x:v>R06</x:v>
      </x:c>
      <x:c r="E484" s="22" t="str">
        <x:v>% cumplimiento de estándares mínimos Res. 0312 de 2019</x:v>
      </x:c>
      <x:c r="F484" s="22" t="str">
        <x:v>Resultado</x:v>
      </x:c>
      <x:c r="G484" s="22" t="str">
        <x:v>Mensual</x:v>
      </x:c>
      <x:c r="H484" s="40" t="n">
        <x:v>95</x:v>
      </x:c>
      <x:c r="I484" s="22" t="str">
        <x:v>Mayor es mejor</x:v>
      </x:c>
      <x:c r="J484" s="40" t="n">
        <x:v>98</x:v>
      </x:c>
      <x:c r="K484" s="40" t="n">
        <x:v>100</x:v>
      </x:c>
      <x:c r="L484" s="40" t="n">
        <x:v>100</x:v>
      </x:c>
      <x:c r="M484" s="40" t="n">
        <x:f>IF(OR(J484="",K484="",K484=0),"",J484/K484*L484)</x:f>
        <x:v>98</x:v>
      </x:c>
      <x:c r="N484" s="22" t="str">
        <x:f>IF(M484="","",IF(I484="Mayor es mejor",IF(M484&gt;=H484,"En meta",IF(M484&gt;=H484*0.9,"Alerta","Crítico")),IF(M484&lt;=H484,"En meta",IF(M484&lt;=H484*1.1,"Alerta","Crítico"))))</x:f>
        <x:v>En meta</x:v>
      </x:c>
      <x:c r="O484" s="22" t="str">
        <x:v>%</x:v>
      </x:c>
      <x:c r="P484" s="22" t="str">
        <x:v>Líder SG-SST / Alta Dirección</x:v>
      </x:c>
      <x:c r="Q484" s="22" t="str">
        <x:v>Autodiagnóstico Res. 0312 de 2019</x:v>
      </x:c>
      <x:c r="R484" s="22" t="str"/>
    </x:row>
    <x:row r="485">
      <x:c r="A485" s="46" t="n">
        <x:v>45869</x:v>
      </x:c>
      <x:c r="B485" s="22" t="n">
        <x:v>2025</x:v>
      </x:c>
      <x:c r="C485" s="22" t="str">
        <x:v>Julio</x:v>
      </x:c>
      <x:c r="D485" s="22" t="str">
        <x:v>E01</x:v>
      </x:c>
      <x:c r="E485" s="22" t="str">
        <x:v>% ejecución presupuestal del SG-SST</x:v>
      </x:c>
      <x:c r="F485" s="22" t="str">
        <x:v>Estructura</x:v>
      </x:c>
      <x:c r="G485" s="22" t="str">
        <x:v>Mensual</x:v>
      </x:c>
      <x:c r="H485" s="40" t="n">
        <x:v>95</x:v>
      </x:c>
      <x:c r="I485" s="22" t="str">
        <x:v>Mayor es mejor</x:v>
      </x:c>
      <x:c r="J485" s="40" t="n">
        <x:v>7106543</x:v>
      </x:c>
      <x:c r="K485" s="40" t="n">
        <x:v>7500000</x:v>
      </x:c>
      <x:c r="L485" s="40" t="n">
        <x:v>100</x:v>
      </x:c>
      <x:c r="M485" s="40" t="n">
        <x:f>IF(OR(J485="",K485="",K485=0),"",J485/K485*L485)</x:f>
        <x:v>94.75390666666667</x:v>
      </x:c>
      <x:c r="N485" s="22" t="str">
        <x:f>IF(M485="","",IF(I485="Mayor es mejor",IF(M485&gt;=H485,"En meta",IF(M485&gt;=H485*0.9,"Alerta","Crítico")),IF(M485&lt;=H485,"En meta",IF(M485&lt;=H485*1.1,"Alerta","Crítico"))))</x:f>
        <x:v>Alerta</x:v>
      </x:c>
      <x:c r="O485" s="22" t="str">
        <x:v>%</x:v>
      </x:c>
      <x:c r="P485" s="22" t="str">
        <x:v>Líder SG-SST / Dirección Administrativa</x:v>
      </x:c>
      <x:c r="Q485" s="22" t="str">
        <x:v>Presupuesto SST</x:v>
      </x:c>
      <x:c r="R485" s="22" t="str"/>
    </x:row>
    <x:row r="486">
      <x:c r="A486" s="46" t="n">
        <x:v>45869</x:v>
      </x:c>
      <x:c r="B486" s="22" t="n">
        <x:v>2025</x:v>
      </x:c>
      <x:c r="C486" s="22" t="str">
        <x:v>Julio</x:v>
      </x:c>
      <x:c r="D486" s="22" t="str">
        <x:v>E02</x:v>
      </x:c>
      <x:c r="E486" s="22" t="str">
        <x:v>% cobertura del plan de formación y capacitación SG-SST</x:v>
      </x:c>
      <x:c r="F486" s="22" t="str">
        <x:v>Estructura</x:v>
      </x:c>
      <x:c r="G486" s="22" t="str">
        <x:v>Mensual</x:v>
      </x:c>
      <x:c r="H486" s="40" t="n">
        <x:v>90</x:v>
      </x:c>
      <x:c r="I486" s="22" t="str">
        <x:v>Mayor es mejor</x:v>
      </x:c>
      <x:c r="J486" s="40" t="n">
        <x:v>22</x:v>
      </x:c>
      <x:c r="K486" s="40" t="n">
        <x:v>24</x:v>
      </x:c>
      <x:c r="L486" s="40" t="n">
        <x:v>100</x:v>
      </x:c>
      <x:c r="M486" s="40" t="n">
        <x:f>IF(OR(J486="",K486="",K486=0),"",J486/K486*L486)</x:f>
        <x:v>91.66666666666666</x:v>
      </x:c>
      <x:c r="N486" s="22" t="str">
        <x:f>IF(M486="","",IF(I486="Mayor es mejor",IF(M486&gt;=H486,"En meta",IF(M486&gt;=H486*0.9,"Alerta","Crítico")),IF(M486&lt;=H486,"En meta",IF(M486&lt;=H486*1.1,"Alerta","Crítico"))))</x:f>
        <x:v>En meta</x:v>
      </x:c>
      <x:c r="O486" s="22" t="str">
        <x:v>%</x:v>
      </x:c>
      <x:c r="P486" s="22" t="str">
        <x:v>Líder SG-SST / Talento Humano</x:v>
      </x:c>
      <x:c r="Q486" s="22" t="str">
        <x:v>Plan de formación y capacitaciones</x:v>
      </x:c>
      <x:c r="R486" s="22" t="str"/>
    </x:row>
    <x:row r="487">
      <x:c r="A487" s="46" t="n">
        <x:v>45869</x:v>
      </x:c>
      <x:c r="B487" s="22" t="n">
        <x:v>2025</x:v>
      </x:c>
      <x:c r="C487" s="22" t="str">
        <x:v>Julio</x:v>
      </x:c>
      <x:c r="D487" s="22" t="str">
        <x:v>E03</x:v>
      </x:c>
      <x:c r="E487" s="22" t="str">
        <x:v>% trabajadores con exámenes médicos ocupacionales vigentes</x:v>
      </x:c>
      <x:c r="F487" s="22" t="str">
        <x:v>Estructura</x:v>
      </x:c>
      <x:c r="G487" s="22" t="str">
        <x:v>Mensual</x:v>
      </x:c>
      <x:c r="H487" s="40" t="n">
        <x:v>95</x:v>
      </x:c>
      <x:c r="I487" s="22" t="str">
        <x:v>Mayor es mejor</x:v>
      </x:c>
      <x:c r="J487" s="40" t="n">
        <x:v>239</x:v>
      </x:c>
      <x:c r="K487" s="40" t="n">
        <x:v>244</x:v>
      </x:c>
      <x:c r="L487" s="40" t="n">
        <x:v>100</x:v>
      </x:c>
      <x:c r="M487" s="40" t="n">
        <x:f>IF(OR(J487="",K487="",K487=0),"",J487/K487*L487)</x:f>
        <x:v>97.95081967213115</x:v>
      </x:c>
      <x:c r="N487" s="22" t="str">
        <x:f>IF(M487="","",IF(I487="Mayor es mejor",IF(M487&gt;=H487,"En meta",IF(M487&gt;=H487*0.9,"Alerta","Crítico")),IF(M487&lt;=H487,"En meta",IF(M487&lt;=H487*1.1,"Alerta","Crítico"))))</x:f>
        <x:v>En meta</x:v>
      </x:c>
      <x:c r="O487" s="22" t="str">
        <x:v>%</x:v>
      </x:c>
      <x:c r="P487" s="22" t="str">
        <x:v>Líder SG-SST / Talento Humano</x:v>
      </x:c>
      <x:c r="Q487" s="22" t="str">
        <x:v>Matriz de seguimiento EMO</x:v>
      </x:c>
      <x:c r="R487" s="22" t="str"/>
    </x:row>
    <x:row r="488">
      <x:c r="A488" s="46" t="n">
        <x:v>45869</x:v>
      </x:c>
      <x:c r="B488" s="22" t="n">
        <x:v>2025</x:v>
      </x:c>
      <x:c r="C488" s="22" t="str">
        <x:v>Julio</x:v>
      </x:c>
      <x:c r="D488" s="22" t="str">
        <x:v>E04</x:v>
      </x:c>
      <x:c r="E488" s="22" t="str">
        <x:v>% cumplimiento de requisitos legales aplicables en SST</x:v>
      </x:c>
      <x:c r="F488" s="22" t="str">
        <x:v>Estructura</x:v>
      </x:c>
      <x:c r="G488" s="22" t="str">
        <x:v>Mensual</x:v>
      </x:c>
      <x:c r="H488" s="40" t="n">
        <x:v>95</x:v>
      </x:c>
      <x:c r="I488" s="22" t="str">
        <x:v>Mayor es mejor</x:v>
      </x:c>
      <x:c r="J488" s="40" t="n">
        <x:v>59</x:v>
      </x:c>
      <x:c r="K488" s="40" t="n">
        <x:v>60</x:v>
      </x:c>
      <x:c r="L488" s="40" t="n">
        <x:v>100</x:v>
      </x:c>
      <x:c r="M488" s="40" t="n">
        <x:f>IF(OR(J488="",K488="",K488=0),"",J488/K488*L488)</x:f>
        <x:v>98.33333333333333</x:v>
      </x:c>
      <x:c r="N488" s="22" t="str">
        <x:f>IF(M488="","",IF(I488="Mayor es mejor",IF(M488&gt;=H488,"En meta",IF(M488&gt;=H488*0.9,"Alerta","Crítico")),IF(M488&lt;=H488,"En meta",IF(M488&lt;=H488*1.1,"Alerta","Crítico"))))</x:f>
        <x:v>En meta</x:v>
      </x:c>
      <x:c r="O488" s="22" t="str">
        <x:v>%</x:v>
      </x:c>
      <x:c r="P488" s="22" t="str">
        <x:v>Líder SG-SST / Jurídica</x:v>
      </x:c>
      <x:c r="Q488" s="22" t="str">
        <x:v>Matriz legal SGRL</x:v>
      </x:c>
      <x:c r="R488" s="22" t="str"/>
    </x:row>
    <x:row r="489">
      <x:c r="A489" s="46" t="n">
        <x:v>45869</x:v>
      </x:c>
      <x:c r="B489" s="22" t="n">
        <x:v>2025</x:v>
      </x:c>
      <x:c r="C489" s="22" t="str">
        <x:v>Julio</x:v>
      </x:c>
      <x:c r="D489" s="22" t="str">
        <x:v>E05</x:v>
      </x:c>
      <x:c r="E489" s="22" t="str">
        <x:v>% proveedores y contratistas aprobados en SST</x:v>
      </x:c>
      <x:c r="F489" s="22" t="str">
        <x:v>Estructura</x:v>
      </x:c>
      <x:c r="G489" s="22" t="str">
        <x:v>Mensual</x:v>
      </x:c>
      <x:c r="H489" s="40" t="n">
        <x:v>90</x:v>
      </x:c>
      <x:c r="I489" s="22" t="str">
        <x:v>Mayor es mejor</x:v>
      </x:c>
      <x:c r="J489" s="40" t="n">
        <x:v>19</x:v>
      </x:c>
      <x:c r="K489" s="40" t="n">
        <x:v>20</x:v>
      </x:c>
      <x:c r="L489" s="40" t="n">
        <x:v>100</x:v>
      </x:c>
      <x:c r="M489" s="40" t="n">
        <x:f>IF(OR(J489="",K489="",K489=0),"",J489/K489*L489)</x:f>
        <x:v>95</x:v>
      </x:c>
      <x:c r="N489" s="22" t="str">
        <x:f>IF(M489="","",IF(I489="Mayor es mejor",IF(M489&gt;=H489,"En meta",IF(M489&gt;=H489*0.9,"Alerta","Crítico")),IF(M489&lt;=H489,"En meta",IF(M489&lt;=H489*1.1,"Alerta","Crítico"))))</x:f>
        <x:v>En meta</x:v>
      </x:c>
      <x:c r="O489" s="22" t="str">
        <x:v>%</x:v>
      </x:c>
      <x:c r="P489" s="22" t="str">
        <x:v>Compras / Líder SG-SST</x:v>
      </x:c>
      <x:c r="Q489" s="22" t="str">
        <x:v>Gestión de proveedores y contratistas</x:v>
      </x:c>
      <x:c r="R489" s="22" t="str"/>
    </x:row>
    <x:row r="490">
      <x:c r="A490" s="46" t="n">
        <x:v>45869</x:v>
      </x:c>
      <x:c r="B490" s="22" t="n">
        <x:v>2025</x:v>
      </x:c>
      <x:c r="C490" s="22" t="str">
        <x:v>Julio</x:v>
      </x:c>
      <x:c r="D490" s="22" t="str">
        <x:v>P01</x:v>
      </x:c>
      <x:c r="E490" s="22" t="str">
        <x:v>% ejecución del plan anual de trabajo SG-SST</x:v>
      </x:c>
      <x:c r="F490" s="22" t="str">
        <x:v>Proceso</x:v>
      </x:c>
      <x:c r="G490" s="22" t="str">
        <x:v>Mensual</x:v>
      </x:c>
      <x:c r="H490" s="40" t="n">
        <x:v>90</x:v>
      </x:c>
      <x:c r="I490" s="22" t="str">
        <x:v>Mayor es mejor</x:v>
      </x:c>
      <x:c r="J490" s="40" t="n">
        <x:v>11</x:v>
      </x:c>
      <x:c r="K490" s="40" t="n">
        <x:v>12</x:v>
      </x:c>
      <x:c r="L490" s="40" t="n">
        <x:v>100</x:v>
      </x:c>
      <x:c r="M490" s="40" t="n">
        <x:f>IF(OR(J490="",K490="",K490=0),"",J490/K490*L490)</x:f>
        <x:v>91.66666666666666</x:v>
      </x:c>
      <x:c r="N490" s="22" t="str">
        <x:f>IF(M490="","",IF(I490="Mayor es mejor",IF(M490&gt;=H490,"En meta",IF(M490&gt;=H490*0.9,"Alerta","Crítico")),IF(M490&lt;=H490,"En meta",IF(M490&lt;=H490*1.1,"Alerta","Crítico"))))</x:f>
        <x:v>En meta</x:v>
      </x:c>
      <x:c r="O490" s="22" t="str">
        <x:v>%</x:v>
      </x:c>
      <x:c r="P490" s="22" t="str">
        <x:v>Líder SG-SST</x:v>
      </x:c>
      <x:c r="Q490" s="22" t="str">
        <x:v>Plan anual de trabajo PHVA</x:v>
      </x:c>
      <x:c r="R490" s="22" t="str"/>
    </x:row>
    <x:row r="491">
      <x:c r="A491" s="46" t="n">
        <x:v>45869</x:v>
      </x:c>
      <x:c r="B491" s="22" t="n">
        <x:v>2025</x:v>
      </x:c>
      <x:c r="C491" s="22" t="str">
        <x:v>Julio</x:v>
      </x:c>
      <x:c r="D491" s="22" t="str">
        <x:v>P02</x:v>
      </x:c>
      <x:c r="E491" s="22" t="str">
        <x:v>% investigaciones de accidentes realizadas oportunamente</x:v>
      </x:c>
      <x:c r="F491" s="22" t="str">
        <x:v>Proceso</x:v>
      </x:c>
      <x:c r="G491" s="22" t="str">
        <x:v>Mensual</x:v>
      </x:c>
      <x:c r="H491" s="40" t="n">
        <x:v>95</x:v>
      </x:c>
      <x:c r="I491" s="22" t="str">
        <x:v>Mayor es mejor</x:v>
      </x:c>
      <x:c r="J491" s="40" t="n">
        <x:v>1</x:v>
      </x:c>
      <x:c r="K491" s="40" t="n">
        <x:v>1</x:v>
      </x:c>
      <x:c r="L491" s="40" t="n">
        <x:v>100</x:v>
      </x:c>
      <x:c r="M491" s="40" t="n">
        <x:f>IF(OR(J491="",K491="",K491=0),"",J491/K491*L491)</x:f>
        <x:v>100</x:v>
      </x:c>
      <x:c r="N491" s="22" t="str">
        <x:f>IF(M491="","",IF(I491="Mayor es mejor",IF(M491&gt;=H491,"En meta",IF(M491&gt;=H491*0.9,"Alerta","Crítico")),IF(M491&lt;=H491,"En meta",IF(M491&lt;=H491*1.1,"Alerta","Crítico"))))</x:f>
        <x:v>En meta</x:v>
      </x:c>
      <x:c r="O491" s="22" t="str">
        <x:v>%</x:v>
      </x:c>
      <x:c r="P491" s="22" t="str">
        <x:v>Líder SG-SST / COPASST</x:v>
      </x:c>
      <x:c r="Q491" s="22" t="str">
        <x:v>Matriz de accidentalidad</x:v>
      </x:c>
      <x:c r="R491" s="22" t="str"/>
    </x:row>
    <x:row r="492">
      <x:c r="A492" s="46" t="n">
        <x:v>45869</x:v>
      </x:c>
      <x:c r="B492" s="22" t="n">
        <x:v>2025</x:v>
      </x:c>
      <x:c r="C492" s="22" t="str">
        <x:v>Julio</x:v>
      </x:c>
      <x:c r="D492" s="22" t="str">
        <x:v>P03</x:v>
      </x:c>
      <x:c r="E492" s="22" t="str">
        <x:v>% cierre oportuno de acciones correctivas, preventivas y de mejora</x:v>
      </x:c>
      <x:c r="F492" s="22" t="str">
        <x:v>Proceso</x:v>
      </x:c>
      <x:c r="G492" s="22" t="str">
        <x:v>Mensual</x:v>
      </x:c>
      <x:c r="H492" s="40" t="n">
        <x:v>90</x:v>
      </x:c>
      <x:c r="I492" s="22" t="str">
        <x:v>Mayor es mejor</x:v>
      </x:c>
      <x:c r="J492" s="40" t="n">
        <x:v>11</x:v>
      </x:c>
      <x:c r="K492" s="40" t="n">
        <x:v>12</x:v>
      </x:c>
      <x:c r="L492" s="40" t="n">
        <x:v>100</x:v>
      </x:c>
      <x:c r="M492" s="40" t="n">
        <x:f>IF(OR(J492="",K492="",K492=0),"",J492/K492*L492)</x:f>
        <x:v>91.66666666666666</x:v>
      </x:c>
      <x:c r="N492" s="22" t="str">
        <x:f>IF(M492="","",IF(I492="Mayor es mejor",IF(M492&gt;=H492,"En meta",IF(M492&gt;=H492*0.9,"Alerta","Crítico")),IF(M492&lt;=H492,"En meta",IF(M492&lt;=H492*1.1,"Alerta","Crítico"))))</x:f>
        <x:v>En meta</x:v>
      </x:c>
      <x:c r="O492" s="22" t="str">
        <x:v>%</x:v>
      </x:c>
      <x:c r="P492" s="22" t="str">
        <x:v>Líder SG-SST / Responsables de proceso</x:v>
      </x:c>
      <x:c r="Q492" s="22" t="str">
        <x:v>Matriz APCM</x:v>
      </x:c>
      <x:c r="R492" s="22" t="str"/>
    </x:row>
    <x:row r="493">
      <x:c r="A493" s="46" t="n">
        <x:v>45869</x:v>
      </x:c>
      <x:c r="B493" s="22" t="n">
        <x:v>2025</x:v>
      </x:c>
      <x:c r="C493" s="22" t="str">
        <x:v>Julio</x:v>
      </x:c>
      <x:c r="D493" s="22" t="str">
        <x:v>P04</x:v>
      </x:c>
      <x:c r="E493" s="22" t="str">
        <x:v>% inspecciones de seguridad ejecutadas</x:v>
      </x:c>
      <x:c r="F493" s="22" t="str">
        <x:v>Proceso</x:v>
      </x:c>
      <x:c r="G493" s="22" t="str">
        <x:v>Mensual</x:v>
      </x:c>
      <x:c r="H493" s="40" t="n">
        <x:v>90</x:v>
      </x:c>
      <x:c r="I493" s="22" t="str">
        <x:v>Mayor es mejor</x:v>
      </x:c>
      <x:c r="J493" s="40" t="n">
        <x:v>10</x:v>
      </x:c>
      <x:c r="K493" s="40" t="n">
        <x:v>11</x:v>
      </x:c>
      <x:c r="L493" s="40" t="n">
        <x:v>100</x:v>
      </x:c>
      <x:c r="M493" s="40" t="n">
        <x:f>IF(OR(J493="",K493="",K493=0),"",J493/K493*L493)</x:f>
        <x:v>90.9090909090909</x:v>
      </x:c>
      <x:c r="N493" s="22" t="str">
        <x:f>IF(M493="","",IF(I493="Mayor es mejor",IF(M493&gt;=H493,"En meta",IF(M493&gt;=H493*0.9,"Alerta","Crítico")),IF(M493&lt;=H493,"En meta",IF(M493&lt;=H493*1.1,"Alerta","Crítico"))))</x:f>
        <x:v>En meta</x:v>
      </x:c>
      <x:c r="O493" s="22" t="str">
        <x:v>%</x:v>
      </x:c>
      <x:c r="P493" s="22" t="str">
        <x:v>Líder SG-SST / Supervisores</x:v>
      </x:c>
      <x:c r="Q493" s="22" t="str">
        <x:v>Programa de inspecciones</x:v>
      </x:c>
      <x:c r="R493" s="22" t="str"/>
    </x:row>
    <x:row r="494">
      <x:c r="A494" s="46" t="n">
        <x:v>45869</x:v>
      </x:c>
      <x:c r="B494" s="22" t="n">
        <x:v>2025</x:v>
      </x:c>
      <x:c r="C494" s="22" t="str">
        <x:v>Julio</x:v>
      </x:c>
      <x:c r="D494" s="22" t="str">
        <x:v>P05</x:v>
      </x:c>
      <x:c r="E494" s="22" t="str">
        <x:v>% mantenimientos preventivos ejecutados</x:v>
      </x:c>
      <x:c r="F494" s="22" t="str">
        <x:v>Proceso</x:v>
      </x:c>
      <x:c r="G494" s="22" t="str">
        <x:v>Mensual</x:v>
      </x:c>
      <x:c r="H494" s="40" t="n">
        <x:v>90</x:v>
      </x:c>
      <x:c r="I494" s="22" t="str">
        <x:v>Mayor es mejor</x:v>
      </x:c>
      <x:c r="J494" s="40" t="n">
        <x:v>14</x:v>
      </x:c>
      <x:c r="K494" s="40" t="n">
        <x:v>15</x:v>
      </x:c>
      <x:c r="L494" s="40" t="n">
        <x:v>100</x:v>
      </x:c>
      <x:c r="M494" s="40" t="n">
        <x:f>IF(OR(J494="",K494="",K494=0),"",J494/K494*L494)</x:f>
        <x:v>93.33333333333333</x:v>
      </x:c>
      <x:c r="N494" s="22" t="str">
        <x:f>IF(M494="","",IF(I494="Mayor es mejor",IF(M494&gt;=H494,"En meta",IF(M494&gt;=H494*0.9,"Alerta","Crítico")),IF(M494&lt;=H494,"En meta",IF(M494&lt;=H494*1.1,"Alerta","Crítico"))))</x:f>
        <x:v>En meta</x:v>
      </x:c>
      <x:c r="O494" s="22" t="str">
        <x:v>%</x:v>
      </x:c>
      <x:c r="P494" s="22" t="str">
        <x:v>Mantenimiento / Líder SG-SST</x:v>
      </x:c>
      <x:c r="Q494" s="22" t="str">
        <x:v>Programa de mantenimiento preventivo</x:v>
      </x:c>
      <x:c r="R494" s="22" t="str"/>
    </x:row>
    <x:row r="495">
      <x:c r="A495" s="46" t="n">
        <x:v>45869</x:v>
      </x:c>
      <x:c r="B495" s="22" t="n">
        <x:v>2025</x:v>
      </x:c>
      <x:c r="C495" s="22" t="str">
        <x:v>Julio</x:v>
      </x:c>
      <x:c r="D495" s="22" t="str">
        <x:v>R01</x:v>
      </x:c>
      <x:c r="E495" s="22" t="str">
        <x:v>Índice de frecuencia de accidentalidad (IF)</x:v>
      </x:c>
      <x:c r="F495" s="22" t="str">
        <x:v>Resultado</x:v>
      </x:c>
      <x:c r="G495" s="22" t="str">
        <x:v>Mensual</x:v>
      </x:c>
      <x:c r="H495" s="40" t="n">
        <x:v>3.5</x:v>
      </x:c>
      <x:c r="I495" s="22" t="str">
        <x:v>Menor es mejor</x:v>
      </x:c>
      <x:c r="J495" s="40" t="n">
        <x:v>1</x:v>
      </x:c>
      <x:c r="K495" s="40" t="n">
        <x:v>59399</x:v>
      </x:c>
      <x:c r="L495" s="40" t="n">
        <x:v>200000</x:v>
      </x:c>
      <x:c r="M495" s="40" t="n">
        <x:f>IF(OR(J495="",K495="",K495=0),"",J495/K495*L495)</x:f>
        <x:v>3.367060051516019</x:v>
      </x:c>
      <x:c r="N495" s="22" t="str">
        <x:f>IF(M495="","",IF(I495="Mayor es mejor",IF(M495&gt;=H495,"En meta",IF(M495&gt;=H495*0.9,"Alerta","Crítico")),IF(M495&lt;=H495,"En meta",IF(M495&lt;=H495*1.1,"Alerta","Crítico"))))</x:f>
        <x:v>En meta</x:v>
      </x:c>
      <x:c r="O495" s="22" t="str">
        <x:v>Índice</x:v>
      </x:c>
      <x:c r="P495" s="22" t="str">
        <x:v>Líder SG-SST</x:v>
      </x:c>
      <x:c r="Q495" s="22" t="str">
        <x:v>Matriz de accidentalidad / nómina</x:v>
      </x:c>
      <x:c r="R495" s="22" t="str"/>
    </x:row>
    <x:row r="496">
      <x:c r="A496" s="46" t="n">
        <x:v>45869</x:v>
      </x:c>
      <x:c r="B496" s="22" t="n">
        <x:v>2025</x:v>
      </x:c>
      <x:c r="C496" s="22" t="str">
        <x:v>Julio</x:v>
      </x:c>
      <x:c r="D496" s="22" t="str">
        <x:v>R02</x:v>
      </x:c>
      <x:c r="E496" s="22" t="str">
        <x:v>Índice de severidad de accidentalidad (IS)</x:v>
      </x:c>
      <x:c r="F496" s="22" t="str">
        <x:v>Resultado</x:v>
      </x:c>
      <x:c r="G496" s="22" t="str">
        <x:v>Mensual</x:v>
      </x:c>
      <x:c r="H496" s="40" t="n">
        <x:v>80</x:v>
      </x:c>
      <x:c r="I496" s="22" t="str">
        <x:v>Menor es mejor</x:v>
      </x:c>
      <x:c r="J496" s="40" t="n">
        <x:v>18</x:v>
      </x:c>
      <x:c r="K496" s="40" t="n">
        <x:v>59399</x:v>
      </x:c>
      <x:c r="L496" s="40" t="n">
        <x:v>200000</x:v>
      </x:c>
      <x:c r="M496" s="40" t="n">
        <x:f>IF(OR(J496="",K496="",K496=0),"",J496/K496*L496)</x:f>
        <x:v>60.607080927288344</x:v>
      </x:c>
      <x:c r="N496" s="22" t="str">
        <x:f>IF(M496="","",IF(I496="Mayor es mejor",IF(M496&gt;=H496,"En meta",IF(M496&gt;=H496*0.9,"Alerta","Crítico")),IF(M496&lt;=H496,"En meta",IF(M496&lt;=H496*1.1,"Alerta","Crítico"))))</x:f>
        <x:v>En meta</x:v>
      </x:c>
      <x:c r="O496" s="22" t="str">
        <x:v>Índice</x:v>
      </x:c>
      <x:c r="P496" s="22" t="str">
        <x:v>Líder SG-SST</x:v>
      </x:c>
      <x:c r="Q496" s="22" t="str">
        <x:v>Matriz de accidentalidad / nómina</x:v>
      </x:c>
      <x:c r="R496" s="22" t="str"/>
    </x:row>
    <x:row r="497">
      <x:c r="A497" s="46" t="n">
        <x:v>45869</x:v>
      </x:c>
      <x:c r="B497" s="22" t="n">
        <x:v>2025</x:v>
      </x:c>
      <x:c r="C497" s="22" t="str">
        <x:v>Julio</x:v>
      </x:c>
      <x:c r="D497" s="22" t="str">
        <x:v>R03</x:v>
      </x:c>
      <x:c r="E497" s="22" t="str">
        <x:v>Índice de lesión incapacitante (ILI)</x:v>
      </x:c>
      <x:c r="F497" s="22" t="str">
        <x:v>Resultado</x:v>
      </x:c>
      <x:c r="G497" s="22" t="str">
        <x:v>Mensual</x:v>
      </x:c>
      <x:c r="H497" s="40" t="n">
        <x:v>0.25</x:v>
      </x:c>
      <x:c r="I497" s="22" t="str">
        <x:v>Menor es mejor</x:v>
      </x:c>
      <x:c r="J497" s="40" t="n">
        <x:v>204.0677</x:v>
      </x:c>
      <x:c r="K497" s="40" t="n">
        <x:v>1000</x:v>
      </x:c>
      <x:c r="L497" s="40" t="n">
        <x:v>1</x:v>
      </x:c>
      <x:c r="M497" s="40" t="n">
        <x:f>IF(OR(J497="",K497="",K497=0),"",J497/K497*L497)</x:f>
        <x:v>0.2040677</x:v>
      </x:c>
      <x:c r="N497" s="22" t="str">
        <x:f>IF(M497="","",IF(I497="Mayor es mejor",IF(M497&gt;=H497,"En meta",IF(M497&gt;=H497*0.9,"Alerta","Crítico")),IF(M497&lt;=H497,"En meta",IF(M497&lt;=H497*1.1,"Alerta","Crítico"))))</x:f>
        <x:v>En meta</x:v>
      </x:c>
      <x:c r="O497" s="22" t="str">
        <x:v>Índice</x:v>
      </x:c>
      <x:c r="P497" s="22" t="str">
        <x:v>Líder SG-SST</x:v>
      </x:c>
      <x:c r="Q497" s="22" t="str">
        <x:v>Indicadores derivados de accidentalidad</x:v>
      </x:c>
      <x:c r="R497" s="22" t="str">
        <x:v>ILI calculado sobre IF e IS del periodo.</x:v>
      </x:c>
    </x:row>
    <x:row r="498">
      <x:c r="A498" s="46" t="n">
        <x:v>45869</x:v>
      </x:c>
      <x:c r="B498" s="22" t="n">
        <x:v>2025</x:v>
      </x:c>
      <x:c r="C498" s="22" t="str">
        <x:v>Julio</x:v>
      </x:c>
      <x:c r="D498" s="22" t="str">
        <x:v>R04</x:v>
      </x:c>
      <x:c r="E498" s="22" t="str">
        <x:v>Tasa de accidentalidad</x:v>
      </x:c>
      <x:c r="F498" s="22" t="str">
        <x:v>Resultado</x:v>
      </x:c>
      <x:c r="G498" s="22" t="str">
        <x:v>Mensual</x:v>
      </x:c>
      <x:c r="H498" s="40" t="n">
        <x:v>0.6</x:v>
      </x:c>
      <x:c r="I498" s="22" t="str">
        <x:v>Menor es mejor</x:v>
      </x:c>
      <x:c r="J498" s="40" t="n">
        <x:v>0.92</x:v>
      </x:c>
      <x:c r="K498" s="40" t="n">
        <x:v>244</x:v>
      </x:c>
      <x:c r="L498" s="40" t="n">
        <x:v>100</x:v>
      </x:c>
      <x:c r="M498" s="40" t="n">
        <x:f>IF(OR(J498="",K498="",K498=0),"",J498/K498*L498)</x:f>
        <x:v>0.3770491803278689</x:v>
      </x:c>
      <x:c r="N498" s="22" t="str">
        <x:f>IF(M498="","",IF(I498="Mayor es mejor",IF(M498&gt;=H498,"En meta",IF(M498&gt;=H498*0.9,"Alerta","Crítico")),IF(M498&lt;=H498,"En meta",IF(M498&lt;=H498*1.1,"Alerta","Crítico"))))</x:f>
        <x:v>En meta</x:v>
      </x:c>
      <x:c r="O498" s="22" t="str">
        <x:v>%</x:v>
      </x:c>
      <x:c r="P498" s="22" t="str">
        <x:v>Líder SG-SST</x:v>
      </x:c>
      <x:c r="Q498" s="22" t="str">
        <x:v>Matriz de accidentalidad / nómina</x:v>
      </x:c>
      <x:c r="R498" s="22" t="str"/>
    </x:row>
    <x:row r="499">
      <x:c r="A499" s="46" t="n">
        <x:v>45869</x:v>
      </x:c>
      <x:c r="B499" s="22" t="n">
        <x:v>2025</x:v>
      </x:c>
      <x:c r="C499" s="22" t="str">
        <x:v>Julio</x:v>
      </x:c>
      <x:c r="D499" s="22" t="str">
        <x:v>R05</x:v>
      </x:c>
      <x:c r="E499" s="22" t="str">
        <x:v>Prevalencia de enfermedad laboral</x:v>
      </x:c>
      <x:c r="F499" s="22" t="str">
        <x:v>Resultado</x:v>
      </x:c>
      <x:c r="G499" s="22" t="str">
        <x:v>Mensual</x:v>
      </x:c>
      <x:c r="H499" s="40" t="n">
        <x:v>0.3</x:v>
      </x:c>
      <x:c r="I499" s="22" t="str">
        <x:v>Menor es mejor</x:v>
      </x:c>
      <x:c r="J499" s="40" t="n">
        <x:v>2.23</x:v>
      </x:c>
      <x:c r="K499" s="40" t="n">
        <x:v>244</x:v>
      </x:c>
      <x:c r="L499" s="40" t="n">
        <x:v>100</x:v>
      </x:c>
      <x:c r="M499" s="40" t="n">
        <x:f>IF(OR(J499="",K499="",K499=0),"",J499/K499*L499)</x:f>
        <x:v>0.9139344262295082</x:v>
      </x:c>
      <x:c r="N499" s="22" t="str">
        <x:f>IF(M499="","",IF(I499="Mayor es mejor",IF(M499&gt;=H499,"En meta",IF(M499&gt;=H499*0.9,"Alerta","Crítico")),IF(M499&lt;=H499,"En meta",IF(M499&lt;=H499*1.1,"Alerta","Crítico"))))</x:f>
        <x:v>Crítico</x:v>
      </x:c>
      <x:c r="O499" s="22" t="str">
        <x:v>%</x:v>
      </x:c>
      <x:c r="P499" s="22" t="str">
        <x:v>Líder SG-SST / Medicina laboral</x:v>
      </x:c>
      <x:c r="Q499" s="22" t="str">
        <x:v>Matriz de enfermedad laboral / nómina</x:v>
      </x:c>
      <x:c r="R499" s="22" t="str"/>
    </x:row>
    <x:row r="500">
      <x:c r="A500" s="46" t="n">
        <x:v>45869</x:v>
      </x:c>
      <x:c r="B500" s="22" t="n">
        <x:v>2025</x:v>
      </x:c>
      <x:c r="C500" s="22" t="str">
        <x:v>Julio</x:v>
      </x:c>
      <x:c r="D500" s="22" t="str">
        <x:v>R06</x:v>
      </x:c>
      <x:c r="E500" s="22" t="str">
        <x:v>% cumplimiento de estándares mínimos Res. 0312 de 2019</x:v>
      </x:c>
      <x:c r="F500" s="22" t="str">
        <x:v>Resultado</x:v>
      </x:c>
      <x:c r="G500" s="22" t="str">
        <x:v>Mensual</x:v>
      </x:c>
      <x:c r="H500" s="40" t="n">
        <x:v>95</x:v>
      </x:c>
      <x:c r="I500" s="22" t="str">
        <x:v>Mayor es mejor</x:v>
      </x:c>
      <x:c r="J500" s="40" t="n">
        <x:v>97</x:v>
      </x:c>
      <x:c r="K500" s="40" t="n">
        <x:v>100</x:v>
      </x:c>
      <x:c r="L500" s="40" t="n">
        <x:v>100</x:v>
      </x:c>
      <x:c r="M500" s="40" t="n">
        <x:f>IF(OR(J500="",K500="",K500=0),"",J500/K500*L500)</x:f>
        <x:v>97</x:v>
      </x:c>
      <x:c r="N500" s="22" t="str">
        <x:f>IF(M500="","",IF(I500="Mayor es mejor",IF(M500&gt;=H500,"En meta",IF(M500&gt;=H500*0.9,"Alerta","Crítico")),IF(M500&lt;=H500,"En meta",IF(M500&lt;=H500*1.1,"Alerta","Crítico"))))</x:f>
        <x:v>En meta</x:v>
      </x:c>
      <x:c r="O500" s="22" t="str">
        <x:v>%</x:v>
      </x:c>
      <x:c r="P500" s="22" t="str">
        <x:v>Líder SG-SST / Alta Dirección</x:v>
      </x:c>
      <x:c r="Q500" s="22" t="str">
        <x:v>Autodiagnóstico Res. 0312 de 2019</x:v>
      </x:c>
      <x:c r="R500" s="22" t="str"/>
    </x:row>
    <x:row r="501">
      <x:c r="A501" s="46" t="n">
        <x:v>45900</x:v>
      </x:c>
      <x:c r="B501" s="22" t="n">
        <x:v>2025</x:v>
      </x:c>
      <x:c r="C501" s="22" t="str">
        <x:v>Agosto</x:v>
      </x:c>
      <x:c r="D501" s="22" t="str">
        <x:v>E01</x:v>
      </x:c>
      <x:c r="E501" s="22" t="str">
        <x:v>% ejecución presupuestal del SG-SST</x:v>
      </x:c>
      <x:c r="F501" s="22" t="str">
        <x:v>Estructura</x:v>
      </x:c>
      <x:c r="G501" s="22" t="str">
        <x:v>Mensual</x:v>
      </x:c>
      <x:c r="H501" s="40" t="n">
        <x:v>95</x:v>
      </x:c>
      <x:c r="I501" s="22" t="str">
        <x:v>Mayor es mejor</x:v>
      </x:c>
      <x:c r="J501" s="40" t="n">
        <x:v>7598023</x:v>
      </x:c>
      <x:c r="K501" s="40" t="n">
        <x:v>8000000</x:v>
      </x:c>
      <x:c r="L501" s="40" t="n">
        <x:v>100</x:v>
      </x:c>
      <x:c r="M501" s="40" t="n">
        <x:f>IF(OR(J501="",K501="",K501=0),"",J501/K501*L501)</x:f>
        <x:v>94.97528750000001</x:v>
      </x:c>
      <x:c r="N501" s="22" t="str">
        <x:f>IF(M501="","",IF(I501="Mayor es mejor",IF(M501&gt;=H501,"En meta",IF(M501&gt;=H501*0.9,"Alerta","Crítico")),IF(M501&lt;=H501,"En meta",IF(M501&lt;=H501*1.1,"Alerta","Crítico"))))</x:f>
        <x:v>Alerta</x:v>
      </x:c>
      <x:c r="O501" s="22" t="str">
        <x:v>%</x:v>
      </x:c>
      <x:c r="P501" s="22" t="str">
        <x:v>Líder SG-SST / Dirección Administrativa</x:v>
      </x:c>
      <x:c r="Q501" s="22" t="str">
        <x:v>Presupuesto SST</x:v>
      </x:c>
      <x:c r="R501" s="22" t="str"/>
    </x:row>
    <x:row r="502">
      <x:c r="A502" s="46" t="n">
        <x:v>45900</x:v>
      </x:c>
      <x:c r="B502" s="22" t="n">
        <x:v>2025</x:v>
      </x:c>
      <x:c r="C502" s="22" t="str">
        <x:v>Agosto</x:v>
      </x:c>
      <x:c r="D502" s="22" t="str">
        <x:v>E02</x:v>
      </x:c>
      <x:c r="E502" s="22" t="str">
        <x:v>% cobertura del plan de formación y capacitación SG-SST</x:v>
      </x:c>
      <x:c r="F502" s="22" t="str">
        <x:v>Estructura</x:v>
      </x:c>
      <x:c r="G502" s="22" t="str">
        <x:v>Mensual</x:v>
      </x:c>
      <x:c r="H502" s="40" t="n">
        <x:v>90</x:v>
      </x:c>
      <x:c r="I502" s="22" t="str">
        <x:v>Mayor es mejor</x:v>
      </x:c>
      <x:c r="J502" s="40" t="n">
        <x:v>17</x:v>
      </x:c>
      <x:c r="K502" s="40" t="n">
        <x:v>18</x:v>
      </x:c>
      <x:c r="L502" s="40" t="n">
        <x:v>100</x:v>
      </x:c>
      <x:c r="M502" s="40" t="n">
        <x:f>IF(OR(J502="",K502="",K502=0),"",J502/K502*L502)</x:f>
        <x:v>94.44444444444444</x:v>
      </x:c>
      <x:c r="N502" s="22" t="str">
        <x:f>IF(M502="","",IF(I502="Mayor es mejor",IF(M502&gt;=H502,"En meta",IF(M502&gt;=H502*0.9,"Alerta","Crítico")),IF(M502&lt;=H502,"En meta",IF(M502&lt;=H502*1.1,"Alerta","Crítico"))))</x:f>
        <x:v>En meta</x:v>
      </x:c>
      <x:c r="O502" s="22" t="str">
        <x:v>%</x:v>
      </x:c>
      <x:c r="P502" s="22" t="str">
        <x:v>Líder SG-SST / Talento Humano</x:v>
      </x:c>
      <x:c r="Q502" s="22" t="str">
        <x:v>Plan de formación y capacitaciones</x:v>
      </x:c>
      <x:c r="R502" s="22" t="str"/>
    </x:row>
    <x:row r="503">
      <x:c r="A503" s="46" t="n">
        <x:v>45900</x:v>
      </x:c>
      <x:c r="B503" s="22" t="n">
        <x:v>2025</x:v>
      </x:c>
      <x:c r="C503" s="22" t="str">
        <x:v>Agosto</x:v>
      </x:c>
      <x:c r="D503" s="22" t="str">
        <x:v>E03</x:v>
      </x:c>
      <x:c r="E503" s="22" t="str">
        <x:v>% trabajadores con exámenes médicos ocupacionales vigentes</x:v>
      </x:c>
      <x:c r="F503" s="22" t="str">
        <x:v>Estructura</x:v>
      </x:c>
      <x:c r="G503" s="22" t="str">
        <x:v>Mensual</x:v>
      </x:c>
      <x:c r="H503" s="40" t="n">
        <x:v>95</x:v>
      </x:c>
      <x:c r="I503" s="22" t="str">
        <x:v>Mayor es mejor</x:v>
      </x:c>
      <x:c r="J503" s="40" t="n">
        <x:v>231</x:v>
      </x:c>
      <x:c r="K503" s="40" t="n">
        <x:v>239</x:v>
      </x:c>
      <x:c r="L503" s="40" t="n">
        <x:v>100</x:v>
      </x:c>
      <x:c r="M503" s="40" t="n">
        <x:f>IF(OR(J503="",K503="",K503=0),"",J503/K503*L503)</x:f>
        <x:v>96.65271966527197</x:v>
      </x:c>
      <x:c r="N503" s="22" t="str">
        <x:f>IF(M503="","",IF(I503="Mayor es mejor",IF(M503&gt;=H503,"En meta",IF(M503&gt;=H503*0.9,"Alerta","Crítico")),IF(M503&lt;=H503,"En meta",IF(M503&lt;=H503*1.1,"Alerta","Crítico"))))</x:f>
        <x:v>En meta</x:v>
      </x:c>
      <x:c r="O503" s="22" t="str">
        <x:v>%</x:v>
      </x:c>
      <x:c r="P503" s="22" t="str">
        <x:v>Líder SG-SST / Talento Humano</x:v>
      </x:c>
      <x:c r="Q503" s="22" t="str">
        <x:v>Matriz de seguimiento EMO</x:v>
      </x:c>
      <x:c r="R503" s="22" t="str"/>
    </x:row>
    <x:row r="504">
      <x:c r="A504" s="46" t="n">
        <x:v>45900</x:v>
      </x:c>
      <x:c r="B504" s="22" t="n">
        <x:v>2025</x:v>
      </x:c>
      <x:c r="C504" s="22" t="str">
        <x:v>Agosto</x:v>
      </x:c>
      <x:c r="D504" s="22" t="str">
        <x:v>E04</x:v>
      </x:c>
      <x:c r="E504" s="22" t="str">
        <x:v>% cumplimiento de requisitos legales aplicables en SST</x:v>
      </x:c>
      <x:c r="F504" s="22" t="str">
        <x:v>Estructura</x:v>
      </x:c>
      <x:c r="G504" s="22" t="str">
        <x:v>Mensual</x:v>
      </x:c>
      <x:c r="H504" s="40" t="n">
        <x:v>95</x:v>
      </x:c>
      <x:c r="I504" s="22" t="str">
        <x:v>Mayor es mejor</x:v>
      </x:c>
      <x:c r="J504" s="40" t="n">
        <x:v>58</x:v>
      </x:c>
      <x:c r="K504" s="40" t="n">
        <x:v>60</x:v>
      </x:c>
      <x:c r="L504" s="40" t="n">
        <x:v>100</x:v>
      </x:c>
      <x:c r="M504" s="40" t="n">
        <x:f>IF(OR(J504="",K504="",K504=0),"",J504/K504*L504)</x:f>
        <x:v>96.66666666666667</x:v>
      </x:c>
      <x:c r="N504" s="22" t="str">
        <x:f>IF(M504="","",IF(I504="Mayor es mejor",IF(M504&gt;=H504,"En meta",IF(M504&gt;=H504*0.9,"Alerta","Crítico")),IF(M504&lt;=H504,"En meta",IF(M504&lt;=H504*1.1,"Alerta","Crítico"))))</x:f>
        <x:v>En meta</x:v>
      </x:c>
      <x:c r="O504" s="22" t="str">
        <x:v>%</x:v>
      </x:c>
      <x:c r="P504" s="22" t="str">
        <x:v>Líder SG-SST / Jurídica</x:v>
      </x:c>
      <x:c r="Q504" s="22" t="str">
        <x:v>Matriz legal SGRL</x:v>
      </x:c>
      <x:c r="R504" s="22" t="str"/>
    </x:row>
    <x:row r="505">
      <x:c r="A505" s="46" t="n">
        <x:v>45900</x:v>
      </x:c>
      <x:c r="B505" s="22" t="n">
        <x:v>2025</x:v>
      </x:c>
      <x:c r="C505" s="22" t="str">
        <x:v>Agosto</x:v>
      </x:c>
      <x:c r="D505" s="22" t="str">
        <x:v>E05</x:v>
      </x:c>
      <x:c r="E505" s="22" t="str">
        <x:v>% proveedores y contratistas aprobados en SST</x:v>
      </x:c>
      <x:c r="F505" s="22" t="str">
        <x:v>Estructura</x:v>
      </x:c>
      <x:c r="G505" s="22" t="str">
        <x:v>Mensual</x:v>
      </x:c>
      <x:c r="H505" s="40" t="n">
        <x:v>90</x:v>
      </x:c>
      <x:c r="I505" s="22" t="str">
        <x:v>Mayor es mejor</x:v>
      </x:c>
      <x:c r="J505" s="40" t="n">
        <x:v>19</x:v>
      </x:c>
      <x:c r="K505" s="40" t="n">
        <x:v>20</x:v>
      </x:c>
      <x:c r="L505" s="40" t="n">
        <x:v>100</x:v>
      </x:c>
      <x:c r="M505" s="40" t="n">
        <x:f>IF(OR(J505="",K505="",K505=0),"",J505/K505*L505)</x:f>
        <x:v>95</x:v>
      </x:c>
      <x:c r="N505" s="22" t="str">
        <x:f>IF(M505="","",IF(I505="Mayor es mejor",IF(M505&gt;=H505,"En meta",IF(M505&gt;=H505*0.9,"Alerta","Crítico")),IF(M505&lt;=H505,"En meta",IF(M505&lt;=H505*1.1,"Alerta","Crítico"))))</x:f>
        <x:v>En meta</x:v>
      </x:c>
      <x:c r="O505" s="22" t="str">
        <x:v>%</x:v>
      </x:c>
      <x:c r="P505" s="22" t="str">
        <x:v>Compras / Líder SG-SST</x:v>
      </x:c>
      <x:c r="Q505" s="22" t="str">
        <x:v>Gestión de proveedores y contratistas</x:v>
      </x:c>
      <x:c r="R505" s="22" t="str"/>
    </x:row>
    <x:row r="506">
      <x:c r="A506" s="46" t="n">
        <x:v>45900</x:v>
      </x:c>
      <x:c r="B506" s="22" t="n">
        <x:v>2025</x:v>
      </x:c>
      <x:c r="C506" s="22" t="str">
        <x:v>Agosto</x:v>
      </x:c>
      <x:c r="D506" s="22" t="str">
        <x:v>P01</x:v>
      </x:c>
      <x:c r="E506" s="22" t="str">
        <x:v>% ejecución del plan anual de trabajo SG-SST</x:v>
      </x:c>
      <x:c r="F506" s="22" t="str">
        <x:v>Proceso</x:v>
      </x:c>
      <x:c r="G506" s="22" t="str">
        <x:v>Mensual</x:v>
      </x:c>
      <x:c r="H506" s="40" t="n">
        <x:v>90</x:v>
      </x:c>
      <x:c r="I506" s="22" t="str">
        <x:v>Mayor es mejor</x:v>
      </x:c>
      <x:c r="J506" s="40" t="n">
        <x:v>13</x:v>
      </x:c>
      <x:c r="K506" s="40" t="n">
        <x:v>14</x:v>
      </x:c>
      <x:c r="L506" s="40" t="n">
        <x:v>100</x:v>
      </x:c>
      <x:c r="M506" s="40" t="n">
        <x:f>IF(OR(J506="",K506="",K506=0),"",J506/K506*L506)</x:f>
        <x:v>92.85714285714286</x:v>
      </x:c>
      <x:c r="N506" s="22" t="str">
        <x:f>IF(M506="","",IF(I506="Mayor es mejor",IF(M506&gt;=H506,"En meta",IF(M506&gt;=H506*0.9,"Alerta","Crítico")),IF(M506&lt;=H506,"En meta",IF(M506&lt;=H506*1.1,"Alerta","Crítico"))))</x:f>
        <x:v>En meta</x:v>
      </x:c>
      <x:c r="O506" s="22" t="str">
        <x:v>%</x:v>
      </x:c>
      <x:c r="P506" s="22" t="str">
        <x:v>Líder SG-SST</x:v>
      </x:c>
      <x:c r="Q506" s="22" t="str">
        <x:v>Plan anual de trabajo PHVA</x:v>
      </x:c>
      <x:c r="R506" s="22" t="str"/>
    </x:row>
    <x:row r="507">
      <x:c r="A507" s="46" t="n">
        <x:v>45900</x:v>
      </x:c>
      <x:c r="B507" s="22" t="n">
        <x:v>2025</x:v>
      </x:c>
      <x:c r="C507" s="22" t="str">
        <x:v>Agosto</x:v>
      </x:c>
      <x:c r="D507" s="22" t="str">
        <x:v>P02</x:v>
      </x:c>
      <x:c r="E507" s="22" t="str">
        <x:v>% investigaciones de accidentes realizadas oportunamente</x:v>
      </x:c>
      <x:c r="F507" s="22" t="str">
        <x:v>Proceso</x:v>
      </x:c>
      <x:c r="G507" s="22" t="str">
        <x:v>Mensual</x:v>
      </x:c>
      <x:c r="H507" s="40" t="n">
        <x:v>95</x:v>
      </x:c>
      <x:c r="I507" s="22" t="str">
        <x:v>Mayor es mejor</x:v>
      </x:c>
      <x:c r="J507" s="40" t="n">
        <x:v>1</x:v>
      </x:c>
      <x:c r="K507" s="40" t="n">
        <x:v>1</x:v>
      </x:c>
      <x:c r="L507" s="40" t="n">
        <x:v>100</x:v>
      </x:c>
      <x:c r="M507" s="40" t="n">
        <x:f>IF(OR(J507="",K507="",K507=0),"",J507/K507*L507)</x:f>
        <x:v>100</x:v>
      </x:c>
      <x:c r="N507" s="22" t="str">
        <x:f>IF(M507="","",IF(I507="Mayor es mejor",IF(M507&gt;=H507,"En meta",IF(M507&gt;=H507*0.9,"Alerta","Crítico")),IF(M507&lt;=H507,"En meta",IF(M507&lt;=H507*1.1,"Alerta","Crítico"))))</x:f>
        <x:v>En meta</x:v>
      </x:c>
      <x:c r="O507" s="22" t="str">
        <x:v>%</x:v>
      </x:c>
      <x:c r="P507" s="22" t="str">
        <x:v>Líder SG-SST / COPASST</x:v>
      </x:c>
      <x:c r="Q507" s="22" t="str">
        <x:v>Matriz de accidentalidad</x:v>
      </x:c>
      <x:c r="R507" s="22" t="str"/>
    </x:row>
    <x:row r="508">
      <x:c r="A508" s="46" t="n">
        <x:v>45900</x:v>
      </x:c>
      <x:c r="B508" s="22" t="n">
        <x:v>2025</x:v>
      </x:c>
      <x:c r="C508" s="22" t="str">
        <x:v>Agosto</x:v>
      </x:c>
      <x:c r="D508" s="22" t="str">
        <x:v>P03</x:v>
      </x:c>
      <x:c r="E508" s="22" t="str">
        <x:v>% cierre oportuno de acciones correctivas, preventivas y de mejora</x:v>
      </x:c>
      <x:c r="F508" s="22" t="str">
        <x:v>Proceso</x:v>
      </x:c>
      <x:c r="G508" s="22" t="str">
        <x:v>Mensual</x:v>
      </x:c>
      <x:c r="H508" s="40" t="n">
        <x:v>90</x:v>
      </x:c>
      <x:c r="I508" s="22" t="str">
        <x:v>Mayor es mejor</x:v>
      </x:c>
      <x:c r="J508" s="40" t="n">
        <x:v>12</x:v>
      </x:c>
      <x:c r="K508" s="40" t="n">
        <x:v>13</x:v>
      </x:c>
      <x:c r="L508" s="40" t="n">
        <x:v>100</x:v>
      </x:c>
      <x:c r="M508" s="40" t="n">
        <x:f>IF(OR(J508="",K508="",K508=0),"",J508/K508*L508)</x:f>
        <x:v>92.3076923076923</x:v>
      </x:c>
      <x:c r="N508" s="22" t="str">
        <x:f>IF(M508="","",IF(I508="Mayor es mejor",IF(M508&gt;=H508,"En meta",IF(M508&gt;=H508*0.9,"Alerta","Crítico")),IF(M508&lt;=H508,"En meta",IF(M508&lt;=H508*1.1,"Alerta","Crítico"))))</x:f>
        <x:v>En meta</x:v>
      </x:c>
      <x:c r="O508" s="22" t="str">
        <x:v>%</x:v>
      </x:c>
      <x:c r="P508" s="22" t="str">
        <x:v>Líder SG-SST / Responsables de proceso</x:v>
      </x:c>
      <x:c r="Q508" s="22" t="str">
        <x:v>Matriz APCM</x:v>
      </x:c>
      <x:c r="R508" s="22" t="str"/>
    </x:row>
    <x:row r="509">
      <x:c r="A509" s="46" t="n">
        <x:v>45900</x:v>
      </x:c>
      <x:c r="B509" s="22" t="n">
        <x:v>2025</x:v>
      </x:c>
      <x:c r="C509" s="22" t="str">
        <x:v>Agosto</x:v>
      </x:c>
      <x:c r="D509" s="22" t="str">
        <x:v>P04</x:v>
      </x:c>
      <x:c r="E509" s="22" t="str">
        <x:v>% inspecciones de seguridad ejecutadas</x:v>
      </x:c>
      <x:c r="F509" s="22" t="str">
        <x:v>Proceso</x:v>
      </x:c>
      <x:c r="G509" s="22" t="str">
        <x:v>Mensual</x:v>
      </x:c>
      <x:c r="H509" s="40" t="n">
        <x:v>90</x:v>
      </x:c>
      <x:c r="I509" s="22" t="str">
        <x:v>Mayor es mejor</x:v>
      </x:c>
      <x:c r="J509" s="40" t="n">
        <x:v>7</x:v>
      </x:c>
      <x:c r="K509" s="40" t="n">
        <x:v>8</x:v>
      </x:c>
      <x:c r="L509" s="40" t="n">
        <x:v>100</x:v>
      </x:c>
      <x:c r="M509" s="40" t="n">
        <x:f>IF(OR(J509="",K509="",K509=0),"",J509/K509*L509)</x:f>
        <x:v>87.5</x:v>
      </x:c>
      <x:c r="N509" s="22" t="str">
        <x:f>IF(M509="","",IF(I509="Mayor es mejor",IF(M509&gt;=H509,"En meta",IF(M509&gt;=H509*0.9,"Alerta","Crítico")),IF(M509&lt;=H509,"En meta",IF(M509&lt;=H509*1.1,"Alerta","Crítico"))))</x:f>
        <x:v>Alerta</x:v>
      </x:c>
      <x:c r="O509" s="22" t="str">
        <x:v>%</x:v>
      </x:c>
      <x:c r="P509" s="22" t="str">
        <x:v>Líder SG-SST / Supervisores</x:v>
      </x:c>
      <x:c r="Q509" s="22" t="str">
        <x:v>Programa de inspecciones</x:v>
      </x:c>
      <x:c r="R509" s="22" t="str"/>
    </x:row>
    <x:row r="510">
      <x:c r="A510" s="46" t="n">
        <x:v>45900</x:v>
      </x:c>
      <x:c r="B510" s="22" t="n">
        <x:v>2025</x:v>
      </x:c>
      <x:c r="C510" s="22" t="str">
        <x:v>Agosto</x:v>
      </x:c>
      <x:c r="D510" s="22" t="str">
        <x:v>P05</x:v>
      </x:c>
      <x:c r="E510" s="22" t="str">
        <x:v>% mantenimientos preventivos ejecutados</x:v>
      </x:c>
      <x:c r="F510" s="22" t="str">
        <x:v>Proceso</x:v>
      </x:c>
      <x:c r="G510" s="22" t="str">
        <x:v>Mensual</x:v>
      </x:c>
      <x:c r="H510" s="40" t="n">
        <x:v>90</x:v>
      </x:c>
      <x:c r="I510" s="22" t="str">
        <x:v>Mayor es mejor</x:v>
      </x:c>
      <x:c r="J510" s="40" t="n">
        <x:v>11</x:v>
      </x:c>
      <x:c r="K510" s="40" t="n">
        <x:v>12</x:v>
      </x:c>
      <x:c r="L510" s="40" t="n">
        <x:v>100</x:v>
      </x:c>
      <x:c r="M510" s="40" t="n">
        <x:f>IF(OR(J510="",K510="",K510=0),"",J510/K510*L510)</x:f>
        <x:v>91.66666666666666</x:v>
      </x:c>
      <x:c r="N510" s="22" t="str">
        <x:f>IF(M510="","",IF(I510="Mayor es mejor",IF(M510&gt;=H510,"En meta",IF(M510&gt;=H510*0.9,"Alerta","Crítico")),IF(M510&lt;=H510,"En meta",IF(M510&lt;=H510*1.1,"Alerta","Crítico"))))</x:f>
        <x:v>En meta</x:v>
      </x:c>
      <x:c r="O510" s="22" t="str">
        <x:v>%</x:v>
      </x:c>
      <x:c r="P510" s="22" t="str">
        <x:v>Mantenimiento / Líder SG-SST</x:v>
      </x:c>
      <x:c r="Q510" s="22" t="str">
        <x:v>Programa de mantenimiento preventivo</x:v>
      </x:c>
      <x:c r="R510" s="22" t="str"/>
    </x:row>
    <x:row r="511">
      <x:c r="A511" s="46" t="n">
        <x:v>45900</x:v>
      </x:c>
      <x:c r="B511" s="22" t="n">
        <x:v>2025</x:v>
      </x:c>
      <x:c r="C511" s="22" t="str">
        <x:v>Agosto</x:v>
      </x:c>
      <x:c r="D511" s="22" t="str">
        <x:v>R01</x:v>
      </x:c>
      <x:c r="E511" s="22" t="str">
        <x:v>Índice de frecuencia de accidentalidad (IF)</x:v>
      </x:c>
      <x:c r="F511" s="22" t="str">
        <x:v>Resultado</x:v>
      </x:c>
      <x:c r="G511" s="22" t="str">
        <x:v>Mensual</x:v>
      </x:c>
      <x:c r="H511" s="40" t="n">
        <x:v>3.5</x:v>
      </x:c>
      <x:c r="I511" s="22" t="str">
        <x:v>Menor es mejor</x:v>
      </x:c>
      <x:c r="J511" s="40" t="n">
        <x:v>1</x:v>
      </x:c>
      <x:c r="K511" s="40" t="n">
        <x:v>57312</x:v>
      </x:c>
      <x:c r="L511" s="40" t="n">
        <x:v>200000</x:v>
      </x:c>
      <x:c r="M511" s="40" t="n">
        <x:f>IF(OR(J511="",K511="",K511=0),"",J511/K511*L511)</x:f>
        <x:v>3.4896705750977106</x:v>
      </x:c>
      <x:c r="N511" s="22" t="str">
        <x:f>IF(M511="","",IF(I511="Mayor es mejor",IF(M511&gt;=H511,"En meta",IF(M511&gt;=H511*0.9,"Alerta","Crítico")),IF(M511&lt;=H511,"En meta",IF(M511&lt;=H511*1.1,"Alerta","Crítico"))))</x:f>
        <x:v>En meta</x:v>
      </x:c>
      <x:c r="O511" s="22" t="str">
        <x:v>Índice</x:v>
      </x:c>
      <x:c r="P511" s="22" t="str">
        <x:v>Líder SG-SST</x:v>
      </x:c>
      <x:c r="Q511" s="22" t="str">
        <x:v>Matriz de accidentalidad / nómina</x:v>
      </x:c>
      <x:c r="R511" s="22" t="str"/>
    </x:row>
    <x:row r="512">
      <x:c r="A512" s="46" t="n">
        <x:v>45900</x:v>
      </x:c>
      <x:c r="B512" s="22" t="n">
        <x:v>2025</x:v>
      </x:c>
      <x:c r="C512" s="22" t="str">
        <x:v>Agosto</x:v>
      </x:c>
      <x:c r="D512" s="22" t="str">
        <x:v>R02</x:v>
      </x:c>
      <x:c r="E512" s="22" t="str">
        <x:v>Índice de severidad de accidentalidad (IS)</x:v>
      </x:c>
      <x:c r="F512" s="22" t="str">
        <x:v>Resultado</x:v>
      </x:c>
      <x:c r="G512" s="22" t="str">
        <x:v>Mensual</x:v>
      </x:c>
      <x:c r="H512" s="40" t="n">
        <x:v>80</x:v>
      </x:c>
      <x:c r="I512" s="22" t="str">
        <x:v>Menor es mejor</x:v>
      </x:c>
      <x:c r="J512" s="40" t="n">
        <x:v>15</x:v>
      </x:c>
      <x:c r="K512" s="40" t="n">
        <x:v>57312</x:v>
      </x:c>
      <x:c r="L512" s="40" t="n">
        <x:v>200000</x:v>
      </x:c>
      <x:c r="M512" s="40" t="n">
        <x:f>IF(OR(J512="",K512="",K512=0),"",J512/K512*L512)</x:f>
        <x:v>52.34505862646566</x:v>
      </x:c>
      <x:c r="N512" s="22" t="str">
        <x:f>IF(M512="","",IF(I512="Mayor es mejor",IF(M512&gt;=H512,"En meta",IF(M512&gt;=H512*0.9,"Alerta","Crítico")),IF(M512&lt;=H512,"En meta",IF(M512&lt;=H512*1.1,"Alerta","Crítico"))))</x:f>
        <x:v>En meta</x:v>
      </x:c>
      <x:c r="O512" s="22" t="str">
        <x:v>Índice</x:v>
      </x:c>
      <x:c r="P512" s="22" t="str">
        <x:v>Líder SG-SST</x:v>
      </x:c>
      <x:c r="Q512" s="22" t="str">
        <x:v>Matriz de accidentalidad / nómina</x:v>
      </x:c>
      <x:c r="R512" s="22" t="str"/>
    </x:row>
    <x:row r="513">
      <x:c r="A513" s="46" t="n">
        <x:v>45900</x:v>
      </x:c>
      <x:c r="B513" s="22" t="n">
        <x:v>2025</x:v>
      </x:c>
      <x:c r="C513" s="22" t="str">
        <x:v>Agosto</x:v>
      </x:c>
      <x:c r="D513" s="22" t="str">
        <x:v>R03</x:v>
      </x:c>
      <x:c r="E513" s="22" t="str">
        <x:v>Índice de lesión incapacitante (ILI)</x:v>
      </x:c>
      <x:c r="F513" s="22" t="str">
        <x:v>Resultado</x:v>
      </x:c>
      <x:c r="G513" s="22" t="str">
        <x:v>Mensual</x:v>
      </x:c>
      <x:c r="H513" s="40" t="n">
        <x:v>0.25</x:v>
      </x:c>
      <x:c r="I513" s="22" t="str">
        <x:v>Menor es mejor</x:v>
      </x:c>
      <x:c r="J513" s="40" t="n">
        <x:v>182.667</x:v>
      </x:c>
      <x:c r="K513" s="40" t="n">
        <x:v>1000</x:v>
      </x:c>
      <x:c r="L513" s="40" t="n">
        <x:v>1</x:v>
      </x:c>
      <x:c r="M513" s="40" t="n">
        <x:f>IF(OR(J513="",K513="",K513=0),"",J513/K513*L513)</x:f>
        <x:v>0.182667</x:v>
      </x:c>
      <x:c r="N513" s="22" t="str">
        <x:f>IF(M513="","",IF(I513="Mayor es mejor",IF(M513&gt;=H513,"En meta",IF(M513&gt;=H513*0.9,"Alerta","Crítico")),IF(M513&lt;=H513,"En meta",IF(M513&lt;=H513*1.1,"Alerta","Crítico"))))</x:f>
        <x:v>En meta</x:v>
      </x:c>
      <x:c r="O513" s="22" t="str">
        <x:v>Índice</x:v>
      </x:c>
      <x:c r="P513" s="22" t="str">
        <x:v>Líder SG-SST</x:v>
      </x:c>
      <x:c r="Q513" s="22" t="str">
        <x:v>Indicadores derivados de accidentalidad</x:v>
      </x:c>
      <x:c r="R513" s="22" t="str">
        <x:v>ILI calculado sobre IF e IS del periodo.</x:v>
      </x:c>
    </x:row>
    <x:row r="514">
      <x:c r="A514" s="46" t="n">
        <x:v>45900</x:v>
      </x:c>
      <x:c r="B514" s="22" t="n">
        <x:v>2025</x:v>
      </x:c>
      <x:c r="C514" s="22" t="str">
        <x:v>Agosto</x:v>
      </x:c>
      <x:c r="D514" s="22" t="str">
        <x:v>R04</x:v>
      </x:c>
      <x:c r="E514" s="22" t="str">
        <x:v>Tasa de accidentalidad</x:v>
      </x:c>
      <x:c r="F514" s="22" t="str">
        <x:v>Resultado</x:v>
      </x:c>
      <x:c r="G514" s="22" t="str">
        <x:v>Mensual</x:v>
      </x:c>
      <x:c r="H514" s="40" t="n">
        <x:v>0.6</x:v>
      </x:c>
      <x:c r="I514" s="22" t="str">
        <x:v>Menor es mejor</x:v>
      </x:c>
      <x:c r="J514" s="40" t="n">
        <x:v>4.69</x:v>
      </x:c>
      <x:c r="K514" s="40" t="n">
        <x:v>239</x:v>
      </x:c>
      <x:c r="L514" s="40" t="n">
        <x:v>100</x:v>
      </x:c>
      <x:c r="M514" s="40" t="n">
        <x:f>IF(OR(J514="",K514="",K514=0),"",J514/K514*L514)</x:f>
        <x:v>1.9623430962343098</x:v>
      </x:c>
      <x:c r="N514" s="22" t="str">
        <x:f>IF(M514="","",IF(I514="Mayor es mejor",IF(M514&gt;=H514,"En meta",IF(M514&gt;=H514*0.9,"Alerta","Crítico")),IF(M514&lt;=H514,"En meta",IF(M514&lt;=H514*1.1,"Alerta","Crítico"))))</x:f>
        <x:v>Crítico</x:v>
      </x:c>
      <x:c r="O514" s="22" t="str">
        <x:v>%</x:v>
      </x:c>
      <x:c r="P514" s="22" t="str">
        <x:v>Líder SG-SST</x:v>
      </x:c>
      <x:c r="Q514" s="22" t="str">
        <x:v>Matriz de accidentalidad / nómina</x:v>
      </x:c>
      <x:c r="R514" s="22" t="str"/>
    </x:row>
    <x:row r="515">
      <x:c r="A515" s="46" t="n">
        <x:v>45900</x:v>
      </x:c>
      <x:c r="B515" s="22" t="n">
        <x:v>2025</x:v>
      </x:c>
      <x:c r="C515" s="22" t="str">
        <x:v>Agosto</x:v>
      </x:c>
      <x:c r="D515" s="22" t="str">
        <x:v>R05</x:v>
      </x:c>
      <x:c r="E515" s="22" t="str">
        <x:v>Prevalencia de enfermedad laboral</x:v>
      </x:c>
      <x:c r="F515" s="22" t="str">
        <x:v>Resultado</x:v>
      </x:c>
      <x:c r="G515" s="22" t="str">
        <x:v>Mensual</x:v>
      </x:c>
      <x:c r="H515" s="40" t="n">
        <x:v>0.3</x:v>
      </x:c>
      <x:c r="I515" s="22" t="str">
        <x:v>Menor es mejor</x:v>
      </x:c>
      <x:c r="J515" s="40" t="n">
        <x:v>0.02</x:v>
      </x:c>
      <x:c r="K515" s="40" t="n">
        <x:v>239</x:v>
      </x:c>
      <x:c r="L515" s="40" t="n">
        <x:v>100</x:v>
      </x:c>
      <x:c r="M515" s="40" t="n">
        <x:f>IF(OR(J515="",K515="",K515=0),"",J515/K515*L515)</x:f>
        <x:v>0.008368200836820085</x:v>
      </x:c>
      <x:c r="N515" s="22" t="str">
        <x:f>IF(M515="","",IF(I515="Mayor es mejor",IF(M515&gt;=H515,"En meta",IF(M515&gt;=H515*0.9,"Alerta","Crítico")),IF(M515&lt;=H515,"En meta",IF(M515&lt;=H515*1.1,"Alerta","Crítico"))))</x:f>
        <x:v>En meta</x:v>
      </x:c>
      <x:c r="O515" s="22" t="str">
        <x:v>%</x:v>
      </x:c>
      <x:c r="P515" s="22" t="str">
        <x:v>Líder SG-SST / Medicina laboral</x:v>
      </x:c>
      <x:c r="Q515" s="22" t="str">
        <x:v>Matriz de enfermedad laboral / nómina</x:v>
      </x:c>
      <x:c r="R515" s="22" t="str"/>
    </x:row>
    <x:row r="516">
      <x:c r="A516" s="46" t="n">
        <x:v>45900</x:v>
      </x:c>
      <x:c r="B516" s="22" t="n">
        <x:v>2025</x:v>
      </x:c>
      <x:c r="C516" s="22" t="str">
        <x:v>Agosto</x:v>
      </x:c>
      <x:c r="D516" s="22" t="str">
        <x:v>R06</x:v>
      </x:c>
      <x:c r="E516" s="22" t="str">
        <x:v>% cumplimiento de estándares mínimos Res. 0312 de 2019</x:v>
      </x:c>
      <x:c r="F516" s="22" t="str">
        <x:v>Resultado</x:v>
      </x:c>
      <x:c r="G516" s="22" t="str">
        <x:v>Mensual</x:v>
      </x:c>
      <x:c r="H516" s="40" t="n">
        <x:v>95</x:v>
      </x:c>
      <x:c r="I516" s="22" t="str">
        <x:v>Mayor es mejor</x:v>
      </x:c>
      <x:c r="J516" s="40" t="n">
        <x:v>97</x:v>
      </x:c>
      <x:c r="K516" s="40" t="n">
        <x:v>100</x:v>
      </x:c>
      <x:c r="L516" s="40" t="n">
        <x:v>100</x:v>
      </x:c>
      <x:c r="M516" s="40" t="n">
        <x:f>IF(OR(J516="",K516="",K516=0),"",J516/K516*L516)</x:f>
        <x:v>97</x:v>
      </x:c>
      <x:c r="N516" s="22" t="str">
        <x:f>IF(M516="","",IF(I516="Mayor es mejor",IF(M516&gt;=H516,"En meta",IF(M516&gt;=H516*0.9,"Alerta","Crítico")),IF(M516&lt;=H516,"En meta",IF(M516&lt;=H516*1.1,"Alerta","Crítico"))))</x:f>
        <x:v>En meta</x:v>
      </x:c>
      <x:c r="O516" s="22" t="str">
        <x:v>%</x:v>
      </x:c>
      <x:c r="P516" s="22" t="str">
        <x:v>Líder SG-SST / Alta Dirección</x:v>
      </x:c>
      <x:c r="Q516" s="22" t="str">
        <x:v>Autodiagnóstico Res. 0312 de 2019</x:v>
      </x:c>
      <x:c r="R516" s="22" t="str"/>
    </x:row>
    <x:row r="517">
      <x:c r="A517" s="46" t="n">
        <x:v>45930</x:v>
      </x:c>
      <x:c r="B517" s="22" t="n">
        <x:v>2025</x:v>
      </x:c>
      <x:c r="C517" s="22" t="str">
        <x:v>Septiembre</x:v>
      </x:c>
      <x:c r="D517" s="22" t="str">
        <x:v>E01</x:v>
      </x:c>
      <x:c r="E517" s="22" t="str">
        <x:v>% ejecución presupuestal del SG-SST</x:v>
      </x:c>
      <x:c r="F517" s="22" t="str">
        <x:v>Estructura</x:v>
      </x:c>
      <x:c r="G517" s="22" t="str">
        <x:v>Mensual</x:v>
      </x:c>
      <x:c r="H517" s="40" t="n">
        <x:v>95</x:v>
      </x:c>
      <x:c r="I517" s="22" t="str">
        <x:v>Mayor es mejor</x:v>
      </x:c>
      <x:c r="J517" s="40" t="n">
        <x:v>8271729</x:v>
      </x:c>
      <x:c r="K517" s="40" t="n">
        <x:v>8500000</x:v>
      </x:c>
      <x:c r="L517" s="40" t="n">
        <x:v>100</x:v>
      </x:c>
      <x:c r="M517" s="40" t="n">
        <x:f>IF(OR(J517="",K517="",K517=0),"",J517/K517*L517)</x:f>
        <x:v>97.31445882352942</x:v>
      </x:c>
      <x:c r="N517" s="22" t="str">
        <x:f>IF(M517="","",IF(I517="Mayor es mejor",IF(M517&gt;=H517,"En meta",IF(M517&gt;=H517*0.9,"Alerta","Crítico")),IF(M517&lt;=H517,"En meta",IF(M517&lt;=H517*1.1,"Alerta","Crítico"))))</x:f>
        <x:v>En meta</x:v>
      </x:c>
      <x:c r="O517" s="22" t="str">
        <x:v>%</x:v>
      </x:c>
      <x:c r="P517" s="22" t="str">
        <x:v>Líder SG-SST / Dirección Administrativa</x:v>
      </x:c>
      <x:c r="Q517" s="22" t="str">
        <x:v>Presupuesto SST</x:v>
      </x:c>
      <x:c r="R517" s="22" t="str"/>
    </x:row>
    <x:row r="518">
      <x:c r="A518" s="46" t="n">
        <x:v>45930</x:v>
      </x:c>
      <x:c r="B518" s="22" t="n">
        <x:v>2025</x:v>
      </x:c>
      <x:c r="C518" s="22" t="str">
        <x:v>Septiembre</x:v>
      </x:c>
      <x:c r="D518" s="22" t="str">
        <x:v>E02</x:v>
      </x:c>
      <x:c r="E518" s="22" t="str">
        <x:v>% cobertura del plan de formación y capacitación SG-SST</x:v>
      </x:c>
      <x:c r="F518" s="22" t="str">
        <x:v>Estructura</x:v>
      </x:c>
      <x:c r="G518" s="22" t="str">
        <x:v>Mensual</x:v>
      </x:c>
      <x:c r="H518" s="40" t="n">
        <x:v>90</x:v>
      </x:c>
      <x:c r="I518" s="22" t="str">
        <x:v>Mayor es mejor</x:v>
      </x:c>
      <x:c r="J518" s="40" t="n">
        <x:v>18</x:v>
      </x:c>
      <x:c r="K518" s="40" t="n">
        <x:v>20</x:v>
      </x:c>
      <x:c r="L518" s="40" t="n">
        <x:v>100</x:v>
      </x:c>
      <x:c r="M518" s="40" t="n">
        <x:f>IF(OR(J518="",K518="",K518=0),"",J518/K518*L518)</x:f>
        <x:v>90</x:v>
      </x:c>
      <x:c r="N518" s="22" t="str">
        <x:f>IF(M518="","",IF(I518="Mayor es mejor",IF(M518&gt;=H518,"En meta",IF(M518&gt;=H518*0.9,"Alerta","Crítico")),IF(M518&lt;=H518,"En meta",IF(M518&lt;=H518*1.1,"Alerta","Crítico"))))</x:f>
        <x:v>En meta</x:v>
      </x:c>
      <x:c r="O518" s="22" t="str">
        <x:v>%</x:v>
      </x:c>
      <x:c r="P518" s="22" t="str">
        <x:v>Líder SG-SST / Talento Humano</x:v>
      </x:c>
      <x:c r="Q518" s="22" t="str">
        <x:v>Plan de formación y capacitaciones</x:v>
      </x:c>
      <x:c r="R518" s="22" t="str"/>
    </x:row>
    <x:row r="519">
      <x:c r="A519" s="46" t="n">
        <x:v>45930</x:v>
      </x:c>
      <x:c r="B519" s="22" t="n">
        <x:v>2025</x:v>
      </x:c>
      <x:c r="C519" s="22" t="str">
        <x:v>Septiembre</x:v>
      </x:c>
      <x:c r="D519" s="22" t="str">
        <x:v>E03</x:v>
      </x:c>
      <x:c r="E519" s="22" t="str">
        <x:v>% trabajadores con exámenes médicos ocupacionales vigentes</x:v>
      </x:c>
      <x:c r="F519" s="22" t="str">
        <x:v>Estructura</x:v>
      </x:c>
      <x:c r="G519" s="22" t="str">
        <x:v>Mensual</x:v>
      </x:c>
      <x:c r="H519" s="40" t="n">
        <x:v>95</x:v>
      </x:c>
      <x:c r="I519" s="22" t="str">
        <x:v>Mayor es mejor</x:v>
      </x:c>
      <x:c r="J519" s="40" t="n">
        <x:v>241</x:v>
      </x:c>
      <x:c r="K519" s="40" t="n">
        <x:v>245</x:v>
      </x:c>
      <x:c r="L519" s="40" t="n">
        <x:v>100</x:v>
      </x:c>
      <x:c r="M519" s="40" t="n">
        <x:f>IF(OR(J519="",K519="",K519=0),"",J519/K519*L519)</x:f>
        <x:v>98.36734693877551</x:v>
      </x:c>
      <x:c r="N519" s="22" t="str">
        <x:f>IF(M519="","",IF(I519="Mayor es mejor",IF(M519&gt;=H519,"En meta",IF(M519&gt;=H519*0.9,"Alerta","Crítico")),IF(M519&lt;=H519,"En meta",IF(M519&lt;=H519*1.1,"Alerta","Crítico"))))</x:f>
        <x:v>En meta</x:v>
      </x:c>
      <x:c r="O519" s="22" t="str">
        <x:v>%</x:v>
      </x:c>
      <x:c r="P519" s="22" t="str">
        <x:v>Líder SG-SST / Talento Humano</x:v>
      </x:c>
      <x:c r="Q519" s="22" t="str">
        <x:v>Matriz de seguimiento EMO</x:v>
      </x:c>
      <x:c r="R519" s="22" t="str"/>
    </x:row>
    <x:row r="520">
      <x:c r="A520" s="46" t="n">
        <x:v>45930</x:v>
      </x:c>
      <x:c r="B520" s="22" t="n">
        <x:v>2025</x:v>
      </x:c>
      <x:c r="C520" s="22" t="str">
        <x:v>Septiembre</x:v>
      </x:c>
      <x:c r="D520" s="22" t="str">
        <x:v>E04</x:v>
      </x:c>
      <x:c r="E520" s="22" t="str">
        <x:v>% cumplimiento de requisitos legales aplicables en SST</x:v>
      </x:c>
      <x:c r="F520" s="22" t="str">
        <x:v>Estructura</x:v>
      </x:c>
      <x:c r="G520" s="22" t="str">
        <x:v>Mensual</x:v>
      </x:c>
      <x:c r="H520" s="40" t="n">
        <x:v>95</x:v>
      </x:c>
      <x:c r="I520" s="22" t="str">
        <x:v>Mayor es mejor</x:v>
      </x:c>
      <x:c r="J520" s="40" t="n">
        <x:v>59</x:v>
      </x:c>
      <x:c r="K520" s="40" t="n">
        <x:v>60</x:v>
      </x:c>
      <x:c r="L520" s="40" t="n">
        <x:v>100</x:v>
      </x:c>
      <x:c r="M520" s="40" t="n">
        <x:f>IF(OR(J520="",K520="",K520=0),"",J520/K520*L520)</x:f>
        <x:v>98.33333333333333</x:v>
      </x:c>
      <x:c r="N520" s="22" t="str">
        <x:f>IF(M520="","",IF(I520="Mayor es mejor",IF(M520&gt;=H520,"En meta",IF(M520&gt;=H520*0.9,"Alerta","Crítico")),IF(M520&lt;=H520,"En meta",IF(M520&lt;=H520*1.1,"Alerta","Crítico"))))</x:f>
        <x:v>En meta</x:v>
      </x:c>
      <x:c r="O520" s="22" t="str">
        <x:v>%</x:v>
      </x:c>
      <x:c r="P520" s="22" t="str">
        <x:v>Líder SG-SST / Jurídica</x:v>
      </x:c>
      <x:c r="Q520" s="22" t="str">
        <x:v>Matriz legal SGRL</x:v>
      </x:c>
      <x:c r="R520" s="22" t="str"/>
    </x:row>
    <x:row r="521">
      <x:c r="A521" s="46" t="n">
        <x:v>45930</x:v>
      </x:c>
      <x:c r="B521" s="22" t="n">
        <x:v>2025</x:v>
      </x:c>
      <x:c r="C521" s="22" t="str">
        <x:v>Septiembre</x:v>
      </x:c>
      <x:c r="D521" s="22" t="str">
        <x:v>E05</x:v>
      </x:c>
      <x:c r="E521" s="22" t="str">
        <x:v>% proveedores y contratistas aprobados en SST</x:v>
      </x:c>
      <x:c r="F521" s="22" t="str">
        <x:v>Estructura</x:v>
      </x:c>
      <x:c r="G521" s="22" t="str">
        <x:v>Mensual</x:v>
      </x:c>
      <x:c r="H521" s="40" t="n">
        <x:v>90</x:v>
      </x:c>
      <x:c r="I521" s="22" t="str">
        <x:v>Mayor es mejor</x:v>
      </x:c>
      <x:c r="J521" s="40" t="n">
        <x:v>19</x:v>
      </x:c>
      <x:c r="K521" s="40" t="n">
        <x:v>20</x:v>
      </x:c>
      <x:c r="L521" s="40" t="n">
        <x:v>100</x:v>
      </x:c>
      <x:c r="M521" s="40" t="n">
        <x:f>IF(OR(J521="",K521="",K521=0),"",J521/K521*L521)</x:f>
        <x:v>95</x:v>
      </x:c>
      <x:c r="N521" s="22" t="str">
        <x:f>IF(M521="","",IF(I521="Mayor es mejor",IF(M521&gt;=H521,"En meta",IF(M521&gt;=H521*0.9,"Alerta","Crítico")),IF(M521&lt;=H521,"En meta",IF(M521&lt;=H521*1.1,"Alerta","Crítico"))))</x:f>
        <x:v>En meta</x:v>
      </x:c>
      <x:c r="O521" s="22" t="str">
        <x:v>%</x:v>
      </x:c>
      <x:c r="P521" s="22" t="str">
        <x:v>Compras / Líder SG-SST</x:v>
      </x:c>
      <x:c r="Q521" s="22" t="str">
        <x:v>Gestión de proveedores y contratistas</x:v>
      </x:c>
      <x:c r="R521" s="22" t="str"/>
    </x:row>
    <x:row r="522">
      <x:c r="A522" s="46" t="n">
        <x:v>45930</x:v>
      </x:c>
      <x:c r="B522" s="22" t="n">
        <x:v>2025</x:v>
      </x:c>
      <x:c r="C522" s="22" t="str">
        <x:v>Septiembre</x:v>
      </x:c>
      <x:c r="D522" s="22" t="str">
        <x:v>P01</x:v>
      </x:c>
      <x:c r="E522" s="22" t="str">
        <x:v>% ejecución del plan anual de trabajo SG-SST</x:v>
      </x:c>
      <x:c r="F522" s="22" t="str">
        <x:v>Proceso</x:v>
      </x:c>
      <x:c r="G522" s="22" t="str">
        <x:v>Mensual</x:v>
      </x:c>
      <x:c r="H522" s="40" t="n">
        <x:v>90</x:v>
      </x:c>
      <x:c r="I522" s="22" t="str">
        <x:v>Mayor es mejor</x:v>
      </x:c>
      <x:c r="J522" s="40" t="n">
        <x:v>9</x:v>
      </x:c>
      <x:c r="K522" s="40" t="n">
        <x:v>10</x:v>
      </x:c>
      <x:c r="L522" s="40" t="n">
        <x:v>100</x:v>
      </x:c>
      <x:c r="M522" s="40" t="n">
        <x:f>IF(OR(J522="",K522="",K522=0),"",J522/K522*L522)</x:f>
        <x:v>90</x:v>
      </x:c>
      <x:c r="N522" s="22" t="str">
        <x:f>IF(M522="","",IF(I522="Mayor es mejor",IF(M522&gt;=H522,"En meta",IF(M522&gt;=H522*0.9,"Alerta","Crítico")),IF(M522&lt;=H522,"En meta",IF(M522&lt;=H522*1.1,"Alerta","Crítico"))))</x:f>
        <x:v>En meta</x:v>
      </x:c>
      <x:c r="O522" s="22" t="str">
        <x:v>%</x:v>
      </x:c>
      <x:c r="P522" s="22" t="str">
        <x:v>Líder SG-SST</x:v>
      </x:c>
      <x:c r="Q522" s="22" t="str">
        <x:v>Plan anual de trabajo PHVA</x:v>
      </x:c>
      <x:c r="R522" s="22" t="str"/>
    </x:row>
    <x:row r="523">
      <x:c r="A523" s="46" t="n">
        <x:v>45930</x:v>
      </x:c>
      <x:c r="B523" s="22" t="n">
        <x:v>2025</x:v>
      </x:c>
      <x:c r="C523" s="22" t="str">
        <x:v>Septiembre</x:v>
      </x:c>
      <x:c r="D523" s="22" t="str">
        <x:v>P02</x:v>
      </x:c>
      <x:c r="E523" s="22" t="str">
        <x:v>% investigaciones de accidentes realizadas oportunamente</x:v>
      </x:c>
      <x:c r="F523" s="22" t="str">
        <x:v>Proceso</x:v>
      </x:c>
      <x:c r="G523" s="22" t="str">
        <x:v>Mensual</x:v>
      </x:c>
      <x:c r="H523" s="40" t="n">
        <x:v>95</x:v>
      </x:c>
      <x:c r="I523" s="22" t="str">
        <x:v>Mayor es mejor</x:v>
      </x:c>
      <x:c r="J523" s="40" t="n">
        <x:v>1</x:v>
      </x:c>
      <x:c r="K523" s="40" t="n">
        <x:v>1</x:v>
      </x:c>
      <x:c r="L523" s="40" t="n">
        <x:v>100</x:v>
      </x:c>
      <x:c r="M523" s="40" t="n">
        <x:f>IF(OR(J523="",K523="",K523=0),"",J523/K523*L523)</x:f>
        <x:v>100</x:v>
      </x:c>
      <x:c r="N523" s="22" t="str">
        <x:f>IF(M523="","",IF(I523="Mayor es mejor",IF(M523&gt;=H523,"En meta",IF(M523&gt;=H523*0.9,"Alerta","Crítico")),IF(M523&lt;=H523,"En meta",IF(M523&lt;=H523*1.1,"Alerta","Crítico"))))</x:f>
        <x:v>En meta</x:v>
      </x:c>
      <x:c r="O523" s="22" t="str">
        <x:v>%</x:v>
      </x:c>
      <x:c r="P523" s="22" t="str">
        <x:v>Líder SG-SST / COPASST</x:v>
      </x:c>
      <x:c r="Q523" s="22" t="str">
        <x:v>Matriz de accidentalidad</x:v>
      </x:c>
      <x:c r="R523" s="22" t="str"/>
    </x:row>
    <x:row r="524">
      <x:c r="A524" s="46" t="n">
        <x:v>45930</x:v>
      </x:c>
      <x:c r="B524" s="22" t="n">
        <x:v>2025</x:v>
      </x:c>
      <x:c r="C524" s="22" t="str">
        <x:v>Septiembre</x:v>
      </x:c>
      <x:c r="D524" s="22" t="str">
        <x:v>P03</x:v>
      </x:c>
      <x:c r="E524" s="22" t="str">
        <x:v>% cierre oportuno de acciones correctivas, preventivas y de mejora</x:v>
      </x:c>
      <x:c r="F524" s="22" t="str">
        <x:v>Proceso</x:v>
      </x:c>
      <x:c r="G524" s="22" t="str">
        <x:v>Mensual</x:v>
      </x:c>
      <x:c r="H524" s="40" t="n">
        <x:v>90</x:v>
      </x:c>
      <x:c r="I524" s="22" t="str">
        <x:v>Mayor es mejor</x:v>
      </x:c>
      <x:c r="J524" s="40" t="n">
        <x:v>13</x:v>
      </x:c>
      <x:c r="K524" s="40" t="n">
        <x:v>14</x:v>
      </x:c>
      <x:c r="L524" s="40" t="n">
        <x:v>100</x:v>
      </x:c>
      <x:c r="M524" s="40" t="n">
        <x:f>IF(OR(J524="",K524="",K524=0),"",J524/K524*L524)</x:f>
        <x:v>92.85714285714286</x:v>
      </x:c>
      <x:c r="N524" s="22" t="str">
        <x:f>IF(M524="","",IF(I524="Mayor es mejor",IF(M524&gt;=H524,"En meta",IF(M524&gt;=H524*0.9,"Alerta","Crítico")),IF(M524&lt;=H524,"En meta",IF(M524&lt;=H524*1.1,"Alerta","Crítico"))))</x:f>
        <x:v>En meta</x:v>
      </x:c>
      <x:c r="O524" s="22" t="str">
        <x:v>%</x:v>
      </x:c>
      <x:c r="P524" s="22" t="str">
        <x:v>Líder SG-SST / Responsables de proceso</x:v>
      </x:c>
      <x:c r="Q524" s="22" t="str">
        <x:v>Matriz APCM</x:v>
      </x:c>
      <x:c r="R524" s="22" t="str"/>
    </x:row>
    <x:row r="525">
      <x:c r="A525" s="46" t="n">
        <x:v>45930</x:v>
      </x:c>
      <x:c r="B525" s="22" t="n">
        <x:v>2025</x:v>
      </x:c>
      <x:c r="C525" s="22" t="str">
        <x:v>Septiembre</x:v>
      </x:c>
      <x:c r="D525" s="22" t="str">
        <x:v>P04</x:v>
      </x:c>
      <x:c r="E525" s="22" t="str">
        <x:v>% inspecciones de seguridad ejecutadas</x:v>
      </x:c>
      <x:c r="F525" s="22" t="str">
        <x:v>Proceso</x:v>
      </x:c>
      <x:c r="G525" s="22" t="str">
        <x:v>Mensual</x:v>
      </x:c>
      <x:c r="H525" s="40" t="n">
        <x:v>90</x:v>
      </x:c>
      <x:c r="I525" s="22" t="str">
        <x:v>Mayor es mejor</x:v>
      </x:c>
      <x:c r="J525" s="40" t="n">
        <x:v>8</x:v>
      </x:c>
      <x:c r="K525" s="40" t="n">
        <x:v>9</x:v>
      </x:c>
      <x:c r="L525" s="40" t="n">
        <x:v>100</x:v>
      </x:c>
      <x:c r="M525" s="40" t="n">
        <x:f>IF(OR(J525="",K525="",K525=0),"",J525/K525*L525)</x:f>
        <x:v>88.88888888888889</x:v>
      </x:c>
      <x:c r="N525" s="22" t="str">
        <x:f>IF(M525="","",IF(I525="Mayor es mejor",IF(M525&gt;=H525,"En meta",IF(M525&gt;=H525*0.9,"Alerta","Crítico")),IF(M525&lt;=H525,"En meta",IF(M525&lt;=H525*1.1,"Alerta","Crítico"))))</x:f>
        <x:v>Alerta</x:v>
      </x:c>
      <x:c r="O525" s="22" t="str">
        <x:v>%</x:v>
      </x:c>
      <x:c r="P525" s="22" t="str">
        <x:v>Líder SG-SST / Supervisores</x:v>
      </x:c>
      <x:c r="Q525" s="22" t="str">
        <x:v>Programa de inspecciones</x:v>
      </x:c>
      <x:c r="R525" s="22" t="str"/>
    </x:row>
    <x:row r="526">
      <x:c r="A526" s="46" t="n">
        <x:v>45930</x:v>
      </x:c>
      <x:c r="B526" s="22" t="n">
        <x:v>2025</x:v>
      </x:c>
      <x:c r="C526" s="22" t="str">
        <x:v>Septiembre</x:v>
      </x:c>
      <x:c r="D526" s="22" t="str">
        <x:v>P05</x:v>
      </x:c>
      <x:c r="E526" s="22" t="str">
        <x:v>% mantenimientos preventivos ejecutados</x:v>
      </x:c>
      <x:c r="F526" s="22" t="str">
        <x:v>Proceso</x:v>
      </x:c>
      <x:c r="G526" s="22" t="str">
        <x:v>Mensual</x:v>
      </x:c>
      <x:c r="H526" s="40" t="n">
        <x:v>90</x:v>
      </x:c>
      <x:c r="I526" s="22" t="str">
        <x:v>Mayor es mejor</x:v>
      </x:c>
      <x:c r="J526" s="40" t="n">
        <x:v>12</x:v>
      </x:c>
      <x:c r="K526" s="40" t="n">
        <x:v>13</x:v>
      </x:c>
      <x:c r="L526" s="40" t="n">
        <x:v>100</x:v>
      </x:c>
      <x:c r="M526" s="40" t="n">
        <x:f>IF(OR(J526="",K526="",K526=0),"",J526/K526*L526)</x:f>
        <x:v>92.3076923076923</x:v>
      </x:c>
      <x:c r="N526" s="22" t="str">
        <x:f>IF(M526="","",IF(I526="Mayor es mejor",IF(M526&gt;=H526,"En meta",IF(M526&gt;=H526*0.9,"Alerta","Crítico")),IF(M526&lt;=H526,"En meta",IF(M526&lt;=H526*1.1,"Alerta","Crítico"))))</x:f>
        <x:v>En meta</x:v>
      </x:c>
      <x:c r="O526" s="22" t="str">
        <x:v>%</x:v>
      </x:c>
      <x:c r="P526" s="22" t="str">
        <x:v>Mantenimiento / Líder SG-SST</x:v>
      </x:c>
      <x:c r="Q526" s="22" t="str">
        <x:v>Programa de mantenimiento preventivo</x:v>
      </x:c>
      <x:c r="R526" s="22" t="str"/>
    </x:row>
    <x:row r="527">
      <x:c r="A527" s="46" t="n">
        <x:v>45930</x:v>
      </x:c>
      <x:c r="B527" s="22" t="n">
        <x:v>2025</x:v>
      </x:c>
      <x:c r="C527" s="22" t="str">
        <x:v>Septiembre</x:v>
      </x:c>
      <x:c r="D527" s="22" t="str">
        <x:v>R01</x:v>
      </x:c>
      <x:c r="E527" s="22" t="str">
        <x:v>Índice de frecuencia de accidentalidad (IF)</x:v>
      </x:c>
      <x:c r="F527" s="22" t="str">
        <x:v>Resultado</x:v>
      </x:c>
      <x:c r="G527" s="22" t="str">
        <x:v>Mensual</x:v>
      </x:c>
      <x:c r="H527" s="40" t="n">
        <x:v>3.5</x:v>
      </x:c>
      <x:c r="I527" s="22" t="str">
        <x:v>Menor es mejor</x:v>
      </x:c>
      <x:c r="J527" s="40" t="n">
        <x:v>1</x:v>
      </x:c>
      <x:c r="K527" s="40" t="n">
        <x:v>59956</x:v>
      </x:c>
      <x:c r="L527" s="40" t="n">
        <x:v>200000</x:v>
      </x:c>
      <x:c r="M527" s="40" t="n">
        <x:f>IF(OR(J527="",K527="",K527=0),"",J527/K527*L527)</x:f>
        <x:v>3.3357795716859027</x:v>
      </x:c>
      <x:c r="N527" s="22" t="str">
        <x:f>IF(M527="","",IF(I527="Mayor es mejor",IF(M527&gt;=H527,"En meta",IF(M527&gt;=H527*0.9,"Alerta","Crítico")),IF(M527&lt;=H527,"En meta",IF(M527&lt;=H527*1.1,"Alerta","Crítico"))))</x:f>
        <x:v>En meta</x:v>
      </x:c>
      <x:c r="O527" s="22" t="str">
        <x:v>Índice</x:v>
      </x:c>
      <x:c r="P527" s="22" t="str">
        <x:v>Líder SG-SST</x:v>
      </x:c>
      <x:c r="Q527" s="22" t="str">
        <x:v>Matriz de accidentalidad / nómina</x:v>
      </x:c>
      <x:c r="R527" s="22" t="str"/>
    </x:row>
    <x:row r="528">
      <x:c r="A528" s="46" t="n">
        <x:v>45930</x:v>
      </x:c>
      <x:c r="B528" s="22" t="n">
        <x:v>2025</x:v>
      </x:c>
      <x:c r="C528" s="22" t="str">
        <x:v>Septiembre</x:v>
      </x:c>
      <x:c r="D528" s="22" t="str">
        <x:v>R02</x:v>
      </x:c>
      <x:c r="E528" s="22" t="str">
        <x:v>Índice de severidad de accidentalidad (IS)</x:v>
      </x:c>
      <x:c r="F528" s="22" t="str">
        <x:v>Resultado</x:v>
      </x:c>
      <x:c r="G528" s="22" t="str">
        <x:v>Mensual</x:v>
      </x:c>
      <x:c r="H528" s="40" t="n">
        <x:v>80</x:v>
      </x:c>
      <x:c r="I528" s="22" t="str">
        <x:v>Menor es mejor</x:v>
      </x:c>
      <x:c r="J528" s="40" t="n">
        <x:v>19</x:v>
      </x:c>
      <x:c r="K528" s="40" t="n">
        <x:v>59956</x:v>
      </x:c>
      <x:c r="L528" s="40" t="n">
        <x:v>200000</x:v>
      </x:c>
      <x:c r="M528" s="40" t="n">
        <x:f>IF(OR(J528="",K528="",K528=0),"",J528/K528*L528)</x:f>
        <x:v>63.379811862032156</x:v>
      </x:c>
      <x:c r="N528" s="22" t="str">
        <x:f>IF(M528="","",IF(I528="Mayor es mejor",IF(M528&gt;=H528,"En meta",IF(M528&gt;=H528*0.9,"Alerta","Crítico")),IF(M528&lt;=H528,"En meta",IF(M528&lt;=H528*1.1,"Alerta","Crítico"))))</x:f>
        <x:v>En meta</x:v>
      </x:c>
      <x:c r="O528" s="22" t="str">
        <x:v>Índice</x:v>
      </x:c>
      <x:c r="P528" s="22" t="str">
        <x:v>Líder SG-SST</x:v>
      </x:c>
      <x:c r="Q528" s="22" t="str">
        <x:v>Matriz de accidentalidad / nómina</x:v>
      </x:c>
      <x:c r="R528" s="22" t="str"/>
    </x:row>
    <x:row r="529">
      <x:c r="A529" s="46" t="n">
        <x:v>45930</x:v>
      </x:c>
      <x:c r="B529" s="22" t="n">
        <x:v>2025</x:v>
      </x:c>
      <x:c r="C529" s="22" t="str">
        <x:v>Septiembre</x:v>
      </x:c>
      <x:c r="D529" s="22" t="str">
        <x:v>R03</x:v>
      </x:c>
      <x:c r="E529" s="22" t="str">
        <x:v>Índice de lesión incapacitante (ILI)</x:v>
      </x:c>
      <x:c r="F529" s="22" t="str">
        <x:v>Resultado</x:v>
      </x:c>
      <x:c r="G529" s="22" t="str">
        <x:v>Mensual</x:v>
      </x:c>
      <x:c r="H529" s="40" t="n">
        <x:v>0.25</x:v>
      </x:c>
      <x:c r="I529" s="22" t="str">
        <x:v>Menor es mejor</x:v>
      </x:c>
      <x:c r="J529" s="40" t="n">
        <x:v>211.4211</x:v>
      </x:c>
      <x:c r="K529" s="40" t="n">
        <x:v>1000</x:v>
      </x:c>
      <x:c r="L529" s="40" t="n">
        <x:v>1</x:v>
      </x:c>
      <x:c r="M529" s="40" t="n">
        <x:f>IF(OR(J529="",K529="",K529=0),"",J529/K529*L529)</x:f>
        <x:v>0.2114211</x:v>
      </x:c>
      <x:c r="N529" s="22" t="str">
        <x:f>IF(M529="","",IF(I529="Mayor es mejor",IF(M529&gt;=H529,"En meta",IF(M529&gt;=H529*0.9,"Alerta","Crítico")),IF(M529&lt;=H529,"En meta",IF(M529&lt;=H529*1.1,"Alerta","Crítico"))))</x:f>
        <x:v>En meta</x:v>
      </x:c>
      <x:c r="O529" s="22" t="str">
        <x:v>Índice</x:v>
      </x:c>
      <x:c r="P529" s="22" t="str">
        <x:v>Líder SG-SST</x:v>
      </x:c>
      <x:c r="Q529" s="22" t="str">
        <x:v>Indicadores derivados de accidentalidad</x:v>
      </x:c>
      <x:c r="R529" s="22" t="str">
        <x:v>ILI calculado sobre IF e IS del periodo.</x:v>
      </x:c>
    </x:row>
    <x:row r="530">
      <x:c r="A530" s="46" t="n">
        <x:v>45930</x:v>
      </x:c>
      <x:c r="B530" s="22" t="n">
        <x:v>2025</x:v>
      </x:c>
      <x:c r="C530" s="22" t="str">
        <x:v>Septiembre</x:v>
      </x:c>
      <x:c r="D530" s="22" t="str">
        <x:v>R04</x:v>
      </x:c>
      <x:c r="E530" s="22" t="str">
        <x:v>Tasa de accidentalidad</x:v>
      </x:c>
      <x:c r="F530" s="22" t="str">
        <x:v>Resultado</x:v>
      </x:c>
      <x:c r="G530" s="22" t="str">
        <x:v>Mensual</x:v>
      </x:c>
      <x:c r="H530" s="40" t="n">
        <x:v>0.6</x:v>
      </x:c>
      <x:c r="I530" s="22" t="str">
        <x:v>Menor es mejor</x:v>
      </x:c>
      <x:c r="J530" s="40" t="n">
        <x:v>0.02</x:v>
      </x:c>
      <x:c r="K530" s="40" t="n">
        <x:v>245</x:v>
      </x:c>
      <x:c r="L530" s="40" t="n">
        <x:v>100</x:v>
      </x:c>
      <x:c r="M530" s="40" t="n">
        <x:f>IF(OR(J530="",K530="",K530=0),"",J530/K530*L530)</x:f>
        <x:v>0.00816326530612245</x:v>
      </x:c>
      <x:c r="N530" s="22" t="str">
        <x:f>IF(M530="","",IF(I530="Mayor es mejor",IF(M530&gt;=H530,"En meta",IF(M530&gt;=H530*0.9,"Alerta","Crítico")),IF(M530&lt;=H530,"En meta",IF(M530&lt;=H530*1.1,"Alerta","Crítico"))))</x:f>
        <x:v>En meta</x:v>
      </x:c>
      <x:c r="O530" s="22" t="str">
        <x:v>%</x:v>
      </x:c>
      <x:c r="P530" s="22" t="str">
        <x:v>Líder SG-SST</x:v>
      </x:c>
      <x:c r="Q530" s="22" t="str">
        <x:v>Matriz de accidentalidad / nómina</x:v>
      </x:c>
      <x:c r="R530" s="22" t="str"/>
    </x:row>
    <x:row r="531">
      <x:c r="A531" s="46" t="n">
        <x:v>45930</x:v>
      </x:c>
      <x:c r="B531" s="22" t="n">
        <x:v>2025</x:v>
      </x:c>
      <x:c r="C531" s="22" t="str">
        <x:v>Septiembre</x:v>
      </x:c>
      <x:c r="D531" s="22" t="str">
        <x:v>R05</x:v>
      </x:c>
      <x:c r="E531" s="22" t="str">
        <x:v>Prevalencia de enfermedad laboral</x:v>
      </x:c>
      <x:c r="F531" s="22" t="str">
        <x:v>Resultado</x:v>
      </x:c>
      <x:c r="G531" s="22" t="str">
        <x:v>Mensual</x:v>
      </x:c>
      <x:c r="H531" s="40" t="n">
        <x:v>0.3</x:v>
      </x:c>
      <x:c r="I531" s="22" t="str">
        <x:v>Menor es mejor</x:v>
      </x:c>
      <x:c r="J531" s="40" t="n">
        <x:v>0.02</x:v>
      </x:c>
      <x:c r="K531" s="40" t="n">
        <x:v>245</x:v>
      </x:c>
      <x:c r="L531" s="40" t="n">
        <x:v>100</x:v>
      </x:c>
      <x:c r="M531" s="40" t="n">
        <x:f>IF(OR(J531="",K531="",K531=0),"",J531/K531*L531)</x:f>
        <x:v>0.00816326530612245</x:v>
      </x:c>
      <x:c r="N531" s="22" t="str">
        <x:f>IF(M531="","",IF(I531="Mayor es mejor",IF(M531&gt;=H531,"En meta",IF(M531&gt;=H531*0.9,"Alerta","Crítico")),IF(M531&lt;=H531,"En meta",IF(M531&lt;=H531*1.1,"Alerta","Crítico"))))</x:f>
        <x:v>En meta</x:v>
      </x:c>
      <x:c r="O531" s="22" t="str">
        <x:v>%</x:v>
      </x:c>
      <x:c r="P531" s="22" t="str">
        <x:v>Líder SG-SST / Medicina laboral</x:v>
      </x:c>
      <x:c r="Q531" s="22" t="str">
        <x:v>Matriz de enfermedad laboral / nómina</x:v>
      </x:c>
      <x:c r="R531" s="22" t="str"/>
    </x:row>
    <x:row r="532">
      <x:c r="A532" s="46" t="n">
        <x:v>45930</x:v>
      </x:c>
      <x:c r="B532" s="22" t="n">
        <x:v>2025</x:v>
      </x:c>
      <x:c r="C532" s="22" t="str">
        <x:v>Septiembre</x:v>
      </x:c>
      <x:c r="D532" s="22" t="str">
        <x:v>R06</x:v>
      </x:c>
      <x:c r="E532" s="22" t="str">
        <x:v>% cumplimiento de estándares mínimos Res. 0312 de 2019</x:v>
      </x:c>
      <x:c r="F532" s="22" t="str">
        <x:v>Resultado</x:v>
      </x:c>
      <x:c r="G532" s="22" t="str">
        <x:v>Mensual</x:v>
      </x:c>
      <x:c r="H532" s="40" t="n">
        <x:v>95</x:v>
      </x:c>
      <x:c r="I532" s="22" t="str">
        <x:v>Mayor es mejor</x:v>
      </x:c>
      <x:c r="J532" s="40" t="n">
        <x:v>100</x:v>
      </x:c>
      <x:c r="K532" s="40" t="n">
        <x:v>100</x:v>
      </x:c>
      <x:c r="L532" s="40" t="n">
        <x:v>100</x:v>
      </x:c>
      <x:c r="M532" s="40" t="n">
        <x:f>IF(OR(J532="",K532="",K532=0),"",J532/K532*L532)</x:f>
        <x:v>100</x:v>
      </x:c>
      <x:c r="N532" s="22" t="str">
        <x:f>IF(M532="","",IF(I532="Mayor es mejor",IF(M532&gt;=H532,"En meta",IF(M532&gt;=H532*0.9,"Alerta","Crítico")),IF(M532&lt;=H532,"En meta",IF(M532&lt;=H532*1.1,"Alerta","Crítico"))))</x:f>
        <x:v>En meta</x:v>
      </x:c>
      <x:c r="O532" s="22" t="str">
        <x:v>%</x:v>
      </x:c>
      <x:c r="P532" s="22" t="str">
        <x:v>Líder SG-SST / Alta Dirección</x:v>
      </x:c>
      <x:c r="Q532" s="22" t="str">
        <x:v>Autodiagnóstico Res. 0312 de 2019</x:v>
      </x:c>
      <x:c r="R532" s="22" t="str"/>
    </x:row>
    <x:row r="533">
      <x:c r="A533" s="46" t="n">
        <x:v>45961</x:v>
      </x:c>
      <x:c r="B533" s="22" t="n">
        <x:v>2025</x:v>
      </x:c>
      <x:c r="C533" s="22" t="str">
        <x:v>Octubre</x:v>
      </x:c>
      <x:c r="D533" s="22" t="str">
        <x:v>E01</x:v>
      </x:c>
      <x:c r="E533" s="22" t="str">
        <x:v>% ejecución presupuestal del SG-SST</x:v>
      </x:c>
      <x:c r="F533" s="22" t="str">
        <x:v>Estructura</x:v>
      </x:c>
      <x:c r="G533" s="22" t="str">
        <x:v>Mensual</x:v>
      </x:c>
      <x:c r="H533" s="40" t="n">
        <x:v>95</x:v>
      </x:c>
      <x:c r="I533" s="22" t="str">
        <x:v>Mayor es mejor</x:v>
      </x:c>
      <x:c r="J533" s="40" t="n">
        <x:v>8702571</x:v>
      </x:c>
      <x:c r="K533" s="40" t="n">
        <x:v>9000000</x:v>
      </x:c>
      <x:c r="L533" s="40" t="n">
        <x:v>100</x:v>
      </x:c>
      <x:c r="M533" s="40" t="n">
        <x:f>IF(OR(J533="",K533="",K533=0),"",J533/K533*L533)</x:f>
        <x:v>96.69523333333333</x:v>
      </x:c>
      <x:c r="N533" s="22" t="str">
        <x:f>IF(M533="","",IF(I533="Mayor es mejor",IF(M533&gt;=H533,"En meta",IF(M533&gt;=H533*0.9,"Alerta","Crítico")),IF(M533&lt;=H533,"En meta",IF(M533&lt;=H533*1.1,"Alerta","Crítico"))))</x:f>
        <x:v>En meta</x:v>
      </x:c>
      <x:c r="O533" s="22" t="str">
        <x:v>%</x:v>
      </x:c>
      <x:c r="P533" s="22" t="str">
        <x:v>Líder SG-SST / Dirección Administrativa</x:v>
      </x:c>
      <x:c r="Q533" s="22" t="str">
        <x:v>Presupuesto SST</x:v>
      </x:c>
      <x:c r="R533" s="22" t="str"/>
    </x:row>
    <x:row r="534">
      <x:c r="A534" s="46" t="n">
        <x:v>45961</x:v>
      </x:c>
      <x:c r="B534" s="22" t="n">
        <x:v>2025</x:v>
      </x:c>
      <x:c r="C534" s="22" t="str">
        <x:v>Octubre</x:v>
      </x:c>
      <x:c r="D534" s="22" t="str">
        <x:v>E02</x:v>
      </x:c>
      <x:c r="E534" s="22" t="str">
        <x:v>% cobertura del plan de formación y capacitación SG-SST</x:v>
      </x:c>
      <x:c r="F534" s="22" t="str">
        <x:v>Estructura</x:v>
      </x:c>
      <x:c r="G534" s="22" t="str">
        <x:v>Mensual</x:v>
      </x:c>
      <x:c r="H534" s="40" t="n">
        <x:v>90</x:v>
      </x:c>
      <x:c r="I534" s="22" t="str">
        <x:v>Mayor es mejor</x:v>
      </x:c>
      <x:c r="J534" s="40" t="n">
        <x:v>21</x:v>
      </x:c>
      <x:c r="K534" s="40" t="n">
        <x:v>22</x:v>
      </x:c>
      <x:c r="L534" s="40" t="n">
        <x:v>100</x:v>
      </x:c>
      <x:c r="M534" s="40" t="n">
        <x:f>IF(OR(J534="",K534="",K534=0),"",J534/K534*L534)</x:f>
        <x:v>95.45454545454545</x:v>
      </x:c>
      <x:c r="N534" s="22" t="str">
        <x:f>IF(M534="","",IF(I534="Mayor es mejor",IF(M534&gt;=H534,"En meta",IF(M534&gt;=H534*0.9,"Alerta","Crítico")),IF(M534&lt;=H534,"En meta",IF(M534&lt;=H534*1.1,"Alerta","Crítico"))))</x:f>
        <x:v>En meta</x:v>
      </x:c>
      <x:c r="O534" s="22" t="str">
        <x:v>%</x:v>
      </x:c>
      <x:c r="P534" s="22" t="str">
        <x:v>Líder SG-SST / Talento Humano</x:v>
      </x:c>
      <x:c r="Q534" s="22" t="str">
        <x:v>Plan de formación y capacitaciones</x:v>
      </x:c>
      <x:c r="R534" s="22" t="str"/>
    </x:row>
    <x:row r="535">
      <x:c r="A535" s="46" t="n">
        <x:v>45961</x:v>
      </x:c>
      <x:c r="B535" s="22" t="n">
        <x:v>2025</x:v>
      </x:c>
      <x:c r="C535" s="22" t="str">
        <x:v>Octubre</x:v>
      </x:c>
      <x:c r="D535" s="22" t="str">
        <x:v>E03</x:v>
      </x:c>
      <x:c r="E535" s="22" t="str">
        <x:v>% trabajadores con exámenes médicos ocupacionales vigentes</x:v>
      </x:c>
      <x:c r="F535" s="22" t="str">
        <x:v>Estructura</x:v>
      </x:c>
      <x:c r="G535" s="22" t="str">
        <x:v>Mensual</x:v>
      </x:c>
      <x:c r="H535" s="40" t="n">
        <x:v>95</x:v>
      </x:c>
      <x:c r="I535" s="22" t="str">
        <x:v>Mayor es mejor</x:v>
      </x:c>
      <x:c r="J535" s="40" t="n">
        <x:v>226</x:v>
      </x:c>
      <x:c r="K535" s="40" t="n">
        <x:v>236</x:v>
      </x:c>
      <x:c r="L535" s="40" t="n">
        <x:v>100</x:v>
      </x:c>
      <x:c r="M535" s="40" t="n">
        <x:f>IF(OR(J535="",K535="",K535=0),"",J535/K535*L535)</x:f>
        <x:v>95.76271186440678</x:v>
      </x:c>
      <x:c r="N535" s="22" t="str">
        <x:f>IF(M535="","",IF(I535="Mayor es mejor",IF(M535&gt;=H535,"En meta",IF(M535&gt;=H535*0.9,"Alerta","Crítico")),IF(M535&lt;=H535,"En meta",IF(M535&lt;=H535*1.1,"Alerta","Crítico"))))</x:f>
        <x:v>En meta</x:v>
      </x:c>
      <x:c r="O535" s="22" t="str">
        <x:v>%</x:v>
      </x:c>
      <x:c r="P535" s="22" t="str">
        <x:v>Líder SG-SST / Talento Humano</x:v>
      </x:c>
      <x:c r="Q535" s="22" t="str">
        <x:v>Matriz de seguimiento EMO</x:v>
      </x:c>
      <x:c r="R535" s="22" t="str"/>
    </x:row>
    <x:row r="536">
      <x:c r="A536" s="46" t="n">
        <x:v>45961</x:v>
      </x:c>
      <x:c r="B536" s="22" t="n">
        <x:v>2025</x:v>
      </x:c>
      <x:c r="C536" s="22" t="str">
        <x:v>Octubre</x:v>
      </x:c>
      <x:c r="D536" s="22" t="str">
        <x:v>E04</x:v>
      </x:c>
      <x:c r="E536" s="22" t="str">
        <x:v>% cumplimiento de requisitos legales aplicables en SST</x:v>
      </x:c>
      <x:c r="F536" s="22" t="str">
        <x:v>Estructura</x:v>
      </x:c>
      <x:c r="G536" s="22" t="str">
        <x:v>Mensual</x:v>
      </x:c>
      <x:c r="H536" s="40" t="n">
        <x:v>95</x:v>
      </x:c>
      <x:c r="I536" s="22" t="str">
        <x:v>Mayor es mejor</x:v>
      </x:c>
      <x:c r="J536" s="40" t="n">
        <x:v>57</x:v>
      </x:c>
      <x:c r="K536" s="40" t="n">
        <x:v>60</x:v>
      </x:c>
      <x:c r="L536" s="40" t="n">
        <x:v>100</x:v>
      </x:c>
      <x:c r="M536" s="40" t="n">
        <x:f>IF(OR(J536="",K536="",K536=0),"",J536/K536*L536)</x:f>
        <x:v>95</x:v>
      </x:c>
      <x:c r="N536" s="22" t="str">
        <x:f>IF(M536="","",IF(I536="Mayor es mejor",IF(M536&gt;=H536,"En meta",IF(M536&gt;=H536*0.9,"Alerta","Crítico")),IF(M536&lt;=H536,"En meta",IF(M536&lt;=H536*1.1,"Alerta","Crítico"))))</x:f>
        <x:v>En meta</x:v>
      </x:c>
      <x:c r="O536" s="22" t="str">
        <x:v>%</x:v>
      </x:c>
      <x:c r="P536" s="22" t="str">
        <x:v>Líder SG-SST / Jurídica</x:v>
      </x:c>
      <x:c r="Q536" s="22" t="str">
        <x:v>Matriz legal SGRL</x:v>
      </x:c>
      <x:c r="R536" s="22" t="str"/>
    </x:row>
    <x:row r="537">
      <x:c r="A537" s="46" t="n">
        <x:v>45961</x:v>
      </x:c>
      <x:c r="B537" s="22" t="n">
        <x:v>2025</x:v>
      </x:c>
      <x:c r="C537" s="22" t="str">
        <x:v>Octubre</x:v>
      </x:c>
      <x:c r="D537" s="22" t="str">
        <x:v>E05</x:v>
      </x:c>
      <x:c r="E537" s="22" t="str">
        <x:v>% proveedores y contratistas aprobados en SST</x:v>
      </x:c>
      <x:c r="F537" s="22" t="str">
        <x:v>Estructura</x:v>
      </x:c>
      <x:c r="G537" s="22" t="str">
        <x:v>Mensual</x:v>
      </x:c>
      <x:c r="H537" s="40" t="n">
        <x:v>90</x:v>
      </x:c>
      <x:c r="I537" s="22" t="str">
        <x:v>Mayor es mejor</x:v>
      </x:c>
      <x:c r="J537" s="40" t="n">
        <x:v>19</x:v>
      </x:c>
      <x:c r="K537" s="40" t="n">
        <x:v>20</x:v>
      </x:c>
      <x:c r="L537" s="40" t="n">
        <x:v>100</x:v>
      </x:c>
      <x:c r="M537" s="40" t="n">
        <x:f>IF(OR(J537="",K537="",K537=0),"",J537/K537*L537)</x:f>
        <x:v>95</x:v>
      </x:c>
      <x:c r="N537" s="22" t="str">
        <x:f>IF(M537="","",IF(I537="Mayor es mejor",IF(M537&gt;=H537,"En meta",IF(M537&gt;=H537*0.9,"Alerta","Crítico")),IF(M537&lt;=H537,"En meta",IF(M537&lt;=H537*1.1,"Alerta","Crítico"))))</x:f>
        <x:v>En meta</x:v>
      </x:c>
      <x:c r="O537" s="22" t="str">
        <x:v>%</x:v>
      </x:c>
      <x:c r="P537" s="22" t="str">
        <x:v>Compras / Líder SG-SST</x:v>
      </x:c>
      <x:c r="Q537" s="22" t="str">
        <x:v>Gestión de proveedores y contratistas</x:v>
      </x:c>
      <x:c r="R537" s="22" t="str"/>
    </x:row>
    <x:row r="538">
      <x:c r="A538" s="46" t="n">
        <x:v>45961</x:v>
      </x:c>
      <x:c r="B538" s="22" t="n">
        <x:v>2025</x:v>
      </x:c>
      <x:c r="C538" s="22" t="str">
        <x:v>Octubre</x:v>
      </x:c>
      <x:c r="D538" s="22" t="str">
        <x:v>P01</x:v>
      </x:c>
      <x:c r="E538" s="22" t="str">
        <x:v>% ejecución del plan anual de trabajo SG-SST</x:v>
      </x:c>
      <x:c r="F538" s="22" t="str">
        <x:v>Proceso</x:v>
      </x:c>
      <x:c r="G538" s="22" t="str">
        <x:v>Mensual</x:v>
      </x:c>
      <x:c r="H538" s="40" t="n">
        <x:v>90</x:v>
      </x:c>
      <x:c r="I538" s="22" t="str">
        <x:v>Mayor es mejor</x:v>
      </x:c>
      <x:c r="J538" s="40" t="n">
        <x:v>11</x:v>
      </x:c>
      <x:c r="K538" s="40" t="n">
        <x:v>12</x:v>
      </x:c>
      <x:c r="L538" s="40" t="n">
        <x:v>100</x:v>
      </x:c>
      <x:c r="M538" s="40" t="n">
        <x:f>IF(OR(J538="",K538="",K538=0),"",J538/K538*L538)</x:f>
        <x:v>91.66666666666666</x:v>
      </x:c>
      <x:c r="N538" s="22" t="str">
        <x:f>IF(M538="","",IF(I538="Mayor es mejor",IF(M538&gt;=H538,"En meta",IF(M538&gt;=H538*0.9,"Alerta","Crítico")),IF(M538&lt;=H538,"En meta",IF(M538&lt;=H538*1.1,"Alerta","Crítico"))))</x:f>
        <x:v>En meta</x:v>
      </x:c>
      <x:c r="O538" s="22" t="str">
        <x:v>%</x:v>
      </x:c>
      <x:c r="P538" s="22" t="str">
        <x:v>Líder SG-SST</x:v>
      </x:c>
      <x:c r="Q538" s="22" t="str">
        <x:v>Plan anual de trabajo PHVA</x:v>
      </x:c>
      <x:c r="R538" s="22" t="str"/>
    </x:row>
    <x:row r="539">
      <x:c r="A539" s="46" t="n">
        <x:v>45961</x:v>
      </x:c>
      <x:c r="B539" s="22" t="n">
        <x:v>2025</x:v>
      </x:c>
      <x:c r="C539" s="22" t="str">
        <x:v>Octubre</x:v>
      </x:c>
      <x:c r="D539" s="22" t="str">
        <x:v>P02</x:v>
      </x:c>
      <x:c r="E539" s="22" t="str">
        <x:v>% investigaciones de accidentes realizadas oportunamente</x:v>
      </x:c>
      <x:c r="F539" s="22" t="str">
        <x:v>Proceso</x:v>
      </x:c>
      <x:c r="G539" s="22" t="str">
        <x:v>Mensual</x:v>
      </x:c>
      <x:c r="H539" s="40" t="n">
        <x:v>95</x:v>
      </x:c>
      <x:c r="I539" s="22" t="str">
        <x:v>Mayor es mejor</x:v>
      </x:c>
      <x:c r="J539" s="40" t="n">
        <x:v>1</x:v>
      </x:c>
      <x:c r="K539" s="40" t="n">
        <x:v>1</x:v>
      </x:c>
      <x:c r="L539" s="40" t="n">
        <x:v>100</x:v>
      </x:c>
      <x:c r="M539" s="40" t="n">
        <x:f>IF(OR(J539="",K539="",K539=0),"",J539/K539*L539)</x:f>
        <x:v>100</x:v>
      </x:c>
      <x:c r="N539" s="22" t="str">
        <x:f>IF(M539="","",IF(I539="Mayor es mejor",IF(M539&gt;=H539,"En meta",IF(M539&gt;=H539*0.9,"Alerta","Crítico")),IF(M539&lt;=H539,"En meta",IF(M539&lt;=H539*1.1,"Alerta","Crítico"))))</x:f>
        <x:v>En meta</x:v>
      </x:c>
      <x:c r="O539" s="22" t="str">
        <x:v>%</x:v>
      </x:c>
      <x:c r="P539" s="22" t="str">
        <x:v>Líder SG-SST / COPASST</x:v>
      </x:c>
      <x:c r="Q539" s="22" t="str">
        <x:v>Matriz de accidentalidad</x:v>
      </x:c>
      <x:c r="R539" s="22" t="str"/>
    </x:row>
    <x:row r="540">
      <x:c r="A540" s="46" t="n">
        <x:v>45961</x:v>
      </x:c>
      <x:c r="B540" s="22" t="n">
        <x:v>2025</x:v>
      </x:c>
      <x:c r="C540" s="22" t="str">
        <x:v>Octubre</x:v>
      </x:c>
      <x:c r="D540" s="22" t="str">
        <x:v>P03</x:v>
      </x:c>
      <x:c r="E540" s="22" t="str">
        <x:v>% cierre oportuno de acciones correctivas, preventivas y de mejora</x:v>
      </x:c>
      <x:c r="F540" s="22" t="str">
        <x:v>Proceso</x:v>
      </x:c>
      <x:c r="G540" s="22" t="str">
        <x:v>Mensual</x:v>
      </x:c>
      <x:c r="H540" s="40" t="n">
        <x:v>90</x:v>
      </x:c>
      <x:c r="I540" s="22" t="str">
        <x:v>Mayor es mejor</x:v>
      </x:c>
      <x:c r="J540" s="40" t="n">
        <x:v>9</x:v>
      </x:c>
      <x:c r="K540" s="40" t="n">
        <x:v>10</x:v>
      </x:c>
      <x:c r="L540" s="40" t="n">
        <x:v>100</x:v>
      </x:c>
      <x:c r="M540" s="40" t="n">
        <x:f>IF(OR(J540="",K540="",K540=0),"",J540/K540*L540)</x:f>
        <x:v>90</x:v>
      </x:c>
      <x:c r="N540" s="22" t="str">
        <x:f>IF(M540="","",IF(I540="Mayor es mejor",IF(M540&gt;=H540,"En meta",IF(M540&gt;=H540*0.9,"Alerta","Crítico")),IF(M540&lt;=H540,"En meta",IF(M540&lt;=H540*1.1,"Alerta","Crítico"))))</x:f>
        <x:v>En meta</x:v>
      </x:c>
      <x:c r="O540" s="22" t="str">
        <x:v>%</x:v>
      </x:c>
      <x:c r="P540" s="22" t="str">
        <x:v>Líder SG-SST / Responsables de proceso</x:v>
      </x:c>
      <x:c r="Q540" s="22" t="str">
        <x:v>Matriz APCM</x:v>
      </x:c>
      <x:c r="R540" s="22" t="str"/>
    </x:row>
    <x:row r="541">
      <x:c r="A541" s="46" t="n">
        <x:v>45961</x:v>
      </x:c>
      <x:c r="B541" s="22" t="n">
        <x:v>2025</x:v>
      </x:c>
      <x:c r="C541" s="22" t="str">
        <x:v>Octubre</x:v>
      </x:c>
      <x:c r="D541" s="22" t="str">
        <x:v>P04</x:v>
      </x:c>
      <x:c r="E541" s="22" t="str">
        <x:v>% inspecciones de seguridad ejecutadas</x:v>
      </x:c>
      <x:c r="F541" s="22" t="str">
        <x:v>Proceso</x:v>
      </x:c>
      <x:c r="G541" s="22" t="str">
        <x:v>Mensual</x:v>
      </x:c>
      <x:c r="H541" s="40" t="n">
        <x:v>90</x:v>
      </x:c>
      <x:c r="I541" s="22" t="str">
        <x:v>Mayor es mejor</x:v>
      </x:c>
      <x:c r="J541" s="40" t="n">
        <x:v>9</x:v>
      </x:c>
      <x:c r="K541" s="40" t="n">
        <x:v>10</x:v>
      </x:c>
      <x:c r="L541" s="40" t="n">
        <x:v>100</x:v>
      </x:c>
      <x:c r="M541" s="40" t="n">
        <x:f>IF(OR(J541="",K541="",K541=0),"",J541/K541*L541)</x:f>
        <x:v>90</x:v>
      </x:c>
      <x:c r="N541" s="22" t="str">
        <x:f>IF(M541="","",IF(I541="Mayor es mejor",IF(M541&gt;=H541,"En meta",IF(M541&gt;=H541*0.9,"Alerta","Crítico")),IF(M541&lt;=H541,"En meta",IF(M541&lt;=H541*1.1,"Alerta","Crítico"))))</x:f>
        <x:v>En meta</x:v>
      </x:c>
      <x:c r="O541" s="22" t="str">
        <x:v>%</x:v>
      </x:c>
      <x:c r="P541" s="22" t="str">
        <x:v>Líder SG-SST / Supervisores</x:v>
      </x:c>
      <x:c r="Q541" s="22" t="str">
        <x:v>Programa de inspecciones</x:v>
      </x:c>
      <x:c r="R541" s="22" t="str"/>
    </x:row>
    <x:row r="542">
      <x:c r="A542" s="46" t="n">
        <x:v>45961</x:v>
      </x:c>
      <x:c r="B542" s="22" t="n">
        <x:v>2025</x:v>
      </x:c>
      <x:c r="C542" s="22" t="str">
        <x:v>Octubre</x:v>
      </x:c>
      <x:c r="D542" s="22" t="str">
        <x:v>P05</x:v>
      </x:c>
      <x:c r="E542" s="22" t="str">
        <x:v>% mantenimientos preventivos ejecutados</x:v>
      </x:c>
      <x:c r="F542" s="22" t="str">
        <x:v>Proceso</x:v>
      </x:c>
      <x:c r="G542" s="22" t="str">
        <x:v>Mensual</x:v>
      </x:c>
      <x:c r="H542" s="40" t="n">
        <x:v>90</x:v>
      </x:c>
      <x:c r="I542" s="22" t="str">
        <x:v>Mayor es mejor</x:v>
      </x:c>
      <x:c r="J542" s="40" t="n">
        <x:v>13</x:v>
      </x:c>
      <x:c r="K542" s="40" t="n">
        <x:v>14</x:v>
      </x:c>
      <x:c r="L542" s="40" t="n">
        <x:v>100</x:v>
      </x:c>
      <x:c r="M542" s="40" t="n">
        <x:f>IF(OR(J542="",K542="",K542=0),"",J542/K542*L542)</x:f>
        <x:v>92.85714285714286</x:v>
      </x:c>
      <x:c r="N542" s="22" t="str">
        <x:f>IF(M542="","",IF(I542="Mayor es mejor",IF(M542&gt;=H542,"En meta",IF(M542&gt;=H542*0.9,"Alerta","Crítico")),IF(M542&lt;=H542,"En meta",IF(M542&lt;=H542*1.1,"Alerta","Crítico"))))</x:f>
        <x:v>En meta</x:v>
      </x:c>
      <x:c r="O542" s="22" t="str">
        <x:v>%</x:v>
      </x:c>
      <x:c r="P542" s="22" t="str">
        <x:v>Mantenimiento / Líder SG-SST</x:v>
      </x:c>
      <x:c r="Q542" s="22" t="str">
        <x:v>Programa de mantenimiento preventivo</x:v>
      </x:c>
      <x:c r="R542" s="22" t="str"/>
    </x:row>
    <x:row r="543">
      <x:c r="A543" s="46" t="n">
        <x:v>45961</x:v>
      </x:c>
      <x:c r="B543" s="22" t="n">
        <x:v>2025</x:v>
      </x:c>
      <x:c r="C543" s="22" t="str">
        <x:v>Octubre</x:v>
      </x:c>
      <x:c r="D543" s="22" t="str">
        <x:v>R01</x:v>
      </x:c>
      <x:c r="E543" s="22" t="str">
        <x:v>Índice de frecuencia de accidentalidad (IF)</x:v>
      </x:c>
      <x:c r="F543" s="22" t="str">
        <x:v>Resultado</x:v>
      </x:c>
      <x:c r="G543" s="22" t="str">
        <x:v>Mensual</x:v>
      </x:c>
      <x:c r="H543" s="40" t="n">
        <x:v>3.5</x:v>
      </x:c>
      <x:c r="I543" s="22" t="str">
        <x:v>Menor es mejor</x:v>
      </x:c>
      <x:c r="J543" s="40" t="n">
        <x:v>1</x:v>
      </x:c>
      <x:c r="K543" s="40" t="n">
        <x:v>55509</x:v>
      </x:c>
      <x:c r="L543" s="40" t="n">
        <x:v>200000</x:v>
      </x:c>
      <x:c r="M543" s="40" t="n">
        <x:f>IF(OR(J543="",K543="",K543=0),"",J543/K543*L543)</x:f>
        <x:v>3.603019330198707</x:v>
      </x:c>
      <x:c r="N543" s="22" t="str">
        <x:f>IF(M543="","",IF(I543="Mayor es mejor",IF(M543&gt;=H543,"En meta",IF(M543&gt;=H543*0.9,"Alerta","Crítico")),IF(M543&lt;=H543,"En meta",IF(M543&lt;=H543*1.1,"Alerta","Crítico"))))</x:f>
        <x:v>Alerta</x:v>
      </x:c>
      <x:c r="O543" s="22" t="str">
        <x:v>Índice</x:v>
      </x:c>
      <x:c r="P543" s="22" t="str">
        <x:v>Líder SG-SST</x:v>
      </x:c>
      <x:c r="Q543" s="22" t="str">
        <x:v>Matriz de accidentalidad / nómina</x:v>
      </x:c>
      <x:c r="R543" s="22" t="str"/>
    </x:row>
    <x:row r="544">
      <x:c r="A544" s="46" t="n">
        <x:v>45961</x:v>
      </x:c>
      <x:c r="B544" s="22" t="n">
        <x:v>2025</x:v>
      </x:c>
      <x:c r="C544" s="22" t="str">
        <x:v>Octubre</x:v>
      </x:c>
      <x:c r="D544" s="22" t="str">
        <x:v>R02</x:v>
      </x:c>
      <x:c r="E544" s="22" t="str">
        <x:v>Índice de severidad de accidentalidad (IS)</x:v>
      </x:c>
      <x:c r="F544" s="22" t="str">
        <x:v>Resultado</x:v>
      </x:c>
      <x:c r="G544" s="22" t="str">
        <x:v>Mensual</x:v>
      </x:c>
      <x:c r="H544" s="40" t="n">
        <x:v>80</x:v>
      </x:c>
      <x:c r="I544" s="22" t="str">
        <x:v>Menor es mejor</x:v>
      </x:c>
      <x:c r="J544" s="40" t="n">
        <x:v>13</x:v>
      </x:c>
      <x:c r="K544" s="40" t="n">
        <x:v>55509</x:v>
      </x:c>
      <x:c r="L544" s="40" t="n">
        <x:v>200000</x:v>
      </x:c>
      <x:c r="M544" s="40" t="n">
        <x:f>IF(OR(J544="",K544="",K544=0),"",J544/K544*L544)</x:f>
        <x:v>46.839251292583185</x:v>
      </x:c>
      <x:c r="N544" s="22" t="str">
        <x:f>IF(M544="","",IF(I544="Mayor es mejor",IF(M544&gt;=H544,"En meta",IF(M544&gt;=H544*0.9,"Alerta","Crítico")),IF(M544&lt;=H544,"En meta",IF(M544&lt;=H544*1.1,"Alerta","Crítico"))))</x:f>
        <x:v>En meta</x:v>
      </x:c>
      <x:c r="O544" s="22" t="str">
        <x:v>Índice</x:v>
      </x:c>
      <x:c r="P544" s="22" t="str">
        <x:v>Líder SG-SST</x:v>
      </x:c>
      <x:c r="Q544" s="22" t="str">
        <x:v>Matriz de accidentalidad / nómina</x:v>
      </x:c>
      <x:c r="R544" s="22" t="str"/>
    </x:row>
    <x:row r="545">
      <x:c r="A545" s="46" t="n">
        <x:v>45961</x:v>
      </x:c>
      <x:c r="B545" s="22" t="n">
        <x:v>2025</x:v>
      </x:c>
      <x:c r="C545" s="22" t="str">
        <x:v>Octubre</x:v>
      </x:c>
      <x:c r="D545" s="22" t="str">
        <x:v>R03</x:v>
      </x:c>
      <x:c r="E545" s="22" t="str">
        <x:v>Índice de lesión incapacitante (ILI)</x:v>
      </x:c>
      <x:c r="F545" s="22" t="str">
        <x:v>Resultado</x:v>
      </x:c>
      <x:c r="G545" s="22" t="str">
        <x:v>Mensual</x:v>
      </x:c>
      <x:c r="H545" s="40" t="n">
        <x:v>0.25</x:v>
      </x:c>
      <x:c r="I545" s="22" t="str">
        <x:v>Menor es mejor</x:v>
      </x:c>
      <x:c r="J545" s="40" t="n">
        <x:v>168.7627</x:v>
      </x:c>
      <x:c r="K545" s="40" t="n">
        <x:v>1000</x:v>
      </x:c>
      <x:c r="L545" s="40" t="n">
        <x:v>1</x:v>
      </x:c>
      <x:c r="M545" s="40" t="n">
        <x:f>IF(OR(J545="",K545="",K545=0),"",J545/K545*L545)</x:f>
        <x:v>0.1687627</x:v>
      </x:c>
      <x:c r="N545" s="22" t="str">
        <x:f>IF(M545="","",IF(I545="Mayor es mejor",IF(M545&gt;=H545,"En meta",IF(M545&gt;=H545*0.9,"Alerta","Crítico")),IF(M545&lt;=H545,"En meta",IF(M545&lt;=H545*1.1,"Alerta","Crítico"))))</x:f>
        <x:v>En meta</x:v>
      </x:c>
      <x:c r="O545" s="22" t="str">
        <x:v>Índice</x:v>
      </x:c>
      <x:c r="P545" s="22" t="str">
        <x:v>Líder SG-SST</x:v>
      </x:c>
      <x:c r="Q545" s="22" t="str">
        <x:v>Indicadores derivados de accidentalidad</x:v>
      </x:c>
      <x:c r="R545" s="22" t="str">
        <x:v>ILI calculado sobre IF e IS del periodo.</x:v>
      </x:c>
    </x:row>
    <x:row r="546">
      <x:c r="A546" s="46" t="n">
        <x:v>45961</x:v>
      </x:c>
      <x:c r="B546" s="22" t="n">
        <x:v>2025</x:v>
      </x:c>
      <x:c r="C546" s="22" t="str">
        <x:v>Octubre</x:v>
      </x:c>
      <x:c r="D546" s="22" t="str">
        <x:v>R04</x:v>
      </x:c>
      <x:c r="E546" s="22" t="str">
        <x:v>Tasa de accidentalidad</x:v>
      </x:c>
      <x:c r="F546" s="22" t="str">
        <x:v>Resultado</x:v>
      </x:c>
      <x:c r="G546" s="22" t="str">
        <x:v>Mensual</x:v>
      </x:c>
      <x:c r="H546" s="40" t="n">
        <x:v>0.6</x:v>
      </x:c>
      <x:c r="I546" s="22" t="str">
        <x:v>Menor es mejor</x:v>
      </x:c>
      <x:c r="J546" s="40" t="n">
        <x:v>0.02</x:v>
      </x:c>
      <x:c r="K546" s="40" t="n">
        <x:v>236</x:v>
      </x:c>
      <x:c r="L546" s="40" t="n">
        <x:v>100</x:v>
      </x:c>
      <x:c r="M546" s="40" t="n">
        <x:f>IF(OR(J546="",K546="",K546=0),"",J546/K546*L546)</x:f>
        <x:v>0.00847457627118644</x:v>
      </x:c>
      <x:c r="N546" s="22" t="str">
        <x:f>IF(M546="","",IF(I546="Mayor es mejor",IF(M546&gt;=H546,"En meta",IF(M546&gt;=H546*0.9,"Alerta","Crítico")),IF(M546&lt;=H546,"En meta",IF(M546&lt;=H546*1.1,"Alerta","Crítico"))))</x:f>
        <x:v>En meta</x:v>
      </x:c>
      <x:c r="O546" s="22" t="str">
        <x:v>%</x:v>
      </x:c>
      <x:c r="P546" s="22" t="str">
        <x:v>Líder SG-SST</x:v>
      </x:c>
      <x:c r="Q546" s="22" t="str">
        <x:v>Matriz de accidentalidad / nómina</x:v>
      </x:c>
      <x:c r="R546" s="22" t="str"/>
    </x:row>
    <x:row r="547">
      <x:c r="A547" s="46" t="n">
        <x:v>45961</x:v>
      </x:c>
      <x:c r="B547" s="22" t="n">
        <x:v>2025</x:v>
      </x:c>
      <x:c r="C547" s="22" t="str">
        <x:v>Octubre</x:v>
      </x:c>
      <x:c r="D547" s="22" t="str">
        <x:v>R05</x:v>
      </x:c>
      <x:c r="E547" s="22" t="str">
        <x:v>Prevalencia de enfermedad laboral</x:v>
      </x:c>
      <x:c r="F547" s="22" t="str">
        <x:v>Resultado</x:v>
      </x:c>
      <x:c r="G547" s="22" t="str">
        <x:v>Mensual</x:v>
      </x:c>
      <x:c r="H547" s="40" t="n">
        <x:v>0.3</x:v>
      </x:c>
      <x:c r="I547" s="22" t="str">
        <x:v>Menor es mejor</x:v>
      </x:c>
      <x:c r="J547" s="40" t="n">
        <x:v>0.02</x:v>
      </x:c>
      <x:c r="K547" s="40" t="n">
        <x:v>236</x:v>
      </x:c>
      <x:c r="L547" s="40" t="n">
        <x:v>100</x:v>
      </x:c>
      <x:c r="M547" s="40" t="n">
        <x:f>IF(OR(J547="",K547="",K547=0),"",J547/K547*L547)</x:f>
        <x:v>0.00847457627118644</x:v>
      </x:c>
      <x:c r="N547" s="22" t="str">
        <x:f>IF(M547="","",IF(I547="Mayor es mejor",IF(M547&gt;=H547,"En meta",IF(M547&gt;=H547*0.9,"Alerta","Crítico")),IF(M547&lt;=H547,"En meta",IF(M547&lt;=H547*1.1,"Alerta","Crítico"))))</x:f>
        <x:v>En meta</x:v>
      </x:c>
      <x:c r="O547" s="22" t="str">
        <x:v>%</x:v>
      </x:c>
      <x:c r="P547" s="22" t="str">
        <x:v>Líder SG-SST / Medicina laboral</x:v>
      </x:c>
      <x:c r="Q547" s="22" t="str">
        <x:v>Matriz de enfermedad laboral / nómina</x:v>
      </x:c>
      <x:c r="R547" s="22" t="str"/>
    </x:row>
    <x:row r="548">
      <x:c r="A548" s="46" t="n">
        <x:v>45961</x:v>
      </x:c>
      <x:c r="B548" s="22" t="n">
        <x:v>2025</x:v>
      </x:c>
      <x:c r="C548" s="22" t="str">
        <x:v>Octubre</x:v>
      </x:c>
      <x:c r="D548" s="22" t="str">
        <x:v>R06</x:v>
      </x:c>
      <x:c r="E548" s="22" t="str">
        <x:v>% cumplimiento de estándares mínimos Res. 0312 de 2019</x:v>
      </x:c>
      <x:c r="F548" s="22" t="str">
        <x:v>Resultado</x:v>
      </x:c>
      <x:c r="G548" s="22" t="str">
        <x:v>Mensual</x:v>
      </x:c>
      <x:c r="H548" s="40" t="n">
        <x:v>95</x:v>
      </x:c>
      <x:c r="I548" s="22" t="str">
        <x:v>Mayor es mejor</x:v>
      </x:c>
      <x:c r="J548" s="40" t="n">
        <x:v>99</x:v>
      </x:c>
      <x:c r="K548" s="40" t="n">
        <x:v>100</x:v>
      </x:c>
      <x:c r="L548" s="40" t="n">
        <x:v>100</x:v>
      </x:c>
      <x:c r="M548" s="40" t="n">
        <x:f>IF(OR(J548="",K548="",K548=0),"",J548/K548*L548)</x:f>
        <x:v>99</x:v>
      </x:c>
      <x:c r="N548" s="22" t="str">
        <x:f>IF(M548="","",IF(I548="Mayor es mejor",IF(M548&gt;=H548,"En meta",IF(M548&gt;=H548*0.9,"Alerta","Crítico")),IF(M548&lt;=H548,"En meta",IF(M548&lt;=H548*1.1,"Alerta","Crítico"))))</x:f>
        <x:v>En meta</x:v>
      </x:c>
      <x:c r="O548" s="22" t="str">
        <x:v>%</x:v>
      </x:c>
      <x:c r="P548" s="22" t="str">
        <x:v>Líder SG-SST / Alta Dirección</x:v>
      </x:c>
      <x:c r="Q548" s="22" t="str">
        <x:v>Autodiagnóstico Res. 0312 de 2019</x:v>
      </x:c>
      <x:c r="R548" s="22" t="str"/>
    </x:row>
    <x:row r="549">
      <x:c r="A549" s="46" t="n">
        <x:v>45991</x:v>
      </x:c>
      <x:c r="B549" s="22" t="n">
        <x:v>2025</x:v>
      </x:c>
      <x:c r="C549" s="22" t="str">
        <x:v>Noviembre</x:v>
      </x:c>
      <x:c r="D549" s="22" t="str">
        <x:v>E01</x:v>
      </x:c>
      <x:c r="E549" s="22" t="str">
        <x:v>% ejecución presupuestal del SG-SST</x:v>
      </x:c>
      <x:c r="F549" s="22" t="str">
        <x:v>Estructura</x:v>
      </x:c>
      <x:c r="G549" s="22" t="str">
        <x:v>Mensual</x:v>
      </x:c>
      <x:c r="H549" s="40" t="n">
        <x:v>95</x:v>
      </x:c>
      <x:c r="I549" s="22" t="str">
        <x:v>Mayor es mejor</x:v>
      </x:c>
      <x:c r="J549" s="40" t="n">
        <x:v>9247593</x:v>
      </x:c>
      <x:c r="K549" s="40" t="n">
        <x:v>9500000</x:v>
      </x:c>
      <x:c r="L549" s="40" t="n">
        <x:v>100</x:v>
      </x:c>
      <x:c r="M549" s="40" t="n">
        <x:f>IF(OR(J549="",K549="",K549=0),"",J549/K549*L549)</x:f>
        <x:v>97.34308421052631</x:v>
      </x:c>
      <x:c r="N549" s="22" t="str">
        <x:f>IF(M549="","",IF(I549="Mayor es mejor",IF(M549&gt;=H549,"En meta",IF(M549&gt;=H549*0.9,"Alerta","Crítico")),IF(M549&lt;=H549,"En meta",IF(M549&lt;=H549*1.1,"Alerta","Crítico"))))</x:f>
        <x:v>En meta</x:v>
      </x:c>
      <x:c r="O549" s="22" t="str">
        <x:v>%</x:v>
      </x:c>
      <x:c r="P549" s="22" t="str">
        <x:v>Líder SG-SST / Dirección Administrativa</x:v>
      </x:c>
      <x:c r="Q549" s="22" t="str">
        <x:v>Presupuesto SST</x:v>
      </x:c>
      <x:c r="R549" s="22" t="str"/>
    </x:row>
    <x:row r="550">
      <x:c r="A550" s="46" t="n">
        <x:v>45991</x:v>
      </x:c>
      <x:c r="B550" s="22" t="n">
        <x:v>2025</x:v>
      </x:c>
      <x:c r="C550" s="22" t="str">
        <x:v>Noviembre</x:v>
      </x:c>
      <x:c r="D550" s="22" t="str">
        <x:v>E02</x:v>
      </x:c>
      <x:c r="E550" s="22" t="str">
        <x:v>% cobertura del plan de formación y capacitación SG-SST</x:v>
      </x:c>
      <x:c r="F550" s="22" t="str">
        <x:v>Estructura</x:v>
      </x:c>
      <x:c r="G550" s="22" t="str">
        <x:v>Mensual</x:v>
      </x:c>
      <x:c r="H550" s="40" t="n">
        <x:v>90</x:v>
      </x:c>
      <x:c r="I550" s="22" t="str">
        <x:v>Mayor es mejor</x:v>
      </x:c>
      <x:c r="J550" s="40" t="n">
        <x:v>22</x:v>
      </x:c>
      <x:c r="K550" s="40" t="n">
        <x:v>24</x:v>
      </x:c>
      <x:c r="L550" s="40" t="n">
        <x:v>100</x:v>
      </x:c>
      <x:c r="M550" s="40" t="n">
        <x:f>IF(OR(J550="",K550="",K550=0),"",J550/K550*L550)</x:f>
        <x:v>91.66666666666666</x:v>
      </x:c>
      <x:c r="N550" s="22" t="str">
        <x:f>IF(M550="","",IF(I550="Mayor es mejor",IF(M550&gt;=H550,"En meta",IF(M550&gt;=H550*0.9,"Alerta","Crítico")),IF(M550&lt;=H550,"En meta",IF(M550&lt;=H550*1.1,"Alerta","Crítico"))))</x:f>
        <x:v>En meta</x:v>
      </x:c>
      <x:c r="O550" s="22" t="str">
        <x:v>%</x:v>
      </x:c>
      <x:c r="P550" s="22" t="str">
        <x:v>Líder SG-SST / Talento Humano</x:v>
      </x:c>
      <x:c r="Q550" s="22" t="str">
        <x:v>Plan de formación y capacitaciones</x:v>
      </x:c>
      <x:c r="R550" s="22" t="str"/>
    </x:row>
    <x:row r="551">
      <x:c r="A551" s="46" t="n">
        <x:v>45991</x:v>
      </x:c>
      <x:c r="B551" s="22" t="n">
        <x:v>2025</x:v>
      </x:c>
      <x:c r="C551" s="22" t="str">
        <x:v>Noviembre</x:v>
      </x:c>
      <x:c r="D551" s="22" t="str">
        <x:v>E03</x:v>
      </x:c>
      <x:c r="E551" s="22" t="str">
        <x:v>% trabajadores con exámenes médicos ocupacionales vigentes</x:v>
      </x:c>
      <x:c r="F551" s="22" t="str">
        <x:v>Estructura</x:v>
      </x:c>
      <x:c r="G551" s="22" t="str">
        <x:v>Mensual</x:v>
      </x:c>
      <x:c r="H551" s="40" t="n">
        <x:v>95</x:v>
      </x:c>
      <x:c r="I551" s="22" t="str">
        <x:v>Mayor es mejor</x:v>
      </x:c>
      <x:c r="J551" s="40" t="n">
        <x:v>226</x:v>
      </x:c>
      <x:c r="K551" s="40" t="n">
        <x:v>236</x:v>
      </x:c>
      <x:c r="L551" s="40" t="n">
        <x:v>100</x:v>
      </x:c>
      <x:c r="M551" s="40" t="n">
        <x:f>IF(OR(J551="",K551="",K551=0),"",J551/K551*L551)</x:f>
        <x:v>95.76271186440678</x:v>
      </x:c>
      <x:c r="N551" s="22" t="str">
        <x:f>IF(M551="","",IF(I551="Mayor es mejor",IF(M551&gt;=H551,"En meta",IF(M551&gt;=H551*0.9,"Alerta","Crítico")),IF(M551&lt;=H551,"En meta",IF(M551&lt;=H551*1.1,"Alerta","Crítico"))))</x:f>
        <x:v>En meta</x:v>
      </x:c>
      <x:c r="O551" s="22" t="str">
        <x:v>%</x:v>
      </x:c>
      <x:c r="P551" s="22" t="str">
        <x:v>Líder SG-SST / Talento Humano</x:v>
      </x:c>
      <x:c r="Q551" s="22" t="str">
        <x:v>Matriz de seguimiento EMO</x:v>
      </x:c>
      <x:c r="R551" s="22" t="str"/>
    </x:row>
    <x:row r="552">
      <x:c r="A552" s="46" t="n">
        <x:v>45991</x:v>
      </x:c>
      <x:c r="B552" s="22" t="n">
        <x:v>2025</x:v>
      </x:c>
      <x:c r="C552" s="22" t="str">
        <x:v>Noviembre</x:v>
      </x:c>
      <x:c r="D552" s="22" t="str">
        <x:v>E04</x:v>
      </x:c>
      <x:c r="E552" s="22" t="str">
        <x:v>% cumplimiento de requisitos legales aplicables en SST</x:v>
      </x:c>
      <x:c r="F552" s="22" t="str">
        <x:v>Estructura</x:v>
      </x:c>
      <x:c r="G552" s="22" t="str">
        <x:v>Mensual</x:v>
      </x:c>
      <x:c r="H552" s="40" t="n">
        <x:v>95</x:v>
      </x:c>
      <x:c r="I552" s="22" t="str">
        <x:v>Mayor es mejor</x:v>
      </x:c>
      <x:c r="J552" s="40" t="n">
        <x:v>57</x:v>
      </x:c>
      <x:c r="K552" s="40" t="n">
        <x:v>60</x:v>
      </x:c>
      <x:c r="L552" s="40" t="n">
        <x:v>100</x:v>
      </x:c>
      <x:c r="M552" s="40" t="n">
        <x:f>IF(OR(J552="",K552="",K552=0),"",J552/K552*L552)</x:f>
        <x:v>95</x:v>
      </x:c>
      <x:c r="N552" s="22" t="str">
        <x:f>IF(M552="","",IF(I552="Mayor es mejor",IF(M552&gt;=H552,"En meta",IF(M552&gt;=H552*0.9,"Alerta","Crítico")),IF(M552&lt;=H552,"En meta",IF(M552&lt;=H552*1.1,"Alerta","Crítico"))))</x:f>
        <x:v>En meta</x:v>
      </x:c>
      <x:c r="O552" s="22" t="str">
        <x:v>%</x:v>
      </x:c>
      <x:c r="P552" s="22" t="str">
        <x:v>Líder SG-SST / Jurídica</x:v>
      </x:c>
      <x:c r="Q552" s="22" t="str">
        <x:v>Matriz legal SGRL</x:v>
      </x:c>
      <x:c r="R552" s="22" t="str"/>
    </x:row>
    <x:row r="553">
      <x:c r="A553" s="46" t="n">
        <x:v>45991</x:v>
      </x:c>
      <x:c r="B553" s="22" t="n">
        <x:v>2025</x:v>
      </x:c>
      <x:c r="C553" s="22" t="str">
        <x:v>Noviembre</x:v>
      </x:c>
      <x:c r="D553" s="22" t="str">
        <x:v>E05</x:v>
      </x:c>
      <x:c r="E553" s="22" t="str">
        <x:v>% proveedores y contratistas aprobados en SST</x:v>
      </x:c>
      <x:c r="F553" s="22" t="str">
        <x:v>Estructura</x:v>
      </x:c>
      <x:c r="G553" s="22" t="str">
        <x:v>Mensual</x:v>
      </x:c>
      <x:c r="H553" s="40" t="n">
        <x:v>90</x:v>
      </x:c>
      <x:c r="I553" s="22" t="str">
        <x:v>Mayor es mejor</x:v>
      </x:c>
      <x:c r="J553" s="40" t="n">
        <x:v>19</x:v>
      </x:c>
      <x:c r="K553" s="40" t="n">
        <x:v>20</x:v>
      </x:c>
      <x:c r="L553" s="40" t="n">
        <x:v>100</x:v>
      </x:c>
      <x:c r="M553" s="40" t="n">
        <x:f>IF(OR(J553="",K553="",K553=0),"",J553/K553*L553)</x:f>
        <x:v>95</x:v>
      </x:c>
      <x:c r="N553" s="22" t="str">
        <x:f>IF(M553="","",IF(I553="Mayor es mejor",IF(M553&gt;=H553,"En meta",IF(M553&gt;=H553*0.9,"Alerta","Crítico")),IF(M553&lt;=H553,"En meta",IF(M553&lt;=H553*1.1,"Alerta","Crítico"))))</x:f>
        <x:v>En meta</x:v>
      </x:c>
      <x:c r="O553" s="22" t="str">
        <x:v>%</x:v>
      </x:c>
      <x:c r="P553" s="22" t="str">
        <x:v>Compras / Líder SG-SST</x:v>
      </x:c>
      <x:c r="Q553" s="22" t="str">
        <x:v>Gestión de proveedores y contratistas</x:v>
      </x:c>
      <x:c r="R553" s="22" t="str"/>
    </x:row>
    <x:row r="554">
      <x:c r="A554" s="46" t="n">
        <x:v>45991</x:v>
      </x:c>
      <x:c r="B554" s="22" t="n">
        <x:v>2025</x:v>
      </x:c>
      <x:c r="C554" s="22" t="str">
        <x:v>Noviembre</x:v>
      </x:c>
      <x:c r="D554" s="22" t="str">
        <x:v>P01</x:v>
      </x:c>
      <x:c r="E554" s="22" t="str">
        <x:v>% ejecución del plan anual de trabajo SG-SST</x:v>
      </x:c>
      <x:c r="F554" s="22" t="str">
        <x:v>Proceso</x:v>
      </x:c>
      <x:c r="G554" s="22" t="str">
        <x:v>Mensual</x:v>
      </x:c>
      <x:c r="H554" s="40" t="n">
        <x:v>90</x:v>
      </x:c>
      <x:c r="I554" s="22" t="str">
        <x:v>Mayor es mejor</x:v>
      </x:c>
      <x:c r="J554" s="40" t="n">
        <x:v>13</x:v>
      </x:c>
      <x:c r="K554" s="40" t="n">
        <x:v>14</x:v>
      </x:c>
      <x:c r="L554" s="40" t="n">
        <x:v>100</x:v>
      </x:c>
      <x:c r="M554" s="40" t="n">
        <x:f>IF(OR(J554="",K554="",K554=0),"",J554/K554*L554)</x:f>
        <x:v>92.85714285714286</x:v>
      </x:c>
      <x:c r="N554" s="22" t="str">
        <x:f>IF(M554="","",IF(I554="Mayor es mejor",IF(M554&gt;=H554,"En meta",IF(M554&gt;=H554*0.9,"Alerta","Crítico")),IF(M554&lt;=H554,"En meta",IF(M554&lt;=H554*1.1,"Alerta","Crítico"))))</x:f>
        <x:v>En meta</x:v>
      </x:c>
      <x:c r="O554" s="22" t="str">
        <x:v>%</x:v>
      </x:c>
      <x:c r="P554" s="22" t="str">
        <x:v>Líder SG-SST</x:v>
      </x:c>
      <x:c r="Q554" s="22" t="str">
        <x:v>Plan anual de trabajo PHVA</x:v>
      </x:c>
      <x:c r="R554" s="22" t="str"/>
    </x:row>
    <x:row r="555">
      <x:c r="A555" s="46" t="n">
        <x:v>45991</x:v>
      </x:c>
      <x:c r="B555" s="22" t="n">
        <x:v>2025</x:v>
      </x:c>
      <x:c r="C555" s="22" t="str">
        <x:v>Noviembre</x:v>
      </x:c>
      <x:c r="D555" s="22" t="str">
        <x:v>P02</x:v>
      </x:c>
      <x:c r="E555" s="22" t="str">
        <x:v>% investigaciones de accidentes realizadas oportunamente</x:v>
      </x:c>
      <x:c r="F555" s="22" t="str">
        <x:v>Proceso</x:v>
      </x:c>
      <x:c r="G555" s="22" t="str">
        <x:v>Mensual</x:v>
      </x:c>
      <x:c r="H555" s="40" t="n">
        <x:v>95</x:v>
      </x:c>
      <x:c r="I555" s="22" t="str">
        <x:v>Mayor es mejor</x:v>
      </x:c>
      <x:c r="J555" s="40" t="n">
        <x:v>1</x:v>
      </x:c>
      <x:c r="K555" s="40" t="n">
        <x:v>1</x:v>
      </x:c>
      <x:c r="L555" s="40" t="n">
        <x:v>100</x:v>
      </x:c>
      <x:c r="M555" s="40" t="n">
        <x:f>IF(OR(J555="",K555="",K555=0),"",J555/K555*L555)</x:f>
        <x:v>100</x:v>
      </x:c>
      <x:c r="N555" s="22" t="str">
        <x:f>IF(M555="","",IF(I555="Mayor es mejor",IF(M555&gt;=H555,"En meta",IF(M555&gt;=H555*0.9,"Alerta","Crítico")),IF(M555&lt;=H555,"En meta",IF(M555&lt;=H555*1.1,"Alerta","Crítico"))))</x:f>
        <x:v>En meta</x:v>
      </x:c>
      <x:c r="O555" s="22" t="str">
        <x:v>%</x:v>
      </x:c>
      <x:c r="P555" s="22" t="str">
        <x:v>Líder SG-SST / COPASST</x:v>
      </x:c>
      <x:c r="Q555" s="22" t="str">
        <x:v>Matriz de accidentalidad</x:v>
      </x:c>
      <x:c r="R555" s="22" t="str"/>
    </x:row>
    <x:row r="556">
      <x:c r="A556" s="46" t="n">
        <x:v>45991</x:v>
      </x:c>
      <x:c r="B556" s="22" t="n">
        <x:v>2025</x:v>
      </x:c>
      <x:c r="C556" s="22" t="str">
        <x:v>Noviembre</x:v>
      </x:c>
      <x:c r="D556" s="22" t="str">
        <x:v>P03</x:v>
      </x:c>
      <x:c r="E556" s="22" t="str">
        <x:v>% cierre oportuno de acciones correctivas, preventivas y de mejora</x:v>
      </x:c>
      <x:c r="F556" s="22" t="str">
        <x:v>Proceso</x:v>
      </x:c>
      <x:c r="G556" s="22" t="str">
        <x:v>Mensual</x:v>
      </x:c>
      <x:c r="H556" s="40" t="n">
        <x:v>90</x:v>
      </x:c>
      <x:c r="I556" s="22" t="str">
        <x:v>Mayor es mejor</x:v>
      </x:c>
      <x:c r="J556" s="40" t="n">
        <x:v>10</x:v>
      </x:c>
      <x:c r="K556" s="40" t="n">
        <x:v>11</x:v>
      </x:c>
      <x:c r="L556" s="40" t="n">
        <x:v>100</x:v>
      </x:c>
      <x:c r="M556" s="40" t="n">
        <x:f>IF(OR(J556="",K556="",K556=0),"",J556/K556*L556)</x:f>
        <x:v>90.9090909090909</x:v>
      </x:c>
      <x:c r="N556" s="22" t="str">
        <x:f>IF(M556="","",IF(I556="Mayor es mejor",IF(M556&gt;=H556,"En meta",IF(M556&gt;=H556*0.9,"Alerta","Crítico")),IF(M556&lt;=H556,"En meta",IF(M556&lt;=H556*1.1,"Alerta","Crítico"))))</x:f>
        <x:v>En meta</x:v>
      </x:c>
      <x:c r="O556" s="22" t="str">
        <x:v>%</x:v>
      </x:c>
      <x:c r="P556" s="22" t="str">
        <x:v>Líder SG-SST / Responsables de proceso</x:v>
      </x:c>
      <x:c r="Q556" s="22" t="str">
        <x:v>Matriz APCM</x:v>
      </x:c>
      <x:c r="R556" s="22" t="str"/>
    </x:row>
    <x:row r="557">
      <x:c r="A557" s="46" t="n">
        <x:v>45991</x:v>
      </x:c>
      <x:c r="B557" s="22" t="n">
        <x:v>2025</x:v>
      </x:c>
      <x:c r="C557" s="22" t="str">
        <x:v>Noviembre</x:v>
      </x:c>
      <x:c r="D557" s="22" t="str">
        <x:v>P04</x:v>
      </x:c>
      <x:c r="E557" s="22" t="str">
        <x:v>% inspecciones de seguridad ejecutadas</x:v>
      </x:c>
      <x:c r="F557" s="22" t="str">
        <x:v>Proceso</x:v>
      </x:c>
      <x:c r="G557" s="22" t="str">
        <x:v>Mensual</x:v>
      </x:c>
      <x:c r="H557" s="40" t="n">
        <x:v>90</x:v>
      </x:c>
      <x:c r="I557" s="22" t="str">
        <x:v>Mayor es mejor</x:v>
      </x:c>
      <x:c r="J557" s="40" t="n">
        <x:v>10</x:v>
      </x:c>
      <x:c r="K557" s="40" t="n">
        <x:v>11</x:v>
      </x:c>
      <x:c r="L557" s="40" t="n">
        <x:v>100</x:v>
      </x:c>
      <x:c r="M557" s="40" t="n">
        <x:f>IF(OR(J557="",K557="",K557=0),"",J557/K557*L557)</x:f>
        <x:v>90.9090909090909</x:v>
      </x:c>
      <x:c r="N557" s="22" t="str">
        <x:f>IF(M557="","",IF(I557="Mayor es mejor",IF(M557&gt;=H557,"En meta",IF(M557&gt;=H557*0.9,"Alerta","Crítico")),IF(M557&lt;=H557,"En meta",IF(M557&lt;=H557*1.1,"Alerta","Crítico"))))</x:f>
        <x:v>En meta</x:v>
      </x:c>
      <x:c r="O557" s="22" t="str">
        <x:v>%</x:v>
      </x:c>
      <x:c r="P557" s="22" t="str">
        <x:v>Líder SG-SST / Supervisores</x:v>
      </x:c>
      <x:c r="Q557" s="22" t="str">
        <x:v>Programa de inspecciones</x:v>
      </x:c>
      <x:c r="R557" s="22" t="str"/>
    </x:row>
    <x:row r="558">
      <x:c r="A558" s="46" t="n">
        <x:v>45991</x:v>
      </x:c>
      <x:c r="B558" s="22" t="n">
        <x:v>2025</x:v>
      </x:c>
      <x:c r="C558" s="22" t="str">
        <x:v>Noviembre</x:v>
      </x:c>
      <x:c r="D558" s="22" t="str">
        <x:v>P05</x:v>
      </x:c>
      <x:c r="E558" s="22" t="str">
        <x:v>% mantenimientos preventivos ejecutados</x:v>
      </x:c>
      <x:c r="F558" s="22" t="str">
        <x:v>Proceso</x:v>
      </x:c>
      <x:c r="G558" s="22" t="str">
        <x:v>Mensual</x:v>
      </x:c>
      <x:c r="H558" s="40" t="n">
        <x:v>90</x:v>
      </x:c>
      <x:c r="I558" s="22" t="str">
        <x:v>Mayor es mejor</x:v>
      </x:c>
      <x:c r="J558" s="40" t="n">
        <x:v>14</x:v>
      </x:c>
      <x:c r="K558" s="40" t="n">
        <x:v>15</x:v>
      </x:c>
      <x:c r="L558" s="40" t="n">
        <x:v>100</x:v>
      </x:c>
      <x:c r="M558" s="40" t="n">
        <x:f>IF(OR(J558="",K558="",K558=0),"",J558/K558*L558)</x:f>
        <x:v>93.33333333333333</x:v>
      </x:c>
      <x:c r="N558" s="22" t="str">
        <x:f>IF(M558="","",IF(I558="Mayor es mejor",IF(M558&gt;=H558,"En meta",IF(M558&gt;=H558*0.9,"Alerta","Crítico")),IF(M558&lt;=H558,"En meta",IF(M558&lt;=H558*1.1,"Alerta","Crítico"))))</x:f>
        <x:v>En meta</x:v>
      </x:c>
      <x:c r="O558" s="22" t="str">
        <x:v>%</x:v>
      </x:c>
      <x:c r="P558" s="22" t="str">
        <x:v>Mantenimiento / Líder SG-SST</x:v>
      </x:c>
      <x:c r="Q558" s="22" t="str">
        <x:v>Programa de mantenimiento preventivo</x:v>
      </x:c>
      <x:c r="R558" s="22" t="str"/>
    </x:row>
    <x:row r="559">
      <x:c r="A559" s="46" t="n">
        <x:v>45991</x:v>
      </x:c>
      <x:c r="B559" s="22" t="n">
        <x:v>2025</x:v>
      </x:c>
      <x:c r="C559" s="22" t="str">
        <x:v>Noviembre</x:v>
      </x:c>
      <x:c r="D559" s="22" t="str">
        <x:v>R01</x:v>
      </x:c>
      <x:c r="E559" s="22" t="str">
        <x:v>Índice de frecuencia de accidentalidad (IF)</x:v>
      </x:c>
      <x:c r="F559" s="22" t="str">
        <x:v>Resultado</x:v>
      </x:c>
      <x:c r="G559" s="22" t="str">
        <x:v>Mensual</x:v>
      </x:c>
      <x:c r="H559" s="40" t="n">
        <x:v>3.5</x:v>
      </x:c>
      <x:c r="I559" s="22" t="str">
        <x:v>Menor es mejor</x:v>
      </x:c>
      <x:c r="J559" s="40" t="n">
        <x:v>1</x:v>
      </x:c>
      <x:c r="K559" s="40" t="n">
        <x:v>55617</x:v>
      </x:c>
      <x:c r="L559" s="40" t="n">
        <x:v>200000</x:v>
      </x:c>
      <x:c r="M559" s="40" t="n">
        <x:f>IF(OR(J559="",K559="",K559=0),"",J559/K559*L559)</x:f>
        <x:v>3.5960227987845443</x:v>
      </x:c>
      <x:c r="N559" s="22" t="str">
        <x:f>IF(M559="","",IF(I559="Mayor es mejor",IF(M559&gt;=H559,"En meta",IF(M559&gt;=H559*0.9,"Alerta","Crítico")),IF(M559&lt;=H559,"En meta",IF(M559&lt;=H559*1.1,"Alerta","Crítico"))))</x:f>
        <x:v>Alerta</x:v>
      </x:c>
      <x:c r="O559" s="22" t="str">
        <x:v>Índice</x:v>
      </x:c>
      <x:c r="P559" s="22" t="str">
        <x:v>Líder SG-SST</x:v>
      </x:c>
      <x:c r="Q559" s="22" t="str">
        <x:v>Matriz de accidentalidad / nómina</x:v>
      </x:c>
      <x:c r="R559" s="22" t="str"/>
    </x:row>
    <x:row r="560">
      <x:c r="A560" s="46" t="n">
        <x:v>45991</x:v>
      </x:c>
      <x:c r="B560" s="22" t="n">
        <x:v>2025</x:v>
      </x:c>
      <x:c r="C560" s="22" t="str">
        <x:v>Noviembre</x:v>
      </x:c>
      <x:c r="D560" s="22" t="str">
        <x:v>R02</x:v>
      </x:c>
      <x:c r="E560" s="22" t="str">
        <x:v>Índice de severidad de accidentalidad (IS)</x:v>
      </x:c>
      <x:c r="F560" s="22" t="str">
        <x:v>Resultado</x:v>
      </x:c>
      <x:c r="G560" s="22" t="str">
        <x:v>Mensual</x:v>
      </x:c>
      <x:c r="H560" s="40" t="n">
        <x:v>80</x:v>
      </x:c>
      <x:c r="I560" s="22" t="str">
        <x:v>Menor es mejor</x:v>
      </x:c>
      <x:c r="J560" s="40" t="n">
        <x:v>13</x:v>
      </x:c>
      <x:c r="K560" s="40" t="n">
        <x:v>55617</x:v>
      </x:c>
      <x:c r="L560" s="40" t="n">
        <x:v>200000</x:v>
      </x:c>
      <x:c r="M560" s="40" t="n">
        <x:f>IF(OR(J560="",K560="",K560=0),"",J560/K560*L560)</x:f>
        <x:v>46.74829638419908</x:v>
      </x:c>
      <x:c r="N560" s="22" t="str">
        <x:f>IF(M560="","",IF(I560="Mayor es mejor",IF(M560&gt;=H560,"En meta",IF(M560&gt;=H560*0.9,"Alerta","Crítico")),IF(M560&lt;=H560,"En meta",IF(M560&lt;=H560*1.1,"Alerta","Crítico"))))</x:f>
        <x:v>En meta</x:v>
      </x:c>
      <x:c r="O560" s="22" t="str">
        <x:v>Índice</x:v>
      </x:c>
      <x:c r="P560" s="22" t="str">
        <x:v>Líder SG-SST</x:v>
      </x:c>
      <x:c r="Q560" s="22" t="str">
        <x:v>Matriz de accidentalidad / nómina</x:v>
      </x:c>
      <x:c r="R560" s="22" t="str"/>
    </x:row>
    <x:row r="561">
      <x:c r="A561" s="46" t="n">
        <x:v>45991</x:v>
      </x:c>
      <x:c r="B561" s="22" t="n">
        <x:v>2025</x:v>
      </x:c>
      <x:c r="C561" s="22" t="str">
        <x:v>Noviembre</x:v>
      </x:c>
      <x:c r="D561" s="22" t="str">
        <x:v>R03</x:v>
      </x:c>
      <x:c r="E561" s="22" t="str">
        <x:v>Índice de lesión incapacitante (ILI)</x:v>
      </x:c>
      <x:c r="F561" s="22" t="str">
        <x:v>Resultado</x:v>
      </x:c>
      <x:c r="G561" s="22" t="str">
        <x:v>Mensual</x:v>
      </x:c>
      <x:c r="H561" s="40" t="n">
        <x:v>0.25</x:v>
      </x:c>
      <x:c r="I561" s="22" t="str">
        <x:v>Menor es mejor</x:v>
      </x:c>
      <x:c r="J561" s="40" t="n">
        <x:v>168.1079</x:v>
      </x:c>
      <x:c r="K561" s="40" t="n">
        <x:v>1000</x:v>
      </x:c>
      <x:c r="L561" s="40" t="n">
        <x:v>1</x:v>
      </x:c>
      <x:c r="M561" s="40" t="n">
        <x:f>IF(OR(J561="",K561="",K561=0),"",J561/K561*L561)</x:f>
        <x:v>0.1681079</x:v>
      </x:c>
      <x:c r="N561" s="22" t="str">
        <x:f>IF(M561="","",IF(I561="Mayor es mejor",IF(M561&gt;=H561,"En meta",IF(M561&gt;=H561*0.9,"Alerta","Crítico")),IF(M561&lt;=H561,"En meta",IF(M561&lt;=H561*1.1,"Alerta","Crítico"))))</x:f>
        <x:v>En meta</x:v>
      </x:c>
      <x:c r="O561" s="22" t="str">
        <x:v>Índice</x:v>
      </x:c>
      <x:c r="P561" s="22" t="str">
        <x:v>Líder SG-SST</x:v>
      </x:c>
      <x:c r="Q561" s="22" t="str">
        <x:v>Indicadores derivados de accidentalidad</x:v>
      </x:c>
      <x:c r="R561" s="22" t="str">
        <x:v>ILI calculado sobre IF e IS del periodo.</x:v>
      </x:c>
    </x:row>
    <x:row r="562">
      <x:c r="A562" s="46" t="n">
        <x:v>45991</x:v>
      </x:c>
      <x:c r="B562" s="22" t="n">
        <x:v>2025</x:v>
      </x:c>
      <x:c r="C562" s="22" t="str">
        <x:v>Noviembre</x:v>
      </x:c>
      <x:c r="D562" s="22" t="str">
        <x:v>R04</x:v>
      </x:c>
      <x:c r="E562" s="22" t="str">
        <x:v>Tasa de accidentalidad</x:v>
      </x:c>
      <x:c r="F562" s="22" t="str">
        <x:v>Resultado</x:v>
      </x:c>
      <x:c r="G562" s="22" t="str">
        <x:v>Mensual</x:v>
      </x:c>
      <x:c r="H562" s="40" t="n">
        <x:v>0.6</x:v>
      </x:c>
      <x:c r="I562" s="22" t="str">
        <x:v>Menor es mejor</x:v>
      </x:c>
      <x:c r="J562" s="40" t="n">
        <x:v>1.14</x:v>
      </x:c>
      <x:c r="K562" s="40" t="n">
        <x:v>236</x:v>
      </x:c>
      <x:c r="L562" s="40" t="n">
        <x:v>100</x:v>
      </x:c>
      <x:c r="M562" s="40" t="n">
        <x:f>IF(OR(J562="",K562="",K562=0),"",J562/K562*L562)</x:f>
        <x:v>0.48305084745762705</x:v>
      </x:c>
      <x:c r="N562" s="22" t="str">
        <x:f>IF(M562="","",IF(I562="Mayor es mejor",IF(M562&gt;=H562,"En meta",IF(M562&gt;=H562*0.9,"Alerta","Crítico")),IF(M562&lt;=H562,"En meta",IF(M562&lt;=H562*1.1,"Alerta","Crítico"))))</x:f>
        <x:v>En meta</x:v>
      </x:c>
      <x:c r="O562" s="22" t="str">
        <x:v>%</x:v>
      </x:c>
      <x:c r="P562" s="22" t="str">
        <x:v>Líder SG-SST</x:v>
      </x:c>
      <x:c r="Q562" s="22" t="str">
        <x:v>Matriz de accidentalidad / nómina</x:v>
      </x:c>
      <x:c r="R562" s="22" t="str"/>
    </x:row>
    <x:row r="563">
      <x:c r="A563" s="46" t="n">
        <x:v>45991</x:v>
      </x:c>
      <x:c r="B563" s="22" t="n">
        <x:v>2025</x:v>
      </x:c>
      <x:c r="C563" s="22" t="str">
        <x:v>Noviembre</x:v>
      </x:c>
      <x:c r="D563" s="22" t="str">
        <x:v>R05</x:v>
      </x:c>
      <x:c r="E563" s="22" t="str">
        <x:v>Prevalencia de enfermedad laboral</x:v>
      </x:c>
      <x:c r="F563" s="22" t="str">
        <x:v>Resultado</x:v>
      </x:c>
      <x:c r="G563" s="22" t="str">
        <x:v>Mensual</x:v>
      </x:c>
      <x:c r="H563" s="40" t="n">
        <x:v>0.3</x:v>
      </x:c>
      <x:c r="I563" s="22" t="str">
        <x:v>Menor es mejor</x:v>
      </x:c>
      <x:c r="J563" s="40" t="n">
        <x:v>3.53</x:v>
      </x:c>
      <x:c r="K563" s="40" t="n">
        <x:v>236</x:v>
      </x:c>
      <x:c r="L563" s="40" t="n">
        <x:v>100</x:v>
      </x:c>
      <x:c r="M563" s="40" t="n">
        <x:f>IF(OR(J563="",K563="",K563=0),"",J563/K563*L563)</x:f>
        <x:v>1.4957627118644066</x:v>
      </x:c>
      <x:c r="N563" s="22" t="str">
        <x:f>IF(M563="","",IF(I563="Mayor es mejor",IF(M563&gt;=H563,"En meta",IF(M563&gt;=H563*0.9,"Alerta","Crítico")),IF(M563&lt;=H563,"En meta",IF(M563&lt;=H563*1.1,"Alerta","Crítico"))))</x:f>
        <x:v>Crítico</x:v>
      </x:c>
      <x:c r="O563" s="22" t="str">
        <x:v>%</x:v>
      </x:c>
      <x:c r="P563" s="22" t="str">
        <x:v>Líder SG-SST / Medicina laboral</x:v>
      </x:c>
      <x:c r="Q563" s="22" t="str">
        <x:v>Matriz de enfermedad laboral / nómina</x:v>
      </x:c>
      <x:c r="R563" s="22" t="str"/>
    </x:row>
    <x:row r="564">
      <x:c r="A564" s="46" t="n">
        <x:v>45991</x:v>
      </x:c>
      <x:c r="B564" s="22" t="n">
        <x:v>2025</x:v>
      </x:c>
      <x:c r="C564" s="22" t="str">
        <x:v>Noviembre</x:v>
      </x:c>
      <x:c r="D564" s="22" t="str">
        <x:v>R06</x:v>
      </x:c>
      <x:c r="E564" s="22" t="str">
        <x:v>% cumplimiento de estándares mínimos Res. 0312 de 2019</x:v>
      </x:c>
      <x:c r="F564" s="22" t="str">
        <x:v>Resultado</x:v>
      </x:c>
      <x:c r="G564" s="22" t="str">
        <x:v>Mensual</x:v>
      </x:c>
      <x:c r="H564" s="40" t="n">
        <x:v>95</x:v>
      </x:c>
      <x:c r="I564" s="22" t="str">
        <x:v>Mayor es mejor</x:v>
      </x:c>
      <x:c r="J564" s="40" t="n">
        <x:v>100</x:v>
      </x:c>
      <x:c r="K564" s="40" t="n">
        <x:v>100</x:v>
      </x:c>
      <x:c r="L564" s="40" t="n">
        <x:v>100</x:v>
      </x:c>
      <x:c r="M564" s="40" t="n">
        <x:f>IF(OR(J564="",K564="",K564=0),"",J564/K564*L564)</x:f>
        <x:v>100</x:v>
      </x:c>
      <x:c r="N564" s="22" t="str">
        <x:f>IF(M564="","",IF(I564="Mayor es mejor",IF(M564&gt;=H564,"En meta",IF(M564&gt;=H564*0.9,"Alerta","Crítico")),IF(M564&lt;=H564,"En meta",IF(M564&lt;=H564*1.1,"Alerta","Crítico"))))</x:f>
        <x:v>En meta</x:v>
      </x:c>
      <x:c r="O564" s="22" t="str">
        <x:v>%</x:v>
      </x:c>
      <x:c r="P564" s="22" t="str">
        <x:v>Líder SG-SST / Alta Dirección</x:v>
      </x:c>
      <x:c r="Q564" s="22" t="str">
        <x:v>Autodiagnóstico Res. 0312 de 2019</x:v>
      </x:c>
      <x:c r="R564" s="22" t="str"/>
    </x:row>
    <x:row r="565">
      <x:c r="A565" s="46" t="n">
        <x:v>46022</x:v>
      </x:c>
      <x:c r="B565" s="22" t="n">
        <x:v>2025</x:v>
      </x:c>
      <x:c r="C565" s="22" t="str">
        <x:v>Diciembre</x:v>
      </x:c>
      <x:c r="D565" s="22" t="str">
        <x:v>E01</x:v>
      </x:c>
      <x:c r="E565" s="22" t="str">
        <x:v>% ejecución presupuestal del SG-SST</x:v>
      </x:c>
      <x:c r="F565" s="22" t="str">
        <x:v>Estructura</x:v>
      </x:c>
      <x:c r="G565" s="22" t="str">
        <x:v>Mensual</x:v>
      </x:c>
      <x:c r="H565" s="40" t="n">
        <x:v>95</x:v>
      </x:c>
      <x:c r="I565" s="22" t="str">
        <x:v>Mayor es mejor</x:v>
      </x:c>
      <x:c r="J565" s="40" t="n">
        <x:v>9648325</x:v>
      </x:c>
      <x:c r="K565" s="40" t="n">
        <x:v>10000000</x:v>
      </x:c>
      <x:c r="L565" s="40" t="n">
        <x:v>100</x:v>
      </x:c>
      <x:c r="M565" s="40" t="n">
        <x:f>IF(OR(J565="",K565="",K565=0),"",J565/K565*L565)</x:f>
        <x:v>96.48325</x:v>
      </x:c>
      <x:c r="N565" s="22" t="str">
        <x:f>IF(M565="","",IF(I565="Mayor es mejor",IF(M565&gt;=H565,"En meta",IF(M565&gt;=H565*0.9,"Alerta","Crítico")),IF(M565&lt;=H565,"En meta",IF(M565&lt;=H565*1.1,"Alerta","Crítico"))))</x:f>
        <x:v>En meta</x:v>
      </x:c>
      <x:c r="O565" s="22" t="str">
        <x:v>%</x:v>
      </x:c>
      <x:c r="P565" s="22" t="str">
        <x:v>Líder SG-SST / Dirección Administrativa</x:v>
      </x:c>
      <x:c r="Q565" s="22" t="str">
        <x:v>Presupuesto SST</x:v>
      </x:c>
      <x:c r="R565" s="22" t="str"/>
    </x:row>
    <x:row r="566">
      <x:c r="A566" s="46" t="n">
        <x:v>46022</x:v>
      </x:c>
      <x:c r="B566" s="22" t="n">
        <x:v>2025</x:v>
      </x:c>
      <x:c r="C566" s="22" t="str">
        <x:v>Diciembre</x:v>
      </x:c>
      <x:c r="D566" s="22" t="str">
        <x:v>E02</x:v>
      </x:c>
      <x:c r="E566" s="22" t="str">
        <x:v>% cobertura del plan de formación y capacitación SG-SST</x:v>
      </x:c>
      <x:c r="F566" s="22" t="str">
        <x:v>Estructura</x:v>
      </x:c>
      <x:c r="G566" s="22" t="str">
        <x:v>Mensual</x:v>
      </x:c>
      <x:c r="H566" s="40" t="n">
        <x:v>90</x:v>
      </x:c>
      <x:c r="I566" s="22" t="str">
        <x:v>Mayor es mejor</x:v>
      </x:c>
      <x:c r="J566" s="40" t="n">
        <x:v>17</x:v>
      </x:c>
      <x:c r="K566" s="40" t="n">
        <x:v>18</x:v>
      </x:c>
      <x:c r="L566" s="40" t="n">
        <x:v>100</x:v>
      </x:c>
      <x:c r="M566" s="40" t="n">
        <x:f>IF(OR(J566="",K566="",K566=0),"",J566/K566*L566)</x:f>
        <x:v>94.44444444444444</x:v>
      </x:c>
      <x:c r="N566" s="22" t="str">
        <x:f>IF(M566="","",IF(I566="Mayor es mejor",IF(M566&gt;=H566,"En meta",IF(M566&gt;=H566*0.9,"Alerta","Crítico")),IF(M566&lt;=H566,"En meta",IF(M566&lt;=H566*1.1,"Alerta","Crítico"))))</x:f>
        <x:v>En meta</x:v>
      </x:c>
      <x:c r="O566" s="22" t="str">
        <x:v>%</x:v>
      </x:c>
      <x:c r="P566" s="22" t="str">
        <x:v>Líder SG-SST / Talento Humano</x:v>
      </x:c>
      <x:c r="Q566" s="22" t="str">
        <x:v>Plan de formación y capacitaciones</x:v>
      </x:c>
      <x:c r="R566" s="22" t="str"/>
    </x:row>
    <x:row r="567">
      <x:c r="A567" s="46" t="n">
        <x:v>46022</x:v>
      </x:c>
      <x:c r="B567" s="22" t="n">
        <x:v>2025</x:v>
      </x:c>
      <x:c r="C567" s="22" t="str">
        <x:v>Diciembre</x:v>
      </x:c>
      <x:c r="D567" s="22" t="str">
        <x:v>E03</x:v>
      </x:c>
      <x:c r="E567" s="22" t="str">
        <x:v>% trabajadores con exámenes médicos ocupacionales vigentes</x:v>
      </x:c>
      <x:c r="F567" s="22" t="str">
        <x:v>Estructura</x:v>
      </x:c>
      <x:c r="G567" s="22" t="str">
        <x:v>Mensual</x:v>
      </x:c>
      <x:c r="H567" s="40" t="n">
        <x:v>95</x:v>
      </x:c>
      <x:c r="I567" s="22" t="str">
        <x:v>Mayor es mejor</x:v>
      </x:c>
      <x:c r="J567" s="40" t="n">
        <x:v>233</x:v>
      </x:c>
      <x:c r="K567" s="40" t="n">
        <x:v>240</x:v>
      </x:c>
      <x:c r="L567" s="40" t="n">
        <x:v>100</x:v>
      </x:c>
      <x:c r="M567" s="40" t="n">
        <x:f>IF(OR(J567="",K567="",K567=0),"",J567/K567*L567)</x:f>
        <x:v>97.08333333333333</x:v>
      </x:c>
      <x:c r="N567" s="22" t="str">
        <x:f>IF(M567="","",IF(I567="Mayor es mejor",IF(M567&gt;=H567,"En meta",IF(M567&gt;=H567*0.9,"Alerta","Crítico")),IF(M567&lt;=H567,"En meta",IF(M567&lt;=H567*1.1,"Alerta","Crítico"))))</x:f>
        <x:v>En meta</x:v>
      </x:c>
      <x:c r="O567" s="22" t="str">
        <x:v>%</x:v>
      </x:c>
      <x:c r="P567" s="22" t="str">
        <x:v>Líder SG-SST / Talento Humano</x:v>
      </x:c>
      <x:c r="Q567" s="22" t="str">
        <x:v>Matriz de seguimiento EMO</x:v>
      </x:c>
      <x:c r="R567" s="22" t="str"/>
    </x:row>
    <x:row r="568">
      <x:c r="A568" s="46" t="n">
        <x:v>46022</x:v>
      </x:c>
      <x:c r="B568" s="22" t="n">
        <x:v>2025</x:v>
      </x:c>
      <x:c r="C568" s="22" t="str">
        <x:v>Diciembre</x:v>
      </x:c>
      <x:c r="D568" s="22" t="str">
        <x:v>E04</x:v>
      </x:c>
      <x:c r="E568" s="22" t="str">
        <x:v>% cumplimiento de requisitos legales aplicables en SST</x:v>
      </x:c>
      <x:c r="F568" s="22" t="str">
        <x:v>Estructura</x:v>
      </x:c>
      <x:c r="G568" s="22" t="str">
        <x:v>Mensual</x:v>
      </x:c>
      <x:c r="H568" s="40" t="n">
        <x:v>95</x:v>
      </x:c>
      <x:c r="I568" s="22" t="str">
        <x:v>Mayor es mejor</x:v>
      </x:c>
      <x:c r="J568" s="40" t="n">
        <x:v>58</x:v>
      </x:c>
      <x:c r="K568" s="40" t="n">
        <x:v>60</x:v>
      </x:c>
      <x:c r="L568" s="40" t="n">
        <x:v>100</x:v>
      </x:c>
      <x:c r="M568" s="40" t="n">
        <x:f>IF(OR(J568="",K568="",K568=0),"",J568/K568*L568)</x:f>
        <x:v>96.66666666666667</x:v>
      </x:c>
      <x:c r="N568" s="22" t="str">
        <x:f>IF(M568="","",IF(I568="Mayor es mejor",IF(M568&gt;=H568,"En meta",IF(M568&gt;=H568*0.9,"Alerta","Crítico")),IF(M568&lt;=H568,"En meta",IF(M568&lt;=H568*1.1,"Alerta","Crítico"))))</x:f>
        <x:v>En meta</x:v>
      </x:c>
      <x:c r="O568" s="22" t="str">
        <x:v>%</x:v>
      </x:c>
      <x:c r="P568" s="22" t="str">
        <x:v>Líder SG-SST / Jurídica</x:v>
      </x:c>
      <x:c r="Q568" s="22" t="str">
        <x:v>Matriz legal SGRL</x:v>
      </x:c>
      <x:c r="R568" s="22" t="str"/>
    </x:row>
    <x:row r="569">
      <x:c r="A569" s="46" t="n">
        <x:v>46022</x:v>
      </x:c>
      <x:c r="B569" s="22" t="n">
        <x:v>2025</x:v>
      </x:c>
      <x:c r="C569" s="22" t="str">
        <x:v>Diciembre</x:v>
      </x:c>
      <x:c r="D569" s="22" t="str">
        <x:v>E05</x:v>
      </x:c>
      <x:c r="E569" s="22" t="str">
        <x:v>% proveedores y contratistas aprobados en SST</x:v>
      </x:c>
      <x:c r="F569" s="22" t="str">
        <x:v>Estructura</x:v>
      </x:c>
      <x:c r="G569" s="22" t="str">
        <x:v>Mensual</x:v>
      </x:c>
      <x:c r="H569" s="40" t="n">
        <x:v>90</x:v>
      </x:c>
      <x:c r="I569" s="22" t="str">
        <x:v>Mayor es mejor</x:v>
      </x:c>
      <x:c r="J569" s="40" t="n">
        <x:v>19</x:v>
      </x:c>
      <x:c r="K569" s="40" t="n">
        <x:v>20</x:v>
      </x:c>
      <x:c r="L569" s="40" t="n">
        <x:v>100</x:v>
      </x:c>
      <x:c r="M569" s="40" t="n">
        <x:f>IF(OR(J569="",K569="",K569=0),"",J569/K569*L569)</x:f>
        <x:v>95</x:v>
      </x:c>
      <x:c r="N569" s="22" t="str">
        <x:f>IF(M569="","",IF(I569="Mayor es mejor",IF(M569&gt;=H569,"En meta",IF(M569&gt;=H569*0.9,"Alerta","Crítico")),IF(M569&lt;=H569,"En meta",IF(M569&lt;=H569*1.1,"Alerta","Crítico"))))</x:f>
        <x:v>En meta</x:v>
      </x:c>
      <x:c r="O569" s="22" t="str">
        <x:v>%</x:v>
      </x:c>
      <x:c r="P569" s="22" t="str">
        <x:v>Compras / Líder SG-SST</x:v>
      </x:c>
      <x:c r="Q569" s="22" t="str">
        <x:v>Gestión de proveedores y contratistas</x:v>
      </x:c>
      <x:c r="R569" s="22" t="str"/>
    </x:row>
    <x:row r="570">
      <x:c r="A570" s="46" t="n">
        <x:v>46022</x:v>
      </x:c>
      <x:c r="B570" s="22" t="n">
        <x:v>2025</x:v>
      </x:c>
      <x:c r="C570" s="22" t="str">
        <x:v>Diciembre</x:v>
      </x:c>
      <x:c r="D570" s="22" t="str">
        <x:v>P01</x:v>
      </x:c>
      <x:c r="E570" s="22" t="str">
        <x:v>% ejecución del plan anual de trabajo SG-SST</x:v>
      </x:c>
      <x:c r="F570" s="22" t="str">
        <x:v>Proceso</x:v>
      </x:c>
      <x:c r="G570" s="22" t="str">
        <x:v>Mensual</x:v>
      </x:c>
      <x:c r="H570" s="40" t="n">
        <x:v>90</x:v>
      </x:c>
      <x:c r="I570" s="22" t="str">
        <x:v>Mayor es mejor</x:v>
      </x:c>
      <x:c r="J570" s="40" t="n">
        <x:v>9</x:v>
      </x:c>
      <x:c r="K570" s="40" t="n">
        <x:v>10</x:v>
      </x:c>
      <x:c r="L570" s="40" t="n">
        <x:v>100</x:v>
      </x:c>
      <x:c r="M570" s="40" t="n">
        <x:f>IF(OR(J570="",K570="",K570=0),"",J570/K570*L570)</x:f>
        <x:v>90</x:v>
      </x:c>
      <x:c r="N570" s="22" t="str">
        <x:f>IF(M570="","",IF(I570="Mayor es mejor",IF(M570&gt;=H570,"En meta",IF(M570&gt;=H570*0.9,"Alerta","Crítico")),IF(M570&lt;=H570,"En meta",IF(M570&lt;=H570*1.1,"Alerta","Crítico"))))</x:f>
        <x:v>En meta</x:v>
      </x:c>
      <x:c r="O570" s="22" t="str">
        <x:v>%</x:v>
      </x:c>
      <x:c r="P570" s="22" t="str">
        <x:v>Líder SG-SST</x:v>
      </x:c>
      <x:c r="Q570" s="22" t="str">
        <x:v>Plan anual de trabajo PHVA</x:v>
      </x:c>
      <x:c r="R570" s="22" t="str"/>
    </x:row>
    <x:row r="571">
      <x:c r="A571" s="46" t="n">
        <x:v>46022</x:v>
      </x:c>
      <x:c r="B571" s="22" t="n">
        <x:v>2025</x:v>
      </x:c>
      <x:c r="C571" s="22" t="str">
        <x:v>Diciembre</x:v>
      </x:c>
      <x:c r="D571" s="22" t="str">
        <x:v>P02</x:v>
      </x:c>
      <x:c r="E571" s="22" t="str">
        <x:v>% investigaciones de accidentes realizadas oportunamente</x:v>
      </x:c>
      <x:c r="F571" s="22" t="str">
        <x:v>Proceso</x:v>
      </x:c>
      <x:c r="G571" s="22" t="str">
        <x:v>Mensual</x:v>
      </x:c>
      <x:c r="H571" s="40" t="n">
        <x:v>95</x:v>
      </x:c>
      <x:c r="I571" s="22" t="str">
        <x:v>Mayor es mejor</x:v>
      </x:c>
      <x:c r="J571" s="40" t="n">
        <x:v>1</x:v>
      </x:c>
      <x:c r="K571" s="40" t="n">
        <x:v>1</x:v>
      </x:c>
      <x:c r="L571" s="40" t="n">
        <x:v>100</x:v>
      </x:c>
      <x:c r="M571" s="40" t="n">
        <x:f>IF(OR(J571="",K571="",K571=0),"",J571/K571*L571)</x:f>
        <x:v>100</x:v>
      </x:c>
      <x:c r="N571" s="22" t="str">
        <x:f>IF(M571="","",IF(I571="Mayor es mejor",IF(M571&gt;=H571,"En meta",IF(M571&gt;=H571*0.9,"Alerta","Crítico")),IF(M571&lt;=H571,"En meta",IF(M571&lt;=H571*1.1,"Alerta","Crítico"))))</x:f>
        <x:v>En meta</x:v>
      </x:c>
      <x:c r="O571" s="22" t="str">
        <x:v>%</x:v>
      </x:c>
      <x:c r="P571" s="22" t="str">
        <x:v>Líder SG-SST / COPASST</x:v>
      </x:c>
      <x:c r="Q571" s="22" t="str">
        <x:v>Matriz de accidentalidad</x:v>
      </x:c>
      <x:c r="R571" s="22" t="str"/>
    </x:row>
    <x:row r="572">
      <x:c r="A572" s="46" t="n">
        <x:v>46022</x:v>
      </x:c>
      <x:c r="B572" s="22" t="n">
        <x:v>2025</x:v>
      </x:c>
      <x:c r="C572" s="22" t="str">
        <x:v>Diciembre</x:v>
      </x:c>
      <x:c r="D572" s="22" t="str">
        <x:v>P03</x:v>
      </x:c>
      <x:c r="E572" s="22" t="str">
        <x:v>% cierre oportuno de acciones correctivas, preventivas y de mejora</x:v>
      </x:c>
      <x:c r="F572" s="22" t="str">
        <x:v>Proceso</x:v>
      </x:c>
      <x:c r="G572" s="22" t="str">
        <x:v>Mensual</x:v>
      </x:c>
      <x:c r="H572" s="40" t="n">
        <x:v>90</x:v>
      </x:c>
      <x:c r="I572" s="22" t="str">
        <x:v>Mayor es mejor</x:v>
      </x:c>
      <x:c r="J572" s="40" t="n">
        <x:v>11</x:v>
      </x:c>
      <x:c r="K572" s="40" t="n">
        <x:v>12</x:v>
      </x:c>
      <x:c r="L572" s="40" t="n">
        <x:v>100</x:v>
      </x:c>
      <x:c r="M572" s="40" t="n">
        <x:f>IF(OR(J572="",K572="",K572=0),"",J572/K572*L572)</x:f>
        <x:v>91.66666666666666</x:v>
      </x:c>
      <x:c r="N572" s="22" t="str">
        <x:f>IF(M572="","",IF(I572="Mayor es mejor",IF(M572&gt;=H572,"En meta",IF(M572&gt;=H572*0.9,"Alerta","Crítico")),IF(M572&lt;=H572,"En meta",IF(M572&lt;=H572*1.1,"Alerta","Crítico"))))</x:f>
        <x:v>En meta</x:v>
      </x:c>
      <x:c r="O572" s="22" t="str">
        <x:v>%</x:v>
      </x:c>
      <x:c r="P572" s="22" t="str">
        <x:v>Líder SG-SST / Responsables de proceso</x:v>
      </x:c>
      <x:c r="Q572" s="22" t="str">
        <x:v>Matriz APCM</x:v>
      </x:c>
      <x:c r="R572" s="22" t="str"/>
    </x:row>
    <x:row r="573">
      <x:c r="A573" s="46" t="n">
        <x:v>46022</x:v>
      </x:c>
      <x:c r="B573" s="22" t="n">
        <x:v>2025</x:v>
      </x:c>
      <x:c r="C573" s="22" t="str">
        <x:v>Diciembre</x:v>
      </x:c>
      <x:c r="D573" s="22" t="str">
        <x:v>P04</x:v>
      </x:c>
      <x:c r="E573" s="22" t="str">
        <x:v>% inspecciones de seguridad ejecutadas</x:v>
      </x:c>
      <x:c r="F573" s="22" t="str">
        <x:v>Proceso</x:v>
      </x:c>
      <x:c r="G573" s="22" t="str">
        <x:v>Mensual</x:v>
      </x:c>
      <x:c r="H573" s="40" t="n">
        <x:v>90</x:v>
      </x:c>
      <x:c r="I573" s="22" t="str">
        <x:v>Mayor es mejor</x:v>
      </x:c>
      <x:c r="J573" s="40" t="n">
        <x:v>7</x:v>
      </x:c>
      <x:c r="K573" s="40" t="n">
        <x:v>8</x:v>
      </x:c>
      <x:c r="L573" s="40" t="n">
        <x:v>100</x:v>
      </x:c>
      <x:c r="M573" s="40" t="n">
        <x:f>IF(OR(J573="",K573="",K573=0),"",J573/K573*L573)</x:f>
        <x:v>87.5</x:v>
      </x:c>
      <x:c r="N573" s="22" t="str">
        <x:f>IF(M573="","",IF(I573="Mayor es mejor",IF(M573&gt;=H573,"En meta",IF(M573&gt;=H573*0.9,"Alerta","Crítico")),IF(M573&lt;=H573,"En meta",IF(M573&lt;=H573*1.1,"Alerta","Crítico"))))</x:f>
        <x:v>Alerta</x:v>
      </x:c>
      <x:c r="O573" s="22" t="str">
        <x:v>%</x:v>
      </x:c>
      <x:c r="P573" s="22" t="str">
        <x:v>Líder SG-SST / Supervisores</x:v>
      </x:c>
      <x:c r="Q573" s="22" t="str">
        <x:v>Programa de inspecciones</x:v>
      </x:c>
      <x:c r="R573" s="22" t="str"/>
    </x:row>
    <x:row r="574">
      <x:c r="A574" s="46" t="n">
        <x:v>46022</x:v>
      </x:c>
      <x:c r="B574" s="22" t="n">
        <x:v>2025</x:v>
      </x:c>
      <x:c r="C574" s="22" t="str">
        <x:v>Diciembre</x:v>
      </x:c>
      <x:c r="D574" s="22" t="str">
        <x:v>P05</x:v>
      </x:c>
      <x:c r="E574" s="22" t="str">
        <x:v>% mantenimientos preventivos ejecutados</x:v>
      </x:c>
      <x:c r="F574" s="22" t="str">
        <x:v>Proceso</x:v>
      </x:c>
      <x:c r="G574" s="22" t="str">
        <x:v>Mensual</x:v>
      </x:c>
      <x:c r="H574" s="40" t="n">
        <x:v>90</x:v>
      </x:c>
      <x:c r="I574" s="22" t="str">
        <x:v>Mayor es mejor</x:v>
      </x:c>
      <x:c r="J574" s="40" t="n">
        <x:v>11</x:v>
      </x:c>
      <x:c r="K574" s="40" t="n">
        <x:v>12</x:v>
      </x:c>
      <x:c r="L574" s="40" t="n">
        <x:v>100</x:v>
      </x:c>
      <x:c r="M574" s="40" t="n">
        <x:f>IF(OR(J574="",K574="",K574=0),"",J574/K574*L574)</x:f>
        <x:v>91.66666666666666</x:v>
      </x:c>
      <x:c r="N574" s="22" t="str">
        <x:f>IF(M574="","",IF(I574="Mayor es mejor",IF(M574&gt;=H574,"En meta",IF(M574&gt;=H574*0.9,"Alerta","Crítico")),IF(M574&lt;=H574,"En meta",IF(M574&lt;=H574*1.1,"Alerta","Crítico"))))</x:f>
        <x:v>En meta</x:v>
      </x:c>
      <x:c r="O574" s="22" t="str">
        <x:v>%</x:v>
      </x:c>
      <x:c r="P574" s="22" t="str">
        <x:v>Mantenimiento / Líder SG-SST</x:v>
      </x:c>
      <x:c r="Q574" s="22" t="str">
        <x:v>Programa de mantenimiento preventivo</x:v>
      </x:c>
      <x:c r="R574" s="22" t="str"/>
    </x:row>
    <x:row r="575">
      <x:c r="A575" s="46" t="n">
        <x:v>46022</x:v>
      </x:c>
      <x:c r="B575" s="22" t="n">
        <x:v>2025</x:v>
      </x:c>
      <x:c r="C575" s="22" t="str">
        <x:v>Diciembre</x:v>
      </x:c>
      <x:c r="D575" s="22" t="str">
        <x:v>R01</x:v>
      </x:c>
      <x:c r="E575" s="22" t="str">
        <x:v>Índice de frecuencia de accidentalidad (IF)</x:v>
      </x:c>
      <x:c r="F575" s="22" t="str">
        <x:v>Resultado</x:v>
      </x:c>
      <x:c r="G575" s="22" t="str">
        <x:v>Mensual</x:v>
      </x:c>
      <x:c r="H575" s="40" t="n">
        <x:v>3.5</x:v>
      </x:c>
      <x:c r="I575" s="22" t="str">
        <x:v>Menor es mejor</x:v>
      </x:c>
      <x:c r="J575" s="40" t="n">
        <x:v>1</x:v>
      </x:c>
      <x:c r="K575" s="40" t="n">
        <x:v>57491</x:v>
      </x:c>
      <x:c r="L575" s="40" t="n">
        <x:v>200000</x:v>
      </x:c>
      <x:c r="M575" s="40" t="n">
        <x:f>IF(OR(J575="",K575="",K575=0),"",J575/K575*L575)</x:f>
        <x:v>3.478805378233115</x:v>
      </x:c>
      <x:c r="N575" s="22" t="str">
        <x:f>IF(M575="","",IF(I575="Mayor es mejor",IF(M575&gt;=H575,"En meta",IF(M575&gt;=H575*0.9,"Alerta","Crítico")),IF(M575&lt;=H575,"En meta",IF(M575&lt;=H575*1.1,"Alerta","Crítico"))))</x:f>
        <x:v>En meta</x:v>
      </x:c>
      <x:c r="O575" s="22" t="str">
        <x:v>Índice</x:v>
      </x:c>
      <x:c r="P575" s="22" t="str">
        <x:v>Líder SG-SST</x:v>
      </x:c>
      <x:c r="Q575" s="22" t="str">
        <x:v>Matriz de accidentalidad / nómina</x:v>
      </x:c>
      <x:c r="R575" s="22" t="str"/>
    </x:row>
    <x:row r="576">
      <x:c r="A576" s="46" t="n">
        <x:v>46022</x:v>
      </x:c>
      <x:c r="B576" s="22" t="n">
        <x:v>2025</x:v>
      </x:c>
      <x:c r="C576" s="22" t="str">
        <x:v>Diciembre</x:v>
      </x:c>
      <x:c r="D576" s="22" t="str">
        <x:v>R02</x:v>
      </x:c>
      <x:c r="E576" s="22" t="str">
        <x:v>Índice de severidad de accidentalidad (IS)</x:v>
      </x:c>
      <x:c r="F576" s="22" t="str">
        <x:v>Resultado</x:v>
      </x:c>
      <x:c r="G576" s="22" t="str">
        <x:v>Mensual</x:v>
      </x:c>
      <x:c r="H576" s="40" t="n">
        <x:v>80</x:v>
      </x:c>
      <x:c r="I576" s="22" t="str">
        <x:v>Menor es mejor</x:v>
      </x:c>
      <x:c r="J576" s="40" t="n">
        <x:v>15</x:v>
      </x:c>
      <x:c r="K576" s="40" t="n">
        <x:v>57491</x:v>
      </x:c>
      <x:c r="L576" s="40" t="n">
        <x:v>200000</x:v>
      </x:c>
      <x:c r="M576" s="40" t="n">
        <x:f>IF(OR(J576="",K576="",K576=0),"",J576/K576*L576)</x:f>
        <x:v>52.18208067349672</x:v>
      </x:c>
      <x:c r="N576" s="22" t="str">
        <x:f>IF(M576="","",IF(I576="Mayor es mejor",IF(M576&gt;=H576,"En meta",IF(M576&gt;=H576*0.9,"Alerta","Crítico")),IF(M576&lt;=H576,"En meta",IF(M576&lt;=H576*1.1,"Alerta","Crítico"))))</x:f>
        <x:v>En meta</x:v>
      </x:c>
      <x:c r="O576" s="22" t="str">
        <x:v>Índice</x:v>
      </x:c>
      <x:c r="P576" s="22" t="str">
        <x:v>Líder SG-SST</x:v>
      </x:c>
      <x:c r="Q576" s="22" t="str">
        <x:v>Matriz de accidentalidad / nómina</x:v>
      </x:c>
      <x:c r="R576" s="22" t="str"/>
    </x:row>
    <x:row r="577">
      <x:c r="A577" s="46" t="n">
        <x:v>46022</x:v>
      </x:c>
      <x:c r="B577" s="22" t="n">
        <x:v>2025</x:v>
      </x:c>
      <x:c r="C577" s="22" t="str">
        <x:v>Diciembre</x:v>
      </x:c>
      <x:c r="D577" s="22" t="str">
        <x:v>R03</x:v>
      </x:c>
      <x:c r="E577" s="22" t="str">
        <x:v>Índice de lesión incapacitante (ILI)</x:v>
      </x:c>
      <x:c r="F577" s="22" t="str">
        <x:v>Resultado</x:v>
      </x:c>
      <x:c r="G577" s="22" t="str">
        <x:v>Mensual</x:v>
      </x:c>
      <x:c r="H577" s="40" t="n">
        <x:v>0.25</x:v>
      </x:c>
      <x:c r="I577" s="22" t="str">
        <x:v>Menor es mejor</x:v>
      </x:c>
      <x:c r="J577" s="40" t="n">
        <x:v>181.5313</x:v>
      </x:c>
      <x:c r="K577" s="40" t="n">
        <x:v>1000</x:v>
      </x:c>
      <x:c r="L577" s="40" t="n">
        <x:v>1</x:v>
      </x:c>
      <x:c r="M577" s="40" t="n">
        <x:f>IF(OR(J577="",K577="",K577=0),"",J577/K577*L577)</x:f>
        <x:v>0.18153129999999998</x:v>
      </x:c>
      <x:c r="N577" s="22" t="str">
        <x:f>IF(M577="","",IF(I577="Mayor es mejor",IF(M577&gt;=H577,"En meta",IF(M577&gt;=H577*0.9,"Alerta","Crítico")),IF(M577&lt;=H577,"En meta",IF(M577&lt;=H577*1.1,"Alerta","Crítico"))))</x:f>
        <x:v>En meta</x:v>
      </x:c>
      <x:c r="O577" s="22" t="str">
        <x:v>Índice</x:v>
      </x:c>
      <x:c r="P577" s="22" t="str">
        <x:v>Líder SG-SST</x:v>
      </x:c>
      <x:c r="Q577" s="22" t="str">
        <x:v>Indicadores derivados de accidentalidad</x:v>
      </x:c>
      <x:c r="R577" s="22" t="str">
        <x:v>ILI calculado sobre IF e IS del periodo.</x:v>
      </x:c>
    </x:row>
    <x:row r="578">
      <x:c r="A578" s="46" t="n">
        <x:v>46022</x:v>
      </x:c>
      <x:c r="B578" s="22" t="n">
        <x:v>2025</x:v>
      </x:c>
      <x:c r="C578" s="22" t="str">
        <x:v>Diciembre</x:v>
      </x:c>
      <x:c r="D578" s="22" t="str">
        <x:v>R04</x:v>
      </x:c>
      <x:c r="E578" s="22" t="str">
        <x:v>Tasa de accidentalidad</x:v>
      </x:c>
      <x:c r="F578" s="22" t="str">
        <x:v>Resultado</x:v>
      </x:c>
      <x:c r="G578" s="22" t="str">
        <x:v>Mensual</x:v>
      </x:c>
      <x:c r="H578" s="40" t="n">
        <x:v>0.6</x:v>
      </x:c>
      <x:c r="I578" s="22" t="str">
        <x:v>Menor es mejor</x:v>
      </x:c>
      <x:c r="J578" s="40" t="n">
        <x:v>3.08</x:v>
      </x:c>
      <x:c r="K578" s="40" t="n">
        <x:v>240</x:v>
      </x:c>
      <x:c r="L578" s="40" t="n">
        <x:v>100</x:v>
      </x:c>
      <x:c r="M578" s="40" t="n">
        <x:f>IF(OR(J578="",K578="",K578=0),"",J578/K578*L578)</x:f>
        <x:v>1.2833333333333334</x:v>
      </x:c>
      <x:c r="N578" s="22" t="str">
        <x:f>IF(M578="","",IF(I578="Mayor es mejor",IF(M578&gt;=H578,"En meta",IF(M578&gt;=H578*0.9,"Alerta","Crítico")),IF(M578&lt;=H578,"En meta",IF(M578&lt;=H578*1.1,"Alerta","Crítico"))))</x:f>
        <x:v>Crítico</x:v>
      </x:c>
      <x:c r="O578" s="22" t="str">
        <x:v>%</x:v>
      </x:c>
      <x:c r="P578" s="22" t="str">
        <x:v>Líder SG-SST</x:v>
      </x:c>
      <x:c r="Q578" s="22" t="str">
        <x:v>Matriz de accidentalidad / nómina</x:v>
      </x:c>
      <x:c r="R578" s="22" t="str"/>
    </x:row>
    <x:row r="579">
      <x:c r="A579" s="46" t="n">
        <x:v>46022</x:v>
      </x:c>
      <x:c r="B579" s="22" t="n">
        <x:v>2025</x:v>
      </x:c>
      <x:c r="C579" s="22" t="str">
        <x:v>Diciembre</x:v>
      </x:c>
      <x:c r="D579" s="22" t="str">
        <x:v>R05</x:v>
      </x:c>
      <x:c r="E579" s="22" t="str">
        <x:v>Prevalencia de enfermedad laboral</x:v>
      </x:c>
      <x:c r="F579" s="22" t="str">
        <x:v>Resultado</x:v>
      </x:c>
      <x:c r="G579" s="22" t="str">
        <x:v>Mensual</x:v>
      </x:c>
      <x:c r="H579" s="40" t="n">
        <x:v>0.3</x:v>
      </x:c>
      <x:c r="I579" s="22" t="str">
        <x:v>Menor es mejor</x:v>
      </x:c>
      <x:c r="J579" s="40" t="n">
        <x:v>2.1</x:v>
      </x:c>
      <x:c r="K579" s="40" t="n">
        <x:v>240</x:v>
      </x:c>
      <x:c r="L579" s="40" t="n">
        <x:v>100</x:v>
      </x:c>
      <x:c r="M579" s="40" t="n">
        <x:f>IF(OR(J579="",K579="",K579=0),"",J579/K579*L579)</x:f>
        <x:v>0.8750000000000001</x:v>
      </x:c>
      <x:c r="N579" s="22" t="str">
        <x:f>IF(M579="","",IF(I579="Mayor es mejor",IF(M579&gt;=H579,"En meta",IF(M579&gt;=H579*0.9,"Alerta","Crítico")),IF(M579&lt;=H579,"En meta",IF(M579&lt;=H579*1.1,"Alerta","Crítico"))))</x:f>
        <x:v>Crítico</x:v>
      </x:c>
      <x:c r="O579" s="22" t="str">
        <x:v>%</x:v>
      </x:c>
      <x:c r="P579" s="22" t="str">
        <x:v>Líder SG-SST / Medicina laboral</x:v>
      </x:c>
      <x:c r="Q579" s="22" t="str">
        <x:v>Matriz de enfermedad laboral / nómina</x:v>
      </x:c>
      <x:c r="R579" s="22" t="str"/>
    </x:row>
    <x:row r="580">
      <x:c r="A580" s="46" t="n">
        <x:v>46022</x:v>
      </x:c>
      <x:c r="B580" s="22" t="n">
        <x:v>2025</x:v>
      </x:c>
      <x:c r="C580" s="22" t="str">
        <x:v>Diciembre</x:v>
      </x:c>
      <x:c r="D580" s="22" t="str">
        <x:v>R06</x:v>
      </x:c>
      <x:c r="E580" s="22" t="str">
        <x:v>% cumplimiento de estándares mínimos Res. 0312 de 2019</x:v>
      </x:c>
      <x:c r="F580" s="22" t="str">
        <x:v>Resultado</x:v>
      </x:c>
      <x:c r="G580" s="22" t="str">
        <x:v>Mensual</x:v>
      </x:c>
      <x:c r="H580" s="40" t="n">
        <x:v>95</x:v>
      </x:c>
      <x:c r="I580" s="22" t="str">
        <x:v>Mayor es mejor</x:v>
      </x:c>
      <x:c r="J580" s="40" t="n">
        <x:v>99</x:v>
      </x:c>
      <x:c r="K580" s="40" t="n">
        <x:v>100</x:v>
      </x:c>
      <x:c r="L580" s="40" t="n">
        <x:v>100</x:v>
      </x:c>
      <x:c r="M580" s="40" t="n">
        <x:f>IF(OR(J580="",K580="",K580=0),"",J580/K580*L580)</x:f>
        <x:v>99</x:v>
      </x:c>
      <x:c r="N580" s="22" t="str">
        <x:f>IF(M580="","",IF(I580="Mayor es mejor",IF(M580&gt;=H580,"En meta",IF(M580&gt;=H580*0.9,"Alerta","Crítico")),IF(M580&lt;=H580,"En meta",IF(M580&lt;=H580*1.1,"Alerta","Crítico"))))</x:f>
        <x:v>En meta</x:v>
      </x:c>
      <x:c r="O580" s="22" t="str">
        <x:v>%</x:v>
      </x:c>
      <x:c r="P580" s="22" t="str">
        <x:v>Líder SG-SST / Alta Dirección</x:v>
      </x:c>
      <x:c r="Q580" s="22" t="str">
        <x:v>Autodiagnóstico Res. 0312 de 2019</x:v>
      </x:c>
      <x:c r="R580" s="22" t="str"/>
    </x:row>
    <x:row r="581">
      <x:c r="A581" s="46" t="n">
        <x:v>46053</x:v>
      </x:c>
      <x:c r="B581" s="22" t="n">
        <x:v>2026</x:v>
      </x:c>
      <x:c r="C581" s="22" t="str">
        <x:v>Enero</x:v>
      </x:c>
      <x:c r="D581" s="22" t="str">
        <x:v>E01</x:v>
      </x:c>
      <x:c r="E581" s="22" t="str">
        <x:v>% ejecución presupuestal del SG-SST</x:v>
      </x:c>
      <x:c r="F581" s="22" t="str">
        <x:v>Estructura</x:v>
      </x:c>
      <x:c r="G581" s="22" t="str">
        <x:v>Mensual</x:v>
      </x:c>
      <x:c r="H581" s="40" t="n">
        <x:v>95</x:v>
      </x:c>
      <x:c r="I581" s="22" t="str">
        <x:v>Mayor es mejor</x:v>
      </x:c>
      <x:c r="J581" s="40" t="n">
        <x:v>4336592</x:v>
      </x:c>
      <x:c r="K581" s="40" t="n">
        <x:v>4500000</x:v>
      </x:c>
      <x:c r="L581" s="40" t="n">
        <x:v>100</x:v>
      </x:c>
      <x:c r="M581" s="40" t="n">
        <x:f>IF(OR(J581="",K581="",K581=0),"",J581/K581*L581)</x:f>
        <x:v>96.36871111111111</x:v>
      </x:c>
      <x:c r="N581" s="22" t="str">
        <x:f>IF(M581="","",IF(I581="Mayor es mejor",IF(M581&gt;=H581,"En meta",IF(M581&gt;=H581*0.9,"Alerta","Crítico")),IF(M581&lt;=H581,"En meta",IF(M581&lt;=H581*1.1,"Alerta","Crítico"))))</x:f>
        <x:v>En meta</x:v>
      </x:c>
      <x:c r="O581" s="22" t="str">
        <x:v>%</x:v>
      </x:c>
      <x:c r="P581" s="22" t="str">
        <x:v>Líder SG-SST / Dirección Administrativa</x:v>
      </x:c>
      <x:c r="Q581" s="22" t="str">
        <x:v>Presupuesto SST</x:v>
      </x:c>
      <x:c r="R581" s="22" t="str"/>
    </x:row>
    <x:row r="582">
      <x:c r="A582" s="46" t="n">
        <x:v>46053</x:v>
      </x:c>
      <x:c r="B582" s="22" t="n">
        <x:v>2026</x:v>
      </x:c>
      <x:c r="C582" s="22" t="str">
        <x:v>Enero</x:v>
      </x:c>
      <x:c r="D582" s="22" t="str">
        <x:v>E02</x:v>
      </x:c>
      <x:c r="E582" s="22" t="str">
        <x:v>% cobertura del plan de formación y capacitación SG-SST</x:v>
      </x:c>
      <x:c r="F582" s="22" t="str">
        <x:v>Estructura</x:v>
      </x:c>
      <x:c r="G582" s="22" t="str">
        <x:v>Mensual</x:v>
      </x:c>
      <x:c r="H582" s="40" t="n">
        <x:v>90</x:v>
      </x:c>
      <x:c r="I582" s="22" t="str">
        <x:v>Mayor es mejor</x:v>
      </x:c>
      <x:c r="J582" s="40" t="n">
        <x:v>19</x:v>
      </x:c>
      <x:c r="K582" s="40" t="n">
        <x:v>20</x:v>
      </x:c>
      <x:c r="L582" s="40" t="n">
        <x:v>100</x:v>
      </x:c>
      <x:c r="M582" s="40" t="n">
        <x:f>IF(OR(J582="",K582="",K582=0),"",J582/K582*L582)</x:f>
        <x:v>95</x:v>
      </x:c>
      <x:c r="N582" s="22" t="str">
        <x:f>IF(M582="","",IF(I582="Mayor es mejor",IF(M582&gt;=H582,"En meta",IF(M582&gt;=H582*0.9,"Alerta","Crítico")),IF(M582&lt;=H582,"En meta",IF(M582&lt;=H582*1.1,"Alerta","Crítico"))))</x:f>
        <x:v>En meta</x:v>
      </x:c>
      <x:c r="O582" s="22" t="str">
        <x:v>%</x:v>
      </x:c>
      <x:c r="P582" s="22" t="str">
        <x:v>Líder SG-SST / Talento Humano</x:v>
      </x:c>
      <x:c r="Q582" s="22" t="str">
        <x:v>Plan de formación y capacitaciones</x:v>
      </x:c>
      <x:c r="R582" s="22" t="str"/>
    </x:row>
    <x:row r="583">
      <x:c r="A583" s="46" t="n">
        <x:v>46053</x:v>
      </x:c>
      <x:c r="B583" s="22" t="n">
        <x:v>2026</x:v>
      </x:c>
      <x:c r="C583" s="22" t="str">
        <x:v>Enero</x:v>
      </x:c>
      <x:c r="D583" s="22" t="str">
        <x:v>E03</x:v>
      </x:c>
      <x:c r="E583" s="22" t="str">
        <x:v>% trabajadores con exámenes médicos ocupacionales vigentes</x:v>
      </x:c>
      <x:c r="F583" s="22" t="str">
        <x:v>Estructura</x:v>
      </x:c>
      <x:c r="G583" s="22" t="str">
        <x:v>Mensual</x:v>
      </x:c>
      <x:c r="H583" s="40" t="n">
        <x:v>95</x:v>
      </x:c>
      <x:c r="I583" s="22" t="str">
        <x:v>Mayor es mejor</x:v>
      </x:c>
      <x:c r="J583" s="40" t="n">
        <x:v>254</x:v>
      </x:c>
      <x:c r="K583" s="40" t="n">
        <x:v>259</x:v>
      </x:c>
      <x:c r="L583" s="40" t="n">
        <x:v>100</x:v>
      </x:c>
      <x:c r="M583" s="40" t="n">
        <x:f>IF(OR(J583="",K583="",K583=0),"",J583/K583*L583)</x:f>
        <x:v>98.06949806949807</x:v>
      </x:c>
      <x:c r="N583" s="22" t="str">
        <x:f>IF(M583="","",IF(I583="Mayor es mejor",IF(M583&gt;=H583,"En meta",IF(M583&gt;=H583*0.9,"Alerta","Crítico")),IF(M583&lt;=H583,"En meta",IF(M583&lt;=H583*1.1,"Alerta","Crítico"))))</x:f>
        <x:v>En meta</x:v>
      </x:c>
      <x:c r="O583" s="22" t="str">
        <x:v>%</x:v>
      </x:c>
      <x:c r="P583" s="22" t="str">
        <x:v>Líder SG-SST / Talento Humano</x:v>
      </x:c>
      <x:c r="Q583" s="22" t="str">
        <x:v>Matriz de seguimiento EMO</x:v>
      </x:c>
      <x:c r="R583" s="22" t="str"/>
    </x:row>
    <x:row r="584">
      <x:c r="A584" s="46" t="n">
        <x:v>46053</x:v>
      </x:c>
      <x:c r="B584" s="22" t="n">
        <x:v>2026</x:v>
      </x:c>
      <x:c r="C584" s="22" t="str">
        <x:v>Enero</x:v>
      </x:c>
      <x:c r="D584" s="22" t="str">
        <x:v>E04</x:v>
      </x:c>
      <x:c r="E584" s="22" t="str">
        <x:v>% cumplimiento de requisitos legales aplicables en SST</x:v>
      </x:c>
      <x:c r="F584" s="22" t="str">
        <x:v>Estructura</x:v>
      </x:c>
      <x:c r="G584" s="22" t="str">
        <x:v>Mensual</x:v>
      </x:c>
      <x:c r="H584" s="40" t="n">
        <x:v>95</x:v>
      </x:c>
      <x:c r="I584" s="22" t="str">
        <x:v>Mayor es mejor</x:v>
      </x:c>
      <x:c r="J584" s="40" t="n">
        <x:v>59</x:v>
      </x:c>
      <x:c r="K584" s="40" t="n">
        <x:v>60</x:v>
      </x:c>
      <x:c r="L584" s="40" t="n">
        <x:v>100</x:v>
      </x:c>
      <x:c r="M584" s="40" t="n">
        <x:f>IF(OR(J584="",K584="",K584=0),"",J584/K584*L584)</x:f>
        <x:v>98.33333333333333</x:v>
      </x:c>
      <x:c r="N584" s="22" t="str">
        <x:f>IF(M584="","",IF(I584="Mayor es mejor",IF(M584&gt;=H584,"En meta",IF(M584&gt;=H584*0.9,"Alerta","Crítico")),IF(M584&lt;=H584,"En meta",IF(M584&lt;=H584*1.1,"Alerta","Crítico"))))</x:f>
        <x:v>En meta</x:v>
      </x:c>
      <x:c r="O584" s="22" t="str">
        <x:v>%</x:v>
      </x:c>
      <x:c r="P584" s="22" t="str">
        <x:v>Líder SG-SST / Jurídica</x:v>
      </x:c>
      <x:c r="Q584" s="22" t="str">
        <x:v>Matriz legal SGRL</x:v>
      </x:c>
      <x:c r="R584" s="22" t="str"/>
    </x:row>
    <x:row r="585">
      <x:c r="A585" s="46" t="n">
        <x:v>46053</x:v>
      </x:c>
      <x:c r="B585" s="22" t="n">
        <x:v>2026</x:v>
      </x:c>
      <x:c r="C585" s="22" t="str">
        <x:v>Enero</x:v>
      </x:c>
      <x:c r="D585" s="22" t="str">
        <x:v>E05</x:v>
      </x:c>
      <x:c r="E585" s="22" t="str">
        <x:v>% proveedores y contratistas aprobados en SST</x:v>
      </x:c>
      <x:c r="F585" s="22" t="str">
        <x:v>Estructura</x:v>
      </x:c>
      <x:c r="G585" s="22" t="str">
        <x:v>Mensual</x:v>
      </x:c>
      <x:c r="H585" s="40" t="n">
        <x:v>90</x:v>
      </x:c>
      <x:c r="I585" s="22" t="str">
        <x:v>Mayor es mejor</x:v>
      </x:c>
      <x:c r="J585" s="40" t="n">
        <x:v>19</x:v>
      </x:c>
      <x:c r="K585" s="40" t="n">
        <x:v>20</x:v>
      </x:c>
      <x:c r="L585" s="40" t="n">
        <x:v>100</x:v>
      </x:c>
      <x:c r="M585" s="40" t="n">
        <x:f>IF(OR(J585="",K585="",K585=0),"",J585/K585*L585)</x:f>
        <x:v>95</x:v>
      </x:c>
      <x:c r="N585" s="22" t="str">
        <x:f>IF(M585="","",IF(I585="Mayor es mejor",IF(M585&gt;=H585,"En meta",IF(M585&gt;=H585*0.9,"Alerta","Crítico")),IF(M585&lt;=H585,"En meta",IF(M585&lt;=H585*1.1,"Alerta","Crítico"))))</x:f>
        <x:v>En meta</x:v>
      </x:c>
      <x:c r="O585" s="22" t="str">
        <x:v>%</x:v>
      </x:c>
      <x:c r="P585" s="22" t="str">
        <x:v>Compras / Líder SG-SST</x:v>
      </x:c>
      <x:c r="Q585" s="22" t="str">
        <x:v>Gestión de proveedores y contratistas</x:v>
      </x:c>
      <x:c r="R585" s="22" t="str"/>
    </x:row>
    <x:row r="586">
      <x:c r="A586" s="46" t="n">
        <x:v>46053</x:v>
      </x:c>
      <x:c r="B586" s="22" t="n">
        <x:v>2026</x:v>
      </x:c>
      <x:c r="C586" s="22" t="str">
        <x:v>Enero</x:v>
      </x:c>
      <x:c r="D586" s="22" t="str">
        <x:v>P01</x:v>
      </x:c>
      <x:c r="E586" s="22" t="str">
        <x:v>% ejecución del plan anual de trabajo SG-SST</x:v>
      </x:c>
      <x:c r="F586" s="22" t="str">
        <x:v>Proceso</x:v>
      </x:c>
      <x:c r="G586" s="22" t="str">
        <x:v>Mensual</x:v>
      </x:c>
      <x:c r="H586" s="40" t="n">
        <x:v>90</x:v>
      </x:c>
      <x:c r="I586" s="22" t="str">
        <x:v>Mayor es mejor</x:v>
      </x:c>
      <x:c r="J586" s="40" t="n">
        <x:v>11</x:v>
      </x:c>
      <x:c r="K586" s="40" t="n">
        <x:v>12</x:v>
      </x:c>
      <x:c r="L586" s="40" t="n">
        <x:v>100</x:v>
      </x:c>
      <x:c r="M586" s="40" t="n">
        <x:f>IF(OR(J586="",K586="",K586=0),"",J586/K586*L586)</x:f>
        <x:v>91.66666666666666</x:v>
      </x:c>
      <x:c r="N586" s="22" t="str">
        <x:f>IF(M586="","",IF(I586="Mayor es mejor",IF(M586&gt;=H586,"En meta",IF(M586&gt;=H586*0.9,"Alerta","Crítico")),IF(M586&lt;=H586,"En meta",IF(M586&lt;=H586*1.1,"Alerta","Crítico"))))</x:f>
        <x:v>En meta</x:v>
      </x:c>
      <x:c r="O586" s="22" t="str">
        <x:v>%</x:v>
      </x:c>
      <x:c r="P586" s="22" t="str">
        <x:v>Líder SG-SST</x:v>
      </x:c>
      <x:c r="Q586" s="22" t="str">
        <x:v>Plan anual de trabajo PHVA</x:v>
      </x:c>
      <x:c r="R586" s="22" t="str"/>
    </x:row>
    <x:row r="587">
      <x:c r="A587" s="46" t="n">
        <x:v>46053</x:v>
      </x:c>
      <x:c r="B587" s="22" t="n">
        <x:v>2026</x:v>
      </x:c>
      <x:c r="C587" s="22" t="str">
        <x:v>Enero</x:v>
      </x:c>
      <x:c r="D587" s="22" t="str">
        <x:v>P02</x:v>
      </x:c>
      <x:c r="E587" s="22" t="str">
        <x:v>% investigaciones de accidentes realizadas oportunamente</x:v>
      </x:c>
      <x:c r="F587" s="22" t="str">
        <x:v>Proceso</x:v>
      </x:c>
      <x:c r="G587" s="22" t="str">
        <x:v>Mensual</x:v>
      </x:c>
      <x:c r="H587" s="40" t="n">
        <x:v>95</x:v>
      </x:c>
      <x:c r="I587" s="22" t="str">
        <x:v>Mayor es mejor</x:v>
      </x:c>
      <x:c r="J587" s="40" t="n">
        <x:v>1</x:v>
      </x:c>
      <x:c r="K587" s="40" t="n">
        <x:v>1</x:v>
      </x:c>
      <x:c r="L587" s="40" t="n">
        <x:v>100</x:v>
      </x:c>
      <x:c r="M587" s="40" t="n">
        <x:f>IF(OR(J587="",K587="",K587=0),"",J587/K587*L587)</x:f>
        <x:v>100</x:v>
      </x:c>
      <x:c r="N587" s="22" t="str">
        <x:f>IF(M587="","",IF(I587="Mayor es mejor",IF(M587&gt;=H587,"En meta",IF(M587&gt;=H587*0.9,"Alerta","Crítico")),IF(M587&lt;=H587,"En meta",IF(M587&lt;=H587*1.1,"Alerta","Crítico"))))</x:f>
        <x:v>En meta</x:v>
      </x:c>
      <x:c r="O587" s="22" t="str">
        <x:v>%</x:v>
      </x:c>
      <x:c r="P587" s="22" t="str">
        <x:v>Líder SG-SST / COPASST</x:v>
      </x:c>
      <x:c r="Q587" s="22" t="str">
        <x:v>Matriz de accidentalidad</x:v>
      </x:c>
      <x:c r="R587" s="22" t="str"/>
    </x:row>
    <x:row r="588">
      <x:c r="A588" s="46" t="n">
        <x:v>46053</x:v>
      </x:c>
      <x:c r="B588" s="22" t="n">
        <x:v>2026</x:v>
      </x:c>
      <x:c r="C588" s="22" t="str">
        <x:v>Enero</x:v>
      </x:c>
      <x:c r="D588" s="22" t="str">
        <x:v>P03</x:v>
      </x:c>
      <x:c r="E588" s="22" t="str">
        <x:v>% cierre oportuno de acciones correctivas, preventivas y de mejora</x:v>
      </x:c>
      <x:c r="F588" s="22" t="str">
        <x:v>Proceso</x:v>
      </x:c>
      <x:c r="G588" s="22" t="str">
        <x:v>Mensual</x:v>
      </x:c>
      <x:c r="H588" s="40" t="n">
        <x:v>90</x:v>
      </x:c>
      <x:c r="I588" s="22" t="str">
        <x:v>Mayor es mejor</x:v>
      </x:c>
      <x:c r="J588" s="40" t="n">
        <x:v>10</x:v>
      </x:c>
      <x:c r="K588" s="40" t="n">
        <x:v>11</x:v>
      </x:c>
      <x:c r="L588" s="40" t="n">
        <x:v>100</x:v>
      </x:c>
      <x:c r="M588" s="40" t="n">
        <x:f>IF(OR(J588="",K588="",K588=0),"",J588/K588*L588)</x:f>
        <x:v>90.9090909090909</x:v>
      </x:c>
      <x:c r="N588" s="22" t="str">
        <x:f>IF(M588="","",IF(I588="Mayor es mejor",IF(M588&gt;=H588,"En meta",IF(M588&gt;=H588*0.9,"Alerta","Crítico")),IF(M588&lt;=H588,"En meta",IF(M588&lt;=H588*1.1,"Alerta","Crítico"))))</x:f>
        <x:v>En meta</x:v>
      </x:c>
      <x:c r="O588" s="22" t="str">
        <x:v>%</x:v>
      </x:c>
      <x:c r="P588" s="22" t="str">
        <x:v>Líder SG-SST / Responsables de proceso</x:v>
      </x:c>
      <x:c r="Q588" s="22" t="str">
        <x:v>Matriz APCM</x:v>
      </x:c>
      <x:c r="R588" s="22" t="str"/>
    </x:row>
    <x:row r="589">
      <x:c r="A589" s="46" t="n">
        <x:v>46053</x:v>
      </x:c>
      <x:c r="B589" s="22" t="n">
        <x:v>2026</x:v>
      </x:c>
      <x:c r="C589" s="22" t="str">
        <x:v>Enero</x:v>
      </x:c>
      <x:c r="D589" s="22" t="str">
        <x:v>P04</x:v>
      </x:c>
      <x:c r="E589" s="22" t="str">
        <x:v>% inspecciones de seguridad ejecutadas</x:v>
      </x:c>
      <x:c r="F589" s="22" t="str">
        <x:v>Proceso</x:v>
      </x:c>
      <x:c r="G589" s="22" t="str">
        <x:v>Mensual</x:v>
      </x:c>
      <x:c r="H589" s="40" t="n">
        <x:v>90</x:v>
      </x:c>
      <x:c r="I589" s="22" t="str">
        <x:v>Mayor es mejor</x:v>
      </x:c>
      <x:c r="J589" s="40" t="n">
        <x:v>9</x:v>
      </x:c>
      <x:c r="K589" s="40" t="n">
        <x:v>9</x:v>
      </x:c>
      <x:c r="L589" s="40" t="n">
        <x:v>100</x:v>
      </x:c>
      <x:c r="M589" s="40" t="n">
        <x:f>IF(OR(J589="",K589="",K589=0),"",J589/K589*L589)</x:f>
        <x:v>100</x:v>
      </x:c>
      <x:c r="N589" s="22" t="str">
        <x:f>IF(M589="","",IF(I589="Mayor es mejor",IF(M589&gt;=H589,"En meta",IF(M589&gt;=H589*0.9,"Alerta","Crítico")),IF(M589&lt;=H589,"En meta",IF(M589&lt;=H589*1.1,"Alerta","Crítico"))))</x:f>
        <x:v>En meta</x:v>
      </x:c>
      <x:c r="O589" s="22" t="str">
        <x:v>%</x:v>
      </x:c>
      <x:c r="P589" s="22" t="str">
        <x:v>Líder SG-SST / Supervisores</x:v>
      </x:c>
      <x:c r="Q589" s="22" t="str">
        <x:v>Programa de inspecciones</x:v>
      </x:c>
      <x:c r="R589" s="22" t="str"/>
    </x:row>
    <x:row r="590">
      <x:c r="A590" s="46" t="n">
        <x:v>46053</x:v>
      </x:c>
      <x:c r="B590" s="22" t="n">
        <x:v>2026</x:v>
      </x:c>
      <x:c r="C590" s="22" t="str">
        <x:v>Enero</x:v>
      </x:c>
      <x:c r="D590" s="22" t="str">
        <x:v>P05</x:v>
      </x:c>
      <x:c r="E590" s="22" t="str">
        <x:v>% mantenimientos preventivos ejecutados</x:v>
      </x:c>
      <x:c r="F590" s="22" t="str">
        <x:v>Proceso</x:v>
      </x:c>
      <x:c r="G590" s="22" t="str">
        <x:v>Mensual</x:v>
      </x:c>
      <x:c r="H590" s="40" t="n">
        <x:v>90</x:v>
      </x:c>
      <x:c r="I590" s="22" t="str">
        <x:v>Mayor es mejor</x:v>
      </x:c>
      <x:c r="J590" s="40" t="n">
        <x:v>12</x:v>
      </x:c>
      <x:c r="K590" s="40" t="n">
        <x:v>13</x:v>
      </x:c>
      <x:c r="L590" s="40" t="n">
        <x:v>100</x:v>
      </x:c>
      <x:c r="M590" s="40" t="n">
        <x:f>IF(OR(J590="",K590="",K590=0),"",J590/K590*L590)</x:f>
        <x:v>92.3076923076923</x:v>
      </x:c>
      <x:c r="N590" s="22" t="str">
        <x:f>IF(M590="","",IF(I590="Mayor es mejor",IF(M590&gt;=H590,"En meta",IF(M590&gt;=H590*0.9,"Alerta","Crítico")),IF(M590&lt;=H590,"En meta",IF(M590&lt;=H590*1.1,"Alerta","Crítico"))))</x:f>
        <x:v>En meta</x:v>
      </x:c>
      <x:c r="O590" s="22" t="str">
        <x:v>%</x:v>
      </x:c>
      <x:c r="P590" s="22" t="str">
        <x:v>Mantenimiento / Líder SG-SST</x:v>
      </x:c>
      <x:c r="Q590" s="22" t="str">
        <x:v>Programa de mantenimiento preventivo</x:v>
      </x:c>
      <x:c r="R590" s="22" t="str"/>
    </x:row>
    <x:row r="591">
      <x:c r="A591" s="46" t="n">
        <x:v>46053</x:v>
      </x:c>
      <x:c r="B591" s="22" t="n">
        <x:v>2026</x:v>
      </x:c>
      <x:c r="C591" s="22" t="str">
        <x:v>Enero</x:v>
      </x:c>
      <x:c r="D591" s="22" t="str">
        <x:v>R01</x:v>
      </x:c>
      <x:c r="E591" s="22" t="str">
        <x:v>Índice de frecuencia de accidentalidad (IF)</x:v>
      </x:c>
      <x:c r="F591" s="22" t="str">
        <x:v>Resultado</x:v>
      </x:c>
      <x:c r="G591" s="22" t="str">
        <x:v>Mensual</x:v>
      </x:c>
      <x:c r="H591" s="40" t="n">
        <x:v>3.5</x:v>
      </x:c>
      <x:c r="I591" s="22" t="str">
        <x:v>Menor es mejor</x:v>
      </x:c>
      <x:c r="J591" s="40" t="n">
        <x:v>1</x:v>
      </x:c>
      <x:c r="K591" s="40" t="n">
        <x:v>63093</x:v>
      </x:c>
      <x:c r="L591" s="40" t="n">
        <x:v>200000</x:v>
      </x:c>
      <x:c r="M591" s="40" t="n">
        <x:f>IF(OR(J591="",K591="",K591=0),"",J591/K591*L591)</x:f>
        <x:v>3.1699237633334922</x:v>
      </x:c>
      <x:c r="N591" s="22" t="str">
        <x:f>IF(M591="","",IF(I591="Mayor es mejor",IF(M591&gt;=H591,"En meta",IF(M591&gt;=H591*0.9,"Alerta","Crítico")),IF(M591&lt;=H591,"En meta",IF(M591&lt;=H591*1.1,"Alerta","Crítico"))))</x:f>
        <x:v>En meta</x:v>
      </x:c>
      <x:c r="O591" s="22" t="str">
        <x:v>Índice</x:v>
      </x:c>
      <x:c r="P591" s="22" t="str">
        <x:v>Líder SG-SST</x:v>
      </x:c>
      <x:c r="Q591" s="22" t="str">
        <x:v>Matriz de accidentalidad / nómina</x:v>
      </x:c>
      <x:c r="R591" s="22" t="str"/>
    </x:row>
    <x:row r="592">
      <x:c r="A592" s="46" t="n">
        <x:v>46053</x:v>
      </x:c>
      <x:c r="B592" s="22" t="n">
        <x:v>2026</x:v>
      </x:c>
      <x:c r="C592" s="22" t="str">
        <x:v>Enero</x:v>
      </x:c>
      <x:c r="D592" s="22" t="str">
        <x:v>R02</x:v>
      </x:c>
      <x:c r="E592" s="22" t="str">
        <x:v>Índice de severidad de accidentalidad (IS)</x:v>
      </x:c>
      <x:c r="F592" s="22" t="str">
        <x:v>Resultado</x:v>
      </x:c>
      <x:c r="G592" s="22" t="str">
        <x:v>Mensual</x:v>
      </x:c>
      <x:c r="H592" s="40" t="n">
        <x:v>80</x:v>
      </x:c>
      <x:c r="I592" s="22" t="str">
        <x:v>Menor es mejor</x:v>
      </x:c>
      <x:c r="J592" s="40" t="n">
        <x:v>17</x:v>
      </x:c>
      <x:c r="K592" s="40" t="n">
        <x:v>63093</x:v>
      </x:c>
      <x:c r="L592" s="40" t="n">
        <x:v>200000</x:v>
      </x:c>
      <x:c r="M592" s="40" t="n">
        <x:f>IF(OR(J592="",K592="",K592=0),"",J592/K592*L592)</x:f>
        <x:v>53.888703976669355</x:v>
      </x:c>
      <x:c r="N592" s="22" t="str">
        <x:f>IF(M592="","",IF(I592="Mayor es mejor",IF(M592&gt;=H592,"En meta",IF(M592&gt;=H592*0.9,"Alerta","Crítico")),IF(M592&lt;=H592,"En meta",IF(M592&lt;=H592*1.1,"Alerta","Crítico"))))</x:f>
        <x:v>En meta</x:v>
      </x:c>
      <x:c r="O592" s="22" t="str">
        <x:v>Índice</x:v>
      </x:c>
      <x:c r="P592" s="22" t="str">
        <x:v>Líder SG-SST</x:v>
      </x:c>
      <x:c r="Q592" s="22" t="str">
        <x:v>Matriz de accidentalidad / nómina</x:v>
      </x:c>
      <x:c r="R592" s="22" t="str"/>
    </x:row>
    <x:row r="593">
      <x:c r="A593" s="46" t="n">
        <x:v>46053</x:v>
      </x:c>
      <x:c r="B593" s="22" t="n">
        <x:v>2026</x:v>
      </x:c>
      <x:c r="C593" s="22" t="str">
        <x:v>Enero</x:v>
      </x:c>
      <x:c r="D593" s="22" t="str">
        <x:v>R03</x:v>
      </x:c>
      <x:c r="E593" s="22" t="str">
        <x:v>Índice de lesión incapacitante (ILI)</x:v>
      </x:c>
      <x:c r="F593" s="22" t="str">
        <x:v>Resultado</x:v>
      </x:c>
      <x:c r="G593" s="22" t="str">
        <x:v>Mensual</x:v>
      </x:c>
      <x:c r="H593" s="40" t="n">
        <x:v>0.25</x:v>
      </x:c>
      <x:c r="I593" s="22" t="str">
        <x:v>Menor es mejor</x:v>
      </x:c>
      <x:c r="J593" s="40" t="n">
        <x:v>170.8231</x:v>
      </x:c>
      <x:c r="K593" s="40" t="n">
        <x:v>1000</x:v>
      </x:c>
      <x:c r="L593" s="40" t="n">
        <x:v>1</x:v>
      </x:c>
      <x:c r="M593" s="40" t="n">
        <x:f>IF(OR(J593="",K593="",K593=0),"",J593/K593*L593)</x:f>
        <x:v>0.1708231</x:v>
      </x:c>
      <x:c r="N593" s="22" t="str">
        <x:f>IF(M593="","",IF(I593="Mayor es mejor",IF(M593&gt;=H593,"En meta",IF(M593&gt;=H593*0.9,"Alerta","Crítico")),IF(M593&lt;=H593,"En meta",IF(M593&lt;=H593*1.1,"Alerta","Crítico"))))</x:f>
        <x:v>En meta</x:v>
      </x:c>
      <x:c r="O593" s="22" t="str">
        <x:v>Índice</x:v>
      </x:c>
      <x:c r="P593" s="22" t="str">
        <x:v>Líder SG-SST</x:v>
      </x:c>
      <x:c r="Q593" s="22" t="str">
        <x:v>Indicadores derivados de accidentalidad</x:v>
      </x:c>
      <x:c r="R593" s="22" t="str">
        <x:v>ILI calculado sobre IF e IS del periodo.</x:v>
      </x:c>
    </x:row>
    <x:row r="594">
      <x:c r="A594" s="46" t="n">
        <x:v>46053</x:v>
      </x:c>
      <x:c r="B594" s="22" t="n">
        <x:v>2026</x:v>
      </x:c>
      <x:c r="C594" s="22" t="str">
        <x:v>Enero</x:v>
      </x:c>
      <x:c r="D594" s="22" t="str">
        <x:v>R04</x:v>
      </x:c>
      <x:c r="E594" s="22" t="str">
        <x:v>Tasa de accidentalidad</x:v>
      </x:c>
      <x:c r="F594" s="22" t="str">
        <x:v>Resultado</x:v>
      </x:c>
      <x:c r="G594" s="22" t="str">
        <x:v>Mensual</x:v>
      </x:c>
      <x:c r="H594" s="40" t="n">
        <x:v>0.6</x:v>
      </x:c>
      <x:c r="I594" s="22" t="str">
        <x:v>Menor es mejor</x:v>
      </x:c>
      <x:c r="J594" s="40" t="n">
        <x:v>4.89</x:v>
      </x:c>
      <x:c r="K594" s="40" t="n">
        <x:v>259</x:v>
      </x:c>
      <x:c r="L594" s="40" t="n">
        <x:v>100</x:v>
      </x:c>
      <x:c r="M594" s="40" t="n">
        <x:f>IF(OR(J594="",K594="",K594=0),"",J594/K594*L594)</x:f>
        <x:v>1.888030888030888</x:v>
      </x:c>
      <x:c r="N594" s="22" t="str">
        <x:f>IF(M594="","",IF(I594="Mayor es mejor",IF(M594&gt;=H594,"En meta",IF(M594&gt;=H594*0.9,"Alerta","Crítico")),IF(M594&lt;=H594,"En meta",IF(M594&lt;=H594*1.1,"Alerta","Crítico"))))</x:f>
        <x:v>Crítico</x:v>
      </x:c>
      <x:c r="O594" s="22" t="str">
        <x:v>%</x:v>
      </x:c>
      <x:c r="P594" s="22" t="str">
        <x:v>Líder SG-SST</x:v>
      </x:c>
      <x:c r="Q594" s="22" t="str">
        <x:v>Matriz de accidentalidad / nómina</x:v>
      </x:c>
      <x:c r="R594" s="22" t="str"/>
    </x:row>
    <x:row r="595">
      <x:c r="A595" s="46" t="n">
        <x:v>46053</x:v>
      </x:c>
      <x:c r="B595" s="22" t="n">
        <x:v>2026</x:v>
      </x:c>
      <x:c r="C595" s="22" t="str">
        <x:v>Enero</x:v>
      </x:c>
      <x:c r="D595" s="22" t="str">
        <x:v>R05</x:v>
      </x:c>
      <x:c r="E595" s="22" t="str">
        <x:v>Prevalencia de enfermedad laboral</x:v>
      </x:c>
      <x:c r="F595" s="22" t="str">
        <x:v>Resultado</x:v>
      </x:c>
      <x:c r="G595" s="22" t="str">
        <x:v>Mensual</x:v>
      </x:c>
      <x:c r="H595" s="40" t="n">
        <x:v>0.3</x:v>
      </x:c>
      <x:c r="I595" s="22" t="str">
        <x:v>Menor es mejor</x:v>
      </x:c>
      <x:c r="J595" s="40" t="n">
        <x:v>0.36</x:v>
      </x:c>
      <x:c r="K595" s="40" t="n">
        <x:v>259</x:v>
      </x:c>
      <x:c r="L595" s="40" t="n">
        <x:v>100</x:v>
      </x:c>
      <x:c r="M595" s="40" t="n">
        <x:f>IF(OR(J595="",K595="",K595=0),"",J595/K595*L595)</x:f>
        <x:v>0.138996138996139</x:v>
      </x:c>
      <x:c r="N595" s="22" t="str">
        <x:f>IF(M595="","",IF(I595="Mayor es mejor",IF(M595&gt;=H595,"En meta",IF(M595&gt;=H595*0.9,"Alerta","Crítico")),IF(M595&lt;=H595,"En meta",IF(M595&lt;=H595*1.1,"Alerta","Crítico"))))</x:f>
        <x:v>En meta</x:v>
      </x:c>
      <x:c r="O595" s="22" t="str">
        <x:v>%</x:v>
      </x:c>
      <x:c r="P595" s="22" t="str">
        <x:v>Líder SG-SST / Medicina laboral</x:v>
      </x:c>
      <x:c r="Q595" s="22" t="str">
        <x:v>Matriz de enfermedad laboral / nómina</x:v>
      </x:c>
      <x:c r="R595" s="22" t="str"/>
    </x:row>
    <x:row r="596">
      <x:c r="A596" s="46" t="n">
        <x:v>46053</x:v>
      </x:c>
      <x:c r="B596" s="22" t="n">
        <x:v>2026</x:v>
      </x:c>
      <x:c r="C596" s="22" t="str">
        <x:v>Enero</x:v>
      </x:c>
      <x:c r="D596" s="22" t="str">
        <x:v>R06</x:v>
      </x:c>
      <x:c r="E596" s="22" t="str">
        <x:v>% cumplimiento de estándares mínimos Res. 0312 de 2019</x:v>
      </x:c>
      <x:c r="F596" s="22" t="str">
        <x:v>Resultado</x:v>
      </x:c>
      <x:c r="G596" s="22" t="str">
        <x:v>Mensual</x:v>
      </x:c>
      <x:c r="H596" s="40" t="n">
        <x:v>95</x:v>
      </x:c>
      <x:c r="I596" s="22" t="str">
        <x:v>Mayor es mejor</x:v>
      </x:c>
      <x:c r="J596" s="40" t="n">
        <x:v>98</x:v>
      </x:c>
      <x:c r="K596" s="40" t="n">
        <x:v>100</x:v>
      </x:c>
      <x:c r="L596" s="40" t="n">
        <x:v>100</x:v>
      </x:c>
      <x:c r="M596" s="40" t="n">
        <x:f>IF(OR(J596="",K596="",K596=0),"",J596/K596*L596)</x:f>
        <x:v>98</x:v>
      </x:c>
      <x:c r="N596" s="22" t="str">
        <x:f>IF(M596="","",IF(I596="Mayor es mejor",IF(M596&gt;=H596,"En meta",IF(M596&gt;=H596*0.9,"Alerta","Crítico")),IF(M596&lt;=H596,"En meta",IF(M596&lt;=H596*1.1,"Alerta","Crítico"))))</x:f>
        <x:v>En meta</x:v>
      </x:c>
      <x:c r="O596" s="22" t="str">
        <x:v>%</x:v>
      </x:c>
      <x:c r="P596" s="22" t="str">
        <x:v>Líder SG-SST / Alta Dirección</x:v>
      </x:c>
      <x:c r="Q596" s="22" t="str">
        <x:v>Autodiagnóstico Res. 0312 de 2019</x:v>
      </x:c>
      <x:c r="R596" s="22" t="str"/>
    </x:row>
    <x:row r="597">
      <x:c r="A597" s="46" t="n">
        <x:v>46081</x:v>
      </x:c>
      <x:c r="B597" s="22" t="n">
        <x:v>2026</x:v>
      </x:c>
      <x:c r="C597" s="22" t="str">
        <x:v>Febrero</x:v>
      </x:c>
      <x:c r="D597" s="22" t="str">
        <x:v>E01</x:v>
      </x:c>
      <x:c r="E597" s="22" t="str">
        <x:v>% ejecución presupuestal del SG-SST</x:v>
      </x:c>
      <x:c r="F597" s="22" t="str">
        <x:v>Estructura</x:v>
      </x:c>
      <x:c r="G597" s="22" t="str">
        <x:v>Mensual</x:v>
      </x:c>
      <x:c r="H597" s="40" t="n">
        <x:v>95</x:v>
      </x:c>
      <x:c r="I597" s="22" t="str">
        <x:v>Mayor es mejor</x:v>
      </x:c>
      <x:c r="J597" s="40" t="n">
        <x:v>4812782</x:v>
      </x:c>
      <x:c r="K597" s="40" t="n">
        <x:v>5000000</x:v>
      </x:c>
      <x:c r="L597" s="40" t="n">
        <x:v>100</x:v>
      </x:c>
      <x:c r="M597" s="40" t="n">
        <x:f>IF(OR(J597="",K597="",K597=0),"",J597/K597*L597)</x:f>
        <x:v>96.25564</x:v>
      </x:c>
      <x:c r="N597" s="22" t="str">
        <x:f>IF(M597="","",IF(I597="Mayor es mejor",IF(M597&gt;=H597,"En meta",IF(M597&gt;=H597*0.9,"Alerta","Crítico")),IF(M597&lt;=H597,"En meta",IF(M597&lt;=H597*1.1,"Alerta","Crítico"))))</x:f>
        <x:v>En meta</x:v>
      </x:c>
      <x:c r="O597" s="22" t="str">
        <x:v>%</x:v>
      </x:c>
      <x:c r="P597" s="22" t="str">
        <x:v>Líder SG-SST / Dirección Administrativa</x:v>
      </x:c>
      <x:c r="Q597" s="22" t="str">
        <x:v>Presupuesto SST</x:v>
      </x:c>
      <x:c r="R597" s="22" t="str"/>
    </x:row>
    <x:row r="598">
      <x:c r="A598" s="46" t="n">
        <x:v>46081</x:v>
      </x:c>
      <x:c r="B598" s="22" t="n">
        <x:v>2026</x:v>
      </x:c>
      <x:c r="C598" s="22" t="str">
        <x:v>Febrero</x:v>
      </x:c>
      <x:c r="D598" s="22" t="str">
        <x:v>E02</x:v>
      </x:c>
      <x:c r="E598" s="22" t="str">
        <x:v>% cobertura del plan de formación y capacitación SG-SST</x:v>
      </x:c>
      <x:c r="F598" s="22" t="str">
        <x:v>Estructura</x:v>
      </x:c>
      <x:c r="G598" s="22" t="str">
        <x:v>Mensual</x:v>
      </x:c>
      <x:c r="H598" s="40" t="n">
        <x:v>90</x:v>
      </x:c>
      <x:c r="I598" s="22" t="str">
        <x:v>Mayor es mejor</x:v>
      </x:c>
      <x:c r="J598" s="40" t="n">
        <x:v>21</x:v>
      </x:c>
      <x:c r="K598" s="40" t="n">
        <x:v>22</x:v>
      </x:c>
      <x:c r="L598" s="40" t="n">
        <x:v>100</x:v>
      </x:c>
      <x:c r="M598" s="40" t="n">
        <x:f>IF(OR(J598="",K598="",K598=0),"",J598/K598*L598)</x:f>
        <x:v>95.45454545454545</x:v>
      </x:c>
      <x:c r="N598" s="22" t="str">
        <x:f>IF(M598="","",IF(I598="Mayor es mejor",IF(M598&gt;=H598,"En meta",IF(M598&gt;=H598*0.9,"Alerta","Crítico")),IF(M598&lt;=H598,"En meta",IF(M598&lt;=H598*1.1,"Alerta","Crítico"))))</x:f>
        <x:v>En meta</x:v>
      </x:c>
      <x:c r="O598" s="22" t="str">
        <x:v>%</x:v>
      </x:c>
      <x:c r="P598" s="22" t="str">
        <x:v>Líder SG-SST / Talento Humano</x:v>
      </x:c>
      <x:c r="Q598" s="22" t="str">
        <x:v>Plan de formación y capacitaciones</x:v>
      </x:c>
      <x:c r="R598" s="22" t="str"/>
    </x:row>
    <x:row r="599">
      <x:c r="A599" s="46" t="n">
        <x:v>46081</x:v>
      </x:c>
      <x:c r="B599" s="22" t="n">
        <x:v>2026</x:v>
      </x:c>
      <x:c r="C599" s="22" t="str">
        <x:v>Febrero</x:v>
      </x:c>
      <x:c r="D599" s="22" t="str">
        <x:v>E03</x:v>
      </x:c>
      <x:c r="E599" s="22" t="str">
        <x:v>% trabajadores con exámenes médicos ocupacionales vigentes</x:v>
      </x:c>
      <x:c r="F599" s="22" t="str">
        <x:v>Estructura</x:v>
      </x:c>
      <x:c r="G599" s="22" t="str">
        <x:v>Mensual</x:v>
      </x:c>
      <x:c r="H599" s="40" t="n">
        <x:v>95</x:v>
      </x:c>
      <x:c r="I599" s="22" t="str">
        <x:v>Mayor es mejor</x:v>
      </x:c>
      <x:c r="J599" s="40" t="n">
        <x:v>256</x:v>
      </x:c>
      <x:c r="K599" s="40" t="n">
        <x:v>260</x:v>
      </x:c>
      <x:c r="L599" s="40" t="n">
        <x:v>100</x:v>
      </x:c>
      <x:c r="M599" s="40" t="n">
        <x:f>IF(OR(J599="",K599="",K599=0),"",J599/K599*L599)</x:f>
        <x:v>98.46153846153847</x:v>
      </x:c>
      <x:c r="N599" s="22" t="str">
        <x:f>IF(M599="","",IF(I599="Mayor es mejor",IF(M599&gt;=H599,"En meta",IF(M599&gt;=H599*0.9,"Alerta","Crítico")),IF(M599&lt;=H599,"En meta",IF(M599&lt;=H599*1.1,"Alerta","Crítico"))))</x:f>
        <x:v>En meta</x:v>
      </x:c>
      <x:c r="O599" s="22" t="str">
        <x:v>%</x:v>
      </x:c>
      <x:c r="P599" s="22" t="str">
        <x:v>Líder SG-SST / Talento Humano</x:v>
      </x:c>
      <x:c r="Q599" s="22" t="str">
        <x:v>Matriz de seguimiento EMO</x:v>
      </x:c>
      <x:c r="R599" s="22" t="str"/>
    </x:row>
    <x:row r="600">
      <x:c r="A600" s="46" t="n">
        <x:v>46081</x:v>
      </x:c>
      <x:c r="B600" s="22" t="n">
        <x:v>2026</x:v>
      </x:c>
      <x:c r="C600" s="22" t="str">
        <x:v>Febrero</x:v>
      </x:c>
      <x:c r="D600" s="22" t="str">
        <x:v>E04</x:v>
      </x:c>
      <x:c r="E600" s="22" t="str">
        <x:v>% cumplimiento de requisitos legales aplicables en SST</x:v>
      </x:c>
      <x:c r="F600" s="22" t="str">
        <x:v>Estructura</x:v>
      </x:c>
      <x:c r="G600" s="22" t="str">
        <x:v>Mensual</x:v>
      </x:c>
      <x:c r="H600" s="40" t="n">
        <x:v>95</x:v>
      </x:c>
      <x:c r="I600" s="22" t="str">
        <x:v>Mayor es mejor</x:v>
      </x:c>
      <x:c r="J600" s="40" t="n">
        <x:v>60</x:v>
      </x:c>
      <x:c r="K600" s="40" t="n">
        <x:v>60</x:v>
      </x:c>
      <x:c r="L600" s="40" t="n">
        <x:v>100</x:v>
      </x:c>
      <x:c r="M600" s="40" t="n">
        <x:f>IF(OR(J600="",K600="",K600=0),"",J600/K600*L600)</x:f>
        <x:v>100</x:v>
      </x:c>
      <x:c r="N600" s="22" t="str">
        <x:f>IF(M600="","",IF(I600="Mayor es mejor",IF(M600&gt;=H600,"En meta",IF(M600&gt;=H600*0.9,"Alerta","Crítico")),IF(M600&lt;=H600,"En meta",IF(M600&lt;=H600*1.1,"Alerta","Crítico"))))</x:f>
        <x:v>En meta</x:v>
      </x:c>
      <x:c r="O600" s="22" t="str">
        <x:v>%</x:v>
      </x:c>
      <x:c r="P600" s="22" t="str">
        <x:v>Líder SG-SST / Jurídica</x:v>
      </x:c>
      <x:c r="Q600" s="22" t="str">
        <x:v>Matriz legal SGRL</x:v>
      </x:c>
      <x:c r="R600" s="22" t="str"/>
    </x:row>
    <x:row r="601">
      <x:c r="A601" s="46" t="n">
        <x:v>46081</x:v>
      </x:c>
      <x:c r="B601" s="22" t="n">
        <x:v>2026</x:v>
      </x:c>
      <x:c r="C601" s="22" t="str">
        <x:v>Febrero</x:v>
      </x:c>
      <x:c r="D601" s="22" t="str">
        <x:v>E05</x:v>
      </x:c>
      <x:c r="E601" s="22" t="str">
        <x:v>% proveedores y contratistas aprobados en SST</x:v>
      </x:c>
      <x:c r="F601" s="22" t="str">
        <x:v>Estructura</x:v>
      </x:c>
      <x:c r="G601" s="22" t="str">
        <x:v>Mensual</x:v>
      </x:c>
      <x:c r="H601" s="40" t="n">
        <x:v>90</x:v>
      </x:c>
      <x:c r="I601" s="22" t="str">
        <x:v>Mayor es mejor</x:v>
      </x:c>
      <x:c r="J601" s="40" t="n">
        <x:v>19</x:v>
      </x:c>
      <x:c r="K601" s="40" t="n">
        <x:v>20</x:v>
      </x:c>
      <x:c r="L601" s="40" t="n">
        <x:v>100</x:v>
      </x:c>
      <x:c r="M601" s="40" t="n">
        <x:f>IF(OR(J601="",K601="",K601=0),"",J601/K601*L601)</x:f>
        <x:v>95</x:v>
      </x:c>
      <x:c r="N601" s="22" t="str">
        <x:f>IF(M601="","",IF(I601="Mayor es mejor",IF(M601&gt;=H601,"En meta",IF(M601&gt;=H601*0.9,"Alerta","Crítico")),IF(M601&lt;=H601,"En meta",IF(M601&lt;=H601*1.1,"Alerta","Crítico"))))</x:f>
        <x:v>En meta</x:v>
      </x:c>
      <x:c r="O601" s="22" t="str">
        <x:v>%</x:v>
      </x:c>
      <x:c r="P601" s="22" t="str">
        <x:v>Compras / Líder SG-SST</x:v>
      </x:c>
      <x:c r="Q601" s="22" t="str">
        <x:v>Gestión de proveedores y contratistas</x:v>
      </x:c>
      <x:c r="R601" s="22" t="str"/>
    </x:row>
    <x:row r="602">
      <x:c r="A602" s="46" t="n">
        <x:v>46081</x:v>
      </x:c>
      <x:c r="B602" s="22" t="n">
        <x:v>2026</x:v>
      </x:c>
      <x:c r="C602" s="22" t="str">
        <x:v>Febrero</x:v>
      </x:c>
      <x:c r="D602" s="22" t="str">
        <x:v>P01</x:v>
      </x:c>
      <x:c r="E602" s="22" t="str">
        <x:v>% ejecución del plan anual de trabajo SG-SST</x:v>
      </x:c>
      <x:c r="F602" s="22" t="str">
        <x:v>Proceso</x:v>
      </x:c>
      <x:c r="G602" s="22" t="str">
        <x:v>Mensual</x:v>
      </x:c>
      <x:c r="H602" s="40" t="n">
        <x:v>90</x:v>
      </x:c>
      <x:c r="I602" s="22" t="str">
        <x:v>Mayor es mejor</x:v>
      </x:c>
      <x:c r="J602" s="40" t="n">
        <x:v>13</x:v>
      </x:c>
      <x:c r="K602" s="40" t="n">
        <x:v>14</x:v>
      </x:c>
      <x:c r="L602" s="40" t="n">
        <x:v>100</x:v>
      </x:c>
      <x:c r="M602" s="40" t="n">
        <x:f>IF(OR(J602="",K602="",K602=0),"",J602/K602*L602)</x:f>
        <x:v>92.85714285714286</x:v>
      </x:c>
      <x:c r="N602" s="22" t="str">
        <x:f>IF(M602="","",IF(I602="Mayor es mejor",IF(M602&gt;=H602,"En meta",IF(M602&gt;=H602*0.9,"Alerta","Crítico")),IF(M602&lt;=H602,"En meta",IF(M602&lt;=H602*1.1,"Alerta","Crítico"))))</x:f>
        <x:v>En meta</x:v>
      </x:c>
      <x:c r="O602" s="22" t="str">
        <x:v>%</x:v>
      </x:c>
      <x:c r="P602" s="22" t="str">
        <x:v>Líder SG-SST</x:v>
      </x:c>
      <x:c r="Q602" s="22" t="str">
        <x:v>Plan anual de trabajo PHVA</x:v>
      </x:c>
      <x:c r="R602" s="22" t="str"/>
    </x:row>
    <x:row r="603">
      <x:c r="A603" s="46" t="n">
        <x:v>46081</x:v>
      </x:c>
      <x:c r="B603" s="22" t="n">
        <x:v>2026</x:v>
      </x:c>
      <x:c r="C603" s="22" t="str">
        <x:v>Febrero</x:v>
      </x:c>
      <x:c r="D603" s="22" t="str">
        <x:v>P02</x:v>
      </x:c>
      <x:c r="E603" s="22" t="str">
        <x:v>% investigaciones de accidentes realizadas oportunamente</x:v>
      </x:c>
      <x:c r="F603" s="22" t="str">
        <x:v>Proceso</x:v>
      </x:c>
      <x:c r="G603" s="22" t="str">
        <x:v>Mensual</x:v>
      </x:c>
      <x:c r="H603" s="40" t="n">
        <x:v>95</x:v>
      </x:c>
      <x:c r="I603" s="22" t="str">
        <x:v>Mayor es mejor</x:v>
      </x:c>
      <x:c r="J603" s="40" t="n">
        <x:v>1</x:v>
      </x:c>
      <x:c r="K603" s="40" t="n">
        <x:v>1</x:v>
      </x:c>
      <x:c r="L603" s="40" t="n">
        <x:v>100</x:v>
      </x:c>
      <x:c r="M603" s="40" t="n">
        <x:f>IF(OR(J603="",K603="",K603=0),"",J603/K603*L603)</x:f>
        <x:v>100</x:v>
      </x:c>
      <x:c r="N603" s="22" t="str">
        <x:f>IF(M603="","",IF(I603="Mayor es mejor",IF(M603&gt;=H603,"En meta",IF(M603&gt;=H603*0.9,"Alerta","Crítico")),IF(M603&lt;=H603,"En meta",IF(M603&lt;=H603*1.1,"Alerta","Crítico"))))</x:f>
        <x:v>En meta</x:v>
      </x:c>
      <x:c r="O603" s="22" t="str">
        <x:v>%</x:v>
      </x:c>
      <x:c r="P603" s="22" t="str">
        <x:v>Líder SG-SST / COPASST</x:v>
      </x:c>
      <x:c r="Q603" s="22" t="str">
        <x:v>Matriz de accidentalidad</x:v>
      </x:c>
      <x:c r="R603" s="22" t="str"/>
    </x:row>
    <x:row r="604">
      <x:c r="A604" s="46" t="n">
        <x:v>46081</x:v>
      </x:c>
      <x:c r="B604" s="22" t="n">
        <x:v>2026</x:v>
      </x:c>
      <x:c r="C604" s="22" t="str">
        <x:v>Febrero</x:v>
      </x:c>
      <x:c r="D604" s="22" t="str">
        <x:v>P03</x:v>
      </x:c>
      <x:c r="E604" s="22" t="str">
        <x:v>% cierre oportuno de acciones correctivas, preventivas y de mejora</x:v>
      </x:c>
      <x:c r="F604" s="22" t="str">
        <x:v>Proceso</x:v>
      </x:c>
      <x:c r="G604" s="22" t="str">
        <x:v>Mensual</x:v>
      </x:c>
      <x:c r="H604" s="40" t="n">
        <x:v>90</x:v>
      </x:c>
      <x:c r="I604" s="22" t="str">
        <x:v>Mayor es mejor</x:v>
      </x:c>
      <x:c r="J604" s="40" t="n">
        <x:v>11</x:v>
      </x:c>
      <x:c r="K604" s="40" t="n">
        <x:v>12</x:v>
      </x:c>
      <x:c r="L604" s="40" t="n">
        <x:v>100</x:v>
      </x:c>
      <x:c r="M604" s="40" t="n">
        <x:f>IF(OR(J604="",K604="",K604=0),"",J604/K604*L604)</x:f>
        <x:v>91.66666666666666</x:v>
      </x:c>
      <x:c r="N604" s="22" t="str">
        <x:f>IF(M604="","",IF(I604="Mayor es mejor",IF(M604&gt;=H604,"En meta",IF(M604&gt;=H604*0.9,"Alerta","Crítico")),IF(M604&lt;=H604,"En meta",IF(M604&lt;=H604*1.1,"Alerta","Crítico"))))</x:f>
        <x:v>En meta</x:v>
      </x:c>
      <x:c r="O604" s="22" t="str">
        <x:v>%</x:v>
      </x:c>
      <x:c r="P604" s="22" t="str">
        <x:v>Líder SG-SST / Responsables de proceso</x:v>
      </x:c>
      <x:c r="Q604" s="22" t="str">
        <x:v>Matriz APCM</x:v>
      </x:c>
      <x:c r="R604" s="22" t="str"/>
    </x:row>
    <x:row r="605">
      <x:c r="A605" s="46" t="n">
        <x:v>46081</x:v>
      </x:c>
      <x:c r="B605" s="22" t="n">
        <x:v>2026</x:v>
      </x:c>
      <x:c r="C605" s="22" t="str">
        <x:v>Febrero</x:v>
      </x:c>
      <x:c r="D605" s="22" t="str">
        <x:v>P04</x:v>
      </x:c>
      <x:c r="E605" s="22" t="str">
        <x:v>% inspecciones de seguridad ejecutadas</x:v>
      </x:c>
      <x:c r="F605" s="22" t="str">
        <x:v>Proceso</x:v>
      </x:c>
      <x:c r="G605" s="22" t="str">
        <x:v>Mensual</x:v>
      </x:c>
      <x:c r="H605" s="40" t="n">
        <x:v>90</x:v>
      </x:c>
      <x:c r="I605" s="22" t="str">
        <x:v>Mayor es mejor</x:v>
      </x:c>
      <x:c r="J605" s="40" t="n">
        <x:v>10</x:v>
      </x:c>
      <x:c r="K605" s="40" t="n">
        <x:v>10</x:v>
      </x:c>
      <x:c r="L605" s="40" t="n">
        <x:v>100</x:v>
      </x:c>
      <x:c r="M605" s="40" t="n">
        <x:f>IF(OR(J605="",K605="",K605=0),"",J605/K605*L605)</x:f>
        <x:v>100</x:v>
      </x:c>
      <x:c r="N605" s="22" t="str">
        <x:f>IF(M605="","",IF(I605="Mayor es mejor",IF(M605&gt;=H605,"En meta",IF(M605&gt;=H605*0.9,"Alerta","Crítico")),IF(M605&lt;=H605,"En meta",IF(M605&lt;=H605*1.1,"Alerta","Crítico"))))</x:f>
        <x:v>En meta</x:v>
      </x:c>
      <x:c r="O605" s="22" t="str">
        <x:v>%</x:v>
      </x:c>
      <x:c r="P605" s="22" t="str">
        <x:v>Líder SG-SST / Supervisores</x:v>
      </x:c>
      <x:c r="Q605" s="22" t="str">
        <x:v>Programa de inspecciones</x:v>
      </x:c>
      <x:c r="R605" s="22" t="str"/>
    </x:row>
    <x:row r="606">
      <x:c r="A606" s="46" t="n">
        <x:v>46081</x:v>
      </x:c>
      <x:c r="B606" s="22" t="n">
        <x:v>2026</x:v>
      </x:c>
      <x:c r="C606" s="22" t="str">
        <x:v>Febrero</x:v>
      </x:c>
      <x:c r="D606" s="22" t="str">
        <x:v>P05</x:v>
      </x:c>
      <x:c r="E606" s="22" t="str">
        <x:v>% mantenimientos preventivos ejecutados</x:v>
      </x:c>
      <x:c r="F606" s="22" t="str">
        <x:v>Proceso</x:v>
      </x:c>
      <x:c r="G606" s="22" t="str">
        <x:v>Mensual</x:v>
      </x:c>
      <x:c r="H606" s="40" t="n">
        <x:v>90</x:v>
      </x:c>
      <x:c r="I606" s="22" t="str">
        <x:v>Mayor es mejor</x:v>
      </x:c>
      <x:c r="J606" s="40" t="n">
        <x:v>13</x:v>
      </x:c>
      <x:c r="K606" s="40" t="n">
        <x:v>14</x:v>
      </x:c>
      <x:c r="L606" s="40" t="n">
        <x:v>100</x:v>
      </x:c>
      <x:c r="M606" s="40" t="n">
        <x:f>IF(OR(J606="",K606="",K606=0),"",J606/K606*L606)</x:f>
        <x:v>92.85714285714286</x:v>
      </x:c>
      <x:c r="N606" s="22" t="str">
        <x:f>IF(M606="","",IF(I606="Mayor es mejor",IF(M606&gt;=H606,"En meta",IF(M606&gt;=H606*0.9,"Alerta","Crítico")),IF(M606&lt;=H606,"En meta",IF(M606&lt;=H606*1.1,"Alerta","Crítico"))))</x:f>
        <x:v>En meta</x:v>
      </x:c>
      <x:c r="O606" s="22" t="str">
        <x:v>%</x:v>
      </x:c>
      <x:c r="P606" s="22" t="str">
        <x:v>Mantenimiento / Líder SG-SST</x:v>
      </x:c>
      <x:c r="Q606" s="22" t="str">
        <x:v>Programa de mantenimiento preventivo</x:v>
      </x:c>
      <x:c r="R606" s="22" t="str"/>
    </x:row>
    <x:row r="607">
      <x:c r="A607" s="46" t="n">
        <x:v>46081</x:v>
      </x:c>
      <x:c r="B607" s="22" t="n">
        <x:v>2026</x:v>
      </x:c>
      <x:c r="C607" s="22" t="str">
        <x:v>Febrero</x:v>
      </x:c>
      <x:c r="D607" s="22" t="str">
        <x:v>R01</x:v>
      </x:c>
      <x:c r="E607" s="22" t="str">
        <x:v>Índice de frecuencia de accidentalidad (IF)</x:v>
      </x:c>
      <x:c r="F607" s="22" t="str">
        <x:v>Resultado</x:v>
      </x:c>
      <x:c r="G607" s="22" t="str">
        <x:v>Mensual</x:v>
      </x:c>
      <x:c r="H607" s="40" t="n">
        <x:v>3.5</x:v>
      </x:c>
      <x:c r="I607" s="22" t="str">
        <x:v>Menor es mejor</x:v>
      </x:c>
      <x:c r="J607" s="40" t="n">
        <x:v>1</x:v>
      </x:c>
      <x:c r="K607" s="40" t="n">
        <x:v>63599</x:v>
      </x:c>
      <x:c r="L607" s="40" t="n">
        <x:v>200000</x:v>
      </x:c>
      <x:c r="M607" s="40" t="n">
        <x:f>IF(OR(J607="",K607="",K607=0),"",J607/K607*L607)</x:f>
        <x:v>3.1447035330744195</x:v>
      </x:c>
      <x:c r="N607" s="22" t="str">
        <x:f>IF(M607="","",IF(I607="Mayor es mejor",IF(M607&gt;=H607,"En meta",IF(M607&gt;=H607*0.9,"Alerta","Crítico")),IF(M607&lt;=H607,"En meta",IF(M607&lt;=H607*1.1,"Alerta","Crítico"))))</x:f>
        <x:v>En meta</x:v>
      </x:c>
      <x:c r="O607" s="22" t="str">
        <x:v>Índice</x:v>
      </x:c>
      <x:c r="P607" s="22" t="str">
        <x:v>Líder SG-SST</x:v>
      </x:c>
      <x:c r="Q607" s="22" t="str">
        <x:v>Matriz de accidentalidad / nómina</x:v>
      </x:c>
      <x:c r="R607" s="22" t="str"/>
    </x:row>
    <x:row r="608">
      <x:c r="A608" s="46" t="n">
        <x:v>46081</x:v>
      </x:c>
      <x:c r="B608" s="22" t="n">
        <x:v>2026</x:v>
      </x:c>
      <x:c r="C608" s="22" t="str">
        <x:v>Febrero</x:v>
      </x:c>
      <x:c r="D608" s="22" t="str">
        <x:v>R02</x:v>
      </x:c>
      <x:c r="E608" s="22" t="str">
        <x:v>Índice de severidad de accidentalidad (IS)</x:v>
      </x:c>
      <x:c r="F608" s="22" t="str">
        <x:v>Resultado</x:v>
      </x:c>
      <x:c r="G608" s="22" t="str">
        <x:v>Mensual</x:v>
      </x:c>
      <x:c r="H608" s="40" t="n">
        <x:v>80</x:v>
      </x:c>
      <x:c r="I608" s="22" t="str">
        <x:v>Menor es mejor</x:v>
      </x:c>
      <x:c r="J608" s="40" t="n">
        <x:v>18</x:v>
      </x:c>
      <x:c r="K608" s="40" t="n">
        <x:v>63599</x:v>
      </x:c>
      <x:c r="L608" s="40" t="n">
        <x:v>200000</x:v>
      </x:c>
      <x:c r="M608" s="40" t="n">
        <x:f>IF(OR(J608="",K608="",K608=0),"",J608/K608*L608)</x:f>
        <x:v>56.604663595339545</x:v>
      </x:c>
      <x:c r="N608" s="22" t="str">
        <x:f>IF(M608="","",IF(I608="Mayor es mejor",IF(M608&gt;=H608,"En meta",IF(M608&gt;=H608*0.9,"Alerta","Crítico")),IF(M608&lt;=H608,"En meta",IF(M608&lt;=H608*1.1,"Alerta","Crítico"))))</x:f>
        <x:v>En meta</x:v>
      </x:c>
      <x:c r="O608" s="22" t="str">
        <x:v>Índice</x:v>
      </x:c>
      <x:c r="P608" s="22" t="str">
        <x:v>Líder SG-SST</x:v>
      </x:c>
      <x:c r="Q608" s="22" t="str">
        <x:v>Matriz de accidentalidad / nómina</x:v>
      </x:c>
      <x:c r="R608" s="22" t="str"/>
    </x:row>
    <x:row r="609">
      <x:c r="A609" s="46" t="n">
        <x:v>46081</x:v>
      </x:c>
      <x:c r="B609" s="22" t="n">
        <x:v>2026</x:v>
      </x:c>
      <x:c r="C609" s="22" t="str">
        <x:v>Febrero</x:v>
      </x:c>
      <x:c r="D609" s="22" t="str">
        <x:v>R03</x:v>
      </x:c>
      <x:c r="E609" s="22" t="str">
        <x:v>Índice de lesión incapacitante (ILI)</x:v>
      </x:c>
      <x:c r="F609" s="22" t="str">
        <x:v>Resultado</x:v>
      </x:c>
      <x:c r="G609" s="22" t="str">
        <x:v>Mensual</x:v>
      </x:c>
      <x:c r="H609" s="40" t="n">
        <x:v>0.25</x:v>
      </x:c>
      <x:c r="I609" s="22" t="str">
        <x:v>Menor es mejor</x:v>
      </x:c>
      <x:c r="J609" s="40" t="n">
        <x:v>178.0049</x:v>
      </x:c>
      <x:c r="K609" s="40" t="n">
        <x:v>1000</x:v>
      </x:c>
      <x:c r="L609" s="40" t="n">
        <x:v>1</x:v>
      </x:c>
      <x:c r="M609" s="40" t="n">
        <x:f>IF(OR(J609="",K609="",K609=0),"",J609/K609*L609)</x:f>
        <x:v>0.1780049</x:v>
      </x:c>
      <x:c r="N609" s="22" t="str">
        <x:f>IF(M609="","",IF(I609="Mayor es mejor",IF(M609&gt;=H609,"En meta",IF(M609&gt;=H609*0.9,"Alerta","Crítico")),IF(M609&lt;=H609,"En meta",IF(M609&lt;=H609*1.1,"Alerta","Crítico"))))</x:f>
        <x:v>En meta</x:v>
      </x:c>
      <x:c r="O609" s="22" t="str">
        <x:v>Índice</x:v>
      </x:c>
      <x:c r="P609" s="22" t="str">
        <x:v>Líder SG-SST</x:v>
      </x:c>
      <x:c r="Q609" s="22" t="str">
        <x:v>Indicadores derivados de accidentalidad</x:v>
      </x:c>
      <x:c r="R609" s="22" t="str">
        <x:v>ILI calculado sobre IF e IS del periodo.</x:v>
      </x:c>
    </x:row>
    <x:row r="610">
      <x:c r="A610" s="46" t="n">
        <x:v>46081</x:v>
      </x:c>
      <x:c r="B610" s="22" t="n">
        <x:v>2026</x:v>
      </x:c>
      <x:c r="C610" s="22" t="str">
        <x:v>Febrero</x:v>
      </x:c>
      <x:c r="D610" s="22" t="str">
        <x:v>R04</x:v>
      </x:c>
      <x:c r="E610" s="22" t="str">
        <x:v>Tasa de accidentalidad</x:v>
      </x:c>
      <x:c r="F610" s="22" t="str">
        <x:v>Resultado</x:v>
      </x:c>
      <x:c r="G610" s="22" t="str">
        <x:v>Mensual</x:v>
      </x:c>
      <x:c r="H610" s="40" t="n">
        <x:v>0.6</x:v>
      </x:c>
      <x:c r="I610" s="22" t="str">
        <x:v>Menor es mejor</x:v>
      </x:c>
      <x:c r="J610" s="40" t="n">
        <x:v>0.03</x:v>
      </x:c>
      <x:c r="K610" s="40" t="n">
        <x:v>260</x:v>
      </x:c>
      <x:c r="L610" s="40" t="n">
        <x:v>100</x:v>
      </x:c>
      <x:c r="M610" s="40" t="n">
        <x:f>IF(OR(J610="",K610="",K610=0),"",J610/K610*L610)</x:f>
        <x:v>0.011538461538461537</x:v>
      </x:c>
      <x:c r="N610" s="22" t="str">
        <x:f>IF(M610="","",IF(I610="Mayor es mejor",IF(M610&gt;=H610,"En meta",IF(M610&gt;=H610*0.9,"Alerta","Crítico")),IF(M610&lt;=H610,"En meta",IF(M610&lt;=H610*1.1,"Alerta","Crítico"))))</x:f>
        <x:v>En meta</x:v>
      </x:c>
      <x:c r="O610" s="22" t="str">
        <x:v>%</x:v>
      </x:c>
      <x:c r="P610" s="22" t="str">
        <x:v>Líder SG-SST</x:v>
      </x:c>
      <x:c r="Q610" s="22" t="str">
        <x:v>Matriz de accidentalidad / nómina</x:v>
      </x:c>
      <x:c r="R610" s="22" t="str"/>
    </x:row>
    <x:row r="611">
      <x:c r="A611" s="46" t="n">
        <x:v>46081</x:v>
      </x:c>
      <x:c r="B611" s="22" t="n">
        <x:v>2026</x:v>
      </x:c>
      <x:c r="C611" s="22" t="str">
        <x:v>Febrero</x:v>
      </x:c>
      <x:c r="D611" s="22" t="str">
        <x:v>R05</x:v>
      </x:c>
      <x:c r="E611" s="22" t="str">
        <x:v>Prevalencia de enfermedad laboral</x:v>
      </x:c>
      <x:c r="F611" s="22" t="str">
        <x:v>Resultado</x:v>
      </x:c>
      <x:c r="G611" s="22" t="str">
        <x:v>Mensual</x:v>
      </x:c>
      <x:c r="H611" s="40" t="n">
        <x:v>0.3</x:v>
      </x:c>
      <x:c r="I611" s="22" t="str">
        <x:v>Menor es mejor</x:v>
      </x:c>
      <x:c r="J611" s="40" t="n">
        <x:v>4.22</x:v>
      </x:c>
      <x:c r="K611" s="40" t="n">
        <x:v>260</x:v>
      </x:c>
      <x:c r="L611" s="40" t="n">
        <x:v>100</x:v>
      </x:c>
      <x:c r="M611" s="40" t="n">
        <x:f>IF(OR(J611="",K611="",K611=0),"",J611/K611*L611)</x:f>
        <x:v>1.6230769230769229</x:v>
      </x:c>
      <x:c r="N611" s="22" t="str">
        <x:f>IF(M611="","",IF(I611="Mayor es mejor",IF(M611&gt;=H611,"En meta",IF(M611&gt;=H611*0.9,"Alerta","Crítico")),IF(M611&lt;=H611,"En meta",IF(M611&lt;=H611*1.1,"Alerta","Crítico"))))</x:f>
        <x:v>Crítico</x:v>
      </x:c>
      <x:c r="O611" s="22" t="str">
        <x:v>%</x:v>
      </x:c>
      <x:c r="P611" s="22" t="str">
        <x:v>Líder SG-SST / Medicina laboral</x:v>
      </x:c>
      <x:c r="Q611" s="22" t="str">
        <x:v>Matriz de enfermedad laboral / nómina</x:v>
      </x:c>
      <x:c r="R611" s="22" t="str"/>
    </x:row>
    <x:row r="612">
      <x:c r="A612" s="46" t="n">
        <x:v>46081</x:v>
      </x:c>
      <x:c r="B612" s="22" t="n">
        <x:v>2026</x:v>
      </x:c>
      <x:c r="C612" s="22" t="str">
        <x:v>Febrero</x:v>
      </x:c>
      <x:c r="D612" s="22" t="str">
        <x:v>R06</x:v>
      </x:c>
      <x:c r="E612" s="22" t="str">
        <x:v>% cumplimiento de estándares mínimos Res. 0312 de 2019</x:v>
      </x:c>
      <x:c r="F612" s="22" t="str">
        <x:v>Resultado</x:v>
      </x:c>
      <x:c r="G612" s="22" t="str">
        <x:v>Mensual</x:v>
      </x:c>
      <x:c r="H612" s="40" t="n">
        <x:v>95</x:v>
      </x:c>
      <x:c r="I612" s="22" t="str">
        <x:v>Mayor es mejor</x:v>
      </x:c>
      <x:c r="J612" s="40" t="n">
        <x:v>98</x:v>
      </x:c>
      <x:c r="K612" s="40" t="n">
        <x:v>100</x:v>
      </x:c>
      <x:c r="L612" s="40" t="n">
        <x:v>100</x:v>
      </x:c>
      <x:c r="M612" s="40" t="n">
        <x:f>IF(OR(J612="",K612="",K612=0),"",J612/K612*L612)</x:f>
        <x:v>98</x:v>
      </x:c>
      <x:c r="N612" s="22" t="str">
        <x:f>IF(M612="","",IF(I612="Mayor es mejor",IF(M612&gt;=H612,"En meta",IF(M612&gt;=H612*0.9,"Alerta","Crítico")),IF(M612&lt;=H612,"En meta",IF(M612&lt;=H612*1.1,"Alerta","Crítico"))))</x:f>
        <x:v>En meta</x:v>
      </x:c>
      <x:c r="O612" s="22" t="str">
        <x:v>%</x:v>
      </x:c>
      <x:c r="P612" s="22" t="str">
        <x:v>Líder SG-SST / Alta Dirección</x:v>
      </x:c>
      <x:c r="Q612" s="22" t="str">
        <x:v>Autodiagnóstico Res. 0312 de 2019</x:v>
      </x:c>
      <x:c r="R612" s="22" t="str"/>
    </x:row>
    <x:row r="613">
      <x:c r="A613" s="46" t="n">
        <x:v>46112</x:v>
      </x:c>
      <x:c r="B613" s="22" t="n">
        <x:v>2026</x:v>
      </x:c>
      <x:c r="C613" s="22" t="str">
        <x:v>Marzo</x:v>
      </x:c>
      <x:c r="D613" s="22" t="str">
        <x:v>E01</x:v>
      </x:c>
      <x:c r="E613" s="22" t="str">
        <x:v>% ejecución presupuestal del SG-SST</x:v>
      </x:c>
      <x:c r="F613" s="22" t="str">
        <x:v>Estructura</x:v>
      </x:c>
      <x:c r="G613" s="22" t="str">
        <x:v>Mensual</x:v>
      </x:c>
      <x:c r="H613" s="40" t="n">
        <x:v>95</x:v>
      </x:c>
      <x:c r="I613" s="22" t="str">
        <x:v>Mayor es mejor</x:v>
      </x:c>
      <x:c r="J613" s="40" t="n">
        <x:v>5325294</x:v>
      </x:c>
      <x:c r="K613" s="40" t="n">
        <x:v>5500000</x:v>
      </x:c>
      <x:c r="L613" s="40" t="n">
        <x:v>100</x:v>
      </x:c>
      <x:c r="M613" s="40" t="n">
        <x:f>IF(OR(J613="",K613="",K613=0),"",J613/K613*L613)</x:f>
        <x:v>96.82352727272728</x:v>
      </x:c>
      <x:c r="N613" s="22" t="str">
        <x:f>IF(M613="","",IF(I613="Mayor es mejor",IF(M613&gt;=H613,"En meta",IF(M613&gt;=H613*0.9,"Alerta","Crítico")),IF(M613&lt;=H613,"En meta",IF(M613&lt;=H613*1.1,"Alerta","Crítico"))))</x:f>
        <x:v>En meta</x:v>
      </x:c>
      <x:c r="O613" s="22" t="str">
        <x:v>%</x:v>
      </x:c>
      <x:c r="P613" s="22" t="str">
        <x:v>Líder SG-SST / Dirección Administrativa</x:v>
      </x:c>
      <x:c r="Q613" s="22" t="str">
        <x:v>Presupuesto SST</x:v>
      </x:c>
      <x:c r="R613" s="22" t="str"/>
    </x:row>
    <x:row r="614">
      <x:c r="A614" s="46" t="n">
        <x:v>46112</x:v>
      </x:c>
      <x:c r="B614" s="22" t="n">
        <x:v>2026</x:v>
      </x:c>
      <x:c r="C614" s="22" t="str">
        <x:v>Marzo</x:v>
      </x:c>
      <x:c r="D614" s="22" t="str">
        <x:v>E02</x:v>
      </x:c>
      <x:c r="E614" s="22" t="str">
        <x:v>% cobertura del plan de formación y capacitación SG-SST</x:v>
      </x:c>
      <x:c r="F614" s="22" t="str">
        <x:v>Estructura</x:v>
      </x:c>
      <x:c r="G614" s="22" t="str">
        <x:v>Mensual</x:v>
      </x:c>
      <x:c r="H614" s="40" t="n">
        <x:v>90</x:v>
      </x:c>
      <x:c r="I614" s="22" t="str">
        <x:v>Mayor es mejor</x:v>
      </x:c>
      <x:c r="J614" s="40" t="n">
        <x:v>22</x:v>
      </x:c>
      <x:c r="K614" s="40" t="n">
        <x:v>24</x:v>
      </x:c>
      <x:c r="L614" s="40" t="n">
        <x:v>100</x:v>
      </x:c>
      <x:c r="M614" s="40" t="n">
        <x:f>IF(OR(J614="",K614="",K614=0),"",J614/K614*L614)</x:f>
        <x:v>91.66666666666666</x:v>
      </x:c>
      <x:c r="N614" s="22" t="str">
        <x:f>IF(M614="","",IF(I614="Mayor es mejor",IF(M614&gt;=H614,"En meta",IF(M614&gt;=H614*0.9,"Alerta","Crítico")),IF(M614&lt;=H614,"En meta",IF(M614&lt;=H614*1.1,"Alerta","Crítico"))))</x:f>
        <x:v>En meta</x:v>
      </x:c>
      <x:c r="O614" s="22" t="str">
        <x:v>%</x:v>
      </x:c>
      <x:c r="P614" s="22" t="str">
        <x:v>Líder SG-SST / Talento Humano</x:v>
      </x:c>
      <x:c r="Q614" s="22" t="str">
        <x:v>Plan de formación y capacitaciones</x:v>
      </x:c>
      <x:c r="R614" s="22" t="str"/>
    </x:row>
    <x:row r="615">
      <x:c r="A615" s="46" t="n">
        <x:v>46112</x:v>
      </x:c>
      <x:c r="B615" s="22" t="n">
        <x:v>2026</x:v>
      </x:c>
      <x:c r="C615" s="22" t="str">
        <x:v>Marzo</x:v>
      </x:c>
      <x:c r="D615" s="22" t="str">
        <x:v>E03</x:v>
      </x:c>
      <x:c r="E615" s="22" t="str">
        <x:v>% trabajadores con exámenes médicos ocupacionales vigentes</x:v>
      </x:c>
      <x:c r="F615" s="22" t="str">
        <x:v>Estructura</x:v>
      </x:c>
      <x:c r="G615" s="22" t="str">
        <x:v>Mensual</x:v>
      </x:c>
      <x:c r="H615" s="40" t="n">
        <x:v>95</x:v>
      </x:c>
      <x:c r="I615" s="22" t="str">
        <x:v>Mayor es mejor</x:v>
      </x:c>
      <x:c r="J615" s="40" t="n">
        <x:v>240</x:v>
      </x:c>
      <x:c r="K615" s="40" t="n">
        <x:v>251</x:v>
      </x:c>
      <x:c r="L615" s="40" t="n">
        <x:v>100</x:v>
      </x:c>
      <x:c r="M615" s="40" t="n">
        <x:f>IF(OR(J615="",K615="",K615=0),"",J615/K615*L615)</x:f>
        <x:v>95.61752988047809</x:v>
      </x:c>
      <x:c r="N615" s="22" t="str">
        <x:f>IF(M615="","",IF(I615="Mayor es mejor",IF(M615&gt;=H615,"En meta",IF(M615&gt;=H615*0.9,"Alerta","Crítico")),IF(M615&lt;=H615,"En meta",IF(M615&lt;=H615*1.1,"Alerta","Crítico"))))</x:f>
        <x:v>En meta</x:v>
      </x:c>
      <x:c r="O615" s="22" t="str">
        <x:v>%</x:v>
      </x:c>
      <x:c r="P615" s="22" t="str">
        <x:v>Líder SG-SST / Talento Humano</x:v>
      </x:c>
      <x:c r="Q615" s="22" t="str">
        <x:v>Matriz de seguimiento EMO</x:v>
      </x:c>
      <x:c r="R615" s="22" t="str"/>
    </x:row>
    <x:row r="616">
      <x:c r="A616" s="46" t="n">
        <x:v>46112</x:v>
      </x:c>
      <x:c r="B616" s="22" t="n">
        <x:v>2026</x:v>
      </x:c>
      <x:c r="C616" s="22" t="str">
        <x:v>Marzo</x:v>
      </x:c>
      <x:c r="D616" s="22" t="str">
        <x:v>E04</x:v>
      </x:c>
      <x:c r="E616" s="22" t="str">
        <x:v>% cumplimiento de requisitos legales aplicables en SST</x:v>
      </x:c>
      <x:c r="F616" s="22" t="str">
        <x:v>Estructura</x:v>
      </x:c>
      <x:c r="G616" s="22" t="str">
        <x:v>Mensual</x:v>
      </x:c>
      <x:c r="H616" s="40" t="n">
        <x:v>95</x:v>
      </x:c>
      <x:c r="I616" s="22" t="str">
        <x:v>Mayor es mejor</x:v>
      </x:c>
      <x:c r="J616" s="40" t="n">
        <x:v>58</x:v>
      </x:c>
      <x:c r="K616" s="40" t="n">
        <x:v>60</x:v>
      </x:c>
      <x:c r="L616" s="40" t="n">
        <x:v>100</x:v>
      </x:c>
      <x:c r="M616" s="40" t="n">
        <x:f>IF(OR(J616="",K616="",K616=0),"",J616/K616*L616)</x:f>
        <x:v>96.66666666666667</x:v>
      </x:c>
      <x:c r="N616" s="22" t="str">
        <x:f>IF(M616="","",IF(I616="Mayor es mejor",IF(M616&gt;=H616,"En meta",IF(M616&gt;=H616*0.9,"Alerta","Crítico")),IF(M616&lt;=H616,"En meta",IF(M616&lt;=H616*1.1,"Alerta","Crítico"))))</x:f>
        <x:v>En meta</x:v>
      </x:c>
      <x:c r="O616" s="22" t="str">
        <x:v>%</x:v>
      </x:c>
      <x:c r="P616" s="22" t="str">
        <x:v>Líder SG-SST / Jurídica</x:v>
      </x:c>
      <x:c r="Q616" s="22" t="str">
        <x:v>Matriz legal SGRL</x:v>
      </x:c>
      <x:c r="R616" s="22" t="str"/>
    </x:row>
    <x:row r="617">
      <x:c r="A617" s="46" t="n">
        <x:v>46112</x:v>
      </x:c>
      <x:c r="B617" s="22" t="n">
        <x:v>2026</x:v>
      </x:c>
      <x:c r="C617" s="22" t="str">
        <x:v>Marzo</x:v>
      </x:c>
      <x:c r="D617" s="22" t="str">
        <x:v>E05</x:v>
      </x:c>
      <x:c r="E617" s="22" t="str">
        <x:v>% proveedores y contratistas aprobados en SST</x:v>
      </x:c>
      <x:c r="F617" s="22" t="str">
        <x:v>Estructura</x:v>
      </x:c>
      <x:c r="G617" s="22" t="str">
        <x:v>Mensual</x:v>
      </x:c>
      <x:c r="H617" s="40" t="n">
        <x:v>90</x:v>
      </x:c>
      <x:c r="I617" s="22" t="str">
        <x:v>Mayor es mejor</x:v>
      </x:c>
      <x:c r="J617" s="40" t="n">
        <x:v>19</x:v>
      </x:c>
      <x:c r="K617" s="40" t="n">
        <x:v>20</x:v>
      </x:c>
      <x:c r="L617" s="40" t="n">
        <x:v>100</x:v>
      </x:c>
      <x:c r="M617" s="40" t="n">
        <x:f>IF(OR(J617="",K617="",K617=0),"",J617/K617*L617)</x:f>
        <x:v>95</x:v>
      </x:c>
      <x:c r="N617" s="22" t="str">
        <x:f>IF(M617="","",IF(I617="Mayor es mejor",IF(M617&gt;=H617,"En meta",IF(M617&gt;=H617*0.9,"Alerta","Crítico")),IF(M617&lt;=H617,"En meta",IF(M617&lt;=H617*1.1,"Alerta","Crítico"))))</x:f>
        <x:v>En meta</x:v>
      </x:c>
      <x:c r="O617" s="22" t="str">
        <x:v>%</x:v>
      </x:c>
      <x:c r="P617" s="22" t="str">
        <x:v>Compras / Líder SG-SST</x:v>
      </x:c>
      <x:c r="Q617" s="22" t="str">
        <x:v>Gestión de proveedores y contratistas</x:v>
      </x:c>
      <x:c r="R617" s="22" t="str"/>
    </x:row>
    <x:row r="618">
      <x:c r="A618" s="46" t="n">
        <x:v>46112</x:v>
      </x:c>
      <x:c r="B618" s="22" t="n">
        <x:v>2026</x:v>
      </x:c>
      <x:c r="C618" s="22" t="str">
        <x:v>Marzo</x:v>
      </x:c>
      <x:c r="D618" s="22" t="str">
        <x:v>P01</x:v>
      </x:c>
      <x:c r="E618" s="22" t="str">
        <x:v>% ejecución del plan anual de trabajo SG-SST</x:v>
      </x:c>
      <x:c r="F618" s="22" t="str">
        <x:v>Proceso</x:v>
      </x:c>
      <x:c r="G618" s="22" t="str">
        <x:v>Mensual</x:v>
      </x:c>
      <x:c r="H618" s="40" t="n">
        <x:v>90</x:v>
      </x:c>
      <x:c r="I618" s="22" t="str">
        <x:v>Mayor es mejor</x:v>
      </x:c>
      <x:c r="J618" s="40" t="n">
        <x:v>10</x:v>
      </x:c>
      <x:c r="K618" s="40" t="n">
        <x:v>10</x:v>
      </x:c>
      <x:c r="L618" s="40" t="n">
        <x:v>100</x:v>
      </x:c>
      <x:c r="M618" s="40" t="n">
        <x:f>IF(OR(J618="",K618="",K618=0),"",J618/K618*L618)</x:f>
        <x:v>100</x:v>
      </x:c>
      <x:c r="N618" s="22" t="str">
        <x:f>IF(M618="","",IF(I618="Mayor es mejor",IF(M618&gt;=H618,"En meta",IF(M618&gt;=H618*0.9,"Alerta","Crítico")),IF(M618&lt;=H618,"En meta",IF(M618&lt;=H618*1.1,"Alerta","Crítico"))))</x:f>
        <x:v>En meta</x:v>
      </x:c>
      <x:c r="O618" s="22" t="str">
        <x:v>%</x:v>
      </x:c>
      <x:c r="P618" s="22" t="str">
        <x:v>Líder SG-SST</x:v>
      </x:c>
      <x:c r="Q618" s="22" t="str">
        <x:v>Plan anual de trabajo PHVA</x:v>
      </x:c>
      <x:c r="R618" s="22" t="str"/>
    </x:row>
    <x:row r="619">
      <x:c r="A619" s="46" t="n">
        <x:v>46112</x:v>
      </x:c>
      <x:c r="B619" s="22" t="n">
        <x:v>2026</x:v>
      </x:c>
      <x:c r="C619" s="22" t="str">
        <x:v>Marzo</x:v>
      </x:c>
      <x:c r="D619" s="22" t="str">
        <x:v>P02</x:v>
      </x:c>
      <x:c r="E619" s="22" t="str">
        <x:v>% investigaciones de accidentes realizadas oportunamente</x:v>
      </x:c>
      <x:c r="F619" s="22" t="str">
        <x:v>Proceso</x:v>
      </x:c>
      <x:c r="G619" s="22" t="str">
        <x:v>Mensual</x:v>
      </x:c>
      <x:c r="H619" s="40" t="n">
        <x:v>95</x:v>
      </x:c>
      <x:c r="I619" s="22" t="str">
        <x:v>Mayor es mejor</x:v>
      </x:c>
      <x:c r="J619" s="40" t="n">
        <x:v>1</x:v>
      </x:c>
      <x:c r="K619" s="40" t="n">
        <x:v>1</x:v>
      </x:c>
      <x:c r="L619" s="40" t="n">
        <x:v>100</x:v>
      </x:c>
      <x:c r="M619" s="40" t="n">
        <x:f>IF(OR(J619="",K619="",K619=0),"",J619/K619*L619)</x:f>
        <x:v>100</x:v>
      </x:c>
      <x:c r="N619" s="22" t="str">
        <x:f>IF(M619="","",IF(I619="Mayor es mejor",IF(M619&gt;=H619,"En meta",IF(M619&gt;=H619*0.9,"Alerta","Crítico")),IF(M619&lt;=H619,"En meta",IF(M619&lt;=H619*1.1,"Alerta","Crítico"))))</x:f>
        <x:v>En meta</x:v>
      </x:c>
      <x:c r="O619" s="22" t="str">
        <x:v>%</x:v>
      </x:c>
      <x:c r="P619" s="22" t="str">
        <x:v>Líder SG-SST / COPASST</x:v>
      </x:c>
      <x:c r="Q619" s="22" t="str">
        <x:v>Matriz de accidentalidad</x:v>
      </x:c>
      <x:c r="R619" s="22" t="str"/>
    </x:row>
    <x:row r="620">
      <x:c r="A620" s="46" t="n">
        <x:v>46112</x:v>
      </x:c>
      <x:c r="B620" s="22" t="n">
        <x:v>2026</x:v>
      </x:c>
      <x:c r="C620" s="22" t="str">
        <x:v>Marzo</x:v>
      </x:c>
      <x:c r="D620" s="22" t="str">
        <x:v>P03</x:v>
      </x:c>
      <x:c r="E620" s="22" t="str">
        <x:v>% cierre oportuno de acciones correctivas, preventivas y de mejora</x:v>
      </x:c>
      <x:c r="F620" s="22" t="str">
        <x:v>Proceso</x:v>
      </x:c>
      <x:c r="G620" s="22" t="str">
        <x:v>Mensual</x:v>
      </x:c>
      <x:c r="H620" s="40" t="n">
        <x:v>90</x:v>
      </x:c>
      <x:c r="I620" s="22" t="str">
        <x:v>Mayor es mejor</x:v>
      </x:c>
      <x:c r="J620" s="40" t="n">
        <x:v>12</x:v>
      </x:c>
      <x:c r="K620" s="40" t="n">
        <x:v>13</x:v>
      </x:c>
      <x:c r="L620" s="40" t="n">
        <x:v>100</x:v>
      </x:c>
      <x:c r="M620" s="40" t="n">
        <x:f>IF(OR(J620="",K620="",K620=0),"",J620/K620*L620)</x:f>
        <x:v>92.3076923076923</x:v>
      </x:c>
      <x:c r="N620" s="22" t="str">
        <x:f>IF(M620="","",IF(I620="Mayor es mejor",IF(M620&gt;=H620,"En meta",IF(M620&gt;=H620*0.9,"Alerta","Crítico")),IF(M620&lt;=H620,"En meta",IF(M620&lt;=H620*1.1,"Alerta","Crítico"))))</x:f>
        <x:v>En meta</x:v>
      </x:c>
      <x:c r="O620" s="22" t="str">
        <x:v>%</x:v>
      </x:c>
      <x:c r="P620" s="22" t="str">
        <x:v>Líder SG-SST / Responsables de proceso</x:v>
      </x:c>
      <x:c r="Q620" s="22" t="str">
        <x:v>Matriz APCM</x:v>
      </x:c>
      <x:c r="R620" s="22" t="str"/>
    </x:row>
    <x:row r="621">
      <x:c r="A621" s="46" t="n">
        <x:v>46112</x:v>
      </x:c>
      <x:c r="B621" s="22" t="n">
        <x:v>2026</x:v>
      </x:c>
      <x:c r="C621" s="22" t="str">
        <x:v>Marzo</x:v>
      </x:c>
      <x:c r="D621" s="22" t="str">
        <x:v>P04</x:v>
      </x:c>
      <x:c r="E621" s="22" t="str">
        <x:v>% inspecciones de seguridad ejecutadas</x:v>
      </x:c>
      <x:c r="F621" s="22" t="str">
        <x:v>Proceso</x:v>
      </x:c>
      <x:c r="G621" s="22" t="str">
        <x:v>Mensual</x:v>
      </x:c>
      <x:c r="H621" s="40" t="n">
        <x:v>90</x:v>
      </x:c>
      <x:c r="I621" s="22" t="str">
        <x:v>Mayor es mejor</x:v>
      </x:c>
      <x:c r="J621" s="40" t="n">
        <x:v>10</x:v>
      </x:c>
      <x:c r="K621" s="40" t="n">
        <x:v>11</x:v>
      </x:c>
      <x:c r="L621" s="40" t="n">
        <x:v>100</x:v>
      </x:c>
      <x:c r="M621" s="40" t="n">
        <x:f>IF(OR(J621="",K621="",K621=0),"",J621/K621*L621)</x:f>
        <x:v>90.9090909090909</x:v>
      </x:c>
      <x:c r="N621" s="22" t="str">
        <x:f>IF(M621="","",IF(I621="Mayor es mejor",IF(M621&gt;=H621,"En meta",IF(M621&gt;=H621*0.9,"Alerta","Crítico")),IF(M621&lt;=H621,"En meta",IF(M621&lt;=H621*1.1,"Alerta","Crítico"))))</x:f>
        <x:v>En meta</x:v>
      </x:c>
      <x:c r="O621" s="22" t="str">
        <x:v>%</x:v>
      </x:c>
      <x:c r="P621" s="22" t="str">
        <x:v>Líder SG-SST / Supervisores</x:v>
      </x:c>
      <x:c r="Q621" s="22" t="str">
        <x:v>Programa de inspecciones</x:v>
      </x:c>
      <x:c r="R621" s="22" t="str"/>
    </x:row>
    <x:row r="622">
      <x:c r="A622" s="46" t="n">
        <x:v>46112</x:v>
      </x:c>
      <x:c r="B622" s="22" t="n">
        <x:v>2026</x:v>
      </x:c>
      <x:c r="C622" s="22" t="str">
        <x:v>Marzo</x:v>
      </x:c>
      <x:c r="D622" s="22" t="str">
        <x:v>P05</x:v>
      </x:c>
      <x:c r="E622" s="22" t="str">
        <x:v>% mantenimientos preventivos ejecutados</x:v>
      </x:c>
      <x:c r="F622" s="22" t="str">
        <x:v>Proceso</x:v>
      </x:c>
      <x:c r="G622" s="22" t="str">
        <x:v>Mensual</x:v>
      </x:c>
      <x:c r="H622" s="40" t="n">
        <x:v>90</x:v>
      </x:c>
      <x:c r="I622" s="22" t="str">
        <x:v>Mayor es mejor</x:v>
      </x:c>
      <x:c r="J622" s="40" t="n">
        <x:v>14</x:v>
      </x:c>
      <x:c r="K622" s="40" t="n">
        <x:v>15</x:v>
      </x:c>
      <x:c r="L622" s="40" t="n">
        <x:v>100</x:v>
      </x:c>
      <x:c r="M622" s="40" t="n">
        <x:f>IF(OR(J622="",K622="",K622=0),"",J622/K622*L622)</x:f>
        <x:v>93.33333333333333</x:v>
      </x:c>
      <x:c r="N622" s="22" t="str">
        <x:f>IF(M622="","",IF(I622="Mayor es mejor",IF(M622&gt;=H622,"En meta",IF(M622&gt;=H622*0.9,"Alerta","Crítico")),IF(M622&lt;=H622,"En meta",IF(M622&lt;=H622*1.1,"Alerta","Crítico"))))</x:f>
        <x:v>En meta</x:v>
      </x:c>
      <x:c r="O622" s="22" t="str">
        <x:v>%</x:v>
      </x:c>
      <x:c r="P622" s="22" t="str">
        <x:v>Mantenimiento / Líder SG-SST</x:v>
      </x:c>
      <x:c r="Q622" s="22" t="str">
        <x:v>Programa de mantenimiento preventivo</x:v>
      </x:c>
      <x:c r="R622" s="22" t="str"/>
    </x:row>
    <x:row r="623">
      <x:c r="A623" s="46" t="n">
        <x:v>46112</x:v>
      </x:c>
      <x:c r="B623" s="22" t="n">
        <x:v>2026</x:v>
      </x:c>
      <x:c r="C623" s="22" t="str">
        <x:v>Marzo</x:v>
      </x:c>
      <x:c r="D623" s="22" t="str">
        <x:v>R01</x:v>
      </x:c>
      <x:c r="E623" s="22" t="str">
        <x:v>Índice de frecuencia de accidentalidad (IF)</x:v>
      </x:c>
      <x:c r="F623" s="22" t="str">
        <x:v>Resultado</x:v>
      </x:c>
      <x:c r="G623" s="22" t="str">
        <x:v>Mensual</x:v>
      </x:c>
      <x:c r="H623" s="40" t="n">
        <x:v>3.5</x:v>
      </x:c>
      <x:c r="I623" s="22" t="str">
        <x:v>Menor es mejor</x:v>
      </x:c>
      <x:c r="J623" s="40" t="n">
        <x:v>1</x:v>
      </x:c>
      <x:c r="K623" s="40" t="n">
        <x:v>59124</x:v>
      </x:c>
      <x:c r="L623" s="40" t="n">
        <x:v>200000</x:v>
      </x:c>
      <x:c r="M623" s="40" t="n">
        <x:f>IF(OR(J623="",K623="",K623=0),"",J623/K623*L623)</x:f>
        <x:v>3.382721060821325</x:v>
      </x:c>
      <x:c r="N623" s="22" t="str">
        <x:f>IF(M623="","",IF(I623="Mayor es mejor",IF(M623&gt;=H623,"En meta",IF(M623&gt;=H623*0.9,"Alerta","Crítico")),IF(M623&lt;=H623,"En meta",IF(M623&lt;=H623*1.1,"Alerta","Crítico"))))</x:f>
        <x:v>En meta</x:v>
      </x:c>
      <x:c r="O623" s="22" t="str">
        <x:v>Índice</x:v>
      </x:c>
      <x:c r="P623" s="22" t="str">
        <x:v>Líder SG-SST</x:v>
      </x:c>
      <x:c r="Q623" s="22" t="str">
        <x:v>Matriz de accidentalidad / nómina</x:v>
      </x:c>
      <x:c r="R623" s="22" t="str"/>
    </x:row>
    <x:row r="624">
      <x:c r="A624" s="46" t="n">
        <x:v>46112</x:v>
      </x:c>
      <x:c r="B624" s="22" t="n">
        <x:v>2026</x:v>
      </x:c>
      <x:c r="C624" s="22" t="str">
        <x:v>Marzo</x:v>
      </x:c>
      <x:c r="D624" s="22" t="str">
        <x:v>R02</x:v>
      </x:c>
      <x:c r="E624" s="22" t="str">
        <x:v>Índice de severidad de accidentalidad (IS)</x:v>
      </x:c>
      <x:c r="F624" s="22" t="str">
        <x:v>Resultado</x:v>
      </x:c>
      <x:c r="G624" s="22" t="str">
        <x:v>Mensual</x:v>
      </x:c>
      <x:c r="H624" s="40" t="n">
        <x:v>80</x:v>
      </x:c>
      <x:c r="I624" s="22" t="str">
        <x:v>Menor es mejor</x:v>
      </x:c>
      <x:c r="J624" s="40" t="n">
        <x:v>11</x:v>
      </x:c>
      <x:c r="K624" s="40" t="n">
        <x:v>59124</x:v>
      </x:c>
      <x:c r="L624" s="40" t="n">
        <x:v>200000</x:v>
      </x:c>
      <x:c r="M624" s="40" t="n">
        <x:f>IF(OR(J624="",K624="",K624=0),"",J624/K624*L624)</x:f>
        <x:v>37.20993166903457</x:v>
      </x:c>
      <x:c r="N624" s="22" t="str">
        <x:f>IF(M624="","",IF(I624="Mayor es mejor",IF(M624&gt;=H624,"En meta",IF(M624&gt;=H624*0.9,"Alerta","Crítico")),IF(M624&lt;=H624,"En meta",IF(M624&lt;=H624*1.1,"Alerta","Crítico"))))</x:f>
        <x:v>En meta</x:v>
      </x:c>
      <x:c r="O624" s="22" t="str">
        <x:v>Índice</x:v>
      </x:c>
      <x:c r="P624" s="22" t="str">
        <x:v>Líder SG-SST</x:v>
      </x:c>
      <x:c r="Q624" s="22" t="str">
        <x:v>Matriz de accidentalidad / nómina</x:v>
      </x:c>
      <x:c r="R624" s="22" t="str"/>
    </x:row>
    <x:row r="625">
      <x:c r="A625" s="46" t="n">
        <x:v>46112</x:v>
      </x:c>
      <x:c r="B625" s="22" t="n">
        <x:v>2026</x:v>
      </x:c>
      <x:c r="C625" s="22" t="str">
        <x:v>Marzo</x:v>
      </x:c>
      <x:c r="D625" s="22" t="str">
        <x:v>R03</x:v>
      </x:c>
      <x:c r="E625" s="22" t="str">
        <x:v>Índice de lesión incapacitante (ILI)</x:v>
      </x:c>
      <x:c r="F625" s="22" t="str">
        <x:v>Resultado</x:v>
      </x:c>
      <x:c r="G625" s="22" t="str">
        <x:v>Mensual</x:v>
      </x:c>
      <x:c r="H625" s="40" t="n">
        <x:v>0.25</x:v>
      </x:c>
      <x:c r="I625" s="22" t="str">
        <x:v>Menor es mejor</x:v>
      </x:c>
      <x:c r="J625" s="40" t="n">
        <x:v>125.8708</x:v>
      </x:c>
      <x:c r="K625" s="40" t="n">
        <x:v>1000</x:v>
      </x:c>
      <x:c r="L625" s="40" t="n">
        <x:v>1</x:v>
      </x:c>
      <x:c r="M625" s="40" t="n">
        <x:f>IF(OR(J625="",K625="",K625=0),"",J625/K625*L625)</x:f>
        <x:v>0.1258708</x:v>
      </x:c>
      <x:c r="N625" s="22" t="str">
        <x:f>IF(M625="","",IF(I625="Mayor es mejor",IF(M625&gt;=H625,"En meta",IF(M625&gt;=H625*0.9,"Alerta","Crítico")),IF(M625&lt;=H625,"En meta",IF(M625&lt;=H625*1.1,"Alerta","Crítico"))))</x:f>
        <x:v>En meta</x:v>
      </x:c>
      <x:c r="O625" s="22" t="str">
        <x:v>Índice</x:v>
      </x:c>
      <x:c r="P625" s="22" t="str">
        <x:v>Líder SG-SST</x:v>
      </x:c>
      <x:c r="Q625" s="22" t="str">
        <x:v>Indicadores derivados de accidentalidad</x:v>
      </x:c>
      <x:c r="R625" s="22" t="str">
        <x:v>ILI calculado sobre IF e IS del periodo.</x:v>
      </x:c>
    </x:row>
    <x:row r="626">
      <x:c r="A626" s="46" t="n">
        <x:v>46112</x:v>
      </x:c>
      <x:c r="B626" s="22" t="n">
        <x:v>2026</x:v>
      </x:c>
      <x:c r="C626" s="22" t="str">
        <x:v>Marzo</x:v>
      </x:c>
      <x:c r="D626" s="22" t="str">
        <x:v>R04</x:v>
      </x:c>
      <x:c r="E626" s="22" t="str">
        <x:v>Tasa de accidentalidad</x:v>
      </x:c>
      <x:c r="F626" s="22" t="str">
        <x:v>Resultado</x:v>
      </x:c>
      <x:c r="G626" s="22" t="str">
        <x:v>Mensual</x:v>
      </x:c>
      <x:c r="H626" s="40" t="n">
        <x:v>0.6</x:v>
      </x:c>
      <x:c r="I626" s="22" t="str">
        <x:v>Menor es mejor</x:v>
      </x:c>
      <x:c r="J626" s="40" t="n">
        <x:v>4.65</x:v>
      </x:c>
      <x:c r="K626" s="40" t="n">
        <x:v>251</x:v>
      </x:c>
      <x:c r="L626" s="40" t="n">
        <x:v>100</x:v>
      </x:c>
      <x:c r="M626" s="40" t="n">
        <x:f>IF(OR(J626="",K626="",K626=0),"",J626/K626*L626)</x:f>
        <x:v>1.852589641434263</x:v>
      </x:c>
      <x:c r="N626" s="22" t="str">
        <x:f>IF(M626="","",IF(I626="Mayor es mejor",IF(M626&gt;=H626,"En meta",IF(M626&gt;=H626*0.9,"Alerta","Crítico")),IF(M626&lt;=H626,"En meta",IF(M626&lt;=H626*1.1,"Alerta","Crítico"))))</x:f>
        <x:v>Crítico</x:v>
      </x:c>
      <x:c r="O626" s="22" t="str">
        <x:v>%</x:v>
      </x:c>
      <x:c r="P626" s="22" t="str">
        <x:v>Líder SG-SST</x:v>
      </x:c>
      <x:c r="Q626" s="22" t="str">
        <x:v>Matriz de accidentalidad / nómina</x:v>
      </x:c>
      <x:c r="R626" s="22" t="str"/>
    </x:row>
    <x:row r="627">
      <x:c r="A627" s="46" t="n">
        <x:v>46112</x:v>
      </x:c>
      <x:c r="B627" s="22" t="n">
        <x:v>2026</x:v>
      </x:c>
      <x:c r="C627" s="22" t="str">
        <x:v>Marzo</x:v>
      </x:c>
      <x:c r="D627" s="22" t="str">
        <x:v>R05</x:v>
      </x:c>
      <x:c r="E627" s="22" t="str">
        <x:v>Prevalencia de enfermedad laboral</x:v>
      </x:c>
      <x:c r="F627" s="22" t="str">
        <x:v>Resultado</x:v>
      </x:c>
      <x:c r="G627" s="22" t="str">
        <x:v>Mensual</x:v>
      </x:c>
      <x:c r="H627" s="40" t="n">
        <x:v>0.3</x:v>
      </x:c>
      <x:c r="I627" s="22" t="str">
        <x:v>Menor es mejor</x:v>
      </x:c>
      <x:c r="J627" s="40" t="n">
        <x:v>0.03</x:v>
      </x:c>
      <x:c r="K627" s="40" t="n">
        <x:v>251</x:v>
      </x:c>
      <x:c r="L627" s="40" t="n">
        <x:v>100</x:v>
      </x:c>
      <x:c r="M627" s="40" t="n">
        <x:f>IF(OR(J627="",K627="",K627=0),"",J627/K627*L627)</x:f>
        <x:v>0.01195219123505976</x:v>
      </x:c>
      <x:c r="N627" s="22" t="str">
        <x:f>IF(M627="","",IF(I627="Mayor es mejor",IF(M627&gt;=H627,"En meta",IF(M627&gt;=H627*0.9,"Alerta","Crítico")),IF(M627&lt;=H627,"En meta",IF(M627&lt;=H627*1.1,"Alerta","Crítico"))))</x:f>
        <x:v>En meta</x:v>
      </x:c>
      <x:c r="O627" s="22" t="str">
        <x:v>%</x:v>
      </x:c>
      <x:c r="P627" s="22" t="str">
        <x:v>Líder SG-SST / Medicina laboral</x:v>
      </x:c>
      <x:c r="Q627" s="22" t="str">
        <x:v>Matriz de enfermedad laboral / nómina</x:v>
      </x:c>
      <x:c r="R627" s="22" t="str"/>
    </x:row>
    <x:row r="628">
      <x:c r="A628" s="46" t="n">
        <x:v>46112</x:v>
      </x:c>
      <x:c r="B628" s="22" t="n">
        <x:v>2026</x:v>
      </x:c>
      <x:c r="C628" s="22" t="str">
        <x:v>Marzo</x:v>
      </x:c>
      <x:c r="D628" s="22" t="str">
        <x:v>R06</x:v>
      </x:c>
      <x:c r="E628" s="22" t="str">
        <x:v>% cumplimiento de estándares mínimos Res. 0312 de 2019</x:v>
      </x:c>
      <x:c r="F628" s="22" t="str">
        <x:v>Resultado</x:v>
      </x:c>
      <x:c r="G628" s="22" t="str">
        <x:v>Mensual</x:v>
      </x:c>
      <x:c r="H628" s="40" t="n">
        <x:v>95</x:v>
      </x:c>
      <x:c r="I628" s="22" t="str">
        <x:v>Mayor es mejor</x:v>
      </x:c>
      <x:c r="J628" s="40" t="n">
        <x:v>99</x:v>
      </x:c>
      <x:c r="K628" s="40" t="n">
        <x:v>100</x:v>
      </x:c>
      <x:c r="L628" s="40" t="n">
        <x:v>100</x:v>
      </x:c>
      <x:c r="M628" s="40" t="n">
        <x:f>IF(OR(J628="",K628="",K628=0),"",J628/K628*L628)</x:f>
        <x:v>99</x:v>
      </x:c>
      <x:c r="N628" s="22" t="str">
        <x:f>IF(M628="","",IF(I628="Mayor es mejor",IF(M628&gt;=H628,"En meta",IF(M628&gt;=H628*0.9,"Alerta","Crítico")),IF(M628&lt;=H628,"En meta",IF(M628&lt;=H628*1.1,"Alerta","Crítico"))))</x:f>
        <x:v>En meta</x:v>
      </x:c>
      <x:c r="O628" s="22" t="str">
        <x:v>%</x:v>
      </x:c>
      <x:c r="P628" s="22" t="str">
        <x:v>Líder SG-SST / Alta Dirección</x:v>
      </x:c>
      <x:c r="Q628" s="22" t="str">
        <x:v>Autodiagnóstico Res. 0312 de 2019</x:v>
      </x:c>
      <x:c r="R628" s="22" t="str"/>
    </x:row>
    <x:row r="629">
      <x:c r="A629" s="46" t="n">
        <x:v>46142</x:v>
      </x:c>
      <x:c r="B629" s="22" t="n">
        <x:v>2026</x:v>
      </x:c>
      <x:c r="C629" s="22" t="str">
        <x:v>Abril</x:v>
      </x:c>
      <x:c r="D629" s="22" t="str">
        <x:v>E01</x:v>
      </x:c>
      <x:c r="E629" s="22" t="str">
        <x:v>% ejecución presupuestal del SG-SST</x:v>
      </x:c>
      <x:c r="F629" s="22" t="str">
        <x:v>Estructura</x:v>
      </x:c>
      <x:c r="G629" s="22" t="str">
        <x:v>Mensual</x:v>
      </x:c>
      <x:c r="H629" s="40" t="n">
        <x:v>95</x:v>
      </x:c>
      <x:c r="I629" s="22" t="str">
        <x:v>Mayor es mejor</x:v>
      </x:c>
      <x:c r="J629" s="40" t="n">
        <x:v>5758681</x:v>
      </x:c>
      <x:c r="K629" s="40" t="n">
        <x:v>6000000</x:v>
      </x:c>
      <x:c r="L629" s="40" t="n">
        <x:v>100</x:v>
      </x:c>
      <x:c r="M629" s="40" t="n">
        <x:f>IF(OR(J629="",K629="",K629=0),"",J629/K629*L629)</x:f>
        <x:v>95.97801666666666</x:v>
      </x:c>
      <x:c r="N629" s="22" t="str">
        <x:f>IF(M629="","",IF(I629="Mayor es mejor",IF(M629&gt;=H629,"En meta",IF(M629&gt;=H629*0.9,"Alerta","Crítico")),IF(M629&lt;=H629,"En meta",IF(M629&lt;=H629*1.1,"Alerta","Crítico"))))</x:f>
        <x:v>En meta</x:v>
      </x:c>
      <x:c r="O629" s="22" t="str">
        <x:v>%</x:v>
      </x:c>
      <x:c r="P629" s="22" t="str">
        <x:v>Líder SG-SST / Dirección Administrativa</x:v>
      </x:c>
      <x:c r="Q629" s="22" t="str">
        <x:v>Presupuesto SST</x:v>
      </x:c>
      <x:c r="R629" s="22" t="str"/>
    </x:row>
    <x:row r="630">
      <x:c r="A630" s="46" t="n">
        <x:v>46142</x:v>
      </x:c>
      <x:c r="B630" s="22" t="n">
        <x:v>2026</x:v>
      </x:c>
      <x:c r="C630" s="22" t="str">
        <x:v>Abril</x:v>
      </x:c>
      <x:c r="D630" s="22" t="str">
        <x:v>E02</x:v>
      </x:c>
      <x:c r="E630" s="22" t="str">
        <x:v>% cobertura del plan de formación y capacitación SG-SST</x:v>
      </x:c>
      <x:c r="F630" s="22" t="str">
        <x:v>Estructura</x:v>
      </x:c>
      <x:c r="G630" s="22" t="str">
        <x:v>Mensual</x:v>
      </x:c>
      <x:c r="H630" s="40" t="n">
        <x:v>90</x:v>
      </x:c>
      <x:c r="I630" s="22" t="str">
        <x:v>Mayor es mejor</x:v>
      </x:c>
      <x:c r="J630" s="40" t="n">
        <x:v>17</x:v>
      </x:c>
      <x:c r="K630" s="40" t="n">
        <x:v>18</x:v>
      </x:c>
      <x:c r="L630" s="40" t="n">
        <x:v>100</x:v>
      </x:c>
      <x:c r="M630" s="40" t="n">
        <x:f>IF(OR(J630="",K630="",K630=0),"",J630/K630*L630)</x:f>
        <x:v>94.44444444444444</x:v>
      </x:c>
      <x:c r="N630" s="22" t="str">
        <x:f>IF(M630="","",IF(I630="Mayor es mejor",IF(M630&gt;=H630,"En meta",IF(M630&gt;=H630*0.9,"Alerta","Crítico")),IF(M630&lt;=H630,"En meta",IF(M630&lt;=H630*1.1,"Alerta","Crítico"))))</x:f>
        <x:v>En meta</x:v>
      </x:c>
      <x:c r="O630" s="22" t="str">
        <x:v>%</x:v>
      </x:c>
      <x:c r="P630" s="22" t="str">
        <x:v>Líder SG-SST / Talento Humano</x:v>
      </x:c>
      <x:c r="Q630" s="22" t="str">
        <x:v>Plan de formación y capacitaciones</x:v>
      </x:c>
      <x:c r="R630" s="22" t="str"/>
    </x:row>
    <x:row r="631">
      <x:c r="A631" s="46" t="n">
        <x:v>46142</x:v>
      </x:c>
      <x:c r="B631" s="22" t="n">
        <x:v>2026</x:v>
      </x:c>
      <x:c r="C631" s="22" t="str">
        <x:v>Abril</x:v>
      </x:c>
      <x:c r="D631" s="22" t="str">
        <x:v>E03</x:v>
      </x:c>
      <x:c r="E631" s="22" t="str">
        <x:v>% trabajadores con exámenes médicos ocupacionales vigentes</x:v>
      </x:c>
      <x:c r="F631" s="22" t="str">
        <x:v>Estructura</x:v>
      </x:c>
      <x:c r="G631" s="22" t="str">
        <x:v>Mensual</x:v>
      </x:c>
      <x:c r="H631" s="40" t="n">
        <x:v>95</x:v>
      </x:c>
      <x:c r="I631" s="22" t="str">
        <x:v>Mayor es mejor</x:v>
      </x:c>
      <x:c r="J631" s="40" t="n">
        <x:v>256</x:v>
      </x:c>
      <x:c r="K631" s="40" t="n">
        <x:v>260</x:v>
      </x:c>
      <x:c r="L631" s="40" t="n">
        <x:v>100</x:v>
      </x:c>
      <x:c r="M631" s="40" t="n">
        <x:f>IF(OR(J631="",K631="",K631=0),"",J631/K631*L631)</x:f>
        <x:v>98.46153846153847</x:v>
      </x:c>
      <x:c r="N631" s="22" t="str">
        <x:f>IF(M631="","",IF(I631="Mayor es mejor",IF(M631&gt;=H631,"En meta",IF(M631&gt;=H631*0.9,"Alerta","Crítico")),IF(M631&lt;=H631,"En meta",IF(M631&lt;=H631*1.1,"Alerta","Crítico"))))</x:f>
        <x:v>En meta</x:v>
      </x:c>
      <x:c r="O631" s="22" t="str">
        <x:v>%</x:v>
      </x:c>
      <x:c r="P631" s="22" t="str">
        <x:v>Líder SG-SST / Talento Humano</x:v>
      </x:c>
      <x:c r="Q631" s="22" t="str">
        <x:v>Matriz de seguimiento EMO</x:v>
      </x:c>
      <x:c r="R631" s="22" t="str"/>
    </x:row>
    <x:row r="632">
      <x:c r="A632" s="46" t="n">
        <x:v>46142</x:v>
      </x:c>
      <x:c r="B632" s="22" t="n">
        <x:v>2026</x:v>
      </x:c>
      <x:c r="C632" s="22" t="str">
        <x:v>Abril</x:v>
      </x:c>
      <x:c r="D632" s="22" t="str">
        <x:v>E04</x:v>
      </x:c>
      <x:c r="E632" s="22" t="str">
        <x:v>% cumplimiento de requisitos legales aplicables en SST</x:v>
      </x:c>
      <x:c r="F632" s="22" t="str">
        <x:v>Estructura</x:v>
      </x:c>
      <x:c r="G632" s="22" t="str">
        <x:v>Mensual</x:v>
      </x:c>
      <x:c r="H632" s="40" t="n">
        <x:v>95</x:v>
      </x:c>
      <x:c r="I632" s="22" t="str">
        <x:v>Mayor es mejor</x:v>
      </x:c>
      <x:c r="J632" s="40" t="n">
        <x:v>60</x:v>
      </x:c>
      <x:c r="K632" s="40" t="n">
        <x:v>60</x:v>
      </x:c>
      <x:c r="L632" s="40" t="n">
        <x:v>100</x:v>
      </x:c>
      <x:c r="M632" s="40" t="n">
        <x:f>IF(OR(J632="",K632="",K632=0),"",J632/K632*L632)</x:f>
        <x:v>100</x:v>
      </x:c>
      <x:c r="N632" s="22" t="str">
        <x:f>IF(M632="","",IF(I632="Mayor es mejor",IF(M632&gt;=H632,"En meta",IF(M632&gt;=H632*0.9,"Alerta","Crítico")),IF(M632&lt;=H632,"En meta",IF(M632&lt;=H632*1.1,"Alerta","Crítico"))))</x:f>
        <x:v>En meta</x:v>
      </x:c>
      <x:c r="O632" s="22" t="str">
        <x:v>%</x:v>
      </x:c>
      <x:c r="P632" s="22" t="str">
        <x:v>Líder SG-SST / Jurídica</x:v>
      </x:c>
      <x:c r="Q632" s="22" t="str">
        <x:v>Matriz legal SGRL</x:v>
      </x:c>
      <x:c r="R632" s="22" t="str"/>
    </x:row>
    <x:row r="633">
      <x:c r="A633" s="46" t="n">
        <x:v>46142</x:v>
      </x:c>
      <x:c r="B633" s="22" t="n">
        <x:v>2026</x:v>
      </x:c>
      <x:c r="C633" s="22" t="str">
        <x:v>Abril</x:v>
      </x:c>
      <x:c r="D633" s="22" t="str">
        <x:v>E05</x:v>
      </x:c>
      <x:c r="E633" s="22" t="str">
        <x:v>% proveedores y contratistas aprobados en SST</x:v>
      </x:c>
      <x:c r="F633" s="22" t="str">
        <x:v>Estructura</x:v>
      </x:c>
      <x:c r="G633" s="22" t="str">
        <x:v>Mensual</x:v>
      </x:c>
      <x:c r="H633" s="40" t="n">
        <x:v>90</x:v>
      </x:c>
      <x:c r="I633" s="22" t="str">
        <x:v>Mayor es mejor</x:v>
      </x:c>
      <x:c r="J633" s="40" t="n">
        <x:v>19</x:v>
      </x:c>
      <x:c r="K633" s="40" t="n">
        <x:v>20</x:v>
      </x:c>
      <x:c r="L633" s="40" t="n">
        <x:v>100</x:v>
      </x:c>
      <x:c r="M633" s="40" t="n">
        <x:f>IF(OR(J633="",K633="",K633=0),"",J633/K633*L633)</x:f>
        <x:v>95</x:v>
      </x:c>
      <x:c r="N633" s="22" t="str">
        <x:f>IF(M633="","",IF(I633="Mayor es mejor",IF(M633&gt;=H633,"En meta",IF(M633&gt;=H633*0.9,"Alerta","Crítico")),IF(M633&lt;=H633,"En meta",IF(M633&lt;=H633*1.1,"Alerta","Crítico"))))</x:f>
        <x:v>En meta</x:v>
      </x:c>
      <x:c r="O633" s="22" t="str">
        <x:v>%</x:v>
      </x:c>
      <x:c r="P633" s="22" t="str">
        <x:v>Compras / Líder SG-SST</x:v>
      </x:c>
      <x:c r="Q633" s="22" t="str">
        <x:v>Gestión de proveedores y contratistas</x:v>
      </x:c>
      <x:c r="R633" s="22" t="str"/>
    </x:row>
    <x:row r="634">
      <x:c r="A634" s="46" t="n">
        <x:v>46142</x:v>
      </x:c>
      <x:c r="B634" s="22" t="n">
        <x:v>2026</x:v>
      </x:c>
      <x:c r="C634" s="22" t="str">
        <x:v>Abril</x:v>
      </x:c>
      <x:c r="D634" s="22" t="str">
        <x:v>P01</x:v>
      </x:c>
      <x:c r="E634" s="22" t="str">
        <x:v>% ejecución del plan anual de trabajo SG-SST</x:v>
      </x:c>
      <x:c r="F634" s="22" t="str">
        <x:v>Proceso</x:v>
      </x:c>
      <x:c r="G634" s="22" t="str">
        <x:v>Mensual</x:v>
      </x:c>
      <x:c r="H634" s="40" t="n">
        <x:v>90</x:v>
      </x:c>
      <x:c r="I634" s="22" t="str">
        <x:v>Mayor es mejor</x:v>
      </x:c>
      <x:c r="J634" s="40" t="n">
        <x:v>11</x:v>
      </x:c>
      <x:c r="K634" s="40" t="n">
        <x:v>12</x:v>
      </x:c>
      <x:c r="L634" s="40" t="n">
        <x:v>100</x:v>
      </x:c>
      <x:c r="M634" s="40" t="n">
        <x:f>IF(OR(J634="",K634="",K634=0),"",J634/K634*L634)</x:f>
        <x:v>91.66666666666666</x:v>
      </x:c>
      <x:c r="N634" s="22" t="str">
        <x:f>IF(M634="","",IF(I634="Mayor es mejor",IF(M634&gt;=H634,"En meta",IF(M634&gt;=H634*0.9,"Alerta","Crítico")),IF(M634&lt;=H634,"En meta",IF(M634&lt;=H634*1.1,"Alerta","Crítico"))))</x:f>
        <x:v>En meta</x:v>
      </x:c>
      <x:c r="O634" s="22" t="str">
        <x:v>%</x:v>
      </x:c>
      <x:c r="P634" s="22" t="str">
        <x:v>Líder SG-SST</x:v>
      </x:c>
      <x:c r="Q634" s="22" t="str">
        <x:v>Plan anual de trabajo PHVA</x:v>
      </x:c>
      <x:c r="R634" s="22" t="str"/>
    </x:row>
    <x:row r="635">
      <x:c r="A635" s="46" t="n">
        <x:v>46142</x:v>
      </x:c>
      <x:c r="B635" s="22" t="n">
        <x:v>2026</x:v>
      </x:c>
      <x:c r="C635" s="22" t="str">
        <x:v>Abril</x:v>
      </x:c>
      <x:c r="D635" s="22" t="str">
        <x:v>P02</x:v>
      </x:c>
      <x:c r="E635" s="22" t="str">
        <x:v>% investigaciones de accidentes realizadas oportunamente</x:v>
      </x:c>
      <x:c r="F635" s="22" t="str">
        <x:v>Proceso</x:v>
      </x:c>
      <x:c r="G635" s="22" t="str">
        <x:v>Mensual</x:v>
      </x:c>
      <x:c r="H635" s="40" t="n">
        <x:v>95</x:v>
      </x:c>
      <x:c r="I635" s="22" t="str">
        <x:v>Mayor es mejor</x:v>
      </x:c>
      <x:c r="J635" s="40" t="n">
        <x:v>1</x:v>
      </x:c>
      <x:c r="K635" s="40" t="n">
        <x:v>1</x:v>
      </x:c>
      <x:c r="L635" s="40" t="n">
        <x:v>100</x:v>
      </x:c>
      <x:c r="M635" s="40" t="n">
        <x:f>IF(OR(J635="",K635="",K635=0),"",J635/K635*L635)</x:f>
        <x:v>100</x:v>
      </x:c>
      <x:c r="N635" s="22" t="str">
        <x:f>IF(M635="","",IF(I635="Mayor es mejor",IF(M635&gt;=H635,"En meta",IF(M635&gt;=H635*0.9,"Alerta","Crítico")),IF(M635&lt;=H635,"En meta",IF(M635&lt;=H635*1.1,"Alerta","Crítico"))))</x:f>
        <x:v>En meta</x:v>
      </x:c>
      <x:c r="O635" s="22" t="str">
        <x:v>%</x:v>
      </x:c>
      <x:c r="P635" s="22" t="str">
        <x:v>Líder SG-SST / COPASST</x:v>
      </x:c>
      <x:c r="Q635" s="22" t="str">
        <x:v>Matriz de accidentalidad</x:v>
      </x:c>
      <x:c r="R635" s="22" t="str"/>
    </x:row>
    <x:row r="636">
      <x:c r="A636" s="46" t="n">
        <x:v>46142</x:v>
      </x:c>
      <x:c r="B636" s="22" t="n">
        <x:v>2026</x:v>
      </x:c>
      <x:c r="C636" s="22" t="str">
        <x:v>Abril</x:v>
      </x:c>
      <x:c r="D636" s="22" t="str">
        <x:v>P03</x:v>
      </x:c>
      <x:c r="E636" s="22" t="str">
        <x:v>% cierre oportuno de acciones correctivas, preventivas y de mejora</x:v>
      </x:c>
      <x:c r="F636" s="22" t="str">
        <x:v>Proceso</x:v>
      </x:c>
      <x:c r="G636" s="22" t="str">
        <x:v>Mensual</x:v>
      </x:c>
      <x:c r="H636" s="40" t="n">
        <x:v>90</x:v>
      </x:c>
      <x:c r="I636" s="22" t="str">
        <x:v>Mayor es mejor</x:v>
      </x:c>
      <x:c r="J636" s="40" t="n">
        <x:v>13</x:v>
      </x:c>
      <x:c r="K636" s="40" t="n">
        <x:v>14</x:v>
      </x:c>
      <x:c r="L636" s="40" t="n">
        <x:v>100</x:v>
      </x:c>
      <x:c r="M636" s="40" t="n">
        <x:f>IF(OR(J636="",K636="",K636=0),"",J636/K636*L636)</x:f>
        <x:v>92.85714285714286</x:v>
      </x:c>
      <x:c r="N636" s="22" t="str">
        <x:f>IF(M636="","",IF(I636="Mayor es mejor",IF(M636&gt;=H636,"En meta",IF(M636&gt;=H636*0.9,"Alerta","Crítico")),IF(M636&lt;=H636,"En meta",IF(M636&lt;=H636*1.1,"Alerta","Crítico"))))</x:f>
        <x:v>En meta</x:v>
      </x:c>
      <x:c r="O636" s="22" t="str">
        <x:v>%</x:v>
      </x:c>
      <x:c r="P636" s="22" t="str">
        <x:v>Líder SG-SST / Responsables de proceso</x:v>
      </x:c>
      <x:c r="Q636" s="22" t="str">
        <x:v>Matriz APCM</x:v>
      </x:c>
      <x:c r="R636" s="22" t="str"/>
    </x:row>
    <x:row r="637">
      <x:c r="A637" s="46" t="n">
        <x:v>46142</x:v>
      </x:c>
      <x:c r="B637" s="22" t="n">
        <x:v>2026</x:v>
      </x:c>
      <x:c r="C637" s="22" t="str">
        <x:v>Abril</x:v>
      </x:c>
      <x:c r="D637" s="22" t="str">
        <x:v>P04</x:v>
      </x:c>
      <x:c r="E637" s="22" t="str">
        <x:v>% inspecciones de seguridad ejecutadas</x:v>
      </x:c>
      <x:c r="F637" s="22" t="str">
        <x:v>Proceso</x:v>
      </x:c>
      <x:c r="G637" s="22" t="str">
        <x:v>Mensual</x:v>
      </x:c>
      <x:c r="H637" s="40" t="n">
        <x:v>90</x:v>
      </x:c>
      <x:c r="I637" s="22" t="str">
        <x:v>Mayor es mejor</x:v>
      </x:c>
      <x:c r="J637" s="40" t="n">
        <x:v>8</x:v>
      </x:c>
      <x:c r="K637" s="40" t="n">
        <x:v>8</x:v>
      </x:c>
      <x:c r="L637" s="40" t="n">
        <x:v>100</x:v>
      </x:c>
      <x:c r="M637" s="40" t="n">
        <x:f>IF(OR(J637="",K637="",K637=0),"",J637/K637*L637)</x:f>
        <x:v>100</x:v>
      </x:c>
      <x:c r="N637" s="22" t="str">
        <x:f>IF(M637="","",IF(I637="Mayor es mejor",IF(M637&gt;=H637,"En meta",IF(M637&gt;=H637*0.9,"Alerta","Crítico")),IF(M637&lt;=H637,"En meta",IF(M637&lt;=H637*1.1,"Alerta","Crítico"))))</x:f>
        <x:v>En meta</x:v>
      </x:c>
      <x:c r="O637" s="22" t="str">
        <x:v>%</x:v>
      </x:c>
      <x:c r="P637" s="22" t="str">
        <x:v>Líder SG-SST / Supervisores</x:v>
      </x:c>
      <x:c r="Q637" s="22" t="str">
        <x:v>Programa de inspecciones</x:v>
      </x:c>
      <x:c r="R637" s="22" t="str"/>
    </x:row>
    <x:row r="638">
      <x:c r="A638" s="46" t="n">
        <x:v>46142</x:v>
      </x:c>
      <x:c r="B638" s="22" t="n">
        <x:v>2026</x:v>
      </x:c>
      <x:c r="C638" s="22" t="str">
        <x:v>Abril</x:v>
      </x:c>
      <x:c r="D638" s="22" t="str">
        <x:v>P05</x:v>
      </x:c>
      <x:c r="E638" s="22" t="str">
        <x:v>% mantenimientos preventivos ejecutados</x:v>
      </x:c>
      <x:c r="F638" s="22" t="str">
        <x:v>Proceso</x:v>
      </x:c>
      <x:c r="G638" s="22" t="str">
        <x:v>Mensual</x:v>
      </x:c>
      <x:c r="H638" s="40" t="n">
        <x:v>90</x:v>
      </x:c>
      <x:c r="I638" s="22" t="str">
        <x:v>Mayor es mejor</x:v>
      </x:c>
      <x:c r="J638" s="40" t="n">
        <x:v>11</x:v>
      </x:c>
      <x:c r="K638" s="40" t="n">
        <x:v>12</x:v>
      </x:c>
      <x:c r="L638" s="40" t="n">
        <x:v>100</x:v>
      </x:c>
      <x:c r="M638" s="40" t="n">
        <x:f>IF(OR(J638="",K638="",K638=0),"",J638/K638*L638)</x:f>
        <x:v>91.66666666666666</x:v>
      </x:c>
      <x:c r="N638" s="22" t="str">
        <x:f>IF(M638="","",IF(I638="Mayor es mejor",IF(M638&gt;=H638,"En meta",IF(M638&gt;=H638*0.9,"Alerta","Crítico")),IF(M638&lt;=H638,"En meta",IF(M638&lt;=H638*1.1,"Alerta","Crítico"))))</x:f>
        <x:v>En meta</x:v>
      </x:c>
      <x:c r="O638" s="22" t="str">
        <x:v>%</x:v>
      </x:c>
      <x:c r="P638" s="22" t="str">
        <x:v>Mantenimiento / Líder SG-SST</x:v>
      </x:c>
      <x:c r="Q638" s="22" t="str">
        <x:v>Programa de mantenimiento preventivo</x:v>
      </x:c>
      <x:c r="R638" s="22" t="str"/>
    </x:row>
    <x:row r="639">
      <x:c r="A639" s="46" t="n">
        <x:v>46142</x:v>
      </x:c>
      <x:c r="B639" s="22" t="n">
        <x:v>2026</x:v>
      </x:c>
      <x:c r="C639" s="22" t="str">
        <x:v>Abril</x:v>
      </x:c>
      <x:c r="D639" s="22" t="str">
        <x:v>R01</x:v>
      </x:c>
      <x:c r="E639" s="22" t="str">
        <x:v>Índice de frecuencia de accidentalidad (IF)</x:v>
      </x:c>
      <x:c r="F639" s="22" t="str">
        <x:v>Resultado</x:v>
      </x:c>
      <x:c r="G639" s="22" t="str">
        <x:v>Mensual</x:v>
      </x:c>
      <x:c r="H639" s="40" t="n">
        <x:v>3.5</x:v>
      </x:c>
      <x:c r="I639" s="22" t="str">
        <x:v>Menor es mejor</x:v>
      </x:c>
      <x:c r="J639" s="40" t="n">
        <x:v>1</x:v>
      </x:c>
      <x:c r="K639" s="40" t="n">
        <x:v>63537</x:v>
      </x:c>
      <x:c r="L639" s="40" t="n">
        <x:v>200000</x:v>
      </x:c>
      <x:c r="M639" s="40" t="n">
        <x:f>IF(OR(J639="",K639="",K639=0),"",J639/K639*L639)</x:f>
        <x:v>3.1477721642507515</x:v>
      </x:c>
      <x:c r="N639" s="22" t="str">
        <x:f>IF(M639="","",IF(I639="Mayor es mejor",IF(M639&gt;=H639,"En meta",IF(M639&gt;=H639*0.9,"Alerta","Crítico")),IF(M639&lt;=H639,"En meta",IF(M639&lt;=H639*1.1,"Alerta","Crítico"))))</x:f>
        <x:v>En meta</x:v>
      </x:c>
      <x:c r="O639" s="22" t="str">
        <x:v>Índice</x:v>
      </x:c>
      <x:c r="P639" s="22" t="str">
        <x:v>Líder SG-SST</x:v>
      </x:c>
      <x:c r="Q639" s="22" t="str">
        <x:v>Matriz de accidentalidad / nómina</x:v>
      </x:c>
      <x:c r="R639" s="22" t="str"/>
    </x:row>
    <x:row r="640">
      <x:c r="A640" s="46" t="n">
        <x:v>46142</x:v>
      </x:c>
      <x:c r="B640" s="22" t="n">
        <x:v>2026</x:v>
      </x:c>
      <x:c r="C640" s="22" t="str">
        <x:v>Abril</x:v>
      </x:c>
      <x:c r="D640" s="22" t="str">
        <x:v>R02</x:v>
      </x:c>
      <x:c r="E640" s="22" t="str">
        <x:v>Índice de severidad de accidentalidad (IS)</x:v>
      </x:c>
      <x:c r="F640" s="22" t="str">
        <x:v>Resultado</x:v>
      </x:c>
      <x:c r="G640" s="22" t="str">
        <x:v>Mensual</x:v>
      </x:c>
      <x:c r="H640" s="40" t="n">
        <x:v>80</x:v>
      </x:c>
      <x:c r="I640" s="22" t="str">
        <x:v>Menor es mejor</x:v>
      </x:c>
      <x:c r="J640" s="40" t="n">
        <x:v>18</x:v>
      </x:c>
      <x:c r="K640" s="40" t="n">
        <x:v>63537</x:v>
      </x:c>
      <x:c r="L640" s="40" t="n">
        <x:v>200000</x:v>
      </x:c>
      <x:c r="M640" s="40" t="n">
        <x:f>IF(OR(J640="",K640="",K640=0),"",J640/K640*L640)</x:f>
        <x:v>56.65989895651353</x:v>
      </x:c>
      <x:c r="N640" s="22" t="str">
        <x:f>IF(M640="","",IF(I640="Mayor es mejor",IF(M640&gt;=H640,"En meta",IF(M640&gt;=H640*0.9,"Alerta","Crítico")),IF(M640&lt;=H640,"En meta",IF(M640&lt;=H640*1.1,"Alerta","Crítico"))))</x:f>
        <x:v>En meta</x:v>
      </x:c>
      <x:c r="O640" s="22" t="str">
        <x:v>Índice</x:v>
      </x:c>
      <x:c r="P640" s="22" t="str">
        <x:v>Líder SG-SST</x:v>
      </x:c>
      <x:c r="Q640" s="22" t="str">
        <x:v>Matriz de accidentalidad / nómina</x:v>
      </x:c>
      <x:c r="R640" s="22" t="str"/>
    </x:row>
    <x:row r="641">
      <x:c r="A641" s="46" t="n">
        <x:v>46142</x:v>
      </x:c>
      <x:c r="B641" s="22" t="n">
        <x:v>2026</x:v>
      </x:c>
      <x:c r="C641" s="22" t="str">
        <x:v>Abril</x:v>
      </x:c>
      <x:c r="D641" s="22" t="str">
        <x:v>R03</x:v>
      </x:c>
      <x:c r="E641" s="22" t="str">
        <x:v>Índice de lesión incapacitante (ILI)</x:v>
      </x:c>
      <x:c r="F641" s="22" t="str">
        <x:v>Resultado</x:v>
      </x:c>
      <x:c r="G641" s="22" t="str">
        <x:v>Mensual</x:v>
      </x:c>
      <x:c r="H641" s="40" t="n">
        <x:v>0.25</x:v>
      </x:c>
      <x:c r="I641" s="22" t="str">
        <x:v>Menor es mejor</x:v>
      </x:c>
      <x:c r="J641" s="40" t="n">
        <x:v>178.3525</x:v>
      </x:c>
      <x:c r="K641" s="40" t="n">
        <x:v>1000</x:v>
      </x:c>
      <x:c r="L641" s="40" t="n">
        <x:v>1</x:v>
      </x:c>
      <x:c r="M641" s="40" t="n">
        <x:f>IF(OR(J641="",K641="",K641=0),"",J641/K641*L641)</x:f>
        <x:v>0.1783525</x:v>
      </x:c>
      <x:c r="N641" s="22" t="str">
        <x:f>IF(M641="","",IF(I641="Mayor es mejor",IF(M641&gt;=H641,"En meta",IF(M641&gt;=H641*0.9,"Alerta","Crítico")),IF(M641&lt;=H641,"En meta",IF(M641&lt;=H641*1.1,"Alerta","Crítico"))))</x:f>
        <x:v>En meta</x:v>
      </x:c>
      <x:c r="O641" s="22" t="str">
        <x:v>Índice</x:v>
      </x:c>
      <x:c r="P641" s="22" t="str">
        <x:v>Líder SG-SST</x:v>
      </x:c>
      <x:c r="Q641" s="22" t="str">
        <x:v>Indicadores derivados de accidentalidad</x:v>
      </x:c>
      <x:c r="R641" s="22" t="str">
        <x:v>ILI calculado sobre IF e IS del periodo.</x:v>
      </x:c>
    </x:row>
    <x:row r="642">
      <x:c r="A642" s="46" t="n">
        <x:v>46142</x:v>
      </x:c>
      <x:c r="B642" s="22" t="n">
        <x:v>2026</x:v>
      </x:c>
      <x:c r="C642" s="22" t="str">
        <x:v>Abril</x:v>
      </x:c>
      <x:c r="D642" s="22" t="str">
        <x:v>R04</x:v>
      </x:c>
      <x:c r="E642" s="22" t="str">
        <x:v>Tasa de accidentalidad</x:v>
      </x:c>
      <x:c r="F642" s="22" t="str">
        <x:v>Resultado</x:v>
      </x:c>
      <x:c r="G642" s="22" t="str">
        <x:v>Mensual</x:v>
      </x:c>
      <x:c r="H642" s="40" t="n">
        <x:v>0.6</x:v>
      </x:c>
      <x:c r="I642" s="22" t="str">
        <x:v>Menor es mejor</x:v>
      </x:c>
      <x:c r="J642" s="40" t="n">
        <x:v>4.72</x:v>
      </x:c>
      <x:c r="K642" s="40" t="n">
        <x:v>260</x:v>
      </x:c>
      <x:c r="L642" s="40" t="n">
        <x:v>100</x:v>
      </x:c>
      <x:c r="M642" s="40" t="n">
        <x:f>IF(OR(J642="",K642="",K642=0),"",J642/K642*L642)</x:f>
        <x:v>1.8153846153846152</x:v>
      </x:c>
      <x:c r="N642" s="22" t="str">
        <x:f>IF(M642="","",IF(I642="Mayor es mejor",IF(M642&gt;=H642,"En meta",IF(M642&gt;=H642*0.9,"Alerta","Crítico")),IF(M642&lt;=H642,"En meta",IF(M642&lt;=H642*1.1,"Alerta","Crítico"))))</x:f>
        <x:v>Crítico</x:v>
      </x:c>
      <x:c r="O642" s="22" t="str">
        <x:v>%</x:v>
      </x:c>
      <x:c r="P642" s="22" t="str">
        <x:v>Líder SG-SST</x:v>
      </x:c>
      <x:c r="Q642" s="22" t="str">
        <x:v>Matriz de accidentalidad / nómina</x:v>
      </x:c>
      <x:c r="R642" s="22" t="str"/>
    </x:row>
    <x:row r="643">
      <x:c r="A643" s="46" t="n">
        <x:v>46142</x:v>
      </x:c>
      <x:c r="B643" s="22" t="n">
        <x:v>2026</x:v>
      </x:c>
      <x:c r="C643" s="22" t="str">
        <x:v>Abril</x:v>
      </x:c>
      <x:c r="D643" s="22" t="str">
        <x:v>R05</x:v>
      </x:c>
      <x:c r="E643" s="22" t="str">
        <x:v>Prevalencia de enfermedad laboral</x:v>
      </x:c>
      <x:c r="F643" s="22" t="str">
        <x:v>Resultado</x:v>
      </x:c>
      <x:c r="G643" s="22" t="str">
        <x:v>Mensual</x:v>
      </x:c>
      <x:c r="H643" s="40" t="n">
        <x:v>0.3</x:v>
      </x:c>
      <x:c r="I643" s="22" t="str">
        <x:v>Menor es mejor</x:v>
      </x:c>
      <x:c r="J643" s="40" t="n">
        <x:v>0.03</x:v>
      </x:c>
      <x:c r="K643" s="40" t="n">
        <x:v>260</x:v>
      </x:c>
      <x:c r="L643" s="40" t="n">
        <x:v>100</x:v>
      </x:c>
      <x:c r="M643" s="40" t="n">
        <x:f>IF(OR(J643="",K643="",K643=0),"",J643/K643*L643)</x:f>
        <x:v>0.011538461538461537</x:v>
      </x:c>
      <x:c r="N643" s="22" t="str">
        <x:f>IF(M643="","",IF(I643="Mayor es mejor",IF(M643&gt;=H643,"En meta",IF(M643&gt;=H643*0.9,"Alerta","Crítico")),IF(M643&lt;=H643,"En meta",IF(M643&lt;=H643*1.1,"Alerta","Crítico"))))</x:f>
        <x:v>En meta</x:v>
      </x:c>
      <x:c r="O643" s="22" t="str">
        <x:v>%</x:v>
      </x:c>
      <x:c r="P643" s="22" t="str">
        <x:v>Líder SG-SST / Medicina laboral</x:v>
      </x:c>
      <x:c r="Q643" s="22" t="str">
        <x:v>Matriz de enfermedad laboral / nómina</x:v>
      </x:c>
      <x:c r="R643" s="22" t="str"/>
    </x:row>
    <x:row r="644">
      <x:c r="A644" s="46" t="n">
        <x:v>46142</x:v>
      </x:c>
      <x:c r="B644" s="22" t="n">
        <x:v>2026</x:v>
      </x:c>
      <x:c r="C644" s="22" t="str">
        <x:v>Abril</x:v>
      </x:c>
      <x:c r="D644" s="22" t="str">
        <x:v>R06</x:v>
      </x:c>
      <x:c r="E644" s="22" t="str">
        <x:v>% cumplimiento de estándares mínimos Res. 0312 de 2019</x:v>
      </x:c>
      <x:c r="F644" s="22" t="str">
        <x:v>Resultado</x:v>
      </x:c>
      <x:c r="G644" s="22" t="str">
        <x:v>Mensual</x:v>
      </x:c>
      <x:c r="H644" s="40" t="n">
        <x:v>95</x:v>
      </x:c>
      <x:c r="I644" s="22" t="str">
        <x:v>Mayor es mejor</x:v>
      </x:c>
      <x:c r="J644" s="40" t="n">
        <x:v>98</x:v>
      </x:c>
      <x:c r="K644" s="40" t="n">
        <x:v>100</x:v>
      </x:c>
      <x:c r="L644" s="40" t="n">
        <x:v>100</x:v>
      </x:c>
      <x:c r="M644" s="40" t="n">
        <x:f>IF(OR(J644="",K644="",K644=0),"",J644/K644*L644)</x:f>
        <x:v>98</x:v>
      </x:c>
      <x:c r="N644" s="22" t="str">
        <x:f>IF(M644="","",IF(I644="Mayor es mejor",IF(M644&gt;=H644,"En meta",IF(M644&gt;=H644*0.9,"Alerta","Crítico")),IF(M644&lt;=H644,"En meta",IF(M644&lt;=H644*1.1,"Alerta","Crítico"))))</x:f>
        <x:v>En meta</x:v>
      </x:c>
      <x:c r="O644" s="22" t="str">
        <x:v>%</x:v>
      </x:c>
      <x:c r="P644" s="22" t="str">
        <x:v>Líder SG-SST / Alta Dirección</x:v>
      </x:c>
      <x:c r="Q644" s="22" t="str">
        <x:v>Autodiagnóstico Res. 0312 de 2019</x:v>
      </x:c>
      <x:c r="R644" s="22" t="str"/>
    </x:row>
    <x:row r="645">
      <x:c r="A645" s="46" t="n">
        <x:v>46173</x:v>
      </x:c>
      <x:c r="B645" s="22" t="n">
        <x:v>2026</x:v>
      </x:c>
      <x:c r="C645" s="22" t="str">
        <x:v>Mayo</x:v>
      </x:c>
      <x:c r="D645" s="22" t="str">
        <x:v>E01</x:v>
      </x:c>
      <x:c r="E645" s="22" t="str">
        <x:v>% ejecución presupuestal del SG-SST</x:v>
      </x:c>
      <x:c r="F645" s="22" t="str">
        <x:v>Estructura</x:v>
      </x:c>
      <x:c r="G645" s="22" t="str">
        <x:v>Mensual</x:v>
      </x:c>
      <x:c r="H645" s="40" t="n">
        <x:v>95</x:v>
      </x:c>
      <x:c r="I645" s="22" t="str">
        <x:v>Mayor es mejor</x:v>
      </x:c>
      <x:c r="J645" s="40" t="n">
        <x:v>6397149</x:v>
      </x:c>
      <x:c r="K645" s="40" t="n">
        <x:v>6500000</x:v>
      </x:c>
      <x:c r="L645" s="40" t="n">
        <x:v>100</x:v>
      </x:c>
      <x:c r="M645" s="40" t="n">
        <x:f>IF(OR(J645="",K645="",K645=0),"",J645/K645*L645)</x:f>
        <x:v>98.41767692307693</x:v>
      </x:c>
      <x:c r="N645" s="22" t="str">
        <x:f>IF(M645="","",IF(I645="Mayor es mejor",IF(M645&gt;=H645,"En meta",IF(M645&gt;=H645*0.9,"Alerta","Crítico")),IF(M645&lt;=H645,"En meta",IF(M645&lt;=H645*1.1,"Alerta","Crítico"))))</x:f>
        <x:v>En meta</x:v>
      </x:c>
      <x:c r="O645" s="22" t="str">
        <x:v>%</x:v>
      </x:c>
      <x:c r="P645" s="22" t="str">
        <x:v>Líder SG-SST / Dirección Administrativa</x:v>
      </x:c>
      <x:c r="Q645" s="22" t="str">
        <x:v>Presupuesto SST</x:v>
      </x:c>
      <x:c r="R645" s="22" t="str"/>
    </x:row>
    <x:row r="646">
      <x:c r="A646" s="46" t="n">
        <x:v>46173</x:v>
      </x:c>
      <x:c r="B646" s="22" t="n">
        <x:v>2026</x:v>
      </x:c>
      <x:c r="C646" s="22" t="str">
        <x:v>Mayo</x:v>
      </x:c>
      <x:c r="D646" s="22" t="str">
        <x:v>E02</x:v>
      </x:c>
      <x:c r="E646" s="22" t="str">
        <x:v>% cobertura del plan de formación y capacitación SG-SST</x:v>
      </x:c>
      <x:c r="F646" s="22" t="str">
        <x:v>Estructura</x:v>
      </x:c>
      <x:c r="G646" s="22" t="str">
        <x:v>Mensual</x:v>
      </x:c>
      <x:c r="H646" s="40" t="n">
        <x:v>90</x:v>
      </x:c>
      <x:c r="I646" s="22" t="str">
        <x:v>Mayor es mejor</x:v>
      </x:c>
      <x:c r="J646" s="40" t="n">
        <x:v>19</x:v>
      </x:c>
      <x:c r="K646" s="40" t="n">
        <x:v>20</x:v>
      </x:c>
      <x:c r="L646" s="40" t="n">
        <x:v>100</x:v>
      </x:c>
      <x:c r="M646" s="40" t="n">
        <x:f>IF(OR(J646="",K646="",K646=0),"",J646/K646*L646)</x:f>
        <x:v>95</x:v>
      </x:c>
      <x:c r="N646" s="22" t="str">
        <x:f>IF(M646="","",IF(I646="Mayor es mejor",IF(M646&gt;=H646,"En meta",IF(M646&gt;=H646*0.9,"Alerta","Crítico")),IF(M646&lt;=H646,"En meta",IF(M646&lt;=H646*1.1,"Alerta","Crítico"))))</x:f>
        <x:v>En meta</x:v>
      </x:c>
      <x:c r="O646" s="22" t="str">
        <x:v>%</x:v>
      </x:c>
      <x:c r="P646" s="22" t="str">
        <x:v>Líder SG-SST / Talento Humano</x:v>
      </x:c>
      <x:c r="Q646" s="22" t="str">
        <x:v>Plan de formación y capacitaciones</x:v>
      </x:c>
      <x:c r="R646" s="22" t="str"/>
    </x:row>
    <x:row r="647">
      <x:c r="A647" s="46" t="n">
        <x:v>46173</x:v>
      </x:c>
      <x:c r="B647" s="22" t="n">
        <x:v>2026</x:v>
      </x:c>
      <x:c r="C647" s="22" t="str">
        <x:v>Mayo</x:v>
      </x:c>
      <x:c r="D647" s="22" t="str">
        <x:v>E03</x:v>
      </x:c>
      <x:c r="E647" s="22" t="str">
        <x:v>% trabajadores con exámenes médicos ocupacionales vigentes</x:v>
      </x:c>
      <x:c r="F647" s="22" t="str">
        <x:v>Estructura</x:v>
      </x:c>
      <x:c r="G647" s="22" t="str">
        <x:v>Mensual</x:v>
      </x:c>
      <x:c r="H647" s="40" t="n">
        <x:v>95</x:v>
      </x:c>
      <x:c r="I647" s="22" t="str">
        <x:v>Mayor es mejor</x:v>
      </x:c>
      <x:c r="J647" s="40" t="n">
        <x:v>256</x:v>
      </x:c>
      <x:c r="K647" s="40" t="n">
        <x:v>260</x:v>
      </x:c>
      <x:c r="L647" s="40" t="n">
        <x:v>100</x:v>
      </x:c>
      <x:c r="M647" s="40" t="n">
        <x:f>IF(OR(J647="",K647="",K647=0),"",J647/K647*L647)</x:f>
        <x:v>98.46153846153847</x:v>
      </x:c>
      <x:c r="N647" s="22" t="str">
        <x:f>IF(M647="","",IF(I647="Mayor es mejor",IF(M647&gt;=H647,"En meta",IF(M647&gt;=H647*0.9,"Alerta","Crítico")),IF(M647&lt;=H647,"En meta",IF(M647&lt;=H647*1.1,"Alerta","Crítico"))))</x:f>
        <x:v>En meta</x:v>
      </x:c>
      <x:c r="O647" s="22" t="str">
        <x:v>%</x:v>
      </x:c>
      <x:c r="P647" s="22" t="str">
        <x:v>Líder SG-SST / Talento Humano</x:v>
      </x:c>
      <x:c r="Q647" s="22" t="str">
        <x:v>Matriz de seguimiento EMO</x:v>
      </x:c>
      <x:c r="R647" s="22" t="str"/>
    </x:row>
    <x:row r="648">
      <x:c r="A648" s="46" t="n">
        <x:v>46173</x:v>
      </x:c>
      <x:c r="B648" s="22" t="n">
        <x:v>2026</x:v>
      </x:c>
      <x:c r="C648" s="22" t="str">
        <x:v>Mayo</x:v>
      </x:c>
      <x:c r="D648" s="22" t="str">
        <x:v>E04</x:v>
      </x:c>
      <x:c r="E648" s="22" t="str">
        <x:v>% cumplimiento de requisitos legales aplicables en SST</x:v>
      </x:c>
      <x:c r="F648" s="22" t="str">
        <x:v>Estructura</x:v>
      </x:c>
      <x:c r="G648" s="22" t="str">
        <x:v>Mensual</x:v>
      </x:c>
      <x:c r="H648" s="40" t="n">
        <x:v>95</x:v>
      </x:c>
      <x:c r="I648" s="22" t="str">
        <x:v>Mayor es mejor</x:v>
      </x:c>
      <x:c r="J648" s="40" t="n">
        <x:v>60</x:v>
      </x:c>
      <x:c r="K648" s="40" t="n">
        <x:v>60</x:v>
      </x:c>
      <x:c r="L648" s="40" t="n">
        <x:v>100</x:v>
      </x:c>
      <x:c r="M648" s="40" t="n">
        <x:f>IF(OR(J648="",K648="",K648=0),"",J648/K648*L648)</x:f>
        <x:v>100</x:v>
      </x:c>
      <x:c r="N648" s="22" t="str">
        <x:f>IF(M648="","",IF(I648="Mayor es mejor",IF(M648&gt;=H648,"En meta",IF(M648&gt;=H648*0.9,"Alerta","Crítico")),IF(M648&lt;=H648,"En meta",IF(M648&lt;=H648*1.1,"Alerta","Crítico"))))</x:f>
        <x:v>En meta</x:v>
      </x:c>
      <x:c r="O648" s="22" t="str">
        <x:v>%</x:v>
      </x:c>
      <x:c r="P648" s="22" t="str">
        <x:v>Líder SG-SST / Jurídica</x:v>
      </x:c>
      <x:c r="Q648" s="22" t="str">
        <x:v>Matriz legal SGRL</x:v>
      </x:c>
      <x:c r="R648" s="22" t="str"/>
    </x:row>
    <x:row r="649">
      <x:c r="A649" s="46" t="n">
        <x:v>46173</x:v>
      </x:c>
      <x:c r="B649" s="22" t="n">
        <x:v>2026</x:v>
      </x:c>
      <x:c r="C649" s="22" t="str">
        <x:v>Mayo</x:v>
      </x:c>
      <x:c r="D649" s="22" t="str">
        <x:v>E05</x:v>
      </x:c>
      <x:c r="E649" s="22" t="str">
        <x:v>% proveedores y contratistas aprobados en SST</x:v>
      </x:c>
      <x:c r="F649" s="22" t="str">
        <x:v>Estructura</x:v>
      </x:c>
      <x:c r="G649" s="22" t="str">
        <x:v>Mensual</x:v>
      </x:c>
      <x:c r="H649" s="40" t="n">
        <x:v>90</x:v>
      </x:c>
      <x:c r="I649" s="22" t="str">
        <x:v>Mayor es mejor</x:v>
      </x:c>
      <x:c r="J649" s="40" t="n">
        <x:v>19</x:v>
      </x:c>
      <x:c r="K649" s="40" t="n">
        <x:v>20</x:v>
      </x:c>
      <x:c r="L649" s="40" t="n">
        <x:v>100</x:v>
      </x:c>
      <x:c r="M649" s="40" t="n">
        <x:f>IF(OR(J649="",K649="",K649=0),"",J649/K649*L649)</x:f>
        <x:v>95</x:v>
      </x:c>
      <x:c r="N649" s="22" t="str">
        <x:f>IF(M649="","",IF(I649="Mayor es mejor",IF(M649&gt;=H649,"En meta",IF(M649&gt;=H649*0.9,"Alerta","Crítico")),IF(M649&lt;=H649,"En meta",IF(M649&lt;=H649*1.1,"Alerta","Crítico"))))</x:f>
        <x:v>En meta</x:v>
      </x:c>
      <x:c r="O649" s="22" t="str">
        <x:v>%</x:v>
      </x:c>
      <x:c r="P649" s="22" t="str">
        <x:v>Compras / Líder SG-SST</x:v>
      </x:c>
      <x:c r="Q649" s="22" t="str">
        <x:v>Gestión de proveedores y contratistas</x:v>
      </x:c>
      <x:c r="R649" s="22" t="str"/>
    </x:row>
    <x:row r="650">
      <x:c r="A650" s="46" t="n">
        <x:v>46173</x:v>
      </x:c>
      <x:c r="B650" s="22" t="n">
        <x:v>2026</x:v>
      </x:c>
      <x:c r="C650" s="22" t="str">
        <x:v>Mayo</x:v>
      </x:c>
      <x:c r="D650" s="22" t="str">
        <x:v>P01</x:v>
      </x:c>
      <x:c r="E650" s="22" t="str">
        <x:v>% ejecución del plan anual de trabajo SG-SST</x:v>
      </x:c>
      <x:c r="F650" s="22" t="str">
        <x:v>Proceso</x:v>
      </x:c>
      <x:c r="G650" s="22" t="str">
        <x:v>Mensual</x:v>
      </x:c>
      <x:c r="H650" s="40" t="n">
        <x:v>90</x:v>
      </x:c>
      <x:c r="I650" s="22" t="str">
        <x:v>Mayor es mejor</x:v>
      </x:c>
      <x:c r="J650" s="40" t="n">
        <x:v>13</x:v>
      </x:c>
      <x:c r="K650" s="40" t="n">
        <x:v>14</x:v>
      </x:c>
      <x:c r="L650" s="40" t="n">
        <x:v>100</x:v>
      </x:c>
      <x:c r="M650" s="40" t="n">
        <x:f>IF(OR(J650="",K650="",K650=0),"",J650/K650*L650)</x:f>
        <x:v>92.85714285714286</x:v>
      </x:c>
      <x:c r="N650" s="22" t="str">
        <x:f>IF(M650="","",IF(I650="Mayor es mejor",IF(M650&gt;=H650,"En meta",IF(M650&gt;=H650*0.9,"Alerta","Crítico")),IF(M650&lt;=H650,"En meta",IF(M650&lt;=H650*1.1,"Alerta","Crítico"))))</x:f>
        <x:v>En meta</x:v>
      </x:c>
      <x:c r="O650" s="22" t="str">
        <x:v>%</x:v>
      </x:c>
      <x:c r="P650" s="22" t="str">
        <x:v>Líder SG-SST</x:v>
      </x:c>
      <x:c r="Q650" s="22" t="str">
        <x:v>Plan anual de trabajo PHVA</x:v>
      </x:c>
      <x:c r="R650" s="22" t="str"/>
    </x:row>
    <x:row r="651">
      <x:c r="A651" s="46" t="n">
        <x:v>46173</x:v>
      </x:c>
      <x:c r="B651" s="22" t="n">
        <x:v>2026</x:v>
      </x:c>
      <x:c r="C651" s="22" t="str">
        <x:v>Mayo</x:v>
      </x:c>
      <x:c r="D651" s="22" t="str">
        <x:v>P02</x:v>
      </x:c>
      <x:c r="E651" s="22" t="str">
        <x:v>% investigaciones de accidentes realizadas oportunamente</x:v>
      </x:c>
      <x:c r="F651" s="22" t="str">
        <x:v>Proceso</x:v>
      </x:c>
      <x:c r="G651" s="22" t="str">
        <x:v>Mensual</x:v>
      </x:c>
      <x:c r="H651" s="40" t="n">
        <x:v>95</x:v>
      </x:c>
      <x:c r="I651" s="22" t="str">
        <x:v>Mayor es mejor</x:v>
      </x:c>
      <x:c r="J651" s="40" t="n">
        <x:v>1</x:v>
      </x:c>
      <x:c r="K651" s="40" t="n">
        <x:v>1</x:v>
      </x:c>
      <x:c r="L651" s="40" t="n">
        <x:v>100</x:v>
      </x:c>
      <x:c r="M651" s="40" t="n">
        <x:f>IF(OR(J651="",K651="",K651=0),"",J651/K651*L651)</x:f>
        <x:v>100</x:v>
      </x:c>
      <x:c r="N651" s="22" t="str">
        <x:f>IF(M651="","",IF(I651="Mayor es mejor",IF(M651&gt;=H651,"En meta",IF(M651&gt;=H651*0.9,"Alerta","Crítico")),IF(M651&lt;=H651,"En meta",IF(M651&lt;=H651*1.1,"Alerta","Crítico"))))</x:f>
        <x:v>En meta</x:v>
      </x:c>
      <x:c r="O651" s="22" t="str">
        <x:v>%</x:v>
      </x:c>
      <x:c r="P651" s="22" t="str">
        <x:v>Líder SG-SST / COPASST</x:v>
      </x:c>
      <x:c r="Q651" s="22" t="str">
        <x:v>Matriz de accidentalidad</x:v>
      </x:c>
      <x:c r="R651" s="22" t="str"/>
    </x:row>
    <x:row r="652">
      <x:c r="A652" s="46" t="n">
        <x:v>46173</x:v>
      </x:c>
      <x:c r="B652" s="22" t="n">
        <x:v>2026</x:v>
      </x:c>
      <x:c r="C652" s="22" t="str">
        <x:v>Mayo</x:v>
      </x:c>
      <x:c r="D652" s="22" t="str">
        <x:v>P03</x:v>
      </x:c>
      <x:c r="E652" s="22" t="str">
        <x:v>% cierre oportuno de acciones correctivas, preventivas y de mejora</x:v>
      </x:c>
      <x:c r="F652" s="22" t="str">
        <x:v>Proceso</x:v>
      </x:c>
      <x:c r="G652" s="22" t="str">
        <x:v>Mensual</x:v>
      </x:c>
      <x:c r="H652" s="40" t="n">
        <x:v>90</x:v>
      </x:c>
      <x:c r="I652" s="22" t="str">
        <x:v>Mayor es mejor</x:v>
      </x:c>
      <x:c r="J652" s="40" t="n">
        <x:v>9</x:v>
      </x:c>
      <x:c r="K652" s="40" t="n">
        <x:v>10</x:v>
      </x:c>
      <x:c r="L652" s="40" t="n">
        <x:v>100</x:v>
      </x:c>
      <x:c r="M652" s="40" t="n">
        <x:f>IF(OR(J652="",K652="",K652=0),"",J652/K652*L652)</x:f>
        <x:v>90</x:v>
      </x:c>
      <x:c r="N652" s="22" t="str">
        <x:f>IF(M652="","",IF(I652="Mayor es mejor",IF(M652&gt;=H652,"En meta",IF(M652&gt;=H652*0.9,"Alerta","Crítico")),IF(M652&lt;=H652,"En meta",IF(M652&lt;=H652*1.1,"Alerta","Crítico"))))</x:f>
        <x:v>En meta</x:v>
      </x:c>
      <x:c r="O652" s="22" t="str">
        <x:v>%</x:v>
      </x:c>
      <x:c r="P652" s="22" t="str">
        <x:v>Líder SG-SST / Responsables de proceso</x:v>
      </x:c>
      <x:c r="Q652" s="22" t="str">
        <x:v>Matriz APCM</x:v>
      </x:c>
      <x:c r="R652" s="22" t="str"/>
    </x:row>
    <x:row r="653">
      <x:c r="A653" s="46" t="n">
        <x:v>46173</x:v>
      </x:c>
      <x:c r="B653" s="22" t="n">
        <x:v>2026</x:v>
      </x:c>
      <x:c r="C653" s="22" t="str">
        <x:v>Mayo</x:v>
      </x:c>
      <x:c r="D653" s="22" t="str">
        <x:v>P04</x:v>
      </x:c>
      <x:c r="E653" s="22" t="str">
        <x:v>% inspecciones de seguridad ejecutadas</x:v>
      </x:c>
      <x:c r="F653" s="22" t="str">
        <x:v>Proceso</x:v>
      </x:c>
      <x:c r="G653" s="22" t="str">
        <x:v>Mensual</x:v>
      </x:c>
      <x:c r="H653" s="40" t="n">
        <x:v>90</x:v>
      </x:c>
      <x:c r="I653" s="22" t="str">
        <x:v>Mayor es mejor</x:v>
      </x:c>
      <x:c r="J653" s="40" t="n">
        <x:v>9</x:v>
      </x:c>
      <x:c r="K653" s="40" t="n">
        <x:v>9</x:v>
      </x:c>
      <x:c r="L653" s="40" t="n">
        <x:v>100</x:v>
      </x:c>
      <x:c r="M653" s="40" t="n">
        <x:f>IF(OR(J653="",K653="",K653=0),"",J653/K653*L653)</x:f>
        <x:v>100</x:v>
      </x:c>
      <x:c r="N653" s="22" t="str">
        <x:f>IF(M653="","",IF(I653="Mayor es mejor",IF(M653&gt;=H653,"En meta",IF(M653&gt;=H653*0.9,"Alerta","Crítico")),IF(M653&lt;=H653,"En meta",IF(M653&lt;=H653*1.1,"Alerta","Crítico"))))</x:f>
        <x:v>En meta</x:v>
      </x:c>
      <x:c r="O653" s="22" t="str">
        <x:v>%</x:v>
      </x:c>
      <x:c r="P653" s="22" t="str">
        <x:v>Líder SG-SST / Supervisores</x:v>
      </x:c>
      <x:c r="Q653" s="22" t="str">
        <x:v>Programa de inspecciones</x:v>
      </x:c>
      <x:c r="R653" s="22" t="str"/>
    </x:row>
    <x:row r="654">
      <x:c r="A654" s="46" t="n">
        <x:v>46173</x:v>
      </x:c>
      <x:c r="B654" s="22" t="n">
        <x:v>2026</x:v>
      </x:c>
      <x:c r="C654" s="22" t="str">
        <x:v>Mayo</x:v>
      </x:c>
      <x:c r="D654" s="22" t="str">
        <x:v>P05</x:v>
      </x:c>
      <x:c r="E654" s="22" t="str">
        <x:v>% mantenimientos preventivos ejecutados</x:v>
      </x:c>
      <x:c r="F654" s="22" t="str">
        <x:v>Proceso</x:v>
      </x:c>
      <x:c r="G654" s="22" t="str">
        <x:v>Mensual</x:v>
      </x:c>
      <x:c r="H654" s="40" t="n">
        <x:v>90</x:v>
      </x:c>
      <x:c r="I654" s="22" t="str">
        <x:v>Mayor es mejor</x:v>
      </x:c>
      <x:c r="J654" s="40" t="n">
        <x:v>12</x:v>
      </x:c>
      <x:c r="K654" s="40" t="n">
        <x:v>13</x:v>
      </x:c>
      <x:c r="L654" s="40" t="n">
        <x:v>100</x:v>
      </x:c>
      <x:c r="M654" s="40" t="n">
        <x:f>IF(OR(J654="",K654="",K654=0),"",J654/K654*L654)</x:f>
        <x:v>92.3076923076923</x:v>
      </x:c>
      <x:c r="N654" s="22" t="str">
        <x:f>IF(M654="","",IF(I654="Mayor es mejor",IF(M654&gt;=H654,"En meta",IF(M654&gt;=H654*0.9,"Alerta","Crítico")),IF(M654&lt;=H654,"En meta",IF(M654&lt;=H654*1.1,"Alerta","Crítico"))))</x:f>
        <x:v>En meta</x:v>
      </x:c>
      <x:c r="O654" s="22" t="str">
        <x:v>%</x:v>
      </x:c>
      <x:c r="P654" s="22" t="str">
        <x:v>Mantenimiento / Líder SG-SST</x:v>
      </x:c>
      <x:c r="Q654" s="22" t="str">
        <x:v>Programa de mantenimiento preventivo</x:v>
      </x:c>
      <x:c r="R654" s="22" t="str"/>
    </x:row>
    <x:row r="655">
      <x:c r="A655" s="46" t="n">
        <x:v>46173</x:v>
      </x:c>
      <x:c r="B655" s="22" t="n">
        <x:v>2026</x:v>
      </x:c>
      <x:c r="C655" s="22" t="str">
        <x:v>Mayo</x:v>
      </x:c>
      <x:c r="D655" s="22" t="str">
        <x:v>R01</x:v>
      </x:c>
      <x:c r="E655" s="22" t="str">
        <x:v>Índice de frecuencia de accidentalidad (IF)</x:v>
      </x:c>
      <x:c r="F655" s="22" t="str">
        <x:v>Resultado</x:v>
      </x:c>
      <x:c r="G655" s="22" t="str">
        <x:v>Mensual</x:v>
      </x:c>
      <x:c r="H655" s="40" t="n">
        <x:v>3.5</x:v>
      </x:c>
      <x:c r="I655" s="22" t="str">
        <x:v>Menor es mejor</x:v>
      </x:c>
      <x:c r="J655" s="40" t="n">
        <x:v>1</x:v>
      </x:c>
      <x:c r="K655" s="40" t="n">
        <x:v>63473</x:v>
      </x:c>
      <x:c r="L655" s="40" t="n">
        <x:v>200000</x:v>
      </x:c>
      <x:c r="M655" s="40" t="n">
        <x:f>IF(OR(J655="",K655="",K655=0),"",J655/K655*L655)</x:f>
        <x:v>3.1509460715579856</x:v>
      </x:c>
      <x:c r="N655" s="22" t="str">
        <x:f>IF(M655="","",IF(I655="Mayor es mejor",IF(M655&gt;=H655,"En meta",IF(M655&gt;=H655*0.9,"Alerta","Crítico")),IF(M655&lt;=H655,"En meta",IF(M655&lt;=H655*1.1,"Alerta","Crítico"))))</x:f>
        <x:v>En meta</x:v>
      </x:c>
      <x:c r="O655" s="22" t="str">
        <x:v>Índice</x:v>
      </x:c>
      <x:c r="P655" s="22" t="str">
        <x:v>Líder SG-SST</x:v>
      </x:c>
      <x:c r="Q655" s="22" t="str">
        <x:v>Matriz de accidentalidad / nómina</x:v>
      </x:c>
      <x:c r="R655" s="22" t="str"/>
    </x:row>
    <x:row r="656">
      <x:c r="A656" s="46" t="n">
        <x:v>46173</x:v>
      </x:c>
      <x:c r="B656" s="22" t="n">
        <x:v>2026</x:v>
      </x:c>
      <x:c r="C656" s="22" t="str">
        <x:v>Mayo</x:v>
      </x:c>
      <x:c r="D656" s="22" t="str">
        <x:v>R02</x:v>
      </x:c>
      <x:c r="E656" s="22" t="str">
        <x:v>Índice de severidad de accidentalidad (IS)</x:v>
      </x:c>
      <x:c r="F656" s="22" t="str">
        <x:v>Resultado</x:v>
      </x:c>
      <x:c r="G656" s="22" t="str">
        <x:v>Mensual</x:v>
      </x:c>
      <x:c r="H656" s="40" t="n">
        <x:v>80</x:v>
      </x:c>
      <x:c r="I656" s="22" t="str">
        <x:v>Menor es mejor</x:v>
      </x:c>
      <x:c r="J656" s="40" t="n">
        <x:v>17</x:v>
      </x:c>
      <x:c r="K656" s="40" t="n">
        <x:v>63473</x:v>
      </x:c>
      <x:c r="L656" s="40" t="n">
        <x:v>200000</x:v>
      </x:c>
      <x:c r="M656" s="40" t="n">
        <x:f>IF(OR(J656="",K656="",K656=0),"",J656/K656*L656)</x:f>
        <x:v>53.56608321648575</x:v>
      </x:c>
      <x:c r="N656" s="22" t="str">
        <x:f>IF(M656="","",IF(I656="Mayor es mejor",IF(M656&gt;=H656,"En meta",IF(M656&gt;=H656*0.9,"Alerta","Crítico")),IF(M656&lt;=H656,"En meta",IF(M656&lt;=H656*1.1,"Alerta","Crítico"))))</x:f>
        <x:v>En meta</x:v>
      </x:c>
      <x:c r="O656" s="22" t="str">
        <x:v>Índice</x:v>
      </x:c>
      <x:c r="P656" s="22" t="str">
        <x:v>Líder SG-SST</x:v>
      </x:c>
      <x:c r="Q656" s="22" t="str">
        <x:v>Matriz de accidentalidad / nómina</x:v>
      </x:c>
      <x:c r="R656" s="22" t="str"/>
    </x:row>
    <x:row r="657">
      <x:c r="A657" s="46" t="n">
        <x:v>46173</x:v>
      </x:c>
      <x:c r="B657" s="22" t="n">
        <x:v>2026</x:v>
      </x:c>
      <x:c r="C657" s="22" t="str">
        <x:v>Mayo</x:v>
      </x:c>
      <x:c r="D657" s="22" t="str">
        <x:v>R03</x:v>
      </x:c>
      <x:c r="E657" s="22" t="str">
        <x:v>Índice de lesión incapacitante (ILI)</x:v>
      </x:c>
      <x:c r="F657" s="22" t="str">
        <x:v>Resultado</x:v>
      </x:c>
      <x:c r="G657" s="22" t="str">
        <x:v>Mensual</x:v>
      </x:c>
      <x:c r="H657" s="40" t="n">
        <x:v>0.25</x:v>
      </x:c>
      <x:c r="I657" s="22" t="str">
        <x:v>Menor es mejor</x:v>
      </x:c>
      <x:c r="J657" s="40" t="n">
        <x:v>168.7838</x:v>
      </x:c>
      <x:c r="K657" s="40" t="n">
        <x:v>1000</x:v>
      </x:c>
      <x:c r="L657" s="40" t="n">
        <x:v>1</x:v>
      </x:c>
      <x:c r="M657" s="40" t="n">
        <x:f>IF(OR(J657="",K657="",K657=0),"",J657/K657*L657)</x:f>
        <x:v>0.1687838</x:v>
      </x:c>
      <x:c r="N657" s="22" t="str">
        <x:f>IF(M657="","",IF(I657="Mayor es mejor",IF(M657&gt;=H657,"En meta",IF(M657&gt;=H657*0.9,"Alerta","Crítico")),IF(M657&lt;=H657,"En meta",IF(M657&lt;=H657*1.1,"Alerta","Crítico"))))</x:f>
        <x:v>En meta</x:v>
      </x:c>
      <x:c r="O657" s="22" t="str">
        <x:v>Índice</x:v>
      </x:c>
      <x:c r="P657" s="22" t="str">
        <x:v>Líder SG-SST</x:v>
      </x:c>
      <x:c r="Q657" s="22" t="str">
        <x:v>Indicadores derivados de accidentalidad</x:v>
      </x:c>
      <x:c r="R657" s="22" t="str">
        <x:v>ILI calculado sobre IF e IS del periodo.</x:v>
      </x:c>
    </x:row>
    <x:row r="658">
      <x:c r="A658" s="46" t="n">
        <x:v>46173</x:v>
      </x:c>
      <x:c r="B658" s="22" t="n">
        <x:v>2026</x:v>
      </x:c>
      <x:c r="C658" s="22" t="str">
        <x:v>Mayo</x:v>
      </x:c>
      <x:c r="D658" s="22" t="str">
        <x:v>R04</x:v>
      </x:c>
      <x:c r="E658" s="22" t="str">
        <x:v>Tasa de accidentalidad</x:v>
      </x:c>
      <x:c r="F658" s="22" t="str">
        <x:v>Resultado</x:v>
      </x:c>
      <x:c r="G658" s="22" t="str">
        <x:v>Mensual</x:v>
      </x:c>
      <x:c r="H658" s="40" t="n">
        <x:v>0.6</x:v>
      </x:c>
      <x:c r="I658" s="22" t="str">
        <x:v>Menor es mejor</x:v>
      </x:c>
      <x:c r="J658" s="40" t="n">
        <x:v>1.24</x:v>
      </x:c>
      <x:c r="K658" s="40" t="n">
        <x:v>260</x:v>
      </x:c>
      <x:c r="L658" s="40" t="n">
        <x:v>100</x:v>
      </x:c>
      <x:c r="M658" s="40" t="n">
        <x:f>IF(OR(J658="",K658="",K658=0),"",J658/K658*L658)</x:f>
        <x:v>0.47692307692307695</x:v>
      </x:c>
      <x:c r="N658" s="22" t="str">
        <x:f>IF(M658="","",IF(I658="Mayor es mejor",IF(M658&gt;=H658,"En meta",IF(M658&gt;=H658*0.9,"Alerta","Crítico")),IF(M658&lt;=H658,"En meta",IF(M658&lt;=H658*1.1,"Alerta","Crítico"))))</x:f>
        <x:v>En meta</x:v>
      </x:c>
      <x:c r="O658" s="22" t="str">
        <x:v>%</x:v>
      </x:c>
      <x:c r="P658" s="22" t="str">
        <x:v>Líder SG-SST</x:v>
      </x:c>
      <x:c r="Q658" s="22" t="str">
        <x:v>Matriz de accidentalidad / nómina</x:v>
      </x:c>
      <x:c r="R658" s="22" t="str"/>
    </x:row>
    <x:row r="659">
      <x:c r="A659" s="46" t="n">
        <x:v>46173</x:v>
      </x:c>
      <x:c r="B659" s="22" t="n">
        <x:v>2026</x:v>
      </x:c>
      <x:c r="C659" s="22" t="str">
        <x:v>Mayo</x:v>
      </x:c>
      <x:c r="D659" s="22" t="str">
        <x:v>R05</x:v>
      </x:c>
      <x:c r="E659" s="22" t="str">
        <x:v>Prevalencia de enfermedad laboral</x:v>
      </x:c>
      <x:c r="F659" s="22" t="str">
        <x:v>Resultado</x:v>
      </x:c>
      <x:c r="G659" s="22" t="str">
        <x:v>Mensual</x:v>
      </x:c>
      <x:c r="H659" s="40" t="n">
        <x:v>0.3</x:v>
      </x:c>
      <x:c r="I659" s="22" t="str">
        <x:v>Menor es mejor</x:v>
      </x:c>
      <x:c r="J659" s="40" t="n">
        <x:v>0.03</x:v>
      </x:c>
      <x:c r="K659" s="40" t="n">
        <x:v>260</x:v>
      </x:c>
      <x:c r="L659" s="40" t="n">
        <x:v>100</x:v>
      </x:c>
      <x:c r="M659" s="40" t="n">
        <x:f>IF(OR(J659="",K659="",K659=0),"",J659/K659*L659)</x:f>
        <x:v>0.011538461538461537</x:v>
      </x:c>
      <x:c r="N659" s="22" t="str">
        <x:f>IF(M659="","",IF(I659="Mayor es mejor",IF(M659&gt;=H659,"En meta",IF(M659&gt;=H659*0.9,"Alerta","Crítico")),IF(M659&lt;=H659,"En meta",IF(M659&lt;=H659*1.1,"Alerta","Crítico"))))</x:f>
        <x:v>En meta</x:v>
      </x:c>
      <x:c r="O659" s="22" t="str">
        <x:v>%</x:v>
      </x:c>
      <x:c r="P659" s="22" t="str">
        <x:v>Líder SG-SST / Medicina laboral</x:v>
      </x:c>
      <x:c r="Q659" s="22" t="str">
        <x:v>Matriz de enfermedad laboral / nómina</x:v>
      </x:c>
      <x:c r="R659" s="22" t="str"/>
    </x:row>
    <x:row r="660">
      <x:c r="A660" s="46" t="n">
        <x:v>46173</x:v>
      </x:c>
      <x:c r="B660" s="22" t="n">
        <x:v>2026</x:v>
      </x:c>
      <x:c r="C660" s="22" t="str">
        <x:v>Mayo</x:v>
      </x:c>
      <x:c r="D660" s="22" t="str">
        <x:v>R06</x:v>
      </x:c>
      <x:c r="E660" s="22" t="str">
        <x:v>% cumplimiento de estándares mínimos Res. 0312 de 2019</x:v>
      </x:c>
      <x:c r="F660" s="22" t="str">
        <x:v>Resultado</x:v>
      </x:c>
      <x:c r="G660" s="22" t="str">
        <x:v>Mensual</x:v>
      </x:c>
      <x:c r="H660" s="40" t="n">
        <x:v>95</x:v>
      </x:c>
      <x:c r="I660" s="22" t="str">
        <x:v>Mayor es mejor</x:v>
      </x:c>
      <x:c r="J660" s="40" t="n">
        <x:v>100</x:v>
      </x:c>
      <x:c r="K660" s="40" t="n">
        <x:v>100</x:v>
      </x:c>
      <x:c r="L660" s="40" t="n">
        <x:v>100</x:v>
      </x:c>
      <x:c r="M660" s="40" t="n">
        <x:f>IF(OR(J660="",K660="",K660=0),"",J660/K660*L660)</x:f>
        <x:v>100</x:v>
      </x:c>
      <x:c r="N660" s="22" t="str">
        <x:f>IF(M660="","",IF(I660="Mayor es mejor",IF(M660&gt;=H660,"En meta",IF(M660&gt;=H660*0.9,"Alerta","Crítico")),IF(M660&lt;=H660,"En meta",IF(M660&lt;=H660*1.1,"Alerta","Crítico"))))</x:f>
        <x:v>En meta</x:v>
      </x:c>
      <x:c r="O660" s="22" t="str">
        <x:v>%</x:v>
      </x:c>
      <x:c r="P660" s="22" t="str">
        <x:v>Líder SG-SST / Alta Dirección</x:v>
      </x:c>
      <x:c r="Q660" s="22" t="str">
        <x:v>Autodiagnóstico Res. 0312 de 2019</x:v>
      </x:c>
      <x:c r="R660" s="22" t="str"/>
    </x:row>
  </x:sheetData>
  <x:mergeCells>
    <x:mergeCell ref="A1:R1"/>
    <x:mergeCell ref="A2:R2"/>
  </x:mergeCells>
  <x:conditionalFormatting sqref="N5:N660">
    <x:cfRule type="expression" dxfId="15" priority="1">
      <x:formula>N5="En meta"</x:formula>
    </x:cfRule>
    <x:cfRule type="expression" dxfId="16" priority="2">
      <x:formula>N5="Alerta"</x:formula>
    </x:cfRule>
    <x:cfRule type="expression" dxfId="17" priority="3">
      <x:formula>N5="Crítico"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4.04000091552734" hidden="0" customWidth="1"/>
    <x:col min="2" max="2" width="5.519999980926514" hidden="0" customWidth="1"/>
    <x:col min="3" max="3" width="35" hidden="0" customWidth="1"/>
    <x:col min="4" max="4" width="35" hidden="0" customWidth="1"/>
    <x:col min="5" max="5" width="4.440000057220459" hidden="0" customWidth="1"/>
    <x:col min="6" max="6" width="12.520000457763672" hidden="0" customWidth="1"/>
    <x:col min="7" max="7" width="13.0600004196167" hidden="0" customWidth="1"/>
    <x:col min="8" max="8" width="10.359999656677246" hidden="0" customWidth="1"/>
    <x:col min="9" max="9" width="12.649999618530273" hidden="0" customWidth="1"/>
    <x:col min="10" max="10" width="11.84000015258789" hidden="0" customWidth="1"/>
  </x:cols>
  <x:sheetData>
    <x:row r="1">
      <x:c r="A1" s="52" t="str">
        <x:v>Resumen anual de indicadores SG-SST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9" t="str">
        <x:v>Resultado anual calculado como promedio de los resultados mensuales disponibles por indicador. 2026 corresponde a enero-mayo.</x:v>
      </x:c>
    </x:row>
    <x:row r="4">
      <x:c r="A4" s="25" t="str">
        <x:v>Año</x:v>
      </x:c>
      <x:c r="B4" s="25" t="str">
        <x:v>Código</x:v>
      </x:c>
      <x:c r="C4" s="25" t="str">
        <x:v>Indicador</x:v>
      </x:c>
      <x:c r="D4" s="25" t="str">
        <x:v>Tipo</x:v>
      </x:c>
      <x:c r="E4" s="25" t="str">
        <x:v>Meta</x:v>
      </x:c>
      <x:c r="F4" s="25" t="str">
        <x:v>Sentido</x:v>
      </x:c>
      <x:c r="G4" s="25" t="str">
        <x:v>Resultado anual</x:v>
      </x:c>
      <x:c r="H4" s="25" t="str">
        <x:v>Estado anual</x:v>
      </x:c>
      <x:c r="I4" s="25" t="str">
        <x:v>Meses medidos</x:v>
      </x:c>
      <x:c r="J4" s="25" t="str">
        <x:v>Observaciones</x:v>
      </x:c>
    </x:row>
    <x:row r="5">
      <x:c r="A5" s="50" t="n">
        <x:v>2023</x:v>
      </x:c>
      <x:c r="B5" s="22" t="str">
        <x:v>E01</x:v>
      </x:c>
      <x:c r="C5" s="22" t="str">
        <x:v>% ejecución presupuestal del SG-SST</x:v>
      </x:c>
      <x:c r="D5" s="22" t="str">
        <x:v>Estructura</x:v>
      </x:c>
      <x:c r="E5" s="40" t="n">
        <x:v>95</x:v>
      </x:c>
      <x:c r="F5" s="22" t="str">
        <x:v>Mayor es mejor</x:v>
      </x:c>
      <x:c r="G5" s="40" t="n">
        <x:f>IFERROR(SUMIFS(Consolidado!$M$5:$M$660,Consolidado!$B$5:$B$660,$A5,Consolidado!$D$5:$D$660,$B5)/COUNTIFS(Consolidado!$B$5:$B$660,$A5,Consolidado!$D$5:$D$660,$B5),"")</x:f>
        <x:v>91.9959506987954</x:v>
      </x:c>
      <x:c r="H5" s="22" t="str">
        <x:f>IF(G5="","",IF(F5="Mayor es mejor",IF(G5&gt;=E5,"En meta",IF(G5&gt;=E5*0.9,"Alerta","Crítico")),IF(G5&lt;=E5,"En meta",IF(G5&lt;=E5*1.1,"Alerta","Crítico"))))</x:f>
        <x:v>Alerta</x:v>
      </x:c>
      <x:c r="I5" s="50" t="n">
        <x:f>COUNTIFS(Consolidado!$B$5:$B$660,$A5,Consolidado!$D$5:$D$660,$B5)</x:f>
        <x:v>12</x:v>
      </x:c>
      <x:c r="J5" s="22" t="str">
        <x:f>IF(A5=2026,"Corte a mayo","Año completo")</x:f>
        <x:v>Año completo</x:v>
      </x:c>
    </x:row>
    <x:row r="6">
      <x:c r="A6" s="50" t="n">
        <x:v>2023</x:v>
      </x:c>
      <x:c r="B6" s="22" t="str">
        <x:v>E02</x:v>
      </x:c>
      <x:c r="C6" s="22" t="str">
        <x:v>% cobertura del plan de formación y capacitación SG-SST</x:v>
      </x:c>
      <x:c r="D6" s="22" t="str">
        <x:v>Estructura</x:v>
      </x:c>
      <x:c r="E6" s="40" t="n">
        <x:v>90</x:v>
      </x:c>
      <x:c r="F6" s="22" t="str">
        <x:v>Mayor es mejor</x:v>
      </x:c>
      <x:c r="G6" s="40" t="n">
        <x:f>IFERROR(SUMIFS(Consolidado!$M$5:$M$660,Consolidado!$B$5:$B$660,$A6,Consolidado!$D$5:$D$660,$B6)/COUNTIFS(Consolidado!$B$5:$B$660,$A6,Consolidado!$D$5:$D$660,$B6),"")</x:f>
        <x:v>87.73358585858585</x:v>
      </x:c>
      <x:c r="H6" s="22" t="str">
        <x:f>IF(G6="","",IF(F6="Mayor es mejor",IF(G6&gt;=E6,"En meta",IF(G6&gt;=E6*0.9,"Alerta","Crítico")),IF(G6&lt;=E6,"En meta",IF(G6&lt;=E6*1.1,"Alerta","Crítico"))))</x:f>
        <x:v>Alerta</x:v>
      </x:c>
      <x:c r="I6" s="50" t="n">
        <x:f>COUNTIFS(Consolidado!$B$5:$B$660,$A6,Consolidado!$D$5:$D$660,$B6)</x:f>
        <x:v>12</x:v>
      </x:c>
      <x:c r="J6" s="22" t="str">
        <x:f>IF(A6=2026,"Corte a mayo","Año completo")</x:f>
        <x:v>Año completo</x:v>
      </x:c>
    </x:row>
    <x:row r="7">
      <x:c r="A7" s="50" t="n">
        <x:v>2023</x:v>
      </x:c>
      <x:c r="B7" s="22" t="str">
        <x:v>E03</x:v>
      </x:c>
      <x:c r="C7" s="22" t="str">
        <x:v>% trabajadores con exámenes médicos ocupacionales vigentes</x:v>
      </x:c>
      <x:c r="D7" s="22" t="str">
        <x:v>Estructura</x:v>
      </x:c>
      <x:c r="E7" s="40" t="n">
        <x:v>95</x:v>
      </x:c>
      <x:c r="F7" s="22" t="str">
        <x:v>Mayor es mejor</x:v>
      </x:c>
      <x:c r="G7" s="40" t="n">
        <x:f>IFERROR(SUMIFS(Consolidado!$M$5:$M$660,Consolidado!$B$5:$B$660,$A7,Consolidado!$D$5:$D$660,$B7)/COUNTIFS(Consolidado!$B$5:$B$660,$A7,Consolidado!$D$5:$D$660,$B7),"")</x:f>
        <x:v>93.94841260369066</x:v>
      </x:c>
      <x:c r="H7" s="22" t="str">
        <x:f>IF(G7="","",IF(F7="Mayor es mejor",IF(G7&gt;=E7,"En meta",IF(G7&gt;=E7*0.9,"Alerta","Crítico")),IF(G7&lt;=E7,"En meta",IF(G7&lt;=E7*1.1,"Alerta","Crítico"))))</x:f>
        <x:v>Alerta</x:v>
      </x:c>
      <x:c r="I7" s="50" t="n">
        <x:f>COUNTIFS(Consolidado!$B$5:$B$660,$A7,Consolidado!$D$5:$D$660,$B7)</x:f>
        <x:v>12</x:v>
      </x:c>
      <x:c r="J7" s="22" t="str">
        <x:f>IF(A7=2026,"Corte a mayo","Año completo")</x:f>
        <x:v>Año completo</x:v>
      </x:c>
    </x:row>
    <x:row r="8">
      <x:c r="A8" s="50" t="n">
        <x:v>2023</x:v>
      </x:c>
      <x:c r="B8" s="22" t="str">
        <x:v>E04</x:v>
      </x:c>
      <x:c r="C8" s="22" t="str">
        <x:v>% cumplimiento de requisitos legales aplicables en SST</x:v>
      </x:c>
      <x:c r="D8" s="22" t="str">
        <x:v>Estructura</x:v>
      </x:c>
      <x:c r="E8" s="40" t="n">
        <x:v>95</x:v>
      </x:c>
      <x:c r="F8" s="22" t="str">
        <x:v>Mayor es mejor</x:v>
      </x:c>
      <x:c r="G8" s="40" t="n">
        <x:f>IFERROR(SUMIFS(Consolidado!$M$5:$M$660,Consolidado!$B$5:$B$660,$A8,Consolidado!$D$5:$D$660,$B8)/COUNTIFS(Consolidado!$B$5:$B$660,$A8,Consolidado!$D$5:$D$660,$B8),"")</x:f>
        <x:v>92.91666666666667</x:v>
      </x:c>
      <x:c r="H8" s="22" t="str">
        <x:f>IF(G8="","",IF(F8="Mayor es mejor",IF(G8&gt;=E8,"En meta",IF(G8&gt;=E8*0.9,"Alerta","Crítico")),IF(G8&lt;=E8,"En meta",IF(G8&lt;=E8*1.1,"Alerta","Crítico"))))</x:f>
        <x:v>Alerta</x:v>
      </x:c>
      <x:c r="I8" s="50" t="n">
        <x:f>COUNTIFS(Consolidado!$B$5:$B$660,$A8,Consolidado!$D$5:$D$660,$B8)</x:f>
        <x:v>12</x:v>
      </x:c>
      <x:c r="J8" s="22" t="str">
        <x:f>IF(A8=2026,"Corte a mayo","Año completo")</x:f>
        <x:v>Año completo</x:v>
      </x:c>
    </x:row>
    <x:row r="9">
      <x:c r="A9" s="50" t="n">
        <x:v>2023</x:v>
      </x:c>
      <x:c r="B9" s="22" t="str">
        <x:v>E05</x:v>
      </x:c>
      <x:c r="C9" s="22" t="str">
        <x:v>% proveedores y contratistas aprobados en SST</x:v>
      </x:c>
      <x:c r="D9" s="22" t="str">
        <x:v>Estructura</x:v>
      </x:c>
      <x:c r="E9" s="40" t="n">
        <x:v>90</x:v>
      </x:c>
      <x:c r="F9" s="22" t="str">
        <x:v>Mayor es mejor</x:v>
      </x:c>
      <x:c r="G9" s="40" t="n">
        <x:f>IFERROR(SUMIFS(Consolidado!$M$5:$M$660,Consolidado!$B$5:$B$660,$A9,Consolidado!$D$5:$D$660,$B9)/COUNTIFS(Consolidado!$B$5:$B$660,$A9,Consolidado!$D$5:$D$660,$B9),"")</x:f>
        <x:v>90</x:v>
      </x:c>
      <x:c r="H9" s="22" t="str">
        <x:f>IF(G9="","",IF(F9="Mayor es mejor",IF(G9&gt;=E9,"En meta",IF(G9&gt;=E9*0.9,"Alerta","Crítico")),IF(G9&lt;=E9,"En meta",IF(G9&lt;=E9*1.1,"Alerta","Crítico"))))</x:f>
        <x:v>En meta</x:v>
      </x:c>
      <x:c r="I9" s="50" t="n">
        <x:f>COUNTIFS(Consolidado!$B$5:$B$660,$A9,Consolidado!$D$5:$D$660,$B9)</x:f>
        <x:v>12</x:v>
      </x:c>
      <x:c r="J9" s="22" t="str">
        <x:f>IF(A9=2026,"Corte a mayo","Año completo")</x:f>
        <x:v>Año completo</x:v>
      </x:c>
    </x:row>
    <x:row r="10">
      <x:c r="A10" s="50" t="n">
        <x:v>2023</x:v>
      </x:c>
      <x:c r="B10" s="22" t="str">
        <x:v>P01</x:v>
      </x:c>
      <x:c r="C10" s="22" t="str">
        <x:v>% ejecución del plan anual de trabajo SG-SST</x:v>
      </x:c>
      <x:c r="D10" s="22" t="str">
        <x:v>Proceso</x:v>
      </x:c>
      <x:c r="E10" s="40" t="n">
        <x:v>90</x:v>
      </x:c>
      <x:c r="F10" s="22" t="str">
        <x:v>Mayor es mejor</x:v>
      </x:c>
      <x:c r="G10" s="40" t="n">
        <x:f>IFERROR(SUMIFS(Consolidado!$M$5:$M$660,Consolidado!$B$5:$B$660,$A10,Consolidado!$D$5:$D$660,$B10)/COUNTIFS(Consolidado!$B$5:$B$660,$A10,Consolidado!$D$5:$D$660,$B10),"")</x:f>
        <x:v>87.73809523809523</x:v>
      </x:c>
      <x:c r="H10" s="22" t="str">
        <x:f>IF(G10="","",IF(F10="Mayor es mejor",IF(G10&gt;=E10,"En meta",IF(G10&gt;=E10*0.9,"Alerta","Crítico")),IF(G10&lt;=E10,"En meta",IF(G10&lt;=E10*1.1,"Alerta","Crítico"))))</x:f>
        <x:v>Alerta</x:v>
      </x:c>
      <x:c r="I10" s="50" t="n">
        <x:f>COUNTIFS(Consolidado!$B$5:$B$660,$A10,Consolidado!$D$5:$D$660,$B10)</x:f>
        <x:v>12</x:v>
      </x:c>
      <x:c r="J10" s="22" t="str">
        <x:f>IF(A10=2026,"Corte a mayo","Año completo")</x:f>
        <x:v>Año completo</x:v>
      </x:c>
    </x:row>
    <x:row r="11">
      <x:c r="A11" s="50" t="n">
        <x:v>2023</x:v>
      </x:c>
      <x:c r="B11" s="22" t="str">
        <x:v>P02</x:v>
      </x:c>
      <x:c r="C11" s="22" t="str">
        <x:v>% investigaciones de accidentes realizadas oportunamente</x:v>
      </x:c>
      <x:c r="D11" s="22" t="str">
        <x:v>Proceso</x:v>
      </x:c>
      <x:c r="E11" s="40" t="n">
        <x:v>95</x:v>
      </x:c>
      <x:c r="F11" s="22" t="str">
        <x:v>Mayor es mejor</x:v>
      </x:c>
      <x:c r="G11" s="40" t="n">
        <x:f>IFERROR(SUMIFS(Consolidado!$M$5:$M$660,Consolidado!$B$5:$B$660,$A11,Consolidado!$D$5:$D$660,$B11)/COUNTIFS(Consolidado!$B$5:$B$660,$A11,Consolidado!$D$5:$D$660,$B11),"")</x:f>
        <x:v>100</x:v>
      </x:c>
      <x:c r="H11" s="22" t="str">
        <x:f>IF(G11="","",IF(F11="Mayor es mejor",IF(G11&gt;=E11,"En meta",IF(G11&gt;=E11*0.9,"Alerta","Crítico")),IF(G11&lt;=E11,"En meta",IF(G11&lt;=E11*1.1,"Alerta","Crítico"))))</x:f>
        <x:v>En meta</x:v>
      </x:c>
      <x:c r="I11" s="50" t="n">
        <x:f>COUNTIFS(Consolidado!$B$5:$B$660,$A11,Consolidado!$D$5:$D$660,$B11)</x:f>
        <x:v>12</x:v>
      </x:c>
      <x:c r="J11" s="22" t="str">
        <x:f>IF(A11=2026,"Corte a mayo","Año completo")</x:f>
        <x:v>Año completo</x:v>
      </x:c>
    </x:row>
    <x:row r="12">
      <x:c r="A12" s="50" t="n">
        <x:v>2023</x:v>
      </x:c>
      <x:c r="B12" s="22" t="str">
        <x:v>P03</x:v>
      </x:c>
      <x:c r="C12" s="22" t="str">
        <x:v>% cierre oportuno de acciones correctivas, preventivas y de mejora</x:v>
      </x:c>
      <x:c r="D12" s="22" t="str">
        <x:v>Proceso</x:v>
      </x:c>
      <x:c r="E12" s="40" t="n">
        <x:v>90</x:v>
      </x:c>
      <x:c r="F12" s="22" t="str">
        <x:v>Mayor es mejor</x:v>
      </x:c>
      <x:c r="G12" s="40" t="n">
        <x:f>IFERROR(SUMIFS(Consolidado!$M$5:$M$660,Consolidado!$B$5:$B$660,$A12,Consolidado!$D$5:$D$660,$B12)/COUNTIFS(Consolidado!$B$5:$B$660,$A12,Consolidado!$D$5:$D$660,$B12),"")</x:f>
        <x:v>83.84282384282385</x:v>
      </x:c>
      <x:c r="H12" s="22" t="str">
        <x:f>IF(G12="","",IF(F12="Mayor es mejor",IF(G12&gt;=E12,"En meta",IF(G12&gt;=E12*0.9,"Alerta","Crítico")),IF(G12&lt;=E12,"En meta",IF(G12&lt;=E12*1.1,"Alerta","Crítico"))))</x:f>
        <x:v>Alerta</x:v>
      </x:c>
      <x:c r="I12" s="50" t="n">
        <x:f>COUNTIFS(Consolidado!$B$5:$B$660,$A12,Consolidado!$D$5:$D$660,$B12)</x:f>
        <x:v>12</x:v>
      </x:c>
      <x:c r="J12" s="22" t="str">
        <x:f>IF(A12=2026,"Corte a mayo","Año completo")</x:f>
        <x:v>Año completo</x:v>
      </x:c>
    </x:row>
    <x:row r="13">
      <x:c r="A13" s="50" t="n">
        <x:v>2023</x:v>
      </x:c>
      <x:c r="B13" s="22" t="str">
        <x:v>P04</x:v>
      </x:c>
      <x:c r="C13" s="22" t="str">
        <x:v>% inspecciones de seguridad ejecutadas</x:v>
      </x:c>
      <x:c r="D13" s="22" t="str">
        <x:v>Proceso</x:v>
      </x:c>
      <x:c r="E13" s="40" t="n">
        <x:v>90</x:v>
      </x:c>
      <x:c r="F13" s="22" t="str">
        <x:v>Mayor es mejor</x:v>
      </x:c>
      <x:c r="G13" s="40" t="n">
        <x:f>IFERROR(SUMIFS(Consolidado!$M$5:$M$660,Consolidado!$B$5:$B$660,$A13,Consolidado!$D$5:$D$660,$B13)/COUNTIFS(Consolidado!$B$5:$B$660,$A13,Consolidado!$D$5:$D$660,$B13),"")</x:f>
        <x:v>89.32449494949496</x:v>
      </x:c>
      <x:c r="H13" s="22" t="str">
        <x:f>IF(G13="","",IF(F13="Mayor es mejor",IF(G13&gt;=E13,"En meta",IF(G13&gt;=E13*0.9,"Alerta","Crítico")),IF(G13&lt;=E13,"En meta",IF(G13&lt;=E13*1.1,"Alerta","Crítico"))))</x:f>
        <x:v>Alerta</x:v>
      </x:c>
      <x:c r="I13" s="50" t="n">
        <x:f>COUNTIFS(Consolidado!$B$5:$B$660,$A13,Consolidado!$D$5:$D$660,$B13)</x:f>
        <x:v>12</x:v>
      </x:c>
      <x:c r="J13" s="22" t="str">
        <x:f>IF(A13=2026,"Corte a mayo","Año completo")</x:f>
        <x:v>Año completo</x:v>
      </x:c>
    </x:row>
    <x:row r="14">
      <x:c r="A14" s="50" t="n">
        <x:v>2023</x:v>
      </x:c>
      <x:c r="B14" s="22" t="str">
        <x:v>P05</x:v>
      </x:c>
      <x:c r="C14" s="22" t="str">
        <x:v>% mantenimientos preventivos ejecutados</x:v>
      </x:c>
      <x:c r="D14" s="22" t="str">
        <x:v>Proceso</x:v>
      </x:c>
      <x:c r="E14" s="40" t="n">
        <x:v>90</x:v>
      </x:c>
      <x:c r="F14" s="22" t="str">
        <x:v>Mayor es mejor</x:v>
      </x:c>
      <x:c r="G14" s="40" t="n">
        <x:f>IFERROR(SUMIFS(Consolidado!$M$5:$M$660,Consolidado!$B$5:$B$660,$A14,Consolidado!$D$5:$D$660,$B14)/COUNTIFS(Consolidado!$B$5:$B$660,$A14,Consolidado!$D$5:$D$660,$B14),"")</x:f>
        <x:v>90.87454212454212</x:v>
      </x:c>
      <x:c r="H14" s="22" t="str">
        <x:f>IF(G14="","",IF(F14="Mayor es mejor",IF(G14&gt;=E14,"En meta",IF(G14&gt;=E14*0.9,"Alerta","Crítico")),IF(G14&lt;=E14,"En meta",IF(G14&lt;=E14*1.1,"Alerta","Crítico"))))</x:f>
        <x:v>En meta</x:v>
      </x:c>
      <x:c r="I14" s="50" t="n">
        <x:f>COUNTIFS(Consolidado!$B$5:$B$660,$A14,Consolidado!$D$5:$D$660,$B14)</x:f>
        <x:v>12</x:v>
      </x:c>
      <x:c r="J14" s="22" t="str">
        <x:f>IF(A14=2026,"Corte a mayo","Año completo")</x:f>
        <x:v>Año completo</x:v>
      </x:c>
    </x:row>
    <x:row r="15">
      <x:c r="A15" s="50" t="n">
        <x:v>2023</x:v>
      </x:c>
      <x:c r="B15" s="22" t="str">
        <x:v>R01</x:v>
      </x:c>
      <x:c r="C15" s="22" t="str">
        <x:v>Índice de frecuencia de accidentalidad (IF)</x:v>
      </x:c>
      <x:c r="D15" s="22" t="str">
        <x:v>Resultado</x:v>
      </x:c>
      <x:c r="E15" s="40" t="n">
        <x:v>3.5</x:v>
      </x:c>
      <x:c r="F15" s="22" t="str">
        <x:v>Menor es mejor</x:v>
      </x:c>
      <x:c r="G15" s="40" t="n">
        <x:f>IFERROR(SUMIFS(Consolidado!$M$5:$M$660,Consolidado!$B$5:$B$660,$A15,Consolidado!$D$5:$D$660,$B15)/COUNTIFS(Consolidado!$B$5:$B$660,$A15,Consolidado!$D$5:$D$660,$B15),"")</x:f>
        <x:v>3.978377913641895</x:v>
      </x:c>
      <x:c r="H15" s="22" t="str">
        <x:f>IF(G15="","",IF(F15="Mayor es mejor",IF(G15&gt;=E15,"En meta",IF(G15&gt;=E15*0.9,"Alerta","Crítico")),IF(G15&lt;=E15,"En meta",IF(G15&lt;=E15*1.1,"Alerta","Crítico"))))</x:f>
        <x:v>Crítico</x:v>
      </x:c>
      <x:c r="I15" s="50" t="n">
        <x:f>COUNTIFS(Consolidado!$B$5:$B$660,$A15,Consolidado!$D$5:$D$660,$B15)</x:f>
        <x:v>12</x:v>
      </x:c>
      <x:c r="J15" s="22" t="str">
        <x:f>IF(A15=2026,"Corte a mayo","Año completo")</x:f>
        <x:v>Año completo</x:v>
      </x:c>
    </x:row>
    <x:row r="16">
      <x:c r="A16" s="50" t="n">
        <x:v>2023</x:v>
      </x:c>
      <x:c r="B16" s="22" t="str">
        <x:v>R02</x:v>
      </x:c>
      <x:c r="C16" s="22" t="str">
        <x:v>Índice de severidad de accidentalidad (IS)</x:v>
      </x:c>
      <x:c r="D16" s="22" t="str">
        <x:v>Resultado</x:v>
      </x:c>
      <x:c r="E16" s="40" t="n">
        <x:v>80</x:v>
      </x:c>
      <x:c r="F16" s="22" t="str">
        <x:v>Menor es mejor</x:v>
      </x:c>
      <x:c r="G16" s="40" t="n">
        <x:f>IFERROR(SUMIFS(Consolidado!$M$5:$M$660,Consolidado!$B$5:$B$660,$A16,Consolidado!$D$5:$D$660,$B16)/COUNTIFS(Consolidado!$B$5:$B$660,$A16,Consolidado!$D$5:$D$660,$B16),"")</x:f>
        <x:v>77.73526896596414</x:v>
      </x:c>
      <x:c r="H16" s="22" t="str">
        <x:f>IF(G16="","",IF(F16="Mayor es mejor",IF(G16&gt;=E16,"En meta",IF(G16&gt;=E16*0.9,"Alerta","Crítico")),IF(G16&lt;=E16,"En meta",IF(G16&lt;=E16*1.1,"Alerta","Crítico"))))</x:f>
        <x:v>En meta</x:v>
      </x:c>
      <x:c r="I16" s="50" t="n">
        <x:f>COUNTIFS(Consolidado!$B$5:$B$660,$A16,Consolidado!$D$5:$D$660,$B16)</x:f>
        <x:v>12</x:v>
      </x:c>
      <x:c r="J16" s="22" t="str">
        <x:f>IF(A16=2026,"Corte a mayo","Año completo")</x:f>
        <x:v>Año completo</x:v>
      </x:c>
    </x:row>
    <x:row r="17">
      <x:c r="A17" s="50" t="n">
        <x:v>2023</x:v>
      </x:c>
      <x:c r="B17" s="22" t="str">
        <x:v>R03</x:v>
      </x:c>
      <x:c r="C17" s="22" t="str">
        <x:v>Índice de lesión incapacitante (ILI)</x:v>
      </x:c>
      <x:c r="D17" s="22" t="str">
        <x:v>Resultado</x:v>
      </x:c>
      <x:c r="E17" s="40" t="n">
        <x:v>0.25</x:v>
      </x:c>
      <x:c r="F17" s="22" t="str">
        <x:v>Menor es mejor</x:v>
      </x:c>
      <x:c r="G17" s="40" t="n">
        <x:f>IFERROR(SUMIFS(Consolidado!$M$5:$M$660,Consolidado!$B$5:$B$660,$A17,Consolidado!$D$5:$D$660,$B17)/COUNTIFS(Consolidado!$B$5:$B$660,$A17,Consolidado!$D$5:$D$660,$B17),"")</x:f>
        <x:v>0.30878395000000003</x:v>
      </x:c>
      <x:c r="H17" s="22" t="str">
        <x:f>IF(G17="","",IF(F17="Mayor es mejor",IF(G17&gt;=E17,"En meta",IF(G17&gt;=E17*0.9,"Alerta","Crítico")),IF(G17&lt;=E17,"En meta",IF(G17&lt;=E17*1.1,"Alerta","Crítico"))))</x:f>
        <x:v>Crítico</x:v>
      </x:c>
      <x:c r="I17" s="50" t="n">
        <x:f>COUNTIFS(Consolidado!$B$5:$B$660,$A17,Consolidado!$D$5:$D$660,$B17)</x:f>
        <x:v>12</x:v>
      </x:c>
      <x:c r="J17" s="22" t="str">
        <x:f>IF(A17=2026,"Corte a mayo","Año completo")</x:f>
        <x:v>Año completo</x:v>
      </x:c>
    </x:row>
    <x:row r="18">
      <x:c r="A18" s="50" t="n">
        <x:v>2023</x:v>
      </x:c>
      <x:c r="B18" s="22" t="str">
        <x:v>R04</x:v>
      </x:c>
      <x:c r="C18" s="22" t="str">
        <x:v>Tasa de accidentalidad</x:v>
      </x:c>
      <x:c r="D18" s="22" t="str">
        <x:v>Resultado</x:v>
      </x:c>
      <x:c r="E18" s="40" t="n">
        <x:v>0.6</x:v>
      </x:c>
      <x:c r="F18" s="22" t="str">
        <x:v>Menor es mejor</x:v>
      </x:c>
      <x:c r="G18" s="40" t="n">
        <x:f>IFERROR(SUMIFS(Consolidado!$M$5:$M$660,Consolidado!$B$5:$B$660,$A18,Consolidado!$D$5:$D$660,$B18)/COUNTIFS(Consolidado!$B$5:$B$660,$A18,Consolidado!$D$5:$D$660,$B18),"")</x:f>
        <x:v>1.066250224216683</x:v>
      </x:c>
      <x:c r="H18" s="22" t="str">
        <x:f>IF(G18="","",IF(F18="Mayor es mejor",IF(G18&gt;=E18,"En meta",IF(G18&gt;=E18*0.9,"Alerta","Crítico")),IF(G18&lt;=E18,"En meta",IF(G18&lt;=E18*1.1,"Alerta","Crítico"))))</x:f>
        <x:v>Crítico</x:v>
      </x:c>
      <x:c r="I18" s="50" t="n">
        <x:f>COUNTIFS(Consolidado!$B$5:$B$660,$A18,Consolidado!$D$5:$D$660,$B18)</x:f>
        <x:v>12</x:v>
      </x:c>
      <x:c r="J18" s="22" t="str">
        <x:f>IF(A18=2026,"Corte a mayo","Año completo")</x:f>
        <x:v>Año completo</x:v>
      </x:c>
    </x:row>
    <x:row r="19">
      <x:c r="A19" s="50" t="n">
        <x:v>2023</x:v>
      </x:c>
      <x:c r="B19" s="22" t="str">
        <x:v>R05</x:v>
      </x:c>
      <x:c r="C19" s="22" t="str">
        <x:v>Prevalencia de enfermedad laboral</x:v>
      </x:c>
      <x:c r="D19" s="22" t="str">
        <x:v>Resultado</x:v>
      </x:c>
      <x:c r="E19" s="40" t="n">
        <x:v>0.3</x:v>
      </x:c>
      <x:c r="F19" s="22" t="str">
        <x:v>Menor es mejor</x:v>
      </x:c>
      <x:c r="G19" s="40" t="n">
        <x:f>IFERROR(SUMIFS(Consolidado!$M$5:$M$660,Consolidado!$B$5:$B$660,$A19,Consolidado!$D$5:$D$660,$B19)/COUNTIFS(Consolidado!$B$5:$B$660,$A19,Consolidado!$D$5:$D$660,$B19),"")</x:f>
        <x:v>0.4583740234148985</x:v>
      </x:c>
      <x:c r="H19" s="22" t="str">
        <x:f>IF(G19="","",IF(F19="Mayor es mejor",IF(G19&gt;=E19,"En meta",IF(G19&gt;=E19*0.9,"Alerta","Crítico")),IF(G19&lt;=E19,"En meta",IF(G19&lt;=E19*1.1,"Alerta","Crítico"))))</x:f>
        <x:v>Crítico</x:v>
      </x:c>
      <x:c r="I19" s="50" t="n">
        <x:f>COUNTIFS(Consolidado!$B$5:$B$660,$A19,Consolidado!$D$5:$D$660,$B19)</x:f>
        <x:v>12</x:v>
      </x:c>
      <x:c r="J19" s="22" t="str">
        <x:f>IF(A19=2026,"Corte a mayo","Año completo")</x:f>
        <x:v>Año completo</x:v>
      </x:c>
    </x:row>
    <x:row r="20">
      <x:c r="A20" s="50" t="n">
        <x:v>2023</x:v>
      </x:c>
      <x:c r="B20" s="22" t="str">
        <x:v>R06</x:v>
      </x:c>
      <x:c r="C20" s="22" t="str">
        <x:v>% cumplimiento de estándares mínimos Res. 0312 de 2019</x:v>
      </x:c>
      <x:c r="D20" s="22" t="str">
        <x:v>Resultado</x:v>
      </x:c>
      <x:c r="E20" s="40" t="n">
        <x:v>95</x:v>
      </x:c>
      <x:c r="F20" s="22" t="str">
        <x:v>Mayor es mejor</x:v>
      </x:c>
      <x:c r="G20" s="40" t="n">
        <x:f>IFERROR(SUMIFS(Consolidado!$M$5:$M$660,Consolidado!$B$5:$B$660,$A20,Consolidado!$D$5:$D$660,$B20)/COUNTIFS(Consolidado!$B$5:$B$660,$A20,Consolidado!$D$5:$D$660,$B20),"")</x:f>
        <x:v>96.5</x:v>
      </x:c>
      <x:c r="H20" s="22" t="str">
        <x:f>IF(G20="","",IF(F20="Mayor es mejor",IF(G20&gt;=E20,"En meta",IF(G20&gt;=E20*0.9,"Alerta","Crítico")),IF(G20&lt;=E20,"En meta",IF(G20&lt;=E20*1.1,"Alerta","Crítico"))))</x:f>
        <x:v>En meta</x:v>
      </x:c>
      <x:c r="I20" s="50" t="n">
        <x:f>COUNTIFS(Consolidado!$B$5:$B$660,$A20,Consolidado!$D$5:$D$660,$B20)</x:f>
        <x:v>12</x:v>
      </x:c>
      <x:c r="J20" s="22" t="str">
        <x:f>IF(A20=2026,"Corte a mayo","Año completo")</x:f>
        <x:v>Año completo</x:v>
      </x:c>
    </x:row>
    <x:row r="21">
      <x:c r="A21" s="50" t="n">
        <x:v>2024</x:v>
      </x:c>
      <x:c r="B21" s="22" t="str">
        <x:v>E01</x:v>
      </x:c>
      <x:c r="C21" s="22" t="str">
        <x:v>% ejecución presupuestal del SG-SST</x:v>
      </x:c>
      <x:c r="D21" s="22" t="str">
        <x:v>Estructura</x:v>
      </x:c>
      <x:c r="E21" s="40" t="n">
        <x:v>95</x:v>
      </x:c>
      <x:c r="F21" s="22" t="str">
        <x:v>Mayor es mejor</x:v>
      </x:c>
      <x:c r="G21" s="40" t="n">
        <x:f>IFERROR(SUMIFS(Consolidado!$M$5:$M$660,Consolidado!$B$5:$B$660,$A21,Consolidado!$D$5:$D$660,$B21)/COUNTIFS(Consolidado!$B$5:$B$660,$A21,Consolidado!$D$5:$D$660,$B21),"")</x:f>
        <x:v>94.24328933065495</x:v>
      </x:c>
      <x:c r="H21" s="22" t="str">
        <x:f>IF(G21="","",IF(F21="Mayor es mejor",IF(G21&gt;=E21,"En meta",IF(G21&gt;=E21*0.9,"Alerta","Crítico")),IF(G21&lt;=E21,"En meta",IF(G21&lt;=E21*1.1,"Alerta","Crítico"))))</x:f>
        <x:v>Alerta</x:v>
      </x:c>
      <x:c r="I21" s="50" t="n">
        <x:f>COUNTIFS(Consolidado!$B$5:$B$660,$A21,Consolidado!$D$5:$D$660,$B21)</x:f>
        <x:v>12</x:v>
      </x:c>
      <x:c r="J21" s="22" t="str">
        <x:f>IF(A21=2026,"Corte a mayo","Año completo")</x:f>
        <x:v>Año completo</x:v>
      </x:c>
    </x:row>
    <x:row r="22">
      <x:c r="A22" s="50" t="n">
        <x:v>2024</x:v>
      </x:c>
      <x:c r="B22" s="22" t="str">
        <x:v>E02</x:v>
      </x:c>
      <x:c r="C22" s="22" t="str">
        <x:v>% cobertura del plan de formación y capacitación SG-SST</x:v>
      </x:c>
      <x:c r="D22" s="22" t="str">
        <x:v>Estructura</x:v>
      </x:c>
      <x:c r="E22" s="40" t="n">
        <x:v>90</x:v>
      </x:c>
      <x:c r="F22" s="22" t="str">
        <x:v>Mayor es mejor</x:v>
      </x:c>
      <x:c r="G22" s="40" t="n">
        <x:f>IFERROR(SUMIFS(Consolidado!$M$5:$M$660,Consolidado!$B$5:$B$660,$A22,Consolidado!$D$5:$D$660,$B22)/COUNTIFS(Consolidado!$B$5:$B$660,$A22,Consolidado!$D$5:$D$660,$B22),"")</x:f>
        <x:v>90.01893939393938</x:v>
      </x:c>
      <x:c r="H22" s="22" t="str">
        <x:f>IF(G22="","",IF(F22="Mayor es mejor",IF(G22&gt;=E22,"En meta",IF(G22&gt;=E22*0.9,"Alerta","Crítico")),IF(G22&lt;=E22,"En meta",IF(G22&lt;=E22*1.1,"Alerta","Crítico"))))</x:f>
        <x:v>En meta</x:v>
      </x:c>
      <x:c r="I22" s="50" t="n">
        <x:f>COUNTIFS(Consolidado!$B$5:$B$660,$A22,Consolidado!$D$5:$D$660,$B22)</x:f>
        <x:v>12</x:v>
      </x:c>
      <x:c r="J22" s="22" t="str">
        <x:f>IF(A22=2026,"Corte a mayo","Año completo")</x:f>
        <x:v>Año completo</x:v>
      </x:c>
    </x:row>
    <x:row r="23">
      <x:c r="A23" s="50" t="n">
        <x:v>2024</x:v>
      </x:c>
      <x:c r="B23" s="22" t="str">
        <x:v>E03</x:v>
      </x:c>
      <x:c r="C23" s="22" t="str">
        <x:v>% trabajadores con exámenes médicos ocupacionales vigentes</x:v>
      </x:c>
      <x:c r="D23" s="22" t="str">
        <x:v>Estructura</x:v>
      </x:c>
      <x:c r="E23" s="40" t="n">
        <x:v>95</x:v>
      </x:c>
      <x:c r="F23" s="22" t="str">
        <x:v>Mayor es mejor</x:v>
      </x:c>
      <x:c r="G23" s="40" t="n">
        <x:f>IFERROR(SUMIFS(Consolidado!$M$5:$M$660,Consolidado!$B$5:$B$660,$A23,Consolidado!$D$5:$D$660,$B23)/COUNTIFS(Consolidado!$B$5:$B$660,$A23,Consolidado!$D$5:$D$660,$B23),"")</x:f>
        <x:v>95.18480431631127</x:v>
      </x:c>
      <x:c r="H23" s="22" t="str">
        <x:f>IF(G23="","",IF(F23="Mayor es mejor",IF(G23&gt;=E23,"En meta",IF(G23&gt;=E23*0.9,"Alerta","Crítico")),IF(G23&lt;=E23,"En meta",IF(G23&lt;=E23*1.1,"Alerta","Crítico"))))</x:f>
        <x:v>En meta</x:v>
      </x:c>
      <x:c r="I23" s="50" t="n">
        <x:f>COUNTIFS(Consolidado!$B$5:$B$660,$A23,Consolidado!$D$5:$D$660,$B23)</x:f>
        <x:v>12</x:v>
      </x:c>
      <x:c r="J23" s="22" t="str">
        <x:f>IF(A23=2026,"Corte a mayo","Año completo")</x:f>
        <x:v>Año completo</x:v>
      </x:c>
    </x:row>
    <x:row r="24">
      <x:c r="A24" s="50" t="n">
        <x:v>2024</x:v>
      </x:c>
      <x:c r="B24" s="22" t="str">
        <x:v>E04</x:v>
      </x:c>
      <x:c r="C24" s="22" t="str">
        <x:v>% cumplimiento de requisitos legales aplicables en SST</x:v>
      </x:c>
      <x:c r="D24" s="22" t="str">
        <x:v>Estructura</x:v>
      </x:c>
      <x:c r="E24" s="40" t="n">
        <x:v>95</x:v>
      </x:c>
      <x:c r="F24" s="22" t="str">
        <x:v>Mayor es mejor</x:v>
      </x:c>
      <x:c r="G24" s="40" t="n">
        <x:f>IFERROR(SUMIFS(Consolidado!$M$5:$M$660,Consolidado!$B$5:$B$660,$A24,Consolidado!$D$5:$D$660,$B24)/COUNTIFS(Consolidado!$B$5:$B$660,$A24,Consolidado!$D$5:$D$660,$B24),"")</x:f>
        <x:v>95.27777777777779</x:v>
      </x:c>
      <x:c r="H24" s="22" t="str">
        <x:f>IF(G24="","",IF(F24="Mayor es mejor",IF(G24&gt;=E24,"En meta",IF(G24&gt;=E24*0.9,"Alerta","Crítico")),IF(G24&lt;=E24,"En meta",IF(G24&lt;=E24*1.1,"Alerta","Crítico"))))</x:f>
        <x:v>En meta</x:v>
      </x:c>
      <x:c r="I24" s="50" t="n">
        <x:f>COUNTIFS(Consolidado!$B$5:$B$660,$A24,Consolidado!$D$5:$D$660,$B24)</x:f>
        <x:v>12</x:v>
      </x:c>
      <x:c r="J24" s="22" t="str">
        <x:f>IF(A24=2026,"Corte a mayo","Año completo")</x:f>
        <x:v>Año completo</x:v>
      </x:c>
    </x:row>
    <x:row r="25">
      <x:c r="A25" s="50" t="n">
        <x:v>2024</x:v>
      </x:c>
      <x:c r="B25" s="22" t="str">
        <x:v>E05</x:v>
      </x:c>
      <x:c r="C25" s="22" t="str">
        <x:v>% proveedores y contratistas aprobados en SST</x:v>
      </x:c>
      <x:c r="D25" s="22" t="str">
        <x:v>Estructura</x:v>
      </x:c>
      <x:c r="E25" s="40" t="n">
        <x:v>90</x:v>
      </x:c>
      <x:c r="F25" s="22" t="str">
        <x:v>Mayor es mejor</x:v>
      </x:c>
      <x:c r="G25" s="40" t="n">
        <x:f>IFERROR(SUMIFS(Consolidado!$M$5:$M$660,Consolidado!$B$5:$B$660,$A25,Consolidado!$D$5:$D$660,$B25)/COUNTIFS(Consolidado!$B$5:$B$660,$A25,Consolidado!$D$5:$D$660,$B25),"")</x:f>
        <x:v>90</x:v>
      </x:c>
      <x:c r="H25" s="22" t="str">
        <x:f>IF(G25="","",IF(F25="Mayor es mejor",IF(G25&gt;=E25,"En meta",IF(G25&gt;=E25*0.9,"Alerta","Crítico")),IF(G25&lt;=E25,"En meta",IF(G25&lt;=E25*1.1,"Alerta","Crítico"))))</x:f>
        <x:v>En meta</x:v>
      </x:c>
      <x:c r="I25" s="50" t="n">
        <x:f>COUNTIFS(Consolidado!$B$5:$B$660,$A25,Consolidado!$D$5:$D$660,$B25)</x:f>
        <x:v>12</x:v>
      </x:c>
      <x:c r="J25" s="22" t="str">
        <x:f>IF(A25=2026,"Corte a mayo","Año completo")</x:f>
        <x:v>Año completo</x:v>
      </x:c>
    </x:row>
    <x:row r="26">
      <x:c r="A26" s="50" t="n">
        <x:v>2024</x:v>
      </x:c>
      <x:c r="B26" s="22" t="str">
        <x:v>P01</x:v>
      </x:c>
      <x:c r="C26" s="22" t="str">
        <x:v>% ejecución del plan anual de trabajo SG-SST</x:v>
      </x:c>
      <x:c r="D26" s="22" t="str">
        <x:v>Proceso</x:v>
      </x:c>
      <x:c r="E26" s="40" t="n">
        <x:v>90</x:v>
      </x:c>
      <x:c r="F26" s="22" t="str">
        <x:v>Mayor es mejor</x:v>
      </x:c>
      <x:c r="G26" s="40" t="n">
        <x:f>IFERROR(SUMIFS(Consolidado!$M$5:$M$660,Consolidado!$B$5:$B$660,$A26,Consolidado!$D$5:$D$660,$B26)/COUNTIFS(Consolidado!$B$5:$B$660,$A26,Consolidado!$D$5:$D$660,$B26),"")</x:f>
        <x:v>90.91269841269842</x:v>
      </x:c>
      <x:c r="H26" s="22" t="str">
        <x:f>IF(G26="","",IF(F26="Mayor es mejor",IF(G26&gt;=E26,"En meta",IF(G26&gt;=E26*0.9,"Alerta","Crítico")),IF(G26&lt;=E26,"En meta",IF(G26&lt;=E26*1.1,"Alerta","Crítico"))))</x:f>
        <x:v>En meta</x:v>
      </x:c>
      <x:c r="I26" s="50" t="n">
        <x:f>COUNTIFS(Consolidado!$B$5:$B$660,$A26,Consolidado!$D$5:$D$660,$B26)</x:f>
        <x:v>12</x:v>
      </x:c>
      <x:c r="J26" s="22" t="str">
        <x:f>IF(A26=2026,"Corte a mayo","Año completo")</x:f>
        <x:v>Año completo</x:v>
      </x:c>
    </x:row>
    <x:row r="27">
      <x:c r="A27" s="50" t="n">
        <x:v>2024</x:v>
      </x:c>
      <x:c r="B27" s="22" t="str">
        <x:v>P02</x:v>
      </x:c>
      <x:c r="C27" s="22" t="str">
        <x:v>% investigaciones de accidentes realizadas oportunamente</x:v>
      </x:c>
      <x:c r="D27" s="22" t="str">
        <x:v>Proceso</x:v>
      </x:c>
      <x:c r="E27" s="40" t="n">
        <x:v>95</x:v>
      </x:c>
      <x:c r="F27" s="22" t="str">
        <x:v>Mayor es mejor</x:v>
      </x:c>
      <x:c r="G27" s="40" t="n">
        <x:f>IFERROR(SUMIFS(Consolidado!$M$5:$M$660,Consolidado!$B$5:$B$660,$A27,Consolidado!$D$5:$D$660,$B27)/COUNTIFS(Consolidado!$B$5:$B$660,$A27,Consolidado!$D$5:$D$660,$B27),"")</x:f>
        <x:v>100</x:v>
      </x:c>
      <x:c r="H27" s="22" t="str">
        <x:f>IF(G27="","",IF(F27="Mayor es mejor",IF(G27&gt;=E27,"En meta",IF(G27&gt;=E27*0.9,"Alerta","Crítico")),IF(G27&lt;=E27,"En meta",IF(G27&lt;=E27*1.1,"Alerta","Crítico"))))</x:f>
        <x:v>En meta</x:v>
      </x:c>
      <x:c r="I27" s="50" t="n">
        <x:f>COUNTIFS(Consolidado!$B$5:$B$660,$A27,Consolidado!$D$5:$D$660,$B27)</x:f>
        <x:v>12</x:v>
      </x:c>
      <x:c r="J27" s="22" t="str">
        <x:f>IF(A27=2026,"Corte a mayo","Año completo")</x:f>
        <x:v>Año completo</x:v>
      </x:c>
    </x:row>
    <x:row r="28">
      <x:c r="A28" s="50" t="n">
        <x:v>2024</x:v>
      </x:c>
      <x:c r="B28" s="22" t="str">
        <x:v>P03</x:v>
      </x:c>
      <x:c r="C28" s="22" t="str">
        <x:v>% cierre oportuno de acciones correctivas, preventivas y de mejora</x:v>
      </x:c>
      <x:c r="D28" s="22" t="str">
        <x:v>Proceso</x:v>
      </x:c>
      <x:c r="E28" s="40" t="n">
        <x:v>90</x:v>
      </x:c>
      <x:c r="F28" s="22" t="str">
        <x:v>Mayor es mejor</x:v>
      </x:c>
      <x:c r="G28" s="40" t="n">
        <x:f>IFERROR(SUMIFS(Consolidado!$M$5:$M$660,Consolidado!$B$5:$B$660,$A28,Consolidado!$D$5:$D$660,$B28)/COUNTIFS(Consolidado!$B$5:$B$660,$A28,Consolidado!$D$5:$D$660,$B28),"")</x:f>
        <x:v>90.31426906426906</x:v>
      </x:c>
      <x:c r="H28" s="22" t="str">
        <x:f>IF(G28="","",IF(F28="Mayor es mejor",IF(G28&gt;=E28,"En meta",IF(G28&gt;=E28*0.9,"Alerta","Crítico")),IF(G28&lt;=E28,"En meta",IF(G28&lt;=E28*1.1,"Alerta","Crítico"))))</x:f>
        <x:v>En meta</x:v>
      </x:c>
      <x:c r="I28" s="50" t="n">
        <x:f>COUNTIFS(Consolidado!$B$5:$B$660,$A28,Consolidado!$D$5:$D$660,$B28)</x:f>
        <x:v>12</x:v>
      </x:c>
      <x:c r="J28" s="22" t="str">
        <x:f>IF(A28=2026,"Corte a mayo","Año completo")</x:f>
        <x:v>Año completo</x:v>
      </x:c>
    </x:row>
    <x:row r="29">
      <x:c r="A29" s="50" t="n">
        <x:v>2024</x:v>
      </x:c>
      <x:c r="B29" s="22" t="str">
        <x:v>P04</x:v>
      </x:c>
      <x:c r="C29" s="22" t="str">
        <x:v>% inspecciones de seguridad ejecutadas</x:v>
      </x:c>
      <x:c r="D29" s="22" t="str">
        <x:v>Proceso</x:v>
      </x:c>
      <x:c r="E29" s="40" t="n">
        <x:v>90</x:v>
      </x:c>
      <x:c r="F29" s="22" t="str">
        <x:v>Mayor es mejor</x:v>
      </x:c>
      <x:c r="G29" s="40" t="n">
        <x:f>IFERROR(SUMIFS(Consolidado!$M$5:$M$660,Consolidado!$B$5:$B$660,$A29,Consolidado!$D$5:$D$660,$B29)/COUNTIFS(Consolidado!$B$5:$B$660,$A29,Consolidado!$D$5:$D$660,$B29),"")</x:f>
        <x:v>89.32449494949496</x:v>
      </x:c>
      <x:c r="H29" s="22" t="str">
        <x:f>IF(G29="","",IF(F29="Mayor es mejor",IF(G29&gt;=E29,"En meta",IF(G29&gt;=E29*0.9,"Alerta","Crítico")),IF(G29&lt;=E29,"En meta",IF(G29&lt;=E29*1.1,"Alerta","Crítico"))))</x:f>
        <x:v>Alerta</x:v>
      </x:c>
      <x:c r="I29" s="50" t="n">
        <x:f>COUNTIFS(Consolidado!$B$5:$B$660,$A29,Consolidado!$D$5:$D$660,$B29)</x:f>
        <x:v>12</x:v>
      </x:c>
      <x:c r="J29" s="22" t="str">
        <x:f>IF(A29=2026,"Corte a mayo","Año completo")</x:f>
        <x:v>Año completo</x:v>
      </x:c>
    </x:row>
    <x:row r="30">
      <x:c r="A30" s="50" t="n">
        <x:v>2024</x:v>
      </x:c>
      <x:c r="B30" s="22" t="str">
        <x:v>P05</x:v>
      </x:c>
      <x:c r="C30" s="22" t="str">
        <x:v>% mantenimientos preventivos ejecutados</x:v>
      </x:c>
      <x:c r="D30" s="22" t="str">
        <x:v>Proceso</x:v>
      </x:c>
      <x:c r="E30" s="40" t="n">
        <x:v>90</x:v>
      </x:c>
      <x:c r="F30" s="22" t="str">
        <x:v>Mayor es mejor</x:v>
      </x:c>
      <x:c r="G30" s="40" t="n">
        <x:f>IFERROR(SUMIFS(Consolidado!$M$5:$M$660,Consolidado!$B$5:$B$660,$A30,Consolidado!$D$5:$D$660,$B30)/COUNTIFS(Consolidado!$B$5:$B$660,$A30,Consolidado!$D$5:$D$660,$B30),"")</x:f>
        <x:v>92.5412087912088</x:v>
      </x:c>
      <x:c r="H30" s="22" t="str">
        <x:f>IF(G30="","",IF(F30="Mayor es mejor",IF(G30&gt;=E30,"En meta",IF(G30&gt;=E30*0.9,"Alerta","Crítico")),IF(G30&lt;=E30,"En meta",IF(G30&lt;=E30*1.1,"Alerta","Crítico"))))</x:f>
        <x:v>En meta</x:v>
      </x:c>
      <x:c r="I30" s="50" t="n">
        <x:f>COUNTIFS(Consolidado!$B$5:$B$660,$A30,Consolidado!$D$5:$D$660,$B30)</x:f>
        <x:v>12</x:v>
      </x:c>
      <x:c r="J30" s="22" t="str">
        <x:f>IF(A30=2026,"Corte a mayo","Año completo")</x:f>
        <x:v>Año completo</x:v>
      </x:c>
    </x:row>
    <x:row r="31">
      <x:c r="A31" s="50" t="n">
        <x:v>2024</x:v>
      </x:c>
      <x:c r="B31" s="22" t="str">
        <x:v>R01</x:v>
      </x:c>
      <x:c r="C31" s="22" t="str">
        <x:v>Índice de frecuencia de accidentalidad (IF)</x:v>
      </x:c>
      <x:c r="D31" s="22" t="str">
        <x:v>Resultado</x:v>
      </x:c>
      <x:c r="E31" s="40" t="n">
        <x:v>3.5</x:v>
      </x:c>
      <x:c r="F31" s="22" t="str">
        <x:v>Menor es mejor</x:v>
      </x:c>
      <x:c r="G31" s="40" t="n">
        <x:f>IFERROR(SUMIFS(Consolidado!$M$5:$M$660,Consolidado!$B$5:$B$660,$A31,Consolidado!$D$5:$D$660,$B31)/COUNTIFS(Consolidado!$B$5:$B$660,$A31,Consolidado!$D$5:$D$660,$B31),"")</x:f>
        <x:v>3.6875293639728373</x:v>
      </x:c>
      <x:c r="H31" s="22" t="str">
        <x:f>IF(G31="","",IF(F31="Mayor es mejor",IF(G31&gt;=E31,"En meta",IF(G31&gt;=E31*0.9,"Alerta","Crítico")),IF(G31&lt;=E31,"En meta",IF(G31&lt;=E31*1.1,"Alerta","Crítico"))))</x:f>
        <x:v>Alerta</x:v>
      </x:c>
      <x:c r="I31" s="50" t="n">
        <x:f>COUNTIFS(Consolidado!$B$5:$B$660,$A31,Consolidado!$D$5:$D$660,$B31)</x:f>
        <x:v>12</x:v>
      </x:c>
      <x:c r="J31" s="22" t="str">
        <x:f>IF(A31=2026,"Corte a mayo","Año completo")</x:f>
        <x:v>Año completo</x:v>
      </x:c>
    </x:row>
    <x:row r="32">
      <x:c r="A32" s="50" t="n">
        <x:v>2024</x:v>
      </x:c>
      <x:c r="B32" s="22" t="str">
        <x:v>R02</x:v>
      </x:c>
      <x:c r="C32" s="22" t="str">
        <x:v>Índice de severidad de accidentalidad (IS)</x:v>
      </x:c>
      <x:c r="D32" s="22" t="str">
        <x:v>Resultado</x:v>
      </x:c>
      <x:c r="E32" s="40" t="n">
        <x:v>80</x:v>
      </x:c>
      <x:c r="F32" s="22" t="str">
        <x:v>Menor es mejor</x:v>
      </x:c>
      <x:c r="G32" s="40" t="n">
        <x:f>IFERROR(SUMIFS(Consolidado!$M$5:$M$660,Consolidado!$B$5:$B$660,$A32,Consolidado!$D$5:$D$660,$B32)/COUNTIFS(Consolidado!$B$5:$B$660,$A32,Consolidado!$D$5:$D$660,$B32),"")</x:f>
        <x:v>67.4138031662913</x:v>
      </x:c>
      <x:c r="H32" s="22" t="str">
        <x:f>IF(G32="","",IF(F32="Mayor es mejor",IF(G32&gt;=E32,"En meta",IF(G32&gt;=E32*0.9,"Alerta","Crítico")),IF(G32&lt;=E32,"En meta",IF(G32&lt;=E32*1.1,"Alerta","Crítico"))))</x:f>
        <x:v>En meta</x:v>
      </x:c>
      <x:c r="I32" s="50" t="n">
        <x:f>COUNTIFS(Consolidado!$B$5:$B$660,$A32,Consolidado!$D$5:$D$660,$B32)</x:f>
        <x:v>12</x:v>
      </x:c>
      <x:c r="J32" s="22" t="str">
        <x:f>IF(A32=2026,"Corte a mayo","Año completo")</x:f>
        <x:v>Año completo</x:v>
      </x:c>
    </x:row>
    <x:row r="33">
      <x:c r="A33" s="50" t="n">
        <x:v>2024</x:v>
      </x:c>
      <x:c r="B33" s="22" t="str">
        <x:v>R03</x:v>
      </x:c>
      <x:c r="C33" s="22" t="str">
        <x:v>Índice de lesión incapacitante (ILI)</x:v>
      </x:c>
      <x:c r="D33" s="22" t="str">
        <x:v>Resultado</x:v>
      </x:c>
      <x:c r="E33" s="40" t="n">
        <x:v>0.25</x:v>
      </x:c>
      <x:c r="F33" s="22" t="str">
        <x:v>Menor es mejor</x:v>
      </x:c>
      <x:c r="G33" s="40" t="n">
        <x:f>IFERROR(SUMIFS(Consolidado!$M$5:$M$660,Consolidado!$B$5:$B$660,$A33,Consolidado!$D$5:$D$660,$B33)/COUNTIFS(Consolidado!$B$5:$B$660,$A33,Consolidado!$D$5:$D$660,$B33),"")</x:f>
        <x:v>0.24804895833333337</x:v>
      </x:c>
      <x:c r="H33" s="22" t="str">
        <x:f>IF(G33="","",IF(F33="Mayor es mejor",IF(G33&gt;=E33,"En meta",IF(G33&gt;=E33*0.9,"Alerta","Crítico")),IF(G33&lt;=E33,"En meta",IF(G33&lt;=E33*1.1,"Alerta","Crítico"))))</x:f>
        <x:v>En meta</x:v>
      </x:c>
      <x:c r="I33" s="50" t="n">
        <x:f>COUNTIFS(Consolidado!$B$5:$B$660,$A33,Consolidado!$D$5:$D$660,$B33)</x:f>
        <x:v>12</x:v>
      </x:c>
      <x:c r="J33" s="22" t="str">
        <x:f>IF(A33=2026,"Corte a mayo","Año completo")</x:f>
        <x:v>Año completo</x:v>
      </x:c>
    </x:row>
    <x:row r="34">
      <x:c r="A34" s="50" t="n">
        <x:v>2024</x:v>
      </x:c>
      <x:c r="B34" s="22" t="str">
        <x:v>R04</x:v>
      </x:c>
      <x:c r="C34" s="22" t="str">
        <x:v>Tasa de accidentalidad</x:v>
      </x:c>
      <x:c r="D34" s="22" t="str">
        <x:v>Resultado</x:v>
      </x:c>
      <x:c r="E34" s="40" t="n">
        <x:v>0.6</x:v>
      </x:c>
      <x:c r="F34" s="22" t="str">
        <x:v>Menor es mejor</x:v>
      </x:c>
      <x:c r="G34" s="40" t="n">
        <x:f>IFERROR(SUMIFS(Consolidado!$M$5:$M$660,Consolidado!$B$5:$B$660,$A34,Consolidado!$D$5:$D$660,$B34)/COUNTIFS(Consolidado!$B$5:$B$660,$A34,Consolidado!$D$5:$D$660,$B34),"")</x:f>
        <x:v>1.0545583869693929</x:v>
      </x:c>
      <x:c r="H34" s="22" t="str">
        <x:f>IF(G34="","",IF(F34="Mayor es mejor",IF(G34&gt;=E34,"En meta",IF(G34&gt;=E34*0.9,"Alerta","Crítico")),IF(G34&lt;=E34,"En meta",IF(G34&lt;=E34*1.1,"Alerta","Crítico"))))</x:f>
        <x:v>Crítico</x:v>
      </x:c>
      <x:c r="I34" s="50" t="n">
        <x:f>COUNTIFS(Consolidado!$B$5:$B$660,$A34,Consolidado!$D$5:$D$660,$B34)</x:f>
        <x:v>12</x:v>
      </x:c>
      <x:c r="J34" s="22" t="str">
        <x:f>IF(A34=2026,"Corte a mayo","Año completo")</x:f>
        <x:v>Año completo</x:v>
      </x:c>
    </x:row>
    <x:row r="35">
      <x:c r="A35" s="50" t="n">
        <x:v>2024</x:v>
      </x:c>
      <x:c r="B35" s="22" t="str">
        <x:v>R05</x:v>
      </x:c>
      <x:c r="C35" s="22" t="str">
        <x:v>Prevalencia de enfermedad laboral</x:v>
      </x:c>
      <x:c r="D35" s="22" t="str">
        <x:v>Resultado</x:v>
      </x:c>
      <x:c r="E35" s="40" t="n">
        <x:v>0.3</x:v>
      </x:c>
      <x:c r="F35" s="22" t="str">
        <x:v>Menor es mejor</x:v>
      </x:c>
      <x:c r="G35" s="40" t="n">
        <x:f>IFERROR(SUMIFS(Consolidado!$M$5:$M$660,Consolidado!$B$5:$B$660,$A35,Consolidado!$D$5:$D$660,$B35)/COUNTIFS(Consolidado!$B$5:$B$660,$A35,Consolidado!$D$5:$D$660,$B35),"")</x:f>
        <x:v>0.8272319305315078</x:v>
      </x:c>
      <x:c r="H35" s="22" t="str">
        <x:f>IF(G35="","",IF(F35="Mayor es mejor",IF(G35&gt;=E35,"En meta",IF(G35&gt;=E35*0.9,"Alerta","Crítico")),IF(G35&lt;=E35,"En meta",IF(G35&lt;=E35*1.1,"Alerta","Crítico"))))</x:f>
        <x:v>Crítico</x:v>
      </x:c>
      <x:c r="I35" s="50" t="n">
        <x:f>COUNTIFS(Consolidado!$B$5:$B$660,$A35,Consolidado!$D$5:$D$660,$B35)</x:f>
        <x:v>12</x:v>
      </x:c>
      <x:c r="J35" s="22" t="str">
        <x:f>IF(A35=2026,"Corte a mayo","Año completo")</x:f>
        <x:v>Año completo</x:v>
      </x:c>
    </x:row>
    <x:row r="36">
      <x:c r="A36" s="50" t="n">
        <x:v>2024</x:v>
      </x:c>
      <x:c r="B36" s="22" t="str">
        <x:v>R06</x:v>
      </x:c>
      <x:c r="C36" s="22" t="str">
        <x:v>% cumplimiento de estándares mínimos Res. 0312 de 2019</x:v>
      </x:c>
      <x:c r="D36" s="22" t="str">
        <x:v>Resultado</x:v>
      </x:c>
      <x:c r="E36" s="40" t="n">
        <x:v>95</x:v>
      </x:c>
      <x:c r="F36" s="22" t="str">
        <x:v>Mayor es mejor</x:v>
      </x:c>
      <x:c r="G36" s="40" t="n">
        <x:f>IFERROR(SUMIFS(Consolidado!$M$5:$M$660,Consolidado!$B$5:$B$660,$A36,Consolidado!$D$5:$D$660,$B36)/COUNTIFS(Consolidado!$B$5:$B$660,$A36,Consolidado!$D$5:$D$660,$B36),"")</x:f>
        <x:v>97.16666666666667</x:v>
      </x:c>
      <x:c r="H36" s="22" t="str">
        <x:f>IF(G36="","",IF(F36="Mayor es mejor",IF(G36&gt;=E36,"En meta",IF(G36&gt;=E36*0.9,"Alerta","Crítico")),IF(G36&lt;=E36,"En meta",IF(G36&lt;=E36*1.1,"Alerta","Crítico"))))</x:f>
        <x:v>En meta</x:v>
      </x:c>
      <x:c r="I36" s="50" t="n">
        <x:f>COUNTIFS(Consolidado!$B$5:$B$660,$A36,Consolidado!$D$5:$D$660,$B36)</x:f>
        <x:v>12</x:v>
      </x:c>
      <x:c r="J36" s="22" t="str">
        <x:f>IF(A36=2026,"Corte a mayo","Año completo")</x:f>
        <x:v>Año completo</x:v>
      </x:c>
    </x:row>
    <x:row r="37">
      <x:c r="A37" s="50" t="n">
        <x:v>2025</x:v>
      </x:c>
      <x:c r="B37" s="22" t="str">
        <x:v>E01</x:v>
      </x:c>
      <x:c r="C37" s="22" t="str">
        <x:v>% ejecución presupuestal del SG-SST</x:v>
      </x:c>
      <x:c r="D37" s="22" t="str">
        <x:v>Estructura</x:v>
      </x:c>
      <x:c r="E37" s="40" t="n">
        <x:v>95</x:v>
      </x:c>
      <x:c r="F37" s="22" t="str">
        <x:v>Mayor es mejor</x:v>
      </x:c>
      <x:c r="G37" s="40" t="n">
        <x:f>IFERROR(SUMIFS(Consolidado!$M$5:$M$660,Consolidado!$B$5:$B$660,$A37,Consolidado!$D$5:$D$660,$B37)/COUNTIFS(Consolidado!$B$5:$B$660,$A37,Consolidado!$D$5:$D$660,$B37),"")</x:f>
        <x:v>96.03711003664215</x:v>
      </x:c>
      <x:c r="H37" s="22" t="str">
        <x:f>IF(G37="","",IF(F37="Mayor es mejor",IF(G37&gt;=E37,"En meta",IF(G37&gt;=E37*0.9,"Alerta","Crítico")),IF(G37&lt;=E37,"En meta",IF(G37&lt;=E37*1.1,"Alerta","Crítico"))))</x:f>
        <x:v>En meta</x:v>
      </x:c>
      <x:c r="I37" s="50" t="n">
        <x:f>COUNTIFS(Consolidado!$B$5:$B$660,$A37,Consolidado!$D$5:$D$660,$B37)</x:f>
        <x:v>12</x:v>
      </x:c>
      <x:c r="J37" s="22" t="str">
        <x:f>IF(A37=2026,"Corte a mayo","Año completo")</x:f>
        <x:v>Año completo</x:v>
      </x:c>
    </x:row>
    <x:row r="38">
      <x:c r="A38" s="50" t="n">
        <x:v>2025</x:v>
      </x:c>
      <x:c r="B38" s="22" t="str">
        <x:v>E02</x:v>
      </x:c>
      <x:c r="C38" s="22" t="str">
        <x:v>% cobertura del plan de formación y capacitación SG-SST</x:v>
      </x:c>
      <x:c r="D38" s="22" t="str">
        <x:v>Estructura</x:v>
      </x:c>
      <x:c r="E38" s="40" t="n">
        <x:v>90</x:v>
      </x:c>
      <x:c r="F38" s="22" t="str">
        <x:v>Mayor es mejor</x:v>
      </x:c>
      <x:c r="G38" s="40" t="n">
        <x:f>IFERROR(SUMIFS(Consolidado!$M$5:$M$660,Consolidado!$B$5:$B$660,$A38,Consolidado!$D$5:$D$660,$B38)/COUNTIFS(Consolidado!$B$5:$B$660,$A38,Consolidado!$D$5:$D$660,$B38),"")</x:f>
        <x:v>93.72474747474747</x:v>
      </x:c>
      <x:c r="H38" s="22" t="str">
        <x:f>IF(G38="","",IF(F38="Mayor es mejor",IF(G38&gt;=E38,"En meta",IF(G38&gt;=E38*0.9,"Alerta","Crítico")),IF(G38&lt;=E38,"En meta",IF(G38&lt;=E38*1.1,"Alerta","Crítico"))))</x:f>
        <x:v>En meta</x:v>
      </x:c>
      <x:c r="I38" s="50" t="n">
        <x:f>COUNTIFS(Consolidado!$B$5:$B$660,$A38,Consolidado!$D$5:$D$660,$B38)</x:f>
        <x:v>12</x:v>
      </x:c>
      <x:c r="J38" s="22" t="str">
        <x:f>IF(A38=2026,"Corte a mayo","Año completo")</x:f>
        <x:v>Año completo</x:v>
      </x:c>
    </x:row>
    <x:row r="39">
      <x:c r="A39" s="50" t="n">
        <x:v>2025</x:v>
      </x:c>
      <x:c r="B39" s="22" t="str">
        <x:v>E03</x:v>
      </x:c>
      <x:c r="C39" s="22" t="str">
        <x:v>% trabajadores con exámenes médicos ocupacionales vigentes</x:v>
      </x:c>
      <x:c r="D39" s="22" t="str">
        <x:v>Estructura</x:v>
      </x:c>
      <x:c r="E39" s="40" t="n">
        <x:v>95</x:v>
      </x:c>
      <x:c r="F39" s="22" t="str">
        <x:v>Mayor es mejor</x:v>
      </x:c>
      <x:c r="G39" s="40" t="n">
        <x:f>IFERROR(SUMIFS(Consolidado!$M$5:$M$660,Consolidado!$B$5:$B$660,$A39,Consolidado!$D$5:$D$660,$B39)/COUNTIFS(Consolidado!$B$5:$B$660,$A39,Consolidado!$D$5:$D$660,$B39),"")</x:f>
        <x:v>96.93134540346392</x:v>
      </x:c>
      <x:c r="H39" s="22" t="str">
        <x:f>IF(G39="","",IF(F39="Mayor es mejor",IF(G39&gt;=E39,"En meta",IF(G39&gt;=E39*0.9,"Alerta","Crítico")),IF(G39&lt;=E39,"En meta",IF(G39&lt;=E39*1.1,"Alerta","Crítico"))))</x:f>
        <x:v>En meta</x:v>
      </x:c>
      <x:c r="I39" s="50" t="n">
        <x:f>COUNTIFS(Consolidado!$B$5:$B$660,$A39,Consolidado!$D$5:$D$660,$B39)</x:f>
        <x:v>12</x:v>
      </x:c>
      <x:c r="J39" s="22" t="str">
        <x:f>IF(A39=2026,"Corte a mayo","Año completo")</x:f>
        <x:v>Año completo</x:v>
      </x:c>
    </x:row>
    <x:row r="40">
      <x:c r="A40" s="50" t="n">
        <x:v>2025</x:v>
      </x:c>
      <x:c r="B40" s="22" t="str">
        <x:v>E04</x:v>
      </x:c>
      <x:c r="C40" s="22" t="str">
        <x:v>% cumplimiento de requisitos legales aplicables en SST</x:v>
      </x:c>
      <x:c r="D40" s="22" t="str">
        <x:v>Estructura</x:v>
      </x:c>
      <x:c r="E40" s="40" t="n">
        <x:v>95</x:v>
      </x:c>
      <x:c r="F40" s="22" t="str">
        <x:v>Mayor es mejor</x:v>
      </x:c>
      <x:c r="G40" s="40" t="n">
        <x:f>IFERROR(SUMIFS(Consolidado!$M$5:$M$660,Consolidado!$B$5:$B$660,$A40,Consolidado!$D$5:$D$660,$B40)/COUNTIFS(Consolidado!$B$5:$B$660,$A40,Consolidado!$D$5:$D$660,$B40),"")</x:f>
        <x:v>96.66666666666669</x:v>
      </x:c>
      <x:c r="H40" s="22" t="str">
        <x:f>IF(G40="","",IF(F40="Mayor es mejor",IF(G40&gt;=E40,"En meta",IF(G40&gt;=E40*0.9,"Alerta","Crítico")),IF(G40&lt;=E40,"En meta",IF(G40&lt;=E40*1.1,"Alerta","Crítico"))))</x:f>
        <x:v>En meta</x:v>
      </x:c>
      <x:c r="I40" s="50" t="n">
        <x:f>COUNTIFS(Consolidado!$B$5:$B$660,$A40,Consolidado!$D$5:$D$660,$B40)</x:f>
        <x:v>12</x:v>
      </x:c>
      <x:c r="J40" s="22" t="str">
        <x:f>IF(A40=2026,"Corte a mayo","Año completo")</x:f>
        <x:v>Año completo</x:v>
      </x:c>
    </x:row>
    <x:row r="41">
      <x:c r="A41" s="50" t="n">
        <x:v>2025</x:v>
      </x:c>
      <x:c r="B41" s="22" t="str">
        <x:v>E05</x:v>
      </x:c>
      <x:c r="C41" s="22" t="str">
        <x:v>% proveedores y contratistas aprobados en SST</x:v>
      </x:c>
      <x:c r="D41" s="22" t="str">
        <x:v>Estructura</x:v>
      </x:c>
      <x:c r="E41" s="40" t="n">
        <x:v>90</x:v>
      </x:c>
      <x:c r="F41" s="22" t="str">
        <x:v>Mayor es mejor</x:v>
      </x:c>
      <x:c r="G41" s="40" t="n">
        <x:f>IFERROR(SUMIFS(Consolidado!$M$5:$M$660,Consolidado!$B$5:$B$660,$A41,Consolidado!$D$5:$D$660,$B41)/COUNTIFS(Consolidado!$B$5:$B$660,$A41,Consolidado!$D$5:$D$660,$B41),"")</x:f>
        <x:v>95</x:v>
      </x:c>
      <x:c r="H41" s="22" t="str">
        <x:f>IF(G41="","",IF(F41="Mayor es mejor",IF(G41&gt;=E41,"En meta",IF(G41&gt;=E41*0.9,"Alerta","Crítico")),IF(G41&lt;=E41,"En meta",IF(G41&lt;=E41*1.1,"Alerta","Crítico"))))</x:f>
        <x:v>En meta</x:v>
      </x:c>
      <x:c r="I41" s="50" t="n">
        <x:f>COUNTIFS(Consolidado!$B$5:$B$660,$A41,Consolidado!$D$5:$D$660,$B41)</x:f>
        <x:v>12</x:v>
      </x:c>
      <x:c r="J41" s="22" t="str">
        <x:f>IF(A41=2026,"Corte a mayo","Año completo")</x:f>
        <x:v>Año completo</x:v>
      </x:c>
    </x:row>
    <x:row r="42">
      <x:c r="A42" s="50" t="n">
        <x:v>2025</x:v>
      </x:c>
      <x:c r="B42" s="22" t="str">
        <x:v>P01</x:v>
      </x:c>
      <x:c r="C42" s="22" t="str">
        <x:v>% ejecución del plan anual de trabajo SG-SST</x:v>
      </x:c>
      <x:c r="D42" s="22" t="str">
        <x:v>Proceso</x:v>
      </x:c>
      <x:c r="E42" s="40" t="n">
        <x:v>90</x:v>
      </x:c>
      <x:c r="F42" s="22" t="str">
        <x:v>Mayor es mejor</x:v>
      </x:c>
      <x:c r="G42" s="40" t="n">
        <x:f>IFERROR(SUMIFS(Consolidado!$M$5:$M$660,Consolidado!$B$5:$B$660,$A42,Consolidado!$D$5:$D$660,$B42)/COUNTIFS(Consolidado!$B$5:$B$660,$A42,Consolidado!$D$5:$D$660,$B42),"")</x:f>
        <x:v>91.5079365079365</x:v>
      </x:c>
      <x:c r="H42" s="22" t="str">
        <x:f>IF(G42="","",IF(F42="Mayor es mejor",IF(G42&gt;=E42,"En meta",IF(G42&gt;=E42*0.9,"Alerta","Crítico")),IF(G42&lt;=E42,"En meta",IF(G42&lt;=E42*1.1,"Alerta","Crítico"))))</x:f>
        <x:v>En meta</x:v>
      </x:c>
      <x:c r="I42" s="50" t="n">
        <x:f>COUNTIFS(Consolidado!$B$5:$B$660,$A42,Consolidado!$D$5:$D$660,$B42)</x:f>
        <x:v>12</x:v>
      </x:c>
      <x:c r="J42" s="22" t="str">
        <x:f>IF(A42=2026,"Corte a mayo","Año completo")</x:f>
        <x:v>Año completo</x:v>
      </x:c>
    </x:row>
    <x:row r="43">
      <x:c r="A43" s="50" t="n">
        <x:v>2025</x:v>
      </x:c>
      <x:c r="B43" s="22" t="str">
        <x:v>P02</x:v>
      </x:c>
      <x:c r="C43" s="22" t="str">
        <x:v>% investigaciones de accidentes realizadas oportunamente</x:v>
      </x:c>
      <x:c r="D43" s="22" t="str">
        <x:v>Proceso</x:v>
      </x:c>
      <x:c r="E43" s="40" t="n">
        <x:v>95</x:v>
      </x:c>
      <x:c r="F43" s="22" t="str">
        <x:v>Mayor es mejor</x:v>
      </x:c>
      <x:c r="G43" s="40" t="n">
        <x:f>IFERROR(SUMIFS(Consolidado!$M$5:$M$660,Consolidado!$B$5:$B$660,$A43,Consolidado!$D$5:$D$660,$B43)/COUNTIFS(Consolidado!$B$5:$B$660,$A43,Consolidado!$D$5:$D$660,$B43),"")</x:f>
        <x:v>100</x:v>
      </x:c>
      <x:c r="H43" s="22" t="str">
        <x:f>IF(G43="","",IF(F43="Mayor es mejor",IF(G43&gt;=E43,"En meta",IF(G43&gt;=E43*0.9,"Alerta","Crítico")),IF(G43&lt;=E43,"En meta",IF(G43&lt;=E43*1.1,"Alerta","Crítico"))))</x:f>
        <x:v>En meta</x:v>
      </x:c>
      <x:c r="I43" s="50" t="n">
        <x:f>COUNTIFS(Consolidado!$B$5:$B$660,$A43,Consolidado!$D$5:$D$660,$B43)</x:f>
        <x:v>12</x:v>
      </x:c>
      <x:c r="J43" s="22" t="str">
        <x:f>IF(A43=2026,"Corte a mayo","Año completo")</x:f>
        <x:v>Año completo</x:v>
      </x:c>
    </x:row>
    <x:row r="44">
      <x:c r="A44" s="50" t="n">
        <x:v>2025</x:v>
      </x:c>
      <x:c r="B44" s="22" t="str">
        <x:v>P03</x:v>
      </x:c>
      <x:c r="C44" s="22" t="str">
        <x:v>% cierre oportuno de acciones correctivas, preventivas y de mejora</x:v>
      </x:c>
      <x:c r="D44" s="22" t="str">
        <x:v>Proceso</x:v>
      </x:c>
      <x:c r="E44" s="40" t="n">
        <x:v>90</x:v>
      </x:c>
      <x:c r="F44" s="22" t="str">
        <x:v>Mayor es mejor</x:v>
      </x:c>
      <x:c r="G44" s="40" t="n">
        <x:f>IFERROR(SUMIFS(Consolidado!$M$5:$M$660,Consolidado!$B$5:$B$660,$A44,Consolidado!$D$5:$D$660,$B44)/COUNTIFS(Consolidado!$B$5:$B$660,$A44,Consolidado!$D$5:$D$660,$B44),"")</x:f>
        <x:v>91.50474525474526</x:v>
      </x:c>
      <x:c r="H44" s="22" t="str">
        <x:f>IF(G44="","",IF(F44="Mayor es mejor",IF(G44&gt;=E44,"En meta",IF(G44&gt;=E44*0.9,"Alerta","Crítico")),IF(G44&lt;=E44,"En meta",IF(G44&lt;=E44*1.1,"Alerta","Crítico"))))</x:f>
        <x:v>En meta</x:v>
      </x:c>
      <x:c r="I44" s="50" t="n">
        <x:f>COUNTIFS(Consolidado!$B$5:$B$660,$A44,Consolidado!$D$5:$D$660,$B44)</x:f>
        <x:v>12</x:v>
      </x:c>
      <x:c r="J44" s="22" t="str">
        <x:f>IF(A44=2026,"Corte a mayo","Año completo")</x:f>
        <x:v>Año completo</x:v>
      </x:c>
    </x:row>
    <x:row r="45">
      <x:c r="A45" s="50" t="n">
        <x:v>2025</x:v>
      </x:c>
      <x:c r="B45" s="22" t="str">
        <x:v>P04</x:v>
      </x:c>
      <x:c r="C45" s="22" t="str">
        <x:v>% inspecciones de seguridad ejecutadas</x:v>
      </x:c>
      <x:c r="D45" s="22" t="str">
        <x:v>Proceso</x:v>
      </x:c>
      <x:c r="E45" s="40" t="n">
        <x:v>90</x:v>
      </x:c>
      <x:c r="F45" s="22" t="str">
        <x:v>Mayor es mejor</x:v>
      </x:c>
      <x:c r="G45" s="40" t="n">
        <x:f>IFERROR(SUMIFS(Consolidado!$M$5:$M$660,Consolidado!$B$5:$B$660,$A45,Consolidado!$D$5:$D$660,$B45)/COUNTIFS(Consolidado!$B$5:$B$660,$A45,Consolidado!$D$5:$D$660,$B45),"")</x:f>
        <x:v>90.36616161616162</x:v>
      </x:c>
      <x:c r="H45" s="22" t="str">
        <x:f>IF(G45="","",IF(F45="Mayor es mejor",IF(G45&gt;=E45,"En meta",IF(G45&gt;=E45*0.9,"Alerta","Crítico")),IF(G45&lt;=E45,"En meta",IF(G45&lt;=E45*1.1,"Alerta","Crítico"))))</x:f>
        <x:v>En meta</x:v>
      </x:c>
      <x:c r="I45" s="50" t="n">
        <x:f>COUNTIFS(Consolidado!$B$5:$B$660,$A45,Consolidado!$D$5:$D$660,$B45)</x:f>
        <x:v>12</x:v>
      </x:c>
      <x:c r="J45" s="22" t="str">
        <x:f>IF(A45=2026,"Corte a mayo","Año completo")</x:f>
        <x:v>Año completo</x:v>
      </x:c>
    </x:row>
    <x:row r="46">
      <x:c r="A46" s="50" t="n">
        <x:v>2025</x:v>
      </x:c>
      <x:c r="B46" s="22" t="str">
        <x:v>P05</x:v>
      </x:c>
      <x:c r="C46" s="22" t="str">
        <x:v>% mantenimientos preventivos ejecutados</x:v>
      </x:c>
      <x:c r="D46" s="22" t="str">
        <x:v>Proceso</x:v>
      </x:c>
      <x:c r="E46" s="40" t="n">
        <x:v>90</x:v>
      </x:c>
      <x:c r="F46" s="22" t="str">
        <x:v>Mayor es mejor</x:v>
      </x:c>
      <x:c r="G46" s="40" t="n">
        <x:f>IFERROR(SUMIFS(Consolidado!$M$5:$M$660,Consolidado!$B$5:$B$660,$A46,Consolidado!$D$5:$D$660,$B46)/COUNTIFS(Consolidado!$B$5:$B$660,$A46,Consolidado!$D$5:$D$660,$B46),"")</x:f>
        <x:v>92.5412087912088</x:v>
      </x:c>
      <x:c r="H46" s="22" t="str">
        <x:f>IF(G46="","",IF(F46="Mayor es mejor",IF(G46&gt;=E46,"En meta",IF(G46&gt;=E46*0.9,"Alerta","Crítico")),IF(G46&lt;=E46,"En meta",IF(G46&lt;=E46*1.1,"Alerta","Crítico"))))</x:f>
        <x:v>En meta</x:v>
      </x:c>
      <x:c r="I46" s="50" t="n">
        <x:f>COUNTIFS(Consolidado!$B$5:$B$660,$A46,Consolidado!$D$5:$D$660,$B46)</x:f>
        <x:v>12</x:v>
      </x:c>
      <x:c r="J46" s="22" t="str">
        <x:f>IF(A46=2026,"Corte a mayo","Año completo")</x:f>
        <x:v>Año completo</x:v>
      </x:c>
    </x:row>
    <x:row r="47">
      <x:c r="A47" s="50" t="n">
        <x:v>2025</x:v>
      </x:c>
      <x:c r="B47" s="22" t="str">
        <x:v>R01</x:v>
      </x:c>
      <x:c r="C47" s="22" t="str">
        <x:v>Índice de frecuencia de accidentalidad (IF)</x:v>
      </x:c>
      <x:c r="D47" s="22" t="str">
        <x:v>Resultado</x:v>
      </x:c>
      <x:c r="E47" s="40" t="n">
        <x:v>3.5</x:v>
      </x:c>
      <x:c r="F47" s="22" t="str">
        <x:v>Menor es mejor</x:v>
      </x:c>
      <x:c r="G47" s="40" t="n">
        <x:f>IFERROR(SUMIFS(Consolidado!$M$5:$M$660,Consolidado!$B$5:$B$660,$A47,Consolidado!$D$5:$D$660,$B47)/COUNTIFS(Consolidado!$B$5:$B$660,$A47,Consolidado!$D$5:$D$660,$B47),"")</x:f>
        <x:v>3.4822094825290435</x:v>
      </x:c>
      <x:c r="H47" s="22" t="str">
        <x:f>IF(G47="","",IF(F47="Mayor es mejor",IF(G47&gt;=E47,"En meta",IF(G47&gt;=E47*0.9,"Alerta","Crítico")),IF(G47&lt;=E47,"En meta",IF(G47&lt;=E47*1.1,"Alerta","Crítico"))))</x:f>
        <x:v>En meta</x:v>
      </x:c>
      <x:c r="I47" s="50" t="n">
        <x:f>COUNTIFS(Consolidado!$B$5:$B$660,$A47,Consolidado!$D$5:$D$660,$B47)</x:f>
        <x:v>12</x:v>
      </x:c>
      <x:c r="J47" s="22" t="str">
        <x:f>IF(A47=2026,"Corte a mayo","Año completo")</x:f>
        <x:v>Año completo</x:v>
      </x:c>
    </x:row>
    <x:row r="48">
      <x:c r="A48" s="50" t="n">
        <x:v>2025</x:v>
      </x:c>
      <x:c r="B48" s="22" t="str">
        <x:v>R02</x:v>
      </x:c>
      <x:c r="C48" s="22" t="str">
        <x:v>Índice de severidad de accidentalidad (IS)</x:v>
      </x:c>
      <x:c r="D48" s="22" t="str">
        <x:v>Resultado</x:v>
      </x:c>
      <x:c r="E48" s="40" t="n">
        <x:v>80</x:v>
      </x:c>
      <x:c r="F48" s="22" t="str">
        <x:v>Menor es mejor</x:v>
      </x:c>
      <x:c r="G48" s="40" t="n">
        <x:f>IFERROR(SUMIFS(Consolidado!$M$5:$M$660,Consolidado!$B$5:$B$660,$A48,Consolidado!$D$5:$D$660,$B48)/COUNTIFS(Consolidado!$B$5:$B$660,$A48,Consolidado!$D$5:$D$660,$B48),"")</x:f>
        <x:v>53.791045038323944</x:v>
      </x:c>
      <x:c r="H48" s="22" t="str">
        <x:f>IF(G48="","",IF(F48="Mayor es mejor",IF(G48&gt;=E48,"En meta",IF(G48&gt;=E48*0.9,"Alerta","Crítico")),IF(G48&lt;=E48,"En meta",IF(G48&lt;=E48*1.1,"Alerta","Crítico"))))</x:f>
        <x:v>En meta</x:v>
      </x:c>
      <x:c r="I48" s="50" t="n">
        <x:f>COUNTIFS(Consolidado!$B$5:$B$660,$A48,Consolidado!$D$5:$D$660,$B48)</x:f>
        <x:v>12</x:v>
      </x:c>
      <x:c r="J48" s="22" t="str">
        <x:f>IF(A48=2026,"Corte a mayo","Año completo")</x:f>
        <x:v>Año completo</x:v>
      </x:c>
    </x:row>
    <x:row r="49">
      <x:c r="A49" s="50" t="n">
        <x:v>2025</x:v>
      </x:c>
      <x:c r="B49" s="22" t="str">
        <x:v>R03</x:v>
      </x:c>
      <x:c r="C49" s="22" t="str">
        <x:v>Índice de lesión incapacitante (ILI)</x:v>
      </x:c>
      <x:c r="D49" s="22" t="str">
        <x:v>Resultado</x:v>
      </x:c>
      <x:c r="E49" s="40" t="n">
        <x:v>0.25</x:v>
      </x:c>
      <x:c r="F49" s="22" t="str">
        <x:v>Menor es mejor</x:v>
      </x:c>
      <x:c r="G49" s="40" t="n">
        <x:f>IFERROR(SUMIFS(Consolidado!$M$5:$M$660,Consolidado!$B$5:$B$660,$A49,Consolidado!$D$5:$D$660,$B49)/COUNTIFS(Consolidado!$B$5:$B$660,$A49,Consolidado!$D$5:$D$660,$B49),"")</x:f>
        <x:v>0.18679376666666667</x:v>
      </x:c>
      <x:c r="H49" s="22" t="str">
        <x:f>IF(G49="","",IF(F49="Mayor es mejor",IF(G49&gt;=E49,"En meta",IF(G49&gt;=E49*0.9,"Alerta","Crítico")),IF(G49&lt;=E49,"En meta",IF(G49&lt;=E49*1.1,"Alerta","Crítico"))))</x:f>
        <x:v>En meta</x:v>
      </x:c>
      <x:c r="I49" s="50" t="n">
        <x:f>COUNTIFS(Consolidado!$B$5:$B$660,$A49,Consolidado!$D$5:$D$660,$B49)</x:f>
        <x:v>12</x:v>
      </x:c>
      <x:c r="J49" s="22" t="str">
        <x:f>IF(A49=2026,"Corte a mayo","Año completo")</x:f>
        <x:v>Año completo</x:v>
      </x:c>
    </x:row>
    <x:row r="50">
      <x:c r="A50" s="50" t="n">
        <x:v>2025</x:v>
      </x:c>
      <x:c r="B50" s="22" t="str">
        <x:v>R04</x:v>
      </x:c>
      <x:c r="C50" s="22" t="str">
        <x:v>Tasa de accidentalidad</x:v>
      </x:c>
      <x:c r="D50" s="22" t="str">
        <x:v>Resultado</x:v>
      </x:c>
      <x:c r="E50" s="40" t="n">
        <x:v>0.6</x:v>
      </x:c>
      <x:c r="F50" s="22" t="str">
        <x:v>Menor es mejor</x:v>
      </x:c>
      <x:c r="G50" s="40" t="n">
        <x:f>IFERROR(SUMIFS(Consolidado!$M$5:$M$660,Consolidado!$B$5:$B$660,$A50,Consolidado!$D$5:$D$660,$B50)/COUNTIFS(Consolidado!$B$5:$B$660,$A50,Consolidado!$D$5:$D$660,$B50),"")</x:f>
        <x:v>0.648645992057982</x:v>
      </x:c>
      <x:c r="H50" s="22" t="str">
        <x:f>IF(G50="","",IF(F50="Mayor es mejor",IF(G50&gt;=E50,"En meta",IF(G50&gt;=E50*0.9,"Alerta","Crítico")),IF(G50&lt;=E50,"En meta",IF(G50&lt;=E50*1.1,"Alerta","Crítico"))))</x:f>
        <x:v>Alerta</x:v>
      </x:c>
      <x:c r="I50" s="50" t="n">
        <x:f>COUNTIFS(Consolidado!$B$5:$B$660,$A50,Consolidado!$D$5:$D$660,$B50)</x:f>
        <x:v>12</x:v>
      </x:c>
      <x:c r="J50" s="22" t="str">
        <x:f>IF(A50=2026,"Corte a mayo","Año completo")</x:f>
        <x:v>Año completo</x:v>
      </x:c>
    </x:row>
    <x:row r="51">
      <x:c r="A51" s="50" t="n">
        <x:v>2025</x:v>
      </x:c>
      <x:c r="B51" s="22" t="str">
        <x:v>R05</x:v>
      </x:c>
      <x:c r="C51" s="22" t="str">
        <x:v>Prevalencia de enfermedad laboral</x:v>
      </x:c>
      <x:c r="D51" s="22" t="str">
        <x:v>Resultado</x:v>
      </x:c>
      <x:c r="E51" s="40" t="n">
        <x:v>0.3</x:v>
      </x:c>
      <x:c r="F51" s="22" t="str">
        <x:v>Menor es mejor</x:v>
      </x:c>
      <x:c r="G51" s="40" t="n">
        <x:f>IFERROR(SUMIFS(Consolidado!$M$5:$M$660,Consolidado!$B$5:$B$660,$A51,Consolidado!$D$5:$D$660,$B51)/COUNTIFS(Consolidado!$B$5:$B$660,$A51,Consolidado!$D$5:$D$660,$B51),"")</x:f>
        <x:v>0.5254931223932943</x:v>
      </x:c>
      <x:c r="H51" s="22" t="str">
        <x:f>IF(G51="","",IF(F51="Mayor es mejor",IF(G51&gt;=E51,"En meta",IF(G51&gt;=E51*0.9,"Alerta","Crítico")),IF(G51&lt;=E51,"En meta",IF(G51&lt;=E51*1.1,"Alerta","Crítico"))))</x:f>
        <x:v>Crítico</x:v>
      </x:c>
      <x:c r="I51" s="50" t="n">
        <x:f>COUNTIFS(Consolidado!$B$5:$B$660,$A51,Consolidado!$D$5:$D$660,$B51)</x:f>
        <x:v>12</x:v>
      </x:c>
      <x:c r="J51" s="22" t="str">
        <x:f>IF(A51=2026,"Corte a mayo","Año completo")</x:f>
        <x:v>Año completo</x:v>
      </x:c>
    </x:row>
    <x:row r="52">
      <x:c r="A52" s="50" t="n">
        <x:v>2025</x:v>
      </x:c>
      <x:c r="B52" s="22" t="str">
        <x:v>R06</x:v>
      </x:c>
      <x:c r="C52" s="22" t="str">
        <x:v>% cumplimiento de estándares mínimos Res. 0312 de 2019</x:v>
      </x:c>
      <x:c r="D52" s="22" t="str">
        <x:v>Resultado</x:v>
      </x:c>
      <x:c r="E52" s="40" t="n">
        <x:v>95</x:v>
      </x:c>
      <x:c r="F52" s="22" t="str">
        <x:v>Mayor es mejor</x:v>
      </x:c>
      <x:c r="G52" s="40" t="n">
        <x:f>IFERROR(SUMIFS(Consolidado!$M$5:$M$660,Consolidado!$B$5:$B$660,$A52,Consolidado!$D$5:$D$660,$B52)/COUNTIFS(Consolidado!$B$5:$B$660,$A52,Consolidado!$D$5:$D$660,$B52),"")</x:f>
        <x:v>98.41666666666667</x:v>
      </x:c>
      <x:c r="H52" s="22" t="str">
        <x:f>IF(G52="","",IF(F52="Mayor es mejor",IF(G52&gt;=E52,"En meta",IF(G52&gt;=E52*0.9,"Alerta","Crítico")),IF(G52&lt;=E52,"En meta",IF(G52&lt;=E52*1.1,"Alerta","Crítico"))))</x:f>
        <x:v>En meta</x:v>
      </x:c>
      <x:c r="I52" s="50" t="n">
        <x:f>COUNTIFS(Consolidado!$B$5:$B$660,$A52,Consolidado!$D$5:$D$660,$B52)</x:f>
        <x:v>12</x:v>
      </x:c>
      <x:c r="J52" s="22" t="str">
        <x:f>IF(A52=2026,"Corte a mayo","Año completo")</x:f>
        <x:v>Año completo</x:v>
      </x:c>
    </x:row>
    <x:row r="53">
      <x:c r="A53" s="50" t="n">
        <x:v>2026</x:v>
      </x:c>
      <x:c r="B53" s="22" t="str">
        <x:v>E01</x:v>
      </x:c>
      <x:c r="C53" s="22" t="str">
        <x:v>% ejecución presupuestal del SG-SST</x:v>
      </x:c>
      <x:c r="D53" s="22" t="str">
        <x:v>Estructura</x:v>
      </x:c>
      <x:c r="E53" s="40" t="n">
        <x:v>95</x:v>
      </x:c>
      <x:c r="F53" s="22" t="str">
        <x:v>Mayor es mejor</x:v>
      </x:c>
      <x:c r="G53" s="40" t="n">
        <x:f>IFERROR(SUMIFS(Consolidado!$M$5:$M$660,Consolidado!$B$5:$B$660,$A53,Consolidado!$D$5:$D$660,$B53)/COUNTIFS(Consolidado!$B$5:$B$660,$A53,Consolidado!$D$5:$D$660,$B53),"")</x:f>
        <x:v>96.76871439471638</x:v>
      </x:c>
      <x:c r="H53" s="22" t="str">
        <x:f>IF(G53="","",IF(F53="Mayor es mejor",IF(G53&gt;=E53,"En meta",IF(G53&gt;=E53*0.9,"Alerta","Crítico")),IF(G53&lt;=E53,"En meta",IF(G53&lt;=E53*1.1,"Alerta","Crítico"))))</x:f>
        <x:v>En meta</x:v>
      </x:c>
      <x:c r="I53" s="50" t="n">
        <x:f>COUNTIFS(Consolidado!$B$5:$B$660,$A53,Consolidado!$D$5:$D$660,$B53)</x:f>
        <x:v>5</x:v>
      </x:c>
      <x:c r="J53" s="22" t="str">
        <x:f>IF(A53=2026,"Corte a mayo","Año completo")</x:f>
        <x:v>Corte a mayo</x:v>
      </x:c>
    </x:row>
    <x:row r="54">
      <x:c r="A54" s="50" t="n">
        <x:v>2026</x:v>
      </x:c>
      <x:c r="B54" s="22" t="str">
        <x:v>E02</x:v>
      </x:c>
      <x:c r="C54" s="22" t="str">
        <x:v>% cobertura del plan de formación y capacitación SG-SST</x:v>
      </x:c>
      <x:c r="D54" s="22" t="str">
        <x:v>Estructura</x:v>
      </x:c>
      <x:c r="E54" s="40" t="n">
        <x:v>90</x:v>
      </x:c>
      <x:c r="F54" s="22" t="str">
        <x:v>Mayor es mejor</x:v>
      </x:c>
      <x:c r="G54" s="40" t="n">
        <x:f>IFERROR(SUMIFS(Consolidado!$M$5:$M$660,Consolidado!$B$5:$B$660,$A54,Consolidado!$D$5:$D$660,$B54)/COUNTIFS(Consolidado!$B$5:$B$660,$A54,Consolidado!$D$5:$D$660,$B54),"")</x:f>
        <x:v>94.31313131313132</x:v>
      </x:c>
      <x:c r="H54" s="22" t="str">
        <x:f>IF(G54="","",IF(F54="Mayor es mejor",IF(G54&gt;=E54,"En meta",IF(G54&gt;=E54*0.9,"Alerta","Crítico")),IF(G54&lt;=E54,"En meta",IF(G54&lt;=E54*1.1,"Alerta","Crítico"))))</x:f>
        <x:v>En meta</x:v>
      </x:c>
      <x:c r="I54" s="50" t="n">
        <x:f>COUNTIFS(Consolidado!$B$5:$B$660,$A54,Consolidado!$D$5:$D$660,$B54)</x:f>
        <x:v>5</x:v>
      </x:c>
      <x:c r="J54" s="22" t="str">
        <x:f>IF(A54=2026,"Corte a mayo","Año completo")</x:f>
        <x:v>Corte a mayo</x:v>
      </x:c>
    </x:row>
    <x:row r="55">
      <x:c r="A55" s="50" t="n">
        <x:v>2026</x:v>
      </x:c>
      <x:c r="B55" s="22" t="str">
        <x:v>E03</x:v>
      </x:c>
      <x:c r="C55" s="22" t="str">
        <x:v>% trabajadores con exámenes médicos ocupacionales vigentes</x:v>
      </x:c>
      <x:c r="D55" s="22" t="str">
        <x:v>Estructura</x:v>
      </x:c>
      <x:c r="E55" s="40" t="n">
        <x:v>95</x:v>
      </x:c>
      <x:c r="F55" s="22" t="str">
        <x:v>Mayor es mejor</x:v>
      </x:c>
      <x:c r="G55" s="40" t="n">
        <x:f>IFERROR(SUMIFS(Consolidado!$M$5:$M$660,Consolidado!$B$5:$B$660,$A55,Consolidado!$D$5:$D$660,$B55)/COUNTIFS(Consolidado!$B$5:$B$660,$A55,Consolidado!$D$5:$D$660,$B55),"")</x:f>
        <x:v>97.8143286669183</x:v>
      </x:c>
      <x:c r="H55" s="22" t="str">
        <x:f>IF(G55="","",IF(F55="Mayor es mejor",IF(G55&gt;=E55,"En meta",IF(G55&gt;=E55*0.9,"Alerta","Crítico")),IF(G55&lt;=E55,"En meta",IF(G55&lt;=E55*1.1,"Alerta","Crítico"))))</x:f>
        <x:v>En meta</x:v>
      </x:c>
      <x:c r="I55" s="50" t="n">
        <x:f>COUNTIFS(Consolidado!$B$5:$B$660,$A55,Consolidado!$D$5:$D$660,$B55)</x:f>
        <x:v>5</x:v>
      </x:c>
      <x:c r="J55" s="22" t="str">
        <x:f>IF(A55=2026,"Corte a mayo","Año completo")</x:f>
        <x:v>Corte a mayo</x:v>
      </x:c>
    </x:row>
    <x:row r="56">
      <x:c r="A56" s="50" t="n">
        <x:v>2026</x:v>
      </x:c>
      <x:c r="B56" s="22" t="str">
        <x:v>E04</x:v>
      </x:c>
      <x:c r="C56" s="22" t="str">
        <x:v>% cumplimiento de requisitos legales aplicables en SST</x:v>
      </x:c>
      <x:c r="D56" s="22" t="str">
        <x:v>Estructura</x:v>
      </x:c>
      <x:c r="E56" s="40" t="n">
        <x:v>95</x:v>
      </x:c>
      <x:c r="F56" s="22" t="str">
        <x:v>Mayor es mejor</x:v>
      </x:c>
      <x:c r="G56" s="40" t="n">
        <x:f>IFERROR(SUMIFS(Consolidado!$M$5:$M$660,Consolidado!$B$5:$B$660,$A56,Consolidado!$D$5:$D$660,$B56)/COUNTIFS(Consolidado!$B$5:$B$660,$A56,Consolidado!$D$5:$D$660,$B56),"")</x:f>
        <x:v>99</x:v>
      </x:c>
      <x:c r="H56" s="22" t="str">
        <x:f>IF(G56="","",IF(F56="Mayor es mejor",IF(G56&gt;=E56,"En meta",IF(G56&gt;=E56*0.9,"Alerta","Crítico")),IF(G56&lt;=E56,"En meta",IF(G56&lt;=E56*1.1,"Alerta","Crítico"))))</x:f>
        <x:v>En meta</x:v>
      </x:c>
      <x:c r="I56" s="50" t="n">
        <x:f>COUNTIFS(Consolidado!$B$5:$B$660,$A56,Consolidado!$D$5:$D$660,$B56)</x:f>
        <x:v>5</x:v>
      </x:c>
      <x:c r="J56" s="22" t="str">
        <x:f>IF(A56=2026,"Corte a mayo","Año completo")</x:f>
        <x:v>Corte a mayo</x:v>
      </x:c>
    </x:row>
    <x:row r="57">
      <x:c r="A57" s="50" t="n">
        <x:v>2026</x:v>
      </x:c>
      <x:c r="B57" s="22" t="str">
        <x:v>E05</x:v>
      </x:c>
      <x:c r="C57" s="22" t="str">
        <x:v>% proveedores y contratistas aprobados en SST</x:v>
      </x:c>
      <x:c r="D57" s="22" t="str">
        <x:v>Estructura</x:v>
      </x:c>
      <x:c r="E57" s="40" t="n">
        <x:v>90</x:v>
      </x:c>
      <x:c r="F57" s="22" t="str">
        <x:v>Mayor es mejor</x:v>
      </x:c>
      <x:c r="G57" s="40" t="n">
        <x:f>IFERROR(SUMIFS(Consolidado!$M$5:$M$660,Consolidado!$B$5:$B$660,$A57,Consolidado!$D$5:$D$660,$B57)/COUNTIFS(Consolidado!$B$5:$B$660,$A57,Consolidado!$D$5:$D$660,$B57),"")</x:f>
        <x:v>95</x:v>
      </x:c>
      <x:c r="H57" s="22" t="str">
        <x:f>IF(G57="","",IF(F57="Mayor es mejor",IF(G57&gt;=E57,"En meta",IF(G57&gt;=E57*0.9,"Alerta","Crítico")),IF(G57&lt;=E57,"En meta",IF(G57&lt;=E57*1.1,"Alerta","Crítico"))))</x:f>
        <x:v>En meta</x:v>
      </x:c>
      <x:c r="I57" s="50" t="n">
        <x:f>COUNTIFS(Consolidado!$B$5:$B$660,$A57,Consolidado!$D$5:$D$660,$B57)</x:f>
        <x:v>5</x:v>
      </x:c>
      <x:c r="J57" s="22" t="str">
        <x:f>IF(A57=2026,"Corte a mayo","Año completo")</x:f>
        <x:v>Corte a mayo</x:v>
      </x:c>
    </x:row>
    <x:row r="58">
      <x:c r="A58" s="50" t="n">
        <x:v>2026</x:v>
      </x:c>
      <x:c r="B58" s="22" t="str">
        <x:v>P01</x:v>
      </x:c>
      <x:c r="C58" s="22" t="str">
        <x:v>% ejecución del plan anual de trabajo SG-SST</x:v>
      </x:c>
      <x:c r="D58" s="22" t="str">
        <x:v>Proceso</x:v>
      </x:c>
      <x:c r="E58" s="40" t="n">
        <x:v>90</x:v>
      </x:c>
      <x:c r="F58" s="22" t="str">
        <x:v>Mayor es mejor</x:v>
      </x:c>
      <x:c r="G58" s="40" t="n">
        <x:f>IFERROR(SUMIFS(Consolidado!$M$5:$M$660,Consolidado!$B$5:$B$660,$A58,Consolidado!$D$5:$D$660,$B58)/COUNTIFS(Consolidado!$B$5:$B$660,$A58,Consolidado!$D$5:$D$660,$B58),"")</x:f>
        <x:v>93.80952380952381</x:v>
      </x:c>
      <x:c r="H58" s="22" t="str">
        <x:f>IF(G58="","",IF(F58="Mayor es mejor",IF(G58&gt;=E58,"En meta",IF(G58&gt;=E58*0.9,"Alerta","Crítico")),IF(G58&lt;=E58,"En meta",IF(G58&lt;=E58*1.1,"Alerta","Crítico"))))</x:f>
        <x:v>En meta</x:v>
      </x:c>
      <x:c r="I58" s="50" t="n">
        <x:f>COUNTIFS(Consolidado!$B$5:$B$660,$A58,Consolidado!$D$5:$D$660,$B58)</x:f>
        <x:v>5</x:v>
      </x:c>
      <x:c r="J58" s="22" t="str">
        <x:f>IF(A58=2026,"Corte a mayo","Año completo")</x:f>
        <x:v>Corte a mayo</x:v>
      </x:c>
    </x:row>
    <x:row r="59">
      <x:c r="A59" s="50" t="n">
        <x:v>2026</x:v>
      </x:c>
      <x:c r="B59" s="22" t="str">
        <x:v>P02</x:v>
      </x:c>
      <x:c r="C59" s="22" t="str">
        <x:v>% investigaciones de accidentes realizadas oportunamente</x:v>
      </x:c>
      <x:c r="D59" s="22" t="str">
        <x:v>Proceso</x:v>
      </x:c>
      <x:c r="E59" s="40" t="n">
        <x:v>95</x:v>
      </x:c>
      <x:c r="F59" s="22" t="str">
        <x:v>Mayor es mejor</x:v>
      </x:c>
      <x:c r="G59" s="40" t="n">
        <x:f>IFERROR(SUMIFS(Consolidado!$M$5:$M$660,Consolidado!$B$5:$B$660,$A59,Consolidado!$D$5:$D$660,$B59)/COUNTIFS(Consolidado!$B$5:$B$660,$A59,Consolidado!$D$5:$D$660,$B59),"")</x:f>
        <x:v>100</x:v>
      </x:c>
      <x:c r="H59" s="22" t="str">
        <x:f>IF(G59="","",IF(F59="Mayor es mejor",IF(G59&gt;=E59,"En meta",IF(G59&gt;=E59*0.9,"Alerta","Crítico")),IF(G59&lt;=E59,"En meta",IF(G59&lt;=E59*1.1,"Alerta","Crítico"))))</x:f>
        <x:v>En meta</x:v>
      </x:c>
      <x:c r="I59" s="50" t="n">
        <x:f>COUNTIFS(Consolidado!$B$5:$B$660,$A59,Consolidado!$D$5:$D$660,$B59)</x:f>
        <x:v>5</x:v>
      </x:c>
      <x:c r="J59" s="22" t="str">
        <x:f>IF(A59=2026,"Corte a mayo","Año completo")</x:f>
        <x:v>Corte a mayo</x:v>
      </x:c>
    </x:row>
    <x:row r="60">
      <x:c r="A60" s="50" t="n">
        <x:v>2026</x:v>
      </x:c>
      <x:c r="B60" s="22" t="str">
        <x:v>P03</x:v>
      </x:c>
      <x:c r="C60" s="22" t="str">
        <x:v>% cierre oportuno de acciones correctivas, preventivas y de mejora</x:v>
      </x:c>
      <x:c r="D60" s="22" t="str">
        <x:v>Proceso</x:v>
      </x:c>
      <x:c r="E60" s="40" t="n">
        <x:v>90</x:v>
      </x:c>
      <x:c r="F60" s="22" t="str">
        <x:v>Mayor es mejor</x:v>
      </x:c>
      <x:c r="G60" s="40" t="n">
        <x:f>IFERROR(SUMIFS(Consolidado!$M$5:$M$660,Consolidado!$B$5:$B$660,$A60,Consolidado!$D$5:$D$660,$B60)/COUNTIFS(Consolidado!$B$5:$B$660,$A60,Consolidado!$D$5:$D$660,$B60),"")</x:f>
        <x:v>91.54811854811855</x:v>
      </x:c>
      <x:c r="H60" s="22" t="str">
        <x:f>IF(G60="","",IF(F60="Mayor es mejor",IF(G60&gt;=E60,"En meta",IF(G60&gt;=E60*0.9,"Alerta","Crítico")),IF(G60&lt;=E60,"En meta",IF(G60&lt;=E60*1.1,"Alerta","Crítico"))))</x:f>
        <x:v>En meta</x:v>
      </x:c>
      <x:c r="I60" s="50" t="n">
        <x:f>COUNTIFS(Consolidado!$B$5:$B$660,$A60,Consolidado!$D$5:$D$660,$B60)</x:f>
        <x:v>5</x:v>
      </x:c>
      <x:c r="J60" s="22" t="str">
        <x:f>IF(A60=2026,"Corte a mayo","Año completo")</x:f>
        <x:v>Corte a mayo</x:v>
      </x:c>
    </x:row>
    <x:row r="61">
      <x:c r="A61" s="50" t="n">
        <x:v>2026</x:v>
      </x:c>
      <x:c r="B61" s="22" t="str">
        <x:v>P04</x:v>
      </x:c>
      <x:c r="C61" s="22" t="str">
        <x:v>% inspecciones de seguridad ejecutadas</x:v>
      </x:c>
      <x:c r="D61" s="22" t="str">
        <x:v>Proceso</x:v>
      </x:c>
      <x:c r="E61" s="40" t="n">
        <x:v>90</x:v>
      </x:c>
      <x:c r="F61" s="22" t="str">
        <x:v>Mayor es mejor</x:v>
      </x:c>
      <x:c r="G61" s="40" t="n">
        <x:f>IFERROR(SUMIFS(Consolidado!$M$5:$M$660,Consolidado!$B$5:$B$660,$A61,Consolidado!$D$5:$D$660,$B61)/COUNTIFS(Consolidado!$B$5:$B$660,$A61,Consolidado!$D$5:$D$660,$B61),"")</x:f>
        <x:v>98.18181818181817</x:v>
      </x:c>
      <x:c r="H61" s="22" t="str">
        <x:f>IF(G61="","",IF(F61="Mayor es mejor",IF(G61&gt;=E61,"En meta",IF(G61&gt;=E61*0.9,"Alerta","Crítico")),IF(G61&lt;=E61,"En meta",IF(G61&lt;=E61*1.1,"Alerta","Crítico"))))</x:f>
        <x:v>En meta</x:v>
      </x:c>
      <x:c r="I61" s="50" t="n">
        <x:f>COUNTIFS(Consolidado!$B$5:$B$660,$A61,Consolidado!$D$5:$D$660,$B61)</x:f>
        <x:v>5</x:v>
      </x:c>
      <x:c r="J61" s="22" t="str">
        <x:f>IF(A61=2026,"Corte a mayo","Año completo")</x:f>
        <x:v>Corte a mayo</x:v>
      </x:c>
    </x:row>
    <x:row r="62">
      <x:c r="A62" s="50" t="n">
        <x:v>2026</x:v>
      </x:c>
      <x:c r="B62" s="22" t="str">
        <x:v>P05</x:v>
      </x:c>
      <x:c r="C62" s="22" t="str">
        <x:v>% mantenimientos preventivos ejecutados</x:v>
      </x:c>
      <x:c r="D62" s="22" t="str">
        <x:v>Proceso</x:v>
      </x:c>
      <x:c r="E62" s="40" t="n">
        <x:v>90</x:v>
      </x:c>
      <x:c r="F62" s="22" t="str">
        <x:v>Mayor es mejor</x:v>
      </x:c>
      <x:c r="G62" s="40" t="n">
        <x:f>IFERROR(SUMIFS(Consolidado!$M$5:$M$660,Consolidado!$B$5:$B$660,$A62,Consolidado!$D$5:$D$660,$B62)/COUNTIFS(Consolidado!$B$5:$B$660,$A62,Consolidado!$D$5:$D$660,$B62),"")</x:f>
        <x:v>92.49450549450549</x:v>
      </x:c>
      <x:c r="H62" s="22" t="str">
        <x:f>IF(G62="","",IF(F62="Mayor es mejor",IF(G62&gt;=E62,"En meta",IF(G62&gt;=E62*0.9,"Alerta","Crítico")),IF(G62&lt;=E62,"En meta",IF(G62&lt;=E62*1.1,"Alerta","Crítico"))))</x:f>
        <x:v>En meta</x:v>
      </x:c>
      <x:c r="I62" s="50" t="n">
        <x:f>COUNTIFS(Consolidado!$B$5:$B$660,$A62,Consolidado!$D$5:$D$660,$B62)</x:f>
        <x:v>5</x:v>
      </x:c>
      <x:c r="J62" s="22" t="str">
        <x:f>IF(A62=2026,"Corte a mayo","Año completo")</x:f>
        <x:v>Corte a mayo</x:v>
      </x:c>
    </x:row>
    <x:row r="63">
      <x:c r="A63" s="50" t="n">
        <x:v>2026</x:v>
      </x:c>
      <x:c r="B63" s="22" t="str">
        <x:v>R01</x:v>
      </x:c>
      <x:c r="C63" s="22" t="str">
        <x:v>Índice de frecuencia de accidentalidad (IF)</x:v>
      </x:c>
      <x:c r="D63" s="22" t="str">
        <x:v>Resultado</x:v>
      </x:c>
      <x:c r="E63" s="40" t="n">
        <x:v>3.5</x:v>
      </x:c>
      <x:c r="F63" s="22" t="str">
        <x:v>Menor es mejor</x:v>
      </x:c>
      <x:c r="G63" s="40" t="n">
        <x:f>IFERROR(SUMIFS(Consolidado!$M$5:$M$660,Consolidado!$B$5:$B$660,$A63,Consolidado!$D$5:$D$660,$B63)/COUNTIFS(Consolidado!$B$5:$B$660,$A63,Consolidado!$D$5:$D$660,$B63),"")</x:f>
        <x:v>3.199213318607595</x:v>
      </x:c>
      <x:c r="H63" s="22" t="str">
        <x:f>IF(G63="","",IF(F63="Mayor es mejor",IF(G63&gt;=E63,"En meta",IF(G63&gt;=E63*0.9,"Alerta","Crítico")),IF(G63&lt;=E63,"En meta",IF(G63&lt;=E63*1.1,"Alerta","Crítico"))))</x:f>
        <x:v>En meta</x:v>
      </x:c>
      <x:c r="I63" s="50" t="n">
        <x:f>COUNTIFS(Consolidado!$B$5:$B$660,$A63,Consolidado!$D$5:$D$660,$B63)</x:f>
        <x:v>5</x:v>
      </x:c>
      <x:c r="J63" s="22" t="str">
        <x:f>IF(A63=2026,"Corte a mayo","Año completo")</x:f>
        <x:v>Corte a mayo</x:v>
      </x:c>
    </x:row>
    <x:row r="64">
      <x:c r="A64" s="50" t="n">
        <x:v>2026</x:v>
      </x:c>
      <x:c r="B64" s="22" t="str">
        <x:v>R02</x:v>
      </x:c>
      <x:c r="C64" s="22" t="str">
        <x:v>Índice de severidad de accidentalidad (IS)</x:v>
      </x:c>
      <x:c r="D64" s="22" t="str">
        <x:v>Resultado</x:v>
      </x:c>
      <x:c r="E64" s="40" t="n">
        <x:v>80</x:v>
      </x:c>
      <x:c r="F64" s="22" t="str">
        <x:v>Menor es mejor</x:v>
      </x:c>
      <x:c r="G64" s="40" t="n">
        <x:f>IFERROR(SUMIFS(Consolidado!$M$5:$M$660,Consolidado!$B$5:$B$660,$A64,Consolidado!$D$5:$D$660,$B64)/COUNTIFS(Consolidado!$B$5:$B$660,$A64,Consolidado!$D$5:$D$660,$B64),"")</x:f>
        <x:v>51.58585628280855</x:v>
      </x:c>
      <x:c r="H64" s="22" t="str">
        <x:f>IF(G64="","",IF(F64="Mayor es mejor",IF(G64&gt;=E64,"En meta",IF(G64&gt;=E64*0.9,"Alerta","Crítico")),IF(G64&lt;=E64,"En meta",IF(G64&lt;=E64*1.1,"Alerta","Crítico"))))</x:f>
        <x:v>En meta</x:v>
      </x:c>
      <x:c r="I64" s="50" t="n">
        <x:f>COUNTIFS(Consolidado!$B$5:$B$660,$A64,Consolidado!$D$5:$D$660,$B64)</x:f>
        <x:v>5</x:v>
      </x:c>
      <x:c r="J64" s="22" t="str">
        <x:f>IF(A64=2026,"Corte a mayo","Año completo")</x:f>
        <x:v>Corte a mayo</x:v>
      </x:c>
    </x:row>
    <x:row r="65">
      <x:c r="A65" s="50" t="n">
        <x:v>2026</x:v>
      </x:c>
      <x:c r="B65" s="22" t="str">
        <x:v>R03</x:v>
      </x:c>
      <x:c r="C65" s="22" t="str">
        <x:v>Índice de lesión incapacitante (ILI)</x:v>
      </x:c>
      <x:c r="D65" s="22" t="str">
        <x:v>Resultado</x:v>
      </x:c>
      <x:c r="E65" s="40" t="n">
        <x:v>0.25</x:v>
      </x:c>
      <x:c r="F65" s="22" t="str">
        <x:v>Menor es mejor</x:v>
      </x:c>
      <x:c r="G65" s="40" t="n">
        <x:f>IFERROR(SUMIFS(Consolidado!$M$5:$M$660,Consolidado!$B$5:$B$660,$A65,Consolidado!$D$5:$D$660,$B65)/COUNTIFS(Consolidado!$B$5:$B$660,$A65,Consolidado!$D$5:$D$660,$B65),"")</x:f>
        <x:v>0.16436702</x:v>
      </x:c>
      <x:c r="H65" s="22" t="str">
        <x:f>IF(G65="","",IF(F65="Mayor es mejor",IF(G65&gt;=E65,"En meta",IF(G65&gt;=E65*0.9,"Alerta","Crítico")),IF(G65&lt;=E65,"En meta",IF(G65&lt;=E65*1.1,"Alerta","Crítico"))))</x:f>
        <x:v>En meta</x:v>
      </x:c>
      <x:c r="I65" s="50" t="n">
        <x:f>COUNTIFS(Consolidado!$B$5:$B$660,$A65,Consolidado!$D$5:$D$660,$B65)</x:f>
        <x:v>5</x:v>
      </x:c>
      <x:c r="J65" s="22" t="str">
        <x:f>IF(A65=2026,"Corte a mayo","Año completo")</x:f>
        <x:v>Corte a mayo</x:v>
      </x:c>
    </x:row>
    <x:row r="66">
      <x:c r="A66" s="50" t="n">
        <x:v>2026</x:v>
      </x:c>
      <x:c r="B66" s="22" t="str">
        <x:v>R04</x:v>
      </x:c>
      <x:c r="C66" s="22" t="str">
        <x:v>Tasa de accidentalidad</x:v>
      </x:c>
      <x:c r="D66" s="22" t="str">
        <x:v>Resultado</x:v>
      </x:c>
      <x:c r="E66" s="40" t="n">
        <x:v>0.6</x:v>
      </x:c>
      <x:c r="F66" s="22" t="str">
        <x:v>Menor es mejor</x:v>
      </x:c>
      <x:c r="G66" s="40" t="n">
        <x:f>IFERROR(SUMIFS(Consolidado!$M$5:$M$660,Consolidado!$B$5:$B$660,$A66,Consolidado!$D$5:$D$660,$B66)/COUNTIFS(Consolidado!$B$5:$B$660,$A66,Consolidado!$D$5:$D$660,$B66),"")</x:f>
        <x:v>1.208893336662261</x:v>
      </x:c>
      <x:c r="H66" s="22" t="str">
        <x:f>IF(G66="","",IF(F66="Mayor es mejor",IF(G66&gt;=E66,"En meta",IF(G66&gt;=E66*0.9,"Alerta","Crítico")),IF(G66&lt;=E66,"En meta",IF(G66&lt;=E66*1.1,"Alerta","Crítico"))))</x:f>
        <x:v>Crítico</x:v>
      </x:c>
      <x:c r="I66" s="50" t="n">
        <x:f>COUNTIFS(Consolidado!$B$5:$B$660,$A66,Consolidado!$D$5:$D$660,$B66)</x:f>
        <x:v>5</x:v>
      </x:c>
      <x:c r="J66" s="22" t="str">
        <x:f>IF(A66=2026,"Corte a mayo","Año completo")</x:f>
        <x:v>Corte a mayo</x:v>
      </x:c>
    </x:row>
    <x:row r="67">
      <x:c r="A67" s="50" t="n">
        <x:v>2026</x:v>
      </x:c>
      <x:c r="B67" s="22" t="str">
        <x:v>R05</x:v>
      </x:c>
      <x:c r="C67" s="22" t="str">
        <x:v>Prevalencia de enfermedad laboral</x:v>
      </x:c>
      <x:c r="D67" s="22" t="str">
        <x:v>Resultado</x:v>
      </x:c>
      <x:c r="E67" s="40" t="n">
        <x:v>0.3</x:v>
      </x:c>
      <x:c r="F67" s="22" t="str">
        <x:v>Menor es mejor</x:v>
      </x:c>
      <x:c r="G67" s="40" t="n">
        <x:f>IFERROR(SUMIFS(Consolidado!$M$5:$M$660,Consolidado!$B$5:$B$660,$A67,Consolidado!$D$5:$D$660,$B67)/COUNTIFS(Consolidado!$B$5:$B$660,$A67,Consolidado!$D$5:$D$660,$B67),"")</x:f>
        <x:v>0.3594204352770089</x:v>
      </x:c>
      <x:c r="H67" s="22" t="str">
        <x:f>IF(G67="","",IF(F67="Mayor es mejor",IF(G67&gt;=E67,"En meta",IF(G67&gt;=E67*0.9,"Alerta","Crítico")),IF(G67&lt;=E67,"En meta",IF(G67&lt;=E67*1.1,"Alerta","Crítico"))))</x:f>
        <x:v>Crítico</x:v>
      </x:c>
      <x:c r="I67" s="50" t="n">
        <x:f>COUNTIFS(Consolidado!$B$5:$B$660,$A67,Consolidado!$D$5:$D$660,$B67)</x:f>
        <x:v>5</x:v>
      </x:c>
      <x:c r="J67" s="22" t="str">
        <x:f>IF(A67=2026,"Corte a mayo","Año completo")</x:f>
        <x:v>Corte a mayo</x:v>
      </x:c>
    </x:row>
    <x:row r="68">
      <x:c r="A68" s="50" t="n">
        <x:v>2026</x:v>
      </x:c>
      <x:c r="B68" s="22" t="str">
        <x:v>R06</x:v>
      </x:c>
      <x:c r="C68" s="22" t="str">
        <x:v>% cumplimiento de estándares mínimos Res. 0312 de 2019</x:v>
      </x:c>
      <x:c r="D68" s="22" t="str">
        <x:v>Resultado</x:v>
      </x:c>
      <x:c r="E68" s="40" t="n">
        <x:v>95</x:v>
      </x:c>
      <x:c r="F68" s="22" t="str">
        <x:v>Mayor es mejor</x:v>
      </x:c>
      <x:c r="G68" s="40" t="n">
        <x:f>IFERROR(SUMIFS(Consolidado!$M$5:$M$660,Consolidado!$B$5:$B$660,$A68,Consolidado!$D$5:$D$660,$B68)/COUNTIFS(Consolidado!$B$5:$B$660,$A68,Consolidado!$D$5:$D$660,$B68),"")</x:f>
        <x:v>98.6</x:v>
      </x:c>
      <x:c r="H68" s="22" t="str">
        <x:f>IF(G68="","",IF(F68="Mayor es mejor",IF(G68&gt;=E68,"En meta",IF(G68&gt;=E68*0.9,"Alerta","Crítico")),IF(G68&lt;=E68,"En meta",IF(G68&lt;=E68*1.1,"Alerta","Crítico"))))</x:f>
        <x:v>En meta</x:v>
      </x:c>
      <x:c r="I68" s="50" t="n">
        <x:f>COUNTIFS(Consolidado!$B$5:$B$660,$A68,Consolidado!$D$5:$D$660,$B68)</x:f>
        <x:v>5</x:v>
      </x:c>
      <x:c r="J68" s="22" t="str">
        <x:f>IF(A68=2026,"Corte a mayo","Año completo")</x:f>
        <x:v>Corte a mayo</x:v>
      </x:c>
    </x:row>
    <x:row r="71">
      <x:c r="A71" s="4" t="str">
        <x:v>Resumen por tipo y año</x:v>
      </x:c>
    </x:row>
    <x:row r="72">
      <x:c r="A72" s="25" t="str">
        <x:v>Año</x:v>
      </x:c>
      <x:c r="B72" s="25" t="str">
        <x:v>Tipo</x:v>
      </x:c>
      <x:c r="C72" s="25" t="str">
        <x:v>Promedio</x:v>
      </x:c>
      <x:c r="D72" s="25" t="str">
        <x:v>Indicadores en meta</x:v>
      </x:c>
      <x:c r="E72" s="25" t="str">
        <x:v>Total indicadores</x:v>
      </x:c>
      <x:c r="F72" s="25" t="str">
        <x:v>% en meta</x:v>
      </x:c>
    </x:row>
    <x:row r="73">
      <x:c r="A73" t="n">
        <x:v>2023</x:v>
      </x:c>
      <x:c r="B73" t="str">
        <x:v>Estructura</x:v>
      </x:c>
      <x:c r="C73" s="44" t="n">
        <x:f>IFERROR(SUMIFS($G$5:$G$68,$A$5:$A$68,$A73,$D$5:$D$68,$B73)/COUNTIFS($A$5:$A$68,$A73,$D$5:$D$68,$B73),"")</x:f>
        <x:v>91.31892316554772</x:v>
      </x:c>
      <x:c r="D73" s="44" t="n">
        <x:f>COUNTIFS($A$5:$A$68,$A73,$D$5:$D$68,$B73,$H$5:$H$68,"En meta")</x:f>
        <x:v>1</x:v>
      </x:c>
      <x:c r="E73" s="44" t="n">
        <x:f>COUNTIFS($A$5:$A$68,$A73,$D$5:$D$68,$B73)</x:f>
        <x:v>5</x:v>
      </x:c>
      <x:c r="F73" s="44" t="n">
        <x:f>IFERROR(D73/E73*100,"")</x:f>
        <x:v>20</x:v>
      </x:c>
    </x:row>
    <x:row r="74">
      <x:c r="A74" t="n">
        <x:v>2023</x:v>
      </x:c>
      <x:c r="B74" t="str">
        <x:v>Proceso</x:v>
      </x:c>
      <x:c r="C74" s="44" t="n">
        <x:f>IFERROR(SUMIFS($G$5:$G$68,$A$5:$A$68,$A74,$D$5:$D$68,$B74)/COUNTIFS($A$5:$A$68,$A74,$D$5:$D$68,$B74),"")</x:f>
        <x:v>90.35599123099124</x:v>
      </x:c>
      <x:c r="D74" s="44" t="n">
        <x:f>COUNTIFS($A$5:$A$68,$A74,$D$5:$D$68,$B74,$H$5:$H$68,"En meta")</x:f>
        <x:v>2</x:v>
      </x:c>
      <x:c r="E74" s="44" t="n">
        <x:f>COUNTIFS($A$5:$A$68,$A74,$D$5:$D$68,$B74)</x:f>
        <x:v>5</x:v>
      </x:c>
      <x:c r="F74" s="44" t="n">
        <x:f>IFERROR(D74/E74*100,"")</x:f>
        <x:v>40</x:v>
      </x:c>
    </x:row>
    <x:row r="75">
      <x:c r="A75" t="n">
        <x:v>2023</x:v>
      </x:c>
      <x:c r="B75" t="str">
        <x:v>Resultado</x:v>
      </x:c>
      <x:c r="C75" s="44" t="n">
        <x:f>IFERROR(SUMIFS($G$5:$G$68,$A$5:$A$68,$A75,$D$5:$D$68,$B75)/COUNTIFS($A$5:$A$68,$A75,$D$5:$D$68,$B75),"")</x:f>
        <x:v>30.00784251287294</x:v>
      </x:c>
      <x:c r="D75" s="44" t="n">
        <x:f>COUNTIFS($A$5:$A$68,$A75,$D$5:$D$68,$B75,$H$5:$H$68,"En meta")</x:f>
        <x:v>2</x:v>
      </x:c>
      <x:c r="E75" s="44" t="n">
        <x:f>COUNTIFS($A$5:$A$68,$A75,$D$5:$D$68,$B75)</x:f>
        <x:v>6</x:v>
      </x:c>
      <x:c r="F75" s="44" t="n">
        <x:f>IFERROR(D75/E75*100,"")</x:f>
        <x:v>33.33333333333333</x:v>
      </x:c>
    </x:row>
    <x:row r="76">
      <x:c r="A76" t="n">
        <x:v>2024</x:v>
      </x:c>
      <x:c r="B76" t="str">
        <x:v>Estructura</x:v>
      </x:c>
      <x:c r="C76" s="44" t="n">
        <x:f>IFERROR(SUMIFS($G$5:$G$68,$A$5:$A$68,$A76,$D$5:$D$68,$B76)/COUNTIFS($A$5:$A$68,$A76,$D$5:$D$68,$B76),"")</x:f>
        <x:v>92.94496216373668</x:v>
      </x:c>
      <x:c r="D76" s="44" t="n">
        <x:f>COUNTIFS($A$5:$A$68,$A76,$D$5:$D$68,$B76,$H$5:$H$68,"En meta")</x:f>
        <x:v>4</x:v>
      </x:c>
      <x:c r="E76" s="44" t="n">
        <x:f>COUNTIFS($A$5:$A$68,$A76,$D$5:$D$68,$B76)</x:f>
        <x:v>5</x:v>
      </x:c>
      <x:c r="F76" s="44" t="n">
        <x:f>IFERROR(D76/E76*100,"")</x:f>
        <x:v>80</x:v>
      </x:c>
    </x:row>
    <x:row r="77">
      <x:c r="A77" t="n">
        <x:v>2024</x:v>
      </x:c>
      <x:c r="B77" t="str">
        <x:v>Proceso</x:v>
      </x:c>
      <x:c r="C77" s="44" t="n">
        <x:f>IFERROR(SUMIFS($G$5:$G$68,$A$5:$A$68,$A77,$D$5:$D$68,$B77)/COUNTIFS($A$5:$A$68,$A77,$D$5:$D$68,$B77),"")</x:f>
        <x:v>92.61853424353426</x:v>
      </x:c>
      <x:c r="D77" s="44" t="n">
        <x:f>COUNTIFS($A$5:$A$68,$A77,$D$5:$D$68,$B77,$H$5:$H$68,"En meta")</x:f>
        <x:v>4</x:v>
      </x:c>
      <x:c r="E77" s="44" t="n">
        <x:f>COUNTIFS($A$5:$A$68,$A77,$D$5:$D$68,$B77)</x:f>
        <x:v>5</x:v>
      </x:c>
      <x:c r="F77" s="44" t="n">
        <x:f>IFERROR(D77/E77*100,"")</x:f>
        <x:v>80</x:v>
      </x:c>
    </x:row>
    <x:row r="78">
      <x:c r="A78" t="n">
        <x:v>2024</x:v>
      </x:c>
      <x:c r="B78" t="str">
        <x:v>Resultado</x:v>
      </x:c>
      <x:c r="C78" s="44" t="n">
        <x:f>IFERROR(SUMIFS($G$5:$G$68,$A$5:$A$68,$A78,$D$5:$D$68,$B78)/COUNTIFS($A$5:$A$68,$A78,$D$5:$D$68,$B78),"")</x:f>
        <x:v>28.399639745460842</x:v>
      </x:c>
      <x:c r="D78" s="44" t="n">
        <x:f>COUNTIFS($A$5:$A$68,$A78,$D$5:$D$68,$B78,$H$5:$H$68,"En meta")</x:f>
        <x:v>3</x:v>
      </x:c>
      <x:c r="E78" s="44" t="n">
        <x:f>COUNTIFS($A$5:$A$68,$A78,$D$5:$D$68,$B78)</x:f>
        <x:v>6</x:v>
      </x:c>
      <x:c r="F78" s="44" t="n">
        <x:f>IFERROR(D78/E78*100,"")</x:f>
        <x:v>50</x:v>
      </x:c>
    </x:row>
    <x:row r="79">
      <x:c r="A79" t="n">
        <x:v>2025</x:v>
      </x:c>
      <x:c r="B79" t="str">
        <x:v>Estructura</x:v>
      </x:c>
      <x:c r="C79" s="44" t="n">
        <x:f>IFERROR(SUMIFS($G$5:$G$68,$A$5:$A$68,$A79,$D$5:$D$68,$B79)/COUNTIFS($A$5:$A$68,$A79,$D$5:$D$68,$B79),"")</x:f>
        <x:v>95.67197391630404</x:v>
      </x:c>
      <x:c r="D79" s="44" t="n">
        <x:f>COUNTIFS($A$5:$A$68,$A79,$D$5:$D$68,$B79,$H$5:$H$68,"En meta")</x:f>
        <x:v>5</x:v>
      </x:c>
      <x:c r="E79" s="44" t="n">
        <x:f>COUNTIFS($A$5:$A$68,$A79,$D$5:$D$68,$B79)</x:f>
        <x:v>5</x:v>
      </x:c>
      <x:c r="F79" s="44" t="n">
        <x:f>IFERROR(D79/E79*100,"")</x:f>
        <x:v>100</x:v>
      </x:c>
    </x:row>
    <x:row r="80">
      <x:c r="A80" t="n">
        <x:v>2025</x:v>
      </x:c>
      <x:c r="B80" t="str">
        <x:v>Proceso</x:v>
      </x:c>
      <x:c r="C80" s="44" t="n">
        <x:f>IFERROR(SUMIFS($G$5:$G$68,$A$5:$A$68,$A80,$D$5:$D$68,$B80)/COUNTIFS($A$5:$A$68,$A80,$D$5:$D$68,$B80),"")</x:f>
        <x:v>93.18401043401045</x:v>
      </x:c>
      <x:c r="D80" s="44" t="n">
        <x:f>COUNTIFS($A$5:$A$68,$A80,$D$5:$D$68,$B80,$H$5:$H$68,"En meta")</x:f>
        <x:v>5</x:v>
      </x:c>
      <x:c r="E80" s="44" t="n">
        <x:f>COUNTIFS($A$5:$A$68,$A80,$D$5:$D$68,$B80)</x:f>
        <x:v>5</x:v>
      </x:c>
      <x:c r="F80" s="44" t="n">
        <x:f>IFERROR(D80/E80*100,"")</x:f>
        <x:v>100</x:v>
      </x:c>
    </x:row>
    <x:row r="81">
      <x:c r="A81" t="n">
        <x:v>2025</x:v>
      </x:c>
      <x:c r="B81" t="str">
        <x:v>Resultado</x:v>
      </x:c>
      <x:c r="C81" s="44" t="n">
        <x:f>IFERROR(SUMIFS($G$5:$G$68,$A$5:$A$68,$A81,$D$5:$D$68,$B81)/COUNTIFS($A$5:$A$68,$A81,$D$5:$D$68,$B81),"")</x:f>
        <x:v>26.175142344772933</x:v>
      </x:c>
      <x:c r="D81" s="44" t="n">
        <x:f>COUNTIFS($A$5:$A$68,$A81,$D$5:$D$68,$B81,$H$5:$H$68,"En meta")</x:f>
        <x:v>4</x:v>
      </x:c>
      <x:c r="E81" s="44" t="n">
        <x:f>COUNTIFS($A$5:$A$68,$A81,$D$5:$D$68,$B81)</x:f>
        <x:v>6</x:v>
      </x:c>
      <x:c r="F81" s="44" t="n">
        <x:f>IFERROR(D81/E81*100,"")</x:f>
        <x:v>66.66666666666666</x:v>
      </x:c>
    </x:row>
    <x:row r="82">
      <x:c r="A82" t="n">
        <x:v>2026</x:v>
      </x:c>
      <x:c r="B82" t="str">
        <x:v>Estructura</x:v>
      </x:c>
      <x:c r="C82" s="44" t="n">
        <x:f>IFERROR(SUMIFS($G$5:$G$68,$A$5:$A$68,$A82,$D$5:$D$68,$B82)/COUNTIFS($A$5:$A$68,$A82,$D$5:$D$68,$B82),"")</x:f>
        <x:v>96.5792348749532</x:v>
      </x:c>
      <x:c r="D82" s="44" t="n">
        <x:f>COUNTIFS($A$5:$A$68,$A82,$D$5:$D$68,$B82,$H$5:$H$68,"En meta")</x:f>
        <x:v>5</x:v>
      </x:c>
      <x:c r="E82" s="44" t="n">
        <x:f>COUNTIFS($A$5:$A$68,$A82,$D$5:$D$68,$B82)</x:f>
        <x:v>5</x:v>
      </x:c>
      <x:c r="F82" s="44" t="n">
        <x:f>IFERROR(D82/E82*100,"")</x:f>
        <x:v>100</x:v>
      </x:c>
    </x:row>
    <x:row r="83">
      <x:c r="A83" t="n">
        <x:v>2026</x:v>
      </x:c>
      <x:c r="B83" t="str">
        <x:v>Proceso</x:v>
      </x:c>
      <x:c r="C83" s="44" t="n">
        <x:f>IFERROR(SUMIFS($G$5:$G$68,$A$5:$A$68,$A83,$D$5:$D$68,$B83)/COUNTIFS($A$5:$A$68,$A83,$D$5:$D$68,$B83),"")</x:f>
        <x:v>95.20679320679321</x:v>
      </x:c>
      <x:c r="D83" s="44" t="n">
        <x:f>COUNTIFS($A$5:$A$68,$A83,$D$5:$D$68,$B83,$H$5:$H$68,"En meta")</x:f>
        <x:v>5</x:v>
      </x:c>
      <x:c r="E83" s="44" t="n">
        <x:f>COUNTIFS($A$5:$A$68,$A83,$D$5:$D$68,$B83)</x:f>
        <x:v>5</x:v>
      </x:c>
      <x:c r="F83" s="44" t="n">
        <x:f>IFERROR(D83/E83*100,"")</x:f>
        <x:v>100</x:v>
      </x:c>
    </x:row>
    <x:row r="84">
      <x:c r="A84" t="n">
        <x:v>2026</x:v>
      </x:c>
      <x:c r="B84" t="str">
        <x:v>Resultado</x:v>
      </x:c>
      <x:c r="C84" s="44" t="n">
        <x:f>IFERROR(SUMIFS($G$5:$G$68,$A$5:$A$68,$A84,$D$5:$D$68,$B84)/COUNTIFS($A$5:$A$68,$A84,$D$5:$D$68,$B84),"")</x:f>
        <x:v>25.852958398892568</x:v>
      </x:c>
      <x:c r="D84" s="44" t="n">
        <x:f>COUNTIFS($A$5:$A$68,$A84,$D$5:$D$68,$B84,$H$5:$H$68,"En meta")</x:f>
        <x:v>4</x:v>
      </x:c>
      <x:c r="E84" s="44" t="n">
        <x:f>COUNTIFS($A$5:$A$68,$A84,$D$5:$D$68,$B84)</x:f>
        <x:v>6</x:v>
      </x:c>
      <x:c r="F84" s="44" t="n">
        <x:f>IFERROR(D84/E84*100,"")</x:f>
        <x:v>66.66666666666666</x:v>
      </x:c>
    </x:row>
  </x:sheetData>
  <x:mergeCells>
    <x:mergeCell ref="A1:J1"/>
    <x:mergeCell ref="A2:J2"/>
    <x:mergeCell ref="A71:F71"/>
  </x:mergeCells>
  <x:conditionalFormatting sqref="H5:H68">
    <x:cfRule type="expression" dxfId="18" priority="1">
      <x:formula>H5="En meta"</x:formula>
    </x:cfRule>
    <x:cfRule type="expression" dxfId="19" priority="2">
      <x:formula>H5="Alerta"</x:formula>
    </x:cfRule>
    <x:cfRule type="expression" dxfId="20" priority="3">
      <x:formula>H5="Crítico"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5.55000305175781" hidden="0" customWidth="1"/>
    <x:col min="2" max="2" width="34" hidden="0" customWidth="1"/>
    <x:col min="3" max="3" width="12" hidden="0" customWidth="1"/>
    <x:col min="4" max="4" width="13.460000038146973" hidden="0" customWidth="1"/>
    <x:col min="5" max="5" width="22.8799991607666" hidden="0" customWidth="1"/>
    <x:col min="6" max="6" width="6.460000038146973" hidden="0" customWidth="1"/>
    <x:col min="7" max="7" width="5.789999961853027" hidden="0" customWidth="1"/>
    <x:col min="8" max="8" width="16" hidden="0" customWidth="1"/>
    <x:col min="10" max="10" width="39.029998779296875" hidden="0" customWidth="1"/>
    <x:col min="11" max="11" width="21.1299991607666" hidden="0" customWidth="1"/>
    <x:col min="12" max="12" width="16" hidden="0" customWidth="1"/>
    <x:col min="13" max="13" width="16" hidden="0" customWidth="1"/>
  </x:cols>
  <x:sheetData>
    <x:row r="1">
      <x:c r="A1" s="4" t="str">
        <x:v>Dashboard de Indicadores de Gestión del SG-SST</x:v>
      </x:c>
      <x:c r="B1" s="73" t="str">
        <x:v>Promedio de 6 indicadores</x:v>
      </x:c>
      <x:c r="E1" s="73" t="str">
        <x:v>Promedio de 16 indicadores</x:v>
      </x:c>
    </x:row>
    <x:row r="2">
      <x:c r="A2" s="9" t="str">
        <x:v>Vista ejecutiva de resultados anuales 2023-2026 y desempeño 2026 (enero-mayo).</x:v>
      </x:c>
    </x:row>
    <x:row r="4">
      <x:c r="B4" s="57" t="str">
        <x:v>Indicadores en meta 2026</x:v>
      </x:c>
      <x:c r="E4" s="57" t="str">
        <x:v>% indicadores en meta 2026</x:v>
      </x:c>
      <x:c r="H4" s="57" t="str">
        <x:v>% Estructura en meta 2026</x:v>
      </x:c>
      <x:c r="K4" s="57" t="str">
        <x:v>% Proceso en meta 2026</x:v>
      </x:c>
    </x:row>
    <x:row r="5">
      <x:c r="B5" s="80" t="n">
        <x:f>COUNTIFS(Resumen_Anual!$A$5:$A$68,2026,Resumen_Anual!$H$5:$H$68,"En meta")</x:f>
        <x:v>14</x:v>
      </x:c>
      <x:c r="E5" s="78" t="n">
        <x:f>IFERROR(COUNTIFS(Resumen_Anual!$A$5:$A$68,2026,Resumen_Anual!$H$5:$H$68,"En meta")/COUNTIFS(Resumen_Anual!$A$5:$A$68,2026)*100,"")</x:f>
        <x:v>87.5</x:v>
      </x:c>
      <x:c r="H5" s="78" t="n">
        <x:f>IFERROR(COUNTIFS(Resumen_Anual!$A$5:$A$68,2026,Resumen_Anual!$D$5:$D$68,"Estructura",Resumen_Anual!$H$5:$H$68,"En meta")/COUNTIFS(Resumen_Anual!$A$5:$A$68,2026,Resumen_Anual!$D$5:$D$68,"Estructura")*100,"")</x:f>
        <x:v>100</x:v>
      </x:c>
      <x:c r="K5" s="78" t="n">
        <x:f>IFERROR(COUNTIFS(Resumen_Anual!$A$5:$A$68,2026,Resumen_Anual!$D$5:$D$68,"Proceso",Resumen_Anual!$H$5:$H$68,"En meta")/COUNTIFS(Resumen_Anual!$A$5:$A$68,2026,Resumen_Anual!$D$5:$D$68,"Proceso")*100,"")</x:f>
        <x:v>100</x:v>
      </x:c>
    </x:row>
    <x:row r="7">
      <x:c r="B7" s="73" t="str">
        <x:v>Cantidad de indicadores en meta</x:v>
      </x:c>
      <x:c r="E7" s="73" t="str">
        <x:v>Corte enero-mayo</x:v>
      </x:c>
      <x:c r="H7" s="73" t="str">
        <x:v>Sobre 5 indicadores</x:v>
      </x:c>
      <x:c r="K7" s="73" t="str">
        <x:v>Sobre 5 indicadores</x:v>
      </x:c>
    </x:row>
    <x:row r="8">
      <x:c r="B8" s="57" t="str">
        <x:v>% Resultado en meta 2026</x:v>
      </x:c>
      <x:c r="E8" s="57" t="str">
        <x:v>Cumplimiento Res. 0312 2026</x:v>
      </x:c>
    </x:row>
    <x:row r="9">
      <x:c r="B9" s="78" t="n">
        <x:f>IFERROR(COUNTIFS(Resumen_Anual!$A$5:$A$68,2026,Resumen_Anual!$D$5:$D$68,"Resultado",Resumen_Anual!$H$5:$H$68,"En meta")/COUNTIFS(Resumen_Anual!$A$5:$A$68,2026,Resumen_Anual!$D$5:$D$68,"Resultado")*100,"")</x:f>
        <x:v>66.66666666666666</x:v>
      </x:c>
      <x:c r="E9" s="78" t="n">
        <x:f>IFERROR(INDEX(Resumen_Anual!$G$53:$G$68,MATCH("R06",Resumen_Anual!$B$53:$B$68,0)),"")</x:f>
        <x:v>98.6</x:v>
      </x:c>
    </x:row>
    <x:row r="11">
      <x:c r="B11" t="str">
        <x:v>Sobre 6 indicadores</x:v>
      </x:c>
      <x:c r="E11" t="str">
        <x:v>Resultado anual promedio 2026</x:v>
      </x:c>
    </x:row>
    <x:row r="14">
      <x:c r="A14" s="4" t="str">
        <x:v>Resumen anual por tipo</x:v>
      </x:c>
      <x:c r="J14" s="4" t="str">
        <x:v>Promedio mensual 2026 por tipo</x:v>
      </x:c>
    </x:row>
    <x:row r="15">
      <x:c r="A15" s="25" t="str">
        <x:v>Año</x:v>
      </x:c>
      <x:c r="B15" s="25" t="str">
        <x:v>% Estructura en meta</x:v>
      </x:c>
      <x:c r="C15" s="25" t="str">
        <x:v>% Proceso en meta</x:v>
      </x:c>
      <x:c r="D15" s="25" t="str">
        <x:v>% Resultado en meta</x:v>
      </x:c>
      <x:c r="E15" s="25" t="str">
        <x:v>% indicadores en meta</x:v>
      </x:c>
      <x:c r="J15" s="25" t="str">
        <x:v>Mes</x:v>
      </x:c>
      <x:c r="K15" s="25" t="str">
        <x:v>Estructura</x:v>
      </x:c>
      <x:c r="L15" s="25" t="str">
        <x:v>Proceso</x:v>
      </x:c>
      <x:c r="M15" s="25" t="str">
        <x:v>Resultado</x:v>
      </x:c>
    </x:row>
    <x:row r="16">
      <x:c r="A16" s="22" t="n">
        <x:v>2023</x:v>
      </x:c>
      <x:c r="B16" s="40" t="n">
        <x:f>IFERROR(COUNTIFS(Resumen_Anual!$A$5:$A$68,$A16,Resumen_Anual!$D$5:$D$68,"Estructura",Resumen_Anual!$H$5:$H$68,"En meta")/COUNTIFS(Resumen_Anual!$A$5:$A$68,$A16,Resumen_Anual!$D$5:$D$68,"Estructura")*100,"")</x:f>
        <x:v>20</x:v>
      </x:c>
      <x:c r="C16" s="40" t="n">
        <x:f>IFERROR(COUNTIFS(Resumen_Anual!$A$5:$A$68,$A16,Resumen_Anual!$D$5:$D$68,"Proceso",Resumen_Anual!$H$5:$H$68,"En meta")/COUNTIFS(Resumen_Anual!$A$5:$A$68,$A16,Resumen_Anual!$D$5:$D$68,"Proceso")*100,"")</x:f>
        <x:v>40</x:v>
      </x:c>
      <x:c r="D16" s="40" t="n">
        <x:f>IFERROR(COUNTIFS(Resumen_Anual!$A$5:$A$68,$A16,Resumen_Anual!$D$5:$D$68,"Resultado",Resumen_Anual!$H$5:$H$68,"En meta")/COUNTIFS(Resumen_Anual!$A$5:$A$68,$A16,Resumen_Anual!$D$5:$D$68,"Resultado")*100,"")</x:f>
        <x:v>33.33333333333333</x:v>
      </x:c>
      <x:c r="E16" s="40" t="n">
        <x:f>IFERROR(COUNTIFS(Resumen_Anual!$A$5:$A$68,$A16,Resumen_Anual!$H$5:$H$68,"En meta")/COUNTIFS(Resumen_Anual!$A$5:$A$68,$A16)*100,"")</x:f>
        <x:v>31.25</x:v>
      </x:c>
      <x:c r="J16" s="22" t="str">
        <x:v>Enero</x:v>
      </x:c>
      <x:c r="K16" s="40" t="n">
        <x:f>IFERROR(SUMIFS(Consolidado!$M$5:$M$660,Consolidado!$B$5:$B$660,2026,Consolidado!$C$5:$C$660,$J16,Consolidado!$F$5:$F$660,"Estructura")/COUNTIFS(Consolidado!$B$5:$B$660,2026,Consolidado!$C$5:$C$660,$J16,Consolidado!$F$5:$F$660,"Estructura"),"")</x:f>
        <x:v>96.5543085027885</x:v>
      </x:c>
      <x:c r="L16" s="40" t="n">
        <x:f>IFERROR(SUMIFS(Consolidado!$M$5:$M$660,Consolidado!$B$5:$B$660,2026,Consolidado!$C$5:$C$660,$J16,Consolidado!$F$5:$F$660,"Proceso")/COUNTIFS(Consolidado!$B$5:$B$660,2026,Consolidado!$C$5:$C$660,$J16,Consolidado!$F$5:$F$660,"Proceso"),"")</x:f>
        <x:v>94.97668997668998</x:v>
      </x:c>
      <x:c r="M16" s="40" t="n">
        <x:f>IFERROR(SUMIFS(Consolidado!$M$5:$M$660,Consolidado!$B$5:$B$660,2026,Consolidado!$C$5:$C$660,$J16,Consolidado!$F$5:$F$660,"Resultado")/COUNTIFS(Consolidado!$B$5:$B$660,2026,Consolidado!$C$5:$C$660,$J16,Consolidado!$F$5:$F$660,"Resultado"),"")</x:f>
        <x:v>26.209412977838312</x:v>
      </x:c>
    </x:row>
    <x:row r="17">
      <x:c r="A17" s="22" t="n">
        <x:v>2024</x:v>
      </x:c>
      <x:c r="B17" s="40" t="n">
        <x:f>IFERROR(COUNTIFS(Resumen_Anual!$A$5:$A$68,$A17,Resumen_Anual!$D$5:$D$68,"Estructura",Resumen_Anual!$H$5:$H$68,"En meta")/COUNTIFS(Resumen_Anual!$A$5:$A$68,$A17,Resumen_Anual!$D$5:$D$68,"Estructura")*100,"")</x:f>
        <x:v>80</x:v>
      </x:c>
      <x:c r="C17" s="40" t="n">
        <x:f>IFERROR(COUNTIFS(Resumen_Anual!$A$5:$A$68,$A17,Resumen_Anual!$D$5:$D$68,"Proceso",Resumen_Anual!$H$5:$H$68,"En meta")/COUNTIFS(Resumen_Anual!$A$5:$A$68,$A17,Resumen_Anual!$D$5:$D$68,"Proceso")*100,"")</x:f>
        <x:v>80</x:v>
      </x:c>
      <x:c r="D17" s="40" t="n">
        <x:f>IFERROR(COUNTIFS(Resumen_Anual!$A$5:$A$68,$A17,Resumen_Anual!$D$5:$D$68,"Resultado",Resumen_Anual!$H$5:$H$68,"En meta")/COUNTIFS(Resumen_Anual!$A$5:$A$68,$A17,Resumen_Anual!$D$5:$D$68,"Resultado")*100,"")</x:f>
        <x:v>50</x:v>
      </x:c>
      <x:c r="E17" s="40" t="n">
        <x:f>IFERROR(COUNTIFS(Resumen_Anual!$A$5:$A$68,$A17,Resumen_Anual!$H$5:$H$68,"En meta")/COUNTIFS(Resumen_Anual!$A$5:$A$68,$A17)*100,"")</x:f>
        <x:v>68.75</x:v>
      </x:c>
      <x:c r="J17" s="22" t="str">
        <x:v>Febrero</x:v>
      </x:c>
      <x:c r="K17" s="40" t="n">
        <x:f>IFERROR(SUMIFS(Consolidado!$M$5:$M$660,Consolidado!$B$5:$B$660,2026,Consolidado!$C$5:$C$660,$J17,Consolidado!$F$5:$F$660,"Estructura")/COUNTIFS(Consolidado!$B$5:$B$660,2026,Consolidado!$C$5:$C$660,$J17,Consolidado!$F$5:$F$660,"Estructura"),"")</x:f>
        <x:v>97.03434478321678</x:v>
      </x:c>
      <x:c r="L17" s="40" t="n">
        <x:f>IFERROR(SUMIFS(Consolidado!$M$5:$M$660,Consolidado!$B$5:$B$660,2026,Consolidado!$C$5:$C$660,$J17,Consolidado!$F$5:$F$660,"Proceso")/COUNTIFS(Consolidado!$B$5:$B$660,2026,Consolidado!$C$5:$C$660,$J17,Consolidado!$F$5:$F$660,"Proceso"),"")</x:f>
        <x:v>95.47619047619048</x:v>
      </x:c>
      <x:c r="M17" s="40" t="n">
        <x:f>IFERROR(SUMIFS(Consolidado!$M$5:$M$660,Consolidado!$B$5:$B$660,2026,Consolidado!$C$5:$C$660,$J17,Consolidado!$F$5:$F$660,"Resultado")/COUNTIFS(Consolidado!$B$5:$B$660,2026,Consolidado!$C$5:$C$660,$J17,Consolidado!$F$5:$F$660,"Resultado"),"")</x:f>
        <x:v>26.593664568838225</x:v>
      </x:c>
    </x:row>
    <x:row r="18">
      <x:c r="A18" s="22" t="n">
        <x:v>2025</x:v>
      </x:c>
      <x:c r="B18" s="40" t="n">
        <x:f>IFERROR(COUNTIFS(Resumen_Anual!$A$5:$A$68,$A18,Resumen_Anual!$D$5:$D$68,"Estructura",Resumen_Anual!$H$5:$H$68,"En meta")/COUNTIFS(Resumen_Anual!$A$5:$A$68,$A18,Resumen_Anual!$D$5:$D$68,"Estructura")*100,"")</x:f>
        <x:v>100</x:v>
      </x:c>
      <x:c r="C18" s="40" t="n">
        <x:f>IFERROR(COUNTIFS(Resumen_Anual!$A$5:$A$68,$A18,Resumen_Anual!$D$5:$D$68,"Proceso",Resumen_Anual!$H$5:$H$68,"En meta")/COUNTIFS(Resumen_Anual!$A$5:$A$68,$A18,Resumen_Anual!$D$5:$D$68,"Proceso")*100,"")</x:f>
        <x:v>100</x:v>
      </x:c>
      <x:c r="D18" s="40" t="n">
        <x:f>IFERROR(COUNTIFS(Resumen_Anual!$A$5:$A$68,$A18,Resumen_Anual!$D$5:$D$68,"Resultado",Resumen_Anual!$H$5:$H$68,"En meta")/COUNTIFS(Resumen_Anual!$A$5:$A$68,$A18,Resumen_Anual!$D$5:$D$68,"Resultado")*100,"")</x:f>
        <x:v>66.66666666666666</x:v>
      </x:c>
      <x:c r="E18" s="40" t="n">
        <x:f>IFERROR(COUNTIFS(Resumen_Anual!$A$5:$A$68,$A18,Resumen_Anual!$H$5:$H$68,"En meta")/COUNTIFS(Resumen_Anual!$A$5:$A$68,$A18)*100,"")</x:f>
        <x:v>87.5</x:v>
      </x:c>
      <x:c r="J18" s="22" t="str">
        <x:v>Marzo</x:v>
      </x:c>
      <x:c r="K18" s="40" t="n">
        <x:f>IFERROR(SUMIFS(Consolidado!$M$5:$M$660,Consolidado!$B$5:$B$660,2026,Consolidado!$C$5:$C$660,$J18,Consolidado!$F$5:$F$660,"Estructura")/COUNTIFS(Consolidado!$B$5:$B$660,2026,Consolidado!$C$5:$C$660,$J18,Consolidado!$F$5:$F$660,"Estructura"),"")</x:f>
        <x:v>95.15487809730774</x:v>
      </x:c>
      <x:c r="L18" s="40" t="n">
        <x:f>IFERROR(SUMIFS(Consolidado!$M$5:$M$660,Consolidado!$B$5:$B$660,2026,Consolidado!$C$5:$C$660,$J18,Consolidado!$F$5:$F$660,"Proceso")/COUNTIFS(Consolidado!$B$5:$B$660,2026,Consolidado!$C$5:$C$660,$J18,Consolidado!$F$5:$F$660,"Proceso"),"")</x:f>
        <x:v>95.31002331002331</x:v>
      </x:c>
      <x:c r="M18" s="40" t="n">
        <x:f>IFERROR(SUMIFS(Consolidado!$M$5:$M$660,Consolidado!$B$5:$B$660,2026,Consolidado!$C$5:$C$660,$J18,Consolidado!$F$5:$F$660,"Resultado")/COUNTIFS(Consolidado!$B$5:$B$660,2026,Consolidado!$C$5:$C$660,$J18,Consolidado!$F$5:$F$660,"Resultado"),"")</x:f>
        <x:v>23.59717756042087</x:v>
      </x:c>
    </x:row>
    <x:row r="19">
      <x:c r="A19" s="22" t="n">
        <x:v>2026</x:v>
      </x:c>
      <x:c r="B19" s="40" t="n">
        <x:f>IFERROR(COUNTIFS(Resumen_Anual!$A$5:$A$68,$A19,Resumen_Anual!$D$5:$D$68,"Estructura",Resumen_Anual!$H$5:$H$68,"En meta")/COUNTIFS(Resumen_Anual!$A$5:$A$68,$A19,Resumen_Anual!$D$5:$D$68,"Estructura")*100,"")</x:f>
        <x:v>100</x:v>
      </x:c>
      <x:c r="C19" s="40" t="n">
        <x:f>IFERROR(COUNTIFS(Resumen_Anual!$A$5:$A$68,$A19,Resumen_Anual!$D$5:$D$68,"Proceso",Resumen_Anual!$H$5:$H$68,"En meta")/COUNTIFS(Resumen_Anual!$A$5:$A$68,$A19,Resumen_Anual!$D$5:$D$68,"Proceso")*100,"")</x:f>
        <x:v>100</x:v>
      </x:c>
      <x:c r="D19" s="40" t="n">
        <x:f>IFERROR(COUNTIFS(Resumen_Anual!$A$5:$A$68,$A19,Resumen_Anual!$D$5:$D$68,"Resultado",Resumen_Anual!$H$5:$H$68,"En meta")/COUNTIFS(Resumen_Anual!$A$5:$A$68,$A19,Resumen_Anual!$D$5:$D$68,"Resultado")*100,"")</x:f>
        <x:v>66.66666666666666</x:v>
      </x:c>
      <x:c r="E19" s="40" t="n">
        <x:f>IFERROR(COUNTIFS(Resumen_Anual!$A$5:$A$68,$A19,Resumen_Anual!$H$5:$H$68,"En meta")/COUNTIFS(Resumen_Anual!$A$5:$A$68,$A19)*100,"")</x:f>
        <x:v>87.5</x:v>
      </x:c>
      <x:c r="J19" s="22" t="str">
        <x:v>Abril</x:v>
      </x:c>
      <x:c r="K19" s="40" t="n">
        <x:f>IFERROR(SUMIFS(Consolidado!$M$5:$M$660,Consolidado!$B$5:$B$660,2026,Consolidado!$C$5:$C$660,$J19,Consolidado!$F$5:$F$660,"Estructura")/COUNTIFS(Consolidado!$B$5:$B$660,2026,Consolidado!$C$5:$C$660,$J19,Consolidado!$F$5:$F$660,"Estructura"),"")</x:f>
        <x:v>96.7767999145299</x:v>
      </x:c>
      <x:c r="L19" s="40" t="n">
        <x:f>IFERROR(SUMIFS(Consolidado!$M$5:$M$660,Consolidado!$B$5:$B$660,2026,Consolidado!$C$5:$C$660,$J19,Consolidado!$F$5:$F$660,"Proceso")/COUNTIFS(Consolidado!$B$5:$B$660,2026,Consolidado!$C$5:$C$660,$J19,Consolidado!$F$5:$F$660,"Proceso"),"")</x:f>
        <x:v>95.23809523809523</x:v>
      </x:c>
      <x:c r="M19" s="40" t="n">
        <x:f>IFERROR(SUMIFS(Consolidado!$M$5:$M$660,Consolidado!$B$5:$B$660,2026,Consolidado!$C$5:$C$660,$J19,Consolidado!$F$5:$F$660,"Resultado")/COUNTIFS(Consolidado!$B$5:$B$660,2026,Consolidado!$C$5:$C$660,$J19,Consolidado!$F$5:$F$660,"Resultado"),"")</x:f>
        <x:v>26.63549111628123</x:v>
      </x:c>
    </x:row>
    <x:row r="20">
      <x:c r="J20" s="22" t="str">
        <x:v>Mayo</x:v>
      </x:c>
      <x:c r="K20" s="40" t="n">
        <x:f>IFERROR(SUMIFS(Consolidado!$M$5:$M$660,Consolidado!$B$5:$B$660,2026,Consolidado!$C$5:$C$660,$J20,Consolidado!$F$5:$F$660,"Estructura")/COUNTIFS(Consolidado!$B$5:$B$660,2026,Consolidado!$C$5:$C$660,$J20,Consolidado!$F$5:$F$660,"Estructura"),"")</x:f>
        <x:v>97.37584307692308</x:v>
      </x:c>
      <x:c r="L20" s="40" t="n">
        <x:f>IFERROR(SUMIFS(Consolidado!$M$5:$M$660,Consolidado!$B$5:$B$660,2026,Consolidado!$C$5:$C$660,$J20,Consolidado!$F$5:$F$660,"Proceso")/COUNTIFS(Consolidado!$B$5:$B$660,2026,Consolidado!$C$5:$C$660,$J20,Consolidado!$F$5:$F$660,"Proceso"),"")</x:f>
        <x:v>95.03296703296704</x:v>
      </x:c>
      <x:c r="M20" s="40" t="n">
        <x:f>IFERROR(SUMIFS(Consolidado!$M$5:$M$660,Consolidado!$B$5:$B$660,2026,Consolidado!$C$5:$C$660,$J20,Consolidado!$F$5:$F$660,"Resultado")/COUNTIFS(Consolidado!$B$5:$B$660,2026,Consolidado!$C$5:$C$660,$J20,Consolidado!$F$5:$F$660,"Resultado"),"")</x:f>
        <x:v>26.229045771084213</x:v>
      </x:c>
    </x:row>
    <x:row r="22">
      <x:c r="A22" s="4" t="str">
        <x:v>Resultados 2026 por indicador</x:v>
      </x:c>
    </x:row>
    <x:row r="23">
      <x:c r="A23" s="25" t="str">
        <x:v>Código</x:v>
      </x:c>
      <x:c r="B23" s="25" t="str">
        <x:v>Indicador</x:v>
      </x:c>
      <x:c r="C23" s="25" t="str">
        <x:v>Tipo</x:v>
      </x:c>
      <x:c r="D23" s="25" t="str">
        <x:v>Meta</x:v>
      </x:c>
      <x:c r="E23" s="25" t="str">
        <x:v>Resultado 2026</x:v>
      </x:c>
      <x:c r="F23" s="25" t="str">
        <x:v>Estado</x:v>
      </x:c>
      <x:c r="G23" s="25" t="str">
        <x:v>Unidad</x:v>
      </x:c>
      <x:c r="H23" s="25" t="str">
        <x:v>Sentido</x:v>
      </x:c>
    </x:row>
    <x:row r="24">
      <x:c r="A24" s="22" t="str">
        <x:v>E01</x:v>
      </x:c>
      <x:c r="B24" s="22" t="str">
        <x:v>% ejecución presupuestal del SG-SST</x:v>
      </x:c>
      <x:c r="C24" s="22" t="str">
        <x:v>Estructura</x:v>
      </x:c>
      <x:c r="D24" s="40" t="n">
        <x:v>95</x:v>
      </x:c>
      <x:c r="E24" s="40" t="n">
        <x:f>Resumen_Anual!G53</x:f>
        <x:v>96.76871439471638</x:v>
      </x:c>
      <x:c r="F24" s="22" t="str">
        <x:f>Resumen_Anual!H53</x:f>
        <x:v>En meta</x:v>
      </x:c>
      <x:c r="G24" s="22" t="str">
        <x:v>%</x:v>
      </x:c>
      <x:c r="H24" s="22" t="str">
        <x:v>Mayor es mejor</x:v>
      </x:c>
    </x:row>
    <x:row r="25">
      <x:c r="A25" s="22" t="str">
        <x:v>E02</x:v>
      </x:c>
      <x:c r="B25" s="22" t="str">
        <x:v>% cobertura del plan de formación y capacitación SG-SST</x:v>
      </x:c>
      <x:c r="C25" s="22" t="str">
        <x:v>Estructura</x:v>
      </x:c>
      <x:c r="D25" s="40" t="n">
        <x:v>90</x:v>
      </x:c>
      <x:c r="E25" s="40" t="n">
        <x:f>Resumen_Anual!G54</x:f>
        <x:v>94.31313131313132</x:v>
      </x:c>
      <x:c r="F25" s="22" t="str">
        <x:f>Resumen_Anual!H54</x:f>
        <x:v>En meta</x:v>
      </x:c>
      <x:c r="G25" s="22" t="str">
        <x:v>%</x:v>
      </x:c>
      <x:c r="H25" s="22" t="str">
        <x:v>Mayor es mejor</x:v>
      </x:c>
    </x:row>
    <x:row r="26">
      <x:c r="A26" s="22" t="str">
        <x:v>E03</x:v>
      </x:c>
      <x:c r="B26" s="22" t="str">
        <x:v>% trabajadores con exámenes médicos ocupacionales vigentes</x:v>
      </x:c>
      <x:c r="C26" s="22" t="str">
        <x:v>Estructura</x:v>
      </x:c>
      <x:c r="D26" s="40" t="n">
        <x:v>95</x:v>
      </x:c>
      <x:c r="E26" s="40" t="n">
        <x:f>Resumen_Anual!G55</x:f>
        <x:v>97.8143286669183</x:v>
      </x:c>
      <x:c r="F26" s="22" t="str">
        <x:f>Resumen_Anual!H55</x:f>
        <x:v>En meta</x:v>
      </x:c>
      <x:c r="G26" s="22" t="str">
        <x:v>%</x:v>
      </x:c>
      <x:c r="H26" s="22" t="str">
        <x:v>Mayor es mejor</x:v>
      </x:c>
    </x:row>
    <x:row r="27">
      <x:c r="A27" s="22" t="str">
        <x:v>E04</x:v>
      </x:c>
      <x:c r="B27" s="22" t="str">
        <x:v>% cumplimiento de requisitos legales aplicables en SST</x:v>
      </x:c>
      <x:c r="C27" s="22" t="str">
        <x:v>Estructura</x:v>
      </x:c>
      <x:c r="D27" s="40" t="n">
        <x:v>95</x:v>
      </x:c>
      <x:c r="E27" s="40" t="n">
        <x:f>Resumen_Anual!G56</x:f>
        <x:v>99</x:v>
      </x:c>
      <x:c r="F27" s="22" t="str">
        <x:f>Resumen_Anual!H56</x:f>
        <x:v>En meta</x:v>
      </x:c>
      <x:c r="G27" s="22" t="str">
        <x:v>%</x:v>
      </x:c>
      <x:c r="H27" s="22" t="str">
        <x:v>Mayor es mejor</x:v>
      </x:c>
    </x:row>
    <x:row r="28">
      <x:c r="A28" s="22" t="str">
        <x:v>E05</x:v>
      </x:c>
      <x:c r="B28" s="22" t="str">
        <x:v>% proveedores y contratistas aprobados en SST</x:v>
      </x:c>
      <x:c r="C28" s="22" t="str">
        <x:v>Estructura</x:v>
      </x:c>
      <x:c r="D28" s="40" t="n">
        <x:v>90</x:v>
      </x:c>
      <x:c r="E28" s="40" t="n">
        <x:f>Resumen_Anual!G57</x:f>
        <x:v>95</x:v>
      </x:c>
      <x:c r="F28" s="22" t="str">
        <x:f>Resumen_Anual!H57</x:f>
        <x:v>En meta</x:v>
      </x:c>
      <x:c r="G28" s="22" t="str">
        <x:v>%</x:v>
      </x:c>
      <x:c r="H28" s="22" t="str">
        <x:v>Mayor es mejor</x:v>
      </x:c>
    </x:row>
    <x:row r="29">
      <x:c r="A29" s="22" t="str">
        <x:v>P01</x:v>
      </x:c>
      <x:c r="B29" s="22" t="str">
        <x:v>% ejecución del plan anual de trabajo SG-SST</x:v>
      </x:c>
      <x:c r="C29" s="22" t="str">
        <x:v>Proceso</x:v>
      </x:c>
      <x:c r="D29" s="40" t="n">
        <x:v>90</x:v>
      </x:c>
      <x:c r="E29" s="40" t="n">
        <x:f>Resumen_Anual!G58</x:f>
        <x:v>93.80952380952381</x:v>
      </x:c>
      <x:c r="F29" s="22" t="str">
        <x:f>Resumen_Anual!H58</x:f>
        <x:v>En meta</x:v>
      </x:c>
      <x:c r="G29" s="22" t="str">
        <x:v>%</x:v>
      </x:c>
      <x:c r="H29" s="22" t="str">
        <x:v>Mayor es mejor</x:v>
      </x:c>
    </x:row>
    <x:row r="30">
      <x:c r="A30" s="22" t="str">
        <x:v>P02</x:v>
      </x:c>
      <x:c r="B30" s="22" t="str">
        <x:v>% investigaciones de accidentes realizadas oportunamente</x:v>
      </x:c>
      <x:c r="C30" s="22" t="str">
        <x:v>Proceso</x:v>
      </x:c>
      <x:c r="D30" s="40" t="n">
        <x:v>95</x:v>
      </x:c>
      <x:c r="E30" s="40" t="n">
        <x:f>Resumen_Anual!G59</x:f>
        <x:v>100</x:v>
      </x:c>
      <x:c r="F30" s="22" t="str">
        <x:f>Resumen_Anual!H59</x:f>
        <x:v>En meta</x:v>
      </x:c>
      <x:c r="G30" s="22" t="str">
        <x:v>%</x:v>
      </x:c>
      <x:c r="H30" s="22" t="str">
        <x:v>Mayor es mejor</x:v>
      </x:c>
    </x:row>
    <x:row r="31">
      <x:c r="A31" s="22" t="str">
        <x:v>P03</x:v>
      </x:c>
      <x:c r="B31" s="22" t="str">
        <x:v>% cierre oportuno de acciones correctivas, preventivas y de mejora</x:v>
      </x:c>
      <x:c r="C31" s="22" t="str">
        <x:v>Proceso</x:v>
      </x:c>
      <x:c r="D31" s="40" t="n">
        <x:v>90</x:v>
      </x:c>
      <x:c r="E31" s="40" t="n">
        <x:f>Resumen_Anual!G60</x:f>
        <x:v>91.54811854811855</x:v>
      </x:c>
      <x:c r="F31" s="22" t="str">
        <x:f>Resumen_Anual!H60</x:f>
        <x:v>En meta</x:v>
      </x:c>
      <x:c r="G31" s="22" t="str">
        <x:v>%</x:v>
      </x:c>
      <x:c r="H31" s="22" t="str">
        <x:v>Mayor es mejor</x:v>
      </x:c>
    </x:row>
    <x:row r="32">
      <x:c r="A32" s="22" t="str">
        <x:v>P04</x:v>
      </x:c>
      <x:c r="B32" s="22" t="str">
        <x:v>% inspecciones de seguridad ejecutadas</x:v>
      </x:c>
      <x:c r="C32" s="22" t="str">
        <x:v>Proceso</x:v>
      </x:c>
      <x:c r="D32" s="40" t="n">
        <x:v>90</x:v>
      </x:c>
      <x:c r="E32" s="40" t="n">
        <x:f>Resumen_Anual!G61</x:f>
        <x:v>98.18181818181817</x:v>
      </x:c>
      <x:c r="F32" s="22" t="str">
        <x:f>Resumen_Anual!H61</x:f>
        <x:v>En meta</x:v>
      </x:c>
      <x:c r="G32" s="22" t="str">
        <x:v>%</x:v>
      </x:c>
      <x:c r="H32" s="22" t="str">
        <x:v>Mayor es mejor</x:v>
      </x:c>
    </x:row>
    <x:row r="33">
      <x:c r="A33" s="22" t="str">
        <x:v>P05</x:v>
      </x:c>
      <x:c r="B33" s="22" t="str">
        <x:v>% mantenimientos preventivos ejecutados</x:v>
      </x:c>
      <x:c r="C33" s="22" t="str">
        <x:v>Proceso</x:v>
      </x:c>
      <x:c r="D33" s="40" t="n">
        <x:v>90</x:v>
      </x:c>
      <x:c r="E33" s="40" t="n">
        <x:f>Resumen_Anual!G62</x:f>
        <x:v>92.49450549450549</x:v>
      </x:c>
      <x:c r="F33" s="22" t="str">
        <x:f>Resumen_Anual!H62</x:f>
        <x:v>En meta</x:v>
      </x:c>
      <x:c r="G33" s="22" t="str">
        <x:v>%</x:v>
      </x:c>
      <x:c r="H33" s="22" t="str">
        <x:v>Mayor es mejor</x:v>
      </x:c>
    </x:row>
    <x:row r="34">
      <x:c r="A34" s="22" t="str">
        <x:v>R01</x:v>
      </x:c>
      <x:c r="B34" s="22" t="str">
        <x:v>Índice de frecuencia de accidentalidad (IF)</x:v>
      </x:c>
      <x:c r="C34" s="22" t="str">
        <x:v>Resultado</x:v>
      </x:c>
      <x:c r="D34" s="40" t="n">
        <x:v>3.5</x:v>
      </x:c>
      <x:c r="E34" s="40" t="n">
        <x:f>Resumen_Anual!G63</x:f>
        <x:v>3.199213318607595</x:v>
      </x:c>
      <x:c r="F34" s="22" t="str">
        <x:f>Resumen_Anual!H63</x:f>
        <x:v>En meta</x:v>
      </x:c>
      <x:c r="G34" s="22" t="str">
        <x:v>Índice</x:v>
      </x:c>
      <x:c r="H34" s="22" t="str">
        <x:v>Menor es mejor</x:v>
      </x:c>
    </x:row>
    <x:row r="35">
      <x:c r="A35" s="22" t="str">
        <x:v>R02</x:v>
      </x:c>
      <x:c r="B35" s="22" t="str">
        <x:v>Índice de severidad de accidentalidad (IS)</x:v>
      </x:c>
      <x:c r="C35" s="22" t="str">
        <x:v>Resultado</x:v>
      </x:c>
      <x:c r="D35" s="40" t="n">
        <x:v>80</x:v>
      </x:c>
      <x:c r="E35" s="40" t="n">
        <x:f>Resumen_Anual!G64</x:f>
        <x:v>51.58585628280855</x:v>
      </x:c>
      <x:c r="F35" s="22" t="str">
        <x:f>Resumen_Anual!H64</x:f>
        <x:v>En meta</x:v>
      </x:c>
      <x:c r="G35" s="22" t="str">
        <x:v>Índice</x:v>
      </x:c>
      <x:c r="H35" s="22" t="str">
        <x:v>Menor es mejor</x:v>
      </x:c>
    </x:row>
    <x:row r="36">
      <x:c r="A36" s="22" t="str">
        <x:v>R03</x:v>
      </x:c>
      <x:c r="B36" s="22" t="str">
        <x:v>Índice de lesión incapacitante (ILI)</x:v>
      </x:c>
      <x:c r="C36" s="22" t="str">
        <x:v>Resultado</x:v>
      </x:c>
      <x:c r="D36" s="40" t="n">
        <x:v>0.25</x:v>
      </x:c>
      <x:c r="E36" s="40" t="n">
        <x:f>Resumen_Anual!G65</x:f>
        <x:v>0.16436702</x:v>
      </x:c>
      <x:c r="F36" s="22" t="str">
        <x:f>Resumen_Anual!H65</x:f>
        <x:v>En meta</x:v>
      </x:c>
      <x:c r="G36" s="22" t="str">
        <x:v>Índice</x:v>
      </x:c>
      <x:c r="H36" s="22" t="str">
        <x:v>Menor es mejor</x:v>
      </x:c>
    </x:row>
    <x:row r="37">
      <x:c r="A37" s="22" t="str">
        <x:v>R04</x:v>
      </x:c>
      <x:c r="B37" s="22" t="str">
        <x:v>Tasa de accidentalidad</x:v>
      </x:c>
      <x:c r="C37" s="22" t="str">
        <x:v>Resultado</x:v>
      </x:c>
      <x:c r="D37" s="40" t="n">
        <x:v>0.6</x:v>
      </x:c>
      <x:c r="E37" s="40" t="n">
        <x:f>Resumen_Anual!G66</x:f>
        <x:v>1.208893336662261</x:v>
      </x:c>
      <x:c r="F37" s="22" t="str">
        <x:f>Resumen_Anual!H66</x:f>
        <x:v>Crítico</x:v>
      </x:c>
      <x:c r="G37" s="22" t="str">
        <x:v>%</x:v>
      </x:c>
      <x:c r="H37" s="22" t="str">
        <x:v>Menor es mejor</x:v>
      </x:c>
    </x:row>
    <x:row r="38">
      <x:c r="A38" s="22" t="str">
        <x:v>R05</x:v>
      </x:c>
      <x:c r="B38" s="22" t="str">
        <x:v>Prevalencia de enfermedad laboral</x:v>
      </x:c>
      <x:c r="C38" s="22" t="str">
        <x:v>Resultado</x:v>
      </x:c>
      <x:c r="D38" s="40" t="n">
        <x:v>0.3</x:v>
      </x:c>
      <x:c r="E38" s="40" t="n">
        <x:f>Resumen_Anual!G67</x:f>
        <x:v>0.3594204352770089</x:v>
      </x:c>
      <x:c r="F38" s="22" t="str">
        <x:f>Resumen_Anual!H67</x:f>
        <x:v>Crítico</x:v>
      </x:c>
      <x:c r="G38" s="22" t="str">
        <x:v>%</x:v>
      </x:c>
      <x:c r="H38" s="22" t="str">
        <x:v>Menor es mejor</x:v>
      </x:c>
    </x:row>
    <x:row r="39">
      <x:c r="A39" s="22" t="str">
        <x:v>R06</x:v>
      </x:c>
      <x:c r="B39" s="22" t="str">
        <x:v>% cumplimiento de estándares mínimos Res. 0312 de 2019</x:v>
      </x:c>
      <x:c r="C39" s="22" t="str">
        <x:v>Resultado</x:v>
      </x:c>
      <x:c r="D39" s="40" t="n">
        <x:v>95</x:v>
      </x:c>
      <x:c r="E39" s="40" t="n">
        <x:f>Resumen_Anual!G68</x:f>
        <x:v>98.6</x:v>
      </x:c>
      <x:c r="F39" s="22" t="str">
        <x:f>Resumen_Anual!H68</x:f>
        <x:v>En meta</x:v>
      </x:c>
      <x:c r="G39" s="22" t="str">
        <x:v>%</x:v>
      </x:c>
      <x:c r="H39" s="22" t="str">
        <x:v>Mayor es mejor</x:v>
      </x:c>
    </x:row>
  </x:sheetData>
  <x:mergeCells>
    <x:mergeCell ref="A1:M1"/>
    <x:mergeCell ref="A2:M2"/>
    <x:mergeCell ref="B4:D4"/>
    <x:mergeCell ref="B5:D6"/>
    <x:mergeCell ref="B7:D7"/>
    <x:mergeCell ref="E4:G4"/>
    <x:mergeCell ref="E5:G6"/>
    <x:mergeCell ref="E7:G7"/>
    <x:mergeCell ref="H4:J4"/>
    <x:mergeCell ref="H5:J6"/>
    <x:mergeCell ref="H7:J7"/>
    <x:mergeCell ref="K4:M4"/>
    <x:mergeCell ref="K5:M6"/>
    <x:mergeCell ref="K7:M7"/>
    <x:mergeCell ref="B8:D8"/>
    <x:mergeCell ref="B9:D10"/>
    <x:mergeCell ref="B11:D11"/>
    <x:mergeCell ref="E8:G8"/>
    <x:mergeCell ref="E9:G10"/>
    <x:mergeCell ref="E11:G11"/>
    <x:mergeCell ref="A14:F14"/>
    <x:mergeCell ref="A22:H22"/>
    <x:mergeCell ref="J14:M14"/>
  </x:mergeCells>
  <x:conditionalFormatting sqref="F24:F39">
    <x:cfRule type="expression" dxfId="21" priority="1">
      <x:formula>F24="En meta"</x:formula>
    </x:cfRule>
    <x:cfRule type="expression" dxfId="22" priority="2">
      <x:formula>F24="Alerta"</x:formula>
    </x:cfRule>
    <x:cfRule type="expression" dxfId="23" priority="3">
      <x:formula>F24="Crítico"</x:formula>
    </x:cfRule>
  </x:conditionalFormatting>
  <x:conditionalFormatting sqref="B16:E19">
    <x:cfRule type="dataBar" priority="4">
      <x:dataBar>
        <x:cfvo type="min"/>
        <x:cfvo type="max"/>
        <x:color rgb="14B8A6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E24:E39">
    <x:cfRule type="dataBar" priority="5">
      <x:dataBar>
        <x:cfvo type="min"/>
        <x:cfvo type="max"/>
        <x:color rgb="0EA5E9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69BE573-5479-287D-BE93-74B15E11EBFA}">
            <x14:dataBar gradient="1">
              <x14:cfvo type="min"/>
              <x14:cfvo type="max"/>
              <x14:fillColor rgb="14B8A6"/>
            </x14:dataBar>
          </x14:cfRule>
          <xm:sqref>B16:E19</xm:sqref>
        </x14:conditionalFormatting>
        <x14:conditionalFormatting>
          <x14:cfRule type="dataBar" priority="5" id="{C5593AA7-0028-5BEA-E3E0-8178783C1A47}">
            <x14:dataBar gradient="1">
              <x14:cfvo type="min"/>
              <x14:cfvo type="max"/>
              <x14:fillColor rgb="0EA5E9"/>
            </x14:dataBar>
          </x14:cfRule>
          <xm:sqref>E24:E39</xm:sqref>
        </x14:conditionalFormatting>
      </x14:conditionalFormattings>
    </x:ext>
  </x:extLst>
</x:worksheet>
</file>