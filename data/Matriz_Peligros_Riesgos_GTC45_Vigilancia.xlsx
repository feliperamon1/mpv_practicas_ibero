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0eeca19119d4241" /></Relationships>
</file>

<file path=xl/workbook.xml><?xml version="1.0" encoding="utf-8"?>
<x:workbook xmlns:x="http://schemas.openxmlformats.org/spreadsheetml/2006/main">
  <x:sheets>
    <x:sheet xmlns:r="http://schemas.openxmlformats.org/officeDocument/2006/relationships" name="Instructivo" sheetId="1" r:id="R48e1c0249fd246f4"/>
    <x:sheet xmlns:r="http://schemas.openxmlformats.org/officeDocument/2006/relationships" name="Catalogos" sheetId="2" r:id="R35b1f29b457a4a08"/>
    <x:sheet xmlns:r="http://schemas.openxmlformats.org/officeDocument/2006/relationships" name="Plantilla_Editable" sheetId="3" r:id="R6a5c12d1fb2e4d4b"/>
    <x:sheet xmlns:r="http://schemas.openxmlformats.org/officeDocument/2006/relationships" name="Matriz_General" sheetId="4" r:id="R1e003bdeb11e4da4"/>
    <x:sheet xmlns:r="http://schemas.openxmlformats.org/officeDocument/2006/relationships" name="Resumen" sheetId="5" r:id="Rc4617c1f3bac47dd"/>
    <x:sheet xmlns:r="http://schemas.openxmlformats.org/officeDocument/2006/relationships" name="Dashboard" sheetId="6" r:id="Rb1d55f6813f7486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b/>
      <x:sz val="11"/>
      <x:color rgb="FFFFFF"/>
      <x:name val="Carlito"/>
    </x:font>
    <x:font>
      <x:b/>
      <x:sz val="14"/>
      <x:color rgb="FFFFFF"/>
      <x:name val="Carlito"/>
    </x:font>
    <x:font>
      <x:b/>
      <x:sz val="11"/>
      <x:name val="Carlito"/>
    </x:font>
    <x:font>
      <x:b/>
      <x:sz val="13"/>
      <x:color rgb="FFFFFF"/>
      <x:name val="Carlito"/>
    </x:font>
    <x:font>
      <x:sz val="11"/>
      <x:color rgb="FFFFFF"/>
      <x:name val="Carlito"/>
    </x:font>
    <x:font>
      <x:sz val="11"/>
      <x:name val="Carlito"/>
    </x:font>
  </x:fonts>
  <x:fills count="6">
    <x:fill>
      <x:patternFill patternType="none"/>
    </x:fill>
    <x:fill>
      <x:patternFill patternType="gray125"/>
    </x:fill>
    <x:fill>
      <x:patternFill patternType="solid">
        <x:fgColor rgb="0F5D7A"/>
      </x:patternFill>
    </x:fill>
    <x:fill>
      <x:patternFill patternType="solid">
        <x:fgColor rgb="1F4E78"/>
      </x:patternFill>
    </x:fill>
    <x:fill>
      <x:patternFill patternType="solid">
        <x:fgColor rgb="EAF4FB"/>
      </x:patternFill>
    </x:fill>
    <x:fill>
      <x:patternFill patternType="solid">
        <x:fgColor rgb="F6F9FC"/>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1"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5" fillId="4" borderId="0" xfId="0" applyNumberFormat="1" applyFont="1" applyFill="1" applyBorder="1" applyAlignment="1">
      <x:alignment wrapText="1"/>
    </x:xf>
    <x:xf numFmtId="0" fontId="6"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4" borderId="1" xfId="0" applyNumberFormat="1" applyFont="1" applyFill="1" applyBorder="1" applyAlignment="1">
      <x:alignment wrapText="1"/>
    </x:xf>
    <x:xf numFmtId="0" fontId="5" fillId="4" borderId="1" xfId="0" applyNumberFormat="1" applyFont="1" applyFill="1" applyBorder="1" applyAlignment="1">
      <x:alignment wrapText="1"/>
    </x:xf>
    <x:xf numFmtId="0" fontId="6" fillId="4" borderId="1" xfId="0" applyNumberFormat="1" applyFont="1" applyFill="1" applyBorder="1" applyAlignment="1">
      <x:alignment wrapText="1"/>
    </x:xf>
    <x:xf numFmtId="0" fontId="5" fillId="2" borderId="0" xfId="0" applyNumberFormat="1" applyFont="1" applyFill="1" applyBorder="1" applyAlignment="1">
      <x:alignment wrapText="1"/>
    </x:xf>
    <x:xf numFmtId="0" fontId="5" fillId="2" borderId="1" xfId="0" applyNumberFormat="1" applyFont="1" applyFill="1" applyBorder="1" applyAlignment="1">
      <x:alignment wrapText="1"/>
    </x:xf>
    <x:xf numFmtId="0" fontId="1" fillId="5" borderId="0" xfId="0" applyNumberFormat="1" applyFont="1" applyFill="1" applyBorder="1" applyAlignment="1">
      <x:alignment wrapText="1"/>
    </x:xf>
    <x:xf numFmtId="0" fontId="0" fillId="5" borderId="0" xfId="0" applyNumberFormat="1" applyFont="1" applyFill="1" applyBorder="1" applyAlignment="1">
      <x:alignment wrapText="1"/>
    </x:xf>
    <x:xf numFmtId="0" fontId="1" fillId="5" borderId="1" xfId="0" applyNumberFormat="1" applyFont="1" applyFill="1" applyBorder="1" applyAlignment="1">
      <x:alignment wrapText="1"/>
    </x:xf>
    <x:xf numFmtId="0" fontId="0" fillId="5" borderId="1" xfId="0" applyNumberFormat="1" applyFont="1" applyFill="1" applyBorder="1" applyAlignment="1">
      <x:alignment wrapText="1"/>
    </x:xf>
    <x:xf numFmtId="200" fontId="6" fillId="4" borderId="0" xfId="0" applyNumberFormat="1" applyFont="1" applyFill="1" applyBorder="1" applyAlignment="1">
      <x:alignment wrapText="1"/>
    </x:xf>
    <x:xf numFmtId="200" fontId="6" fillId="4" borderId="1" xfId="0" applyNumberFormat="1" applyFont="1" applyFill="1" applyBorder="1" applyAlignment="1">
      <x:alignment wrapText="1"/>
    </x:xf>
    <x:xf numFmtId="200" fontId="0" fillId="5" borderId="0" xfId="0" applyNumberFormat="1" applyFont="1" applyFill="1" applyBorder="1" applyAlignment="1">
      <x:alignment wrapText="1"/>
    </x:xf>
  </x:cellXfs>
  <x:cellStyles count="1">
    <x:cellStyle name="Normal" xfId="0"/>
  </x:cellStyles>
  <x:dxfs count="2">
    <x:dxf>
      <x:font>
        <x:color rgb="9C0006"/>
      </x:font>
      <x:fill>
        <x:patternFill patternType="solid">
          <x:bgColor rgb="FDE2E1"/>
        </x:patternFill>
      </x:fill>
    </x:dxf>
    <x:dxf>
      <x:font>
        <x:color rgb="215E21"/>
      </x:font>
      <x:fill>
        <x:patternFill patternType="solid">
          <x:bgColor rgb="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0e751a69f74822" /><Relationship Type="http://schemas.openxmlformats.org/officeDocument/2006/relationships/theme" Target="/xl/theme/theme1.xml" Id="Rfd7741a45e6a4d4f" /><Relationship Type="http://schemas.openxmlformats.org/officeDocument/2006/relationships/sharedStrings" Target="/xl/sharedStrings.xml" Id="R23d2443f1f624506" /><Relationship Type="http://schemas.openxmlformats.org/officeDocument/2006/relationships/worksheet" Target="/xl/worksheets/sheet1.xml" Id="R48e1c0249fd246f4" /><Relationship Type="http://schemas.openxmlformats.org/officeDocument/2006/relationships/worksheet" Target="/xl/worksheets/sheet2.xml" Id="R35b1f29b457a4a08" /><Relationship Type="http://schemas.openxmlformats.org/officeDocument/2006/relationships/worksheet" Target="/xl/worksheets/sheet3.xml" Id="R6a5c12d1fb2e4d4b" /><Relationship Type="http://schemas.openxmlformats.org/officeDocument/2006/relationships/worksheet" Target="/xl/worksheets/sheet4.xml" Id="R1e003bdeb11e4da4" /><Relationship Type="http://schemas.openxmlformats.org/officeDocument/2006/relationships/worksheet" Target="/xl/worksheets/sheet5.xml" Id="Rc4617c1f3bac47dd" /><Relationship Type="http://schemas.openxmlformats.org/officeDocument/2006/relationships/worksheet" Target="/xl/worksheets/sheet6.xml" Id="Rb1d55f6813f748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c3fa4a0a224440" /><Relationship Type="http://schemas.openxmlformats.org/officeDocument/2006/relationships/chart" Target="/xl/drawings/charts/chart2.xml" Id="R8958e3c97e6c452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Distribución por nivel de riesgo</a:t>
            </a:r>
          </a:p>
        </c:rich>
      </c:tx>
      <c:overlay val="0"/>
    </c:title>
    <c:autoTitleDeleted val="0"/>
    <c:plotArea>
      <c:layout/>
      <c:barChart>
        <c:barDir val="col"/>
        <c:grouping val="clustered"/>
        <c:varyColors val="0"/>
        <c:ser>
          <c:idx val="0"/>
          <c:order val="0"/>
          <c:tx>
            <c:v>Cantidad</c:v>
          </c:tx>
          <c:cat>
            <c:strRef>
              <c:f>'Dashboard'!$D$4:$D$7</c:f>
              <c:strCache>
                <c:ptCount val="0"/>
              </c:strCache>
            </c:strRef>
          </c:cat>
          <c:val>
            <c:numRef>
              <c:f>'Dashboard'!$E$4:$E$7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Peligros por sede</a:t>
            </a:r>
          </a:p>
        </c:rich>
      </c:tx>
      <c:overlay val="0"/>
    </c:title>
    <c:autoTitleDeleted val="0"/>
    <c:plotArea>
      <c:layout/>
      <c:barChart>
        <c:barDir val="col"/>
        <c:varyColors val="0"/>
        <c:ser>
          <c:idx val="0"/>
          <c:order val="0"/>
          <c:tx>
            <c:v>Peligros</c:v>
          </c:tx>
          <c:cat>
            <c:strRef>
              <c:f>'Dashboard'!$A$11:$A$20</c:f>
              <c:strCache>
                <c:ptCount val="0"/>
              </c:strCache>
            </c:strRef>
          </c:cat>
          <c:val>
            <c:numRef>
              <c:f>'Dashboard'!$B$11:$B$20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12</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c3fa4a0a224440"/>
        </a:graphicData>
      </a:graphic>
    </xdr:graphicFrame>
    <xdr:clientData/>
  </xdr:twoCellAnchor>
  <xdr:twoCellAnchor>
    <xdr:from>
      <xdr:col>6</xdr:col>
      <xdr:colOff>0</xdr:colOff>
      <xdr:row>16</xdr:row>
      <xdr:rowOff>0</xdr:rowOff>
    </xdr:from>
    <xdr:to>
      <xdr:col>12</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58e3c97e6c452b"/>
        </a:graphicData>
      </a:graphic>
    </xdr:graphicFrame>
    <xdr:clientData/>
  </xdr:twoCellAnchor>
</xdr:wsDr>
</file>

<file path=xl/tables/table1.xml><?xml version="1.0" encoding="utf-8"?>
<x:table xmlns:x="http://schemas.openxmlformats.org/spreadsheetml/2006/main" id="1" name="MatrizPeligrosRiesgos" displayName="MatrizPeligrosRiesgos" ref="A1:AI118" headerRowCount="1">
  <x:tableColumns count="35">
    <x:tableColumn id="1" name="ID"/>
    <x:tableColumn id="2" name="Sede"/>
    <x:tableColumn id="3" name="Proceso"/>
    <x:tableColumn id="4" name="Zona / Lugar"/>
    <x:tableColumn id="5" name="Actividad"/>
    <x:tableColumn id="6" name="Tarea"/>
    <x:tableColumn id="7" name="Rutinaria"/>
    <x:tableColumn id="8" name="Clasificación del peligro"/>
    <x:tableColumn id="9" name="Descripción del peligro"/>
    <x:tableColumn id="10" name="Efectos posibles"/>
    <x:tableColumn id="11" name="Controles existentes en la fuente"/>
    <x:tableColumn id="12" name="Controles existentes en el medio"/>
    <x:tableColumn id="13" name="Controles existentes en el individuo"/>
    <x:tableColumn id="14" name="Peor consecuencia"/>
    <x:tableColumn id="15" name="Requisito legal específico asociado"/>
    <x:tableColumn id="16" name="N.º expuestos"/>
    <x:tableColumn id="17" name="Nivel de deficiencia (descriptor)"/>
    <x:tableColumn id="18" name="ND"/>
    <x:tableColumn id="19" name="Nivel de exposición (descriptor)"/>
    <x:tableColumn id="20" name="NE"/>
    <x:tableColumn id="21" name="Nivel de probabilidad (NP=ND×NE)"/>
    <x:tableColumn id="22" name="Interpretación NP"/>
    <x:tableColumn id="23" name="Nivel de consecuencia (descriptor)"/>
    <x:tableColumn id="24" name="NC"/>
    <x:tableColumn id="25" name="Nivel de riesgo (NR=NP×NC)"/>
    <x:tableColumn id="26" name="Nivel de riesgo e intervención"/>
    <x:tableColumn id="27" name="Aceptabilidad del riesgo"/>
    <x:tableColumn id="28" name="Eliminación"/>
    <x:tableColumn id="29" name="Sustitución"/>
    <x:tableColumn id="30" name="Controles de ingeniería"/>
    <x:tableColumn id="31" name="Controles administrativos / señalización / advertencia"/>
    <x:tableColumn id="32" name="EPP"/>
    <x:tableColumn id="33" name="Responsable"/>
    <x:tableColumn id="34" name="Fecha actualización"/>
    <x:tableColumn id="35" name="Observacion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af8b1faeae3d40bf" /></Relationships>
</file>

<file path=xl/worksheets/_rels/sheet6.xml.rels>&#65279;<?xml version="1.0" encoding="utf-8"?><Relationships xmlns="http://schemas.openxmlformats.org/package/2006/relationships"><Relationship Type="http://schemas.openxmlformats.org/officeDocument/2006/relationships/drawing" Target="/xl/drawings/drawing1.xml" Id="R1da6368dbef84f7d" /></Relationships>
</file>

<file path=xl/worksheets/sheet1.xml><?xml version="1.0" encoding="utf-8"?>
<x:worksheet xmlns:x="http://schemas.openxmlformats.org/spreadsheetml/2006/main">
  <x:sheetFormatPr defaultRowHeight="15"/>
  <x:cols>
    <x:col min="1" max="1" width="120" hidden="0" customWidth="1"/>
  </x:cols>
  <x:sheetData>
    <x:row r="1">
      <x:c r="A1" s="24" t="str">
        <x:v>Matriz de identificación de peligros, evaluación y valoración de riesgos (GTC 45:2012)</x:v>
      </x:c>
      <x:c r="B1" s="12"/>
      <x:c r="C1" s="12"/>
      <x:c r="D1" s="12"/>
      <x:c r="E1" s="12"/>
      <x:c r="F1" s="12"/>
      <x:c r="G1" s="12"/>
      <x:c r="H1" s="12"/>
    </x:row>
    <x:row r="2">
      <x:c r="A2" s="12" t="str"/>
      <x:c r="B2" s="12"/>
      <x:c r="C2" s="12"/>
      <x:c r="D2" s="12"/>
      <x:c r="E2" s="12"/>
      <x:c r="F2" s="12"/>
      <x:c r="G2" s="12"/>
      <x:c r="H2" s="12"/>
    </x:row>
    <x:row r="3">
      <x:c r="A3" s="25" t="str">
        <x:v>Objetivo</x:v>
      </x:c>
      <x:c r="B3" s="12"/>
      <x:c r="C3" s="12"/>
      <x:c r="D3" s="12"/>
      <x:c r="E3" s="12"/>
      <x:c r="F3" s="12"/>
      <x:c r="G3" s="12"/>
      <x:c r="H3" s="12"/>
    </x:row>
    <x:row r="4">
      <x:c r="A4" s="12" t="str">
        <x:v>Consolidar la identificación de peligros y la valoración de riesgos de una empresa del sector vigilancia y seguridad privada, considerando sedes, procesos, actividades, tareas, controles existentes y medidas de intervención.</x:v>
      </x:c>
      <x:c r="B4" s="12"/>
      <x:c r="C4" s="12"/>
      <x:c r="D4" s="12"/>
      <x:c r="E4" s="12"/>
      <x:c r="F4" s="12"/>
      <x:c r="G4" s="12"/>
      <x:c r="H4" s="12"/>
    </x:row>
    <x:row r="5">
      <x:c r="A5" s="12" t="str"/>
      <x:c r="B5" s="12"/>
      <x:c r="C5" s="12"/>
      <x:c r="D5" s="12"/>
      <x:c r="E5" s="12"/>
      <x:c r="F5" s="12"/>
      <x:c r="G5" s="12"/>
      <x:c r="H5" s="12"/>
    </x:row>
    <x:row r="6">
      <x:c r="A6" s="25" t="str">
        <x:v>Alcance del archivo</x:v>
      </x:c>
      <x:c r="B6" s="12"/>
      <x:c r="C6" s="12"/>
      <x:c r="D6" s="12"/>
      <x:c r="E6" s="12"/>
      <x:c r="F6" s="12"/>
      <x:c r="G6" s="12"/>
      <x:c r="H6" s="12"/>
    </x:row>
    <x:row r="7">
      <x:c r="A7" s="12" t="str">
        <x:v>1. Plantilla_Editable: formato vacío listo para diligenciar.</x:v>
      </x:c>
      <x:c r="B7" s="12"/>
      <x:c r="C7" s="12"/>
      <x:c r="D7" s="12"/>
      <x:c r="E7" s="12"/>
      <x:c r="F7" s="12"/>
      <x:c r="G7" s="12"/>
      <x:c r="H7" s="12"/>
    </x:row>
    <x:row r="8">
      <x:c r="A8" s="12" t="str">
        <x:v>2. Matriz_General: ejemplo diligenciado con procesos y sedes de una empresa de vigilancia y seguridad privada.</x:v>
      </x:c>
      <x:c r="B8" s="12"/>
      <x:c r="C8" s="12"/>
      <x:c r="D8" s="12"/>
      <x:c r="E8" s="12"/>
      <x:c r="F8" s="12"/>
      <x:c r="G8" s="12"/>
      <x:c r="H8" s="12"/>
    </x:row>
    <x:row r="9">
      <x:c r="A9" s="12" t="str">
        <x:v>3. Catalogos: listas y parámetros de la metodología GTC 45:2012 (ND, NE, NC).</x:v>
      </x:c>
      <x:c r="B9" s="12"/>
      <x:c r="C9" s="12"/>
      <x:c r="D9" s="12"/>
      <x:c r="E9" s="12"/>
      <x:c r="F9" s="12"/>
      <x:c r="G9" s="12"/>
      <x:c r="H9" s="12"/>
    </x:row>
    <x:row r="10">
      <x:c r="A10" s="12" t="str">
        <x:v>4. Resumen y Dashboard: consolidación ejecutiva para seguimiento.</x:v>
      </x:c>
      <x:c r="B10" s="12"/>
      <x:c r="C10" s="12"/>
      <x:c r="D10" s="12"/>
      <x:c r="E10" s="12"/>
      <x:c r="F10" s="12"/>
      <x:c r="G10" s="12"/>
      <x:c r="H10" s="12"/>
    </x:row>
    <x:row r="11">
      <x:c r="A11" s="12" t="str"/>
      <x:c r="B11" s="12"/>
      <x:c r="C11" s="12"/>
      <x:c r="D11" s="12"/>
      <x:c r="E11" s="12"/>
      <x:c r="F11" s="12"/>
      <x:c r="G11" s="12"/>
      <x:c r="H11" s="12"/>
    </x:row>
    <x:row r="12">
      <x:c r="A12" s="25" t="str">
        <x:v>Criterios metodológicos aplicados</x:v>
      </x:c>
      <x:c r="B12" s="12"/>
      <x:c r="C12" s="12"/>
      <x:c r="D12" s="12"/>
      <x:c r="E12" s="12"/>
      <x:c r="F12" s="12"/>
      <x:c r="G12" s="12"/>
      <x:c r="H12" s="12"/>
    </x:row>
    <x:row r="13">
      <x:c r="A13" s="12" t="str">
        <x:v>• ND (Nivel de deficiencia): Muy alto=10, Alto=6, Medio=2, Bajo=0.</x:v>
      </x:c>
      <x:c r="B13" s="12"/>
      <x:c r="C13" s="12"/>
      <x:c r="D13" s="12"/>
      <x:c r="E13" s="12"/>
      <x:c r="F13" s="12"/>
      <x:c r="G13" s="12"/>
      <x:c r="H13" s="12"/>
    </x:row>
    <x:row r="14">
      <x:c r="A14" s="12" t="str">
        <x:v>• NE (Nivel de exposición): Continua=4, Frecuente=3, Ocasional=2, Esporádica=1.</x:v>
      </x:c>
      <x:c r="B14" s="12"/>
      <x:c r="C14" s="12"/>
      <x:c r="D14" s="12"/>
      <x:c r="E14" s="12"/>
      <x:c r="F14" s="12"/>
      <x:c r="G14" s="12"/>
      <x:c r="H14" s="12"/>
    </x:row>
    <x:row r="15">
      <x:c r="A15" s="12" t="str">
        <x:v>• NP = ND × NE.</x:v>
      </x:c>
      <x:c r="B15" s="12"/>
      <x:c r="C15" s="12"/>
      <x:c r="D15" s="12"/>
      <x:c r="E15" s="12"/>
      <x:c r="F15" s="12"/>
      <x:c r="G15" s="12"/>
      <x:c r="H15" s="12"/>
    </x:row>
    <x:row r="16">
      <x:c r="A16" s="12" t="str">
        <x:v>• NC (Nivel de consecuencia): Mortal o catastrófico=100, Muy grave=60, Grave=25, Leve=10.</x:v>
      </x:c>
      <x:c r="B16" s="12"/>
      <x:c r="C16" s="12"/>
      <x:c r="D16" s="12"/>
      <x:c r="E16" s="12"/>
      <x:c r="F16" s="12"/>
      <x:c r="G16" s="12"/>
      <x:c r="H16" s="12"/>
    </x:row>
    <x:row r="17">
      <x:c r="A17" s="12" t="str">
        <x:v>• NR = NP × NC.</x:v>
      </x:c>
      <x:c r="B17" s="12"/>
      <x:c r="C17" s="12"/>
      <x:c r="D17" s="12"/>
      <x:c r="E17" s="12"/>
      <x:c r="F17" s="12"/>
      <x:c r="G17" s="12"/>
      <x:c r="H17" s="12"/>
    </x:row>
    <x:row r="18">
      <x:c r="A18" s="12" t="str">
        <x:v>• Nivel de riesgo e intervención: I (≥600), II (150-599), III (40-149), IV (&lt;40).</x:v>
      </x:c>
      <x:c r="B18" s="12"/>
      <x:c r="C18" s="12"/>
      <x:c r="D18" s="12"/>
      <x:c r="E18" s="12"/>
      <x:c r="F18" s="12"/>
      <x:c r="G18" s="12"/>
      <x:c r="H18" s="12"/>
    </x:row>
    <x:row r="19">
      <x:c r="A19" s="12" t="str">
        <x:v>• Aceptabilidad del riesgo: I = No aceptable; II = No aceptable / Aceptable con control específico; III y IV = Aceptable.</x:v>
      </x:c>
      <x:c r="B19" s="12"/>
      <x:c r="C19" s="12"/>
      <x:c r="D19" s="12"/>
      <x:c r="E19" s="12"/>
      <x:c r="F19" s="12"/>
      <x:c r="G19" s="12"/>
      <x:c r="H19" s="12"/>
    </x:row>
    <x:row r="20">
      <x:c r="A20" s="12" t="str"/>
      <x:c r="B20" s="12"/>
      <x:c r="C20" s="12"/>
      <x:c r="D20" s="12"/>
      <x:c r="E20" s="12"/>
      <x:c r="F20" s="12"/>
      <x:c r="G20" s="12"/>
      <x:c r="H20" s="12"/>
    </x:row>
    <x:row r="21">
      <x:c r="A21" s="25" t="str">
        <x:v>Campos clave de diligenciamiento</x:v>
      </x:c>
      <x:c r="B21" s="12"/>
      <x:c r="C21" s="12"/>
      <x:c r="D21" s="12"/>
      <x:c r="E21" s="12"/>
      <x:c r="F21" s="12"/>
      <x:c r="G21" s="12"/>
      <x:c r="H21" s="12"/>
    </x:row>
    <x:row r="22">
      <x:c r="A22" s="12" t="str">
        <x:v>Sede, Proceso, Zona/Lugar, Actividad, Tarea, Rutinaria, Clasificación del peligro, Descripción del peligro, Efectos posibles, Controles existentes (fuente, medio, individuo), Peor consecuencia, Requisito legal asociado, N.º expuestos, ND descriptor, NE descriptor, NC descriptor, medidas de intervención por jerarquía de control, responsable y fecha de actualización.</x:v>
      </x:c>
      <x:c r="B22" s="12"/>
      <x:c r="C22" s="12"/>
      <x:c r="D22" s="12"/>
      <x:c r="E22" s="12"/>
      <x:c r="F22" s="12"/>
      <x:c r="G22" s="12"/>
      <x:c r="H22" s="12"/>
    </x:row>
    <x:row r="23">
      <x:c r="A23" s="12" t="str"/>
      <x:c r="B23" s="12"/>
      <x:c r="C23" s="12"/>
      <x:c r="D23" s="12"/>
      <x:c r="E23" s="12"/>
      <x:c r="F23" s="12"/>
      <x:c r="G23" s="12"/>
      <x:c r="H23" s="12"/>
    </x:row>
    <x:row r="24">
      <x:c r="A24" s="25" t="str">
        <x:v>Notas</x:v>
      </x:c>
      <x:c r="B24" s="12"/>
      <x:c r="C24" s="12"/>
      <x:c r="D24" s="12"/>
      <x:c r="E24" s="12"/>
      <x:c r="F24" s="12"/>
      <x:c r="G24" s="12"/>
      <x:c r="H24" s="12"/>
    </x:row>
    <x:row r="25">
      <x:c r="A25" s="12" t="str">
        <x:v>• La clasificación del peligro sigue la taxonomía usada comúnmente en la GTC 45:2012.</x:v>
      </x:c>
      <x:c r="B25" s="12"/>
      <x:c r="C25" s="12"/>
      <x:c r="D25" s="12"/>
      <x:c r="E25" s="12"/>
      <x:c r="F25" s="12"/>
      <x:c r="G25" s="12"/>
      <x:c r="H25" s="12"/>
    </x:row>
    <x:row r="26">
      <x:c r="A26" s="12" t="str">
        <x:v>• Las medidas propuestas se organizan por eliminación, sustitución, controles de ingeniería, controles administrativos/señalización/advertencia y EPP.</x:v>
      </x:c>
      <x:c r="B26" s="12"/>
      <x:c r="C26" s="12"/>
      <x:c r="D26" s="12"/>
      <x:c r="E26" s="12"/>
      <x:c r="F26" s="12"/>
      <x:c r="G26" s="12"/>
      <x:c r="H26" s="12"/>
    </x:row>
    <x:row r="27">
      <x:c r="A27" s="12" t="str">
        <x:v>• El contenido puede ajustarse por puesto, cliente o sede específica.</x:v>
      </x:c>
      <x:c r="B27" s="12"/>
      <x:c r="C27" s="12"/>
      <x:c r="D27" s="12"/>
      <x:c r="E27" s="12"/>
      <x:c r="F27" s="12"/>
      <x:c r="G27" s="12"/>
      <x:c r="H27" s="12"/>
    </x:row>
    <x:row r="28">
      <x:c r="A28" s="12"/>
      <x:c r="B28" s="12"/>
      <x:c r="C28" s="12"/>
      <x:c r="D28" s="12"/>
      <x:c r="E28" s="12"/>
      <x:c r="F28" s="12"/>
      <x:c r="G28" s="12"/>
      <x:c r="H28" s="12"/>
    </x:row>
    <x:row r="29">
      <x:c r="A29" s="12"/>
      <x:c r="B29" s="12"/>
      <x:c r="C29" s="12"/>
      <x:c r="D29" s="12"/>
      <x:c r="E29" s="12"/>
      <x:c r="F29" s="12"/>
      <x:c r="G29" s="12"/>
      <x:c r="H29" s="12"/>
    </x:row>
    <x:row r="30">
      <x:c r="A30" s="12"/>
      <x:c r="B30" s="12"/>
      <x:c r="C30" s="12"/>
      <x:c r="D30" s="12"/>
      <x:c r="E30" s="12"/>
      <x:c r="F30" s="12"/>
      <x:c r="G30" s="12"/>
      <x:c r="H30" s="12"/>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3" max="3" width="28" hidden="0" customWidth="1"/>
    <x:col min="5" max="5" width="28" hidden="0" customWidth="1"/>
    <x:col min="7" max="7" width="28" hidden="0" customWidth="1"/>
    <x:col min="8" max="8" width="18" hidden="0" customWidth="1"/>
    <x:col min="9" max="9" width="28" hidden="0" customWidth="1"/>
    <x:col min="10" max="10" width="18" hidden="0" customWidth="1"/>
  </x:cols>
  <x:sheetData>
    <x:row r="1">
      <x:c r="A1" s="30" t="str">
        <x:v>Sedes</x:v>
      </x:c>
      <x:c r="B1" s="12" t="str"/>
      <x:c r="C1" s="30" t="str">
        <x:v>Procesos</x:v>
      </x:c>
      <x:c r="D1" s="12" t="str"/>
      <x:c r="E1" s="30" t="str">
        <x:v>Clasificaciones de peligro GTC 45:2012</x:v>
      </x:c>
      <x:c r="F1" s="12" t="str"/>
      <x:c r="G1" s="30" t="str">
        <x:v>Nivel de deficiencia (ND)</x:v>
      </x:c>
      <x:c r="H1" s="12" t="str">
        <x:v>Valor</x:v>
      </x:c>
      <x:c r="I1" s="30" t="str">
        <x:v>Nivel de exposición (NE)</x:v>
      </x:c>
      <x:c r="J1" s="12" t="str">
        <x:v>Valor</x:v>
      </x:c>
    </x:row>
    <x:row r="2">
      <x:c r="A2" t="str">
        <x:v>Cúcuta</x:v>
      </x:c>
      <x:c r="B2" t="str"/>
      <x:c r="C2" t="str">
        <x:v>Dirección estratégica</x:v>
      </x:c>
      <x:c r="D2" t="str"/>
      <x:c r="E2" t="str">
        <x:v>Biomecánico</x:v>
      </x:c>
      <x:c r="F2" t="str"/>
      <x:c r="G2" t="str">
        <x:v>Muy alto</x:v>
      </x:c>
      <x:c r="H2" t="n">
        <x:v>10</x:v>
      </x:c>
      <x:c r="I2" t="str">
        <x:v>Continua</x:v>
      </x:c>
      <x:c r="J2" t="n">
        <x:v>4</x:v>
      </x:c>
    </x:row>
    <x:row r="3">
      <x:c r="A3" t="str">
        <x:v>Barrancabermeja</x:v>
      </x:c>
      <x:c r="B3" t="str"/>
      <x:c r="C3" t="str">
        <x:v>Gestión administrativa y financiera</x:v>
      </x:c>
      <x:c r="D3" t="str"/>
      <x:c r="E3" t="str">
        <x:v>Físico</x:v>
      </x:c>
      <x:c r="F3" t="str"/>
      <x:c r="G3" t="str">
        <x:v>Alto</x:v>
      </x:c>
      <x:c r="H3" t="n">
        <x:v>6</x:v>
      </x:c>
      <x:c r="I3" t="str">
        <x:v>Frecuente</x:v>
      </x:c>
      <x:c r="J3" t="n">
        <x:v>3</x:v>
      </x:c>
    </x:row>
    <x:row r="4">
      <x:c r="A4" t="str">
        <x:v>Ocaña</x:v>
      </x:c>
      <x:c r="B4" t="str"/>
      <x:c r="C4" t="str">
        <x:v>Gestión del talento humano</x:v>
      </x:c>
      <x:c r="D4" t="str"/>
      <x:c r="E4" t="str">
        <x:v>Químico</x:v>
      </x:c>
      <x:c r="F4" t="str"/>
      <x:c r="G4" t="str">
        <x:v>Medio</x:v>
      </x:c>
      <x:c r="H4" t="n">
        <x:v>2</x:v>
      </x:c>
      <x:c r="I4" t="str">
        <x:v>Ocasional</x:v>
      </x:c>
      <x:c r="J4" t="n">
        <x:v>2</x:v>
      </x:c>
    </x:row>
    <x:row r="5">
      <x:c r="A5" t="str">
        <x:v>Girón</x:v>
      </x:c>
      <x:c r="B5" t="str"/>
      <x:c r="C5" t="str">
        <x:v>Gestión SST</x:v>
      </x:c>
      <x:c r="D5" t="str"/>
      <x:c r="E5" t="str">
        <x:v>Biológico</x:v>
      </x:c>
      <x:c r="F5" t="str"/>
      <x:c r="G5" t="str">
        <x:v>Bajo</x:v>
      </x:c>
      <x:c r="H5" t="n">
        <x:v>0</x:v>
      </x:c>
      <x:c r="I5" t="str">
        <x:v>Esporádica</x:v>
      </x:c>
      <x:c r="J5" t="n">
        <x:v>1</x:v>
      </x:c>
    </x:row>
    <x:row r="6">
      <x:c r="A6" t="str">
        <x:v>Valledupar</x:v>
      </x:c>
      <x:c r="B6" t="str"/>
      <x:c r="C6" t="str">
        <x:v>Vigilancia física fija</x:v>
      </x:c>
      <x:c r="D6" t="str"/>
      <x:c r="E6" t="str">
        <x:v>Psicosocial</x:v>
      </x:c>
      <x:c r="F6" t="str"/>
      <x:c r="G6" t="str"/>
      <x:c r="H6" t="str"/>
      <x:c r="I6" t="str"/>
      <x:c r="J6" t="str"/>
    </x:row>
    <x:row r="7">
      <x:c r="A7" t="str">
        <x:v>Arauca</x:v>
      </x:c>
      <x:c r="B7" t="str"/>
      <x:c r="C7" t="str">
        <x:v>Supervisión operativa y rondas</x:v>
      </x:c>
      <x:c r="D7" t="str"/>
      <x:c r="E7" t="str">
        <x:v>Condiciones de seguridad - Locativo</x:v>
      </x:c>
      <x:c r="F7" t="str"/>
      <x:c r="G7" t="str"/>
      <x:c r="H7" t="str"/>
      <x:c r="I7" t="str"/>
      <x:c r="J7" t="str"/>
    </x:row>
    <x:row r="8">
      <x:c r="A8" t="str">
        <x:v>Bogotá</x:v>
      </x:c>
      <x:c r="B8" t="str"/>
      <x:c r="C8" t="str">
        <x:v>Monitoreo de medios tecnológicos</x:v>
      </x:c>
      <x:c r="D8" t="str"/>
      <x:c r="E8" t="str">
        <x:v>Condiciones de seguridad - Eléctrico</x:v>
      </x:c>
      <x:c r="F8" t="str"/>
      <x:c r="G8" t="str"/>
      <x:c r="H8" t="str"/>
      <x:c r="I8" t="str"/>
      <x:c r="J8" t="str"/>
    </x:row>
    <x:row r="9">
      <x:c r="A9" t="str">
        <x:v>Tibú</x:v>
      </x:c>
      <x:c r="B9" t="str"/>
      <x:c r="C9" t="str">
        <x:v>Instalación y mantenimiento de medios tecnológicos</x:v>
      </x:c>
      <x:c r="D9" t="str"/>
      <x:c r="E9" t="str">
        <x:v>Condiciones de seguridad - Mecánico</x:v>
      </x:c>
      <x:c r="F9" t="str"/>
      <x:c r="G9" t="str"/>
      <x:c r="H9" t="str"/>
      <x:c r="I9" t="str"/>
      <x:c r="J9" t="str"/>
    </x:row>
    <x:row r="10">
      <x:c r="A10" t="str">
        <x:v>Medellín</x:v>
      </x:c>
      <x:c r="B10" t="str"/>
      <x:c r="C10" t="str">
        <x:v>Escolta</x:v>
      </x:c>
      <x:c r="D10" t="str"/>
      <x:c r="E10" t="str">
        <x:v>Condiciones de seguridad - Tecnológico</x:v>
      </x:c>
      <x:c r="F10" t="str"/>
      <x:c r="G10" t="str"/>
      <x:c r="H10" t="str"/>
      <x:c r="I10" t="str"/>
      <x:c r="J10" t="str"/>
    </x:row>
    <x:row r="11">
      <x:c r="A11" t="str">
        <x:v>Ábrego</x:v>
      </x:c>
      <x:c r="B11" t="str"/>
      <x:c r="C11" t="str">
        <x:v>Gestión jurídica y compras</x:v>
      </x:c>
      <x:c r="D11" t="str"/>
      <x:c r="E11" t="str">
        <x:v>Condiciones de seguridad - Público</x:v>
      </x:c>
      <x:c r="F11" t="str"/>
      <x:c r="G11" t="str"/>
      <x:c r="H11" t="str"/>
      <x:c r="I11" t="str"/>
      <x:c r="J11" t="str"/>
    </x:row>
    <x:row r="12">
      <x:c r="A12" t="str">
        <x:v>Pamplona</x:v>
      </x:c>
      <x:c r="B12" t="str"/>
      <x:c r="C12" t="str"/>
      <x:c r="D12" t="str"/>
      <x:c r="E12" t="str">
        <x:v>Condiciones de seguridad - Accidentes de tránsito</x:v>
      </x:c>
      <x:c r="F12" t="str"/>
      <x:c r="G12" t="str"/>
      <x:c r="H12" t="str"/>
      <x:c r="I12" t="str"/>
      <x:c r="J12" t="str"/>
    </x:row>
    <x:row r="13">
      <x:c r="A13" t="str"/>
      <x:c r="B13" t="str"/>
      <x:c r="C13" t="str"/>
      <x:c r="D13" t="str"/>
      <x:c r="E13" t="str">
        <x:v>Condiciones de seguridad - Trabajo en alturas</x:v>
      </x:c>
      <x:c r="F13" t="str"/>
      <x:c r="G13" t="str"/>
      <x:c r="H13" t="str"/>
      <x:c r="I13" t="str"/>
      <x:c r="J13" t="str"/>
    </x:row>
    <x:row r="14">
      <x:c r="A14" t="str"/>
      <x:c r="B14" t="str"/>
      <x:c r="C14" t="str"/>
      <x:c r="D14" t="str"/>
      <x:c r="E14" t="str">
        <x:v>Fenómenos naturales</x:v>
      </x:c>
      <x:c r="F14" t="str"/>
      <x:c r="G14" t="str"/>
      <x:c r="H14" t="str"/>
      <x:c r="I14" t="str"/>
      <x:c r="J14" t="str"/>
    </x:row>
    <x:row r="15">
      <x:c r="A15" t="str"/>
      <x:c r="B15" t="str"/>
      <x:c r="C15" t="str"/>
      <x:c r="D15" t="str"/>
      <x:c r="E15" t="str"/>
      <x:c r="F15" t="str"/>
      <x:c r="G15" t="str"/>
      <x:c r="H15" t="str"/>
      <x:c r="I15" t="str"/>
      <x:c r="J15" t="str"/>
    </x:row>
    <x:row r="16">
      <x:c r="A16" t="str"/>
      <x:c r="B16" t="str"/>
      <x:c r="C16" t="str"/>
      <x:c r="D16" t="str"/>
      <x:c r="E16" t="str"/>
      <x:c r="F16" t="str"/>
      <x:c r="G16" t="str"/>
      <x:c r="H16" t="str"/>
      <x:c r="I16" t="str"/>
      <x:c r="J16" t="str"/>
    </x:row>
    <x:row r="17">
      <x:c r="A17" t="str"/>
      <x:c r="B17" t="str"/>
      <x:c r="C17" t="str"/>
      <x:c r="D17" t="str"/>
      <x:c r="E17" t="str"/>
      <x:c r="F17" t="str"/>
      <x:c r="G17" t="str"/>
      <x:c r="H17" t="str"/>
      <x:c r="I17" t="str"/>
      <x:c r="J17" t="str"/>
    </x:row>
    <x:row r="18">
      <x:c r="A18" t="str"/>
      <x:c r="B18" t="str"/>
      <x:c r="C18" t="str"/>
      <x:c r="D18" t="str"/>
      <x:c r="E18" t="str"/>
      <x:c r="F18" t="str"/>
      <x:c r="G18" s="28" t="str">
        <x:v>Nivel de consecuencia (NC)</x:v>
      </x:c>
      <x:c r="H18" t="str">
        <x:v>Valor</x:v>
      </x:c>
      <x:c r="I18" t="str"/>
      <x:c r="J18" t="str"/>
    </x:row>
    <x:row r="19">
      <x:c r="A19" t="str"/>
      <x:c r="B19" t="str"/>
      <x:c r="C19" t="str"/>
      <x:c r="D19" t="str"/>
      <x:c r="E19" t="str"/>
      <x:c r="F19" t="str"/>
      <x:c r="G19" t="str">
        <x:v>Mortal o catastrófico</x:v>
      </x:c>
      <x:c r="H19" t="n">
        <x:v>100</x:v>
      </x:c>
      <x:c r="I19" t="str"/>
      <x:c r="J19" t="str"/>
    </x:row>
    <x:row r="20">
      <x:c r="A20" t="str"/>
      <x:c r="B20" t="str"/>
      <x:c r="C20" t="str"/>
      <x:c r="D20" t="str"/>
      <x:c r="E20" t="str"/>
      <x:c r="F20" t="str"/>
      <x:c r="G20" t="str">
        <x:v>Muy grave</x:v>
      </x:c>
      <x:c r="H20" t="n">
        <x:v>60</x:v>
      </x:c>
      <x:c r="I20" t="str"/>
      <x:c r="J20" t="str"/>
    </x:row>
    <x:row r="21">
      <x:c r="A21" t="str"/>
      <x:c r="B21" t="str"/>
      <x:c r="C21" t="str"/>
      <x:c r="D21" t="str"/>
      <x:c r="E21" t="str"/>
      <x:c r="F21" t="str"/>
      <x:c r="G21" t="str">
        <x:v>Grave</x:v>
      </x:c>
      <x:c r="H21" t="n">
        <x:v>25</x:v>
      </x:c>
      <x:c r="I21" t="str"/>
      <x:c r="J21" t="str"/>
    </x:row>
    <x:row r="22">
      <x:c r="A22" t="str"/>
      <x:c r="B22" t="str"/>
      <x:c r="C22" t="str"/>
      <x:c r="D22" t="str"/>
      <x:c r="E22" t="str"/>
      <x:c r="F22" t="str"/>
      <x:c r="G22" t="str">
        <x:v>Leve</x:v>
      </x:c>
      <x:c r="H22" t="n">
        <x:v>10</x:v>
      </x:c>
      <x:c r="I22" t="str"/>
      <x:c r="J22" t="str"/>
    </x:row>
    <x:row r="23">
      <x:c r="A23" t="str"/>
      <x:c r="B23" t="str"/>
      <x:c r="C23" t="str"/>
      <x:c r="D23" t="str"/>
      <x:c r="E23" t="str"/>
      <x:c r="F23" t="str"/>
      <x:c r="G23" t="str"/>
      <x:c r="H23" t="str"/>
      <x:c r="I23" t="str"/>
      <x:c r="J23" t="str"/>
    </x:row>
    <x:row r="24">
      <x:c r="A24" t="str"/>
      <x:c r="B24" t="str"/>
      <x:c r="C24" t="str"/>
      <x:c r="D24" t="str"/>
      <x:c r="E24" t="str"/>
      <x:c r="F24" t="str"/>
      <x:c r="G24" t="str"/>
      <x:c r="H24" t="str"/>
      <x:c r="I24" t="str"/>
      <x:c r="J24" t="str"/>
    </x:row>
    <x:row r="25">
      <x:c r="A25" t="str"/>
      <x:c r="B25" t="str"/>
      <x:c r="C25" t="str"/>
      <x:c r="D25" t="str"/>
      <x:c r="E25" t="str"/>
      <x:c r="F25" t="str"/>
      <x:c r="G25" s="28" t="str">
        <x:v>Fuentes</x:v>
      </x:c>
      <x:c r="H25" t="str">
        <x:v>URL</x:v>
      </x:c>
      <x:c r="I25" t="str"/>
      <x:c r="J25" t="str"/>
    </x:row>
    <x:row r="26">
      <x:c r="A26" t="str"/>
      <x:c r="B26" t="str"/>
      <x:c r="C26" t="str"/>
      <x:c r="D26" t="str"/>
      <x:c r="E26" t="str"/>
      <x:c r="F26" t="str"/>
      <x:c r="G26" t="str">
        <x:v>GTC 45:2012 - referencia metodológica empleada</x:v>
      </x:c>
      <x:c r="H26" t="str">
        <x:v>https://www.minsalud.gov.co/Ministerio/Institucional/Procesos%20y%20procedimientos/GTHG01.pdf</x:v>
      </x:c>
      <x:c r="I26" t="str"/>
      <x:c r="J26" t="str"/>
    </x:row>
    <x:row r="27">
      <x:c r="A27" t="str"/>
      <x:c r="B27" t="str"/>
      <x:c r="C27" t="str"/>
      <x:c r="D27" t="str"/>
      <x:c r="E27" t="str"/>
      <x:c r="F27" t="str"/>
      <x:c r="G27" t="str">
        <x:v>Decreto 1072 de 2015 - Sector Trabajo</x:v>
      </x:c>
      <x:c r="H27" t="str">
        <x:v>https://www.funcionpublica.gov.co/eva/gestornormativo/norma.php?i=72173</x:v>
      </x:c>
      <x:c r="I27" t="str"/>
      <x:c r="J27" t="str"/>
    </x:row>
    <x:row r="28">
      <x:c r="A28" t="str"/>
      <x:c r="B28" t="str"/>
      <x:c r="C28" t="str"/>
      <x:c r="D28" t="str"/>
      <x:c r="E28" t="str"/>
      <x:c r="F28" t="str"/>
      <x:c r="G28" t="str">
        <x:v>Resolución 0312 de 2019 - Estándares mínimos SG-SST</x:v>
      </x:c>
      <x:c r="H28" t="str">
        <x:v>https://www.mintrabajo.gov.co/documents/20147/59995826/Resolucion%2B0312-2019-%2BEstandares%2Bminimos%2Bdel%2BSistema%2Bde%2Bla%2BSeguridad%2By%2BSalud.pdf</x:v>
      </x:c>
      <x:c r="I28" t="str"/>
      <x:c r="J28" t="str"/>
    </x:row>
    <x:row r="29">
      <x:c r="A29" t="str"/>
      <x:c r="B29" t="str"/>
      <x:c r="C29" t="str"/>
      <x:c r="D29" t="str"/>
      <x:c r="E29" t="str"/>
      <x:c r="F29" t="str"/>
      <x:c r="G29" t="str">
        <x:v>Resolución 4272 de 2021 - Trabajo en alturas</x:v>
      </x:c>
      <x:c r="H29" t="str">
        <x:v>https://www.mintrabajo.gov.co/documents/20147/0/Resolucion+4272+de+2021.pdf</x:v>
      </x:c>
      <x:c r="I29" t="str"/>
      <x:c r="J29" t="str"/>
    </x:row>
    <x:row r="30">
      <x:c r="A30" t="str"/>
      <x:c r="B30" t="str"/>
      <x:c r="C30" t="str"/>
      <x:c r="D30" t="str"/>
      <x:c r="E30" t="str"/>
      <x:c r="F30" t="str"/>
      <x:c r="G30" t="str">
        <x:v>Resolución 40595 de 2022 - Plan Estratégico de Seguridad Vial</x:v>
      </x:c>
      <x:c r="H30" t="str">
        <x:v>https://www.mintransporte.gov.co/publicaciones/10113/resolucion-40595-del-2022/</x:v>
      </x:c>
      <x:c r="I30" t="str"/>
      <x:c r="J30" t="str"/>
    </x:row>
    <x:row r="31">
      <x:c r="A31" t="str"/>
      <x:c r="B31" t="str"/>
      <x:c r="C31" t="str"/>
      <x:c r="D31" t="str"/>
      <x:c r="E31" t="str"/>
      <x:c r="F31" t="str"/>
      <x:c r="G31" t="str"/>
      <x:c r="H31" t="str"/>
      <x:c r="I31" t="str"/>
      <x:c r="J31" t="str"/>
    </x:row>
    <x:row r="32">
      <x:c r="A32" t="str"/>
      <x:c r="B32" t="str"/>
      <x:c r="C32" t="str"/>
      <x:c r="D32" t="str"/>
      <x:c r="E32" t="str"/>
      <x:c r="F32" t="str"/>
      <x:c r="G32" t="str"/>
      <x:c r="H32" t="str"/>
      <x:c r="I32" t="str"/>
      <x:c r="J32" t="str"/>
    </x:row>
    <x:row r="33">
      <x:c r="A33" t="str"/>
      <x:c r="B33" t="str"/>
      <x:c r="C33" t="str"/>
      <x:c r="D33" t="str"/>
      <x:c r="E33" t="str"/>
      <x:c r="F33" t="str"/>
      <x:c r="G33" t="str"/>
      <x:c r="H33" t="str"/>
      <x:c r="I33" t="str"/>
      <x:c r="J33"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22" hidden="0" customWidth="1"/>
    <x:col min="6" max="6" width="28" hidden="0" customWidth="1"/>
    <x:col min="7" max="7" width="10" hidden="0" customWidth="1"/>
    <x:col min="8" max="8" width="22" hidden="0" customWidth="1"/>
    <x:col min="9" max="9" width="26" hidden="0" customWidth="1"/>
    <x:col min="10" max="10" width="26" hidden="0" customWidth="1"/>
    <x:col min="11" max="11" width="24" hidden="0" customWidth="1"/>
    <x:col min="12" max="12" width="22" hidden="0" customWidth="1"/>
    <x:col min="13" max="13" width="22" hidden="0" customWidth="1"/>
    <x:col min="14" max="14" width="20" hidden="0" customWidth="1"/>
    <x:col min="15" max="15" width="22" hidden="0" customWidth="1"/>
    <x:col min="16" max="16" width="10" hidden="0" customWidth="1"/>
    <x:col min="17" max="17" width="18" hidden="0" customWidth="1"/>
    <x:col min="18" max="18" width="8" hidden="0" customWidth="1"/>
    <x:col min="19" max="19" width="18" hidden="0" customWidth="1"/>
    <x:col min="20" max="20" width="8" hidden="0" customWidth="1"/>
    <x:col min="21" max="21" width="10" hidden="0" customWidth="1"/>
    <x:col min="22" max="22" width="12" hidden="0" customWidth="1"/>
    <x:col min="23" max="23" width="20" hidden="0" customWidth="1"/>
    <x:col min="24" max="24" width="8" hidden="0" customWidth="1"/>
    <x:col min="25" max="25" width="10" hidden="0" customWidth="1"/>
    <x:col min="26" max="26" width="30" hidden="0" customWidth="1"/>
    <x:col min="27" max="27" width="20" hidden="0" customWidth="1"/>
    <x:col min="28" max="28" width="20" hidden="0" customWidth="1"/>
    <x:col min="29" max="29" width="18" hidden="0" customWidth="1"/>
    <x:col min="30" max="30" width="22" hidden="0" customWidth="1"/>
    <x:col min="31" max="31" width="24" hidden="0" customWidth="1"/>
    <x:col min="32" max="32" width="18" hidden="0" customWidth="1"/>
    <x:col min="33" max="33" width="18" hidden="0" customWidth="1"/>
    <x:col min="34" max="34" width="12" hidden="0" customWidth="1"/>
    <x:col min="35" max="35" width="18" hidden="0" customWidth="1"/>
  </x:cols>
  <x:sheetData>
    <x:row r="1" ht="36" customHeight="1">
      <x:c r="A1" t="str">
        <x:v>ID</x:v>
      </x:c>
      <x:c r="B1" t="str">
        <x:v>Sede</x:v>
      </x:c>
      <x:c r="C1" t="str">
        <x:v>Proceso</x:v>
      </x:c>
      <x:c r="D1" t="str">
        <x:v>Zona / Lugar</x:v>
      </x:c>
      <x:c r="E1" t="str">
        <x:v>Actividad</x:v>
      </x:c>
      <x:c r="F1" t="str">
        <x:v>Tarea</x:v>
      </x:c>
      <x:c r="G1" t="str">
        <x:v>Rutinaria</x:v>
      </x:c>
      <x:c r="H1" t="str">
        <x:v>Clasificación del peligro</x:v>
      </x:c>
      <x:c r="I1" t="str">
        <x:v>Descripción del peligro</x:v>
      </x:c>
      <x:c r="J1" t="str">
        <x:v>Efectos posibles</x:v>
      </x:c>
      <x:c r="K1" t="str">
        <x:v>Controles existentes en la fuente</x:v>
      </x:c>
      <x:c r="L1" t="str">
        <x:v>Controles existentes en el medio</x:v>
      </x:c>
      <x:c r="M1" t="str">
        <x:v>Controles existentes en el individuo</x:v>
      </x:c>
      <x:c r="N1" t="str">
        <x:v>Peor consecuencia</x:v>
      </x:c>
      <x:c r="O1" t="str">
        <x:v>Requisito legal específico asociado</x:v>
      </x:c>
      <x:c r="P1" t="str">
        <x:v>N.º expuestos</x:v>
      </x:c>
      <x:c r="Q1" t="str">
        <x:v>Nivel de deficiencia (descriptor)</x:v>
      </x:c>
      <x:c r="R1" t="str">
        <x:v>ND</x:v>
      </x:c>
      <x:c r="S1" t="str">
        <x:v>Nivel de exposición (descriptor)</x:v>
      </x:c>
      <x:c r="T1" t="str">
        <x:v>NE</x:v>
      </x:c>
      <x:c r="U1" t="str">
        <x:v>Nivel de probabilidad (NP=ND×NE)</x:v>
      </x:c>
      <x:c r="V1" t="str">
        <x:v>Interpretación NP</x:v>
      </x:c>
      <x:c r="W1" t="str">
        <x:v>Nivel de consecuencia (descriptor)</x:v>
      </x:c>
      <x:c r="X1" t="str">
        <x:v>NC</x:v>
      </x:c>
      <x:c r="Y1" t="str">
        <x:v>Nivel de riesgo (NR=NP×NC)</x:v>
      </x:c>
      <x:c r="Z1" t="str">
        <x:v>Nivel de riesgo e intervención</x:v>
      </x:c>
      <x:c r="AA1" t="str">
        <x:v>Aceptabilidad del riesgo</x:v>
      </x:c>
      <x:c r="AB1" t="str">
        <x:v>Eliminación</x:v>
      </x:c>
      <x:c r="AC1" t="str">
        <x:v>Sustitución</x:v>
      </x:c>
      <x:c r="AD1" t="str">
        <x:v>Controles de ingeniería</x:v>
      </x:c>
      <x:c r="AE1" t="str">
        <x:v>Controles administrativos / señalización / advertencia</x:v>
      </x:c>
      <x:c r="AF1" t="str">
        <x:v>EPP</x:v>
      </x:c>
      <x:c r="AG1" t="str">
        <x:v>Responsable</x:v>
      </x:c>
      <x:c r="AH1" t="str">
        <x:v>Fecha actualización</x:v>
      </x:c>
      <x:c r="AI1" t="str">
        <x:v>Observaciones</x:v>
      </x:c>
    </x:row>
    <x:row r="2">
      <x:c r="A2" t="str"/>
      <x:c r="B2" t="str"/>
      <x:c r="C2" t="str"/>
      <x:c r="D2" s="12" t="str"/>
      <x:c r="E2" s="12" t="str"/>
      <x:c r="F2" s="12" t="str"/>
      <x:c r="G2" s="12" t="str"/>
      <x:c r="H2" s="12" t="str"/>
      <x:c r="I2" s="12" t="str"/>
      <x:c r="J2" s="12" t="str"/>
      <x:c r="K2" s="12" t="str"/>
      <x:c r="L2" s="12" t="str"/>
      <x:c r="M2" s="12" t="str"/>
      <x:c r="N2" s="12" t="str"/>
      <x:c r="O2" s="12" t="str"/>
      <x:c r="P2" t="str"/>
      <x:c r="Q2" t="str"/>
      <x:c r="R2" t="str">
        <x:f>IFERROR(VLOOKUP(Q2,Catalogos!$G:$H,2,FALSE),"")</x:f>
      </x:c>
      <x:c r="S2" t="str"/>
      <x:c r="T2" t="str">
        <x:f>IFERROR(VLOOKUP(S2,Catalogos!$I:$J,2,FALSE),"")</x:f>
      </x:c>
      <x:c r="U2" t="str">
        <x:f>IF(OR(R2="",T2=""),"",R2*T2)</x:f>
      </x:c>
      <x:c r="V2" t="str">
        <x:f>IF(U2="","",IF(U2&gt;=24,"MUY ALTO",IF(U2&gt;=10,"ALTO",IF(U2&gt;=6,"MEDIO","BAJO"))))</x:f>
      </x:c>
      <x:c r="W2" t="str"/>
      <x:c r="X2" t="str">
        <x:f>IFERROR(VLOOKUP(W2,Catalogos!$G:$H,2,FALSE),"")</x:f>
      </x:c>
      <x:c r="Y2" t="str">
        <x:f>IF(OR(U2="",X2=""),"",U2*X2)</x:f>
      </x:c>
      <x:c r="Z2" t="str">
        <x:f>IF(Y2="","",IF(Y2&gt;=600,"I - Situación crítica. Suspender actividades hasta que el riesgo esté bajo control. Intervención urgente.",IF(Y2&gt;=150,"II - Corregir y adoptar medidas de control de inmediato.",IF(Y2&gt;=40,"III - Mejorar si es posible. Conviene justificar la intervención y su rentabilidad.","IV - Mantener controles existentes."))))</x:f>
      </x:c>
      <x:c r="AA2" t="str">
        <x:f>IF(Y2="","",IF(Y2&gt;=600,"No aceptable",IF(Y2&gt;=150,"No aceptable / Aceptable con control específico","Aceptable")))</x:f>
      </x:c>
      <x:c r="AB2" s="12" t="str"/>
      <x:c r="AC2" s="12" t="str"/>
      <x:c r="AD2" s="12" t="str"/>
      <x:c r="AE2" s="12" t="str"/>
      <x:c r="AF2" s="12" t="str"/>
      <x:c r="AG2" s="12" t="str"/>
      <x:c r="AH2" s="16" t="str"/>
      <x:c r="AI2" s="12" t="str"/>
    </x:row>
    <x:row r="3">
      <x:c r="A3" t="str"/>
      <x:c r="B3" t="str"/>
      <x:c r="C3" t="str"/>
      <x:c r="D3" s="12" t="str"/>
      <x:c r="E3" s="12" t="str"/>
      <x:c r="F3" s="12" t="str"/>
      <x:c r="G3" s="12" t="str"/>
      <x:c r="H3" s="12" t="str"/>
      <x:c r="I3" s="12" t="str"/>
      <x:c r="J3" s="12" t="str"/>
      <x:c r="K3" s="12" t="str"/>
      <x:c r="L3" s="12" t="str"/>
      <x:c r="M3" s="12" t="str"/>
      <x:c r="N3" s="12" t="str"/>
      <x:c r="O3" s="12" t="str"/>
      <x:c r="P3" t="str"/>
      <x:c r="Q3" t="str"/>
      <x:c r="R3" t="str">
        <x:f>IFERROR(VLOOKUP(Q3,Catalogos!$G:$H,2,FALSE),"")</x:f>
      </x:c>
      <x:c r="S3" t="str"/>
      <x:c r="T3" t="str">
        <x:f>IFERROR(VLOOKUP(S3,Catalogos!$I:$J,2,FALSE),"")</x:f>
      </x:c>
      <x:c r="U3" t="str">
        <x:f>IF(OR(R3="",T3=""),"",R3*T3)</x:f>
      </x:c>
      <x:c r="V3" t="str">
        <x:f>IF(U3="","",IF(U3&gt;=24,"MUY ALTO",IF(U3&gt;=10,"ALTO",IF(U3&gt;=6,"MEDIO","BAJO"))))</x:f>
      </x:c>
      <x:c r="W3" t="str"/>
      <x:c r="X3" t="str">
        <x:f>IFERROR(VLOOKUP(W3,Catalogos!$G:$H,2,FALSE),"")</x:f>
      </x:c>
      <x:c r="Y3" t="str">
        <x:f>IF(OR(U3="",X3=""),"",U3*X3)</x:f>
      </x:c>
      <x:c r="Z3" t="str">
        <x:f>IF(Y3="","",IF(Y3&gt;=600,"I - Situación crítica. Suspender actividades hasta que el riesgo esté bajo control. Intervención urgente.",IF(Y3&gt;=150,"II - Corregir y adoptar medidas de control de inmediato.",IF(Y3&gt;=40,"III - Mejorar si es posible. Conviene justificar la intervención y su rentabilidad.","IV - Mantener controles existentes."))))</x:f>
      </x:c>
      <x:c r="AA3" t="str">
        <x:f>IF(Y3="","",IF(Y3&gt;=600,"No aceptable",IF(Y3&gt;=150,"No aceptable / Aceptable con control específico","Aceptable")))</x:f>
      </x:c>
      <x:c r="AB3" s="12" t="str"/>
      <x:c r="AC3" s="12" t="str"/>
      <x:c r="AD3" s="12" t="str"/>
      <x:c r="AE3" s="12" t="str"/>
      <x:c r="AF3" s="12" t="str"/>
      <x:c r="AG3" s="12" t="str"/>
      <x:c r="AH3" s="16" t="str"/>
      <x:c r="AI3" s="12" t="str"/>
    </x:row>
    <x:row r="4">
      <x:c r="A4" t="str"/>
      <x:c r="B4" t="str"/>
      <x:c r="C4" t="str"/>
      <x:c r="D4" s="12" t="str"/>
      <x:c r="E4" s="12" t="str"/>
      <x:c r="F4" s="12" t="str"/>
      <x:c r="G4" s="12" t="str"/>
      <x:c r="H4" s="12" t="str"/>
      <x:c r="I4" s="12" t="str"/>
      <x:c r="J4" s="12" t="str"/>
      <x:c r="K4" s="12" t="str"/>
      <x:c r="L4" s="12" t="str"/>
      <x:c r="M4" s="12" t="str"/>
      <x:c r="N4" s="12" t="str"/>
      <x:c r="O4" s="12" t="str"/>
      <x:c r="P4" t="str"/>
      <x:c r="Q4" t="str"/>
      <x:c r="R4" t="str">
        <x:f>IFERROR(VLOOKUP(Q4,Catalogos!$G:$H,2,FALSE),"")</x:f>
      </x:c>
      <x:c r="S4" t="str"/>
      <x:c r="T4" t="str">
        <x:f>IFERROR(VLOOKUP(S4,Catalogos!$I:$J,2,FALSE),"")</x:f>
      </x:c>
      <x:c r="U4" t="str">
        <x:f>IF(OR(R4="",T4=""),"",R4*T4)</x:f>
      </x:c>
      <x:c r="V4" t="str">
        <x:f>IF(U4="","",IF(U4&gt;=24,"MUY ALTO",IF(U4&gt;=10,"ALTO",IF(U4&gt;=6,"MEDIO","BAJO"))))</x:f>
      </x:c>
      <x:c r="W4" t="str"/>
      <x:c r="X4" t="str">
        <x:f>IFERROR(VLOOKUP(W4,Catalogos!$G:$H,2,FALSE),"")</x:f>
      </x:c>
      <x:c r="Y4" t="str">
        <x:f>IF(OR(U4="",X4=""),"",U4*X4)</x:f>
      </x:c>
      <x:c r="Z4" t="str">
        <x:f>IF(Y4="","",IF(Y4&gt;=600,"I - Situación crítica. Suspender actividades hasta que el riesgo esté bajo control. Intervención urgente.",IF(Y4&gt;=150,"II - Corregir y adoptar medidas de control de inmediato.",IF(Y4&gt;=40,"III - Mejorar si es posible. Conviene justificar la intervención y su rentabilidad.","IV - Mantener controles existentes."))))</x:f>
      </x:c>
      <x:c r="AA4" t="str">
        <x:f>IF(Y4="","",IF(Y4&gt;=600,"No aceptable",IF(Y4&gt;=150,"No aceptable / Aceptable con control específico","Aceptable")))</x:f>
      </x:c>
      <x:c r="AB4" s="12" t="str"/>
      <x:c r="AC4" s="12" t="str"/>
      <x:c r="AD4" s="12" t="str"/>
      <x:c r="AE4" s="12" t="str"/>
      <x:c r="AF4" s="12" t="str"/>
      <x:c r="AG4" s="12" t="str"/>
      <x:c r="AH4" s="16" t="str"/>
      <x:c r="AI4" s="12" t="str"/>
    </x:row>
    <x:row r="5">
      <x:c r="A5" t="str"/>
      <x:c r="B5" t="str"/>
      <x:c r="C5" t="str"/>
      <x:c r="D5" s="12" t="str"/>
      <x:c r="E5" s="12" t="str"/>
      <x:c r="F5" s="12" t="str"/>
      <x:c r="G5" s="12" t="str"/>
      <x:c r="H5" s="12" t="str"/>
      <x:c r="I5" s="12" t="str"/>
      <x:c r="J5" s="12" t="str"/>
      <x:c r="K5" s="12" t="str"/>
      <x:c r="L5" s="12" t="str"/>
      <x:c r="M5" s="12" t="str"/>
      <x:c r="N5" s="12" t="str"/>
      <x:c r="O5" s="12" t="str"/>
      <x:c r="P5" t="str"/>
      <x:c r="Q5" t="str"/>
      <x:c r="R5" t="str">
        <x:f>IFERROR(VLOOKUP(Q5,Catalogos!$G:$H,2,FALSE),"")</x:f>
      </x:c>
      <x:c r="S5" t="str"/>
      <x:c r="T5" t="str">
        <x:f>IFERROR(VLOOKUP(S5,Catalogos!$I:$J,2,FALSE),"")</x:f>
      </x:c>
      <x:c r="U5" t="str">
        <x:f>IF(OR(R5="",T5=""),"",R5*T5)</x:f>
      </x:c>
      <x:c r="V5" t="str">
        <x:f>IF(U5="","",IF(U5&gt;=24,"MUY ALTO",IF(U5&gt;=10,"ALTO",IF(U5&gt;=6,"MEDIO","BAJO"))))</x:f>
      </x:c>
      <x:c r="W5" t="str"/>
      <x:c r="X5" t="str">
        <x:f>IFERROR(VLOOKUP(W5,Catalogos!$G:$H,2,FALSE),"")</x:f>
      </x:c>
      <x:c r="Y5" t="str">
        <x:f>IF(OR(U5="",X5=""),"",U5*X5)</x:f>
      </x:c>
      <x:c r="Z5" t="str">
        <x:f>IF(Y5="","",IF(Y5&gt;=600,"I - Situación crítica. Suspender actividades hasta que el riesgo esté bajo control. Intervención urgente.",IF(Y5&gt;=150,"II - Corregir y adoptar medidas de control de inmediato.",IF(Y5&gt;=40,"III - Mejorar si es posible. Conviene justificar la intervención y su rentabilidad.","IV - Mantener controles existentes."))))</x:f>
      </x:c>
      <x:c r="AA5" t="str">
        <x:f>IF(Y5="","",IF(Y5&gt;=600,"No aceptable",IF(Y5&gt;=150,"No aceptable / Aceptable con control específico","Aceptable")))</x:f>
      </x:c>
      <x:c r="AB5" s="12" t="str"/>
      <x:c r="AC5" s="12" t="str"/>
      <x:c r="AD5" s="12" t="str"/>
      <x:c r="AE5" s="12" t="str"/>
      <x:c r="AF5" s="12" t="str"/>
      <x:c r="AG5" s="12" t="str"/>
      <x:c r="AH5" s="16" t="str"/>
      <x:c r="AI5" s="12" t="str"/>
    </x:row>
    <x:row r="6">
      <x:c r="A6" t="str"/>
      <x:c r="B6" t="str"/>
      <x:c r="C6" t="str"/>
      <x:c r="D6" s="12" t="str"/>
      <x:c r="E6" s="12" t="str"/>
      <x:c r="F6" s="12" t="str"/>
      <x:c r="G6" s="12" t="str"/>
      <x:c r="H6" s="12" t="str"/>
      <x:c r="I6" s="12" t="str"/>
      <x:c r="J6" s="12" t="str"/>
      <x:c r="K6" s="12" t="str"/>
      <x:c r="L6" s="12" t="str"/>
      <x:c r="M6" s="12" t="str"/>
      <x:c r="N6" s="12" t="str"/>
      <x:c r="O6" s="12" t="str"/>
      <x:c r="P6" t="str"/>
      <x:c r="Q6" t="str"/>
      <x:c r="R6" t="str">
        <x:f>IFERROR(VLOOKUP(Q6,Catalogos!$G:$H,2,FALSE),"")</x:f>
      </x:c>
      <x:c r="S6" t="str"/>
      <x:c r="T6" t="str">
        <x:f>IFERROR(VLOOKUP(S6,Catalogos!$I:$J,2,FALSE),"")</x:f>
      </x:c>
      <x:c r="U6" t="str">
        <x:f>IF(OR(R6="",T6=""),"",R6*T6)</x:f>
      </x:c>
      <x:c r="V6" t="str">
        <x:f>IF(U6="","",IF(U6&gt;=24,"MUY ALTO",IF(U6&gt;=10,"ALTO",IF(U6&gt;=6,"MEDIO","BAJO"))))</x:f>
      </x:c>
      <x:c r="W6" t="str"/>
      <x:c r="X6" t="str">
        <x:f>IFERROR(VLOOKUP(W6,Catalogos!$G:$H,2,FALSE),"")</x:f>
      </x:c>
      <x:c r="Y6" t="str">
        <x:f>IF(OR(U6="",X6=""),"",U6*X6)</x:f>
      </x:c>
      <x:c r="Z6" t="str">
        <x:f>IF(Y6="","",IF(Y6&gt;=600,"I - Situación crítica. Suspender actividades hasta que el riesgo esté bajo control. Intervención urgente.",IF(Y6&gt;=150,"II - Corregir y adoptar medidas de control de inmediato.",IF(Y6&gt;=40,"III - Mejorar si es posible. Conviene justificar la intervención y su rentabilidad.","IV - Mantener controles existentes."))))</x:f>
      </x:c>
      <x:c r="AA6" t="str">
        <x:f>IF(Y6="","",IF(Y6&gt;=600,"No aceptable",IF(Y6&gt;=150,"No aceptable / Aceptable con control específico","Aceptable")))</x:f>
      </x:c>
      <x:c r="AB6" s="12" t="str"/>
      <x:c r="AC6" s="12" t="str"/>
      <x:c r="AD6" s="12" t="str"/>
      <x:c r="AE6" s="12" t="str"/>
      <x:c r="AF6" s="12" t="str"/>
      <x:c r="AG6" s="12" t="str"/>
      <x:c r="AH6" s="16" t="str"/>
      <x:c r="AI6" s="12" t="str"/>
    </x:row>
    <x:row r="7">
      <x:c r="A7" t="str"/>
      <x:c r="B7" t="str"/>
      <x:c r="C7" t="str"/>
      <x:c r="D7" s="12" t="str"/>
      <x:c r="E7" s="12" t="str"/>
      <x:c r="F7" s="12" t="str"/>
      <x:c r="G7" s="12" t="str"/>
      <x:c r="H7" s="12" t="str"/>
      <x:c r="I7" s="12" t="str"/>
      <x:c r="J7" s="12" t="str"/>
      <x:c r="K7" s="12" t="str"/>
      <x:c r="L7" s="12" t="str"/>
      <x:c r="M7" s="12" t="str"/>
      <x:c r="N7" s="12" t="str"/>
      <x:c r="O7" s="12" t="str"/>
      <x:c r="P7" t="str"/>
      <x:c r="Q7" t="str"/>
      <x:c r="R7" t="str">
        <x:f>IFERROR(VLOOKUP(Q7,Catalogos!$G:$H,2,FALSE),"")</x:f>
      </x:c>
      <x:c r="S7" t="str"/>
      <x:c r="T7" t="str">
        <x:f>IFERROR(VLOOKUP(S7,Catalogos!$I:$J,2,FALSE),"")</x:f>
      </x:c>
      <x:c r="U7" t="str">
        <x:f>IF(OR(R7="",T7=""),"",R7*T7)</x:f>
      </x:c>
      <x:c r="V7" t="str">
        <x:f>IF(U7="","",IF(U7&gt;=24,"MUY ALTO",IF(U7&gt;=10,"ALTO",IF(U7&gt;=6,"MEDIO","BAJO"))))</x:f>
      </x:c>
      <x:c r="W7" t="str"/>
      <x:c r="X7" t="str">
        <x:f>IFERROR(VLOOKUP(W7,Catalogos!$G:$H,2,FALSE),"")</x:f>
      </x:c>
      <x:c r="Y7" t="str">
        <x:f>IF(OR(U7="",X7=""),"",U7*X7)</x:f>
      </x:c>
      <x:c r="Z7" t="str">
        <x:f>IF(Y7="","",IF(Y7&gt;=600,"I - Situación crítica. Suspender actividades hasta que el riesgo esté bajo control. Intervención urgente.",IF(Y7&gt;=150,"II - Corregir y adoptar medidas de control de inmediato.",IF(Y7&gt;=40,"III - Mejorar si es posible. Conviene justificar la intervención y su rentabilidad.","IV - Mantener controles existentes."))))</x:f>
      </x:c>
      <x:c r="AA7" t="str">
        <x:f>IF(Y7="","",IF(Y7&gt;=600,"No aceptable",IF(Y7&gt;=150,"No aceptable / Aceptable con control específico","Aceptable")))</x:f>
      </x:c>
      <x:c r="AB7" s="12" t="str"/>
      <x:c r="AC7" s="12" t="str"/>
      <x:c r="AD7" s="12" t="str"/>
      <x:c r="AE7" s="12" t="str"/>
      <x:c r="AF7" s="12" t="str"/>
      <x:c r="AG7" s="12" t="str"/>
      <x:c r="AH7" s="16" t="str"/>
      <x:c r="AI7" s="12" t="str"/>
    </x:row>
    <x:row r="8">
      <x:c r="A8" t="str"/>
      <x:c r="B8" t="str"/>
      <x:c r="C8" t="str"/>
      <x:c r="D8" s="12" t="str"/>
      <x:c r="E8" s="12" t="str"/>
      <x:c r="F8" s="12" t="str"/>
      <x:c r="G8" s="12" t="str"/>
      <x:c r="H8" s="12" t="str"/>
      <x:c r="I8" s="12" t="str"/>
      <x:c r="J8" s="12" t="str"/>
      <x:c r="K8" s="12" t="str"/>
      <x:c r="L8" s="12" t="str"/>
      <x:c r="M8" s="12" t="str"/>
      <x:c r="N8" s="12" t="str"/>
      <x:c r="O8" s="12" t="str"/>
      <x:c r="P8" t="str"/>
      <x:c r="Q8" t="str"/>
      <x:c r="R8" t="str">
        <x:f>IFERROR(VLOOKUP(Q8,Catalogos!$G:$H,2,FALSE),"")</x:f>
      </x:c>
      <x:c r="S8" t="str"/>
      <x:c r="T8" t="str">
        <x:f>IFERROR(VLOOKUP(S8,Catalogos!$I:$J,2,FALSE),"")</x:f>
      </x:c>
      <x:c r="U8" t="str">
        <x:f>IF(OR(R8="",T8=""),"",R8*T8)</x:f>
      </x:c>
      <x:c r="V8" t="str">
        <x:f>IF(U8="","",IF(U8&gt;=24,"MUY ALTO",IF(U8&gt;=10,"ALTO",IF(U8&gt;=6,"MEDIO","BAJO"))))</x:f>
      </x:c>
      <x:c r="W8" t="str"/>
      <x:c r="X8" t="str">
        <x:f>IFERROR(VLOOKUP(W8,Catalogos!$G:$H,2,FALSE),"")</x:f>
      </x:c>
      <x:c r="Y8" t="str">
        <x:f>IF(OR(U8="",X8=""),"",U8*X8)</x:f>
      </x:c>
      <x:c r="Z8" t="str">
        <x:f>IF(Y8="","",IF(Y8&gt;=600,"I - Situación crítica. Suspender actividades hasta que el riesgo esté bajo control. Intervención urgente.",IF(Y8&gt;=150,"II - Corregir y adoptar medidas de control de inmediato.",IF(Y8&gt;=40,"III - Mejorar si es posible. Conviene justificar la intervención y su rentabilidad.","IV - Mantener controles existentes."))))</x:f>
      </x:c>
      <x:c r="AA8" t="str">
        <x:f>IF(Y8="","",IF(Y8&gt;=600,"No aceptable",IF(Y8&gt;=150,"No aceptable / Aceptable con control específico","Aceptable")))</x:f>
      </x:c>
      <x:c r="AB8" s="12" t="str"/>
      <x:c r="AC8" s="12" t="str"/>
      <x:c r="AD8" s="12" t="str"/>
      <x:c r="AE8" s="12" t="str"/>
      <x:c r="AF8" s="12" t="str"/>
      <x:c r="AG8" s="12" t="str"/>
      <x:c r="AH8" s="16" t="str"/>
      <x:c r="AI8" s="12" t="str"/>
    </x:row>
    <x:row r="9">
      <x:c r="A9" t="str"/>
      <x:c r="B9" t="str"/>
      <x:c r="C9" t="str"/>
      <x:c r="D9" s="12" t="str"/>
      <x:c r="E9" s="12" t="str"/>
      <x:c r="F9" s="12" t="str"/>
      <x:c r="G9" s="12" t="str"/>
      <x:c r="H9" s="12" t="str"/>
      <x:c r="I9" s="12" t="str"/>
      <x:c r="J9" s="12" t="str"/>
      <x:c r="K9" s="12" t="str"/>
      <x:c r="L9" s="12" t="str"/>
      <x:c r="M9" s="12" t="str"/>
      <x:c r="N9" s="12" t="str"/>
      <x:c r="O9" s="12" t="str"/>
      <x:c r="P9" t="str"/>
      <x:c r="Q9" t="str"/>
      <x:c r="R9" t="str">
        <x:f>IFERROR(VLOOKUP(Q9,Catalogos!$G:$H,2,FALSE),"")</x:f>
      </x:c>
      <x:c r="S9" t="str"/>
      <x:c r="T9" t="str">
        <x:f>IFERROR(VLOOKUP(S9,Catalogos!$I:$J,2,FALSE),"")</x:f>
      </x:c>
      <x:c r="U9" t="str">
        <x:f>IF(OR(R9="",T9=""),"",R9*T9)</x:f>
      </x:c>
      <x:c r="V9" t="str">
        <x:f>IF(U9="","",IF(U9&gt;=24,"MUY ALTO",IF(U9&gt;=10,"ALTO",IF(U9&gt;=6,"MEDIO","BAJO"))))</x:f>
      </x:c>
      <x:c r="W9" t="str"/>
      <x:c r="X9" t="str">
        <x:f>IFERROR(VLOOKUP(W9,Catalogos!$G:$H,2,FALSE),"")</x:f>
      </x:c>
      <x:c r="Y9" t="str">
        <x:f>IF(OR(U9="",X9=""),"",U9*X9)</x:f>
      </x:c>
      <x:c r="Z9" t="str">
        <x:f>IF(Y9="","",IF(Y9&gt;=600,"I - Situación crítica. Suspender actividades hasta que el riesgo esté bajo control. Intervención urgente.",IF(Y9&gt;=150,"II - Corregir y adoptar medidas de control de inmediato.",IF(Y9&gt;=40,"III - Mejorar si es posible. Conviene justificar la intervención y su rentabilidad.","IV - Mantener controles existentes."))))</x:f>
      </x:c>
      <x:c r="AA9" t="str">
        <x:f>IF(Y9="","",IF(Y9&gt;=600,"No aceptable",IF(Y9&gt;=150,"No aceptable / Aceptable con control específico","Aceptable")))</x:f>
      </x:c>
      <x:c r="AB9" s="12" t="str"/>
      <x:c r="AC9" s="12" t="str"/>
      <x:c r="AD9" s="12" t="str"/>
      <x:c r="AE9" s="12" t="str"/>
      <x:c r="AF9" s="12" t="str"/>
      <x:c r="AG9" s="12" t="str"/>
      <x:c r="AH9" s="16" t="str"/>
      <x:c r="AI9" s="12" t="str"/>
    </x:row>
    <x:row r="10">
      <x:c r="A10" t="str"/>
      <x:c r="B10" t="str"/>
      <x:c r="C10" t="str"/>
      <x:c r="D10" s="12" t="str"/>
      <x:c r="E10" s="12" t="str"/>
      <x:c r="F10" s="12" t="str"/>
      <x:c r="G10" s="12" t="str"/>
      <x:c r="H10" s="12" t="str"/>
      <x:c r="I10" s="12" t="str"/>
      <x:c r="J10" s="12" t="str"/>
      <x:c r="K10" s="12" t="str"/>
      <x:c r="L10" s="12" t="str"/>
      <x:c r="M10" s="12" t="str"/>
      <x:c r="N10" s="12" t="str"/>
      <x:c r="O10" s="12" t="str"/>
      <x:c r="P10" t="str"/>
      <x:c r="Q10" t="str"/>
      <x:c r="R10" t="str">
        <x:f>IFERROR(VLOOKUP(Q10,Catalogos!$G:$H,2,FALSE),"")</x:f>
      </x:c>
      <x:c r="S10" t="str"/>
      <x:c r="T10" t="str">
        <x:f>IFERROR(VLOOKUP(S10,Catalogos!$I:$J,2,FALSE),"")</x:f>
      </x:c>
      <x:c r="U10" t="str">
        <x:f>IF(OR(R10="",T10=""),"",R10*T10)</x:f>
      </x:c>
      <x:c r="V10" t="str">
        <x:f>IF(U10="","",IF(U10&gt;=24,"MUY ALTO",IF(U10&gt;=10,"ALTO",IF(U10&gt;=6,"MEDIO","BAJO"))))</x:f>
      </x:c>
      <x:c r="W10" t="str"/>
      <x:c r="X10" t="str">
        <x:f>IFERROR(VLOOKUP(W10,Catalogos!$G:$H,2,FALSE),"")</x:f>
      </x:c>
      <x:c r="Y10" t="str">
        <x:f>IF(OR(U10="",X10=""),"",U10*X10)</x:f>
      </x:c>
      <x:c r="Z10" t="str">
        <x:f>IF(Y10="","",IF(Y10&gt;=600,"I - Situación crítica. Suspender actividades hasta que el riesgo esté bajo control. Intervención urgente.",IF(Y10&gt;=150,"II - Corregir y adoptar medidas de control de inmediato.",IF(Y10&gt;=40,"III - Mejorar si es posible. Conviene justificar la intervención y su rentabilidad.","IV - Mantener controles existentes."))))</x:f>
      </x:c>
      <x:c r="AA10" t="str">
        <x:f>IF(Y10="","",IF(Y10&gt;=600,"No aceptable",IF(Y10&gt;=150,"No aceptable / Aceptable con control específico","Aceptable")))</x:f>
      </x:c>
      <x:c r="AB10" s="12" t="str"/>
      <x:c r="AC10" s="12" t="str"/>
      <x:c r="AD10" s="12" t="str"/>
      <x:c r="AE10" s="12" t="str"/>
      <x:c r="AF10" s="12" t="str"/>
      <x:c r="AG10" s="12" t="str"/>
      <x:c r="AH10" s="16" t="str"/>
      <x:c r="AI10" s="12" t="str"/>
    </x:row>
    <x:row r="11">
      <x:c r="A11" t="str"/>
      <x:c r="B11" t="str"/>
      <x:c r="C11" t="str"/>
      <x:c r="D11" s="12" t="str"/>
      <x:c r="E11" s="12" t="str"/>
      <x:c r="F11" s="12" t="str"/>
      <x:c r="G11" s="12" t="str"/>
      <x:c r="H11" s="12" t="str"/>
      <x:c r="I11" s="12" t="str"/>
      <x:c r="J11" s="12" t="str"/>
      <x:c r="K11" s="12" t="str"/>
      <x:c r="L11" s="12" t="str"/>
      <x:c r="M11" s="12" t="str"/>
      <x:c r="N11" s="12" t="str"/>
      <x:c r="O11" s="12" t="str"/>
      <x:c r="P11" t="str"/>
      <x:c r="Q11" t="str"/>
      <x:c r="R11" t="str">
        <x:f>IFERROR(VLOOKUP(Q11,Catalogos!$G:$H,2,FALSE),"")</x:f>
      </x:c>
      <x:c r="S11" t="str"/>
      <x:c r="T11" t="str">
        <x:f>IFERROR(VLOOKUP(S11,Catalogos!$I:$J,2,FALSE),"")</x:f>
      </x:c>
      <x:c r="U11" t="str">
        <x:f>IF(OR(R11="",T11=""),"",R11*T11)</x:f>
      </x:c>
      <x:c r="V11" t="str">
        <x:f>IF(U11="","",IF(U11&gt;=24,"MUY ALTO",IF(U11&gt;=10,"ALTO",IF(U11&gt;=6,"MEDIO","BAJO"))))</x:f>
      </x:c>
      <x:c r="W11" t="str"/>
      <x:c r="X11" t="str">
        <x:f>IFERROR(VLOOKUP(W11,Catalogos!$G:$H,2,FALSE),"")</x:f>
      </x:c>
      <x:c r="Y11" t="str">
        <x:f>IF(OR(U11="",X11=""),"",U11*X11)</x:f>
      </x:c>
      <x:c r="Z11" t="str">
        <x:f>IF(Y11="","",IF(Y11&gt;=600,"I - Situación crítica. Suspender actividades hasta que el riesgo esté bajo control. Intervención urgente.",IF(Y11&gt;=150,"II - Corregir y adoptar medidas de control de inmediato.",IF(Y11&gt;=40,"III - Mejorar si es posible. Conviene justificar la intervención y su rentabilidad.","IV - Mantener controles existentes."))))</x:f>
      </x:c>
      <x:c r="AA11" t="str">
        <x:f>IF(Y11="","",IF(Y11&gt;=600,"No aceptable",IF(Y11&gt;=150,"No aceptable / Aceptable con control específico","Aceptable")))</x:f>
      </x:c>
      <x:c r="AB11" s="12" t="str"/>
      <x:c r="AC11" s="12" t="str"/>
      <x:c r="AD11" s="12" t="str"/>
      <x:c r="AE11" s="12" t="str"/>
      <x:c r="AF11" s="12" t="str"/>
      <x:c r="AG11" s="12" t="str"/>
      <x:c r="AH11" s="16" t="str"/>
      <x:c r="AI11" s="12" t="str"/>
    </x:row>
    <x:row r="12">
      <x:c r="A12" t="str"/>
      <x:c r="B12" t="str"/>
      <x:c r="C12" t="str"/>
      <x:c r="D12" s="12" t="str"/>
      <x:c r="E12" s="12" t="str"/>
      <x:c r="F12" s="12" t="str"/>
      <x:c r="G12" s="12" t="str"/>
      <x:c r="H12" s="12" t="str"/>
      <x:c r="I12" s="12" t="str"/>
      <x:c r="J12" s="12" t="str"/>
      <x:c r="K12" s="12" t="str"/>
      <x:c r="L12" s="12" t="str"/>
      <x:c r="M12" s="12" t="str"/>
      <x:c r="N12" s="12" t="str"/>
      <x:c r="O12" s="12" t="str"/>
      <x:c r="P12" t="str"/>
      <x:c r="Q12" t="str"/>
      <x:c r="R12" t="str">
        <x:f>IFERROR(VLOOKUP(Q12,Catalogos!$G:$H,2,FALSE),"")</x:f>
      </x:c>
      <x:c r="S12" t="str"/>
      <x:c r="T12" t="str">
        <x:f>IFERROR(VLOOKUP(S12,Catalogos!$I:$J,2,FALSE),"")</x:f>
      </x:c>
      <x:c r="U12" t="str">
        <x:f>IF(OR(R12="",T12=""),"",R12*T12)</x:f>
      </x:c>
      <x:c r="V12" t="str">
        <x:f>IF(U12="","",IF(U12&gt;=24,"MUY ALTO",IF(U12&gt;=10,"ALTO",IF(U12&gt;=6,"MEDIO","BAJO"))))</x:f>
      </x:c>
      <x:c r="W12" t="str"/>
      <x:c r="X12" t="str">
        <x:f>IFERROR(VLOOKUP(W12,Catalogos!$G:$H,2,FALSE),"")</x:f>
      </x:c>
      <x:c r="Y12" t="str">
        <x:f>IF(OR(U12="",X12=""),"",U12*X12)</x:f>
      </x:c>
      <x:c r="Z12" t="str">
        <x:f>IF(Y12="","",IF(Y12&gt;=600,"I - Situación crítica. Suspender actividades hasta que el riesgo esté bajo control. Intervención urgente.",IF(Y12&gt;=150,"II - Corregir y adoptar medidas de control de inmediato.",IF(Y12&gt;=40,"III - Mejorar si es posible. Conviene justificar la intervención y su rentabilidad.","IV - Mantener controles existentes."))))</x:f>
      </x:c>
      <x:c r="AA12" t="str">
        <x:f>IF(Y12="","",IF(Y12&gt;=600,"No aceptable",IF(Y12&gt;=150,"No aceptable / Aceptable con control específico","Aceptable")))</x:f>
      </x:c>
      <x:c r="AB12" s="12" t="str"/>
      <x:c r="AC12" s="12" t="str"/>
      <x:c r="AD12" s="12" t="str"/>
      <x:c r="AE12" s="12" t="str"/>
      <x:c r="AF12" s="12" t="str"/>
      <x:c r="AG12" s="12" t="str"/>
      <x:c r="AH12" s="16" t="str"/>
      <x:c r="AI12" s="12" t="str"/>
    </x:row>
    <x:row r="13">
      <x:c r="A13" t="str"/>
      <x:c r="B13" t="str"/>
      <x:c r="C13" t="str"/>
      <x:c r="D13" s="12" t="str"/>
      <x:c r="E13" s="12" t="str"/>
      <x:c r="F13" s="12" t="str"/>
      <x:c r="G13" s="12" t="str"/>
      <x:c r="H13" s="12" t="str"/>
      <x:c r="I13" s="12" t="str"/>
      <x:c r="J13" s="12" t="str"/>
      <x:c r="K13" s="12" t="str"/>
      <x:c r="L13" s="12" t="str"/>
      <x:c r="M13" s="12" t="str"/>
      <x:c r="N13" s="12" t="str"/>
      <x:c r="O13" s="12" t="str"/>
      <x:c r="P13" t="str"/>
      <x:c r="Q13" t="str"/>
      <x:c r="R13" t="str">
        <x:f>IFERROR(VLOOKUP(Q13,Catalogos!$G:$H,2,FALSE),"")</x:f>
      </x:c>
      <x:c r="S13" t="str"/>
      <x:c r="T13" t="str">
        <x:f>IFERROR(VLOOKUP(S13,Catalogos!$I:$J,2,FALSE),"")</x:f>
      </x:c>
      <x:c r="U13" t="str">
        <x:f>IF(OR(R13="",T13=""),"",R13*T13)</x:f>
      </x:c>
      <x:c r="V13" t="str">
        <x:f>IF(U13="","",IF(U13&gt;=24,"MUY ALTO",IF(U13&gt;=10,"ALTO",IF(U13&gt;=6,"MEDIO","BAJO"))))</x:f>
      </x:c>
      <x:c r="W13" t="str"/>
      <x:c r="X13" t="str">
        <x:f>IFERROR(VLOOKUP(W13,Catalogos!$G:$H,2,FALSE),"")</x:f>
      </x:c>
      <x:c r="Y13" t="str">
        <x:f>IF(OR(U13="",X13=""),"",U13*X13)</x:f>
      </x:c>
      <x:c r="Z13" t="str">
        <x:f>IF(Y13="","",IF(Y13&gt;=600,"I - Situación crítica. Suspender actividades hasta que el riesgo esté bajo control. Intervención urgente.",IF(Y13&gt;=150,"II - Corregir y adoptar medidas de control de inmediato.",IF(Y13&gt;=40,"III - Mejorar si es posible. Conviene justificar la intervención y su rentabilidad.","IV - Mantener controles existentes."))))</x:f>
      </x:c>
      <x:c r="AA13" t="str">
        <x:f>IF(Y13="","",IF(Y13&gt;=600,"No aceptable",IF(Y13&gt;=150,"No aceptable / Aceptable con control específico","Aceptable")))</x:f>
      </x:c>
      <x:c r="AB13" s="12" t="str"/>
      <x:c r="AC13" s="12" t="str"/>
      <x:c r="AD13" s="12" t="str"/>
      <x:c r="AE13" s="12" t="str"/>
      <x:c r="AF13" s="12" t="str"/>
      <x:c r="AG13" s="12" t="str"/>
      <x:c r="AH13" s="16" t="str"/>
      <x:c r="AI13" s="12" t="str"/>
    </x:row>
    <x:row r="14">
      <x:c r="A14" t="str"/>
      <x:c r="B14" t="str"/>
      <x:c r="C14" t="str"/>
      <x:c r="D14" s="12" t="str"/>
      <x:c r="E14" s="12" t="str"/>
      <x:c r="F14" s="12" t="str"/>
      <x:c r="G14" s="12" t="str"/>
      <x:c r="H14" s="12" t="str"/>
      <x:c r="I14" s="12" t="str"/>
      <x:c r="J14" s="12" t="str"/>
      <x:c r="K14" s="12" t="str"/>
      <x:c r="L14" s="12" t="str"/>
      <x:c r="M14" s="12" t="str"/>
      <x:c r="N14" s="12" t="str"/>
      <x:c r="O14" s="12" t="str"/>
      <x:c r="P14" t="str"/>
      <x:c r="Q14" t="str"/>
      <x:c r="R14" t="str">
        <x:f>IFERROR(VLOOKUP(Q14,Catalogos!$G:$H,2,FALSE),"")</x:f>
      </x:c>
      <x:c r="S14" t="str"/>
      <x:c r="T14" t="str">
        <x:f>IFERROR(VLOOKUP(S14,Catalogos!$I:$J,2,FALSE),"")</x:f>
      </x:c>
      <x:c r="U14" t="str">
        <x:f>IF(OR(R14="",T14=""),"",R14*T14)</x:f>
      </x:c>
      <x:c r="V14" t="str">
        <x:f>IF(U14="","",IF(U14&gt;=24,"MUY ALTO",IF(U14&gt;=10,"ALTO",IF(U14&gt;=6,"MEDIO","BAJO"))))</x:f>
      </x:c>
      <x:c r="W14" t="str"/>
      <x:c r="X14" t="str">
        <x:f>IFERROR(VLOOKUP(W14,Catalogos!$G:$H,2,FALSE),"")</x:f>
      </x:c>
      <x:c r="Y14" t="str">
        <x:f>IF(OR(U14="",X14=""),"",U14*X14)</x:f>
      </x:c>
      <x:c r="Z14" t="str">
        <x:f>IF(Y14="","",IF(Y14&gt;=600,"I - Situación crítica. Suspender actividades hasta que el riesgo esté bajo control. Intervención urgente.",IF(Y14&gt;=150,"II - Corregir y adoptar medidas de control de inmediato.",IF(Y14&gt;=40,"III - Mejorar si es posible. Conviene justificar la intervención y su rentabilidad.","IV - Mantener controles existentes."))))</x:f>
      </x:c>
      <x:c r="AA14" t="str">
        <x:f>IF(Y14="","",IF(Y14&gt;=600,"No aceptable",IF(Y14&gt;=150,"No aceptable / Aceptable con control específico","Aceptable")))</x:f>
      </x:c>
      <x:c r="AB14" s="12" t="str"/>
      <x:c r="AC14" s="12" t="str"/>
      <x:c r="AD14" s="12" t="str"/>
      <x:c r="AE14" s="12" t="str"/>
      <x:c r="AF14" s="12" t="str"/>
      <x:c r="AG14" s="12" t="str"/>
      <x:c r="AH14" s="16" t="str"/>
      <x:c r="AI14" s="12" t="str"/>
    </x:row>
    <x:row r="15">
      <x:c r="A15" t="str"/>
      <x:c r="B15" t="str"/>
      <x:c r="C15" t="str"/>
      <x:c r="D15" s="12" t="str"/>
      <x:c r="E15" s="12" t="str"/>
      <x:c r="F15" s="12" t="str"/>
      <x:c r="G15" s="12" t="str"/>
      <x:c r="H15" s="12" t="str"/>
      <x:c r="I15" s="12" t="str"/>
      <x:c r="J15" s="12" t="str"/>
      <x:c r="K15" s="12" t="str"/>
      <x:c r="L15" s="12" t="str"/>
      <x:c r="M15" s="12" t="str"/>
      <x:c r="N15" s="12" t="str"/>
      <x:c r="O15" s="12" t="str"/>
      <x:c r="P15" t="str"/>
      <x:c r="Q15" t="str"/>
      <x:c r="R15" t="str">
        <x:f>IFERROR(VLOOKUP(Q15,Catalogos!$G:$H,2,FALSE),"")</x:f>
      </x:c>
      <x:c r="S15" t="str"/>
      <x:c r="T15" t="str">
        <x:f>IFERROR(VLOOKUP(S15,Catalogos!$I:$J,2,FALSE),"")</x:f>
      </x:c>
      <x:c r="U15" t="str">
        <x:f>IF(OR(R15="",T15=""),"",R15*T15)</x:f>
      </x:c>
      <x:c r="V15" t="str">
        <x:f>IF(U15="","",IF(U15&gt;=24,"MUY ALTO",IF(U15&gt;=10,"ALTO",IF(U15&gt;=6,"MEDIO","BAJO"))))</x:f>
      </x:c>
      <x:c r="W15" t="str"/>
      <x:c r="X15" t="str">
        <x:f>IFERROR(VLOOKUP(W15,Catalogos!$G:$H,2,FALSE),"")</x:f>
      </x:c>
      <x:c r="Y15" t="str">
        <x:f>IF(OR(U15="",X15=""),"",U15*X15)</x:f>
      </x:c>
      <x:c r="Z15" t="str">
        <x:f>IF(Y15="","",IF(Y15&gt;=600,"I - Situación crítica. Suspender actividades hasta que el riesgo esté bajo control. Intervención urgente.",IF(Y15&gt;=150,"II - Corregir y adoptar medidas de control de inmediato.",IF(Y15&gt;=40,"III - Mejorar si es posible. Conviene justificar la intervención y su rentabilidad.","IV - Mantener controles existentes."))))</x:f>
      </x:c>
      <x:c r="AA15" t="str">
        <x:f>IF(Y15="","",IF(Y15&gt;=600,"No aceptable",IF(Y15&gt;=150,"No aceptable / Aceptable con control específico","Aceptable")))</x:f>
      </x:c>
      <x:c r="AB15" s="12" t="str"/>
      <x:c r="AC15" s="12" t="str"/>
      <x:c r="AD15" s="12" t="str"/>
      <x:c r="AE15" s="12" t="str"/>
      <x:c r="AF15" s="12" t="str"/>
      <x:c r="AG15" s="12" t="str"/>
      <x:c r="AH15" s="16" t="str"/>
      <x:c r="AI15" s="12" t="str"/>
    </x:row>
    <x:row r="16">
      <x:c r="A16" t="str"/>
      <x:c r="B16" t="str"/>
      <x:c r="C16" t="str"/>
      <x:c r="D16" s="12" t="str"/>
      <x:c r="E16" s="12" t="str"/>
      <x:c r="F16" s="12" t="str"/>
      <x:c r="G16" s="12" t="str"/>
      <x:c r="H16" s="12" t="str"/>
      <x:c r="I16" s="12" t="str"/>
      <x:c r="J16" s="12" t="str"/>
      <x:c r="K16" s="12" t="str"/>
      <x:c r="L16" s="12" t="str"/>
      <x:c r="M16" s="12" t="str"/>
      <x:c r="N16" s="12" t="str"/>
      <x:c r="O16" s="12" t="str"/>
      <x:c r="P16" t="str"/>
      <x:c r="Q16" t="str"/>
      <x:c r="R16" t="str">
        <x:f>IFERROR(VLOOKUP(Q16,Catalogos!$G:$H,2,FALSE),"")</x:f>
      </x:c>
      <x:c r="S16" t="str"/>
      <x:c r="T16" t="str">
        <x:f>IFERROR(VLOOKUP(S16,Catalogos!$I:$J,2,FALSE),"")</x:f>
      </x:c>
      <x:c r="U16" t="str">
        <x:f>IF(OR(R16="",T16=""),"",R16*T16)</x:f>
      </x:c>
      <x:c r="V16" t="str">
        <x:f>IF(U16="","",IF(U16&gt;=24,"MUY ALTO",IF(U16&gt;=10,"ALTO",IF(U16&gt;=6,"MEDIO","BAJO"))))</x:f>
      </x:c>
      <x:c r="W16" t="str"/>
      <x:c r="X16" t="str">
        <x:f>IFERROR(VLOOKUP(W16,Catalogos!$G:$H,2,FALSE),"")</x:f>
      </x:c>
      <x:c r="Y16" t="str">
        <x:f>IF(OR(U16="",X16=""),"",U16*X16)</x:f>
      </x:c>
      <x:c r="Z16" t="str">
        <x:f>IF(Y16="","",IF(Y16&gt;=600,"I - Situación crítica. Suspender actividades hasta que el riesgo esté bajo control. Intervención urgente.",IF(Y16&gt;=150,"II - Corregir y adoptar medidas de control de inmediato.",IF(Y16&gt;=40,"III - Mejorar si es posible. Conviene justificar la intervención y su rentabilidad.","IV - Mantener controles existentes."))))</x:f>
      </x:c>
      <x:c r="AA16" t="str">
        <x:f>IF(Y16="","",IF(Y16&gt;=600,"No aceptable",IF(Y16&gt;=150,"No aceptable / Aceptable con control específico","Aceptable")))</x:f>
      </x:c>
      <x:c r="AB16" s="12" t="str"/>
      <x:c r="AC16" s="12" t="str"/>
      <x:c r="AD16" s="12" t="str"/>
      <x:c r="AE16" s="12" t="str"/>
      <x:c r="AF16" s="12" t="str"/>
      <x:c r="AG16" s="12" t="str"/>
      <x:c r="AH16" s="16" t="str"/>
      <x:c r="AI16" s="12" t="str"/>
    </x:row>
    <x:row r="17">
      <x:c r="A17" t="str"/>
      <x:c r="B17" t="str"/>
      <x:c r="C17" t="str"/>
      <x:c r="D17" s="12" t="str"/>
      <x:c r="E17" s="12" t="str"/>
      <x:c r="F17" s="12" t="str"/>
      <x:c r="G17" s="12" t="str"/>
      <x:c r="H17" s="12" t="str"/>
      <x:c r="I17" s="12" t="str"/>
      <x:c r="J17" s="12" t="str"/>
      <x:c r="K17" s="12" t="str"/>
      <x:c r="L17" s="12" t="str"/>
      <x:c r="M17" s="12" t="str"/>
      <x:c r="N17" s="12" t="str"/>
      <x:c r="O17" s="12" t="str"/>
      <x:c r="P17" t="str"/>
      <x:c r="Q17" t="str"/>
      <x:c r="R17" t="str">
        <x:f>IFERROR(VLOOKUP(Q17,Catalogos!$G:$H,2,FALSE),"")</x:f>
      </x:c>
      <x:c r="S17" t="str"/>
      <x:c r="T17" t="str">
        <x:f>IFERROR(VLOOKUP(S17,Catalogos!$I:$J,2,FALSE),"")</x:f>
      </x:c>
      <x:c r="U17" t="str">
        <x:f>IF(OR(R17="",T17=""),"",R17*T17)</x:f>
      </x:c>
      <x:c r="V17" t="str">
        <x:f>IF(U17="","",IF(U17&gt;=24,"MUY ALTO",IF(U17&gt;=10,"ALTO",IF(U17&gt;=6,"MEDIO","BAJO"))))</x:f>
      </x:c>
      <x:c r="W17" t="str"/>
      <x:c r="X17" t="str">
        <x:f>IFERROR(VLOOKUP(W17,Catalogos!$G:$H,2,FALSE),"")</x:f>
      </x:c>
      <x:c r="Y17" t="str">
        <x:f>IF(OR(U17="",X17=""),"",U17*X17)</x:f>
      </x:c>
      <x:c r="Z17" t="str">
        <x:f>IF(Y17="","",IF(Y17&gt;=600,"I - Situación crítica. Suspender actividades hasta que el riesgo esté bajo control. Intervención urgente.",IF(Y17&gt;=150,"II - Corregir y adoptar medidas de control de inmediato.",IF(Y17&gt;=40,"III - Mejorar si es posible. Conviene justificar la intervención y su rentabilidad.","IV - Mantener controles existentes."))))</x:f>
      </x:c>
      <x:c r="AA17" t="str">
        <x:f>IF(Y17="","",IF(Y17&gt;=600,"No aceptable",IF(Y17&gt;=150,"No aceptable / Aceptable con control específico","Aceptable")))</x:f>
      </x:c>
      <x:c r="AB17" s="12" t="str"/>
      <x:c r="AC17" s="12" t="str"/>
      <x:c r="AD17" s="12" t="str"/>
      <x:c r="AE17" s="12" t="str"/>
      <x:c r="AF17" s="12" t="str"/>
      <x:c r="AG17" s="12" t="str"/>
      <x:c r="AH17" s="16" t="str"/>
      <x:c r="AI17" s="12" t="str"/>
    </x:row>
    <x:row r="18">
      <x:c r="A18" t="str"/>
      <x:c r="B18" t="str"/>
      <x:c r="C18" t="str"/>
      <x:c r="D18" s="12" t="str"/>
      <x:c r="E18" s="12" t="str"/>
      <x:c r="F18" s="12" t="str"/>
      <x:c r="G18" s="12" t="str"/>
      <x:c r="H18" s="12" t="str"/>
      <x:c r="I18" s="12" t="str"/>
      <x:c r="J18" s="12" t="str"/>
      <x:c r="K18" s="12" t="str"/>
      <x:c r="L18" s="12" t="str"/>
      <x:c r="M18" s="12" t="str"/>
      <x:c r="N18" s="12" t="str"/>
      <x:c r="O18" s="12" t="str"/>
      <x:c r="P18" t="str"/>
      <x:c r="Q18" t="str"/>
      <x:c r="R18" t="str">
        <x:f>IFERROR(VLOOKUP(Q18,Catalogos!$G:$H,2,FALSE),"")</x:f>
      </x:c>
      <x:c r="S18" t="str"/>
      <x:c r="T18" t="str">
        <x:f>IFERROR(VLOOKUP(S18,Catalogos!$I:$J,2,FALSE),"")</x:f>
      </x:c>
      <x:c r="U18" t="str">
        <x:f>IF(OR(R18="",T18=""),"",R18*T18)</x:f>
      </x:c>
      <x:c r="V18" t="str">
        <x:f>IF(U18="","",IF(U18&gt;=24,"MUY ALTO",IF(U18&gt;=10,"ALTO",IF(U18&gt;=6,"MEDIO","BAJO"))))</x:f>
      </x:c>
      <x:c r="W18" t="str"/>
      <x:c r="X18" t="str">
        <x:f>IFERROR(VLOOKUP(W18,Catalogos!$G:$H,2,FALSE),"")</x:f>
      </x:c>
      <x:c r="Y18" t="str">
        <x:f>IF(OR(U18="",X18=""),"",U18*X18)</x:f>
      </x:c>
      <x:c r="Z18" t="str">
        <x:f>IF(Y18="","",IF(Y18&gt;=600,"I - Situación crítica. Suspender actividades hasta que el riesgo esté bajo control. Intervención urgente.",IF(Y18&gt;=150,"II - Corregir y adoptar medidas de control de inmediato.",IF(Y18&gt;=40,"III - Mejorar si es posible. Conviene justificar la intervención y su rentabilidad.","IV - Mantener controles existentes."))))</x:f>
      </x:c>
      <x:c r="AA18" t="str">
        <x:f>IF(Y18="","",IF(Y18&gt;=600,"No aceptable",IF(Y18&gt;=150,"No aceptable / Aceptable con control específico","Aceptable")))</x:f>
      </x:c>
      <x:c r="AB18" s="12" t="str"/>
      <x:c r="AC18" s="12" t="str"/>
      <x:c r="AD18" s="12" t="str"/>
      <x:c r="AE18" s="12" t="str"/>
      <x:c r="AF18" s="12" t="str"/>
      <x:c r="AG18" s="12" t="str"/>
      <x:c r="AH18" s="16" t="str"/>
      <x:c r="AI18" s="12" t="str"/>
    </x:row>
    <x:row r="19">
      <x:c r="A19" t="str"/>
      <x:c r="B19" t="str"/>
      <x:c r="C19" t="str"/>
      <x:c r="D19" s="12" t="str"/>
      <x:c r="E19" s="12" t="str"/>
      <x:c r="F19" s="12" t="str"/>
      <x:c r="G19" s="12" t="str"/>
      <x:c r="H19" s="12" t="str"/>
      <x:c r="I19" s="12" t="str"/>
      <x:c r="J19" s="12" t="str"/>
      <x:c r="K19" s="12" t="str"/>
      <x:c r="L19" s="12" t="str"/>
      <x:c r="M19" s="12" t="str"/>
      <x:c r="N19" s="12" t="str"/>
      <x:c r="O19" s="12" t="str"/>
      <x:c r="P19" t="str"/>
      <x:c r="Q19" t="str"/>
      <x:c r="R19" t="str">
        <x:f>IFERROR(VLOOKUP(Q19,Catalogos!$G:$H,2,FALSE),"")</x:f>
      </x:c>
      <x:c r="S19" t="str"/>
      <x:c r="T19" t="str">
        <x:f>IFERROR(VLOOKUP(S19,Catalogos!$I:$J,2,FALSE),"")</x:f>
      </x:c>
      <x:c r="U19" t="str">
        <x:f>IF(OR(R19="",T19=""),"",R19*T19)</x:f>
      </x:c>
      <x:c r="V19" t="str">
        <x:f>IF(U19="","",IF(U19&gt;=24,"MUY ALTO",IF(U19&gt;=10,"ALTO",IF(U19&gt;=6,"MEDIO","BAJO"))))</x:f>
      </x:c>
      <x:c r="W19" t="str"/>
      <x:c r="X19" t="str">
        <x:f>IFERROR(VLOOKUP(W19,Catalogos!$G:$H,2,FALSE),"")</x:f>
      </x:c>
      <x:c r="Y19" t="str">
        <x:f>IF(OR(U19="",X19=""),"",U19*X19)</x:f>
      </x:c>
      <x:c r="Z19" t="str">
        <x:f>IF(Y19="","",IF(Y19&gt;=600,"I - Situación crítica. Suspender actividades hasta que el riesgo esté bajo control. Intervención urgente.",IF(Y19&gt;=150,"II - Corregir y adoptar medidas de control de inmediato.",IF(Y19&gt;=40,"III - Mejorar si es posible. Conviene justificar la intervención y su rentabilidad.","IV - Mantener controles existentes."))))</x:f>
      </x:c>
      <x:c r="AA19" t="str">
        <x:f>IF(Y19="","",IF(Y19&gt;=600,"No aceptable",IF(Y19&gt;=150,"No aceptable / Aceptable con control específico","Aceptable")))</x:f>
      </x:c>
      <x:c r="AB19" s="12" t="str"/>
      <x:c r="AC19" s="12" t="str"/>
      <x:c r="AD19" s="12" t="str"/>
      <x:c r="AE19" s="12" t="str"/>
      <x:c r="AF19" s="12" t="str"/>
      <x:c r="AG19" s="12" t="str"/>
      <x:c r="AH19" s="16" t="str"/>
      <x:c r="AI19" s="12" t="str"/>
    </x:row>
    <x:row r="20">
      <x:c r="A20" t="str"/>
      <x:c r="B20" t="str"/>
      <x:c r="C20" t="str"/>
      <x:c r="D20" s="12" t="str"/>
      <x:c r="E20" s="12" t="str"/>
      <x:c r="F20" s="12" t="str"/>
      <x:c r="G20" s="12" t="str"/>
      <x:c r="H20" s="12" t="str"/>
      <x:c r="I20" s="12" t="str"/>
      <x:c r="J20" s="12" t="str"/>
      <x:c r="K20" s="12" t="str"/>
      <x:c r="L20" s="12" t="str"/>
      <x:c r="M20" s="12" t="str"/>
      <x:c r="N20" s="12" t="str"/>
      <x:c r="O20" s="12" t="str"/>
      <x:c r="P20" t="str"/>
      <x:c r="Q20" t="str"/>
      <x:c r="R20" t="str">
        <x:f>IFERROR(VLOOKUP(Q20,Catalogos!$G:$H,2,FALSE),"")</x:f>
      </x:c>
      <x:c r="S20" t="str"/>
      <x:c r="T20" t="str">
        <x:f>IFERROR(VLOOKUP(S20,Catalogos!$I:$J,2,FALSE),"")</x:f>
      </x:c>
      <x:c r="U20" t="str">
        <x:f>IF(OR(R20="",T20=""),"",R20*T20)</x:f>
      </x:c>
      <x:c r="V20" t="str">
        <x:f>IF(U20="","",IF(U20&gt;=24,"MUY ALTO",IF(U20&gt;=10,"ALTO",IF(U20&gt;=6,"MEDIO","BAJO"))))</x:f>
      </x:c>
      <x:c r="W20" t="str"/>
      <x:c r="X20" t="str">
        <x:f>IFERROR(VLOOKUP(W20,Catalogos!$G:$H,2,FALSE),"")</x:f>
      </x:c>
      <x:c r="Y20" t="str">
        <x:f>IF(OR(U20="",X20=""),"",U20*X20)</x:f>
      </x:c>
      <x:c r="Z20" t="str">
        <x:f>IF(Y20="","",IF(Y20&gt;=600,"I - Situación crítica. Suspender actividades hasta que el riesgo esté bajo control. Intervención urgente.",IF(Y20&gt;=150,"II - Corregir y adoptar medidas de control de inmediato.",IF(Y20&gt;=40,"III - Mejorar si es posible. Conviene justificar la intervención y su rentabilidad.","IV - Mantener controles existentes."))))</x:f>
      </x:c>
      <x:c r="AA20" t="str">
        <x:f>IF(Y20="","",IF(Y20&gt;=600,"No aceptable",IF(Y20&gt;=150,"No aceptable / Aceptable con control específico","Aceptable")))</x:f>
      </x:c>
      <x:c r="AB20" s="12" t="str"/>
      <x:c r="AC20" s="12" t="str"/>
      <x:c r="AD20" s="12" t="str"/>
      <x:c r="AE20" s="12" t="str"/>
      <x:c r="AF20" s="12" t="str"/>
      <x:c r="AG20" s="12" t="str"/>
      <x:c r="AH20" s="16" t="str"/>
      <x:c r="AI20" s="12" t="str"/>
    </x:row>
    <x:row r="21">
      <x:c r="A21" t="str"/>
      <x:c r="B21" t="str"/>
      <x:c r="C21" t="str"/>
      <x:c r="D21" s="12" t="str"/>
      <x:c r="E21" s="12" t="str"/>
      <x:c r="F21" s="12" t="str"/>
      <x:c r="G21" s="12" t="str"/>
      <x:c r="H21" s="12" t="str"/>
      <x:c r="I21" s="12" t="str"/>
      <x:c r="J21" s="12" t="str"/>
      <x:c r="K21" s="12" t="str"/>
      <x:c r="L21" s="12" t="str"/>
      <x:c r="M21" s="12" t="str"/>
      <x:c r="N21" s="12" t="str"/>
      <x:c r="O21" s="12" t="str"/>
      <x:c r="P21" t="str"/>
      <x:c r="Q21" t="str"/>
      <x:c r="R21" t="str">
        <x:f>IFERROR(VLOOKUP(Q21,Catalogos!$G:$H,2,FALSE),"")</x:f>
      </x:c>
      <x:c r="S21" t="str"/>
      <x:c r="T21" t="str">
        <x:f>IFERROR(VLOOKUP(S21,Catalogos!$I:$J,2,FALSE),"")</x:f>
      </x:c>
      <x:c r="U21" t="str">
        <x:f>IF(OR(R21="",T21=""),"",R21*T21)</x:f>
      </x:c>
      <x:c r="V21" t="str">
        <x:f>IF(U21="","",IF(U21&gt;=24,"MUY ALTO",IF(U21&gt;=10,"ALTO",IF(U21&gt;=6,"MEDIO","BAJO"))))</x:f>
      </x:c>
      <x:c r="W21" t="str"/>
      <x:c r="X21" t="str">
        <x:f>IFERROR(VLOOKUP(W21,Catalogos!$G:$H,2,FALSE),"")</x:f>
      </x:c>
      <x:c r="Y21" t="str">
        <x:f>IF(OR(U21="",X21=""),"",U21*X21)</x:f>
      </x:c>
      <x:c r="Z21" t="str">
        <x:f>IF(Y21="","",IF(Y21&gt;=600,"I - Situación crítica. Suspender actividades hasta que el riesgo esté bajo control. Intervención urgente.",IF(Y21&gt;=150,"II - Corregir y adoptar medidas de control de inmediato.",IF(Y21&gt;=40,"III - Mejorar si es posible. Conviene justificar la intervención y su rentabilidad.","IV - Mantener controles existentes."))))</x:f>
      </x:c>
      <x:c r="AA21" t="str">
        <x:f>IF(Y21="","",IF(Y21&gt;=600,"No aceptable",IF(Y21&gt;=150,"No aceptable / Aceptable con control específico","Aceptable")))</x:f>
      </x:c>
      <x:c r="AB21" s="12" t="str"/>
      <x:c r="AC21" s="12" t="str"/>
      <x:c r="AD21" s="12" t="str"/>
      <x:c r="AE21" s="12" t="str"/>
      <x:c r="AF21" s="12" t="str"/>
      <x:c r="AG21" s="12" t="str"/>
      <x:c r="AH21" s="16" t="str"/>
      <x:c r="AI21" s="12" t="str"/>
    </x:row>
    <x:row r="22">
      <x:c r="A22" t="str"/>
      <x:c r="B22" t="str"/>
      <x:c r="C22" t="str"/>
      <x:c r="D22" s="12" t="str"/>
      <x:c r="E22" s="12" t="str"/>
      <x:c r="F22" s="12" t="str"/>
      <x:c r="G22" s="12" t="str"/>
      <x:c r="H22" s="12" t="str"/>
      <x:c r="I22" s="12" t="str"/>
      <x:c r="J22" s="12" t="str"/>
      <x:c r="K22" s="12" t="str"/>
      <x:c r="L22" s="12" t="str"/>
      <x:c r="M22" s="12" t="str"/>
      <x:c r="N22" s="12" t="str"/>
      <x:c r="O22" s="12" t="str"/>
      <x:c r="P22" t="str"/>
      <x:c r="Q22" t="str"/>
      <x:c r="R22" t="str">
        <x:f>IFERROR(VLOOKUP(Q22,Catalogos!$G:$H,2,FALSE),"")</x:f>
      </x:c>
      <x:c r="S22" t="str"/>
      <x:c r="T22" t="str">
        <x:f>IFERROR(VLOOKUP(S22,Catalogos!$I:$J,2,FALSE),"")</x:f>
      </x:c>
      <x:c r="U22" t="str">
        <x:f>IF(OR(R22="",T22=""),"",R22*T22)</x:f>
      </x:c>
      <x:c r="V22" t="str">
        <x:f>IF(U22="","",IF(U22&gt;=24,"MUY ALTO",IF(U22&gt;=10,"ALTO",IF(U22&gt;=6,"MEDIO","BAJO"))))</x:f>
      </x:c>
      <x:c r="W22" t="str"/>
      <x:c r="X22" t="str">
        <x:f>IFERROR(VLOOKUP(W22,Catalogos!$G:$H,2,FALSE),"")</x:f>
      </x:c>
      <x:c r="Y22" t="str">
        <x:f>IF(OR(U22="",X22=""),"",U22*X22)</x:f>
      </x:c>
      <x:c r="Z22" t="str">
        <x:f>IF(Y22="","",IF(Y22&gt;=600,"I - Situación crítica. Suspender actividades hasta que el riesgo esté bajo control. Intervención urgente.",IF(Y22&gt;=150,"II - Corregir y adoptar medidas de control de inmediato.",IF(Y22&gt;=40,"III - Mejorar si es posible. Conviene justificar la intervención y su rentabilidad.","IV - Mantener controles existentes."))))</x:f>
      </x:c>
      <x:c r="AA22" t="str">
        <x:f>IF(Y22="","",IF(Y22&gt;=600,"No aceptable",IF(Y22&gt;=150,"No aceptable / Aceptable con control específico","Aceptable")))</x:f>
      </x:c>
      <x:c r="AB22" s="12" t="str"/>
      <x:c r="AC22" s="12" t="str"/>
      <x:c r="AD22" s="12" t="str"/>
      <x:c r="AE22" s="12" t="str"/>
      <x:c r="AF22" s="12" t="str"/>
      <x:c r="AG22" s="12" t="str"/>
      <x:c r="AH22" s="16" t="str"/>
      <x:c r="AI22" s="12" t="str"/>
    </x:row>
    <x:row r="23">
      <x:c r="A23" t="str"/>
      <x:c r="B23" t="str"/>
      <x:c r="C23" t="str"/>
      <x:c r="D23" s="12" t="str"/>
      <x:c r="E23" s="12" t="str"/>
      <x:c r="F23" s="12" t="str"/>
      <x:c r="G23" s="12" t="str"/>
      <x:c r="H23" s="12" t="str"/>
      <x:c r="I23" s="12" t="str"/>
      <x:c r="J23" s="12" t="str"/>
      <x:c r="K23" s="12" t="str"/>
      <x:c r="L23" s="12" t="str"/>
      <x:c r="M23" s="12" t="str"/>
      <x:c r="N23" s="12" t="str"/>
      <x:c r="O23" s="12" t="str"/>
      <x:c r="P23" t="str"/>
      <x:c r="Q23" t="str"/>
      <x:c r="R23" t="str">
        <x:f>IFERROR(VLOOKUP(Q23,Catalogos!$G:$H,2,FALSE),"")</x:f>
      </x:c>
      <x:c r="S23" t="str"/>
      <x:c r="T23" t="str">
        <x:f>IFERROR(VLOOKUP(S23,Catalogos!$I:$J,2,FALSE),"")</x:f>
      </x:c>
      <x:c r="U23" t="str">
        <x:f>IF(OR(R23="",T23=""),"",R23*T23)</x:f>
      </x:c>
      <x:c r="V23" t="str">
        <x:f>IF(U23="","",IF(U23&gt;=24,"MUY ALTO",IF(U23&gt;=10,"ALTO",IF(U23&gt;=6,"MEDIO","BAJO"))))</x:f>
      </x:c>
      <x:c r="W23" t="str"/>
      <x:c r="X23" t="str">
        <x:f>IFERROR(VLOOKUP(W23,Catalogos!$G:$H,2,FALSE),"")</x:f>
      </x:c>
      <x:c r="Y23" t="str">
        <x:f>IF(OR(U23="",X23=""),"",U23*X23)</x:f>
      </x:c>
      <x:c r="Z23" t="str">
        <x:f>IF(Y23="","",IF(Y23&gt;=600,"I - Situación crítica. Suspender actividades hasta que el riesgo esté bajo control. Intervención urgente.",IF(Y23&gt;=150,"II - Corregir y adoptar medidas de control de inmediato.",IF(Y23&gt;=40,"III - Mejorar si es posible. Conviene justificar la intervención y su rentabilidad.","IV - Mantener controles existentes."))))</x:f>
      </x:c>
      <x:c r="AA23" t="str">
        <x:f>IF(Y23="","",IF(Y23&gt;=600,"No aceptable",IF(Y23&gt;=150,"No aceptable / Aceptable con control específico","Aceptable")))</x:f>
      </x:c>
      <x:c r="AB23" s="12" t="str"/>
      <x:c r="AC23" s="12" t="str"/>
      <x:c r="AD23" s="12" t="str"/>
      <x:c r="AE23" s="12" t="str"/>
      <x:c r="AF23" s="12" t="str"/>
      <x:c r="AG23" s="12" t="str"/>
      <x:c r="AH23" s="16" t="str"/>
      <x:c r="AI23" s="12" t="str"/>
    </x:row>
    <x:row r="24">
      <x:c r="A24" t="str"/>
      <x:c r="B24" t="str"/>
      <x:c r="C24" t="str"/>
      <x:c r="D24" s="12" t="str"/>
      <x:c r="E24" s="12" t="str"/>
      <x:c r="F24" s="12" t="str"/>
      <x:c r="G24" s="12" t="str"/>
      <x:c r="H24" s="12" t="str"/>
      <x:c r="I24" s="12" t="str"/>
      <x:c r="J24" s="12" t="str"/>
      <x:c r="K24" s="12" t="str"/>
      <x:c r="L24" s="12" t="str"/>
      <x:c r="M24" s="12" t="str"/>
      <x:c r="N24" s="12" t="str"/>
      <x:c r="O24" s="12" t="str"/>
      <x:c r="P24" t="str"/>
      <x:c r="Q24" t="str"/>
      <x:c r="R24" t="str">
        <x:f>IFERROR(VLOOKUP(Q24,Catalogos!$G:$H,2,FALSE),"")</x:f>
      </x:c>
      <x:c r="S24" t="str"/>
      <x:c r="T24" t="str">
        <x:f>IFERROR(VLOOKUP(S24,Catalogos!$I:$J,2,FALSE),"")</x:f>
      </x:c>
      <x:c r="U24" t="str">
        <x:f>IF(OR(R24="",T24=""),"",R24*T24)</x:f>
      </x:c>
      <x:c r="V24" t="str">
        <x:f>IF(U24="","",IF(U24&gt;=24,"MUY ALTO",IF(U24&gt;=10,"ALTO",IF(U24&gt;=6,"MEDIO","BAJO"))))</x:f>
      </x:c>
      <x:c r="W24" t="str"/>
      <x:c r="X24" t="str">
        <x:f>IFERROR(VLOOKUP(W24,Catalogos!$G:$H,2,FALSE),"")</x:f>
      </x:c>
      <x:c r="Y24" t="str">
        <x:f>IF(OR(U24="",X24=""),"",U24*X24)</x:f>
      </x:c>
      <x:c r="Z24" t="str">
        <x:f>IF(Y24="","",IF(Y24&gt;=600,"I - Situación crítica. Suspender actividades hasta que el riesgo esté bajo control. Intervención urgente.",IF(Y24&gt;=150,"II - Corregir y adoptar medidas de control de inmediato.",IF(Y24&gt;=40,"III - Mejorar si es posible. Conviene justificar la intervención y su rentabilidad.","IV - Mantener controles existentes."))))</x:f>
      </x:c>
      <x:c r="AA24" t="str">
        <x:f>IF(Y24="","",IF(Y24&gt;=600,"No aceptable",IF(Y24&gt;=150,"No aceptable / Aceptable con control específico","Aceptable")))</x:f>
      </x:c>
      <x:c r="AB24" s="12" t="str"/>
      <x:c r="AC24" s="12" t="str"/>
      <x:c r="AD24" s="12" t="str"/>
      <x:c r="AE24" s="12" t="str"/>
      <x:c r="AF24" s="12" t="str"/>
      <x:c r="AG24" s="12" t="str"/>
      <x:c r="AH24" s="16" t="str"/>
      <x:c r="AI24" s="12" t="str"/>
    </x:row>
    <x:row r="25">
      <x:c r="A25" t="str"/>
      <x:c r="B25" t="str"/>
      <x:c r="C25" t="str"/>
      <x:c r="D25" s="12" t="str"/>
      <x:c r="E25" s="12" t="str"/>
      <x:c r="F25" s="12" t="str"/>
      <x:c r="G25" s="12" t="str"/>
      <x:c r="H25" s="12" t="str"/>
      <x:c r="I25" s="12" t="str"/>
      <x:c r="J25" s="12" t="str"/>
      <x:c r="K25" s="12" t="str"/>
      <x:c r="L25" s="12" t="str"/>
      <x:c r="M25" s="12" t="str"/>
      <x:c r="N25" s="12" t="str"/>
      <x:c r="O25" s="12" t="str"/>
      <x:c r="P25" t="str"/>
      <x:c r="Q25" t="str"/>
      <x:c r="R25" t="str">
        <x:f>IFERROR(VLOOKUP(Q25,Catalogos!$G:$H,2,FALSE),"")</x:f>
      </x:c>
      <x:c r="S25" t="str"/>
      <x:c r="T25" t="str">
        <x:f>IFERROR(VLOOKUP(S25,Catalogos!$I:$J,2,FALSE),"")</x:f>
      </x:c>
      <x:c r="U25" t="str">
        <x:f>IF(OR(R25="",T25=""),"",R25*T25)</x:f>
      </x:c>
      <x:c r="V25" t="str">
        <x:f>IF(U25="","",IF(U25&gt;=24,"MUY ALTO",IF(U25&gt;=10,"ALTO",IF(U25&gt;=6,"MEDIO","BAJO"))))</x:f>
      </x:c>
      <x:c r="W25" t="str"/>
      <x:c r="X25" t="str">
        <x:f>IFERROR(VLOOKUP(W25,Catalogos!$G:$H,2,FALSE),"")</x:f>
      </x:c>
      <x:c r="Y25" t="str">
        <x:f>IF(OR(U25="",X25=""),"",U25*X25)</x:f>
      </x:c>
      <x:c r="Z25" t="str">
        <x:f>IF(Y25="","",IF(Y25&gt;=600,"I - Situación crítica. Suspender actividades hasta que el riesgo esté bajo control. Intervención urgente.",IF(Y25&gt;=150,"II - Corregir y adoptar medidas de control de inmediato.",IF(Y25&gt;=40,"III - Mejorar si es posible. Conviene justificar la intervención y su rentabilidad.","IV - Mantener controles existentes."))))</x:f>
      </x:c>
      <x:c r="AA25" t="str">
        <x:f>IF(Y25="","",IF(Y25&gt;=600,"No aceptable",IF(Y25&gt;=150,"No aceptable / Aceptable con control específico","Aceptable")))</x:f>
      </x:c>
      <x:c r="AB25" s="12" t="str"/>
      <x:c r="AC25" s="12" t="str"/>
      <x:c r="AD25" s="12" t="str"/>
      <x:c r="AE25" s="12" t="str"/>
      <x:c r="AF25" s="12" t="str"/>
      <x:c r="AG25" s="12" t="str"/>
      <x:c r="AH25" s="16" t="str"/>
      <x:c r="AI25" s="12" t="str"/>
    </x:row>
    <x:row r="26">
      <x:c r="A26" t="str"/>
      <x:c r="B26" t="str"/>
      <x:c r="C26" t="str"/>
      <x:c r="D26" s="12" t="str"/>
      <x:c r="E26" s="12" t="str"/>
      <x:c r="F26" s="12" t="str"/>
      <x:c r="G26" s="12" t="str"/>
      <x:c r="H26" s="12" t="str"/>
      <x:c r="I26" s="12" t="str"/>
      <x:c r="J26" s="12" t="str"/>
      <x:c r="K26" s="12" t="str"/>
      <x:c r="L26" s="12" t="str"/>
      <x:c r="M26" s="12" t="str"/>
      <x:c r="N26" s="12" t="str"/>
      <x:c r="O26" s="12" t="str"/>
      <x:c r="P26" t="str"/>
      <x:c r="Q26" t="str"/>
      <x:c r="R26" t="str">
        <x:f>IFERROR(VLOOKUP(Q26,Catalogos!$G:$H,2,FALSE),"")</x:f>
      </x:c>
      <x:c r="S26" t="str"/>
      <x:c r="T26" t="str">
        <x:f>IFERROR(VLOOKUP(S26,Catalogos!$I:$J,2,FALSE),"")</x:f>
      </x:c>
      <x:c r="U26" t="str">
        <x:f>IF(OR(R26="",T26=""),"",R26*T26)</x:f>
      </x:c>
      <x:c r="V26" t="str">
        <x:f>IF(U26="","",IF(U26&gt;=24,"MUY ALTO",IF(U26&gt;=10,"ALTO",IF(U26&gt;=6,"MEDIO","BAJO"))))</x:f>
      </x:c>
      <x:c r="W26" t="str"/>
      <x:c r="X26" t="str">
        <x:f>IFERROR(VLOOKUP(W26,Catalogos!$G:$H,2,FALSE),"")</x:f>
      </x:c>
      <x:c r="Y26" t="str">
        <x:f>IF(OR(U26="",X26=""),"",U26*X26)</x:f>
      </x:c>
      <x:c r="Z26" t="str">
        <x:f>IF(Y26="","",IF(Y26&gt;=600,"I - Situación crítica. Suspender actividades hasta que el riesgo esté bajo control. Intervención urgente.",IF(Y26&gt;=150,"II - Corregir y adoptar medidas de control de inmediato.",IF(Y26&gt;=40,"III - Mejorar si es posible. Conviene justificar la intervención y su rentabilidad.","IV - Mantener controles existentes."))))</x:f>
      </x:c>
      <x:c r="AA26" t="str">
        <x:f>IF(Y26="","",IF(Y26&gt;=600,"No aceptable",IF(Y26&gt;=150,"No aceptable / Aceptable con control específico","Aceptable")))</x:f>
      </x:c>
      <x:c r="AB26" s="12" t="str"/>
      <x:c r="AC26" s="12" t="str"/>
      <x:c r="AD26" s="12" t="str"/>
      <x:c r="AE26" s="12" t="str"/>
      <x:c r="AF26" s="12" t="str"/>
      <x:c r="AG26" s="12" t="str"/>
      <x:c r="AH26" s="16" t="str"/>
      <x:c r="AI26" s="12" t="str"/>
    </x:row>
    <x:row r="27">
      <x:c r="A27" t="str"/>
      <x:c r="B27" t="str"/>
      <x:c r="C27" t="str"/>
      <x:c r="D27" s="12" t="str"/>
      <x:c r="E27" s="12" t="str"/>
      <x:c r="F27" s="12" t="str"/>
      <x:c r="G27" s="12" t="str"/>
      <x:c r="H27" s="12" t="str"/>
      <x:c r="I27" s="12" t="str"/>
      <x:c r="J27" s="12" t="str"/>
      <x:c r="K27" s="12" t="str"/>
      <x:c r="L27" s="12" t="str"/>
      <x:c r="M27" s="12" t="str"/>
      <x:c r="N27" s="12" t="str"/>
      <x:c r="O27" s="12" t="str"/>
      <x:c r="P27" t="str"/>
      <x:c r="Q27" t="str"/>
      <x:c r="R27" t="str">
        <x:f>IFERROR(VLOOKUP(Q27,Catalogos!$G:$H,2,FALSE),"")</x:f>
      </x:c>
      <x:c r="S27" t="str"/>
      <x:c r="T27" t="str">
        <x:f>IFERROR(VLOOKUP(S27,Catalogos!$I:$J,2,FALSE),"")</x:f>
      </x:c>
      <x:c r="U27" t="str">
        <x:f>IF(OR(R27="",T27=""),"",R27*T27)</x:f>
      </x:c>
      <x:c r="V27" t="str">
        <x:f>IF(U27="","",IF(U27&gt;=24,"MUY ALTO",IF(U27&gt;=10,"ALTO",IF(U27&gt;=6,"MEDIO","BAJO"))))</x:f>
      </x:c>
      <x:c r="W27" t="str"/>
      <x:c r="X27" t="str">
        <x:f>IFERROR(VLOOKUP(W27,Catalogos!$G:$H,2,FALSE),"")</x:f>
      </x:c>
      <x:c r="Y27" t="str">
        <x:f>IF(OR(U27="",X27=""),"",U27*X27)</x:f>
      </x:c>
      <x:c r="Z27" t="str">
        <x:f>IF(Y27="","",IF(Y27&gt;=600,"I - Situación crítica. Suspender actividades hasta que el riesgo esté bajo control. Intervención urgente.",IF(Y27&gt;=150,"II - Corregir y adoptar medidas de control de inmediato.",IF(Y27&gt;=40,"III - Mejorar si es posible. Conviene justificar la intervención y su rentabilidad.","IV - Mantener controles existentes."))))</x:f>
      </x:c>
      <x:c r="AA27" t="str">
        <x:f>IF(Y27="","",IF(Y27&gt;=600,"No aceptable",IF(Y27&gt;=150,"No aceptable / Aceptable con control específico","Aceptable")))</x:f>
      </x:c>
      <x:c r="AB27" s="12" t="str"/>
      <x:c r="AC27" s="12" t="str"/>
      <x:c r="AD27" s="12" t="str"/>
      <x:c r="AE27" s="12" t="str"/>
      <x:c r="AF27" s="12" t="str"/>
      <x:c r="AG27" s="12" t="str"/>
      <x:c r="AH27" s="16" t="str"/>
      <x:c r="AI27" s="12" t="str"/>
    </x:row>
    <x:row r="28">
      <x:c r="A28" t="str"/>
      <x:c r="B28" t="str"/>
      <x:c r="C28" t="str"/>
      <x:c r="D28" s="12" t="str"/>
      <x:c r="E28" s="12" t="str"/>
      <x:c r="F28" s="12" t="str"/>
      <x:c r="G28" s="12" t="str"/>
      <x:c r="H28" s="12" t="str"/>
      <x:c r="I28" s="12" t="str"/>
      <x:c r="J28" s="12" t="str"/>
      <x:c r="K28" s="12" t="str"/>
      <x:c r="L28" s="12" t="str"/>
      <x:c r="M28" s="12" t="str"/>
      <x:c r="N28" s="12" t="str"/>
      <x:c r="O28" s="12" t="str"/>
      <x:c r="P28" t="str"/>
      <x:c r="Q28" t="str"/>
      <x:c r="R28" t="str">
        <x:f>IFERROR(VLOOKUP(Q28,Catalogos!$G:$H,2,FALSE),"")</x:f>
      </x:c>
      <x:c r="S28" t="str"/>
      <x:c r="T28" t="str">
        <x:f>IFERROR(VLOOKUP(S28,Catalogos!$I:$J,2,FALSE),"")</x:f>
      </x:c>
      <x:c r="U28" t="str">
        <x:f>IF(OR(R28="",T28=""),"",R28*T28)</x:f>
      </x:c>
      <x:c r="V28" t="str">
        <x:f>IF(U28="","",IF(U28&gt;=24,"MUY ALTO",IF(U28&gt;=10,"ALTO",IF(U28&gt;=6,"MEDIO","BAJO"))))</x:f>
      </x:c>
      <x:c r="W28" t="str"/>
      <x:c r="X28" t="str">
        <x:f>IFERROR(VLOOKUP(W28,Catalogos!$G:$H,2,FALSE),"")</x:f>
      </x:c>
      <x:c r="Y28" t="str">
        <x:f>IF(OR(U28="",X28=""),"",U28*X28)</x:f>
      </x:c>
      <x:c r="Z28" t="str">
        <x:f>IF(Y28="","",IF(Y28&gt;=600,"I - Situación crítica. Suspender actividades hasta que el riesgo esté bajo control. Intervención urgente.",IF(Y28&gt;=150,"II - Corregir y adoptar medidas de control de inmediato.",IF(Y28&gt;=40,"III - Mejorar si es posible. Conviene justificar la intervención y su rentabilidad.","IV - Mantener controles existentes."))))</x:f>
      </x:c>
      <x:c r="AA28" t="str">
        <x:f>IF(Y28="","",IF(Y28&gt;=600,"No aceptable",IF(Y28&gt;=150,"No aceptable / Aceptable con control específico","Aceptable")))</x:f>
      </x:c>
      <x:c r="AB28" s="12" t="str"/>
      <x:c r="AC28" s="12" t="str"/>
      <x:c r="AD28" s="12" t="str"/>
      <x:c r="AE28" s="12" t="str"/>
      <x:c r="AF28" s="12" t="str"/>
      <x:c r="AG28" s="12" t="str"/>
      <x:c r="AH28" s="16" t="str"/>
      <x:c r="AI28" s="12" t="str"/>
    </x:row>
    <x:row r="29">
      <x:c r="A29" t="str"/>
      <x:c r="B29" t="str"/>
      <x:c r="C29" t="str"/>
      <x:c r="D29" s="12" t="str"/>
      <x:c r="E29" s="12" t="str"/>
      <x:c r="F29" s="12" t="str"/>
      <x:c r="G29" s="12" t="str"/>
      <x:c r="H29" s="12" t="str"/>
      <x:c r="I29" s="12" t="str"/>
      <x:c r="J29" s="12" t="str"/>
      <x:c r="K29" s="12" t="str"/>
      <x:c r="L29" s="12" t="str"/>
      <x:c r="M29" s="12" t="str"/>
      <x:c r="N29" s="12" t="str"/>
      <x:c r="O29" s="12" t="str"/>
      <x:c r="P29" t="str"/>
      <x:c r="Q29" t="str"/>
      <x:c r="R29" t="str">
        <x:f>IFERROR(VLOOKUP(Q29,Catalogos!$G:$H,2,FALSE),"")</x:f>
      </x:c>
      <x:c r="S29" t="str"/>
      <x:c r="T29" t="str">
        <x:f>IFERROR(VLOOKUP(S29,Catalogos!$I:$J,2,FALSE),"")</x:f>
      </x:c>
      <x:c r="U29" t="str">
        <x:f>IF(OR(R29="",T29=""),"",R29*T29)</x:f>
      </x:c>
      <x:c r="V29" t="str">
        <x:f>IF(U29="","",IF(U29&gt;=24,"MUY ALTO",IF(U29&gt;=10,"ALTO",IF(U29&gt;=6,"MEDIO","BAJO"))))</x:f>
      </x:c>
      <x:c r="W29" t="str"/>
      <x:c r="X29" t="str">
        <x:f>IFERROR(VLOOKUP(W29,Catalogos!$G:$H,2,FALSE),"")</x:f>
      </x:c>
      <x:c r="Y29" t="str">
        <x:f>IF(OR(U29="",X29=""),"",U29*X29)</x:f>
      </x:c>
      <x:c r="Z29" t="str">
        <x:f>IF(Y29="","",IF(Y29&gt;=600,"I - Situación crítica. Suspender actividades hasta que el riesgo esté bajo control. Intervención urgente.",IF(Y29&gt;=150,"II - Corregir y adoptar medidas de control de inmediato.",IF(Y29&gt;=40,"III - Mejorar si es posible. Conviene justificar la intervención y su rentabilidad.","IV - Mantener controles existentes."))))</x:f>
      </x:c>
      <x:c r="AA29" t="str">
        <x:f>IF(Y29="","",IF(Y29&gt;=600,"No aceptable",IF(Y29&gt;=150,"No aceptable / Aceptable con control específico","Aceptable")))</x:f>
      </x:c>
      <x:c r="AB29" s="12" t="str"/>
      <x:c r="AC29" s="12" t="str"/>
      <x:c r="AD29" s="12" t="str"/>
      <x:c r="AE29" s="12" t="str"/>
      <x:c r="AF29" s="12" t="str"/>
      <x:c r="AG29" s="12" t="str"/>
      <x:c r="AH29" s="16" t="str"/>
      <x:c r="AI29" s="12" t="str"/>
    </x:row>
    <x:row r="30">
      <x:c r="A30" t="str"/>
      <x:c r="B30" t="str"/>
      <x:c r="C30" t="str"/>
      <x:c r="D30" s="12" t="str"/>
      <x:c r="E30" s="12" t="str"/>
      <x:c r="F30" s="12" t="str"/>
      <x:c r="G30" s="12" t="str"/>
      <x:c r="H30" s="12" t="str"/>
      <x:c r="I30" s="12" t="str"/>
      <x:c r="J30" s="12" t="str"/>
      <x:c r="K30" s="12" t="str"/>
      <x:c r="L30" s="12" t="str"/>
      <x:c r="M30" s="12" t="str"/>
      <x:c r="N30" s="12" t="str"/>
      <x:c r="O30" s="12" t="str"/>
      <x:c r="P30" t="str"/>
      <x:c r="Q30" t="str"/>
      <x:c r="R30" t="str">
        <x:f>IFERROR(VLOOKUP(Q30,Catalogos!$G:$H,2,FALSE),"")</x:f>
      </x:c>
      <x:c r="S30" t="str"/>
      <x:c r="T30" t="str">
        <x:f>IFERROR(VLOOKUP(S30,Catalogos!$I:$J,2,FALSE),"")</x:f>
      </x:c>
      <x:c r="U30" t="str">
        <x:f>IF(OR(R30="",T30=""),"",R30*T30)</x:f>
      </x:c>
      <x:c r="V30" t="str">
        <x:f>IF(U30="","",IF(U30&gt;=24,"MUY ALTO",IF(U30&gt;=10,"ALTO",IF(U30&gt;=6,"MEDIO","BAJO"))))</x:f>
      </x:c>
      <x:c r="W30" t="str"/>
      <x:c r="X30" t="str">
        <x:f>IFERROR(VLOOKUP(W30,Catalogos!$G:$H,2,FALSE),"")</x:f>
      </x:c>
      <x:c r="Y30" t="str">
        <x:f>IF(OR(U30="",X30=""),"",U30*X30)</x:f>
      </x:c>
      <x:c r="Z30" t="str">
        <x:f>IF(Y30="","",IF(Y30&gt;=600,"I - Situación crítica. Suspender actividades hasta que el riesgo esté bajo control. Intervención urgente.",IF(Y30&gt;=150,"II - Corregir y adoptar medidas de control de inmediato.",IF(Y30&gt;=40,"III - Mejorar si es posible. Conviene justificar la intervención y su rentabilidad.","IV - Mantener controles existentes."))))</x:f>
      </x:c>
      <x:c r="AA30" t="str">
        <x:f>IF(Y30="","",IF(Y30&gt;=600,"No aceptable",IF(Y30&gt;=150,"No aceptable / Aceptable con control específico","Aceptable")))</x:f>
      </x:c>
      <x:c r="AB30" s="12" t="str"/>
      <x:c r="AC30" s="12" t="str"/>
      <x:c r="AD30" s="12" t="str"/>
      <x:c r="AE30" s="12" t="str"/>
      <x:c r="AF30" s="12" t="str"/>
      <x:c r="AG30" s="12" t="str"/>
      <x:c r="AH30" s="16" t="str"/>
      <x:c r="AI30" s="12" t="str"/>
    </x:row>
    <x:row r="31">
      <x:c r="A31" t="str"/>
      <x:c r="B31" t="str"/>
      <x:c r="C31" t="str"/>
      <x:c r="D31" s="12" t="str"/>
      <x:c r="E31" s="12" t="str"/>
      <x:c r="F31" s="12" t="str"/>
      <x:c r="G31" s="12" t="str"/>
      <x:c r="H31" s="12" t="str"/>
      <x:c r="I31" s="12" t="str"/>
      <x:c r="J31" s="12" t="str"/>
      <x:c r="K31" s="12" t="str"/>
      <x:c r="L31" s="12" t="str"/>
      <x:c r="M31" s="12" t="str"/>
      <x:c r="N31" s="12" t="str"/>
      <x:c r="O31" s="12" t="str"/>
      <x:c r="P31" t="str"/>
      <x:c r="Q31" t="str"/>
      <x:c r="R31" t="str">
        <x:f>IFERROR(VLOOKUP(Q31,Catalogos!$G:$H,2,FALSE),"")</x:f>
      </x:c>
      <x:c r="S31" t="str"/>
      <x:c r="T31" t="str">
        <x:f>IFERROR(VLOOKUP(S31,Catalogos!$I:$J,2,FALSE),"")</x:f>
      </x:c>
      <x:c r="U31" t="str">
        <x:f>IF(OR(R31="",T31=""),"",R31*T31)</x:f>
      </x:c>
      <x:c r="V31" t="str">
        <x:f>IF(U31="","",IF(U31&gt;=24,"MUY ALTO",IF(U31&gt;=10,"ALTO",IF(U31&gt;=6,"MEDIO","BAJO"))))</x:f>
      </x:c>
      <x:c r="W31" t="str"/>
      <x:c r="X31" t="str">
        <x:f>IFERROR(VLOOKUP(W31,Catalogos!$G:$H,2,FALSE),"")</x:f>
      </x:c>
      <x:c r="Y31" t="str">
        <x:f>IF(OR(U31="",X31=""),"",U31*X31)</x:f>
      </x:c>
      <x:c r="Z31" t="str">
        <x:f>IF(Y31="","",IF(Y31&gt;=600,"I - Situación crítica. Suspender actividades hasta que el riesgo esté bajo control. Intervención urgente.",IF(Y31&gt;=150,"II - Corregir y adoptar medidas de control de inmediato.",IF(Y31&gt;=40,"III - Mejorar si es posible. Conviene justificar la intervención y su rentabilidad.","IV - Mantener controles existentes."))))</x:f>
      </x:c>
      <x:c r="AA31" t="str">
        <x:f>IF(Y31="","",IF(Y31&gt;=600,"No aceptable",IF(Y31&gt;=150,"No aceptable / Aceptable con control específico","Aceptable")))</x:f>
      </x:c>
      <x:c r="AB31" s="12" t="str"/>
      <x:c r="AC31" s="12" t="str"/>
      <x:c r="AD31" s="12" t="str"/>
      <x:c r="AE31" s="12" t="str"/>
      <x:c r="AF31" s="12" t="str"/>
      <x:c r="AG31" s="12" t="str"/>
      <x:c r="AH31" s="16" t="str"/>
      <x:c r="AI31" s="12" t="str"/>
    </x:row>
    <x:row r="32">
      <x:c r="A32" t="str"/>
      <x:c r="B32" t="str"/>
      <x:c r="C32" t="str"/>
      <x:c r="D32" s="12" t="str"/>
      <x:c r="E32" s="12" t="str"/>
      <x:c r="F32" s="12" t="str"/>
      <x:c r="G32" s="12" t="str"/>
      <x:c r="H32" s="12" t="str"/>
      <x:c r="I32" s="12" t="str"/>
      <x:c r="J32" s="12" t="str"/>
      <x:c r="K32" s="12" t="str"/>
      <x:c r="L32" s="12" t="str"/>
      <x:c r="M32" s="12" t="str"/>
      <x:c r="N32" s="12" t="str"/>
      <x:c r="O32" s="12" t="str"/>
      <x:c r="P32" t="str"/>
      <x:c r="Q32" t="str"/>
      <x:c r="R32" t="str">
        <x:f>IFERROR(VLOOKUP(Q32,Catalogos!$G:$H,2,FALSE),"")</x:f>
      </x:c>
      <x:c r="S32" t="str"/>
      <x:c r="T32" t="str">
        <x:f>IFERROR(VLOOKUP(S32,Catalogos!$I:$J,2,FALSE),"")</x:f>
      </x:c>
      <x:c r="U32" t="str">
        <x:f>IF(OR(R32="",T32=""),"",R32*T32)</x:f>
      </x:c>
      <x:c r="V32" t="str">
        <x:f>IF(U32="","",IF(U32&gt;=24,"MUY ALTO",IF(U32&gt;=10,"ALTO",IF(U32&gt;=6,"MEDIO","BAJO"))))</x:f>
      </x:c>
      <x:c r="W32" t="str"/>
      <x:c r="X32" t="str">
        <x:f>IFERROR(VLOOKUP(W32,Catalogos!$G:$H,2,FALSE),"")</x:f>
      </x:c>
      <x:c r="Y32" t="str">
        <x:f>IF(OR(U32="",X32=""),"",U32*X32)</x:f>
      </x:c>
      <x:c r="Z32" t="str">
        <x:f>IF(Y32="","",IF(Y32&gt;=600,"I - Situación crítica. Suspender actividades hasta que el riesgo esté bajo control. Intervención urgente.",IF(Y32&gt;=150,"II - Corregir y adoptar medidas de control de inmediato.",IF(Y32&gt;=40,"III - Mejorar si es posible. Conviene justificar la intervención y su rentabilidad.","IV - Mantener controles existentes."))))</x:f>
      </x:c>
      <x:c r="AA32" t="str">
        <x:f>IF(Y32="","",IF(Y32&gt;=600,"No aceptable",IF(Y32&gt;=150,"No aceptable / Aceptable con control específico","Aceptable")))</x:f>
      </x:c>
      <x:c r="AB32" s="12" t="str"/>
      <x:c r="AC32" s="12" t="str"/>
      <x:c r="AD32" s="12" t="str"/>
      <x:c r="AE32" s="12" t="str"/>
      <x:c r="AF32" s="12" t="str"/>
      <x:c r="AG32" s="12" t="str"/>
      <x:c r="AH32" s="16" t="str"/>
      <x:c r="AI32" s="12" t="str"/>
    </x:row>
    <x:row r="33">
      <x:c r="A33" t="str"/>
      <x:c r="B33" t="str"/>
      <x:c r="C33" t="str"/>
      <x:c r="D33" s="12" t="str"/>
      <x:c r="E33" s="12" t="str"/>
      <x:c r="F33" s="12" t="str"/>
      <x:c r="G33" s="12" t="str"/>
      <x:c r="H33" s="12" t="str"/>
      <x:c r="I33" s="12" t="str"/>
      <x:c r="J33" s="12" t="str"/>
      <x:c r="K33" s="12" t="str"/>
      <x:c r="L33" s="12" t="str"/>
      <x:c r="M33" s="12" t="str"/>
      <x:c r="N33" s="12" t="str"/>
      <x:c r="O33" s="12" t="str"/>
      <x:c r="P33" t="str"/>
      <x:c r="Q33" t="str"/>
      <x:c r="R33" t="str">
        <x:f>IFERROR(VLOOKUP(Q33,Catalogos!$G:$H,2,FALSE),"")</x:f>
      </x:c>
      <x:c r="S33" t="str"/>
      <x:c r="T33" t="str">
        <x:f>IFERROR(VLOOKUP(S33,Catalogos!$I:$J,2,FALSE),"")</x:f>
      </x:c>
      <x:c r="U33" t="str">
        <x:f>IF(OR(R33="",T33=""),"",R33*T33)</x:f>
      </x:c>
      <x:c r="V33" t="str">
        <x:f>IF(U33="","",IF(U33&gt;=24,"MUY ALTO",IF(U33&gt;=10,"ALTO",IF(U33&gt;=6,"MEDIO","BAJO"))))</x:f>
      </x:c>
      <x:c r="W33" t="str"/>
      <x:c r="X33" t="str">
        <x:f>IFERROR(VLOOKUP(W33,Catalogos!$G:$H,2,FALSE),"")</x:f>
      </x:c>
      <x:c r="Y33" t="str">
        <x:f>IF(OR(U33="",X33=""),"",U33*X33)</x:f>
      </x:c>
      <x:c r="Z33" t="str">
        <x:f>IF(Y33="","",IF(Y33&gt;=600,"I - Situación crítica. Suspender actividades hasta que el riesgo esté bajo control. Intervención urgente.",IF(Y33&gt;=150,"II - Corregir y adoptar medidas de control de inmediato.",IF(Y33&gt;=40,"III - Mejorar si es posible. Conviene justificar la intervención y su rentabilidad.","IV - Mantener controles existentes."))))</x:f>
      </x:c>
      <x:c r="AA33" t="str">
        <x:f>IF(Y33="","",IF(Y33&gt;=600,"No aceptable",IF(Y33&gt;=150,"No aceptable / Aceptable con control específico","Aceptable")))</x:f>
      </x:c>
      <x:c r="AB33" s="12" t="str"/>
      <x:c r="AC33" s="12" t="str"/>
      <x:c r="AD33" s="12" t="str"/>
      <x:c r="AE33" s="12" t="str"/>
      <x:c r="AF33" s="12" t="str"/>
      <x:c r="AG33" s="12" t="str"/>
      <x:c r="AH33" s="16" t="str"/>
      <x:c r="AI33" s="12" t="str"/>
    </x:row>
    <x:row r="34">
      <x:c r="A34" t="str"/>
      <x:c r="B34" t="str"/>
      <x:c r="C34" t="str"/>
      <x:c r="D34" s="12" t="str"/>
      <x:c r="E34" s="12" t="str"/>
      <x:c r="F34" s="12" t="str"/>
      <x:c r="G34" s="12" t="str"/>
      <x:c r="H34" s="12" t="str"/>
      <x:c r="I34" s="12" t="str"/>
      <x:c r="J34" s="12" t="str"/>
      <x:c r="K34" s="12" t="str"/>
      <x:c r="L34" s="12" t="str"/>
      <x:c r="M34" s="12" t="str"/>
      <x:c r="N34" s="12" t="str"/>
      <x:c r="O34" s="12" t="str"/>
      <x:c r="P34" t="str"/>
      <x:c r="Q34" t="str"/>
      <x:c r="R34" t="str">
        <x:f>IFERROR(VLOOKUP(Q34,Catalogos!$G:$H,2,FALSE),"")</x:f>
      </x:c>
      <x:c r="S34" t="str"/>
      <x:c r="T34" t="str">
        <x:f>IFERROR(VLOOKUP(S34,Catalogos!$I:$J,2,FALSE),"")</x:f>
      </x:c>
      <x:c r="U34" t="str">
        <x:f>IF(OR(R34="",T34=""),"",R34*T34)</x:f>
      </x:c>
      <x:c r="V34" t="str">
        <x:f>IF(U34="","",IF(U34&gt;=24,"MUY ALTO",IF(U34&gt;=10,"ALTO",IF(U34&gt;=6,"MEDIO","BAJO"))))</x:f>
      </x:c>
      <x:c r="W34" t="str"/>
      <x:c r="X34" t="str">
        <x:f>IFERROR(VLOOKUP(W34,Catalogos!$G:$H,2,FALSE),"")</x:f>
      </x:c>
      <x:c r="Y34" t="str">
        <x:f>IF(OR(U34="",X34=""),"",U34*X34)</x:f>
      </x:c>
      <x:c r="Z34" t="str">
        <x:f>IF(Y34="","",IF(Y34&gt;=600,"I - Situación crítica. Suspender actividades hasta que el riesgo esté bajo control. Intervención urgente.",IF(Y34&gt;=150,"II - Corregir y adoptar medidas de control de inmediato.",IF(Y34&gt;=40,"III - Mejorar si es posible. Conviene justificar la intervención y su rentabilidad.","IV - Mantener controles existentes."))))</x:f>
      </x:c>
      <x:c r="AA34" t="str">
        <x:f>IF(Y34="","",IF(Y34&gt;=600,"No aceptable",IF(Y34&gt;=150,"No aceptable / Aceptable con control específico","Aceptable")))</x:f>
      </x:c>
      <x:c r="AB34" s="12" t="str"/>
      <x:c r="AC34" s="12" t="str"/>
      <x:c r="AD34" s="12" t="str"/>
      <x:c r="AE34" s="12" t="str"/>
      <x:c r="AF34" s="12" t="str"/>
      <x:c r="AG34" s="12" t="str"/>
      <x:c r="AH34" s="16" t="str"/>
      <x:c r="AI34" s="12" t="str"/>
    </x:row>
    <x:row r="35">
      <x:c r="A35" t="str"/>
      <x:c r="B35" t="str"/>
      <x:c r="C35" t="str"/>
      <x:c r="D35" s="12" t="str"/>
      <x:c r="E35" s="12" t="str"/>
      <x:c r="F35" s="12" t="str"/>
      <x:c r="G35" s="12" t="str"/>
      <x:c r="H35" s="12" t="str"/>
      <x:c r="I35" s="12" t="str"/>
      <x:c r="J35" s="12" t="str"/>
      <x:c r="K35" s="12" t="str"/>
      <x:c r="L35" s="12" t="str"/>
      <x:c r="M35" s="12" t="str"/>
      <x:c r="N35" s="12" t="str"/>
      <x:c r="O35" s="12" t="str"/>
      <x:c r="P35" t="str"/>
      <x:c r="Q35" t="str"/>
      <x:c r="R35" t="str">
        <x:f>IFERROR(VLOOKUP(Q35,Catalogos!$G:$H,2,FALSE),"")</x:f>
      </x:c>
      <x:c r="S35" t="str"/>
      <x:c r="T35" t="str">
        <x:f>IFERROR(VLOOKUP(S35,Catalogos!$I:$J,2,FALSE),"")</x:f>
      </x:c>
      <x:c r="U35" t="str">
        <x:f>IF(OR(R35="",T35=""),"",R35*T35)</x:f>
      </x:c>
      <x:c r="V35" t="str">
        <x:f>IF(U35="","",IF(U35&gt;=24,"MUY ALTO",IF(U35&gt;=10,"ALTO",IF(U35&gt;=6,"MEDIO","BAJO"))))</x:f>
      </x:c>
      <x:c r="W35" t="str"/>
      <x:c r="X35" t="str">
        <x:f>IFERROR(VLOOKUP(W35,Catalogos!$G:$H,2,FALSE),"")</x:f>
      </x:c>
      <x:c r="Y35" t="str">
        <x:f>IF(OR(U35="",X35=""),"",U35*X35)</x:f>
      </x:c>
      <x:c r="Z35" t="str">
        <x:f>IF(Y35="","",IF(Y35&gt;=600,"I - Situación crítica. Suspender actividades hasta que el riesgo esté bajo control. Intervención urgente.",IF(Y35&gt;=150,"II - Corregir y adoptar medidas de control de inmediato.",IF(Y35&gt;=40,"III - Mejorar si es posible. Conviene justificar la intervención y su rentabilidad.","IV - Mantener controles existentes."))))</x:f>
      </x:c>
      <x:c r="AA35" t="str">
        <x:f>IF(Y35="","",IF(Y35&gt;=600,"No aceptable",IF(Y35&gt;=150,"No aceptable / Aceptable con control específico","Aceptable")))</x:f>
      </x:c>
      <x:c r="AB35" s="12" t="str"/>
      <x:c r="AC35" s="12" t="str"/>
      <x:c r="AD35" s="12" t="str"/>
      <x:c r="AE35" s="12" t="str"/>
      <x:c r="AF35" s="12" t="str"/>
      <x:c r="AG35" s="12" t="str"/>
      <x:c r="AH35" s="16" t="str"/>
      <x:c r="AI35" s="12" t="str"/>
    </x:row>
    <x:row r="36">
      <x:c r="A36" t="str"/>
      <x:c r="B36" t="str"/>
      <x:c r="C36" t="str"/>
      <x:c r="D36" s="12" t="str"/>
      <x:c r="E36" s="12" t="str"/>
      <x:c r="F36" s="12" t="str"/>
      <x:c r="G36" s="12" t="str"/>
      <x:c r="H36" s="12" t="str"/>
      <x:c r="I36" s="12" t="str"/>
      <x:c r="J36" s="12" t="str"/>
      <x:c r="K36" s="12" t="str"/>
      <x:c r="L36" s="12" t="str"/>
      <x:c r="M36" s="12" t="str"/>
      <x:c r="N36" s="12" t="str"/>
      <x:c r="O36" s="12" t="str"/>
      <x:c r="P36" t="str"/>
      <x:c r="Q36" t="str"/>
      <x:c r="R36" t="str">
        <x:f>IFERROR(VLOOKUP(Q36,Catalogos!$G:$H,2,FALSE),"")</x:f>
      </x:c>
      <x:c r="S36" t="str"/>
      <x:c r="T36" t="str">
        <x:f>IFERROR(VLOOKUP(S36,Catalogos!$I:$J,2,FALSE),"")</x:f>
      </x:c>
      <x:c r="U36" t="str">
        <x:f>IF(OR(R36="",T36=""),"",R36*T36)</x:f>
      </x:c>
      <x:c r="V36" t="str">
        <x:f>IF(U36="","",IF(U36&gt;=24,"MUY ALTO",IF(U36&gt;=10,"ALTO",IF(U36&gt;=6,"MEDIO","BAJO"))))</x:f>
      </x:c>
      <x:c r="W36" t="str"/>
      <x:c r="X36" t="str">
        <x:f>IFERROR(VLOOKUP(W36,Catalogos!$G:$H,2,FALSE),"")</x:f>
      </x:c>
      <x:c r="Y36" t="str">
        <x:f>IF(OR(U36="",X36=""),"",U36*X36)</x:f>
      </x:c>
      <x:c r="Z36" t="str">
        <x:f>IF(Y36="","",IF(Y36&gt;=600,"I - Situación crítica. Suspender actividades hasta que el riesgo esté bajo control. Intervención urgente.",IF(Y36&gt;=150,"II - Corregir y adoptar medidas de control de inmediato.",IF(Y36&gt;=40,"III - Mejorar si es posible. Conviene justificar la intervención y su rentabilidad.","IV - Mantener controles existentes."))))</x:f>
      </x:c>
      <x:c r="AA36" t="str">
        <x:f>IF(Y36="","",IF(Y36&gt;=600,"No aceptable",IF(Y36&gt;=150,"No aceptable / Aceptable con control específico","Aceptable")))</x:f>
      </x:c>
      <x:c r="AB36" s="12" t="str"/>
      <x:c r="AC36" s="12" t="str"/>
      <x:c r="AD36" s="12" t="str"/>
      <x:c r="AE36" s="12" t="str"/>
      <x:c r="AF36" s="12" t="str"/>
      <x:c r="AG36" s="12" t="str"/>
      <x:c r="AH36" s="16" t="str"/>
      <x:c r="AI36" s="12" t="str"/>
    </x:row>
    <x:row r="37">
      <x:c r="A37" t="str"/>
      <x:c r="B37" t="str"/>
      <x:c r="C37" t="str"/>
      <x:c r="D37" s="12" t="str"/>
      <x:c r="E37" s="12" t="str"/>
      <x:c r="F37" s="12" t="str"/>
      <x:c r="G37" s="12" t="str"/>
      <x:c r="H37" s="12" t="str"/>
      <x:c r="I37" s="12" t="str"/>
      <x:c r="J37" s="12" t="str"/>
      <x:c r="K37" s="12" t="str"/>
      <x:c r="L37" s="12" t="str"/>
      <x:c r="M37" s="12" t="str"/>
      <x:c r="N37" s="12" t="str"/>
      <x:c r="O37" s="12" t="str"/>
      <x:c r="P37" t="str"/>
      <x:c r="Q37" t="str"/>
      <x:c r="R37" t="str">
        <x:f>IFERROR(VLOOKUP(Q37,Catalogos!$G:$H,2,FALSE),"")</x:f>
      </x:c>
      <x:c r="S37" t="str"/>
      <x:c r="T37" t="str">
        <x:f>IFERROR(VLOOKUP(S37,Catalogos!$I:$J,2,FALSE),"")</x:f>
      </x:c>
      <x:c r="U37" t="str">
        <x:f>IF(OR(R37="",T37=""),"",R37*T37)</x:f>
      </x:c>
      <x:c r="V37" t="str">
        <x:f>IF(U37="","",IF(U37&gt;=24,"MUY ALTO",IF(U37&gt;=10,"ALTO",IF(U37&gt;=6,"MEDIO","BAJO"))))</x:f>
      </x:c>
      <x:c r="W37" t="str"/>
      <x:c r="X37" t="str">
        <x:f>IFERROR(VLOOKUP(W37,Catalogos!$G:$H,2,FALSE),"")</x:f>
      </x:c>
      <x:c r="Y37" t="str">
        <x:f>IF(OR(U37="",X37=""),"",U37*X37)</x:f>
      </x:c>
      <x:c r="Z37" t="str">
        <x:f>IF(Y37="","",IF(Y37&gt;=600,"I - Situación crítica. Suspender actividades hasta que el riesgo esté bajo control. Intervención urgente.",IF(Y37&gt;=150,"II - Corregir y adoptar medidas de control de inmediato.",IF(Y37&gt;=40,"III - Mejorar si es posible. Conviene justificar la intervención y su rentabilidad.","IV - Mantener controles existentes."))))</x:f>
      </x:c>
      <x:c r="AA37" t="str">
        <x:f>IF(Y37="","",IF(Y37&gt;=600,"No aceptable",IF(Y37&gt;=150,"No aceptable / Aceptable con control específico","Aceptable")))</x:f>
      </x:c>
      <x:c r="AB37" s="12" t="str"/>
      <x:c r="AC37" s="12" t="str"/>
      <x:c r="AD37" s="12" t="str"/>
      <x:c r="AE37" s="12" t="str"/>
      <x:c r="AF37" s="12" t="str"/>
      <x:c r="AG37" s="12" t="str"/>
      <x:c r="AH37" s="16" t="str"/>
      <x:c r="AI37" s="12" t="str"/>
    </x:row>
    <x:row r="38">
      <x:c r="A38" t="str"/>
      <x:c r="B38" t="str"/>
      <x:c r="C38" t="str"/>
      <x:c r="D38" s="12" t="str"/>
      <x:c r="E38" s="12" t="str"/>
      <x:c r="F38" s="12" t="str"/>
      <x:c r="G38" s="12" t="str"/>
      <x:c r="H38" s="12" t="str"/>
      <x:c r="I38" s="12" t="str"/>
      <x:c r="J38" s="12" t="str"/>
      <x:c r="K38" s="12" t="str"/>
      <x:c r="L38" s="12" t="str"/>
      <x:c r="M38" s="12" t="str"/>
      <x:c r="N38" s="12" t="str"/>
      <x:c r="O38" s="12" t="str"/>
      <x:c r="P38" t="str"/>
      <x:c r="Q38" t="str"/>
      <x:c r="R38" t="str">
        <x:f>IFERROR(VLOOKUP(Q38,Catalogos!$G:$H,2,FALSE),"")</x:f>
      </x:c>
      <x:c r="S38" t="str"/>
      <x:c r="T38" t="str">
        <x:f>IFERROR(VLOOKUP(S38,Catalogos!$I:$J,2,FALSE),"")</x:f>
      </x:c>
      <x:c r="U38" t="str">
        <x:f>IF(OR(R38="",T38=""),"",R38*T38)</x:f>
      </x:c>
      <x:c r="V38" t="str">
        <x:f>IF(U38="","",IF(U38&gt;=24,"MUY ALTO",IF(U38&gt;=10,"ALTO",IF(U38&gt;=6,"MEDIO","BAJO"))))</x:f>
      </x:c>
      <x:c r="W38" t="str"/>
      <x:c r="X38" t="str">
        <x:f>IFERROR(VLOOKUP(W38,Catalogos!$G:$H,2,FALSE),"")</x:f>
      </x:c>
      <x:c r="Y38" t="str">
        <x:f>IF(OR(U38="",X38=""),"",U38*X38)</x:f>
      </x:c>
      <x:c r="Z38" t="str">
        <x:f>IF(Y38="","",IF(Y38&gt;=600,"I - Situación crítica. Suspender actividades hasta que el riesgo esté bajo control. Intervención urgente.",IF(Y38&gt;=150,"II - Corregir y adoptar medidas de control de inmediato.",IF(Y38&gt;=40,"III - Mejorar si es posible. Conviene justificar la intervención y su rentabilidad.","IV - Mantener controles existentes."))))</x:f>
      </x:c>
      <x:c r="AA38" t="str">
        <x:f>IF(Y38="","",IF(Y38&gt;=600,"No aceptable",IF(Y38&gt;=150,"No aceptable / Aceptable con control específico","Aceptable")))</x:f>
      </x:c>
      <x:c r="AB38" s="12" t="str"/>
      <x:c r="AC38" s="12" t="str"/>
      <x:c r="AD38" s="12" t="str"/>
      <x:c r="AE38" s="12" t="str"/>
      <x:c r="AF38" s="12" t="str"/>
      <x:c r="AG38" s="12" t="str"/>
      <x:c r="AH38" s="16" t="str"/>
      <x:c r="AI38" s="12" t="str"/>
    </x:row>
    <x:row r="39">
      <x:c r="A39" t="str"/>
      <x:c r="B39" t="str"/>
      <x:c r="C39" t="str"/>
      <x:c r="D39" s="12" t="str"/>
      <x:c r="E39" s="12" t="str"/>
      <x:c r="F39" s="12" t="str"/>
      <x:c r="G39" s="12" t="str"/>
      <x:c r="H39" s="12" t="str"/>
      <x:c r="I39" s="12" t="str"/>
      <x:c r="J39" s="12" t="str"/>
      <x:c r="K39" s="12" t="str"/>
      <x:c r="L39" s="12" t="str"/>
      <x:c r="M39" s="12" t="str"/>
      <x:c r="N39" s="12" t="str"/>
      <x:c r="O39" s="12" t="str"/>
      <x:c r="P39" t="str"/>
      <x:c r="Q39" t="str"/>
      <x:c r="R39" t="str">
        <x:f>IFERROR(VLOOKUP(Q39,Catalogos!$G:$H,2,FALSE),"")</x:f>
      </x:c>
      <x:c r="S39" t="str"/>
      <x:c r="T39" t="str">
        <x:f>IFERROR(VLOOKUP(S39,Catalogos!$I:$J,2,FALSE),"")</x:f>
      </x:c>
      <x:c r="U39" t="str">
        <x:f>IF(OR(R39="",T39=""),"",R39*T39)</x:f>
      </x:c>
      <x:c r="V39" t="str">
        <x:f>IF(U39="","",IF(U39&gt;=24,"MUY ALTO",IF(U39&gt;=10,"ALTO",IF(U39&gt;=6,"MEDIO","BAJO"))))</x:f>
      </x:c>
      <x:c r="W39" t="str"/>
      <x:c r="X39" t="str">
        <x:f>IFERROR(VLOOKUP(W39,Catalogos!$G:$H,2,FALSE),"")</x:f>
      </x:c>
      <x:c r="Y39" t="str">
        <x:f>IF(OR(U39="",X39=""),"",U39*X39)</x:f>
      </x:c>
      <x:c r="Z39" t="str">
        <x:f>IF(Y39="","",IF(Y39&gt;=600,"I - Situación crítica. Suspender actividades hasta que el riesgo esté bajo control. Intervención urgente.",IF(Y39&gt;=150,"II - Corregir y adoptar medidas de control de inmediato.",IF(Y39&gt;=40,"III - Mejorar si es posible. Conviene justificar la intervención y su rentabilidad.","IV - Mantener controles existentes."))))</x:f>
      </x:c>
      <x:c r="AA39" t="str">
        <x:f>IF(Y39="","",IF(Y39&gt;=600,"No aceptable",IF(Y39&gt;=150,"No aceptable / Aceptable con control específico","Aceptable")))</x:f>
      </x:c>
      <x:c r="AB39" s="12" t="str"/>
      <x:c r="AC39" s="12" t="str"/>
      <x:c r="AD39" s="12" t="str"/>
      <x:c r="AE39" s="12" t="str"/>
      <x:c r="AF39" s="12" t="str"/>
      <x:c r="AG39" s="12" t="str"/>
      <x:c r="AH39" s="16" t="str"/>
      <x:c r="AI39" s="12" t="str"/>
    </x:row>
    <x:row r="40">
      <x:c r="A40" t="str"/>
      <x:c r="B40" t="str"/>
      <x:c r="C40" t="str"/>
      <x:c r="D40" s="12" t="str"/>
      <x:c r="E40" s="12" t="str"/>
      <x:c r="F40" s="12" t="str"/>
      <x:c r="G40" s="12" t="str"/>
      <x:c r="H40" s="12" t="str"/>
      <x:c r="I40" s="12" t="str"/>
      <x:c r="J40" s="12" t="str"/>
      <x:c r="K40" s="12" t="str"/>
      <x:c r="L40" s="12" t="str"/>
      <x:c r="M40" s="12" t="str"/>
      <x:c r="N40" s="12" t="str"/>
      <x:c r="O40" s="12" t="str"/>
      <x:c r="P40" t="str"/>
      <x:c r="Q40" t="str"/>
      <x:c r="R40" t="str">
        <x:f>IFERROR(VLOOKUP(Q40,Catalogos!$G:$H,2,FALSE),"")</x:f>
      </x:c>
      <x:c r="S40" t="str"/>
      <x:c r="T40" t="str">
        <x:f>IFERROR(VLOOKUP(S40,Catalogos!$I:$J,2,FALSE),"")</x:f>
      </x:c>
      <x:c r="U40" t="str">
        <x:f>IF(OR(R40="",T40=""),"",R40*T40)</x:f>
      </x:c>
      <x:c r="V40" t="str">
        <x:f>IF(U40="","",IF(U40&gt;=24,"MUY ALTO",IF(U40&gt;=10,"ALTO",IF(U40&gt;=6,"MEDIO","BAJO"))))</x:f>
      </x:c>
      <x:c r="W40" t="str"/>
      <x:c r="X40" t="str">
        <x:f>IFERROR(VLOOKUP(W40,Catalogos!$G:$H,2,FALSE),"")</x:f>
      </x:c>
      <x:c r="Y40" t="str">
        <x:f>IF(OR(U40="",X40=""),"",U40*X40)</x:f>
      </x:c>
      <x:c r="Z40" t="str">
        <x:f>IF(Y40="","",IF(Y40&gt;=600,"I - Situación crítica. Suspender actividades hasta que el riesgo esté bajo control. Intervención urgente.",IF(Y40&gt;=150,"II - Corregir y adoptar medidas de control de inmediato.",IF(Y40&gt;=40,"III - Mejorar si es posible. Conviene justificar la intervención y su rentabilidad.","IV - Mantener controles existentes."))))</x:f>
      </x:c>
      <x:c r="AA40" t="str">
        <x:f>IF(Y40="","",IF(Y40&gt;=600,"No aceptable",IF(Y40&gt;=150,"No aceptable / Aceptable con control específico","Aceptable")))</x:f>
      </x:c>
      <x:c r="AB40" s="12" t="str"/>
      <x:c r="AC40" s="12" t="str"/>
      <x:c r="AD40" s="12" t="str"/>
      <x:c r="AE40" s="12" t="str"/>
      <x:c r="AF40" s="12" t="str"/>
      <x:c r="AG40" s="12" t="str"/>
      <x:c r="AH40" s="16" t="str"/>
      <x:c r="AI40" s="12" t="str"/>
    </x:row>
    <x:row r="41">
      <x:c r="A41" t="str"/>
      <x:c r="B41" t="str"/>
      <x:c r="C41" t="str"/>
      <x:c r="D41" s="12" t="str"/>
      <x:c r="E41" s="12" t="str"/>
      <x:c r="F41" s="12" t="str"/>
      <x:c r="G41" s="12" t="str"/>
      <x:c r="H41" s="12" t="str"/>
      <x:c r="I41" s="12" t="str"/>
      <x:c r="J41" s="12" t="str"/>
      <x:c r="K41" s="12" t="str"/>
      <x:c r="L41" s="12" t="str"/>
      <x:c r="M41" s="12" t="str"/>
      <x:c r="N41" s="12" t="str"/>
      <x:c r="O41" s="12" t="str"/>
      <x:c r="P41" t="str"/>
      <x:c r="Q41" t="str"/>
      <x:c r="R41" t="str">
        <x:f>IFERROR(VLOOKUP(Q41,Catalogos!$G:$H,2,FALSE),"")</x:f>
      </x:c>
      <x:c r="S41" t="str"/>
      <x:c r="T41" t="str">
        <x:f>IFERROR(VLOOKUP(S41,Catalogos!$I:$J,2,FALSE),"")</x:f>
      </x:c>
      <x:c r="U41" t="str">
        <x:f>IF(OR(R41="",T41=""),"",R41*T41)</x:f>
      </x:c>
      <x:c r="V41" t="str">
        <x:f>IF(U41="","",IF(U41&gt;=24,"MUY ALTO",IF(U41&gt;=10,"ALTO",IF(U41&gt;=6,"MEDIO","BAJO"))))</x:f>
      </x:c>
      <x:c r="W41" t="str"/>
      <x:c r="X41" t="str">
        <x:f>IFERROR(VLOOKUP(W41,Catalogos!$G:$H,2,FALSE),"")</x:f>
      </x:c>
      <x:c r="Y41" t="str">
        <x:f>IF(OR(U41="",X41=""),"",U41*X41)</x:f>
      </x:c>
      <x:c r="Z41" t="str">
        <x:f>IF(Y41="","",IF(Y41&gt;=600,"I - Situación crítica. Suspender actividades hasta que el riesgo esté bajo control. Intervención urgente.",IF(Y41&gt;=150,"II - Corregir y adoptar medidas de control de inmediato.",IF(Y41&gt;=40,"III - Mejorar si es posible. Conviene justificar la intervención y su rentabilidad.","IV - Mantener controles existentes."))))</x:f>
      </x:c>
      <x:c r="AA41" t="str">
        <x:f>IF(Y41="","",IF(Y41&gt;=600,"No aceptable",IF(Y41&gt;=150,"No aceptable / Aceptable con control específico","Aceptable")))</x:f>
      </x:c>
      <x:c r="AB41" s="12" t="str"/>
      <x:c r="AC41" s="12" t="str"/>
      <x:c r="AD41" s="12" t="str"/>
      <x:c r="AE41" s="12" t="str"/>
      <x:c r="AF41" s="12" t="str"/>
      <x:c r="AG41" s="12" t="str"/>
      <x:c r="AH41" s="16" t="str"/>
      <x:c r="AI41" s="12" t="str"/>
    </x:row>
    <x:row r="42">
      <x:c r="A42" t="str"/>
      <x:c r="B42" t="str"/>
      <x:c r="C42" t="str"/>
      <x:c r="D42" s="12" t="str"/>
      <x:c r="E42" s="12" t="str"/>
      <x:c r="F42" s="12" t="str"/>
      <x:c r="G42" s="12" t="str"/>
      <x:c r="H42" s="12" t="str"/>
      <x:c r="I42" s="12" t="str"/>
      <x:c r="J42" s="12" t="str"/>
      <x:c r="K42" s="12" t="str"/>
      <x:c r="L42" s="12" t="str"/>
      <x:c r="M42" s="12" t="str"/>
      <x:c r="N42" s="12" t="str"/>
      <x:c r="O42" s="12" t="str"/>
      <x:c r="P42" t="str"/>
      <x:c r="Q42" t="str"/>
      <x:c r="R42" t="str">
        <x:f>IFERROR(VLOOKUP(Q42,Catalogos!$G:$H,2,FALSE),"")</x:f>
      </x:c>
      <x:c r="S42" t="str"/>
      <x:c r="T42" t="str">
        <x:f>IFERROR(VLOOKUP(S42,Catalogos!$I:$J,2,FALSE),"")</x:f>
      </x:c>
      <x:c r="U42" t="str">
        <x:f>IF(OR(R42="",T42=""),"",R42*T42)</x:f>
      </x:c>
      <x:c r="V42" t="str">
        <x:f>IF(U42="","",IF(U42&gt;=24,"MUY ALTO",IF(U42&gt;=10,"ALTO",IF(U42&gt;=6,"MEDIO","BAJO"))))</x:f>
      </x:c>
      <x:c r="W42" t="str"/>
      <x:c r="X42" t="str">
        <x:f>IFERROR(VLOOKUP(W42,Catalogos!$G:$H,2,FALSE),"")</x:f>
      </x:c>
      <x:c r="Y42" t="str">
        <x:f>IF(OR(U42="",X42=""),"",U42*X42)</x:f>
      </x:c>
      <x:c r="Z42" t="str">
        <x:f>IF(Y42="","",IF(Y42&gt;=600,"I - Situación crítica. Suspender actividades hasta que el riesgo esté bajo control. Intervención urgente.",IF(Y42&gt;=150,"II - Corregir y adoptar medidas de control de inmediato.",IF(Y42&gt;=40,"III - Mejorar si es posible. Conviene justificar la intervención y su rentabilidad.","IV - Mantener controles existentes."))))</x:f>
      </x:c>
      <x:c r="AA42" t="str">
        <x:f>IF(Y42="","",IF(Y42&gt;=600,"No aceptable",IF(Y42&gt;=150,"No aceptable / Aceptable con control específico","Aceptable")))</x:f>
      </x:c>
      <x:c r="AB42" s="12" t="str"/>
      <x:c r="AC42" s="12" t="str"/>
      <x:c r="AD42" s="12" t="str"/>
      <x:c r="AE42" s="12" t="str"/>
      <x:c r="AF42" s="12" t="str"/>
      <x:c r="AG42" s="12" t="str"/>
      <x:c r="AH42" s="16" t="str"/>
      <x:c r="AI42" s="12" t="str"/>
    </x:row>
    <x:row r="43">
      <x:c r="A43" t="str"/>
      <x:c r="B43" t="str"/>
      <x:c r="C43" t="str"/>
      <x:c r="D43" s="12" t="str"/>
      <x:c r="E43" s="12" t="str"/>
      <x:c r="F43" s="12" t="str"/>
      <x:c r="G43" s="12" t="str"/>
      <x:c r="H43" s="12" t="str"/>
      <x:c r="I43" s="12" t="str"/>
      <x:c r="J43" s="12" t="str"/>
      <x:c r="K43" s="12" t="str"/>
      <x:c r="L43" s="12" t="str"/>
      <x:c r="M43" s="12" t="str"/>
      <x:c r="N43" s="12" t="str"/>
      <x:c r="O43" s="12" t="str"/>
      <x:c r="P43" t="str"/>
      <x:c r="Q43" t="str"/>
      <x:c r="R43" t="str">
        <x:f>IFERROR(VLOOKUP(Q43,Catalogos!$G:$H,2,FALSE),"")</x:f>
      </x:c>
      <x:c r="S43" t="str"/>
      <x:c r="T43" t="str">
        <x:f>IFERROR(VLOOKUP(S43,Catalogos!$I:$J,2,FALSE),"")</x:f>
      </x:c>
      <x:c r="U43" t="str">
        <x:f>IF(OR(R43="",T43=""),"",R43*T43)</x:f>
      </x:c>
      <x:c r="V43" t="str">
        <x:f>IF(U43="","",IF(U43&gt;=24,"MUY ALTO",IF(U43&gt;=10,"ALTO",IF(U43&gt;=6,"MEDIO","BAJO"))))</x:f>
      </x:c>
      <x:c r="W43" t="str"/>
      <x:c r="X43" t="str">
        <x:f>IFERROR(VLOOKUP(W43,Catalogos!$G:$H,2,FALSE),"")</x:f>
      </x:c>
      <x:c r="Y43" t="str">
        <x:f>IF(OR(U43="",X43=""),"",U43*X43)</x:f>
      </x:c>
      <x:c r="Z43" t="str">
        <x:f>IF(Y43="","",IF(Y43&gt;=600,"I - Situación crítica. Suspender actividades hasta que el riesgo esté bajo control. Intervención urgente.",IF(Y43&gt;=150,"II - Corregir y adoptar medidas de control de inmediato.",IF(Y43&gt;=40,"III - Mejorar si es posible. Conviene justificar la intervención y su rentabilidad.","IV - Mantener controles existentes."))))</x:f>
      </x:c>
      <x:c r="AA43" t="str">
        <x:f>IF(Y43="","",IF(Y43&gt;=600,"No aceptable",IF(Y43&gt;=150,"No aceptable / Aceptable con control específico","Aceptable")))</x:f>
      </x:c>
      <x:c r="AB43" s="12" t="str"/>
      <x:c r="AC43" s="12" t="str"/>
      <x:c r="AD43" s="12" t="str"/>
      <x:c r="AE43" s="12" t="str"/>
      <x:c r="AF43" s="12" t="str"/>
      <x:c r="AG43" s="12" t="str"/>
      <x:c r="AH43" s="16" t="str"/>
      <x:c r="AI43" s="12" t="str"/>
    </x:row>
    <x:row r="44">
      <x:c r="A44" t="str"/>
      <x:c r="B44" t="str"/>
      <x:c r="C44" t="str"/>
      <x:c r="D44" s="12" t="str"/>
      <x:c r="E44" s="12" t="str"/>
      <x:c r="F44" s="12" t="str"/>
      <x:c r="G44" s="12" t="str"/>
      <x:c r="H44" s="12" t="str"/>
      <x:c r="I44" s="12" t="str"/>
      <x:c r="J44" s="12" t="str"/>
      <x:c r="K44" s="12" t="str"/>
      <x:c r="L44" s="12" t="str"/>
      <x:c r="M44" s="12" t="str"/>
      <x:c r="N44" s="12" t="str"/>
      <x:c r="O44" s="12" t="str"/>
      <x:c r="P44" t="str"/>
      <x:c r="Q44" t="str"/>
      <x:c r="R44" t="str">
        <x:f>IFERROR(VLOOKUP(Q44,Catalogos!$G:$H,2,FALSE),"")</x:f>
      </x:c>
      <x:c r="S44" t="str"/>
      <x:c r="T44" t="str">
        <x:f>IFERROR(VLOOKUP(S44,Catalogos!$I:$J,2,FALSE),"")</x:f>
      </x:c>
      <x:c r="U44" t="str">
        <x:f>IF(OR(R44="",T44=""),"",R44*T44)</x:f>
      </x:c>
      <x:c r="V44" t="str">
        <x:f>IF(U44="","",IF(U44&gt;=24,"MUY ALTO",IF(U44&gt;=10,"ALTO",IF(U44&gt;=6,"MEDIO","BAJO"))))</x:f>
      </x:c>
      <x:c r="W44" t="str"/>
      <x:c r="X44" t="str">
        <x:f>IFERROR(VLOOKUP(W44,Catalogos!$G:$H,2,FALSE),"")</x:f>
      </x:c>
      <x:c r="Y44" t="str">
        <x:f>IF(OR(U44="",X44=""),"",U44*X44)</x:f>
      </x:c>
      <x:c r="Z44" t="str">
        <x:f>IF(Y44="","",IF(Y44&gt;=600,"I - Situación crítica. Suspender actividades hasta que el riesgo esté bajo control. Intervención urgente.",IF(Y44&gt;=150,"II - Corregir y adoptar medidas de control de inmediato.",IF(Y44&gt;=40,"III - Mejorar si es posible. Conviene justificar la intervención y su rentabilidad.","IV - Mantener controles existentes."))))</x:f>
      </x:c>
      <x:c r="AA44" t="str">
        <x:f>IF(Y44="","",IF(Y44&gt;=600,"No aceptable",IF(Y44&gt;=150,"No aceptable / Aceptable con control específico","Aceptable")))</x:f>
      </x:c>
      <x:c r="AB44" s="12" t="str"/>
      <x:c r="AC44" s="12" t="str"/>
      <x:c r="AD44" s="12" t="str"/>
      <x:c r="AE44" s="12" t="str"/>
      <x:c r="AF44" s="12" t="str"/>
      <x:c r="AG44" s="12" t="str"/>
      <x:c r="AH44" s="16" t="str"/>
      <x:c r="AI44" s="12" t="str"/>
    </x:row>
    <x:row r="45">
      <x:c r="A45" t="str"/>
      <x:c r="B45" t="str"/>
      <x:c r="C45" t="str"/>
      <x:c r="D45" s="12" t="str"/>
      <x:c r="E45" s="12" t="str"/>
      <x:c r="F45" s="12" t="str"/>
      <x:c r="G45" s="12" t="str"/>
      <x:c r="H45" s="12" t="str"/>
      <x:c r="I45" s="12" t="str"/>
      <x:c r="J45" s="12" t="str"/>
      <x:c r="K45" s="12" t="str"/>
      <x:c r="L45" s="12" t="str"/>
      <x:c r="M45" s="12" t="str"/>
      <x:c r="N45" s="12" t="str"/>
      <x:c r="O45" s="12" t="str"/>
      <x:c r="P45" t="str"/>
      <x:c r="Q45" t="str"/>
      <x:c r="R45" t="str">
        <x:f>IFERROR(VLOOKUP(Q45,Catalogos!$G:$H,2,FALSE),"")</x:f>
      </x:c>
      <x:c r="S45" t="str"/>
      <x:c r="T45" t="str">
        <x:f>IFERROR(VLOOKUP(S45,Catalogos!$I:$J,2,FALSE),"")</x:f>
      </x:c>
      <x:c r="U45" t="str">
        <x:f>IF(OR(R45="",T45=""),"",R45*T45)</x:f>
      </x:c>
      <x:c r="V45" t="str">
        <x:f>IF(U45="","",IF(U45&gt;=24,"MUY ALTO",IF(U45&gt;=10,"ALTO",IF(U45&gt;=6,"MEDIO","BAJO"))))</x:f>
      </x:c>
      <x:c r="W45" t="str"/>
      <x:c r="X45" t="str">
        <x:f>IFERROR(VLOOKUP(W45,Catalogos!$G:$H,2,FALSE),"")</x:f>
      </x:c>
      <x:c r="Y45" t="str">
        <x:f>IF(OR(U45="",X45=""),"",U45*X45)</x:f>
      </x:c>
      <x:c r="Z45" t="str">
        <x:f>IF(Y45="","",IF(Y45&gt;=600,"I - Situación crítica. Suspender actividades hasta que el riesgo esté bajo control. Intervención urgente.",IF(Y45&gt;=150,"II - Corregir y adoptar medidas de control de inmediato.",IF(Y45&gt;=40,"III - Mejorar si es posible. Conviene justificar la intervención y su rentabilidad.","IV - Mantener controles existentes."))))</x:f>
      </x:c>
      <x:c r="AA45" t="str">
        <x:f>IF(Y45="","",IF(Y45&gt;=600,"No aceptable",IF(Y45&gt;=150,"No aceptable / Aceptable con control específico","Aceptable")))</x:f>
      </x:c>
      <x:c r="AB45" s="12" t="str"/>
      <x:c r="AC45" s="12" t="str"/>
      <x:c r="AD45" s="12" t="str"/>
      <x:c r="AE45" s="12" t="str"/>
      <x:c r="AF45" s="12" t="str"/>
      <x:c r="AG45" s="12" t="str"/>
      <x:c r="AH45" s="16" t="str"/>
      <x:c r="AI45" s="12" t="str"/>
    </x:row>
    <x:row r="46">
      <x:c r="A46" t="str"/>
      <x:c r="B46" t="str"/>
      <x:c r="C46" t="str"/>
      <x:c r="D46" s="12" t="str"/>
      <x:c r="E46" s="12" t="str"/>
      <x:c r="F46" s="12" t="str"/>
      <x:c r="G46" s="12" t="str"/>
      <x:c r="H46" s="12" t="str"/>
      <x:c r="I46" s="12" t="str"/>
      <x:c r="J46" s="12" t="str"/>
      <x:c r="K46" s="12" t="str"/>
      <x:c r="L46" s="12" t="str"/>
      <x:c r="M46" s="12" t="str"/>
      <x:c r="N46" s="12" t="str"/>
      <x:c r="O46" s="12" t="str"/>
      <x:c r="P46" t="str"/>
      <x:c r="Q46" t="str"/>
      <x:c r="R46" t="str">
        <x:f>IFERROR(VLOOKUP(Q46,Catalogos!$G:$H,2,FALSE),"")</x:f>
      </x:c>
      <x:c r="S46" t="str"/>
      <x:c r="T46" t="str">
        <x:f>IFERROR(VLOOKUP(S46,Catalogos!$I:$J,2,FALSE),"")</x:f>
      </x:c>
      <x:c r="U46" t="str">
        <x:f>IF(OR(R46="",T46=""),"",R46*T46)</x:f>
      </x:c>
      <x:c r="V46" t="str">
        <x:f>IF(U46="","",IF(U46&gt;=24,"MUY ALTO",IF(U46&gt;=10,"ALTO",IF(U46&gt;=6,"MEDIO","BAJO"))))</x:f>
      </x:c>
      <x:c r="W46" t="str"/>
      <x:c r="X46" t="str">
        <x:f>IFERROR(VLOOKUP(W46,Catalogos!$G:$H,2,FALSE),"")</x:f>
      </x:c>
      <x:c r="Y46" t="str">
        <x:f>IF(OR(U46="",X46=""),"",U46*X46)</x:f>
      </x:c>
      <x:c r="Z46" t="str">
        <x:f>IF(Y46="","",IF(Y46&gt;=600,"I - Situación crítica. Suspender actividades hasta que el riesgo esté bajo control. Intervención urgente.",IF(Y46&gt;=150,"II - Corregir y adoptar medidas de control de inmediato.",IF(Y46&gt;=40,"III - Mejorar si es posible. Conviene justificar la intervención y su rentabilidad.","IV - Mantener controles existentes."))))</x:f>
      </x:c>
      <x:c r="AA46" t="str">
        <x:f>IF(Y46="","",IF(Y46&gt;=600,"No aceptable",IF(Y46&gt;=150,"No aceptable / Aceptable con control específico","Aceptable")))</x:f>
      </x:c>
      <x:c r="AB46" s="12" t="str"/>
      <x:c r="AC46" s="12" t="str"/>
      <x:c r="AD46" s="12" t="str"/>
      <x:c r="AE46" s="12" t="str"/>
      <x:c r="AF46" s="12" t="str"/>
      <x:c r="AG46" s="12" t="str"/>
      <x:c r="AH46" s="16" t="str"/>
      <x:c r="AI46" s="12" t="str"/>
    </x:row>
    <x:row r="47">
      <x:c r="A47" t="str"/>
      <x:c r="B47" t="str"/>
      <x:c r="C47" t="str"/>
      <x:c r="D47" s="12" t="str"/>
      <x:c r="E47" s="12" t="str"/>
      <x:c r="F47" s="12" t="str"/>
      <x:c r="G47" s="12" t="str"/>
      <x:c r="H47" s="12" t="str"/>
      <x:c r="I47" s="12" t="str"/>
      <x:c r="J47" s="12" t="str"/>
      <x:c r="K47" s="12" t="str"/>
      <x:c r="L47" s="12" t="str"/>
      <x:c r="M47" s="12" t="str"/>
      <x:c r="N47" s="12" t="str"/>
      <x:c r="O47" s="12" t="str"/>
      <x:c r="P47" t="str"/>
      <x:c r="Q47" t="str"/>
      <x:c r="R47" t="str">
        <x:f>IFERROR(VLOOKUP(Q47,Catalogos!$G:$H,2,FALSE),"")</x:f>
      </x:c>
      <x:c r="S47" t="str"/>
      <x:c r="T47" t="str">
        <x:f>IFERROR(VLOOKUP(S47,Catalogos!$I:$J,2,FALSE),"")</x:f>
      </x:c>
      <x:c r="U47" t="str">
        <x:f>IF(OR(R47="",T47=""),"",R47*T47)</x:f>
      </x:c>
      <x:c r="V47" t="str">
        <x:f>IF(U47="","",IF(U47&gt;=24,"MUY ALTO",IF(U47&gt;=10,"ALTO",IF(U47&gt;=6,"MEDIO","BAJO"))))</x:f>
      </x:c>
      <x:c r="W47" t="str"/>
      <x:c r="X47" t="str">
        <x:f>IFERROR(VLOOKUP(W47,Catalogos!$G:$H,2,FALSE),"")</x:f>
      </x:c>
      <x:c r="Y47" t="str">
        <x:f>IF(OR(U47="",X47=""),"",U47*X47)</x:f>
      </x:c>
      <x:c r="Z47" t="str">
        <x:f>IF(Y47="","",IF(Y47&gt;=600,"I - Situación crítica. Suspender actividades hasta que el riesgo esté bajo control. Intervención urgente.",IF(Y47&gt;=150,"II - Corregir y adoptar medidas de control de inmediato.",IF(Y47&gt;=40,"III - Mejorar si es posible. Conviene justificar la intervención y su rentabilidad.","IV - Mantener controles existentes."))))</x:f>
      </x:c>
      <x:c r="AA47" t="str">
        <x:f>IF(Y47="","",IF(Y47&gt;=600,"No aceptable",IF(Y47&gt;=150,"No aceptable / Aceptable con control específico","Aceptable")))</x:f>
      </x:c>
      <x:c r="AB47" s="12" t="str"/>
      <x:c r="AC47" s="12" t="str"/>
      <x:c r="AD47" s="12" t="str"/>
      <x:c r="AE47" s="12" t="str"/>
      <x:c r="AF47" s="12" t="str"/>
      <x:c r="AG47" s="12" t="str"/>
      <x:c r="AH47" s="16" t="str"/>
      <x:c r="AI47" s="12" t="str"/>
    </x:row>
    <x:row r="48">
      <x:c r="A48" t="str"/>
      <x:c r="B48" t="str"/>
      <x:c r="C48" t="str"/>
      <x:c r="D48" s="12" t="str"/>
      <x:c r="E48" s="12" t="str"/>
      <x:c r="F48" s="12" t="str"/>
      <x:c r="G48" s="12" t="str"/>
      <x:c r="H48" s="12" t="str"/>
      <x:c r="I48" s="12" t="str"/>
      <x:c r="J48" s="12" t="str"/>
      <x:c r="K48" s="12" t="str"/>
      <x:c r="L48" s="12" t="str"/>
      <x:c r="M48" s="12" t="str"/>
      <x:c r="N48" s="12" t="str"/>
      <x:c r="O48" s="12" t="str"/>
      <x:c r="P48" t="str"/>
      <x:c r="Q48" t="str"/>
      <x:c r="R48" t="str">
        <x:f>IFERROR(VLOOKUP(Q48,Catalogos!$G:$H,2,FALSE),"")</x:f>
      </x:c>
      <x:c r="S48" t="str"/>
      <x:c r="T48" t="str">
        <x:f>IFERROR(VLOOKUP(S48,Catalogos!$I:$J,2,FALSE),"")</x:f>
      </x:c>
      <x:c r="U48" t="str">
        <x:f>IF(OR(R48="",T48=""),"",R48*T48)</x:f>
      </x:c>
      <x:c r="V48" t="str">
        <x:f>IF(U48="","",IF(U48&gt;=24,"MUY ALTO",IF(U48&gt;=10,"ALTO",IF(U48&gt;=6,"MEDIO","BAJO"))))</x:f>
      </x:c>
      <x:c r="W48" t="str"/>
      <x:c r="X48" t="str">
        <x:f>IFERROR(VLOOKUP(W48,Catalogos!$G:$H,2,FALSE),"")</x:f>
      </x:c>
      <x:c r="Y48" t="str">
        <x:f>IF(OR(U48="",X48=""),"",U48*X48)</x:f>
      </x:c>
      <x:c r="Z48" t="str">
        <x:f>IF(Y48="","",IF(Y48&gt;=600,"I - Situación crítica. Suspender actividades hasta que el riesgo esté bajo control. Intervención urgente.",IF(Y48&gt;=150,"II - Corregir y adoptar medidas de control de inmediato.",IF(Y48&gt;=40,"III - Mejorar si es posible. Conviene justificar la intervención y su rentabilidad.","IV - Mantener controles existentes."))))</x:f>
      </x:c>
      <x:c r="AA48" t="str">
        <x:f>IF(Y48="","",IF(Y48&gt;=600,"No aceptable",IF(Y48&gt;=150,"No aceptable / Aceptable con control específico","Aceptable")))</x:f>
      </x:c>
      <x:c r="AB48" s="12" t="str"/>
      <x:c r="AC48" s="12" t="str"/>
      <x:c r="AD48" s="12" t="str"/>
      <x:c r="AE48" s="12" t="str"/>
      <x:c r="AF48" s="12" t="str"/>
      <x:c r="AG48" s="12" t="str"/>
      <x:c r="AH48" s="16" t="str"/>
      <x:c r="AI48" s="12" t="str"/>
    </x:row>
    <x:row r="49">
      <x:c r="A49" t="str"/>
      <x:c r="B49" t="str"/>
      <x:c r="C49" t="str"/>
      <x:c r="D49" s="12" t="str"/>
      <x:c r="E49" s="12" t="str"/>
      <x:c r="F49" s="12" t="str"/>
      <x:c r="G49" s="12" t="str"/>
      <x:c r="H49" s="12" t="str"/>
      <x:c r="I49" s="12" t="str"/>
      <x:c r="J49" s="12" t="str"/>
      <x:c r="K49" s="12" t="str"/>
      <x:c r="L49" s="12" t="str"/>
      <x:c r="M49" s="12" t="str"/>
      <x:c r="N49" s="12" t="str"/>
      <x:c r="O49" s="12" t="str"/>
      <x:c r="P49" t="str"/>
      <x:c r="Q49" t="str"/>
      <x:c r="R49" t="str">
        <x:f>IFERROR(VLOOKUP(Q49,Catalogos!$G:$H,2,FALSE),"")</x:f>
      </x:c>
      <x:c r="S49" t="str"/>
      <x:c r="T49" t="str">
        <x:f>IFERROR(VLOOKUP(S49,Catalogos!$I:$J,2,FALSE),"")</x:f>
      </x:c>
      <x:c r="U49" t="str">
        <x:f>IF(OR(R49="",T49=""),"",R49*T49)</x:f>
      </x:c>
      <x:c r="V49" t="str">
        <x:f>IF(U49="","",IF(U49&gt;=24,"MUY ALTO",IF(U49&gt;=10,"ALTO",IF(U49&gt;=6,"MEDIO","BAJO"))))</x:f>
      </x:c>
      <x:c r="W49" t="str"/>
      <x:c r="X49" t="str">
        <x:f>IFERROR(VLOOKUP(W49,Catalogos!$G:$H,2,FALSE),"")</x:f>
      </x:c>
      <x:c r="Y49" t="str">
        <x:f>IF(OR(U49="",X49=""),"",U49*X49)</x:f>
      </x:c>
      <x:c r="Z49" t="str">
        <x:f>IF(Y49="","",IF(Y49&gt;=600,"I - Situación crítica. Suspender actividades hasta que el riesgo esté bajo control. Intervención urgente.",IF(Y49&gt;=150,"II - Corregir y adoptar medidas de control de inmediato.",IF(Y49&gt;=40,"III - Mejorar si es posible. Conviene justificar la intervención y su rentabilidad.","IV - Mantener controles existentes."))))</x:f>
      </x:c>
      <x:c r="AA49" t="str">
        <x:f>IF(Y49="","",IF(Y49&gt;=600,"No aceptable",IF(Y49&gt;=150,"No aceptable / Aceptable con control específico","Aceptable")))</x:f>
      </x:c>
      <x:c r="AB49" s="12" t="str"/>
      <x:c r="AC49" s="12" t="str"/>
      <x:c r="AD49" s="12" t="str"/>
      <x:c r="AE49" s="12" t="str"/>
      <x:c r="AF49" s="12" t="str"/>
      <x:c r="AG49" s="12" t="str"/>
      <x:c r="AH49" s="16" t="str"/>
      <x:c r="AI49" s="12" t="str"/>
    </x:row>
    <x:row r="50">
      <x:c r="A50" t="str"/>
      <x:c r="B50" t="str"/>
      <x:c r="C50" t="str"/>
      <x:c r="D50" s="12" t="str"/>
      <x:c r="E50" s="12" t="str"/>
      <x:c r="F50" s="12" t="str"/>
      <x:c r="G50" s="12" t="str"/>
      <x:c r="H50" s="12" t="str"/>
      <x:c r="I50" s="12" t="str"/>
      <x:c r="J50" s="12" t="str"/>
      <x:c r="K50" s="12" t="str"/>
      <x:c r="L50" s="12" t="str"/>
      <x:c r="M50" s="12" t="str"/>
      <x:c r="N50" s="12" t="str"/>
      <x:c r="O50" s="12" t="str"/>
      <x:c r="P50" t="str"/>
      <x:c r="Q50" t="str"/>
      <x:c r="R50" t="str">
        <x:f>IFERROR(VLOOKUP(Q50,Catalogos!$G:$H,2,FALSE),"")</x:f>
      </x:c>
      <x:c r="S50" t="str"/>
      <x:c r="T50" t="str">
        <x:f>IFERROR(VLOOKUP(S50,Catalogos!$I:$J,2,FALSE),"")</x:f>
      </x:c>
      <x:c r="U50" t="str">
        <x:f>IF(OR(R50="",T50=""),"",R50*T50)</x:f>
      </x:c>
      <x:c r="V50" t="str">
        <x:f>IF(U50="","",IF(U50&gt;=24,"MUY ALTO",IF(U50&gt;=10,"ALTO",IF(U50&gt;=6,"MEDIO","BAJO"))))</x:f>
      </x:c>
      <x:c r="W50" t="str"/>
      <x:c r="X50" t="str">
        <x:f>IFERROR(VLOOKUP(W50,Catalogos!$G:$H,2,FALSE),"")</x:f>
      </x:c>
      <x:c r="Y50" t="str">
        <x:f>IF(OR(U50="",X50=""),"",U50*X50)</x:f>
      </x:c>
      <x:c r="Z50" t="str">
        <x:f>IF(Y50="","",IF(Y50&gt;=600,"I - Situación crítica. Suspender actividades hasta que el riesgo esté bajo control. Intervención urgente.",IF(Y50&gt;=150,"II - Corregir y adoptar medidas de control de inmediato.",IF(Y50&gt;=40,"III - Mejorar si es posible. Conviene justificar la intervención y su rentabilidad.","IV - Mantener controles existentes."))))</x:f>
      </x:c>
      <x:c r="AA50" t="str">
        <x:f>IF(Y50="","",IF(Y50&gt;=600,"No aceptable",IF(Y50&gt;=150,"No aceptable / Aceptable con control específico","Aceptable")))</x:f>
      </x:c>
      <x:c r="AB50" s="12" t="str"/>
      <x:c r="AC50" s="12" t="str"/>
      <x:c r="AD50" s="12" t="str"/>
      <x:c r="AE50" s="12" t="str"/>
      <x:c r="AF50" s="12" t="str"/>
      <x:c r="AG50" s="12" t="str"/>
      <x:c r="AH50" s="16" t="str"/>
      <x:c r="AI50" s="12" t="str"/>
    </x:row>
    <x:row r="51">
      <x:c r="A51" t="str"/>
      <x:c r="B51" t="str"/>
      <x:c r="C51" t="str"/>
      <x:c r="D51" s="12" t="str"/>
      <x:c r="E51" s="12" t="str"/>
      <x:c r="F51" s="12" t="str"/>
      <x:c r="G51" s="12" t="str"/>
      <x:c r="H51" s="12" t="str"/>
      <x:c r="I51" s="12" t="str"/>
      <x:c r="J51" s="12" t="str"/>
      <x:c r="K51" s="12" t="str"/>
      <x:c r="L51" s="12" t="str"/>
      <x:c r="M51" s="12" t="str"/>
      <x:c r="N51" s="12" t="str"/>
      <x:c r="O51" s="12" t="str"/>
      <x:c r="P51" t="str"/>
      <x:c r="Q51" t="str"/>
      <x:c r="R51" t="str">
        <x:f>IFERROR(VLOOKUP(Q51,Catalogos!$G:$H,2,FALSE),"")</x:f>
      </x:c>
      <x:c r="S51" t="str"/>
      <x:c r="T51" t="str">
        <x:f>IFERROR(VLOOKUP(S51,Catalogos!$I:$J,2,FALSE),"")</x:f>
      </x:c>
      <x:c r="U51" t="str">
        <x:f>IF(OR(R51="",T51=""),"",R51*T51)</x:f>
      </x:c>
      <x:c r="V51" t="str">
        <x:f>IF(U51="","",IF(U51&gt;=24,"MUY ALTO",IF(U51&gt;=10,"ALTO",IF(U51&gt;=6,"MEDIO","BAJO"))))</x:f>
      </x:c>
      <x:c r="W51" t="str"/>
      <x:c r="X51" t="str">
        <x:f>IFERROR(VLOOKUP(W51,Catalogos!$G:$H,2,FALSE),"")</x:f>
      </x:c>
      <x:c r="Y51" t="str">
        <x:f>IF(OR(U51="",X51=""),"",U51*X51)</x:f>
      </x:c>
      <x:c r="Z51" t="str">
        <x:f>IF(Y51="","",IF(Y51&gt;=600,"I - Situación crítica. Suspender actividades hasta que el riesgo esté bajo control. Intervención urgente.",IF(Y51&gt;=150,"II - Corregir y adoptar medidas de control de inmediato.",IF(Y51&gt;=40,"III - Mejorar si es posible. Conviene justificar la intervención y su rentabilidad.","IV - Mantener controles existentes."))))</x:f>
      </x:c>
      <x:c r="AA51" t="str">
        <x:f>IF(Y51="","",IF(Y51&gt;=600,"No aceptable",IF(Y51&gt;=150,"No aceptable / Aceptable con control específico","Aceptable")))</x:f>
      </x:c>
      <x:c r="AB51" s="12" t="str"/>
      <x:c r="AC51" s="12" t="str"/>
      <x:c r="AD51" s="12" t="str"/>
      <x:c r="AE51" s="12" t="str"/>
      <x:c r="AF51" s="12" t="str"/>
      <x:c r="AG51" s="12" t="str"/>
      <x:c r="AH51" s="16" t="str"/>
      <x:c r="AI51" s="12" t="str"/>
    </x:row>
    <x:row r="52">
      <x:c r="A52" t="str"/>
      <x:c r="B52" t="str"/>
      <x:c r="C52" t="str"/>
      <x:c r="D52" s="12" t="str"/>
      <x:c r="E52" s="12" t="str"/>
      <x:c r="F52" s="12" t="str"/>
      <x:c r="G52" s="12" t="str"/>
      <x:c r="H52" s="12" t="str"/>
      <x:c r="I52" s="12" t="str"/>
      <x:c r="J52" s="12" t="str"/>
      <x:c r="K52" s="12" t="str"/>
      <x:c r="L52" s="12" t="str"/>
      <x:c r="M52" s="12" t="str"/>
      <x:c r="N52" s="12" t="str"/>
      <x:c r="O52" s="12" t="str"/>
      <x:c r="P52" t="str"/>
      <x:c r="Q52" t="str"/>
      <x:c r="R52" t="str">
        <x:f>IFERROR(VLOOKUP(Q52,Catalogos!$G:$H,2,FALSE),"")</x:f>
      </x:c>
      <x:c r="S52" t="str"/>
      <x:c r="T52" t="str">
        <x:f>IFERROR(VLOOKUP(S52,Catalogos!$I:$J,2,FALSE),"")</x:f>
      </x:c>
      <x:c r="U52" t="str">
        <x:f>IF(OR(R52="",T52=""),"",R52*T52)</x:f>
      </x:c>
      <x:c r="V52" t="str">
        <x:f>IF(U52="","",IF(U52&gt;=24,"MUY ALTO",IF(U52&gt;=10,"ALTO",IF(U52&gt;=6,"MEDIO","BAJO"))))</x:f>
      </x:c>
      <x:c r="W52" t="str"/>
      <x:c r="X52" t="str">
        <x:f>IFERROR(VLOOKUP(W52,Catalogos!$G:$H,2,FALSE),"")</x:f>
      </x:c>
      <x:c r="Y52" t="str">
        <x:f>IF(OR(U52="",X52=""),"",U52*X52)</x:f>
      </x:c>
      <x:c r="Z52" t="str">
        <x:f>IF(Y52="","",IF(Y52&gt;=600,"I - Situación crítica. Suspender actividades hasta que el riesgo esté bajo control. Intervención urgente.",IF(Y52&gt;=150,"II - Corregir y adoptar medidas de control de inmediato.",IF(Y52&gt;=40,"III - Mejorar si es posible. Conviene justificar la intervención y su rentabilidad.","IV - Mantener controles existentes."))))</x:f>
      </x:c>
      <x:c r="AA52" t="str">
        <x:f>IF(Y52="","",IF(Y52&gt;=600,"No aceptable",IF(Y52&gt;=150,"No aceptable / Aceptable con control específico","Aceptable")))</x:f>
      </x:c>
      <x:c r="AB52" s="12" t="str"/>
      <x:c r="AC52" s="12" t="str"/>
      <x:c r="AD52" s="12" t="str"/>
      <x:c r="AE52" s="12" t="str"/>
      <x:c r="AF52" s="12" t="str"/>
      <x:c r="AG52" s="12" t="str"/>
      <x:c r="AH52" s="16" t="str"/>
      <x:c r="AI52" s="12" t="str"/>
    </x:row>
    <x:row r="53">
      <x:c r="A53" t="str"/>
      <x:c r="B53" t="str"/>
      <x:c r="C53" t="str"/>
      <x:c r="D53" s="12" t="str"/>
      <x:c r="E53" s="12" t="str"/>
      <x:c r="F53" s="12" t="str"/>
      <x:c r="G53" s="12" t="str"/>
      <x:c r="H53" s="12" t="str"/>
      <x:c r="I53" s="12" t="str"/>
      <x:c r="J53" s="12" t="str"/>
      <x:c r="K53" s="12" t="str"/>
      <x:c r="L53" s="12" t="str"/>
      <x:c r="M53" s="12" t="str"/>
      <x:c r="N53" s="12" t="str"/>
      <x:c r="O53" s="12" t="str"/>
      <x:c r="P53" t="str"/>
      <x:c r="Q53" t="str"/>
      <x:c r="R53" t="str">
        <x:f>IFERROR(VLOOKUP(Q53,Catalogos!$G:$H,2,FALSE),"")</x:f>
      </x:c>
      <x:c r="S53" t="str"/>
      <x:c r="T53" t="str">
        <x:f>IFERROR(VLOOKUP(S53,Catalogos!$I:$J,2,FALSE),"")</x:f>
      </x:c>
      <x:c r="U53" t="str">
        <x:f>IF(OR(R53="",T53=""),"",R53*T53)</x:f>
      </x:c>
      <x:c r="V53" t="str">
        <x:f>IF(U53="","",IF(U53&gt;=24,"MUY ALTO",IF(U53&gt;=10,"ALTO",IF(U53&gt;=6,"MEDIO","BAJO"))))</x:f>
      </x:c>
      <x:c r="W53" t="str"/>
      <x:c r="X53" t="str">
        <x:f>IFERROR(VLOOKUP(W53,Catalogos!$G:$H,2,FALSE),"")</x:f>
      </x:c>
      <x:c r="Y53" t="str">
        <x:f>IF(OR(U53="",X53=""),"",U53*X53)</x:f>
      </x:c>
      <x:c r="Z53" t="str">
        <x:f>IF(Y53="","",IF(Y53&gt;=600,"I - Situación crítica. Suspender actividades hasta que el riesgo esté bajo control. Intervención urgente.",IF(Y53&gt;=150,"II - Corregir y adoptar medidas de control de inmediato.",IF(Y53&gt;=40,"III - Mejorar si es posible. Conviene justificar la intervención y su rentabilidad.","IV - Mantener controles existentes."))))</x:f>
      </x:c>
      <x:c r="AA53" t="str">
        <x:f>IF(Y53="","",IF(Y53&gt;=600,"No aceptable",IF(Y53&gt;=150,"No aceptable / Aceptable con control específico","Aceptable")))</x:f>
      </x:c>
      <x:c r="AB53" s="12" t="str"/>
      <x:c r="AC53" s="12" t="str"/>
      <x:c r="AD53" s="12" t="str"/>
      <x:c r="AE53" s="12" t="str"/>
      <x:c r="AF53" s="12" t="str"/>
      <x:c r="AG53" s="12" t="str"/>
      <x:c r="AH53" s="16" t="str"/>
      <x:c r="AI53" s="12" t="str"/>
    </x:row>
    <x:row r="54">
      <x:c r="A54" t="str"/>
      <x:c r="B54" t="str"/>
      <x:c r="C54" t="str"/>
      <x:c r="D54" s="12" t="str"/>
      <x:c r="E54" s="12" t="str"/>
      <x:c r="F54" s="12" t="str"/>
      <x:c r="G54" s="12" t="str"/>
      <x:c r="H54" s="12" t="str"/>
      <x:c r="I54" s="12" t="str"/>
      <x:c r="J54" s="12" t="str"/>
      <x:c r="K54" s="12" t="str"/>
      <x:c r="L54" s="12" t="str"/>
      <x:c r="M54" s="12" t="str"/>
      <x:c r="N54" s="12" t="str"/>
      <x:c r="O54" s="12" t="str"/>
      <x:c r="P54" t="str"/>
      <x:c r="Q54" t="str"/>
      <x:c r="R54" t="str">
        <x:f>IFERROR(VLOOKUP(Q54,Catalogos!$G:$H,2,FALSE),"")</x:f>
      </x:c>
      <x:c r="S54" t="str"/>
      <x:c r="T54" t="str">
        <x:f>IFERROR(VLOOKUP(S54,Catalogos!$I:$J,2,FALSE),"")</x:f>
      </x:c>
      <x:c r="U54" t="str">
        <x:f>IF(OR(R54="",T54=""),"",R54*T54)</x:f>
      </x:c>
      <x:c r="V54" t="str">
        <x:f>IF(U54="","",IF(U54&gt;=24,"MUY ALTO",IF(U54&gt;=10,"ALTO",IF(U54&gt;=6,"MEDIO","BAJO"))))</x:f>
      </x:c>
      <x:c r="W54" t="str"/>
      <x:c r="X54" t="str">
        <x:f>IFERROR(VLOOKUP(W54,Catalogos!$G:$H,2,FALSE),"")</x:f>
      </x:c>
      <x:c r="Y54" t="str">
        <x:f>IF(OR(U54="",X54=""),"",U54*X54)</x:f>
      </x:c>
      <x:c r="Z54" t="str">
        <x:f>IF(Y54="","",IF(Y54&gt;=600,"I - Situación crítica. Suspender actividades hasta que el riesgo esté bajo control. Intervención urgente.",IF(Y54&gt;=150,"II - Corregir y adoptar medidas de control de inmediato.",IF(Y54&gt;=40,"III - Mejorar si es posible. Conviene justificar la intervención y su rentabilidad.","IV - Mantener controles existentes."))))</x:f>
      </x:c>
      <x:c r="AA54" t="str">
        <x:f>IF(Y54="","",IF(Y54&gt;=600,"No aceptable",IF(Y54&gt;=150,"No aceptable / Aceptable con control específico","Aceptable")))</x:f>
      </x:c>
      <x:c r="AB54" s="12" t="str"/>
      <x:c r="AC54" s="12" t="str"/>
      <x:c r="AD54" s="12" t="str"/>
      <x:c r="AE54" s="12" t="str"/>
      <x:c r="AF54" s="12" t="str"/>
      <x:c r="AG54" s="12" t="str"/>
      <x:c r="AH54" s="16" t="str"/>
      <x:c r="AI54" s="12" t="str"/>
    </x:row>
    <x:row r="55">
      <x:c r="A55" t="str"/>
      <x:c r="B55" t="str"/>
      <x:c r="C55" t="str"/>
      <x:c r="D55" s="12" t="str"/>
      <x:c r="E55" s="12" t="str"/>
      <x:c r="F55" s="12" t="str"/>
      <x:c r="G55" s="12" t="str"/>
      <x:c r="H55" s="12" t="str"/>
      <x:c r="I55" s="12" t="str"/>
      <x:c r="J55" s="12" t="str"/>
      <x:c r="K55" s="12" t="str"/>
      <x:c r="L55" s="12" t="str"/>
      <x:c r="M55" s="12" t="str"/>
      <x:c r="N55" s="12" t="str"/>
      <x:c r="O55" s="12" t="str"/>
      <x:c r="P55" t="str"/>
      <x:c r="Q55" t="str"/>
      <x:c r="R55" t="str">
        <x:f>IFERROR(VLOOKUP(Q55,Catalogos!$G:$H,2,FALSE),"")</x:f>
      </x:c>
      <x:c r="S55" t="str"/>
      <x:c r="T55" t="str">
        <x:f>IFERROR(VLOOKUP(S55,Catalogos!$I:$J,2,FALSE),"")</x:f>
      </x:c>
      <x:c r="U55" t="str">
        <x:f>IF(OR(R55="",T55=""),"",R55*T55)</x:f>
      </x:c>
      <x:c r="V55" t="str">
        <x:f>IF(U55="","",IF(U55&gt;=24,"MUY ALTO",IF(U55&gt;=10,"ALTO",IF(U55&gt;=6,"MEDIO","BAJO"))))</x:f>
      </x:c>
      <x:c r="W55" t="str"/>
      <x:c r="X55" t="str">
        <x:f>IFERROR(VLOOKUP(W55,Catalogos!$G:$H,2,FALSE),"")</x:f>
      </x:c>
      <x:c r="Y55" t="str">
        <x:f>IF(OR(U55="",X55=""),"",U55*X55)</x:f>
      </x:c>
      <x:c r="Z55" t="str">
        <x:f>IF(Y55="","",IF(Y55&gt;=600,"I - Situación crítica. Suspender actividades hasta que el riesgo esté bajo control. Intervención urgente.",IF(Y55&gt;=150,"II - Corregir y adoptar medidas de control de inmediato.",IF(Y55&gt;=40,"III - Mejorar si es posible. Conviene justificar la intervención y su rentabilidad.","IV - Mantener controles existentes."))))</x:f>
      </x:c>
      <x:c r="AA55" t="str">
        <x:f>IF(Y55="","",IF(Y55&gt;=600,"No aceptable",IF(Y55&gt;=150,"No aceptable / Aceptable con control específico","Aceptable")))</x:f>
      </x:c>
      <x:c r="AB55" s="12" t="str"/>
      <x:c r="AC55" s="12" t="str"/>
      <x:c r="AD55" s="12" t="str"/>
      <x:c r="AE55" s="12" t="str"/>
      <x:c r="AF55" s="12" t="str"/>
      <x:c r="AG55" s="12" t="str"/>
      <x:c r="AH55" s="16" t="str"/>
      <x:c r="AI55" s="12" t="str"/>
    </x:row>
    <x:row r="56">
      <x:c r="A56" t="str"/>
      <x:c r="B56" t="str"/>
      <x:c r="C56" t="str"/>
      <x:c r="D56" s="12" t="str"/>
      <x:c r="E56" s="12" t="str"/>
      <x:c r="F56" s="12" t="str"/>
      <x:c r="G56" s="12" t="str"/>
      <x:c r="H56" s="12" t="str"/>
      <x:c r="I56" s="12" t="str"/>
      <x:c r="J56" s="12" t="str"/>
      <x:c r="K56" s="12" t="str"/>
      <x:c r="L56" s="12" t="str"/>
      <x:c r="M56" s="12" t="str"/>
      <x:c r="N56" s="12" t="str"/>
      <x:c r="O56" s="12" t="str"/>
      <x:c r="P56" t="str"/>
      <x:c r="Q56" t="str"/>
      <x:c r="R56" t="str">
        <x:f>IFERROR(VLOOKUP(Q56,Catalogos!$G:$H,2,FALSE),"")</x:f>
      </x:c>
      <x:c r="S56" t="str"/>
      <x:c r="T56" t="str">
        <x:f>IFERROR(VLOOKUP(S56,Catalogos!$I:$J,2,FALSE),"")</x:f>
      </x:c>
      <x:c r="U56" t="str">
        <x:f>IF(OR(R56="",T56=""),"",R56*T56)</x:f>
      </x:c>
      <x:c r="V56" t="str">
        <x:f>IF(U56="","",IF(U56&gt;=24,"MUY ALTO",IF(U56&gt;=10,"ALTO",IF(U56&gt;=6,"MEDIO","BAJO"))))</x:f>
      </x:c>
      <x:c r="W56" t="str"/>
      <x:c r="X56" t="str">
        <x:f>IFERROR(VLOOKUP(W56,Catalogos!$G:$H,2,FALSE),"")</x:f>
      </x:c>
      <x:c r="Y56" t="str">
        <x:f>IF(OR(U56="",X56=""),"",U56*X56)</x:f>
      </x:c>
      <x:c r="Z56" t="str">
        <x:f>IF(Y56="","",IF(Y56&gt;=600,"I - Situación crítica. Suspender actividades hasta que el riesgo esté bajo control. Intervención urgente.",IF(Y56&gt;=150,"II - Corregir y adoptar medidas de control de inmediato.",IF(Y56&gt;=40,"III - Mejorar si es posible. Conviene justificar la intervención y su rentabilidad.","IV - Mantener controles existentes."))))</x:f>
      </x:c>
      <x:c r="AA56" t="str">
        <x:f>IF(Y56="","",IF(Y56&gt;=600,"No aceptable",IF(Y56&gt;=150,"No aceptable / Aceptable con control específico","Aceptable")))</x:f>
      </x:c>
      <x:c r="AB56" s="12" t="str"/>
      <x:c r="AC56" s="12" t="str"/>
      <x:c r="AD56" s="12" t="str"/>
      <x:c r="AE56" s="12" t="str"/>
      <x:c r="AF56" s="12" t="str"/>
      <x:c r="AG56" s="12" t="str"/>
      <x:c r="AH56" s="16" t="str"/>
      <x:c r="AI56" s="12" t="str"/>
    </x:row>
    <x:row r="57">
      <x:c r="A57" t="str"/>
      <x:c r="B57" t="str"/>
      <x:c r="C57" t="str"/>
      <x:c r="D57" s="12" t="str"/>
      <x:c r="E57" s="12" t="str"/>
      <x:c r="F57" s="12" t="str"/>
      <x:c r="G57" s="12" t="str"/>
      <x:c r="H57" s="12" t="str"/>
      <x:c r="I57" s="12" t="str"/>
      <x:c r="J57" s="12" t="str"/>
      <x:c r="K57" s="12" t="str"/>
      <x:c r="L57" s="12" t="str"/>
      <x:c r="M57" s="12" t="str"/>
      <x:c r="N57" s="12" t="str"/>
      <x:c r="O57" s="12" t="str"/>
      <x:c r="P57" t="str"/>
      <x:c r="Q57" t="str"/>
      <x:c r="R57" t="str">
        <x:f>IFERROR(VLOOKUP(Q57,Catalogos!$G:$H,2,FALSE),"")</x:f>
      </x:c>
      <x:c r="S57" t="str"/>
      <x:c r="T57" t="str">
        <x:f>IFERROR(VLOOKUP(S57,Catalogos!$I:$J,2,FALSE),"")</x:f>
      </x:c>
      <x:c r="U57" t="str">
        <x:f>IF(OR(R57="",T57=""),"",R57*T57)</x:f>
      </x:c>
      <x:c r="V57" t="str">
        <x:f>IF(U57="","",IF(U57&gt;=24,"MUY ALTO",IF(U57&gt;=10,"ALTO",IF(U57&gt;=6,"MEDIO","BAJO"))))</x:f>
      </x:c>
      <x:c r="W57" t="str"/>
      <x:c r="X57" t="str">
        <x:f>IFERROR(VLOOKUP(W57,Catalogos!$G:$H,2,FALSE),"")</x:f>
      </x:c>
      <x:c r="Y57" t="str">
        <x:f>IF(OR(U57="",X57=""),"",U57*X57)</x:f>
      </x:c>
      <x:c r="Z57" t="str">
        <x:f>IF(Y57="","",IF(Y57&gt;=600,"I - Situación crítica. Suspender actividades hasta que el riesgo esté bajo control. Intervención urgente.",IF(Y57&gt;=150,"II - Corregir y adoptar medidas de control de inmediato.",IF(Y57&gt;=40,"III - Mejorar si es posible. Conviene justificar la intervención y su rentabilidad.","IV - Mantener controles existentes."))))</x:f>
      </x:c>
      <x:c r="AA57" t="str">
        <x:f>IF(Y57="","",IF(Y57&gt;=600,"No aceptable",IF(Y57&gt;=150,"No aceptable / Aceptable con control específico","Aceptable")))</x:f>
      </x:c>
      <x:c r="AB57" s="12" t="str"/>
      <x:c r="AC57" s="12" t="str"/>
      <x:c r="AD57" s="12" t="str"/>
      <x:c r="AE57" s="12" t="str"/>
      <x:c r="AF57" s="12" t="str"/>
      <x:c r="AG57" s="12" t="str"/>
      <x:c r="AH57" s="16" t="str"/>
      <x:c r="AI57" s="12" t="str"/>
    </x:row>
    <x:row r="58">
      <x:c r="A58" t="str"/>
      <x:c r="B58" t="str"/>
      <x:c r="C58" t="str"/>
      <x:c r="D58" s="12" t="str"/>
      <x:c r="E58" s="12" t="str"/>
      <x:c r="F58" s="12" t="str"/>
      <x:c r="G58" s="12" t="str"/>
      <x:c r="H58" s="12" t="str"/>
      <x:c r="I58" s="12" t="str"/>
      <x:c r="J58" s="12" t="str"/>
      <x:c r="K58" s="12" t="str"/>
      <x:c r="L58" s="12" t="str"/>
      <x:c r="M58" s="12" t="str"/>
      <x:c r="N58" s="12" t="str"/>
      <x:c r="O58" s="12" t="str"/>
      <x:c r="P58" t="str"/>
      <x:c r="Q58" t="str"/>
      <x:c r="R58" t="str">
        <x:f>IFERROR(VLOOKUP(Q58,Catalogos!$G:$H,2,FALSE),"")</x:f>
      </x:c>
      <x:c r="S58" t="str"/>
      <x:c r="T58" t="str">
        <x:f>IFERROR(VLOOKUP(S58,Catalogos!$I:$J,2,FALSE),"")</x:f>
      </x:c>
      <x:c r="U58" t="str">
        <x:f>IF(OR(R58="",T58=""),"",R58*T58)</x:f>
      </x:c>
      <x:c r="V58" t="str">
        <x:f>IF(U58="","",IF(U58&gt;=24,"MUY ALTO",IF(U58&gt;=10,"ALTO",IF(U58&gt;=6,"MEDIO","BAJO"))))</x:f>
      </x:c>
      <x:c r="W58" t="str"/>
      <x:c r="X58" t="str">
        <x:f>IFERROR(VLOOKUP(W58,Catalogos!$G:$H,2,FALSE),"")</x:f>
      </x:c>
      <x:c r="Y58" t="str">
        <x:f>IF(OR(U58="",X58=""),"",U58*X58)</x:f>
      </x:c>
      <x:c r="Z58" t="str">
        <x:f>IF(Y58="","",IF(Y58&gt;=600,"I - Situación crítica. Suspender actividades hasta que el riesgo esté bajo control. Intervención urgente.",IF(Y58&gt;=150,"II - Corregir y adoptar medidas de control de inmediato.",IF(Y58&gt;=40,"III - Mejorar si es posible. Conviene justificar la intervención y su rentabilidad.","IV - Mantener controles existentes."))))</x:f>
      </x:c>
      <x:c r="AA58" t="str">
        <x:f>IF(Y58="","",IF(Y58&gt;=600,"No aceptable",IF(Y58&gt;=150,"No aceptable / Aceptable con control específico","Aceptable")))</x:f>
      </x:c>
      <x:c r="AB58" s="12" t="str"/>
      <x:c r="AC58" s="12" t="str"/>
      <x:c r="AD58" s="12" t="str"/>
      <x:c r="AE58" s="12" t="str"/>
      <x:c r="AF58" s="12" t="str"/>
      <x:c r="AG58" s="12" t="str"/>
      <x:c r="AH58" s="16" t="str"/>
      <x:c r="AI58" s="12" t="str"/>
    </x:row>
    <x:row r="59">
      <x:c r="A59" t="str"/>
      <x:c r="B59" t="str"/>
      <x:c r="C59" t="str"/>
      <x:c r="D59" s="12" t="str"/>
      <x:c r="E59" s="12" t="str"/>
      <x:c r="F59" s="12" t="str"/>
      <x:c r="G59" s="12" t="str"/>
      <x:c r="H59" s="12" t="str"/>
      <x:c r="I59" s="12" t="str"/>
      <x:c r="J59" s="12" t="str"/>
      <x:c r="K59" s="12" t="str"/>
      <x:c r="L59" s="12" t="str"/>
      <x:c r="M59" s="12" t="str"/>
      <x:c r="N59" s="12" t="str"/>
      <x:c r="O59" s="12" t="str"/>
      <x:c r="P59" t="str"/>
      <x:c r="Q59" t="str"/>
      <x:c r="R59" t="str">
        <x:f>IFERROR(VLOOKUP(Q59,Catalogos!$G:$H,2,FALSE),"")</x:f>
      </x:c>
      <x:c r="S59" t="str"/>
      <x:c r="T59" t="str">
        <x:f>IFERROR(VLOOKUP(S59,Catalogos!$I:$J,2,FALSE),"")</x:f>
      </x:c>
      <x:c r="U59" t="str">
        <x:f>IF(OR(R59="",T59=""),"",R59*T59)</x:f>
      </x:c>
      <x:c r="V59" t="str">
        <x:f>IF(U59="","",IF(U59&gt;=24,"MUY ALTO",IF(U59&gt;=10,"ALTO",IF(U59&gt;=6,"MEDIO","BAJO"))))</x:f>
      </x:c>
      <x:c r="W59" t="str"/>
      <x:c r="X59" t="str">
        <x:f>IFERROR(VLOOKUP(W59,Catalogos!$G:$H,2,FALSE),"")</x:f>
      </x:c>
      <x:c r="Y59" t="str">
        <x:f>IF(OR(U59="",X59=""),"",U59*X59)</x:f>
      </x:c>
      <x:c r="Z59" t="str">
        <x:f>IF(Y59="","",IF(Y59&gt;=600,"I - Situación crítica. Suspender actividades hasta que el riesgo esté bajo control. Intervención urgente.",IF(Y59&gt;=150,"II - Corregir y adoptar medidas de control de inmediato.",IF(Y59&gt;=40,"III - Mejorar si es posible. Conviene justificar la intervención y su rentabilidad.","IV - Mantener controles existentes."))))</x:f>
      </x:c>
      <x:c r="AA59" t="str">
        <x:f>IF(Y59="","",IF(Y59&gt;=600,"No aceptable",IF(Y59&gt;=150,"No aceptable / Aceptable con control específico","Aceptable")))</x:f>
      </x:c>
      <x:c r="AB59" s="12" t="str"/>
      <x:c r="AC59" s="12" t="str"/>
      <x:c r="AD59" s="12" t="str"/>
      <x:c r="AE59" s="12" t="str"/>
      <x:c r="AF59" s="12" t="str"/>
      <x:c r="AG59" s="12" t="str"/>
      <x:c r="AH59" s="16" t="str"/>
      <x:c r="AI59" s="12" t="str"/>
    </x:row>
    <x:row r="60">
      <x:c r="A60" t="str"/>
      <x:c r="B60" t="str"/>
      <x:c r="C60" t="str"/>
      <x:c r="D60" s="12" t="str"/>
      <x:c r="E60" s="12" t="str"/>
      <x:c r="F60" s="12" t="str"/>
      <x:c r="G60" s="12" t="str"/>
      <x:c r="H60" s="12" t="str"/>
      <x:c r="I60" s="12" t="str"/>
      <x:c r="J60" s="12" t="str"/>
      <x:c r="K60" s="12" t="str"/>
      <x:c r="L60" s="12" t="str"/>
      <x:c r="M60" s="12" t="str"/>
      <x:c r="N60" s="12" t="str"/>
      <x:c r="O60" s="12" t="str"/>
      <x:c r="P60" t="str"/>
      <x:c r="Q60" t="str"/>
      <x:c r="R60" t="str">
        <x:f>IFERROR(VLOOKUP(Q60,Catalogos!$G:$H,2,FALSE),"")</x:f>
      </x:c>
      <x:c r="S60" t="str"/>
      <x:c r="T60" t="str">
        <x:f>IFERROR(VLOOKUP(S60,Catalogos!$I:$J,2,FALSE),"")</x:f>
      </x:c>
      <x:c r="U60" t="str">
        <x:f>IF(OR(R60="",T60=""),"",R60*T60)</x:f>
      </x:c>
      <x:c r="V60" t="str">
        <x:f>IF(U60="","",IF(U60&gt;=24,"MUY ALTO",IF(U60&gt;=10,"ALTO",IF(U60&gt;=6,"MEDIO","BAJO"))))</x:f>
      </x:c>
      <x:c r="W60" t="str"/>
      <x:c r="X60" t="str">
        <x:f>IFERROR(VLOOKUP(W60,Catalogos!$G:$H,2,FALSE),"")</x:f>
      </x:c>
      <x:c r="Y60" t="str">
        <x:f>IF(OR(U60="",X60=""),"",U60*X60)</x:f>
      </x:c>
      <x:c r="Z60" t="str">
        <x:f>IF(Y60="","",IF(Y60&gt;=600,"I - Situación crítica. Suspender actividades hasta que el riesgo esté bajo control. Intervención urgente.",IF(Y60&gt;=150,"II - Corregir y adoptar medidas de control de inmediato.",IF(Y60&gt;=40,"III - Mejorar si es posible. Conviene justificar la intervención y su rentabilidad.","IV - Mantener controles existentes."))))</x:f>
      </x:c>
      <x:c r="AA60" t="str">
        <x:f>IF(Y60="","",IF(Y60&gt;=600,"No aceptable",IF(Y60&gt;=150,"No aceptable / Aceptable con control específico","Aceptable")))</x:f>
      </x:c>
      <x:c r="AB60" s="12" t="str"/>
      <x:c r="AC60" s="12" t="str"/>
      <x:c r="AD60" s="12" t="str"/>
      <x:c r="AE60" s="12" t="str"/>
      <x:c r="AF60" s="12" t="str"/>
      <x:c r="AG60" s="12" t="str"/>
      <x:c r="AH60" s="16" t="str"/>
      <x:c r="AI60" s="12" t="str"/>
    </x:row>
    <x:row r="61">
      <x:c r="A61" t="str"/>
      <x:c r="B61" t="str"/>
      <x:c r="C61" t="str"/>
      <x:c r="D61" s="12" t="str"/>
      <x:c r="E61" s="12" t="str"/>
      <x:c r="F61" s="12" t="str"/>
      <x:c r="G61" s="12" t="str"/>
      <x:c r="H61" s="12" t="str"/>
      <x:c r="I61" s="12" t="str"/>
      <x:c r="J61" s="12" t="str"/>
      <x:c r="K61" s="12" t="str"/>
      <x:c r="L61" s="12" t="str"/>
      <x:c r="M61" s="12" t="str"/>
      <x:c r="N61" s="12" t="str"/>
      <x:c r="O61" s="12" t="str"/>
      <x:c r="P61" t="str"/>
      <x:c r="Q61" t="str"/>
      <x:c r="R61" t="str">
        <x:f>IFERROR(VLOOKUP(Q61,Catalogos!$G:$H,2,FALSE),"")</x:f>
      </x:c>
      <x:c r="S61" t="str"/>
      <x:c r="T61" t="str">
        <x:f>IFERROR(VLOOKUP(S61,Catalogos!$I:$J,2,FALSE),"")</x:f>
      </x:c>
      <x:c r="U61" t="str">
        <x:f>IF(OR(R61="",T61=""),"",R61*T61)</x:f>
      </x:c>
      <x:c r="V61" t="str">
        <x:f>IF(U61="","",IF(U61&gt;=24,"MUY ALTO",IF(U61&gt;=10,"ALTO",IF(U61&gt;=6,"MEDIO","BAJO"))))</x:f>
      </x:c>
      <x:c r="W61" t="str"/>
      <x:c r="X61" t="str">
        <x:f>IFERROR(VLOOKUP(W61,Catalogos!$G:$H,2,FALSE),"")</x:f>
      </x:c>
      <x:c r="Y61" t="str">
        <x:f>IF(OR(U61="",X61=""),"",U61*X61)</x:f>
      </x:c>
      <x:c r="Z61" t="str">
        <x:f>IF(Y61="","",IF(Y61&gt;=600,"I - Situación crítica. Suspender actividades hasta que el riesgo esté bajo control. Intervención urgente.",IF(Y61&gt;=150,"II - Corregir y adoptar medidas de control de inmediato.",IF(Y61&gt;=40,"III - Mejorar si es posible. Conviene justificar la intervención y su rentabilidad.","IV - Mantener controles existentes."))))</x:f>
      </x:c>
      <x:c r="AA61" t="str">
        <x:f>IF(Y61="","",IF(Y61&gt;=600,"No aceptable",IF(Y61&gt;=150,"No aceptable / Aceptable con control específico","Aceptable")))</x:f>
      </x:c>
      <x:c r="AB61" s="12" t="str"/>
      <x:c r="AC61" s="12" t="str"/>
      <x:c r="AD61" s="12" t="str"/>
      <x:c r="AE61" s="12" t="str"/>
      <x:c r="AF61" s="12" t="str"/>
      <x:c r="AG61" s="12" t="str"/>
      <x:c r="AH61" s="16" t="str"/>
      <x:c r="AI61" s="12" t="str"/>
    </x:row>
    <x:row r="62">
      <x:c r="A62" t="str"/>
      <x:c r="B62" t="str"/>
      <x:c r="C62" t="str"/>
      <x:c r="D62" s="12" t="str"/>
      <x:c r="E62" s="12" t="str"/>
      <x:c r="F62" s="12" t="str"/>
      <x:c r="G62" s="12" t="str"/>
      <x:c r="H62" s="12" t="str"/>
      <x:c r="I62" s="12" t="str"/>
      <x:c r="J62" s="12" t="str"/>
      <x:c r="K62" s="12" t="str"/>
      <x:c r="L62" s="12" t="str"/>
      <x:c r="M62" s="12" t="str"/>
      <x:c r="N62" s="12" t="str"/>
      <x:c r="O62" s="12" t="str"/>
      <x:c r="P62" t="str"/>
      <x:c r="Q62" t="str"/>
      <x:c r="R62" t="str">
        <x:f>IFERROR(VLOOKUP(Q62,Catalogos!$G:$H,2,FALSE),"")</x:f>
      </x:c>
      <x:c r="S62" t="str"/>
      <x:c r="T62" t="str">
        <x:f>IFERROR(VLOOKUP(S62,Catalogos!$I:$J,2,FALSE),"")</x:f>
      </x:c>
      <x:c r="U62" t="str">
        <x:f>IF(OR(R62="",T62=""),"",R62*T62)</x:f>
      </x:c>
      <x:c r="V62" t="str">
        <x:f>IF(U62="","",IF(U62&gt;=24,"MUY ALTO",IF(U62&gt;=10,"ALTO",IF(U62&gt;=6,"MEDIO","BAJO"))))</x:f>
      </x:c>
      <x:c r="W62" t="str"/>
      <x:c r="X62" t="str">
        <x:f>IFERROR(VLOOKUP(W62,Catalogos!$G:$H,2,FALSE),"")</x:f>
      </x:c>
      <x:c r="Y62" t="str">
        <x:f>IF(OR(U62="",X62=""),"",U62*X62)</x:f>
      </x:c>
      <x:c r="Z62" t="str">
        <x:f>IF(Y62="","",IF(Y62&gt;=600,"I - Situación crítica. Suspender actividades hasta que el riesgo esté bajo control. Intervención urgente.",IF(Y62&gt;=150,"II - Corregir y adoptar medidas de control de inmediato.",IF(Y62&gt;=40,"III - Mejorar si es posible. Conviene justificar la intervención y su rentabilidad.","IV - Mantener controles existentes."))))</x:f>
      </x:c>
      <x:c r="AA62" t="str">
        <x:f>IF(Y62="","",IF(Y62&gt;=600,"No aceptable",IF(Y62&gt;=150,"No aceptable / Aceptable con control específico","Aceptable")))</x:f>
      </x:c>
      <x:c r="AB62" s="12" t="str"/>
      <x:c r="AC62" s="12" t="str"/>
      <x:c r="AD62" s="12" t="str"/>
      <x:c r="AE62" s="12" t="str"/>
      <x:c r="AF62" s="12" t="str"/>
      <x:c r="AG62" s="12" t="str"/>
      <x:c r="AH62" s="16" t="str"/>
      <x:c r="AI62" s="12" t="str"/>
    </x:row>
    <x:row r="63">
      <x:c r="A63" t="str"/>
      <x:c r="B63" t="str"/>
      <x:c r="C63" t="str"/>
      <x:c r="D63" s="12" t="str"/>
      <x:c r="E63" s="12" t="str"/>
      <x:c r="F63" s="12" t="str"/>
      <x:c r="G63" s="12" t="str"/>
      <x:c r="H63" s="12" t="str"/>
      <x:c r="I63" s="12" t="str"/>
      <x:c r="J63" s="12" t="str"/>
      <x:c r="K63" s="12" t="str"/>
      <x:c r="L63" s="12" t="str"/>
      <x:c r="M63" s="12" t="str"/>
      <x:c r="N63" s="12" t="str"/>
      <x:c r="O63" s="12" t="str"/>
      <x:c r="P63" t="str"/>
      <x:c r="Q63" t="str"/>
      <x:c r="R63" t="str">
        <x:f>IFERROR(VLOOKUP(Q63,Catalogos!$G:$H,2,FALSE),"")</x:f>
      </x:c>
      <x:c r="S63" t="str"/>
      <x:c r="T63" t="str">
        <x:f>IFERROR(VLOOKUP(S63,Catalogos!$I:$J,2,FALSE),"")</x:f>
      </x:c>
      <x:c r="U63" t="str">
        <x:f>IF(OR(R63="",T63=""),"",R63*T63)</x:f>
      </x:c>
      <x:c r="V63" t="str">
        <x:f>IF(U63="","",IF(U63&gt;=24,"MUY ALTO",IF(U63&gt;=10,"ALTO",IF(U63&gt;=6,"MEDIO","BAJO"))))</x:f>
      </x:c>
      <x:c r="W63" t="str"/>
      <x:c r="X63" t="str">
        <x:f>IFERROR(VLOOKUP(W63,Catalogos!$G:$H,2,FALSE),"")</x:f>
      </x:c>
      <x:c r="Y63" t="str">
        <x:f>IF(OR(U63="",X63=""),"",U63*X63)</x:f>
      </x:c>
      <x:c r="Z63" t="str">
        <x:f>IF(Y63="","",IF(Y63&gt;=600,"I - Situación crítica. Suspender actividades hasta que el riesgo esté bajo control. Intervención urgente.",IF(Y63&gt;=150,"II - Corregir y adoptar medidas de control de inmediato.",IF(Y63&gt;=40,"III - Mejorar si es posible. Conviene justificar la intervención y su rentabilidad.","IV - Mantener controles existentes."))))</x:f>
      </x:c>
      <x:c r="AA63" t="str">
        <x:f>IF(Y63="","",IF(Y63&gt;=600,"No aceptable",IF(Y63&gt;=150,"No aceptable / Aceptable con control específico","Aceptable")))</x:f>
      </x:c>
      <x:c r="AB63" s="12" t="str"/>
      <x:c r="AC63" s="12" t="str"/>
      <x:c r="AD63" s="12" t="str"/>
      <x:c r="AE63" s="12" t="str"/>
      <x:c r="AF63" s="12" t="str"/>
      <x:c r="AG63" s="12" t="str"/>
      <x:c r="AH63" s="16" t="str"/>
      <x:c r="AI63" s="12" t="str"/>
    </x:row>
    <x:row r="64">
      <x:c r="A64" t="str"/>
      <x:c r="B64" t="str"/>
      <x:c r="C64" t="str"/>
      <x:c r="D64" s="12" t="str"/>
      <x:c r="E64" s="12" t="str"/>
      <x:c r="F64" s="12" t="str"/>
      <x:c r="G64" s="12" t="str"/>
      <x:c r="H64" s="12" t="str"/>
      <x:c r="I64" s="12" t="str"/>
      <x:c r="J64" s="12" t="str"/>
      <x:c r="K64" s="12" t="str"/>
      <x:c r="L64" s="12" t="str"/>
      <x:c r="M64" s="12" t="str"/>
      <x:c r="N64" s="12" t="str"/>
      <x:c r="O64" s="12" t="str"/>
      <x:c r="P64" t="str"/>
      <x:c r="Q64" t="str"/>
      <x:c r="R64" t="str">
        <x:f>IFERROR(VLOOKUP(Q64,Catalogos!$G:$H,2,FALSE),"")</x:f>
      </x:c>
      <x:c r="S64" t="str"/>
      <x:c r="T64" t="str">
        <x:f>IFERROR(VLOOKUP(S64,Catalogos!$I:$J,2,FALSE),"")</x:f>
      </x:c>
      <x:c r="U64" t="str">
        <x:f>IF(OR(R64="",T64=""),"",R64*T64)</x:f>
      </x:c>
      <x:c r="V64" t="str">
        <x:f>IF(U64="","",IF(U64&gt;=24,"MUY ALTO",IF(U64&gt;=10,"ALTO",IF(U64&gt;=6,"MEDIO","BAJO"))))</x:f>
      </x:c>
      <x:c r="W64" t="str"/>
      <x:c r="X64" t="str">
        <x:f>IFERROR(VLOOKUP(W64,Catalogos!$G:$H,2,FALSE),"")</x:f>
      </x:c>
      <x:c r="Y64" t="str">
        <x:f>IF(OR(U64="",X64=""),"",U64*X64)</x:f>
      </x:c>
      <x:c r="Z64" t="str">
        <x:f>IF(Y64="","",IF(Y64&gt;=600,"I - Situación crítica. Suspender actividades hasta que el riesgo esté bajo control. Intervención urgente.",IF(Y64&gt;=150,"II - Corregir y adoptar medidas de control de inmediato.",IF(Y64&gt;=40,"III - Mejorar si es posible. Conviene justificar la intervención y su rentabilidad.","IV - Mantener controles existentes."))))</x:f>
      </x:c>
      <x:c r="AA64" t="str">
        <x:f>IF(Y64="","",IF(Y64&gt;=600,"No aceptable",IF(Y64&gt;=150,"No aceptable / Aceptable con control específico","Aceptable")))</x:f>
      </x:c>
      <x:c r="AB64" s="12" t="str"/>
      <x:c r="AC64" s="12" t="str"/>
      <x:c r="AD64" s="12" t="str"/>
      <x:c r="AE64" s="12" t="str"/>
      <x:c r="AF64" s="12" t="str"/>
      <x:c r="AG64" s="12" t="str"/>
      <x:c r="AH64" s="16" t="str"/>
      <x:c r="AI64" s="12" t="str"/>
    </x:row>
    <x:row r="65">
      <x:c r="A65" t="str"/>
      <x:c r="B65" t="str"/>
      <x:c r="C65" t="str"/>
      <x:c r="D65" s="12" t="str"/>
      <x:c r="E65" s="12" t="str"/>
      <x:c r="F65" s="12" t="str"/>
      <x:c r="G65" s="12" t="str"/>
      <x:c r="H65" s="12" t="str"/>
      <x:c r="I65" s="12" t="str"/>
      <x:c r="J65" s="12" t="str"/>
      <x:c r="K65" s="12" t="str"/>
      <x:c r="L65" s="12" t="str"/>
      <x:c r="M65" s="12" t="str"/>
      <x:c r="N65" s="12" t="str"/>
      <x:c r="O65" s="12" t="str"/>
      <x:c r="P65" t="str"/>
      <x:c r="Q65" t="str"/>
      <x:c r="R65" t="str">
        <x:f>IFERROR(VLOOKUP(Q65,Catalogos!$G:$H,2,FALSE),"")</x:f>
      </x:c>
      <x:c r="S65" t="str"/>
      <x:c r="T65" t="str">
        <x:f>IFERROR(VLOOKUP(S65,Catalogos!$I:$J,2,FALSE),"")</x:f>
      </x:c>
      <x:c r="U65" t="str">
        <x:f>IF(OR(R65="",T65=""),"",R65*T65)</x:f>
      </x:c>
      <x:c r="V65" t="str">
        <x:f>IF(U65="","",IF(U65&gt;=24,"MUY ALTO",IF(U65&gt;=10,"ALTO",IF(U65&gt;=6,"MEDIO","BAJO"))))</x:f>
      </x:c>
      <x:c r="W65" t="str"/>
      <x:c r="X65" t="str">
        <x:f>IFERROR(VLOOKUP(W65,Catalogos!$G:$H,2,FALSE),"")</x:f>
      </x:c>
      <x:c r="Y65" t="str">
        <x:f>IF(OR(U65="",X65=""),"",U65*X65)</x:f>
      </x:c>
      <x:c r="Z65" t="str">
        <x:f>IF(Y65="","",IF(Y65&gt;=600,"I - Situación crítica. Suspender actividades hasta que el riesgo esté bajo control. Intervención urgente.",IF(Y65&gt;=150,"II - Corregir y adoptar medidas de control de inmediato.",IF(Y65&gt;=40,"III - Mejorar si es posible. Conviene justificar la intervención y su rentabilidad.","IV - Mantener controles existentes."))))</x:f>
      </x:c>
      <x:c r="AA65" t="str">
        <x:f>IF(Y65="","",IF(Y65&gt;=600,"No aceptable",IF(Y65&gt;=150,"No aceptable / Aceptable con control específico","Aceptable")))</x:f>
      </x:c>
      <x:c r="AB65" s="12" t="str"/>
      <x:c r="AC65" s="12" t="str"/>
      <x:c r="AD65" s="12" t="str"/>
      <x:c r="AE65" s="12" t="str"/>
      <x:c r="AF65" s="12" t="str"/>
      <x:c r="AG65" s="12" t="str"/>
      <x:c r="AH65" s="16" t="str"/>
      <x:c r="AI65" s="12" t="str"/>
    </x:row>
    <x:row r="66">
      <x:c r="A66" t="str"/>
      <x:c r="B66" t="str"/>
      <x:c r="C66" t="str"/>
      <x:c r="D66" s="12" t="str"/>
      <x:c r="E66" s="12" t="str"/>
      <x:c r="F66" s="12" t="str"/>
      <x:c r="G66" s="12" t="str"/>
      <x:c r="H66" s="12" t="str"/>
      <x:c r="I66" s="12" t="str"/>
      <x:c r="J66" s="12" t="str"/>
      <x:c r="K66" s="12" t="str"/>
      <x:c r="L66" s="12" t="str"/>
      <x:c r="M66" s="12" t="str"/>
      <x:c r="N66" s="12" t="str"/>
      <x:c r="O66" s="12" t="str"/>
      <x:c r="P66" t="str"/>
      <x:c r="Q66" t="str"/>
      <x:c r="R66" t="str">
        <x:f>IFERROR(VLOOKUP(Q66,Catalogos!$G:$H,2,FALSE),"")</x:f>
      </x:c>
      <x:c r="S66" t="str"/>
      <x:c r="T66" t="str">
        <x:f>IFERROR(VLOOKUP(S66,Catalogos!$I:$J,2,FALSE),"")</x:f>
      </x:c>
      <x:c r="U66" t="str">
        <x:f>IF(OR(R66="",T66=""),"",R66*T66)</x:f>
      </x:c>
      <x:c r="V66" t="str">
        <x:f>IF(U66="","",IF(U66&gt;=24,"MUY ALTO",IF(U66&gt;=10,"ALTO",IF(U66&gt;=6,"MEDIO","BAJO"))))</x:f>
      </x:c>
      <x:c r="W66" t="str"/>
      <x:c r="X66" t="str">
        <x:f>IFERROR(VLOOKUP(W66,Catalogos!$G:$H,2,FALSE),"")</x:f>
      </x:c>
      <x:c r="Y66" t="str">
        <x:f>IF(OR(U66="",X66=""),"",U66*X66)</x:f>
      </x:c>
      <x:c r="Z66" t="str">
        <x:f>IF(Y66="","",IF(Y66&gt;=600,"I - Situación crítica. Suspender actividades hasta que el riesgo esté bajo control. Intervención urgente.",IF(Y66&gt;=150,"II - Corregir y adoptar medidas de control de inmediato.",IF(Y66&gt;=40,"III - Mejorar si es posible. Conviene justificar la intervención y su rentabilidad.","IV - Mantener controles existentes."))))</x:f>
      </x:c>
      <x:c r="AA66" t="str">
        <x:f>IF(Y66="","",IF(Y66&gt;=600,"No aceptable",IF(Y66&gt;=150,"No aceptable / Aceptable con control específico","Aceptable")))</x:f>
      </x:c>
      <x:c r="AB66" s="12" t="str"/>
      <x:c r="AC66" s="12" t="str"/>
      <x:c r="AD66" s="12" t="str"/>
      <x:c r="AE66" s="12" t="str"/>
      <x:c r="AF66" s="12" t="str"/>
      <x:c r="AG66" s="12" t="str"/>
      <x:c r="AH66" s="16" t="str"/>
      <x:c r="AI66" s="12" t="str"/>
    </x:row>
    <x:row r="67">
      <x:c r="A67" t="str"/>
      <x:c r="B67" t="str"/>
      <x:c r="C67" t="str"/>
      <x:c r="D67" s="12" t="str"/>
      <x:c r="E67" s="12" t="str"/>
      <x:c r="F67" s="12" t="str"/>
      <x:c r="G67" s="12" t="str"/>
      <x:c r="H67" s="12" t="str"/>
      <x:c r="I67" s="12" t="str"/>
      <x:c r="J67" s="12" t="str"/>
      <x:c r="K67" s="12" t="str"/>
      <x:c r="L67" s="12" t="str"/>
      <x:c r="M67" s="12" t="str"/>
      <x:c r="N67" s="12" t="str"/>
      <x:c r="O67" s="12" t="str"/>
      <x:c r="P67" t="str"/>
      <x:c r="Q67" t="str"/>
      <x:c r="R67" t="str">
        <x:f>IFERROR(VLOOKUP(Q67,Catalogos!$G:$H,2,FALSE),"")</x:f>
      </x:c>
      <x:c r="S67" t="str"/>
      <x:c r="T67" t="str">
        <x:f>IFERROR(VLOOKUP(S67,Catalogos!$I:$J,2,FALSE),"")</x:f>
      </x:c>
      <x:c r="U67" t="str">
        <x:f>IF(OR(R67="",T67=""),"",R67*T67)</x:f>
      </x:c>
      <x:c r="V67" t="str">
        <x:f>IF(U67="","",IF(U67&gt;=24,"MUY ALTO",IF(U67&gt;=10,"ALTO",IF(U67&gt;=6,"MEDIO","BAJO"))))</x:f>
      </x:c>
      <x:c r="W67" t="str"/>
      <x:c r="X67" t="str">
        <x:f>IFERROR(VLOOKUP(W67,Catalogos!$G:$H,2,FALSE),"")</x:f>
      </x:c>
      <x:c r="Y67" t="str">
        <x:f>IF(OR(U67="",X67=""),"",U67*X67)</x:f>
      </x:c>
      <x:c r="Z67" t="str">
        <x:f>IF(Y67="","",IF(Y67&gt;=600,"I - Situación crítica. Suspender actividades hasta que el riesgo esté bajo control. Intervención urgente.",IF(Y67&gt;=150,"II - Corregir y adoptar medidas de control de inmediato.",IF(Y67&gt;=40,"III - Mejorar si es posible. Conviene justificar la intervención y su rentabilidad.","IV - Mantener controles existentes."))))</x:f>
      </x:c>
      <x:c r="AA67" t="str">
        <x:f>IF(Y67="","",IF(Y67&gt;=600,"No aceptable",IF(Y67&gt;=150,"No aceptable / Aceptable con control específico","Aceptable")))</x:f>
      </x:c>
      <x:c r="AB67" s="12" t="str"/>
      <x:c r="AC67" s="12" t="str"/>
      <x:c r="AD67" s="12" t="str"/>
      <x:c r="AE67" s="12" t="str"/>
      <x:c r="AF67" s="12" t="str"/>
      <x:c r="AG67" s="12" t="str"/>
      <x:c r="AH67" s="16" t="str"/>
      <x:c r="AI67" s="12" t="str"/>
    </x:row>
    <x:row r="68">
      <x:c r="A68" t="str"/>
      <x:c r="B68" t="str"/>
      <x:c r="C68" t="str"/>
      <x:c r="D68" s="12" t="str"/>
      <x:c r="E68" s="12" t="str"/>
      <x:c r="F68" s="12" t="str"/>
      <x:c r="G68" s="12" t="str"/>
      <x:c r="H68" s="12" t="str"/>
      <x:c r="I68" s="12" t="str"/>
      <x:c r="J68" s="12" t="str"/>
      <x:c r="K68" s="12" t="str"/>
      <x:c r="L68" s="12" t="str"/>
      <x:c r="M68" s="12" t="str"/>
      <x:c r="N68" s="12" t="str"/>
      <x:c r="O68" s="12" t="str"/>
      <x:c r="P68" t="str"/>
      <x:c r="Q68" t="str"/>
      <x:c r="R68" t="str">
        <x:f>IFERROR(VLOOKUP(Q68,Catalogos!$G:$H,2,FALSE),"")</x:f>
      </x:c>
      <x:c r="S68" t="str"/>
      <x:c r="T68" t="str">
        <x:f>IFERROR(VLOOKUP(S68,Catalogos!$I:$J,2,FALSE),"")</x:f>
      </x:c>
      <x:c r="U68" t="str">
        <x:f>IF(OR(R68="",T68=""),"",R68*T68)</x:f>
      </x:c>
      <x:c r="V68" t="str">
        <x:f>IF(U68="","",IF(U68&gt;=24,"MUY ALTO",IF(U68&gt;=10,"ALTO",IF(U68&gt;=6,"MEDIO","BAJO"))))</x:f>
      </x:c>
      <x:c r="W68" t="str"/>
      <x:c r="X68" t="str">
        <x:f>IFERROR(VLOOKUP(W68,Catalogos!$G:$H,2,FALSE),"")</x:f>
      </x:c>
      <x:c r="Y68" t="str">
        <x:f>IF(OR(U68="",X68=""),"",U68*X68)</x:f>
      </x:c>
      <x:c r="Z68" t="str">
        <x:f>IF(Y68="","",IF(Y68&gt;=600,"I - Situación crítica. Suspender actividades hasta que el riesgo esté bajo control. Intervención urgente.",IF(Y68&gt;=150,"II - Corregir y adoptar medidas de control de inmediato.",IF(Y68&gt;=40,"III - Mejorar si es posible. Conviene justificar la intervención y su rentabilidad.","IV - Mantener controles existentes."))))</x:f>
      </x:c>
      <x:c r="AA68" t="str">
        <x:f>IF(Y68="","",IF(Y68&gt;=600,"No aceptable",IF(Y68&gt;=150,"No aceptable / Aceptable con control específico","Aceptable")))</x:f>
      </x:c>
      <x:c r="AB68" s="12" t="str"/>
      <x:c r="AC68" s="12" t="str"/>
      <x:c r="AD68" s="12" t="str"/>
      <x:c r="AE68" s="12" t="str"/>
      <x:c r="AF68" s="12" t="str"/>
      <x:c r="AG68" s="12" t="str"/>
      <x:c r="AH68" s="16" t="str"/>
      <x:c r="AI68" s="12" t="str"/>
    </x:row>
    <x:row r="69">
      <x:c r="A69" t="str"/>
      <x:c r="B69" t="str"/>
      <x:c r="C69" t="str"/>
      <x:c r="D69" s="12" t="str"/>
      <x:c r="E69" s="12" t="str"/>
      <x:c r="F69" s="12" t="str"/>
      <x:c r="G69" s="12" t="str"/>
      <x:c r="H69" s="12" t="str"/>
      <x:c r="I69" s="12" t="str"/>
      <x:c r="J69" s="12" t="str"/>
      <x:c r="K69" s="12" t="str"/>
      <x:c r="L69" s="12" t="str"/>
      <x:c r="M69" s="12" t="str"/>
      <x:c r="N69" s="12" t="str"/>
      <x:c r="O69" s="12" t="str"/>
      <x:c r="P69" t="str"/>
      <x:c r="Q69" t="str"/>
      <x:c r="R69" t="str">
        <x:f>IFERROR(VLOOKUP(Q69,Catalogos!$G:$H,2,FALSE),"")</x:f>
      </x:c>
      <x:c r="S69" t="str"/>
      <x:c r="T69" t="str">
        <x:f>IFERROR(VLOOKUP(S69,Catalogos!$I:$J,2,FALSE),"")</x:f>
      </x:c>
      <x:c r="U69" t="str">
        <x:f>IF(OR(R69="",T69=""),"",R69*T69)</x:f>
      </x:c>
      <x:c r="V69" t="str">
        <x:f>IF(U69="","",IF(U69&gt;=24,"MUY ALTO",IF(U69&gt;=10,"ALTO",IF(U69&gt;=6,"MEDIO","BAJO"))))</x:f>
      </x:c>
      <x:c r="W69" t="str"/>
      <x:c r="X69" t="str">
        <x:f>IFERROR(VLOOKUP(W69,Catalogos!$G:$H,2,FALSE),"")</x:f>
      </x:c>
      <x:c r="Y69" t="str">
        <x:f>IF(OR(U69="",X69=""),"",U69*X69)</x:f>
      </x:c>
      <x:c r="Z69" t="str">
        <x:f>IF(Y69="","",IF(Y69&gt;=600,"I - Situación crítica. Suspender actividades hasta que el riesgo esté bajo control. Intervención urgente.",IF(Y69&gt;=150,"II - Corregir y adoptar medidas de control de inmediato.",IF(Y69&gt;=40,"III - Mejorar si es posible. Conviene justificar la intervención y su rentabilidad.","IV - Mantener controles existentes."))))</x:f>
      </x:c>
      <x:c r="AA69" t="str">
        <x:f>IF(Y69="","",IF(Y69&gt;=600,"No aceptable",IF(Y69&gt;=150,"No aceptable / Aceptable con control específico","Aceptable")))</x:f>
      </x:c>
      <x:c r="AB69" s="12" t="str"/>
      <x:c r="AC69" s="12" t="str"/>
      <x:c r="AD69" s="12" t="str"/>
      <x:c r="AE69" s="12" t="str"/>
      <x:c r="AF69" s="12" t="str"/>
      <x:c r="AG69" s="12" t="str"/>
      <x:c r="AH69" s="16" t="str"/>
      <x:c r="AI69" s="12" t="str"/>
    </x:row>
    <x:row r="70">
      <x:c r="A70" t="str"/>
      <x:c r="B70" t="str"/>
      <x:c r="C70" t="str"/>
      <x:c r="D70" s="12" t="str"/>
      <x:c r="E70" s="12" t="str"/>
      <x:c r="F70" s="12" t="str"/>
      <x:c r="G70" s="12" t="str"/>
      <x:c r="H70" s="12" t="str"/>
      <x:c r="I70" s="12" t="str"/>
      <x:c r="J70" s="12" t="str"/>
      <x:c r="K70" s="12" t="str"/>
      <x:c r="L70" s="12" t="str"/>
      <x:c r="M70" s="12" t="str"/>
      <x:c r="N70" s="12" t="str"/>
      <x:c r="O70" s="12" t="str"/>
      <x:c r="P70" t="str"/>
      <x:c r="Q70" t="str"/>
      <x:c r="R70" t="str">
        <x:f>IFERROR(VLOOKUP(Q70,Catalogos!$G:$H,2,FALSE),"")</x:f>
      </x:c>
      <x:c r="S70" t="str"/>
      <x:c r="T70" t="str">
        <x:f>IFERROR(VLOOKUP(S70,Catalogos!$I:$J,2,FALSE),"")</x:f>
      </x:c>
      <x:c r="U70" t="str">
        <x:f>IF(OR(R70="",T70=""),"",R70*T70)</x:f>
      </x:c>
      <x:c r="V70" t="str">
        <x:f>IF(U70="","",IF(U70&gt;=24,"MUY ALTO",IF(U70&gt;=10,"ALTO",IF(U70&gt;=6,"MEDIO","BAJO"))))</x:f>
      </x:c>
      <x:c r="W70" t="str"/>
      <x:c r="X70" t="str">
        <x:f>IFERROR(VLOOKUP(W70,Catalogos!$G:$H,2,FALSE),"")</x:f>
      </x:c>
      <x:c r="Y70" t="str">
        <x:f>IF(OR(U70="",X70=""),"",U70*X70)</x:f>
      </x:c>
      <x:c r="Z70" t="str">
        <x:f>IF(Y70="","",IF(Y70&gt;=600,"I - Situación crítica. Suspender actividades hasta que el riesgo esté bajo control. Intervención urgente.",IF(Y70&gt;=150,"II - Corregir y adoptar medidas de control de inmediato.",IF(Y70&gt;=40,"III - Mejorar si es posible. Conviene justificar la intervención y su rentabilidad.","IV - Mantener controles existentes."))))</x:f>
      </x:c>
      <x:c r="AA70" t="str">
        <x:f>IF(Y70="","",IF(Y70&gt;=600,"No aceptable",IF(Y70&gt;=150,"No aceptable / Aceptable con control específico","Aceptable")))</x:f>
      </x:c>
      <x:c r="AB70" s="12" t="str"/>
      <x:c r="AC70" s="12" t="str"/>
      <x:c r="AD70" s="12" t="str"/>
      <x:c r="AE70" s="12" t="str"/>
      <x:c r="AF70" s="12" t="str"/>
      <x:c r="AG70" s="12" t="str"/>
      <x:c r="AH70" s="16" t="str"/>
      <x:c r="AI70" s="12" t="str"/>
    </x:row>
    <x:row r="71">
      <x:c r="A71" t="str"/>
      <x:c r="B71" t="str"/>
      <x:c r="C71" t="str"/>
      <x:c r="D71" s="12" t="str"/>
      <x:c r="E71" s="12" t="str"/>
      <x:c r="F71" s="12" t="str"/>
      <x:c r="G71" s="12" t="str"/>
      <x:c r="H71" s="12" t="str"/>
      <x:c r="I71" s="12" t="str"/>
      <x:c r="J71" s="12" t="str"/>
      <x:c r="K71" s="12" t="str"/>
      <x:c r="L71" s="12" t="str"/>
      <x:c r="M71" s="12" t="str"/>
      <x:c r="N71" s="12" t="str"/>
      <x:c r="O71" s="12" t="str"/>
      <x:c r="P71" t="str"/>
      <x:c r="Q71" t="str"/>
      <x:c r="R71" t="str">
        <x:f>IFERROR(VLOOKUP(Q71,Catalogos!$G:$H,2,FALSE),"")</x:f>
      </x:c>
      <x:c r="S71" t="str"/>
      <x:c r="T71" t="str">
        <x:f>IFERROR(VLOOKUP(S71,Catalogos!$I:$J,2,FALSE),"")</x:f>
      </x:c>
      <x:c r="U71" t="str">
        <x:f>IF(OR(R71="",T71=""),"",R71*T71)</x:f>
      </x:c>
      <x:c r="V71" t="str">
        <x:f>IF(U71="","",IF(U71&gt;=24,"MUY ALTO",IF(U71&gt;=10,"ALTO",IF(U71&gt;=6,"MEDIO","BAJO"))))</x:f>
      </x:c>
      <x:c r="W71" t="str"/>
      <x:c r="X71" t="str">
        <x:f>IFERROR(VLOOKUP(W71,Catalogos!$G:$H,2,FALSE),"")</x:f>
      </x:c>
      <x:c r="Y71" t="str">
        <x:f>IF(OR(U71="",X71=""),"",U71*X71)</x:f>
      </x:c>
      <x:c r="Z71" t="str">
        <x:f>IF(Y71="","",IF(Y71&gt;=600,"I - Situación crítica. Suspender actividades hasta que el riesgo esté bajo control. Intervención urgente.",IF(Y71&gt;=150,"II - Corregir y adoptar medidas de control de inmediato.",IF(Y71&gt;=40,"III - Mejorar si es posible. Conviene justificar la intervención y su rentabilidad.","IV - Mantener controles existentes."))))</x:f>
      </x:c>
      <x:c r="AA71" t="str">
        <x:f>IF(Y71="","",IF(Y71&gt;=600,"No aceptable",IF(Y71&gt;=150,"No aceptable / Aceptable con control específico","Aceptable")))</x:f>
      </x:c>
      <x:c r="AB71" s="12" t="str"/>
      <x:c r="AC71" s="12" t="str"/>
      <x:c r="AD71" s="12" t="str"/>
      <x:c r="AE71" s="12" t="str"/>
      <x:c r="AF71" s="12" t="str"/>
      <x:c r="AG71" s="12" t="str"/>
      <x:c r="AH71" s="16" t="str"/>
      <x:c r="AI71" s="12" t="str"/>
    </x:row>
    <x:row r="72">
      <x:c r="A72" t="str"/>
      <x:c r="B72" t="str"/>
      <x:c r="C72" t="str"/>
      <x:c r="D72" s="12" t="str"/>
      <x:c r="E72" s="12" t="str"/>
      <x:c r="F72" s="12" t="str"/>
      <x:c r="G72" s="12" t="str"/>
      <x:c r="H72" s="12" t="str"/>
      <x:c r="I72" s="12" t="str"/>
      <x:c r="J72" s="12" t="str"/>
      <x:c r="K72" s="12" t="str"/>
      <x:c r="L72" s="12" t="str"/>
      <x:c r="M72" s="12" t="str"/>
      <x:c r="N72" s="12" t="str"/>
      <x:c r="O72" s="12" t="str"/>
      <x:c r="P72" t="str"/>
      <x:c r="Q72" t="str"/>
      <x:c r="R72" t="str">
        <x:f>IFERROR(VLOOKUP(Q72,Catalogos!$G:$H,2,FALSE),"")</x:f>
      </x:c>
      <x:c r="S72" t="str"/>
      <x:c r="T72" t="str">
        <x:f>IFERROR(VLOOKUP(S72,Catalogos!$I:$J,2,FALSE),"")</x:f>
      </x:c>
      <x:c r="U72" t="str">
        <x:f>IF(OR(R72="",T72=""),"",R72*T72)</x:f>
      </x:c>
      <x:c r="V72" t="str">
        <x:f>IF(U72="","",IF(U72&gt;=24,"MUY ALTO",IF(U72&gt;=10,"ALTO",IF(U72&gt;=6,"MEDIO","BAJO"))))</x:f>
      </x:c>
      <x:c r="W72" t="str"/>
      <x:c r="X72" t="str">
        <x:f>IFERROR(VLOOKUP(W72,Catalogos!$G:$H,2,FALSE),"")</x:f>
      </x:c>
      <x:c r="Y72" t="str">
        <x:f>IF(OR(U72="",X72=""),"",U72*X72)</x:f>
      </x:c>
      <x:c r="Z72" t="str">
        <x:f>IF(Y72="","",IF(Y72&gt;=600,"I - Situación crítica. Suspender actividades hasta que el riesgo esté bajo control. Intervención urgente.",IF(Y72&gt;=150,"II - Corregir y adoptar medidas de control de inmediato.",IF(Y72&gt;=40,"III - Mejorar si es posible. Conviene justificar la intervención y su rentabilidad.","IV - Mantener controles existentes."))))</x:f>
      </x:c>
      <x:c r="AA72" t="str">
        <x:f>IF(Y72="","",IF(Y72&gt;=600,"No aceptable",IF(Y72&gt;=150,"No aceptable / Aceptable con control específico","Aceptable")))</x:f>
      </x:c>
      <x:c r="AB72" s="12" t="str"/>
      <x:c r="AC72" s="12" t="str"/>
      <x:c r="AD72" s="12" t="str"/>
      <x:c r="AE72" s="12" t="str"/>
      <x:c r="AF72" s="12" t="str"/>
      <x:c r="AG72" s="12" t="str"/>
      <x:c r="AH72" s="16" t="str"/>
      <x:c r="AI72" s="12" t="str"/>
    </x:row>
    <x:row r="73">
      <x:c r="A73" t="str"/>
      <x:c r="B73" t="str"/>
      <x:c r="C73" t="str"/>
      <x:c r="D73" s="12" t="str"/>
      <x:c r="E73" s="12" t="str"/>
      <x:c r="F73" s="12" t="str"/>
      <x:c r="G73" s="12" t="str"/>
      <x:c r="H73" s="12" t="str"/>
      <x:c r="I73" s="12" t="str"/>
      <x:c r="J73" s="12" t="str"/>
      <x:c r="K73" s="12" t="str"/>
      <x:c r="L73" s="12" t="str"/>
      <x:c r="M73" s="12" t="str"/>
      <x:c r="N73" s="12" t="str"/>
      <x:c r="O73" s="12" t="str"/>
      <x:c r="P73" t="str"/>
      <x:c r="Q73" t="str"/>
      <x:c r="R73" t="str">
        <x:f>IFERROR(VLOOKUP(Q73,Catalogos!$G:$H,2,FALSE),"")</x:f>
      </x:c>
      <x:c r="S73" t="str"/>
      <x:c r="T73" t="str">
        <x:f>IFERROR(VLOOKUP(S73,Catalogos!$I:$J,2,FALSE),"")</x:f>
      </x:c>
      <x:c r="U73" t="str">
        <x:f>IF(OR(R73="",T73=""),"",R73*T73)</x:f>
      </x:c>
      <x:c r="V73" t="str">
        <x:f>IF(U73="","",IF(U73&gt;=24,"MUY ALTO",IF(U73&gt;=10,"ALTO",IF(U73&gt;=6,"MEDIO","BAJO"))))</x:f>
      </x:c>
      <x:c r="W73" t="str"/>
      <x:c r="X73" t="str">
        <x:f>IFERROR(VLOOKUP(W73,Catalogos!$G:$H,2,FALSE),"")</x:f>
      </x:c>
      <x:c r="Y73" t="str">
        <x:f>IF(OR(U73="",X73=""),"",U73*X73)</x:f>
      </x:c>
      <x:c r="Z73" t="str">
        <x:f>IF(Y73="","",IF(Y73&gt;=600,"I - Situación crítica. Suspender actividades hasta que el riesgo esté bajo control. Intervención urgente.",IF(Y73&gt;=150,"II - Corregir y adoptar medidas de control de inmediato.",IF(Y73&gt;=40,"III - Mejorar si es posible. Conviene justificar la intervención y su rentabilidad.","IV - Mantener controles existentes."))))</x:f>
      </x:c>
      <x:c r="AA73" t="str">
        <x:f>IF(Y73="","",IF(Y73&gt;=600,"No aceptable",IF(Y73&gt;=150,"No aceptable / Aceptable con control específico","Aceptable")))</x:f>
      </x:c>
      <x:c r="AB73" s="12" t="str"/>
      <x:c r="AC73" s="12" t="str"/>
      <x:c r="AD73" s="12" t="str"/>
      <x:c r="AE73" s="12" t="str"/>
      <x:c r="AF73" s="12" t="str"/>
      <x:c r="AG73" s="12" t="str"/>
      <x:c r="AH73" s="16" t="str"/>
      <x:c r="AI73" s="12" t="str"/>
    </x:row>
    <x:row r="74">
      <x:c r="A74" t="str"/>
      <x:c r="B74" t="str"/>
      <x:c r="C74" t="str"/>
      <x:c r="D74" s="12" t="str"/>
      <x:c r="E74" s="12" t="str"/>
      <x:c r="F74" s="12" t="str"/>
      <x:c r="G74" s="12" t="str"/>
      <x:c r="H74" s="12" t="str"/>
      <x:c r="I74" s="12" t="str"/>
      <x:c r="J74" s="12" t="str"/>
      <x:c r="K74" s="12" t="str"/>
      <x:c r="L74" s="12" t="str"/>
      <x:c r="M74" s="12" t="str"/>
      <x:c r="N74" s="12" t="str"/>
      <x:c r="O74" s="12" t="str"/>
      <x:c r="P74" t="str"/>
      <x:c r="Q74" t="str"/>
      <x:c r="R74" t="str">
        <x:f>IFERROR(VLOOKUP(Q74,Catalogos!$G:$H,2,FALSE),"")</x:f>
      </x:c>
      <x:c r="S74" t="str"/>
      <x:c r="T74" t="str">
        <x:f>IFERROR(VLOOKUP(S74,Catalogos!$I:$J,2,FALSE),"")</x:f>
      </x:c>
      <x:c r="U74" t="str">
        <x:f>IF(OR(R74="",T74=""),"",R74*T74)</x:f>
      </x:c>
      <x:c r="V74" t="str">
        <x:f>IF(U74="","",IF(U74&gt;=24,"MUY ALTO",IF(U74&gt;=10,"ALTO",IF(U74&gt;=6,"MEDIO","BAJO"))))</x:f>
      </x:c>
      <x:c r="W74" t="str"/>
      <x:c r="X74" t="str">
        <x:f>IFERROR(VLOOKUP(W74,Catalogos!$G:$H,2,FALSE),"")</x:f>
      </x:c>
      <x:c r="Y74" t="str">
        <x:f>IF(OR(U74="",X74=""),"",U74*X74)</x:f>
      </x:c>
      <x:c r="Z74" t="str">
        <x:f>IF(Y74="","",IF(Y74&gt;=600,"I - Situación crítica. Suspender actividades hasta que el riesgo esté bajo control. Intervención urgente.",IF(Y74&gt;=150,"II - Corregir y adoptar medidas de control de inmediato.",IF(Y74&gt;=40,"III - Mejorar si es posible. Conviene justificar la intervención y su rentabilidad.","IV - Mantener controles existentes."))))</x:f>
      </x:c>
      <x:c r="AA74" t="str">
        <x:f>IF(Y74="","",IF(Y74&gt;=600,"No aceptable",IF(Y74&gt;=150,"No aceptable / Aceptable con control específico","Aceptable")))</x:f>
      </x:c>
      <x:c r="AB74" s="12" t="str"/>
      <x:c r="AC74" s="12" t="str"/>
      <x:c r="AD74" s="12" t="str"/>
      <x:c r="AE74" s="12" t="str"/>
      <x:c r="AF74" s="12" t="str"/>
      <x:c r="AG74" s="12" t="str"/>
      <x:c r="AH74" s="16" t="str"/>
      <x:c r="AI74" s="12" t="str"/>
    </x:row>
    <x:row r="75">
      <x:c r="A75" t="str"/>
      <x:c r="B75" t="str"/>
      <x:c r="C75" t="str"/>
      <x:c r="D75" s="12" t="str"/>
      <x:c r="E75" s="12" t="str"/>
      <x:c r="F75" s="12" t="str"/>
      <x:c r="G75" s="12" t="str"/>
      <x:c r="H75" s="12" t="str"/>
      <x:c r="I75" s="12" t="str"/>
      <x:c r="J75" s="12" t="str"/>
      <x:c r="K75" s="12" t="str"/>
      <x:c r="L75" s="12" t="str"/>
      <x:c r="M75" s="12" t="str"/>
      <x:c r="N75" s="12" t="str"/>
      <x:c r="O75" s="12" t="str"/>
      <x:c r="P75" t="str"/>
      <x:c r="Q75" t="str"/>
      <x:c r="R75" t="str">
        <x:f>IFERROR(VLOOKUP(Q75,Catalogos!$G:$H,2,FALSE),"")</x:f>
      </x:c>
      <x:c r="S75" t="str"/>
      <x:c r="T75" t="str">
        <x:f>IFERROR(VLOOKUP(S75,Catalogos!$I:$J,2,FALSE),"")</x:f>
      </x:c>
      <x:c r="U75" t="str">
        <x:f>IF(OR(R75="",T75=""),"",R75*T75)</x:f>
      </x:c>
      <x:c r="V75" t="str">
        <x:f>IF(U75="","",IF(U75&gt;=24,"MUY ALTO",IF(U75&gt;=10,"ALTO",IF(U75&gt;=6,"MEDIO","BAJO"))))</x:f>
      </x:c>
      <x:c r="W75" t="str"/>
      <x:c r="X75" t="str">
        <x:f>IFERROR(VLOOKUP(W75,Catalogos!$G:$H,2,FALSE),"")</x:f>
      </x:c>
      <x:c r="Y75" t="str">
        <x:f>IF(OR(U75="",X75=""),"",U75*X75)</x:f>
      </x:c>
      <x:c r="Z75" t="str">
        <x:f>IF(Y75="","",IF(Y75&gt;=600,"I - Situación crítica. Suspender actividades hasta que el riesgo esté bajo control. Intervención urgente.",IF(Y75&gt;=150,"II - Corregir y adoptar medidas de control de inmediato.",IF(Y75&gt;=40,"III - Mejorar si es posible. Conviene justificar la intervención y su rentabilidad.","IV - Mantener controles existentes."))))</x:f>
      </x:c>
      <x:c r="AA75" t="str">
        <x:f>IF(Y75="","",IF(Y75&gt;=600,"No aceptable",IF(Y75&gt;=150,"No aceptable / Aceptable con control específico","Aceptable")))</x:f>
      </x:c>
      <x:c r="AB75" s="12" t="str"/>
      <x:c r="AC75" s="12" t="str"/>
      <x:c r="AD75" s="12" t="str"/>
      <x:c r="AE75" s="12" t="str"/>
      <x:c r="AF75" s="12" t="str"/>
      <x:c r="AG75" s="12" t="str"/>
      <x:c r="AH75" s="16" t="str"/>
      <x:c r="AI75" s="12" t="str"/>
    </x:row>
    <x:row r="76">
      <x:c r="A76" t="str"/>
      <x:c r="B76" t="str"/>
      <x:c r="C76" t="str"/>
      <x:c r="D76" s="12" t="str"/>
      <x:c r="E76" s="12" t="str"/>
      <x:c r="F76" s="12" t="str"/>
      <x:c r="G76" s="12" t="str"/>
      <x:c r="H76" s="12" t="str"/>
      <x:c r="I76" s="12" t="str"/>
      <x:c r="J76" s="12" t="str"/>
      <x:c r="K76" s="12" t="str"/>
      <x:c r="L76" s="12" t="str"/>
      <x:c r="M76" s="12" t="str"/>
      <x:c r="N76" s="12" t="str"/>
      <x:c r="O76" s="12" t="str"/>
      <x:c r="P76" t="str"/>
      <x:c r="Q76" t="str"/>
      <x:c r="R76" t="str">
        <x:f>IFERROR(VLOOKUP(Q76,Catalogos!$G:$H,2,FALSE),"")</x:f>
      </x:c>
      <x:c r="S76" t="str"/>
      <x:c r="T76" t="str">
        <x:f>IFERROR(VLOOKUP(S76,Catalogos!$I:$J,2,FALSE),"")</x:f>
      </x:c>
      <x:c r="U76" t="str">
        <x:f>IF(OR(R76="",T76=""),"",R76*T76)</x:f>
      </x:c>
      <x:c r="V76" t="str">
        <x:f>IF(U76="","",IF(U76&gt;=24,"MUY ALTO",IF(U76&gt;=10,"ALTO",IF(U76&gt;=6,"MEDIO","BAJO"))))</x:f>
      </x:c>
      <x:c r="W76" t="str"/>
      <x:c r="X76" t="str">
        <x:f>IFERROR(VLOOKUP(W76,Catalogos!$G:$H,2,FALSE),"")</x:f>
      </x:c>
      <x:c r="Y76" t="str">
        <x:f>IF(OR(U76="",X76=""),"",U76*X76)</x:f>
      </x:c>
      <x:c r="Z76" t="str">
        <x:f>IF(Y76="","",IF(Y76&gt;=600,"I - Situación crítica. Suspender actividades hasta que el riesgo esté bajo control. Intervención urgente.",IF(Y76&gt;=150,"II - Corregir y adoptar medidas de control de inmediato.",IF(Y76&gt;=40,"III - Mejorar si es posible. Conviene justificar la intervención y su rentabilidad.","IV - Mantener controles existentes."))))</x:f>
      </x:c>
      <x:c r="AA76" t="str">
        <x:f>IF(Y76="","",IF(Y76&gt;=600,"No aceptable",IF(Y76&gt;=150,"No aceptable / Aceptable con control específico","Aceptable")))</x:f>
      </x:c>
      <x:c r="AB76" s="12" t="str"/>
      <x:c r="AC76" s="12" t="str"/>
      <x:c r="AD76" s="12" t="str"/>
      <x:c r="AE76" s="12" t="str"/>
      <x:c r="AF76" s="12" t="str"/>
      <x:c r="AG76" s="12" t="str"/>
      <x:c r="AH76" s="16" t="str"/>
      <x:c r="AI76" s="12" t="str"/>
    </x:row>
    <x:row r="77">
      <x:c r="A77" t="str"/>
      <x:c r="B77" t="str"/>
      <x:c r="C77" t="str"/>
      <x:c r="D77" s="12" t="str"/>
      <x:c r="E77" s="12" t="str"/>
      <x:c r="F77" s="12" t="str"/>
      <x:c r="G77" s="12" t="str"/>
      <x:c r="H77" s="12" t="str"/>
      <x:c r="I77" s="12" t="str"/>
      <x:c r="J77" s="12" t="str"/>
      <x:c r="K77" s="12" t="str"/>
      <x:c r="L77" s="12" t="str"/>
      <x:c r="M77" s="12" t="str"/>
      <x:c r="N77" s="12" t="str"/>
      <x:c r="O77" s="12" t="str"/>
      <x:c r="P77" t="str"/>
      <x:c r="Q77" t="str"/>
      <x:c r="R77" t="str">
        <x:f>IFERROR(VLOOKUP(Q77,Catalogos!$G:$H,2,FALSE),"")</x:f>
      </x:c>
      <x:c r="S77" t="str"/>
      <x:c r="T77" t="str">
        <x:f>IFERROR(VLOOKUP(S77,Catalogos!$I:$J,2,FALSE),"")</x:f>
      </x:c>
      <x:c r="U77" t="str">
        <x:f>IF(OR(R77="",T77=""),"",R77*T77)</x:f>
      </x:c>
      <x:c r="V77" t="str">
        <x:f>IF(U77="","",IF(U77&gt;=24,"MUY ALTO",IF(U77&gt;=10,"ALTO",IF(U77&gt;=6,"MEDIO","BAJO"))))</x:f>
      </x:c>
      <x:c r="W77" t="str"/>
      <x:c r="X77" t="str">
        <x:f>IFERROR(VLOOKUP(W77,Catalogos!$G:$H,2,FALSE),"")</x:f>
      </x:c>
      <x:c r="Y77" t="str">
        <x:f>IF(OR(U77="",X77=""),"",U77*X77)</x:f>
      </x:c>
      <x:c r="Z77" t="str">
        <x:f>IF(Y77="","",IF(Y77&gt;=600,"I - Situación crítica. Suspender actividades hasta que el riesgo esté bajo control. Intervención urgente.",IF(Y77&gt;=150,"II - Corregir y adoptar medidas de control de inmediato.",IF(Y77&gt;=40,"III - Mejorar si es posible. Conviene justificar la intervención y su rentabilidad.","IV - Mantener controles existentes."))))</x:f>
      </x:c>
      <x:c r="AA77" t="str">
        <x:f>IF(Y77="","",IF(Y77&gt;=600,"No aceptable",IF(Y77&gt;=150,"No aceptable / Aceptable con control específico","Aceptable")))</x:f>
      </x:c>
      <x:c r="AB77" s="12" t="str"/>
      <x:c r="AC77" s="12" t="str"/>
      <x:c r="AD77" s="12" t="str"/>
      <x:c r="AE77" s="12" t="str"/>
      <x:c r="AF77" s="12" t="str"/>
      <x:c r="AG77" s="12" t="str"/>
      <x:c r="AH77" s="16" t="str"/>
      <x:c r="AI77" s="12" t="str"/>
    </x:row>
    <x:row r="78">
      <x:c r="A78" t="str"/>
      <x:c r="B78" t="str"/>
      <x:c r="C78" t="str"/>
      <x:c r="D78" s="12" t="str"/>
      <x:c r="E78" s="12" t="str"/>
      <x:c r="F78" s="12" t="str"/>
      <x:c r="G78" s="12" t="str"/>
      <x:c r="H78" s="12" t="str"/>
      <x:c r="I78" s="12" t="str"/>
      <x:c r="J78" s="12" t="str"/>
      <x:c r="K78" s="12" t="str"/>
      <x:c r="L78" s="12" t="str"/>
      <x:c r="M78" s="12" t="str"/>
      <x:c r="N78" s="12" t="str"/>
      <x:c r="O78" s="12" t="str"/>
      <x:c r="P78" t="str"/>
      <x:c r="Q78" t="str"/>
      <x:c r="R78" t="str">
        <x:f>IFERROR(VLOOKUP(Q78,Catalogos!$G:$H,2,FALSE),"")</x:f>
      </x:c>
      <x:c r="S78" t="str"/>
      <x:c r="T78" t="str">
        <x:f>IFERROR(VLOOKUP(S78,Catalogos!$I:$J,2,FALSE),"")</x:f>
      </x:c>
      <x:c r="U78" t="str">
        <x:f>IF(OR(R78="",T78=""),"",R78*T78)</x:f>
      </x:c>
      <x:c r="V78" t="str">
        <x:f>IF(U78="","",IF(U78&gt;=24,"MUY ALTO",IF(U78&gt;=10,"ALTO",IF(U78&gt;=6,"MEDIO","BAJO"))))</x:f>
      </x:c>
      <x:c r="W78" t="str"/>
      <x:c r="X78" t="str">
        <x:f>IFERROR(VLOOKUP(W78,Catalogos!$G:$H,2,FALSE),"")</x:f>
      </x:c>
      <x:c r="Y78" t="str">
        <x:f>IF(OR(U78="",X78=""),"",U78*X78)</x:f>
      </x:c>
      <x:c r="Z78" t="str">
        <x:f>IF(Y78="","",IF(Y78&gt;=600,"I - Situación crítica. Suspender actividades hasta que el riesgo esté bajo control. Intervención urgente.",IF(Y78&gt;=150,"II - Corregir y adoptar medidas de control de inmediato.",IF(Y78&gt;=40,"III - Mejorar si es posible. Conviene justificar la intervención y su rentabilidad.","IV - Mantener controles existentes."))))</x:f>
      </x:c>
      <x:c r="AA78" t="str">
        <x:f>IF(Y78="","",IF(Y78&gt;=600,"No aceptable",IF(Y78&gt;=150,"No aceptable / Aceptable con control específico","Aceptable")))</x:f>
      </x:c>
      <x:c r="AB78" s="12" t="str"/>
      <x:c r="AC78" s="12" t="str"/>
      <x:c r="AD78" s="12" t="str"/>
      <x:c r="AE78" s="12" t="str"/>
      <x:c r="AF78" s="12" t="str"/>
      <x:c r="AG78" s="12" t="str"/>
      <x:c r="AH78" s="16" t="str"/>
      <x:c r="AI78" s="12" t="str"/>
    </x:row>
    <x:row r="79">
      <x:c r="A79" t="str"/>
      <x:c r="B79" t="str"/>
      <x:c r="C79" t="str"/>
      <x:c r="D79" s="12" t="str"/>
      <x:c r="E79" s="12" t="str"/>
      <x:c r="F79" s="12" t="str"/>
      <x:c r="G79" s="12" t="str"/>
      <x:c r="H79" s="12" t="str"/>
      <x:c r="I79" s="12" t="str"/>
      <x:c r="J79" s="12" t="str"/>
      <x:c r="K79" s="12" t="str"/>
      <x:c r="L79" s="12" t="str"/>
      <x:c r="M79" s="12" t="str"/>
      <x:c r="N79" s="12" t="str"/>
      <x:c r="O79" s="12" t="str"/>
      <x:c r="P79" t="str"/>
      <x:c r="Q79" t="str"/>
      <x:c r="R79" t="str">
        <x:f>IFERROR(VLOOKUP(Q79,Catalogos!$G:$H,2,FALSE),"")</x:f>
      </x:c>
      <x:c r="S79" t="str"/>
      <x:c r="T79" t="str">
        <x:f>IFERROR(VLOOKUP(S79,Catalogos!$I:$J,2,FALSE),"")</x:f>
      </x:c>
      <x:c r="U79" t="str">
        <x:f>IF(OR(R79="",T79=""),"",R79*T79)</x:f>
      </x:c>
      <x:c r="V79" t="str">
        <x:f>IF(U79="","",IF(U79&gt;=24,"MUY ALTO",IF(U79&gt;=10,"ALTO",IF(U79&gt;=6,"MEDIO","BAJO"))))</x:f>
      </x:c>
      <x:c r="W79" t="str"/>
      <x:c r="X79" t="str">
        <x:f>IFERROR(VLOOKUP(W79,Catalogos!$G:$H,2,FALSE),"")</x:f>
      </x:c>
      <x:c r="Y79" t="str">
        <x:f>IF(OR(U79="",X79=""),"",U79*X79)</x:f>
      </x:c>
      <x:c r="Z79" t="str">
        <x:f>IF(Y79="","",IF(Y79&gt;=600,"I - Situación crítica. Suspender actividades hasta que el riesgo esté bajo control. Intervención urgente.",IF(Y79&gt;=150,"II - Corregir y adoptar medidas de control de inmediato.",IF(Y79&gt;=40,"III - Mejorar si es posible. Conviene justificar la intervención y su rentabilidad.","IV - Mantener controles existentes."))))</x:f>
      </x:c>
      <x:c r="AA79" t="str">
        <x:f>IF(Y79="","",IF(Y79&gt;=600,"No aceptable",IF(Y79&gt;=150,"No aceptable / Aceptable con control específico","Aceptable")))</x:f>
      </x:c>
      <x:c r="AB79" s="12" t="str"/>
      <x:c r="AC79" s="12" t="str"/>
      <x:c r="AD79" s="12" t="str"/>
      <x:c r="AE79" s="12" t="str"/>
      <x:c r="AF79" s="12" t="str"/>
      <x:c r="AG79" s="12" t="str"/>
      <x:c r="AH79" s="16" t="str"/>
      <x:c r="AI79" s="12" t="str"/>
    </x:row>
    <x:row r="80">
      <x:c r="A80" t="str"/>
      <x:c r="B80" t="str"/>
      <x:c r="C80" t="str"/>
      <x:c r="D80" s="12" t="str"/>
      <x:c r="E80" s="12" t="str"/>
      <x:c r="F80" s="12" t="str"/>
      <x:c r="G80" s="12" t="str"/>
      <x:c r="H80" s="12" t="str"/>
      <x:c r="I80" s="12" t="str"/>
      <x:c r="J80" s="12" t="str"/>
      <x:c r="K80" s="12" t="str"/>
      <x:c r="L80" s="12" t="str"/>
      <x:c r="M80" s="12" t="str"/>
      <x:c r="N80" s="12" t="str"/>
      <x:c r="O80" s="12" t="str"/>
      <x:c r="P80" t="str"/>
      <x:c r="Q80" t="str"/>
      <x:c r="R80" t="str">
        <x:f>IFERROR(VLOOKUP(Q80,Catalogos!$G:$H,2,FALSE),"")</x:f>
      </x:c>
      <x:c r="S80" t="str"/>
      <x:c r="T80" t="str">
        <x:f>IFERROR(VLOOKUP(S80,Catalogos!$I:$J,2,FALSE),"")</x:f>
      </x:c>
      <x:c r="U80" t="str">
        <x:f>IF(OR(R80="",T80=""),"",R80*T80)</x:f>
      </x:c>
      <x:c r="V80" t="str">
        <x:f>IF(U80="","",IF(U80&gt;=24,"MUY ALTO",IF(U80&gt;=10,"ALTO",IF(U80&gt;=6,"MEDIO","BAJO"))))</x:f>
      </x:c>
      <x:c r="W80" t="str"/>
      <x:c r="X80" t="str">
        <x:f>IFERROR(VLOOKUP(W80,Catalogos!$G:$H,2,FALSE),"")</x:f>
      </x:c>
      <x:c r="Y80" t="str">
        <x:f>IF(OR(U80="",X80=""),"",U80*X80)</x:f>
      </x:c>
      <x:c r="Z80" t="str">
        <x:f>IF(Y80="","",IF(Y80&gt;=600,"I - Situación crítica. Suspender actividades hasta que el riesgo esté bajo control. Intervención urgente.",IF(Y80&gt;=150,"II - Corregir y adoptar medidas de control de inmediato.",IF(Y80&gt;=40,"III - Mejorar si es posible. Conviene justificar la intervención y su rentabilidad.","IV - Mantener controles existentes."))))</x:f>
      </x:c>
      <x:c r="AA80" t="str">
        <x:f>IF(Y80="","",IF(Y80&gt;=600,"No aceptable",IF(Y80&gt;=150,"No aceptable / Aceptable con control específico","Aceptable")))</x:f>
      </x:c>
      <x:c r="AB80" s="12" t="str"/>
      <x:c r="AC80" s="12" t="str"/>
      <x:c r="AD80" s="12" t="str"/>
      <x:c r="AE80" s="12" t="str"/>
      <x:c r="AF80" s="12" t="str"/>
      <x:c r="AG80" s="12" t="str"/>
      <x:c r="AH80" s="16" t="str"/>
      <x:c r="AI80" s="12" t="str"/>
    </x:row>
    <x:row r="81">
      <x:c r="A81" t="str"/>
      <x:c r="B81" t="str"/>
      <x:c r="C81" t="str"/>
      <x:c r="D81" s="12" t="str"/>
      <x:c r="E81" s="12" t="str"/>
      <x:c r="F81" s="12" t="str"/>
      <x:c r="G81" s="12" t="str"/>
      <x:c r="H81" s="12" t="str"/>
      <x:c r="I81" s="12" t="str"/>
      <x:c r="J81" s="12" t="str"/>
      <x:c r="K81" s="12" t="str"/>
      <x:c r="L81" s="12" t="str"/>
      <x:c r="M81" s="12" t="str"/>
      <x:c r="N81" s="12" t="str"/>
      <x:c r="O81" s="12" t="str"/>
      <x:c r="P81" t="str"/>
      <x:c r="Q81" t="str"/>
      <x:c r="R81" t="str">
        <x:f>IFERROR(VLOOKUP(Q81,Catalogos!$G:$H,2,FALSE),"")</x:f>
      </x:c>
      <x:c r="S81" t="str"/>
      <x:c r="T81" t="str">
        <x:f>IFERROR(VLOOKUP(S81,Catalogos!$I:$J,2,FALSE),"")</x:f>
      </x:c>
      <x:c r="U81" t="str">
        <x:f>IF(OR(R81="",T81=""),"",R81*T81)</x:f>
      </x:c>
      <x:c r="V81" t="str">
        <x:f>IF(U81="","",IF(U81&gt;=24,"MUY ALTO",IF(U81&gt;=10,"ALTO",IF(U81&gt;=6,"MEDIO","BAJO"))))</x:f>
      </x:c>
      <x:c r="W81" t="str"/>
      <x:c r="X81" t="str">
        <x:f>IFERROR(VLOOKUP(W81,Catalogos!$G:$H,2,FALSE),"")</x:f>
      </x:c>
      <x:c r="Y81" t="str">
        <x:f>IF(OR(U81="",X81=""),"",U81*X81)</x:f>
      </x:c>
      <x:c r="Z81" t="str">
        <x:f>IF(Y81="","",IF(Y81&gt;=600,"I - Situación crítica. Suspender actividades hasta que el riesgo esté bajo control. Intervención urgente.",IF(Y81&gt;=150,"II - Corregir y adoptar medidas de control de inmediato.",IF(Y81&gt;=40,"III - Mejorar si es posible. Conviene justificar la intervención y su rentabilidad.","IV - Mantener controles existentes."))))</x:f>
      </x:c>
      <x:c r="AA81" t="str">
        <x:f>IF(Y81="","",IF(Y81&gt;=600,"No aceptable",IF(Y81&gt;=150,"No aceptable / Aceptable con control específico","Aceptable")))</x:f>
      </x:c>
      <x:c r="AB81" s="12" t="str"/>
      <x:c r="AC81" s="12" t="str"/>
      <x:c r="AD81" s="12" t="str"/>
      <x:c r="AE81" s="12" t="str"/>
      <x:c r="AF81" s="12" t="str"/>
      <x:c r="AG81" s="12" t="str"/>
      <x:c r="AH81" s="16" t="str"/>
      <x:c r="AI81" s="12" t="str"/>
    </x:row>
    <x:row r="82">
      <x:c r="A82" t="str"/>
      <x:c r="B82" t="str"/>
      <x:c r="C82" t="str"/>
      <x:c r="D82" s="12" t="str"/>
      <x:c r="E82" s="12" t="str"/>
      <x:c r="F82" s="12" t="str"/>
      <x:c r="G82" s="12" t="str"/>
      <x:c r="H82" s="12" t="str"/>
      <x:c r="I82" s="12" t="str"/>
      <x:c r="J82" s="12" t="str"/>
      <x:c r="K82" s="12" t="str"/>
      <x:c r="L82" s="12" t="str"/>
      <x:c r="M82" s="12" t="str"/>
      <x:c r="N82" s="12" t="str"/>
      <x:c r="O82" s="12" t="str"/>
      <x:c r="P82" t="str"/>
      <x:c r="Q82" t="str"/>
      <x:c r="R82" t="str">
        <x:f>IFERROR(VLOOKUP(Q82,Catalogos!$G:$H,2,FALSE),"")</x:f>
      </x:c>
      <x:c r="S82" t="str"/>
      <x:c r="T82" t="str">
        <x:f>IFERROR(VLOOKUP(S82,Catalogos!$I:$J,2,FALSE),"")</x:f>
      </x:c>
      <x:c r="U82" t="str">
        <x:f>IF(OR(R82="",T82=""),"",R82*T82)</x:f>
      </x:c>
      <x:c r="V82" t="str">
        <x:f>IF(U82="","",IF(U82&gt;=24,"MUY ALTO",IF(U82&gt;=10,"ALTO",IF(U82&gt;=6,"MEDIO","BAJO"))))</x:f>
      </x:c>
      <x:c r="W82" t="str"/>
      <x:c r="X82" t="str">
        <x:f>IFERROR(VLOOKUP(W82,Catalogos!$G:$H,2,FALSE),"")</x:f>
      </x:c>
      <x:c r="Y82" t="str">
        <x:f>IF(OR(U82="",X82=""),"",U82*X82)</x:f>
      </x:c>
      <x:c r="Z82" t="str">
        <x:f>IF(Y82="","",IF(Y82&gt;=600,"I - Situación crítica. Suspender actividades hasta que el riesgo esté bajo control. Intervención urgente.",IF(Y82&gt;=150,"II - Corregir y adoptar medidas de control de inmediato.",IF(Y82&gt;=40,"III - Mejorar si es posible. Conviene justificar la intervención y su rentabilidad.","IV - Mantener controles existentes."))))</x:f>
      </x:c>
      <x:c r="AA82" t="str">
        <x:f>IF(Y82="","",IF(Y82&gt;=600,"No aceptable",IF(Y82&gt;=150,"No aceptable / Aceptable con control específico","Aceptable")))</x:f>
      </x:c>
      <x:c r="AB82" s="12" t="str"/>
      <x:c r="AC82" s="12" t="str"/>
      <x:c r="AD82" s="12" t="str"/>
      <x:c r="AE82" s="12" t="str"/>
      <x:c r="AF82" s="12" t="str"/>
      <x:c r="AG82" s="12" t="str"/>
      <x:c r="AH82" s="16" t="str"/>
      <x:c r="AI82" s="12" t="str"/>
    </x:row>
    <x:row r="83">
      <x:c r="A83" t="str"/>
      <x:c r="B83" t="str"/>
      <x:c r="C83" t="str"/>
      <x:c r="D83" s="12" t="str"/>
      <x:c r="E83" s="12" t="str"/>
      <x:c r="F83" s="12" t="str"/>
      <x:c r="G83" s="12" t="str"/>
      <x:c r="H83" s="12" t="str"/>
      <x:c r="I83" s="12" t="str"/>
      <x:c r="J83" s="12" t="str"/>
      <x:c r="K83" s="12" t="str"/>
      <x:c r="L83" s="12" t="str"/>
      <x:c r="M83" s="12" t="str"/>
      <x:c r="N83" s="12" t="str"/>
      <x:c r="O83" s="12" t="str"/>
      <x:c r="P83" t="str"/>
      <x:c r="Q83" t="str"/>
      <x:c r="R83" t="str">
        <x:f>IFERROR(VLOOKUP(Q83,Catalogos!$G:$H,2,FALSE),"")</x:f>
      </x:c>
      <x:c r="S83" t="str"/>
      <x:c r="T83" t="str">
        <x:f>IFERROR(VLOOKUP(S83,Catalogos!$I:$J,2,FALSE),"")</x:f>
      </x:c>
      <x:c r="U83" t="str">
        <x:f>IF(OR(R83="",T83=""),"",R83*T83)</x:f>
      </x:c>
      <x:c r="V83" t="str">
        <x:f>IF(U83="","",IF(U83&gt;=24,"MUY ALTO",IF(U83&gt;=10,"ALTO",IF(U83&gt;=6,"MEDIO","BAJO"))))</x:f>
      </x:c>
      <x:c r="W83" t="str"/>
      <x:c r="X83" t="str">
        <x:f>IFERROR(VLOOKUP(W83,Catalogos!$G:$H,2,FALSE),"")</x:f>
      </x:c>
      <x:c r="Y83" t="str">
        <x:f>IF(OR(U83="",X83=""),"",U83*X83)</x:f>
      </x:c>
      <x:c r="Z83" t="str">
        <x:f>IF(Y83="","",IF(Y83&gt;=600,"I - Situación crítica. Suspender actividades hasta que el riesgo esté bajo control. Intervención urgente.",IF(Y83&gt;=150,"II - Corregir y adoptar medidas de control de inmediato.",IF(Y83&gt;=40,"III - Mejorar si es posible. Conviene justificar la intervención y su rentabilidad.","IV - Mantener controles existentes."))))</x:f>
      </x:c>
      <x:c r="AA83" t="str">
        <x:f>IF(Y83="","",IF(Y83&gt;=600,"No aceptable",IF(Y83&gt;=150,"No aceptable / Aceptable con control específico","Aceptable")))</x:f>
      </x:c>
      <x:c r="AB83" s="12" t="str"/>
      <x:c r="AC83" s="12" t="str"/>
      <x:c r="AD83" s="12" t="str"/>
      <x:c r="AE83" s="12" t="str"/>
      <x:c r="AF83" s="12" t="str"/>
      <x:c r="AG83" s="12" t="str"/>
      <x:c r="AH83" s="16" t="str"/>
      <x:c r="AI83" s="12" t="str"/>
    </x:row>
    <x:row r="84">
      <x:c r="A84" t="str"/>
      <x:c r="B84" t="str"/>
      <x:c r="C84" t="str"/>
      <x:c r="D84" s="12" t="str"/>
      <x:c r="E84" s="12" t="str"/>
      <x:c r="F84" s="12" t="str"/>
      <x:c r="G84" s="12" t="str"/>
      <x:c r="H84" s="12" t="str"/>
      <x:c r="I84" s="12" t="str"/>
      <x:c r="J84" s="12" t="str"/>
      <x:c r="K84" s="12" t="str"/>
      <x:c r="L84" s="12" t="str"/>
      <x:c r="M84" s="12" t="str"/>
      <x:c r="N84" s="12" t="str"/>
      <x:c r="O84" s="12" t="str"/>
      <x:c r="P84" t="str"/>
      <x:c r="Q84" t="str"/>
      <x:c r="R84" t="str">
        <x:f>IFERROR(VLOOKUP(Q84,Catalogos!$G:$H,2,FALSE),"")</x:f>
      </x:c>
      <x:c r="S84" t="str"/>
      <x:c r="T84" t="str">
        <x:f>IFERROR(VLOOKUP(S84,Catalogos!$I:$J,2,FALSE),"")</x:f>
      </x:c>
      <x:c r="U84" t="str">
        <x:f>IF(OR(R84="",T84=""),"",R84*T84)</x:f>
      </x:c>
      <x:c r="V84" t="str">
        <x:f>IF(U84="","",IF(U84&gt;=24,"MUY ALTO",IF(U84&gt;=10,"ALTO",IF(U84&gt;=6,"MEDIO","BAJO"))))</x:f>
      </x:c>
      <x:c r="W84" t="str"/>
      <x:c r="X84" t="str">
        <x:f>IFERROR(VLOOKUP(W84,Catalogos!$G:$H,2,FALSE),"")</x:f>
      </x:c>
      <x:c r="Y84" t="str">
        <x:f>IF(OR(U84="",X84=""),"",U84*X84)</x:f>
      </x:c>
      <x:c r="Z84" t="str">
        <x:f>IF(Y84="","",IF(Y84&gt;=600,"I - Situación crítica. Suspender actividades hasta que el riesgo esté bajo control. Intervención urgente.",IF(Y84&gt;=150,"II - Corregir y adoptar medidas de control de inmediato.",IF(Y84&gt;=40,"III - Mejorar si es posible. Conviene justificar la intervención y su rentabilidad.","IV - Mantener controles existentes."))))</x:f>
      </x:c>
      <x:c r="AA84" t="str">
        <x:f>IF(Y84="","",IF(Y84&gt;=600,"No aceptable",IF(Y84&gt;=150,"No aceptable / Aceptable con control específico","Aceptable")))</x:f>
      </x:c>
      <x:c r="AB84" s="12" t="str"/>
      <x:c r="AC84" s="12" t="str"/>
      <x:c r="AD84" s="12" t="str"/>
      <x:c r="AE84" s="12" t="str"/>
      <x:c r="AF84" s="12" t="str"/>
      <x:c r="AG84" s="12" t="str"/>
      <x:c r="AH84" s="16" t="str"/>
      <x:c r="AI84" s="12" t="str"/>
    </x:row>
    <x:row r="85">
      <x:c r="A85" t="str"/>
      <x:c r="B85" t="str"/>
      <x:c r="C85" t="str"/>
      <x:c r="D85" s="12" t="str"/>
      <x:c r="E85" s="12" t="str"/>
      <x:c r="F85" s="12" t="str"/>
      <x:c r="G85" s="12" t="str"/>
      <x:c r="H85" s="12" t="str"/>
      <x:c r="I85" s="12" t="str"/>
      <x:c r="J85" s="12" t="str"/>
      <x:c r="K85" s="12" t="str"/>
      <x:c r="L85" s="12" t="str"/>
      <x:c r="M85" s="12" t="str"/>
      <x:c r="N85" s="12" t="str"/>
      <x:c r="O85" s="12" t="str"/>
      <x:c r="P85" t="str"/>
      <x:c r="Q85" t="str"/>
      <x:c r="R85" t="str">
        <x:f>IFERROR(VLOOKUP(Q85,Catalogos!$G:$H,2,FALSE),"")</x:f>
      </x:c>
      <x:c r="S85" t="str"/>
      <x:c r="T85" t="str">
        <x:f>IFERROR(VLOOKUP(S85,Catalogos!$I:$J,2,FALSE),"")</x:f>
      </x:c>
      <x:c r="U85" t="str">
        <x:f>IF(OR(R85="",T85=""),"",R85*T85)</x:f>
      </x:c>
      <x:c r="V85" t="str">
        <x:f>IF(U85="","",IF(U85&gt;=24,"MUY ALTO",IF(U85&gt;=10,"ALTO",IF(U85&gt;=6,"MEDIO","BAJO"))))</x:f>
      </x:c>
      <x:c r="W85" t="str"/>
      <x:c r="X85" t="str">
        <x:f>IFERROR(VLOOKUP(W85,Catalogos!$G:$H,2,FALSE),"")</x:f>
      </x:c>
      <x:c r="Y85" t="str">
        <x:f>IF(OR(U85="",X85=""),"",U85*X85)</x:f>
      </x:c>
      <x:c r="Z85" t="str">
        <x:f>IF(Y85="","",IF(Y85&gt;=600,"I - Situación crítica. Suspender actividades hasta que el riesgo esté bajo control. Intervención urgente.",IF(Y85&gt;=150,"II - Corregir y adoptar medidas de control de inmediato.",IF(Y85&gt;=40,"III - Mejorar si es posible. Conviene justificar la intervención y su rentabilidad.","IV - Mantener controles existentes."))))</x:f>
      </x:c>
      <x:c r="AA85" t="str">
        <x:f>IF(Y85="","",IF(Y85&gt;=600,"No aceptable",IF(Y85&gt;=150,"No aceptable / Aceptable con control específico","Aceptable")))</x:f>
      </x:c>
      <x:c r="AB85" s="12" t="str"/>
      <x:c r="AC85" s="12" t="str"/>
      <x:c r="AD85" s="12" t="str"/>
      <x:c r="AE85" s="12" t="str"/>
      <x:c r="AF85" s="12" t="str"/>
      <x:c r="AG85" s="12" t="str"/>
      <x:c r="AH85" s="16" t="str"/>
      <x:c r="AI85" s="12" t="str"/>
    </x:row>
    <x:row r="86">
      <x:c r="A86" t="str"/>
      <x:c r="B86" t="str"/>
      <x:c r="C86" t="str"/>
      <x:c r="D86" s="12" t="str"/>
      <x:c r="E86" s="12" t="str"/>
      <x:c r="F86" s="12" t="str"/>
      <x:c r="G86" s="12" t="str"/>
      <x:c r="H86" s="12" t="str"/>
      <x:c r="I86" s="12" t="str"/>
      <x:c r="J86" s="12" t="str"/>
      <x:c r="K86" s="12" t="str"/>
      <x:c r="L86" s="12" t="str"/>
      <x:c r="M86" s="12" t="str"/>
      <x:c r="N86" s="12" t="str"/>
      <x:c r="O86" s="12" t="str"/>
      <x:c r="P86" t="str"/>
      <x:c r="Q86" t="str"/>
      <x:c r="R86" t="str">
        <x:f>IFERROR(VLOOKUP(Q86,Catalogos!$G:$H,2,FALSE),"")</x:f>
      </x:c>
      <x:c r="S86" t="str"/>
      <x:c r="T86" t="str">
        <x:f>IFERROR(VLOOKUP(S86,Catalogos!$I:$J,2,FALSE),"")</x:f>
      </x:c>
      <x:c r="U86" t="str">
        <x:f>IF(OR(R86="",T86=""),"",R86*T86)</x:f>
      </x:c>
      <x:c r="V86" t="str">
        <x:f>IF(U86="","",IF(U86&gt;=24,"MUY ALTO",IF(U86&gt;=10,"ALTO",IF(U86&gt;=6,"MEDIO","BAJO"))))</x:f>
      </x:c>
      <x:c r="W86" t="str"/>
      <x:c r="X86" t="str">
        <x:f>IFERROR(VLOOKUP(W86,Catalogos!$G:$H,2,FALSE),"")</x:f>
      </x:c>
      <x:c r="Y86" t="str">
        <x:f>IF(OR(U86="",X86=""),"",U86*X86)</x:f>
      </x:c>
      <x:c r="Z86" t="str">
        <x:f>IF(Y86="","",IF(Y86&gt;=600,"I - Situación crítica. Suspender actividades hasta que el riesgo esté bajo control. Intervención urgente.",IF(Y86&gt;=150,"II - Corregir y adoptar medidas de control de inmediato.",IF(Y86&gt;=40,"III - Mejorar si es posible. Conviene justificar la intervención y su rentabilidad.","IV - Mantener controles existentes."))))</x:f>
      </x:c>
      <x:c r="AA86" t="str">
        <x:f>IF(Y86="","",IF(Y86&gt;=600,"No aceptable",IF(Y86&gt;=150,"No aceptable / Aceptable con control específico","Aceptable")))</x:f>
      </x:c>
      <x:c r="AB86" s="12" t="str"/>
      <x:c r="AC86" s="12" t="str"/>
      <x:c r="AD86" s="12" t="str"/>
      <x:c r="AE86" s="12" t="str"/>
      <x:c r="AF86" s="12" t="str"/>
      <x:c r="AG86" s="12" t="str"/>
      <x:c r="AH86" s="16" t="str"/>
      <x:c r="AI86" s="12" t="str"/>
    </x:row>
    <x:row r="87">
      <x:c r="A87" t="str"/>
      <x:c r="B87" t="str"/>
      <x:c r="C87" t="str"/>
      <x:c r="D87" s="12" t="str"/>
      <x:c r="E87" s="12" t="str"/>
      <x:c r="F87" s="12" t="str"/>
      <x:c r="G87" s="12" t="str"/>
      <x:c r="H87" s="12" t="str"/>
      <x:c r="I87" s="12" t="str"/>
      <x:c r="J87" s="12" t="str"/>
      <x:c r="K87" s="12" t="str"/>
      <x:c r="L87" s="12" t="str"/>
      <x:c r="M87" s="12" t="str"/>
      <x:c r="N87" s="12" t="str"/>
      <x:c r="O87" s="12" t="str"/>
      <x:c r="P87" t="str"/>
      <x:c r="Q87" t="str"/>
      <x:c r="R87" t="str">
        <x:f>IFERROR(VLOOKUP(Q87,Catalogos!$G:$H,2,FALSE),"")</x:f>
      </x:c>
      <x:c r="S87" t="str"/>
      <x:c r="T87" t="str">
        <x:f>IFERROR(VLOOKUP(S87,Catalogos!$I:$J,2,FALSE),"")</x:f>
      </x:c>
      <x:c r="U87" t="str">
        <x:f>IF(OR(R87="",T87=""),"",R87*T87)</x:f>
      </x:c>
      <x:c r="V87" t="str">
        <x:f>IF(U87="","",IF(U87&gt;=24,"MUY ALTO",IF(U87&gt;=10,"ALTO",IF(U87&gt;=6,"MEDIO","BAJO"))))</x:f>
      </x:c>
      <x:c r="W87" t="str"/>
      <x:c r="X87" t="str">
        <x:f>IFERROR(VLOOKUP(W87,Catalogos!$G:$H,2,FALSE),"")</x:f>
      </x:c>
      <x:c r="Y87" t="str">
        <x:f>IF(OR(U87="",X87=""),"",U87*X87)</x:f>
      </x:c>
      <x:c r="Z87" t="str">
        <x:f>IF(Y87="","",IF(Y87&gt;=600,"I - Situación crítica. Suspender actividades hasta que el riesgo esté bajo control. Intervención urgente.",IF(Y87&gt;=150,"II - Corregir y adoptar medidas de control de inmediato.",IF(Y87&gt;=40,"III - Mejorar si es posible. Conviene justificar la intervención y su rentabilidad.","IV - Mantener controles existentes."))))</x:f>
      </x:c>
      <x:c r="AA87" t="str">
        <x:f>IF(Y87="","",IF(Y87&gt;=600,"No aceptable",IF(Y87&gt;=150,"No aceptable / Aceptable con control específico","Aceptable")))</x:f>
      </x:c>
      <x:c r="AB87" s="12" t="str"/>
      <x:c r="AC87" s="12" t="str"/>
      <x:c r="AD87" s="12" t="str"/>
      <x:c r="AE87" s="12" t="str"/>
      <x:c r="AF87" s="12" t="str"/>
      <x:c r="AG87" s="12" t="str"/>
      <x:c r="AH87" s="16" t="str"/>
      <x:c r="AI87" s="12" t="str"/>
    </x:row>
    <x:row r="88">
      <x:c r="A88" t="str"/>
      <x:c r="B88" t="str"/>
      <x:c r="C88" t="str"/>
      <x:c r="D88" s="12" t="str"/>
      <x:c r="E88" s="12" t="str"/>
      <x:c r="F88" s="12" t="str"/>
      <x:c r="G88" s="12" t="str"/>
      <x:c r="H88" s="12" t="str"/>
      <x:c r="I88" s="12" t="str"/>
      <x:c r="J88" s="12" t="str"/>
      <x:c r="K88" s="12" t="str"/>
      <x:c r="L88" s="12" t="str"/>
      <x:c r="M88" s="12" t="str"/>
      <x:c r="N88" s="12" t="str"/>
      <x:c r="O88" s="12" t="str"/>
      <x:c r="P88" t="str"/>
      <x:c r="Q88" t="str"/>
      <x:c r="R88" t="str">
        <x:f>IFERROR(VLOOKUP(Q88,Catalogos!$G:$H,2,FALSE),"")</x:f>
      </x:c>
      <x:c r="S88" t="str"/>
      <x:c r="T88" t="str">
        <x:f>IFERROR(VLOOKUP(S88,Catalogos!$I:$J,2,FALSE),"")</x:f>
      </x:c>
      <x:c r="U88" t="str">
        <x:f>IF(OR(R88="",T88=""),"",R88*T88)</x:f>
      </x:c>
      <x:c r="V88" t="str">
        <x:f>IF(U88="","",IF(U88&gt;=24,"MUY ALTO",IF(U88&gt;=10,"ALTO",IF(U88&gt;=6,"MEDIO","BAJO"))))</x:f>
      </x:c>
      <x:c r="W88" t="str"/>
      <x:c r="X88" t="str">
        <x:f>IFERROR(VLOOKUP(W88,Catalogos!$G:$H,2,FALSE),"")</x:f>
      </x:c>
      <x:c r="Y88" t="str">
        <x:f>IF(OR(U88="",X88=""),"",U88*X88)</x:f>
      </x:c>
      <x:c r="Z88" t="str">
        <x:f>IF(Y88="","",IF(Y88&gt;=600,"I - Situación crítica. Suspender actividades hasta que el riesgo esté bajo control. Intervención urgente.",IF(Y88&gt;=150,"II - Corregir y adoptar medidas de control de inmediato.",IF(Y88&gt;=40,"III - Mejorar si es posible. Conviene justificar la intervención y su rentabilidad.","IV - Mantener controles existentes."))))</x:f>
      </x:c>
      <x:c r="AA88" t="str">
        <x:f>IF(Y88="","",IF(Y88&gt;=600,"No aceptable",IF(Y88&gt;=150,"No aceptable / Aceptable con control específico","Aceptable")))</x:f>
      </x:c>
      <x:c r="AB88" s="12" t="str"/>
      <x:c r="AC88" s="12" t="str"/>
      <x:c r="AD88" s="12" t="str"/>
      <x:c r="AE88" s="12" t="str"/>
      <x:c r="AF88" s="12" t="str"/>
      <x:c r="AG88" s="12" t="str"/>
      <x:c r="AH88" s="16" t="str"/>
      <x:c r="AI88" s="12" t="str"/>
    </x:row>
    <x:row r="89">
      <x:c r="A89" t="str"/>
      <x:c r="B89" t="str"/>
      <x:c r="C89" t="str"/>
      <x:c r="D89" s="12" t="str"/>
      <x:c r="E89" s="12" t="str"/>
      <x:c r="F89" s="12" t="str"/>
      <x:c r="G89" s="12" t="str"/>
      <x:c r="H89" s="12" t="str"/>
      <x:c r="I89" s="12" t="str"/>
      <x:c r="J89" s="12" t="str"/>
      <x:c r="K89" s="12" t="str"/>
      <x:c r="L89" s="12" t="str"/>
      <x:c r="M89" s="12" t="str"/>
      <x:c r="N89" s="12" t="str"/>
      <x:c r="O89" s="12" t="str"/>
      <x:c r="P89" t="str"/>
      <x:c r="Q89" t="str"/>
      <x:c r="R89" t="str">
        <x:f>IFERROR(VLOOKUP(Q89,Catalogos!$G:$H,2,FALSE),"")</x:f>
      </x:c>
      <x:c r="S89" t="str"/>
      <x:c r="T89" t="str">
        <x:f>IFERROR(VLOOKUP(S89,Catalogos!$I:$J,2,FALSE),"")</x:f>
      </x:c>
      <x:c r="U89" t="str">
        <x:f>IF(OR(R89="",T89=""),"",R89*T89)</x:f>
      </x:c>
      <x:c r="V89" t="str">
        <x:f>IF(U89="","",IF(U89&gt;=24,"MUY ALTO",IF(U89&gt;=10,"ALTO",IF(U89&gt;=6,"MEDIO","BAJO"))))</x:f>
      </x:c>
      <x:c r="W89" t="str"/>
      <x:c r="X89" t="str">
        <x:f>IFERROR(VLOOKUP(W89,Catalogos!$G:$H,2,FALSE),"")</x:f>
      </x:c>
      <x:c r="Y89" t="str">
        <x:f>IF(OR(U89="",X89=""),"",U89*X89)</x:f>
      </x:c>
      <x:c r="Z89" t="str">
        <x:f>IF(Y89="","",IF(Y89&gt;=600,"I - Situación crítica. Suspender actividades hasta que el riesgo esté bajo control. Intervención urgente.",IF(Y89&gt;=150,"II - Corregir y adoptar medidas de control de inmediato.",IF(Y89&gt;=40,"III - Mejorar si es posible. Conviene justificar la intervención y su rentabilidad.","IV - Mantener controles existentes."))))</x:f>
      </x:c>
      <x:c r="AA89" t="str">
        <x:f>IF(Y89="","",IF(Y89&gt;=600,"No aceptable",IF(Y89&gt;=150,"No aceptable / Aceptable con control específico","Aceptable")))</x:f>
      </x:c>
      <x:c r="AB89" s="12" t="str"/>
      <x:c r="AC89" s="12" t="str"/>
      <x:c r="AD89" s="12" t="str"/>
      <x:c r="AE89" s="12" t="str"/>
      <x:c r="AF89" s="12" t="str"/>
      <x:c r="AG89" s="12" t="str"/>
      <x:c r="AH89" s="16" t="str"/>
      <x:c r="AI89" s="12" t="str"/>
    </x:row>
    <x:row r="90">
      <x:c r="A90" t="str"/>
      <x:c r="B90" t="str"/>
      <x:c r="C90" t="str"/>
      <x:c r="D90" s="12" t="str"/>
      <x:c r="E90" s="12" t="str"/>
      <x:c r="F90" s="12" t="str"/>
      <x:c r="G90" s="12" t="str"/>
      <x:c r="H90" s="12" t="str"/>
      <x:c r="I90" s="12" t="str"/>
      <x:c r="J90" s="12" t="str"/>
      <x:c r="K90" s="12" t="str"/>
      <x:c r="L90" s="12" t="str"/>
      <x:c r="M90" s="12" t="str"/>
      <x:c r="N90" s="12" t="str"/>
      <x:c r="O90" s="12" t="str"/>
      <x:c r="P90" t="str"/>
      <x:c r="Q90" t="str"/>
      <x:c r="R90" t="str">
        <x:f>IFERROR(VLOOKUP(Q90,Catalogos!$G:$H,2,FALSE),"")</x:f>
      </x:c>
      <x:c r="S90" t="str"/>
      <x:c r="T90" t="str">
        <x:f>IFERROR(VLOOKUP(S90,Catalogos!$I:$J,2,FALSE),"")</x:f>
      </x:c>
      <x:c r="U90" t="str">
        <x:f>IF(OR(R90="",T90=""),"",R90*T90)</x:f>
      </x:c>
      <x:c r="V90" t="str">
        <x:f>IF(U90="","",IF(U90&gt;=24,"MUY ALTO",IF(U90&gt;=10,"ALTO",IF(U90&gt;=6,"MEDIO","BAJO"))))</x:f>
      </x:c>
      <x:c r="W90" t="str"/>
      <x:c r="X90" t="str">
        <x:f>IFERROR(VLOOKUP(W90,Catalogos!$G:$H,2,FALSE),"")</x:f>
      </x:c>
      <x:c r="Y90" t="str">
        <x:f>IF(OR(U90="",X90=""),"",U90*X90)</x:f>
      </x:c>
      <x:c r="Z90" t="str">
        <x:f>IF(Y90="","",IF(Y90&gt;=600,"I - Situación crítica. Suspender actividades hasta que el riesgo esté bajo control. Intervención urgente.",IF(Y90&gt;=150,"II - Corregir y adoptar medidas de control de inmediato.",IF(Y90&gt;=40,"III - Mejorar si es posible. Conviene justificar la intervención y su rentabilidad.","IV - Mantener controles existentes."))))</x:f>
      </x:c>
      <x:c r="AA90" t="str">
        <x:f>IF(Y90="","",IF(Y90&gt;=600,"No aceptable",IF(Y90&gt;=150,"No aceptable / Aceptable con control específico","Aceptable")))</x:f>
      </x:c>
      <x:c r="AB90" s="12" t="str"/>
      <x:c r="AC90" s="12" t="str"/>
      <x:c r="AD90" s="12" t="str"/>
      <x:c r="AE90" s="12" t="str"/>
      <x:c r="AF90" s="12" t="str"/>
      <x:c r="AG90" s="12" t="str"/>
      <x:c r="AH90" s="16" t="str"/>
      <x:c r="AI90" s="12" t="str"/>
    </x:row>
    <x:row r="91">
      <x:c r="A91" t="str"/>
      <x:c r="B91" t="str"/>
      <x:c r="C91" t="str"/>
      <x:c r="D91" s="12" t="str"/>
      <x:c r="E91" s="12" t="str"/>
      <x:c r="F91" s="12" t="str"/>
      <x:c r="G91" s="12" t="str"/>
      <x:c r="H91" s="12" t="str"/>
      <x:c r="I91" s="12" t="str"/>
      <x:c r="J91" s="12" t="str"/>
      <x:c r="K91" s="12" t="str"/>
      <x:c r="L91" s="12" t="str"/>
      <x:c r="M91" s="12" t="str"/>
      <x:c r="N91" s="12" t="str"/>
      <x:c r="O91" s="12" t="str"/>
      <x:c r="P91" t="str"/>
      <x:c r="Q91" t="str"/>
      <x:c r="R91" t="str">
        <x:f>IFERROR(VLOOKUP(Q91,Catalogos!$G:$H,2,FALSE),"")</x:f>
      </x:c>
      <x:c r="S91" t="str"/>
      <x:c r="T91" t="str">
        <x:f>IFERROR(VLOOKUP(S91,Catalogos!$I:$J,2,FALSE),"")</x:f>
      </x:c>
      <x:c r="U91" t="str">
        <x:f>IF(OR(R91="",T91=""),"",R91*T91)</x:f>
      </x:c>
      <x:c r="V91" t="str">
        <x:f>IF(U91="","",IF(U91&gt;=24,"MUY ALTO",IF(U91&gt;=10,"ALTO",IF(U91&gt;=6,"MEDIO","BAJO"))))</x:f>
      </x:c>
      <x:c r="W91" t="str"/>
      <x:c r="X91" t="str">
        <x:f>IFERROR(VLOOKUP(W91,Catalogos!$G:$H,2,FALSE),"")</x:f>
      </x:c>
      <x:c r="Y91" t="str">
        <x:f>IF(OR(U91="",X91=""),"",U91*X91)</x:f>
      </x:c>
      <x:c r="Z91" t="str">
        <x:f>IF(Y91="","",IF(Y91&gt;=600,"I - Situación crítica. Suspender actividades hasta que el riesgo esté bajo control. Intervención urgente.",IF(Y91&gt;=150,"II - Corregir y adoptar medidas de control de inmediato.",IF(Y91&gt;=40,"III - Mejorar si es posible. Conviene justificar la intervención y su rentabilidad.","IV - Mantener controles existentes."))))</x:f>
      </x:c>
      <x:c r="AA91" t="str">
        <x:f>IF(Y91="","",IF(Y91&gt;=600,"No aceptable",IF(Y91&gt;=150,"No aceptable / Aceptable con control específico","Aceptable")))</x:f>
      </x:c>
      <x:c r="AB91" s="12" t="str"/>
      <x:c r="AC91" s="12" t="str"/>
      <x:c r="AD91" s="12" t="str"/>
      <x:c r="AE91" s="12" t="str"/>
      <x:c r="AF91" s="12" t="str"/>
      <x:c r="AG91" s="12" t="str"/>
      <x:c r="AH91" s="16" t="str"/>
      <x:c r="AI91" s="12" t="str"/>
    </x:row>
    <x:row r="92">
      <x:c r="A92" t="str"/>
      <x:c r="B92" t="str"/>
      <x:c r="C92" t="str"/>
      <x:c r="D92" s="12" t="str"/>
      <x:c r="E92" s="12" t="str"/>
      <x:c r="F92" s="12" t="str"/>
      <x:c r="G92" s="12" t="str"/>
      <x:c r="H92" s="12" t="str"/>
      <x:c r="I92" s="12" t="str"/>
      <x:c r="J92" s="12" t="str"/>
      <x:c r="K92" s="12" t="str"/>
      <x:c r="L92" s="12" t="str"/>
      <x:c r="M92" s="12" t="str"/>
      <x:c r="N92" s="12" t="str"/>
      <x:c r="O92" s="12" t="str"/>
      <x:c r="P92" t="str"/>
      <x:c r="Q92" t="str"/>
      <x:c r="R92" t="str">
        <x:f>IFERROR(VLOOKUP(Q92,Catalogos!$G:$H,2,FALSE),"")</x:f>
      </x:c>
      <x:c r="S92" t="str"/>
      <x:c r="T92" t="str">
        <x:f>IFERROR(VLOOKUP(S92,Catalogos!$I:$J,2,FALSE),"")</x:f>
      </x:c>
      <x:c r="U92" t="str">
        <x:f>IF(OR(R92="",T92=""),"",R92*T92)</x:f>
      </x:c>
      <x:c r="V92" t="str">
        <x:f>IF(U92="","",IF(U92&gt;=24,"MUY ALTO",IF(U92&gt;=10,"ALTO",IF(U92&gt;=6,"MEDIO","BAJO"))))</x:f>
      </x:c>
      <x:c r="W92" t="str"/>
      <x:c r="X92" t="str">
        <x:f>IFERROR(VLOOKUP(W92,Catalogos!$G:$H,2,FALSE),"")</x:f>
      </x:c>
      <x:c r="Y92" t="str">
        <x:f>IF(OR(U92="",X92=""),"",U92*X92)</x:f>
      </x:c>
      <x:c r="Z92" t="str">
        <x:f>IF(Y92="","",IF(Y92&gt;=600,"I - Situación crítica. Suspender actividades hasta que el riesgo esté bajo control. Intervención urgente.",IF(Y92&gt;=150,"II - Corregir y adoptar medidas de control de inmediato.",IF(Y92&gt;=40,"III - Mejorar si es posible. Conviene justificar la intervención y su rentabilidad.","IV - Mantener controles existentes."))))</x:f>
      </x:c>
      <x:c r="AA92" t="str">
        <x:f>IF(Y92="","",IF(Y92&gt;=600,"No aceptable",IF(Y92&gt;=150,"No aceptable / Aceptable con control específico","Aceptable")))</x:f>
      </x:c>
      <x:c r="AB92" s="12" t="str"/>
      <x:c r="AC92" s="12" t="str"/>
      <x:c r="AD92" s="12" t="str"/>
      <x:c r="AE92" s="12" t="str"/>
      <x:c r="AF92" s="12" t="str"/>
      <x:c r="AG92" s="12" t="str"/>
      <x:c r="AH92" s="16" t="str"/>
      <x:c r="AI92" s="12" t="str"/>
    </x:row>
    <x:row r="93">
      <x:c r="A93" t="str"/>
      <x:c r="B93" t="str"/>
      <x:c r="C93" t="str"/>
      <x:c r="D93" s="12" t="str"/>
      <x:c r="E93" s="12" t="str"/>
      <x:c r="F93" s="12" t="str"/>
      <x:c r="G93" s="12" t="str"/>
      <x:c r="H93" s="12" t="str"/>
      <x:c r="I93" s="12" t="str"/>
      <x:c r="J93" s="12" t="str"/>
      <x:c r="K93" s="12" t="str"/>
      <x:c r="L93" s="12" t="str"/>
      <x:c r="M93" s="12" t="str"/>
      <x:c r="N93" s="12" t="str"/>
      <x:c r="O93" s="12" t="str"/>
      <x:c r="P93" t="str"/>
      <x:c r="Q93" t="str"/>
      <x:c r="R93" t="str">
        <x:f>IFERROR(VLOOKUP(Q93,Catalogos!$G:$H,2,FALSE),"")</x:f>
      </x:c>
      <x:c r="S93" t="str"/>
      <x:c r="T93" t="str">
        <x:f>IFERROR(VLOOKUP(S93,Catalogos!$I:$J,2,FALSE),"")</x:f>
      </x:c>
      <x:c r="U93" t="str">
        <x:f>IF(OR(R93="",T93=""),"",R93*T93)</x:f>
      </x:c>
      <x:c r="V93" t="str">
        <x:f>IF(U93="","",IF(U93&gt;=24,"MUY ALTO",IF(U93&gt;=10,"ALTO",IF(U93&gt;=6,"MEDIO","BAJO"))))</x:f>
      </x:c>
      <x:c r="W93" t="str"/>
      <x:c r="X93" t="str">
        <x:f>IFERROR(VLOOKUP(W93,Catalogos!$G:$H,2,FALSE),"")</x:f>
      </x:c>
      <x:c r="Y93" t="str">
        <x:f>IF(OR(U93="",X93=""),"",U93*X93)</x:f>
      </x:c>
      <x:c r="Z93" t="str">
        <x:f>IF(Y93="","",IF(Y93&gt;=600,"I - Situación crítica. Suspender actividades hasta que el riesgo esté bajo control. Intervención urgente.",IF(Y93&gt;=150,"II - Corregir y adoptar medidas de control de inmediato.",IF(Y93&gt;=40,"III - Mejorar si es posible. Conviene justificar la intervención y su rentabilidad.","IV - Mantener controles existentes."))))</x:f>
      </x:c>
      <x:c r="AA93" t="str">
        <x:f>IF(Y93="","",IF(Y93&gt;=600,"No aceptable",IF(Y93&gt;=150,"No aceptable / Aceptable con control específico","Aceptable")))</x:f>
      </x:c>
      <x:c r="AB93" s="12" t="str"/>
      <x:c r="AC93" s="12" t="str"/>
      <x:c r="AD93" s="12" t="str"/>
      <x:c r="AE93" s="12" t="str"/>
      <x:c r="AF93" s="12" t="str"/>
      <x:c r="AG93" s="12" t="str"/>
      <x:c r="AH93" s="16" t="str"/>
      <x:c r="AI93" s="12" t="str"/>
    </x:row>
    <x:row r="94">
      <x:c r="A94" t="str"/>
      <x:c r="B94" t="str"/>
      <x:c r="C94" t="str"/>
      <x:c r="D94" s="12" t="str"/>
      <x:c r="E94" s="12" t="str"/>
      <x:c r="F94" s="12" t="str"/>
      <x:c r="G94" s="12" t="str"/>
      <x:c r="H94" s="12" t="str"/>
      <x:c r="I94" s="12" t="str"/>
      <x:c r="J94" s="12" t="str"/>
      <x:c r="K94" s="12" t="str"/>
      <x:c r="L94" s="12" t="str"/>
      <x:c r="M94" s="12" t="str"/>
      <x:c r="N94" s="12" t="str"/>
      <x:c r="O94" s="12" t="str"/>
      <x:c r="P94" t="str"/>
      <x:c r="Q94" t="str"/>
      <x:c r="R94" t="str">
        <x:f>IFERROR(VLOOKUP(Q94,Catalogos!$G:$H,2,FALSE),"")</x:f>
      </x:c>
      <x:c r="S94" t="str"/>
      <x:c r="T94" t="str">
        <x:f>IFERROR(VLOOKUP(S94,Catalogos!$I:$J,2,FALSE),"")</x:f>
      </x:c>
      <x:c r="U94" t="str">
        <x:f>IF(OR(R94="",T94=""),"",R94*T94)</x:f>
      </x:c>
      <x:c r="V94" t="str">
        <x:f>IF(U94="","",IF(U94&gt;=24,"MUY ALTO",IF(U94&gt;=10,"ALTO",IF(U94&gt;=6,"MEDIO","BAJO"))))</x:f>
      </x:c>
      <x:c r="W94" t="str"/>
      <x:c r="X94" t="str">
        <x:f>IFERROR(VLOOKUP(W94,Catalogos!$G:$H,2,FALSE),"")</x:f>
      </x:c>
      <x:c r="Y94" t="str">
        <x:f>IF(OR(U94="",X94=""),"",U94*X94)</x:f>
      </x:c>
      <x:c r="Z94" t="str">
        <x:f>IF(Y94="","",IF(Y94&gt;=600,"I - Situación crítica. Suspender actividades hasta que el riesgo esté bajo control. Intervención urgente.",IF(Y94&gt;=150,"II - Corregir y adoptar medidas de control de inmediato.",IF(Y94&gt;=40,"III - Mejorar si es posible. Conviene justificar la intervención y su rentabilidad.","IV - Mantener controles existentes."))))</x:f>
      </x:c>
      <x:c r="AA94" t="str">
        <x:f>IF(Y94="","",IF(Y94&gt;=600,"No aceptable",IF(Y94&gt;=150,"No aceptable / Aceptable con control específico","Aceptable")))</x:f>
      </x:c>
      <x:c r="AB94" s="12" t="str"/>
      <x:c r="AC94" s="12" t="str"/>
      <x:c r="AD94" s="12" t="str"/>
      <x:c r="AE94" s="12" t="str"/>
      <x:c r="AF94" s="12" t="str"/>
      <x:c r="AG94" s="12" t="str"/>
      <x:c r="AH94" s="16" t="str"/>
      <x:c r="AI94" s="12" t="str"/>
    </x:row>
    <x:row r="95">
      <x:c r="A95" t="str"/>
      <x:c r="B95" t="str"/>
      <x:c r="C95" t="str"/>
      <x:c r="D95" s="12" t="str"/>
      <x:c r="E95" s="12" t="str"/>
      <x:c r="F95" s="12" t="str"/>
      <x:c r="G95" s="12" t="str"/>
      <x:c r="H95" s="12" t="str"/>
      <x:c r="I95" s="12" t="str"/>
      <x:c r="J95" s="12" t="str"/>
      <x:c r="K95" s="12" t="str"/>
      <x:c r="L95" s="12" t="str"/>
      <x:c r="M95" s="12" t="str"/>
      <x:c r="N95" s="12" t="str"/>
      <x:c r="O95" s="12" t="str"/>
      <x:c r="P95" t="str"/>
      <x:c r="Q95" t="str"/>
      <x:c r="R95" t="str">
        <x:f>IFERROR(VLOOKUP(Q95,Catalogos!$G:$H,2,FALSE),"")</x:f>
      </x:c>
      <x:c r="S95" t="str"/>
      <x:c r="T95" t="str">
        <x:f>IFERROR(VLOOKUP(S95,Catalogos!$I:$J,2,FALSE),"")</x:f>
      </x:c>
      <x:c r="U95" t="str">
        <x:f>IF(OR(R95="",T95=""),"",R95*T95)</x:f>
      </x:c>
      <x:c r="V95" t="str">
        <x:f>IF(U95="","",IF(U95&gt;=24,"MUY ALTO",IF(U95&gt;=10,"ALTO",IF(U95&gt;=6,"MEDIO","BAJO"))))</x:f>
      </x:c>
      <x:c r="W95" t="str"/>
      <x:c r="X95" t="str">
        <x:f>IFERROR(VLOOKUP(W95,Catalogos!$G:$H,2,FALSE),"")</x:f>
      </x:c>
      <x:c r="Y95" t="str">
        <x:f>IF(OR(U95="",X95=""),"",U95*X95)</x:f>
      </x:c>
      <x:c r="Z95" t="str">
        <x:f>IF(Y95="","",IF(Y95&gt;=600,"I - Situación crítica. Suspender actividades hasta que el riesgo esté bajo control. Intervención urgente.",IF(Y95&gt;=150,"II - Corregir y adoptar medidas de control de inmediato.",IF(Y95&gt;=40,"III - Mejorar si es posible. Conviene justificar la intervención y su rentabilidad.","IV - Mantener controles existentes."))))</x:f>
      </x:c>
      <x:c r="AA95" t="str">
        <x:f>IF(Y95="","",IF(Y95&gt;=600,"No aceptable",IF(Y95&gt;=150,"No aceptable / Aceptable con control específico","Aceptable")))</x:f>
      </x:c>
      <x:c r="AB95" s="12" t="str"/>
      <x:c r="AC95" s="12" t="str"/>
      <x:c r="AD95" s="12" t="str"/>
      <x:c r="AE95" s="12" t="str"/>
      <x:c r="AF95" s="12" t="str"/>
      <x:c r="AG95" s="12" t="str"/>
      <x:c r="AH95" s="16" t="str"/>
      <x:c r="AI95" s="12" t="str"/>
    </x:row>
    <x:row r="96">
      <x:c r="A96" t="str"/>
      <x:c r="B96" t="str"/>
      <x:c r="C96" t="str"/>
      <x:c r="D96" s="12" t="str"/>
      <x:c r="E96" s="12" t="str"/>
      <x:c r="F96" s="12" t="str"/>
      <x:c r="G96" s="12" t="str"/>
      <x:c r="H96" s="12" t="str"/>
      <x:c r="I96" s="12" t="str"/>
      <x:c r="J96" s="12" t="str"/>
      <x:c r="K96" s="12" t="str"/>
      <x:c r="L96" s="12" t="str"/>
      <x:c r="M96" s="12" t="str"/>
      <x:c r="N96" s="12" t="str"/>
      <x:c r="O96" s="12" t="str"/>
      <x:c r="P96" t="str"/>
      <x:c r="Q96" t="str"/>
      <x:c r="R96" t="str">
        <x:f>IFERROR(VLOOKUP(Q96,Catalogos!$G:$H,2,FALSE),"")</x:f>
      </x:c>
      <x:c r="S96" t="str"/>
      <x:c r="T96" t="str">
        <x:f>IFERROR(VLOOKUP(S96,Catalogos!$I:$J,2,FALSE),"")</x:f>
      </x:c>
      <x:c r="U96" t="str">
        <x:f>IF(OR(R96="",T96=""),"",R96*T96)</x:f>
      </x:c>
      <x:c r="V96" t="str">
        <x:f>IF(U96="","",IF(U96&gt;=24,"MUY ALTO",IF(U96&gt;=10,"ALTO",IF(U96&gt;=6,"MEDIO","BAJO"))))</x:f>
      </x:c>
      <x:c r="W96" t="str"/>
      <x:c r="X96" t="str">
        <x:f>IFERROR(VLOOKUP(W96,Catalogos!$G:$H,2,FALSE),"")</x:f>
      </x:c>
      <x:c r="Y96" t="str">
        <x:f>IF(OR(U96="",X96=""),"",U96*X96)</x:f>
      </x:c>
      <x:c r="Z96" t="str">
        <x:f>IF(Y96="","",IF(Y96&gt;=600,"I - Situación crítica. Suspender actividades hasta que el riesgo esté bajo control. Intervención urgente.",IF(Y96&gt;=150,"II - Corregir y adoptar medidas de control de inmediato.",IF(Y96&gt;=40,"III - Mejorar si es posible. Conviene justificar la intervención y su rentabilidad.","IV - Mantener controles existentes."))))</x:f>
      </x:c>
      <x:c r="AA96" t="str">
        <x:f>IF(Y96="","",IF(Y96&gt;=600,"No aceptable",IF(Y96&gt;=150,"No aceptable / Aceptable con control específico","Aceptable")))</x:f>
      </x:c>
      <x:c r="AB96" s="12" t="str"/>
      <x:c r="AC96" s="12" t="str"/>
      <x:c r="AD96" s="12" t="str"/>
      <x:c r="AE96" s="12" t="str"/>
      <x:c r="AF96" s="12" t="str"/>
      <x:c r="AG96" s="12" t="str"/>
      <x:c r="AH96" s="16" t="str"/>
      <x:c r="AI96" s="12" t="str"/>
    </x:row>
    <x:row r="97">
      <x:c r="A97" t="str"/>
      <x:c r="B97" t="str"/>
      <x:c r="C97" t="str"/>
      <x:c r="D97" s="12" t="str"/>
      <x:c r="E97" s="12" t="str"/>
      <x:c r="F97" s="12" t="str"/>
      <x:c r="G97" s="12" t="str"/>
      <x:c r="H97" s="12" t="str"/>
      <x:c r="I97" s="12" t="str"/>
      <x:c r="J97" s="12" t="str"/>
      <x:c r="K97" s="12" t="str"/>
      <x:c r="L97" s="12" t="str"/>
      <x:c r="M97" s="12" t="str"/>
      <x:c r="N97" s="12" t="str"/>
      <x:c r="O97" s="12" t="str"/>
      <x:c r="P97" t="str"/>
      <x:c r="Q97" t="str"/>
      <x:c r="R97" t="str">
        <x:f>IFERROR(VLOOKUP(Q97,Catalogos!$G:$H,2,FALSE),"")</x:f>
      </x:c>
      <x:c r="S97" t="str"/>
      <x:c r="T97" t="str">
        <x:f>IFERROR(VLOOKUP(S97,Catalogos!$I:$J,2,FALSE),"")</x:f>
      </x:c>
      <x:c r="U97" t="str">
        <x:f>IF(OR(R97="",T97=""),"",R97*T97)</x:f>
      </x:c>
      <x:c r="V97" t="str">
        <x:f>IF(U97="","",IF(U97&gt;=24,"MUY ALTO",IF(U97&gt;=10,"ALTO",IF(U97&gt;=6,"MEDIO","BAJO"))))</x:f>
      </x:c>
      <x:c r="W97" t="str"/>
      <x:c r="X97" t="str">
        <x:f>IFERROR(VLOOKUP(W97,Catalogos!$G:$H,2,FALSE),"")</x:f>
      </x:c>
      <x:c r="Y97" t="str">
        <x:f>IF(OR(U97="",X97=""),"",U97*X97)</x:f>
      </x:c>
      <x:c r="Z97" t="str">
        <x:f>IF(Y97="","",IF(Y97&gt;=600,"I - Situación crítica. Suspender actividades hasta que el riesgo esté bajo control. Intervención urgente.",IF(Y97&gt;=150,"II - Corregir y adoptar medidas de control de inmediato.",IF(Y97&gt;=40,"III - Mejorar si es posible. Conviene justificar la intervención y su rentabilidad.","IV - Mantener controles existentes."))))</x:f>
      </x:c>
      <x:c r="AA97" t="str">
        <x:f>IF(Y97="","",IF(Y97&gt;=600,"No aceptable",IF(Y97&gt;=150,"No aceptable / Aceptable con control específico","Aceptable")))</x:f>
      </x:c>
      <x:c r="AB97" s="12" t="str"/>
      <x:c r="AC97" s="12" t="str"/>
      <x:c r="AD97" s="12" t="str"/>
      <x:c r="AE97" s="12" t="str"/>
      <x:c r="AF97" s="12" t="str"/>
      <x:c r="AG97" s="12" t="str"/>
      <x:c r="AH97" s="16" t="str"/>
      <x:c r="AI97" s="12" t="str"/>
    </x:row>
    <x:row r="98">
      <x:c r="A98" t="str"/>
      <x:c r="B98" t="str"/>
      <x:c r="C98" t="str"/>
      <x:c r="D98" s="12" t="str"/>
      <x:c r="E98" s="12" t="str"/>
      <x:c r="F98" s="12" t="str"/>
      <x:c r="G98" s="12" t="str"/>
      <x:c r="H98" s="12" t="str"/>
      <x:c r="I98" s="12" t="str"/>
      <x:c r="J98" s="12" t="str"/>
      <x:c r="K98" s="12" t="str"/>
      <x:c r="L98" s="12" t="str"/>
      <x:c r="M98" s="12" t="str"/>
      <x:c r="N98" s="12" t="str"/>
      <x:c r="O98" s="12" t="str"/>
      <x:c r="P98" t="str"/>
      <x:c r="Q98" t="str"/>
      <x:c r="R98" t="str">
        <x:f>IFERROR(VLOOKUP(Q98,Catalogos!$G:$H,2,FALSE),"")</x:f>
      </x:c>
      <x:c r="S98" t="str"/>
      <x:c r="T98" t="str">
        <x:f>IFERROR(VLOOKUP(S98,Catalogos!$I:$J,2,FALSE),"")</x:f>
      </x:c>
      <x:c r="U98" t="str">
        <x:f>IF(OR(R98="",T98=""),"",R98*T98)</x:f>
      </x:c>
      <x:c r="V98" t="str">
        <x:f>IF(U98="","",IF(U98&gt;=24,"MUY ALTO",IF(U98&gt;=10,"ALTO",IF(U98&gt;=6,"MEDIO","BAJO"))))</x:f>
      </x:c>
      <x:c r="W98" t="str"/>
      <x:c r="X98" t="str">
        <x:f>IFERROR(VLOOKUP(W98,Catalogos!$G:$H,2,FALSE),"")</x:f>
      </x:c>
      <x:c r="Y98" t="str">
        <x:f>IF(OR(U98="",X98=""),"",U98*X98)</x:f>
      </x:c>
      <x:c r="Z98" t="str">
        <x:f>IF(Y98="","",IF(Y98&gt;=600,"I - Situación crítica. Suspender actividades hasta que el riesgo esté bajo control. Intervención urgente.",IF(Y98&gt;=150,"II - Corregir y adoptar medidas de control de inmediato.",IF(Y98&gt;=40,"III - Mejorar si es posible. Conviene justificar la intervención y su rentabilidad.","IV - Mantener controles existentes."))))</x:f>
      </x:c>
      <x:c r="AA98" t="str">
        <x:f>IF(Y98="","",IF(Y98&gt;=600,"No aceptable",IF(Y98&gt;=150,"No aceptable / Aceptable con control específico","Aceptable")))</x:f>
      </x:c>
      <x:c r="AB98" s="12" t="str"/>
      <x:c r="AC98" s="12" t="str"/>
      <x:c r="AD98" s="12" t="str"/>
      <x:c r="AE98" s="12" t="str"/>
      <x:c r="AF98" s="12" t="str"/>
      <x:c r="AG98" s="12" t="str"/>
      <x:c r="AH98" s="16" t="str"/>
      <x:c r="AI98" s="12" t="str"/>
    </x:row>
    <x:row r="99">
      <x:c r="A99" t="str"/>
      <x:c r="B99" t="str"/>
      <x:c r="C99" t="str"/>
      <x:c r="D99" s="12" t="str"/>
      <x:c r="E99" s="12" t="str"/>
      <x:c r="F99" s="12" t="str"/>
      <x:c r="G99" s="12" t="str"/>
      <x:c r="H99" s="12" t="str"/>
      <x:c r="I99" s="12" t="str"/>
      <x:c r="J99" s="12" t="str"/>
      <x:c r="K99" s="12" t="str"/>
      <x:c r="L99" s="12" t="str"/>
      <x:c r="M99" s="12" t="str"/>
      <x:c r="N99" s="12" t="str"/>
      <x:c r="O99" s="12" t="str"/>
      <x:c r="P99" t="str"/>
      <x:c r="Q99" t="str"/>
      <x:c r="R99" t="str">
        <x:f>IFERROR(VLOOKUP(Q99,Catalogos!$G:$H,2,FALSE),"")</x:f>
      </x:c>
      <x:c r="S99" t="str"/>
      <x:c r="T99" t="str">
        <x:f>IFERROR(VLOOKUP(S99,Catalogos!$I:$J,2,FALSE),"")</x:f>
      </x:c>
      <x:c r="U99" t="str">
        <x:f>IF(OR(R99="",T99=""),"",R99*T99)</x:f>
      </x:c>
      <x:c r="V99" t="str">
        <x:f>IF(U99="","",IF(U99&gt;=24,"MUY ALTO",IF(U99&gt;=10,"ALTO",IF(U99&gt;=6,"MEDIO","BAJO"))))</x:f>
      </x:c>
      <x:c r="W99" t="str"/>
      <x:c r="X99" t="str">
        <x:f>IFERROR(VLOOKUP(W99,Catalogos!$G:$H,2,FALSE),"")</x:f>
      </x:c>
      <x:c r="Y99" t="str">
        <x:f>IF(OR(U99="",X99=""),"",U99*X99)</x:f>
      </x:c>
      <x:c r="Z99" t="str">
        <x:f>IF(Y99="","",IF(Y99&gt;=600,"I - Situación crítica. Suspender actividades hasta que el riesgo esté bajo control. Intervención urgente.",IF(Y99&gt;=150,"II - Corregir y adoptar medidas de control de inmediato.",IF(Y99&gt;=40,"III - Mejorar si es posible. Conviene justificar la intervención y su rentabilidad.","IV - Mantener controles existentes."))))</x:f>
      </x:c>
      <x:c r="AA99" t="str">
        <x:f>IF(Y99="","",IF(Y99&gt;=600,"No aceptable",IF(Y99&gt;=150,"No aceptable / Aceptable con control específico","Aceptable")))</x:f>
      </x:c>
      <x:c r="AB99" s="12" t="str"/>
      <x:c r="AC99" s="12" t="str"/>
      <x:c r="AD99" s="12" t="str"/>
      <x:c r="AE99" s="12" t="str"/>
      <x:c r="AF99" s="12" t="str"/>
      <x:c r="AG99" s="12" t="str"/>
      <x:c r="AH99" s="16" t="str"/>
      <x:c r="AI99" s="12" t="str"/>
    </x:row>
    <x:row r="100">
      <x:c r="A100" t="str"/>
      <x:c r="B100" t="str"/>
      <x:c r="C100" t="str"/>
      <x:c r="D100" s="12" t="str"/>
      <x:c r="E100" s="12" t="str"/>
      <x:c r="F100" s="12" t="str"/>
      <x:c r="G100" s="12" t="str"/>
      <x:c r="H100" s="12" t="str"/>
      <x:c r="I100" s="12" t="str"/>
      <x:c r="J100" s="12" t="str"/>
      <x:c r="K100" s="12" t="str"/>
      <x:c r="L100" s="12" t="str"/>
      <x:c r="M100" s="12" t="str"/>
      <x:c r="N100" s="12" t="str"/>
      <x:c r="O100" s="12" t="str"/>
      <x:c r="P100" t="str"/>
      <x:c r="Q100" t="str"/>
      <x:c r="R100" t="str">
        <x:f>IFERROR(VLOOKUP(Q100,Catalogos!$G:$H,2,FALSE),"")</x:f>
      </x:c>
      <x:c r="S100" t="str"/>
      <x:c r="T100" t="str">
        <x:f>IFERROR(VLOOKUP(S100,Catalogos!$I:$J,2,FALSE),"")</x:f>
      </x:c>
      <x:c r="U100" t="str">
        <x:f>IF(OR(R100="",T100=""),"",R100*T100)</x:f>
      </x:c>
      <x:c r="V100" t="str">
        <x:f>IF(U100="","",IF(U100&gt;=24,"MUY ALTO",IF(U100&gt;=10,"ALTO",IF(U100&gt;=6,"MEDIO","BAJO"))))</x:f>
      </x:c>
      <x:c r="W100" t="str"/>
      <x:c r="X100" t="str">
        <x:f>IFERROR(VLOOKUP(W100,Catalogos!$G:$H,2,FALSE),"")</x:f>
      </x:c>
      <x:c r="Y100" t="str">
        <x:f>IF(OR(U100="",X100=""),"",U100*X100)</x:f>
      </x:c>
      <x:c r="Z100" t="str">
        <x:f>IF(Y100="","",IF(Y100&gt;=600,"I - Situación crítica. Suspender actividades hasta que el riesgo esté bajo control. Intervención urgente.",IF(Y100&gt;=150,"II - Corregir y adoptar medidas de control de inmediato.",IF(Y100&gt;=40,"III - Mejorar si es posible. Conviene justificar la intervención y su rentabilidad.","IV - Mantener controles existentes."))))</x:f>
      </x:c>
      <x:c r="AA100" t="str">
        <x:f>IF(Y100="","",IF(Y100&gt;=600,"No aceptable",IF(Y100&gt;=150,"No aceptable / Aceptable con control específico","Aceptable")))</x:f>
      </x:c>
      <x:c r="AB100" s="12" t="str"/>
      <x:c r="AC100" s="12" t="str"/>
      <x:c r="AD100" s="12" t="str"/>
      <x:c r="AE100" s="12" t="str"/>
      <x:c r="AF100" s="12" t="str"/>
      <x:c r="AG100" s="12" t="str"/>
      <x:c r="AH100" s="16" t="str"/>
      <x:c r="AI100" s="12" t="str"/>
    </x:row>
    <x:row r="101">
      <x:c r="A101" t="str"/>
      <x:c r="B101" t="str"/>
      <x:c r="C101" t="str"/>
      <x:c r="D101" s="12" t="str"/>
      <x:c r="E101" s="12" t="str"/>
      <x:c r="F101" s="12" t="str"/>
      <x:c r="G101" s="12" t="str"/>
      <x:c r="H101" s="12" t="str"/>
      <x:c r="I101" s="12" t="str"/>
      <x:c r="J101" s="12" t="str"/>
      <x:c r="K101" s="12" t="str"/>
      <x:c r="L101" s="12" t="str"/>
      <x:c r="M101" s="12" t="str"/>
      <x:c r="N101" s="12" t="str"/>
      <x:c r="O101" s="12" t="str"/>
      <x:c r="P101" t="str"/>
      <x:c r="Q101" t="str"/>
      <x:c r="R101" t="str">
        <x:f>IFERROR(VLOOKUP(Q101,Catalogos!$G:$H,2,FALSE),"")</x:f>
      </x:c>
      <x:c r="S101" t="str"/>
      <x:c r="T101" t="str">
        <x:f>IFERROR(VLOOKUP(S101,Catalogos!$I:$J,2,FALSE),"")</x:f>
      </x:c>
      <x:c r="U101" t="str">
        <x:f>IF(OR(R101="",T101=""),"",R101*T101)</x:f>
      </x:c>
      <x:c r="V101" t="str">
        <x:f>IF(U101="","",IF(U101&gt;=24,"MUY ALTO",IF(U101&gt;=10,"ALTO",IF(U101&gt;=6,"MEDIO","BAJO"))))</x:f>
      </x:c>
      <x:c r="W101" t="str"/>
      <x:c r="X101" t="str">
        <x:f>IFERROR(VLOOKUP(W101,Catalogos!$G:$H,2,FALSE),"")</x:f>
      </x:c>
      <x:c r="Y101" t="str">
        <x:f>IF(OR(U101="",X101=""),"",U101*X101)</x:f>
      </x:c>
      <x:c r="Z101" t="str">
        <x:f>IF(Y101="","",IF(Y101&gt;=600,"I - Situación crítica. Suspender actividades hasta que el riesgo esté bajo control. Intervención urgente.",IF(Y101&gt;=150,"II - Corregir y adoptar medidas de control de inmediato.",IF(Y101&gt;=40,"III - Mejorar si es posible. Conviene justificar la intervención y su rentabilidad.","IV - Mantener controles existentes."))))</x:f>
      </x:c>
      <x:c r="AA101" t="str">
        <x:f>IF(Y101="","",IF(Y101&gt;=600,"No aceptable",IF(Y101&gt;=150,"No aceptable / Aceptable con control específico","Aceptable")))</x:f>
      </x:c>
      <x:c r="AB101" s="12" t="str"/>
      <x:c r="AC101" s="12" t="str"/>
      <x:c r="AD101" s="12" t="str"/>
      <x:c r="AE101" s="12" t="str"/>
      <x:c r="AF101" s="12" t="str"/>
      <x:c r="AG101" s="12" t="str"/>
      <x:c r="AH101" s="16" t="str"/>
      <x:c r="AI101" s="12" t="str"/>
    </x:row>
    <x:row r="102">
      <x:c r="A102" t="str"/>
      <x:c r="B102" t="str"/>
      <x:c r="C102" t="str"/>
      <x:c r="D102" s="12" t="str"/>
      <x:c r="E102" s="12" t="str"/>
      <x:c r="F102" s="12" t="str"/>
      <x:c r="G102" s="12" t="str"/>
      <x:c r="H102" s="12" t="str"/>
      <x:c r="I102" s="12" t="str"/>
      <x:c r="J102" s="12" t="str"/>
      <x:c r="K102" s="12" t="str"/>
      <x:c r="L102" s="12" t="str"/>
      <x:c r="M102" s="12" t="str"/>
      <x:c r="N102" s="12" t="str"/>
      <x:c r="O102" s="12" t="str"/>
      <x:c r="P102" t="str"/>
      <x:c r="Q102" t="str"/>
      <x:c r="R102" t="str">
        <x:f>IFERROR(VLOOKUP(Q102,Catalogos!$G:$H,2,FALSE),"")</x:f>
      </x:c>
      <x:c r="S102" t="str"/>
      <x:c r="T102" t="str">
        <x:f>IFERROR(VLOOKUP(S102,Catalogos!$I:$J,2,FALSE),"")</x:f>
      </x:c>
      <x:c r="U102" t="str">
        <x:f>IF(OR(R102="",T102=""),"",R102*T102)</x:f>
      </x:c>
      <x:c r="V102" t="str">
        <x:f>IF(U102="","",IF(U102&gt;=24,"MUY ALTO",IF(U102&gt;=10,"ALTO",IF(U102&gt;=6,"MEDIO","BAJO"))))</x:f>
      </x:c>
      <x:c r="W102" t="str"/>
      <x:c r="X102" t="str">
        <x:f>IFERROR(VLOOKUP(W102,Catalogos!$G:$H,2,FALSE),"")</x:f>
      </x:c>
      <x:c r="Y102" t="str">
        <x:f>IF(OR(U102="",X102=""),"",U102*X102)</x:f>
      </x:c>
      <x:c r="Z102" t="str">
        <x:f>IF(Y102="","",IF(Y102&gt;=600,"I - Situación crítica. Suspender actividades hasta que el riesgo esté bajo control. Intervención urgente.",IF(Y102&gt;=150,"II - Corregir y adoptar medidas de control de inmediato.",IF(Y102&gt;=40,"III - Mejorar si es posible. Conviene justificar la intervención y su rentabilidad.","IV - Mantener controles existentes."))))</x:f>
      </x:c>
      <x:c r="AA102" t="str">
        <x:f>IF(Y102="","",IF(Y102&gt;=600,"No aceptable",IF(Y102&gt;=150,"No aceptable / Aceptable con control específico","Aceptable")))</x:f>
      </x:c>
      <x:c r="AB102" s="12" t="str"/>
      <x:c r="AC102" s="12" t="str"/>
      <x:c r="AD102" s="12" t="str"/>
      <x:c r="AE102" s="12" t="str"/>
      <x:c r="AF102" s="12" t="str"/>
      <x:c r="AG102" s="12" t="str"/>
      <x:c r="AH102" s="16" t="str"/>
      <x:c r="AI102" s="12" t="str"/>
    </x:row>
    <x:row r="103">
      <x:c r="A103" t="str"/>
      <x:c r="B103" t="str"/>
      <x:c r="C103" t="str"/>
      <x:c r="D103" s="12" t="str"/>
      <x:c r="E103" s="12" t="str"/>
      <x:c r="F103" s="12" t="str"/>
      <x:c r="G103" s="12" t="str"/>
      <x:c r="H103" s="12" t="str"/>
      <x:c r="I103" s="12" t="str"/>
      <x:c r="J103" s="12" t="str"/>
      <x:c r="K103" s="12" t="str"/>
      <x:c r="L103" s="12" t="str"/>
      <x:c r="M103" s="12" t="str"/>
      <x:c r="N103" s="12" t="str"/>
      <x:c r="O103" s="12" t="str"/>
      <x:c r="P103" t="str"/>
      <x:c r="Q103" t="str"/>
      <x:c r="R103" t="str">
        <x:f>IFERROR(VLOOKUP(Q103,Catalogos!$G:$H,2,FALSE),"")</x:f>
      </x:c>
      <x:c r="S103" t="str"/>
      <x:c r="T103" t="str">
        <x:f>IFERROR(VLOOKUP(S103,Catalogos!$I:$J,2,FALSE),"")</x:f>
      </x:c>
      <x:c r="U103" t="str">
        <x:f>IF(OR(R103="",T103=""),"",R103*T103)</x:f>
      </x:c>
      <x:c r="V103" t="str">
        <x:f>IF(U103="","",IF(U103&gt;=24,"MUY ALTO",IF(U103&gt;=10,"ALTO",IF(U103&gt;=6,"MEDIO","BAJO"))))</x:f>
      </x:c>
      <x:c r="W103" t="str"/>
      <x:c r="X103" t="str">
        <x:f>IFERROR(VLOOKUP(W103,Catalogos!$G:$H,2,FALSE),"")</x:f>
      </x:c>
      <x:c r="Y103" t="str">
        <x:f>IF(OR(U103="",X103=""),"",U103*X103)</x:f>
      </x:c>
      <x:c r="Z103" t="str">
        <x:f>IF(Y103="","",IF(Y103&gt;=600,"I - Situación crítica. Suspender actividades hasta que el riesgo esté bajo control. Intervención urgente.",IF(Y103&gt;=150,"II - Corregir y adoptar medidas de control de inmediato.",IF(Y103&gt;=40,"III - Mejorar si es posible. Conviene justificar la intervención y su rentabilidad.","IV - Mantener controles existentes."))))</x:f>
      </x:c>
      <x:c r="AA103" t="str">
        <x:f>IF(Y103="","",IF(Y103&gt;=600,"No aceptable",IF(Y103&gt;=150,"No aceptable / Aceptable con control específico","Aceptable")))</x:f>
      </x:c>
      <x:c r="AB103" s="12" t="str"/>
      <x:c r="AC103" s="12" t="str"/>
      <x:c r="AD103" s="12" t="str"/>
      <x:c r="AE103" s="12" t="str"/>
      <x:c r="AF103" s="12" t="str"/>
      <x:c r="AG103" s="12" t="str"/>
      <x:c r="AH103" s="16" t="str"/>
      <x:c r="AI103" s="12" t="str"/>
    </x:row>
    <x:row r="104">
      <x:c r="A104" t="str"/>
      <x:c r="B104" t="str"/>
      <x:c r="C104" t="str"/>
      <x:c r="D104" s="12" t="str"/>
      <x:c r="E104" s="12" t="str"/>
      <x:c r="F104" s="12" t="str"/>
      <x:c r="G104" s="12" t="str"/>
      <x:c r="H104" s="12" t="str"/>
      <x:c r="I104" s="12" t="str"/>
      <x:c r="J104" s="12" t="str"/>
      <x:c r="K104" s="12" t="str"/>
      <x:c r="L104" s="12" t="str"/>
      <x:c r="M104" s="12" t="str"/>
      <x:c r="N104" s="12" t="str"/>
      <x:c r="O104" s="12" t="str"/>
      <x:c r="P104" t="str"/>
      <x:c r="Q104" t="str"/>
      <x:c r="R104" t="str">
        <x:f>IFERROR(VLOOKUP(Q104,Catalogos!$G:$H,2,FALSE),"")</x:f>
      </x:c>
      <x:c r="S104" t="str"/>
      <x:c r="T104" t="str">
        <x:f>IFERROR(VLOOKUP(S104,Catalogos!$I:$J,2,FALSE),"")</x:f>
      </x:c>
      <x:c r="U104" t="str">
        <x:f>IF(OR(R104="",T104=""),"",R104*T104)</x:f>
      </x:c>
      <x:c r="V104" t="str">
        <x:f>IF(U104="","",IF(U104&gt;=24,"MUY ALTO",IF(U104&gt;=10,"ALTO",IF(U104&gt;=6,"MEDIO","BAJO"))))</x:f>
      </x:c>
      <x:c r="W104" t="str"/>
      <x:c r="X104" t="str">
        <x:f>IFERROR(VLOOKUP(W104,Catalogos!$G:$H,2,FALSE),"")</x:f>
      </x:c>
      <x:c r="Y104" t="str">
        <x:f>IF(OR(U104="",X104=""),"",U104*X104)</x:f>
      </x:c>
      <x:c r="Z104" t="str">
        <x:f>IF(Y104="","",IF(Y104&gt;=600,"I - Situación crítica. Suspender actividades hasta que el riesgo esté bajo control. Intervención urgente.",IF(Y104&gt;=150,"II - Corregir y adoptar medidas de control de inmediato.",IF(Y104&gt;=40,"III - Mejorar si es posible. Conviene justificar la intervención y su rentabilidad.","IV - Mantener controles existentes."))))</x:f>
      </x:c>
      <x:c r="AA104" t="str">
        <x:f>IF(Y104="","",IF(Y104&gt;=600,"No aceptable",IF(Y104&gt;=150,"No aceptable / Aceptable con control específico","Aceptable")))</x:f>
      </x:c>
      <x:c r="AB104" s="12" t="str"/>
      <x:c r="AC104" s="12" t="str"/>
      <x:c r="AD104" s="12" t="str"/>
      <x:c r="AE104" s="12" t="str"/>
      <x:c r="AF104" s="12" t="str"/>
      <x:c r="AG104" s="12" t="str"/>
      <x:c r="AH104" s="16" t="str"/>
      <x:c r="AI104" s="12" t="str"/>
    </x:row>
    <x:row r="105">
      <x:c r="A105" t="str"/>
      <x:c r="B105" t="str"/>
      <x:c r="C105" t="str"/>
      <x:c r="D105" s="12" t="str"/>
      <x:c r="E105" s="12" t="str"/>
      <x:c r="F105" s="12" t="str"/>
      <x:c r="G105" s="12" t="str"/>
      <x:c r="H105" s="12" t="str"/>
      <x:c r="I105" s="12" t="str"/>
      <x:c r="J105" s="12" t="str"/>
      <x:c r="K105" s="12" t="str"/>
      <x:c r="L105" s="12" t="str"/>
      <x:c r="M105" s="12" t="str"/>
      <x:c r="N105" s="12" t="str"/>
      <x:c r="O105" s="12" t="str"/>
      <x:c r="P105" t="str"/>
      <x:c r="Q105" t="str"/>
      <x:c r="R105" t="str">
        <x:f>IFERROR(VLOOKUP(Q105,Catalogos!$G:$H,2,FALSE),"")</x:f>
      </x:c>
      <x:c r="S105" t="str"/>
      <x:c r="T105" t="str">
        <x:f>IFERROR(VLOOKUP(S105,Catalogos!$I:$J,2,FALSE),"")</x:f>
      </x:c>
      <x:c r="U105" t="str">
        <x:f>IF(OR(R105="",T105=""),"",R105*T105)</x:f>
      </x:c>
      <x:c r="V105" t="str">
        <x:f>IF(U105="","",IF(U105&gt;=24,"MUY ALTO",IF(U105&gt;=10,"ALTO",IF(U105&gt;=6,"MEDIO","BAJO"))))</x:f>
      </x:c>
      <x:c r="W105" t="str"/>
      <x:c r="X105" t="str">
        <x:f>IFERROR(VLOOKUP(W105,Catalogos!$G:$H,2,FALSE),"")</x:f>
      </x:c>
      <x:c r="Y105" t="str">
        <x:f>IF(OR(U105="",X105=""),"",U105*X105)</x:f>
      </x:c>
      <x:c r="Z105" t="str">
        <x:f>IF(Y105="","",IF(Y105&gt;=600,"I - Situación crítica. Suspender actividades hasta que el riesgo esté bajo control. Intervención urgente.",IF(Y105&gt;=150,"II - Corregir y adoptar medidas de control de inmediato.",IF(Y105&gt;=40,"III - Mejorar si es posible. Conviene justificar la intervención y su rentabilidad.","IV - Mantener controles existentes."))))</x:f>
      </x:c>
      <x:c r="AA105" t="str">
        <x:f>IF(Y105="","",IF(Y105&gt;=600,"No aceptable",IF(Y105&gt;=150,"No aceptable / Aceptable con control específico","Aceptable")))</x:f>
      </x:c>
      <x:c r="AB105" s="12" t="str"/>
      <x:c r="AC105" s="12" t="str"/>
      <x:c r="AD105" s="12" t="str"/>
      <x:c r="AE105" s="12" t="str"/>
      <x:c r="AF105" s="12" t="str"/>
      <x:c r="AG105" s="12" t="str"/>
      <x:c r="AH105" s="16" t="str"/>
      <x:c r="AI105" s="12" t="str"/>
    </x:row>
    <x:row r="106">
      <x:c r="A106" t="str"/>
      <x:c r="B106" t="str"/>
      <x:c r="C106" t="str"/>
      <x:c r="D106" s="12" t="str"/>
      <x:c r="E106" s="12" t="str"/>
      <x:c r="F106" s="12" t="str"/>
      <x:c r="G106" s="12" t="str"/>
      <x:c r="H106" s="12" t="str"/>
      <x:c r="I106" s="12" t="str"/>
      <x:c r="J106" s="12" t="str"/>
      <x:c r="K106" s="12" t="str"/>
      <x:c r="L106" s="12" t="str"/>
      <x:c r="M106" s="12" t="str"/>
      <x:c r="N106" s="12" t="str"/>
      <x:c r="O106" s="12" t="str"/>
      <x:c r="P106" t="str"/>
      <x:c r="Q106" t="str"/>
      <x:c r="R106" t="str">
        <x:f>IFERROR(VLOOKUP(Q106,Catalogos!$G:$H,2,FALSE),"")</x:f>
      </x:c>
      <x:c r="S106" t="str"/>
      <x:c r="T106" t="str">
        <x:f>IFERROR(VLOOKUP(S106,Catalogos!$I:$J,2,FALSE),"")</x:f>
      </x:c>
      <x:c r="U106" t="str">
        <x:f>IF(OR(R106="",T106=""),"",R106*T106)</x:f>
      </x:c>
      <x:c r="V106" t="str">
        <x:f>IF(U106="","",IF(U106&gt;=24,"MUY ALTO",IF(U106&gt;=10,"ALTO",IF(U106&gt;=6,"MEDIO","BAJO"))))</x:f>
      </x:c>
      <x:c r="W106" t="str"/>
      <x:c r="X106" t="str">
        <x:f>IFERROR(VLOOKUP(W106,Catalogos!$G:$H,2,FALSE),"")</x:f>
      </x:c>
      <x:c r="Y106" t="str">
        <x:f>IF(OR(U106="",X106=""),"",U106*X106)</x:f>
      </x:c>
      <x:c r="Z106" t="str">
        <x:f>IF(Y106="","",IF(Y106&gt;=600,"I - Situación crítica. Suspender actividades hasta que el riesgo esté bajo control. Intervención urgente.",IF(Y106&gt;=150,"II - Corregir y adoptar medidas de control de inmediato.",IF(Y106&gt;=40,"III - Mejorar si es posible. Conviene justificar la intervención y su rentabilidad.","IV - Mantener controles existentes."))))</x:f>
      </x:c>
      <x:c r="AA106" t="str">
        <x:f>IF(Y106="","",IF(Y106&gt;=600,"No aceptable",IF(Y106&gt;=150,"No aceptable / Aceptable con control específico","Aceptable")))</x:f>
      </x:c>
      <x:c r="AB106" s="12" t="str"/>
      <x:c r="AC106" s="12" t="str"/>
      <x:c r="AD106" s="12" t="str"/>
      <x:c r="AE106" s="12" t="str"/>
      <x:c r="AF106" s="12" t="str"/>
      <x:c r="AG106" s="12" t="str"/>
      <x:c r="AH106" s="16" t="str"/>
      <x:c r="AI106" s="12" t="str"/>
    </x:row>
    <x:row r="107">
      <x:c r="A107" t="str"/>
      <x:c r="B107" t="str"/>
      <x:c r="C107" t="str"/>
      <x:c r="D107" s="12" t="str"/>
      <x:c r="E107" s="12" t="str"/>
      <x:c r="F107" s="12" t="str"/>
      <x:c r="G107" s="12" t="str"/>
      <x:c r="H107" s="12" t="str"/>
      <x:c r="I107" s="12" t="str"/>
      <x:c r="J107" s="12" t="str"/>
      <x:c r="K107" s="12" t="str"/>
      <x:c r="L107" s="12" t="str"/>
      <x:c r="M107" s="12" t="str"/>
      <x:c r="N107" s="12" t="str"/>
      <x:c r="O107" s="12" t="str"/>
      <x:c r="P107" t="str"/>
      <x:c r="Q107" t="str"/>
      <x:c r="R107" t="str">
        <x:f>IFERROR(VLOOKUP(Q107,Catalogos!$G:$H,2,FALSE),"")</x:f>
      </x:c>
      <x:c r="S107" t="str"/>
      <x:c r="T107" t="str">
        <x:f>IFERROR(VLOOKUP(S107,Catalogos!$I:$J,2,FALSE),"")</x:f>
      </x:c>
      <x:c r="U107" t="str">
        <x:f>IF(OR(R107="",T107=""),"",R107*T107)</x:f>
      </x:c>
      <x:c r="V107" t="str">
        <x:f>IF(U107="","",IF(U107&gt;=24,"MUY ALTO",IF(U107&gt;=10,"ALTO",IF(U107&gt;=6,"MEDIO","BAJO"))))</x:f>
      </x:c>
      <x:c r="W107" t="str"/>
      <x:c r="X107" t="str">
        <x:f>IFERROR(VLOOKUP(W107,Catalogos!$G:$H,2,FALSE),"")</x:f>
      </x:c>
      <x:c r="Y107" t="str">
        <x:f>IF(OR(U107="",X107=""),"",U107*X107)</x:f>
      </x:c>
      <x:c r="Z107" t="str">
        <x:f>IF(Y107="","",IF(Y107&gt;=600,"I - Situación crítica. Suspender actividades hasta que el riesgo esté bajo control. Intervención urgente.",IF(Y107&gt;=150,"II - Corregir y adoptar medidas de control de inmediato.",IF(Y107&gt;=40,"III - Mejorar si es posible. Conviene justificar la intervención y su rentabilidad.","IV - Mantener controles existentes."))))</x:f>
      </x:c>
      <x:c r="AA107" t="str">
        <x:f>IF(Y107="","",IF(Y107&gt;=600,"No aceptable",IF(Y107&gt;=150,"No aceptable / Aceptable con control específico","Aceptable")))</x:f>
      </x:c>
      <x:c r="AB107" s="12" t="str"/>
      <x:c r="AC107" s="12" t="str"/>
      <x:c r="AD107" s="12" t="str"/>
      <x:c r="AE107" s="12" t="str"/>
      <x:c r="AF107" s="12" t="str"/>
      <x:c r="AG107" s="12" t="str"/>
      <x:c r="AH107" s="16" t="str"/>
      <x:c r="AI107" s="12" t="str"/>
    </x:row>
    <x:row r="108">
      <x:c r="A108" t="str"/>
      <x:c r="B108" t="str"/>
      <x:c r="C108" t="str"/>
      <x:c r="D108" s="12" t="str"/>
      <x:c r="E108" s="12" t="str"/>
      <x:c r="F108" s="12" t="str"/>
      <x:c r="G108" s="12" t="str"/>
      <x:c r="H108" s="12" t="str"/>
      <x:c r="I108" s="12" t="str"/>
      <x:c r="J108" s="12" t="str"/>
      <x:c r="K108" s="12" t="str"/>
      <x:c r="L108" s="12" t="str"/>
      <x:c r="M108" s="12" t="str"/>
      <x:c r="N108" s="12" t="str"/>
      <x:c r="O108" s="12" t="str"/>
      <x:c r="P108" t="str"/>
      <x:c r="Q108" t="str"/>
      <x:c r="R108" t="str">
        <x:f>IFERROR(VLOOKUP(Q108,Catalogos!$G:$H,2,FALSE),"")</x:f>
      </x:c>
      <x:c r="S108" t="str"/>
      <x:c r="T108" t="str">
        <x:f>IFERROR(VLOOKUP(S108,Catalogos!$I:$J,2,FALSE),"")</x:f>
      </x:c>
      <x:c r="U108" t="str">
        <x:f>IF(OR(R108="",T108=""),"",R108*T108)</x:f>
      </x:c>
      <x:c r="V108" t="str">
        <x:f>IF(U108="","",IF(U108&gt;=24,"MUY ALTO",IF(U108&gt;=10,"ALTO",IF(U108&gt;=6,"MEDIO","BAJO"))))</x:f>
      </x:c>
      <x:c r="W108" t="str"/>
      <x:c r="X108" t="str">
        <x:f>IFERROR(VLOOKUP(W108,Catalogos!$G:$H,2,FALSE),"")</x:f>
      </x:c>
      <x:c r="Y108" t="str">
        <x:f>IF(OR(U108="",X108=""),"",U108*X108)</x:f>
      </x:c>
      <x:c r="Z108" t="str">
        <x:f>IF(Y108="","",IF(Y108&gt;=600,"I - Situación crítica. Suspender actividades hasta que el riesgo esté bajo control. Intervención urgente.",IF(Y108&gt;=150,"II - Corregir y adoptar medidas de control de inmediato.",IF(Y108&gt;=40,"III - Mejorar si es posible. Conviene justificar la intervención y su rentabilidad.","IV - Mantener controles existentes."))))</x:f>
      </x:c>
      <x:c r="AA108" t="str">
        <x:f>IF(Y108="","",IF(Y108&gt;=600,"No aceptable",IF(Y108&gt;=150,"No aceptable / Aceptable con control específico","Aceptable")))</x:f>
      </x:c>
      <x:c r="AB108" s="12" t="str"/>
      <x:c r="AC108" s="12" t="str"/>
      <x:c r="AD108" s="12" t="str"/>
      <x:c r="AE108" s="12" t="str"/>
      <x:c r="AF108" s="12" t="str"/>
      <x:c r="AG108" s="12" t="str"/>
      <x:c r="AH108" s="16" t="str"/>
      <x:c r="AI108" s="12" t="str"/>
    </x:row>
    <x:row r="109">
      <x:c r="A109" t="str"/>
      <x:c r="B109" t="str"/>
      <x:c r="C109" t="str"/>
      <x:c r="D109" s="12" t="str"/>
      <x:c r="E109" s="12" t="str"/>
      <x:c r="F109" s="12" t="str"/>
      <x:c r="G109" s="12" t="str"/>
      <x:c r="H109" s="12" t="str"/>
      <x:c r="I109" s="12" t="str"/>
      <x:c r="J109" s="12" t="str"/>
      <x:c r="K109" s="12" t="str"/>
      <x:c r="L109" s="12" t="str"/>
      <x:c r="M109" s="12" t="str"/>
      <x:c r="N109" s="12" t="str"/>
      <x:c r="O109" s="12" t="str"/>
      <x:c r="P109" t="str"/>
      <x:c r="Q109" t="str"/>
      <x:c r="R109" t="str">
        <x:f>IFERROR(VLOOKUP(Q109,Catalogos!$G:$H,2,FALSE),"")</x:f>
      </x:c>
      <x:c r="S109" t="str"/>
      <x:c r="T109" t="str">
        <x:f>IFERROR(VLOOKUP(S109,Catalogos!$I:$J,2,FALSE),"")</x:f>
      </x:c>
      <x:c r="U109" t="str">
        <x:f>IF(OR(R109="",T109=""),"",R109*T109)</x:f>
      </x:c>
      <x:c r="V109" t="str">
        <x:f>IF(U109="","",IF(U109&gt;=24,"MUY ALTO",IF(U109&gt;=10,"ALTO",IF(U109&gt;=6,"MEDIO","BAJO"))))</x:f>
      </x:c>
      <x:c r="W109" t="str"/>
      <x:c r="X109" t="str">
        <x:f>IFERROR(VLOOKUP(W109,Catalogos!$G:$H,2,FALSE),"")</x:f>
      </x:c>
      <x:c r="Y109" t="str">
        <x:f>IF(OR(U109="",X109=""),"",U109*X109)</x:f>
      </x:c>
      <x:c r="Z109" t="str">
        <x:f>IF(Y109="","",IF(Y109&gt;=600,"I - Situación crítica. Suspender actividades hasta que el riesgo esté bajo control. Intervención urgente.",IF(Y109&gt;=150,"II - Corregir y adoptar medidas de control de inmediato.",IF(Y109&gt;=40,"III - Mejorar si es posible. Conviene justificar la intervención y su rentabilidad.","IV - Mantener controles existentes."))))</x:f>
      </x:c>
      <x:c r="AA109" t="str">
        <x:f>IF(Y109="","",IF(Y109&gt;=600,"No aceptable",IF(Y109&gt;=150,"No aceptable / Aceptable con control específico","Aceptable")))</x:f>
      </x:c>
      <x:c r="AB109" s="12" t="str"/>
      <x:c r="AC109" s="12" t="str"/>
      <x:c r="AD109" s="12" t="str"/>
      <x:c r="AE109" s="12" t="str"/>
      <x:c r="AF109" s="12" t="str"/>
      <x:c r="AG109" s="12" t="str"/>
      <x:c r="AH109" s="16" t="str"/>
      <x:c r="AI109" s="12" t="str"/>
    </x:row>
    <x:row r="110">
      <x:c r="A110" t="str"/>
      <x:c r="B110" t="str"/>
      <x:c r="C110" t="str"/>
      <x:c r="D110" s="12" t="str"/>
      <x:c r="E110" s="12" t="str"/>
      <x:c r="F110" s="12" t="str"/>
      <x:c r="G110" s="12" t="str"/>
      <x:c r="H110" s="12" t="str"/>
      <x:c r="I110" s="12" t="str"/>
      <x:c r="J110" s="12" t="str"/>
      <x:c r="K110" s="12" t="str"/>
      <x:c r="L110" s="12" t="str"/>
      <x:c r="M110" s="12" t="str"/>
      <x:c r="N110" s="12" t="str"/>
      <x:c r="O110" s="12" t="str"/>
      <x:c r="P110" t="str"/>
      <x:c r="Q110" t="str"/>
      <x:c r="R110" t="str">
        <x:f>IFERROR(VLOOKUP(Q110,Catalogos!$G:$H,2,FALSE),"")</x:f>
      </x:c>
      <x:c r="S110" t="str"/>
      <x:c r="T110" t="str">
        <x:f>IFERROR(VLOOKUP(S110,Catalogos!$I:$J,2,FALSE),"")</x:f>
      </x:c>
      <x:c r="U110" t="str">
        <x:f>IF(OR(R110="",T110=""),"",R110*T110)</x:f>
      </x:c>
      <x:c r="V110" t="str">
        <x:f>IF(U110="","",IF(U110&gt;=24,"MUY ALTO",IF(U110&gt;=10,"ALTO",IF(U110&gt;=6,"MEDIO","BAJO"))))</x:f>
      </x:c>
      <x:c r="W110" t="str"/>
      <x:c r="X110" t="str">
        <x:f>IFERROR(VLOOKUP(W110,Catalogos!$G:$H,2,FALSE),"")</x:f>
      </x:c>
      <x:c r="Y110" t="str">
        <x:f>IF(OR(U110="",X110=""),"",U110*X110)</x:f>
      </x:c>
      <x:c r="Z110" t="str">
        <x:f>IF(Y110="","",IF(Y110&gt;=600,"I - Situación crítica. Suspender actividades hasta que el riesgo esté bajo control. Intervención urgente.",IF(Y110&gt;=150,"II - Corregir y adoptar medidas de control de inmediato.",IF(Y110&gt;=40,"III - Mejorar si es posible. Conviene justificar la intervención y su rentabilidad.","IV - Mantener controles existentes."))))</x:f>
      </x:c>
      <x:c r="AA110" t="str">
        <x:f>IF(Y110="","",IF(Y110&gt;=600,"No aceptable",IF(Y110&gt;=150,"No aceptable / Aceptable con control específico","Aceptable")))</x:f>
      </x:c>
      <x:c r="AB110" s="12" t="str"/>
      <x:c r="AC110" s="12" t="str"/>
      <x:c r="AD110" s="12" t="str"/>
      <x:c r="AE110" s="12" t="str"/>
      <x:c r="AF110" s="12" t="str"/>
      <x:c r="AG110" s="12" t="str"/>
      <x:c r="AH110" s="16" t="str"/>
      <x:c r="AI110" s="12" t="str"/>
    </x:row>
    <x:row r="111">
      <x:c r="A111" t="str"/>
      <x:c r="B111" t="str"/>
      <x:c r="C111" t="str"/>
      <x:c r="D111" s="12" t="str"/>
      <x:c r="E111" s="12" t="str"/>
      <x:c r="F111" s="12" t="str"/>
      <x:c r="G111" s="12" t="str"/>
      <x:c r="H111" s="12" t="str"/>
      <x:c r="I111" s="12" t="str"/>
      <x:c r="J111" s="12" t="str"/>
      <x:c r="K111" s="12" t="str"/>
      <x:c r="L111" s="12" t="str"/>
      <x:c r="M111" s="12" t="str"/>
      <x:c r="N111" s="12" t="str"/>
      <x:c r="O111" s="12" t="str"/>
      <x:c r="P111" t="str"/>
      <x:c r="Q111" t="str"/>
      <x:c r="R111" t="str">
        <x:f>IFERROR(VLOOKUP(Q111,Catalogos!$G:$H,2,FALSE),"")</x:f>
      </x:c>
      <x:c r="S111" t="str"/>
      <x:c r="T111" t="str">
        <x:f>IFERROR(VLOOKUP(S111,Catalogos!$I:$J,2,FALSE),"")</x:f>
      </x:c>
      <x:c r="U111" t="str">
        <x:f>IF(OR(R111="",T111=""),"",R111*T111)</x:f>
      </x:c>
      <x:c r="V111" t="str">
        <x:f>IF(U111="","",IF(U111&gt;=24,"MUY ALTO",IF(U111&gt;=10,"ALTO",IF(U111&gt;=6,"MEDIO","BAJO"))))</x:f>
      </x:c>
      <x:c r="W111" t="str"/>
      <x:c r="X111" t="str">
        <x:f>IFERROR(VLOOKUP(W111,Catalogos!$G:$H,2,FALSE),"")</x:f>
      </x:c>
      <x:c r="Y111" t="str">
        <x:f>IF(OR(U111="",X111=""),"",U111*X111)</x:f>
      </x:c>
      <x:c r="Z111" t="str">
        <x:f>IF(Y111="","",IF(Y111&gt;=600,"I - Situación crítica. Suspender actividades hasta que el riesgo esté bajo control. Intervención urgente.",IF(Y111&gt;=150,"II - Corregir y adoptar medidas de control de inmediato.",IF(Y111&gt;=40,"III - Mejorar si es posible. Conviene justificar la intervención y su rentabilidad.","IV - Mantener controles existentes."))))</x:f>
      </x:c>
      <x:c r="AA111" t="str">
        <x:f>IF(Y111="","",IF(Y111&gt;=600,"No aceptable",IF(Y111&gt;=150,"No aceptable / Aceptable con control específico","Aceptable")))</x:f>
      </x:c>
      <x:c r="AB111" s="12" t="str"/>
      <x:c r="AC111" s="12" t="str"/>
      <x:c r="AD111" s="12" t="str"/>
      <x:c r="AE111" s="12" t="str"/>
      <x:c r="AF111" s="12" t="str"/>
      <x:c r="AG111" s="12" t="str"/>
      <x:c r="AH111" s="16" t="str"/>
      <x:c r="AI111" s="12" t="str"/>
    </x:row>
    <x:row r="112">
      <x:c r="A112" t="str"/>
      <x:c r="B112" t="str"/>
      <x:c r="C112" t="str"/>
      <x:c r="D112" s="12" t="str"/>
      <x:c r="E112" s="12" t="str"/>
      <x:c r="F112" s="12" t="str"/>
      <x:c r="G112" s="12" t="str"/>
      <x:c r="H112" s="12" t="str"/>
      <x:c r="I112" s="12" t="str"/>
      <x:c r="J112" s="12" t="str"/>
      <x:c r="K112" s="12" t="str"/>
      <x:c r="L112" s="12" t="str"/>
      <x:c r="M112" s="12" t="str"/>
      <x:c r="N112" s="12" t="str"/>
      <x:c r="O112" s="12" t="str"/>
      <x:c r="P112" t="str"/>
      <x:c r="Q112" t="str"/>
      <x:c r="R112" t="str">
        <x:f>IFERROR(VLOOKUP(Q112,Catalogos!$G:$H,2,FALSE),"")</x:f>
      </x:c>
      <x:c r="S112" t="str"/>
      <x:c r="T112" t="str">
        <x:f>IFERROR(VLOOKUP(S112,Catalogos!$I:$J,2,FALSE),"")</x:f>
      </x:c>
      <x:c r="U112" t="str">
        <x:f>IF(OR(R112="",T112=""),"",R112*T112)</x:f>
      </x:c>
      <x:c r="V112" t="str">
        <x:f>IF(U112="","",IF(U112&gt;=24,"MUY ALTO",IF(U112&gt;=10,"ALTO",IF(U112&gt;=6,"MEDIO","BAJO"))))</x:f>
      </x:c>
      <x:c r="W112" t="str"/>
      <x:c r="X112" t="str">
        <x:f>IFERROR(VLOOKUP(W112,Catalogos!$G:$H,2,FALSE),"")</x:f>
      </x:c>
      <x:c r="Y112" t="str">
        <x:f>IF(OR(U112="",X112=""),"",U112*X112)</x:f>
      </x:c>
      <x:c r="Z112" t="str">
        <x:f>IF(Y112="","",IF(Y112&gt;=600,"I - Situación crítica. Suspender actividades hasta que el riesgo esté bajo control. Intervención urgente.",IF(Y112&gt;=150,"II - Corregir y adoptar medidas de control de inmediato.",IF(Y112&gt;=40,"III - Mejorar si es posible. Conviene justificar la intervención y su rentabilidad.","IV - Mantener controles existentes."))))</x:f>
      </x:c>
      <x:c r="AA112" t="str">
        <x:f>IF(Y112="","",IF(Y112&gt;=600,"No aceptable",IF(Y112&gt;=150,"No aceptable / Aceptable con control específico","Aceptable")))</x:f>
      </x:c>
      <x:c r="AB112" s="12" t="str"/>
      <x:c r="AC112" s="12" t="str"/>
      <x:c r="AD112" s="12" t="str"/>
      <x:c r="AE112" s="12" t="str"/>
      <x:c r="AF112" s="12" t="str"/>
      <x:c r="AG112" s="12" t="str"/>
      <x:c r="AH112" s="16" t="str"/>
      <x:c r="AI112" s="12" t="str"/>
    </x:row>
    <x:row r="113">
      <x:c r="A113" t="str"/>
      <x:c r="B113" t="str"/>
      <x:c r="C113" t="str"/>
      <x:c r="D113" s="12" t="str"/>
      <x:c r="E113" s="12" t="str"/>
      <x:c r="F113" s="12" t="str"/>
      <x:c r="G113" s="12" t="str"/>
      <x:c r="H113" s="12" t="str"/>
      <x:c r="I113" s="12" t="str"/>
      <x:c r="J113" s="12" t="str"/>
      <x:c r="K113" s="12" t="str"/>
      <x:c r="L113" s="12" t="str"/>
      <x:c r="M113" s="12" t="str"/>
      <x:c r="N113" s="12" t="str"/>
      <x:c r="O113" s="12" t="str"/>
      <x:c r="P113" t="str"/>
      <x:c r="Q113" t="str"/>
      <x:c r="R113" t="str">
        <x:f>IFERROR(VLOOKUP(Q113,Catalogos!$G:$H,2,FALSE),"")</x:f>
      </x:c>
      <x:c r="S113" t="str"/>
      <x:c r="T113" t="str">
        <x:f>IFERROR(VLOOKUP(S113,Catalogos!$I:$J,2,FALSE),"")</x:f>
      </x:c>
      <x:c r="U113" t="str">
        <x:f>IF(OR(R113="",T113=""),"",R113*T113)</x:f>
      </x:c>
      <x:c r="V113" t="str">
        <x:f>IF(U113="","",IF(U113&gt;=24,"MUY ALTO",IF(U113&gt;=10,"ALTO",IF(U113&gt;=6,"MEDIO","BAJO"))))</x:f>
      </x:c>
      <x:c r="W113" t="str"/>
      <x:c r="X113" t="str">
        <x:f>IFERROR(VLOOKUP(W113,Catalogos!$G:$H,2,FALSE),"")</x:f>
      </x:c>
      <x:c r="Y113" t="str">
        <x:f>IF(OR(U113="",X113=""),"",U113*X113)</x:f>
      </x:c>
      <x:c r="Z113" t="str">
        <x:f>IF(Y113="","",IF(Y113&gt;=600,"I - Situación crítica. Suspender actividades hasta que el riesgo esté bajo control. Intervención urgente.",IF(Y113&gt;=150,"II - Corregir y adoptar medidas de control de inmediato.",IF(Y113&gt;=40,"III - Mejorar si es posible. Conviene justificar la intervención y su rentabilidad.","IV - Mantener controles existentes."))))</x:f>
      </x:c>
      <x:c r="AA113" t="str">
        <x:f>IF(Y113="","",IF(Y113&gt;=600,"No aceptable",IF(Y113&gt;=150,"No aceptable / Aceptable con control específico","Aceptable")))</x:f>
      </x:c>
      <x:c r="AB113" s="12" t="str"/>
      <x:c r="AC113" s="12" t="str"/>
      <x:c r="AD113" s="12" t="str"/>
      <x:c r="AE113" s="12" t="str"/>
      <x:c r="AF113" s="12" t="str"/>
      <x:c r="AG113" s="12" t="str"/>
      <x:c r="AH113" s="16" t="str"/>
      <x:c r="AI113" s="12" t="str"/>
    </x:row>
    <x:row r="114">
      <x:c r="A114" t="str"/>
      <x:c r="B114" t="str"/>
      <x:c r="C114" t="str"/>
      <x:c r="D114" s="12" t="str"/>
      <x:c r="E114" s="12" t="str"/>
      <x:c r="F114" s="12" t="str"/>
      <x:c r="G114" s="12" t="str"/>
      <x:c r="H114" s="12" t="str"/>
      <x:c r="I114" s="12" t="str"/>
      <x:c r="J114" s="12" t="str"/>
      <x:c r="K114" s="12" t="str"/>
      <x:c r="L114" s="12" t="str"/>
      <x:c r="M114" s="12" t="str"/>
      <x:c r="N114" s="12" t="str"/>
      <x:c r="O114" s="12" t="str"/>
      <x:c r="P114" t="str"/>
      <x:c r="Q114" t="str"/>
      <x:c r="R114" t="str">
        <x:f>IFERROR(VLOOKUP(Q114,Catalogos!$G:$H,2,FALSE),"")</x:f>
      </x:c>
      <x:c r="S114" t="str"/>
      <x:c r="T114" t="str">
        <x:f>IFERROR(VLOOKUP(S114,Catalogos!$I:$J,2,FALSE),"")</x:f>
      </x:c>
      <x:c r="U114" t="str">
        <x:f>IF(OR(R114="",T114=""),"",R114*T114)</x:f>
      </x:c>
      <x:c r="V114" t="str">
        <x:f>IF(U114="","",IF(U114&gt;=24,"MUY ALTO",IF(U114&gt;=10,"ALTO",IF(U114&gt;=6,"MEDIO","BAJO"))))</x:f>
      </x:c>
      <x:c r="W114" t="str"/>
      <x:c r="X114" t="str">
        <x:f>IFERROR(VLOOKUP(W114,Catalogos!$G:$H,2,FALSE),"")</x:f>
      </x:c>
      <x:c r="Y114" t="str">
        <x:f>IF(OR(U114="",X114=""),"",U114*X114)</x:f>
      </x:c>
      <x:c r="Z114" t="str">
        <x:f>IF(Y114="","",IF(Y114&gt;=600,"I - Situación crítica. Suspender actividades hasta que el riesgo esté bajo control. Intervención urgente.",IF(Y114&gt;=150,"II - Corregir y adoptar medidas de control de inmediato.",IF(Y114&gt;=40,"III - Mejorar si es posible. Conviene justificar la intervención y su rentabilidad.","IV - Mantener controles existentes."))))</x:f>
      </x:c>
      <x:c r="AA114" t="str">
        <x:f>IF(Y114="","",IF(Y114&gt;=600,"No aceptable",IF(Y114&gt;=150,"No aceptable / Aceptable con control específico","Aceptable")))</x:f>
      </x:c>
      <x:c r="AB114" s="12" t="str"/>
      <x:c r="AC114" s="12" t="str"/>
      <x:c r="AD114" s="12" t="str"/>
      <x:c r="AE114" s="12" t="str"/>
      <x:c r="AF114" s="12" t="str"/>
      <x:c r="AG114" s="12" t="str"/>
      <x:c r="AH114" s="16" t="str"/>
      <x:c r="AI114" s="12" t="str"/>
    </x:row>
    <x:row r="115">
      <x:c r="A115" t="str"/>
      <x:c r="B115" t="str"/>
      <x:c r="C115" t="str"/>
      <x:c r="D115" s="12" t="str"/>
      <x:c r="E115" s="12" t="str"/>
      <x:c r="F115" s="12" t="str"/>
      <x:c r="G115" s="12" t="str"/>
      <x:c r="H115" s="12" t="str"/>
      <x:c r="I115" s="12" t="str"/>
      <x:c r="J115" s="12" t="str"/>
      <x:c r="K115" s="12" t="str"/>
      <x:c r="L115" s="12" t="str"/>
      <x:c r="M115" s="12" t="str"/>
      <x:c r="N115" s="12" t="str"/>
      <x:c r="O115" s="12" t="str"/>
      <x:c r="P115" t="str"/>
      <x:c r="Q115" t="str"/>
      <x:c r="R115" t="str">
        <x:f>IFERROR(VLOOKUP(Q115,Catalogos!$G:$H,2,FALSE),"")</x:f>
      </x:c>
      <x:c r="S115" t="str"/>
      <x:c r="T115" t="str">
        <x:f>IFERROR(VLOOKUP(S115,Catalogos!$I:$J,2,FALSE),"")</x:f>
      </x:c>
      <x:c r="U115" t="str">
        <x:f>IF(OR(R115="",T115=""),"",R115*T115)</x:f>
      </x:c>
      <x:c r="V115" t="str">
        <x:f>IF(U115="","",IF(U115&gt;=24,"MUY ALTO",IF(U115&gt;=10,"ALTO",IF(U115&gt;=6,"MEDIO","BAJO"))))</x:f>
      </x:c>
      <x:c r="W115" t="str"/>
      <x:c r="X115" t="str">
        <x:f>IFERROR(VLOOKUP(W115,Catalogos!$G:$H,2,FALSE),"")</x:f>
      </x:c>
      <x:c r="Y115" t="str">
        <x:f>IF(OR(U115="",X115=""),"",U115*X115)</x:f>
      </x:c>
      <x:c r="Z115" t="str">
        <x:f>IF(Y115="","",IF(Y115&gt;=600,"I - Situación crítica. Suspender actividades hasta que el riesgo esté bajo control. Intervención urgente.",IF(Y115&gt;=150,"II - Corregir y adoptar medidas de control de inmediato.",IF(Y115&gt;=40,"III - Mejorar si es posible. Conviene justificar la intervención y su rentabilidad.","IV - Mantener controles existentes."))))</x:f>
      </x:c>
      <x:c r="AA115" t="str">
        <x:f>IF(Y115="","",IF(Y115&gt;=600,"No aceptable",IF(Y115&gt;=150,"No aceptable / Aceptable con control específico","Aceptable")))</x:f>
      </x:c>
      <x:c r="AB115" s="12" t="str"/>
      <x:c r="AC115" s="12" t="str"/>
      <x:c r="AD115" s="12" t="str"/>
      <x:c r="AE115" s="12" t="str"/>
      <x:c r="AF115" s="12" t="str"/>
      <x:c r="AG115" s="12" t="str"/>
      <x:c r="AH115" s="16" t="str"/>
      <x:c r="AI115" s="12" t="str"/>
    </x:row>
    <x:row r="116">
      <x:c r="A116" t="str"/>
      <x:c r="B116" t="str"/>
      <x:c r="C116" t="str"/>
      <x:c r="D116" s="12" t="str"/>
      <x:c r="E116" s="12" t="str"/>
      <x:c r="F116" s="12" t="str"/>
      <x:c r="G116" s="12" t="str"/>
      <x:c r="H116" s="12" t="str"/>
      <x:c r="I116" s="12" t="str"/>
      <x:c r="J116" s="12" t="str"/>
      <x:c r="K116" s="12" t="str"/>
      <x:c r="L116" s="12" t="str"/>
      <x:c r="M116" s="12" t="str"/>
      <x:c r="N116" s="12" t="str"/>
      <x:c r="O116" s="12" t="str"/>
      <x:c r="P116" t="str"/>
      <x:c r="Q116" t="str"/>
      <x:c r="R116" t="str">
        <x:f>IFERROR(VLOOKUP(Q116,Catalogos!$G:$H,2,FALSE),"")</x:f>
      </x:c>
      <x:c r="S116" t="str"/>
      <x:c r="T116" t="str">
        <x:f>IFERROR(VLOOKUP(S116,Catalogos!$I:$J,2,FALSE),"")</x:f>
      </x:c>
      <x:c r="U116" t="str">
        <x:f>IF(OR(R116="",T116=""),"",R116*T116)</x:f>
      </x:c>
      <x:c r="V116" t="str">
        <x:f>IF(U116="","",IF(U116&gt;=24,"MUY ALTO",IF(U116&gt;=10,"ALTO",IF(U116&gt;=6,"MEDIO","BAJO"))))</x:f>
      </x:c>
      <x:c r="W116" t="str"/>
      <x:c r="X116" t="str">
        <x:f>IFERROR(VLOOKUP(W116,Catalogos!$G:$H,2,FALSE),"")</x:f>
      </x:c>
      <x:c r="Y116" t="str">
        <x:f>IF(OR(U116="",X116=""),"",U116*X116)</x:f>
      </x:c>
      <x:c r="Z116" t="str">
        <x:f>IF(Y116="","",IF(Y116&gt;=600,"I - Situación crítica. Suspender actividades hasta que el riesgo esté bajo control. Intervención urgente.",IF(Y116&gt;=150,"II - Corregir y adoptar medidas de control de inmediato.",IF(Y116&gt;=40,"III - Mejorar si es posible. Conviene justificar la intervención y su rentabilidad.","IV - Mantener controles existentes."))))</x:f>
      </x:c>
      <x:c r="AA116" t="str">
        <x:f>IF(Y116="","",IF(Y116&gt;=600,"No aceptable",IF(Y116&gt;=150,"No aceptable / Aceptable con control específico","Aceptable")))</x:f>
      </x:c>
      <x:c r="AB116" s="12" t="str"/>
      <x:c r="AC116" s="12" t="str"/>
      <x:c r="AD116" s="12" t="str"/>
      <x:c r="AE116" s="12" t="str"/>
      <x:c r="AF116" s="12" t="str"/>
      <x:c r="AG116" s="12" t="str"/>
      <x:c r="AH116" s="16" t="str"/>
      <x:c r="AI116" s="12" t="str"/>
    </x:row>
    <x:row r="117">
      <x:c r="A117" t="str"/>
      <x:c r="B117" t="str"/>
      <x:c r="C117" t="str"/>
      <x:c r="D117" s="12" t="str"/>
      <x:c r="E117" s="12" t="str"/>
      <x:c r="F117" s="12" t="str"/>
      <x:c r="G117" s="12" t="str"/>
      <x:c r="H117" s="12" t="str"/>
      <x:c r="I117" s="12" t="str"/>
      <x:c r="J117" s="12" t="str"/>
      <x:c r="K117" s="12" t="str"/>
      <x:c r="L117" s="12" t="str"/>
      <x:c r="M117" s="12" t="str"/>
      <x:c r="N117" s="12" t="str"/>
      <x:c r="O117" s="12" t="str"/>
      <x:c r="P117" t="str"/>
      <x:c r="Q117" t="str"/>
      <x:c r="R117" t="str">
        <x:f>IFERROR(VLOOKUP(Q117,Catalogos!$G:$H,2,FALSE),"")</x:f>
      </x:c>
      <x:c r="S117" t="str"/>
      <x:c r="T117" t="str">
        <x:f>IFERROR(VLOOKUP(S117,Catalogos!$I:$J,2,FALSE),"")</x:f>
      </x:c>
      <x:c r="U117" t="str">
        <x:f>IF(OR(R117="",T117=""),"",R117*T117)</x:f>
      </x:c>
      <x:c r="V117" t="str">
        <x:f>IF(U117="","",IF(U117&gt;=24,"MUY ALTO",IF(U117&gt;=10,"ALTO",IF(U117&gt;=6,"MEDIO","BAJO"))))</x:f>
      </x:c>
      <x:c r="W117" t="str"/>
      <x:c r="X117" t="str">
        <x:f>IFERROR(VLOOKUP(W117,Catalogos!$G:$H,2,FALSE),"")</x:f>
      </x:c>
      <x:c r="Y117" t="str">
        <x:f>IF(OR(U117="",X117=""),"",U117*X117)</x:f>
      </x:c>
      <x:c r="Z117" t="str">
        <x:f>IF(Y117="","",IF(Y117&gt;=600,"I - Situación crítica. Suspender actividades hasta que el riesgo esté bajo control. Intervención urgente.",IF(Y117&gt;=150,"II - Corregir y adoptar medidas de control de inmediato.",IF(Y117&gt;=40,"III - Mejorar si es posible. Conviene justificar la intervención y su rentabilidad.","IV - Mantener controles existentes."))))</x:f>
      </x:c>
      <x:c r="AA117" t="str">
        <x:f>IF(Y117="","",IF(Y117&gt;=600,"No aceptable",IF(Y117&gt;=150,"No aceptable / Aceptable con control específico","Aceptable")))</x:f>
      </x:c>
      <x:c r="AB117" s="12" t="str"/>
      <x:c r="AC117" s="12" t="str"/>
      <x:c r="AD117" s="12" t="str"/>
      <x:c r="AE117" s="12" t="str"/>
      <x:c r="AF117" s="12" t="str"/>
      <x:c r="AG117" s="12" t="str"/>
      <x:c r="AH117" s="16" t="str"/>
      <x:c r="AI117" s="12" t="str"/>
    </x:row>
    <x:row r="118">
      <x:c r="A118" t="str"/>
      <x:c r="B118" t="str"/>
      <x:c r="C118" t="str"/>
      <x:c r="D118" s="12" t="str"/>
      <x:c r="E118" s="12" t="str"/>
      <x:c r="F118" s="12" t="str"/>
      <x:c r="G118" s="12" t="str"/>
      <x:c r="H118" s="12" t="str"/>
      <x:c r="I118" s="12" t="str"/>
      <x:c r="J118" s="12" t="str"/>
      <x:c r="K118" s="12" t="str"/>
      <x:c r="L118" s="12" t="str"/>
      <x:c r="M118" s="12" t="str"/>
      <x:c r="N118" s="12" t="str"/>
      <x:c r="O118" s="12" t="str"/>
      <x:c r="P118" t="str"/>
      <x:c r="Q118" t="str"/>
      <x:c r="R118" t="str">
        <x:f>IFERROR(VLOOKUP(Q118,Catalogos!$G:$H,2,FALSE),"")</x:f>
      </x:c>
      <x:c r="S118" t="str"/>
      <x:c r="T118" t="str">
        <x:f>IFERROR(VLOOKUP(S118,Catalogos!$I:$J,2,FALSE),"")</x:f>
      </x:c>
      <x:c r="U118" t="str">
        <x:f>IF(OR(R118="",T118=""),"",R118*T118)</x:f>
      </x:c>
      <x:c r="V118" t="str">
        <x:f>IF(U118="","",IF(U118&gt;=24,"MUY ALTO",IF(U118&gt;=10,"ALTO",IF(U118&gt;=6,"MEDIO","BAJO"))))</x:f>
      </x:c>
      <x:c r="W118" t="str"/>
      <x:c r="X118" t="str">
        <x:f>IFERROR(VLOOKUP(W118,Catalogos!$G:$H,2,FALSE),"")</x:f>
      </x:c>
      <x:c r="Y118" t="str">
        <x:f>IF(OR(U118="",X118=""),"",U118*X118)</x:f>
      </x:c>
      <x:c r="Z118" t="str">
        <x:f>IF(Y118="","",IF(Y118&gt;=600,"I - Situación crítica. Suspender actividades hasta que el riesgo esté bajo control. Intervención urgente.",IF(Y118&gt;=150,"II - Corregir y adoptar medidas de control de inmediato.",IF(Y118&gt;=40,"III - Mejorar si es posible. Conviene justificar la intervención y su rentabilidad.","IV - Mantener controles existentes."))))</x:f>
      </x:c>
      <x:c r="AA118" t="str">
        <x:f>IF(Y118="","",IF(Y118&gt;=600,"No aceptable",IF(Y118&gt;=150,"No aceptable / Aceptable con control específico","Aceptable")))</x:f>
      </x:c>
      <x:c r="AB118" s="12" t="str"/>
      <x:c r="AC118" s="12" t="str"/>
      <x:c r="AD118" s="12" t="str"/>
      <x:c r="AE118" s="12" t="str"/>
      <x:c r="AF118" s="12" t="str"/>
      <x:c r="AG118" s="12" t="str"/>
      <x:c r="AH118" s="16" t="str"/>
      <x:c r="AI118" s="12" t="str"/>
    </x:row>
    <x:row r="119">
      <x:c r="A119" t="str"/>
      <x:c r="B119" t="str"/>
      <x:c r="C119" t="str"/>
      <x:c r="D119" s="12" t="str"/>
      <x:c r="E119" s="12" t="str"/>
      <x:c r="F119" s="12" t="str"/>
      <x:c r="G119" s="12" t="str"/>
      <x:c r="H119" s="12" t="str"/>
      <x:c r="I119" s="12" t="str"/>
      <x:c r="J119" s="12" t="str"/>
      <x:c r="K119" s="12" t="str"/>
      <x:c r="L119" s="12" t="str"/>
      <x:c r="M119" s="12" t="str"/>
      <x:c r="N119" s="12" t="str"/>
      <x:c r="O119" s="12" t="str"/>
      <x:c r="P119" t="str"/>
      <x:c r="Q119" t="str"/>
      <x:c r="R119" t="str">
        <x:f>IFERROR(VLOOKUP(Q119,Catalogos!$G:$H,2,FALSE),"")</x:f>
      </x:c>
      <x:c r="S119" t="str"/>
      <x:c r="T119" t="str">
        <x:f>IFERROR(VLOOKUP(S119,Catalogos!$I:$J,2,FALSE),"")</x:f>
      </x:c>
      <x:c r="U119" t="str">
        <x:f>IF(OR(R119="",T119=""),"",R119*T119)</x:f>
      </x:c>
      <x:c r="V119" t="str">
        <x:f>IF(U119="","",IF(U119&gt;=24,"MUY ALTO",IF(U119&gt;=10,"ALTO",IF(U119&gt;=6,"MEDIO","BAJO"))))</x:f>
      </x:c>
      <x:c r="W119" t="str"/>
      <x:c r="X119" t="str">
        <x:f>IFERROR(VLOOKUP(W119,Catalogos!$G:$H,2,FALSE),"")</x:f>
      </x:c>
      <x:c r="Y119" t="str">
        <x:f>IF(OR(U119="",X119=""),"",U119*X119)</x:f>
      </x:c>
      <x:c r="Z119" t="str">
        <x:f>IF(Y119="","",IF(Y119&gt;=600,"I - Situación crítica. Suspender actividades hasta que el riesgo esté bajo control. Intervención urgente.",IF(Y119&gt;=150,"II - Corregir y adoptar medidas de control de inmediato.",IF(Y119&gt;=40,"III - Mejorar si es posible. Conviene justificar la intervención y su rentabilidad.","IV - Mantener controles existentes."))))</x:f>
      </x:c>
      <x:c r="AA119" t="str">
        <x:f>IF(Y119="","",IF(Y119&gt;=600,"No aceptable",IF(Y119&gt;=150,"No aceptable / Aceptable con control específico","Aceptable")))</x:f>
      </x:c>
      <x:c r="AB119" s="12" t="str"/>
      <x:c r="AC119" s="12" t="str"/>
      <x:c r="AD119" s="12" t="str"/>
      <x:c r="AE119" s="12" t="str"/>
      <x:c r="AF119" s="12" t="str"/>
      <x:c r="AG119" s="12" t="str"/>
      <x:c r="AH119" s="16" t="str"/>
      <x:c r="AI119" s="12" t="str"/>
    </x:row>
    <x:row r="120">
      <x:c r="A120" t="str"/>
      <x:c r="B120" t="str"/>
      <x:c r="C120" t="str"/>
      <x:c r="D120" s="12" t="str"/>
      <x:c r="E120" s="12" t="str"/>
      <x:c r="F120" s="12" t="str"/>
      <x:c r="G120" s="12" t="str"/>
      <x:c r="H120" s="12" t="str"/>
      <x:c r="I120" s="12" t="str"/>
      <x:c r="J120" s="12" t="str"/>
      <x:c r="K120" s="12" t="str"/>
      <x:c r="L120" s="12" t="str"/>
      <x:c r="M120" s="12" t="str"/>
      <x:c r="N120" s="12" t="str"/>
      <x:c r="O120" s="12" t="str"/>
      <x:c r="P120" t="str"/>
      <x:c r="Q120" t="str"/>
      <x:c r="R120" t="str">
        <x:f>IFERROR(VLOOKUP(Q120,Catalogos!$G:$H,2,FALSE),"")</x:f>
      </x:c>
      <x:c r="S120" t="str"/>
      <x:c r="T120" t="str">
        <x:f>IFERROR(VLOOKUP(S120,Catalogos!$I:$J,2,FALSE),"")</x:f>
      </x:c>
      <x:c r="U120" t="str">
        <x:f>IF(OR(R120="",T120=""),"",R120*T120)</x:f>
      </x:c>
      <x:c r="V120" t="str">
        <x:f>IF(U120="","",IF(U120&gt;=24,"MUY ALTO",IF(U120&gt;=10,"ALTO",IF(U120&gt;=6,"MEDIO","BAJO"))))</x:f>
      </x:c>
      <x:c r="W120" t="str"/>
      <x:c r="X120" t="str">
        <x:f>IFERROR(VLOOKUP(W120,Catalogos!$G:$H,2,FALSE),"")</x:f>
      </x:c>
      <x:c r="Y120" t="str">
        <x:f>IF(OR(U120="",X120=""),"",U120*X120)</x:f>
      </x:c>
      <x:c r="Z120" t="str">
        <x:f>IF(Y120="","",IF(Y120&gt;=600,"I - Situación crítica. Suspender actividades hasta que el riesgo esté bajo control. Intervención urgente.",IF(Y120&gt;=150,"II - Corregir y adoptar medidas de control de inmediato.",IF(Y120&gt;=40,"III - Mejorar si es posible. Conviene justificar la intervención y su rentabilidad.","IV - Mantener controles existentes."))))</x:f>
      </x:c>
      <x:c r="AA120" t="str">
        <x:f>IF(Y120="","",IF(Y120&gt;=600,"No aceptable",IF(Y120&gt;=150,"No aceptable / Aceptable con control específico","Aceptable")))</x:f>
      </x:c>
      <x:c r="AB120" s="12" t="str"/>
      <x:c r="AC120" s="12" t="str"/>
      <x:c r="AD120" s="12" t="str"/>
      <x:c r="AE120" s="12" t="str"/>
      <x:c r="AF120" s="12" t="str"/>
      <x:c r="AG120" s="12" t="str"/>
      <x:c r="AH120" s="16" t="str"/>
      <x:c r="AI120" s="12" t="str"/>
    </x:row>
    <x:row r="121">
      <x:c r="A121" t="str"/>
      <x:c r="B121" t="str"/>
      <x:c r="C121" t="str"/>
      <x:c r="D121" s="12" t="str"/>
      <x:c r="E121" s="12" t="str"/>
      <x:c r="F121" s="12" t="str"/>
      <x:c r="G121" s="12" t="str"/>
      <x:c r="H121" s="12" t="str"/>
      <x:c r="I121" s="12" t="str"/>
      <x:c r="J121" s="12" t="str"/>
      <x:c r="K121" s="12" t="str"/>
      <x:c r="L121" s="12" t="str"/>
      <x:c r="M121" s="12" t="str"/>
      <x:c r="N121" s="12" t="str"/>
      <x:c r="O121" s="12" t="str"/>
      <x:c r="P121" t="str"/>
      <x:c r="Q121" t="str"/>
      <x:c r="R121" t="str">
        <x:f>IFERROR(VLOOKUP(Q121,Catalogos!$G:$H,2,FALSE),"")</x:f>
      </x:c>
      <x:c r="S121" t="str"/>
      <x:c r="T121" t="str">
        <x:f>IFERROR(VLOOKUP(S121,Catalogos!$I:$J,2,FALSE),"")</x:f>
      </x:c>
      <x:c r="U121" t="str">
        <x:f>IF(OR(R121="",T121=""),"",R121*T121)</x:f>
      </x:c>
      <x:c r="V121" t="str">
        <x:f>IF(U121="","",IF(U121&gt;=24,"MUY ALTO",IF(U121&gt;=10,"ALTO",IF(U121&gt;=6,"MEDIO","BAJO"))))</x:f>
      </x:c>
      <x:c r="W121" t="str"/>
      <x:c r="X121" t="str">
        <x:f>IFERROR(VLOOKUP(W121,Catalogos!$G:$H,2,FALSE),"")</x:f>
      </x:c>
      <x:c r="Y121" t="str">
        <x:f>IF(OR(U121="",X121=""),"",U121*X121)</x:f>
      </x:c>
      <x:c r="Z121" t="str">
        <x:f>IF(Y121="","",IF(Y121&gt;=600,"I - Situación crítica. Suspender actividades hasta que el riesgo esté bajo control. Intervención urgente.",IF(Y121&gt;=150,"II - Corregir y adoptar medidas de control de inmediato.",IF(Y121&gt;=40,"III - Mejorar si es posible. Conviene justificar la intervención y su rentabilidad.","IV - Mantener controles existentes."))))</x:f>
      </x:c>
      <x:c r="AA121" t="str">
        <x:f>IF(Y121="","",IF(Y121&gt;=600,"No aceptable",IF(Y121&gt;=150,"No aceptable / Aceptable con control específico","Aceptable")))</x:f>
      </x:c>
      <x:c r="AB121" s="12" t="str"/>
      <x:c r="AC121" s="12" t="str"/>
      <x:c r="AD121" s="12" t="str"/>
      <x:c r="AE121" s="12" t="str"/>
      <x:c r="AF121" s="12" t="str"/>
      <x:c r="AG121" s="12" t="str"/>
      <x:c r="AH121" s="16" t="str"/>
      <x:c r="AI121" s="12" t="str"/>
    </x:row>
    <x:row r="122">
      <x:c r="A122" t="str"/>
      <x:c r="B122" t="str"/>
      <x:c r="C122" t="str"/>
      <x:c r="D122" s="12" t="str"/>
      <x:c r="E122" s="12" t="str"/>
      <x:c r="F122" s="12" t="str"/>
      <x:c r="G122" s="12" t="str"/>
      <x:c r="H122" s="12" t="str"/>
      <x:c r="I122" s="12" t="str"/>
      <x:c r="J122" s="12" t="str"/>
      <x:c r="K122" s="12" t="str"/>
      <x:c r="L122" s="12" t="str"/>
      <x:c r="M122" s="12" t="str"/>
      <x:c r="N122" s="12" t="str"/>
      <x:c r="O122" s="12" t="str"/>
      <x:c r="P122" t="str"/>
      <x:c r="Q122" t="str"/>
      <x:c r="R122" t="str">
        <x:f>IFERROR(VLOOKUP(Q122,Catalogos!$G:$H,2,FALSE),"")</x:f>
      </x:c>
      <x:c r="S122" t="str"/>
      <x:c r="T122" t="str">
        <x:f>IFERROR(VLOOKUP(S122,Catalogos!$I:$J,2,FALSE),"")</x:f>
      </x:c>
      <x:c r="U122" t="str">
        <x:f>IF(OR(R122="",T122=""),"",R122*T122)</x:f>
      </x:c>
      <x:c r="V122" t="str">
        <x:f>IF(U122="","",IF(U122&gt;=24,"MUY ALTO",IF(U122&gt;=10,"ALTO",IF(U122&gt;=6,"MEDIO","BAJO"))))</x:f>
      </x:c>
      <x:c r="W122" t="str"/>
      <x:c r="X122" t="str">
        <x:f>IFERROR(VLOOKUP(W122,Catalogos!$G:$H,2,FALSE),"")</x:f>
      </x:c>
      <x:c r="Y122" t="str">
        <x:f>IF(OR(U122="",X122=""),"",U122*X122)</x:f>
      </x:c>
      <x:c r="Z122" t="str">
        <x:f>IF(Y122="","",IF(Y122&gt;=600,"I - Situación crítica. Suspender actividades hasta que el riesgo esté bajo control. Intervención urgente.",IF(Y122&gt;=150,"II - Corregir y adoptar medidas de control de inmediato.",IF(Y122&gt;=40,"III - Mejorar si es posible. Conviene justificar la intervención y su rentabilidad.","IV - Mantener controles existentes."))))</x:f>
      </x:c>
      <x:c r="AA122" t="str">
        <x:f>IF(Y122="","",IF(Y122&gt;=600,"No aceptable",IF(Y122&gt;=150,"No aceptable / Aceptable con control específico","Aceptable")))</x:f>
      </x:c>
      <x:c r="AB122" s="12" t="str"/>
      <x:c r="AC122" s="12" t="str"/>
      <x:c r="AD122" s="12" t="str"/>
      <x:c r="AE122" s="12" t="str"/>
      <x:c r="AF122" s="12" t="str"/>
      <x:c r="AG122" s="12" t="str"/>
      <x:c r="AH122" s="16" t="str"/>
      <x:c r="AI122" s="12" t="str"/>
    </x:row>
    <x:row r="123">
      <x:c r="A123" t="str"/>
      <x:c r="B123" t="str"/>
      <x:c r="C123" t="str"/>
      <x:c r="D123" s="12" t="str"/>
      <x:c r="E123" s="12" t="str"/>
      <x:c r="F123" s="12" t="str"/>
      <x:c r="G123" s="12" t="str"/>
      <x:c r="H123" s="12" t="str"/>
      <x:c r="I123" s="12" t="str"/>
      <x:c r="J123" s="12" t="str"/>
      <x:c r="K123" s="12" t="str"/>
      <x:c r="L123" s="12" t="str"/>
      <x:c r="M123" s="12" t="str"/>
      <x:c r="N123" s="12" t="str"/>
      <x:c r="O123" s="12" t="str"/>
      <x:c r="P123" t="str"/>
      <x:c r="Q123" t="str"/>
      <x:c r="R123" t="str">
        <x:f>IFERROR(VLOOKUP(Q123,Catalogos!$G:$H,2,FALSE),"")</x:f>
      </x:c>
      <x:c r="S123" t="str"/>
      <x:c r="T123" t="str">
        <x:f>IFERROR(VLOOKUP(S123,Catalogos!$I:$J,2,FALSE),"")</x:f>
      </x:c>
      <x:c r="U123" t="str">
        <x:f>IF(OR(R123="",T123=""),"",R123*T123)</x:f>
      </x:c>
      <x:c r="V123" t="str">
        <x:f>IF(U123="","",IF(U123&gt;=24,"MUY ALTO",IF(U123&gt;=10,"ALTO",IF(U123&gt;=6,"MEDIO","BAJO"))))</x:f>
      </x:c>
      <x:c r="W123" t="str"/>
      <x:c r="X123" t="str">
        <x:f>IFERROR(VLOOKUP(W123,Catalogos!$G:$H,2,FALSE),"")</x:f>
      </x:c>
      <x:c r="Y123" t="str">
        <x:f>IF(OR(U123="",X123=""),"",U123*X123)</x:f>
      </x:c>
      <x:c r="Z123" t="str">
        <x:f>IF(Y123="","",IF(Y123&gt;=600,"I - Situación crítica. Suspender actividades hasta que el riesgo esté bajo control. Intervención urgente.",IF(Y123&gt;=150,"II - Corregir y adoptar medidas de control de inmediato.",IF(Y123&gt;=40,"III - Mejorar si es posible. Conviene justificar la intervención y su rentabilidad.","IV - Mantener controles existentes."))))</x:f>
      </x:c>
      <x:c r="AA123" t="str">
        <x:f>IF(Y123="","",IF(Y123&gt;=600,"No aceptable",IF(Y123&gt;=150,"No aceptable / Aceptable con control específico","Aceptable")))</x:f>
      </x:c>
      <x:c r="AB123" s="12" t="str"/>
      <x:c r="AC123" s="12" t="str"/>
      <x:c r="AD123" s="12" t="str"/>
      <x:c r="AE123" s="12" t="str"/>
      <x:c r="AF123" s="12" t="str"/>
      <x:c r="AG123" s="12" t="str"/>
      <x:c r="AH123" s="16" t="str"/>
      <x:c r="AI123" s="12" t="str"/>
    </x:row>
    <x:row r="124">
      <x:c r="A124" t="str"/>
      <x:c r="B124" t="str"/>
      <x:c r="C124" t="str"/>
      <x:c r="D124" s="12" t="str"/>
      <x:c r="E124" s="12" t="str"/>
      <x:c r="F124" s="12" t="str"/>
      <x:c r="G124" s="12" t="str"/>
      <x:c r="H124" s="12" t="str"/>
      <x:c r="I124" s="12" t="str"/>
      <x:c r="J124" s="12" t="str"/>
      <x:c r="K124" s="12" t="str"/>
      <x:c r="L124" s="12" t="str"/>
      <x:c r="M124" s="12" t="str"/>
      <x:c r="N124" s="12" t="str"/>
      <x:c r="O124" s="12" t="str"/>
      <x:c r="P124" t="str"/>
      <x:c r="Q124" t="str"/>
      <x:c r="R124" t="str">
        <x:f>IFERROR(VLOOKUP(Q124,Catalogos!$G:$H,2,FALSE),"")</x:f>
      </x:c>
      <x:c r="S124" t="str"/>
      <x:c r="T124" t="str">
        <x:f>IFERROR(VLOOKUP(S124,Catalogos!$I:$J,2,FALSE),"")</x:f>
      </x:c>
      <x:c r="U124" t="str">
        <x:f>IF(OR(R124="",T124=""),"",R124*T124)</x:f>
      </x:c>
      <x:c r="V124" t="str">
        <x:f>IF(U124="","",IF(U124&gt;=24,"MUY ALTO",IF(U124&gt;=10,"ALTO",IF(U124&gt;=6,"MEDIO","BAJO"))))</x:f>
      </x:c>
      <x:c r="W124" t="str"/>
      <x:c r="X124" t="str">
        <x:f>IFERROR(VLOOKUP(W124,Catalogos!$G:$H,2,FALSE),"")</x:f>
      </x:c>
      <x:c r="Y124" t="str">
        <x:f>IF(OR(U124="",X124=""),"",U124*X124)</x:f>
      </x:c>
      <x:c r="Z124" t="str">
        <x:f>IF(Y124="","",IF(Y124&gt;=600,"I - Situación crítica. Suspender actividades hasta que el riesgo esté bajo control. Intervención urgente.",IF(Y124&gt;=150,"II - Corregir y adoptar medidas de control de inmediato.",IF(Y124&gt;=40,"III - Mejorar si es posible. Conviene justificar la intervención y su rentabilidad.","IV - Mantener controles existentes."))))</x:f>
      </x:c>
      <x:c r="AA124" t="str">
        <x:f>IF(Y124="","",IF(Y124&gt;=600,"No aceptable",IF(Y124&gt;=150,"No aceptable / Aceptable con control específico","Aceptable")))</x:f>
      </x:c>
      <x:c r="AB124" s="12" t="str"/>
      <x:c r="AC124" s="12" t="str"/>
      <x:c r="AD124" s="12" t="str"/>
      <x:c r="AE124" s="12" t="str"/>
      <x:c r="AF124" s="12" t="str"/>
      <x:c r="AG124" s="12" t="str"/>
      <x:c r="AH124" s="16" t="str"/>
      <x:c r="AI124" s="12" t="str"/>
    </x:row>
    <x:row r="125">
      <x:c r="A125" t="str"/>
      <x:c r="B125" t="str"/>
      <x:c r="C125" t="str"/>
      <x:c r="D125" s="12" t="str"/>
      <x:c r="E125" s="12" t="str"/>
      <x:c r="F125" s="12" t="str"/>
      <x:c r="G125" s="12" t="str"/>
      <x:c r="H125" s="12" t="str"/>
      <x:c r="I125" s="12" t="str"/>
      <x:c r="J125" s="12" t="str"/>
      <x:c r="K125" s="12" t="str"/>
      <x:c r="L125" s="12" t="str"/>
      <x:c r="M125" s="12" t="str"/>
      <x:c r="N125" s="12" t="str"/>
      <x:c r="O125" s="12" t="str"/>
      <x:c r="P125" t="str"/>
      <x:c r="Q125" t="str"/>
      <x:c r="R125" t="str">
        <x:f>IFERROR(VLOOKUP(Q125,Catalogos!$G:$H,2,FALSE),"")</x:f>
      </x:c>
      <x:c r="S125" t="str"/>
      <x:c r="T125" t="str">
        <x:f>IFERROR(VLOOKUP(S125,Catalogos!$I:$J,2,FALSE),"")</x:f>
      </x:c>
      <x:c r="U125" t="str">
        <x:f>IF(OR(R125="",T125=""),"",R125*T125)</x:f>
      </x:c>
      <x:c r="V125" t="str">
        <x:f>IF(U125="","",IF(U125&gt;=24,"MUY ALTO",IF(U125&gt;=10,"ALTO",IF(U125&gt;=6,"MEDIO","BAJO"))))</x:f>
      </x:c>
      <x:c r="W125" t="str"/>
      <x:c r="X125" t="str">
        <x:f>IFERROR(VLOOKUP(W125,Catalogos!$G:$H,2,FALSE),"")</x:f>
      </x:c>
      <x:c r="Y125" t="str">
        <x:f>IF(OR(U125="",X125=""),"",U125*X125)</x:f>
      </x:c>
      <x:c r="Z125" t="str">
        <x:f>IF(Y125="","",IF(Y125&gt;=600,"I - Situación crítica. Suspender actividades hasta que el riesgo esté bajo control. Intervención urgente.",IF(Y125&gt;=150,"II - Corregir y adoptar medidas de control de inmediato.",IF(Y125&gt;=40,"III - Mejorar si es posible. Conviene justificar la intervención y su rentabilidad.","IV - Mantener controles existentes."))))</x:f>
      </x:c>
      <x:c r="AA125" t="str">
        <x:f>IF(Y125="","",IF(Y125&gt;=600,"No aceptable",IF(Y125&gt;=150,"No aceptable / Aceptable con control específico","Aceptable")))</x:f>
      </x:c>
      <x:c r="AB125" s="12" t="str"/>
      <x:c r="AC125" s="12" t="str"/>
      <x:c r="AD125" s="12" t="str"/>
      <x:c r="AE125" s="12" t="str"/>
      <x:c r="AF125" s="12" t="str"/>
      <x:c r="AG125" s="12" t="str"/>
      <x:c r="AH125" s="16" t="str"/>
      <x:c r="AI125" s="12" t="str"/>
    </x:row>
    <x:row r="126">
      <x:c r="A126" t="str"/>
      <x:c r="B126" t="str"/>
      <x:c r="C126" t="str"/>
      <x:c r="D126" s="12" t="str"/>
      <x:c r="E126" s="12" t="str"/>
      <x:c r="F126" s="12" t="str"/>
      <x:c r="G126" s="12" t="str"/>
      <x:c r="H126" s="12" t="str"/>
      <x:c r="I126" s="12" t="str"/>
      <x:c r="J126" s="12" t="str"/>
      <x:c r="K126" s="12" t="str"/>
      <x:c r="L126" s="12" t="str"/>
      <x:c r="M126" s="12" t="str"/>
      <x:c r="N126" s="12" t="str"/>
      <x:c r="O126" s="12" t="str"/>
      <x:c r="P126" t="str"/>
      <x:c r="Q126" t="str"/>
      <x:c r="R126" t="str">
        <x:f>IFERROR(VLOOKUP(Q126,Catalogos!$G:$H,2,FALSE),"")</x:f>
      </x:c>
      <x:c r="S126" t="str"/>
      <x:c r="T126" t="str">
        <x:f>IFERROR(VLOOKUP(S126,Catalogos!$I:$J,2,FALSE),"")</x:f>
      </x:c>
      <x:c r="U126" t="str">
        <x:f>IF(OR(R126="",T126=""),"",R126*T126)</x:f>
      </x:c>
      <x:c r="V126" t="str">
        <x:f>IF(U126="","",IF(U126&gt;=24,"MUY ALTO",IF(U126&gt;=10,"ALTO",IF(U126&gt;=6,"MEDIO","BAJO"))))</x:f>
      </x:c>
      <x:c r="W126" t="str"/>
      <x:c r="X126" t="str">
        <x:f>IFERROR(VLOOKUP(W126,Catalogos!$G:$H,2,FALSE),"")</x:f>
      </x:c>
      <x:c r="Y126" t="str">
        <x:f>IF(OR(U126="",X126=""),"",U126*X126)</x:f>
      </x:c>
      <x:c r="Z126" t="str">
        <x:f>IF(Y126="","",IF(Y126&gt;=600,"I - Situación crítica. Suspender actividades hasta que el riesgo esté bajo control. Intervención urgente.",IF(Y126&gt;=150,"II - Corregir y adoptar medidas de control de inmediato.",IF(Y126&gt;=40,"III - Mejorar si es posible. Conviene justificar la intervención y su rentabilidad.","IV - Mantener controles existentes."))))</x:f>
      </x:c>
      <x:c r="AA126" t="str">
        <x:f>IF(Y126="","",IF(Y126&gt;=600,"No aceptable",IF(Y126&gt;=150,"No aceptable / Aceptable con control específico","Aceptable")))</x:f>
      </x:c>
      <x:c r="AB126" s="12" t="str"/>
      <x:c r="AC126" s="12" t="str"/>
      <x:c r="AD126" s="12" t="str"/>
      <x:c r="AE126" s="12" t="str"/>
      <x:c r="AF126" s="12" t="str"/>
      <x:c r="AG126" s="12" t="str"/>
      <x:c r="AH126" s="16" t="str"/>
      <x:c r="AI126" s="12" t="str"/>
    </x:row>
    <x:row r="127">
      <x:c r="A127" t="str"/>
      <x:c r="B127" t="str"/>
      <x:c r="C127" t="str"/>
      <x:c r="D127" s="12" t="str"/>
      <x:c r="E127" s="12" t="str"/>
      <x:c r="F127" s="12" t="str"/>
      <x:c r="G127" s="12" t="str"/>
      <x:c r="H127" s="12" t="str"/>
      <x:c r="I127" s="12" t="str"/>
      <x:c r="J127" s="12" t="str"/>
      <x:c r="K127" s="12" t="str"/>
      <x:c r="L127" s="12" t="str"/>
      <x:c r="M127" s="12" t="str"/>
      <x:c r="N127" s="12" t="str"/>
      <x:c r="O127" s="12" t="str"/>
      <x:c r="P127" t="str"/>
      <x:c r="Q127" t="str"/>
      <x:c r="R127" t="str">
        <x:f>IFERROR(VLOOKUP(Q127,Catalogos!$G:$H,2,FALSE),"")</x:f>
      </x:c>
      <x:c r="S127" t="str"/>
      <x:c r="T127" t="str">
        <x:f>IFERROR(VLOOKUP(S127,Catalogos!$I:$J,2,FALSE),"")</x:f>
      </x:c>
      <x:c r="U127" t="str">
        <x:f>IF(OR(R127="",T127=""),"",R127*T127)</x:f>
      </x:c>
      <x:c r="V127" t="str">
        <x:f>IF(U127="","",IF(U127&gt;=24,"MUY ALTO",IF(U127&gt;=10,"ALTO",IF(U127&gt;=6,"MEDIO","BAJO"))))</x:f>
      </x:c>
      <x:c r="W127" t="str"/>
      <x:c r="X127" t="str">
        <x:f>IFERROR(VLOOKUP(W127,Catalogos!$G:$H,2,FALSE),"")</x:f>
      </x:c>
      <x:c r="Y127" t="str">
        <x:f>IF(OR(U127="",X127=""),"",U127*X127)</x:f>
      </x:c>
      <x:c r="Z127" t="str">
        <x:f>IF(Y127="","",IF(Y127&gt;=600,"I - Situación crítica. Suspender actividades hasta que el riesgo esté bajo control. Intervención urgente.",IF(Y127&gt;=150,"II - Corregir y adoptar medidas de control de inmediato.",IF(Y127&gt;=40,"III - Mejorar si es posible. Conviene justificar la intervención y su rentabilidad.","IV - Mantener controles existentes."))))</x:f>
      </x:c>
      <x:c r="AA127" t="str">
        <x:f>IF(Y127="","",IF(Y127&gt;=600,"No aceptable",IF(Y127&gt;=150,"No aceptable / Aceptable con control específico","Aceptable")))</x:f>
      </x:c>
      <x:c r="AB127" s="12" t="str"/>
      <x:c r="AC127" s="12" t="str"/>
      <x:c r="AD127" s="12" t="str"/>
      <x:c r="AE127" s="12" t="str"/>
      <x:c r="AF127" s="12" t="str"/>
      <x:c r="AG127" s="12" t="str"/>
      <x:c r="AH127" s="16" t="str"/>
      <x:c r="AI127" s="12" t="str"/>
    </x:row>
    <x:row r="128">
      <x:c r="A128" t="str"/>
      <x:c r="B128" t="str"/>
      <x:c r="C128" t="str"/>
      <x:c r="D128" s="12" t="str"/>
      <x:c r="E128" s="12" t="str"/>
      <x:c r="F128" s="12" t="str"/>
      <x:c r="G128" s="12" t="str"/>
      <x:c r="H128" s="12" t="str"/>
      <x:c r="I128" s="12" t="str"/>
      <x:c r="J128" s="12" t="str"/>
      <x:c r="K128" s="12" t="str"/>
      <x:c r="L128" s="12" t="str"/>
      <x:c r="M128" s="12" t="str"/>
      <x:c r="N128" s="12" t="str"/>
      <x:c r="O128" s="12" t="str"/>
      <x:c r="P128" t="str"/>
      <x:c r="Q128" t="str"/>
      <x:c r="R128" t="str">
        <x:f>IFERROR(VLOOKUP(Q128,Catalogos!$G:$H,2,FALSE),"")</x:f>
      </x:c>
      <x:c r="S128" t="str"/>
      <x:c r="T128" t="str">
        <x:f>IFERROR(VLOOKUP(S128,Catalogos!$I:$J,2,FALSE),"")</x:f>
      </x:c>
      <x:c r="U128" t="str">
        <x:f>IF(OR(R128="",T128=""),"",R128*T128)</x:f>
      </x:c>
      <x:c r="V128" t="str">
        <x:f>IF(U128="","",IF(U128&gt;=24,"MUY ALTO",IF(U128&gt;=10,"ALTO",IF(U128&gt;=6,"MEDIO","BAJO"))))</x:f>
      </x:c>
      <x:c r="W128" t="str"/>
      <x:c r="X128" t="str">
        <x:f>IFERROR(VLOOKUP(W128,Catalogos!$G:$H,2,FALSE),"")</x:f>
      </x:c>
      <x:c r="Y128" t="str">
        <x:f>IF(OR(U128="",X128=""),"",U128*X128)</x:f>
      </x:c>
      <x:c r="Z128" t="str">
        <x:f>IF(Y128="","",IF(Y128&gt;=600,"I - Situación crítica. Suspender actividades hasta que el riesgo esté bajo control. Intervención urgente.",IF(Y128&gt;=150,"II - Corregir y adoptar medidas de control de inmediato.",IF(Y128&gt;=40,"III - Mejorar si es posible. Conviene justificar la intervención y su rentabilidad.","IV - Mantener controles existentes."))))</x:f>
      </x:c>
      <x:c r="AA128" t="str">
        <x:f>IF(Y128="","",IF(Y128&gt;=600,"No aceptable",IF(Y128&gt;=150,"No aceptable / Aceptable con control específico","Aceptable")))</x:f>
      </x:c>
      <x:c r="AB128" s="12" t="str"/>
      <x:c r="AC128" s="12" t="str"/>
      <x:c r="AD128" s="12" t="str"/>
      <x:c r="AE128" s="12" t="str"/>
      <x:c r="AF128" s="12" t="str"/>
      <x:c r="AG128" s="12" t="str"/>
      <x:c r="AH128" s="16" t="str"/>
      <x:c r="AI128" s="12" t="str"/>
    </x:row>
    <x:row r="129">
      <x:c r="A129" t="str"/>
      <x:c r="B129" t="str"/>
      <x:c r="C129" t="str"/>
      <x:c r="D129" s="12" t="str"/>
      <x:c r="E129" s="12" t="str"/>
      <x:c r="F129" s="12" t="str"/>
      <x:c r="G129" s="12" t="str"/>
      <x:c r="H129" s="12" t="str"/>
      <x:c r="I129" s="12" t="str"/>
      <x:c r="J129" s="12" t="str"/>
      <x:c r="K129" s="12" t="str"/>
      <x:c r="L129" s="12" t="str"/>
      <x:c r="M129" s="12" t="str"/>
      <x:c r="N129" s="12" t="str"/>
      <x:c r="O129" s="12" t="str"/>
      <x:c r="P129" t="str"/>
      <x:c r="Q129" t="str"/>
      <x:c r="R129" t="str">
        <x:f>IFERROR(VLOOKUP(Q129,Catalogos!$G:$H,2,FALSE),"")</x:f>
      </x:c>
      <x:c r="S129" t="str"/>
      <x:c r="T129" t="str">
        <x:f>IFERROR(VLOOKUP(S129,Catalogos!$I:$J,2,FALSE),"")</x:f>
      </x:c>
      <x:c r="U129" t="str">
        <x:f>IF(OR(R129="",T129=""),"",R129*T129)</x:f>
      </x:c>
      <x:c r="V129" t="str">
        <x:f>IF(U129="","",IF(U129&gt;=24,"MUY ALTO",IF(U129&gt;=10,"ALTO",IF(U129&gt;=6,"MEDIO","BAJO"))))</x:f>
      </x:c>
      <x:c r="W129" t="str"/>
      <x:c r="X129" t="str">
        <x:f>IFERROR(VLOOKUP(W129,Catalogos!$G:$H,2,FALSE),"")</x:f>
      </x:c>
      <x:c r="Y129" t="str">
        <x:f>IF(OR(U129="",X129=""),"",U129*X129)</x:f>
      </x:c>
      <x:c r="Z129" t="str">
        <x:f>IF(Y129="","",IF(Y129&gt;=600,"I - Situación crítica. Suspender actividades hasta que el riesgo esté bajo control. Intervención urgente.",IF(Y129&gt;=150,"II - Corregir y adoptar medidas de control de inmediato.",IF(Y129&gt;=40,"III - Mejorar si es posible. Conviene justificar la intervención y su rentabilidad.","IV - Mantener controles existentes."))))</x:f>
      </x:c>
      <x:c r="AA129" t="str">
        <x:f>IF(Y129="","",IF(Y129&gt;=600,"No aceptable",IF(Y129&gt;=150,"No aceptable / Aceptable con control específico","Aceptable")))</x:f>
      </x:c>
      <x:c r="AB129" s="12" t="str"/>
      <x:c r="AC129" s="12" t="str"/>
      <x:c r="AD129" s="12" t="str"/>
      <x:c r="AE129" s="12" t="str"/>
      <x:c r="AF129" s="12" t="str"/>
      <x:c r="AG129" s="12" t="str"/>
      <x:c r="AH129" s="16" t="str"/>
      <x:c r="AI129" s="12" t="str"/>
    </x:row>
    <x:row r="130">
      <x:c r="A130" t="str"/>
      <x:c r="B130" t="str"/>
      <x:c r="C130" t="str"/>
      <x:c r="D130" s="12" t="str"/>
      <x:c r="E130" s="12" t="str"/>
      <x:c r="F130" s="12" t="str"/>
      <x:c r="G130" s="12" t="str"/>
      <x:c r="H130" s="12" t="str"/>
      <x:c r="I130" s="12" t="str"/>
      <x:c r="J130" s="12" t="str"/>
      <x:c r="K130" s="12" t="str"/>
      <x:c r="L130" s="12" t="str"/>
      <x:c r="M130" s="12" t="str"/>
      <x:c r="N130" s="12" t="str"/>
      <x:c r="O130" s="12" t="str"/>
      <x:c r="P130" t="str"/>
      <x:c r="Q130" t="str"/>
      <x:c r="R130" t="str">
        <x:f>IFERROR(VLOOKUP(Q130,Catalogos!$G:$H,2,FALSE),"")</x:f>
      </x:c>
      <x:c r="S130" t="str"/>
      <x:c r="T130" t="str">
        <x:f>IFERROR(VLOOKUP(S130,Catalogos!$I:$J,2,FALSE),"")</x:f>
      </x:c>
      <x:c r="U130" t="str">
        <x:f>IF(OR(R130="",T130=""),"",R130*T130)</x:f>
      </x:c>
      <x:c r="V130" t="str">
        <x:f>IF(U130="","",IF(U130&gt;=24,"MUY ALTO",IF(U130&gt;=10,"ALTO",IF(U130&gt;=6,"MEDIO","BAJO"))))</x:f>
      </x:c>
      <x:c r="W130" t="str"/>
      <x:c r="X130" t="str">
        <x:f>IFERROR(VLOOKUP(W130,Catalogos!$G:$H,2,FALSE),"")</x:f>
      </x:c>
      <x:c r="Y130" t="str">
        <x:f>IF(OR(U130="",X130=""),"",U130*X130)</x:f>
      </x:c>
      <x:c r="Z130" t="str">
        <x:f>IF(Y130="","",IF(Y130&gt;=600,"I - Situación crítica. Suspender actividades hasta que el riesgo esté bajo control. Intervención urgente.",IF(Y130&gt;=150,"II - Corregir y adoptar medidas de control de inmediato.",IF(Y130&gt;=40,"III - Mejorar si es posible. Conviene justificar la intervención y su rentabilidad.","IV - Mantener controles existentes."))))</x:f>
      </x:c>
      <x:c r="AA130" t="str">
        <x:f>IF(Y130="","",IF(Y130&gt;=600,"No aceptable",IF(Y130&gt;=150,"No aceptable / Aceptable con control específico","Aceptable")))</x:f>
      </x:c>
      <x:c r="AB130" s="12" t="str"/>
      <x:c r="AC130" s="12" t="str"/>
      <x:c r="AD130" s="12" t="str"/>
      <x:c r="AE130" s="12" t="str"/>
      <x:c r="AF130" s="12" t="str"/>
      <x:c r="AG130" s="12" t="str"/>
      <x:c r="AH130" s="16" t="str"/>
      <x:c r="AI130" s="12" t="str"/>
    </x:row>
    <x:row r="131">
      <x:c r="A131" t="str"/>
      <x:c r="B131" t="str"/>
      <x:c r="C131" t="str"/>
      <x:c r="D131" s="12" t="str"/>
      <x:c r="E131" s="12" t="str"/>
      <x:c r="F131" s="12" t="str"/>
      <x:c r="G131" s="12" t="str"/>
      <x:c r="H131" s="12" t="str"/>
      <x:c r="I131" s="12" t="str"/>
      <x:c r="J131" s="12" t="str"/>
      <x:c r="K131" s="12" t="str"/>
      <x:c r="L131" s="12" t="str"/>
      <x:c r="M131" s="12" t="str"/>
      <x:c r="N131" s="12" t="str"/>
      <x:c r="O131" s="12" t="str"/>
      <x:c r="P131" t="str"/>
      <x:c r="Q131" t="str"/>
      <x:c r="R131" t="str">
        <x:f>IFERROR(VLOOKUP(Q131,Catalogos!$G:$H,2,FALSE),"")</x:f>
      </x:c>
      <x:c r="S131" t="str"/>
      <x:c r="T131" t="str">
        <x:f>IFERROR(VLOOKUP(S131,Catalogos!$I:$J,2,FALSE),"")</x:f>
      </x:c>
      <x:c r="U131" t="str">
        <x:f>IF(OR(R131="",T131=""),"",R131*T131)</x:f>
      </x:c>
      <x:c r="V131" t="str">
        <x:f>IF(U131="","",IF(U131&gt;=24,"MUY ALTO",IF(U131&gt;=10,"ALTO",IF(U131&gt;=6,"MEDIO","BAJO"))))</x:f>
      </x:c>
      <x:c r="W131" t="str"/>
      <x:c r="X131" t="str">
        <x:f>IFERROR(VLOOKUP(W131,Catalogos!$G:$H,2,FALSE),"")</x:f>
      </x:c>
      <x:c r="Y131" t="str">
        <x:f>IF(OR(U131="",X131=""),"",U131*X131)</x:f>
      </x:c>
      <x:c r="Z131" t="str">
        <x:f>IF(Y131="","",IF(Y131&gt;=600,"I - Situación crítica. Suspender actividades hasta que el riesgo esté bajo control. Intervención urgente.",IF(Y131&gt;=150,"II - Corregir y adoptar medidas de control de inmediato.",IF(Y131&gt;=40,"III - Mejorar si es posible. Conviene justificar la intervención y su rentabilidad.","IV - Mantener controles existentes."))))</x:f>
      </x:c>
      <x:c r="AA131" t="str">
        <x:f>IF(Y131="","",IF(Y131&gt;=600,"No aceptable",IF(Y131&gt;=150,"No aceptable / Aceptable con control específico","Aceptable")))</x:f>
      </x:c>
      <x:c r="AB131" s="12" t="str"/>
      <x:c r="AC131" s="12" t="str"/>
      <x:c r="AD131" s="12" t="str"/>
      <x:c r="AE131" s="12" t="str"/>
      <x:c r="AF131" s="12" t="str"/>
      <x:c r="AG131" s="12" t="str"/>
      <x:c r="AH131" s="16" t="str"/>
      <x:c r="AI131" s="12" t="str"/>
    </x:row>
    <x:row r="132">
      <x:c r="A132" t="str"/>
      <x:c r="B132" t="str"/>
      <x:c r="C132" t="str"/>
      <x:c r="D132" s="12" t="str"/>
      <x:c r="E132" s="12" t="str"/>
      <x:c r="F132" s="12" t="str"/>
      <x:c r="G132" s="12" t="str"/>
      <x:c r="H132" s="12" t="str"/>
      <x:c r="I132" s="12" t="str"/>
      <x:c r="J132" s="12" t="str"/>
      <x:c r="K132" s="12" t="str"/>
      <x:c r="L132" s="12" t="str"/>
      <x:c r="M132" s="12" t="str"/>
      <x:c r="N132" s="12" t="str"/>
      <x:c r="O132" s="12" t="str"/>
      <x:c r="P132" t="str"/>
      <x:c r="Q132" t="str"/>
      <x:c r="R132" t="str">
        <x:f>IFERROR(VLOOKUP(Q132,Catalogos!$G:$H,2,FALSE),"")</x:f>
      </x:c>
      <x:c r="S132" t="str"/>
      <x:c r="T132" t="str">
        <x:f>IFERROR(VLOOKUP(S132,Catalogos!$I:$J,2,FALSE),"")</x:f>
      </x:c>
      <x:c r="U132" t="str">
        <x:f>IF(OR(R132="",T132=""),"",R132*T132)</x:f>
      </x:c>
      <x:c r="V132" t="str">
        <x:f>IF(U132="","",IF(U132&gt;=24,"MUY ALTO",IF(U132&gt;=10,"ALTO",IF(U132&gt;=6,"MEDIO","BAJO"))))</x:f>
      </x:c>
      <x:c r="W132" t="str"/>
      <x:c r="X132" t="str">
        <x:f>IFERROR(VLOOKUP(W132,Catalogos!$G:$H,2,FALSE),"")</x:f>
      </x:c>
      <x:c r="Y132" t="str">
        <x:f>IF(OR(U132="",X132=""),"",U132*X132)</x:f>
      </x:c>
      <x:c r="Z132" t="str">
        <x:f>IF(Y132="","",IF(Y132&gt;=600,"I - Situación crítica. Suspender actividades hasta que el riesgo esté bajo control. Intervención urgente.",IF(Y132&gt;=150,"II - Corregir y adoptar medidas de control de inmediato.",IF(Y132&gt;=40,"III - Mejorar si es posible. Conviene justificar la intervención y su rentabilidad.","IV - Mantener controles existentes."))))</x:f>
      </x:c>
      <x:c r="AA132" t="str">
        <x:f>IF(Y132="","",IF(Y132&gt;=600,"No aceptable",IF(Y132&gt;=150,"No aceptable / Aceptable con control específico","Aceptable")))</x:f>
      </x:c>
      <x:c r="AB132" s="12" t="str"/>
      <x:c r="AC132" s="12" t="str"/>
      <x:c r="AD132" s="12" t="str"/>
      <x:c r="AE132" s="12" t="str"/>
      <x:c r="AF132" s="12" t="str"/>
      <x:c r="AG132" s="12" t="str"/>
      <x:c r="AH132" s="16" t="str"/>
      <x:c r="AI132" s="12" t="str"/>
    </x:row>
    <x:row r="133">
      <x:c r="A133" t="str"/>
      <x:c r="B133" t="str"/>
      <x:c r="C133" t="str"/>
      <x:c r="D133" s="12" t="str"/>
      <x:c r="E133" s="12" t="str"/>
      <x:c r="F133" s="12" t="str"/>
      <x:c r="G133" s="12" t="str"/>
      <x:c r="H133" s="12" t="str"/>
      <x:c r="I133" s="12" t="str"/>
      <x:c r="J133" s="12" t="str"/>
      <x:c r="K133" s="12" t="str"/>
      <x:c r="L133" s="12" t="str"/>
      <x:c r="M133" s="12" t="str"/>
      <x:c r="N133" s="12" t="str"/>
      <x:c r="O133" s="12" t="str"/>
      <x:c r="P133" t="str"/>
      <x:c r="Q133" t="str"/>
      <x:c r="R133" t="str">
        <x:f>IFERROR(VLOOKUP(Q133,Catalogos!$G:$H,2,FALSE),"")</x:f>
      </x:c>
      <x:c r="S133" t="str"/>
      <x:c r="T133" t="str">
        <x:f>IFERROR(VLOOKUP(S133,Catalogos!$I:$J,2,FALSE),"")</x:f>
      </x:c>
      <x:c r="U133" t="str">
        <x:f>IF(OR(R133="",T133=""),"",R133*T133)</x:f>
      </x:c>
      <x:c r="V133" t="str">
        <x:f>IF(U133="","",IF(U133&gt;=24,"MUY ALTO",IF(U133&gt;=10,"ALTO",IF(U133&gt;=6,"MEDIO","BAJO"))))</x:f>
      </x:c>
      <x:c r="W133" t="str"/>
      <x:c r="X133" t="str">
        <x:f>IFERROR(VLOOKUP(W133,Catalogos!$G:$H,2,FALSE),"")</x:f>
      </x:c>
      <x:c r="Y133" t="str">
        <x:f>IF(OR(U133="",X133=""),"",U133*X133)</x:f>
      </x:c>
      <x:c r="Z133" t="str">
        <x:f>IF(Y133="","",IF(Y133&gt;=600,"I - Situación crítica. Suspender actividades hasta que el riesgo esté bajo control. Intervención urgente.",IF(Y133&gt;=150,"II - Corregir y adoptar medidas de control de inmediato.",IF(Y133&gt;=40,"III - Mejorar si es posible. Conviene justificar la intervención y su rentabilidad.","IV - Mantener controles existentes."))))</x:f>
      </x:c>
      <x:c r="AA133" t="str">
        <x:f>IF(Y133="","",IF(Y133&gt;=600,"No aceptable",IF(Y133&gt;=150,"No aceptable / Aceptable con control específico","Aceptable")))</x:f>
      </x:c>
      <x:c r="AB133" s="12" t="str"/>
      <x:c r="AC133" s="12" t="str"/>
      <x:c r="AD133" s="12" t="str"/>
      <x:c r="AE133" s="12" t="str"/>
      <x:c r="AF133" s="12" t="str"/>
      <x:c r="AG133" s="12" t="str"/>
      <x:c r="AH133" s="16" t="str"/>
      <x:c r="AI133" s="12" t="str"/>
    </x:row>
    <x:row r="134">
      <x:c r="A134" t="str"/>
      <x:c r="B134" t="str"/>
      <x:c r="C134" t="str"/>
      <x:c r="D134" s="12" t="str"/>
      <x:c r="E134" s="12" t="str"/>
      <x:c r="F134" s="12" t="str"/>
      <x:c r="G134" s="12" t="str"/>
      <x:c r="H134" s="12" t="str"/>
      <x:c r="I134" s="12" t="str"/>
      <x:c r="J134" s="12" t="str"/>
      <x:c r="K134" s="12" t="str"/>
      <x:c r="L134" s="12" t="str"/>
      <x:c r="M134" s="12" t="str"/>
      <x:c r="N134" s="12" t="str"/>
      <x:c r="O134" s="12" t="str"/>
      <x:c r="P134" t="str"/>
      <x:c r="Q134" t="str"/>
      <x:c r="R134" t="str">
        <x:f>IFERROR(VLOOKUP(Q134,Catalogos!$G:$H,2,FALSE),"")</x:f>
      </x:c>
      <x:c r="S134" t="str"/>
      <x:c r="T134" t="str">
        <x:f>IFERROR(VLOOKUP(S134,Catalogos!$I:$J,2,FALSE),"")</x:f>
      </x:c>
      <x:c r="U134" t="str">
        <x:f>IF(OR(R134="",T134=""),"",R134*T134)</x:f>
      </x:c>
      <x:c r="V134" t="str">
        <x:f>IF(U134="","",IF(U134&gt;=24,"MUY ALTO",IF(U134&gt;=10,"ALTO",IF(U134&gt;=6,"MEDIO","BAJO"))))</x:f>
      </x:c>
      <x:c r="W134" t="str"/>
      <x:c r="X134" t="str">
        <x:f>IFERROR(VLOOKUP(W134,Catalogos!$G:$H,2,FALSE),"")</x:f>
      </x:c>
      <x:c r="Y134" t="str">
        <x:f>IF(OR(U134="",X134=""),"",U134*X134)</x:f>
      </x:c>
      <x:c r="Z134" t="str">
        <x:f>IF(Y134="","",IF(Y134&gt;=600,"I - Situación crítica. Suspender actividades hasta que el riesgo esté bajo control. Intervención urgente.",IF(Y134&gt;=150,"II - Corregir y adoptar medidas de control de inmediato.",IF(Y134&gt;=40,"III - Mejorar si es posible. Conviene justificar la intervención y su rentabilidad.","IV - Mantener controles existentes."))))</x:f>
      </x:c>
      <x:c r="AA134" t="str">
        <x:f>IF(Y134="","",IF(Y134&gt;=600,"No aceptable",IF(Y134&gt;=150,"No aceptable / Aceptable con control específico","Aceptable")))</x:f>
      </x:c>
      <x:c r="AB134" s="12" t="str"/>
      <x:c r="AC134" s="12" t="str"/>
      <x:c r="AD134" s="12" t="str"/>
      <x:c r="AE134" s="12" t="str"/>
      <x:c r="AF134" s="12" t="str"/>
      <x:c r="AG134" s="12" t="str"/>
      <x:c r="AH134" s="16" t="str"/>
      <x:c r="AI134" s="12" t="str"/>
    </x:row>
    <x:row r="135">
      <x:c r="A135" t="str"/>
      <x:c r="B135" t="str"/>
      <x:c r="C135" t="str"/>
      <x:c r="D135" s="12" t="str"/>
      <x:c r="E135" s="12" t="str"/>
      <x:c r="F135" s="12" t="str"/>
      <x:c r="G135" s="12" t="str"/>
      <x:c r="H135" s="12" t="str"/>
      <x:c r="I135" s="12" t="str"/>
      <x:c r="J135" s="12" t="str"/>
      <x:c r="K135" s="12" t="str"/>
      <x:c r="L135" s="12" t="str"/>
      <x:c r="M135" s="12" t="str"/>
      <x:c r="N135" s="12" t="str"/>
      <x:c r="O135" s="12" t="str"/>
      <x:c r="P135" t="str"/>
      <x:c r="Q135" t="str"/>
      <x:c r="R135" t="str">
        <x:f>IFERROR(VLOOKUP(Q135,Catalogos!$G:$H,2,FALSE),"")</x:f>
      </x:c>
      <x:c r="S135" t="str"/>
      <x:c r="T135" t="str">
        <x:f>IFERROR(VLOOKUP(S135,Catalogos!$I:$J,2,FALSE),"")</x:f>
      </x:c>
      <x:c r="U135" t="str">
        <x:f>IF(OR(R135="",T135=""),"",R135*T135)</x:f>
      </x:c>
      <x:c r="V135" t="str">
        <x:f>IF(U135="","",IF(U135&gt;=24,"MUY ALTO",IF(U135&gt;=10,"ALTO",IF(U135&gt;=6,"MEDIO","BAJO"))))</x:f>
      </x:c>
      <x:c r="W135" t="str"/>
      <x:c r="X135" t="str">
        <x:f>IFERROR(VLOOKUP(W135,Catalogos!$G:$H,2,FALSE),"")</x:f>
      </x:c>
      <x:c r="Y135" t="str">
        <x:f>IF(OR(U135="",X135=""),"",U135*X135)</x:f>
      </x:c>
      <x:c r="Z135" t="str">
        <x:f>IF(Y135="","",IF(Y135&gt;=600,"I - Situación crítica. Suspender actividades hasta que el riesgo esté bajo control. Intervención urgente.",IF(Y135&gt;=150,"II - Corregir y adoptar medidas de control de inmediato.",IF(Y135&gt;=40,"III - Mejorar si es posible. Conviene justificar la intervención y su rentabilidad.","IV - Mantener controles existentes."))))</x:f>
      </x:c>
      <x:c r="AA135" t="str">
        <x:f>IF(Y135="","",IF(Y135&gt;=600,"No aceptable",IF(Y135&gt;=150,"No aceptable / Aceptable con control específico","Aceptable")))</x:f>
      </x:c>
      <x:c r="AB135" s="12" t="str"/>
      <x:c r="AC135" s="12" t="str"/>
      <x:c r="AD135" s="12" t="str"/>
      <x:c r="AE135" s="12" t="str"/>
      <x:c r="AF135" s="12" t="str"/>
      <x:c r="AG135" s="12" t="str"/>
      <x:c r="AH135" s="16" t="str"/>
      <x:c r="AI135" s="12" t="str"/>
    </x:row>
    <x:row r="136">
      <x:c r="A136" t="str"/>
      <x:c r="B136" t="str"/>
      <x:c r="C136" t="str"/>
      <x:c r="D136" s="12" t="str"/>
      <x:c r="E136" s="12" t="str"/>
      <x:c r="F136" s="12" t="str"/>
      <x:c r="G136" s="12" t="str"/>
      <x:c r="H136" s="12" t="str"/>
      <x:c r="I136" s="12" t="str"/>
      <x:c r="J136" s="12" t="str"/>
      <x:c r="K136" s="12" t="str"/>
      <x:c r="L136" s="12" t="str"/>
      <x:c r="M136" s="12" t="str"/>
      <x:c r="N136" s="12" t="str"/>
      <x:c r="O136" s="12" t="str"/>
      <x:c r="P136" t="str"/>
      <x:c r="Q136" t="str"/>
      <x:c r="R136" t="str">
        <x:f>IFERROR(VLOOKUP(Q136,Catalogos!$G:$H,2,FALSE),"")</x:f>
      </x:c>
      <x:c r="S136" t="str"/>
      <x:c r="T136" t="str">
        <x:f>IFERROR(VLOOKUP(S136,Catalogos!$I:$J,2,FALSE),"")</x:f>
      </x:c>
      <x:c r="U136" t="str">
        <x:f>IF(OR(R136="",T136=""),"",R136*T136)</x:f>
      </x:c>
      <x:c r="V136" t="str">
        <x:f>IF(U136="","",IF(U136&gt;=24,"MUY ALTO",IF(U136&gt;=10,"ALTO",IF(U136&gt;=6,"MEDIO","BAJO"))))</x:f>
      </x:c>
      <x:c r="W136" t="str"/>
      <x:c r="X136" t="str">
        <x:f>IFERROR(VLOOKUP(W136,Catalogos!$G:$H,2,FALSE),"")</x:f>
      </x:c>
      <x:c r="Y136" t="str">
        <x:f>IF(OR(U136="",X136=""),"",U136*X136)</x:f>
      </x:c>
      <x:c r="Z136" t="str">
        <x:f>IF(Y136="","",IF(Y136&gt;=600,"I - Situación crítica. Suspender actividades hasta que el riesgo esté bajo control. Intervención urgente.",IF(Y136&gt;=150,"II - Corregir y adoptar medidas de control de inmediato.",IF(Y136&gt;=40,"III - Mejorar si es posible. Conviene justificar la intervención y su rentabilidad.","IV - Mantener controles existentes."))))</x:f>
      </x:c>
      <x:c r="AA136" t="str">
        <x:f>IF(Y136="","",IF(Y136&gt;=600,"No aceptable",IF(Y136&gt;=150,"No aceptable / Aceptable con control específico","Aceptable")))</x:f>
      </x:c>
      <x:c r="AB136" s="12" t="str"/>
      <x:c r="AC136" s="12" t="str"/>
      <x:c r="AD136" s="12" t="str"/>
      <x:c r="AE136" s="12" t="str"/>
      <x:c r="AF136" s="12" t="str"/>
      <x:c r="AG136" s="12" t="str"/>
      <x:c r="AH136" s="16" t="str"/>
      <x:c r="AI136" s="12" t="str"/>
    </x:row>
    <x:row r="137">
      <x:c r="A137" t="str"/>
      <x:c r="B137" t="str"/>
      <x:c r="C137" t="str"/>
      <x:c r="D137" s="12" t="str"/>
      <x:c r="E137" s="12" t="str"/>
      <x:c r="F137" s="12" t="str"/>
      <x:c r="G137" s="12" t="str"/>
      <x:c r="H137" s="12" t="str"/>
      <x:c r="I137" s="12" t="str"/>
      <x:c r="J137" s="12" t="str"/>
      <x:c r="K137" s="12" t="str"/>
      <x:c r="L137" s="12" t="str"/>
      <x:c r="M137" s="12" t="str"/>
      <x:c r="N137" s="12" t="str"/>
      <x:c r="O137" s="12" t="str"/>
      <x:c r="P137" t="str"/>
      <x:c r="Q137" t="str"/>
      <x:c r="R137" t="str">
        <x:f>IFERROR(VLOOKUP(Q137,Catalogos!$G:$H,2,FALSE),"")</x:f>
      </x:c>
      <x:c r="S137" t="str"/>
      <x:c r="T137" t="str">
        <x:f>IFERROR(VLOOKUP(S137,Catalogos!$I:$J,2,FALSE),"")</x:f>
      </x:c>
      <x:c r="U137" t="str">
        <x:f>IF(OR(R137="",T137=""),"",R137*T137)</x:f>
      </x:c>
      <x:c r="V137" t="str">
        <x:f>IF(U137="","",IF(U137&gt;=24,"MUY ALTO",IF(U137&gt;=10,"ALTO",IF(U137&gt;=6,"MEDIO","BAJO"))))</x:f>
      </x:c>
      <x:c r="W137" t="str"/>
      <x:c r="X137" t="str">
        <x:f>IFERROR(VLOOKUP(W137,Catalogos!$G:$H,2,FALSE),"")</x:f>
      </x:c>
      <x:c r="Y137" t="str">
        <x:f>IF(OR(U137="",X137=""),"",U137*X137)</x:f>
      </x:c>
      <x:c r="Z137" t="str">
        <x:f>IF(Y137="","",IF(Y137&gt;=600,"I - Situación crítica. Suspender actividades hasta que el riesgo esté bajo control. Intervención urgente.",IF(Y137&gt;=150,"II - Corregir y adoptar medidas de control de inmediato.",IF(Y137&gt;=40,"III - Mejorar si es posible. Conviene justificar la intervención y su rentabilidad.","IV - Mantener controles existentes."))))</x:f>
      </x:c>
      <x:c r="AA137" t="str">
        <x:f>IF(Y137="","",IF(Y137&gt;=600,"No aceptable",IF(Y137&gt;=150,"No aceptable / Aceptable con control específico","Aceptable")))</x:f>
      </x:c>
      <x:c r="AB137" s="12" t="str"/>
      <x:c r="AC137" s="12" t="str"/>
      <x:c r="AD137" s="12" t="str"/>
      <x:c r="AE137" s="12" t="str"/>
      <x:c r="AF137" s="12" t="str"/>
      <x:c r="AG137" s="12" t="str"/>
      <x:c r="AH137" s="16" t="str"/>
      <x:c r="AI137" s="12" t="str"/>
    </x:row>
    <x:row r="138">
      <x:c r="A138" t="str"/>
      <x:c r="B138" t="str"/>
      <x:c r="C138" t="str"/>
      <x:c r="D138" s="12" t="str"/>
      <x:c r="E138" s="12" t="str"/>
      <x:c r="F138" s="12" t="str"/>
      <x:c r="G138" s="12" t="str"/>
      <x:c r="H138" s="12" t="str"/>
      <x:c r="I138" s="12" t="str"/>
      <x:c r="J138" s="12" t="str"/>
      <x:c r="K138" s="12" t="str"/>
      <x:c r="L138" s="12" t="str"/>
      <x:c r="M138" s="12" t="str"/>
      <x:c r="N138" s="12" t="str"/>
      <x:c r="O138" s="12" t="str"/>
      <x:c r="P138" t="str"/>
      <x:c r="Q138" t="str"/>
      <x:c r="R138" t="str">
        <x:f>IFERROR(VLOOKUP(Q138,Catalogos!$G:$H,2,FALSE),"")</x:f>
      </x:c>
      <x:c r="S138" t="str"/>
      <x:c r="T138" t="str">
        <x:f>IFERROR(VLOOKUP(S138,Catalogos!$I:$J,2,FALSE),"")</x:f>
      </x:c>
      <x:c r="U138" t="str">
        <x:f>IF(OR(R138="",T138=""),"",R138*T138)</x:f>
      </x:c>
      <x:c r="V138" t="str">
        <x:f>IF(U138="","",IF(U138&gt;=24,"MUY ALTO",IF(U138&gt;=10,"ALTO",IF(U138&gt;=6,"MEDIO","BAJO"))))</x:f>
      </x:c>
      <x:c r="W138" t="str"/>
      <x:c r="X138" t="str">
        <x:f>IFERROR(VLOOKUP(W138,Catalogos!$G:$H,2,FALSE),"")</x:f>
      </x:c>
      <x:c r="Y138" t="str">
        <x:f>IF(OR(U138="",X138=""),"",U138*X138)</x:f>
      </x:c>
      <x:c r="Z138" t="str">
        <x:f>IF(Y138="","",IF(Y138&gt;=600,"I - Situación crítica. Suspender actividades hasta que el riesgo esté bajo control. Intervención urgente.",IF(Y138&gt;=150,"II - Corregir y adoptar medidas de control de inmediato.",IF(Y138&gt;=40,"III - Mejorar si es posible. Conviene justificar la intervención y su rentabilidad.","IV - Mantener controles existentes."))))</x:f>
      </x:c>
      <x:c r="AA138" t="str">
        <x:f>IF(Y138="","",IF(Y138&gt;=600,"No aceptable",IF(Y138&gt;=150,"No aceptable / Aceptable con control específico","Aceptable")))</x:f>
      </x:c>
      <x:c r="AB138" s="12" t="str"/>
      <x:c r="AC138" s="12" t="str"/>
      <x:c r="AD138" s="12" t="str"/>
      <x:c r="AE138" s="12" t="str"/>
      <x:c r="AF138" s="12" t="str"/>
      <x:c r="AG138" s="12" t="str"/>
      <x:c r="AH138" s="16" t="str"/>
      <x:c r="AI138" s="12" t="str"/>
    </x:row>
    <x:row r="139">
      <x:c r="A139" t="str"/>
      <x:c r="B139" t="str"/>
      <x:c r="C139" t="str"/>
      <x:c r="D139" s="12" t="str"/>
      <x:c r="E139" s="12" t="str"/>
      <x:c r="F139" s="12" t="str"/>
      <x:c r="G139" s="12" t="str"/>
      <x:c r="H139" s="12" t="str"/>
      <x:c r="I139" s="12" t="str"/>
      <x:c r="J139" s="12" t="str"/>
      <x:c r="K139" s="12" t="str"/>
      <x:c r="L139" s="12" t="str"/>
      <x:c r="M139" s="12" t="str"/>
      <x:c r="N139" s="12" t="str"/>
      <x:c r="O139" s="12" t="str"/>
      <x:c r="P139" t="str"/>
      <x:c r="Q139" t="str"/>
      <x:c r="R139" t="str">
        <x:f>IFERROR(VLOOKUP(Q139,Catalogos!$G:$H,2,FALSE),"")</x:f>
      </x:c>
      <x:c r="S139" t="str"/>
      <x:c r="T139" t="str">
        <x:f>IFERROR(VLOOKUP(S139,Catalogos!$I:$J,2,FALSE),"")</x:f>
      </x:c>
      <x:c r="U139" t="str">
        <x:f>IF(OR(R139="",T139=""),"",R139*T139)</x:f>
      </x:c>
      <x:c r="V139" t="str">
        <x:f>IF(U139="","",IF(U139&gt;=24,"MUY ALTO",IF(U139&gt;=10,"ALTO",IF(U139&gt;=6,"MEDIO","BAJO"))))</x:f>
      </x:c>
      <x:c r="W139" t="str"/>
      <x:c r="X139" t="str">
        <x:f>IFERROR(VLOOKUP(W139,Catalogos!$G:$H,2,FALSE),"")</x:f>
      </x:c>
      <x:c r="Y139" t="str">
        <x:f>IF(OR(U139="",X139=""),"",U139*X139)</x:f>
      </x:c>
      <x:c r="Z139" t="str">
        <x:f>IF(Y139="","",IF(Y139&gt;=600,"I - Situación crítica. Suspender actividades hasta que el riesgo esté bajo control. Intervención urgente.",IF(Y139&gt;=150,"II - Corregir y adoptar medidas de control de inmediato.",IF(Y139&gt;=40,"III - Mejorar si es posible. Conviene justificar la intervención y su rentabilidad.","IV - Mantener controles existentes."))))</x:f>
      </x:c>
      <x:c r="AA139" t="str">
        <x:f>IF(Y139="","",IF(Y139&gt;=600,"No aceptable",IF(Y139&gt;=150,"No aceptable / Aceptable con control específico","Aceptable")))</x:f>
      </x:c>
      <x:c r="AB139" s="12" t="str"/>
      <x:c r="AC139" s="12" t="str"/>
      <x:c r="AD139" s="12" t="str"/>
      <x:c r="AE139" s="12" t="str"/>
      <x:c r="AF139" s="12" t="str"/>
      <x:c r="AG139" s="12" t="str"/>
      <x:c r="AH139" s="16" t="str"/>
      <x:c r="AI139" s="12" t="str"/>
    </x:row>
    <x:row r="140">
      <x:c r="A140" t="str"/>
      <x:c r="B140" t="str"/>
      <x:c r="C140" t="str"/>
      <x:c r="D140" s="12" t="str"/>
      <x:c r="E140" s="12" t="str"/>
      <x:c r="F140" s="12" t="str"/>
      <x:c r="G140" s="12" t="str"/>
      <x:c r="H140" s="12" t="str"/>
      <x:c r="I140" s="12" t="str"/>
      <x:c r="J140" s="12" t="str"/>
      <x:c r="K140" s="12" t="str"/>
      <x:c r="L140" s="12" t="str"/>
      <x:c r="M140" s="12" t="str"/>
      <x:c r="N140" s="12" t="str"/>
      <x:c r="O140" s="12" t="str"/>
      <x:c r="P140" t="str"/>
      <x:c r="Q140" t="str"/>
      <x:c r="R140" t="str">
        <x:f>IFERROR(VLOOKUP(Q140,Catalogos!$G:$H,2,FALSE),"")</x:f>
      </x:c>
      <x:c r="S140" t="str"/>
      <x:c r="T140" t="str">
        <x:f>IFERROR(VLOOKUP(S140,Catalogos!$I:$J,2,FALSE),"")</x:f>
      </x:c>
      <x:c r="U140" t="str">
        <x:f>IF(OR(R140="",T140=""),"",R140*T140)</x:f>
      </x:c>
      <x:c r="V140" t="str">
        <x:f>IF(U140="","",IF(U140&gt;=24,"MUY ALTO",IF(U140&gt;=10,"ALTO",IF(U140&gt;=6,"MEDIO","BAJO"))))</x:f>
      </x:c>
      <x:c r="W140" t="str"/>
      <x:c r="X140" t="str">
        <x:f>IFERROR(VLOOKUP(W140,Catalogos!$G:$H,2,FALSE),"")</x:f>
      </x:c>
      <x:c r="Y140" t="str">
        <x:f>IF(OR(U140="",X140=""),"",U140*X140)</x:f>
      </x:c>
      <x:c r="Z140" t="str">
        <x:f>IF(Y140="","",IF(Y140&gt;=600,"I - Situación crítica. Suspender actividades hasta que el riesgo esté bajo control. Intervención urgente.",IF(Y140&gt;=150,"II - Corregir y adoptar medidas de control de inmediato.",IF(Y140&gt;=40,"III - Mejorar si es posible. Conviene justificar la intervención y su rentabilidad.","IV - Mantener controles existentes."))))</x:f>
      </x:c>
      <x:c r="AA140" t="str">
        <x:f>IF(Y140="","",IF(Y140&gt;=600,"No aceptable",IF(Y140&gt;=150,"No aceptable / Aceptable con control específico","Aceptable")))</x:f>
      </x:c>
      <x:c r="AB140" s="12" t="str"/>
      <x:c r="AC140" s="12" t="str"/>
      <x:c r="AD140" s="12" t="str"/>
      <x:c r="AE140" s="12" t="str"/>
      <x:c r="AF140" s="12" t="str"/>
      <x:c r="AG140" s="12" t="str"/>
      <x:c r="AH140" s="16" t="str"/>
      <x:c r="AI140" s="12" t="str"/>
    </x:row>
    <x:row r="141">
      <x:c r="A141" t="str"/>
      <x:c r="B141" t="str"/>
      <x:c r="C141" t="str"/>
      <x:c r="D141" s="12" t="str"/>
      <x:c r="E141" s="12" t="str"/>
      <x:c r="F141" s="12" t="str"/>
      <x:c r="G141" s="12" t="str"/>
      <x:c r="H141" s="12" t="str"/>
      <x:c r="I141" s="12" t="str"/>
      <x:c r="J141" s="12" t="str"/>
      <x:c r="K141" s="12" t="str"/>
      <x:c r="L141" s="12" t="str"/>
      <x:c r="M141" s="12" t="str"/>
      <x:c r="N141" s="12" t="str"/>
      <x:c r="O141" s="12" t="str"/>
      <x:c r="P141" t="str"/>
      <x:c r="Q141" t="str"/>
      <x:c r="R141" t="str">
        <x:f>IFERROR(VLOOKUP(Q141,Catalogos!$G:$H,2,FALSE),"")</x:f>
      </x:c>
      <x:c r="S141" t="str"/>
      <x:c r="T141" t="str">
        <x:f>IFERROR(VLOOKUP(S141,Catalogos!$I:$J,2,FALSE),"")</x:f>
      </x:c>
      <x:c r="U141" t="str">
        <x:f>IF(OR(R141="",T141=""),"",R141*T141)</x:f>
      </x:c>
      <x:c r="V141" t="str">
        <x:f>IF(U141="","",IF(U141&gt;=24,"MUY ALTO",IF(U141&gt;=10,"ALTO",IF(U141&gt;=6,"MEDIO","BAJO"))))</x:f>
      </x:c>
      <x:c r="W141" t="str"/>
      <x:c r="X141" t="str">
        <x:f>IFERROR(VLOOKUP(W141,Catalogos!$G:$H,2,FALSE),"")</x:f>
      </x:c>
      <x:c r="Y141" t="str">
        <x:f>IF(OR(U141="",X141=""),"",U141*X141)</x:f>
      </x:c>
      <x:c r="Z141" t="str">
        <x:f>IF(Y141="","",IF(Y141&gt;=600,"I - Situación crítica. Suspender actividades hasta que el riesgo esté bajo control. Intervención urgente.",IF(Y141&gt;=150,"II - Corregir y adoptar medidas de control de inmediato.",IF(Y141&gt;=40,"III - Mejorar si es posible. Conviene justificar la intervención y su rentabilidad.","IV - Mantener controles existentes."))))</x:f>
      </x:c>
      <x:c r="AA141" t="str">
        <x:f>IF(Y141="","",IF(Y141&gt;=600,"No aceptable",IF(Y141&gt;=150,"No aceptable / Aceptable con control específico","Aceptable")))</x:f>
      </x:c>
      <x:c r="AB141" s="12" t="str"/>
      <x:c r="AC141" s="12" t="str"/>
      <x:c r="AD141" s="12" t="str"/>
      <x:c r="AE141" s="12" t="str"/>
      <x:c r="AF141" s="12" t="str"/>
      <x:c r="AG141" s="12" t="str"/>
      <x:c r="AH141" s="16" t="str"/>
      <x:c r="AI141" s="12" t="str"/>
    </x:row>
    <x:row r="142">
      <x:c r="A142" t="str"/>
      <x:c r="B142" t="str"/>
      <x:c r="C142" t="str"/>
      <x:c r="D142" s="12" t="str"/>
      <x:c r="E142" s="12" t="str"/>
      <x:c r="F142" s="12" t="str"/>
      <x:c r="G142" s="12" t="str"/>
      <x:c r="H142" s="12" t="str"/>
      <x:c r="I142" s="12" t="str"/>
      <x:c r="J142" s="12" t="str"/>
      <x:c r="K142" s="12" t="str"/>
      <x:c r="L142" s="12" t="str"/>
      <x:c r="M142" s="12" t="str"/>
      <x:c r="N142" s="12" t="str"/>
      <x:c r="O142" s="12" t="str"/>
      <x:c r="P142" t="str"/>
      <x:c r="Q142" t="str"/>
      <x:c r="R142" t="str">
        <x:f>IFERROR(VLOOKUP(Q142,Catalogos!$G:$H,2,FALSE),"")</x:f>
      </x:c>
      <x:c r="S142" t="str"/>
      <x:c r="T142" t="str">
        <x:f>IFERROR(VLOOKUP(S142,Catalogos!$I:$J,2,FALSE),"")</x:f>
      </x:c>
      <x:c r="U142" t="str">
        <x:f>IF(OR(R142="",T142=""),"",R142*T142)</x:f>
      </x:c>
      <x:c r="V142" t="str">
        <x:f>IF(U142="","",IF(U142&gt;=24,"MUY ALTO",IF(U142&gt;=10,"ALTO",IF(U142&gt;=6,"MEDIO","BAJO"))))</x:f>
      </x:c>
      <x:c r="W142" t="str"/>
      <x:c r="X142" t="str">
        <x:f>IFERROR(VLOOKUP(W142,Catalogos!$G:$H,2,FALSE),"")</x:f>
      </x:c>
      <x:c r="Y142" t="str">
        <x:f>IF(OR(U142="",X142=""),"",U142*X142)</x:f>
      </x:c>
      <x:c r="Z142" t="str">
        <x:f>IF(Y142="","",IF(Y142&gt;=600,"I - Situación crítica. Suspender actividades hasta que el riesgo esté bajo control. Intervención urgente.",IF(Y142&gt;=150,"II - Corregir y adoptar medidas de control de inmediato.",IF(Y142&gt;=40,"III - Mejorar si es posible. Conviene justificar la intervención y su rentabilidad.","IV - Mantener controles existentes."))))</x:f>
      </x:c>
      <x:c r="AA142" t="str">
        <x:f>IF(Y142="","",IF(Y142&gt;=600,"No aceptable",IF(Y142&gt;=150,"No aceptable / Aceptable con control específico","Aceptable")))</x:f>
      </x:c>
      <x:c r="AB142" s="12" t="str"/>
      <x:c r="AC142" s="12" t="str"/>
      <x:c r="AD142" s="12" t="str"/>
      <x:c r="AE142" s="12" t="str"/>
      <x:c r="AF142" s="12" t="str"/>
      <x:c r="AG142" s="12" t="str"/>
      <x:c r="AH142" s="16" t="str"/>
      <x:c r="AI142" s="12" t="str"/>
    </x:row>
    <x:row r="143">
      <x:c r="A143" t="str"/>
      <x:c r="B143" t="str"/>
      <x:c r="C143" t="str"/>
      <x:c r="D143" s="12" t="str"/>
      <x:c r="E143" s="12" t="str"/>
      <x:c r="F143" s="12" t="str"/>
      <x:c r="G143" s="12" t="str"/>
      <x:c r="H143" s="12" t="str"/>
      <x:c r="I143" s="12" t="str"/>
      <x:c r="J143" s="12" t="str"/>
      <x:c r="K143" s="12" t="str"/>
      <x:c r="L143" s="12" t="str"/>
      <x:c r="M143" s="12" t="str"/>
      <x:c r="N143" s="12" t="str"/>
      <x:c r="O143" s="12" t="str"/>
      <x:c r="P143" t="str"/>
      <x:c r="Q143" t="str"/>
      <x:c r="R143" t="str">
        <x:f>IFERROR(VLOOKUP(Q143,Catalogos!$G:$H,2,FALSE),"")</x:f>
      </x:c>
      <x:c r="S143" t="str"/>
      <x:c r="T143" t="str">
        <x:f>IFERROR(VLOOKUP(S143,Catalogos!$I:$J,2,FALSE),"")</x:f>
      </x:c>
      <x:c r="U143" t="str">
        <x:f>IF(OR(R143="",T143=""),"",R143*T143)</x:f>
      </x:c>
      <x:c r="V143" t="str">
        <x:f>IF(U143="","",IF(U143&gt;=24,"MUY ALTO",IF(U143&gt;=10,"ALTO",IF(U143&gt;=6,"MEDIO","BAJO"))))</x:f>
      </x:c>
      <x:c r="W143" t="str"/>
      <x:c r="X143" t="str">
        <x:f>IFERROR(VLOOKUP(W143,Catalogos!$G:$H,2,FALSE),"")</x:f>
      </x:c>
      <x:c r="Y143" t="str">
        <x:f>IF(OR(U143="",X143=""),"",U143*X143)</x:f>
      </x:c>
      <x:c r="Z143" t="str">
        <x:f>IF(Y143="","",IF(Y143&gt;=600,"I - Situación crítica. Suspender actividades hasta que el riesgo esté bajo control. Intervención urgente.",IF(Y143&gt;=150,"II - Corregir y adoptar medidas de control de inmediato.",IF(Y143&gt;=40,"III - Mejorar si es posible. Conviene justificar la intervención y su rentabilidad.","IV - Mantener controles existentes."))))</x:f>
      </x:c>
      <x:c r="AA143" t="str">
        <x:f>IF(Y143="","",IF(Y143&gt;=600,"No aceptable",IF(Y143&gt;=150,"No aceptable / Aceptable con control específico","Aceptable")))</x:f>
      </x:c>
      <x:c r="AB143" s="12" t="str"/>
      <x:c r="AC143" s="12" t="str"/>
      <x:c r="AD143" s="12" t="str"/>
      <x:c r="AE143" s="12" t="str"/>
      <x:c r="AF143" s="12" t="str"/>
      <x:c r="AG143" s="12" t="str"/>
      <x:c r="AH143" s="16" t="str"/>
      <x:c r="AI143" s="12" t="str"/>
    </x:row>
    <x:row r="144">
      <x:c r="A144" t="str"/>
      <x:c r="B144" t="str"/>
      <x:c r="C144" t="str"/>
      <x:c r="D144" s="12" t="str"/>
      <x:c r="E144" s="12" t="str"/>
      <x:c r="F144" s="12" t="str"/>
      <x:c r="G144" s="12" t="str"/>
      <x:c r="H144" s="12" t="str"/>
      <x:c r="I144" s="12" t="str"/>
      <x:c r="J144" s="12" t="str"/>
      <x:c r="K144" s="12" t="str"/>
      <x:c r="L144" s="12" t="str"/>
      <x:c r="M144" s="12" t="str"/>
      <x:c r="N144" s="12" t="str"/>
      <x:c r="O144" s="12" t="str"/>
      <x:c r="P144" t="str"/>
      <x:c r="Q144" t="str"/>
      <x:c r="R144" t="str">
        <x:f>IFERROR(VLOOKUP(Q144,Catalogos!$G:$H,2,FALSE),"")</x:f>
      </x:c>
      <x:c r="S144" t="str"/>
      <x:c r="T144" t="str">
        <x:f>IFERROR(VLOOKUP(S144,Catalogos!$I:$J,2,FALSE),"")</x:f>
      </x:c>
      <x:c r="U144" t="str">
        <x:f>IF(OR(R144="",T144=""),"",R144*T144)</x:f>
      </x:c>
      <x:c r="V144" t="str">
        <x:f>IF(U144="","",IF(U144&gt;=24,"MUY ALTO",IF(U144&gt;=10,"ALTO",IF(U144&gt;=6,"MEDIO","BAJO"))))</x:f>
      </x:c>
      <x:c r="W144" t="str"/>
      <x:c r="X144" t="str">
        <x:f>IFERROR(VLOOKUP(W144,Catalogos!$G:$H,2,FALSE),"")</x:f>
      </x:c>
      <x:c r="Y144" t="str">
        <x:f>IF(OR(U144="",X144=""),"",U144*X144)</x:f>
      </x:c>
      <x:c r="Z144" t="str">
        <x:f>IF(Y144="","",IF(Y144&gt;=600,"I - Situación crítica. Suspender actividades hasta que el riesgo esté bajo control. Intervención urgente.",IF(Y144&gt;=150,"II - Corregir y adoptar medidas de control de inmediato.",IF(Y144&gt;=40,"III - Mejorar si es posible. Conviene justificar la intervención y su rentabilidad.","IV - Mantener controles existentes."))))</x:f>
      </x:c>
      <x:c r="AA144" t="str">
        <x:f>IF(Y144="","",IF(Y144&gt;=600,"No aceptable",IF(Y144&gt;=150,"No aceptable / Aceptable con control específico","Aceptable")))</x:f>
      </x:c>
      <x:c r="AB144" s="12" t="str"/>
      <x:c r="AC144" s="12" t="str"/>
      <x:c r="AD144" s="12" t="str"/>
      <x:c r="AE144" s="12" t="str"/>
      <x:c r="AF144" s="12" t="str"/>
      <x:c r="AG144" s="12" t="str"/>
      <x:c r="AH144" s="16" t="str"/>
      <x:c r="AI144" s="12" t="str"/>
    </x:row>
    <x:row r="145">
      <x:c r="A145" t="str"/>
      <x:c r="B145" t="str"/>
      <x:c r="C145" t="str"/>
      <x:c r="D145" s="12" t="str"/>
      <x:c r="E145" s="12" t="str"/>
      <x:c r="F145" s="12" t="str"/>
      <x:c r="G145" s="12" t="str"/>
      <x:c r="H145" s="12" t="str"/>
      <x:c r="I145" s="12" t="str"/>
      <x:c r="J145" s="12" t="str"/>
      <x:c r="K145" s="12" t="str"/>
      <x:c r="L145" s="12" t="str"/>
      <x:c r="M145" s="12" t="str"/>
      <x:c r="N145" s="12" t="str"/>
      <x:c r="O145" s="12" t="str"/>
      <x:c r="P145" t="str"/>
      <x:c r="Q145" t="str"/>
      <x:c r="R145" t="str">
        <x:f>IFERROR(VLOOKUP(Q145,Catalogos!$G:$H,2,FALSE),"")</x:f>
      </x:c>
      <x:c r="S145" t="str"/>
      <x:c r="T145" t="str">
        <x:f>IFERROR(VLOOKUP(S145,Catalogos!$I:$J,2,FALSE),"")</x:f>
      </x:c>
      <x:c r="U145" t="str">
        <x:f>IF(OR(R145="",T145=""),"",R145*T145)</x:f>
      </x:c>
      <x:c r="V145" t="str">
        <x:f>IF(U145="","",IF(U145&gt;=24,"MUY ALTO",IF(U145&gt;=10,"ALTO",IF(U145&gt;=6,"MEDIO","BAJO"))))</x:f>
      </x:c>
      <x:c r="W145" t="str"/>
      <x:c r="X145" t="str">
        <x:f>IFERROR(VLOOKUP(W145,Catalogos!$G:$H,2,FALSE),"")</x:f>
      </x:c>
      <x:c r="Y145" t="str">
        <x:f>IF(OR(U145="",X145=""),"",U145*X145)</x:f>
      </x:c>
      <x:c r="Z145" t="str">
        <x:f>IF(Y145="","",IF(Y145&gt;=600,"I - Situación crítica. Suspender actividades hasta que el riesgo esté bajo control. Intervención urgente.",IF(Y145&gt;=150,"II - Corregir y adoptar medidas de control de inmediato.",IF(Y145&gt;=40,"III - Mejorar si es posible. Conviene justificar la intervención y su rentabilidad.","IV - Mantener controles existentes."))))</x:f>
      </x:c>
      <x:c r="AA145" t="str">
        <x:f>IF(Y145="","",IF(Y145&gt;=600,"No aceptable",IF(Y145&gt;=150,"No aceptable / Aceptable con control específico","Aceptable")))</x:f>
      </x:c>
      <x:c r="AB145" s="12" t="str"/>
      <x:c r="AC145" s="12" t="str"/>
      <x:c r="AD145" s="12" t="str"/>
      <x:c r="AE145" s="12" t="str"/>
      <x:c r="AF145" s="12" t="str"/>
      <x:c r="AG145" s="12" t="str"/>
      <x:c r="AH145" s="16" t="str"/>
      <x:c r="AI145" s="12" t="str"/>
    </x:row>
    <x:row r="146">
      <x:c r="A146" t="str"/>
      <x:c r="B146" t="str"/>
      <x:c r="C146" t="str"/>
      <x:c r="D146" s="12" t="str"/>
      <x:c r="E146" s="12" t="str"/>
      <x:c r="F146" s="12" t="str"/>
      <x:c r="G146" s="12" t="str"/>
      <x:c r="H146" s="12" t="str"/>
      <x:c r="I146" s="12" t="str"/>
      <x:c r="J146" s="12" t="str"/>
      <x:c r="K146" s="12" t="str"/>
      <x:c r="L146" s="12" t="str"/>
      <x:c r="M146" s="12" t="str"/>
      <x:c r="N146" s="12" t="str"/>
      <x:c r="O146" s="12" t="str"/>
      <x:c r="P146" t="str"/>
      <x:c r="Q146" t="str"/>
      <x:c r="R146" t="str">
        <x:f>IFERROR(VLOOKUP(Q146,Catalogos!$G:$H,2,FALSE),"")</x:f>
      </x:c>
      <x:c r="S146" t="str"/>
      <x:c r="T146" t="str">
        <x:f>IFERROR(VLOOKUP(S146,Catalogos!$I:$J,2,FALSE),"")</x:f>
      </x:c>
      <x:c r="U146" t="str">
        <x:f>IF(OR(R146="",T146=""),"",R146*T146)</x:f>
      </x:c>
      <x:c r="V146" t="str">
        <x:f>IF(U146="","",IF(U146&gt;=24,"MUY ALTO",IF(U146&gt;=10,"ALTO",IF(U146&gt;=6,"MEDIO","BAJO"))))</x:f>
      </x:c>
      <x:c r="W146" t="str"/>
      <x:c r="X146" t="str">
        <x:f>IFERROR(VLOOKUP(W146,Catalogos!$G:$H,2,FALSE),"")</x:f>
      </x:c>
      <x:c r="Y146" t="str">
        <x:f>IF(OR(U146="",X146=""),"",U146*X146)</x:f>
      </x:c>
      <x:c r="Z146" t="str">
        <x:f>IF(Y146="","",IF(Y146&gt;=600,"I - Situación crítica. Suspender actividades hasta que el riesgo esté bajo control. Intervención urgente.",IF(Y146&gt;=150,"II - Corregir y adoptar medidas de control de inmediato.",IF(Y146&gt;=40,"III - Mejorar si es posible. Conviene justificar la intervención y su rentabilidad.","IV - Mantener controles existentes."))))</x:f>
      </x:c>
      <x:c r="AA146" t="str">
        <x:f>IF(Y146="","",IF(Y146&gt;=600,"No aceptable",IF(Y146&gt;=150,"No aceptable / Aceptable con control específico","Aceptable")))</x:f>
      </x:c>
      <x:c r="AB146" s="12" t="str"/>
      <x:c r="AC146" s="12" t="str"/>
      <x:c r="AD146" s="12" t="str"/>
      <x:c r="AE146" s="12" t="str"/>
      <x:c r="AF146" s="12" t="str"/>
      <x:c r="AG146" s="12" t="str"/>
      <x:c r="AH146" s="16" t="str"/>
      <x:c r="AI146" s="12" t="str"/>
    </x:row>
    <x:row r="147">
      <x:c r="A147" t="str"/>
      <x:c r="B147" t="str"/>
      <x:c r="C147" t="str"/>
      <x:c r="D147" s="12" t="str"/>
      <x:c r="E147" s="12" t="str"/>
      <x:c r="F147" s="12" t="str"/>
      <x:c r="G147" s="12" t="str"/>
      <x:c r="H147" s="12" t="str"/>
      <x:c r="I147" s="12" t="str"/>
      <x:c r="J147" s="12" t="str"/>
      <x:c r="K147" s="12" t="str"/>
      <x:c r="L147" s="12" t="str"/>
      <x:c r="M147" s="12" t="str"/>
      <x:c r="N147" s="12" t="str"/>
      <x:c r="O147" s="12" t="str"/>
      <x:c r="P147" t="str"/>
      <x:c r="Q147" t="str"/>
      <x:c r="R147" t="str">
        <x:f>IFERROR(VLOOKUP(Q147,Catalogos!$G:$H,2,FALSE),"")</x:f>
      </x:c>
      <x:c r="S147" t="str"/>
      <x:c r="T147" t="str">
        <x:f>IFERROR(VLOOKUP(S147,Catalogos!$I:$J,2,FALSE),"")</x:f>
      </x:c>
      <x:c r="U147" t="str">
        <x:f>IF(OR(R147="",T147=""),"",R147*T147)</x:f>
      </x:c>
      <x:c r="V147" t="str">
        <x:f>IF(U147="","",IF(U147&gt;=24,"MUY ALTO",IF(U147&gt;=10,"ALTO",IF(U147&gt;=6,"MEDIO","BAJO"))))</x:f>
      </x:c>
      <x:c r="W147" t="str"/>
      <x:c r="X147" t="str">
        <x:f>IFERROR(VLOOKUP(W147,Catalogos!$G:$H,2,FALSE),"")</x:f>
      </x:c>
      <x:c r="Y147" t="str">
        <x:f>IF(OR(U147="",X147=""),"",U147*X147)</x:f>
      </x:c>
      <x:c r="Z147" t="str">
        <x:f>IF(Y147="","",IF(Y147&gt;=600,"I - Situación crítica. Suspender actividades hasta que el riesgo esté bajo control. Intervención urgente.",IF(Y147&gt;=150,"II - Corregir y adoptar medidas de control de inmediato.",IF(Y147&gt;=40,"III - Mejorar si es posible. Conviene justificar la intervención y su rentabilidad.","IV - Mantener controles existentes."))))</x:f>
      </x:c>
      <x:c r="AA147" t="str">
        <x:f>IF(Y147="","",IF(Y147&gt;=600,"No aceptable",IF(Y147&gt;=150,"No aceptable / Aceptable con control específico","Aceptable")))</x:f>
      </x:c>
      <x:c r="AB147" s="12" t="str"/>
      <x:c r="AC147" s="12" t="str"/>
      <x:c r="AD147" s="12" t="str"/>
      <x:c r="AE147" s="12" t="str"/>
      <x:c r="AF147" s="12" t="str"/>
      <x:c r="AG147" s="12" t="str"/>
      <x:c r="AH147" s="16" t="str"/>
      <x:c r="AI147" s="12" t="str"/>
    </x:row>
    <x:row r="148">
      <x:c r="A148" t="str"/>
      <x:c r="B148" t="str"/>
      <x:c r="C148" t="str"/>
      <x:c r="D148" s="12" t="str"/>
      <x:c r="E148" s="12" t="str"/>
      <x:c r="F148" s="12" t="str"/>
      <x:c r="G148" s="12" t="str"/>
      <x:c r="H148" s="12" t="str"/>
      <x:c r="I148" s="12" t="str"/>
      <x:c r="J148" s="12" t="str"/>
      <x:c r="K148" s="12" t="str"/>
      <x:c r="L148" s="12" t="str"/>
      <x:c r="M148" s="12" t="str"/>
      <x:c r="N148" s="12" t="str"/>
      <x:c r="O148" s="12" t="str"/>
      <x:c r="P148" t="str"/>
      <x:c r="Q148" t="str"/>
      <x:c r="R148" t="str">
        <x:f>IFERROR(VLOOKUP(Q148,Catalogos!$G:$H,2,FALSE),"")</x:f>
      </x:c>
      <x:c r="S148" t="str"/>
      <x:c r="T148" t="str">
        <x:f>IFERROR(VLOOKUP(S148,Catalogos!$I:$J,2,FALSE),"")</x:f>
      </x:c>
      <x:c r="U148" t="str">
        <x:f>IF(OR(R148="",T148=""),"",R148*T148)</x:f>
      </x:c>
      <x:c r="V148" t="str">
        <x:f>IF(U148="","",IF(U148&gt;=24,"MUY ALTO",IF(U148&gt;=10,"ALTO",IF(U148&gt;=6,"MEDIO","BAJO"))))</x:f>
      </x:c>
      <x:c r="W148" t="str"/>
      <x:c r="X148" t="str">
        <x:f>IFERROR(VLOOKUP(W148,Catalogos!$G:$H,2,FALSE),"")</x:f>
      </x:c>
      <x:c r="Y148" t="str">
        <x:f>IF(OR(U148="",X148=""),"",U148*X148)</x:f>
      </x:c>
      <x:c r="Z148" t="str">
        <x:f>IF(Y148="","",IF(Y148&gt;=600,"I - Situación crítica. Suspender actividades hasta que el riesgo esté bajo control. Intervención urgente.",IF(Y148&gt;=150,"II - Corregir y adoptar medidas de control de inmediato.",IF(Y148&gt;=40,"III - Mejorar si es posible. Conviene justificar la intervención y su rentabilidad.","IV - Mantener controles existentes."))))</x:f>
      </x:c>
      <x:c r="AA148" t="str">
        <x:f>IF(Y148="","",IF(Y148&gt;=600,"No aceptable",IF(Y148&gt;=150,"No aceptable / Aceptable con control específico","Aceptable")))</x:f>
      </x:c>
      <x:c r="AB148" s="12" t="str"/>
      <x:c r="AC148" s="12" t="str"/>
      <x:c r="AD148" s="12" t="str"/>
      <x:c r="AE148" s="12" t="str"/>
      <x:c r="AF148" s="12" t="str"/>
      <x:c r="AG148" s="12" t="str"/>
      <x:c r="AH148" s="16" t="str"/>
      <x:c r="AI148" s="12" t="str"/>
    </x:row>
    <x:row r="149">
      <x:c r="A149" t="str"/>
      <x:c r="B149" t="str"/>
      <x:c r="C149" t="str"/>
      <x:c r="D149" s="12" t="str"/>
      <x:c r="E149" s="12" t="str"/>
      <x:c r="F149" s="12" t="str"/>
      <x:c r="G149" s="12" t="str"/>
      <x:c r="H149" s="12" t="str"/>
      <x:c r="I149" s="12" t="str"/>
      <x:c r="J149" s="12" t="str"/>
      <x:c r="K149" s="12" t="str"/>
      <x:c r="L149" s="12" t="str"/>
      <x:c r="M149" s="12" t="str"/>
      <x:c r="N149" s="12" t="str"/>
      <x:c r="O149" s="12" t="str"/>
      <x:c r="P149" t="str"/>
      <x:c r="Q149" t="str"/>
      <x:c r="R149" t="str">
        <x:f>IFERROR(VLOOKUP(Q149,Catalogos!$G:$H,2,FALSE),"")</x:f>
      </x:c>
      <x:c r="S149" t="str"/>
      <x:c r="T149" t="str">
        <x:f>IFERROR(VLOOKUP(S149,Catalogos!$I:$J,2,FALSE),"")</x:f>
      </x:c>
      <x:c r="U149" t="str">
        <x:f>IF(OR(R149="",T149=""),"",R149*T149)</x:f>
      </x:c>
      <x:c r="V149" t="str">
        <x:f>IF(U149="","",IF(U149&gt;=24,"MUY ALTO",IF(U149&gt;=10,"ALTO",IF(U149&gt;=6,"MEDIO","BAJO"))))</x:f>
      </x:c>
      <x:c r="W149" t="str"/>
      <x:c r="X149" t="str">
        <x:f>IFERROR(VLOOKUP(W149,Catalogos!$G:$H,2,FALSE),"")</x:f>
      </x:c>
      <x:c r="Y149" t="str">
        <x:f>IF(OR(U149="",X149=""),"",U149*X149)</x:f>
      </x:c>
      <x:c r="Z149" t="str">
        <x:f>IF(Y149="","",IF(Y149&gt;=600,"I - Situación crítica. Suspender actividades hasta que el riesgo esté bajo control. Intervención urgente.",IF(Y149&gt;=150,"II - Corregir y adoptar medidas de control de inmediato.",IF(Y149&gt;=40,"III - Mejorar si es posible. Conviene justificar la intervención y su rentabilidad.","IV - Mantener controles existentes."))))</x:f>
      </x:c>
      <x:c r="AA149" t="str">
        <x:f>IF(Y149="","",IF(Y149&gt;=600,"No aceptable",IF(Y149&gt;=150,"No aceptable / Aceptable con control específico","Aceptable")))</x:f>
      </x:c>
      <x:c r="AB149" s="12" t="str"/>
      <x:c r="AC149" s="12" t="str"/>
      <x:c r="AD149" s="12" t="str"/>
      <x:c r="AE149" s="12" t="str"/>
      <x:c r="AF149" s="12" t="str"/>
      <x:c r="AG149" s="12" t="str"/>
      <x:c r="AH149" s="16" t="str"/>
      <x:c r="AI149" s="12" t="str"/>
    </x:row>
    <x:row r="150">
      <x:c r="A150" t="str"/>
      <x:c r="B150" t="str"/>
      <x:c r="C150" t="str"/>
      <x:c r="D150" s="12" t="str"/>
      <x:c r="E150" s="12" t="str"/>
      <x:c r="F150" s="12" t="str"/>
      <x:c r="G150" s="12" t="str"/>
      <x:c r="H150" s="12" t="str"/>
      <x:c r="I150" s="12" t="str"/>
      <x:c r="J150" s="12" t="str"/>
      <x:c r="K150" s="12" t="str"/>
      <x:c r="L150" s="12" t="str"/>
      <x:c r="M150" s="12" t="str"/>
      <x:c r="N150" s="12" t="str"/>
      <x:c r="O150" s="12" t="str"/>
      <x:c r="P150" t="str"/>
      <x:c r="Q150" t="str"/>
      <x:c r="R150" t="str">
        <x:f>IFERROR(VLOOKUP(Q150,Catalogos!$G:$H,2,FALSE),"")</x:f>
      </x:c>
      <x:c r="S150" t="str"/>
      <x:c r="T150" t="str">
        <x:f>IFERROR(VLOOKUP(S150,Catalogos!$I:$J,2,FALSE),"")</x:f>
      </x:c>
      <x:c r="U150" t="str">
        <x:f>IF(OR(R150="",T150=""),"",R150*T150)</x:f>
      </x:c>
      <x:c r="V150" t="str">
        <x:f>IF(U150="","",IF(U150&gt;=24,"MUY ALTO",IF(U150&gt;=10,"ALTO",IF(U150&gt;=6,"MEDIO","BAJO"))))</x:f>
      </x:c>
      <x:c r="W150" t="str"/>
      <x:c r="X150" t="str">
        <x:f>IFERROR(VLOOKUP(W150,Catalogos!$G:$H,2,FALSE),"")</x:f>
      </x:c>
      <x:c r="Y150" t="str">
        <x:f>IF(OR(U150="",X150=""),"",U150*X150)</x:f>
      </x:c>
      <x:c r="Z150" t="str">
        <x:f>IF(Y150="","",IF(Y150&gt;=600,"I - Situación crítica. Suspender actividades hasta que el riesgo esté bajo control. Intervención urgente.",IF(Y150&gt;=150,"II - Corregir y adoptar medidas de control de inmediato.",IF(Y150&gt;=40,"III - Mejorar si es posible. Conviene justificar la intervención y su rentabilidad.","IV - Mantener controles existentes."))))</x:f>
      </x:c>
      <x:c r="AA150" t="str">
        <x:f>IF(Y150="","",IF(Y150&gt;=600,"No aceptable",IF(Y150&gt;=150,"No aceptable / Aceptable con control específico","Aceptable")))</x:f>
      </x:c>
      <x:c r="AB150" s="12" t="str"/>
      <x:c r="AC150" s="12" t="str"/>
      <x:c r="AD150" s="12" t="str"/>
      <x:c r="AE150" s="12" t="str"/>
      <x:c r="AF150" s="12" t="str"/>
      <x:c r="AG150" s="12" t="str"/>
      <x:c r="AH150" s="16" t="str"/>
      <x:c r="AI150" s="12" t="str"/>
    </x:row>
    <x:row r="151">
      <x:c r="A151" t="str"/>
      <x:c r="B151" t="str"/>
      <x:c r="C151" t="str"/>
      <x:c r="D151" s="12" t="str"/>
      <x:c r="E151" s="12" t="str"/>
      <x:c r="F151" s="12" t="str"/>
      <x:c r="G151" s="12" t="str"/>
      <x:c r="H151" s="12" t="str"/>
      <x:c r="I151" s="12" t="str"/>
      <x:c r="J151" s="12" t="str"/>
      <x:c r="K151" s="12" t="str"/>
      <x:c r="L151" s="12" t="str"/>
      <x:c r="M151" s="12" t="str"/>
      <x:c r="N151" s="12" t="str"/>
      <x:c r="O151" s="12" t="str"/>
      <x:c r="P151" t="str"/>
      <x:c r="Q151" t="str"/>
      <x:c r="R151" t="str">
        <x:f>IFERROR(VLOOKUP(Q151,Catalogos!$G:$H,2,FALSE),"")</x:f>
      </x:c>
      <x:c r="S151" t="str"/>
      <x:c r="T151" t="str">
        <x:f>IFERROR(VLOOKUP(S151,Catalogos!$I:$J,2,FALSE),"")</x:f>
      </x:c>
      <x:c r="U151" t="str">
        <x:f>IF(OR(R151="",T151=""),"",R151*T151)</x:f>
      </x:c>
      <x:c r="V151" t="str">
        <x:f>IF(U151="","",IF(U151&gt;=24,"MUY ALTO",IF(U151&gt;=10,"ALTO",IF(U151&gt;=6,"MEDIO","BAJO"))))</x:f>
      </x:c>
      <x:c r="W151" t="str"/>
      <x:c r="X151" t="str">
        <x:f>IFERROR(VLOOKUP(W151,Catalogos!$G:$H,2,FALSE),"")</x:f>
      </x:c>
      <x:c r="Y151" t="str">
        <x:f>IF(OR(U151="",X151=""),"",U151*X151)</x:f>
      </x:c>
      <x:c r="Z151" t="str">
        <x:f>IF(Y151="","",IF(Y151&gt;=600,"I - Situación crítica. Suspender actividades hasta que el riesgo esté bajo control. Intervención urgente.",IF(Y151&gt;=150,"II - Corregir y adoptar medidas de control de inmediato.",IF(Y151&gt;=40,"III - Mejorar si es posible. Conviene justificar la intervención y su rentabilidad.","IV - Mantener controles existentes."))))</x:f>
      </x:c>
      <x:c r="AA151" t="str">
        <x:f>IF(Y151="","",IF(Y151&gt;=600,"No aceptable",IF(Y151&gt;=150,"No aceptable / Aceptable con control específico","Aceptable")))</x:f>
      </x:c>
      <x:c r="AB151" s="12" t="str"/>
      <x:c r="AC151" s="12" t="str"/>
      <x:c r="AD151" s="12" t="str"/>
      <x:c r="AE151" s="12" t="str"/>
      <x:c r="AF151" s="12" t="str"/>
      <x:c r="AG151" s="12" t="str"/>
      <x:c r="AH151" s="16" t="str"/>
      <x:c r="AI151" s="12" t="str"/>
    </x:row>
    <x:row r="152">
      <x:c r="A152" t="str"/>
      <x:c r="B152" t="str"/>
      <x:c r="C152" t="str"/>
      <x:c r="D152" s="12" t="str"/>
      <x:c r="E152" s="12" t="str"/>
      <x:c r="F152" s="12" t="str"/>
      <x:c r="G152" s="12" t="str"/>
      <x:c r="H152" s="12" t="str"/>
      <x:c r="I152" s="12" t="str"/>
      <x:c r="J152" s="12" t="str"/>
      <x:c r="K152" s="12" t="str"/>
      <x:c r="L152" s="12" t="str"/>
      <x:c r="M152" s="12" t="str"/>
      <x:c r="N152" s="12" t="str"/>
      <x:c r="O152" s="12" t="str"/>
      <x:c r="P152" t="str"/>
      <x:c r="Q152" t="str"/>
      <x:c r="R152" t="str">
        <x:f>IFERROR(VLOOKUP(Q152,Catalogos!$G:$H,2,FALSE),"")</x:f>
      </x:c>
      <x:c r="S152" t="str"/>
      <x:c r="T152" t="str">
        <x:f>IFERROR(VLOOKUP(S152,Catalogos!$I:$J,2,FALSE),"")</x:f>
      </x:c>
      <x:c r="U152" t="str">
        <x:f>IF(OR(R152="",T152=""),"",R152*T152)</x:f>
      </x:c>
      <x:c r="V152" t="str">
        <x:f>IF(U152="","",IF(U152&gt;=24,"MUY ALTO",IF(U152&gt;=10,"ALTO",IF(U152&gt;=6,"MEDIO","BAJO"))))</x:f>
      </x:c>
      <x:c r="W152" t="str"/>
      <x:c r="X152" t="str">
        <x:f>IFERROR(VLOOKUP(W152,Catalogos!$G:$H,2,FALSE),"")</x:f>
      </x:c>
      <x:c r="Y152" t="str">
        <x:f>IF(OR(U152="",X152=""),"",U152*X152)</x:f>
      </x:c>
      <x:c r="Z152" t="str">
        <x:f>IF(Y152="","",IF(Y152&gt;=600,"I - Situación crítica. Suspender actividades hasta que el riesgo esté bajo control. Intervención urgente.",IF(Y152&gt;=150,"II - Corregir y adoptar medidas de control de inmediato.",IF(Y152&gt;=40,"III - Mejorar si es posible. Conviene justificar la intervención y su rentabilidad.","IV - Mantener controles existentes."))))</x:f>
      </x:c>
      <x:c r="AA152" t="str">
        <x:f>IF(Y152="","",IF(Y152&gt;=600,"No aceptable",IF(Y152&gt;=150,"No aceptable / Aceptable con control específico","Aceptable")))</x:f>
      </x:c>
      <x:c r="AB152" s="12" t="str"/>
      <x:c r="AC152" s="12" t="str"/>
      <x:c r="AD152" s="12" t="str"/>
      <x:c r="AE152" s="12" t="str"/>
      <x:c r="AF152" s="12" t="str"/>
      <x:c r="AG152" s="12" t="str"/>
      <x:c r="AH152" s="16" t="str"/>
      <x:c r="AI152" s="12" t="str"/>
    </x:row>
    <x:row r="153">
      <x:c r="A153" t="str"/>
      <x:c r="B153" t="str"/>
      <x:c r="C153" t="str"/>
      <x:c r="D153" s="12" t="str"/>
      <x:c r="E153" s="12" t="str"/>
      <x:c r="F153" s="12" t="str"/>
      <x:c r="G153" s="12" t="str"/>
      <x:c r="H153" s="12" t="str"/>
      <x:c r="I153" s="12" t="str"/>
      <x:c r="J153" s="12" t="str"/>
      <x:c r="K153" s="12" t="str"/>
      <x:c r="L153" s="12" t="str"/>
      <x:c r="M153" s="12" t="str"/>
      <x:c r="N153" s="12" t="str"/>
      <x:c r="O153" s="12" t="str"/>
      <x:c r="P153" t="str"/>
      <x:c r="Q153" t="str"/>
      <x:c r="R153" t="str">
        <x:f>IFERROR(VLOOKUP(Q153,Catalogos!$G:$H,2,FALSE),"")</x:f>
      </x:c>
      <x:c r="S153" t="str"/>
      <x:c r="T153" t="str">
        <x:f>IFERROR(VLOOKUP(S153,Catalogos!$I:$J,2,FALSE),"")</x:f>
      </x:c>
      <x:c r="U153" t="str">
        <x:f>IF(OR(R153="",T153=""),"",R153*T153)</x:f>
      </x:c>
      <x:c r="V153" t="str">
        <x:f>IF(U153="","",IF(U153&gt;=24,"MUY ALTO",IF(U153&gt;=10,"ALTO",IF(U153&gt;=6,"MEDIO","BAJO"))))</x:f>
      </x:c>
      <x:c r="W153" t="str"/>
      <x:c r="X153" t="str">
        <x:f>IFERROR(VLOOKUP(W153,Catalogos!$G:$H,2,FALSE),"")</x:f>
      </x:c>
      <x:c r="Y153" t="str">
        <x:f>IF(OR(U153="",X153=""),"",U153*X153)</x:f>
      </x:c>
      <x:c r="Z153" t="str">
        <x:f>IF(Y153="","",IF(Y153&gt;=600,"I - Situación crítica. Suspender actividades hasta que el riesgo esté bajo control. Intervención urgente.",IF(Y153&gt;=150,"II - Corregir y adoptar medidas de control de inmediato.",IF(Y153&gt;=40,"III - Mejorar si es posible. Conviene justificar la intervención y su rentabilidad.","IV - Mantener controles existentes."))))</x:f>
      </x:c>
      <x:c r="AA153" t="str">
        <x:f>IF(Y153="","",IF(Y153&gt;=600,"No aceptable",IF(Y153&gt;=150,"No aceptable / Aceptable con control específico","Aceptable")))</x:f>
      </x:c>
      <x:c r="AB153" s="12" t="str"/>
      <x:c r="AC153" s="12" t="str"/>
      <x:c r="AD153" s="12" t="str"/>
      <x:c r="AE153" s="12" t="str"/>
      <x:c r="AF153" s="12" t="str"/>
      <x:c r="AG153" s="12" t="str"/>
      <x:c r="AH153" s="16" t="str"/>
      <x:c r="AI153" s="12" t="str"/>
    </x:row>
    <x:row r="154">
      <x:c r="A154" t="str"/>
      <x:c r="B154" t="str"/>
      <x:c r="C154" t="str"/>
      <x:c r="D154" s="12" t="str"/>
      <x:c r="E154" s="12" t="str"/>
      <x:c r="F154" s="12" t="str"/>
      <x:c r="G154" s="12" t="str"/>
      <x:c r="H154" s="12" t="str"/>
      <x:c r="I154" s="12" t="str"/>
      <x:c r="J154" s="12" t="str"/>
      <x:c r="K154" s="12" t="str"/>
      <x:c r="L154" s="12" t="str"/>
      <x:c r="M154" s="12" t="str"/>
      <x:c r="N154" s="12" t="str"/>
      <x:c r="O154" s="12" t="str"/>
      <x:c r="P154" t="str"/>
      <x:c r="Q154" t="str"/>
      <x:c r="R154" t="str">
        <x:f>IFERROR(VLOOKUP(Q154,Catalogos!$G:$H,2,FALSE),"")</x:f>
      </x:c>
      <x:c r="S154" t="str"/>
      <x:c r="T154" t="str">
        <x:f>IFERROR(VLOOKUP(S154,Catalogos!$I:$J,2,FALSE),"")</x:f>
      </x:c>
      <x:c r="U154" t="str">
        <x:f>IF(OR(R154="",T154=""),"",R154*T154)</x:f>
      </x:c>
      <x:c r="V154" t="str">
        <x:f>IF(U154="","",IF(U154&gt;=24,"MUY ALTO",IF(U154&gt;=10,"ALTO",IF(U154&gt;=6,"MEDIO","BAJO"))))</x:f>
      </x:c>
      <x:c r="W154" t="str"/>
      <x:c r="X154" t="str">
        <x:f>IFERROR(VLOOKUP(W154,Catalogos!$G:$H,2,FALSE),"")</x:f>
      </x:c>
      <x:c r="Y154" t="str">
        <x:f>IF(OR(U154="",X154=""),"",U154*X154)</x:f>
      </x:c>
      <x:c r="Z154" t="str">
        <x:f>IF(Y154="","",IF(Y154&gt;=600,"I - Situación crítica. Suspender actividades hasta que el riesgo esté bajo control. Intervención urgente.",IF(Y154&gt;=150,"II - Corregir y adoptar medidas de control de inmediato.",IF(Y154&gt;=40,"III - Mejorar si es posible. Conviene justificar la intervención y su rentabilidad.","IV - Mantener controles existentes."))))</x:f>
      </x:c>
      <x:c r="AA154" t="str">
        <x:f>IF(Y154="","",IF(Y154&gt;=600,"No aceptable",IF(Y154&gt;=150,"No aceptable / Aceptable con control específico","Aceptable")))</x:f>
      </x:c>
      <x:c r="AB154" s="12" t="str"/>
      <x:c r="AC154" s="12" t="str"/>
      <x:c r="AD154" s="12" t="str"/>
      <x:c r="AE154" s="12" t="str"/>
      <x:c r="AF154" s="12" t="str"/>
      <x:c r="AG154" s="12" t="str"/>
      <x:c r="AH154" s="16" t="str"/>
      <x:c r="AI154" s="12" t="str"/>
    </x:row>
    <x:row r="155">
      <x:c r="A155" t="str"/>
      <x:c r="B155" t="str"/>
      <x:c r="C155" t="str"/>
      <x:c r="D155" s="12" t="str"/>
      <x:c r="E155" s="12" t="str"/>
      <x:c r="F155" s="12" t="str"/>
      <x:c r="G155" s="12" t="str"/>
      <x:c r="H155" s="12" t="str"/>
      <x:c r="I155" s="12" t="str"/>
      <x:c r="J155" s="12" t="str"/>
      <x:c r="K155" s="12" t="str"/>
      <x:c r="L155" s="12" t="str"/>
      <x:c r="M155" s="12" t="str"/>
      <x:c r="N155" s="12" t="str"/>
      <x:c r="O155" s="12" t="str"/>
      <x:c r="P155" t="str"/>
      <x:c r="Q155" t="str"/>
      <x:c r="R155" t="str">
        <x:f>IFERROR(VLOOKUP(Q155,Catalogos!$G:$H,2,FALSE),"")</x:f>
      </x:c>
      <x:c r="S155" t="str"/>
      <x:c r="T155" t="str">
        <x:f>IFERROR(VLOOKUP(S155,Catalogos!$I:$J,2,FALSE),"")</x:f>
      </x:c>
      <x:c r="U155" t="str">
        <x:f>IF(OR(R155="",T155=""),"",R155*T155)</x:f>
      </x:c>
      <x:c r="V155" t="str">
        <x:f>IF(U155="","",IF(U155&gt;=24,"MUY ALTO",IF(U155&gt;=10,"ALTO",IF(U155&gt;=6,"MEDIO","BAJO"))))</x:f>
      </x:c>
      <x:c r="W155" t="str"/>
      <x:c r="X155" t="str">
        <x:f>IFERROR(VLOOKUP(W155,Catalogos!$G:$H,2,FALSE),"")</x:f>
      </x:c>
      <x:c r="Y155" t="str">
        <x:f>IF(OR(U155="",X155=""),"",U155*X155)</x:f>
      </x:c>
      <x:c r="Z155" t="str">
        <x:f>IF(Y155="","",IF(Y155&gt;=600,"I - Situación crítica. Suspender actividades hasta que el riesgo esté bajo control. Intervención urgente.",IF(Y155&gt;=150,"II - Corregir y adoptar medidas de control de inmediato.",IF(Y155&gt;=40,"III - Mejorar si es posible. Conviene justificar la intervención y su rentabilidad.","IV - Mantener controles existentes."))))</x:f>
      </x:c>
      <x:c r="AA155" t="str">
        <x:f>IF(Y155="","",IF(Y155&gt;=600,"No aceptable",IF(Y155&gt;=150,"No aceptable / Aceptable con control específico","Aceptable")))</x:f>
      </x:c>
      <x:c r="AB155" s="12" t="str"/>
      <x:c r="AC155" s="12" t="str"/>
      <x:c r="AD155" s="12" t="str"/>
      <x:c r="AE155" s="12" t="str"/>
      <x:c r="AF155" s="12" t="str"/>
      <x:c r="AG155" s="12" t="str"/>
      <x:c r="AH155" s="16" t="str"/>
      <x:c r="AI155" s="12" t="str"/>
    </x:row>
    <x:row r="156">
      <x:c r="A156" t="str"/>
      <x:c r="B156" t="str"/>
      <x:c r="C156" t="str"/>
      <x:c r="D156" s="12" t="str"/>
      <x:c r="E156" s="12" t="str"/>
      <x:c r="F156" s="12" t="str"/>
      <x:c r="G156" s="12" t="str"/>
      <x:c r="H156" s="12" t="str"/>
      <x:c r="I156" s="12" t="str"/>
      <x:c r="J156" s="12" t="str"/>
      <x:c r="K156" s="12" t="str"/>
      <x:c r="L156" s="12" t="str"/>
      <x:c r="M156" s="12" t="str"/>
      <x:c r="N156" s="12" t="str"/>
      <x:c r="O156" s="12" t="str"/>
      <x:c r="P156" t="str"/>
      <x:c r="Q156" t="str"/>
      <x:c r="R156" t="str">
        <x:f>IFERROR(VLOOKUP(Q156,Catalogos!$G:$H,2,FALSE),"")</x:f>
      </x:c>
      <x:c r="S156" t="str"/>
      <x:c r="T156" t="str">
        <x:f>IFERROR(VLOOKUP(S156,Catalogos!$I:$J,2,FALSE),"")</x:f>
      </x:c>
      <x:c r="U156" t="str">
        <x:f>IF(OR(R156="",T156=""),"",R156*T156)</x:f>
      </x:c>
      <x:c r="V156" t="str">
        <x:f>IF(U156="","",IF(U156&gt;=24,"MUY ALTO",IF(U156&gt;=10,"ALTO",IF(U156&gt;=6,"MEDIO","BAJO"))))</x:f>
      </x:c>
      <x:c r="W156" t="str"/>
      <x:c r="X156" t="str">
        <x:f>IFERROR(VLOOKUP(W156,Catalogos!$G:$H,2,FALSE),"")</x:f>
      </x:c>
      <x:c r="Y156" t="str">
        <x:f>IF(OR(U156="",X156=""),"",U156*X156)</x:f>
      </x:c>
      <x:c r="Z156" t="str">
        <x:f>IF(Y156="","",IF(Y156&gt;=600,"I - Situación crítica. Suspender actividades hasta que el riesgo esté bajo control. Intervención urgente.",IF(Y156&gt;=150,"II - Corregir y adoptar medidas de control de inmediato.",IF(Y156&gt;=40,"III - Mejorar si es posible. Conviene justificar la intervención y su rentabilidad.","IV - Mantener controles existentes."))))</x:f>
      </x:c>
      <x:c r="AA156" t="str">
        <x:f>IF(Y156="","",IF(Y156&gt;=600,"No aceptable",IF(Y156&gt;=150,"No aceptable / Aceptable con control específico","Aceptable")))</x:f>
      </x:c>
      <x:c r="AB156" s="12" t="str"/>
      <x:c r="AC156" s="12" t="str"/>
      <x:c r="AD156" s="12" t="str"/>
      <x:c r="AE156" s="12" t="str"/>
      <x:c r="AF156" s="12" t="str"/>
      <x:c r="AG156" s="12" t="str"/>
      <x:c r="AH156" s="16" t="str"/>
      <x:c r="AI156" s="12" t="str"/>
    </x:row>
    <x:row r="157">
      <x:c r="A157" t="str"/>
      <x:c r="B157" t="str"/>
      <x:c r="C157" t="str"/>
      <x:c r="D157" s="12" t="str"/>
      <x:c r="E157" s="12" t="str"/>
      <x:c r="F157" s="12" t="str"/>
      <x:c r="G157" s="12" t="str"/>
      <x:c r="H157" s="12" t="str"/>
      <x:c r="I157" s="12" t="str"/>
      <x:c r="J157" s="12" t="str"/>
      <x:c r="K157" s="12" t="str"/>
      <x:c r="L157" s="12" t="str"/>
      <x:c r="M157" s="12" t="str"/>
      <x:c r="N157" s="12" t="str"/>
      <x:c r="O157" s="12" t="str"/>
      <x:c r="P157" t="str"/>
      <x:c r="Q157" t="str"/>
      <x:c r="R157" t="str">
        <x:f>IFERROR(VLOOKUP(Q157,Catalogos!$G:$H,2,FALSE),"")</x:f>
      </x:c>
      <x:c r="S157" t="str"/>
      <x:c r="T157" t="str">
        <x:f>IFERROR(VLOOKUP(S157,Catalogos!$I:$J,2,FALSE),"")</x:f>
      </x:c>
      <x:c r="U157" t="str">
        <x:f>IF(OR(R157="",T157=""),"",R157*T157)</x:f>
      </x:c>
      <x:c r="V157" t="str">
        <x:f>IF(U157="","",IF(U157&gt;=24,"MUY ALTO",IF(U157&gt;=10,"ALTO",IF(U157&gt;=6,"MEDIO","BAJO"))))</x:f>
      </x:c>
      <x:c r="W157" t="str"/>
      <x:c r="X157" t="str">
        <x:f>IFERROR(VLOOKUP(W157,Catalogos!$G:$H,2,FALSE),"")</x:f>
      </x:c>
      <x:c r="Y157" t="str">
        <x:f>IF(OR(U157="",X157=""),"",U157*X157)</x:f>
      </x:c>
      <x:c r="Z157" t="str">
        <x:f>IF(Y157="","",IF(Y157&gt;=600,"I - Situación crítica. Suspender actividades hasta que el riesgo esté bajo control. Intervención urgente.",IF(Y157&gt;=150,"II - Corregir y adoptar medidas de control de inmediato.",IF(Y157&gt;=40,"III - Mejorar si es posible. Conviene justificar la intervención y su rentabilidad.","IV - Mantener controles existentes."))))</x:f>
      </x:c>
      <x:c r="AA157" t="str">
        <x:f>IF(Y157="","",IF(Y157&gt;=600,"No aceptable",IF(Y157&gt;=150,"No aceptable / Aceptable con control específico","Aceptable")))</x:f>
      </x:c>
      <x:c r="AB157" s="12" t="str"/>
      <x:c r="AC157" s="12" t="str"/>
      <x:c r="AD157" s="12" t="str"/>
      <x:c r="AE157" s="12" t="str"/>
      <x:c r="AF157" s="12" t="str"/>
      <x:c r="AG157" s="12" t="str"/>
      <x:c r="AH157" s="16" t="str"/>
      <x:c r="AI157" s="12" t="str"/>
    </x:row>
    <x:row r="158">
      <x:c r="A158" t="str"/>
      <x:c r="B158" t="str"/>
      <x:c r="C158" t="str"/>
      <x:c r="D158" s="12" t="str"/>
      <x:c r="E158" s="12" t="str"/>
      <x:c r="F158" s="12" t="str"/>
      <x:c r="G158" s="12" t="str"/>
      <x:c r="H158" s="12" t="str"/>
      <x:c r="I158" s="12" t="str"/>
      <x:c r="J158" s="12" t="str"/>
      <x:c r="K158" s="12" t="str"/>
      <x:c r="L158" s="12" t="str"/>
      <x:c r="M158" s="12" t="str"/>
      <x:c r="N158" s="12" t="str"/>
      <x:c r="O158" s="12" t="str"/>
      <x:c r="P158" t="str"/>
      <x:c r="Q158" t="str"/>
      <x:c r="R158" t="str">
        <x:f>IFERROR(VLOOKUP(Q158,Catalogos!$G:$H,2,FALSE),"")</x:f>
      </x:c>
      <x:c r="S158" t="str"/>
      <x:c r="T158" t="str">
        <x:f>IFERROR(VLOOKUP(S158,Catalogos!$I:$J,2,FALSE),"")</x:f>
      </x:c>
      <x:c r="U158" t="str">
        <x:f>IF(OR(R158="",T158=""),"",R158*T158)</x:f>
      </x:c>
      <x:c r="V158" t="str">
        <x:f>IF(U158="","",IF(U158&gt;=24,"MUY ALTO",IF(U158&gt;=10,"ALTO",IF(U158&gt;=6,"MEDIO","BAJO"))))</x:f>
      </x:c>
      <x:c r="W158" t="str"/>
      <x:c r="X158" t="str">
        <x:f>IFERROR(VLOOKUP(W158,Catalogos!$G:$H,2,FALSE),"")</x:f>
      </x:c>
      <x:c r="Y158" t="str">
        <x:f>IF(OR(U158="",X158=""),"",U158*X158)</x:f>
      </x:c>
      <x:c r="Z158" t="str">
        <x:f>IF(Y158="","",IF(Y158&gt;=600,"I - Situación crítica. Suspender actividades hasta que el riesgo esté bajo control. Intervención urgente.",IF(Y158&gt;=150,"II - Corregir y adoptar medidas de control de inmediato.",IF(Y158&gt;=40,"III - Mejorar si es posible. Conviene justificar la intervención y su rentabilidad.","IV - Mantener controles existentes."))))</x:f>
      </x:c>
      <x:c r="AA158" t="str">
        <x:f>IF(Y158="","",IF(Y158&gt;=600,"No aceptable",IF(Y158&gt;=150,"No aceptable / Aceptable con control específico","Aceptable")))</x:f>
      </x:c>
      <x:c r="AB158" s="12" t="str"/>
      <x:c r="AC158" s="12" t="str"/>
      <x:c r="AD158" s="12" t="str"/>
      <x:c r="AE158" s="12" t="str"/>
      <x:c r="AF158" s="12" t="str"/>
      <x:c r="AG158" s="12" t="str"/>
      <x:c r="AH158" s="16" t="str"/>
      <x:c r="AI158" s="12" t="str"/>
    </x:row>
    <x:row r="159">
      <x:c r="A159" t="str"/>
      <x:c r="B159" t="str"/>
      <x:c r="C159" t="str"/>
      <x:c r="D159" s="12" t="str"/>
      <x:c r="E159" s="12" t="str"/>
      <x:c r="F159" s="12" t="str"/>
      <x:c r="G159" s="12" t="str"/>
      <x:c r="H159" s="12" t="str"/>
      <x:c r="I159" s="12" t="str"/>
      <x:c r="J159" s="12" t="str"/>
      <x:c r="K159" s="12" t="str"/>
      <x:c r="L159" s="12" t="str"/>
      <x:c r="M159" s="12" t="str"/>
      <x:c r="N159" s="12" t="str"/>
      <x:c r="O159" s="12" t="str"/>
      <x:c r="P159" t="str"/>
      <x:c r="Q159" t="str"/>
      <x:c r="R159" t="str">
        <x:f>IFERROR(VLOOKUP(Q159,Catalogos!$G:$H,2,FALSE),"")</x:f>
      </x:c>
      <x:c r="S159" t="str"/>
      <x:c r="T159" t="str">
        <x:f>IFERROR(VLOOKUP(S159,Catalogos!$I:$J,2,FALSE),"")</x:f>
      </x:c>
      <x:c r="U159" t="str">
        <x:f>IF(OR(R159="",T159=""),"",R159*T159)</x:f>
      </x:c>
      <x:c r="V159" t="str">
        <x:f>IF(U159="","",IF(U159&gt;=24,"MUY ALTO",IF(U159&gt;=10,"ALTO",IF(U159&gt;=6,"MEDIO","BAJO"))))</x:f>
      </x:c>
      <x:c r="W159" t="str"/>
      <x:c r="X159" t="str">
        <x:f>IFERROR(VLOOKUP(W159,Catalogos!$G:$H,2,FALSE),"")</x:f>
      </x:c>
      <x:c r="Y159" t="str">
        <x:f>IF(OR(U159="",X159=""),"",U159*X159)</x:f>
      </x:c>
      <x:c r="Z159" t="str">
        <x:f>IF(Y159="","",IF(Y159&gt;=600,"I - Situación crítica. Suspender actividades hasta que el riesgo esté bajo control. Intervención urgente.",IF(Y159&gt;=150,"II - Corregir y adoptar medidas de control de inmediato.",IF(Y159&gt;=40,"III - Mejorar si es posible. Conviene justificar la intervención y su rentabilidad.","IV - Mantener controles existentes."))))</x:f>
      </x:c>
      <x:c r="AA159" t="str">
        <x:f>IF(Y159="","",IF(Y159&gt;=600,"No aceptable",IF(Y159&gt;=150,"No aceptable / Aceptable con control específico","Aceptable")))</x:f>
      </x:c>
      <x:c r="AB159" s="12" t="str"/>
      <x:c r="AC159" s="12" t="str"/>
      <x:c r="AD159" s="12" t="str"/>
      <x:c r="AE159" s="12" t="str"/>
      <x:c r="AF159" s="12" t="str"/>
      <x:c r="AG159" s="12" t="str"/>
      <x:c r="AH159" s="16" t="str"/>
      <x:c r="AI159" s="12" t="str"/>
    </x:row>
    <x:row r="160">
      <x:c r="A160" t="str"/>
      <x:c r="B160" t="str"/>
      <x:c r="C160" t="str"/>
      <x:c r="D160" s="12" t="str"/>
      <x:c r="E160" s="12" t="str"/>
      <x:c r="F160" s="12" t="str"/>
      <x:c r="G160" s="12" t="str"/>
      <x:c r="H160" s="12" t="str"/>
      <x:c r="I160" s="12" t="str"/>
      <x:c r="J160" s="12" t="str"/>
      <x:c r="K160" s="12" t="str"/>
      <x:c r="L160" s="12" t="str"/>
      <x:c r="M160" s="12" t="str"/>
      <x:c r="N160" s="12" t="str"/>
      <x:c r="O160" s="12" t="str"/>
      <x:c r="P160" t="str"/>
      <x:c r="Q160" t="str"/>
      <x:c r="R160" t="str">
        <x:f>IFERROR(VLOOKUP(Q160,Catalogos!$G:$H,2,FALSE),"")</x:f>
      </x:c>
      <x:c r="S160" t="str"/>
      <x:c r="T160" t="str">
        <x:f>IFERROR(VLOOKUP(S160,Catalogos!$I:$J,2,FALSE),"")</x:f>
      </x:c>
      <x:c r="U160" t="str">
        <x:f>IF(OR(R160="",T160=""),"",R160*T160)</x:f>
      </x:c>
      <x:c r="V160" t="str">
        <x:f>IF(U160="","",IF(U160&gt;=24,"MUY ALTO",IF(U160&gt;=10,"ALTO",IF(U160&gt;=6,"MEDIO","BAJO"))))</x:f>
      </x:c>
      <x:c r="W160" t="str"/>
      <x:c r="X160" t="str">
        <x:f>IFERROR(VLOOKUP(W160,Catalogos!$G:$H,2,FALSE),"")</x:f>
      </x:c>
      <x:c r="Y160" t="str">
        <x:f>IF(OR(U160="",X160=""),"",U160*X160)</x:f>
      </x:c>
      <x:c r="Z160" t="str">
        <x:f>IF(Y160="","",IF(Y160&gt;=600,"I - Situación crítica. Suspender actividades hasta que el riesgo esté bajo control. Intervención urgente.",IF(Y160&gt;=150,"II - Corregir y adoptar medidas de control de inmediato.",IF(Y160&gt;=40,"III - Mejorar si es posible. Conviene justificar la intervención y su rentabilidad.","IV - Mantener controles existentes."))))</x:f>
      </x:c>
      <x:c r="AA160" t="str">
        <x:f>IF(Y160="","",IF(Y160&gt;=600,"No aceptable",IF(Y160&gt;=150,"No aceptable / Aceptable con control específico","Aceptable")))</x:f>
      </x:c>
      <x:c r="AB160" s="12" t="str"/>
      <x:c r="AC160" s="12" t="str"/>
      <x:c r="AD160" s="12" t="str"/>
      <x:c r="AE160" s="12" t="str"/>
      <x:c r="AF160" s="12" t="str"/>
      <x:c r="AG160" s="12" t="str"/>
      <x:c r="AH160" s="16" t="str"/>
      <x:c r="AI160" s="12" t="str"/>
    </x:row>
    <x:row r="161">
      <x:c r="A161" t="str"/>
      <x:c r="B161" t="str"/>
      <x:c r="C161" t="str"/>
      <x:c r="D161" s="12" t="str"/>
      <x:c r="E161" s="12" t="str"/>
      <x:c r="F161" s="12" t="str"/>
      <x:c r="G161" s="12" t="str"/>
      <x:c r="H161" s="12" t="str"/>
      <x:c r="I161" s="12" t="str"/>
      <x:c r="J161" s="12" t="str"/>
      <x:c r="K161" s="12" t="str"/>
      <x:c r="L161" s="12" t="str"/>
      <x:c r="M161" s="12" t="str"/>
      <x:c r="N161" s="12" t="str"/>
      <x:c r="O161" s="12" t="str"/>
      <x:c r="P161" t="str"/>
      <x:c r="Q161" t="str"/>
      <x:c r="R161" t="str">
        <x:f>IFERROR(VLOOKUP(Q161,Catalogos!$G:$H,2,FALSE),"")</x:f>
      </x:c>
      <x:c r="S161" t="str"/>
      <x:c r="T161" t="str">
        <x:f>IFERROR(VLOOKUP(S161,Catalogos!$I:$J,2,FALSE),"")</x:f>
      </x:c>
      <x:c r="U161" t="str">
        <x:f>IF(OR(R161="",T161=""),"",R161*T161)</x:f>
      </x:c>
      <x:c r="V161" t="str">
        <x:f>IF(U161="","",IF(U161&gt;=24,"MUY ALTO",IF(U161&gt;=10,"ALTO",IF(U161&gt;=6,"MEDIO","BAJO"))))</x:f>
      </x:c>
      <x:c r="W161" t="str"/>
      <x:c r="X161" t="str">
        <x:f>IFERROR(VLOOKUP(W161,Catalogos!$G:$H,2,FALSE),"")</x:f>
      </x:c>
      <x:c r="Y161" t="str">
        <x:f>IF(OR(U161="",X161=""),"",U161*X161)</x:f>
      </x:c>
      <x:c r="Z161" t="str">
        <x:f>IF(Y161="","",IF(Y161&gt;=600,"I - Situación crítica. Suspender actividades hasta que el riesgo esté bajo control. Intervención urgente.",IF(Y161&gt;=150,"II - Corregir y adoptar medidas de control de inmediato.",IF(Y161&gt;=40,"III - Mejorar si es posible. Conviene justificar la intervención y su rentabilidad.","IV - Mantener controles existentes."))))</x:f>
      </x:c>
      <x:c r="AA161" t="str">
        <x:f>IF(Y161="","",IF(Y161&gt;=600,"No aceptable",IF(Y161&gt;=150,"No aceptable / Aceptable con control específico","Aceptable")))</x:f>
      </x:c>
      <x:c r="AB161" s="12" t="str"/>
      <x:c r="AC161" s="12" t="str"/>
      <x:c r="AD161" s="12" t="str"/>
      <x:c r="AE161" s="12" t="str"/>
      <x:c r="AF161" s="12" t="str"/>
      <x:c r="AG161" s="12" t="str"/>
      <x:c r="AH161" s="16" t="str"/>
      <x:c r="AI161" s="12" t="str"/>
    </x:row>
    <x:row r="162">
      <x:c r="A162" t="str"/>
      <x:c r="B162" t="str"/>
      <x:c r="C162" t="str"/>
      <x:c r="D162" s="12" t="str"/>
      <x:c r="E162" s="12" t="str"/>
      <x:c r="F162" s="12" t="str"/>
      <x:c r="G162" s="12" t="str"/>
      <x:c r="H162" s="12" t="str"/>
      <x:c r="I162" s="12" t="str"/>
      <x:c r="J162" s="12" t="str"/>
      <x:c r="K162" s="12" t="str"/>
      <x:c r="L162" s="12" t="str"/>
      <x:c r="M162" s="12" t="str"/>
      <x:c r="N162" s="12" t="str"/>
      <x:c r="O162" s="12" t="str"/>
      <x:c r="P162" t="str"/>
      <x:c r="Q162" t="str"/>
      <x:c r="R162" t="str">
        <x:f>IFERROR(VLOOKUP(Q162,Catalogos!$G:$H,2,FALSE),"")</x:f>
      </x:c>
      <x:c r="S162" t="str"/>
      <x:c r="T162" t="str">
        <x:f>IFERROR(VLOOKUP(S162,Catalogos!$I:$J,2,FALSE),"")</x:f>
      </x:c>
      <x:c r="U162" t="str">
        <x:f>IF(OR(R162="",T162=""),"",R162*T162)</x:f>
      </x:c>
      <x:c r="V162" t="str">
        <x:f>IF(U162="","",IF(U162&gt;=24,"MUY ALTO",IF(U162&gt;=10,"ALTO",IF(U162&gt;=6,"MEDIO","BAJO"))))</x:f>
      </x:c>
      <x:c r="W162" t="str"/>
      <x:c r="X162" t="str">
        <x:f>IFERROR(VLOOKUP(W162,Catalogos!$G:$H,2,FALSE),"")</x:f>
      </x:c>
      <x:c r="Y162" t="str">
        <x:f>IF(OR(U162="",X162=""),"",U162*X162)</x:f>
      </x:c>
      <x:c r="Z162" t="str">
        <x:f>IF(Y162="","",IF(Y162&gt;=600,"I - Situación crítica. Suspender actividades hasta que el riesgo esté bajo control. Intervención urgente.",IF(Y162&gt;=150,"II - Corregir y adoptar medidas de control de inmediato.",IF(Y162&gt;=40,"III - Mejorar si es posible. Conviene justificar la intervención y su rentabilidad.","IV - Mantener controles existentes."))))</x:f>
      </x:c>
      <x:c r="AA162" t="str">
        <x:f>IF(Y162="","",IF(Y162&gt;=600,"No aceptable",IF(Y162&gt;=150,"No aceptable / Aceptable con control específico","Aceptable")))</x:f>
      </x:c>
      <x:c r="AB162" s="12" t="str"/>
      <x:c r="AC162" s="12" t="str"/>
      <x:c r="AD162" s="12" t="str"/>
      <x:c r="AE162" s="12" t="str"/>
      <x:c r="AF162" s="12" t="str"/>
      <x:c r="AG162" s="12" t="str"/>
      <x:c r="AH162" s="16" t="str"/>
      <x:c r="AI162" s="12" t="str"/>
    </x:row>
    <x:row r="163">
      <x:c r="A163" t="str"/>
      <x:c r="B163" t="str"/>
      <x:c r="C163" t="str"/>
      <x:c r="D163" s="12" t="str"/>
      <x:c r="E163" s="12" t="str"/>
      <x:c r="F163" s="12" t="str"/>
      <x:c r="G163" s="12" t="str"/>
      <x:c r="H163" s="12" t="str"/>
      <x:c r="I163" s="12" t="str"/>
      <x:c r="J163" s="12" t="str"/>
      <x:c r="K163" s="12" t="str"/>
      <x:c r="L163" s="12" t="str"/>
      <x:c r="M163" s="12" t="str"/>
      <x:c r="N163" s="12" t="str"/>
      <x:c r="O163" s="12" t="str"/>
      <x:c r="P163" t="str"/>
      <x:c r="Q163" t="str"/>
      <x:c r="R163" t="str">
        <x:f>IFERROR(VLOOKUP(Q163,Catalogos!$G:$H,2,FALSE),"")</x:f>
      </x:c>
      <x:c r="S163" t="str"/>
      <x:c r="T163" t="str">
        <x:f>IFERROR(VLOOKUP(S163,Catalogos!$I:$J,2,FALSE),"")</x:f>
      </x:c>
      <x:c r="U163" t="str">
        <x:f>IF(OR(R163="",T163=""),"",R163*T163)</x:f>
      </x:c>
      <x:c r="V163" t="str">
        <x:f>IF(U163="","",IF(U163&gt;=24,"MUY ALTO",IF(U163&gt;=10,"ALTO",IF(U163&gt;=6,"MEDIO","BAJO"))))</x:f>
      </x:c>
      <x:c r="W163" t="str"/>
      <x:c r="X163" t="str">
        <x:f>IFERROR(VLOOKUP(W163,Catalogos!$G:$H,2,FALSE),"")</x:f>
      </x:c>
      <x:c r="Y163" t="str">
        <x:f>IF(OR(U163="",X163=""),"",U163*X163)</x:f>
      </x:c>
      <x:c r="Z163" t="str">
        <x:f>IF(Y163="","",IF(Y163&gt;=600,"I - Situación crítica. Suspender actividades hasta que el riesgo esté bajo control. Intervención urgente.",IF(Y163&gt;=150,"II - Corregir y adoptar medidas de control de inmediato.",IF(Y163&gt;=40,"III - Mejorar si es posible. Conviene justificar la intervención y su rentabilidad.","IV - Mantener controles existentes."))))</x:f>
      </x:c>
      <x:c r="AA163" t="str">
        <x:f>IF(Y163="","",IF(Y163&gt;=600,"No aceptable",IF(Y163&gt;=150,"No aceptable / Aceptable con control específico","Aceptable")))</x:f>
      </x:c>
      <x:c r="AB163" s="12" t="str"/>
      <x:c r="AC163" s="12" t="str"/>
      <x:c r="AD163" s="12" t="str"/>
      <x:c r="AE163" s="12" t="str"/>
      <x:c r="AF163" s="12" t="str"/>
      <x:c r="AG163" s="12" t="str"/>
      <x:c r="AH163" s="16" t="str"/>
      <x:c r="AI163" s="12" t="str"/>
    </x:row>
    <x:row r="164">
      <x:c r="A164" t="str"/>
      <x:c r="B164" t="str"/>
      <x:c r="C164" t="str"/>
      <x:c r="D164" s="12" t="str"/>
      <x:c r="E164" s="12" t="str"/>
      <x:c r="F164" s="12" t="str"/>
      <x:c r="G164" s="12" t="str"/>
      <x:c r="H164" s="12" t="str"/>
      <x:c r="I164" s="12" t="str"/>
      <x:c r="J164" s="12" t="str"/>
      <x:c r="K164" s="12" t="str"/>
      <x:c r="L164" s="12" t="str"/>
      <x:c r="M164" s="12" t="str"/>
      <x:c r="N164" s="12" t="str"/>
      <x:c r="O164" s="12" t="str"/>
      <x:c r="P164" t="str"/>
      <x:c r="Q164" t="str"/>
      <x:c r="R164" t="str">
        <x:f>IFERROR(VLOOKUP(Q164,Catalogos!$G:$H,2,FALSE),"")</x:f>
      </x:c>
      <x:c r="S164" t="str"/>
      <x:c r="T164" t="str">
        <x:f>IFERROR(VLOOKUP(S164,Catalogos!$I:$J,2,FALSE),"")</x:f>
      </x:c>
      <x:c r="U164" t="str">
        <x:f>IF(OR(R164="",T164=""),"",R164*T164)</x:f>
      </x:c>
      <x:c r="V164" t="str">
        <x:f>IF(U164="","",IF(U164&gt;=24,"MUY ALTO",IF(U164&gt;=10,"ALTO",IF(U164&gt;=6,"MEDIO","BAJO"))))</x:f>
      </x:c>
      <x:c r="W164" t="str"/>
      <x:c r="X164" t="str">
        <x:f>IFERROR(VLOOKUP(W164,Catalogos!$G:$H,2,FALSE),"")</x:f>
      </x:c>
      <x:c r="Y164" t="str">
        <x:f>IF(OR(U164="",X164=""),"",U164*X164)</x:f>
      </x:c>
      <x:c r="Z164" t="str">
        <x:f>IF(Y164="","",IF(Y164&gt;=600,"I - Situación crítica. Suspender actividades hasta que el riesgo esté bajo control. Intervención urgente.",IF(Y164&gt;=150,"II - Corregir y adoptar medidas de control de inmediato.",IF(Y164&gt;=40,"III - Mejorar si es posible. Conviene justificar la intervención y su rentabilidad.","IV - Mantener controles existentes."))))</x:f>
      </x:c>
      <x:c r="AA164" t="str">
        <x:f>IF(Y164="","",IF(Y164&gt;=600,"No aceptable",IF(Y164&gt;=150,"No aceptable / Aceptable con control específico","Aceptable")))</x:f>
      </x:c>
      <x:c r="AB164" s="12" t="str"/>
      <x:c r="AC164" s="12" t="str"/>
      <x:c r="AD164" s="12" t="str"/>
      <x:c r="AE164" s="12" t="str"/>
      <x:c r="AF164" s="12" t="str"/>
      <x:c r="AG164" s="12" t="str"/>
      <x:c r="AH164" s="16" t="str"/>
      <x:c r="AI164" s="12" t="str"/>
    </x:row>
    <x:row r="165">
      <x:c r="A165" t="str"/>
      <x:c r="B165" t="str"/>
      <x:c r="C165" t="str"/>
      <x:c r="D165" s="12" t="str"/>
      <x:c r="E165" s="12" t="str"/>
      <x:c r="F165" s="12" t="str"/>
      <x:c r="G165" s="12" t="str"/>
      <x:c r="H165" s="12" t="str"/>
      <x:c r="I165" s="12" t="str"/>
      <x:c r="J165" s="12" t="str"/>
      <x:c r="K165" s="12" t="str"/>
      <x:c r="L165" s="12" t="str"/>
      <x:c r="M165" s="12" t="str"/>
      <x:c r="N165" s="12" t="str"/>
      <x:c r="O165" s="12" t="str"/>
      <x:c r="P165" t="str"/>
      <x:c r="Q165" t="str"/>
      <x:c r="R165" t="str">
        <x:f>IFERROR(VLOOKUP(Q165,Catalogos!$G:$H,2,FALSE),"")</x:f>
      </x:c>
      <x:c r="S165" t="str"/>
      <x:c r="T165" t="str">
        <x:f>IFERROR(VLOOKUP(S165,Catalogos!$I:$J,2,FALSE),"")</x:f>
      </x:c>
      <x:c r="U165" t="str">
        <x:f>IF(OR(R165="",T165=""),"",R165*T165)</x:f>
      </x:c>
      <x:c r="V165" t="str">
        <x:f>IF(U165="","",IF(U165&gt;=24,"MUY ALTO",IF(U165&gt;=10,"ALTO",IF(U165&gt;=6,"MEDIO","BAJO"))))</x:f>
      </x:c>
      <x:c r="W165" t="str"/>
      <x:c r="X165" t="str">
        <x:f>IFERROR(VLOOKUP(W165,Catalogos!$G:$H,2,FALSE),"")</x:f>
      </x:c>
      <x:c r="Y165" t="str">
        <x:f>IF(OR(U165="",X165=""),"",U165*X165)</x:f>
      </x:c>
      <x:c r="Z165" t="str">
        <x:f>IF(Y165="","",IF(Y165&gt;=600,"I - Situación crítica. Suspender actividades hasta que el riesgo esté bajo control. Intervención urgente.",IF(Y165&gt;=150,"II - Corregir y adoptar medidas de control de inmediato.",IF(Y165&gt;=40,"III - Mejorar si es posible. Conviene justificar la intervención y su rentabilidad.","IV - Mantener controles existentes."))))</x:f>
      </x:c>
      <x:c r="AA165" t="str">
        <x:f>IF(Y165="","",IF(Y165&gt;=600,"No aceptable",IF(Y165&gt;=150,"No aceptable / Aceptable con control específico","Aceptable")))</x:f>
      </x:c>
      <x:c r="AB165" s="12" t="str"/>
      <x:c r="AC165" s="12" t="str"/>
      <x:c r="AD165" s="12" t="str"/>
      <x:c r="AE165" s="12" t="str"/>
      <x:c r="AF165" s="12" t="str"/>
      <x:c r="AG165" s="12" t="str"/>
      <x:c r="AH165" s="16" t="str"/>
      <x:c r="AI165" s="12" t="str"/>
    </x:row>
    <x:row r="166">
      <x:c r="A166" t="str"/>
      <x:c r="B166" t="str"/>
      <x:c r="C166" t="str"/>
      <x:c r="D166" s="12" t="str"/>
      <x:c r="E166" s="12" t="str"/>
      <x:c r="F166" s="12" t="str"/>
      <x:c r="G166" s="12" t="str"/>
      <x:c r="H166" s="12" t="str"/>
      <x:c r="I166" s="12" t="str"/>
      <x:c r="J166" s="12" t="str"/>
      <x:c r="K166" s="12" t="str"/>
      <x:c r="L166" s="12" t="str"/>
      <x:c r="M166" s="12" t="str"/>
      <x:c r="N166" s="12" t="str"/>
      <x:c r="O166" s="12" t="str"/>
      <x:c r="P166" t="str"/>
      <x:c r="Q166" t="str"/>
      <x:c r="R166" t="str">
        <x:f>IFERROR(VLOOKUP(Q166,Catalogos!$G:$H,2,FALSE),"")</x:f>
      </x:c>
      <x:c r="S166" t="str"/>
      <x:c r="T166" t="str">
        <x:f>IFERROR(VLOOKUP(S166,Catalogos!$I:$J,2,FALSE),"")</x:f>
      </x:c>
      <x:c r="U166" t="str">
        <x:f>IF(OR(R166="",T166=""),"",R166*T166)</x:f>
      </x:c>
      <x:c r="V166" t="str">
        <x:f>IF(U166="","",IF(U166&gt;=24,"MUY ALTO",IF(U166&gt;=10,"ALTO",IF(U166&gt;=6,"MEDIO","BAJO"))))</x:f>
      </x:c>
      <x:c r="W166" t="str"/>
      <x:c r="X166" t="str">
        <x:f>IFERROR(VLOOKUP(W166,Catalogos!$G:$H,2,FALSE),"")</x:f>
      </x:c>
      <x:c r="Y166" t="str">
        <x:f>IF(OR(U166="",X166=""),"",U166*X166)</x:f>
      </x:c>
      <x:c r="Z166" t="str">
        <x:f>IF(Y166="","",IF(Y166&gt;=600,"I - Situación crítica. Suspender actividades hasta que el riesgo esté bajo control. Intervención urgente.",IF(Y166&gt;=150,"II - Corregir y adoptar medidas de control de inmediato.",IF(Y166&gt;=40,"III - Mejorar si es posible. Conviene justificar la intervención y su rentabilidad.","IV - Mantener controles existentes."))))</x:f>
      </x:c>
      <x:c r="AA166" t="str">
        <x:f>IF(Y166="","",IF(Y166&gt;=600,"No aceptable",IF(Y166&gt;=150,"No aceptable / Aceptable con control específico","Aceptable")))</x:f>
      </x:c>
      <x:c r="AB166" s="12" t="str"/>
      <x:c r="AC166" s="12" t="str"/>
      <x:c r="AD166" s="12" t="str"/>
      <x:c r="AE166" s="12" t="str"/>
      <x:c r="AF166" s="12" t="str"/>
      <x:c r="AG166" s="12" t="str"/>
      <x:c r="AH166" s="16" t="str"/>
      <x:c r="AI166" s="12" t="str"/>
    </x:row>
    <x:row r="167">
      <x:c r="A167" t="str"/>
      <x:c r="B167" t="str"/>
      <x:c r="C167" t="str"/>
      <x:c r="D167" s="12" t="str"/>
      <x:c r="E167" s="12" t="str"/>
      <x:c r="F167" s="12" t="str"/>
      <x:c r="G167" s="12" t="str"/>
      <x:c r="H167" s="12" t="str"/>
      <x:c r="I167" s="12" t="str"/>
      <x:c r="J167" s="12" t="str"/>
      <x:c r="K167" s="12" t="str"/>
      <x:c r="L167" s="12" t="str"/>
      <x:c r="M167" s="12" t="str"/>
      <x:c r="N167" s="12" t="str"/>
      <x:c r="O167" s="12" t="str"/>
      <x:c r="P167" t="str"/>
      <x:c r="Q167" t="str"/>
      <x:c r="R167" t="str">
        <x:f>IFERROR(VLOOKUP(Q167,Catalogos!$G:$H,2,FALSE),"")</x:f>
      </x:c>
      <x:c r="S167" t="str"/>
      <x:c r="T167" t="str">
        <x:f>IFERROR(VLOOKUP(S167,Catalogos!$I:$J,2,FALSE),"")</x:f>
      </x:c>
      <x:c r="U167" t="str">
        <x:f>IF(OR(R167="",T167=""),"",R167*T167)</x:f>
      </x:c>
      <x:c r="V167" t="str">
        <x:f>IF(U167="","",IF(U167&gt;=24,"MUY ALTO",IF(U167&gt;=10,"ALTO",IF(U167&gt;=6,"MEDIO","BAJO"))))</x:f>
      </x:c>
      <x:c r="W167" t="str"/>
      <x:c r="X167" t="str">
        <x:f>IFERROR(VLOOKUP(W167,Catalogos!$G:$H,2,FALSE),"")</x:f>
      </x:c>
      <x:c r="Y167" t="str">
        <x:f>IF(OR(U167="",X167=""),"",U167*X167)</x:f>
      </x:c>
      <x:c r="Z167" t="str">
        <x:f>IF(Y167="","",IF(Y167&gt;=600,"I - Situación crítica. Suspender actividades hasta que el riesgo esté bajo control. Intervención urgente.",IF(Y167&gt;=150,"II - Corregir y adoptar medidas de control de inmediato.",IF(Y167&gt;=40,"III - Mejorar si es posible. Conviene justificar la intervención y su rentabilidad.","IV - Mantener controles existentes."))))</x:f>
      </x:c>
      <x:c r="AA167" t="str">
        <x:f>IF(Y167="","",IF(Y167&gt;=600,"No aceptable",IF(Y167&gt;=150,"No aceptable / Aceptable con control específico","Aceptable")))</x:f>
      </x:c>
      <x:c r="AB167" s="12" t="str"/>
      <x:c r="AC167" s="12" t="str"/>
      <x:c r="AD167" s="12" t="str"/>
      <x:c r="AE167" s="12" t="str"/>
      <x:c r="AF167" s="12" t="str"/>
      <x:c r="AG167" s="12" t="str"/>
      <x:c r="AH167" s="16" t="str"/>
      <x:c r="AI167" s="12" t="str"/>
    </x:row>
    <x:row r="168">
      <x:c r="A168" t="str"/>
      <x:c r="B168" t="str"/>
      <x:c r="C168" t="str"/>
      <x:c r="D168" s="12" t="str"/>
      <x:c r="E168" s="12" t="str"/>
      <x:c r="F168" s="12" t="str"/>
      <x:c r="G168" s="12" t="str"/>
      <x:c r="H168" s="12" t="str"/>
      <x:c r="I168" s="12" t="str"/>
      <x:c r="J168" s="12" t="str"/>
      <x:c r="K168" s="12" t="str"/>
      <x:c r="L168" s="12" t="str"/>
      <x:c r="M168" s="12" t="str"/>
      <x:c r="N168" s="12" t="str"/>
      <x:c r="O168" s="12" t="str"/>
      <x:c r="P168" t="str"/>
      <x:c r="Q168" t="str"/>
      <x:c r="R168" t="str">
        <x:f>IFERROR(VLOOKUP(Q168,Catalogos!$G:$H,2,FALSE),"")</x:f>
      </x:c>
      <x:c r="S168" t="str"/>
      <x:c r="T168" t="str">
        <x:f>IFERROR(VLOOKUP(S168,Catalogos!$I:$J,2,FALSE),"")</x:f>
      </x:c>
      <x:c r="U168" t="str">
        <x:f>IF(OR(R168="",T168=""),"",R168*T168)</x:f>
      </x:c>
      <x:c r="V168" t="str">
        <x:f>IF(U168="","",IF(U168&gt;=24,"MUY ALTO",IF(U168&gt;=10,"ALTO",IF(U168&gt;=6,"MEDIO","BAJO"))))</x:f>
      </x:c>
      <x:c r="W168" t="str"/>
      <x:c r="X168" t="str">
        <x:f>IFERROR(VLOOKUP(W168,Catalogos!$G:$H,2,FALSE),"")</x:f>
      </x:c>
      <x:c r="Y168" t="str">
        <x:f>IF(OR(U168="",X168=""),"",U168*X168)</x:f>
      </x:c>
      <x:c r="Z168" t="str">
        <x:f>IF(Y168="","",IF(Y168&gt;=600,"I - Situación crítica. Suspender actividades hasta que el riesgo esté bajo control. Intervención urgente.",IF(Y168&gt;=150,"II - Corregir y adoptar medidas de control de inmediato.",IF(Y168&gt;=40,"III - Mejorar si es posible. Conviene justificar la intervención y su rentabilidad.","IV - Mantener controles existentes."))))</x:f>
      </x:c>
      <x:c r="AA168" t="str">
        <x:f>IF(Y168="","",IF(Y168&gt;=600,"No aceptable",IF(Y168&gt;=150,"No aceptable / Aceptable con control específico","Aceptable")))</x:f>
      </x:c>
      <x:c r="AB168" s="12" t="str"/>
      <x:c r="AC168" s="12" t="str"/>
      <x:c r="AD168" s="12" t="str"/>
      <x:c r="AE168" s="12" t="str"/>
      <x:c r="AF168" s="12" t="str"/>
      <x:c r="AG168" s="12" t="str"/>
      <x:c r="AH168" s="16" t="str"/>
      <x:c r="AI168" s="12" t="str"/>
    </x:row>
    <x:row r="169">
      <x:c r="A169" t="str"/>
      <x:c r="B169" t="str"/>
      <x:c r="C169" t="str"/>
      <x:c r="D169" s="12" t="str"/>
      <x:c r="E169" s="12" t="str"/>
      <x:c r="F169" s="12" t="str"/>
      <x:c r="G169" s="12" t="str"/>
      <x:c r="H169" s="12" t="str"/>
      <x:c r="I169" s="12" t="str"/>
      <x:c r="J169" s="12" t="str"/>
      <x:c r="K169" s="12" t="str"/>
      <x:c r="L169" s="12" t="str"/>
      <x:c r="M169" s="12" t="str"/>
      <x:c r="N169" s="12" t="str"/>
      <x:c r="O169" s="12" t="str"/>
      <x:c r="P169" t="str"/>
      <x:c r="Q169" t="str"/>
      <x:c r="R169" t="str">
        <x:f>IFERROR(VLOOKUP(Q169,Catalogos!$G:$H,2,FALSE),"")</x:f>
      </x:c>
      <x:c r="S169" t="str"/>
      <x:c r="T169" t="str">
        <x:f>IFERROR(VLOOKUP(S169,Catalogos!$I:$J,2,FALSE),"")</x:f>
      </x:c>
      <x:c r="U169" t="str">
        <x:f>IF(OR(R169="",T169=""),"",R169*T169)</x:f>
      </x:c>
      <x:c r="V169" t="str">
        <x:f>IF(U169="","",IF(U169&gt;=24,"MUY ALTO",IF(U169&gt;=10,"ALTO",IF(U169&gt;=6,"MEDIO","BAJO"))))</x:f>
      </x:c>
      <x:c r="W169" t="str"/>
      <x:c r="X169" t="str">
        <x:f>IFERROR(VLOOKUP(W169,Catalogos!$G:$H,2,FALSE),"")</x:f>
      </x:c>
      <x:c r="Y169" t="str">
        <x:f>IF(OR(U169="",X169=""),"",U169*X169)</x:f>
      </x:c>
      <x:c r="Z169" t="str">
        <x:f>IF(Y169="","",IF(Y169&gt;=600,"I - Situación crítica. Suspender actividades hasta que el riesgo esté bajo control. Intervención urgente.",IF(Y169&gt;=150,"II - Corregir y adoptar medidas de control de inmediato.",IF(Y169&gt;=40,"III - Mejorar si es posible. Conviene justificar la intervención y su rentabilidad.","IV - Mantener controles existentes."))))</x:f>
      </x:c>
      <x:c r="AA169" t="str">
        <x:f>IF(Y169="","",IF(Y169&gt;=600,"No aceptable",IF(Y169&gt;=150,"No aceptable / Aceptable con control específico","Aceptable")))</x:f>
      </x:c>
      <x:c r="AB169" s="12" t="str"/>
      <x:c r="AC169" s="12" t="str"/>
      <x:c r="AD169" s="12" t="str"/>
      <x:c r="AE169" s="12" t="str"/>
      <x:c r="AF169" s="12" t="str"/>
      <x:c r="AG169" s="12" t="str"/>
      <x:c r="AH169" s="16" t="str"/>
      <x:c r="AI169" s="12" t="str"/>
    </x:row>
    <x:row r="170">
      <x:c r="A170" t="str"/>
      <x:c r="B170" t="str"/>
      <x:c r="C170" t="str"/>
      <x:c r="D170" s="12" t="str"/>
      <x:c r="E170" s="12" t="str"/>
      <x:c r="F170" s="12" t="str"/>
      <x:c r="G170" s="12" t="str"/>
      <x:c r="H170" s="12" t="str"/>
      <x:c r="I170" s="12" t="str"/>
      <x:c r="J170" s="12" t="str"/>
      <x:c r="K170" s="12" t="str"/>
      <x:c r="L170" s="12" t="str"/>
      <x:c r="M170" s="12" t="str"/>
      <x:c r="N170" s="12" t="str"/>
      <x:c r="O170" s="12" t="str"/>
      <x:c r="P170" t="str"/>
      <x:c r="Q170" t="str"/>
      <x:c r="R170" t="str">
        <x:f>IFERROR(VLOOKUP(Q170,Catalogos!$G:$H,2,FALSE),"")</x:f>
      </x:c>
      <x:c r="S170" t="str"/>
      <x:c r="T170" t="str">
        <x:f>IFERROR(VLOOKUP(S170,Catalogos!$I:$J,2,FALSE),"")</x:f>
      </x:c>
      <x:c r="U170" t="str">
        <x:f>IF(OR(R170="",T170=""),"",R170*T170)</x:f>
      </x:c>
      <x:c r="V170" t="str">
        <x:f>IF(U170="","",IF(U170&gt;=24,"MUY ALTO",IF(U170&gt;=10,"ALTO",IF(U170&gt;=6,"MEDIO","BAJO"))))</x:f>
      </x:c>
      <x:c r="W170" t="str"/>
      <x:c r="X170" t="str">
        <x:f>IFERROR(VLOOKUP(W170,Catalogos!$G:$H,2,FALSE),"")</x:f>
      </x:c>
      <x:c r="Y170" t="str">
        <x:f>IF(OR(U170="",X170=""),"",U170*X170)</x:f>
      </x:c>
      <x:c r="Z170" t="str">
        <x:f>IF(Y170="","",IF(Y170&gt;=600,"I - Situación crítica. Suspender actividades hasta que el riesgo esté bajo control. Intervención urgente.",IF(Y170&gt;=150,"II - Corregir y adoptar medidas de control de inmediato.",IF(Y170&gt;=40,"III - Mejorar si es posible. Conviene justificar la intervención y su rentabilidad.","IV - Mantener controles existentes."))))</x:f>
      </x:c>
      <x:c r="AA170" t="str">
        <x:f>IF(Y170="","",IF(Y170&gt;=600,"No aceptable",IF(Y170&gt;=150,"No aceptable / Aceptable con control específico","Aceptable")))</x:f>
      </x:c>
      <x:c r="AB170" s="12" t="str"/>
      <x:c r="AC170" s="12" t="str"/>
      <x:c r="AD170" s="12" t="str"/>
      <x:c r="AE170" s="12" t="str"/>
      <x:c r="AF170" s="12" t="str"/>
      <x:c r="AG170" s="12" t="str"/>
      <x:c r="AH170" s="16" t="str"/>
      <x:c r="AI170" s="12" t="str"/>
    </x:row>
    <x:row r="171">
      <x:c r="A171" t="str"/>
      <x:c r="B171" t="str"/>
      <x:c r="C171" t="str"/>
      <x:c r="D171" s="12" t="str"/>
      <x:c r="E171" s="12" t="str"/>
      <x:c r="F171" s="12" t="str"/>
      <x:c r="G171" s="12" t="str"/>
      <x:c r="H171" s="12" t="str"/>
      <x:c r="I171" s="12" t="str"/>
      <x:c r="J171" s="12" t="str"/>
      <x:c r="K171" s="12" t="str"/>
      <x:c r="L171" s="12" t="str"/>
      <x:c r="M171" s="12" t="str"/>
      <x:c r="N171" s="12" t="str"/>
      <x:c r="O171" s="12" t="str"/>
      <x:c r="P171" t="str"/>
      <x:c r="Q171" t="str"/>
      <x:c r="R171" t="str">
        <x:f>IFERROR(VLOOKUP(Q171,Catalogos!$G:$H,2,FALSE),"")</x:f>
      </x:c>
      <x:c r="S171" t="str"/>
      <x:c r="T171" t="str">
        <x:f>IFERROR(VLOOKUP(S171,Catalogos!$I:$J,2,FALSE),"")</x:f>
      </x:c>
      <x:c r="U171" t="str">
        <x:f>IF(OR(R171="",T171=""),"",R171*T171)</x:f>
      </x:c>
      <x:c r="V171" t="str">
        <x:f>IF(U171="","",IF(U171&gt;=24,"MUY ALTO",IF(U171&gt;=10,"ALTO",IF(U171&gt;=6,"MEDIO","BAJO"))))</x:f>
      </x:c>
      <x:c r="W171" t="str"/>
      <x:c r="X171" t="str">
        <x:f>IFERROR(VLOOKUP(W171,Catalogos!$G:$H,2,FALSE),"")</x:f>
      </x:c>
      <x:c r="Y171" t="str">
        <x:f>IF(OR(U171="",X171=""),"",U171*X171)</x:f>
      </x:c>
      <x:c r="Z171" t="str">
        <x:f>IF(Y171="","",IF(Y171&gt;=600,"I - Situación crítica. Suspender actividades hasta que el riesgo esté bajo control. Intervención urgente.",IF(Y171&gt;=150,"II - Corregir y adoptar medidas de control de inmediato.",IF(Y171&gt;=40,"III - Mejorar si es posible. Conviene justificar la intervención y su rentabilidad.","IV - Mantener controles existentes."))))</x:f>
      </x:c>
      <x:c r="AA171" t="str">
        <x:f>IF(Y171="","",IF(Y171&gt;=600,"No aceptable",IF(Y171&gt;=150,"No aceptable / Aceptable con control específico","Aceptable")))</x:f>
      </x:c>
      <x:c r="AB171" s="12" t="str"/>
      <x:c r="AC171" s="12" t="str"/>
      <x:c r="AD171" s="12" t="str"/>
      <x:c r="AE171" s="12" t="str"/>
      <x:c r="AF171" s="12" t="str"/>
      <x:c r="AG171" s="12" t="str"/>
      <x:c r="AH171" s="16" t="str"/>
      <x:c r="AI171" s="12" t="str"/>
    </x:row>
    <x:row r="172">
      <x:c r="A172" t="str"/>
      <x:c r="B172" t="str"/>
      <x:c r="C172" t="str"/>
      <x:c r="D172" s="12" t="str"/>
      <x:c r="E172" s="12" t="str"/>
      <x:c r="F172" s="12" t="str"/>
      <x:c r="G172" s="12" t="str"/>
      <x:c r="H172" s="12" t="str"/>
      <x:c r="I172" s="12" t="str"/>
      <x:c r="J172" s="12" t="str"/>
      <x:c r="K172" s="12" t="str"/>
      <x:c r="L172" s="12" t="str"/>
      <x:c r="M172" s="12" t="str"/>
      <x:c r="N172" s="12" t="str"/>
      <x:c r="O172" s="12" t="str"/>
      <x:c r="P172" t="str"/>
      <x:c r="Q172" t="str"/>
      <x:c r="R172" t="str">
        <x:f>IFERROR(VLOOKUP(Q172,Catalogos!$G:$H,2,FALSE),"")</x:f>
      </x:c>
      <x:c r="S172" t="str"/>
      <x:c r="T172" t="str">
        <x:f>IFERROR(VLOOKUP(S172,Catalogos!$I:$J,2,FALSE),"")</x:f>
      </x:c>
      <x:c r="U172" t="str">
        <x:f>IF(OR(R172="",T172=""),"",R172*T172)</x:f>
      </x:c>
      <x:c r="V172" t="str">
        <x:f>IF(U172="","",IF(U172&gt;=24,"MUY ALTO",IF(U172&gt;=10,"ALTO",IF(U172&gt;=6,"MEDIO","BAJO"))))</x:f>
      </x:c>
      <x:c r="W172" t="str"/>
      <x:c r="X172" t="str">
        <x:f>IFERROR(VLOOKUP(W172,Catalogos!$G:$H,2,FALSE),"")</x:f>
      </x:c>
      <x:c r="Y172" t="str">
        <x:f>IF(OR(U172="",X172=""),"",U172*X172)</x:f>
      </x:c>
      <x:c r="Z172" t="str">
        <x:f>IF(Y172="","",IF(Y172&gt;=600,"I - Situación crítica. Suspender actividades hasta que el riesgo esté bajo control. Intervención urgente.",IF(Y172&gt;=150,"II - Corregir y adoptar medidas de control de inmediato.",IF(Y172&gt;=40,"III - Mejorar si es posible. Conviene justificar la intervención y su rentabilidad.","IV - Mantener controles existentes."))))</x:f>
      </x:c>
      <x:c r="AA172" t="str">
        <x:f>IF(Y172="","",IF(Y172&gt;=600,"No aceptable",IF(Y172&gt;=150,"No aceptable / Aceptable con control específico","Aceptable")))</x:f>
      </x:c>
      <x:c r="AB172" s="12" t="str"/>
      <x:c r="AC172" s="12" t="str"/>
      <x:c r="AD172" s="12" t="str"/>
      <x:c r="AE172" s="12" t="str"/>
      <x:c r="AF172" s="12" t="str"/>
      <x:c r="AG172" s="12" t="str"/>
      <x:c r="AH172" s="16" t="str"/>
      <x:c r="AI172" s="12" t="str"/>
    </x:row>
    <x:row r="173">
      <x:c r="A173" t="str"/>
      <x:c r="B173" t="str"/>
      <x:c r="C173" t="str"/>
      <x:c r="D173" s="12" t="str"/>
      <x:c r="E173" s="12" t="str"/>
      <x:c r="F173" s="12" t="str"/>
      <x:c r="G173" s="12" t="str"/>
      <x:c r="H173" s="12" t="str"/>
      <x:c r="I173" s="12" t="str"/>
      <x:c r="J173" s="12" t="str"/>
      <x:c r="K173" s="12" t="str"/>
      <x:c r="L173" s="12" t="str"/>
      <x:c r="M173" s="12" t="str"/>
      <x:c r="N173" s="12" t="str"/>
      <x:c r="O173" s="12" t="str"/>
      <x:c r="P173" t="str"/>
      <x:c r="Q173" t="str"/>
      <x:c r="R173" t="str">
        <x:f>IFERROR(VLOOKUP(Q173,Catalogos!$G:$H,2,FALSE),"")</x:f>
      </x:c>
      <x:c r="S173" t="str"/>
      <x:c r="T173" t="str">
        <x:f>IFERROR(VLOOKUP(S173,Catalogos!$I:$J,2,FALSE),"")</x:f>
      </x:c>
      <x:c r="U173" t="str">
        <x:f>IF(OR(R173="",T173=""),"",R173*T173)</x:f>
      </x:c>
      <x:c r="V173" t="str">
        <x:f>IF(U173="","",IF(U173&gt;=24,"MUY ALTO",IF(U173&gt;=10,"ALTO",IF(U173&gt;=6,"MEDIO","BAJO"))))</x:f>
      </x:c>
      <x:c r="W173" t="str"/>
      <x:c r="X173" t="str">
        <x:f>IFERROR(VLOOKUP(W173,Catalogos!$G:$H,2,FALSE),"")</x:f>
      </x:c>
      <x:c r="Y173" t="str">
        <x:f>IF(OR(U173="",X173=""),"",U173*X173)</x:f>
      </x:c>
      <x:c r="Z173" t="str">
        <x:f>IF(Y173="","",IF(Y173&gt;=600,"I - Situación crítica. Suspender actividades hasta que el riesgo esté bajo control. Intervención urgente.",IF(Y173&gt;=150,"II - Corregir y adoptar medidas de control de inmediato.",IF(Y173&gt;=40,"III - Mejorar si es posible. Conviene justificar la intervención y su rentabilidad.","IV - Mantener controles existentes."))))</x:f>
      </x:c>
      <x:c r="AA173" t="str">
        <x:f>IF(Y173="","",IF(Y173&gt;=600,"No aceptable",IF(Y173&gt;=150,"No aceptable / Aceptable con control específico","Aceptable")))</x:f>
      </x:c>
      <x:c r="AB173" s="12" t="str"/>
      <x:c r="AC173" s="12" t="str"/>
      <x:c r="AD173" s="12" t="str"/>
      <x:c r="AE173" s="12" t="str"/>
      <x:c r="AF173" s="12" t="str"/>
      <x:c r="AG173" s="12" t="str"/>
      <x:c r="AH173" s="16" t="str"/>
      <x:c r="AI173" s="12" t="str"/>
    </x:row>
    <x:row r="174">
      <x:c r="A174" t="str"/>
      <x:c r="B174" t="str"/>
      <x:c r="C174" t="str"/>
      <x:c r="D174" s="12" t="str"/>
      <x:c r="E174" s="12" t="str"/>
      <x:c r="F174" s="12" t="str"/>
      <x:c r="G174" s="12" t="str"/>
      <x:c r="H174" s="12" t="str"/>
      <x:c r="I174" s="12" t="str"/>
      <x:c r="J174" s="12" t="str"/>
      <x:c r="K174" s="12" t="str"/>
      <x:c r="L174" s="12" t="str"/>
      <x:c r="M174" s="12" t="str"/>
      <x:c r="N174" s="12" t="str"/>
      <x:c r="O174" s="12" t="str"/>
      <x:c r="P174" t="str"/>
      <x:c r="Q174" t="str"/>
      <x:c r="R174" t="str">
        <x:f>IFERROR(VLOOKUP(Q174,Catalogos!$G:$H,2,FALSE),"")</x:f>
      </x:c>
      <x:c r="S174" t="str"/>
      <x:c r="T174" t="str">
        <x:f>IFERROR(VLOOKUP(S174,Catalogos!$I:$J,2,FALSE),"")</x:f>
      </x:c>
      <x:c r="U174" t="str">
        <x:f>IF(OR(R174="",T174=""),"",R174*T174)</x:f>
      </x:c>
      <x:c r="V174" t="str">
        <x:f>IF(U174="","",IF(U174&gt;=24,"MUY ALTO",IF(U174&gt;=10,"ALTO",IF(U174&gt;=6,"MEDIO","BAJO"))))</x:f>
      </x:c>
      <x:c r="W174" t="str"/>
      <x:c r="X174" t="str">
        <x:f>IFERROR(VLOOKUP(W174,Catalogos!$G:$H,2,FALSE),"")</x:f>
      </x:c>
      <x:c r="Y174" t="str">
        <x:f>IF(OR(U174="",X174=""),"",U174*X174)</x:f>
      </x:c>
      <x:c r="Z174" t="str">
        <x:f>IF(Y174="","",IF(Y174&gt;=600,"I - Situación crítica. Suspender actividades hasta que el riesgo esté bajo control. Intervención urgente.",IF(Y174&gt;=150,"II - Corregir y adoptar medidas de control de inmediato.",IF(Y174&gt;=40,"III - Mejorar si es posible. Conviene justificar la intervención y su rentabilidad.","IV - Mantener controles existentes."))))</x:f>
      </x:c>
      <x:c r="AA174" t="str">
        <x:f>IF(Y174="","",IF(Y174&gt;=600,"No aceptable",IF(Y174&gt;=150,"No aceptable / Aceptable con control específico","Aceptable")))</x:f>
      </x:c>
      <x:c r="AB174" s="12" t="str"/>
      <x:c r="AC174" s="12" t="str"/>
      <x:c r="AD174" s="12" t="str"/>
      <x:c r="AE174" s="12" t="str"/>
      <x:c r="AF174" s="12" t="str"/>
      <x:c r="AG174" s="12" t="str"/>
      <x:c r="AH174" s="16" t="str"/>
      <x:c r="AI174" s="12" t="str"/>
    </x:row>
    <x:row r="175">
      <x:c r="A175" t="str"/>
      <x:c r="B175" t="str"/>
      <x:c r="C175" t="str"/>
      <x:c r="D175" s="12" t="str"/>
      <x:c r="E175" s="12" t="str"/>
      <x:c r="F175" s="12" t="str"/>
      <x:c r="G175" s="12" t="str"/>
      <x:c r="H175" s="12" t="str"/>
      <x:c r="I175" s="12" t="str"/>
      <x:c r="J175" s="12" t="str"/>
      <x:c r="K175" s="12" t="str"/>
      <x:c r="L175" s="12" t="str"/>
      <x:c r="M175" s="12" t="str"/>
      <x:c r="N175" s="12" t="str"/>
      <x:c r="O175" s="12" t="str"/>
      <x:c r="P175" t="str"/>
      <x:c r="Q175" t="str"/>
      <x:c r="R175" t="str">
        <x:f>IFERROR(VLOOKUP(Q175,Catalogos!$G:$H,2,FALSE),"")</x:f>
      </x:c>
      <x:c r="S175" t="str"/>
      <x:c r="T175" t="str">
        <x:f>IFERROR(VLOOKUP(S175,Catalogos!$I:$J,2,FALSE),"")</x:f>
      </x:c>
      <x:c r="U175" t="str">
        <x:f>IF(OR(R175="",T175=""),"",R175*T175)</x:f>
      </x:c>
      <x:c r="V175" t="str">
        <x:f>IF(U175="","",IF(U175&gt;=24,"MUY ALTO",IF(U175&gt;=10,"ALTO",IF(U175&gt;=6,"MEDIO","BAJO"))))</x:f>
      </x:c>
      <x:c r="W175" t="str"/>
      <x:c r="X175" t="str">
        <x:f>IFERROR(VLOOKUP(W175,Catalogos!$G:$H,2,FALSE),"")</x:f>
      </x:c>
      <x:c r="Y175" t="str">
        <x:f>IF(OR(U175="",X175=""),"",U175*X175)</x:f>
      </x:c>
      <x:c r="Z175" t="str">
        <x:f>IF(Y175="","",IF(Y175&gt;=600,"I - Situación crítica. Suspender actividades hasta que el riesgo esté bajo control. Intervención urgente.",IF(Y175&gt;=150,"II - Corregir y adoptar medidas de control de inmediato.",IF(Y175&gt;=40,"III - Mejorar si es posible. Conviene justificar la intervención y su rentabilidad.","IV - Mantener controles existentes."))))</x:f>
      </x:c>
      <x:c r="AA175" t="str">
        <x:f>IF(Y175="","",IF(Y175&gt;=600,"No aceptable",IF(Y175&gt;=150,"No aceptable / Aceptable con control específico","Aceptable")))</x:f>
      </x:c>
      <x:c r="AB175" s="12" t="str"/>
      <x:c r="AC175" s="12" t="str"/>
      <x:c r="AD175" s="12" t="str"/>
      <x:c r="AE175" s="12" t="str"/>
      <x:c r="AF175" s="12" t="str"/>
      <x:c r="AG175" s="12" t="str"/>
      <x:c r="AH175" s="16" t="str"/>
      <x:c r="AI175" s="12" t="str"/>
    </x:row>
    <x:row r="176">
      <x:c r="A176" t="str"/>
      <x:c r="B176" t="str"/>
      <x:c r="C176" t="str"/>
      <x:c r="D176" s="12" t="str"/>
      <x:c r="E176" s="12" t="str"/>
      <x:c r="F176" s="12" t="str"/>
      <x:c r="G176" s="12" t="str"/>
      <x:c r="H176" s="12" t="str"/>
      <x:c r="I176" s="12" t="str"/>
      <x:c r="J176" s="12" t="str"/>
      <x:c r="K176" s="12" t="str"/>
      <x:c r="L176" s="12" t="str"/>
      <x:c r="M176" s="12" t="str"/>
      <x:c r="N176" s="12" t="str"/>
      <x:c r="O176" s="12" t="str"/>
      <x:c r="P176" t="str"/>
      <x:c r="Q176" t="str"/>
      <x:c r="R176" t="str">
        <x:f>IFERROR(VLOOKUP(Q176,Catalogos!$G:$H,2,FALSE),"")</x:f>
      </x:c>
      <x:c r="S176" t="str"/>
      <x:c r="T176" t="str">
        <x:f>IFERROR(VLOOKUP(S176,Catalogos!$I:$J,2,FALSE),"")</x:f>
      </x:c>
      <x:c r="U176" t="str">
        <x:f>IF(OR(R176="",T176=""),"",R176*T176)</x:f>
      </x:c>
      <x:c r="V176" t="str">
        <x:f>IF(U176="","",IF(U176&gt;=24,"MUY ALTO",IF(U176&gt;=10,"ALTO",IF(U176&gt;=6,"MEDIO","BAJO"))))</x:f>
      </x:c>
      <x:c r="W176" t="str"/>
      <x:c r="X176" t="str">
        <x:f>IFERROR(VLOOKUP(W176,Catalogos!$G:$H,2,FALSE),"")</x:f>
      </x:c>
      <x:c r="Y176" t="str">
        <x:f>IF(OR(U176="",X176=""),"",U176*X176)</x:f>
      </x:c>
      <x:c r="Z176" t="str">
        <x:f>IF(Y176="","",IF(Y176&gt;=600,"I - Situación crítica. Suspender actividades hasta que el riesgo esté bajo control. Intervención urgente.",IF(Y176&gt;=150,"II - Corregir y adoptar medidas de control de inmediato.",IF(Y176&gt;=40,"III - Mejorar si es posible. Conviene justificar la intervención y su rentabilidad.","IV - Mantener controles existentes."))))</x:f>
      </x:c>
      <x:c r="AA176" t="str">
        <x:f>IF(Y176="","",IF(Y176&gt;=600,"No aceptable",IF(Y176&gt;=150,"No aceptable / Aceptable con control específico","Aceptable")))</x:f>
      </x:c>
      <x:c r="AB176" s="12" t="str"/>
      <x:c r="AC176" s="12" t="str"/>
      <x:c r="AD176" s="12" t="str"/>
      <x:c r="AE176" s="12" t="str"/>
      <x:c r="AF176" s="12" t="str"/>
      <x:c r="AG176" s="12" t="str"/>
      <x:c r="AH176" s="16" t="str"/>
      <x:c r="AI176" s="12" t="str"/>
    </x:row>
    <x:row r="177">
      <x:c r="A177" t="str"/>
      <x:c r="B177" t="str"/>
      <x:c r="C177" t="str"/>
      <x:c r="D177" s="12" t="str"/>
      <x:c r="E177" s="12" t="str"/>
      <x:c r="F177" s="12" t="str"/>
      <x:c r="G177" s="12" t="str"/>
      <x:c r="H177" s="12" t="str"/>
      <x:c r="I177" s="12" t="str"/>
      <x:c r="J177" s="12" t="str"/>
      <x:c r="K177" s="12" t="str"/>
      <x:c r="L177" s="12" t="str"/>
      <x:c r="M177" s="12" t="str"/>
      <x:c r="N177" s="12" t="str"/>
      <x:c r="O177" s="12" t="str"/>
      <x:c r="P177" t="str"/>
      <x:c r="Q177" t="str"/>
      <x:c r="R177" t="str">
        <x:f>IFERROR(VLOOKUP(Q177,Catalogos!$G:$H,2,FALSE),"")</x:f>
      </x:c>
      <x:c r="S177" t="str"/>
      <x:c r="T177" t="str">
        <x:f>IFERROR(VLOOKUP(S177,Catalogos!$I:$J,2,FALSE),"")</x:f>
      </x:c>
      <x:c r="U177" t="str">
        <x:f>IF(OR(R177="",T177=""),"",R177*T177)</x:f>
      </x:c>
      <x:c r="V177" t="str">
        <x:f>IF(U177="","",IF(U177&gt;=24,"MUY ALTO",IF(U177&gt;=10,"ALTO",IF(U177&gt;=6,"MEDIO","BAJO"))))</x:f>
      </x:c>
      <x:c r="W177" t="str"/>
      <x:c r="X177" t="str">
        <x:f>IFERROR(VLOOKUP(W177,Catalogos!$G:$H,2,FALSE),"")</x:f>
      </x:c>
      <x:c r="Y177" t="str">
        <x:f>IF(OR(U177="",X177=""),"",U177*X177)</x:f>
      </x:c>
      <x:c r="Z177" t="str">
        <x:f>IF(Y177="","",IF(Y177&gt;=600,"I - Situación crítica. Suspender actividades hasta que el riesgo esté bajo control. Intervención urgente.",IF(Y177&gt;=150,"II - Corregir y adoptar medidas de control de inmediato.",IF(Y177&gt;=40,"III - Mejorar si es posible. Conviene justificar la intervención y su rentabilidad.","IV - Mantener controles existentes."))))</x:f>
      </x:c>
      <x:c r="AA177" t="str">
        <x:f>IF(Y177="","",IF(Y177&gt;=600,"No aceptable",IF(Y177&gt;=150,"No aceptable / Aceptable con control específico","Aceptable")))</x:f>
      </x:c>
      <x:c r="AB177" s="12" t="str"/>
      <x:c r="AC177" s="12" t="str"/>
      <x:c r="AD177" s="12" t="str"/>
      <x:c r="AE177" s="12" t="str"/>
      <x:c r="AF177" s="12" t="str"/>
      <x:c r="AG177" s="12" t="str"/>
      <x:c r="AH177" s="16" t="str"/>
      <x:c r="AI177" s="12" t="str"/>
    </x:row>
    <x:row r="178">
      <x:c r="A178" t="str"/>
      <x:c r="B178" t="str"/>
      <x:c r="C178" t="str"/>
      <x:c r="D178" s="12" t="str"/>
      <x:c r="E178" s="12" t="str"/>
      <x:c r="F178" s="12" t="str"/>
      <x:c r="G178" s="12" t="str"/>
      <x:c r="H178" s="12" t="str"/>
      <x:c r="I178" s="12" t="str"/>
      <x:c r="J178" s="12" t="str"/>
      <x:c r="K178" s="12" t="str"/>
      <x:c r="L178" s="12" t="str"/>
      <x:c r="M178" s="12" t="str"/>
      <x:c r="N178" s="12" t="str"/>
      <x:c r="O178" s="12" t="str"/>
      <x:c r="P178" t="str"/>
      <x:c r="Q178" t="str"/>
      <x:c r="R178" t="str">
        <x:f>IFERROR(VLOOKUP(Q178,Catalogos!$G:$H,2,FALSE),"")</x:f>
      </x:c>
      <x:c r="S178" t="str"/>
      <x:c r="T178" t="str">
        <x:f>IFERROR(VLOOKUP(S178,Catalogos!$I:$J,2,FALSE),"")</x:f>
      </x:c>
      <x:c r="U178" t="str">
        <x:f>IF(OR(R178="",T178=""),"",R178*T178)</x:f>
      </x:c>
      <x:c r="V178" t="str">
        <x:f>IF(U178="","",IF(U178&gt;=24,"MUY ALTO",IF(U178&gt;=10,"ALTO",IF(U178&gt;=6,"MEDIO","BAJO"))))</x:f>
      </x:c>
      <x:c r="W178" t="str"/>
      <x:c r="X178" t="str">
        <x:f>IFERROR(VLOOKUP(W178,Catalogos!$G:$H,2,FALSE),"")</x:f>
      </x:c>
      <x:c r="Y178" t="str">
        <x:f>IF(OR(U178="",X178=""),"",U178*X178)</x:f>
      </x:c>
      <x:c r="Z178" t="str">
        <x:f>IF(Y178="","",IF(Y178&gt;=600,"I - Situación crítica. Suspender actividades hasta que el riesgo esté bajo control. Intervención urgente.",IF(Y178&gt;=150,"II - Corregir y adoptar medidas de control de inmediato.",IF(Y178&gt;=40,"III - Mejorar si es posible. Conviene justificar la intervención y su rentabilidad.","IV - Mantener controles existentes."))))</x:f>
      </x:c>
      <x:c r="AA178" t="str">
        <x:f>IF(Y178="","",IF(Y178&gt;=600,"No aceptable",IF(Y178&gt;=150,"No aceptable / Aceptable con control específico","Aceptable")))</x:f>
      </x:c>
      <x:c r="AB178" s="12" t="str"/>
      <x:c r="AC178" s="12" t="str"/>
      <x:c r="AD178" s="12" t="str"/>
      <x:c r="AE178" s="12" t="str"/>
      <x:c r="AF178" s="12" t="str"/>
      <x:c r="AG178" s="12" t="str"/>
      <x:c r="AH178" s="16" t="str"/>
      <x:c r="AI178" s="12" t="str"/>
    </x:row>
    <x:row r="179">
      <x:c r="A179" t="str"/>
      <x:c r="B179" t="str"/>
      <x:c r="C179" t="str"/>
      <x:c r="D179" s="12" t="str"/>
      <x:c r="E179" s="12" t="str"/>
      <x:c r="F179" s="12" t="str"/>
      <x:c r="G179" s="12" t="str"/>
      <x:c r="H179" s="12" t="str"/>
      <x:c r="I179" s="12" t="str"/>
      <x:c r="J179" s="12" t="str"/>
      <x:c r="K179" s="12" t="str"/>
      <x:c r="L179" s="12" t="str"/>
      <x:c r="M179" s="12" t="str"/>
      <x:c r="N179" s="12" t="str"/>
      <x:c r="O179" s="12" t="str"/>
      <x:c r="P179" t="str"/>
      <x:c r="Q179" t="str"/>
      <x:c r="R179" t="str">
        <x:f>IFERROR(VLOOKUP(Q179,Catalogos!$G:$H,2,FALSE),"")</x:f>
      </x:c>
      <x:c r="S179" t="str"/>
      <x:c r="T179" t="str">
        <x:f>IFERROR(VLOOKUP(S179,Catalogos!$I:$J,2,FALSE),"")</x:f>
      </x:c>
      <x:c r="U179" t="str">
        <x:f>IF(OR(R179="",T179=""),"",R179*T179)</x:f>
      </x:c>
      <x:c r="V179" t="str">
        <x:f>IF(U179="","",IF(U179&gt;=24,"MUY ALTO",IF(U179&gt;=10,"ALTO",IF(U179&gt;=6,"MEDIO","BAJO"))))</x:f>
      </x:c>
      <x:c r="W179" t="str"/>
      <x:c r="X179" t="str">
        <x:f>IFERROR(VLOOKUP(W179,Catalogos!$G:$H,2,FALSE),"")</x:f>
      </x:c>
      <x:c r="Y179" t="str">
        <x:f>IF(OR(U179="",X179=""),"",U179*X179)</x:f>
      </x:c>
      <x:c r="Z179" t="str">
        <x:f>IF(Y179="","",IF(Y179&gt;=600,"I - Situación crítica. Suspender actividades hasta que el riesgo esté bajo control. Intervención urgente.",IF(Y179&gt;=150,"II - Corregir y adoptar medidas de control de inmediato.",IF(Y179&gt;=40,"III - Mejorar si es posible. Conviene justificar la intervención y su rentabilidad.","IV - Mantener controles existentes."))))</x:f>
      </x:c>
      <x:c r="AA179" t="str">
        <x:f>IF(Y179="","",IF(Y179&gt;=600,"No aceptable",IF(Y179&gt;=150,"No aceptable / Aceptable con control específico","Aceptable")))</x:f>
      </x:c>
      <x:c r="AB179" s="12" t="str"/>
      <x:c r="AC179" s="12" t="str"/>
      <x:c r="AD179" s="12" t="str"/>
      <x:c r="AE179" s="12" t="str"/>
      <x:c r="AF179" s="12" t="str"/>
      <x:c r="AG179" s="12" t="str"/>
      <x:c r="AH179" s="16" t="str"/>
      <x:c r="AI179" s="12" t="str"/>
    </x:row>
    <x:row r="180">
      <x:c r="A180" t="str"/>
      <x:c r="B180" t="str"/>
      <x:c r="C180" t="str"/>
      <x:c r="D180" s="12" t="str"/>
      <x:c r="E180" s="12" t="str"/>
      <x:c r="F180" s="12" t="str"/>
      <x:c r="G180" s="12" t="str"/>
      <x:c r="H180" s="12" t="str"/>
      <x:c r="I180" s="12" t="str"/>
      <x:c r="J180" s="12" t="str"/>
      <x:c r="K180" s="12" t="str"/>
      <x:c r="L180" s="12" t="str"/>
      <x:c r="M180" s="12" t="str"/>
      <x:c r="N180" s="12" t="str"/>
      <x:c r="O180" s="12" t="str"/>
      <x:c r="P180" t="str"/>
      <x:c r="Q180" t="str"/>
      <x:c r="R180" t="str">
        <x:f>IFERROR(VLOOKUP(Q180,Catalogos!$G:$H,2,FALSE),"")</x:f>
      </x:c>
      <x:c r="S180" t="str"/>
      <x:c r="T180" t="str">
        <x:f>IFERROR(VLOOKUP(S180,Catalogos!$I:$J,2,FALSE),"")</x:f>
      </x:c>
      <x:c r="U180" t="str">
        <x:f>IF(OR(R180="",T180=""),"",R180*T180)</x:f>
      </x:c>
      <x:c r="V180" t="str">
        <x:f>IF(U180="","",IF(U180&gt;=24,"MUY ALTO",IF(U180&gt;=10,"ALTO",IF(U180&gt;=6,"MEDIO","BAJO"))))</x:f>
      </x:c>
      <x:c r="W180" t="str"/>
      <x:c r="X180" t="str">
        <x:f>IFERROR(VLOOKUP(W180,Catalogos!$G:$H,2,FALSE),"")</x:f>
      </x:c>
      <x:c r="Y180" t="str">
        <x:f>IF(OR(U180="",X180=""),"",U180*X180)</x:f>
      </x:c>
      <x:c r="Z180" t="str">
        <x:f>IF(Y180="","",IF(Y180&gt;=600,"I - Situación crítica. Suspender actividades hasta que el riesgo esté bajo control. Intervención urgente.",IF(Y180&gt;=150,"II - Corregir y adoptar medidas de control de inmediato.",IF(Y180&gt;=40,"III - Mejorar si es posible. Conviene justificar la intervención y su rentabilidad.","IV - Mantener controles existentes."))))</x:f>
      </x:c>
      <x:c r="AA180" t="str">
        <x:f>IF(Y180="","",IF(Y180&gt;=600,"No aceptable",IF(Y180&gt;=150,"No aceptable / Aceptable con control específico","Aceptable")))</x:f>
      </x:c>
      <x:c r="AB180" s="12" t="str"/>
      <x:c r="AC180" s="12" t="str"/>
      <x:c r="AD180" s="12" t="str"/>
      <x:c r="AE180" s="12" t="str"/>
      <x:c r="AF180" s="12" t="str"/>
      <x:c r="AG180" s="12" t="str"/>
      <x:c r="AH180" s="16" t="str"/>
      <x:c r="AI180" s="12" t="str"/>
    </x:row>
    <x:row r="181">
      <x:c r="A181" t="str"/>
      <x:c r="B181" t="str"/>
      <x:c r="C181" t="str"/>
      <x:c r="D181" s="12" t="str"/>
      <x:c r="E181" s="12" t="str"/>
      <x:c r="F181" s="12" t="str"/>
      <x:c r="G181" s="12" t="str"/>
      <x:c r="H181" s="12" t="str"/>
      <x:c r="I181" s="12" t="str"/>
      <x:c r="J181" s="12" t="str"/>
      <x:c r="K181" s="12" t="str"/>
      <x:c r="L181" s="12" t="str"/>
      <x:c r="M181" s="12" t="str"/>
      <x:c r="N181" s="12" t="str"/>
      <x:c r="O181" s="12" t="str"/>
      <x:c r="P181" t="str"/>
      <x:c r="Q181" t="str"/>
      <x:c r="R181" t="str">
        <x:f>IFERROR(VLOOKUP(Q181,Catalogos!$G:$H,2,FALSE),"")</x:f>
      </x:c>
      <x:c r="S181" t="str"/>
      <x:c r="T181" t="str">
        <x:f>IFERROR(VLOOKUP(S181,Catalogos!$I:$J,2,FALSE),"")</x:f>
      </x:c>
      <x:c r="U181" t="str">
        <x:f>IF(OR(R181="",T181=""),"",R181*T181)</x:f>
      </x:c>
      <x:c r="V181" t="str">
        <x:f>IF(U181="","",IF(U181&gt;=24,"MUY ALTO",IF(U181&gt;=10,"ALTO",IF(U181&gt;=6,"MEDIO","BAJO"))))</x:f>
      </x:c>
      <x:c r="W181" t="str"/>
      <x:c r="X181" t="str">
        <x:f>IFERROR(VLOOKUP(W181,Catalogos!$G:$H,2,FALSE),"")</x:f>
      </x:c>
      <x:c r="Y181" t="str">
        <x:f>IF(OR(U181="",X181=""),"",U181*X181)</x:f>
      </x:c>
      <x:c r="Z181" t="str">
        <x:f>IF(Y181="","",IF(Y181&gt;=600,"I - Situación crítica. Suspender actividades hasta que el riesgo esté bajo control. Intervención urgente.",IF(Y181&gt;=150,"II - Corregir y adoptar medidas de control de inmediato.",IF(Y181&gt;=40,"III - Mejorar si es posible. Conviene justificar la intervención y su rentabilidad.","IV - Mantener controles existentes."))))</x:f>
      </x:c>
      <x:c r="AA181" t="str">
        <x:f>IF(Y181="","",IF(Y181&gt;=600,"No aceptable",IF(Y181&gt;=150,"No aceptable / Aceptable con control específico","Aceptable")))</x:f>
      </x:c>
      <x:c r="AB181" s="12" t="str"/>
      <x:c r="AC181" s="12" t="str"/>
      <x:c r="AD181" s="12" t="str"/>
      <x:c r="AE181" s="12" t="str"/>
      <x:c r="AF181" s="12" t="str"/>
      <x:c r="AG181" s="12" t="str"/>
      <x:c r="AH181" s="16" t="str"/>
      <x:c r="AI181" s="12" t="str"/>
    </x:row>
    <x:row r="182">
      <x:c r="A182" t="str"/>
      <x:c r="B182" t="str"/>
      <x:c r="C182" t="str"/>
      <x:c r="D182" s="12" t="str"/>
      <x:c r="E182" s="12" t="str"/>
      <x:c r="F182" s="12" t="str"/>
      <x:c r="G182" s="12" t="str"/>
      <x:c r="H182" s="12" t="str"/>
      <x:c r="I182" s="12" t="str"/>
      <x:c r="J182" s="12" t="str"/>
      <x:c r="K182" s="12" t="str"/>
      <x:c r="L182" s="12" t="str"/>
      <x:c r="M182" s="12" t="str"/>
      <x:c r="N182" s="12" t="str"/>
      <x:c r="O182" s="12" t="str"/>
      <x:c r="P182" t="str"/>
      <x:c r="Q182" t="str"/>
      <x:c r="R182" t="str">
        <x:f>IFERROR(VLOOKUP(Q182,Catalogos!$G:$H,2,FALSE),"")</x:f>
      </x:c>
      <x:c r="S182" t="str"/>
      <x:c r="T182" t="str">
        <x:f>IFERROR(VLOOKUP(S182,Catalogos!$I:$J,2,FALSE),"")</x:f>
      </x:c>
      <x:c r="U182" t="str">
        <x:f>IF(OR(R182="",T182=""),"",R182*T182)</x:f>
      </x:c>
      <x:c r="V182" t="str">
        <x:f>IF(U182="","",IF(U182&gt;=24,"MUY ALTO",IF(U182&gt;=10,"ALTO",IF(U182&gt;=6,"MEDIO","BAJO"))))</x:f>
      </x:c>
      <x:c r="W182" t="str"/>
      <x:c r="X182" t="str">
        <x:f>IFERROR(VLOOKUP(W182,Catalogos!$G:$H,2,FALSE),"")</x:f>
      </x:c>
      <x:c r="Y182" t="str">
        <x:f>IF(OR(U182="",X182=""),"",U182*X182)</x:f>
      </x:c>
      <x:c r="Z182" t="str">
        <x:f>IF(Y182="","",IF(Y182&gt;=600,"I - Situación crítica. Suspender actividades hasta que el riesgo esté bajo control. Intervención urgente.",IF(Y182&gt;=150,"II - Corregir y adoptar medidas de control de inmediato.",IF(Y182&gt;=40,"III - Mejorar si es posible. Conviene justificar la intervención y su rentabilidad.","IV - Mantener controles existentes."))))</x:f>
      </x:c>
      <x:c r="AA182" t="str">
        <x:f>IF(Y182="","",IF(Y182&gt;=600,"No aceptable",IF(Y182&gt;=150,"No aceptable / Aceptable con control específico","Aceptable")))</x:f>
      </x:c>
      <x:c r="AB182" s="12" t="str"/>
      <x:c r="AC182" s="12" t="str"/>
      <x:c r="AD182" s="12" t="str"/>
      <x:c r="AE182" s="12" t="str"/>
      <x:c r="AF182" s="12" t="str"/>
      <x:c r="AG182" s="12" t="str"/>
      <x:c r="AH182" s="16" t="str"/>
      <x:c r="AI182" s="12" t="str"/>
    </x:row>
    <x:row r="183">
      <x:c r="A183" t="str"/>
      <x:c r="B183" t="str"/>
      <x:c r="C183" t="str"/>
      <x:c r="D183" s="12" t="str"/>
      <x:c r="E183" s="12" t="str"/>
      <x:c r="F183" s="12" t="str"/>
      <x:c r="G183" s="12" t="str"/>
      <x:c r="H183" s="12" t="str"/>
      <x:c r="I183" s="12" t="str"/>
      <x:c r="J183" s="12" t="str"/>
      <x:c r="K183" s="12" t="str"/>
      <x:c r="L183" s="12" t="str"/>
      <x:c r="M183" s="12" t="str"/>
      <x:c r="N183" s="12" t="str"/>
      <x:c r="O183" s="12" t="str"/>
      <x:c r="P183" t="str"/>
      <x:c r="Q183" t="str"/>
      <x:c r="R183" t="str">
        <x:f>IFERROR(VLOOKUP(Q183,Catalogos!$G:$H,2,FALSE),"")</x:f>
      </x:c>
      <x:c r="S183" t="str"/>
      <x:c r="T183" t="str">
        <x:f>IFERROR(VLOOKUP(S183,Catalogos!$I:$J,2,FALSE),"")</x:f>
      </x:c>
      <x:c r="U183" t="str">
        <x:f>IF(OR(R183="",T183=""),"",R183*T183)</x:f>
      </x:c>
      <x:c r="V183" t="str">
        <x:f>IF(U183="","",IF(U183&gt;=24,"MUY ALTO",IF(U183&gt;=10,"ALTO",IF(U183&gt;=6,"MEDIO","BAJO"))))</x:f>
      </x:c>
      <x:c r="W183" t="str"/>
      <x:c r="X183" t="str">
        <x:f>IFERROR(VLOOKUP(W183,Catalogos!$G:$H,2,FALSE),"")</x:f>
      </x:c>
      <x:c r="Y183" t="str">
        <x:f>IF(OR(U183="",X183=""),"",U183*X183)</x:f>
      </x:c>
      <x:c r="Z183" t="str">
        <x:f>IF(Y183="","",IF(Y183&gt;=600,"I - Situación crítica. Suspender actividades hasta que el riesgo esté bajo control. Intervención urgente.",IF(Y183&gt;=150,"II - Corregir y adoptar medidas de control de inmediato.",IF(Y183&gt;=40,"III - Mejorar si es posible. Conviene justificar la intervención y su rentabilidad.","IV - Mantener controles existentes."))))</x:f>
      </x:c>
      <x:c r="AA183" t="str">
        <x:f>IF(Y183="","",IF(Y183&gt;=600,"No aceptable",IF(Y183&gt;=150,"No aceptable / Aceptable con control específico","Aceptable")))</x:f>
      </x:c>
      <x:c r="AB183" s="12" t="str"/>
      <x:c r="AC183" s="12" t="str"/>
      <x:c r="AD183" s="12" t="str"/>
      <x:c r="AE183" s="12" t="str"/>
      <x:c r="AF183" s="12" t="str"/>
      <x:c r="AG183" s="12" t="str"/>
      <x:c r="AH183" s="16" t="str"/>
      <x:c r="AI183" s="12" t="str"/>
    </x:row>
    <x:row r="184">
      <x:c r="A184" t="str"/>
      <x:c r="B184" t="str"/>
      <x:c r="C184" t="str"/>
      <x:c r="D184" s="12" t="str"/>
      <x:c r="E184" s="12" t="str"/>
      <x:c r="F184" s="12" t="str"/>
      <x:c r="G184" s="12" t="str"/>
      <x:c r="H184" s="12" t="str"/>
      <x:c r="I184" s="12" t="str"/>
      <x:c r="J184" s="12" t="str"/>
      <x:c r="K184" s="12" t="str"/>
      <x:c r="L184" s="12" t="str"/>
      <x:c r="M184" s="12" t="str"/>
      <x:c r="N184" s="12" t="str"/>
      <x:c r="O184" s="12" t="str"/>
      <x:c r="P184" t="str"/>
      <x:c r="Q184" t="str"/>
      <x:c r="R184" t="str">
        <x:f>IFERROR(VLOOKUP(Q184,Catalogos!$G:$H,2,FALSE),"")</x:f>
      </x:c>
      <x:c r="S184" t="str"/>
      <x:c r="T184" t="str">
        <x:f>IFERROR(VLOOKUP(S184,Catalogos!$I:$J,2,FALSE),"")</x:f>
      </x:c>
      <x:c r="U184" t="str">
        <x:f>IF(OR(R184="",T184=""),"",R184*T184)</x:f>
      </x:c>
      <x:c r="V184" t="str">
        <x:f>IF(U184="","",IF(U184&gt;=24,"MUY ALTO",IF(U184&gt;=10,"ALTO",IF(U184&gt;=6,"MEDIO","BAJO"))))</x:f>
      </x:c>
      <x:c r="W184" t="str"/>
      <x:c r="X184" t="str">
        <x:f>IFERROR(VLOOKUP(W184,Catalogos!$G:$H,2,FALSE),"")</x:f>
      </x:c>
      <x:c r="Y184" t="str">
        <x:f>IF(OR(U184="",X184=""),"",U184*X184)</x:f>
      </x:c>
      <x:c r="Z184" t="str">
        <x:f>IF(Y184="","",IF(Y184&gt;=600,"I - Situación crítica. Suspender actividades hasta que el riesgo esté bajo control. Intervención urgente.",IF(Y184&gt;=150,"II - Corregir y adoptar medidas de control de inmediato.",IF(Y184&gt;=40,"III - Mejorar si es posible. Conviene justificar la intervención y su rentabilidad.","IV - Mantener controles existentes."))))</x:f>
      </x:c>
      <x:c r="AA184" t="str">
        <x:f>IF(Y184="","",IF(Y184&gt;=600,"No aceptable",IF(Y184&gt;=150,"No aceptable / Aceptable con control específico","Aceptable")))</x:f>
      </x:c>
      <x:c r="AB184" s="12" t="str"/>
      <x:c r="AC184" s="12" t="str"/>
      <x:c r="AD184" s="12" t="str"/>
      <x:c r="AE184" s="12" t="str"/>
      <x:c r="AF184" s="12" t="str"/>
      <x:c r="AG184" s="12" t="str"/>
      <x:c r="AH184" s="16" t="str"/>
      <x:c r="AI184" s="12" t="str"/>
    </x:row>
    <x:row r="185">
      <x:c r="A185" t="str"/>
      <x:c r="B185" t="str"/>
      <x:c r="C185" t="str"/>
      <x:c r="D185" s="12" t="str"/>
      <x:c r="E185" s="12" t="str"/>
      <x:c r="F185" s="12" t="str"/>
      <x:c r="G185" s="12" t="str"/>
      <x:c r="H185" s="12" t="str"/>
      <x:c r="I185" s="12" t="str"/>
      <x:c r="J185" s="12" t="str"/>
      <x:c r="K185" s="12" t="str"/>
      <x:c r="L185" s="12" t="str"/>
      <x:c r="M185" s="12" t="str"/>
      <x:c r="N185" s="12" t="str"/>
      <x:c r="O185" s="12" t="str"/>
      <x:c r="P185" t="str"/>
      <x:c r="Q185" t="str"/>
      <x:c r="R185" t="str">
        <x:f>IFERROR(VLOOKUP(Q185,Catalogos!$G:$H,2,FALSE),"")</x:f>
      </x:c>
      <x:c r="S185" t="str"/>
      <x:c r="T185" t="str">
        <x:f>IFERROR(VLOOKUP(S185,Catalogos!$I:$J,2,FALSE),"")</x:f>
      </x:c>
      <x:c r="U185" t="str">
        <x:f>IF(OR(R185="",T185=""),"",R185*T185)</x:f>
      </x:c>
      <x:c r="V185" t="str">
        <x:f>IF(U185="","",IF(U185&gt;=24,"MUY ALTO",IF(U185&gt;=10,"ALTO",IF(U185&gt;=6,"MEDIO","BAJO"))))</x:f>
      </x:c>
      <x:c r="W185" t="str"/>
      <x:c r="X185" t="str">
        <x:f>IFERROR(VLOOKUP(W185,Catalogos!$G:$H,2,FALSE),"")</x:f>
      </x:c>
      <x:c r="Y185" t="str">
        <x:f>IF(OR(U185="",X185=""),"",U185*X185)</x:f>
      </x:c>
      <x:c r="Z185" t="str">
        <x:f>IF(Y185="","",IF(Y185&gt;=600,"I - Situación crítica. Suspender actividades hasta que el riesgo esté bajo control. Intervención urgente.",IF(Y185&gt;=150,"II - Corregir y adoptar medidas de control de inmediato.",IF(Y185&gt;=40,"III - Mejorar si es posible. Conviene justificar la intervención y su rentabilidad.","IV - Mantener controles existentes."))))</x:f>
      </x:c>
      <x:c r="AA185" t="str">
        <x:f>IF(Y185="","",IF(Y185&gt;=600,"No aceptable",IF(Y185&gt;=150,"No aceptable / Aceptable con control específico","Aceptable")))</x:f>
      </x:c>
      <x:c r="AB185" s="12" t="str"/>
      <x:c r="AC185" s="12" t="str"/>
      <x:c r="AD185" s="12" t="str"/>
      <x:c r="AE185" s="12" t="str"/>
      <x:c r="AF185" s="12" t="str"/>
      <x:c r="AG185" s="12" t="str"/>
      <x:c r="AH185" s="16" t="str"/>
      <x:c r="AI185" s="12" t="str"/>
    </x:row>
    <x:row r="186">
      <x:c r="A186" t="str"/>
      <x:c r="B186" t="str"/>
      <x:c r="C186" t="str"/>
      <x:c r="D186" s="12" t="str"/>
      <x:c r="E186" s="12" t="str"/>
      <x:c r="F186" s="12" t="str"/>
      <x:c r="G186" s="12" t="str"/>
      <x:c r="H186" s="12" t="str"/>
      <x:c r="I186" s="12" t="str"/>
      <x:c r="J186" s="12" t="str"/>
      <x:c r="K186" s="12" t="str"/>
      <x:c r="L186" s="12" t="str"/>
      <x:c r="M186" s="12" t="str"/>
      <x:c r="N186" s="12" t="str"/>
      <x:c r="O186" s="12" t="str"/>
      <x:c r="P186" t="str"/>
      <x:c r="Q186" t="str"/>
      <x:c r="R186" t="str">
        <x:f>IFERROR(VLOOKUP(Q186,Catalogos!$G:$H,2,FALSE),"")</x:f>
      </x:c>
      <x:c r="S186" t="str"/>
      <x:c r="T186" t="str">
        <x:f>IFERROR(VLOOKUP(S186,Catalogos!$I:$J,2,FALSE),"")</x:f>
      </x:c>
      <x:c r="U186" t="str">
        <x:f>IF(OR(R186="",T186=""),"",R186*T186)</x:f>
      </x:c>
      <x:c r="V186" t="str">
        <x:f>IF(U186="","",IF(U186&gt;=24,"MUY ALTO",IF(U186&gt;=10,"ALTO",IF(U186&gt;=6,"MEDIO","BAJO"))))</x:f>
      </x:c>
      <x:c r="W186" t="str"/>
      <x:c r="X186" t="str">
        <x:f>IFERROR(VLOOKUP(W186,Catalogos!$G:$H,2,FALSE),"")</x:f>
      </x:c>
      <x:c r="Y186" t="str">
        <x:f>IF(OR(U186="",X186=""),"",U186*X186)</x:f>
      </x:c>
      <x:c r="Z186" t="str">
        <x:f>IF(Y186="","",IF(Y186&gt;=600,"I - Situación crítica. Suspender actividades hasta que el riesgo esté bajo control. Intervención urgente.",IF(Y186&gt;=150,"II - Corregir y adoptar medidas de control de inmediato.",IF(Y186&gt;=40,"III - Mejorar si es posible. Conviene justificar la intervención y su rentabilidad.","IV - Mantener controles existentes."))))</x:f>
      </x:c>
      <x:c r="AA186" t="str">
        <x:f>IF(Y186="","",IF(Y186&gt;=600,"No aceptable",IF(Y186&gt;=150,"No aceptable / Aceptable con control específico","Aceptable")))</x:f>
      </x:c>
      <x:c r="AB186" s="12" t="str"/>
      <x:c r="AC186" s="12" t="str"/>
      <x:c r="AD186" s="12" t="str"/>
      <x:c r="AE186" s="12" t="str"/>
      <x:c r="AF186" s="12" t="str"/>
      <x:c r="AG186" s="12" t="str"/>
      <x:c r="AH186" s="16" t="str"/>
      <x:c r="AI186" s="12" t="str"/>
    </x:row>
    <x:row r="187">
      <x:c r="A187" t="str"/>
      <x:c r="B187" t="str"/>
      <x:c r="C187" t="str"/>
      <x:c r="D187" s="12" t="str"/>
      <x:c r="E187" s="12" t="str"/>
      <x:c r="F187" s="12" t="str"/>
      <x:c r="G187" s="12" t="str"/>
      <x:c r="H187" s="12" t="str"/>
      <x:c r="I187" s="12" t="str"/>
      <x:c r="J187" s="12" t="str"/>
      <x:c r="K187" s="12" t="str"/>
      <x:c r="L187" s="12" t="str"/>
      <x:c r="M187" s="12" t="str"/>
      <x:c r="N187" s="12" t="str"/>
      <x:c r="O187" s="12" t="str"/>
      <x:c r="P187" t="str"/>
      <x:c r="Q187" t="str"/>
      <x:c r="R187" t="str">
        <x:f>IFERROR(VLOOKUP(Q187,Catalogos!$G:$H,2,FALSE),"")</x:f>
      </x:c>
      <x:c r="S187" t="str"/>
      <x:c r="T187" t="str">
        <x:f>IFERROR(VLOOKUP(S187,Catalogos!$I:$J,2,FALSE),"")</x:f>
      </x:c>
      <x:c r="U187" t="str">
        <x:f>IF(OR(R187="",T187=""),"",R187*T187)</x:f>
      </x:c>
      <x:c r="V187" t="str">
        <x:f>IF(U187="","",IF(U187&gt;=24,"MUY ALTO",IF(U187&gt;=10,"ALTO",IF(U187&gt;=6,"MEDIO","BAJO"))))</x:f>
      </x:c>
      <x:c r="W187" t="str"/>
      <x:c r="X187" t="str">
        <x:f>IFERROR(VLOOKUP(W187,Catalogos!$G:$H,2,FALSE),"")</x:f>
      </x:c>
      <x:c r="Y187" t="str">
        <x:f>IF(OR(U187="",X187=""),"",U187*X187)</x:f>
      </x:c>
      <x:c r="Z187" t="str">
        <x:f>IF(Y187="","",IF(Y187&gt;=600,"I - Situación crítica. Suspender actividades hasta que el riesgo esté bajo control. Intervención urgente.",IF(Y187&gt;=150,"II - Corregir y adoptar medidas de control de inmediato.",IF(Y187&gt;=40,"III - Mejorar si es posible. Conviene justificar la intervención y su rentabilidad.","IV - Mantener controles existentes."))))</x:f>
      </x:c>
      <x:c r="AA187" t="str">
        <x:f>IF(Y187="","",IF(Y187&gt;=600,"No aceptable",IF(Y187&gt;=150,"No aceptable / Aceptable con control específico","Aceptable")))</x:f>
      </x:c>
      <x:c r="AB187" s="12" t="str"/>
      <x:c r="AC187" s="12" t="str"/>
      <x:c r="AD187" s="12" t="str"/>
      <x:c r="AE187" s="12" t="str"/>
      <x:c r="AF187" s="12" t="str"/>
      <x:c r="AG187" s="12" t="str"/>
      <x:c r="AH187" s="16" t="str"/>
      <x:c r="AI187" s="12" t="str"/>
    </x:row>
    <x:row r="188">
      <x:c r="A188" t="str"/>
      <x:c r="B188" t="str"/>
      <x:c r="C188" t="str"/>
      <x:c r="D188" s="12" t="str"/>
      <x:c r="E188" s="12" t="str"/>
      <x:c r="F188" s="12" t="str"/>
      <x:c r="G188" s="12" t="str"/>
      <x:c r="H188" s="12" t="str"/>
      <x:c r="I188" s="12" t="str"/>
      <x:c r="J188" s="12" t="str"/>
      <x:c r="K188" s="12" t="str"/>
      <x:c r="L188" s="12" t="str"/>
      <x:c r="M188" s="12" t="str"/>
      <x:c r="N188" s="12" t="str"/>
      <x:c r="O188" s="12" t="str"/>
      <x:c r="P188" t="str"/>
      <x:c r="Q188" t="str"/>
      <x:c r="R188" t="str">
        <x:f>IFERROR(VLOOKUP(Q188,Catalogos!$G:$H,2,FALSE),"")</x:f>
      </x:c>
      <x:c r="S188" t="str"/>
      <x:c r="T188" t="str">
        <x:f>IFERROR(VLOOKUP(S188,Catalogos!$I:$J,2,FALSE),"")</x:f>
      </x:c>
      <x:c r="U188" t="str">
        <x:f>IF(OR(R188="",T188=""),"",R188*T188)</x:f>
      </x:c>
      <x:c r="V188" t="str">
        <x:f>IF(U188="","",IF(U188&gt;=24,"MUY ALTO",IF(U188&gt;=10,"ALTO",IF(U188&gt;=6,"MEDIO","BAJO"))))</x:f>
      </x:c>
      <x:c r="W188" t="str"/>
      <x:c r="X188" t="str">
        <x:f>IFERROR(VLOOKUP(W188,Catalogos!$G:$H,2,FALSE),"")</x:f>
      </x:c>
      <x:c r="Y188" t="str">
        <x:f>IF(OR(U188="",X188=""),"",U188*X188)</x:f>
      </x:c>
      <x:c r="Z188" t="str">
        <x:f>IF(Y188="","",IF(Y188&gt;=600,"I - Situación crítica. Suspender actividades hasta que el riesgo esté bajo control. Intervención urgente.",IF(Y188&gt;=150,"II - Corregir y adoptar medidas de control de inmediato.",IF(Y188&gt;=40,"III - Mejorar si es posible. Conviene justificar la intervención y su rentabilidad.","IV - Mantener controles existentes."))))</x:f>
      </x:c>
      <x:c r="AA188" t="str">
        <x:f>IF(Y188="","",IF(Y188&gt;=600,"No aceptable",IF(Y188&gt;=150,"No aceptable / Aceptable con control específico","Aceptable")))</x:f>
      </x:c>
      <x:c r="AB188" s="12" t="str"/>
      <x:c r="AC188" s="12" t="str"/>
      <x:c r="AD188" s="12" t="str"/>
      <x:c r="AE188" s="12" t="str"/>
      <x:c r="AF188" s="12" t="str"/>
      <x:c r="AG188" s="12" t="str"/>
      <x:c r="AH188" s="16" t="str"/>
      <x:c r="AI188" s="12" t="str"/>
    </x:row>
    <x:row r="189">
      <x:c r="A189" t="str"/>
      <x:c r="B189" t="str"/>
      <x:c r="C189" t="str"/>
      <x:c r="D189" s="12" t="str"/>
      <x:c r="E189" s="12" t="str"/>
      <x:c r="F189" s="12" t="str"/>
      <x:c r="G189" s="12" t="str"/>
      <x:c r="H189" s="12" t="str"/>
      <x:c r="I189" s="12" t="str"/>
      <x:c r="J189" s="12" t="str"/>
      <x:c r="K189" s="12" t="str"/>
      <x:c r="L189" s="12" t="str"/>
      <x:c r="M189" s="12" t="str"/>
      <x:c r="N189" s="12" t="str"/>
      <x:c r="O189" s="12" t="str"/>
      <x:c r="P189" t="str"/>
      <x:c r="Q189" t="str"/>
      <x:c r="R189" t="str">
        <x:f>IFERROR(VLOOKUP(Q189,Catalogos!$G:$H,2,FALSE),"")</x:f>
      </x:c>
      <x:c r="S189" t="str"/>
      <x:c r="T189" t="str">
        <x:f>IFERROR(VLOOKUP(S189,Catalogos!$I:$J,2,FALSE),"")</x:f>
      </x:c>
      <x:c r="U189" t="str">
        <x:f>IF(OR(R189="",T189=""),"",R189*T189)</x:f>
      </x:c>
      <x:c r="V189" t="str">
        <x:f>IF(U189="","",IF(U189&gt;=24,"MUY ALTO",IF(U189&gt;=10,"ALTO",IF(U189&gt;=6,"MEDIO","BAJO"))))</x:f>
      </x:c>
      <x:c r="W189" t="str"/>
      <x:c r="X189" t="str">
        <x:f>IFERROR(VLOOKUP(W189,Catalogos!$G:$H,2,FALSE),"")</x:f>
      </x:c>
      <x:c r="Y189" t="str">
        <x:f>IF(OR(U189="",X189=""),"",U189*X189)</x:f>
      </x:c>
      <x:c r="Z189" t="str">
        <x:f>IF(Y189="","",IF(Y189&gt;=600,"I - Situación crítica. Suspender actividades hasta que el riesgo esté bajo control. Intervención urgente.",IF(Y189&gt;=150,"II - Corregir y adoptar medidas de control de inmediato.",IF(Y189&gt;=40,"III - Mejorar si es posible. Conviene justificar la intervención y su rentabilidad.","IV - Mantener controles existentes."))))</x:f>
      </x:c>
      <x:c r="AA189" t="str">
        <x:f>IF(Y189="","",IF(Y189&gt;=600,"No aceptable",IF(Y189&gt;=150,"No aceptable / Aceptable con control específico","Aceptable")))</x:f>
      </x:c>
      <x:c r="AB189" s="12" t="str"/>
      <x:c r="AC189" s="12" t="str"/>
      <x:c r="AD189" s="12" t="str"/>
      <x:c r="AE189" s="12" t="str"/>
      <x:c r="AF189" s="12" t="str"/>
      <x:c r="AG189" s="12" t="str"/>
      <x:c r="AH189" s="16" t="str"/>
      <x:c r="AI189" s="12" t="str"/>
    </x:row>
    <x:row r="190">
      <x:c r="A190" t="str"/>
      <x:c r="B190" t="str"/>
      <x:c r="C190" t="str"/>
      <x:c r="D190" s="12" t="str"/>
      <x:c r="E190" s="12" t="str"/>
      <x:c r="F190" s="12" t="str"/>
      <x:c r="G190" s="12" t="str"/>
      <x:c r="H190" s="12" t="str"/>
      <x:c r="I190" s="12" t="str"/>
      <x:c r="J190" s="12" t="str"/>
      <x:c r="K190" s="12" t="str"/>
      <x:c r="L190" s="12" t="str"/>
      <x:c r="M190" s="12" t="str"/>
      <x:c r="N190" s="12" t="str"/>
      <x:c r="O190" s="12" t="str"/>
      <x:c r="P190" t="str"/>
      <x:c r="Q190" t="str"/>
      <x:c r="R190" t="str">
        <x:f>IFERROR(VLOOKUP(Q190,Catalogos!$G:$H,2,FALSE),"")</x:f>
      </x:c>
      <x:c r="S190" t="str"/>
      <x:c r="T190" t="str">
        <x:f>IFERROR(VLOOKUP(S190,Catalogos!$I:$J,2,FALSE),"")</x:f>
      </x:c>
      <x:c r="U190" t="str">
        <x:f>IF(OR(R190="",T190=""),"",R190*T190)</x:f>
      </x:c>
      <x:c r="V190" t="str">
        <x:f>IF(U190="","",IF(U190&gt;=24,"MUY ALTO",IF(U190&gt;=10,"ALTO",IF(U190&gt;=6,"MEDIO","BAJO"))))</x:f>
      </x:c>
      <x:c r="W190" t="str"/>
      <x:c r="X190" t="str">
        <x:f>IFERROR(VLOOKUP(W190,Catalogos!$G:$H,2,FALSE),"")</x:f>
      </x:c>
      <x:c r="Y190" t="str">
        <x:f>IF(OR(U190="",X190=""),"",U190*X190)</x:f>
      </x:c>
      <x:c r="Z190" t="str">
        <x:f>IF(Y190="","",IF(Y190&gt;=600,"I - Situación crítica. Suspender actividades hasta que el riesgo esté bajo control. Intervención urgente.",IF(Y190&gt;=150,"II - Corregir y adoptar medidas de control de inmediato.",IF(Y190&gt;=40,"III - Mejorar si es posible. Conviene justificar la intervención y su rentabilidad.","IV - Mantener controles existentes."))))</x:f>
      </x:c>
      <x:c r="AA190" t="str">
        <x:f>IF(Y190="","",IF(Y190&gt;=600,"No aceptable",IF(Y190&gt;=150,"No aceptable / Aceptable con control específico","Aceptable")))</x:f>
      </x:c>
      <x:c r="AB190" s="12" t="str"/>
      <x:c r="AC190" s="12" t="str"/>
      <x:c r="AD190" s="12" t="str"/>
      <x:c r="AE190" s="12" t="str"/>
      <x:c r="AF190" s="12" t="str"/>
      <x:c r="AG190" s="12" t="str"/>
      <x:c r="AH190" s="16" t="str"/>
      <x:c r="AI190" s="12" t="str"/>
    </x:row>
    <x:row r="191">
      <x:c r="A191" t="str"/>
      <x:c r="B191" t="str"/>
      <x:c r="C191" t="str"/>
      <x:c r="D191" s="12" t="str"/>
      <x:c r="E191" s="12" t="str"/>
      <x:c r="F191" s="12" t="str"/>
      <x:c r="G191" s="12" t="str"/>
      <x:c r="H191" s="12" t="str"/>
      <x:c r="I191" s="12" t="str"/>
      <x:c r="J191" s="12" t="str"/>
      <x:c r="K191" s="12" t="str"/>
      <x:c r="L191" s="12" t="str"/>
      <x:c r="M191" s="12" t="str"/>
      <x:c r="N191" s="12" t="str"/>
      <x:c r="O191" s="12" t="str"/>
      <x:c r="P191" t="str"/>
      <x:c r="Q191" t="str"/>
      <x:c r="R191" t="str">
        <x:f>IFERROR(VLOOKUP(Q191,Catalogos!$G:$H,2,FALSE),"")</x:f>
      </x:c>
      <x:c r="S191" t="str"/>
      <x:c r="T191" t="str">
        <x:f>IFERROR(VLOOKUP(S191,Catalogos!$I:$J,2,FALSE),"")</x:f>
      </x:c>
      <x:c r="U191" t="str">
        <x:f>IF(OR(R191="",T191=""),"",R191*T191)</x:f>
      </x:c>
      <x:c r="V191" t="str">
        <x:f>IF(U191="","",IF(U191&gt;=24,"MUY ALTO",IF(U191&gt;=10,"ALTO",IF(U191&gt;=6,"MEDIO","BAJO"))))</x:f>
      </x:c>
      <x:c r="W191" t="str"/>
      <x:c r="X191" t="str">
        <x:f>IFERROR(VLOOKUP(W191,Catalogos!$G:$H,2,FALSE),"")</x:f>
      </x:c>
      <x:c r="Y191" t="str">
        <x:f>IF(OR(U191="",X191=""),"",U191*X191)</x:f>
      </x:c>
      <x:c r="Z191" t="str">
        <x:f>IF(Y191="","",IF(Y191&gt;=600,"I - Situación crítica. Suspender actividades hasta que el riesgo esté bajo control. Intervención urgente.",IF(Y191&gt;=150,"II - Corregir y adoptar medidas de control de inmediato.",IF(Y191&gt;=40,"III - Mejorar si es posible. Conviene justificar la intervención y su rentabilidad.","IV - Mantener controles existentes."))))</x:f>
      </x:c>
      <x:c r="AA191" t="str">
        <x:f>IF(Y191="","",IF(Y191&gt;=600,"No aceptable",IF(Y191&gt;=150,"No aceptable / Aceptable con control específico","Aceptable")))</x:f>
      </x:c>
      <x:c r="AB191" s="12" t="str"/>
      <x:c r="AC191" s="12" t="str"/>
      <x:c r="AD191" s="12" t="str"/>
      <x:c r="AE191" s="12" t="str"/>
      <x:c r="AF191" s="12" t="str"/>
      <x:c r="AG191" s="12" t="str"/>
      <x:c r="AH191" s="16" t="str"/>
      <x:c r="AI191" s="12" t="str"/>
    </x:row>
    <x:row r="192">
      <x:c r="A192" t="str"/>
      <x:c r="B192" t="str"/>
      <x:c r="C192" t="str"/>
      <x:c r="D192" s="12" t="str"/>
      <x:c r="E192" s="12" t="str"/>
      <x:c r="F192" s="12" t="str"/>
      <x:c r="G192" s="12" t="str"/>
      <x:c r="H192" s="12" t="str"/>
      <x:c r="I192" s="12" t="str"/>
      <x:c r="J192" s="12" t="str"/>
      <x:c r="K192" s="12" t="str"/>
      <x:c r="L192" s="12" t="str"/>
      <x:c r="M192" s="12" t="str"/>
      <x:c r="N192" s="12" t="str"/>
      <x:c r="O192" s="12" t="str"/>
      <x:c r="P192" t="str"/>
      <x:c r="Q192" t="str"/>
      <x:c r="R192" t="str">
        <x:f>IFERROR(VLOOKUP(Q192,Catalogos!$G:$H,2,FALSE),"")</x:f>
      </x:c>
      <x:c r="S192" t="str"/>
      <x:c r="T192" t="str">
        <x:f>IFERROR(VLOOKUP(S192,Catalogos!$I:$J,2,FALSE),"")</x:f>
      </x:c>
      <x:c r="U192" t="str">
        <x:f>IF(OR(R192="",T192=""),"",R192*T192)</x:f>
      </x:c>
      <x:c r="V192" t="str">
        <x:f>IF(U192="","",IF(U192&gt;=24,"MUY ALTO",IF(U192&gt;=10,"ALTO",IF(U192&gt;=6,"MEDIO","BAJO"))))</x:f>
      </x:c>
      <x:c r="W192" t="str"/>
      <x:c r="X192" t="str">
        <x:f>IFERROR(VLOOKUP(W192,Catalogos!$G:$H,2,FALSE),"")</x:f>
      </x:c>
      <x:c r="Y192" t="str">
        <x:f>IF(OR(U192="",X192=""),"",U192*X192)</x:f>
      </x:c>
      <x:c r="Z192" t="str">
        <x:f>IF(Y192="","",IF(Y192&gt;=600,"I - Situación crítica. Suspender actividades hasta que el riesgo esté bajo control. Intervención urgente.",IF(Y192&gt;=150,"II - Corregir y adoptar medidas de control de inmediato.",IF(Y192&gt;=40,"III - Mejorar si es posible. Conviene justificar la intervención y su rentabilidad.","IV - Mantener controles existentes."))))</x:f>
      </x:c>
      <x:c r="AA192" t="str">
        <x:f>IF(Y192="","",IF(Y192&gt;=600,"No aceptable",IF(Y192&gt;=150,"No aceptable / Aceptable con control específico","Aceptable")))</x:f>
      </x:c>
      <x:c r="AB192" s="12" t="str"/>
      <x:c r="AC192" s="12" t="str"/>
      <x:c r="AD192" s="12" t="str"/>
      <x:c r="AE192" s="12" t="str"/>
      <x:c r="AF192" s="12" t="str"/>
      <x:c r="AG192" s="12" t="str"/>
      <x:c r="AH192" s="16" t="str"/>
      <x:c r="AI192" s="12" t="str"/>
    </x:row>
    <x:row r="193">
      <x:c r="A193" t="str"/>
      <x:c r="B193" t="str"/>
      <x:c r="C193" t="str"/>
      <x:c r="D193" s="12" t="str"/>
      <x:c r="E193" s="12" t="str"/>
      <x:c r="F193" s="12" t="str"/>
      <x:c r="G193" s="12" t="str"/>
      <x:c r="H193" s="12" t="str"/>
      <x:c r="I193" s="12" t="str"/>
      <x:c r="J193" s="12" t="str"/>
      <x:c r="K193" s="12" t="str"/>
      <x:c r="L193" s="12" t="str"/>
      <x:c r="M193" s="12" t="str"/>
      <x:c r="N193" s="12" t="str"/>
      <x:c r="O193" s="12" t="str"/>
      <x:c r="P193" t="str"/>
      <x:c r="Q193" t="str"/>
      <x:c r="R193" t="str">
        <x:f>IFERROR(VLOOKUP(Q193,Catalogos!$G:$H,2,FALSE),"")</x:f>
      </x:c>
      <x:c r="S193" t="str"/>
      <x:c r="T193" t="str">
        <x:f>IFERROR(VLOOKUP(S193,Catalogos!$I:$J,2,FALSE),"")</x:f>
      </x:c>
      <x:c r="U193" t="str">
        <x:f>IF(OR(R193="",T193=""),"",R193*T193)</x:f>
      </x:c>
      <x:c r="V193" t="str">
        <x:f>IF(U193="","",IF(U193&gt;=24,"MUY ALTO",IF(U193&gt;=10,"ALTO",IF(U193&gt;=6,"MEDIO","BAJO"))))</x:f>
      </x:c>
      <x:c r="W193" t="str"/>
      <x:c r="X193" t="str">
        <x:f>IFERROR(VLOOKUP(W193,Catalogos!$G:$H,2,FALSE),"")</x:f>
      </x:c>
      <x:c r="Y193" t="str">
        <x:f>IF(OR(U193="",X193=""),"",U193*X193)</x:f>
      </x:c>
      <x:c r="Z193" t="str">
        <x:f>IF(Y193="","",IF(Y193&gt;=600,"I - Situación crítica. Suspender actividades hasta que el riesgo esté bajo control. Intervención urgente.",IF(Y193&gt;=150,"II - Corregir y adoptar medidas de control de inmediato.",IF(Y193&gt;=40,"III - Mejorar si es posible. Conviene justificar la intervención y su rentabilidad.","IV - Mantener controles existentes."))))</x:f>
      </x:c>
      <x:c r="AA193" t="str">
        <x:f>IF(Y193="","",IF(Y193&gt;=600,"No aceptable",IF(Y193&gt;=150,"No aceptable / Aceptable con control específico","Aceptable")))</x:f>
      </x:c>
      <x:c r="AB193" s="12" t="str"/>
      <x:c r="AC193" s="12" t="str"/>
      <x:c r="AD193" s="12" t="str"/>
      <x:c r="AE193" s="12" t="str"/>
      <x:c r="AF193" s="12" t="str"/>
      <x:c r="AG193" s="12" t="str"/>
      <x:c r="AH193" s="16" t="str"/>
      <x:c r="AI193" s="12" t="str"/>
    </x:row>
    <x:row r="194">
      <x:c r="A194" t="str"/>
      <x:c r="B194" t="str"/>
      <x:c r="C194" t="str"/>
      <x:c r="D194" s="12" t="str"/>
      <x:c r="E194" s="12" t="str"/>
      <x:c r="F194" s="12" t="str"/>
      <x:c r="G194" s="12" t="str"/>
      <x:c r="H194" s="12" t="str"/>
      <x:c r="I194" s="12" t="str"/>
      <x:c r="J194" s="12" t="str"/>
      <x:c r="K194" s="12" t="str"/>
      <x:c r="L194" s="12" t="str"/>
      <x:c r="M194" s="12" t="str"/>
      <x:c r="N194" s="12" t="str"/>
      <x:c r="O194" s="12" t="str"/>
      <x:c r="P194" t="str"/>
      <x:c r="Q194" t="str"/>
      <x:c r="R194" t="str">
        <x:f>IFERROR(VLOOKUP(Q194,Catalogos!$G:$H,2,FALSE),"")</x:f>
      </x:c>
      <x:c r="S194" t="str"/>
      <x:c r="T194" t="str">
        <x:f>IFERROR(VLOOKUP(S194,Catalogos!$I:$J,2,FALSE),"")</x:f>
      </x:c>
      <x:c r="U194" t="str">
        <x:f>IF(OR(R194="",T194=""),"",R194*T194)</x:f>
      </x:c>
      <x:c r="V194" t="str">
        <x:f>IF(U194="","",IF(U194&gt;=24,"MUY ALTO",IF(U194&gt;=10,"ALTO",IF(U194&gt;=6,"MEDIO","BAJO"))))</x:f>
      </x:c>
      <x:c r="W194" t="str"/>
      <x:c r="X194" t="str">
        <x:f>IFERROR(VLOOKUP(W194,Catalogos!$G:$H,2,FALSE),"")</x:f>
      </x:c>
      <x:c r="Y194" t="str">
        <x:f>IF(OR(U194="",X194=""),"",U194*X194)</x:f>
      </x:c>
      <x:c r="Z194" t="str">
        <x:f>IF(Y194="","",IF(Y194&gt;=600,"I - Situación crítica. Suspender actividades hasta que el riesgo esté bajo control. Intervención urgente.",IF(Y194&gt;=150,"II - Corregir y adoptar medidas de control de inmediato.",IF(Y194&gt;=40,"III - Mejorar si es posible. Conviene justificar la intervención y su rentabilidad.","IV - Mantener controles existentes."))))</x:f>
      </x:c>
      <x:c r="AA194" t="str">
        <x:f>IF(Y194="","",IF(Y194&gt;=600,"No aceptable",IF(Y194&gt;=150,"No aceptable / Aceptable con control específico","Aceptable")))</x:f>
      </x:c>
      <x:c r="AB194" s="12" t="str"/>
      <x:c r="AC194" s="12" t="str"/>
      <x:c r="AD194" s="12" t="str"/>
      <x:c r="AE194" s="12" t="str"/>
      <x:c r="AF194" s="12" t="str"/>
      <x:c r="AG194" s="12" t="str"/>
      <x:c r="AH194" s="16" t="str"/>
      <x:c r="AI194" s="12" t="str"/>
    </x:row>
    <x:row r="195">
      <x:c r="A195" t="str"/>
      <x:c r="B195" t="str"/>
      <x:c r="C195" t="str"/>
      <x:c r="D195" s="12" t="str"/>
      <x:c r="E195" s="12" t="str"/>
      <x:c r="F195" s="12" t="str"/>
      <x:c r="G195" s="12" t="str"/>
      <x:c r="H195" s="12" t="str"/>
      <x:c r="I195" s="12" t="str"/>
      <x:c r="J195" s="12" t="str"/>
      <x:c r="K195" s="12" t="str"/>
      <x:c r="L195" s="12" t="str"/>
      <x:c r="M195" s="12" t="str"/>
      <x:c r="N195" s="12" t="str"/>
      <x:c r="O195" s="12" t="str"/>
      <x:c r="P195" t="str"/>
      <x:c r="Q195" t="str"/>
      <x:c r="R195" t="str">
        <x:f>IFERROR(VLOOKUP(Q195,Catalogos!$G:$H,2,FALSE),"")</x:f>
      </x:c>
      <x:c r="S195" t="str"/>
      <x:c r="T195" t="str">
        <x:f>IFERROR(VLOOKUP(S195,Catalogos!$I:$J,2,FALSE),"")</x:f>
      </x:c>
      <x:c r="U195" t="str">
        <x:f>IF(OR(R195="",T195=""),"",R195*T195)</x:f>
      </x:c>
      <x:c r="V195" t="str">
        <x:f>IF(U195="","",IF(U195&gt;=24,"MUY ALTO",IF(U195&gt;=10,"ALTO",IF(U195&gt;=6,"MEDIO","BAJO"))))</x:f>
      </x:c>
      <x:c r="W195" t="str"/>
      <x:c r="X195" t="str">
        <x:f>IFERROR(VLOOKUP(W195,Catalogos!$G:$H,2,FALSE),"")</x:f>
      </x:c>
      <x:c r="Y195" t="str">
        <x:f>IF(OR(U195="",X195=""),"",U195*X195)</x:f>
      </x:c>
      <x:c r="Z195" t="str">
        <x:f>IF(Y195="","",IF(Y195&gt;=600,"I - Situación crítica. Suspender actividades hasta que el riesgo esté bajo control. Intervención urgente.",IF(Y195&gt;=150,"II - Corregir y adoptar medidas de control de inmediato.",IF(Y195&gt;=40,"III - Mejorar si es posible. Conviene justificar la intervención y su rentabilidad.","IV - Mantener controles existentes."))))</x:f>
      </x:c>
      <x:c r="AA195" t="str">
        <x:f>IF(Y195="","",IF(Y195&gt;=600,"No aceptable",IF(Y195&gt;=150,"No aceptable / Aceptable con control específico","Aceptable")))</x:f>
      </x:c>
      <x:c r="AB195" s="12" t="str"/>
      <x:c r="AC195" s="12" t="str"/>
      <x:c r="AD195" s="12" t="str"/>
      <x:c r="AE195" s="12" t="str"/>
      <x:c r="AF195" s="12" t="str"/>
      <x:c r="AG195" s="12" t="str"/>
      <x:c r="AH195" s="16" t="str"/>
      <x:c r="AI195" s="12" t="str"/>
    </x:row>
    <x:row r="196">
      <x:c r="A196" t="str"/>
      <x:c r="B196" t="str"/>
      <x:c r="C196" t="str"/>
      <x:c r="D196" s="12" t="str"/>
      <x:c r="E196" s="12" t="str"/>
      <x:c r="F196" s="12" t="str"/>
      <x:c r="G196" s="12" t="str"/>
      <x:c r="H196" s="12" t="str"/>
      <x:c r="I196" s="12" t="str"/>
      <x:c r="J196" s="12" t="str"/>
      <x:c r="K196" s="12" t="str"/>
      <x:c r="L196" s="12" t="str"/>
      <x:c r="M196" s="12" t="str"/>
      <x:c r="N196" s="12" t="str"/>
      <x:c r="O196" s="12" t="str"/>
      <x:c r="P196" t="str"/>
      <x:c r="Q196" t="str"/>
      <x:c r="R196" t="str">
        <x:f>IFERROR(VLOOKUP(Q196,Catalogos!$G:$H,2,FALSE),"")</x:f>
      </x:c>
      <x:c r="S196" t="str"/>
      <x:c r="T196" t="str">
        <x:f>IFERROR(VLOOKUP(S196,Catalogos!$I:$J,2,FALSE),"")</x:f>
      </x:c>
      <x:c r="U196" t="str">
        <x:f>IF(OR(R196="",T196=""),"",R196*T196)</x:f>
      </x:c>
      <x:c r="V196" t="str">
        <x:f>IF(U196="","",IF(U196&gt;=24,"MUY ALTO",IF(U196&gt;=10,"ALTO",IF(U196&gt;=6,"MEDIO","BAJO"))))</x:f>
      </x:c>
      <x:c r="W196" t="str"/>
      <x:c r="X196" t="str">
        <x:f>IFERROR(VLOOKUP(W196,Catalogos!$G:$H,2,FALSE),"")</x:f>
      </x:c>
      <x:c r="Y196" t="str">
        <x:f>IF(OR(U196="",X196=""),"",U196*X196)</x:f>
      </x:c>
      <x:c r="Z196" t="str">
        <x:f>IF(Y196="","",IF(Y196&gt;=600,"I - Situación crítica. Suspender actividades hasta que el riesgo esté bajo control. Intervención urgente.",IF(Y196&gt;=150,"II - Corregir y adoptar medidas de control de inmediato.",IF(Y196&gt;=40,"III - Mejorar si es posible. Conviene justificar la intervención y su rentabilidad.","IV - Mantener controles existentes."))))</x:f>
      </x:c>
      <x:c r="AA196" t="str">
        <x:f>IF(Y196="","",IF(Y196&gt;=600,"No aceptable",IF(Y196&gt;=150,"No aceptable / Aceptable con control específico","Aceptable")))</x:f>
      </x:c>
      <x:c r="AB196" s="12" t="str"/>
      <x:c r="AC196" s="12" t="str"/>
      <x:c r="AD196" s="12" t="str"/>
      <x:c r="AE196" s="12" t="str"/>
      <x:c r="AF196" s="12" t="str"/>
      <x:c r="AG196" s="12" t="str"/>
      <x:c r="AH196" s="16" t="str"/>
      <x:c r="AI196" s="12" t="str"/>
    </x:row>
    <x:row r="197">
      <x:c r="A197" t="str"/>
      <x:c r="B197" t="str"/>
      <x:c r="C197" t="str"/>
      <x:c r="D197" s="12" t="str"/>
      <x:c r="E197" s="12" t="str"/>
      <x:c r="F197" s="12" t="str"/>
      <x:c r="G197" s="12" t="str"/>
      <x:c r="H197" s="12" t="str"/>
      <x:c r="I197" s="12" t="str"/>
      <x:c r="J197" s="12" t="str"/>
      <x:c r="K197" s="12" t="str"/>
      <x:c r="L197" s="12" t="str"/>
      <x:c r="M197" s="12" t="str"/>
      <x:c r="N197" s="12" t="str"/>
      <x:c r="O197" s="12" t="str"/>
      <x:c r="P197" t="str"/>
      <x:c r="Q197" t="str"/>
      <x:c r="R197" t="str">
        <x:f>IFERROR(VLOOKUP(Q197,Catalogos!$G:$H,2,FALSE),"")</x:f>
      </x:c>
      <x:c r="S197" t="str"/>
      <x:c r="T197" t="str">
        <x:f>IFERROR(VLOOKUP(S197,Catalogos!$I:$J,2,FALSE),"")</x:f>
      </x:c>
      <x:c r="U197" t="str">
        <x:f>IF(OR(R197="",T197=""),"",R197*T197)</x:f>
      </x:c>
      <x:c r="V197" t="str">
        <x:f>IF(U197="","",IF(U197&gt;=24,"MUY ALTO",IF(U197&gt;=10,"ALTO",IF(U197&gt;=6,"MEDIO","BAJO"))))</x:f>
      </x:c>
      <x:c r="W197" t="str"/>
      <x:c r="X197" t="str">
        <x:f>IFERROR(VLOOKUP(W197,Catalogos!$G:$H,2,FALSE),"")</x:f>
      </x:c>
      <x:c r="Y197" t="str">
        <x:f>IF(OR(U197="",X197=""),"",U197*X197)</x:f>
      </x:c>
      <x:c r="Z197" t="str">
        <x:f>IF(Y197="","",IF(Y197&gt;=600,"I - Situación crítica. Suspender actividades hasta que el riesgo esté bajo control. Intervención urgente.",IF(Y197&gt;=150,"II - Corregir y adoptar medidas de control de inmediato.",IF(Y197&gt;=40,"III - Mejorar si es posible. Conviene justificar la intervención y su rentabilidad.","IV - Mantener controles existentes."))))</x:f>
      </x:c>
      <x:c r="AA197" t="str">
        <x:f>IF(Y197="","",IF(Y197&gt;=600,"No aceptable",IF(Y197&gt;=150,"No aceptable / Aceptable con control específico","Aceptable")))</x:f>
      </x:c>
      <x:c r="AB197" s="12" t="str"/>
      <x:c r="AC197" s="12" t="str"/>
      <x:c r="AD197" s="12" t="str"/>
      <x:c r="AE197" s="12" t="str"/>
      <x:c r="AF197" s="12" t="str"/>
      <x:c r="AG197" s="12" t="str"/>
      <x:c r="AH197" s="16" t="str"/>
      <x:c r="AI197" s="12" t="str"/>
    </x:row>
    <x:row r="198">
      <x:c r="A198" t="str"/>
      <x:c r="B198" t="str"/>
      <x:c r="C198" t="str"/>
      <x:c r="D198" s="12" t="str"/>
      <x:c r="E198" s="12" t="str"/>
      <x:c r="F198" s="12" t="str"/>
      <x:c r="G198" s="12" t="str"/>
      <x:c r="H198" s="12" t="str"/>
      <x:c r="I198" s="12" t="str"/>
      <x:c r="J198" s="12" t="str"/>
      <x:c r="K198" s="12" t="str"/>
      <x:c r="L198" s="12" t="str"/>
      <x:c r="M198" s="12" t="str"/>
      <x:c r="N198" s="12" t="str"/>
      <x:c r="O198" s="12" t="str"/>
      <x:c r="P198" t="str"/>
      <x:c r="Q198" t="str"/>
      <x:c r="R198" t="str">
        <x:f>IFERROR(VLOOKUP(Q198,Catalogos!$G:$H,2,FALSE),"")</x:f>
      </x:c>
      <x:c r="S198" t="str"/>
      <x:c r="T198" t="str">
        <x:f>IFERROR(VLOOKUP(S198,Catalogos!$I:$J,2,FALSE),"")</x:f>
      </x:c>
      <x:c r="U198" t="str">
        <x:f>IF(OR(R198="",T198=""),"",R198*T198)</x:f>
      </x:c>
      <x:c r="V198" t="str">
        <x:f>IF(U198="","",IF(U198&gt;=24,"MUY ALTO",IF(U198&gt;=10,"ALTO",IF(U198&gt;=6,"MEDIO","BAJO"))))</x:f>
      </x:c>
      <x:c r="W198" t="str"/>
      <x:c r="X198" t="str">
        <x:f>IFERROR(VLOOKUP(W198,Catalogos!$G:$H,2,FALSE),"")</x:f>
      </x:c>
      <x:c r="Y198" t="str">
        <x:f>IF(OR(U198="",X198=""),"",U198*X198)</x:f>
      </x:c>
      <x:c r="Z198" t="str">
        <x:f>IF(Y198="","",IF(Y198&gt;=600,"I - Situación crítica. Suspender actividades hasta que el riesgo esté bajo control. Intervención urgente.",IF(Y198&gt;=150,"II - Corregir y adoptar medidas de control de inmediato.",IF(Y198&gt;=40,"III - Mejorar si es posible. Conviene justificar la intervención y su rentabilidad.","IV - Mantener controles existentes."))))</x:f>
      </x:c>
      <x:c r="AA198" t="str">
        <x:f>IF(Y198="","",IF(Y198&gt;=600,"No aceptable",IF(Y198&gt;=150,"No aceptable / Aceptable con control específico","Aceptable")))</x:f>
      </x:c>
      <x:c r="AB198" s="12" t="str"/>
      <x:c r="AC198" s="12" t="str"/>
      <x:c r="AD198" s="12" t="str"/>
      <x:c r="AE198" s="12" t="str"/>
      <x:c r="AF198" s="12" t="str"/>
      <x:c r="AG198" s="12" t="str"/>
      <x:c r="AH198" s="16" t="str"/>
      <x:c r="AI198" s="12" t="str"/>
    </x:row>
    <x:row r="199">
      <x:c r="A199" t="str"/>
      <x:c r="B199" t="str"/>
      <x:c r="C199" t="str"/>
      <x:c r="D199" s="12" t="str"/>
      <x:c r="E199" s="12" t="str"/>
      <x:c r="F199" s="12" t="str"/>
      <x:c r="G199" s="12" t="str"/>
      <x:c r="H199" s="12" t="str"/>
      <x:c r="I199" s="12" t="str"/>
      <x:c r="J199" s="12" t="str"/>
      <x:c r="K199" s="12" t="str"/>
      <x:c r="L199" s="12" t="str"/>
      <x:c r="M199" s="12" t="str"/>
      <x:c r="N199" s="12" t="str"/>
      <x:c r="O199" s="12" t="str"/>
      <x:c r="P199" t="str"/>
      <x:c r="Q199" t="str"/>
      <x:c r="R199" t="str">
        <x:f>IFERROR(VLOOKUP(Q199,Catalogos!$G:$H,2,FALSE),"")</x:f>
      </x:c>
      <x:c r="S199" t="str"/>
      <x:c r="T199" t="str">
        <x:f>IFERROR(VLOOKUP(S199,Catalogos!$I:$J,2,FALSE),"")</x:f>
      </x:c>
      <x:c r="U199" t="str">
        <x:f>IF(OR(R199="",T199=""),"",R199*T199)</x:f>
      </x:c>
      <x:c r="V199" t="str">
        <x:f>IF(U199="","",IF(U199&gt;=24,"MUY ALTO",IF(U199&gt;=10,"ALTO",IF(U199&gt;=6,"MEDIO","BAJO"))))</x:f>
      </x:c>
      <x:c r="W199" t="str"/>
      <x:c r="X199" t="str">
        <x:f>IFERROR(VLOOKUP(W199,Catalogos!$G:$H,2,FALSE),"")</x:f>
      </x:c>
      <x:c r="Y199" t="str">
        <x:f>IF(OR(U199="",X199=""),"",U199*X199)</x:f>
      </x:c>
      <x:c r="Z199" t="str">
        <x:f>IF(Y199="","",IF(Y199&gt;=600,"I - Situación crítica. Suspender actividades hasta que el riesgo esté bajo control. Intervención urgente.",IF(Y199&gt;=150,"II - Corregir y adoptar medidas de control de inmediato.",IF(Y199&gt;=40,"III - Mejorar si es posible. Conviene justificar la intervención y su rentabilidad.","IV - Mantener controles existentes."))))</x:f>
      </x:c>
      <x:c r="AA199" t="str">
        <x:f>IF(Y199="","",IF(Y199&gt;=600,"No aceptable",IF(Y199&gt;=150,"No aceptable / Aceptable con control específico","Aceptable")))</x:f>
      </x:c>
      <x:c r="AB199" s="12" t="str"/>
      <x:c r="AC199" s="12" t="str"/>
      <x:c r="AD199" s="12" t="str"/>
      <x:c r="AE199" s="12" t="str"/>
      <x:c r="AF199" s="12" t="str"/>
      <x:c r="AG199" s="12" t="str"/>
      <x:c r="AH199" s="16" t="str"/>
      <x:c r="AI199" s="12" t="str"/>
    </x:row>
    <x:row r="200">
      <x:c r="A200" t="str"/>
      <x:c r="B200" t="str"/>
      <x:c r="C200" t="str"/>
      <x:c r="D200" s="12" t="str"/>
      <x:c r="E200" s="12" t="str"/>
      <x:c r="F200" s="12" t="str"/>
      <x:c r="G200" s="12" t="str"/>
      <x:c r="H200" s="12" t="str"/>
      <x:c r="I200" s="12" t="str"/>
      <x:c r="J200" s="12" t="str"/>
      <x:c r="K200" s="12" t="str"/>
      <x:c r="L200" s="12" t="str"/>
      <x:c r="M200" s="12" t="str"/>
      <x:c r="N200" s="12" t="str"/>
      <x:c r="O200" s="12" t="str"/>
      <x:c r="P200" t="str"/>
      <x:c r="Q200" t="str"/>
      <x:c r="R200" t="str">
        <x:f>IFERROR(VLOOKUP(Q200,Catalogos!$G:$H,2,FALSE),"")</x:f>
      </x:c>
      <x:c r="S200" t="str"/>
      <x:c r="T200" t="str">
        <x:f>IFERROR(VLOOKUP(S200,Catalogos!$I:$J,2,FALSE),"")</x:f>
      </x:c>
      <x:c r="U200" t="str">
        <x:f>IF(OR(R200="",T200=""),"",R200*T200)</x:f>
      </x:c>
      <x:c r="V200" t="str">
        <x:f>IF(U200="","",IF(U200&gt;=24,"MUY ALTO",IF(U200&gt;=10,"ALTO",IF(U200&gt;=6,"MEDIO","BAJO"))))</x:f>
      </x:c>
      <x:c r="W200" t="str"/>
      <x:c r="X200" t="str">
        <x:f>IFERROR(VLOOKUP(W200,Catalogos!$G:$H,2,FALSE),"")</x:f>
      </x:c>
      <x:c r="Y200" t="str">
        <x:f>IF(OR(U200="",X200=""),"",U200*X200)</x:f>
      </x:c>
      <x:c r="Z200" t="str">
        <x:f>IF(Y200="","",IF(Y200&gt;=600,"I - Situación crítica. Suspender actividades hasta que el riesgo esté bajo control. Intervención urgente.",IF(Y200&gt;=150,"II - Corregir y adoptar medidas de control de inmediato.",IF(Y200&gt;=40,"III - Mejorar si es posible. Conviene justificar la intervención y su rentabilidad.","IV - Mantener controles existentes."))))</x:f>
      </x:c>
      <x:c r="AA200" t="str">
        <x:f>IF(Y200="","",IF(Y200&gt;=600,"No aceptable",IF(Y200&gt;=150,"No aceptable / Aceptable con control específico","Aceptable")))</x:f>
      </x:c>
      <x:c r="AB200" s="12" t="str"/>
      <x:c r="AC200" s="12" t="str"/>
      <x:c r="AD200" s="12" t="str"/>
      <x:c r="AE200" s="12" t="str"/>
      <x:c r="AF200" s="12" t="str"/>
      <x:c r="AG200" s="12" t="str"/>
      <x:c r="AH200" s="16" t="str"/>
      <x:c r="AI200" s="12" t="str"/>
    </x:row>
  </x:sheetData>
  <x:dataValidations count="7">
    <x:dataValidation type="list" sqref="B2:B200">
      <x:formula1>Catalogos!$A$2:$A$12</x:formula1>
    </x:dataValidation>
    <x:dataValidation type="list" sqref="C2:C200">
      <x:formula1>Catalogos!$C$2:$C$11</x:formula1>
    </x:dataValidation>
    <x:dataValidation type="list" sqref="G2:G200">
      <x:formula1>"Sí,No"</x:formula1>
    </x:dataValidation>
    <x:dataValidation type="list" sqref="H2:H200">
      <x:formula1>Catalogos!$E$2:$E$14</x:formula1>
    </x:dataValidation>
    <x:dataValidation type="list" sqref="Q2:Q200">
      <x:formula1>Catalogos!$G$2:$G$5</x:formula1>
    </x:dataValidation>
    <x:dataValidation type="list" sqref="S2:S200">
      <x:formula1>Catalogos!$I$2:$I$5</x:formula1>
    </x:dataValidation>
    <x:dataValidation type="list" sqref="W2:W200">
      <x:formula1>Catalogos!$G$19:$G$22</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22" hidden="0" customWidth="1"/>
    <x:col min="6" max="6" width="28" hidden="0" customWidth="1"/>
    <x:col min="7" max="7" width="10" hidden="0" customWidth="1"/>
    <x:col min="8" max="8" width="22" hidden="0" customWidth="1"/>
    <x:col min="9" max="9" width="26" hidden="0" customWidth="1"/>
    <x:col min="10" max="10" width="26" hidden="0" customWidth="1"/>
    <x:col min="11" max="11" width="24" hidden="0" customWidth="1"/>
    <x:col min="12" max="12" width="22" hidden="0" customWidth="1"/>
    <x:col min="13" max="13" width="22" hidden="0" customWidth="1"/>
    <x:col min="14" max="14" width="20" hidden="0" customWidth="1"/>
    <x:col min="15" max="15" width="22" hidden="0" customWidth="1"/>
    <x:col min="16" max="16" width="10" hidden="0" customWidth="1"/>
    <x:col min="17" max="17" width="18" hidden="0" customWidth="1"/>
    <x:col min="18" max="18" width="8" hidden="0" customWidth="1"/>
    <x:col min="19" max="19" width="18" hidden="0" customWidth="1"/>
    <x:col min="20" max="20" width="8" hidden="0" customWidth="1"/>
    <x:col min="21" max="21" width="10" hidden="0" customWidth="1"/>
    <x:col min="22" max="22" width="12" hidden="0" customWidth="1"/>
    <x:col min="23" max="23" width="20" hidden="0" customWidth="1"/>
    <x:col min="24" max="24" width="8" hidden="0" customWidth="1"/>
    <x:col min="25" max="25" width="10" hidden="0" customWidth="1"/>
    <x:col min="26" max="26" width="30" hidden="0" customWidth="1"/>
    <x:col min="27" max="27" width="20" hidden="0" customWidth="1"/>
    <x:col min="28" max="28" width="20" hidden="0" customWidth="1"/>
    <x:col min="29" max="29" width="18" hidden="0" customWidth="1"/>
    <x:col min="30" max="30" width="22" hidden="0" customWidth="1"/>
    <x:col min="31" max="31" width="24" hidden="0" customWidth="1"/>
    <x:col min="32" max="32" width="18" hidden="0" customWidth="1"/>
    <x:col min="33" max="33" width="18" hidden="0" customWidth="1"/>
    <x:col min="34" max="34" width="12" hidden="0" customWidth="1"/>
    <x:col min="35" max="35" width="18" hidden="0" customWidth="1"/>
  </x:cols>
  <x:sheetData>
    <x:row r="1" ht="36" customHeight="1">
      <x:c r="A1" s="6" t="str">
        <x:v>ID</x:v>
      </x:c>
      <x:c r="B1" s="6" t="str">
        <x:v>Sede</x:v>
      </x:c>
      <x:c r="C1" s="6" t="str">
        <x:v>Proceso</x:v>
      </x:c>
      <x:c r="D1" s="6" t="str">
        <x:v>Zona / Lugar</x:v>
      </x:c>
      <x:c r="E1" s="6" t="str">
        <x:v>Actividad</x:v>
      </x:c>
      <x:c r="F1" s="6" t="str">
        <x:v>Tarea</x:v>
      </x:c>
      <x:c r="G1" s="6" t="str">
        <x:v>Rutinaria</x:v>
      </x:c>
      <x:c r="H1" s="6" t="str">
        <x:v>Clasificación del peligro</x:v>
      </x:c>
      <x:c r="I1" s="6" t="str">
        <x:v>Descripción del peligro</x:v>
      </x:c>
      <x:c r="J1" s="6" t="str">
        <x:v>Efectos posibles</x:v>
      </x:c>
      <x:c r="K1" s="6" t="str">
        <x:v>Controles existentes en la fuente</x:v>
      </x:c>
      <x:c r="L1" s="6" t="str">
        <x:v>Controles existentes en el medio</x:v>
      </x:c>
      <x:c r="M1" s="6" t="str">
        <x:v>Controles existentes en el individuo</x:v>
      </x:c>
      <x:c r="N1" s="6" t="str">
        <x:v>Peor consecuencia</x:v>
      </x:c>
      <x:c r="O1" s="6" t="str">
        <x:v>Requisito legal específico asociado</x:v>
      </x:c>
      <x:c r="P1" s="6" t="str">
        <x:v>N.º expuestos</x:v>
      </x:c>
      <x:c r="Q1" s="6" t="str">
        <x:v>Nivel de deficiencia (descriptor)</x:v>
      </x:c>
      <x:c r="R1" s="6" t="str">
        <x:v>ND</x:v>
      </x:c>
      <x:c r="S1" s="6" t="str">
        <x:v>Nivel de exposición (descriptor)</x:v>
      </x:c>
      <x:c r="T1" s="6" t="str">
        <x:v>NE</x:v>
      </x:c>
      <x:c r="U1" s="6" t="str">
        <x:v>Nivel de probabilidad (NP=ND×NE)</x:v>
      </x:c>
      <x:c r="V1" s="6" t="str">
        <x:v>Interpretación NP</x:v>
      </x:c>
      <x:c r="W1" s="6" t="str">
        <x:v>Nivel de consecuencia (descriptor)</x:v>
      </x:c>
      <x:c r="X1" s="6" t="str">
        <x:v>NC</x:v>
      </x:c>
      <x:c r="Y1" s="6" t="str">
        <x:v>Nivel de riesgo (NR=NP×NC)</x:v>
      </x:c>
      <x:c r="Z1" s="6" t="str">
        <x:v>Nivel de riesgo e intervención</x:v>
      </x:c>
      <x:c r="AA1" s="6" t="str">
        <x:v>Aceptabilidad del riesgo</x:v>
      </x:c>
      <x:c r="AB1" s="6" t="str">
        <x:v>Eliminación</x:v>
      </x:c>
      <x:c r="AC1" s="6" t="str">
        <x:v>Sustitución</x:v>
      </x:c>
      <x:c r="AD1" s="6" t="str">
        <x:v>Controles de ingeniería</x:v>
      </x:c>
      <x:c r="AE1" s="6" t="str">
        <x:v>Controles administrativos / señalización / advertencia</x:v>
      </x:c>
      <x:c r="AF1" s="6" t="str">
        <x:v>EPP</x:v>
      </x:c>
      <x:c r="AG1" s="6" t="str">
        <x:v>Responsable</x:v>
      </x:c>
      <x:c r="AH1" s="6" t="str">
        <x:v>Fecha actualización</x:v>
      </x:c>
      <x:c r="AI1" s="6" t="str">
        <x:v>Observaciones</x:v>
      </x:c>
    </x:row>
    <x:row r="2">
      <x:c r="A2" t="str">
        <x:v>IPVR-001</x:v>
      </x:c>
      <x:c r="B2" t="str">
        <x:v>Cúcuta</x:v>
      </x:c>
      <x:c r="C2" t="str">
        <x:v>Vigilancia física fija</x:v>
      </x:c>
      <x:c r="D2" s="12" t="str">
        <x:v>Puesto de vigilancia / accesos</x:v>
      </x:c>
      <x:c r="E2" s="12" t="str">
        <x:v>Control de accesos y verificación</x:v>
      </x:c>
      <x:c r="F2" s="12" t="str">
        <x:v>Permanecer de pie, registrar ingresos y realizar rondas cortas</x:v>
      </x:c>
      <x:c r="G2" s="12" t="str">
        <x:v>Sí</x:v>
      </x:c>
      <x:c r="H2" s="12" t="str">
        <x:v>Biomecánico</x:v>
      </x:c>
      <x:c r="I2" s="12" t="str">
        <x:v>Posturas prolongadas, bipedestación y desplazamientos frecuentes</x:v>
      </x:c>
      <x:c r="J2" s="12" t="str">
        <x:v>Fatiga muscular, lumbalgia, trastornos osteomusculares en miembros inferiores y columna</x:v>
      </x:c>
      <x:c r="K2" s="12" t="str">
        <x:v>Rotación parcial de tareas y pausas activas programadas</x:v>
      </x:c>
      <x:c r="L2" s="12" t="str">
        <x:v>Puntos de apoyo, silla de descanso en relevos y superficies niveladas</x:v>
      </x:c>
      <x:c r="M2" s="12" t="str">
        <x:v>Capacitación en higiene postural y uso de calzado ergonómico</x:v>
      </x:c>
      <x:c r="N2" s="12" t="str">
        <x:v>Trastorno musculoesquelético incapacitante</x:v>
      </x:c>
      <x:c r="O2" s="12" t="str">
        <x:v>Decreto 1072 de 2015; Resolución 0312 de 2019</x:v>
      </x:c>
      <x:c r="P2" s="14" t="n">
        <x:v>38</x:v>
      </x:c>
      <x:c r="Q2" t="str">
        <x:v>Medio</x:v>
      </x:c>
      <x:c r="R2" s="14" t="n">
        <x:f>IFERROR(VLOOKUP(Q2,Catalogos!$G:$H,2,FALSE),"")</x:f>
        <x:v>2</x:v>
      </x:c>
      <x:c r="S2" t="str">
        <x:v>Continua</x:v>
      </x:c>
      <x:c r="T2" s="14" t="n">
        <x:f>IFERROR(VLOOKUP(S2,Catalogos!$I:$J,2,FALSE),"")</x:f>
        <x:v>4</x:v>
      </x:c>
      <x:c r="U2" s="14" t="n">
        <x:f>IF(OR(R2="",T2=""),"",R2*T2)</x:f>
        <x:v>8</x:v>
      </x:c>
      <x:c r="V2" t="str">
        <x:f>IF(U2="","",IF(U2&gt;=24,"MUY ALTO",IF(U2&gt;=10,"ALTO",IF(U2&gt;=6,"MEDIO","BAJO"))))</x:f>
        <x:v>MEDIO</x:v>
      </x:c>
      <x:c r="W2" t="str">
        <x:v>Grave</x:v>
      </x:c>
      <x:c r="X2" s="14" t="n">
        <x:f>IFERROR(VLOOKUP(W2,Catalogos!$G:$H,2,FALSE),"")</x:f>
        <x:v>25</x:v>
      </x:c>
      <x:c r="Y2" s="14" t="n">
        <x:f>IF(OR(U2="",X2=""),"",U2*X2)</x:f>
        <x:v>200</x:v>
      </x:c>
      <x:c r="Z2" t="str">
        <x:f>IF(Y2="","",IF(Y2&gt;=600,"I - Situación crítica. Suspender actividades hasta que el riesgo esté bajo control. Intervención urgente.",IF(Y2&gt;=150,"II - Corregir y adoptar medidas de control de inmediato.",IF(Y2&gt;=40,"III - Mejorar si es posible. Conviene justificar la intervención y su rentabilidad.","IV - Mantener controles existentes."))))</x:f>
        <x:v>II - Corregir y adoptar medidas de control de inmediato.</x:v>
      </x:c>
      <x:c r="AA2" t="str">
        <x:f>IF(Y2="","",IF(Y2&gt;=600,"No aceptable",IF(Y2&gt;=150,"No aceptable / Aceptable con control específico","Aceptable")))</x:f>
        <x:v>No aceptable / Aceptable con control específico</x:v>
      </x:c>
      <x:c r="AB2" s="12" t="str">
        <x:v>Reorganizar el puesto para alternar tareas estáticas y dinámicas</x:v>
      </x:c>
      <x:c r="AC2" s="12" t="str">
        <x:v>No aplica</x:v>
      </x:c>
      <x:c r="AD2" s="12" t="str">
        <x:v>Adecuar apoyapiés y superficies ergonómicas</x:v>
      </x:c>
      <x:c r="AE2" s="12" t="str">
        <x:v>Pausas activas, rotación, inspecciones ergonómicas y seguimiento médico</x:v>
      </x:c>
      <x:c r="AF2" s="12" t="str">
        <x:v>Calzado de seguridad ergonómico</x:v>
      </x:c>
      <x:c r="AG2" s="12" t="str">
        <x:v>Director de Operaciones</x:v>
      </x:c>
      <x:c r="AH2" s="16" t="str">
        <x:v>2026-05-31</x:v>
      </x:c>
      <x:c r="AI2" s="12" t="str"/>
    </x:row>
    <x:row r="3">
      <x:c r="A3" t="str">
        <x:v>IPVR-002</x:v>
      </x:c>
      <x:c r="B3" t="str">
        <x:v>Cúcuta</x:v>
      </x:c>
      <x:c r="C3" t="str">
        <x:v>Vigilancia física fija</x:v>
      </x:c>
      <x:c r="D3" s="12" t="str">
        <x:v>Puesto de vigilancia / perímetro</x:v>
      </x:c>
      <x:c r="E3" s="12" t="str">
        <x:v>Vigilancia perimetral y atención de incidentes</x:v>
      </x:c>
      <x:c r="F3" s="12" t="str">
        <x:v>Interactuar con usuarios y controlar eventos de alteración del orden</x:v>
      </x:c>
      <x:c r="G3" s="12" t="str">
        <x:v>Sí</x:v>
      </x:c>
      <x:c r="H3" s="12" t="str">
        <x:v>Condiciones de seguridad - Público</x:v>
      </x:c>
      <x:c r="I3" s="12" t="str">
        <x:v>Agresión física o verbal, hurto, amenaza o alteración del orden público</x:v>
      </x:c>
      <x:c r="J3" s="12" t="str">
        <x:v>Contusiones, trauma psicológico, lesiones graves o muerte</x:v>
      </x:c>
      <x:c r="K3" s="12" t="str">
        <x:v>Protocolos de reacción y comunicación inmediata con central</x:v>
      </x:c>
      <x:c r="L3" s="12" t="str">
        <x:v>CCTV, radios, botón de pánico, iluminación exterior</x:v>
      </x:c>
      <x:c r="M3" s="12" t="str">
        <x:v>Entrenamiento en control de crisis y manejo defensivo</x:v>
      </x:c>
      <x:c r="N3" s="12" t="str">
        <x:v>Homicidio o lesión grave</x:v>
      </x:c>
      <x:c r="O3" s="12" t="str">
        <x:v>Decreto 1072 de 2015; Resolución 0312 de 2019</x:v>
      </x:c>
      <x:c r="P3" s="14" t="n">
        <x:v>38</x:v>
      </x:c>
      <x:c r="Q3" t="str">
        <x:v>Alto</x:v>
      </x:c>
      <x:c r="R3" s="14" t="n">
        <x:f>IFERROR(VLOOKUP(Q3,Catalogos!$G:$H,2,FALSE),"")</x:f>
        <x:v>6</x:v>
      </x:c>
      <x:c r="S3" t="str">
        <x:v>Ocasional</x:v>
      </x:c>
      <x:c r="T3" s="14" t="n">
        <x:f>IFERROR(VLOOKUP(S3,Catalogos!$I:$J,2,FALSE),"")</x:f>
        <x:v>2</x:v>
      </x:c>
      <x:c r="U3" s="14" t="n">
        <x:f>IF(OR(R3="",T3=""),"",R3*T3)</x:f>
        <x:v>12</x:v>
      </x:c>
      <x:c r="V3" t="str">
        <x:f>IF(U3="","",IF(U3&gt;=24,"MUY ALTO",IF(U3&gt;=10,"ALTO",IF(U3&gt;=6,"MEDIO","BAJO"))))</x:f>
        <x:v>ALTO</x:v>
      </x:c>
      <x:c r="W3" t="str">
        <x:v>Muy grave</x:v>
      </x:c>
      <x:c r="X3" s="14" t="n">
        <x:f>IFERROR(VLOOKUP(W3,Catalogos!$G:$H,2,FALSE),"")</x:f>
        <x:v>60</x:v>
      </x:c>
      <x:c r="Y3" s="14" t="n">
        <x:f>IF(OR(U3="",X3=""),"",U3*X3)</x:f>
        <x:v>720</x:v>
      </x:c>
      <x:c r="Z3" t="str">
        <x:f>IF(Y3="","",IF(Y3&gt;=600,"I - Situación crítica. Suspender actividades hasta que el riesgo esté bajo control. Intervención urgente.",IF(Y3&gt;=150,"II - Corregir y adoptar medidas de control de inmediato.",IF(Y3&gt;=40,"III - Mejorar si es posible. Conviene justificar la intervención y su rentabilidad.","IV - Mantener controles existentes."))))</x:f>
        <x:v>I - Situación crítica. Suspender actividades hasta que el riesgo esté bajo control. Intervención urgente.</x:v>
      </x:c>
      <x:c r="AA3" t="str">
        <x:f>IF(Y3="","",IF(Y3&gt;=600,"No aceptable",IF(Y3&gt;=150,"No aceptable / Aceptable con control específico","Aceptable")))</x:f>
        <x:v>No aceptable</x:v>
      </x:c>
      <x:c r="AB3" s="12" t="str">
        <x:v>Eliminar puntos ciegos y actividades en solitario de alto riesgo</x:v>
      </x:c>
      <x:c r="AC3" s="12" t="str">
        <x:v>Sustituir rondas aisladas por acompañamiento dual en sitios críticos</x:v>
      </x:c>
      <x:c r="AD3" s="12" t="str">
        <x:v>Mejorar CCTV, alarmas y control de acceso</x:v>
      </x:c>
      <x:c r="AE3" s="12" t="str">
        <x:v>Protocolos de reacción, análisis de seguridad por puesto, simulacros</x:v>
      </x:c>
      <x:c r="AF3" s="12" t="str">
        <x:v>Chaleco, linterna, radio, elemento de protección balística si aplica</x:v>
      </x:c>
      <x:c r="AG3" s="12" t="str">
        <x:v>Director de Operaciones</x:v>
      </x:c>
      <x:c r="AH3" s="16" t="str">
        <x:v>2026-05-31</x:v>
      </x:c>
      <x:c r="AI3" s="12" t="str"/>
    </x:row>
    <x:row r="4">
      <x:c r="A4" t="str">
        <x:v>IPVR-003</x:v>
      </x:c>
      <x:c r="B4" t="str">
        <x:v>Cúcuta</x:v>
      </x:c>
      <x:c r="C4" t="str">
        <x:v>Vigilancia física fija</x:v>
      </x:c>
      <x:c r="D4" s="12" t="str">
        <x:v>Áreas comunes / perímetro</x:v>
      </x:c>
      <x:c r="E4" s="12" t="str">
        <x:v>Rondas de inspección</x:v>
      </x:c>
      <x:c r="F4" s="12" t="str">
        <x:v>Desplazarse por escaleras, pasillos, zonas húmedas o irregulares</x:v>
      </x:c>
      <x:c r="G4" s="12" t="str">
        <x:v>Sí</x:v>
      </x:c>
      <x:c r="H4" s="12" t="str">
        <x:v>Condiciones de seguridad - Locativo</x:v>
      </x:c>
      <x:c r="I4" s="12" t="str">
        <x:v>Caídas al mismo nivel por superficies irregulares, húmedas o con obstáculos</x:v>
      </x:c>
      <x:c r="J4" s="12" t="str">
        <x:v>Esguinces, fracturas, golpes, incapacidad temporal</x:v>
      </x:c>
      <x:c r="K4" s="12" t="str">
        <x:v>Inspecciones locativas y corrección de condiciones inseguras</x:v>
      </x:c>
      <x:c r="L4" s="12" t="str">
        <x:v>Señalización, orden y aseo, iluminación adecuada</x:v>
      </x:c>
      <x:c r="M4" s="12" t="str">
        <x:v>Reporte oportuno de condiciones inseguras y atención al tránsito seguro</x:v>
      </x:c>
      <x:c r="N4" s="12" t="str">
        <x:v>Fractura con incapacidad prolongada</x:v>
      </x:c>
      <x:c r="O4" s="12" t="str">
        <x:v>Decreto 1072 de 2015; Resolución 0312 de 2019</x:v>
      </x:c>
      <x:c r="P4" s="14" t="n">
        <x:v>38</x:v>
      </x:c>
      <x:c r="Q4" t="str">
        <x:v>Alto</x:v>
      </x:c>
      <x:c r="R4" s="14" t="n">
        <x:f>IFERROR(VLOOKUP(Q4,Catalogos!$G:$H,2,FALSE),"")</x:f>
        <x:v>6</x:v>
      </x:c>
      <x:c r="S4" t="str">
        <x:v>Ocasional</x:v>
      </x:c>
      <x:c r="T4" s="14" t="n">
        <x:f>IFERROR(VLOOKUP(S4,Catalogos!$I:$J,2,FALSE),"")</x:f>
        <x:v>2</x:v>
      </x:c>
      <x:c r="U4" s="14" t="n">
        <x:f>IF(OR(R4="",T4=""),"",R4*T4)</x:f>
        <x:v>12</x:v>
      </x:c>
      <x:c r="V4" t="str">
        <x:f>IF(U4="","",IF(U4&gt;=24,"MUY ALTO",IF(U4&gt;=10,"ALTO",IF(U4&gt;=6,"MEDIO","BAJO"))))</x:f>
        <x:v>ALTO</x:v>
      </x:c>
      <x:c r="W4" t="str">
        <x:v>Grave</x:v>
      </x:c>
      <x:c r="X4" s="14" t="n">
        <x:f>IFERROR(VLOOKUP(W4,Catalogos!$G:$H,2,FALSE),"")</x:f>
        <x:v>25</x:v>
      </x:c>
      <x:c r="Y4" s="14" t="n">
        <x:f>IF(OR(U4="",X4=""),"",U4*X4)</x:f>
        <x:v>300</x:v>
      </x:c>
      <x:c r="Z4" t="str">
        <x:f>IF(Y4="","",IF(Y4&gt;=600,"I - Situación crítica. Suspender actividades hasta que el riesgo esté bajo control. Intervención urgente.",IF(Y4&gt;=150,"II - Corregir y adoptar medidas de control de inmediato.",IF(Y4&gt;=40,"III - Mejorar si es posible. Conviene justificar la intervención y su rentabilidad.","IV - Mantener controles existentes."))))</x:f>
        <x:v>II - Corregir y adoptar medidas de control de inmediato.</x:v>
      </x:c>
      <x:c r="AA4" t="str">
        <x:f>IF(Y4="","",IF(Y4&gt;=600,"No aceptable",IF(Y4&gt;=150,"No aceptable / Aceptable con control específico","Aceptable")))</x:f>
        <x:v>No aceptable / Aceptable con control específico</x:v>
      </x:c>
      <x:c r="AB4" s="12" t="str">
        <x:v>Eliminar obstáculos y desniveles inseguros</x:v>
      </x:c>
      <x:c r="AC4" s="12" t="str">
        <x:v>Revestimientos antideslizantes en zonas críticas</x:v>
      </x:c>
      <x:c r="AD4" s="12" t="str">
        <x:v>Mejorar drenajes y pisos</x:v>
      </x:c>
      <x:c r="AE4" s="12" t="str">
        <x:v>Inspecciones periódicas, orden y aseo, reporte de novedades</x:v>
      </x:c>
      <x:c r="AF4" s="12" t="str">
        <x:v>Calzado de seguridad antideslizante</x:v>
      </x:c>
      <x:c r="AG4" s="12" t="str">
        <x:v>Director de Operaciones</x:v>
      </x:c>
      <x:c r="AH4" s="16" t="str">
        <x:v>2026-05-31</x:v>
      </x:c>
      <x:c r="AI4" s="12" t="str"/>
    </x:row>
    <x:row r="5">
      <x:c r="A5" t="str">
        <x:v>IPVR-004</x:v>
      </x:c>
      <x:c r="B5" t="str">
        <x:v>Cúcuta</x:v>
      </x:c>
      <x:c r="C5" t="str">
        <x:v>Vigilancia física fija</x:v>
      </x:c>
      <x:c r="D5" s="12" t="str">
        <x:v>Garitas y perímetro externo</x:v>
      </x:c>
      <x:c r="E5" s="12" t="str">
        <x:v>Vigilancia exterior</x:v>
      </x:c>
      <x:c r="F5" s="12" t="str">
        <x:v>Exposición a radiación solar, lluvia y cambios bruscos de temperatura</x:v>
      </x:c>
      <x:c r="G5" s="12" t="str">
        <x:v>Sí</x:v>
      </x:c>
      <x:c r="H5" s="12" t="str">
        <x:v>Físico</x:v>
      </x:c>
      <x:c r="I5" s="12" t="str">
        <x:v>Exposición a radiación solar, calor, lluvia y disconfort térmico</x:v>
      </x:c>
      <x:c r="J5" s="12" t="str">
        <x:v>Deshidratación, cefalea, fatiga térmica, dermatosis</x:v>
      </x:c>
      <x:c r="K5" s="12" t="str">
        <x:v>Programación de relevos y zonas de sombra</x:v>
      </x:c>
      <x:c r="L5" s="12" t="str">
        <x:v>Cubiertas, hidratación disponible, ventilación</x:v>
      </x:c>
      <x:c r="M5" s="12" t="str">
        <x:v>Autocuidado e hidratación permanente</x:v>
      </x:c>
      <x:c r="N5" s="12" t="str">
        <x:v>Golpe de calor</x:v>
      </x:c>
      <x:c r="O5" s="12" t="str">
        <x:v>Decreto 1072 de 2015; Resolución 0312 de 2019</x:v>
      </x:c>
      <x:c r="P5" s="14" t="n">
        <x:v>38</x:v>
      </x:c>
      <x:c r="Q5" t="str">
        <x:v>Medio</x:v>
      </x:c>
      <x:c r="R5" s="14" t="n">
        <x:f>IFERROR(VLOOKUP(Q5,Catalogos!$G:$H,2,FALSE),"")</x:f>
        <x:v>2</x:v>
      </x:c>
      <x:c r="S5" t="str">
        <x:v>Frecuente</x:v>
      </x:c>
      <x:c r="T5" s="14" t="n">
        <x:f>IFERROR(VLOOKUP(S5,Catalogos!$I:$J,2,FALSE),"")</x:f>
        <x:v>3</x:v>
      </x:c>
      <x:c r="U5" s="14" t="n">
        <x:f>IF(OR(R5="",T5=""),"",R5*T5)</x:f>
        <x:v>6</x:v>
      </x:c>
      <x:c r="V5" t="str">
        <x:f>IF(U5="","",IF(U5&gt;=24,"MUY ALTO",IF(U5&gt;=10,"ALTO",IF(U5&gt;=6,"MEDIO","BAJO"))))</x:f>
        <x:v>MEDIO</x:v>
      </x:c>
      <x:c r="W5" t="str">
        <x:v>Leve</x:v>
      </x:c>
      <x:c r="X5" s="14" t="n">
        <x:f>IFERROR(VLOOKUP(W5,Catalogos!$G:$H,2,FALSE),"")</x:f>
        <x:v>10</x:v>
      </x:c>
      <x:c r="Y5" s="14" t="n">
        <x:f>IF(OR(U5="",X5=""),"",U5*X5)</x:f>
        <x:v>60</x:v>
      </x:c>
      <x:c r="Z5" t="str">
        <x:f>IF(Y5="","",IF(Y5&gt;=600,"I - Situación crítica. Suspender actividades hasta que el riesgo esté bajo control. Intervención urgente.",IF(Y5&gt;=150,"II - Corregir y adoptar medidas de control de inmediato.",IF(Y5&gt;=40,"III - Mejorar si es posible. Conviene justificar la intervención y su rentabilidad.","IV - Mantener controles existentes."))))</x:f>
        <x:v>III - Mejorar si es posible. Conviene justificar la intervención y su rentabilidad.</x:v>
      </x:c>
      <x:c r="AA5" t="str">
        <x:f>IF(Y5="","",IF(Y5&gt;=600,"No aceptable",IF(Y5&gt;=150,"No aceptable / Aceptable con control específico","Aceptable")))</x:f>
        <x:v>Aceptable</x:v>
      </x:c>
      <x:c r="AB5" s="12" t="str">
        <x:v>Reubicar puestos sin protección directa al clima cuando sea viable</x:v>
      </x:c>
      <x:c r="AC5" s="12" t="str">
        <x:v>No aplica</x:v>
      </x:c>
      <x:c r="AD5" s="12" t="str">
        <x:v>Instalar cubiertas y ventilación</x:v>
      </x:c>
      <x:c r="AE5" s="12" t="str">
        <x:v>Relevos, pausas de hidratación y seguimiento en temporadas críticas</x:v>
      </x:c>
      <x:c r="AF5" s="12" t="str">
        <x:v>Gorra, bloqueador solar, impermeable</x:v>
      </x:c>
      <x:c r="AG5" s="12" t="str">
        <x:v>Director de Operaciones</x:v>
      </x:c>
      <x:c r="AH5" s="16" t="str">
        <x:v>2026-05-31</x:v>
      </x:c>
      <x:c r="AI5" s="12" t="str"/>
    </x:row>
    <x:row r="6">
      <x:c r="A6" t="str">
        <x:v>IPVR-005</x:v>
      </x:c>
      <x:c r="B6" t="str">
        <x:v>Cúcuta</x:v>
      </x:c>
      <x:c r="C6" t="str">
        <x:v>Supervisión operativa y rondas</x:v>
      </x:c>
      <x:c r="D6" s="12" t="str">
        <x:v>Vías urbanas e intermunicipales</x:v>
      </x:c>
      <x:c r="E6" s="12" t="str">
        <x:v>Rondas motorizadas y desplazamiento entre puestos</x:v>
      </x:c>
      <x:c r="F6" s="12" t="str">
        <x:v>Conducir motocicleta o vehículo para supervisión de servicios</x:v>
      </x:c>
      <x:c r="G6" s="12" t="str">
        <x:v>Sí</x:v>
      </x:c>
      <x:c r="H6" s="12" t="str">
        <x:v>Condiciones de seguridad - Accidentes de tránsito</x:v>
      </x:c>
      <x:c r="I6" s="12" t="str">
        <x:v>Colisión, volcamiento, atropellamiento o siniestro vial</x:v>
      </x:c>
      <x:c r="J6" s="12" t="str">
        <x:v>Politraumatismo, incapacidad, muerte</x:v>
      </x:c>
      <x:c r="K6" s="12" t="str">
        <x:v>Mantenimiento preventivo y control de velocidad</x:v>
      </x:c>
      <x:c r="L6" s="12" t="str">
        <x:v>Vehículos en buen estado, GPS, reflectivos</x:v>
      </x:c>
      <x:c r="M6" s="12" t="str">
        <x:v>Capacitación PESV y conducción defensiva</x:v>
      </x:c>
      <x:c r="N6" s="12" t="str">
        <x:v>Muerte</x:v>
      </x:c>
      <x:c r="O6" s="12" t="str">
        <x:v>Resolución 40595 de 2022; Decreto 1072 de 2015</x:v>
      </x:c>
      <x:c r="P6" s="14" t="n">
        <x:v>7</x:v>
      </x:c>
      <x:c r="Q6" t="str">
        <x:v>Muy alto</x:v>
      </x:c>
      <x:c r="R6" s="14" t="n">
        <x:f>IFERROR(VLOOKUP(Q6,Catalogos!$G:$H,2,FALSE),"")</x:f>
        <x:v>10</x:v>
      </x:c>
      <x:c r="S6" t="str">
        <x:v>Frecuente</x:v>
      </x:c>
      <x:c r="T6" s="14" t="n">
        <x:f>IFERROR(VLOOKUP(S6,Catalogos!$I:$J,2,FALSE),"")</x:f>
        <x:v>3</x:v>
      </x:c>
      <x:c r="U6" s="14" t="n">
        <x:f>IF(OR(R6="",T6=""),"",R6*T6)</x:f>
        <x:v>30</x:v>
      </x:c>
      <x:c r="V6" t="str">
        <x:f>IF(U6="","",IF(U6&gt;=24,"MUY ALTO",IF(U6&gt;=10,"ALTO",IF(U6&gt;=6,"MEDIO","BAJO"))))</x:f>
        <x:v>MUY ALTO</x:v>
      </x:c>
      <x:c r="W6" t="str">
        <x:v>Muy grave</x:v>
      </x:c>
      <x:c r="X6" s="14" t="n">
        <x:f>IFERROR(VLOOKUP(W6,Catalogos!$G:$H,2,FALSE),"")</x:f>
        <x:v>60</x:v>
      </x:c>
      <x:c r="Y6" s="14" t="n">
        <x:f>IF(OR(U6="",X6=""),"",U6*X6)</x:f>
        <x:v>1800</x:v>
      </x:c>
      <x:c r="Z6" t="str">
        <x:f>IF(Y6="","",IF(Y6&gt;=600,"I - Situación crítica. Suspender actividades hasta que el riesgo esté bajo control. Intervención urgente.",IF(Y6&gt;=150,"II - Corregir y adoptar medidas de control de inmediato.",IF(Y6&gt;=40,"III - Mejorar si es posible. Conviene justificar la intervención y su rentabilidad.","IV - Mantener controles existentes."))))</x:f>
        <x:v>I - Situación crítica. Suspender actividades hasta que el riesgo esté bajo control. Intervención urgente.</x:v>
      </x:c>
      <x:c r="AA6" t="str">
        <x:f>IF(Y6="","",IF(Y6&gt;=600,"No aceptable",IF(Y6&gt;=150,"No aceptable / Aceptable con control específico","Aceptable")))</x:f>
        <x:v>No aceptable</x:v>
      </x:c>
      <x:c r="AB6" s="12" t="str">
        <x:v>Eliminar desplazamientos innecesarios</x:v>
      </x:c>
      <x:c r="AC6" s="12" t="str">
        <x:v>Sustituir motocicleta por vehículo en trayectos críticos cuando aplique</x:v>
      </x:c>
      <x:c r="AD6" s="12" t="str">
        <x:v>GPS, cámaras y mantenimientos</x:v>
      </x:c>
      <x:c r="AE6" s="12" t="str">
        <x:v>PESV, control de fatiga, inspección preoperacional</x:v>
      </x:c>
      <x:c r="AF6" s="12" t="str">
        <x:v>Casco certificado, chaleco reflectivo</x:v>
      </x:c>
      <x:c r="AG6" s="12" t="str">
        <x:v>Director de Operaciones</x:v>
      </x:c>
      <x:c r="AH6" s="16" t="str">
        <x:v>2026-05-31</x:v>
      </x:c>
      <x:c r="AI6" s="12" t="str"/>
    </x:row>
    <x:row r="7">
      <x:c r="A7" t="str">
        <x:v>IPVR-006</x:v>
      </x:c>
      <x:c r="B7" t="str">
        <x:v>Cúcuta</x:v>
      </x:c>
      <x:c r="C7" t="str">
        <x:v>Supervisión operativa y rondas</x:v>
      </x:c>
      <x:c r="D7" s="12" t="str">
        <x:v>Puestos externos / vía pública</x:v>
      </x:c>
      <x:c r="E7" s="12" t="str">
        <x:v>Atención de novedades e inspecciones en campo</x:v>
      </x:c>
      <x:c r="F7" s="12" t="str">
        <x:v>Ingresar a sitios con potencial alteración de orden público</x:v>
      </x:c>
      <x:c r="G7" s="12" t="str">
        <x:v>Sí</x:v>
      </x:c>
      <x:c r="H7" s="12" t="str">
        <x:v>Condiciones de seguridad - Público</x:v>
      </x:c>
      <x:c r="I7" s="12" t="str">
        <x:v>Asalto, amenaza, retención o agresión de terceros</x:v>
      </x:c>
      <x:c r="J7" s="12" t="str">
        <x:v>Lesiones, trauma psicológico, muerte</x:v>
      </x:c>
      <x:c r="K7" s="12" t="str">
        <x:v>Protocolos de apoyo y monitoreo</x:v>
      </x:c>
      <x:c r="L7" s="12" t="str">
        <x:v>Comunicación permanente con central y georreferenciación</x:v>
      </x:c>
      <x:c r="M7" s="12" t="str">
        <x:v>Entrenamiento de reacción segura y autoprotección</x:v>
      </x:c>
      <x:c r="N7" s="12" t="str">
        <x:v>Lesión grave o muerte</x:v>
      </x:c>
      <x:c r="O7" s="12" t="str">
        <x:v>Decreto 1072 de 2015; Resolución 0312 de 2019</x:v>
      </x:c>
      <x:c r="P7" s="14" t="n">
        <x:v>7</x:v>
      </x:c>
      <x:c r="Q7" t="str">
        <x:v>Alto</x:v>
      </x:c>
      <x:c r="R7" s="14" t="n">
        <x:f>IFERROR(VLOOKUP(Q7,Catalogos!$G:$H,2,FALSE),"")</x:f>
        <x:v>6</x:v>
      </x:c>
      <x:c r="S7" t="str">
        <x:v>Ocasional</x:v>
      </x:c>
      <x:c r="T7" s="14" t="n">
        <x:f>IFERROR(VLOOKUP(S7,Catalogos!$I:$J,2,FALSE),"")</x:f>
        <x:v>2</x:v>
      </x:c>
      <x:c r="U7" s="14" t="n">
        <x:f>IF(OR(R7="",T7=""),"",R7*T7)</x:f>
        <x:v>12</x:v>
      </x:c>
      <x:c r="V7" t="str">
        <x:f>IF(U7="","",IF(U7&gt;=24,"MUY ALTO",IF(U7&gt;=10,"ALTO",IF(U7&gt;=6,"MEDIO","BAJO"))))</x:f>
        <x:v>ALTO</x:v>
      </x:c>
      <x:c r="W7" t="str">
        <x:v>Muy grave</x:v>
      </x:c>
      <x:c r="X7" s="14" t="n">
        <x:f>IFERROR(VLOOKUP(W7,Catalogos!$G:$H,2,FALSE),"")</x:f>
        <x:v>60</x:v>
      </x:c>
      <x:c r="Y7" s="14" t="n">
        <x:f>IF(OR(U7="",X7=""),"",U7*X7)</x:f>
        <x:v>720</x:v>
      </x:c>
      <x:c r="Z7" t="str">
        <x:f>IF(Y7="","",IF(Y7&gt;=600,"I - Situación crítica. Suspender actividades hasta que el riesgo esté bajo control. Intervención urgente.",IF(Y7&gt;=150,"II - Corregir y adoptar medidas de control de inmediato.",IF(Y7&gt;=40,"III - Mejorar si es posible. Conviene justificar la intervención y su rentabilidad.","IV - Mantener controles existentes."))))</x:f>
        <x:v>I - Situación crítica. Suspender actividades hasta que el riesgo esté bajo control. Intervención urgente.</x:v>
      </x:c>
      <x:c r="AA7" t="str">
        <x:f>IF(Y7="","",IF(Y7&gt;=600,"No aceptable",IF(Y7&gt;=150,"No aceptable / Aceptable con control específico","Aceptable")))</x:f>
        <x:v>No aceptable</x:v>
      </x:c>
      <x:c r="AB7" s="12" t="str">
        <x:v>Suspender atención individual en zonas críticas</x:v>
      </x:c>
      <x:c r="AC7" s="12" t="str">
        <x:v>Acompañamiento dual o apoyo policial en zonas de alto riesgo</x:v>
      </x:c>
      <x:c r="AD7" s="12" t="str">
        <x:v>Dispositivos de comunicación redundante</x:v>
      </x:c>
      <x:c r="AE7" s="12" t="str">
        <x:v>Mapas de riesgo, briefing previo y protocolos de atención</x:v>
      </x:c>
      <x:c r="AF7" s="12" t="str">
        <x:v>Chaleco, radio, linterna táctica</x:v>
      </x:c>
      <x:c r="AG7" s="12" t="str">
        <x:v>Director de Operaciones</x:v>
      </x:c>
      <x:c r="AH7" s="16" t="str">
        <x:v>2026-05-31</x:v>
      </x:c>
      <x:c r="AI7" s="12" t="str"/>
    </x:row>
    <x:row r="8">
      <x:c r="A8" t="str">
        <x:v>IPVR-007</x:v>
      </x:c>
      <x:c r="B8" t="str">
        <x:v>Cúcuta</x:v>
      </x:c>
      <x:c r="C8" t="str">
        <x:v>Monitoreo de medios tecnológicos</x:v>
      </x:c>
      <x:c r="D8" s="12" t="str">
        <x:v>Central de monitoreo / CCTV</x:v>
      </x:c>
      <x:c r="E8" s="12" t="str">
        <x:v>Monitoreo continuo de pantallas</x:v>
      </x:c>
      <x:c r="F8" s="12" t="str">
        <x:v>Observar cámaras, registrar eventos y responder alarmas</x:v>
      </x:c>
      <x:c r="G8" s="12" t="str">
        <x:v>Sí</x:v>
      </x:c>
      <x:c r="H8" s="12" t="str">
        <x:v>Biomecánico</x:v>
      </x:c>
      <x:c r="I8" s="12" t="str">
        <x:v>Postura sedente prolongada y movimientos repetitivos de miembros superiores</x:v>
      </x:c>
      <x:c r="J8" s="12" t="str">
        <x:v>Dolor lumbar, cervicalgia, síndrome de túnel carpiano</x:v>
      </x:c>
      <x:c r="K8" s="12" t="str">
        <x:v>Pausas activas y rediseño del puesto</x:v>
      </x:c>
      <x:c r="L8" s="12" t="str">
        <x:v>Sillas ergonómicas y alturas ajustadas</x:v>
      </x:c>
      <x:c r="M8" s="12" t="str">
        <x:v>Capacitación ergonómica y pausas visuales</x:v>
      </x:c>
      <x:c r="N8" s="12" t="str">
        <x:v>Trastorno musculoesquelético con restricción médica</x:v>
      </x:c>
      <x:c r="O8" s="12" t="str">
        <x:v>Decreto 1072 de 2015; Resolución 0312 de 2019</x:v>
      </x:c>
      <x:c r="P8" s="14" t="n">
        <x:v>8</x:v>
      </x:c>
      <x:c r="Q8" t="str">
        <x:v>Medio</x:v>
      </x:c>
      <x:c r="R8" s="14" t="n">
        <x:f>IFERROR(VLOOKUP(Q8,Catalogos!$G:$H,2,FALSE),"")</x:f>
        <x:v>2</x:v>
      </x:c>
      <x:c r="S8" t="str">
        <x:v>Continua</x:v>
      </x:c>
      <x:c r="T8" s="14" t="n">
        <x:f>IFERROR(VLOOKUP(S8,Catalogos!$I:$J,2,FALSE),"")</x:f>
        <x:v>4</x:v>
      </x:c>
      <x:c r="U8" s="14" t="n">
        <x:f>IF(OR(R8="",T8=""),"",R8*T8)</x:f>
        <x:v>8</x:v>
      </x:c>
      <x:c r="V8" t="str">
        <x:f>IF(U8="","",IF(U8&gt;=24,"MUY ALTO",IF(U8&gt;=10,"ALTO",IF(U8&gt;=6,"MEDIO","BAJO"))))</x:f>
        <x:v>MEDIO</x:v>
      </x:c>
      <x:c r="W8" t="str">
        <x:v>Grave</x:v>
      </x:c>
      <x:c r="X8" s="14" t="n">
        <x:f>IFERROR(VLOOKUP(W8,Catalogos!$G:$H,2,FALSE),"")</x:f>
        <x:v>25</x:v>
      </x:c>
      <x:c r="Y8" s="14" t="n">
        <x:f>IF(OR(U8="",X8=""),"",U8*X8)</x:f>
        <x:v>200</x:v>
      </x:c>
      <x:c r="Z8" t="str">
        <x:f>IF(Y8="","",IF(Y8&gt;=600,"I - Situación crítica. Suspender actividades hasta que el riesgo esté bajo control. Intervención urgente.",IF(Y8&gt;=150,"II - Corregir y adoptar medidas de control de inmediato.",IF(Y8&gt;=40,"III - Mejorar si es posible. Conviene justificar la intervención y su rentabilidad.","IV - Mantener controles existentes."))))</x:f>
        <x:v>II - Corregir y adoptar medidas de control de inmediato.</x:v>
      </x:c>
      <x:c r="AA8" t="str">
        <x:f>IF(Y8="","",IF(Y8&gt;=600,"No aceptable",IF(Y8&gt;=150,"No aceptable / Aceptable con control específico","Aceptable")))</x:f>
        <x:v>No aceptable / Aceptable con control específico</x:v>
      </x:c>
      <x:c r="AB8" s="12" t="str">
        <x:v>Automatizar tareas repetitivas cuando sea viable</x:v>
      </x:c>
      <x:c r="AC8" s="12" t="str">
        <x:v>No aplica</x:v>
      </x:c>
      <x:c r="AD8" s="12" t="str">
        <x:v>Puestos ajustables, soporte lumbar, apoyabrazos</x:v>
      </x:c>
      <x:c r="AE8" s="12" t="str">
        <x:v>Pausas activas, rotación y seguimiento ergonómico</x:v>
      </x:c>
      <x:c r="AF8" s="12" t="str">
        <x:v>No aplica</x:v>
      </x:c>
      <x:c r="AG8" s="12" t="str">
        <x:v>Director de Medios Tecnológicos</x:v>
      </x:c>
      <x:c r="AH8" s="16" t="str">
        <x:v>2026-05-31</x:v>
      </x:c>
      <x:c r="AI8" s="12" t="str"/>
    </x:row>
    <x:row r="9">
      <x:c r="A9" t="str">
        <x:v>IPVR-008</x:v>
      </x:c>
      <x:c r="B9" t="str">
        <x:v>Cúcuta</x:v>
      </x:c>
      <x:c r="C9" t="str">
        <x:v>Monitoreo de medios tecnológicos</x:v>
      </x:c>
      <x:c r="D9" s="12" t="str">
        <x:v>Central de monitoreo / CCTV</x:v>
      </x:c>
      <x:c r="E9" s="12" t="str">
        <x:v>Monitoreo continuo de pantallas</x:v>
      </x:c>
      <x:c r="F9" s="12" t="str">
        <x:v>Exposición prolongada a pantallas y atención visual sostenida</x:v>
      </x:c>
      <x:c r="G9" s="12" t="str">
        <x:v>Sí</x:v>
      </x:c>
      <x:c r="H9" s="12" t="str">
        <x:v>Físico</x:v>
      </x:c>
      <x:c r="I9" s="12" t="str">
        <x:v>Fatiga visual por iluminación inadecuada y uso prolongado de pantallas</x:v>
      </x:c>
      <x:c r="J9" s="12" t="str">
        <x:v>Cefalea, visión borrosa, irritación ocular</x:v>
      </x:c>
      <x:c r="K9" s="12" t="str">
        <x:v>Mantenimiento de monitores y configuración luminosa</x:v>
      </x:c>
      <x:c r="L9" s="12" t="str">
        <x:v>Iluminación indirecta y control de brillos</x:v>
      </x:c>
      <x:c r="M9" s="12" t="str">
        <x:v>Pausas visuales y valoración optométrica periódica</x:v>
      </x:c>
      <x:c r="N9" s="12" t="str">
        <x:v>Alteración visual funcional temporal</x:v>
      </x:c>
      <x:c r="O9" s="12" t="str">
        <x:v>Decreto 1072 de 2015; Resolución 0312 de 2019</x:v>
      </x:c>
      <x:c r="P9" s="14" t="n">
        <x:v>8</x:v>
      </x:c>
      <x:c r="Q9" t="str">
        <x:v>Medio</x:v>
      </x:c>
      <x:c r="R9" s="14" t="n">
        <x:f>IFERROR(VLOOKUP(Q9,Catalogos!$G:$H,2,FALSE),"")</x:f>
        <x:v>2</x:v>
      </x:c>
      <x:c r="S9" t="str">
        <x:v>Continua</x:v>
      </x:c>
      <x:c r="T9" s="14" t="n">
        <x:f>IFERROR(VLOOKUP(S9,Catalogos!$I:$J,2,FALSE),"")</x:f>
        <x:v>4</x:v>
      </x:c>
      <x:c r="U9" s="14" t="n">
        <x:f>IF(OR(R9="",T9=""),"",R9*T9)</x:f>
        <x:v>8</x:v>
      </x:c>
      <x:c r="V9" t="str">
        <x:f>IF(U9="","",IF(U9&gt;=24,"MUY ALTO",IF(U9&gt;=10,"ALTO",IF(U9&gt;=6,"MEDIO","BAJO"))))</x:f>
        <x:v>MEDIO</x:v>
      </x:c>
      <x:c r="W9" t="str">
        <x:v>Leve</x:v>
      </x:c>
      <x:c r="X9" s="14" t="n">
        <x:f>IFERROR(VLOOKUP(W9,Catalogos!$G:$H,2,FALSE),"")</x:f>
        <x:v>10</x:v>
      </x:c>
      <x:c r="Y9" s="14" t="n">
        <x:f>IF(OR(U9="",X9=""),"",U9*X9)</x:f>
        <x:v>80</x:v>
      </x:c>
      <x:c r="Z9" t="str">
        <x:f>IF(Y9="","",IF(Y9&gt;=600,"I - Situación crítica. Suspender actividades hasta que el riesgo esté bajo control. Intervención urgente.",IF(Y9&gt;=150,"II - Corregir y adoptar medidas de control de inmediato.",IF(Y9&gt;=40,"III - Mejorar si es posible. Conviene justificar la intervención y su rentabilidad.","IV - Mantener controles existentes."))))</x:f>
        <x:v>III - Mejorar si es posible. Conviene justificar la intervención y su rentabilidad.</x:v>
      </x:c>
      <x:c r="AA9" t="str">
        <x:f>IF(Y9="","",IF(Y9&gt;=600,"No aceptable",IF(Y9&gt;=150,"No aceptable / Aceptable con control específico","Aceptable")))</x:f>
        <x:v>Aceptable</x:v>
      </x:c>
      <x:c r="AB9" s="12" t="str">
        <x:v>Reducir exposición continua sin pausas</x:v>
      </x:c>
      <x:c r="AC9" s="12" t="str">
        <x:v>Monitores con mejor resolución y menor parpadeo</x:v>
      </x:c>
      <x:c r="AD9" s="12" t="str">
        <x:v>Ajuste de iluminación y filtros</x:v>
      </x:c>
      <x:c r="AE9" s="12" t="str">
        <x:v>Regla 20-20-20 y pausas programadas</x:v>
      </x:c>
      <x:c r="AF9" s="12" t="str">
        <x:v>Lentes formulados si aplica</x:v>
      </x:c>
      <x:c r="AG9" s="12" t="str">
        <x:v>Director de Medios Tecnológicos</x:v>
      </x:c>
      <x:c r="AH9" s="16" t="str">
        <x:v>2026-05-31</x:v>
      </x:c>
      <x:c r="AI9" s="12" t="str"/>
    </x:row>
    <x:row r="10">
      <x:c r="A10" t="str">
        <x:v>IPVR-009</x:v>
      </x:c>
      <x:c r="B10" t="str">
        <x:v>Cúcuta</x:v>
      </x:c>
      <x:c r="C10" t="str">
        <x:v>Monitoreo de medios tecnológicos</x:v>
      </x:c>
      <x:c r="D10" s="12" t="str">
        <x:v>Central de monitoreo / CCTV</x:v>
      </x:c>
      <x:c r="E10" s="12" t="str">
        <x:v>Atención de alarmas y eventos</x:v>
      </x:c>
      <x:c r="F10" s="12" t="str">
        <x:v>Responder a múltiples eventos simultáneos por turno</x:v>
      </x:c>
      <x:c r="G10" s="12" t="str">
        <x:v>Sí</x:v>
      </x:c>
      <x:c r="H10" s="12" t="str">
        <x:v>Psicosocial</x:v>
      </x:c>
      <x:c r="I10" s="12" t="str">
        <x:v>Alta carga mental, presión temporal, turnos y vigilancia sostenida</x:v>
      </x:c>
      <x:c r="J10" s="12" t="str">
        <x:v>Estrés, fatiga mental, errores operativos, alteraciones del sueño</x:v>
      </x:c>
      <x:c r="K10" s="12" t="str">
        <x:v>Dimensionamiento adecuado del personal</x:v>
      </x:c>
      <x:c r="L10" s="12" t="str">
        <x:v>Ambiente controlado y apoyo de software</x:v>
      </x:c>
      <x:c r="M10" s="12" t="str">
        <x:v>Capacitación en manejo del estrés y pausas</x:v>
      </x:c>
      <x:c r="N10" s="12" t="str">
        <x:v>Burnout o error crítico por fatiga</x:v>
      </x:c>
      <x:c r="O10" s="12" t="str">
        <x:v>Resolución 2646 de 2008; Decreto 1072 de 2015</x:v>
      </x:c>
      <x:c r="P10" s="14" t="n">
        <x:v>8</x:v>
      </x:c>
      <x:c r="Q10" t="str">
        <x:v>Medio</x:v>
      </x:c>
      <x:c r="R10" s="14" t="n">
        <x:f>IFERROR(VLOOKUP(Q10,Catalogos!$G:$H,2,FALSE),"")</x:f>
        <x:v>2</x:v>
      </x:c>
      <x:c r="S10" t="str">
        <x:v>Continua</x:v>
      </x:c>
      <x:c r="T10" s="14" t="n">
        <x:f>IFERROR(VLOOKUP(S10,Catalogos!$I:$J,2,FALSE),"")</x:f>
        <x:v>4</x:v>
      </x:c>
      <x:c r="U10" s="14" t="n">
        <x:f>IF(OR(R10="",T10=""),"",R10*T10)</x:f>
        <x:v>8</x:v>
      </x:c>
      <x:c r="V10" t="str">
        <x:f>IF(U10="","",IF(U10&gt;=24,"MUY ALTO",IF(U10&gt;=10,"ALTO",IF(U10&gt;=6,"MEDIO","BAJO"))))</x:f>
        <x:v>MEDIO</x:v>
      </x:c>
      <x:c r="W10" t="str">
        <x:v>Grave</x:v>
      </x:c>
      <x:c r="X10" s="14" t="n">
        <x:f>IFERROR(VLOOKUP(W10,Catalogos!$G:$H,2,FALSE),"")</x:f>
        <x:v>25</x:v>
      </x:c>
      <x:c r="Y10" s="14" t="n">
        <x:f>IF(OR(U10="",X10=""),"",U10*X10)</x:f>
        <x:v>200</x:v>
      </x:c>
      <x:c r="Z10" t="str">
        <x:f>IF(Y10="","",IF(Y10&gt;=600,"I - Situación crítica. Suspender actividades hasta que el riesgo esté bajo control. Intervención urgente.",IF(Y10&gt;=150,"II - Corregir y adoptar medidas de control de inmediato.",IF(Y10&gt;=40,"III - Mejorar si es posible. Conviene justificar la intervención y su rentabilidad.","IV - Mantener controles existentes."))))</x:f>
        <x:v>II - Corregir y adoptar medidas de control de inmediato.</x:v>
      </x:c>
      <x:c r="AA10" t="str">
        <x:f>IF(Y10="","",IF(Y10&gt;=600,"No aceptable",IF(Y10&gt;=150,"No aceptable / Aceptable con control específico","Aceptable")))</x:f>
        <x:v>No aceptable / Aceptable con control específico</x:v>
      </x:c>
      <x:c r="AB10" s="12" t="str">
        <x:v>Eliminar sobrecarga de eventos en un solo operador</x:v>
      </x:c>
      <x:c r="AC10" s="12" t="str">
        <x:v>Redistribución de cargas por software y turnos</x:v>
      </x:c>
      <x:c r="AD10" s="12" t="str">
        <x:v>Herramientas de priorización de alarmas</x:v>
      </x:c>
      <x:c r="AE10" s="12" t="str">
        <x:v>Turnos equilibrados, pausas y evaluación psicosocial</x:v>
      </x:c>
      <x:c r="AF10" s="12" t="str">
        <x:v>No aplica</x:v>
      </x:c>
      <x:c r="AG10" s="12" t="str">
        <x:v>Director de Medios Tecnológicos</x:v>
      </x:c>
      <x:c r="AH10" s="16" t="str">
        <x:v>2026-05-31</x:v>
      </x:c>
      <x:c r="AI10" s="12" t="str"/>
    </x:row>
    <x:row r="11">
      <x:c r="A11" t="str">
        <x:v>IPVR-010</x:v>
      </x:c>
      <x:c r="B11" t="str">
        <x:v>Cúcuta</x:v>
      </x:c>
      <x:c r="C11" t="str">
        <x:v>Instalación y mantenimiento de medios tecnológicos</x:v>
      </x:c>
      <x:c r="D11" s="12" t="str">
        <x:v>Postes, fachadas y cubiertas</x:v>
      </x:c>
      <x:c r="E11" s="12" t="str">
        <x:v>Instalación de cámaras y cableado</x:v>
      </x:c>
      <x:c r="F11" s="12" t="str">
        <x:v>Trabajar sobre escaleras o alturas menores y mayores</x:v>
      </x:c>
      <x:c r="G11" s="12" t="str">
        <x:v>No</x:v>
      </x:c>
      <x:c r="H11" s="12" t="str">
        <x:v>Condiciones de seguridad - Trabajo en alturas</x:v>
      </x:c>
      <x:c r="I11" s="12" t="str">
        <x:v>Caída de persona o de objetos durante labores en altura</x:v>
      </x:c>
      <x:c r="J11" s="12" t="str">
        <x:v>Trauma severo, fracturas múltiples, muerte</x:v>
      </x:c>
      <x:c r="K11" s="12" t="str">
        <x:v>Planeación segura de la tarea y permisos</x:v>
      </x:c>
      <x:c r="L11" s="12" t="str">
        <x:v>Líneas de vida, escaleras certificadas, delimitación del área</x:v>
      </x:c>
      <x:c r="M11" s="12" t="str">
        <x:v>Certificación y entrenamiento en alturas</x:v>
      </x:c>
      <x:c r="N11" s="12" t="str">
        <x:v>Muerte</x:v>
      </x:c>
      <x:c r="O11" s="12" t="str">
        <x:v>Resolución 4272 de 2021; Decreto 1072 de 2015</x:v>
      </x:c>
      <x:c r="P11" s="14" t="n">
        <x:v>6</x:v>
      </x:c>
      <x:c r="Q11" t="str">
        <x:v>Alto</x:v>
      </x:c>
      <x:c r="R11" s="14" t="n">
        <x:f>IFERROR(VLOOKUP(Q11,Catalogos!$G:$H,2,FALSE),"")</x:f>
        <x:v>6</x:v>
      </x:c>
      <x:c r="S11" t="str">
        <x:v>Ocasional</x:v>
      </x:c>
      <x:c r="T11" s="14" t="n">
        <x:f>IFERROR(VLOOKUP(S11,Catalogos!$I:$J,2,FALSE),"")</x:f>
        <x:v>2</x:v>
      </x:c>
      <x:c r="U11" s="14" t="n">
        <x:f>IF(OR(R11="",T11=""),"",R11*T11)</x:f>
        <x:v>12</x:v>
      </x:c>
      <x:c r="V11" t="str">
        <x:f>IF(U11="","",IF(U11&gt;=24,"MUY ALTO",IF(U11&gt;=10,"ALTO",IF(U11&gt;=6,"MEDIO","BAJO"))))</x:f>
        <x:v>ALTO</x:v>
      </x:c>
      <x:c r="W11" t="str">
        <x:v>Muy grave</x:v>
      </x:c>
      <x:c r="X11" s="14" t="n">
        <x:f>IFERROR(VLOOKUP(W11,Catalogos!$G:$H,2,FALSE),"")</x:f>
        <x:v>60</x:v>
      </x:c>
      <x:c r="Y11" s="14" t="n">
        <x:f>IF(OR(U11="",X11=""),"",U11*X11)</x:f>
        <x:v>720</x:v>
      </x:c>
      <x:c r="Z11" t="str">
        <x:f>IF(Y11="","",IF(Y11&gt;=600,"I - Situación crítica. Suspender actividades hasta que el riesgo esté bajo control. Intervención urgente.",IF(Y11&gt;=150,"II - Corregir y adoptar medidas de control de inmediato.",IF(Y11&gt;=40,"III - Mejorar si es posible. Conviene justificar la intervención y su rentabilidad.","IV - Mantener controles existentes."))))</x:f>
        <x:v>I - Situación crítica. Suspender actividades hasta que el riesgo esté bajo control. Intervención urgente.</x:v>
      </x:c>
      <x:c r="AA11" t="str">
        <x:f>IF(Y11="","",IF(Y11&gt;=600,"No aceptable",IF(Y11&gt;=150,"No aceptable / Aceptable con control específico","Aceptable")))</x:f>
        <x:v>No aceptable</x:v>
      </x:c>
      <x:c r="AB11" s="12" t="str">
        <x:v>Eliminar trabajos en altura mediante rediseño desde piso cuando sea viable</x:v>
      </x:c>
      <x:c r="AC11" s="12" t="str">
        <x:v>Sustituir escalera por plataforma segura cuando aplique</x:v>
      </x:c>
      <x:c r="AD11" s="12" t="str">
        <x:v>Puntos de anclaje y sistemas anticaídas</x:v>
      </x:c>
      <x:c r="AE11" s="12" t="str">
        <x:v>Permiso de trabajo, ATS, inspección de equipos y observador</x:v>
      </x:c>
      <x:c r="AF11" s="12" t="str">
        <x:v>Arnés, eslinga, casco con barbuquejo</x:v>
      </x:c>
      <x:c r="AG11" s="12" t="str">
        <x:v>Director de Medios Tecnológicos</x:v>
      </x:c>
      <x:c r="AH11" s="16" t="str">
        <x:v>2026-05-31</x:v>
      </x:c>
      <x:c r="AI11" s="12" t="str"/>
    </x:row>
    <x:row r="12">
      <x:c r="A12" t="str">
        <x:v>IPVR-011</x:v>
      </x:c>
      <x:c r="B12" t="str">
        <x:v>Cúcuta</x:v>
      </x:c>
      <x:c r="C12" t="str">
        <x:v>Instalación y mantenimiento de medios tecnológicos</x:v>
      </x:c>
      <x:c r="D12" s="12" t="str">
        <x:v>Cuartos técnicos / tableros / puntos eléctricos</x:v>
      </x:c>
      <x:c r="E12" s="12" t="str">
        <x:v>Conexión y mantenimiento de equipos</x:v>
      </x:c>
      <x:c r="F12" s="12" t="str">
        <x:v>Intervenir cableado, fuentes, tableros o UPS</x:v>
      </x:c>
      <x:c r="G12" s="12" t="str">
        <x:v>No</x:v>
      </x:c>
      <x:c r="H12" s="12" t="str">
        <x:v>Condiciones de seguridad - Eléctrico</x:v>
      </x:c>
      <x:c r="I12" s="12" t="str">
        <x:v>Contacto eléctrico directo o indirecto, arco eléctrico</x:v>
      </x:c>
      <x:c r="J12" s="12" t="str">
        <x:v>Quemaduras, fibrilación, muerte</x:v>
      </x:c>
      <x:c r="K12" s="12" t="str">
        <x:v>Bloqueo y etiquetado, desenergización</x:v>
      </x:c>
      <x:c r="L12" s="12" t="str">
        <x:v>Tableros protegidos, herramientas aisladas</x:v>
      </x:c>
      <x:c r="M12" s="12" t="str">
        <x:v>Competencia técnica y verificación ausencia de tensión</x:v>
      </x:c>
      <x:c r="N12" s="12" t="str">
        <x:v>Electrocución</x:v>
      </x:c>
      <x:c r="O12" s="12" t="str">
        <x:v>Decreto 1072 de 2015; Resolución 0312 de 2019</x:v>
      </x:c>
      <x:c r="P12" s="14" t="n">
        <x:v>6</x:v>
      </x:c>
      <x:c r="Q12" t="str">
        <x:v>Alto</x:v>
      </x:c>
      <x:c r="R12" s="14" t="n">
        <x:f>IFERROR(VLOOKUP(Q12,Catalogos!$G:$H,2,FALSE),"")</x:f>
        <x:v>6</x:v>
      </x:c>
      <x:c r="S12" t="str">
        <x:v>Ocasional</x:v>
      </x:c>
      <x:c r="T12" s="14" t="n">
        <x:f>IFERROR(VLOOKUP(S12,Catalogos!$I:$J,2,FALSE),"")</x:f>
        <x:v>2</x:v>
      </x:c>
      <x:c r="U12" s="14" t="n">
        <x:f>IF(OR(R12="",T12=""),"",R12*T12)</x:f>
        <x:v>12</x:v>
      </x:c>
      <x:c r="V12" t="str">
        <x:f>IF(U12="","",IF(U12&gt;=24,"MUY ALTO",IF(U12&gt;=10,"ALTO",IF(U12&gt;=6,"MEDIO","BAJO"))))</x:f>
        <x:v>ALTO</x:v>
      </x:c>
      <x:c r="W12" t="str">
        <x:v>Muy grave</x:v>
      </x:c>
      <x:c r="X12" s="14" t="n">
        <x:f>IFERROR(VLOOKUP(W12,Catalogos!$G:$H,2,FALSE),"")</x:f>
        <x:v>60</x:v>
      </x:c>
      <x:c r="Y12" s="14" t="n">
        <x:f>IF(OR(U12="",X12=""),"",U12*X12)</x:f>
        <x:v>720</x:v>
      </x:c>
      <x:c r="Z12" t="str">
        <x:f>IF(Y12="","",IF(Y12&gt;=600,"I - Situación crítica. Suspender actividades hasta que el riesgo esté bajo control. Intervención urgente.",IF(Y12&gt;=150,"II - Corregir y adoptar medidas de control de inmediato.",IF(Y12&gt;=40,"III - Mejorar si es posible. Conviene justificar la intervención y su rentabilidad.","IV - Mantener controles existentes."))))</x:f>
        <x:v>I - Situación crítica. Suspender actividades hasta que el riesgo esté bajo control. Intervención urgente.</x:v>
      </x:c>
      <x:c r="AA12" t="str">
        <x:f>IF(Y12="","",IF(Y12&gt;=600,"No aceptable",IF(Y12&gt;=150,"No aceptable / Aceptable con control específico","Aceptable")))</x:f>
        <x:v>No aceptable</x:v>
      </x:c>
      <x:c r="AB12" s="12" t="str">
        <x:v>Eliminar intervención energizada</x:v>
      </x:c>
      <x:c r="AC12" s="12" t="str">
        <x:v>Equipos de menor tensión cuando sea viable</x:v>
      </x:c>
      <x:c r="AD12" s="12" t="str">
        <x:v>Protecciones diferenciales, puesta a tierra</x:v>
      </x:c>
      <x:c r="AE12" s="12" t="str">
        <x:v>Permisos, procedimientos y verificación previa</x:v>
      </x:c>
      <x:c r="AF12" s="12" t="str">
        <x:v>Guantes dieléctricos, gafas, casco</x:v>
      </x:c>
      <x:c r="AG12" s="12" t="str">
        <x:v>Director de Medios Tecnológicos</x:v>
      </x:c>
      <x:c r="AH12" s="16" t="str">
        <x:v>2026-05-31</x:v>
      </x:c>
      <x:c r="AI12" s="12" t="str"/>
    </x:row>
    <x:row r="13">
      <x:c r="A13" t="str">
        <x:v>IPVR-012</x:v>
      </x:c>
      <x:c r="B13" t="str">
        <x:v>Cúcuta</x:v>
      </x:c>
      <x:c r="C13" t="str">
        <x:v>Instalación y mantenimiento de medios tecnológicos</x:v>
      </x:c>
      <x:c r="D13" s="12" t="str">
        <x:v>Taller / campo</x:v>
      </x:c>
      <x:c r="E13" s="12" t="str">
        <x:v>Uso de herramientas manuales y eléctricas</x:v>
      </x:c>
      <x:c r="F13" s="12" t="str">
        <x:v>Perforar, cortar, fijar y ajustar equipos</x:v>
      </x:c>
      <x:c r="G13" s="12" t="str">
        <x:v>Sí</x:v>
      </x:c>
      <x:c r="H13" s="12" t="str">
        <x:v>Condiciones de seguridad - Mecánico</x:v>
      </x:c>
      <x:c r="I13" s="12" t="str">
        <x:v>Cortes, atrapamientos y proyección de partículas por herramientas</x:v>
      </x:c>
      <x:c r="J13" s="12" t="str">
        <x:v>Heridas, laceraciones, lesión ocular</x:v>
      </x:c>
      <x:c r="K13" s="12" t="str">
        <x:v>Mantenimiento e inspección de herramientas</x:v>
      </x:c>
      <x:c r="L13" s="12" t="str">
        <x:v>Guardas, mesas estables y orden del área</x:v>
      </x:c>
      <x:c r="M13" s="12" t="str">
        <x:v>Capacitación y uso correcto de herramienta</x:v>
      </x:c>
      <x:c r="N13" s="12" t="str">
        <x:v>Amputación parcial o lesión ocular grave</x:v>
      </x:c>
      <x:c r="O13" s="12" t="str">
        <x:v>Decreto 1072 de 2015; Resolución 0312 de 2019</x:v>
      </x:c>
      <x:c r="P13" s="14" t="n">
        <x:v>6</x:v>
      </x:c>
      <x:c r="Q13" t="str">
        <x:v>Medio</x:v>
      </x:c>
      <x:c r="R13" s="14" t="n">
        <x:f>IFERROR(VLOOKUP(Q13,Catalogos!$G:$H,2,FALSE),"")</x:f>
        <x:v>2</x:v>
      </x:c>
      <x:c r="S13" t="str">
        <x:v>Frecuente</x:v>
      </x:c>
      <x:c r="T13" s="14" t="n">
        <x:f>IFERROR(VLOOKUP(S13,Catalogos!$I:$J,2,FALSE),"")</x:f>
        <x:v>3</x:v>
      </x:c>
      <x:c r="U13" s="14" t="n">
        <x:f>IF(OR(R13="",T13=""),"",R13*T13)</x:f>
        <x:v>6</x:v>
      </x:c>
      <x:c r="V13" t="str">
        <x:f>IF(U13="","",IF(U13&gt;=24,"MUY ALTO",IF(U13&gt;=10,"ALTO",IF(U13&gt;=6,"MEDIO","BAJO"))))</x:f>
        <x:v>MEDIO</x:v>
      </x:c>
      <x:c r="W13" t="str">
        <x:v>Grave</x:v>
      </x:c>
      <x:c r="X13" s="14" t="n">
        <x:f>IFERROR(VLOOKUP(W13,Catalogos!$G:$H,2,FALSE),"")</x:f>
        <x:v>25</x:v>
      </x:c>
      <x:c r="Y13" s="14" t="n">
        <x:f>IF(OR(U13="",X13=""),"",U13*X13)</x:f>
        <x:v>150</x:v>
      </x:c>
      <x:c r="Z13" t="str">
        <x:f>IF(Y13="","",IF(Y13&gt;=600,"I - Situación crítica. Suspender actividades hasta que el riesgo esté bajo control. Intervención urgente.",IF(Y13&gt;=150,"II - Corregir y adoptar medidas de control de inmediato.",IF(Y13&gt;=40,"III - Mejorar si es posible. Conviene justificar la intervención y su rentabilidad.","IV - Mantener controles existentes."))))</x:f>
        <x:v>II - Corregir y adoptar medidas de control de inmediato.</x:v>
      </x:c>
      <x:c r="AA13" t="str">
        <x:f>IF(Y13="","",IF(Y13&gt;=600,"No aceptable",IF(Y13&gt;=150,"No aceptable / Aceptable con control específico","Aceptable")))</x:f>
        <x:v>No aceptable / Aceptable con control específico</x:v>
      </x:c>
      <x:c r="AB13" s="12" t="str">
        <x:v>Eliminar herramientas defectuosas</x:v>
      </x:c>
      <x:c r="AC13" s="12" t="str">
        <x:v>Sustituir herramientas de alto riesgo por opciones seguras</x:v>
      </x:c>
      <x:c r="AD13" s="12" t="str">
        <x:v>Guardas y soportes</x:v>
      </x:c>
      <x:c r="AE13" s="12" t="str">
        <x:v>Inspección preuso y procedimientos</x:v>
      </x:c>
      <x:c r="AF13" s="12" t="str">
        <x:v>Guantes, gafas, casco</x:v>
      </x:c>
      <x:c r="AG13" s="12" t="str">
        <x:v>Director de Medios Tecnológicos</x:v>
      </x:c>
      <x:c r="AH13" s="16" t="str">
        <x:v>2026-05-31</x:v>
      </x:c>
      <x:c r="AI13" s="12" t="str"/>
    </x:row>
    <x:row r="14">
      <x:c r="A14" t="str">
        <x:v>IPVR-013</x:v>
      </x:c>
      <x:c r="B14" t="str">
        <x:v>Cúcuta</x:v>
      </x:c>
      <x:c r="C14" t="str">
        <x:v>Gestión administrativa y financiera</x:v>
      </x:c>
      <x:c r="D14" s="12" t="str">
        <x:v>Oficinas administrativas</x:v>
      </x:c>
      <x:c r="E14" s="12" t="str">
        <x:v>Trabajo en computador y gestión documental</x:v>
      </x:c>
      <x:c r="F14" s="12" t="str">
        <x:v>Digitación, revisión de documentos y análisis financiero</x:v>
      </x:c>
      <x:c r="G14" s="12" t="str">
        <x:v>Sí</x:v>
      </x:c>
      <x:c r="H14" s="12" t="str">
        <x:v>Biomecánico</x:v>
      </x:c>
      <x:c r="I14" s="12" t="str">
        <x:v>Posturas prolongadas, movimientos repetitivos y estaciones mal diseñadas</x:v>
      </x:c>
      <x:c r="J14" s="12" t="str">
        <x:v>Cervicalgia, dorsalgia, síndrome de túnel carpiano</x:v>
      </x:c>
      <x:c r="K14" s="12" t="str">
        <x:v>Ergonomía del puesto y pausas</x:v>
      </x:c>
      <x:c r="L14" s="12" t="str">
        <x:v>Mobiliario ergonómico y monitores a altura adecuada</x:v>
      </x:c>
      <x:c r="M14" s="12" t="str">
        <x:v>Capacitación y autocuidado postural</x:v>
      </x:c>
      <x:c r="N14" s="12" t="str">
        <x:v>Trastorno musculoesquelético incapacitante</x:v>
      </x:c>
      <x:c r="O14" s="12" t="str">
        <x:v>Decreto 1072 de 2015; Resolución 0312 de 2019</x:v>
      </x:c>
      <x:c r="P14" s="14" t="n">
        <x:v>8</x:v>
      </x:c>
      <x:c r="Q14" t="str">
        <x:v>Medio</x:v>
      </x:c>
      <x:c r="R14" s="14" t="n">
        <x:f>IFERROR(VLOOKUP(Q14,Catalogos!$G:$H,2,FALSE),"")</x:f>
        <x:v>2</x:v>
      </x:c>
      <x:c r="S14" t="str">
        <x:v>Continua</x:v>
      </x:c>
      <x:c r="T14" s="14" t="n">
        <x:f>IFERROR(VLOOKUP(S14,Catalogos!$I:$J,2,FALSE),"")</x:f>
        <x:v>4</x:v>
      </x:c>
      <x:c r="U14" s="14" t="n">
        <x:f>IF(OR(R14="",T14=""),"",R14*T14)</x:f>
        <x:v>8</x:v>
      </x:c>
      <x:c r="V14" t="str">
        <x:f>IF(U14="","",IF(U14&gt;=24,"MUY ALTO",IF(U14&gt;=10,"ALTO",IF(U14&gt;=6,"MEDIO","BAJO"))))</x:f>
        <x:v>MEDIO</x:v>
      </x:c>
      <x:c r="W14" t="str">
        <x:v>Grave</x:v>
      </x:c>
      <x:c r="X14" s="14" t="n">
        <x:f>IFERROR(VLOOKUP(W14,Catalogos!$G:$H,2,FALSE),"")</x:f>
        <x:v>25</x:v>
      </x:c>
      <x:c r="Y14" s="14" t="n">
        <x:f>IF(OR(U14="",X14=""),"",U14*X14)</x:f>
        <x:v>200</x:v>
      </x:c>
      <x:c r="Z14" t="str">
        <x:f>IF(Y14="","",IF(Y14&gt;=600,"I - Situación crítica. Suspender actividades hasta que el riesgo esté bajo control. Intervención urgente.",IF(Y14&gt;=150,"II - Corregir y adoptar medidas de control de inmediato.",IF(Y14&gt;=40,"III - Mejorar si es posible. Conviene justificar la intervención y su rentabilidad.","IV - Mantener controles existentes."))))</x:f>
        <x:v>II - Corregir y adoptar medidas de control de inmediato.</x:v>
      </x:c>
      <x:c r="AA14" t="str">
        <x:f>IF(Y14="","",IF(Y14&gt;=600,"No aceptable",IF(Y14&gt;=150,"No aceptable / Aceptable con control específico","Aceptable")))</x:f>
        <x:v>No aceptable / Aceptable con control específico</x:v>
      </x:c>
      <x:c r="AB14" s="12" t="str">
        <x:v>Eliminar estaciones inadecuadas</x:v>
      </x:c>
      <x:c r="AC14" s="12" t="str">
        <x:v>Cambio de sillas/mesas no ergonómicas</x:v>
      </x:c>
      <x:c r="AD14" s="12" t="str">
        <x:v>Puestos ajustables, soportes y accesorios</x:v>
      </x:c>
      <x:c r="AE14" s="12" t="str">
        <x:v>Pausas activas, teletrabajo seguro si aplica, APT</x:v>
      </x:c>
      <x:c r="AF14" s="12" t="str">
        <x:v>No aplica</x:v>
      </x:c>
      <x:c r="AG14" s="12" t="str">
        <x:v>Director Contable y Financiero</x:v>
      </x:c>
      <x:c r="AH14" s="16" t="str">
        <x:v>2026-05-31</x:v>
      </x:c>
      <x:c r="AI14" s="12" t="str"/>
    </x:row>
    <x:row r="15">
      <x:c r="A15" t="str">
        <x:v>IPVR-014</x:v>
      </x:c>
      <x:c r="B15" t="str">
        <x:v>Cúcuta</x:v>
      </x:c>
      <x:c r="C15" t="str">
        <x:v>Gestión administrativa y financiera</x:v>
      </x:c>
      <x:c r="D15" s="12" t="str">
        <x:v>Oficinas administrativas</x:v>
      </x:c>
      <x:c r="E15" s="12" t="str">
        <x:v>Cierres, pagos, informes y atención</x:v>
      </x:c>
      <x:c r="F15" s="12" t="str">
        <x:v>Cumplir metas en tiempos ajustados y responder requerimientos simultáneos</x:v>
      </x:c>
      <x:c r="G15" s="12" t="str">
        <x:v>Sí</x:v>
      </x:c>
      <x:c r="H15" s="12" t="str">
        <x:v>Psicosocial</x:v>
      </x:c>
      <x:c r="I15" s="12" t="str">
        <x:v>Exigencias cuantitativas, jornadas extensas y presión por resultados</x:v>
      </x:c>
      <x:c r="J15" s="12" t="str">
        <x:v>Estrés, ansiedad, agotamiento, errores administrativos</x:v>
      </x:c>
      <x:c r="K15" s="12" t="str">
        <x:v>Planeación realista de cargas</x:v>
      </x:c>
      <x:c r="L15" s="12" t="str">
        <x:v>Herramientas de gestión y apoyo operativo</x:v>
      </x:c>
      <x:c r="M15" s="12" t="str">
        <x:v>Formación en manejo del tiempo y estrés</x:v>
      </x:c>
      <x:c r="N15" s="12" t="str">
        <x:v>Afectación de salud mental con incapacidad</x:v>
      </x:c>
      <x:c r="O15" s="12" t="str">
        <x:v>Resolución 2646 de 2008; Decreto 1072 de 2015</x:v>
      </x:c>
      <x:c r="P15" s="14" t="n">
        <x:v>8</x:v>
      </x:c>
      <x:c r="Q15" t="str">
        <x:v>Medio</x:v>
      </x:c>
      <x:c r="R15" s="14" t="n">
        <x:f>IFERROR(VLOOKUP(Q15,Catalogos!$G:$H,2,FALSE),"")</x:f>
        <x:v>2</x:v>
      </x:c>
      <x:c r="S15" t="str">
        <x:v>Frecuente</x:v>
      </x:c>
      <x:c r="T15" s="14" t="n">
        <x:f>IFERROR(VLOOKUP(S15,Catalogos!$I:$J,2,FALSE),"")</x:f>
        <x:v>3</x:v>
      </x:c>
      <x:c r="U15" s="14" t="n">
        <x:f>IF(OR(R15="",T15=""),"",R15*T15)</x:f>
        <x:v>6</x:v>
      </x:c>
      <x:c r="V15" t="str">
        <x:f>IF(U15="","",IF(U15&gt;=24,"MUY ALTO",IF(U15&gt;=10,"ALTO",IF(U15&gt;=6,"MEDIO","BAJO"))))</x:f>
        <x:v>MEDIO</x:v>
      </x:c>
      <x:c r="W15" t="str">
        <x:v>Grave</x:v>
      </x:c>
      <x:c r="X15" s="14" t="n">
        <x:f>IFERROR(VLOOKUP(W15,Catalogos!$G:$H,2,FALSE),"")</x:f>
        <x:v>25</x:v>
      </x:c>
      <x:c r="Y15" s="14" t="n">
        <x:f>IF(OR(U15="",X15=""),"",U15*X15)</x:f>
        <x:v>150</x:v>
      </x:c>
      <x:c r="Z15" t="str">
        <x:f>IF(Y15="","",IF(Y15&gt;=600,"I - Situación crítica. Suspender actividades hasta que el riesgo esté bajo control. Intervención urgente.",IF(Y15&gt;=150,"II - Corregir y adoptar medidas de control de inmediato.",IF(Y15&gt;=40,"III - Mejorar si es posible. Conviene justificar la intervención y su rentabilidad.","IV - Mantener controles existentes."))))</x:f>
        <x:v>II - Corregir y adoptar medidas de control de inmediato.</x:v>
      </x:c>
      <x:c r="AA15" t="str">
        <x:f>IF(Y15="","",IF(Y15&gt;=600,"No aceptable",IF(Y15&gt;=150,"No aceptable / Aceptable con control específico","Aceptable")))</x:f>
        <x:v>No aceptable / Aceptable con control específico</x:v>
      </x:c>
      <x:c r="AB15" s="12" t="str">
        <x:v>Eliminar acumulación de tareas críticas en una sola persona</x:v>
      </x:c>
      <x:c r="AC15" s="12" t="str">
        <x:v>Redistribución de funciones y automatización</x:v>
      </x:c>
      <x:c r="AD15" s="12" t="str">
        <x:v>Herramientas tecnológicas de seguimiento</x:v>
      </x:c>
      <x:c r="AE15" s="12" t="str">
        <x:v>Priorización, evaluación psicosocial y seguimiento</x:v>
      </x:c>
      <x:c r="AF15" s="12" t="str">
        <x:v>No aplica</x:v>
      </x:c>
      <x:c r="AG15" s="12" t="str">
        <x:v>Director Contable y Financiero</x:v>
      </x:c>
      <x:c r="AH15" s="16" t="str">
        <x:v>2026-05-31</x:v>
      </x:c>
      <x:c r="AI15" s="12" t="str"/>
    </x:row>
    <x:row r="16">
      <x:c r="A16" t="str">
        <x:v>IPVR-015</x:v>
      </x:c>
      <x:c r="B16" t="str">
        <x:v>Cúcuta</x:v>
      </x:c>
      <x:c r="C16" t="str">
        <x:v>Gestión del talento humano</x:v>
      </x:c>
      <x:c r="D16" s="12" t="str">
        <x:v>Oficinas / visitas de selección y contratación</x:v>
      </x:c>
      <x:c r="E16" s="12" t="str">
        <x:v>Selección, contratación y visitas</x:v>
      </x:c>
      <x:c r="F16" s="12" t="str">
        <x:v>Desplazarse a sedes y atender procesos con interacción constante</x:v>
      </x:c>
      <x:c r="G16" s="12" t="str">
        <x:v>Sí</x:v>
      </x:c>
      <x:c r="H16" s="12" t="str">
        <x:v>Condiciones de seguridad - Accidentes de tránsito</x:v>
      </x:c>
      <x:c r="I16" s="12" t="str">
        <x:v>Siniestro vial en desplazamientos laborales</x:v>
      </x:c>
      <x:c r="J16" s="12" t="str">
        <x:v>Lesiones múltiples, incapacidad, muerte</x:v>
      </x:c>
      <x:c r="K16" s="12" t="str">
        <x:v>Programación segura de desplazamientos</x:v>
      </x:c>
      <x:c r="L16" s="12" t="str">
        <x:v>Vehículo inspeccionado y rutas seguras</x:v>
      </x:c>
      <x:c r="M16" s="12" t="str">
        <x:v>Conducción defensiva y pausas</x:v>
      </x:c>
      <x:c r="N16" s="12" t="str">
        <x:v>Muerte</x:v>
      </x:c>
      <x:c r="O16" s="12" t="str">
        <x:v>Resolución 40595 de 2022; Decreto 1072 de 2015</x:v>
      </x:c>
      <x:c r="P16" s="14" t="n">
        <x:v>4</x:v>
      </x:c>
      <x:c r="Q16" t="str">
        <x:v>Alto</x:v>
      </x:c>
      <x:c r="R16" s="14" t="n">
        <x:f>IFERROR(VLOOKUP(Q16,Catalogos!$G:$H,2,FALSE),"")</x:f>
        <x:v>6</x:v>
      </x:c>
      <x:c r="S16" t="str">
        <x:v>Ocasional</x:v>
      </x:c>
      <x:c r="T16" s="14" t="n">
        <x:f>IFERROR(VLOOKUP(S16,Catalogos!$I:$J,2,FALSE),"")</x:f>
        <x:v>2</x:v>
      </x:c>
      <x:c r="U16" s="14" t="n">
        <x:f>IF(OR(R16="",T16=""),"",R16*T16)</x:f>
        <x:v>12</x:v>
      </x:c>
      <x:c r="V16" t="str">
        <x:f>IF(U16="","",IF(U16&gt;=24,"MUY ALTO",IF(U16&gt;=10,"ALTO",IF(U16&gt;=6,"MEDIO","BAJO"))))</x:f>
        <x:v>ALTO</x:v>
      </x:c>
      <x:c r="W16" t="str">
        <x:v>Muy grave</x:v>
      </x:c>
      <x:c r="X16" s="14" t="n">
        <x:f>IFERROR(VLOOKUP(W16,Catalogos!$G:$H,2,FALSE),"")</x:f>
        <x:v>60</x:v>
      </x:c>
      <x:c r="Y16" s="14" t="n">
        <x:f>IF(OR(U16="",X16=""),"",U16*X16)</x:f>
        <x:v>720</x:v>
      </x:c>
      <x:c r="Z16" t="str">
        <x:f>IF(Y16="","",IF(Y16&gt;=600,"I - Situación crítica. Suspender actividades hasta que el riesgo esté bajo control. Intervención urgente.",IF(Y16&gt;=150,"II - Corregir y adoptar medidas de control de inmediato.",IF(Y16&gt;=40,"III - Mejorar si es posible. Conviene justificar la intervención y su rentabilidad.","IV - Mantener controles existentes."))))</x:f>
        <x:v>I - Situación crítica. Suspender actividades hasta que el riesgo esté bajo control. Intervención urgente.</x:v>
      </x:c>
      <x:c r="AA16" t="str">
        <x:f>IF(Y16="","",IF(Y16&gt;=600,"No aceptable",IF(Y16&gt;=150,"No aceptable / Aceptable con control específico","Aceptable")))</x:f>
        <x:v>No aceptable</x:v>
      </x:c>
      <x:c r="AB16" s="12" t="str">
        <x:v>Eliminar viajes innecesarios mediante gestión virtual</x:v>
      </x:c>
      <x:c r="AC16" s="12" t="str">
        <x:v>Transporte más seguro cuando aplique</x:v>
      </x:c>
      <x:c r="AD16" s="12" t="str">
        <x:v>Monitoreo GPS y mantenimiento vehicular</x:v>
      </x:c>
      <x:c r="AE16" s="12" t="str">
        <x:v>PESV, programación y control de desplazamientos</x:v>
      </x:c>
      <x:c r="AF16" s="12" t="str">
        <x:v>Cinturón, casco si motocicleta</x:v>
      </x:c>
      <x:c r="AG16" s="12" t="str">
        <x:v>Director de Talento Humano</x:v>
      </x:c>
      <x:c r="AH16" s="16" t="str">
        <x:v>2026-05-31</x:v>
      </x:c>
      <x:c r="AI16" s="12" t="str"/>
    </x:row>
    <x:row r="17">
      <x:c r="A17" t="str">
        <x:v>IPVR-016</x:v>
      </x:c>
      <x:c r="B17" t="str">
        <x:v>Cúcuta</x:v>
      </x:c>
      <x:c r="C17" t="str">
        <x:v>Gestión SST</x:v>
      </x:c>
      <x:c r="D17" s="12" t="str">
        <x:v>Sedes y puestos de trabajo</x:v>
      </x:c>
      <x:c r="E17" s="12" t="str">
        <x:v>Inspecciones, capacitaciones e investigación de eventos</x:v>
      </x:c>
      <x:c r="F17" s="12" t="str">
        <x:v>Ingresar a áreas operativas y levantar información en campo</x:v>
      </x:c>
      <x:c r="G17" s="12" t="str">
        <x:v>Sí</x:v>
      </x:c>
      <x:c r="H17" s="12" t="str">
        <x:v>Condiciones de seguridad - Público</x:v>
      </x:c>
      <x:c r="I17" s="12" t="str">
        <x:v>Exposición a agresión, hurto o alteración del orden en visitas externas</x:v>
      </x:c>
      <x:c r="J17" s="12" t="str">
        <x:v>Lesiones, trauma psicológico</x:v>
      </x:c>
      <x:c r="K17" s="12" t="str">
        <x:v>Coordinación previa y acompañamiento</x:v>
      </x:c>
      <x:c r="L17" s="12" t="str">
        <x:v>Comunicación permanente y georreferenciación</x:v>
      </x:c>
      <x:c r="M17" s="12" t="str">
        <x:v>Autoprotección y protocolos de visita segura</x:v>
      </x:c>
      <x:c r="N17" s="12" t="str">
        <x:v>Lesión grave</x:v>
      </x:c>
      <x:c r="O17" s="12" t="str">
        <x:v>Decreto 1072 de 2015; Resolución 0312 de 2019</x:v>
      </x:c>
      <x:c r="P17" s="14" t="n">
        <x:v>3</x:v>
      </x:c>
      <x:c r="Q17" t="str">
        <x:v>Alto</x:v>
      </x:c>
      <x:c r="R17" s="14" t="n">
        <x:f>IFERROR(VLOOKUP(Q17,Catalogos!$G:$H,2,FALSE),"")</x:f>
        <x:v>6</x:v>
      </x:c>
      <x:c r="S17" t="str">
        <x:v>Ocasional</x:v>
      </x:c>
      <x:c r="T17" s="14" t="n">
        <x:f>IFERROR(VLOOKUP(S17,Catalogos!$I:$J,2,FALSE),"")</x:f>
        <x:v>2</x:v>
      </x:c>
      <x:c r="U17" s="14" t="n">
        <x:f>IF(OR(R17="",T17=""),"",R17*T17)</x:f>
        <x:v>12</x:v>
      </x:c>
      <x:c r="V17" t="str">
        <x:f>IF(U17="","",IF(U17&gt;=24,"MUY ALTO",IF(U17&gt;=10,"ALTO",IF(U17&gt;=6,"MEDIO","BAJO"))))</x:f>
        <x:v>ALTO</x:v>
      </x:c>
      <x:c r="W17" t="str">
        <x:v>Muy grave</x:v>
      </x:c>
      <x:c r="X17" s="14" t="n">
        <x:f>IFERROR(VLOOKUP(W17,Catalogos!$G:$H,2,FALSE),"")</x:f>
        <x:v>60</x:v>
      </x:c>
      <x:c r="Y17" s="14" t="n">
        <x:f>IF(OR(U17="",X17=""),"",U17*X17)</x:f>
        <x:v>720</x:v>
      </x:c>
      <x:c r="Z17" t="str">
        <x:f>IF(Y17="","",IF(Y17&gt;=600,"I - Situación crítica. Suspender actividades hasta que el riesgo esté bajo control. Intervención urgente.",IF(Y17&gt;=150,"II - Corregir y adoptar medidas de control de inmediato.",IF(Y17&gt;=40,"III - Mejorar si es posible. Conviene justificar la intervención y su rentabilidad.","IV - Mantener controles existentes."))))</x:f>
        <x:v>I - Situación crítica. Suspender actividades hasta que el riesgo esté bajo control. Intervención urgente.</x:v>
      </x:c>
      <x:c r="AA17" t="str">
        <x:f>IF(Y17="","",IF(Y17&gt;=600,"No aceptable",IF(Y17&gt;=150,"No aceptable / Aceptable con control específico","Aceptable")))</x:f>
        <x:v>No aceptable</x:v>
      </x:c>
      <x:c r="AB17" s="12" t="str">
        <x:v>Eliminar visitas individuales a zonas críticas</x:v>
      </x:c>
      <x:c r="AC17" s="12" t="str">
        <x:v>Virtualizar seguimiento cuando sea viable</x:v>
      </x:c>
      <x:c r="AD17" s="12" t="str">
        <x:v>Botón de pánico y rastreo</x:v>
      </x:c>
      <x:c r="AE17" s="12" t="str">
        <x:v>Matriz de seguridad por sitio, acompañamiento y rutas seguras</x:v>
      </x:c>
      <x:c r="AF17" s="12" t="str">
        <x:v>Chaleco institucional, radio o teléfono</x:v>
      </x:c>
      <x:c r="AG17" s="12" t="str">
        <x:v>Líder SST</x:v>
      </x:c>
      <x:c r="AH17" s="16" t="str">
        <x:v>2026-05-31</x:v>
      </x:c>
      <x:c r="AI17" s="12" t="str"/>
    </x:row>
    <x:row r="18">
      <x:c r="A18" t="str">
        <x:v>IPVR-017</x:v>
      </x:c>
      <x:c r="B18" t="str">
        <x:v>Cúcuta</x:v>
      </x:c>
      <x:c r="C18" t="str">
        <x:v>Gestión jurídica y compras</x:v>
      </x:c>
      <x:c r="D18" s="12" t="str">
        <x:v>Oficinas / diligencias externas</x:v>
      </x:c>
      <x:c r="E18" s="12" t="str">
        <x:v>Revisión contractual, compras y trámites</x:v>
      </x:c>
      <x:c r="F18" s="12" t="str">
        <x:v>Desplazamiento ocasional y manejo documental</x:v>
      </x:c>
      <x:c r="G18" s="12" t="str">
        <x:v>Sí</x:v>
      </x:c>
      <x:c r="H18" s="12" t="str">
        <x:v>Condiciones de seguridad - Locativo</x:v>
      </x:c>
      <x:c r="I18" s="12" t="str">
        <x:v>Caída al mismo nivel por superficies desordenadas, cables u obstáculos</x:v>
      </x:c>
      <x:c r="J18" s="12" t="str">
        <x:v>Golpes, esguinces, contusiones</x:v>
      </x:c>
      <x:c r="K18" s="12" t="str">
        <x:v>Orden y aseo permanente</x:v>
      </x:c>
      <x:c r="L18" s="12" t="str">
        <x:v>Canalización de cables y señalización</x:v>
      </x:c>
      <x:c r="M18" s="12" t="str">
        <x:v>Atención al tránsito seguro</x:v>
      </x:c>
      <x:c r="N18" s="12" t="str">
        <x:v>Fractura simple</x:v>
      </x:c>
      <x:c r="O18" s="12" t="str">
        <x:v>Decreto 1072 de 2015; Resolución 0312 de 2019</x:v>
      </x:c>
      <x:c r="P18" s="14" t="n">
        <x:v>4</x:v>
      </x:c>
      <x:c r="Q18" t="str">
        <x:v>Medio</x:v>
      </x:c>
      <x:c r="R18" s="14" t="n">
        <x:f>IFERROR(VLOOKUP(Q18,Catalogos!$G:$H,2,FALSE),"")</x:f>
        <x:v>2</x:v>
      </x:c>
      <x:c r="S18" t="str">
        <x:v>Ocasional</x:v>
      </x:c>
      <x:c r="T18" s="14" t="n">
        <x:f>IFERROR(VLOOKUP(S18,Catalogos!$I:$J,2,FALSE),"")</x:f>
        <x:v>2</x:v>
      </x:c>
      <x:c r="U18" s="14" t="n">
        <x:f>IF(OR(R18="",T18=""),"",R18*T18)</x:f>
        <x:v>4</x:v>
      </x:c>
      <x:c r="V18" t="str">
        <x:f>IF(U18="","",IF(U18&gt;=24,"MUY ALTO",IF(U18&gt;=10,"ALTO",IF(U18&gt;=6,"MEDIO","BAJO"))))</x:f>
        <x:v>BAJO</x:v>
      </x:c>
      <x:c r="W18" t="str">
        <x:v>Grave</x:v>
      </x:c>
      <x:c r="X18" s="14" t="n">
        <x:f>IFERROR(VLOOKUP(W18,Catalogos!$G:$H,2,FALSE),"")</x:f>
        <x:v>25</x:v>
      </x:c>
      <x:c r="Y18" s="14" t="n">
        <x:f>IF(OR(U18="",X18=""),"",U18*X18)</x:f>
        <x:v>100</x:v>
      </x:c>
      <x:c r="Z18" t="str">
        <x:f>IF(Y18="","",IF(Y18&gt;=600,"I - Situación crítica. Suspender actividades hasta que el riesgo esté bajo control. Intervención urgente.",IF(Y18&gt;=150,"II - Corregir y adoptar medidas de control de inmediato.",IF(Y18&gt;=40,"III - Mejorar si es posible. Conviene justificar la intervención y su rentabilidad.","IV - Mantener controles existentes."))))</x:f>
        <x:v>III - Mejorar si es posible. Conviene justificar la intervención y su rentabilidad.</x:v>
      </x:c>
      <x:c r="AA18" t="str">
        <x:f>IF(Y18="","",IF(Y18&gt;=600,"No aceptable",IF(Y18&gt;=150,"No aceptable / Aceptable con control específico","Aceptable")))</x:f>
        <x:v>Aceptable</x:v>
      </x:c>
      <x:c r="AB18" s="12" t="str">
        <x:v>Eliminar obstáculos y cables sueltos</x:v>
      </x:c>
      <x:c r="AC18" s="12" t="str">
        <x:v>No aplica</x:v>
      </x:c>
      <x:c r="AD18" s="12" t="str">
        <x:v>Canaletas y antideslizantes</x:v>
      </x:c>
      <x:c r="AE18" s="12" t="str">
        <x:v>Inspecciones y reportes de actos/condiciones inseguras</x:v>
      </x:c>
      <x:c r="AF18" s="12" t="str">
        <x:v>Calzado cerrado</x:v>
      </x:c>
      <x:c r="AG18" s="12" t="str">
        <x:v>Director Jurídico / Director de Compras</x:v>
      </x:c>
      <x:c r="AH18" s="16" t="str">
        <x:v>2026-05-31</x:v>
      </x:c>
      <x:c r="AI18" s="12" t="str"/>
    </x:row>
    <x:row r="19">
      <x:c r="A19" t="str">
        <x:v>IPVR-018</x:v>
      </x:c>
      <x:c r="B19" t="str">
        <x:v>Cúcuta</x:v>
      </x:c>
      <x:c r="C19" t="str">
        <x:v>Dirección estratégica</x:v>
      </x:c>
      <x:c r="D19" s="12" t="str">
        <x:v>Oficina principal / desplazamientos a clientes</x:v>
      </x:c>
      <x:c r="E19" s="12" t="str">
        <x:v>Reuniones estratégicas y visitas comerciales</x:v>
      </x:c>
      <x:c r="F19" s="12" t="str">
        <x:v>Desplazamientos, reuniones y toma de decisiones bajo presión</x:v>
      </x:c>
      <x:c r="G19" s="12" t="str">
        <x:v>Sí</x:v>
      </x:c>
      <x:c r="H19" s="12" t="str">
        <x:v>Condiciones de seguridad - Público</x:v>
      </x:c>
      <x:c r="I19" s="12" t="str">
        <x:v>Riesgo público durante desplazamientos y reuniones externas</x:v>
      </x:c>
      <x:c r="J19" s="12" t="str">
        <x:v>Agresión, hurto, afectación psicológica</x:v>
      </x:c>
      <x:c r="K19" s="12" t="str">
        <x:v>Planeación de agenda y análisis previo de seguridad</x:v>
      </x:c>
      <x:c r="L19" s="12" t="str">
        <x:v>Rutas seguras y acompañamiento cuando aplique</x:v>
      </x:c>
      <x:c r="M19" s="12" t="str">
        <x:v>Autoprotección y comunicación permanente</x:v>
      </x:c>
      <x:c r="N19" s="12" t="str">
        <x:v>Lesión grave</x:v>
      </x:c>
      <x:c r="O19" s="12" t="str">
        <x:v>Decreto 1072 de 2015; Resolución 0312 de 2019</x:v>
      </x:c>
      <x:c r="P19" s="14" t="n">
        <x:v>1</x:v>
      </x:c>
      <x:c r="Q19" t="str">
        <x:v>Alto</x:v>
      </x:c>
      <x:c r="R19" s="14" t="n">
        <x:f>IFERROR(VLOOKUP(Q19,Catalogos!$G:$H,2,FALSE),"")</x:f>
        <x:v>6</x:v>
      </x:c>
      <x:c r="S19" t="str">
        <x:v>Esporádica</x:v>
      </x:c>
      <x:c r="T19" s="14" t="n">
        <x:f>IFERROR(VLOOKUP(S19,Catalogos!$I:$J,2,FALSE),"")</x:f>
        <x:v>1</x:v>
      </x:c>
      <x:c r="U19" s="14" t="n">
        <x:f>IF(OR(R19="",T19=""),"",R19*T19)</x:f>
        <x:v>6</x:v>
      </x:c>
      <x:c r="V19" t="str">
        <x:f>IF(U19="","",IF(U19&gt;=24,"MUY ALTO",IF(U19&gt;=10,"ALTO",IF(U19&gt;=6,"MEDIO","BAJO"))))</x:f>
        <x:v>MEDIO</x:v>
      </x:c>
      <x:c r="W19" t="str">
        <x:v>Muy grave</x:v>
      </x:c>
      <x:c r="X19" s="14" t="n">
        <x:f>IFERROR(VLOOKUP(W19,Catalogos!$G:$H,2,FALSE),"")</x:f>
        <x:v>60</x:v>
      </x:c>
      <x:c r="Y19" s="14" t="n">
        <x:f>IF(OR(U19="",X19=""),"",U19*X19)</x:f>
        <x:v>360</x:v>
      </x:c>
      <x:c r="Z19" t="str">
        <x:f>IF(Y19="","",IF(Y19&gt;=600,"I - Situación crítica. Suspender actividades hasta que el riesgo esté bajo control. Intervención urgente.",IF(Y19&gt;=150,"II - Corregir y adoptar medidas de control de inmediato.",IF(Y19&gt;=40,"III - Mejorar si es posible. Conviene justificar la intervención y su rentabilidad.","IV - Mantener controles existentes."))))</x:f>
        <x:v>II - Corregir y adoptar medidas de control de inmediato.</x:v>
      </x:c>
      <x:c r="AA19" t="str">
        <x:f>IF(Y19="","",IF(Y19&gt;=600,"No aceptable",IF(Y19&gt;=150,"No aceptable / Aceptable con control específico","Aceptable")))</x:f>
        <x:v>No aceptable / Aceptable con control específico</x:v>
      </x:c>
      <x:c r="AB19" s="12" t="str">
        <x:v>Eliminar desplazamientos no indispensables</x:v>
      </x:c>
      <x:c r="AC19" s="12" t="str">
        <x:v>Videoconferencia cuando sea posible</x:v>
      </x:c>
      <x:c r="AD19" s="12" t="str">
        <x:v>Sistemas de rastreo y comunicaciones</x:v>
      </x:c>
      <x:c r="AE19" s="12" t="str">
        <x:v>Protocolos de viaje y análisis de seguridad</x:v>
      </x:c>
      <x:c r="AF19" s="12" t="str">
        <x:v>No aplica</x:v>
      </x:c>
      <x:c r="AG19" s="12" t="str">
        <x:v>Gerencia</x:v>
      </x:c>
      <x:c r="AH19" s="16" t="str">
        <x:v>2026-05-31</x:v>
      </x:c>
      <x:c r="AI19" s="12" t="str"/>
    </x:row>
    <x:row r="20">
      <x:c r="A20" t="str">
        <x:v>IPVR-019</x:v>
      </x:c>
      <x:c r="B20" t="str">
        <x:v>Cúcuta</x:v>
      </x:c>
      <x:c r="C20" t="str">
        <x:v>Escolta</x:v>
      </x:c>
      <x:c r="D20" s="12" t="str">
        <x:v>Vehículos / rutas / acompañamiento a protegidos</x:v>
      </x:c>
      <x:c r="E20" s="12" t="str">
        <x:v>Protección a personas y bienes</x:v>
      </x:c>
      <x:c r="F20" s="12" t="str">
        <x:v>Acompañamiento de desplazamientos y reacción ante amenazas</x:v>
      </x:c>
      <x:c r="G20" s="12" t="str">
        <x:v>Sí</x:v>
      </x:c>
      <x:c r="H20" s="12" t="str">
        <x:v>Condiciones de seguridad - Público</x:v>
      </x:c>
      <x:c r="I20" s="12" t="str">
        <x:v>Atentado, agresión armada o amenaza contra escolta/protegido</x:v>
      </x:c>
      <x:c r="J20" s="12" t="str">
        <x:v>Lesiones graves, muerte, trauma psicológico</x:v>
      </x:c>
      <x:c r="K20" s="12" t="str">
        <x:v>Análisis previo de riesgo y planeación operativa</x:v>
      </x:c>
      <x:c r="L20" s="12" t="str">
        <x:v>Vehículos, comunicaciones, apoyo y rutas alternas</x:v>
      </x:c>
      <x:c r="M20" s="12" t="str">
        <x:v>Entrenamiento táctico, reacción y autoprotección</x:v>
      </x:c>
      <x:c r="N20" s="12" t="str">
        <x:v>Muerte</x:v>
      </x:c>
      <x:c r="O20" s="12" t="str">
        <x:v>Decreto 1072 de 2015; Resolución 0312 de 2019</x:v>
      </x:c>
      <x:c r="P20" s="14" t="n">
        <x:v>10</x:v>
      </x:c>
      <x:c r="Q20" t="str">
        <x:v>Muy alto</x:v>
      </x:c>
      <x:c r="R20" s="14" t="n">
        <x:f>IFERROR(VLOOKUP(Q20,Catalogos!$G:$H,2,FALSE),"")</x:f>
        <x:v>10</x:v>
      </x:c>
      <x:c r="S20" t="str">
        <x:v>Ocasional</x:v>
      </x:c>
      <x:c r="T20" s="14" t="n">
        <x:f>IFERROR(VLOOKUP(S20,Catalogos!$I:$J,2,FALSE),"")</x:f>
        <x:v>2</x:v>
      </x:c>
      <x:c r="U20" s="14" t="n">
        <x:f>IF(OR(R20="",T20=""),"",R20*T20)</x:f>
        <x:v>20</x:v>
      </x:c>
      <x:c r="V20" t="str">
        <x:f>IF(U20="","",IF(U20&gt;=24,"MUY ALTO",IF(U20&gt;=10,"ALTO",IF(U20&gt;=6,"MEDIO","BAJO"))))</x:f>
        <x:v>ALTO</x:v>
      </x:c>
      <x:c r="W20" t="str">
        <x:v>Mortal o catastrófico</x:v>
      </x:c>
      <x:c r="X20" s="14" t="n">
        <x:f>IFERROR(VLOOKUP(W20,Catalogos!$G:$H,2,FALSE),"")</x:f>
        <x:v>100</x:v>
      </x:c>
      <x:c r="Y20" s="14" t="n">
        <x:f>IF(OR(U20="",X20=""),"",U20*X20)</x:f>
        <x:v>2000</x:v>
      </x:c>
      <x:c r="Z20" t="str">
        <x:f>IF(Y20="","",IF(Y20&gt;=600,"I - Situación crítica. Suspender actividades hasta que el riesgo esté bajo control. Intervención urgente.",IF(Y20&gt;=150,"II - Corregir y adoptar medidas de control de inmediato.",IF(Y20&gt;=40,"III - Mejorar si es posible. Conviene justificar la intervención y su rentabilidad.","IV - Mantener controles existentes."))))</x:f>
        <x:v>I - Situación crítica. Suspender actividades hasta que el riesgo esté bajo control. Intervención urgente.</x:v>
      </x:c>
      <x:c r="AA20" t="str">
        <x:f>IF(Y20="","",IF(Y20&gt;=600,"No aceptable",IF(Y20&gt;=150,"No aceptable / Aceptable con control específico","Aceptable")))</x:f>
        <x:v>No aceptable</x:v>
      </x:c>
      <x:c r="AB20" s="12" t="str">
        <x:v>Eliminar recorridos en horarios/rutas de alto riesgo cuando sea posible</x:v>
      </x:c>
      <x:c r="AC20" s="12" t="str">
        <x:v>Cambiar rutas y medios de desplazamiento según análisis</x:v>
      </x:c>
      <x:c r="AD20" s="12" t="str">
        <x:v>Vehículos y comunicaciones seguras</x:v>
      </x:c>
      <x:c r="AE20" s="12" t="str">
        <x:v>Estudios de seguridad, planeación táctica y briefings</x:v>
      </x:c>
      <x:c r="AF20" s="12" t="str">
        <x:v>Chaleco balístico, radio, linterna</x:v>
      </x:c>
      <x:c r="AG20" s="12" t="str">
        <x:v>Director de Operaciones</x:v>
      </x:c>
      <x:c r="AH20" s="16" t="str">
        <x:v>2026-05-31</x:v>
      </x:c>
      <x:c r="AI20" s="12" t="str"/>
    </x:row>
    <x:row r="21">
      <x:c r="A21" t="str">
        <x:v>IPVR-020</x:v>
      </x:c>
      <x:c r="B21" t="str">
        <x:v>Cúcuta</x:v>
      </x:c>
      <x:c r="C21" t="str">
        <x:v>Escolta</x:v>
      </x:c>
      <x:c r="D21" s="12" t="str">
        <x:v>Vías urbanas e intermunicipales</x:v>
      </x:c>
      <x:c r="E21" s="12" t="str">
        <x:v>Desplazamiento en operación de escolta</x:v>
      </x:c>
      <x:c r="F21" s="12" t="str">
        <x:v>Conducción preventiva en servicio</x:v>
      </x:c>
      <x:c r="G21" s="12" t="str">
        <x:v>Sí</x:v>
      </x:c>
      <x:c r="H21" s="12" t="str">
        <x:v>Condiciones de seguridad - Accidentes de tránsito</x:v>
      </x:c>
      <x:c r="I21" s="12" t="str">
        <x:v>Colisión o siniestro vial en desplazamiento operativo</x:v>
      </x:c>
      <x:c r="J21" s="12" t="str">
        <x:v>Politraumatismo, incapacidad, muerte</x:v>
      </x:c>
      <x:c r="K21" s="12" t="str">
        <x:v>Mantenimiento preventivo y control de velocidad</x:v>
      </x:c>
      <x:c r="L21" s="12" t="str">
        <x:v>GPS, frenos ABS, inspección vehicular</x:v>
      </x:c>
      <x:c r="M21" s="12" t="str">
        <x:v>Conducción defensiva y manejo evasivo autorizado</x:v>
      </x:c>
      <x:c r="N21" s="12" t="str">
        <x:v>Muerte</x:v>
      </x:c>
      <x:c r="O21" s="12" t="str">
        <x:v>Resolución 40595 de 2022; Decreto 1072 de 2015</x:v>
      </x:c>
      <x:c r="P21" s="14" t="n">
        <x:v>10</x:v>
      </x:c>
      <x:c r="Q21" t="str">
        <x:v>Alto</x:v>
      </x:c>
      <x:c r="R21" s="14" t="n">
        <x:f>IFERROR(VLOOKUP(Q21,Catalogos!$G:$H,2,FALSE),"")</x:f>
        <x:v>6</x:v>
      </x:c>
      <x:c r="S21" t="str">
        <x:v>Frecuente</x:v>
      </x:c>
      <x:c r="T21" s="14" t="n">
        <x:f>IFERROR(VLOOKUP(S21,Catalogos!$I:$J,2,FALSE),"")</x:f>
        <x:v>3</x:v>
      </x:c>
      <x:c r="U21" s="14" t="n">
        <x:f>IF(OR(R21="",T21=""),"",R21*T21)</x:f>
        <x:v>18</x:v>
      </x:c>
      <x:c r="V21" t="str">
        <x:f>IF(U21="","",IF(U21&gt;=24,"MUY ALTO",IF(U21&gt;=10,"ALTO",IF(U21&gt;=6,"MEDIO","BAJO"))))</x:f>
        <x:v>ALTO</x:v>
      </x:c>
      <x:c r="W21" t="str">
        <x:v>Muy grave</x:v>
      </x:c>
      <x:c r="X21" s="14" t="n">
        <x:f>IFERROR(VLOOKUP(W21,Catalogos!$G:$H,2,FALSE),"")</x:f>
        <x:v>60</x:v>
      </x:c>
      <x:c r="Y21" s="14" t="n">
        <x:f>IF(OR(U21="",X21=""),"",U21*X21)</x:f>
        <x:v>1080</x:v>
      </x:c>
      <x:c r="Z21" t="str">
        <x:f>IF(Y21="","",IF(Y21&gt;=600,"I - Situación crítica. Suspender actividades hasta que el riesgo esté bajo control. Intervención urgente.",IF(Y21&gt;=150,"II - Corregir y adoptar medidas de control de inmediato.",IF(Y21&gt;=40,"III - Mejorar si es posible. Conviene justificar la intervención y su rentabilidad.","IV - Mantener controles existentes."))))</x:f>
        <x:v>I - Situación crítica. Suspender actividades hasta que el riesgo esté bajo control. Intervención urgente.</x:v>
      </x:c>
      <x:c r="AA21" t="str">
        <x:f>IF(Y21="","",IF(Y21&gt;=600,"No aceptable",IF(Y21&gt;=150,"No aceptable / Aceptable con control específico","Aceptable")))</x:f>
        <x:v>No aceptable</x:v>
      </x:c>
      <x:c r="AB21" s="12" t="str">
        <x:v>Eliminar trayectos no indispensables</x:v>
      </x:c>
      <x:c r="AC21" s="12" t="str">
        <x:v>Uso de vehículo más seguro según nivel de riesgo</x:v>
      </x:c>
      <x:c r="AD21" s="12" t="str">
        <x:v>Sistemas de asistencia y monitoreo</x:v>
      </x:c>
      <x:c r="AE21" s="12" t="str">
        <x:v>PESV, turnos, control de fatiga y preoperacional</x:v>
      </x:c>
      <x:c r="AF21" s="12" t="str">
        <x:v>Cinturón de seguridad</x:v>
      </x:c>
      <x:c r="AG21" s="12" t="str">
        <x:v>Director de Operaciones</x:v>
      </x:c>
      <x:c r="AH21" s="16" t="str">
        <x:v>2026-05-31</x:v>
      </x:c>
      <x:c r="AI21" s="12" t="str"/>
    </x:row>
    <x:row r="22">
      <x:c r="A22" t="str">
        <x:v>IPVR-021</x:v>
      </x:c>
      <x:c r="B22" t="str">
        <x:v>Cúcuta</x:v>
      </x:c>
      <x:c r="C22" t="str">
        <x:v>Escolta</x:v>
      </x:c>
      <x:c r="D22" s="12" t="str">
        <x:v>Vehículos / servicio operativo</x:v>
      </x:c>
      <x:c r="E22" s="12" t="str">
        <x:v>Jornadas operativas y vigilancia sostenida</x:v>
      </x:c>
      <x:c r="F22" s="12" t="str">
        <x:v>Mantener atención permanente durante largos turnos</x:v>
      </x:c>
      <x:c r="G22" s="12" t="str">
        <x:v>Sí</x:v>
      </x:c>
      <x:c r="H22" s="12" t="str">
        <x:v>Psicosocial</x:v>
      </x:c>
      <x:c r="I22" s="12" t="str">
        <x:v>Fatiga mental, turnicidad y presión operacional</x:v>
      </x:c>
      <x:c r="J22" s="12" t="str">
        <x:v>Distracción, errores operativos, alteraciones del sueño</x:v>
      </x:c>
      <x:c r="K22" s="12" t="str">
        <x:v>Planeación de relevos</x:v>
      </x:c>
      <x:c r="L22" s="12" t="str">
        <x:v>Espacios adecuados para descansos</x:v>
      </x:c>
      <x:c r="M22" s="12" t="str">
        <x:v>Higiene del sueño y autocuidado</x:v>
      </x:c>
      <x:c r="N22" s="12" t="str">
        <x:v>Error crítico en servicio</x:v>
      </x:c>
      <x:c r="O22" s="12" t="str">
        <x:v>Resolución 2646 de 2008; Decreto 1072 de 2015</x:v>
      </x:c>
      <x:c r="P22" s="14" t="n">
        <x:v>10</x:v>
      </x:c>
      <x:c r="Q22" t="str">
        <x:v>Medio</x:v>
      </x:c>
      <x:c r="R22" s="14" t="n">
        <x:f>IFERROR(VLOOKUP(Q22,Catalogos!$G:$H,2,FALSE),"")</x:f>
        <x:v>2</x:v>
      </x:c>
      <x:c r="S22" t="str">
        <x:v>Continua</x:v>
      </x:c>
      <x:c r="T22" s="14" t="n">
        <x:f>IFERROR(VLOOKUP(S22,Catalogos!$I:$J,2,FALSE),"")</x:f>
        <x:v>4</x:v>
      </x:c>
      <x:c r="U22" s="14" t="n">
        <x:f>IF(OR(R22="",T22=""),"",R22*T22)</x:f>
        <x:v>8</x:v>
      </x:c>
      <x:c r="V22" t="str">
        <x:f>IF(U22="","",IF(U22&gt;=24,"MUY ALTO",IF(U22&gt;=10,"ALTO",IF(U22&gt;=6,"MEDIO","BAJO"))))</x:f>
        <x:v>MEDIO</x:v>
      </x:c>
      <x:c r="W22" t="str">
        <x:v>Grave</x:v>
      </x:c>
      <x:c r="X22" s="14" t="n">
        <x:f>IFERROR(VLOOKUP(W22,Catalogos!$G:$H,2,FALSE),"")</x:f>
        <x:v>25</x:v>
      </x:c>
      <x:c r="Y22" s="14" t="n">
        <x:f>IF(OR(U22="",X22=""),"",U22*X22)</x:f>
        <x:v>200</x:v>
      </x:c>
      <x:c r="Z22" t="str">
        <x:f>IF(Y22="","",IF(Y22&gt;=600,"I - Situación crítica. Suspender actividades hasta que el riesgo esté bajo control. Intervención urgente.",IF(Y22&gt;=150,"II - Corregir y adoptar medidas de control de inmediato.",IF(Y22&gt;=40,"III - Mejorar si es posible. Conviene justificar la intervención y su rentabilidad.","IV - Mantener controles existentes."))))</x:f>
        <x:v>II - Corregir y adoptar medidas de control de inmediato.</x:v>
      </x:c>
      <x:c r="AA22" t="str">
        <x:f>IF(Y22="","",IF(Y22&gt;=600,"No aceptable",IF(Y22&gt;=150,"No aceptable / Aceptable con control específico","Aceptable")))</x:f>
        <x:v>No aceptable / Aceptable con control específico</x:v>
      </x:c>
      <x:c r="AB22" s="12" t="str">
        <x:v>Eliminar turnos excesivos</x:v>
      </x:c>
      <x:c r="AC22" s="12" t="str">
        <x:v>Relevo oportuno por personal disponible</x:v>
      </x:c>
      <x:c r="AD22" s="12" t="str">
        <x:v>Monitoreo de fatiga cuando aplique</x:v>
      </x:c>
      <x:c r="AE22" s="12" t="str">
        <x:v>Límites de jornada, pausas y seguimiento psicosocial</x:v>
      </x:c>
      <x:c r="AF22" s="12" t="str">
        <x:v>No aplica</x:v>
      </x:c>
      <x:c r="AG22" s="12" t="str">
        <x:v>Director de Operaciones</x:v>
      </x:c>
      <x:c r="AH22" s="16" t="str">
        <x:v>2026-05-31</x:v>
      </x:c>
      <x:c r="AI22" s="12" t="str"/>
    </x:row>
    <x:row r="23">
      <x:c r="A23" t="str">
        <x:v>IPVR-022</x:v>
      </x:c>
      <x:c r="B23" t="str">
        <x:v>Barrancabermeja</x:v>
      </x:c>
      <x:c r="C23" t="str">
        <x:v>Vigilancia física fija</x:v>
      </x:c>
      <x:c r="D23" s="12" t="str">
        <x:v>Puesto de vigilancia / accesos</x:v>
      </x:c>
      <x:c r="E23" s="12" t="str">
        <x:v>Control de accesos y verificación</x:v>
      </x:c>
      <x:c r="F23" s="12" t="str">
        <x:v>Permanecer de pie, registrar ingresos y realizar rondas cortas</x:v>
      </x:c>
      <x:c r="G23" s="12" t="str">
        <x:v>Sí</x:v>
      </x:c>
      <x:c r="H23" s="12" t="str">
        <x:v>Biomecánico</x:v>
      </x:c>
      <x:c r="I23" s="12" t="str">
        <x:v>Posturas prolongadas, bipedestación y desplazamientos frecuentes</x:v>
      </x:c>
      <x:c r="J23" s="12" t="str">
        <x:v>Fatiga muscular, lumbalgia, trastornos osteomusculares en miembros inferiores y columna</x:v>
      </x:c>
      <x:c r="K23" s="12" t="str">
        <x:v>Rotación parcial de tareas y pausas activas programadas</x:v>
      </x:c>
      <x:c r="L23" s="12" t="str">
        <x:v>Puntos de apoyo, silla de descanso en relevos y superficies niveladas</x:v>
      </x:c>
      <x:c r="M23" s="12" t="str">
        <x:v>Capacitación en higiene postural y uso de calzado ergonómico</x:v>
      </x:c>
      <x:c r="N23" s="12" t="str">
        <x:v>Trastorno musculoesquelético incapacitante</x:v>
      </x:c>
      <x:c r="O23" s="12" t="str">
        <x:v>Decreto 1072 de 2015; Resolución 0312 de 2019</x:v>
      </x:c>
      <x:c r="P23" s="14" t="n">
        <x:v>15</x:v>
      </x:c>
      <x:c r="Q23" t="str">
        <x:v>Medio</x:v>
      </x:c>
      <x:c r="R23" s="14" t="n">
        <x:f>IFERROR(VLOOKUP(Q23,Catalogos!$G:$H,2,FALSE),"")</x:f>
        <x:v>2</x:v>
      </x:c>
      <x:c r="S23" t="str">
        <x:v>Continua</x:v>
      </x:c>
      <x:c r="T23" s="14" t="n">
        <x:f>IFERROR(VLOOKUP(S23,Catalogos!$I:$J,2,FALSE),"")</x:f>
        <x:v>4</x:v>
      </x:c>
      <x:c r="U23" s="14" t="n">
        <x:f>IF(OR(R23="",T23=""),"",R23*T23)</x:f>
        <x:v>8</x:v>
      </x:c>
      <x:c r="V23" t="str">
        <x:f>IF(U23="","",IF(U23&gt;=24,"MUY ALTO",IF(U23&gt;=10,"ALTO",IF(U23&gt;=6,"MEDIO","BAJO"))))</x:f>
        <x:v>MEDIO</x:v>
      </x:c>
      <x:c r="W23" t="str">
        <x:v>Grave</x:v>
      </x:c>
      <x:c r="X23" s="14" t="n">
        <x:f>IFERROR(VLOOKUP(W23,Catalogos!$G:$H,2,FALSE),"")</x:f>
        <x:v>25</x:v>
      </x:c>
      <x:c r="Y23" s="14" t="n">
        <x:f>IF(OR(U23="",X23=""),"",U23*X23)</x:f>
        <x:v>200</x:v>
      </x:c>
      <x:c r="Z23" t="str">
        <x:f>IF(Y23="","",IF(Y23&gt;=600,"I - Situación crítica. Suspender actividades hasta que el riesgo esté bajo control. Intervención urgente.",IF(Y23&gt;=150,"II - Corregir y adoptar medidas de control de inmediato.",IF(Y23&gt;=40,"III - Mejorar si es posible. Conviene justificar la intervención y su rentabilidad.","IV - Mantener controles existentes."))))</x:f>
        <x:v>II - Corregir y adoptar medidas de control de inmediato.</x:v>
      </x:c>
      <x:c r="AA23" t="str">
        <x:f>IF(Y23="","",IF(Y23&gt;=600,"No aceptable",IF(Y23&gt;=150,"No aceptable / Aceptable con control específico","Aceptable")))</x:f>
        <x:v>No aceptable / Aceptable con control específico</x:v>
      </x:c>
      <x:c r="AB23" s="12" t="str">
        <x:v>Reorganizar el puesto para alternar tareas estáticas y dinámicas</x:v>
      </x:c>
      <x:c r="AC23" s="12" t="str">
        <x:v>No aplica</x:v>
      </x:c>
      <x:c r="AD23" s="12" t="str">
        <x:v>Adecuar apoyapiés y superficies ergonómicas</x:v>
      </x:c>
      <x:c r="AE23" s="12" t="str">
        <x:v>Pausas activas, rotación, inspecciones ergonómicas y seguimiento médico</x:v>
      </x:c>
      <x:c r="AF23" s="12" t="str">
        <x:v>Calzado de seguridad ergonómico</x:v>
      </x:c>
      <x:c r="AG23" s="12" t="str">
        <x:v>Director de Operaciones</x:v>
      </x:c>
      <x:c r="AH23" s="16" t="str">
        <x:v>2026-05-25</x:v>
      </x:c>
      <x:c r="AI23" s="12" t="str"/>
    </x:row>
    <x:row r="24">
      <x:c r="A24" t="str">
        <x:v>IPVR-023</x:v>
      </x:c>
      <x:c r="B24" t="str">
        <x:v>Barrancabermeja</x:v>
      </x:c>
      <x:c r="C24" t="str">
        <x:v>Vigilancia física fija</x:v>
      </x:c>
      <x:c r="D24" s="12" t="str">
        <x:v>Puesto de vigilancia / perímetro</x:v>
      </x:c>
      <x:c r="E24" s="12" t="str">
        <x:v>Vigilancia perimetral y atención de incidentes</x:v>
      </x:c>
      <x:c r="F24" s="12" t="str">
        <x:v>Interactuar con usuarios y controlar eventos de alteración del orden</x:v>
      </x:c>
      <x:c r="G24" s="12" t="str">
        <x:v>Sí</x:v>
      </x:c>
      <x:c r="H24" s="12" t="str">
        <x:v>Condiciones de seguridad - Público</x:v>
      </x:c>
      <x:c r="I24" s="12" t="str">
        <x:v>Agresión física o verbal, hurto, amenaza o alteración del orden público</x:v>
      </x:c>
      <x:c r="J24" s="12" t="str">
        <x:v>Contusiones, trauma psicológico, lesiones graves o muerte</x:v>
      </x:c>
      <x:c r="K24" s="12" t="str">
        <x:v>Protocolos de reacción y comunicación inmediata con central</x:v>
      </x:c>
      <x:c r="L24" s="12" t="str">
        <x:v>CCTV, radios, botón de pánico, iluminación exterior</x:v>
      </x:c>
      <x:c r="M24" s="12" t="str">
        <x:v>Entrenamiento en control de crisis y manejo defensivo</x:v>
      </x:c>
      <x:c r="N24" s="12" t="str">
        <x:v>Homicidio o lesión grave</x:v>
      </x:c>
      <x:c r="O24" s="12" t="str">
        <x:v>Decreto 1072 de 2015; Resolución 0312 de 2019</x:v>
      </x:c>
      <x:c r="P24" s="14" t="n">
        <x:v>15</x:v>
      </x:c>
      <x:c r="Q24" t="str">
        <x:v>Alto</x:v>
      </x:c>
      <x:c r="R24" s="14" t="n">
        <x:f>IFERROR(VLOOKUP(Q24,Catalogos!$G:$H,2,FALSE),"")</x:f>
        <x:v>6</x:v>
      </x:c>
      <x:c r="S24" t="str">
        <x:v>Ocasional</x:v>
      </x:c>
      <x:c r="T24" s="14" t="n">
        <x:f>IFERROR(VLOOKUP(S24,Catalogos!$I:$J,2,FALSE),"")</x:f>
        <x:v>2</x:v>
      </x:c>
      <x:c r="U24" s="14" t="n">
        <x:f>IF(OR(R24="",T24=""),"",R24*T24)</x:f>
        <x:v>12</x:v>
      </x:c>
      <x:c r="V24" t="str">
        <x:f>IF(U24="","",IF(U24&gt;=24,"MUY ALTO",IF(U24&gt;=10,"ALTO",IF(U24&gt;=6,"MEDIO","BAJO"))))</x:f>
        <x:v>ALTO</x:v>
      </x:c>
      <x:c r="W24" t="str">
        <x:v>Muy grave</x:v>
      </x:c>
      <x:c r="X24" s="14" t="n">
        <x:f>IFERROR(VLOOKUP(W24,Catalogos!$G:$H,2,FALSE),"")</x:f>
        <x:v>60</x:v>
      </x:c>
      <x:c r="Y24" s="14" t="n">
        <x:f>IF(OR(U24="",X24=""),"",U24*X24)</x:f>
        <x:v>720</x:v>
      </x:c>
      <x:c r="Z24" t="str">
        <x:f>IF(Y24="","",IF(Y24&gt;=600,"I - Situación crítica. Suspender actividades hasta que el riesgo esté bajo control. Intervención urgente.",IF(Y24&gt;=150,"II - Corregir y adoptar medidas de control de inmediato.",IF(Y24&gt;=40,"III - Mejorar si es posible. Conviene justificar la intervención y su rentabilidad.","IV - Mantener controles existentes."))))</x:f>
        <x:v>I - Situación crítica. Suspender actividades hasta que el riesgo esté bajo control. Intervención urgente.</x:v>
      </x:c>
      <x:c r="AA24" t="str">
        <x:f>IF(Y24="","",IF(Y24&gt;=600,"No aceptable",IF(Y24&gt;=150,"No aceptable / Aceptable con control específico","Aceptable")))</x:f>
        <x:v>No aceptable</x:v>
      </x:c>
      <x:c r="AB24" s="12" t="str">
        <x:v>Eliminar puntos ciegos y actividades en solitario de alto riesgo</x:v>
      </x:c>
      <x:c r="AC24" s="12" t="str">
        <x:v>Sustituir rondas aisladas por acompañamiento dual en sitios críticos</x:v>
      </x:c>
      <x:c r="AD24" s="12" t="str">
        <x:v>Mejorar CCTV, alarmas y control de acceso</x:v>
      </x:c>
      <x:c r="AE24" s="12" t="str">
        <x:v>Protocolos de reacción, análisis de seguridad por puesto, simulacros</x:v>
      </x:c>
      <x:c r="AF24" s="12" t="str">
        <x:v>Chaleco, linterna, radio, elemento de protección balística si aplica</x:v>
      </x:c>
      <x:c r="AG24" s="12" t="str">
        <x:v>Director de Operaciones</x:v>
      </x:c>
      <x:c r="AH24" s="16" t="str">
        <x:v>2026-05-25</x:v>
      </x:c>
      <x:c r="AI24" s="12" t="str"/>
    </x:row>
    <x:row r="25">
      <x:c r="A25" t="str">
        <x:v>IPVR-024</x:v>
      </x:c>
      <x:c r="B25" t="str">
        <x:v>Barrancabermeja</x:v>
      </x:c>
      <x:c r="C25" t="str">
        <x:v>Vigilancia física fija</x:v>
      </x:c>
      <x:c r="D25" s="12" t="str">
        <x:v>Áreas comunes / perímetro</x:v>
      </x:c>
      <x:c r="E25" s="12" t="str">
        <x:v>Rondas de inspección</x:v>
      </x:c>
      <x:c r="F25" s="12" t="str">
        <x:v>Desplazarse por escaleras, pasillos, zonas húmedas o irregulares</x:v>
      </x:c>
      <x:c r="G25" s="12" t="str">
        <x:v>Sí</x:v>
      </x:c>
      <x:c r="H25" s="12" t="str">
        <x:v>Condiciones de seguridad - Locativo</x:v>
      </x:c>
      <x:c r="I25" s="12" t="str">
        <x:v>Caídas al mismo nivel por superficies irregulares, húmedas o con obstáculos</x:v>
      </x:c>
      <x:c r="J25" s="12" t="str">
        <x:v>Esguinces, fracturas, golpes, incapacidad temporal</x:v>
      </x:c>
      <x:c r="K25" s="12" t="str">
        <x:v>Inspecciones locativas y corrección de condiciones inseguras</x:v>
      </x:c>
      <x:c r="L25" s="12" t="str">
        <x:v>Señalización, orden y aseo, iluminación adecuada</x:v>
      </x:c>
      <x:c r="M25" s="12" t="str">
        <x:v>Reporte oportuno de condiciones inseguras y atención al tránsito seguro</x:v>
      </x:c>
      <x:c r="N25" s="12" t="str">
        <x:v>Fractura con incapacidad prolongada</x:v>
      </x:c>
      <x:c r="O25" s="12" t="str">
        <x:v>Decreto 1072 de 2015; Resolución 0312 de 2019</x:v>
      </x:c>
      <x:c r="P25" s="14" t="n">
        <x:v>15</x:v>
      </x:c>
      <x:c r="Q25" t="str">
        <x:v>Alto</x:v>
      </x:c>
      <x:c r="R25" s="14" t="n">
        <x:f>IFERROR(VLOOKUP(Q25,Catalogos!$G:$H,2,FALSE),"")</x:f>
        <x:v>6</x:v>
      </x:c>
      <x:c r="S25" t="str">
        <x:v>Ocasional</x:v>
      </x:c>
      <x:c r="T25" s="14" t="n">
        <x:f>IFERROR(VLOOKUP(S25,Catalogos!$I:$J,2,FALSE),"")</x:f>
        <x:v>2</x:v>
      </x:c>
      <x:c r="U25" s="14" t="n">
        <x:f>IF(OR(R25="",T25=""),"",R25*T25)</x:f>
        <x:v>12</x:v>
      </x:c>
      <x:c r="V25" t="str">
        <x:f>IF(U25="","",IF(U25&gt;=24,"MUY ALTO",IF(U25&gt;=10,"ALTO",IF(U25&gt;=6,"MEDIO","BAJO"))))</x:f>
        <x:v>ALTO</x:v>
      </x:c>
      <x:c r="W25" t="str">
        <x:v>Grave</x:v>
      </x:c>
      <x:c r="X25" s="14" t="n">
        <x:f>IFERROR(VLOOKUP(W25,Catalogos!$G:$H,2,FALSE),"")</x:f>
        <x:v>25</x:v>
      </x:c>
      <x:c r="Y25" s="14" t="n">
        <x:f>IF(OR(U25="",X25=""),"",U25*X25)</x:f>
        <x:v>300</x:v>
      </x:c>
      <x:c r="Z25" t="str">
        <x:f>IF(Y25="","",IF(Y25&gt;=600,"I - Situación crítica. Suspender actividades hasta que el riesgo esté bajo control. Intervención urgente.",IF(Y25&gt;=150,"II - Corregir y adoptar medidas de control de inmediato.",IF(Y25&gt;=40,"III - Mejorar si es posible. Conviene justificar la intervención y su rentabilidad.","IV - Mantener controles existentes."))))</x:f>
        <x:v>II - Corregir y adoptar medidas de control de inmediato.</x:v>
      </x:c>
      <x:c r="AA25" t="str">
        <x:f>IF(Y25="","",IF(Y25&gt;=600,"No aceptable",IF(Y25&gt;=150,"No aceptable / Aceptable con control específico","Aceptable")))</x:f>
        <x:v>No aceptable / Aceptable con control específico</x:v>
      </x:c>
      <x:c r="AB25" s="12" t="str">
        <x:v>Eliminar obstáculos y desniveles inseguros</x:v>
      </x:c>
      <x:c r="AC25" s="12" t="str">
        <x:v>Revestimientos antideslizantes en zonas críticas</x:v>
      </x:c>
      <x:c r="AD25" s="12" t="str">
        <x:v>Mejorar drenajes y pisos</x:v>
      </x:c>
      <x:c r="AE25" s="12" t="str">
        <x:v>Inspecciones periódicas, orden y aseo, reporte de novedades</x:v>
      </x:c>
      <x:c r="AF25" s="12" t="str">
        <x:v>Calzado de seguridad antideslizante</x:v>
      </x:c>
      <x:c r="AG25" s="12" t="str">
        <x:v>Director de Operaciones</x:v>
      </x:c>
      <x:c r="AH25" s="16" t="str">
        <x:v>2026-05-25</x:v>
      </x:c>
      <x:c r="AI25" s="12" t="str"/>
    </x:row>
    <x:row r="26">
      <x:c r="A26" t="str">
        <x:v>IPVR-025</x:v>
      </x:c>
      <x:c r="B26" t="str">
        <x:v>Barrancabermeja</x:v>
      </x:c>
      <x:c r="C26" t="str">
        <x:v>Vigilancia física fija</x:v>
      </x:c>
      <x:c r="D26" s="12" t="str">
        <x:v>Garitas y perímetro externo</x:v>
      </x:c>
      <x:c r="E26" s="12" t="str">
        <x:v>Vigilancia exterior</x:v>
      </x:c>
      <x:c r="F26" s="12" t="str">
        <x:v>Exposición a radiación solar, lluvia y cambios bruscos de temperatura</x:v>
      </x:c>
      <x:c r="G26" s="12" t="str">
        <x:v>Sí</x:v>
      </x:c>
      <x:c r="H26" s="12" t="str">
        <x:v>Físico</x:v>
      </x:c>
      <x:c r="I26" s="12" t="str">
        <x:v>Exposición a radiación solar, calor, lluvia y disconfort térmico</x:v>
      </x:c>
      <x:c r="J26" s="12" t="str">
        <x:v>Deshidratación, cefalea, fatiga térmica, dermatosis</x:v>
      </x:c>
      <x:c r="K26" s="12" t="str">
        <x:v>Programación de relevos y zonas de sombra</x:v>
      </x:c>
      <x:c r="L26" s="12" t="str">
        <x:v>Cubiertas, hidratación disponible, ventilación</x:v>
      </x:c>
      <x:c r="M26" s="12" t="str">
        <x:v>Autocuidado e hidratación permanente</x:v>
      </x:c>
      <x:c r="N26" s="12" t="str">
        <x:v>Golpe de calor</x:v>
      </x:c>
      <x:c r="O26" s="12" t="str">
        <x:v>Decreto 1072 de 2015; Resolución 0312 de 2019</x:v>
      </x:c>
      <x:c r="P26" s="14" t="n">
        <x:v>15</x:v>
      </x:c>
      <x:c r="Q26" t="str">
        <x:v>Medio</x:v>
      </x:c>
      <x:c r="R26" s="14" t="n">
        <x:f>IFERROR(VLOOKUP(Q26,Catalogos!$G:$H,2,FALSE),"")</x:f>
        <x:v>2</x:v>
      </x:c>
      <x:c r="S26" t="str">
        <x:v>Frecuente</x:v>
      </x:c>
      <x:c r="T26" s="14" t="n">
        <x:f>IFERROR(VLOOKUP(S26,Catalogos!$I:$J,2,FALSE),"")</x:f>
        <x:v>3</x:v>
      </x:c>
      <x:c r="U26" s="14" t="n">
        <x:f>IF(OR(R26="",T26=""),"",R26*T26)</x:f>
        <x:v>6</x:v>
      </x:c>
      <x:c r="V26" t="str">
        <x:f>IF(U26="","",IF(U26&gt;=24,"MUY ALTO",IF(U26&gt;=10,"ALTO",IF(U26&gt;=6,"MEDIO","BAJO"))))</x:f>
        <x:v>MEDIO</x:v>
      </x:c>
      <x:c r="W26" t="str">
        <x:v>Leve</x:v>
      </x:c>
      <x:c r="X26" s="14" t="n">
        <x:f>IFERROR(VLOOKUP(W26,Catalogos!$G:$H,2,FALSE),"")</x:f>
        <x:v>10</x:v>
      </x:c>
      <x:c r="Y26" s="14" t="n">
        <x:f>IF(OR(U26="",X26=""),"",U26*X26)</x:f>
        <x:v>60</x:v>
      </x:c>
      <x:c r="Z26" t="str">
        <x:f>IF(Y26="","",IF(Y26&gt;=600,"I - Situación crítica. Suspender actividades hasta que el riesgo esté bajo control. Intervención urgente.",IF(Y26&gt;=150,"II - Corregir y adoptar medidas de control de inmediato.",IF(Y26&gt;=40,"III - Mejorar si es posible. Conviene justificar la intervención y su rentabilidad.","IV - Mantener controles existentes."))))</x:f>
        <x:v>III - Mejorar si es posible. Conviene justificar la intervención y su rentabilidad.</x:v>
      </x:c>
      <x:c r="AA26" t="str">
        <x:f>IF(Y26="","",IF(Y26&gt;=600,"No aceptable",IF(Y26&gt;=150,"No aceptable / Aceptable con control específico","Aceptable")))</x:f>
        <x:v>Aceptable</x:v>
      </x:c>
      <x:c r="AB26" s="12" t="str">
        <x:v>Reubicar puestos sin protección directa al clima cuando sea viable</x:v>
      </x:c>
      <x:c r="AC26" s="12" t="str">
        <x:v>No aplica</x:v>
      </x:c>
      <x:c r="AD26" s="12" t="str">
        <x:v>Instalar cubiertas y ventilación</x:v>
      </x:c>
      <x:c r="AE26" s="12" t="str">
        <x:v>Relevos, pausas de hidratación y seguimiento en temporadas críticas</x:v>
      </x:c>
      <x:c r="AF26" s="12" t="str">
        <x:v>Gorra, bloqueador solar, impermeable</x:v>
      </x:c>
      <x:c r="AG26" s="12" t="str">
        <x:v>Director de Operaciones</x:v>
      </x:c>
      <x:c r="AH26" s="16" t="str">
        <x:v>2026-05-25</x:v>
      </x:c>
      <x:c r="AI26" s="12" t="str"/>
    </x:row>
    <x:row r="27">
      <x:c r="A27" t="str">
        <x:v>IPVR-026</x:v>
      </x:c>
      <x:c r="B27" t="str">
        <x:v>Barrancabermeja</x:v>
      </x:c>
      <x:c r="C27" t="str">
        <x:v>Supervisión operativa y rondas</x:v>
      </x:c>
      <x:c r="D27" s="12" t="str">
        <x:v>Vías urbanas e intermunicipales</x:v>
      </x:c>
      <x:c r="E27" s="12" t="str">
        <x:v>Rondas motorizadas y desplazamiento entre puestos</x:v>
      </x:c>
      <x:c r="F27" s="12" t="str">
        <x:v>Conducir motocicleta o vehículo para supervisión de servicios</x:v>
      </x:c>
      <x:c r="G27" s="12" t="str">
        <x:v>Sí</x:v>
      </x:c>
      <x:c r="H27" s="12" t="str">
        <x:v>Condiciones de seguridad - Accidentes de tránsito</x:v>
      </x:c>
      <x:c r="I27" s="12" t="str">
        <x:v>Colisión, volcamiento, atropellamiento o siniestro vial</x:v>
      </x:c>
      <x:c r="J27" s="12" t="str">
        <x:v>Politraumatismo, incapacidad, muerte</x:v>
      </x:c>
      <x:c r="K27" s="12" t="str">
        <x:v>Mantenimiento preventivo y control de velocidad</x:v>
      </x:c>
      <x:c r="L27" s="12" t="str">
        <x:v>Vehículos en buen estado, GPS, reflectivos</x:v>
      </x:c>
      <x:c r="M27" s="12" t="str">
        <x:v>Capacitación PESV y conducción defensiva</x:v>
      </x:c>
      <x:c r="N27" s="12" t="str">
        <x:v>Muerte</x:v>
      </x:c>
      <x:c r="O27" s="12" t="str">
        <x:v>Resolución 40595 de 2022; Decreto 1072 de 2015</x:v>
      </x:c>
      <x:c r="P27" s="14" t="n">
        <x:v>3</x:v>
      </x:c>
      <x:c r="Q27" t="str">
        <x:v>Muy alto</x:v>
      </x:c>
      <x:c r="R27" s="14" t="n">
        <x:f>IFERROR(VLOOKUP(Q27,Catalogos!$G:$H,2,FALSE),"")</x:f>
        <x:v>10</x:v>
      </x:c>
      <x:c r="S27" t="str">
        <x:v>Frecuente</x:v>
      </x:c>
      <x:c r="T27" s="14" t="n">
        <x:f>IFERROR(VLOOKUP(S27,Catalogos!$I:$J,2,FALSE),"")</x:f>
        <x:v>3</x:v>
      </x:c>
      <x:c r="U27" s="14" t="n">
        <x:f>IF(OR(R27="",T27=""),"",R27*T27)</x:f>
        <x:v>30</x:v>
      </x:c>
      <x:c r="V27" t="str">
        <x:f>IF(U27="","",IF(U27&gt;=24,"MUY ALTO",IF(U27&gt;=10,"ALTO",IF(U27&gt;=6,"MEDIO","BAJO"))))</x:f>
        <x:v>MUY ALTO</x:v>
      </x:c>
      <x:c r="W27" t="str">
        <x:v>Muy grave</x:v>
      </x:c>
      <x:c r="X27" s="14" t="n">
        <x:f>IFERROR(VLOOKUP(W27,Catalogos!$G:$H,2,FALSE),"")</x:f>
        <x:v>60</x:v>
      </x:c>
      <x:c r="Y27" s="14" t="n">
        <x:f>IF(OR(U27="",X27=""),"",U27*X27)</x:f>
        <x:v>1800</x:v>
      </x:c>
      <x:c r="Z27" t="str">
        <x:f>IF(Y27="","",IF(Y27&gt;=600,"I - Situación crítica. Suspender actividades hasta que el riesgo esté bajo control. Intervención urgente.",IF(Y27&gt;=150,"II - Corregir y adoptar medidas de control de inmediato.",IF(Y27&gt;=40,"III - Mejorar si es posible. Conviene justificar la intervención y su rentabilidad.","IV - Mantener controles existentes."))))</x:f>
        <x:v>I - Situación crítica. Suspender actividades hasta que el riesgo esté bajo control. Intervención urgente.</x:v>
      </x:c>
      <x:c r="AA27" t="str">
        <x:f>IF(Y27="","",IF(Y27&gt;=600,"No aceptable",IF(Y27&gt;=150,"No aceptable / Aceptable con control específico","Aceptable")))</x:f>
        <x:v>No aceptable</x:v>
      </x:c>
      <x:c r="AB27" s="12" t="str">
        <x:v>Eliminar desplazamientos innecesarios</x:v>
      </x:c>
      <x:c r="AC27" s="12" t="str">
        <x:v>Sustituir motocicleta por vehículo en trayectos críticos cuando aplique</x:v>
      </x:c>
      <x:c r="AD27" s="12" t="str">
        <x:v>GPS, cámaras y mantenimientos</x:v>
      </x:c>
      <x:c r="AE27" s="12" t="str">
        <x:v>PESV, control de fatiga, inspección preoperacional</x:v>
      </x:c>
      <x:c r="AF27" s="12" t="str">
        <x:v>Casco certificado, chaleco reflectivo</x:v>
      </x:c>
      <x:c r="AG27" s="12" t="str">
        <x:v>Director de Operaciones</x:v>
      </x:c>
      <x:c r="AH27" s="16" t="str">
        <x:v>2026-05-25</x:v>
      </x:c>
      <x:c r="AI27" s="12" t="str"/>
    </x:row>
    <x:row r="28">
      <x:c r="A28" t="str">
        <x:v>IPVR-027</x:v>
      </x:c>
      <x:c r="B28" t="str">
        <x:v>Barrancabermeja</x:v>
      </x:c>
      <x:c r="C28" t="str">
        <x:v>Supervisión operativa y rondas</x:v>
      </x:c>
      <x:c r="D28" s="12" t="str">
        <x:v>Puestos externos / vía pública</x:v>
      </x:c>
      <x:c r="E28" s="12" t="str">
        <x:v>Atención de novedades e inspecciones en campo</x:v>
      </x:c>
      <x:c r="F28" s="12" t="str">
        <x:v>Ingresar a sitios con potencial alteración de orden público</x:v>
      </x:c>
      <x:c r="G28" s="12" t="str">
        <x:v>Sí</x:v>
      </x:c>
      <x:c r="H28" s="12" t="str">
        <x:v>Condiciones de seguridad - Público</x:v>
      </x:c>
      <x:c r="I28" s="12" t="str">
        <x:v>Asalto, amenaza, retención o agresión de terceros</x:v>
      </x:c>
      <x:c r="J28" s="12" t="str">
        <x:v>Lesiones, trauma psicológico, muerte</x:v>
      </x:c>
      <x:c r="K28" s="12" t="str">
        <x:v>Protocolos de apoyo y monitoreo</x:v>
      </x:c>
      <x:c r="L28" s="12" t="str">
        <x:v>Comunicación permanente con central y georreferenciación</x:v>
      </x:c>
      <x:c r="M28" s="12" t="str">
        <x:v>Entrenamiento de reacción segura y autoprotección</x:v>
      </x:c>
      <x:c r="N28" s="12" t="str">
        <x:v>Lesión grave o muerte</x:v>
      </x:c>
      <x:c r="O28" s="12" t="str">
        <x:v>Decreto 1072 de 2015; Resolución 0312 de 2019</x:v>
      </x:c>
      <x:c r="P28" s="14" t="n">
        <x:v>3</x:v>
      </x:c>
      <x:c r="Q28" t="str">
        <x:v>Alto</x:v>
      </x:c>
      <x:c r="R28" s="14" t="n">
        <x:f>IFERROR(VLOOKUP(Q28,Catalogos!$G:$H,2,FALSE),"")</x:f>
        <x:v>6</x:v>
      </x:c>
      <x:c r="S28" t="str">
        <x:v>Ocasional</x:v>
      </x:c>
      <x:c r="T28" s="14" t="n">
        <x:f>IFERROR(VLOOKUP(S28,Catalogos!$I:$J,2,FALSE),"")</x:f>
        <x:v>2</x:v>
      </x:c>
      <x:c r="U28" s="14" t="n">
        <x:f>IF(OR(R28="",T28=""),"",R28*T28)</x:f>
        <x:v>12</x:v>
      </x:c>
      <x:c r="V28" t="str">
        <x:f>IF(U28="","",IF(U28&gt;=24,"MUY ALTO",IF(U28&gt;=10,"ALTO",IF(U28&gt;=6,"MEDIO","BAJO"))))</x:f>
        <x:v>ALTO</x:v>
      </x:c>
      <x:c r="W28" t="str">
        <x:v>Muy grave</x:v>
      </x:c>
      <x:c r="X28" s="14" t="n">
        <x:f>IFERROR(VLOOKUP(W28,Catalogos!$G:$H,2,FALSE),"")</x:f>
        <x:v>60</x:v>
      </x:c>
      <x:c r="Y28" s="14" t="n">
        <x:f>IF(OR(U28="",X28=""),"",U28*X28)</x:f>
        <x:v>720</x:v>
      </x:c>
      <x:c r="Z28" t="str">
        <x:f>IF(Y28="","",IF(Y28&gt;=600,"I - Situación crítica. Suspender actividades hasta que el riesgo esté bajo control. Intervención urgente.",IF(Y28&gt;=150,"II - Corregir y adoptar medidas de control de inmediato.",IF(Y28&gt;=40,"III - Mejorar si es posible. Conviene justificar la intervención y su rentabilidad.","IV - Mantener controles existentes."))))</x:f>
        <x:v>I - Situación crítica. Suspender actividades hasta que el riesgo esté bajo control. Intervención urgente.</x:v>
      </x:c>
      <x:c r="AA28" t="str">
        <x:f>IF(Y28="","",IF(Y28&gt;=600,"No aceptable",IF(Y28&gt;=150,"No aceptable / Aceptable con control específico","Aceptable")))</x:f>
        <x:v>No aceptable</x:v>
      </x:c>
      <x:c r="AB28" s="12" t="str">
        <x:v>Suspender atención individual en zonas críticas</x:v>
      </x:c>
      <x:c r="AC28" s="12" t="str">
        <x:v>Acompañamiento dual o apoyo policial en zonas de alto riesgo</x:v>
      </x:c>
      <x:c r="AD28" s="12" t="str">
        <x:v>Dispositivos de comunicación redundante</x:v>
      </x:c>
      <x:c r="AE28" s="12" t="str">
        <x:v>Mapas de riesgo, briefing previo y protocolos de atención</x:v>
      </x:c>
      <x:c r="AF28" s="12" t="str">
        <x:v>Chaleco, radio, linterna táctica</x:v>
      </x:c>
      <x:c r="AG28" s="12" t="str">
        <x:v>Director de Operaciones</x:v>
      </x:c>
      <x:c r="AH28" s="16" t="str">
        <x:v>2026-05-25</x:v>
      </x:c>
      <x:c r="AI28" s="12" t="str"/>
    </x:row>
    <x:row r="29">
      <x:c r="A29" t="str">
        <x:v>IPVR-028</x:v>
      </x:c>
      <x:c r="B29" t="str">
        <x:v>Barrancabermeja</x:v>
      </x:c>
      <x:c r="C29" t="str">
        <x:v>Escolta</x:v>
      </x:c>
      <x:c r="D29" s="12" t="str">
        <x:v>Vehículos / rutas / acompañamiento a protegidos</x:v>
      </x:c>
      <x:c r="E29" s="12" t="str">
        <x:v>Protección a personas y bienes</x:v>
      </x:c>
      <x:c r="F29" s="12" t="str">
        <x:v>Acompañamiento de desplazamientos y reacción ante amenazas</x:v>
      </x:c>
      <x:c r="G29" s="12" t="str">
        <x:v>Sí</x:v>
      </x:c>
      <x:c r="H29" s="12" t="str">
        <x:v>Condiciones de seguridad - Público</x:v>
      </x:c>
      <x:c r="I29" s="12" t="str">
        <x:v>Atentado, agresión armada o amenaza contra escolta/protegido</x:v>
      </x:c>
      <x:c r="J29" s="12" t="str">
        <x:v>Lesiones graves, muerte, trauma psicológico</x:v>
      </x:c>
      <x:c r="K29" s="12" t="str">
        <x:v>Análisis previo de riesgo y planeación operativa</x:v>
      </x:c>
      <x:c r="L29" s="12" t="str">
        <x:v>Vehículos, comunicaciones, apoyo y rutas alternas</x:v>
      </x:c>
      <x:c r="M29" s="12" t="str">
        <x:v>Entrenamiento táctico, reacción y autoprotección</x:v>
      </x:c>
      <x:c r="N29" s="12" t="str">
        <x:v>Muerte</x:v>
      </x:c>
      <x:c r="O29" s="12" t="str">
        <x:v>Decreto 1072 de 2015; Resolución 0312 de 2019</x:v>
      </x:c>
      <x:c r="P29" s="14" t="n">
        <x:v>4</x:v>
      </x:c>
      <x:c r="Q29" t="str">
        <x:v>Muy alto</x:v>
      </x:c>
      <x:c r="R29" s="14" t="n">
        <x:f>IFERROR(VLOOKUP(Q29,Catalogos!$G:$H,2,FALSE),"")</x:f>
        <x:v>10</x:v>
      </x:c>
      <x:c r="S29" t="str">
        <x:v>Ocasional</x:v>
      </x:c>
      <x:c r="T29" s="14" t="n">
        <x:f>IFERROR(VLOOKUP(S29,Catalogos!$I:$J,2,FALSE),"")</x:f>
        <x:v>2</x:v>
      </x:c>
      <x:c r="U29" s="14" t="n">
        <x:f>IF(OR(R29="",T29=""),"",R29*T29)</x:f>
        <x:v>20</x:v>
      </x:c>
      <x:c r="V29" t="str">
        <x:f>IF(U29="","",IF(U29&gt;=24,"MUY ALTO",IF(U29&gt;=10,"ALTO",IF(U29&gt;=6,"MEDIO","BAJO"))))</x:f>
        <x:v>ALTO</x:v>
      </x:c>
      <x:c r="W29" t="str">
        <x:v>Mortal o catastrófico</x:v>
      </x:c>
      <x:c r="X29" s="14" t="n">
        <x:f>IFERROR(VLOOKUP(W29,Catalogos!$G:$H,2,FALSE),"")</x:f>
        <x:v>100</x:v>
      </x:c>
      <x:c r="Y29" s="14" t="n">
        <x:f>IF(OR(U29="",X29=""),"",U29*X29)</x:f>
        <x:v>2000</x:v>
      </x:c>
      <x:c r="Z29" t="str">
        <x:f>IF(Y29="","",IF(Y29&gt;=600,"I - Situación crítica. Suspender actividades hasta que el riesgo esté bajo control. Intervención urgente.",IF(Y29&gt;=150,"II - Corregir y adoptar medidas de control de inmediato.",IF(Y29&gt;=40,"III - Mejorar si es posible. Conviene justificar la intervención y su rentabilidad.","IV - Mantener controles existentes."))))</x:f>
        <x:v>I - Situación crítica. Suspender actividades hasta que el riesgo esté bajo control. Intervención urgente.</x:v>
      </x:c>
      <x:c r="AA29" t="str">
        <x:f>IF(Y29="","",IF(Y29&gt;=600,"No aceptable",IF(Y29&gt;=150,"No aceptable / Aceptable con control específico","Aceptable")))</x:f>
        <x:v>No aceptable</x:v>
      </x:c>
      <x:c r="AB29" s="12" t="str">
        <x:v>Eliminar recorridos en horarios/rutas de alto riesgo cuando sea posible</x:v>
      </x:c>
      <x:c r="AC29" s="12" t="str">
        <x:v>Cambiar rutas y medios de desplazamiento según análisis</x:v>
      </x:c>
      <x:c r="AD29" s="12" t="str">
        <x:v>Vehículos y comunicaciones seguras</x:v>
      </x:c>
      <x:c r="AE29" s="12" t="str">
        <x:v>Estudios de seguridad, planeación táctica y briefings</x:v>
      </x:c>
      <x:c r="AF29" s="12" t="str">
        <x:v>Chaleco balístico, radio, linterna</x:v>
      </x:c>
      <x:c r="AG29" s="12" t="str">
        <x:v>Director de Operaciones</x:v>
      </x:c>
      <x:c r="AH29" s="16" t="str">
        <x:v>2026-05-25</x:v>
      </x:c>
      <x:c r="AI29" s="12" t="str"/>
    </x:row>
    <x:row r="30">
      <x:c r="A30" t="str">
        <x:v>IPVR-029</x:v>
      </x:c>
      <x:c r="B30" t="str">
        <x:v>Barrancabermeja</x:v>
      </x:c>
      <x:c r="C30" t="str">
        <x:v>Escolta</x:v>
      </x:c>
      <x:c r="D30" s="12" t="str">
        <x:v>Vías urbanas e intermunicipales</x:v>
      </x:c>
      <x:c r="E30" s="12" t="str">
        <x:v>Desplazamiento en operación de escolta</x:v>
      </x:c>
      <x:c r="F30" s="12" t="str">
        <x:v>Conducción preventiva en servicio</x:v>
      </x:c>
      <x:c r="G30" s="12" t="str">
        <x:v>Sí</x:v>
      </x:c>
      <x:c r="H30" s="12" t="str">
        <x:v>Condiciones de seguridad - Accidentes de tránsito</x:v>
      </x:c>
      <x:c r="I30" s="12" t="str">
        <x:v>Colisión o siniestro vial en desplazamiento operativo</x:v>
      </x:c>
      <x:c r="J30" s="12" t="str">
        <x:v>Politraumatismo, incapacidad, muerte</x:v>
      </x:c>
      <x:c r="K30" s="12" t="str">
        <x:v>Mantenimiento preventivo y control de velocidad</x:v>
      </x:c>
      <x:c r="L30" s="12" t="str">
        <x:v>GPS, frenos ABS, inspección vehicular</x:v>
      </x:c>
      <x:c r="M30" s="12" t="str">
        <x:v>Conducción defensiva y manejo evasivo autorizado</x:v>
      </x:c>
      <x:c r="N30" s="12" t="str">
        <x:v>Muerte</x:v>
      </x:c>
      <x:c r="O30" s="12" t="str">
        <x:v>Resolución 40595 de 2022; Decreto 1072 de 2015</x:v>
      </x:c>
      <x:c r="P30" s="14" t="n">
        <x:v>4</x:v>
      </x:c>
      <x:c r="Q30" t="str">
        <x:v>Alto</x:v>
      </x:c>
      <x:c r="R30" s="14" t="n">
        <x:f>IFERROR(VLOOKUP(Q30,Catalogos!$G:$H,2,FALSE),"")</x:f>
        <x:v>6</x:v>
      </x:c>
      <x:c r="S30" t="str">
        <x:v>Frecuente</x:v>
      </x:c>
      <x:c r="T30" s="14" t="n">
        <x:f>IFERROR(VLOOKUP(S30,Catalogos!$I:$J,2,FALSE),"")</x:f>
        <x:v>3</x:v>
      </x:c>
      <x:c r="U30" s="14" t="n">
        <x:f>IF(OR(R30="",T30=""),"",R30*T30)</x:f>
        <x:v>18</x:v>
      </x:c>
      <x:c r="V30" t="str">
        <x:f>IF(U30="","",IF(U30&gt;=24,"MUY ALTO",IF(U30&gt;=10,"ALTO",IF(U30&gt;=6,"MEDIO","BAJO"))))</x:f>
        <x:v>ALTO</x:v>
      </x:c>
      <x:c r="W30" t="str">
        <x:v>Muy grave</x:v>
      </x:c>
      <x:c r="X30" s="14" t="n">
        <x:f>IFERROR(VLOOKUP(W30,Catalogos!$G:$H,2,FALSE),"")</x:f>
        <x:v>60</x:v>
      </x:c>
      <x:c r="Y30" s="14" t="n">
        <x:f>IF(OR(U30="",X30=""),"",U30*X30)</x:f>
        <x:v>1080</x:v>
      </x:c>
      <x:c r="Z30" t="str">
        <x:f>IF(Y30="","",IF(Y30&gt;=600,"I - Situación crítica. Suspender actividades hasta que el riesgo esté bajo control. Intervención urgente.",IF(Y30&gt;=150,"II - Corregir y adoptar medidas de control de inmediato.",IF(Y30&gt;=40,"III - Mejorar si es posible. Conviene justificar la intervención y su rentabilidad.","IV - Mantener controles existentes."))))</x:f>
        <x:v>I - Situación crítica. Suspender actividades hasta que el riesgo esté bajo control. Intervención urgente.</x:v>
      </x:c>
      <x:c r="AA30" t="str">
        <x:f>IF(Y30="","",IF(Y30&gt;=600,"No aceptable",IF(Y30&gt;=150,"No aceptable / Aceptable con control específico","Aceptable")))</x:f>
        <x:v>No aceptable</x:v>
      </x:c>
      <x:c r="AB30" s="12" t="str">
        <x:v>Eliminar trayectos no indispensables</x:v>
      </x:c>
      <x:c r="AC30" s="12" t="str">
        <x:v>Uso de vehículo más seguro según nivel de riesgo</x:v>
      </x:c>
      <x:c r="AD30" s="12" t="str">
        <x:v>Sistemas de asistencia y monitoreo</x:v>
      </x:c>
      <x:c r="AE30" s="12" t="str">
        <x:v>PESV, turnos, control de fatiga y preoperacional</x:v>
      </x:c>
      <x:c r="AF30" s="12" t="str">
        <x:v>Cinturón de seguridad</x:v>
      </x:c>
      <x:c r="AG30" s="12" t="str">
        <x:v>Director de Operaciones</x:v>
      </x:c>
      <x:c r="AH30" s="16" t="str">
        <x:v>2026-05-25</x:v>
      </x:c>
      <x:c r="AI30" s="12" t="str"/>
    </x:row>
    <x:row r="31">
      <x:c r="A31" t="str">
        <x:v>IPVR-030</x:v>
      </x:c>
      <x:c r="B31" t="str">
        <x:v>Barrancabermeja</x:v>
      </x:c>
      <x:c r="C31" t="str">
        <x:v>Escolta</x:v>
      </x:c>
      <x:c r="D31" s="12" t="str">
        <x:v>Vehículos / servicio operativo</x:v>
      </x:c>
      <x:c r="E31" s="12" t="str">
        <x:v>Jornadas operativas y vigilancia sostenida</x:v>
      </x:c>
      <x:c r="F31" s="12" t="str">
        <x:v>Mantener atención permanente durante largos turnos</x:v>
      </x:c>
      <x:c r="G31" s="12" t="str">
        <x:v>Sí</x:v>
      </x:c>
      <x:c r="H31" s="12" t="str">
        <x:v>Psicosocial</x:v>
      </x:c>
      <x:c r="I31" s="12" t="str">
        <x:v>Fatiga mental, turnicidad y presión operacional</x:v>
      </x:c>
      <x:c r="J31" s="12" t="str">
        <x:v>Distracción, errores operativos, alteraciones del sueño</x:v>
      </x:c>
      <x:c r="K31" s="12" t="str">
        <x:v>Planeación de relevos</x:v>
      </x:c>
      <x:c r="L31" s="12" t="str">
        <x:v>Espacios adecuados para descansos</x:v>
      </x:c>
      <x:c r="M31" s="12" t="str">
        <x:v>Higiene del sueño y autocuidado</x:v>
      </x:c>
      <x:c r="N31" s="12" t="str">
        <x:v>Error crítico en servicio</x:v>
      </x:c>
      <x:c r="O31" s="12" t="str">
        <x:v>Resolución 2646 de 2008; Decreto 1072 de 2015</x:v>
      </x:c>
      <x:c r="P31" s="14" t="n">
        <x:v>4</x:v>
      </x:c>
      <x:c r="Q31" t="str">
        <x:v>Medio</x:v>
      </x:c>
      <x:c r="R31" s="14" t="n">
        <x:f>IFERROR(VLOOKUP(Q31,Catalogos!$G:$H,2,FALSE),"")</x:f>
        <x:v>2</x:v>
      </x:c>
      <x:c r="S31" t="str">
        <x:v>Continua</x:v>
      </x:c>
      <x:c r="T31" s="14" t="n">
        <x:f>IFERROR(VLOOKUP(S31,Catalogos!$I:$J,2,FALSE),"")</x:f>
        <x:v>4</x:v>
      </x:c>
      <x:c r="U31" s="14" t="n">
        <x:f>IF(OR(R31="",T31=""),"",R31*T31)</x:f>
        <x:v>8</x:v>
      </x:c>
      <x:c r="V31" t="str">
        <x:f>IF(U31="","",IF(U31&gt;=24,"MUY ALTO",IF(U31&gt;=10,"ALTO",IF(U31&gt;=6,"MEDIO","BAJO"))))</x:f>
        <x:v>MEDIO</x:v>
      </x:c>
      <x:c r="W31" t="str">
        <x:v>Grave</x:v>
      </x:c>
      <x:c r="X31" s="14" t="n">
        <x:f>IFERROR(VLOOKUP(W31,Catalogos!$G:$H,2,FALSE),"")</x:f>
        <x:v>25</x:v>
      </x:c>
      <x:c r="Y31" s="14" t="n">
        <x:f>IF(OR(U31="",X31=""),"",U31*X31)</x:f>
        <x:v>200</x:v>
      </x:c>
      <x:c r="Z31" t="str">
        <x:f>IF(Y31="","",IF(Y31&gt;=600,"I - Situación crítica. Suspender actividades hasta que el riesgo esté bajo control. Intervención urgente.",IF(Y31&gt;=150,"II - Corregir y adoptar medidas de control de inmediato.",IF(Y31&gt;=40,"III - Mejorar si es posible. Conviene justificar la intervención y su rentabilidad.","IV - Mantener controles existentes."))))</x:f>
        <x:v>II - Corregir y adoptar medidas de control de inmediato.</x:v>
      </x:c>
      <x:c r="AA31" t="str">
        <x:f>IF(Y31="","",IF(Y31&gt;=600,"No aceptable",IF(Y31&gt;=150,"No aceptable / Aceptable con control específico","Aceptable")))</x:f>
        <x:v>No aceptable / Aceptable con control específico</x:v>
      </x:c>
      <x:c r="AB31" s="12" t="str">
        <x:v>Eliminar turnos excesivos</x:v>
      </x:c>
      <x:c r="AC31" s="12" t="str">
        <x:v>Relevo oportuno por personal disponible</x:v>
      </x:c>
      <x:c r="AD31" s="12" t="str">
        <x:v>Monitoreo de fatiga cuando aplique</x:v>
      </x:c>
      <x:c r="AE31" s="12" t="str">
        <x:v>Límites de jornada, pausas y seguimiento psicosocial</x:v>
      </x:c>
      <x:c r="AF31" s="12" t="str">
        <x:v>No aplica</x:v>
      </x:c>
      <x:c r="AG31" s="12" t="str">
        <x:v>Director de Operaciones</x:v>
      </x:c>
      <x:c r="AH31" s="16" t="str">
        <x:v>2026-05-25</x:v>
      </x:c>
      <x:c r="AI31" s="12" t="str"/>
    </x:row>
    <x:row r="32">
      <x:c r="A32" t="str">
        <x:v>IPVR-031</x:v>
      </x:c>
      <x:c r="B32" t="str">
        <x:v>Ocaña</x:v>
      </x:c>
      <x:c r="C32" t="str">
        <x:v>Vigilancia física fija</x:v>
      </x:c>
      <x:c r="D32" s="12" t="str">
        <x:v>Puesto de vigilancia / accesos</x:v>
      </x:c>
      <x:c r="E32" s="12" t="str">
        <x:v>Control de accesos y verificación</x:v>
      </x:c>
      <x:c r="F32" s="12" t="str">
        <x:v>Permanecer de pie, registrar ingresos y realizar rondas cortas</x:v>
      </x:c>
      <x:c r="G32" s="12" t="str">
        <x:v>Sí</x:v>
      </x:c>
      <x:c r="H32" s="12" t="str">
        <x:v>Biomecánico</x:v>
      </x:c>
      <x:c r="I32" s="12" t="str">
        <x:v>Posturas prolongadas, bipedestación y desplazamientos frecuentes</x:v>
      </x:c>
      <x:c r="J32" s="12" t="str">
        <x:v>Fatiga muscular, lumbalgia, trastornos osteomusculares en miembros inferiores y columna</x:v>
      </x:c>
      <x:c r="K32" s="12" t="str">
        <x:v>Rotación parcial de tareas y pausas activas programadas</x:v>
      </x:c>
      <x:c r="L32" s="12" t="str">
        <x:v>Puntos de apoyo, silla de descanso en relevos y superficies niveladas</x:v>
      </x:c>
      <x:c r="M32" s="12" t="str">
        <x:v>Capacitación en higiene postural y uso de calzado ergonómico</x:v>
      </x:c>
      <x:c r="N32" s="12" t="str">
        <x:v>Trastorno musculoesquelético incapacitante</x:v>
      </x:c>
      <x:c r="O32" s="12" t="str">
        <x:v>Decreto 1072 de 2015; Resolución 0312 de 2019</x:v>
      </x:c>
      <x:c r="P32" s="14" t="n">
        <x:v>11</x:v>
      </x:c>
      <x:c r="Q32" t="str">
        <x:v>Medio</x:v>
      </x:c>
      <x:c r="R32" s="14" t="n">
        <x:f>IFERROR(VLOOKUP(Q32,Catalogos!$G:$H,2,FALSE),"")</x:f>
        <x:v>2</x:v>
      </x:c>
      <x:c r="S32" t="str">
        <x:v>Continua</x:v>
      </x:c>
      <x:c r="T32" s="14" t="n">
        <x:f>IFERROR(VLOOKUP(S32,Catalogos!$I:$J,2,FALSE),"")</x:f>
        <x:v>4</x:v>
      </x:c>
      <x:c r="U32" s="14" t="n">
        <x:f>IF(OR(R32="",T32=""),"",R32*T32)</x:f>
        <x:v>8</x:v>
      </x:c>
      <x:c r="V32" t="str">
        <x:f>IF(U32="","",IF(U32&gt;=24,"MUY ALTO",IF(U32&gt;=10,"ALTO",IF(U32&gt;=6,"MEDIO","BAJO"))))</x:f>
        <x:v>MEDIO</x:v>
      </x:c>
      <x:c r="W32" t="str">
        <x:v>Grave</x:v>
      </x:c>
      <x:c r="X32" s="14" t="n">
        <x:f>IFERROR(VLOOKUP(W32,Catalogos!$G:$H,2,FALSE),"")</x:f>
        <x:v>25</x:v>
      </x:c>
      <x:c r="Y32" s="14" t="n">
        <x:f>IF(OR(U32="",X32=""),"",U32*X32)</x:f>
        <x:v>200</x:v>
      </x:c>
      <x:c r="Z32" t="str">
        <x:f>IF(Y32="","",IF(Y32&gt;=600,"I - Situación crítica. Suspender actividades hasta que el riesgo esté bajo control. Intervención urgente.",IF(Y32&gt;=150,"II - Corregir y adoptar medidas de control de inmediato.",IF(Y32&gt;=40,"III - Mejorar si es posible. Conviene justificar la intervención y su rentabilidad.","IV - Mantener controles existentes."))))</x:f>
        <x:v>II - Corregir y adoptar medidas de control de inmediato.</x:v>
      </x:c>
      <x:c r="AA32" t="str">
        <x:f>IF(Y32="","",IF(Y32&gt;=600,"No aceptable",IF(Y32&gt;=150,"No aceptable / Aceptable con control específico","Aceptable")))</x:f>
        <x:v>No aceptable / Aceptable con control específico</x:v>
      </x:c>
      <x:c r="AB32" s="12" t="str">
        <x:v>Reorganizar el puesto para alternar tareas estáticas y dinámicas</x:v>
      </x:c>
      <x:c r="AC32" s="12" t="str">
        <x:v>No aplica</x:v>
      </x:c>
      <x:c r="AD32" s="12" t="str">
        <x:v>Adecuar apoyapiés y superficies ergonómicas</x:v>
      </x:c>
      <x:c r="AE32" s="12" t="str">
        <x:v>Pausas activas, rotación, inspecciones ergonómicas y seguimiento médico</x:v>
      </x:c>
      <x:c r="AF32" s="12" t="str">
        <x:v>Calzado de seguridad ergonómico</x:v>
      </x:c>
      <x:c r="AG32" s="12" t="str">
        <x:v>Director de Operaciones</x:v>
      </x:c>
      <x:c r="AH32" s="16" t="str">
        <x:v>2026-05-20</x:v>
      </x:c>
      <x:c r="AI32" s="12" t="str"/>
    </x:row>
    <x:row r="33">
      <x:c r="A33" t="str">
        <x:v>IPVR-032</x:v>
      </x:c>
      <x:c r="B33" t="str">
        <x:v>Ocaña</x:v>
      </x:c>
      <x:c r="C33" t="str">
        <x:v>Vigilancia física fija</x:v>
      </x:c>
      <x:c r="D33" s="12" t="str">
        <x:v>Puesto de vigilancia / perímetro</x:v>
      </x:c>
      <x:c r="E33" s="12" t="str">
        <x:v>Vigilancia perimetral y atención de incidentes</x:v>
      </x:c>
      <x:c r="F33" s="12" t="str">
        <x:v>Interactuar con usuarios y controlar eventos de alteración del orden</x:v>
      </x:c>
      <x:c r="G33" s="12" t="str">
        <x:v>Sí</x:v>
      </x:c>
      <x:c r="H33" s="12" t="str">
        <x:v>Condiciones de seguridad - Público</x:v>
      </x:c>
      <x:c r="I33" s="12" t="str">
        <x:v>Agresión física o verbal, hurto, amenaza o alteración del orden público</x:v>
      </x:c>
      <x:c r="J33" s="12" t="str">
        <x:v>Contusiones, trauma psicológico, lesiones graves o muerte</x:v>
      </x:c>
      <x:c r="K33" s="12" t="str">
        <x:v>Protocolos de reacción y comunicación inmediata con central</x:v>
      </x:c>
      <x:c r="L33" s="12" t="str">
        <x:v>CCTV, radios, botón de pánico, iluminación exterior</x:v>
      </x:c>
      <x:c r="M33" s="12" t="str">
        <x:v>Entrenamiento en control de crisis y manejo defensivo</x:v>
      </x:c>
      <x:c r="N33" s="12" t="str">
        <x:v>Homicidio o lesión grave</x:v>
      </x:c>
      <x:c r="O33" s="12" t="str">
        <x:v>Decreto 1072 de 2015; Resolución 0312 de 2019</x:v>
      </x:c>
      <x:c r="P33" s="14" t="n">
        <x:v>11</x:v>
      </x:c>
      <x:c r="Q33" t="str">
        <x:v>Alto</x:v>
      </x:c>
      <x:c r="R33" s="14" t="n">
        <x:f>IFERROR(VLOOKUP(Q33,Catalogos!$G:$H,2,FALSE),"")</x:f>
        <x:v>6</x:v>
      </x:c>
      <x:c r="S33" t="str">
        <x:v>Ocasional</x:v>
      </x:c>
      <x:c r="T33" s="14" t="n">
        <x:f>IFERROR(VLOOKUP(S33,Catalogos!$I:$J,2,FALSE),"")</x:f>
        <x:v>2</x:v>
      </x:c>
      <x:c r="U33" s="14" t="n">
        <x:f>IF(OR(R33="",T33=""),"",R33*T33)</x:f>
        <x:v>12</x:v>
      </x:c>
      <x:c r="V33" t="str">
        <x:f>IF(U33="","",IF(U33&gt;=24,"MUY ALTO",IF(U33&gt;=10,"ALTO",IF(U33&gt;=6,"MEDIO","BAJO"))))</x:f>
        <x:v>ALTO</x:v>
      </x:c>
      <x:c r="W33" t="str">
        <x:v>Muy grave</x:v>
      </x:c>
      <x:c r="X33" s="14" t="n">
        <x:f>IFERROR(VLOOKUP(W33,Catalogos!$G:$H,2,FALSE),"")</x:f>
        <x:v>60</x:v>
      </x:c>
      <x:c r="Y33" s="14" t="n">
        <x:f>IF(OR(U33="",X33=""),"",U33*X33)</x:f>
        <x:v>720</x:v>
      </x:c>
      <x:c r="Z33" t="str">
        <x:f>IF(Y33="","",IF(Y33&gt;=600,"I - Situación crítica. Suspender actividades hasta que el riesgo esté bajo control. Intervención urgente.",IF(Y33&gt;=150,"II - Corregir y adoptar medidas de control de inmediato.",IF(Y33&gt;=40,"III - Mejorar si es posible. Conviene justificar la intervención y su rentabilidad.","IV - Mantener controles existentes."))))</x:f>
        <x:v>I - Situación crítica. Suspender actividades hasta que el riesgo esté bajo control. Intervención urgente.</x:v>
      </x:c>
      <x:c r="AA33" t="str">
        <x:f>IF(Y33="","",IF(Y33&gt;=600,"No aceptable",IF(Y33&gt;=150,"No aceptable / Aceptable con control específico","Aceptable")))</x:f>
        <x:v>No aceptable</x:v>
      </x:c>
      <x:c r="AB33" s="12" t="str">
        <x:v>Eliminar puntos ciegos y actividades en solitario de alto riesgo</x:v>
      </x:c>
      <x:c r="AC33" s="12" t="str">
        <x:v>Sustituir rondas aisladas por acompañamiento dual en sitios críticos</x:v>
      </x:c>
      <x:c r="AD33" s="12" t="str">
        <x:v>Mejorar CCTV, alarmas y control de acceso</x:v>
      </x:c>
      <x:c r="AE33" s="12" t="str">
        <x:v>Protocolos de reacción, análisis de seguridad por puesto, simulacros</x:v>
      </x:c>
      <x:c r="AF33" s="12" t="str">
        <x:v>Chaleco, linterna, radio, elemento de protección balística si aplica</x:v>
      </x:c>
      <x:c r="AG33" s="12" t="str">
        <x:v>Director de Operaciones</x:v>
      </x:c>
      <x:c r="AH33" s="16" t="str">
        <x:v>2026-05-20</x:v>
      </x:c>
      <x:c r="AI33" s="12" t="str"/>
    </x:row>
    <x:row r="34">
      <x:c r="A34" t="str">
        <x:v>IPVR-033</x:v>
      </x:c>
      <x:c r="B34" t="str">
        <x:v>Ocaña</x:v>
      </x:c>
      <x:c r="C34" t="str">
        <x:v>Vigilancia física fija</x:v>
      </x:c>
      <x:c r="D34" s="12" t="str">
        <x:v>Áreas comunes / perímetro</x:v>
      </x:c>
      <x:c r="E34" s="12" t="str">
        <x:v>Rondas de inspección</x:v>
      </x:c>
      <x:c r="F34" s="12" t="str">
        <x:v>Desplazarse por escaleras, pasillos, zonas húmedas o irregulares</x:v>
      </x:c>
      <x:c r="G34" s="12" t="str">
        <x:v>Sí</x:v>
      </x:c>
      <x:c r="H34" s="12" t="str">
        <x:v>Condiciones de seguridad - Locativo</x:v>
      </x:c>
      <x:c r="I34" s="12" t="str">
        <x:v>Caídas al mismo nivel por superficies irregulares, húmedas o con obstáculos</x:v>
      </x:c>
      <x:c r="J34" s="12" t="str">
        <x:v>Esguinces, fracturas, golpes, incapacidad temporal</x:v>
      </x:c>
      <x:c r="K34" s="12" t="str">
        <x:v>Inspecciones locativas y corrección de condiciones inseguras</x:v>
      </x:c>
      <x:c r="L34" s="12" t="str">
        <x:v>Señalización, orden y aseo, iluminación adecuada</x:v>
      </x:c>
      <x:c r="M34" s="12" t="str">
        <x:v>Reporte oportuno de condiciones inseguras y atención al tránsito seguro</x:v>
      </x:c>
      <x:c r="N34" s="12" t="str">
        <x:v>Fractura con incapacidad prolongada</x:v>
      </x:c>
      <x:c r="O34" s="12" t="str">
        <x:v>Decreto 1072 de 2015; Resolución 0312 de 2019</x:v>
      </x:c>
      <x:c r="P34" s="14" t="n">
        <x:v>11</x:v>
      </x:c>
      <x:c r="Q34" t="str">
        <x:v>Alto</x:v>
      </x:c>
      <x:c r="R34" s="14" t="n">
        <x:f>IFERROR(VLOOKUP(Q34,Catalogos!$G:$H,2,FALSE),"")</x:f>
        <x:v>6</x:v>
      </x:c>
      <x:c r="S34" t="str">
        <x:v>Ocasional</x:v>
      </x:c>
      <x:c r="T34" s="14" t="n">
        <x:f>IFERROR(VLOOKUP(S34,Catalogos!$I:$J,2,FALSE),"")</x:f>
        <x:v>2</x:v>
      </x:c>
      <x:c r="U34" s="14" t="n">
        <x:f>IF(OR(R34="",T34=""),"",R34*T34)</x:f>
        <x:v>12</x:v>
      </x:c>
      <x:c r="V34" t="str">
        <x:f>IF(U34="","",IF(U34&gt;=24,"MUY ALTO",IF(U34&gt;=10,"ALTO",IF(U34&gt;=6,"MEDIO","BAJO"))))</x:f>
        <x:v>ALTO</x:v>
      </x:c>
      <x:c r="W34" t="str">
        <x:v>Grave</x:v>
      </x:c>
      <x:c r="X34" s="14" t="n">
        <x:f>IFERROR(VLOOKUP(W34,Catalogos!$G:$H,2,FALSE),"")</x:f>
        <x:v>25</x:v>
      </x:c>
      <x:c r="Y34" s="14" t="n">
        <x:f>IF(OR(U34="",X34=""),"",U34*X34)</x:f>
        <x:v>300</x:v>
      </x:c>
      <x:c r="Z34" t="str">
        <x:f>IF(Y34="","",IF(Y34&gt;=600,"I - Situación crítica. Suspender actividades hasta que el riesgo esté bajo control. Intervención urgente.",IF(Y34&gt;=150,"II - Corregir y adoptar medidas de control de inmediato.",IF(Y34&gt;=40,"III - Mejorar si es posible. Conviene justificar la intervención y su rentabilidad.","IV - Mantener controles existentes."))))</x:f>
        <x:v>II - Corregir y adoptar medidas de control de inmediato.</x:v>
      </x:c>
      <x:c r="AA34" t="str">
        <x:f>IF(Y34="","",IF(Y34&gt;=600,"No aceptable",IF(Y34&gt;=150,"No aceptable / Aceptable con control específico","Aceptable")))</x:f>
        <x:v>No aceptable / Aceptable con control específico</x:v>
      </x:c>
      <x:c r="AB34" s="12" t="str">
        <x:v>Eliminar obstáculos y desniveles inseguros</x:v>
      </x:c>
      <x:c r="AC34" s="12" t="str">
        <x:v>Revestimientos antideslizantes en zonas críticas</x:v>
      </x:c>
      <x:c r="AD34" s="12" t="str">
        <x:v>Mejorar drenajes y pisos</x:v>
      </x:c>
      <x:c r="AE34" s="12" t="str">
        <x:v>Inspecciones periódicas, orden y aseo, reporte de novedades</x:v>
      </x:c>
      <x:c r="AF34" s="12" t="str">
        <x:v>Calzado de seguridad antideslizante</x:v>
      </x:c>
      <x:c r="AG34" s="12" t="str">
        <x:v>Director de Operaciones</x:v>
      </x:c>
      <x:c r="AH34" s="16" t="str">
        <x:v>2026-05-20</x:v>
      </x:c>
      <x:c r="AI34" s="12" t="str"/>
    </x:row>
    <x:row r="35">
      <x:c r="A35" t="str">
        <x:v>IPVR-034</x:v>
      </x:c>
      <x:c r="B35" t="str">
        <x:v>Ocaña</x:v>
      </x:c>
      <x:c r="C35" t="str">
        <x:v>Vigilancia física fija</x:v>
      </x:c>
      <x:c r="D35" s="12" t="str">
        <x:v>Garitas y perímetro externo</x:v>
      </x:c>
      <x:c r="E35" s="12" t="str">
        <x:v>Vigilancia exterior</x:v>
      </x:c>
      <x:c r="F35" s="12" t="str">
        <x:v>Exposición a radiación solar, lluvia y cambios bruscos de temperatura</x:v>
      </x:c>
      <x:c r="G35" s="12" t="str">
        <x:v>Sí</x:v>
      </x:c>
      <x:c r="H35" s="12" t="str">
        <x:v>Físico</x:v>
      </x:c>
      <x:c r="I35" s="12" t="str">
        <x:v>Exposición a radiación solar, calor, lluvia y disconfort térmico</x:v>
      </x:c>
      <x:c r="J35" s="12" t="str">
        <x:v>Deshidratación, cefalea, fatiga térmica, dermatosis</x:v>
      </x:c>
      <x:c r="K35" s="12" t="str">
        <x:v>Programación de relevos y zonas de sombra</x:v>
      </x:c>
      <x:c r="L35" s="12" t="str">
        <x:v>Cubiertas, hidratación disponible, ventilación</x:v>
      </x:c>
      <x:c r="M35" s="12" t="str">
        <x:v>Autocuidado e hidratación permanente</x:v>
      </x:c>
      <x:c r="N35" s="12" t="str">
        <x:v>Golpe de calor</x:v>
      </x:c>
      <x:c r="O35" s="12" t="str">
        <x:v>Decreto 1072 de 2015; Resolución 0312 de 2019</x:v>
      </x:c>
      <x:c r="P35" s="14" t="n">
        <x:v>11</x:v>
      </x:c>
      <x:c r="Q35" t="str">
        <x:v>Medio</x:v>
      </x:c>
      <x:c r="R35" s="14" t="n">
        <x:f>IFERROR(VLOOKUP(Q35,Catalogos!$G:$H,2,FALSE),"")</x:f>
        <x:v>2</x:v>
      </x:c>
      <x:c r="S35" t="str">
        <x:v>Frecuente</x:v>
      </x:c>
      <x:c r="T35" s="14" t="n">
        <x:f>IFERROR(VLOOKUP(S35,Catalogos!$I:$J,2,FALSE),"")</x:f>
        <x:v>3</x:v>
      </x:c>
      <x:c r="U35" s="14" t="n">
        <x:f>IF(OR(R35="",T35=""),"",R35*T35)</x:f>
        <x:v>6</x:v>
      </x:c>
      <x:c r="V35" t="str">
        <x:f>IF(U35="","",IF(U35&gt;=24,"MUY ALTO",IF(U35&gt;=10,"ALTO",IF(U35&gt;=6,"MEDIO","BAJO"))))</x:f>
        <x:v>MEDIO</x:v>
      </x:c>
      <x:c r="W35" t="str">
        <x:v>Leve</x:v>
      </x:c>
      <x:c r="X35" s="14" t="n">
        <x:f>IFERROR(VLOOKUP(W35,Catalogos!$G:$H,2,FALSE),"")</x:f>
        <x:v>10</x:v>
      </x:c>
      <x:c r="Y35" s="14" t="n">
        <x:f>IF(OR(U35="",X35=""),"",U35*X35)</x:f>
        <x:v>60</x:v>
      </x:c>
      <x:c r="Z35" t="str">
        <x:f>IF(Y35="","",IF(Y35&gt;=600,"I - Situación crítica. Suspender actividades hasta que el riesgo esté bajo control. Intervención urgente.",IF(Y35&gt;=150,"II - Corregir y adoptar medidas de control de inmediato.",IF(Y35&gt;=40,"III - Mejorar si es posible. Conviene justificar la intervención y su rentabilidad.","IV - Mantener controles existentes."))))</x:f>
        <x:v>III - Mejorar si es posible. Conviene justificar la intervención y su rentabilidad.</x:v>
      </x:c>
      <x:c r="AA35" t="str">
        <x:f>IF(Y35="","",IF(Y35&gt;=600,"No aceptable",IF(Y35&gt;=150,"No aceptable / Aceptable con control específico","Aceptable")))</x:f>
        <x:v>Aceptable</x:v>
      </x:c>
      <x:c r="AB35" s="12" t="str">
        <x:v>Reubicar puestos sin protección directa al clima cuando sea viable</x:v>
      </x:c>
      <x:c r="AC35" s="12" t="str">
        <x:v>No aplica</x:v>
      </x:c>
      <x:c r="AD35" s="12" t="str">
        <x:v>Instalar cubiertas y ventilación</x:v>
      </x:c>
      <x:c r="AE35" s="12" t="str">
        <x:v>Relevos, pausas de hidratación y seguimiento en temporadas críticas</x:v>
      </x:c>
      <x:c r="AF35" s="12" t="str">
        <x:v>Gorra, bloqueador solar, impermeable</x:v>
      </x:c>
      <x:c r="AG35" s="12" t="str">
        <x:v>Director de Operaciones</x:v>
      </x:c>
      <x:c r="AH35" s="16" t="str">
        <x:v>2026-05-20</x:v>
      </x:c>
      <x:c r="AI35" s="12" t="str"/>
    </x:row>
    <x:row r="36">
      <x:c r="A36" t="str">
        <x:v>IPVR-035</x:v>
      </x:c>
      <x:c r="B36" t="str">
        <x:v>Ocaña</x:v>
      </x:c>
      <x:c r="C36" t="str">
        <x:v>Supervisión operativa y rondas</x:v>
      </x:c>
      <x:c r="D36" s="12" t="str">
        <x:v>Vías urbanas e intermunicipales</x:v>
      </x:c>
      <x:c r="E36" s="12" t="str">
        <x:v>Rondas motorizadas y desplazamiento entre puestos</x:v>
      </x:c>
      <x:c r="F36" s="12" t="str">
        <x:v>Conducir motocicleta o vehículo para supervisión de servicios</x:v>
      </x:c>
      <x:c r="G36" s="12" t="str">
        <x:v>Sí</x:v>
      </x:c>
      <x:c r="H36" s="12" t="str">
        <x:v>Condiciones de seguridad - Accidentes de tránsito</x:v>
      </x:c>
      <x:c r="I36" s="12" t="str">
        <x:v>Colisión, volcamiento, atropellamiento o siniestro vial</x:v>
      </x:c>
      <x:c r="J36" s="12" t="str">
        <x:v>Politraumatismo, incapacidad, muerte</x:v>
      </x:c>
      <x:c r="K36" s="12" t="str">
        <x:v>Mantenimiento preventivo y control de velocidad</x:v>
      </x:c>
      <x:c r="L36" s="12" t="str">
        <x:v>Vehículos en buen estado, GPS, reflectivos</x:v>
      </x:c>
      <x:c r="M36" s="12" t="str">
        <x:v>Capacitación PESV y conducción defensiva</x:v>
      </x:c>
      <x:c r="N36" s="12" t="str">
        <x:v>Muerte</x:v>
      </x:c>
      <x:c r="O36" s="12" t="str">
        <x:v>Resolución 40595 de 2022; Decreto 1072 de 2015</x:v>
      </x:c>
      <x:c r="P36" s="14" t="n">
        <x:v>2</x:v>
      </x:c>
      <x:c r="Q36" t="str">
        <x:v>Muy alto</x:v>
      </x:c>
      <x:c r="R36" s="14" t="n">
        <x:f>IFERROR(VLOOKUP(Q36,Catalogos!$G:$H,2,FALSE),"")</x:f>
        <x:v>10</x:v>
      </x:c>
      <x:c r="S36" t="str">
        <x:v>Frecuente</x:v>
      </x:c>
      <x:c r="T36" s="14" t="n">
        <x:f>IFERROR(VLOOKUP(S36,Catalogos!$I:$J,2,FALSE),"")</x:f>
        <x:v>3</x:v>
      </x:c>
      <x:c r="U36" s="14" t="n">
        <x:f>IF(OR(R36="",T36=""),"",R36*T36)</x:f>
        <x:v>30</x:v>
      </x:c>
      <x:c r="V36" t="str">
        <x:f>IF(U36="","",IF(U36&gt;=24,"MUY ALTO",IF(U36&gt;=10,"ALTO",IF(U36&gt;=6,"MEDIO","BAJO"))))</x:f>
        <x:v>MUY ALTO</x:v>
      </x:c>
      <x:c r="W36" t="str">
        <x:v>Muy grave</x:v>
      </x:c>
      <x:c r="X36" s="14" t="n">
        <x:f>IFERROR(VLOOKUP(W36,Catalogos!$G:$H,2,FALSE),"")</x:f>
        <x:v>60</x:v>
      </x:c>
      <x:c r="Y36" s="14" t="n">
        <x:f>IF(OR(U36="",X36=""),"",U36*X36)</x:f>
        <x:v>1800</x:v>
      </x:c>
      <x:c r="Z36" t="str">
        <x:f>IF(Y36="","",IF(Y36&gt;=600,"I - Situación crítica. Suspender actividades hasta que el riesgo esté bajo control. Intervención urgente.",IF(Y36&gt;=150,"II - Corregir y adoptar medidas de control de inmediato.",IF(Y36&gt;=40,"III - Mejorar si es posible. Conviene justificar la intervención y su rentabilidad.","IV - Mantener controles existentes."))))</x:f>
        <x:v>I - Situación crítica. Suspender actividades hasta que el riesgo esté bajo control. Intervención urgente.</x:v>
      </x:c>
      <x:c r="AA36" t="str">
        <x:f>IF(Y36="","",IF(Y36&gt;=600,"No aceptable",IF(Y36&gt;=150,"No aceptable / Aceptable con control específico","Aceptable")))</x:f>
        <x:v>No aceptable</x:v>
      </x:c>
      <x:c r="AB36" s="12" t="str">
        <x:v>Eliminar desplazamientos innecesarios</x:v>
      </x:c>
      <x:c r="AC36" s="12" t="str">
        <x:v>Sustituir motocicleta por vehículo en trayectos críticos cuando aplique</x:v>
      </x:c>
      <x:c r="AD36" s="12" t="str">
        <x:v>GPS, cámaras y mantenimientos</x:v>
      </x:c>
      <x:c r="AE36" s="12" t="str">
        <x:v>PESV, control de fatiga, inspección preoperacional</x:v>
      </x:c>
      <x:c r="AF36" s="12" t="str">
        <x:v>Casco certificado, chaleco reflectivo</x:v>
      </x:c>
      <x:c r="AG36" s="12" t="str">
        <x:v>Director de Operaciones</x:v>
      </x:c>
      <x:c r="AH36" s="16" t="str">
        <x:v>2026-05-20</x:v>
      </x:c>
      <x:c r="AI36" s="12" t="str"/>
    </x:row>
    <x:row r="37">
      <x:c r="A37" t="str">
        <x:v>IPVR-036</x:v>
      </x:c>
      <x:c r="B37" t="str">
        <x:v>Ocaña</x:v>
      </x:c>
      <x:c r="C37" t="str">
        <x:v>Supervisión operativa y rondas</x:v>
      </x:c>
      <x:c r="D37" s="12" t="str">
        <x:v>Puestos externos / vía pública</x:v>
      </x:c>
      <x:c r="E37" s="12" t="str">
        <x:v>Atención de novedades e inspecciones en campo</x:v>
      </x:c>
      <x:c r="F37" s="12" t="str">
        <x:v>Ingresar a sitios con potencial alteración de orden público</x:v>
      </x:c>
      <x:c r="G37" s="12" t="str">
        <x:v>Sí</x:v>
      </x:c>
      <x:c r="H37" s="12" t="str">
        <x:v>Condiciones de seguridad - Público</x:v>
      </x:c>
      <x:c r="I37" s="12" t="str">
        <x:v>Asalto, amenaza, retención o agresión de terceros</x:v>
      </x:c>
      <x:c r="J37" s="12" t="str">
        <x:v>Lesiones, trauma psicológico, muerte</x:v>
      </x:c>
      <x:c r="K37" s="12" t="str">
        <x:v>Protocolos de apoyo y monitoreo</x:v>
      </x:c>
      <x:c r="L37" s="12" t="str">
        <x:v>Comunicación permanente con central y georreferenciación</x:v>
      </x:c>
      <x:c r="M37" s="12" t="str">
        <x:v>Entrenamiento de reacción segura y autoprotección</x:v>
      </x:c>
      <x:c r="N37" s="12" t="str">
        <x:v>Lesión grave o muerte</x:v>
      </x:c>
      <x:c r="O37" s="12" t="str">
        <x:v>Decreto 1072 de 2015; Resolución 0312 de 2019</x:v>
      </x:c>
      <x:c r="P37" s="14" t="n">
        <x:v>2</x:v>
      </x:c>
      <x:c r="Q37" t="str">
        <x:v>Alto</x:v>
      </x:c>
      <x:c r="R37" s="14" t="n">
        <x:f>IFERROR(VLOOKUP(Q37,Catalogos!$G:$H,2,FALSE),"")</x:f>
        <x:v>6</x:v>
      </x:c>
      <x:c r="S37" t="str">
        <x:v>Ocasional</x:v>
      </x:c>
      <x:c r="T37" s="14" t="n">
        <x:f>IFERROR(VLOOKUP(S37,Catalogos!$I:$J,2,FALSE),"")</x:f>
        <x:v>2</x:v>
      </x:c>
      <x:c r="U37" s="14" t="n">
        <x:f>IF(OR(R37="",T37=""),"",R37*T37)</x:f>
        <x:v>12</x:v>
      </x:c>
      <x:c r="V37" t="str">
        <x:f>IF(U37="","",IF(U37&gt;=24,"MUY ALTO",IF(U37&gt;=10,"ALTO",IF(U37&gt;=6,"MEDIO","BAJO"))))</x:f>
        <x:v>ALTO</x:v>
      </x:c>
      <x:c r="W37" t="str">
        <x:v>Muy grave</x:v>
      </x:c>
      <x:c r="X37" s="14" t="n">
        <x:f>IFERROR(VLOOKUP(W37,Catalogos!$G:$H,2,FALSE),"")</x:f>
        <x:v>60</x:v>
      </x:c>
      <x:c r="Y37" s="14" t="n">
        <x:f>IF(OR(U37="",X37=""),"",U37*X37)</x:f>
        <x:v>720</x:v>
      </x:c>
      <x:c r="Z37" t="str">
        <x:f>IF(Y37="","",IF(Y37&gt;=600,"I - Situación crítica. Suspender actividades hasta que el riesgo esté bajo control. Intervención urgente.",IF(Y37&gt;=150,"II - Corregir y adoptar medidas de control de inmediato.",IF(Y37&gt;=40,"III - Mejorar si es posible. Conviene justificar la intervención y su rentabilidad.","IV - Mantener controles existentes."))))</x:f>
        <x:v>I - Situación crítica. Suspender actividades hasta que el riesgo esté bajo control. Intervención urgente.</x:v>
      </x:c>
      <x:c r="AA37" t="str">
        <x:f>IF(Y37="","",IF(Y37&gt;=600,"No aceptable",IF(Y37&gt;=150,"No aceptable / Aceptable con control específico","Aceptable")))</x:f>
        <x:v>No aceptable</x:v>
      </x:c>
      <x:c r="AB37" s="12" t="str">
        <x:v>Suspender atención individual en zonas críticas</x:v>
      </x:c>
      <x:c r="AC37" s="12" t="str">
        <x:v>Acompañamiento dual o apoyo policial en zonas de alto riesgo</x:v>
      </x:c>
      <x:c r="AD37" s="12" t="str">
        <x:v>Dispositivos de comunicación redundante</x:v>
      </x:c>
      <x:c r="AE37" s="12" t="str">
        <x:v>Mapas de riesgo, briefing previo y protocolos de atención</x:v>
      </x:c>
      <x:c r="AF37" s="12" t="str">
        <x:v>Chaleco, radio, linterna táctica</x:v>
      </x:c>
      <x:c r="AG37" s="12" t="str">
        <x:v>Director de Operaciones</x:v>
      </x:c>
      <x:c r="AH37" s="16" t="str">
        <x:v>2026-05-20</x:v>
      </x:c>
      <x:c r="AI37" s="12" t="str"/>
    </x:row>
    <x:row r="38">
      <x:c r="A38" t="str">
        <x:v>IPVR-037</x:v>
      </x:c>
      <x:c r="B38" t="str">
        <x:v>Girón</x:v>
      </x:c>
      <x:c r="C38" t="str">
        <x:v>Vigilancia física fija</x:v>
      </x:c>
      <x:c r="D38" s="12" t="str">
        <x:v>Puesto de vigilancia / accesos</x:v>
      </x:c>
      <x:c r="E38" s="12" t="str">
        <x:v>Control de accesos y verificación</x:v>
      </x:c>
      <x:c r="F38" s="12" t="str">
        <x:v>Permanecer de pie, registrar ingresos y realizar rondas cortas</x:v>
      </x:c>
      <x:c r="G38" s="12" t="str">
        <x:v>Sí</x:v>
      </x:c>
      <x:c r="H38" s="12" t="str">
        <x:v>Biomecánico</x:v>
      </x:c>
      <x:c r="I38" s="12" t="str">
        <x:v>Posturas prolongadas, bipedestación y desplazamientos frecuentes</x:v>
      </x:c>
      <x:c r="J38" s="12" t="str">
        <x:v>Fatiga muscular, lumbalgia, trastornos osteomusculares en miembros inferiores y columna</x:v>
      </x:c>
      <x:c r="K38" s="12" t="str">
        <x:v>Rotación parcial de tareas y pausas activas programadas</x:v>
      </x:c>
      <x:c r="L38" s="12" t="str">
        <x:v>Puntos de apoyo, silla de descanso en relevos y superficies niveladas</x:v>
      </x:c>
      <x:c r="M38" s="12" t="str">
        <x:v>Capacitación en higiene postural y uso de calzado ergonómico</x:v>
      </x:c>
      <x:c r="N38" s="12" t="str">
        <x:v>Trastorno musculoesquelético incapacitante</x:v>
      </x:c>
      <x:c r="O38" s="12" t="str">
        <x:v>Decreto 1072 de 2015; Resolución 0312 de 2019</x:v>
      </x:c>
      <x:c r="P38" s="14" t="n">
        <x:v>10</x:v>
      </x:c>
      <x:c r="Q38" t="str">
        <x:v>Medio</x:v>
      </x:c>
      <x:c r="R38" s="14" t="n">
        <x:f>IFERROR(VLOOKUP(Q38,Catalogos!$G:$H,2,FALSE),"")</x:f>
        <x:v>2</x:v>
      </x:c>
      <x:c r="S38" t="str">
        <x:v>Continua</x:v>
      </x:c>
      <x:c r="T38" s="14" t="n">
        <x:f>IFERROR(VLOOKUP(S38,Catalogos!$I:$J,2,FALSE),"")</x:f>
        <x:v>4</x:v>
      </x:c>
      <x:c r="U38" s="14" t="n">
        <x:f>IF(OR(R38="",T38=""),"",R38*T38)</x:f>
        <x:v>8</x:v>
      </x:c>
      <x:c r="V38" t="str">
        <x:f>IF(U38="","",IF(U38&gt;=24,"MUY ALTO",IF(U38&gt;=10,"ALTO",IF(U38&gt;=6,"MEDIO","BAJO"))))</x:f>
        <x:v>MEDIO</x:v>
      </x:c>
      <x:c r="W38" t="str">
        <x:v>Grave</x:v>
      </x:c>
      <x:c r="X38" s="14" t="n">
        <x:f>IFERROR(VLOOKUP(W38,Catalogos!$G:$H,2,FALSE),"")</x:f>
        <x:v>25</x:v>
      </x:c>
      <x:c r="Y38" s="14" t="n">
        <x:f>IF(OR(U38="",X38=""),"",U38*X38)</x:f>
        <x:v>200</x:v>
      </x:c>
      <x:c r="Z38" t="str">
        <x:f>IF(Y38="","",IF(Y38&gt;=600,"I - Situación crítica. Suspender actividades hasta que el riesgo esté bajo control. Intervención urgente.",IF(Y38&gt;=150,"II - Corregir y adoptar medidas de control de inmediato.",IF(Y38&gt;=40,"III - Mejorar si es posible. Conviene justificar la intervención y su rentabilidad.","IV - Mantener controles existentes."))))</x:f>
        <x:v>II - Corregir y adoptar medidas de control de inmediato.</x:v>
      </x:c>
      <x:c r="AA38" t="str">
        <x:f>IF(Y38="","",IF(Y38&gt;=600,"No aceptable",IF(Y38&gt;=150,"No aceptable / Aceptable con control específico","Aceptable")))</x:f>
        <x:v>No aceptable / Aceptable con control específico</x:v>
      </x:c>
      <x:c r="AB38" s="12" t="str">
        <x:v>Reorganizar el puesto para alternar tareas estáticas y dinámicas</x:v>
      </x:c>
      <x:c r="AC38" s="12" t="str">
        <x:v>No aplica</x:v>
      </x:c>
      <x:c r="AD38" s="12" t="str">
        <x:v>Adecuar apoyapiés y superficies ergonómicas</x:v>
      </x:c>
      <x:c r="AE38" s="12" t="str">
        <x:v>Pausas activas, rotación, inspecciones ergonómicas y seguimiento médico</x:v>
      </x:c>
      <x:c r="AF38" s="12" t="str">
        <x:v>Calzado de seguridad ergonómico</x:v>
      </x:c>
      <x:c r="AG38" s="12" t="str">
        <x:v>Director de Operaciones</x:v>
      </x:c>
      <x:c r="AH38" s="16" t="str">
        <x:v>2026-05-22</x:v>
      </x:c>
      <x:c r="AI38" s="12" t="str"/>
    </x:row>
    <x:row r="39">
      <x:c r="A39" t="str">
        <x:v>IPVR-038</x:v>
      </x:c>
      <x:c r="B39" t="str">
        <x:v>Girón</x:v>
      </x:c>
      <x:c r="C39" t="str">
        <x:v>Vigilancia física fija</x:v>
      </x:c>
      <x:c r="D39" s="12" t="str">
        <x:v>Puesto de vigilancia / perímetro</x:v>
      </x:c>
      <x:c r="E39" s="12" t="str">
        <x:v>Vigilancia perimetral y atención de incidentes</x:v>
      </x:c>
      <x:c r="F39" s="12" t="str">
        <x:v>Interactuar con usuarios y controlar eventos de alteración del orden</x:v>
      </x:c>
      <x:c r="G39" s="12" t="str">
        <x:v>Sí</x:v>
      </x:c>
      <x:c r="H39" s="12" t="str">
        <x:v>Condiciones de seguridad - Público</x:v>
      </x:c>
      <x:c r="I39" s="12" t="str">
        <x:v>Agresión física o verbal, hurto, amenaza o alteración del orden público</x:v>
      </x:c>
      <x:c r="J39" s="12" t="str">
        <x:v>Contusiones, trauma psicológico, lesiones graves o muerte</x:v>
      </x:c>
      <x:c r="K39" s="12" t="str">
        <x:v>Protocolos de reacción y comunicación inmediata con central</x:v>
      </x:c>
      <x:c r="L39" s="12" t="str">
        <x:v>CCTV, radios, botón de pánico, iluminación exterior</x:v>
      </x:c>
      <x:c r="M39" s="12" t="str">
        <x:v>Entrenamiento en control de crisis y manejo defensivo</x:v>
      </x:c>
      <x:c r="N39" s="12" t="str">
        <x:v>Homicidio o lesión grave</x:v>
      </x:c>
      <x:c r="O39" s="12" t="str">
        <x:v>Decreto 1072 de 2015; Resolución 0312 de 2019</x:v>
      </x:c>
      <x:c r="P39" s="14" t="n">
        <x:v>10</x:v>
      </x:c>
      <x:c r="Q39" t="str">
        <x:v>Alto</x:v>
      </x:c>
      <x:c r="R39" s="14" t="n">
        <x:f>IFERROR(VLOOKUP(Q39,Catalogos!$G:$H,2,FALSE),"")</x:f>
        <x:v>6</x:v>
      </x:c>
      <x:c r="S39" t="str">
        <x:v>Ocasional</x:v>
      </x:c>
      <x:c r="T39" s="14" t="n">
        <x:f>IFERROR(VLOOKUP(S39,Catalogos!$I:$J,2,FALSE),"")</x:f>
        <x:v>2</x:v>
      </x:c>
      <x:c r="U39" s="14" t="n">
        <x:f>IF(OR(R39="",T39=""),"",R39*T39)</x:f>
        <x:v>12</x:v>
      </x:c>
      <x:c r="V39" t="str">
        <x:f>IF(U39="","",IF(U39&gt;=24,"MUY ALTO",IF(U39&gt;=10,"ALTO",IF(U39&gt;=6,"MEDIO","BAJO"))))</x:f>
        <x:v>ALTO</x:v>
      </x:c>
      <x:c r="W39" t="str">
        <x:v>Muy grave</x:v>
      </x:c>
      <x:c r="X39" s="14" t="n">
        <x:f>IFERROR(VLOOKUP(W39,Catalogos!$G:$H,2,FALSE),"")</x:f>
        <x:v>60</x:v>
      </x:c>
      <x:c r="Y39" s="14" t="n">
        <x:f>IF(OR(U39="",X39=""),"",U39*X39)</x:f>
        <x:v>720</x:v>
      </x:c>
      <x:c r="Z39" t="str">
        <x:f>IF(Y39="","",IF(Y39&gt;=600,"I - Situación crítica. Suspender actividades hasta que el riesgo esté bajo control. Intervención urgente.",IF(Y39&gt;=150,"II - Corregir y adoptar medidas de control de inmediato.",IF(Y39&gt;=40,"III - Mejorar si es posible. Conviene justificar la intervención y su rentabilidad.","IV - Mantener controles existentes."))))</x:f>
        <x:v>I - Situación crítica. Suspender actividades hasta que el riesgo esté bajo control. Intervención urgente.</x:v>
      </x:c>
      <x:c r="AA39" t="str">
        <x:f>IF(Y39="","",IF(Y39&gt;=600,"No aceptable",IF(Y39&gt;=150,"No aceptable / Aceptable con control específico","Aceptable")))</x:f>
        <x:v>No aceptable</x:v>
      </x:c>
      <x:c r="AB39" s="12" t="str">
        <x:v>Eliminar puntos ciegos y actividades en solitario de alto riesgo</x:v>
      </x:c>
      <x:c r="AC39" s="12" t="str">
        <x:v>Sustituir rondas aisladas por acompañamiento dual en sitios críticos</x:v>
      </x:c>
      <x:c r="AD39" s="12" t="str">
        <x:v>Mejorar CCTV, alarmas y control de acceso</x:v>
      </x:c>
      <x:c r="AE39" s="12" t="str">
        <x:v>Protocolos de reacción, análisis de seguridad por puesto, simulacros</x:v>
      </x:c>
      <x:c r="AF39" s="12" t="str">
        <x:v>Chaleco, linterna, radio, elemento de protección balística si aplica</x:v>
      </x:c>
      <x:c r="AG39" s="12" t="str">
        <x:v>Director de Operaciones</x:v>
      </x:c>
      <x:c r="AH39" s="16" t="str">
        <x:v>2026-05-22</x:v>
      </x:c>
      <x:c r="AI39" s="12" t="str"/>
    </x:row>
    <x:row r="40">
      <x:c r="A40" t="str">
        <x:v>IPVR-039</x:v>
      </x:c>
      <x:c r="B40" t="str">
        <x:v>Girón</x:v>
      </x:c>
      <x:c r="C40" t="str">
        <x:v>Vigilancia física fija</x:v>
      </x:c>
      <x:c r="D40" s="12" t="str">
        <x:v>Áreas comunes / perímetro</x:v>
      </x:c>
      <x:c r="E40" s="12" t="str">
        <x:v>Rondas de inspección</x:v>
      </x:c>
      <x:c r="F40" s="12" t="str">
        <x:v>Desplazarse por escaleras, pasillos, zonas húmedas o irregulares</x:v>
      </x:c>
      <x:c r="G40" s="12" t="str">
        <x:v>Sí</x:v>
      </x:c>
      <x:c r="H40" s="12" t="str">
        <x:v>Condiciones de seguridad - Locativo</x:v>
      </x:c>
      <x:c r="I40" s="12" t="str">
        <x:v>Caídas al mismo nivel por superficies irregulares, húmedas o con obstáculos</x:v>
      </x:c>
      <x:c r="J40" s="12" t="str">
        <x:v>Esguinces, fracturas, golpes, incapacidad temporal</x:v>
      </x:c>
      <x:c r="K40" s="12" t="str">
        <x:v>Inspecciones locativas y corrección de condiciones inseguras</x:v>
      </x:c>
      <x:c r="L40" s="12" t="str">
        <x:v>Señalización, orden y aseo, iluminación adecuada</x:v>
      </x:c>
      <x:c r="M40" s="12" t="str">
        <x:v>Reporte oportuno de condiciones inseguras y atención al tránsito seguro</x:v>
      </x:c>
      <x:c r="N40" s="12" t="str">
        <x:v>Fractura con incapacidad prolongada</x:v>
      </x:c>
      <x:c r="O40" s="12" t="str">
        <x:v>Decreto 1072 de 2015; Resolución 0312 de 2019</x:v>
      </x:c>
      <x:c r="P40" s="14" t="n">
        <x:v>10</x:v>
      </x:c>
      <x:c r="Q40" t="str">
        <x:v>Alto</x:v>
      </x:c>
      <x:c r="R40" s="14" t="n">
        <x:f>IFERROR(VLOOKUP(Q40,Catalogos!$G:$H,2,FALSE),"")</x:f>
        <x:v>6</x:v>
      </x:c>
      <x:c r="S40" t="str">
        <x:v>Ocasional</x:v>
      </x:c>
      <x:c r="T40" s="14" t="n">
        <x:f>IFERROR(VLOOKUP(S40,Catalogos!$I:$J,2,FALSE),"")</x:f>
        <x:v>2</x:v>
      </x:c>
      <x:c r="U40" s="14" t="n">
        <x:f>IF(OR(R40="",T40=""),"",R40*T40)</x:f>
        <x:v>12</x:v>
      </x:c>
      <x:c r="V40" t="str">
        <x:f>IF(U40="","",IF(U40&gt;=24,"MUY ALTO",IF(U40&gt;=10,"ALTO",IF(U40&gt;=6,"MEDIO","BAJO"))))</x:f>
        <x:v>ALTO</x:v>
      </x:c>
      <x:c r="W40" t="str">
        <x:v>Grave</x:v>
      </x:c>
      <x:c r="X40" s="14" t="n">
        <x:f>IFERROR(VLOOKUP(W40,Catalogos!$G:$H,2,FALSE),"")</x:f>
        <x:v>25</x:v>
      </x:c>
      <x:c r="Y40" s="14" t="n">
        <x:f>IF(OR(U40="",X40=""),"",U40*X40)</x:f>
        <x:v>300</x:v>
      </x:c>
      <x:c r="Z40" t="str">
        <x:f>IF(Y40="","",IF(Y40&gt;=600,"I - Situación crítica. Suspender actividades hasta que el riesgo esté bajo control. Intervención urgente.",IF(Y40&gt;=150,"II - Corregir y adoptar medidas de control de inmediato.",IF(Y40&gt;=40,"III - Mejorar si es posible. Conviene justificar la intervención y su rentabilidad.","IV - Mantener controles existentes."))))</x:f>
        <x:v>II - Corregir y adoptar medidas de control de inmediato.</x:v>
      </x:c>
      <x:c r="AA40" t="str">
        <x:f>IF(Y40="","",IF(Y40&gt;=600,"No aceptable",IF(Y40&gt;=150,"No aceptable / Aceptable con control específico","Aceptable")))</x:f>
        <x:v>No aceptable / Aceptable con control específico</x:v>
      </x:c>
      <x:c r="AB40" s="12" t="str">
        <x:v>Eliminar obstáculos y desniveles inseguros</x:v>
      </x:c>
      <x:c r="AC40" s="12" t="str">
        <x:v>Revestimientos antideslizantes en zonas críticas</x:v>
      </x:c>
      <x:c r="AD40" s="12" t="str">
        <x:v>Mejorar drenajes y pisos</x:v>
      </x:c>
      <x:c r="AE40" s="12" t="str">
        <x:v>Inspecciones periódicas, orden y aseo, reporte de novedades</x:v>
      </x:c>
      <x:c r="AF40" s="12" t="str">
        <x:v>Calzado de seguridad antideslizante</x:v>
      </x:c>
      <x:c r="AG40" s="12" t="str">
        <x:v>Director de Operaciones</x:v>
      </x:c>
      <x:c r="AH40" s="16" t="str">
        <x:v>2026-05-22</x:v>
      </x:c>
      <x:c r="AI40" s="12" t="str"/>
    </x:row>
    <x:row r="41">
      <x:c r="A41" t="str">
        <x:v>IPVR-040</x:v>
      </x:c>
      <x:c r="B41" t="str">
        <x:v>Girón</x:v>
      </x:c>
      <x:c r="C41" t="str">
        <x:v>Vigilancia física fija</x:v>
      </x:c>
      <x:c r="D41" s="12" t="str">
        <x:v>Garitas y perímetro externo</x:v>
      </x:c>
      <x:c r="E41" s="12" t="str">
        <x:v>Vigilancia exterior</x:v>
      </x:c>
      <x:c r="F41" s="12" t="str">
        <x:v>Exposición a radiación solar, lluvia y cambios bruscos de temperatura</x:v>
      </x:c>
      <x:c r="G41" s="12" t="str">
        <x:v>Sí</x:v>
      </x:c>
      <x:c r="H41" s="12" t="str">
        <x:v>Físico</x:v>
      </x:c>
      <x:c r="I41" s="12" t="str">
        <x:v>Exposición a radiación solar, calor, lluvia y disconfort térmico</x:v>
      </x:c>
      <x:c r="J41" s="12" t="str">
        <x:v>Deshidratación, cefalea, fatiga térmica, dermatosis</x:v>
      </x:c>
      <x:c r="K41" s="12" t="str">
        <x:v>Programación de relevos y zonas de sombra</x:v>
      </x:c>
      <x:c r="L41" s="12" t="str">
        <x:v>Cubiertas, hidratación disponible, ventilación</x:v>
      </x:c>
      <x:c r="M41" s="12" t="str">
        <x:v>Autocuidado e hidratación permanente</x:v>
      </x:c>
      <x:c r="N41" s="12" t="str">
        <x:v>Golpe de calor</x:v>
      </x:c>
      <x:c r="O41" s="12" t="str">
        <x:v>Decreto 1072 de 2015; Resolución 0312 de 2019</x:v>
      </x:c>
      <x:c r="P41" s="14" t="n">
        <x:v>10</x:v>
      </x:c>
      <x:c r="Q41" t="str">
        <x:v>Medio</x:v>
      </x:c>
      <x:c r="R41" s="14" t="n">
        <x:f>IFERROR(VLOOKUP(Q41,Catalogos!$G:$H,2,FALSE),"")</x:f>
        <x:v>2</x:v>
      </x:c>
      <x:c r="S41" t="str">
        <x:v>Frecuente</x:v>
      </x:c>
      <x:c r="T41" s="14" t="n">
        <x:f>IFERROR(VLOOKUP(S41,Catalogos!$I:$J,2,FALSE),"")</x:f>
        <x:v>3</x:v>
      </x:c>
      <x:c r="U41" s="14" t="n">
        <x:f>IF(OR(R41="",T41=""),"",R41*T41)</x:f>
        <x:v>6</x:v>
      </x:c>
      <x:c r="V41" t="str">
        <x:f>IF(U41="","",IF(U41&gt;=24,"MUY ALTO",IF(U41&gt;=10,"ALTO",IF(U41&gt;=6,"MEDIO","BAJO"))))</x:f>
        <x:v>MEDIO</x:v>
      </x:c>
      <x:c r="W41" t="str">
        <x:v>Leve</x:v>
      </x:c>
      <x:c r="X41" s="14" t="n">
        <x:f>IFERROR(VLOOKUP(W41,Catalogos!$G:$H,2,FALSE),"")</x:f>
        <x:v>10</x:v>
      </x:c>
      <x:c r="Y41" s="14" t="n">
        <x:f>IF(OR(U41="",X41=""),"",U41*X41)</x:f>
        <x:v>60</x:v>
      </x:c>
      <x:c r="Z41" t="str">
        <x:f>IF(Y41="","",IF(Y41&gt;=600,"I - Situación crítica. Suspender actividades hasta que el riesgo esté bajo control. Intervención urgente.",IF(Y41&gt;=150,"II - Corregir y adoptar medidas de control de inmediato.",IF(Y41&gt;=40,"III - Mejorar si es posible. Conviene justificar la intervención y su rentabilidad.","IV - Mantener controles existentes."))))</x:f>
        <x:v>III - Mejorar si es posible. Conviene justificar la intervención y su rentabilidad.</x:v>
      </x:c>
      <x:c r="AA41" t="str">
        <x:f>IF(Y41="","",IF(Y41&gt;=600,"No aceptable",IF(Y41&gt;=150,"No aceptable / Aceptable con control específico","Aceptable")))</x:f>
        <x:v>Aceptable</x:v>
      </x:c>
      <x:c r="AB41" s="12" t="str">
        <x:v>Reubicar puestos sin protección directa al clima cuando sea viable</x:v>
      </x:c>
      <x:c r="AC41" s="12" t="str">
        <x:v>No aplica</x:v>
      </x:c>
      <x:c r="AD41" s="12" t="str">
        <x:v>Instalar cubiertas y ventilación</x:v>
      </x:c>
      <x:c r="AE41" s="12" t="str">
        <x:v>Relevos, pausas de hidratación y seguimiento en temporadas críticas</x:v>
      </x:c>
      <x:c r="AF41" s="12" t="str">
        <x:v>Gorra, bloqueador solar, impermeable</x:v>
      </x:c>
      <x:c r="AG41" s="12" t="str">
        <x:v>Director de Operaciones</x:v>
      </x:c>
      <x:c r="AH41" s="16" t="str">
        <x:v>2026-05-22</x:v>
      </x:c>
      <x:c r="AI41" s="12" t="str"/>
    </x:row>
    <x:row r="42">
      <x:c r="A42" t="str">
        <x:v>IPVR-041</x:v>
      </x:c>
      <x:c r="B42" t="str">
        <x:v>Girón</x:v>
      </x:c>
      <x:c r="C42" t="str">
        <x:v>Supervisión operativa y rondas</x:v>
      </x:c>
      <x:c r="D42" s="12" t="str">
        <x:v>Vías urbanas e intermunicipales</x:v>
      </x:c>
      <x:c r="E42" s="12" t="str">
        <x:v>Rondas motorizadas y desplazamiento entre puestos</x:v>
      </x:c>
      <x:c r="F42" s="12" t="str">
        <x:v>Conducir motocicleta o vehículo para supervisión de servicios</x:v>
      </x:c>
      <x:c r="G42" s="12" t="str">
        <x:v>Sí</x:v>
      </x:c>
      <x:c r="H42" s="12" t="str">
        <x:v>Condiciones de seguridad - Accidentes de tránsito</x:v>
      </x:c>
      <x:c r="I42" s="12" t="str">
        <x:v>Colisión, volcamiento, atropellamiento o siniestro vial</x:v>
      </x:c>
      <x:c r="J42" s="12" t="str">
        <x:v>Politraumatismo, incapacidad, muerte</x:v>
      </x:c>
      <x:c r="K42" s="12" t="str">
        <x:v>Mantenimiento preventivo y control de velocidad</x:v>
      </x:c>
      <x:c r="L42" s="12" t="str">
        <x:v>Vehículos en buen estado, GPS, reflectivos</x:v>
      </x:c>
      <x:c r="M42" s="12" t="str">
        <x:v>Capacitación PESV y conducción defensiva</x:v>
      </x:c>
      <x:c r="N42" s="12" t="str">
        <x:v>Muerte</x:v>
      </x:c>
      <x:c r="O42" s="12" t="str">
        <x:v>Resolución 40595 de 2022; Decreto 1072 de 2015</x:v>
      </x:c>
      <x:c r="P42" s="14" t="n">
        <x:v>2</x:v>
      </x:c>
      <x:c r="Q42" t="str">
        <x:v>Muy alto</x:v>
      </x:c>
      <x:c r="R42" s="14" t="n">
        <x:f>IFERROR(VLOOKUP(Q42,Catalogos!$G:$H,2,FALSE),"")</x:f>
        <x:v>10</x:v>
      </x:c>
      <x:c r="S42" t="str">
        <x:v>Frecuente</x:v>
      </x:c>
      <x:c r="T42" s="14" t="n">
        <x:f>IFERROR(VLOOKUP(S42,Catalogos!$I:$J,2,FALSE),"")</x:f>
        <x:v>3</x:v>
      </x:c>
      <x:c r="U42" s="14" t="n">
        <x:f>IF(OR(R42="",T42=""),"",R42*T42)</x:f>
        <x:v>30</x:v>
      </x:c>
      <x:c r="V42" t="str">
        <x:f>IF(U42="","",IF(U42&gt;=24,"MUY ALTO",IF(U42&gt;=10,"ALTO",IF(U42&gt;=6,"MEDIO","BAJO"))))</x:f>
        <x:v>MUY ALTO</x:v>
      </x:c>
      <x:c r="W42" t="str">
        <x:v>Muy grave</x:v>
      </x:c>
      <x:c r="X42" s="14" t="n">
        <x:f>IFERROR(VLOOKUP(W42,Catalogos!$G:$H,2,FALSE),"")</x:f>
        <x:v>60</x:v>
      </x:c>
      <x:c r="Y42" s="14" t="n">
        <x:f>IF(OR(U42="",X42=""),"",U42*X42)</x:f>
        <x:v>1800</x:v>
      </x:c>
      <x:c r="Z42" t="str">
        <x:f>IF(Y42="","",IF(Y42&gt;=600,"I - Situación crítica. Suspender actividades hasta que el riesgo esté bajo control. Intervención urgente.",IF(Y42&gt;=150,"II - Corregir y adoptar medidas de control de inmediato.",IF(Y42&gt;=40,"III - Mejorar si es posible. Conviene justificar la intervención y su rentabilidad.","IV - Mantener controles existentes."))))</x:f>
        <x:v>I - Situación crítica. Suspender actividades hasta que el riesgo esté bajo control. Intervención urgente.</x:v>
      </x:c>
      <x:c r="AA42" t="str">
        <x:f>IF(Y42="","",IF(Y42&gt;=600,"No aceptable",IF(Y42&gt;=150,"No aceptable / Aceptable con control específico","Aceptable")))</x:f>
        <x:v>No aceptable</x:v>
      </x:c>
      <x:c r="AB42" s="12" t="str">
        <x:v>Eliminar desplazamientos innecesarios</x:v>
      </x:c>
      <x:c r="AC42" s="12" t="str">
        <x:v>Sustituir motocicleta por vehículo en trayectos críticos cuando aplique</x:v>
      </x:c>
      <x:c r="AD42" s="12" t="str">
        <x:v>GPS, cámaras y mantenimientos</x:v>
      </x:c>
      <x:c r="AE42" s="12" t="str">
        <x:v>PESV, control de fatiga, inspección preoperacional</x:v>
      </x:c>
      <x:c r="AF42" s="12" t="str">
        <x:v>Casco certificado, chaleco reflectivo</x:v>
      </x:c>
      <x:c r="AG42" s="12" t="str">
        <x:v>Director de Operaciones</x:v>
      </x:c>
      <x:c r="AH42" s="16" t="str">
        <x:v>2026-05-22</x:v>
      </x:c>
      <x:c r="AI42" s="12" t="str"/>
    </x:row>
    <x:row r="43">
      <x:c r="A43" t="str">
        <x:v>IPVR-042</x:v>
      </x:c>
      <x:c r="B43" t="str">
        <x:v>Girón</x:v>
      </x:c>
      <x:c r="C43" t="str">
        <x:v>Supervisión operativa y rondas</x:v>
      </x:c>
      <x:c r="D43" s="12" t="str">
        <x:v>Puestos externos / vía pública</x:v>
      </x:c>
      <x:c r="E43" s="12" t="str">
        <x:v>Atención de novedades e inspecciones en campo</x:v>
      </x:c>
      <x:c r="F43" s="12" t="str">
        <x:v>Ingresar a sitios con potencial alteración de orden público</x:v>
      </x:c>
      <x:c r="G43" s="12" t="str">
        <x:v>Sí</x:v>
      </x:c>
      <x:c r="H43" s="12" t="str">
        <x:v>Condiciones de seguridad - Público</x:v>
      </x:c>
      <x:c r="I43" s="12" t="str">
        <x:v>Asalto, amenaza, retención o agresión de terceros</x:v>
      </x:c>
      <x:c r="J43" s="12" t="str">
        <x:v>Lesiones, trauma psicológico, muerte</x:v>
      </x:c>
      <x:c r="K43" s="12" t="str">
        <x:v>Protocolos de apoyo y monitoreo</x:v>
      </x:c>
      <x:c r="L43" s="12" t="str">
        <x:v>Comunicación permanente con central y georreferenciación</x:v>
      </x:c>
      <x:c r="M43" s="12" t="str">
        <x:v>Entrenamiento de reacción segura y autoprotección</x:v>
      </x:c>
      <x:c r="N43" s="12" t="str">
        <x:v>Lesión grave o muerte</x:v>
      </x:c>
      <x:c r="O43" s="12" t="str">
        <x:v>Decreto 1072 de 2015; Resolución 0312 de 2019</x:v>
      </x:c>
      <x:c r="P43" s="14" t="n">
        <x:v>2</x:v>
      </x:c>
      <x:c r="Q43" t="str">
        <x:v>Alto</x:v>
      </x:c>
      <x:c r="R43" s="14" t="n">
        <x:f>IFERROR(VLOOKUP(Q43,Catalogos!$G:$H,2,FALSE),"")</x:f>
        <x:v>6</x:v>
      </x:c>
      <x:c r="S43" t="str">
        <x:v>Ocasional</x:v>
      </x:c>
      <x:c r="T43" s="14" t="n">
        <x:f>IFERROR(VLOOKUP(S43,Catalogos!$I:$J,2,FALSE),"")</x:f>
        <x:v>2</x:v>
      </x:c>
      <x:c r="U43" s="14" t="n">
        <x:f>IF(OR(R43="",T43=""),"",R43*T43)</x:f>
        <x:v>12</x:v>
      </x:c>
      <x:c r="V43" t="str">
        <x:f>IF(U43="","",IF(U43&gt;=24,"MUY ALTO",IF(U43&gt;=10,"ALTO",IF(U43&gt;=6,"MEDIO","BAJO"))))</x:f>
        <x:v>ALTO</x:v>
      </x:c>
      <x:c r="W43" t="str">
        <x:v>Muy grave</x:v>
      </x:c>
      <x:c r="X43" s="14" t="n">
        <x:f>IFERROR(VLOOKUP(W43,Catalogos!$G:$H,2,FALSE),"")</x:f>
        <x:v>60</x:v>
      </x:c>
      <x:c r="Y43" s="14" t="n">
        <x:f>IF(OR(U43="",X43=""),"",U43*X43)</x:f>
        <x:v>720</x:v>
      </x:c>
      <x:c r="Z43" t="str">
        <x:f>IF(Y43="","",IF(Y43&gt;=600,"I - Situación crítica. Suspender actividades hasta que el riesgo esté bajo control. Intervención urgente.",IF(Y43&gt;=150,"II - Corregir y adoptar medidas de control de inmediato.",IF(Y43&gt;=40,"III - Mejorar si es posible. Conviene justificar la intervención y su rentabilidad.","IV - Mantener controles existentes."))))</x:f>
        <x:v>I - Situación crítica. Suspender actividades hasta que el riesgo esté bajo control. Intervención urgente.</x:v>
      </x:c>
      <x:c r="AA43" t="str">
        <x:f>IF(Y43="","",IF(Y43&gt;=600,"No aceptable",IF(Y43&gt;=150,"No aceptable / Aceptable con control específico","Aceptable")))</x:f>
        <x:v>No aceptable</x:v>
      </x:c>
      <x:c r="AB43" s="12" t="str">
        <x:v>Suspender atención individual en zonas críticas</x:v>
      </x:c>
      <x:c r="AC43" s="12" t="str">
        <x:v>Acompañamiento dual o apoyo policial en zonas de alto riesgo</x:v>
      </x:c>
      <x:c r="AD43" s="12" t="str">
        <x:v>Dispositivos de comunicación redundante</x:v>
      </x:c>
      <x:c r="AE43" s="12" t="str">
        <x:v>Mapas de riesgo, briefing previo y protocolos de atención</x:v>
      </x:c>
      <x:c r="AF43" s="12" t="str">
        <x:v>Chaleco, radio, linterna táctica</x:v>
      </x:c>
      <x:c r="AG43" s="12" t="str">
        <x:v>Director de Operaciones</x:v>
      </x:c>
      <x:c r="AH43" s="16" t="str">
        <x:v>2026-05-22</x:v>
      </x:c>
      <x:c r="AI43" s="12" t="str"/>
    </x:row>
    <x:row r="44">
      <x:c r="A44" t="str">
        <x:v>IPVR-043</x:v>
      </x:c>
      <x:c r="B44" t="str">
        <x:v>Valledupar</x:v>
      </x:c>
      <x:c r="C44" t="str">
        <x:v>Vigilancia física fija</x:v>
      </x:c>
      <x:c r="D44" s="12" t="str">
        <x:v>Puesto de vigilancia / accesos</x:v>
      </x:c>
      <x:c r="E44" s="12" t="str">
        <x:v>Control de accesos y verificación</x:v>
      </x:c>
      <x:c r="F44" s="12" t="str">
        <x:v>Permanecer de pie, registrar ingresos y realizar rondas cortas</x:v>
      </x:c>
      <x:c r="G44" s="12" t="str">
        <x:v>Sí</x:v>
      </x:c>
      <x:c r="H44" s="12" t="str">
        <x:v>Biomecánico</x:v>
      </x:c>
      <x:c r="I44" s="12" t="str">
        <x:v>Posturas prolongadas, bipedestación y desplazamientos frecuentes</x:v>
      </x:c>
      <x:c r="J44" s="12" t="str">
        <x:v>Fatiga muscular, lumbalgia, trastornos osteomusculares en miembros inferiores y columna</x:v>
      </x:c>
      <x:c r="K44" s="12" t="str">
        <x:v>Rotación parcial de tareas y pausas activas programadas</x:v>
      </x:c>
      <x:c r="L44" s="12" t="str">
        <x:v>Puntos de apoyo, silla de descanso en relevos y superficies niveladas</x:v>
      </x:c>
      <x:c r="M44" s="12" t="str">
        <x:v>Capacitación en higiene postural y uso de calzado ergonómico</x:v>
      </x:c>
      <x:c r="N44" s="12" t="str">
        <x:v>Trastorno musculoesquelético incapacitante</x:v>
      </x:c>
      <x:c r="O44" s="12" t="str">
        <x:v>Decreto 1072 de 2015; Resolución 0312 de 2019</x:v>
      </x:c>
      <x:c r="P44" s="14" t="n">
        <x:v>14</x:v>
      </x:c>
      <x:c r="Q44" t="str">
        <x:v>Medio</x:v>
      </x:c>
      <x:c r="R44" s="14" t="n">
        <x:f>IFERROR(VLOOKUP(Q44,Catalogos!$G:$H,2,FALSE),"")</x:f>
        <x:v>2</x:v>
      </x:c>
      <x:c r="S44" t="str">
        <x:v>Continua</x:v>
      </x:c>
      <x:c r="T44" s="14" t="n">
        <x:f>IFERROR(VLOOKUP(S44,Catalogos!$I:$J,2,FALSE),"")</x:f>
        <x:v>4</x:v>
      </x:c>
      <x:c r="U44" s="14" t="n">
        <x:f>IF(OR(R44="",T44=""),"",R44*T44)</x:f>
        <x:v>8</x:v>
      </x:c>
      <x:c r="V44" t="str">
        <x:f>IF(U44="","",IF(U44&gt;=24,"MUY ALTO",IF(U44&gt;=10,"ALTO",IF(U44&gt;=6,"MEDIO","BAJO"))))</x:f>
        <x:v>MEDIO</x:v>
      </x:c>
      <x:c r="W44" t="str">
        <x:v>Grave</x:v>
      </x:c>
      <x:c r="X44" s="14" t="n">
        <x:f>IFERROR(VLOOKUP(W44,Catalogos!$G:$H,2,FALSE),"")</x:f>
        <x:v>25</x:v>
      </x:c>
      <x:c r="Y44" s="14" t="n">
        <x:f>IF(OR(U44="",X44=""),"",U44*X44)</x:f>
        <x:v>200</x:v>
      </x:c>
      <x:c r="Z44" t="str">
        <x:f>IF(Y44="","",IF(Y44&gt;=600,"I - Situación crítica. Suspender actividades hasta que el riesgo esté bajo control. Intervención urgente.",IF(Y44&gt;=150,"II - Corregir y adoptar medidas de control de inmediato.",IF(Y44&gt;=40,"III - Mejorar si es posible. Conviene justificar la intervención y su rentabilidad.","IV - Mantener controles existentes."))))</x:f>
        <x:v>II - Corregir y adoptar medidas de control de inmediato.</x:v>
      </x:c>
      <x:c r="AA44" t="str">
        <x:f>IF(Y44="","",IF(Y44&gt;=600,"No aceptable",IF(Y44&gt;=150,"No aceptable / Aceptable con control específico","Aceptable")))</x:f>
        <x:v>No aceptable / Aceptable con control específico</x:v>
      </x:c>
      <x:c r="AB44" s="12" t="str">
        <x:v>Reorganizar el puesto para alternar tareas estáticas y dinámicas</x:v>
      </x:c>
      <x:c r="AC44" s="12" t="str">
        <x:v>No aplica</x:v>
      </x:c>
      <x:c r="AD44" s="12" t="str">
        <x:v>Adecuar apoyapiés y superficies ergonómicas</x:v>
      </x:c>
      <x:c r="AE44" s="12" t="str">
        <x:v>Pausas activas, rotación, inspecciones ergonómicas y seguimiento médico</x:v>
      </x:c>
      <x:c r="AF44" s="12" t="str">
        <x:v>Calzado de seguridad ergonómico</x:v>
      </x:c>
      <x:c r="AG44" s="12" t="str">
        <x:v>Director de Operaciones</x:v>
      </x:c>
      <x:c r="AH44" s="16" t="str">
        <x:v>2026-05-24</x:v>
      </x:c>
      <x:c r="AI44" s="12" t="str"/>
    </x:row>
    <x:row r="45">
      <x:c r="A45" t="str">
        <x:v>IPVR-044</x:v>
      </x:c>
      <x:c r="B45" t="str">
        <x:v>Valledupar</x:v>
      </x:c>
      <x:c r="C45" t="str">
        <x:v>Vigilancia física fija</x:v>
      </x:c>
      <x:c r="D45" s="12" t="str">
        <x:v>Puesto de vigilancia / perímetro</x:v>
      </x:c>
      <x:c r="E45" s="12" t="str">
        <x:v>Vigilancia perimetral y atención de incidentes</x:v>
      </x:c>
      <x:c r="F45" s="12" t="str">
        <x:v>Interactuar con usuarios y controlar eventos de alteración del orden</x:v>
      </x:c>
      <x:c r="G45" s="12" t="str">
        <x:v>Sí</x:v>
      </x:c>
      <x:c r="H45" s="12" t="str">
        <x:v>Condiciones de seguridad - Público</x:v>
      </x:c>
      <x:c r="I45" s="12" t="str">
        <x:v>Agresión física o verbal, hurto, amenaza o alteración del orden público</x:v>
      </x:c>
      <x:c r="J45" s="12" t="str">
        <x:v>Contusiones, trauma psicológico, lesiones graves o muerte</x:v>
      </x:c>
      <x:c r="K45" s="12" t="str">
        <x:v>Protocolos de reacción y comunicación inmediata con central</x:v>
      </x:c>
      <x:c r="L45" s="12" t="str">
        <x:v>CCTV, radios, botón de pánico, iluminación exterior</x:v>
      </x:c>
      <x:c r="M45" s="12" t="str">
        <x:v>Entrenamiento en control de crisis y manejo defensivo</x:v>
      </x:c>
      <x:c r="N45" s="12" t="str">
        <x:v>Homicidio o lesión grave</x:v>
      </x:c>
      <x:c r="O45" s="12" t="str">
        <x:v>Decreto 1072 de 2015; Resolución 0312 de 2019</x:v>
      </x:c>
      <x:c r="P45" s="14" t="n">
        <x:v>14</x:v>
      </x:c>
      <x:c r="Q45" t="str">
        <x:v>Alto</x:v>
      </x:c>
      <x:c r="R45" s="14" t="n">
        <x:f>IFERROR(VLOOKUP(Q45,Catalogos!$G:$H,2,FALSE),"")</x:f>
        <x:v>6</x:v>
      </x:c>
      <x:c r="S45" t="str">
        <x:v>Ocasional</x:v>
      </x:c>
      <x:c r="T45" s="14" t="n">
        <x:f>IFERROR(VLOOKUP(S45,Catalogos!$I:$J,2,FALSE),"")</x:f>
        <x:v>2</x:v>
      </x:c>
      <x:c r="U45" s="14" t="n">
        <x:f>IF(OR(R45="",T45=""),"",R45*T45)</x:f>
        <x:v>12</x:v>
      </x:c>
      <x:c r="V45" t="str">
        <x:f>IF(U45="","",IF(U45&gt;=24,"MUY ALTO",IF(U45&gt;=10,"ALTO",IF(U45&gt;=6,"MEDIO","BAJO"))))</x:f>
        <x:v>ALTO</x:v>
      </x:c>
      <x:c r="W45" t="str">
        <x:v>Muy grave</x:v>
      </x:c>
      <x:c r="X45" s="14" t="n">
        <x:f>IFERROR(VLOOKUP(W45,Catalogos!$G:$H,2,FALSE),"")</x:f>
        <x:v>60</x:v>
      </x:c>
      <x:c r="Y45" s="14" t="n">
        <x:f>IF(OR(U45="",X45=""),"",U45*X45)</x:f>
        <x:v>720</x:v>
      </x:c>
      <x:c r="Z45" t="str">
        <x:f>IF(Y45="","",IF(Y45&gt;=600,"I - Situación crítica. Suspender actividades hasta que el riesgo esté bajo control. Intervención urgente.",IF(Y45&gt;=150,"II - Corregir y adoptar medidas de control de inmediato.",IF(Y45&gt;=40,"III - Mejorar si es posible. Conviene justificar la intervención y su rentabilidad.","IV - Mantener controles existentes."))))</x:f>
        <x:v>I - Situación crítica. Suspender actividades hasta que el riesgo esté bajo control. Intervención urgente.</x:v>
      </x:c>
      <x:c r="AA45" t="str">
        <x:f>IF(Y45="","",IF(Y45&gt;=600,"No aceptable",IF(Y45&gt;=150,"No aceptable / Aceptable con control específico","Aceptable")))</x:f>
        <x:v>No aceptable</x:v>
      </x:c>
      <x:c r="AB45" s="12" t="str">
        <x:v>Eliminar puntos ciegos y actividades en solitario de alto riesgo</x:v>
      </x:c>
      <x:c r="AC45" s="12" t="str">
        <x:v>Sustituir rondas aisladas por acompañamiento dual en sitios críticos</x:v>
      </x:c>
      <x:c r="AD45" s="12" t="str">
        <x:v>Mejorar CCTV, alarmas y control de acceso</x:v>
      </x:c>
      <x:c r="AE45" s="12" t="str">
        <x:v>Protocolos de reacción, análisis de seguridad por puesto, simulacros</x:v>
      </x:c>
      <x:c r="AF45" s="12" t="str">
        <x:v>Chaleco, linterna, radio, elemento de protección balística si aplica</x:v>
      </x:c>
      <x:c r="AG45" s="12" t="str">
        <x:v>Director de Operaciones</x:v>
      </x:c>
      <x:c r="AH45" s="16" t="str">
        <x:v>2026-05-24</x:v>
      </x:c>
      <x:c r="AI45" s="12" t="str"/>
    </x:row>
    <x:row r="46">
      <x:c r="A46" t="str">
        <x:v>IPVR-045</x:v>
      </x:c>
      <x:c r="B46" t="str">
        <x:v>Valledupar</x:v>
      </x:c>
      <x:c r="C46" t="str">
        <x:v>Vigilancia física fija</x:v>
      </x:c>
      <x:c r="D46" s="12" t="str">
        <x:v>Áreas comunes / perímetro</x:v>
      </x:c>
      <x:c r="E46" s="12" t="str">
        <x:v>Rondas de inspección</x:v>
      </x:c>
      <x:c r="F46" s="12" t="str">
        <x:v>Desplazarse por escaleras, pasillos, zonas húmedas o irregulares</x:v>
      </x:c>
      <x:c r="G46" s="12" t="str">
        <x:v>Sí</x:v>
      </x:c>
      <x:c r="H46" s="12" t="str">
        <x:v>Condiciones de seguridad - Locativo</x:v>
      </x:c>
      <x:c r="I46" s="12" t="str">
        <x:v>Caídas al mismo nivel por superficies irregulares, húmedas o con obstáculos</x:v>
      </x:c>
      <x:c r="J46" s="12" t="str">
        <x:v>Esguinces, fracturas, golpes, incapacidad temporal</x:v>
      </x:c>
      <x:c r="K46" s="12" t="str">
        <x:v>Inspecciones locativas y corrección de condiciones inseguras</x:v>
      </x:c>
      <x:c r="L46" s="12" t="str">
        <x:v>Señalización, orden y aseo, iluminación adecuada</x:v>
      </x:c>
      <x:c r="M46" s="12" t="str">
        <x:v>Reporte oportuno de condiciones inseguras y atención al tránsito seguro</x:v>
      </x:c>
      <x:c r="N46" s="12" t="str">
        <x:v>Fractura con incapacidad prolongada</x:v>
      </x:c>
      <x:c r="O46" s="12" t="str">
        <x:v>Decreto 1072 de 2015; Resolución 0312 de 2019</x:v>
      </x:c>
      <x:c r="P46" s="14" t="n">
        <x:v>14</x:v>
      </x:c>
      <x:c r="Q46" t="str">
        <x:v>Alto</x:v>
      </x:c>
      <x:c r="R46" s="14" t="n">
        <x:f>IFERROR(VLOOKUP(Q46,Catalogos!$G:$H,2,FALSE),"")</x:f>
        <x:v>6</x:v>
      </x:c>
      <x:c r="S46" t="str">
        <x:v>Ocasional</x:v>
      </x:c>
      <x:c r="T46" s="14" t="n">
        <x:f>IFERROR(VLOOKUP(S46,Catalogos!$I:$J,2,FALSE),"")</x:f>
        <x:v>2</x:v>
      </x:c>
      <x:c r="U46" s="14" t="n">
        <x:f>IF(OR(R46="",T46=""),"",R46*T46)</x:f>
        <x:v>12</x:v>
      </x:c>
      <x:c r="V46" t="str">
        <x:f>IF(U46="","",IF(U46&gt;=24,"MUY ALTO",IF(U46&gt;=10,"ALTO",IF(U46&gt;=6,"MEDIO","BAJO"))))</x:f>
        <x:v>ALTO</x:v>
      </x:c>
      <x:c r="W46" t="str">
        <x:v>Grave</x:v>
      </x:c>
      <x:c r="X46" s="14" t="n">
        <x:f>IFERROR(VLOOKUP(W46,Catalogos!$G:$H,2,FALSE),"")</x:f>
        <x:v>25</x:v>
      </x:c>
      <x:c r="Y46" s="14" t="n">
        <x:f>IF(OR(U46="",X46=""),"",U46*X46)</x:f>
        <x:v>300</x:v>
      </x:c>
      <x:c r="Z46" t="str">
        <x:f>IF(Y46="","",IF(Y46&gt;=600,"I - Situación crítica. Suspender actividades hasta que el riesgo esté bajo control. Intervención urgente.",IF(Y46&gt;=150,"II - Corregir y adoptar medidas de control de inmediato.",IF(Y46&gt;=40,"III - Mejorar si es posible. Conviene justificar la intervención y su rentabilidad.","IV - Mantener controles existentes."))))</x:f>
        <x:v>II - Corregir y adoptar medidas de control de inmediato.</x:v>
      </x:c>
      <x:c r="AA46" t="str">
        <x:f>IF(Y46="","",IF(Y46&gt;=600,"No aceptable",IF(Y46&gt;=150,"No aceptable / Aceptable con control específico","Aceptable")))</x:f>
        <x:v>No aceptable / Aceptable con control específico</x:v>
      </x:c>
      <x:c r="AB46" s="12" t="str">
        <x:v>Eliminar obstáculos y desniveles inseguros</x:v>
      </x:c>
      <x:c r="AC46" s="12" t="str">
        <x:v>Revestimientos antideslizantes en zonas críticas</x:v>
      </x:c>
      <x:c r="AD46" s="12" t="str">
        <x:v>Mejorar drenajes y pisos</x:v>
      </x:c>
      <x:c r="AE46" s="12" t="str">
        <x:v>Inspecciones periódicas, orden y aseo, reporte de novedades</x:v>
      </x:c>
      <x:c r="AF46" s="12" t="str">
        <x:v>Calzado de seguridad antideslizante</x:v>
      </x:c>
      <x:c r="AG46" s="12" t="str">
        <x:v>Director de Operaciones</x:v>
      </x:c>
      <x:c r="AH46" s="16" t="str">
        <x:v>2026-05-24</x:v>
      </x:c>
      <x:c r="AI46" s="12" t="str"/>
    </x:row>
    <x:row r="47">
      <x:c r="A47" t="str">
        <x:v>IPVR-046</x:v>
      </x:c>
      <x:c r="B47" t="str">
        <x:v>Valledupar</x:v>
      </x:c>
      <x:c r="C47" t="str">
        <x:v>Vigilancia física fija</x:v>
      </x:c>
      <x:c r="D47" s="12" t="str">
        <x:v>Garitas y perímetro externo</x:v>
      </x:c>
      <x:c r="E47" s="12" t="str">
        <x:v>Vigilancia exterior</x:v>
      </x:c>
      <x:c r="F47" s="12" t="str">
        <x:v>Exposición a radiación solar, lluvia y cambios bruscos de temperatura</x:v>
      </x:c>
      <x:c r="G47" s="12" t="str">
        <x:v>Sí</x:v>
      </x:c>
      <x:c r="H47" s="12" t="str">
        <x:v>Físico</x:v>
      </x:c>
      <x:c r="I47" s="12" t="str">
        <x:v>Exposición a radiación solar, calor, lluvia y disconfort térmico</x:v>
      </x:c>
      <x:c r="J47" s="12" t="str">
        <x:v>Deshidratación, cefalea, fatiga térmica, dermatosis</x:v>
      </x:c>
      <x:c r="K47" s="12" t="str">
        <x:v>Programación de relevos y zonas de sombra</x:v>
      </x:c>
      <x:c r="L47" s="12" t="str">
        <x:v>Cubiertas, hidratación disponible, ventilación</x:v>
      </x:c>
      <x:c r="M47" s="12" t="str">
        <x:v>Autocuidado e hidratación permanente</x:v>
      </x:c>
      <x:c r="N47" s="12" t="str">
        <x:v>Golpe de calor</x:v>
      </x:c>
      <x:c r="O47" s="12" t="str">
        <x:v>Decreto 1072 de 2015; Resolución 0312 de 2019</x:v>
      </x:c>
      <x:c r="P47" s="14" t="n">
        <x:v>14</x:v>
      </x:c>
      <x:c r="Q47" t="str">
        <x:v>Medio</x:v>
      </x:c>
      <x:c r="R47" s="14" t="n">
        <x:f>IFERROR(VLOOKUP(Q47,Catalogos!$G:$H,2,FALSE),"")</x:f>
        <x:v>2</x:v>
      </x:c>
      <x:c r="S47" t="str">
        <x:v>Frecuente</x:v>
      </x:c>
      <x:c r="T47" s="14" t="n">
        <x:f>IFERROR(VLOOKUP(S47,Catalogos!$I:$J,2,FALSE),"")</x:f>
        <x:v>3</x:v>
      </x:c>
      <x:c r="U47" s="14" t="n">
        <x:f>IF(OR(R47="",T47=""),"",R47*T47)</x:f>
        <x:v>6</x:v>
      </x:c>
      <x:c r="V47" t="str">
        <x:f>IF(U47="","",IF(U47&gt;=24,"MUY ALTO",IF(U47&gt;=10,"ALTO",IF(U47&gt;=6,"MEDIO","BAJO"))))</x:f>
        <x:v>MEDIO</x:v>
      </x:c>
      <x:c r="W47" t="str">
        <x:v>Leve</x:v>
      </x:c>
      <x:c r="X47" s="14" t="n">
        <x:f>IFERROR(VLOOKUP(W47,Catalogos!$G:$H,2,FALSE),"")</x:f>
        <x:v>10</x:v>
      </x:c>
      <x:c r="Y47" s="14" t="n">
        <x:f>IF(OR(U47="",X47=""),"",U47*X47)</x:f>
        <x:v>60</x:v>
      </x:c>
      <x:c r="Z47" t="str">
        <x:f>IF(Y47="","",IF(Y47&gt;=600,"I - Situación crítica. Suspender actividades hasta que el riesgo esté bajo control. Intervención urgente.",IF(Y47&gt;=150,"II - Corregir y adoptar medidas de control de inmediato.",IF(Y47&gt;=40,"III - Mejorar si es posible. Conviene justificar la intervención y su rentabilidad.","IV - Mantener controles existentes."))))</x:f>
        <x:v>III - Mejorar si es posible. Conviene justificar la intervención y su rentabilidad.</x:v>
      </x:c>
      <x:c r="AA47" t="str">
        <x:f>IF(Y47="","",IF(Y47&gt;=600,"No aceptable",IF(Y47&gt;=150,"No aceptable / Aceptable con control específico","Aceptable")))</x:f>
        <x:v>Aceptable</x:v>
      </x:c>
      <x:c r="AB47" s="12" t="str">
        <x:v>Reubicar puestos sin protección directa al clima cuando sea viable</x:v>
      </x:c>
      <x:c r="AC47" s="12" t="str">
        <x:v>No aplica</x:v>
      </x:c>
      <x:c r="AD47" s="12" t="str">
        <x:v>Instalar cubiertas y ventilación</x:v>
      </x:c>
      <x:c r="AE47" s="12" t="str">
        <x:v>Relevos, pausas de hidratación y seguimiento en temporadas críticas</x:v>
      </x:c>
      <x:c r="AF47" s="12" t="str">
        <x:v>Gorra, bloqueador solar, impermeable</x:v>
      </x:c>
      <x:c r="AG47" s="12" t="str">
        <x:v>Director de Operaciones</x:v>
      </x:c>
      <x:c r="AH47" s="16" t="str">
        <x:v>2026-05-24</x:v>
      </x:c>
      <x:c r="AI47" s="12" t="str"/>
    </x:row>
    <x:row r="48">
      <x:c r="A48" t="str">
        <x:v>IPVR-047</x:v>
      </x:c>
      <x:c r="B48" t="str">
        <x:v>Valledupar</x:v>
      </x:c>
      <x:c r="C48" t="str">
        <x:v>Supervisión operativa y rondas</x:v>
      </x:c>
      <x:c r="D48" s="12" t="str">
        <x:v>Vías urbanas e intermunicipales</x:v>
      </x:c>
      <x:c r="E48" s="12" t="str">
        <x:v>Rondas motorizadas y desplazamiento entre puestos</x:v>
      </x:c>
      <x:c r="F48" s="12" t="str">
        <x:v>Conducir motocicleta o vehículo para supervisión de servicios</x:v>
      </x:c>
      <x:c r="G48" s="12" t="str">
        <x:v>Sí</x:v>
      </x:c>
      <x:c r="H48" s="12" t="str">
        <x:v>Condiciones de seguridad - Accidentes de tránsito</x:v>
      </x:c>
      <x:c r="I48" s="12" t="str">
        <x:v>Colisión, volcamiento, atropellamiento o siniestro vial</x:v>
      </x:c>
      <x:c r="J48" s="12" t="str">
        <x:v>Politraumatismo, incapacidad, muerte</x:v>
      </x:c>
      <x:c r="K48" s="12" t="str">
        <x:v>Mantenimiento preventivo y control de velocidad</x:v>
      </x:c>
      <x:c r="L48" s="12" t="str">
        <x:v>Vehículos en buen estado, GPS, reflectivos</x:v>
      </x:c>
      <x:c r="M48" s="12" t="str">
        <x:v>Capacitación PESV y conducción defensiva</x:v>
      </x:c>
      <x:c r="N48" s="12" t="str">
        <x:v>Muerte</x:v>
      </x:c>
      <x:c r="O48" s="12" t="str">
        <x:v>Resolución 40595 de 2022; Decreto 1072 de 2015</x:v>
      </x:c>
      <x:c r="P48" s="14" t="n">
        <x:v>3</x:v>
      </x:c>
      <x:c r="Q48" t="str">
        <x:v>Muy alto</x:v>
      </x:c>
      <x:c r="R48" s="14" t="n">
        <x:f>IFERROR(VLOOKUP(Q48,Catalogos!$G:$H,2,FALSE),"")</x:f>
        <x:v>10</x:v>
      </x:c>
      <x:c r="S48" t="str">
        <x:v>Frecuente</x:v>
      </x:c>
      <x:c r="T48" s="14" t="n">
        <x:f>IFERROR(VLOOKUP(S48,Catalogos!$I:$J,2,FALSE),"")</x:f>
        <x:v>3</x:v>
      </x:c>
      <x:c r="U48" s="14" t="n">
        <x:f>IF(OR(R48="",T48=""),"",R48*T48)</x:f>
        <x:v>30</x:v>
      </x:c>
      <x:c r="V48" t="str">
        <x:f>IF(U48="","",IF(U48&gt;=24,"MUY ALTO",IF(U48&gt;=10,"ALTO",IF(U48&gt;=6,"MEDIO","BAJO"))))</x:f>
        <x:v>MUY ALTO</x:v>
      </x:c>
      <x:c r="W48" t="str">
        <x:v>Muy grave</x:v>
      </x:c>
      <x:c r="X48" s="14" t="n">
        <x:f>IFERROR(VLOOKUP(W48,Catalogos!$G:$H,2,FALSE),"")</x:f>
        <x:v>60</x:v>
      </x:c>
      <x:c r="Y48" s="14" t="n">
        <x:f>IF(OR(U48="",X48=""),"",U48*X48)</x:f>
        <x:v>1800</x:v>
      </x:c>
      <x:c r="Z48" t="str">
        <x:f>IF(Y48="","",IF(Y48&gt;=600,"I - Situación crítica. Suspender actividades hasta que el riesgo esté bajo control. Intervención urgente.",IF(Y48&gt;=150,"II - Corregir y adoptar medidas de control de inmediato.",IF(Y48&gt;=40,"III - Mejorar si es posible. Conviene justificar la intervención y su rentabilidad.","IV - Mantener controles existentes."))))</x:f>
        <x:v>I - Situación crítica. Suspender actividades hasta que el riesgo esté bajo control. Intervención urgente.</x:v>
      </x:c>
      <x:c r="AA48" t="str">
        <x:f>IF(Y48="","",IF(Y48&gt;=600,"No aceptable",IF(Y48&gt;=150,"No aceptable / Aceptable con control específico","Aceptable")))</x:f>
        <x:v>No aceptable</x:v>
      </x:c>
      <x:c r="AB48" s="12" t="str">
        <x:v>Eliminar desplazamientos innecesarios</x:v>
      </x:c>
      <x:c r="AC48" s="12" t="str">
        <x:v>Sustituir motocicleta por vehículo en trayectos críticos cuando aplique</x:v>
      </x:c>
      <x:c r="AD48" s="12" t="str">
        <x:v>GPS, cámaras y mantenimientos</x:v>
      </x:c>
      <x:c r="AE48" s="12" t="str">
        <x:v>PESV, control de fatiga, inspección preoperacional</x:v>
      </x:c>
      <x:c r="AF48" s="12" t="str">
        <x:v>Casco certificado, chaleco reflectivo</x:v>
      </x:c>
      <x:c r="AG48" s="12" t="str">
        <x:v>Director de Operaciones</x:v>
      </x:c>
      <x:c r="AH48" s="16" t="str">
        <x:v>2026-05-24</x:v>
      </x:c>
      <x:c r="AI48" s="12" t="str"/>
    </x:row>
    <x:row r="49">
      <x:c r="A49" t="str">
        <x:v>IPVR-048</x:v>
      </x:c>
      <x:c r="B49" t="str">
        <x:v>Valledupar</x:v>
      </x:c>
      <x:c r="C49" t="str">
        <x:v>Supervisión operativa y rondas</x:v>
      </x:c>
      <x:c r="D49" s="12" t="str">
        <x:v>Puestos externos / vía pública</x:v>
      </x:c>
      <x:c r="E49" s="12" t="str">
        <x:v>Atención de novedades e inspecciones en campo</x:v>
      </x:c>
      <x:c r="F49" s="12" t="str">
        <x:v>Ingresar a sitios con potencial alteración de orden público</x:v>
      </x:c>
      <x:c r="G49" s="12" t="str">
        <x:v>Sí</x:v>
      </x:c>
      <x:c r="H49" s="12" t="str">
        <x:v>Condiciones de seguridad - Público</x:v>
      </x:c>
      <x:c r="I49" s="12" t="str">
        <x:v>Asalto, amenaza, retención o agresión de terceros</x:v>
      </x:c>
      <x:c r="J49" s="12" t="str">
        <x:v>Lesiones, trauma psicológico, muerte</x:v>
      </x:c>
      <x:c r="K49" s="12" t="str">
        <x:v>Protocolos de apoyo y monitoreo</x:v>
      </x:c>
      <x:c r="L49" s="12" t="str">
        <x:v>Comunicación permanente con central y georreferenciación</x:v>
      </x:c>
      <x:c r="M49" s="12" t="str">
        <x:v>Entrenamiento de reacción segura y autoprotección</x:v>
      </x:c>
      <x:c r="N49" s="12" t="str">
        <x:v>Lesión grave o muerte</x:v>
      </x:c>
      <x:c r="O49" s="12" t="str">
        <x:v>Decreto 1072 de 2015; Resolución 0312 de 2019</x:v>
      </x:c>
      <x:c r="P49" s="14" t="n">
        <x:v>3</x:v>
      </x:c>
      <x:c r="Q49" t="str">
        <x:v>Alto</x:v>
      </x:c>
      <x:c r="R49" s="14" t="n">
        <x:f>IFERROR(VLOOKUP(Q49,Catalogos!$G:$H,2,FALSE),"")</x:f>
        <x:v>6</x:v>
      </x:c>
      <x:c r="S49" t="str">
        <x:v>Ocasional</x:v>
      </x:c>
      <x:c r="T49" s="14" t="n">
        <x:f>IFERROR(VLOOKUP(S49,Catalogos!$I:$J,2,FALSE),"")</x:f>
        <x:v>2</x:v>
      </x:c>
      <x:c r="U49" s="14" t="n">
        <x:f>IF(OR(R49="",T49=""),"",R49*T49)</x:f>
        <x:v>12</x:v>
      </x:c>
      <x:c r="V49" t="str">
        <x:f>IF(U49="","",IF(U49&gt;=24,"MUY ALTO",IF(U49&gt;=10,"ALTO",IF(U49&gt;=6,"MEDIO","BAJO"))))</x:f>
        <x:v>ALTO</x:v>
      </x:c>
      <x:c r="W49" t="str">
        <x:v>Muy grave</x:v>
      </x:c>
      <x:c r="X49" s="14" t="n">
        <x:f>IFERROR(VLOOKUP(W49,Catalogos!$G:$H,2,FALSE),"")</x:f>
        <x:v>60</x:v>
      </x:c>
      <x:c r="Y49" s="14" t="n">
        <x:f>IF(OR(U49="",X49=""),"",U49*X49)</x:f>
        <x:v>720</x:v>
      </x:c>
      <x:c r="Z49" t="str">
        <x:f>IF(Y49="","",IF(Y49&gt;=600,"I - Situación crítica. Suspender actividades hasta que el riesgo esté bajo control. Intervención urgente.",IF(Y49&gt;=150,"II - Corregir y adoptar medidas de control de inmediato.",IF(Y49&gt;=40,"III - Mejorar si es posible. Conviene justificar la intervención y su rentabilidad.","IV - Mantener controles existentes."))))</x:f>
        <x:v>I - Situación crítica. Suspender actividades hasta que el riesgo esté bajo control. Intervención urgente.</x:v>
      </x:c>
      <x:c r="AA49" t="str">
        <x:f>IF(Y49="","",IF(Y49&gt;=600,"No aceptable",IF(Y49&gt;=150,"No aceptable / Aceptable con control específico","Aceptable")))</x:f>
        <x:v>No aceptable</x:v>
      </x:c>
      <x:c r="AB49" s="12" t="str">
        <x:v>Suspender atención individual en zonas críticas</x:v>
      </x:c>
      <x:c r="AC49" s="12" t="str">
        <x:v>Acompañamiento dual o apoyo policial en zonas de alto riesgo</x:v>
      </x:c>
      <x:c r="AD49" s="12" t="str">
        <x:v>Dispositivos de comunicación redundante</x:v>
      </x:c>
      <x:c r="AE49" s="12" t="str">
        <x:v>Mapas de riesgo, briefing previo y protocolos de atención</x:v>
      </x:c>
      <x:c r="AF49" s="12" t="str">
        <x:v>Chaleco, radio, linterna táctica</x:v>
      </x:c>
      <x:c r="AG49" s="12" t="str">
        <x:v>Director de Operaciones</x:v>
      </x:c>
      <x:c r="AH49" s="16" t="str">
        <x:v>2026-05-24</x:v>
      </x:c>
      <x:c r="AI49" s="12" t="str"/>
    </x:row>
    <x:row r="50">
      <x:c r="A50" t="str">
        <x:v>IPVR-049</x:v>
      </x:c>
      <x:c r="B50" t="str">
        <x:v>Valledupar</x:v>
      </x:c>
      <x:c r="C50" t="str">
        <x:v>Escolta</x:v>
      </x:c>
      <x:c r="D50" s="12" t="str">
        <x:v>Vehículos / rutas / acompañamiento a protegidos</x:v>
      </x:c>
      <x:c r="E50" s="12" t="str">
        <x:v>Protección a personas y bienes</x:v>
      </x:c>
      <x:c r="F50" s="12" t="str">
        <x:v>Acompañamiento de desplazamientos y reacción ante amenazas</x:v>
      </x:c>
      <x:c r="G50" s="12" t="str">
        <x:v>Sí</x:v>
      </x:c>
      <x:c r="H50" s="12" t="str">
        <x:v>Condiciones de seguridad - Público</x:v>
      </x:c>
      <x:c r="I50" s="12" t="str">
        <x:v>Atentado, agresión armada o amenaza contra escolta/protegido</x:v>
      </x:c>
      <x:c r="J50" s="12" t="str">
        <x:v>Lesiones graves, muerte, trauma psicológico</x:v>
      </x:c>
      <x:c r="K50" s="12" t="str">
        <x:v>Análisis previo de riesgo y planeación operativa</x:v>
      </x:c>
      <x:c r="L50" s="12" t="str">
        <x:v>Vehículos, comunicaciones, apoyo y rutas alternas</x:v>
      </x:c>
      <x:c r="M50" s="12" t="str">
        <x:v>Entrenamiento táctico, reacción y autoprotección</x:v>
      </x:c>
      <x:c r="N50" s="12" t="str">
        <x:v>Muerte</x:v>
      </x:c>
      <x:c r="O50" s="12" t="str">
        <x:v>Decreto 1072 de 2015; Resolución 0312 de 2019</x:v>
      </x:c>
      <x:c r="P50" s="14" t="n">
        <x:v>4</x:v>
      </x:c>
      <x:c r="Q50" t="str">
        <x:v>Muy alto</x:v>
      </x:c>
      <x:c r="R50" s="14" t="n">
        <x:f>IFERROR(VLOOKUP(Q50,Catalogos!$G:$H,2,FALSE),"")</x:f>
        <x:v>10</x:v>
      </x:c>
      <x:c r="S50" t="str">
        <x:v>Ocasional</x:v>
      </x:c>
      <x:c r="T50" s="14" t="n">
        <x:f>IFERROR(VLOOKUP(S50,Catalogos!$I:$J,2,FALSE),"")</x:f>
        <x:v>2</x:v>
      </x:c>
      <x:c r="U50" s="14" t="n">
        <x:f>IF(OR(R50="",T50=""),"",R50*T50)</x:f>
        <x:v>20</x:v>
      </x:c>
      <x:c r="V50" t="str">
        <x:f>IF(U50="","",IF(U50&gt;=24,"MUY ALTO",IF(U50&gt;=10,"ALTO",IF(U50&gt;=6,"MEDIO","BAJO"))))</x:f>
        <x:v>ALTO</x:v>
      </x:c>
      <x:c r="W50" t="str">
        <x:v>Mortal o catastrófico</x:v>
      </x:c>
      <x:c r="X50" s="14" t="n">
        <x:f>IFERROR(VLOOKUP(W50,Catalogos!$G:$H,2,FALSE),"")</x:f>
        <x:v>100</x:v>
      </x:c>
      <x:c r="Y50" s="14" t="n">
        <x:f>IF(OR(U50="",X50=""),"",U50*X50)</x:f>
        <x:v>2000</x:v>
      </x:c>
      <x:c r="Z50" t="str">
        <x:f>IF(Y50="","",IF(Y50&gt;=600,"I - Situación crítica. Suspender actividades hasta que el riesgo esté bajo control. Intervención urgente.",IF(Y50&gt;=150,"II - Corregir y adoptar medidas de control de inmediato.",IF(Y50&gt;=40,"III - Mejorar si es posible. Conviene justificar la intervención y su rentabilidad.","IV - Mantener controles existentes."))))</x:f>
        <x:v>I - Situación crítica. Suspender actividades hasta que el riesgo esté bajo control. Intervención urgente.</x:v>
      </x:c>
      <x:c r="AA50" t="str">
        <x:f>IF(Y50="","",IF(Y50&gt;=600,"No aceptable",IF(Y50&gt;=150,"No aceptable / Aceptable con control específico","Aceptable")))</x:f>
        <x:v>No aceptable</x:v>
      </x:c>
      <x:c r="AB50" s="12" t="str">
        <x:v>Eliminar recorridos en horarios/rutas de alto riesgo cuando sea posible</x:v>
      </x:c>
      <x:c r="AC50" s="12" t="str">
        <x:v>Cambiar rutas y medios de desplazamiento según análisis</x:v>
      </x:c>
      <x:c r="AD50" s="12" t="str">
        <x:v>Vehículos y comunicaciones seguras</x:v>
      </x:c>
      <x:c r="AE50" s="12" t="str">
        <x:v>Estudios de seguridad, planeación táctica y briefings</x:v>
      </x:c>
      <x:c r="AF50" s="12" t="str">
        <x:v>Chaleco balístico, radio, linterna</x:v>
      </x:c>
      <x:c r="AG50" s="12" t="str">
        <x:v>Director de Operaciones</x:v>
      </x:c>
      <x:c r="AH50" s="16" t="str">
        <x:v>2026-05-24</x:v>
      </x:c>
      <x:c r="AI50" s="12" t="str"/>
    </x:row>
    <x:row r="51">
      <x:c r="A51" t="str">
        <x:v>IPVR-050</x:v>
      </x:c>
      <x:c r="B51" t="str">
        <x:v>Valledupar</x:v>
      </x:c>
      <x:c r="C51" t="str">
        <x:v>Escolta</x:v>
      </x:c>
      <x:c r="D51" s="12" t="str">
        <x:v>Vías urbanas e intermunicipales</x:v>
      </x:c>
      <x:c r="E51" s="12" t="str">
        <x:v>Desplazamiento en operación de escolta</x:v>
      </x:c>
      <x:c r="F51" s="12" t="str">
        <x:v>Conducción preventiva en servicio</x:v>
      </x:c>
      <x:c r="G51" s="12" t="str">
        <x:v>Sí</x:v>
      </x:c>
      <x:c r="H51" s="12" t="str">
        <x:v>Condiciones de seguridad - Accidentes de tránsito</x:v>
      </x:c>
      <x:c r="I51" s="12" t="str">
        <x:v>Colisión o siniestro vial en desplazamiento operativo</x:v>
      </x:c>
      <x:c r="J51" s="12" t="str">
        <x:v>Politraumatismo, incapacidad, muerte</x:v>
      </x:c>
      <x:c r="K51" s="12" t="str">
        <x:v>Mantenimiento preventivo y control de velocidad</x:v>
      </x:c>
      <x:c r="L51" s="12" t="str">
        <x:v>GPS, frenos ABS, inspección vehicular</x:v>
      </x:c>
      <x:c r="M51" s="12" t="str">
        <x:v>Conducción defensiva y manejo evasivo autorizado</x:v>
      </x:c>
      <x:c r="N51" s="12" t="str">
        <x:v>Muerte</x:v>
      </x:c>
      <x:c r="O51" s="12" t="str">
        <x:v>Resolución 40595 de 2022; Decreto 1072 de 2015</x:v>
      </x:c>
      <x:c r="P51" s="14" t="n">
        <x:v>4</x:v>
      </x:c>
      <x:c r="Q51" t="str">
        <x:v>Alto</x:v>
      </x:c>
      <x:c r="R51" s="14" t="n">
        <x:f>IFERROR(VLOOKUP(Q51,Catalogos!$G:$H,2,FALSE),"")</x:f>
        <x:v>6</x:v>
      </x:c>
      <x:c r="S51" t="str">
        <x:v>Frecuente</x:v>
      </x:c>
      <x:c r="T51" s="14" t="n">
        <x:f>IFERROR(VLOOKUP(S51,Catalogos!$I:$J,2,FALSE),"")</x:f>
        <x:v>3</x:v>
      </x:c>
      <x:c r="U51" s="14" t="n">
        <x:f>IF(OR(R51="",T51=""),"",R51*T51)</x:f>
        <x:v>18</x:v>
      </x:c>
      <x:c r="V51" t="str">
        <x:f>IF(U51="","",IF(U51&gt;=24,"MUY ALTO",IF(U51&gt;=10,"ALTO",IF(U51&gt;=6,"MEDIO","BAJO"))))</x:f>
        <x:v>ALTO</x:v>
      </x:c>
      <x:c r="W51" t="str">
        <x:v>Muy grave</x:v>
      </x:c>
      <x:c r="X51" s="14" t="n">
        <x:f>IFERROR(VLOOKUP(W51,Catalogos!$G:$H,2,FALSE),"")</x:f>
        <x:v>60</x:v>
      </x:c>
      <x:c r="Y51" s="14" t="n">
        <x:f>IF(OR(U51="",X51=""),"",U51*X51)</x:f>
        <x:v>1080</x:v>
      </x:c>
      <x:c r="Z51" t="str">
        <x:f>IF(Y51="","",IF(Y51&gt;=600,"I - Situación crítica. Suspender actividades hasta que el riesgo esté bajo control. Intervención urgente.",IF(Y51&gt;=150,"II - Corregir y adoptar medidas de control de inmediato.",IF(Y51&gt;=40,"III - Mejorar si es posible. Conviene justificar la intervención y su rentabilidad.","IV - Mantener controles existentes."))))</x:f>
        <x:v>I - Situación crítica. Suspender actividades hasta que el riesgo esté bajo control. Intervención urgente.</x:v>
      </x:c>
      <x:c r="AA51" t="str">
        <x:f>IF(Y51="","",IF(Y51&gt;=600,"No aceptable",IF(Y51&gt;=150,"No aceptable / Aceptable con control específico","Aceptable")))</x:f>
        <x:v>No aceptable</x:v>
      </x:c>
      <x:c r="AB51" s="12" t="str">
        <x:v>Eliminar trayectos no indispensables</x:v>
      </x:c>
      <x:c r="AC51" s="12" t="str">
        <x:v>Uso de vehículo más seguro según nivel de riesgo</x:v>
      </x:c>
      <x:c r="AD51" s="12" t="str">
        <x:v>Sistemas de asistencia y monitoreo</x:v>
      </x:c>
      <x:c r="AE51" s="12" t="str">
        <x:v>PESV, turnos, control de fatiga y preoperacional</x:v>
      </x:c>
      <x:c r="AF51" s="12" t="str">
        <x:v>Cinturón de seguridad</x:v>
      </x:c>
      <x:c r="AG51" s="12" t="str">
        <x:v>Director de Operaciones</x:v>
      </x:c>
      <x:c r="AH51" s="16" t="str">
        <x:v>2026-05-24</x:v>
      </x:c>
      <x:c r="AI51" s="12" t="str"/>
    </x:row>
    <x:row r="52">
      <x:c r="A52" t="str">
        <x:v>IPVR-051</x:v>
      </x:c>
      <x:c r="B52" t="str">
        <x:v>Valledupar</x:v>
      </x:c>
      <x:c r="C52" t="str">
        <x:v>Escolta</x:v>
      </x:c>
      <x:c r="D52" s="12" t="str">
        <x:v>Vehículos / servicio operativo</x:v>
      </x:c>
      <x:c r="E52" s="12" t="str">
        <x:v>Jornadas operativas y vigilancia sostenida</x:v>
      </x:c>
      <x:c r="F52" s="12" t="str">
        <x:v>Mantener atención permanente durante largos turnos</x:v>
      </x:c>
      <x:c r="G52" s="12" t="str">
        <x:v>Sí</x:v>
      </x:c>
      <x:c r="H52" s="12" t="str">
        <x:v>Psicosocial</x:v>
      </x:c>
      <x:c r="I52" s="12" t="str">
        <x:v>Fatiga mental, turnicidad y presión operacional</x:v>
      </x:c>
      <x:c r="J52" s="12" t="str">
        <x:v>Distracción, errores operativos, alteraciones del sueño</x:v>
      </x:c>
      <x:c r="K52" s="12" t="str">
        <x:v>Planeación de relevos</x:v>
      </x:c>
      <x:c r="L52" s="12" t="str">
        <x:v>Espacios adecuados para descansos</x:v>
      </x:c>
      <x:c r="M52" s="12" t="str">
        <x:v>Higiene del sueño y autocuidado</x:v>
      </x:c>
      <x:c r="N52" s="12" t="str">
        <x:v>Error crítico en servicio</x:v>
      </x:c>
      <x:c r="O52" s="12" t="str">
        <x:v>Resolución 2646 de 2008; Decreto 1072 de 2015</x:v>
      </x:c>
      <x:c r="P52" s="14" t="n">
        <x:v>4</x:v>
      </x:c>
      <x:c r="Q52" t="str">
        <x:v>Medio</x:v>
      </x:c>
      <x:c r="R52" s="14" t="n">
        <x:f>IFERROR(VLOOKUP(Q52,Catalogos!$G:$H,2,FALSE),"")</x:f>
        <x:v>2</x:v>
      </x:c>
      <x:c r="S52" t="str">
        <x:v>Continua</x:v>
      </x:c>
      <x:c r="T52" s="14" t="n">
        <x:f>IFERROR(VLOOKUP(S52,Catalogos!$I:$J,2,FALSE),"")</x:f>
        <x:v>4</x:v>
      </x:c>
      <x:c r="U52" s="14" t="n">
        <x:f>IF(OR(R52="",T52=""),"",R52*T52)</x:f>
        <x:v>8</x:v>
      </x:c>
      <x:c r="V52" t="str">
        <x:f>IF(U52="","",IF(U52&gt;=24,"MUY ALTO",IF(U52&gt;=10,"ALTO",IF(U52&gt;=6,"MEDIO","BAJO"))))</x:f>
        <x:v>MEDIO</x:v>
      </x:c>
      <x:c r="W52" t="str">
        <x:v>Grave</x:v>
      </x:c>
      <x:c r="X52" s="14" t="n">
        <x:f>IFERROR(VLOOKUP(W52,Catalogos!$G:$H,2,FALSE),"")</x:f>
        <x:v>25</x:v>
      </x:c>
      <x:c r="Y52" s="14" t="n">
        <x:f>IF(OR(U52="",X52=""),"",U52*X52)</x:f>
        <x:v>200</x:v>
      </x:c>
      <x:c r="Z52" t="str">
        <x:f>IF(Y52="","",IF(Y52&gt;=600,"I - Situación crítica. Suspender actividades hasta que el riesgo esté bajo control. Intervención urgente.",IF(Y52&gt;=150,"II - Corregir y adoptar medidas de control de inmediato.",IF(Y52&gt;=40,"III - Mejorar si es posible. Conviene justificar la intervención y su rentabilidad.","IV - Mantener controles existentes."))))</x:f>
        <x:v>II - Corregir y adoptar medidas de control de inmediato.</x:v>
      </x:c>
      <x:c r="AA52" t="str">
        <x:f>IF(Y52="","",IF(Y52&gt;=600,"No aceptable",IF(Y52&gt;=150,"No aceptable / Aceptable con control específico","Aceptable")))</x:f>
        <x:v>No aceptable / Aceptable con control específico</x:v>
      </x:c>
      <x:c r="AB52" s="12" t="str">
        <x:v>Eliminar turnos excesivos</x:v>
      </x:c>
      <x:c r="AC52" s="12" t="str">
        <x:v>Relevo oportuno por personal disponible</x:v>
      </x:c>
      <x:c r="AD52" s="12" t="str">
        <x:v>Monitoreo de fatiga cuando aplique</x:v>
      </x:c>
      <x:c r="AE52" s="12" t="str">
        <x:v>Límites de jornada, pausas y seguimiento psicosocial</x:v>
      </x:c>
      <x:c r="AF52" s="12" t="str">
        <x:v>No aplica</x:v>
      </x:c>
      <x:c r="AG52" s="12" t="str">
        <x:v>Director de Operaciones</x:v>
      </x:c>
      <x:c r="AH52" s="16" t="str">
        <x:v>2026-05-24</x:v>
      </x:c>
      <x:c r="AI52" s="12" t="str"/>
    </x:row>
    <x:row r="53">
      <x:c r="A53" t="str">
        <x:v>IPVR-052</x:v>
      </x:c>
      <x:c r="B53" t="str">
        <x:v>Arauca</x:v>
      </x:c>
      <x:c r="C53" t="str">
        <x:v>Vigilancia física fija</x:v>
      </x:c>
      <x:c r="D53" s="12" t="str">
        <x:v>Puesto de vigilancia / accesos</x:v>
      </x:c>
      <x:c r="E53" s="12" t="str">
        <x:v>Control de accesos y verificación</x:v>
      </x:c>
      <x:c r="F53" s="12" t="str">
        <x:v>Permanecer de pie, registrar ingresos y realizar rondas cortas</x:v>
      </x:c>
      <x:c r="G53" s="12" t="str">
        <x:v>Sí</x:v>
      </x:c>
      <x:c r="H53" s="12" t="str">
        <x:v>Biomecánico</x:v>
      </x:c>
      <x:c r="I53" s="12" t="str">
        <x:v>Posturas prolongadas, bipedestación y desplazamientos frecuentes</x:v>
      </x:c>
      <x:c r="J53" s="12" t="str">
        <x:v>Fatiga muscular, lumbalgia, trastornos osteomusculares en miembros inferiores y columna</x:v>
      </x:c>
      <x:c r="K53" s="12" t="str">
        <x:v>Rotación parcial de tareas y pausas activas programadas</x:v>
      </x:c>
      <x:c r="L53" s="12" t="str">
        <x:v>Puntos de apoyo, silla de descanso en relevos y superficies niveladas</x:v>
      </x:c>
      <x:c r="M53" s="12" t="str">
        <x:v>Capacitación en higiene postural y uso de calzado ergonómico</x:v>
      </x:c>
      <x:c r="N53" s="12" t="str">
        <x:v>Trastorno musculoesquelético incapacitante</x:v>
      </x:c>
      <x:c r="O53" s="12" t="str">
        <x:v>Decreto 1072 de 2015; Resolución 0312 de 2019</x:v>
      </x:c>
      <x:c r="P53" s="14" t="n">
        <x:v>12</x:v>
      </x:c>
      <x:c r="Q53" t="str">
        <x:v>Medio</x:v>
      </x:c>
      <x:c r="R53" s="14" t="n">
        <x:f>IFERROR(VLOOKUP(Q53,Catalogos!$G:$H,2,FALSE),"")</x:f>
        <x:v>2</x:v>
      </x:c>
      <x:c r="S53" t="str">
        <x:v>Continua</x:v>
      </x:c>
      <x:c r="T53" s="14" t="n">
        <x:f>IFERROR(VLOOKUP(S53,Catalogos!$I:$J,2,FALSE),"")</x:f>
        <x:v>4</x:v>
      </x:c>
      <x:c r="U53" s="14" t="n">
        <x:f>IF(OR(R53="",T53=""),"",R53*T53)</x:f>
        <x:v>8</x:v>
      </x:c>
      <x:c r="V53" t="str">
        <x:f>IF(U53="","",IF(U53&gt;=24,"MUY ALTO",IF(U53&gt;=10,"ALTO",IF(U53&gt;=6,"MEDIO","BAJO"))))</x:f>
        <x:v>MEDIO</x:v>
      </x:c>
      <x:c r="W53" t="str">
        <x:v>Grave</x:v>
      </x:c>
      <x:c r="X53" s="14" t="n">
        <x:f>IFERROR(VLOOKUP(W53,Catalogos!$G:$H,2,FALSE),"")</x:f>
        <x:v>25</x:v>
      </x:c>
      <x:c r="Y53" s="14" t="n">
        <x:f>IF(OR(U53="",X53=""),"",U53*X53)</x:f>
        <x:v>200</x:v>
      </x:c>
      <x:c r="Z53" t="str">
        <x:f>IF(Y53="","",IF(Y53&gt;=600,"I - Situación crítica. Suspender actividades hasta que el riesgo esté bajo control. Intervención urgente.",IF(Y53&gt;=150,"II - Corregir y adoptar medidas de control de inmediato.",IF(Y53&gt;=40,"III - Mejorar si es posible. Conviene justificar la intervención y su rentabilidad.","IV - Mantener controles existentes."))))</x:f>
        <x:v>II - Corregir y adoptar medidas de control de inmediato.</x:v>
      </x:c>
      <x:c r="AA53" t="str">
        <x:f>IF(Y53="","",IF(Y53&gt;=600,"No aceptable",IF(Y53&gt;=150,"No aceptable / Aceptable con control específico","Aceptable")))</x:f>
        <x:v>No aceptable / Aceptable con control específico</x:v>
      </x:c>
      <x:c r="AB53" s="12" t="str">
        <x:v>Reorganizar el puesto para alternar tareas estáticas y dinámicas</x:v>
      </x:c>
      <x:c r="AC53" s="12" t="str">
        <x:v>No aplica</x:v>
      </x:c>
      <x:c r="AD53" s="12" t="str">
        <x:v>Adecuar apoyapiés y superficies ergonómicas</x:v>
      </x:c>
      <x:c r="AE53" s="12" t="str">
        <x:v>Pausas activas, rotación, inspecciones ergonómicas y seguimiento médico</x:v>
      </x:c>
      <x:c r="AF53" s="12" t="str">
        <x:v>Calzado de seguridad ergonómico</x:v>
      </x:c>
      <x:c r="AG53" s="12" t="str">
        <x:v>Director de Operaciones</x:v>
      </x:c>
      <x:c r="AH53" s="16" t="str">
        <x:v>2026-05-18</x:v>
      </x:c>
      <x:c r="AI53" s="12" t="str"/>
    </x:row>
    <x:row r="54">
      <x:c r="A54" t="str">
        <x:v>IPVR-053</x:v>
      </x:c>
      <x:c r="B54" t="str">
        <x:v>Arauca</x:v>
      </x:c>
      <x:c r="C54" t="str">
        <x:v>Vigilancia física fija</x:v>
      </x:c>
      <x:c r="D54" s="12" t="str">
        <x:v>Puesto de vigilancia / perímetro</x:v>
      </x:c>
      <x:c r="E54" s="12" t="str">
        <x:v>Vigilancia perimetral y atención de incidentes</x:v>
      </x:c>
      <x:c r="F54" s="12" t="str">
        <x:v>Interactuar con usuarios y controlar eventos de alteración del orden</x:v>
      </x:c>
      <x:c r="G54" s="12" t="str">
        <x:v>Sí</x:v>
      </x:c>
      <x:c r="H54" s="12" t="str">
        <x:v>Condiciones de seguridad - Público</x:v>
      </x:c>
      <x:c r="I54" s="12" t="str">
        <x:v>Agresión física o verbal, hurto, amenaza o alteración del orden público</x:v>
      </x:c>
      <x:c r="J54" s="12" t="str">
        <x:v>Contusiones, trauma psicológico, lesiones graves o muerte</x:v>
      </x:c>
      <x:c r="K54" s="12" t="str">
        <x:v>Protocolos de reacción y comunicación inmediata con central</x:v>
      </x:c>
      <x:c r="L54" s="12" t="str">
        <x:v>CCTV, radios, botón de pánico, iluminación exterior</x:v>
      </x:c>
      <x:c r="M54" s="12" t="str">
        <x:v>Entrenamiento en control de crisis y manejo defensivo</x:v>
      </x:c>
      <x:c r="N54" s="12" t="str">
        <x:v>Homicidio o lesión grave</x:v>
      </x:c>
      <x:c r="O54" s="12" t="str">
        <x:v>Decreto 1072 de 2015; Resolución 0312 de 2019</x:v>
      </x:c>
      <x:c r="P54" s="14" t="n">
        <x:v>12</x:v>
      </x:c>
      <x:c r="Q54" t="str">
        <x:v>Alto</x:v>
      </x:c>
      <x:c r="R54" s="14" t="n">
        <x:f>IFERROR(VLOOKUP(Q54,Catalogos!$G:$H,2,FALSE),"")</x:f>
        <x:v>6</x:v>
      </x:c>
      <x:c r="S54" t="str">
        <x:v>Ocasional</x:v>
      </x:c>
      <x:c r="T54" s="14" t="n">
        <x:f>IFERROR(VLOOKUP(S54,Catalogos!$I:$J,2,FALSE),"")</x:f>
        <x:v>2</x:v>
      </x:c>
      <x:c r="U54" s="14" t="n">
        <x:f>IF(OR(R54="",T54=""),"",R54*T54)</x:f>
        <x:v>12</x:v>
      </x:c>
      <x:c r="V54" t="str">
        <x:f>IF(U54="","",IF(U54&gt;=24,"MUY ALTO",IF(U54&gt;=10,"ALTO",IF(U54&gt;=6,"MEDIO","BAJO"))))</x:f>
        <x:v>ALTO</x:v>
      </x:c>
      <x:c r="W54" t="str">
        <x:v>Muy grave</x:v>
      </x:c>
      <x:c r="X54" s="14" t="n">
        <x:f>IFERROR(VLOOKUP(W54,Catalogos!$G:$H,2,FALSE),"")</x:f>
        <x:v>60</x:v>
      </x:c>
      <x:c r="Y54" s="14" t="n">
        <x:f>IF(OR(U54="",X54=""),"",U54*X54)</x:f>
        <x:v>720</x:v>
      </x:c>
      <x:c r="Z54" t="str">
        <x:f>IF(Y54="","",IF(Y54&gt;=600,"I - Situación crítica. Suspender actividades hasta que el riesgo esté bajo control. Intervención urgente.",IF(Y54&gt;=150,"II - Corregir y adoptar medidas de control de inmediato.",IF(Y54&gt;=40,"III - Mejorar si es posible. Conviene justificar la intervención y su rentabilidad.","IV - Mantener controles existentes."))))</x:f>
        <x:v>I - Situación crítica. Suspender actividades hasta que el riesgo esté bajo control. Intervención urgente.</x:v>
      </x:c>
      <x:c r="AA54" t="str">
        <x:f>IF(Y54="","",IF(Y54&gt;=600,"No aceptable",IF(Y54&gt;=150,"No aceptable / Aceptable con control específico","Aceptable")))</x:f>
        <x:v>No aceptable</x:v>
      </x:c>
      <x:c r="AB54" s="12" t="str">
        <x:v>Eliminar puntos ciegos y actividades en solitario de alto riesgo</x:v>
      </x:c>
      <x:c r="AC54" s="12" t="str">
        <x:v>Sustituir rondas aisladas por acompañamiento dual en sitios críticos</x:v>
      </x:c>
      <x:c r="AD54" s="12" t="str">
        <x:v>Mejorar CCTV, alarmas y control de acceso</x:v>
      </x:c>
      <x:c r="AE54" s="12" t="str">
        <x:v>Protocolos de reacción, análisis de seguridad por puesto, simulacros</x:v>
      </x:c>
      <x:c r="AF54" s="12" t="str">
        <x:v>Chaleco, linterna, radio, elemento de protección balística si aplica</x:v>
      </x:c>
      <x:c r="AG54" s="12" t="str">
        <x:v>Director de Operaciones</x:v>
      </x:c>
      <x:c r="AH54" s="16" t="str">
        <x:v>2026-05-18</x:v>
      </x:c>
      <x:c r="AI54" s="12" t="str"/>
    </x:row>
    <x:row r="55">
      <x:c r="A55" t="str">
        <x:v>IPVR-054</x:v>
      </x:c>
      <x:c r="B55" t="str">
        <x:v>Arauca</x:v>
      </x:c>
      <x:c r="C55" t="str">
        <x:v>Vigilancia física fija</x:v>
      </x:c>
      <x:c r="D55" s="12" t="str">
        <x:v>Áreas comunes / perímetro</x:v>
      </x:c>
      <x:c r="E55" s="12" t="str">
        <x:v>Rondas de inspección</x:v>
      </x:c>
      <x:c r="F55" s="12" t="str">
        <x:v>Desplazarse por escaleras, pasillos, zonas húmedas o irregulares</x:v>
      </x:c>
      <x:c r="G55" s="12" t="str">
        <x:v>Sí</x:v>
      </x:c>
      <x:c r="H55" s="12" t="str">
        <x:v>Condiciones de seguridad - Locativo</x:v>
      </x:c>
      <x:c r="I55" s="12" t="str">
        <x:v>Caídas al mismo nivel por superficies irregulares, húmedas o con obstáculos</x:v>
      </x:c>
      <x:c r="J55" s="12" t="str">
        <x:v>Esguinces, fracturas, golpes, incapacidad temporal</x:v>
      </x:c>
      <x:c r="K55" s="12" t="str">
        <x:v>Inspecciones locativas y corrección de condiciones inseguras</x:v>
      </x:c>
      <x:c r="L55" s="12" t="str">
        <x:v>Señalización, orden y aseo, iluminación adecuada</x:v>
      </x:c>
      <x:c r="M55" s="12" t="str">
        <x:v>Reporte oportuno de condiciones inseguras y atención al tránsito seguro</x:v>
      </x:c>
      <x:c r="N55" s="12" t="str">
        <x:v>Fractura con incapacidad prolongada</x:v>
      </x:c>
      <x:c r="O55" s="12" t="str">
        <x:v>Decreto 1072 de 2015; Resolución 0312 de 2019</x:v>
      </x:c>
      <x:c r="P55" s="14" t="n">
        <x:v>12</x:v>
      </x:c>
      <x:c r="Q55" t="str">
        <x:v>Alto</x:v>
      </x:c>
      <x:c r="R55" s="14" t="n">
        <x:f>IFERROR(VLOOKUP(Q55,Catalogos!$G:$H,2,FALSE),"")</x:f>
        <x:v>6</x:v>
      </x:c>
      <x:c r="S55" t="str">
        <x:v>Ocasional</x:v>
      </x:c>
      <x:c r="T55" s="14" t="n">
        <x:f>IFERROR(VLOOKUP(S55,Catalogos!$I:$J,2,FALSE),"")</x:f>
        <x:v>2</x:v>
      </x:c>
      <x:c r="U55" s="14" t="n">
        <x:f>IF(OR(R55="",T55=""),"",R55*T55)</x:f>
        <x:v>12</x:v>
      </x:c>
      <x:c r="V55" t="str">
        <x:f>IF(U55="","",IF(U55&gt;=24,"MUY ALTO",IF(U55&gt;=10,"ALTO",IF(U55&gt;=6,"MEDIO","BAJO"))))</x:f>
        <x:v>ALTO</x:v>
      </x:c>
      <x:c r="W55" t="str">
        <x:v>Grave</x:v>
      </x:c>
      <x:c r="X55" s="14" t="n">
        <x:f>IFERROR(VLOOKUP(W55,Catalogos!$G:$H,2,FALSE),"")</x:f>
        <x:v>25</x:v>
      </x:c>
      <x:c r="Y55" s="14" t="n">
        <x:f>IF(OR(U55="",X55=""),"",U55*X55)</x:f>
        <x:v>300</x:v>
      </x:c>
      <x:c r="Z55" t="str">
        <x:f>IF(Y55="","",IF(Y55&gt;=600,"I - Situación crítica. Suspender actividades hasta que el riesgo esté bajo control. Intervención urgente.",IF(Y55&gt;=150,"II - Corregir y adoptar medidas de control de inmediato.",IF(Y55&gt;=40,"III - Mejorar si es posible. Conviene justificar la intervención y su rentabilidad.","IV - Mantener controles existentes."))))</x:f>
        <x:v>II - Corregir y adoptar medidas de control de inmediato.</x:v>
      </x:c>
      <x:c r="AA55" t="str">
        <x:f>IF(Y55="","",IF(Y55&gt;=600,"No aceptable",IF(Y55&gt;=150,"No aceptable / Aceptable con control específico","Aceptable")))</x:f>
        <x:v>No aceptable / Aceptable con control específico</x:v>
      </x:c>
      <x:c r="AB55" s="12" t="str">
        <x:v>Eliminar obstáculos y desniveles inseguros</x:v>
      </x:c>
      <x:c r="AC55" s="12" t="str">
        <x:v>Revestimientos antideslizantes en zonas críticas</x:v>
      </x:c>
      <x:c r="AD55" s="12" t="str">
        <x:v>Mejorar drenajes y pisos</x:v>
      </x:c>
      <x:c r="AE55" s="12" t="str">
        <x:v>Inspecciones periódicas, orden y aseo, reporte de novedades</x:v>
      </x:c>
      <x:c r="AF55" s="12" t="str">
        <x:v>Calzado de seguridad antideslizante</x:v>
      </x:c>
      <x:c r="AG55" s="12" t="str">
        <x:v>Director de Operaciones</x:v>
      </x:c>
      <x:c r="AH55" s="16" t="str">
        <x:v>2026-05-18</x:v>
      </x:c>
      <x:c r="AI55" s="12" t="str"/>
    </x:row>
    <x:row r="56">
      <x:c r="A56" t="str">
        <x:v>IPVR-055</x:v>
      </x:c>
      <x:c r="B56" t="str">
        <x:v>Arauca</x:v>
      </x:c>
      <x:c r="C56" t="str">
        <x:v>Vigilancia física fija</x:v>
      </x:c>
      <x:c r="D56" s="12" t="str">
        <x:v>Garitas y perímetro externo</x:v>
      </x:c>
      <x:c r="E56" s="12" t="str">
        <x:v>Vigilancia exterior</x:v>
      </x:c>
      <x:c r="F56" s="12" t="str">
        <x:v>Exposición a radiación solar, lluvia y cambios bruscos de temperatura</x:v>
      </x:c>
      <x:c r="G56" s="12" t="str">
        <x:v>Sí</x:v>
      </x:c>
      <x:c r="H56" s="12" t="str">
        <x:v>Físico</x:v>
      </x:c>
      <x:c r="I56" s="12" t="str">
        <x:v>Exposición a radiación solar, calor, lluvia y disconfort térmico</x:v>
      </x:c>
      <x:c r="J56" s="12" t="str">
        <x:v>Deshidratación, cefalea, fatiga térmica, dermatosis</x:v>
      </x:c>
      <x:c r="K56" s="12" t="str">
        <x:v>Programación de relevos y zonas de sombra</x:v>
      </x:c>
      <x:c r="L56" s="12" t="str">
        <x:v>Cubiertas, hidratación disponible, ventilación</x:v>
      </x:c>
      <x:c r="M56" s="12" t="str">
        <x:v>Autocuidado e hidratación permanente</x:v>
      </x:c>
      <x:c r="N56" s="12" t="str">
        <x:v>Golpe de calor</x:v>
      </x:c>
      <x:c r="O56" s="12" t="str">
        <x:v>Decreto 1072 de 2015; Resolución 0312 de 2019</x:v>
      </x:c>
      <x:c r="P56" s="14" t="n">
        <x:v>12</x:v>
      </x:c>
      <x:c r="Q56" t="str">
        <x:v>Medio</x:v>
      </x:c>
      <x:c r="R56" s="14" t="n">
        <x:f>IFERROR(VLOOKUP(Q56,Catalogos!$G:$H,2,FALSE),"")</x:f>
        <x:v>2</x:v>
      </x:c>
      <x:c r="S56" t="str">
        <x:v>Frecuente</x:v>
      </x:c>
      <x:c r="T56" s="14" t="n">
        <x:f>IFERROR(VLOOKUP(S56,Catalogos!$I:$J,2,FALSE),"")</x:f>
        <x:v>3</x:v>
      </x:c>
      <x:c r="U56" s="14" t="n">
        <x:f>IF(OR(R56="",T56=""),"",R56*T56)</x:f>
        <x:v>6</x:v>
      </x:c>
      <x:c r="V56" t="str">
        <x:f>IF(U56="","",IF(U56&gt;=24,"MUY ALTO",IF(U56&gt;=10,"ALTO",IF(U56&gt;=6,"MEDIO","BAJO"))))</x:f>
        <x:v>MEDIO</x:v>
      </x:c>
      <x:c r="W56" t="str">
        <x:v>Leve</x:v>
      </x:c>
      <x:c r="X56" s="14" t="n">
        <x:f>IFERROR(VLOOKUP(W56,Catalogos!$G:$H,2,FALSE),"")</x:f>
        <x:v>10</x:v>
      </x:c>
      <x:c r="Y56" s="14" t="n">
        <x:f>IF(OR(U56="",X56=""),"",U56*X56)</x:f>
        <x:v>60</x:v>
      </x:c>
      <x:c r="Z56" t="str">
        <x:f>IF(Y56="","",IF(Y56&gt;=600,"I - Situación crítica. Suspender actividades hasta que el riesgo esté bajo control. Intervención urgente.",IF(Y56&gt;=150,"II - Corregir y adoptar medidas de control de inmediato.",IF(Y56&gt;=40,"III - Mejorar si es posible. Conviene justificar la intervención y su rentabilidad.","IV - Mantener controles existentes."))))</x:f>
        <x:v>III - Mejorar si es posible. Conviene justificar la intervención y su rentabilidad.</x:v>
      </x:c>
      <x:c r="AA56" t="str">
        <x:f>IF(Y56="","",IF(Y56&gt;=600,"No aceptable",IF(Y56&gt;=150,"No aceptable / Aceptable con control específico","Aceptable")))</x:f>
        <x:v>Aceptable</x:v>
      </x:c>
      <x:c r="AB56" s="12" t="str">
        <x:v>Reubicar puestos sin protección directa al clima cuando sea viable</x:v>
      </x:c>
      <x:c r="AC56" s="12" t="str">
        <x:v>No aplica</x:v>
      </x:c>
      <x:c r="AD56" s="12" t="str">
        <x:v>Instalar cubiertas y ventilación</x:v>
      </x:c>
      <x:c r="AE56" s="12" t="str">
        <x:v>Relevos, pausas de hidratación y seguimiento en temporadas críticas</x:v>
      </x:c>
      <x:c r="AF56" s="12" t="str">
        <x:v>Gorra, bloqueador solar, impermeable</x:v>
      </x:c>
      <x:c r="AG56" s="12" t="str">
        <x:v>Director de Operaciones</x:v>
      </x:c>
      <x:c r="AH56" s="16" t="str">
        <x:v>2026-05-18</x:v>
      </x:c>
      <x:c r="AI56" s="12" t="str"/>
    </x:row>
    <x:row r="57">
      <x:c r="A57" t="str">
        <x:v>IPVR-056</x:v>
      </x:c>
      <x:c r="B57" t="str">
        <x:v>Arauca</x:v>
      </x:c>
      <x:c r="C57" t="str">
        <x:v>Supervisión operativa y rondas</x:v>
      </x:c>
      <x:c r="D57" s="12" t="str">
        <x:v>Vías urbanas e intermunicipales</x:v>
      </x:c>
      <x:c r="E57" s="12" t="str">
        <x:v>Rondas motorizadas y desplazamiento entre puestos</x:v>
      </x:c>
      <x:c r="F57" s="12" t="str">
        <x:v>Conducir motocicleta o vehículo para supervisión de servicios</x:v>
      </x:c>
      <x:c r="G57" s="12" t="str">
        <x:v>Sí</x:v>
      </x:c>
      <x:c r="H57" s="12" t="str">
        <x:v>Condiciones de seguridad - Accidentes de tránsito</x:v>
      </x:c>
      <x:c r="I57" s="12" t="str">
        <x:v>Colisión, volcamiento, atropellamiento o siniestro vial</x:v>
      </x:c>
      <x:c r="J57" s="12" t="str">
        <x:v>Politraumatismo, incapacidad, muerte</x:v>
      </x:c>
      <x:c r="K57" s="12" t="str">
        <x:v>Mantenimiento preventivo y control de velocidad</x:v>
      </x:c>
      <x:c r="L57" s="12" t="str">
        <x:v>Vehículos en buen estado, GPS, reflectivos</x:v>
      </x:c>
      <x:c r="M57" s="12" t="str">
        <x:v>Capacitación PESV y conducción defensiva</x:v>
      </x:c>
      <x:c r="N57" s="12" t="str">
        <x:v>Muerte</x:v>
      </x:c>
      <x:c r="O57" s="12" t="str">
        <x:v>Resolución 40595 de 2022; Decreto 1072 de 2015</x:v>
      </x:c>
      <x:c r="P57" s="14" t="n">
        <x:v>2</x:v>
      </x:c>
      <x:c r="Q57" t="str">
        <x:v>Muy alto</x:v>
      </x:c>
      <x:c r="R57" s="14" t="n">
        <x:f>IFERROR(VLOOKUP(Q57,Catalogos!$G:$H,2,FALSE),"")</x:f>
        <x:v>10</x:v>
      </x:c>
      <x:c r="S57" t="str">
        <x:v>Frecuente</x:v>
      </x:c>
      <x:c r="T57" s="14" t="n">
        <x:f>IFERROR(VLOOKUP(S57,Catalogos!$I:$J,2,FALSE),"")</x:f>
        <x:v>3</x:v>
      </x:c>
      <x:c r="U57" s="14" t="n">
        <x:f>IF(OR(R57="",T57=""),"",R57*T57)</x:f>
        <x:v>30</x:v>
      </x:c>
      <x:c r="V57" t="str">
        <x:f>IF(U57="","",IF(U57&gt;=24,"MUY ALTO",IF(U57&gt;=10,"ALTO",IF(U57&gt;=6,"MEDIO","BAJO"))))</x:f>
        <x:v>MUY ALTO</x:v>
      </x:c>
      <x:c r="W57" t="str">
        <x:v>Muy grave</x:v>
      </x:c>
      <x:c r="X57" s="14" t="n">
        <x:f>IFERROR(VLOOKUP(W57,Catalogos!$G:$H,2,FALSE),"")</x:f>
        <x:v>60</x:v>
      </x:c>
      <x:c r="Y57" s="14" t="n">
        <x:f>IF(OR(U57="",X57=""),"",U57*X57)</x:f>
        <x:v>1800</x:v>
      </x:c>
      <x:c r="Z57" t="str">
        <x:f>IF(Y57="","",IF(Y57&gt;=600,"I - Situación crítica. Suspender actividades hasta que el riesgo esté bajo control. Intervención urgente.",IF(Y57&gt;=150,"II - Corregir y adoptar medidas de control de inmediato.",IF(Y57&gt;=40,"III - Mejorar si es posible. Conviene justificar la intervención y su rentabilidad.","IV - Mantener controles existentes."))))</x:f>
        <x:v>I - Situación crítica. Suspender actividades hasta que el riesgo esté bajo control. Intervención urgente.</x:v>
      </x:c>
      <x:c r="AA57" t="str">
        <x:f>IF(Y57="","",IF(Y57&gt;=600,"No aceptable",IF(Y57&gt;=150,"No aceptable / Aceptable con control específico","Aceptable")))</x:f>
        <x:v>No aceptable</x:v>
      </x:c>
      <x:c r="AB57" s="12" t="str">
        <x:v>Eliminar desplazamientos innecesarios</x:v>
      </x:c>
      <x:c r="AC57" s="12" t="str">
        <x:v>Sustituir motocicleta por vehículo en trayectos críticos cuando aplique</x:v>
      </x:c>
      <x:c r="AD57" s="12" t="str">
        <x:v>GPS, cámaras y mantenimientos</x:v>
      </x:c>
      <x:c r="AE57" s="12" t="str">
        <x:v>PESV, control de fatiga, inspección preoperacional</x:v>
      </x:c>
      <x:c r="AF57" s="12" t="str">
        <x:v>Casco certificado, chaleco reflectivo</x:v>
      </x:c>
      <x:c r="AG57" s="12" t="str">
        <x:v>Director de Operaciones</x:v>
      </x:c>
      <x:c r="AH57" s="16" t="str">
        <x:v>2026-05-18</x:v>
      </x:c>
      <x:c r="AI57" s="12" t="str"/>
    </x:row>
    <x:row r="58">
      <x:c r="A58" t="str">
        <x:v>IPVR-057</x:v>
      </x:c>
      <x:c r="B58" t="str">
        <x:v>Arauca</x:v>
      </x:c>
      <x:c r="C58" t="str">
        <x:v>Supervisión operativa y rondas</x:v>
      </x:c>
      <x:c r="D58" s="12" t="str">
        <x:v>Puestos externos / vía pública</x:v>
      </x:c>
      <x:c r="E58" s="12" t="str">
        <x:v>Atención de novedades e inspecciones en campo</x:v>
      </x:c>
      <x:c r="F58" s="12" t="str">
        <x:v>Ingresar a sitios con potencial alteración de orden público</x:v>
      </x:c>
      <x:c r="G58" s="12" t="str">
        <x:v>Sí</x:v>
      </x:c>
      <x:c r="H58" s="12" t="str">
        <x:v>Condiciones de seguridad - Público</x:v>
      </x:c>
      <x:c r="I58" s="12" t="str">
        <x:v>Asalto, amenaza, retención o agresión de terceros</x:v>
      </x:c>
      <x:c r="J58" s="12" t="str">
        <x:v>Lesiones, trauma psicológico, muerte</x:v>
      </x:c>
      <x:c r="K58" s="12" t="str">
        <x:v>Protocolos de apoyo y monitoreo</x:v>
      </x:c>
      <x:c r="L58" s="12" t="str">
        <x:v>Comunicación permanente con central y georreferenciación</x:v>
      </x:c>
      <x:c r="M58" s="12" t="str">
        <x:v>Entrenamiento de reacción segura y autoprotección</x:v>
      </x:c>
      <x:c r="N58" s="12" t="str">
        <x:v>Lesión grave o muerte</x:v>
      </x:c>
      <x:c r="O58" s="12" t="str">
        <x:v>Decreto 1072 de 2015; Resolución 0312 de 2019</x:v>
      </x:c>
      <x:c r="P58" s="14" t="n">
        <x:v>2</x:v>
      </x:c>
      <x:c r="Q58" t="str">
        <x:v>Alto</x:v>
      </x:c>
      <x:c r="R58" s="14" t="n">
        <x:f>IFERROR(VLOOKUP(Q58,Catalogos!$G:$H,2,FALSE),"")</x:f>
        <x:v>6</x:v>
      </x:c>
      <x:c r="S58" t="str">
        <x:v>Ocasional</x:v>
      </x:c>
      <x:c r="T58" s="14" t="n">
        <x:f>IFERROR(VLOOKUP(S58,Catalogos!$I:$J,2,FALSE),"")</x:f>
        <x:v>2</x:v>
      </x:c>
      <x:c r="U58" s="14" t="n">
        <x:f>IF(OR(R58="",T58=""),"",R58*T58)</x:f>
        <x:v>12</x:v>
      </x:c>
      <x:c r="V58" t="str">
        <x:f>IF(U58="","",IF(U58&gt;=24,"MUY ALTO",IF(U58&gt;=10,"ALTO",IF(U58&gt;=6,"MEDIO","BAJO"))))</x:f>
        <x:v>ALTO</x:v>
      </x:c>
      <x:c r="W58" t="str">
        <x:v>Muy grave</x:v>
      </x:c>
      <x:c r="X58" s="14" t="n">
        <x:f>IFERROR(VLOOKUP(W58,Catalogos!$G:$H,2,FALSE),"")</x:f>
        <x:v>60</x:v>
      </x:c>
      <x:c r="Y58" s="14" t="n">
        <x:f>IF(OR(U58="",X58=""),"",U58*X58)</x:f>
        <x:v>720</x:v>
      </x:c>
      <x:c r="Z58" t="str">
        <x:f>IF(Y58="","",IF(Y58&gt;=600,"I - Situación crítica. Suspender actividades hasta que el riesgo esté bajo control. Intervención urgente.",IF(Y58&gt;=150,"II - Corregir y adoptar medidas de control de inmediato.",IF(Y58&gt;=40,"III - Mejorar si es posible. Conviene justificar la intervención y su rentabilidad.","IV - Mantener controles existentes."))))</x:f>
        <x:v>I - Situación crítica. Suspender actividades hasta que el riesgo esté bajo control. Intervención urgente.</x:v>
      </x:c>
      <x:c r="AA58" t="str">
        <x:f>IF(Y58="","",IF(Y58&gt;=600,"No aceptable",IF(Y58&gt;=150,"No aceptable / Aceptable con control específico","Aceptable")))</x:f>
        <x:v>No aceptable</x:v>
      </x:c>
      <x:c r="AB58" s="12" t="str">
        <x:v>Suspender atención individual en zonas críticas</x:v>
      </x:c>
      <x:c r="AC58" s="12" t="str">
        <x:v>Acompañamiento dual o apoyo policial en zonas de alto riesgo</x:v>
      </x:c>
      <x:c r="AD58" s="12" t="str">
        <x:v>Dispositivos de comunicación redundante</x:v>
      </x:c>
      <x:c r="AE58" s="12" t="str">
        <x:v>Mapas de riesgo, briefing previo y protocolos de atención</x:v>
      </x:c>
      <x:c r="AF58" s="12" t="str">
        <x:v>Chaleco, radio, linterna táctica</x:v>
      </x:c>
      <x:c r="AG58" s="12" t="str">
        <x:v>Director de Operaciones</x:v>
      </x:c>
      <x:c r="AH58" s="16" t="str">
        <x:v>2026-05-18</x:v>
      </x:c>
      <x:c r="AI58" s="12" t="str"/>
    </x:row>
    <x:row r="59">
      <x:c r="A59" t="str">
        <x:v>IPVR-058</x:v>
      </x:c>
      <x:c r="B59" t="str">
        <x:v>Bogotá</x:v>
      </x:c>
      <x:c r="C59" t="str">
        <x:v>Vigilancia física fija</x:v>
      </x:c>
      <x:c r="D59" s="12" t="str">
        <x:v>Puesto de vigilancia / accesos</x:v>
      </x:c>
      <x:c r="E59" s="12" t="str">
        <x:v>Control de accesos y verificación</x:v>
      </x:c>
      <x:c r="F59" s="12" t="str">
        <x:v>Permanecer de pie, registrar ingresos y realizar rondas cortas</x:v>
      </x:c>
      <x:c r="G59" s="12" t="str">
        <x:v>Sí</x:v>
      </x:c>
      <x:c r="H59" s="12" t="str">
        <x:v>Biomecánico</x:v>
      </x:c>
      <x:c r="I59" s="12" t="str">
        <x:v>Posturas prolongadas, bipedestación y desplazamientos frecuentes</x:v>
      </x:c>
      <x:c r="J59" s="12" t="str">
        <x:v>Fatiga muscular, lumbalgia, trastornos osteomusculares en miembros inferiores y columna</x:v>
      </x:c>
      <x:c r="K59" s="12" t="str">
        <x:v>Rotación parcial de tareas y pausas activas programadas</x:v>
      </x:c>
      <x:c r="L59" s="12" t="str">
        <x:v>Puntos de apoyo, silla de descanso en relevos y superficies niveladas</x:v>
      </x:c>
      <x:c r="M59" s="12" t="str">
        <x:v>Capacitación en higiene postural y uso de calzado ergonómico</x:v>
      </x:c>
      <x:c r="N59" s="12" t="str">
        <x:v>Trastorno musculoesquelético incapacitante</x:v>
      </x:c>
      <x:c r="O59" s="12" t="str">
        <x:v>Decreto 1072 de 2015; Resolución 0312 de 2019</x:v>
      </x:c>
      <x:c r="P59" s="14" t="n">
        <x:v>30</x:v>
      </x:c>
      <x:c r="Q59" t="str">
        <x:v>Medio</x:v>
      </x:c>
      <x:c r="R59" s="14" t="n">
        <x:f>IFERROR(VLOOKUP(Q59,Catalogos!$G:$H,2,FALSE),"")</x:f>
        <x:v>2</x:v>
      </x:c>
      <x:c r="S59" t="str">
        <x:v>Continua</x:v>
      </x:c>
      <x:c r="T59" s="14" t="n">
        <x:f>IFERROR(VLOOKUP(S59,Catalogos!$I:$J,2,FALSE),"")</x:f>
        <x:v>4</x:v>
      </x:c>
      <x:c r="U59" s="14" t="n">
        <x:f>IF(OR(R59="",T59=""),"",R59*T59)</x:f>
        <x:v>8</x:v>
      </x:c>
      <x:c r="V59" t="str">
        <x:f>IF(U59="","",IF(U59&gt;=24,"MUY ALTO",IF(U59&gt;=10,"ALTO",IF(U59&gt;=6,"MEDIO","BAJO"))))</x:f>
        <x:v>MEDIO</x:v>
      </x:c>
      <x:c r="W59" t="str">
        <x:v>Grave</x:v>
      </x:c>
      <x:c r="X59" s="14" t="n">
        <x:f>IFERROR(VLOOKUP(W59,Catalogos!$G:$H,2,FALSE),"")</x:f>
        <x:v>25</x:v>
      </x:c>
      <x:c r="Y59" s="14" t="n">
        <x:f>IF(OR(U59="",X59=""),"",U59*X59)</x:f>
        <x:v>200</x:v>
      </x:c>
      <x:c r="Z59" t="str">
        <x:f>IF(Y59="","",IF(Y59&gt;=600,"I - Situación crítica. Suspender actividades hasta que el riesgo esté bajo control. Intervención urgente.",IF(Y59&gt;=150,"II - Corregir y adoptar medidas de control de inmediato.",IF(Y59&gt;=40,"III - Mejorar si es posible. Conviene justificar la intervención y su rentabilidad.","IV - Mantener controles existentes."))))</x:f>
        <x:v>II - Corregir y adoptar medidas de control de inmediato.</x:v>
      </x:c>
      <x:c r="AA59" t="str">
        <x:f>IF(Y59="","",IF(Y59&gt;=600,"No aceptable",IF(Y59&gt;=150,"No aceptable / Aceptable con control específico","Aceptable")))</x:f>
        <x:v>No aceptable / Aceptable con control específico</x:v>
      </x:c>
      <x:c r="AB59" s="12" t="str">
        <x:v>Reorganizar el puesto para alternar tareas estáticas y dinámicas</x:v>
      </x:c>
      <x:c r="AC59" s="12" t="str">
        <x:v>No aplica</x:v>
      </x:c>
      <x:c r="AD59" s="12" t="str">
        <x:v>Adecuar apoyapiés y superficies ergonómicas</x:v>
      </x:c>
      <x:c r="AE59" s="12" t="str">
        <x:v>Pausas activas, rotación, inspecciones ergonómicas y seguimiento médico</x:v>
      </x:c>
      <x:c r="AF59" s="12" t="str">
        <x:v>Calzado de seguridad ergonómico</x:v>
      </x:c>
      <x:c r="AG59" s="12" t="str">
        <x:v>Director de Operaciones</x:v>
      </x:c>
      <x:c r="AH59" s="16" t="str">
        <x:v>2026-05-30</x:v>
      </x:c>
      <x:c r="AI59" s="12" t="str"/>
    </x:row>
    <x:row r="60">
      <x:c r="A60" t="str">
        <x:v>IPVR-059</x:v>
      </x:c>
      <x:c r="B60" t="str">
        <x:v>Bogotá</x:v>
      </x:c>
      <x:c r="C60" t="str">
        <x:v>Vigilancia física fija</x:v>
      </x:c>
      <x:c r="D60" s="12" t="str">
        <x:v>Puesto de vigilancia / perímetro</x:v>
      </x:c>
      <x:c r="E60" s="12" t="str">
        <x:v>Vigilancia perimetral y atención de incidentes</x:v>
      </x:c>
      <x:c r="F60" s="12" t="str">
        <x:v>Interactuar con usuarios y controlar eventos de alteración del orden</x:v>
      </x:c>
      <x:c r="G60" s="12" t="str">
        <x:v>Sí</x:v>
      </x:c>
      <x:c r="H60" s="12" t="str">
        <x:v>Condiciones de seguridad - Público</x:v>
      </x:c>
      <x:c r="I60" s="12" t="str">
        <x:v>Agresión física o verbal, hurto, amenaza o alteración del orden público</x:v>
      </x:c>
      <x:c r="J60" s="12" t="str">
        <x:v>Contusiones, trauma psicológico, lesiones graves o muerte</x:v>
      </x:c>
      <x:c r="K60" s="12" t="str">
        <x:v>Protocolos de reacción y comunicación inmediata con central</x:v>
      </x:c>
      <x:c r="L60" s="12" t="str">
        <x:v>CCTV, radios, botón de pánico, iluminación exterior</x:v>
      </x:c>
      <x:c r="M60" s="12" t="str">
        <x:v>Entrenamiento en control de crisis y manejo defensivo</x:v>
      </x:c>
      <x:c r="N60" s="12" t="str">
        <x:v>Homicidio o lesión grave</x:v>
      </x:c>
      <x:c r="O60" s="12" t="str">
        <x:v>Decreto 1072 de 2015; Resolución 0312 de 2019</x:v>
      </x:c>
      <x:c r="P60" s="14" t="n">
        <x:v>30</x:v>
      </x:c>
      <x:c r="Q60" t="str">
        <x:v>Alto</x:v>
      </x:c>
      <x:c r="R60" s="14" t="n">
        <x:f>IFERROR(VLOOKUP(Q60,Catalogos!$G:$H,2,FALSE),"")</x:f>
        <x:v>6</x:v>
      </x:c>
      <x:c r="S60" t="str">
        <x:v>Ocasional</x:v>
      </x:c>
      <x:c r="T60" s="14" t="n">
        <x:f>IFERROR(VLOOKUP(S60,Catalogos!$I:$J,2,FALSE),"")</x:f>
        <x:v>2</x:v>
      </x:c>
      <x:c r="U60" s="14" t="n">
        <x:f>IF(OR(R60="",T60=""),"",R60*T60)</x:f>
        <x:v>12</x:v>
      </x:c>
      <x:c r="V60" t="str">
        <x:f>IF(U60="","",IF(U60&gt;=24,"MUY ALTO",IF(U60&gt;=10,"ALTO",IF(U60&gt;=6,"MEDIO","BAJO"))))</x:f>
        <x:v>ALTO</x:v>
      </x:c>
      <x:c r="W60" t="str">
        <x:v>Muy grave</x:v>
      </x:c>
      <x:c r="X60" s="14" t="n">
        <x:f>IFERROR(VLOOKUP(W60,Catalogos!$G:$H,2,FALSE),"")</x:f>
        <x:v>60</x:v>
      </x:c>
      <x:c r="Y60" s="14" t="n">
        <x:f>IF(OR(U60="",X60=""),"",U60*X60)</x:f>
        <x:v>720</x:v>
      </x:c>
      <x:c r="Z60" t="str">
        <x:f>IF(Y60="","",IF(Y60&gt;=600,"I - Situación crítica. Suspender actividades hasta que el riesgo esté bajo control. Intervención urgente.",IF(Y60&gt;=150,"II - Corregir y adoptar medidas de control de inmediato.",IF(Y60&gt;=40,"III - Mejorar si es posible. Conviene justificar la intervención y su rentabilidad.","IV - Mantener controles existentes."))))</x:f>
        <x:v>I - Situación crítica. Suspender actividades hasta que el riesgo esté bajo control. Intervención urgente.</x:v>
      </x:c>
      <x:c r="AA60" t="str">
        <x:f>IF(Y60="","",IF(Y60&gt;=600,"No aceptable",IF(Y60&gt;=150,"No aceptable / Aceptable con control específico","Aceptable")))</x:f>
        <x:v>No aceptable</x:v>
      </x:c>
      <x:c r="AB60" s="12" t="str">
        <x:v>Eliminar puntos ciegos y actividades en solitario de alto riesgo</x:v>
      </x:c>
      <x:c r="AC60" s="12" t="str">
        <x:v>Sustituir rondas aisladas por acompañamiento dual en sitios críticos</x:v>
      </x:c>
      <x:c r="AD60" s="12" t="str">
        <x:v>Mejorar CCTV, alarmas y control de acceso</x:v>
      </x:c>
      <x:c r="AE60" s="12" t="str">
        <x:v>Protocolos de reacción, análisis de seguridad por puesto, simulacros</x:v>
      </x:c>
      <x:c r="AF60" s="12" t="str">
        <x:v>Chaleco, linterna, radio, elemento de protección balística si aplica</x:v>
      </x:c>
      <x:c r="AG60" s="12" t="str">
        <x:v>Director de Operaciones</x:v>
      </x:c>
      <x:c r="AH60" s="16" t="str">
        <x:v>2026-05-30</x:v>
      </x:c>
      <x:c r="AI60" s="12" t="str"/>
    </x:row>
    <x:row r="61">
      <x:c r="A61" t="str">
        <x:v>IPVR-060</x:v>
      </x:c>
      <x:c r="B61" t="str">
        <x:v>Bogotá</x:v>
      </x:c>
      <x:c r="C61" t="str">
        <x:v>Vigilancia física fija</x:v>
      </x:c>
      <x:c r="D61" s="12" t="str">
        <x:v>Áreas comunes / perímetro</x:v>
      </x:c>
      <x:c r="E61" s="12" t="str">
        <x:v>Rondas de inspección</x:v>
      </x:c>
      <x:c r="F61" s="12" t="str">
        <x:v>Desplazarse por escaleras, pasillos, zonas húmedas o irregulares</x:v>
      </x:c>
      <x:c r="G61" s="12" t="str">
        <x:v>Sí</x:v>
      </x:c>
      <x:c r="H61" s="12" t="str">
        <x:v>Condiciones de seguridad - Locativo</x:v>
      </x:c>
      <x:c r="I61" s="12" t="str">
        <x:v>Caídas al mismo nivel por superficies irregulares, húmedas o con obstáculos</x:v>
      </x:c>
      <x:c r="J61" s="12" t="str">
        <x:v>Esguinces, fracturas, golpes, incapacidad temporal</x:v>
      </x:c>
      <x:c r="K61" s="12" t="str">
        <x:v>Inspecciones locativas y corrección de condiciones inseguras</x:v>
      </x:c>
      <x:c r="L61" s="12" t="str">
        <x:v>Señalización, orden y aseo, iluminación adecuada</x:v>
      </x:c>
      <x:c r="M61" s="12" t="str">
        <x:v>Reporte oportuno de condiciones inseguras y atención al tránsito seguro</x:v>
      </x:c>
      <x:c r="N61" s="12" t="str">
        <x:v>Fractura con incapacidad prolongada</x:v>
      </x:c>
      <x:c r="O61" s="12" t="str">
        <x:v>Decreto 1072 de 2015; Resolución 0312 de 2019</x:v>
      </x:c>
      <x:c r="P61" s="14" t="n">
        <x:v>30</x:v>
      </x:c>
      <x:c r="Q61" t="str">
        <x:v>Alto</x:v>
      </x:c>
      <x:c r="R61" s="14" t="n">
        <x:f>IFERROR(VLOOKUP(Q61,Catalogos!$G:$H,2,FALSE),"")</x:f>
        <x:v>6</x:v>
      </x:c>
      <x:c r="S61" t="str">
        <x:v>Ocasional</x:v>
      </x:c>
      <x:c r="T61" s="14" t="n">
        <x:f>IFERROR(VLOOKUP(S61,Catalogos!$I:$J,2,FALSE),"")</x:f>
        <x:v>2</x:v>
      </x:c>
      <x:c r="U61" s="14" t="n">
        <x:f>IF(OR(R61="",T61=""),"",R61*T61)</x:f>
        <x:v>12</x:v>
      </x:c>
      <x:c r="V61" t="str">
        <x:f>IF(U61="","",IF(U61&gt;=24,"MUY ALTO",IF(U61&gt;=10,"ALTO",IF(U61&gt;=6,"MEDIO","BAJO"))))</x:f>
        <x:v>ALTO</x:v>
      </x:c>
      <x:c r="W61" t="str">
        <x:v>Grave</x:v>
      </x:c>
      <x:c r="X61" s="14" t="n">
        <x:f>IFERROR(VLOOKUP(W61,Catalogos!$G:$H,2,FALSE),"")</x:f>
        <x:v>25</x:v>
      </x:c>
      <x:c r="Y61" s="14" t="n">
        <x:f>IF(OR(U61="",X61=""),"",U61*X61)</x:f>
        <x:v>300</x:v>
      </x:c>
      <x:c r="Z61" t="str">
        <x:f>IF(Y61="","",IF(Y61&gt;=600,"I - Situación crítica. Suspender actividades hasta que el riesgo esté bajo control. Intervención urgente.",IF(Y61&gt;=150,"II - Corregir y adoptar medidas de control de inmediato.",IF(Y61&gt;=40,"III - Mejorar si es posible. Conviene justificar la intervención y su rentabilidad.","IV - Mantener controles existentes."))))</x:f>
        <x:v>II - Corregir y adoptar medidas de control de inmediato.</x:v>
      </x:c>
      <x:c r="AA61" t="str">
        <x:f>IF(Y61="","",IF(Y61&gt;=600,"No aceptable",IF(Y61&gt;=150,"No aceptable / Aceptable con control específico","Aceptable")))</x:f>
        <x:v>No aceptable / Aceptable con control específico</x:v>
      </x:c>
      <x:c r="AB61" s="12" t="str">
        <x:v>Eliminar obstáculos y desniveles inseguros</x:v>
      </x:c>
      <x:c r="AC61" s="12" t="str">
        <x:v>Revestimientos antideslizantes en zonas críticas</x:v>
      </x:c>
      <x:c r="AD61" s="12" t="str">
        <x:v>Mejorar drenajes y pisos</x:v>
      </x:c>
      <x:c r="AE61" s="12" t="str">
        <x:v>Inspecciones periódicas, orden y aseo, reporte de novedades</x:v>
      </x:c>
      <x:c r="AF61" s="12" t="str">
        <x:v>Calzado de seguridad antideslizante</x:v>
      </x:c>
      <x:c r="AG61" s="12" t="str">
        <x:v>Director de Operaciones</x:v>
      </x:c>
      <x:c r="AH61" s="16" t="str">
        <x:v>2026-05-30</x:v>
      </x:c>
      <x:c r="AI61" s="12" t="str"/>
    </x:row>
    <x:row r="62">
      <x:c r="A62" t="str">
        <x:v>IPVR-061</x:v>
      </x:c>
      <x:c r="B62" t="str">
        <x:v>Bogotá</x:v>
      </x:c>
      <x:c r="C62" t="str">
        <x:v>Vigilancia física fija</x:v>
      </x:c>
      <x:c r="D62" s="12" t="str">
        <x:v>Garitas y perímetro externo</x:v>
      </x:c>
      <x:c r="E62" s="12" t="str">
        <x:v>Vigilancia exterior</x:v>
      </x:c>
      <x:c r="F62" s="12" t="str">
        <x:v>Exposición a radiación solar, lluvia y cambios bruscos de temperatura</x:v>
      </x:c>
      <x:c r="G62" s="12" t="str">
        <x:v>Sí</x:v>
      </x:c>
      <x:c r="H62" s="12" t="str">
        <x:v>Físico</x:v>
      </x:c>
      <x:c r="I62" s="12" t="str">
        <x:v>Exposición a radiación solar, calor, lluvia y disconfort térmico</x:v>
      </x:c>
      <x:c r="J62" s="12" t="str">
        <x:v>Deshidratación, cefalea, fatiga térmica, dermatosis</x:v>
      </x:c>
      <x:c r="K62" s="12" t="str">
        <x:v>Programación de relevos y zonas de sombra</x:v>
      </x:c>
      <x:c r="L62" s="12" t="str">
        <x:v>Cubiertas, hidratación disponible, ventilación</x:v>
      </x:c>
      <x:c r="M62" s="12" t="str">
        <x:v>Autocuidado e hidratación permanente</x:v>
      </x:c>
      <x:c r="N62" s="12" t="str">
        <x:v>Golpe de calor</x:v>
      </x:c>
      <x:c r="O62" s="12" t="str">
        <x:v>Decreto 1072 de 2015; Resolución 0312 de 2019</x:v>
      </x:c>
      <x:c r="P62" s="14" t="n">
        <x:v>30</x:v>
      </x:c>
      <x:c r="Q62" t="str">
        <x:v>Medio</x:v>
      </x:c>
      <x:c r="R62" s="14" t="n">
        <x:f>IFERROR(VLOOKUP(Q62,Catalogos!$G:$H,2,FALSE),"")</x:f>
        <x:v>2</x:v>
      </x:c>
      <x:c r="S62" t="str">
        <x:v>Frecuente</x:v>
      </x:c>
      <x:c r="T62" s="14" t="n">
        <x:f>IFERROR(VLOOKUP(S62,Catalogos!$I:$J,2,FALSE),"")</x:f>
        <x:v>3</x:v>
      </x:c>
      <x:c r="U62" s="14" t="n">
        <x:f>IF(OR(R62="",T62=""),"",R62*T62)</x:f>
        <x:v>6</x:v>
      </x:c>
      <x:c r="V62" t="str">
        <x:f>IF(U62="","",IF(U62&gt;=24,"MUY ALTO",IF(U62&gt;=10,"ALTO",IF(U62&gt;=6,"MEDIO","BAJO"))))</x:f>
        <x:v>MEDIO</x:v>
      </x:c>
      <x:c r="W62" t="str">
        <x:v>Leve</x:v>
      </x:c>
      <x:c r="X62" s="14" t="n">
        <x:f>IFERROR(VLOOKUP(W62,Catalogos!$G:$H,2,FALSE),"")</x:f>
        <x:v>10</x:v>
      </x:c>
      <x:c r="Y62" s="14" t="n">
        <x:f>IF(OR(U62="",X62=""),"",U62*X62)</x:f>
        <x:v>60</x:v>
      </x:c>
      <x:c r="Z62" t="str">
        <x:f>IF(Y62="","",IF(Y62&gt;=600,"I - Situación crítica. Suspender actividades hasta que el riesgo esté bajo control. Intervención urgente.",IF(Y62&gt;=150,"II - Corregir y adoptar medidas de control de inmediato.",IF(Y62&gt;=40,"III - Mejorar si es posible. Conviene justificar la intervención y su rentabilidad.","IV - Mantener controles existentes."))))</x:f>
        <x:v>III - Mejorar si es posible. Conviene justificar la intervención y su rentabilidad.</x:v>
      </x:c>
      <x:c r="AA62" t="str">
        <x:f>IF(Y62="","",IF(Y62&gt;=600,"No aceptable",IF(Y62&gt;=150,"No aceptable / Aceptable con control específico","Aceptable")))</x:f>
        <x:v>Aceptable</x:v>
      </x:c>
      <x:c r="AB62" s="12" t="str">
        <x:v>Reubicar puestos sin protección directa al clima cuando sea viable</x:v>
      </x:c>
      <x:c r="AC62" s="12" t="str">
        <x:v>No aplica</x:v>
      </x:c>
      <x:c r="AD62" s="12" t="str">
        <x:v>Instalar cubiertas y ventilación</x:v>
      </x:c>
      <x:c r="AE62" s="12" t="str">
        <x:v>Relevos, pausas de hidratación y seguimiento en temporadas críticas</x:v>
      </x:c>
      <x:c r="AF62" s="12" t="str">
        <x:v>Gorra, bloqueador solar, impermeable</x:v>
      </x:c>
      <x:c r="AG62" s="12" t="str">
        <x:v>Director de Operaciones</x:v>
      </x:c>
      <x:c r="AH62" s="16" t="str">
        <x:v>2026-05-30</x:v>
      </x:c>
      <x:c r="AI62" s="12" t="str"/>
    </x:row>
    <x:row r="63">
      <x:c r="A63" t="str">
        <x:v>IPVR-062</x:v>
      </x:c>
      <x:c r="B63" t="str">
        <x:v>Bogotá</x:v>
      </x:c>
      <x:c r="C63" t="str">
        <x:v>Supervisión operativa y rondas</x:v>
      </x:c>
      <x:c r="D63" s="12" t="str">
        <x:v>Vías urbanas e intermunicipales</x:v>
      </x:c>
      <x:c r="E63" s="12" t="str">
        <x:v>Rondas motorizadas y desplazamiento entre puestos</x:v>
      </x:c>
      <x:c r="F63" s="12" t="str">
        <x:v>Conducir motocicleta o vehículo para supervisión de servicios</x:v>
      </x:c>
      <x:c r="G63" s="12" t="str">
        <x:v>Sí</x:v>
      </x:c>
      <x:c r="H63" s="12" t="str">
        <x:v>Condiciones de seguridad - Accidentes de tránsito</x:v>
      </x:c>
      <x:c r="I63" s="12" t="str">
        <x:v>Colisión, volcamiento, atropellamiento o siniestro vial</x:v>
      </x:c>
      <x:c r="J63" s="12" t="str">
        <x:v>Politraumatismo, incapacidad, muerte</x:v>
      </x:c>
      <x:c r="K63" s="12" t="str">
        <x:v>Mantenimiento preventivo y control de velocidad</x:v>
      </x:c>
      <x:c r="L63" s="12" t="str">
        <x:v>Vehículos en buen estado, GPS, reflectivos</x:v>
      </x:c>
      <x:c r="M63" s="12" t="str">
        <x:v>Capacitación PESV y conducción defensiva</x:v>
      </x:c>
      <x:c r="N63" s="12" t="str">
        <x:v>Muerte</x:v>
      </x:c>
      <x:c r="O63" s="12" t="str">
        <x:v>Resolución 40595 de 2022; Decreto 1072 de 2015</x:v>
      </x:c>
      <x:c r="P63" s="14" t="n">
        <x:v>6</x:v>
      </x:c>
      <x:c r="Q63" t="str">
        <x:v>Muy alto</x:v>
      </x:c>
      <x:c r="R63" s="14" t="n">
        <x:f>IFERROR(VLOOKUP(Q63,Catalogos!$G:$H,2,FALSE),"")</x:f>
        <x:v>10</x:v>
      </x:c>
      <x:c r="S63" t="str">
        <x:v>Frecuente</x:v>
      </x:c>
      <x:c r="T63" s="14" t="n">
        <x:f>IFERROR(VLOOKUP(S63,Catalogos!$I:$J,2,FALSE),"")</x:f>
        <x:v>3</x:v>
      </x:c>
      <x:c r="U63" s="14" t="n">
        <x:f>IF(OR(R63="",T63=""),"",R63*T63)</x:f>
        <x:v>30</x:v>
      </x:c>
      <x:c r="V63" t="str">
        <x:f>IF(U63="","",IF(U63&gt;=24,"MUY ALTO",IF(U63&gt;=10,"ALTO",IF(U63&gt;=6,"MEDIO","BAJO"))))</x:f>
        <x:v>MUY ALTO</x:v>
      </x:c>
      <x:c r="W63" t="str">
        <x:v>Muy grave</x:v>
      </x:c>
      <x:c r="X63" s="14" t="n">
        <x:f>IFERROR(VLOOKUP(W63,Catalogos!$G:$H,2,FALSE),"")</x:f>
        <x:v>60</x:v>
      </x:c>
      <x:c r="Y63" s="14" t="n">
        <x:f>IF(OR(U63="",X63=""),"",U63*X63)</x:f>
        <x:v>1800</x:v>
      </x:c>
      <x:c r="Z63" t="str">
        <x:f>IF(Y63="","",IF(Y63&gt;=600,"I - Situación crítica. Suspender actividades hasta que el riesgo esté bajo control. Intervención urgente.",IF(Y63&gt;=150,"II - Corregir y adoptar medidas de control de inmediato.",IF(Y63&gt;=40,"III - Mejorar si es posible. Conviene justificar la intervención y su rentabilidad.","IV - Mantener controles existentes."))))</x:f>
        <x:v>I - Situación crítica. Suspender actividades hasta que el riesgo esté bajo control. Intervención urgente.</x:v>
      </x:c>
      <x:c r="AA63" t="str">
        <x:f>IF(Y63="","",IF(Y63&gt;=600,"No aceptable",IF(Y63&gt;=150,"No aceptable / Aceptable con control específico","Aceptable")))</x:f>
        <x:v>No aceptable</x:v>
      </x:c>
      <x:c r="AB63" s="12" t="str">
        <x:v>Eliminar desplazamientos innecesarios</x:v>
      </x:c>
      <x:c r="AC63" s="12" t="str">
        <x:v>Sustituir motocicleta por vehículo en trayectos críticos cuando aplique</x:v>
      </x:c>
      <x:c r="AD63" s="12" t="str">
        <x:v>GPS, cámaras y mantenimientos</x:v>
      </x:c>
      <x:c r="AE63" s="12" t="str">
        <x:v>PESV, control de fatiga, inspección preoperacional</x:v>
      </x:c>
      <x:c r="AF63" s="12" t="str">
        <x:v>Casco certificado, chaleco reflectivo</x:v>
      </x:c>
      <x:c r="AG63" s="12" t="str">
        <x:v>Director de Operaciones</x:v>
      </x:c>
      <x:c r="AH63" s="16" t="str">
        <x:v>2026-05-30</x:v>
      </x:c>
      <x:c r="AI63" s="12" t="str"/>
    </x:row>
    <x:row r="64">
      <x:c r="A64" t="str">
        <x:v>IPVR-063</x:v>
      </x:c>
      <x:c r="B64" t="str">
        <x:v>Bogotá</x:v>
      </x:c>
      <x:c r="C64" t="str">
        <x:v>Supervisión operativa y rondas</x:v>
      </x:c>
      <x:c r="D64" s="12" t="str">
        <x:v>Puestos externos / vía pública</x:v>
      </x:c>
      <x:c r="E64" s="12" t="str">
        <x:v>Atención de novedades e inspecciones en campo</x:v>
      </x:c>
      <x:c r="F64" s="12" t="str">
        <x:v>Ingresar a sitios con potencial alteración de orden público</x:v>
      </x:c>
      <x:c r="G64" s="12" t="str">
        <x:v>Sí</x:v>
      </x:c>
      <x:c r="H64" s="12" t="str">
        <x:v>Condiciones de seguridad - Público</x:v>
      </x:c>
      <x:c r="I64" s="12" t="str">
        <x:v>Asalto, amenaza, retención o agresión de terceros</x:v>
      </x:c>
      <x:c r="J64" s="12" t="str">
        <x:v>Lesiones, trauma psicológico, muerte</x:v>
      </x:c>
      <x:c r="K64" s="12" t="str">
        <x:v>Protocolos de apoyo y monitoreo</x:v>
      </x:c>
      <x:c r="L64" s="12" t="str">
        <x:v>Comunicación permanente con central y georreferenciación</x:v>
      </x:c>
      <x:c r="M64" s="12" t="str">
        <x:v>Entrenamiento de reacción segura y autoprotección</x:v>
      </x:c>
      <x:c r="N64" s="12" t="str">
        <x:v>Lesión grave o muerte</x:v>
      </x:c>
      <x:c r="O64" s="12" t="str">
        <x:v>Decreto 1072 de 2015; Resolución 0312 de 2019</x:v>
      </x:c>
      <x:c r="P64" s="14" t="n">
        <x:v>6</x:v>
      </x:c>
      <x:c r="Q64" t="str">
        <x:v>Alto</x:v>
      </x:c>
      <x:c r="R64" s="14" t="n">
        <x:f>IFERROR(VLOOKUP(Q64,Catalogos!$G:$H,2,FALSE),"")</x:f>
        <x:v>6</x:v>
      </x:c>
      <x:c r="S64" t="str">
        <x:v>Ocasional</x:v>
      </x:c>
      <x:c r="T64" s="14" t="n">
        <x:f>IFERROR(VLOOKUP(S64,Catalogos!$I:$J,2,FALSE),"")</x:f>
        <x:v>2</x:v>
      </x:c>
      <x:c r="U64" s="14" t="n">
        <x:f>IF(OR(R64="",T64=""),"",R64*T64)</x:f>
        <x:v>12</x:v>
      </x:c>
      <x:c r="V64" t="str">
        <x:f>IF(U64="","",IF(U64&gt;=24,"MUY ALTO",IF(U64&gt;=10,"ALTO",IF(U64&gt;=6,"MEDIO","BAJO"))))</x:f>
        <x:v>ALTO</x:v>
      </x:c>
      <x:c r="W64" t="str">
        <x:v>Muy grave</x:v>
      </x:c>
      <x:c r="X64" s="14" t="n">
        <x:f>IFERROR(VLOOKUP(W64,Catalogos!$G:$H,2,FALSE),"")</x:f>
        <x:v>60</x:v>
      </x:c>
      <x:c r="Y64" s="14" t="n">
        <x:f>IF(OR(U64="",X64=""),"",U64*X64)</x:f>
        <x:v>720</x:v>
      </x:c>
      <x:c r="Z64" t="str">
        <x:f>IF(Y64="","",IF(Y64&gt;=600,"I - Situación crítica. Suspender actividades hasta que el riesgo esté bajo control. Intervención urgente.",IF(Y64&gt;=150,"II - Corregir y adoptar medidas de control de inmediato.",IF(Y64&gt;=40,"III - Mejorar si es posible. Conviene justificar la intervención y su rentabilidad.","IV - Mantener controles existentes."))))</x:f>
        <x:v>I - Situación crítica. Suspender actividades hasta que el riesgo esté bajo control. Intervención urgente.</x:v>
      </x:c>
      <x:c r="AA64" t="str">
        <x:f>IF(Y64="","",IF(Y64&gt;=600,"No aceptable",IF(Y64&gt;=150,"No aceptable / Aceptable con control específico","Aceptable")))</x:f>
        <x:v>No aceptable</x:v>
      </x:c>
      <x:c r="AB64" s="12" t="str">
        <x:v>Suspender atención individual en zonas críticas</x:v>
      </x:c>
      <x:c r="AC64" s="12" t="str">
        <x:v>Acompañamiento dual o apoyo policial en zonas de alto riesgo</x:v>
      </x:c>
      <x:c r="AD64" s="12" t="str">
        <x:v>Dispositivos de comunicación redundante</x:v>
      </x:c>
      <x:c r="AE64" s="12" t="str">
        <x:v>Mapas de riesgo, briefing previo y protocolos de atención</x:v>
      </x:c>
      <x:c r="AF64" s="12" t="str">
        <x:v>Chaleco, radio, linterna táctica</x:v>
      </x:c>
      <x:c r="AG64" s="12" t="str">
        <x:v>Director de Operaciones</x:v>
      </x:c>
      <x:c r="AH64" s="16" t="str">
        <x:v>2026-05-30</x:v>
      </x:c>
      <x:c r="AI64" s="12" t="str"/>
    </x:row>
    <x:row r="65">
      <x:c r="A65" t="str">
        <x:v>IPVR-064</x:v>
      </x:c>
      <x:c r="B65" t="str">
        <x:v>Bogotá</x:v>
      </x:c>
      <x:c r="C65" t="str">
        <x:v>Monitoreo de medios tecnológicos</x:v>
      </x:c>
      <x:c r="D65" s="12" t="str">
        <x:v>Central de monitoreo / CCTV</x:v>
      </x:c>
      <x:c r="E65" s="12" t="str">
        <x:v>Monitoreo continuo de pantallas</x:v>
      </x:c>
      <x:c r="F65" s="12" t="str">
        <x:v>Observar cámaras, registrar eventos y responder alarmas</x:v>
      </x:c>
      <x:c r="G65" s="12" t="str">
        <x:v>Sí</x:v>
      </x:c>
      <x:c r="H65" s="12" t="str">
        <x:v>Biomecánico</x:v>
      </x:c>
      <x:c r="I65" s="12" t="str">
        <x:v>Postura sedente prolongada y movimientos repetitivos de miembros superiores</x:v>
      </x:c>
      <x:c r="J65" s="12" t="str">
        <x:v>Dolor lumbar, cervicalgia, síndrome de túnel carpiano</x:v>
      </x:c>
      <x:c r="K65" s="12" t="str">
        <x:v>Pausas activas y rediseño del puesto</x:v>
      </x:c>
      <x:c r="L65" s="12" t="str">
        <x:v>Sillas ergonómicas y alturas ajustadas</x:v>
      </x:c>
      <x:c r="M65" s="12" t="str">
        <x:v>Capacitación ergonómica y pausas visuales</x:v>
      </x:c>
      <x:c r="N65" s="12" t="str">
        <x:v>Trastorno musculoesquelético con restricción médica</x:v>
      </x:c>
      <x:c r="O65" s="12" t="str">
        <x:v>Decreto 1072 de 2015; Resolución 0312 de 2019</x:v>
      </x:c>
      <x:c r="P65" s="14" t="n">
        <x:v>7</x:v>
      </x:c>
      <x:c r="Q65" t="str">
        <x:v>Medio</x:v>
      </x:c>
      <x:c r="R65" s="14" t="n">
        <x:f>IFERROR(VLOOKUP(Q65,Catalogos!$G:$H,2,FALSE),"")</x:f>
        <x:v>2</x:v>
      </x:c>
      <x:c r="S65" t="str">
        <x:v>Continua</x:v>
      </x:c>
      <x:c r="T65" s="14" t="n">
        <x:f>IFERROR(VLOOKUP(S65,Catalogos!$I:$J,2,FALSE),"")</x:f>
        <x:v>4</x:v>
      </x:c>
      <x:c r="U65" s="14" t="n">
        <x:f>IF(OR(R65="",T65=""),"",R65*T65)</x:f>
        <x:v>8</x:v>
      </x:c>
      <x:c r="V65" t="str">
        <x:f>IF(U65="","",IF(U65&gt;=24,"MUY ALTO",IF(U65&gt;=10,"ALTO",IF(U65&gt;=6,"MEDIO","BAJO"))))</x:f>
        <x:v>MEDIO</x:v>
      </x:c>
      <x:c r="W65" t="str">
        <x:v>Grave</x:v>
      </x:c>
      <x:c r="X65" s="14" t="n">
        <x:f>IFERROR(VLOOKUP(W65,Catalogos!$G:$H,2,FALSE),"")</x:f>
        <x:v>25</x:v>
      </x:c>
      <x:c r="Y65" s="14" t="n">
        <x:f>IF(OR(U65="",X65=""),"",U65*X65)</x:f>
        <x:v>200</x:v>
      </x:c>
      <x:c r="Z65" t="str">
        <x:f>IF(Y65="","",IF(Y65&gt;=600,"I - Situación crítica. Suspender actividades hasta que el riesgo esté bajo control. Intervención urgente.",IF(Y65&gt;=150,"II - Corregir y adoptar medidas de control de inmediato.",IF(Y65&gt;=40,"III - Mejorar si es posible. Conviene justificar la intervención y su rentabilidad.","IV - Mantener controles existentes."))))</x:f>
        <x:v>II - Corregir y adoptar medidas de control de inmediato.</x:v>
      </x:c>
      <x:c r="AA65" t="str">
        <x:f>IF(Y65="","",IF(Y65&gt;=600,"No aceptable",IF(Y65&gt;=150,"No aceptable / Aceptable con control específico","Aceptable")))</x:f>
        <x:v>No aceptable / Aceptable con control específico</x:v>
      </x:c>
      <x:c r="AB65" s="12" t="str">
        <x:v>Automatizar tareas repetitivas cuando sea viable</x:v>
      </x:c>
      <x:c r="AC65" s="12" t="str">
        <x:v>No aplica</x:v>
      </x:c>
      <x:c r="AD65" s="12" t="str">
        <x:v>Puestos ajustables, soporte lumbar, apoyabrazos</x:v>
      </x:c>
      <x:c r="AE65" s="12" t="str">
        <x:v>Pausas activas, rotación y seguimiento ergonómico</x:v>
      </x:c>
      <x:c r="AF65" s="12" t="str">
        <x:v>No aplica</x:v>
      </x:c>
      <x:c r="AG65" s="12" t="str">
        <x:v>Director de Medios Tecnológicos</x:v>
      </x:c>
      <x:c r="AH65" s="16" t="str">
        <x:v>2026-05-30</x:v>
      </x:c>
      <x:c r="AI65" s="12" t="str"/>
    </x:row>
    <x:row r="66">
      <x:c r="A66" t="str">
        <x:v>IPVR-065</x:v>
      </x:c>
      <x:c r="B66" t="str">
        <x:v>Bogotá</x:v>
      </x:c>
      <x:c r="C66" t="str">
        <x:v>Monitoreo de medios tecnológicos</x:v>
      </x:c>
      <x:c r="D66" s="12" t="str">
        <x:v>Central de monitoreo / CCTV</x:v>
      </x:c>
      <x:c r="E66" s="12" t="str">
        <x:v>Monitoreo continuo de pantallas</x:v>
      </x:c>
      <x:c r="F66" s="12" t="str">
        <x:v>Exposición prolongada a pantallas y atención visual sostenida</x:v>
      </x:c>
      <x:c r="G66" s="12" t="str">
        <x:v>Sí</x:v>
      </x:c>
      <x:c r="H66" s="12" t="str">
        <x:v>Físico</x:v>
      </x:c>
      <x:c r="I66" s="12" t="str">
        <x:v>Fatiga visual por iluminación inadecuada y uso prolongado de pantallas</x:v>
      </x:c>
      <x:c r="J66" s="12" t="str">
        <x:v>Cefalea, visión borrosa, irritación ocular</x:v>
      </x:c>
      <x:c r="K66" s="12" t="str">
        <x:v>Mantenimiento de monitores y configuración luminosa</x:v>
      </x:c>
      <x:c r="L66" s="12" t="str">
        <x:v>Iluminación indirecta y control de brillos</x:v>
      </x:c>
      <x:c r="M66" s="12" t="str">
        <x:v>Pausas visuales y valoración optométrica periódica</x:v>
      </x:c>
      <x:c r="N66" s="12" t="str">
        <x:v>Alteración visual funcional temporal</x:v>
      </x:c>
      <x:c r="O66" s="12" t="str">
        <x:v>Decreto 1072 de 2015; Resolución 0312 de 2019</x:v>
      </x:c>
      <x:c r="P66" s="14" t="n">
        <x:v>7</x:v>
      </x:c>
      <x:c r="Q66" t="str">
        <x:v>Medio</x:v>
      </x:c>
      <x:c r="R66" s="14" t="n">
        <x:f>IFERROR(VLOOKUP(Q66,Catalogos!$G:$H,2,FALSE),"")</x:f>
        <x:v>2</x:v>
      </x:c>
      <x:c r="S66" t="str">
        <x:v>Continua</x:v>
      </x:c>
      <x:c r="T66" s="14" t="n">
        <x:f>IFERROR(VLOOKUP(S66,Catalogos!$I:$J,2,FALSE),"")</x:f>
        <x:v>4</x:v>
      </x:c>
      <x:c r="U66" s="14" t="n">
        <x:f>IF(OR(R66="",T66=""),"",R66*T66)</x:f>
        <x:v>8</x:v>
      </x:c>
      <x:c r="V66" t="str">
        <x:f>IF(U66="","",IF(U66&gt;=24,"MUY ALTO",IF(U66&gt;=10,"ALTO",IF(U66&gt;=6,"MEDIO","BAJO"))))</x:f>
        <x:v>MEDIO</x:v>
      </x:c>
      <x:c r="W66" t="str">
        <x:v>Leve</x:v>
      </x:c>
      <x:c r="X66" s="14" t="n">
        <x:f>IFERROR(VLOOKUP(W66,Catalogos!$G:$H,2,FALSE),"")</x:f>
        <x:v>10</x:v>
      </x:c>
      <x:c r="Y66" s="14" t="n">
        <x:f>IF(OR(U66="",X66=""),"",U66*X66)</x:f>
        <x:v>80</x:v>
      </x:c>
      <x:c r="Z66" t="str">
        <x:f>IF(Y66="","",IF(Y66&gt;=600,"I - Situación crítica. Suspender actividades hasta que el riesgo esté bajo control. Intervención urgente.",IF(Y66&gt;=150,"II - Corregir y adoptar medidas de control de inmediato.",IF(Y66&gt;=40,"III - Mejorar si es posible. Conviene justificar la intervención y su rentabilidad.","IV - Mantener controles existentes."))))</x:f>
        <x:v>III - Mejorar si es posible. Conviene justificar la intervención y su rentabilidad.</x:v>
      </x:c>
      <x:c r="AA66" t="str">
        <x:f>IF(Y66="","",IF(Y66&gt;=600,"No aceptable",IF(Y66&gt;=150,"No aceptable / Aceptable con control específico","Aceptable")))</x:f>
        <x:v>Aceptable</x:v>
      </x:c>
      <x:c r="AB66" s="12" t="str">
        <x:v>Reducir exposición continua sin pausas</x:v>
      </x:c>
      <x:c r="AC66" s="12" t="str">
        <x:v>Monitores con mejor resolución y menor parpadeo</x:v>
      </x:c>
      <x:c r="AD66" s="12" t="str">
        <x:v>Ajuste de iluminación y filtros</x:v>
      </x:c>
      <x:c r="AE66" s="12" t="str">
        <x:v>Regla 20-20-20 y pausas programadas</x:v>
      </x:c>
      <x:c r="AF66" s="12" t="str">
        <x:v>Lentes formulados si aplica</x:v>
      </x:c>
      <x:c r="AG66" s="12" t="str">
        <x:v>Director de Medios Tecnológicos</x:v>
      </x:c>
      <x:c r="AH66" s="16" t="str">
        <x:v>2026-05-30</x:v>
      </x:c>
      <x:c r="AI66" s="12" t="str"/>
    </x:row>
    <x:row r="67">
      <x:c r="A67" t="str">
        <x:v>IPVR-066</x:v>
      </x:c>
      <x:c r="B67" t="str">
        <x:v>Bogotá</x:v>
      </x:c>
      <x:c r="C67" t="str">
        <x:v>Monitoreo de medios tecnológicos</x:v>
      </x:c>
      <x:c r="D67" s="12" t="str">
        <x:v>Central de monitoreo / CCTV</x:v>
      </x:c>
      <x:c r="E67" s="12" t="str">
        <x:v>Atención de alarmas y eventos</x:v>
      </x:c>
      <x:c r="F67" s="12" t="str">
        <x:v>Responder a múltiples eventos simultáneos por turno</x:v>
      </x:c>
      <x:c r="G67" s="12" t="str">
        <x:v>Sí</x:v>
      </x:c>
      <x:c r="H67" s="12" t="str">
        <x:v>Psicosocial</x:v>
      </x:c>
      <x:c r="I67" s="12" t="str">
        <x:v>Alta carga mental, presión temporal, turnos y vigilancia sostenida</x:v>
      </x:c>
      <x:c r="J67" s="12" t="str">
        <x:v>Estrés, fatiga mental, errores operativos, alteraciones del sueño</x:v>
      </x:c>
      <x:c r="K67" s="12" t="str">
        <x:v>Dimensionamiento adecuado del personal</x:v>
      </x:c>
      <x:c r="L67" s="12" t="str">
        <x:v>Ambiente controlado y apoyo de software</x:v>
      </x:c>
      <x:c r="M67" s="12" t="str">
        <x:v>Capacitación en manejo del estrés y pausas</x:v>
      </x:c>
      <x:c r="N67" s="12" t="str">
        <x:v>Burnout o error crítico por fatiga</x:v>
      </x:c>
      <x:c r="O67" s="12" t="str">
        <x:v>Resolución 2646 de 2008; Decreto 1072 de 2015</x:v>
      </x:c>
      <x:c r="P67" s="14" t="n">
        <x:v>7</x:v>
      </x:c>
      <x:c r="Q67" t="str">
        <x:v>Medio</x:v>
      </x:c>
      <x:c r="R67" s="14" t="n">
        <x:f>IFERROR(VLOOKUP(Q67,Catalogos!$G:$H,2,FALSE),"")</x:f>
        <x:v>2</x:v>
      </x:c>
      <x:c r="S67" t="str">
        <x:v>Continua</x:v>
      </x:c>
      <x:c r="T67" s="14" t="n">
        <x:f>IFERROR(VLOOKUP(S67,Catalogos!$I:$J,2,FALSE),"")</x:f>
        <x:v>4</x:v>
      </x:c>
      <x:c r="U67" s="14" t="n">
        <x:f>IF(OR(R67="",T67=""),"",R67*T67)</x:f>
        <x:v>8</x:v>
      </x:c>
      <x:c r="V67" t="str">
        <x:f>IF(U67="","",IF(U67&gt;=24,"MUY ALTO",IF(U67&gt;=10,"ALTO",IF(U67&gt;=6,"MEDIO","BAJO"))))</x:f>
        <x:v>MEDIO</x:v>
      </x:c>
      <x:c r="W67" t="str">
        <x:v>Grave</x:v>
      </x:c>
      <x:c r="X67" s="14" t="n">
        <x:f>IFERROR(VLOOKUP(W67,Catalogos!$G:$H,2,FALSE),"")</x:f>
        <x:v>25</x:v>
      </x:c>
      <x:c r="Y67" s="14" t="n">
        <x:f>IF(OR(U67="",X67=""),"",U67*X67)</x:f>
        <x:v>200</x:v>
      </x:c>
      <x:c r="Z67" t="str">
        <x:f>IF(Y67="","",IF(Y67&gt;=600,"I - Situación crítica. Suspender actividades hasta que el riesgo esté bajo control. Intervención urgente.",IF(Y67&gt;=150,"II - Corregir y adoptar medidas de control de inmediato.",IF(Y67&gt;=40,"III - Mejorar si es posible. Conviene justificar la intervención y su rentabilidad.","IV - Mantener controles existentes."))))</x:f>
        <x:v>II - Corregir y adoptar medidas de control de inmediato.</x:v>
      </x:c>
      <x:c r="AA67" t="str">
        <x:f>IF(Y67="","",IF(Y67&gt;=600,"No aceptable",IF(Y67&gt;=150,"No aceptable / Aceptable con control específico","Aceptable")))</x:f>
        <x:v>No aceptable / Aceptable con control específico</x:v>
      </x:c>
      <x:c r="AB67" s="12" t="str">
        <x:v>Eliminar sobrecarga de eventos en un solo operador</x:v>
      </x:c>
      <x:c r="AC67" s="12" t="str">
        <x:v>Redistribución de cargas por software y turnos</x:v>
      </x:c>
      <x:c r="AD67" s="12" t="str">
        <x:v>Herramientas de priorización de alarmas</x:v>
      </x:c>
      <x:c r="AE67" s="12" t="str">
        <x:v>Turnos equilibrados, pausas y evaluación psicosocial</x:v>
      </x:c>
      <x:c r="AF67" s="12" t="str">
        <x:v>No aplica</x:v>
      </x:c>
      <x:c r="AG67" s="12" t="str">
        <x:v>Director de Medios Tecnológicos</x:v>
      </x:c>
      <x:c r="AH67" s="16" t="str">
        <x:v>2026-05-30</x:v>
      </x:c>
      <x:c r="AI67" s="12" t="str"/>
    </x:row>
    <x:row r="68">
      <x:c r="A68" t="str">
        <x:v>IPVR-067</x:v>
      </x:c>
      <x:c r="B68" t="str">
        <x:v>Bogotá</x:v>
      </x:c>
      <x:c r="C68" t="str">
        <x:v>Instalación y mantenimiento de medios tecnológicos</x:v>
      </x:c>
      <x:c r="D68" s="12" t="str">
        <x:v>Postes, fachadas y cubiertas</x:v>
      </x:c>
      <x:c r="E68" s="12" t="str">
        <x:v>Instalación de cámaras y cableado</x:v>
      </x:c>
      <x:c r="F68" s="12" t="str">
        <x:v>Trabajar sobre escaleras o alturas menores y mayores</x:v>
      </x:c>
      <x:c r="G68" s="12" t="str">
        <x:v>No</x:v>
      </x:c>
      <x:c r="H68" s="12" t="str">
        <x:v>Condiciones de seguridad - Trabajo en alturas</x:v>
      </x:c>
      <x:c r="I68" s="12" t="str">
        <x:v>Caída de persona o de objetos durante labores en altura</x:v>
      </x:c>
      <x:c r="J68" s="12" t="str">
        <x:v>Trauma severo, fracturas múltiples, muerte</x:v>
      </x:c>
      <x:c r="K68" s="12" t="str">
        <x:v>Planeación segura de la tarea y permisos</x:v>
      </x:c>
      <x:c r="L68" s="12" t="str">
        <x:v>Líneas de vida, escaleras certificadas, delimitación del área</x:v>
      </x:c>
      <x:c r="M68" s="12" t="str">
        <x:v>Certificación y entrenamiento en alturas</x:v>
      </x:c>
      <x:c r="N68" s="12" t="str">
        <x:v>Muerte</x:v>
      </x:c>
      <x:c r="O68" s="12" t="str">
        <x:v>Resolución 4272 de 2021; Decreto 1072 de 2015</x:v>
      </x:c>
      <x:c r="P68" s="14" t="n">
        <x:v>4</x:v>
      </x:c>
      <x:c r="Q68" t="str">
        <x:v>Alto</x:v>
      </x:c>
      <x:c r="R68" s="14" t="n">
        <x:f>IFERROR(VLOOKUP(Q68,Catalogos!$G:$H,2,FALSE),"")</x:f>
        <x:v>6</x:v>
      </x:c>
      <x:c r="S68" t="str">
        <x:v>Ocasional</x:v>
      </x:c>
      <x:c r="T68" s="14" t="n">
        <x:f>IFERROR(VLOOKUP(S68,Catalogos!$I:$J,2,FALSE),"")</x:f>
        <x:v>2</x:v>
      </x:c>
      <x:c r="U68" s="14" t="n">
        <x:f>IF(OR(R68="",T68=""),"",R68*T68)</x:f>
        <x:v>12</x:v>
      </x:c>
      <x:c r="V68" t="str">
        <x:f>IF(U68="","",IF(U68&gt;=24,"MUY ALTO",IF(U68&gt;=10,"ALTO",IF(U68&gt;=6,"MEDIO","BAJO"))))</x:f>
        <x:v>ALTO</x:v>
      </x:c>
      <x:c r="W68" t="str">
        <x:v>Muy grave</x:v>
      </x:c>
      <x:c r="X68" s="14" t="n">
        <x:f>IFERROR(VLOOKUP(W68,Catalogos!$G:$H,2,FALSE),"")</x:f>
        <x:v>60</x:v>
      </x:c>
      <x:c r="Y68" s="14" t="n">
        <x:f>IF(OR(U68="",X68=""),"",U68*X68)</x:f>
        <x:v>720</x:v>
      </x:c>
      <x:c r="Z68" t="str">
        <x:f>IF(Y68="","",IF(Y68&gt;=600,"I - Situación crítica. Suspender actividades hasta que el riesgo esté bajo control. Intervención urgente.",IF(Y68&gt;=150,"II - Corregir y adoptar medidas de control de inmediato.",IF(Y68&gt;=40,"III - Mejorar si es posible. Conviene justificar la intervención y su rentabilidad.","IV - Mantener controles existentes."))))</x:f>
        <x:v>I - Situación crítica. Suspender actividades hasta que el riesgo esté bajo control. Intervención urgente.</x:v>
      </x:c>
      <x:c r="AA68" t="str">
        <x:f>IF(Y68="","",IF(Y68&gt;=600,"No aceptable",IF(Y68&gt;=150,"No aceptable / Aceptable con control específico","Aceptable")))</x:f>
        <x:v>No aceptable</x:v>
      </x:c>
      <x:c r="AB68" s="12" t="str">
        <x:v>Eliminar trabajos en altura mediante rediseño desde piso cuando sea viable</x:v>
      </x:c>
      <x:c r="AC68" s="12" t="str">
        <x:v>Sustituir escalera por plataforma segura cuando aplique</x:v>
      </x:c>
      <x:c r="AD68" s="12" t="str">
        <x:v>Puntos de anclaje y sistemas anticaídas</x:v>
      </x:c>
      <x:c r="AE68" s="12" t="str">
        <x:v>Permiso de trabajo, ATS, inspección de equipos y observador</x:v>
      </x:c>
      <x:c r="AF68" s="12" t="str">
        <x:v>Arnés, eslinga, casco con barbuquejo</x:v>
      </x:c>
      <x:c r="AG68" s="12" t="str">
        <x:v>Director de Medios Tecnológicos</x:v>
      </x:c>
      <x:c r="AH68" s="16" t="str">
        <x:v>2026-05-30</x:v>
      </x:c>
      <x:c r="AI68" s="12" t="str"/>
    </x:row>
    <x:row r="69">
      <x:c r="A69" t="str">
        <x:v>IPVR-068</x:v>
      </x:c>
      <x:c r="B69" t="str">
        <x:v>Bogotá</x:v>
      </x:c>
      <x:c r="C69" t="str">
        <x:v>Instalación y mantenimiento de medios tecnológicos</x:v>
      </x:c>
      <x:c r="D69" s="12" t="str">
        <x:v>Cuartos técnicos / tableros / puntos eléctricos</x:v>
      </x:c>
      <x:c r="E69" s="12" t="str">
        <x:v>Conexión y mantenimiento de equipos</x:v>
      </x:c>
      <x:c r="F69" s="12" t="str">
        <x:v>Intervenir cableado, fuentes, tableros o UPS</x:v>
      </x:c>
      <x:c r="G69" s="12" t="str">
        <x:v>No</x:v>
      </x:c>
      <x:c r="H69" s="12" t="str">
        <x:v>Condiciones de seguridad - Eléctrico</x:v>
      </x:c>
      <x:c r="I69" s="12" t="str">
        <x:v>Contacto eléctrico directo o indirecto, arco eléctrico</x:v>
      </x:c>
      <x:c r="J69" s="12" t="str">
        <x:v>Quemaduras, fibrilación, muerte</x:v>
      </x:c>
      <x:c r="K69" s="12" t="str">
        <x:v>Bloqueo y etiquetado, desenergización</x:v>
      </x:c>
      <x:c r="L69" s="12" t="str">
        <x:v>Tableros protegidos, herramientas aisladas</x:v>
      </x:c>
      <x:c r="M69" s="12" t="str">
        <x:v>Competencia técnica y verificación ausencia de tensión</x:v>
      </x:c>
      <x:c r="N69" s="12" t="str">
        <x:v>Electrocución</x:v>
      </x:c>
      <x:c r="O69" s="12" t="str">
        <x:v>Decreto 1072 de 2015; Resolución 0312 de 2019</x:v>
      </x:c>
      <x:c r="P69" s="14" t="n">
        <x:v>4</x:v>
      </x:c>
      <x:c r="Q69" t="str">
        <x:v>Alto</x:v>
      </x:c>
      <x:c r="R69" s="14" t="n">
        <x:f>IFERROR(VLOOKUP(Q69,Catalogos!$G:$H,2,FALSE),"")</x:f>
        <x:v>6</x:v>
      </x:c>
      <x:c r="S69" t="str">
        <x:v>Ocasional</x:v>
      </x:c>
      <x:c r="T69" s="14" t="n">
        <x:f>IFERROR(VLOOKUP(S69,Catalogos!$I:$J,2,FALSE),"")</x:f>
        <x:v>2</x:v>
      </x:c>
      <x:c r="U69" s="14" t="n">
        <x:f>IF(OR(R69="",T69=""),"",R69*T69)</x:f>
        <x:v>12</x:v>
      </x:c>
      <x:c r="V69" t="str">
        <x:f>IF(U69="","",IF(U69&gt;=24,"MUY ALTO",IF(U69&gt;=10,"ALTO",IF(U69&gt;=6,"MEDIO","BAJO"))))</x:f>
        <x:v>ALTO</x:v>
      </x:c>
      <x:c r="W69" t="str">
        <x:v>Muy grave</x:v>
      </x:c>
      <x:c r="X69" s="14" t="n">
        <x:f>IFERROR(VLOOKUP(W69,Catalogos!$G:$H,2,FALSE),"")</x:f>
        <x:v>60</x:v>
      </x:c>
      <x:c r="Y69" s="14" t="n">
        <x:f>IF(OR(U69="",X69=""),"",U69*X69)</x:f>
        <x:v>720</x:v>
      </x:c>
      <x:c r="Z69" t="str">
        <x:f>IF(Y69="","",IF(Y69&gt;=600,"I - Situación crítica. Suspender actividades hasta que el riesgo esté bajo control. Intervención urgente.",IF(Y69&gt;=150,"II - Corregir y adoptar medidas de control de inmediato.",IF(Y69&gt;=40,"III - Mejorar si es posible. Conviene justificar la intervención y su rentabilidad.","IV - Mantener controles existentes."))))</x:f>
        <x:v>I - Situación crítica. Suspender actividades hasta que el riesgo esté bajo control. Intervención urgente.</x:v>
      </x:c>
      <x:c r="AA69" t="str">
        <x:f>IF(Y69="","",IF(Y69&gt;=600,"No aceptable",IF(Y69&gt;=150,"No aceptable / Aceptable con control específico","Aceptable")))</x:f>
        <x:v>No aceptable</x:v>
      </x:c>
      <x:c r="AB69" s="12" t="str">
        <x:v>Eliminar intervención energizada</x:v>
      </x:c>
      <x:c r="AC69" s="12" t="str">
        <x:v>Equipos de menor tensión cuando sea viable</x:v>
      </x:c>
      <x:c r="AD69" s="12" t="str">
        <x:v>Protecciones diferenciales, puesta a tierra</x:v>
      </x:c>
      <x:c r="AE69" s="12" t="str">
        <x:v>Permisos, procedimientos y verificación previa</x:v>
      </x:c>
      <x:c r="AF69" s="12" t="str">
        <x:v>Guantes dieléctricos, gafas, casco</x:v>
      </x:c>
      <x:c r="AG69" s="12" t="str">
        <x:v>Director de Medios Tecnológicos</x:v>
      </x:c>
      <x:c r="AH69" s="16" t="str">
        <x:v>2026-05-30</x:v>
      </x:c>
      <x:c r="AI69" s="12" t="str"/>
    </x:row>
    <x:row r="70">
      <x:c r="A70" t="str">
        <x:v>IPVR-069</x:v>
      </x:c>
      <x:c r="B70" t="str">
        <x:v>Bogotá</x:v>
      </x:c>
      <x:c r="C70" t="str">
        <x:v>Instalación y mantenimiento de medios tecnológicos</x:v>
      </x:c>
      <x:c r="D70" s="12" t="str">
        <x:v>Taller / campo</x:v>
      </x:c>
      <x:c r="E70" s="12" t="str">
        <x:v>Uso de herramientas manuales y eléctricas</x:v>
      </x:c>
      <x:c r="F70" s="12" t="str">
        <x:v>Perforar, cortar, fijar y ajustar equipos</x:v>
      </x:c>
      <x:c r="G70" s="12" t="str">
        <x:v>Sí</x:v>
      </x:c>
      <x:c r="H70" s="12" t="str">
        <x:v>Condiciones de seguridad - Mecánico</x:v>
      </x:c>
      <x:c r="I70" s="12" t="str">
        <x:v>Cortes, atrapamientos y proyección de partículas por herramientas</x:v>
      </x:c>
      <x:c r="J70" s="12" t="str">
        <x:v>Heridas, laceraciones, lesión ocular</x:v>
      </x:c>
      <x:c r="K70" s="12" t="str">
        <x:v>Mantenimiento e inspección de herramientas</x:v>
      </x:c>
      <x:c r="L70" s="12" t="str">
        <x:v>Guardas, mesas estables y orden del área</x:v>
      </x:c>
      <x:c r="M70" s="12" t="str">
        <x:v>Capacitación y uso correcto de herramienta</x:v>
      </x:c>
      <x:c r="N70" s="12" t="str">
        <x:v>Amputación parcial o lesión ocular grave</x:v>
      </x:c>
      <x:c r="O70" s="12" t="str">
        <x:v>Decreto 1072 de 2015; Resolución 0312 de 2019</x:v>
      </x:c>
      <x:c r="P70" s="14" t="n">
        <x:v>4</x:v>
      </x:c>
      <x:c r="Q70" t="str">
        <x:v>Medio</x:v>
      </x:c>
      <x:c r="R70" s="14" t="n">
        <x:f>IFERROR(VLOOKUP(Q70,Catalogos!$G:$H,2,FALSE),"")</x:f>
        <x:v>2</x:v>
      </x:c>
      <x:c r="S70" t="str">
        <x:v>Frecuente</x:v>
      </x:c>
      <x:c r="T70" s="14" t="n">
        <x:f>IFERROR(VLOOKUP(S70,Catalogos!$I:$J,2,FALSE),"")</x:f>
        <x:v>3</x:v>
      </x:c>
      <x:c r="U70" s="14" t="n">
        <x:f>IF(OR(R70="",T70=""),"",R70*T70)</x:f>
        <x:v>6</x:v>
      </x:c>
      <x:c r="V70" t="str">
        <x:f>IF(U70="","",IF(U70&gt;=24,"MUY ALTO",IF(U70&gt;=10,"ALTO",IF(U70&gt;=6,"MEDIO","BAJO"))))</x:f>
        <x:v>MEDIO</x:v>
      </x:c>
      <x:c r="W70" t="str">
        <x:v>Grave</x:v>
      </x:c>
      <x:c r="X70" s="14" t="n">
        <x:f>IFERROR(VLOOKUP(W70,Catalogos!$G:$H,2,FALSE),"")</x:f>
        <x:v>25</x:v>
      </x:c>
      <x:c r="Y70" s="14" t="n">
        <x:f>IF(OR(U70="",X70=""),"",U70*X70)</x:f>
        <x:v>150</x:v>
      </x:c>
      <x:c r="Z70" t="str">
        <x:f>IF(Y70="","",IF(Y70&gt;=600,"I - Situación crítica. Suspender actividades hasta que el riesgo esté bajo control. Intervención urgente.",IF(Y70&gt;=150,"II - Corregir y adoptar medidas de control de inmediato.",IF(Y70&gt;=40,"III - Mejorar si es posible. Conviene justificar la intervención y su rentabilidad.","IV - Mantener controles existentes."))))</x:f>
        <x:v>II - Corregir y adoptar medidas de control de inmediato.</x:v>
      </x:c>
      <x:c r="AA70" t="str">
        <x:f>IF(Y70="","",IF(Y70&gt;=600,"No aceptable",IF(Y70&gt;=150,"No aceptable / Aceptable con control específico","Aceptable")))</x:f>
        <x:v>No aceptable / Aceptable con control específico</x:v>
      </x:c>
      <x:c r="AB70" s="12" t="str">
        <x:v>Eliminar herramientas defectuosas</x:v>
      </x:c>
      <x:c r="AC70" s="12" t="str">
        <x:v>Sustituir herramientas de alto riesgo por opciones seguras</x:v>
      </x:c>
      <x:c r="AD70" s="12" t="str">
        <x:v>Guardas y soportes</x:v>
      </x:c>
      <x:c r="AE70" s="12" t="str">
        <x:v>Inspección preuso y procedimientos</x:v>
      </x:c>
      <x:c r="AF70" s="12" t="str">
        <x:v>Guantes, gafas, casco</x:v>
      </x:c>
      <x:c r="AG70" s="12" t="str">
        <x:v>Director de Medios Tecnológicos</x:v>
      </x:c>
      <x:c r="AH70" s="16" t="str">
        <x:v>2026-05-30</x:v>
      </x:c>
      <x:c r="AI70" s="12" t="str"/>
    </x:row>
    <x:row r="71">
      <x:c r="A71" t="str">
        <x:v>IPVR-070</x:v>
      </x:c>
      <x:c r="B71" t="str">
        <x:v>Bogotá</x:v>
      </x:c>
      <x:c r="C71" t="str">
        <x:v>Gestión administrativa y financiera</x:v>
      </x:c>
      <x:c r="D71" s="12" t="str">
        <x:v>Oficinas administrativas</x:v>
      </x:c>
      <x:c r="E71" s="12" t="str">
        <x:v>Trabajo en computador y gestión documental</x:v>
      </x:c>
      <x:c r="F71" s="12" t="str">
        <x:v>Digitación, revisión de documentos y análisis financiero</x:v>
      </x:c>
      <x:c r="G71" s="12" t="str">
        <x:v>Sí</x:v>
      </x:c>
      <x:c r="H71" s="12" t="str">
        <x:v>Biomecánico</x:v>
      </x:c>
      <x:c r="I71" s="12" t="str">
        <x:v>Posturas prolongadas, movimientos repetitivos y estaciones mal diseñadas</x:v>
      </x:c>
      <x:c r="J71" s="12" t="str">
        <x:v>Cervicalgia, dorsalgia, síndrome de túnel carpiano</x:v>
      </x:c>
      <x:c r="K71" s="12" t="str">
        <x:v>Ergonomía del puesto y pausas</x:v>
      </x:c>
      <x:c r="L71" s="12" t="str">
        <x:v>Mobiliario ergonómico y monitores a altura adecuada</x:v>
      </x:c>
      <x:c r="M71" s="12" t="str">
        <x:v>Capacitación y autocuidado postural</x:v>
      </x:c>
      <x:c r="N71" s="12" t="str">
        <x:v>Trastorno musculoesquelético incapacitante</x:v>
      </x:c>
      <x:c r="O71" s="12" t="str">
        <x:v>Decreto 1072 de 2015; Resolución 0312 de 2019</x:v>
      </x:c>
      <x:c r="P71" s="14" t="n">
        <x:v>7</x:v>
      </x:c>
      <x:c r="Q71" t="str">
        <x:v>Medio</x:v>
      </x:c>
      <x:c r="R71" s="14" t="n">
        <x:f>IFERROR(VLOOKUP(Q71,Catalogos!$G:$H,2,FALSE),"")</x:f>
        <x:v>2</x:v>
      </x:c>
      <x:c r="S71" t="str">
        <x:v>Continua</x:v>
      </x:c>
      <x:c r="T71" s="14" t="n">
        <x:f>IFERROR(VLOOKUP(S71,Catalogos!$I:$J,2,FALSE),"")</x:f>
        <x:v>4</x:v>
      </x:c>
      <x:c r="U71" s="14" t="n">
        <x:f>IF(OR(R71="",T71=""),"",R71*T71)</x:f>
        <x:v>8</x:v>
      </x:c>
      <x:c r="V71" t="str">
        <x:f>IF(U71="","",IF(U71&gt;=24,"MUY ALTO",IF(U71&gt;=10,"ALTO",IF(U71&gt;=6,"MEDIO","BAJO"))))</x:f>
        <x:v>MEDIO</x:v>
      </x:c>
      <x:c r="W71" t="str">
        <x:v>Grave</x:v>
      </x:c>
      <x:c r="X71" s="14" t="n">
        <x:f>IFERROR(VLOOKUP(W71,Catalogos!$G:$H,2,FALSE),"")</x:f>
        <x:v>25</x:v>
      </x:c>
      <x:c r="Y71" s="14" t="n">
        <x:f>IF(OR(U71="",X71=""),"",U71*X71)</x:f>
        <x:v>200</x:v>
      </x:c>
      <x:c r="Z71" t="str">
        <x:f>IF(Y71="","",IF(Y71&gt;=600,"I - Situación crítica. Suspender actividades hasta que el riesgo esté bajo control. Intervención urgente.",IF(Y71&gt;=150,"II - Corregir y adoptar medidas de control de inmediato.",IF(Y71&gt;=40,"III - Mejorar si es posible. Conviene justificar la intervención y su rentabilidad.","IV - Mantener controles existentes."))))</x:f>
        <x:v>II - Corregir y adoptar medidas de control de inmediato.</x:v>
      </x:c>
      <x:c r="AA71" t="str">
        <x:f>IF(Y71="","",IF(Y71&gt;=600,"No aceptable",IF(Y71&gt;=150,"No aceptable / Aceptable con control específico","Aceptable")))</x:f>
        <x:v>No aceptable / Aceptable con control específico</x:v>
      </x:c>
      <x:c r="AB71" s="12" t="str">
        <x:v>Eliminar estaciones inadecuadas</x:v>
      </x:c>
      <x:c r="AC71" s="12" t="str">
        <x:v>Cambio de sillas/mesas no ergonómicas</x:v>
      </x:c>
      <x:c r="AD71" s="12" t="str">
        <x:v>Puestos ajustables, soportes y accesorios</x:v>
      </x:c>
      <x:c r="AE71" s="12" t="str">
        <x:v>Pausas activas, teletrabajo seguro si aplica, APT</x:v>
      </x:c>
      <x:c r="AF71" s="12" t="str">
        <x:v>No aplica</x:v>
      </x:c>
      <x:c r="AG71" s="12" t="str">
        <x:v>Director Contable y Financiero</x:v>
      </x:c>
      <x:c r="AH71" s="16" t="str">
        <x:v>2026-05-30</x:v>
      </x:c>
      <x:c r="AI71" s="12" t="str"/>
    </x:row>
    <x:row r="72">
      <x:c r="A72" t="str">
        <x:v>IPVR-071</x:v>
      </x:c>
      <x:c r="B72" t="str">
        <x:v>Bogotá</x:v>
      </x:c>
      <x:c r="C72" t="str">
        <x:v>Gestión administrativa y financiera</x:v>
      </x:c>
      <x:c r="D72" s="12" t="str">
        <x:v>Oficinas administrativas</x:v>
      </x:c>
      <x:c r="E72" s="12" t="str">
        <x:v>Cierres, pagos, informes y atención</x:v>
      </x:c>
      <x:c r="F72" s="12" t="str">
        <x:v>Cumplir metas en tiempos ajustados y responder requerimientos simultáneos</x:v>
      </x:c>
      <x:c r="G72" s="12" t="str">
        <x:v>Sí</x:v>
      </x:c>
      <x:c r="H72" s="12" t="str">
        <x:v>Psicosocial</x:v>
      </x:c>
      <x:c r="I72" s="12" t="str">
        <x:v>Exigencias cuantitativas, jornadas extensas y presión por resultados</x:v>
      </x:c>
      <x:c r="J72" s="12" t="str">
        <x:v>Estrés, ansiedad, agotamiento, errores administrativos</x:v>
      </x:c>
      <x:c r="K72" s="12" t="str">
        <x:v>Planeación realista de cargas</x:v>
      </x:c>
      <x:c r="L72" s="12" t="str">
        <x:v>Herramientas de gestión y apoyo operativo</x:v>
      </x:c>
      <x:c r="M72" s="12" t="str">
        <x:v>Formación en manejo del tiempo y estrés</x:v>
      </x:c>
      <x:c r="N72" s="12" t="str">
        <x:v>Afectación de salud mental con incapacidad</x:v>
      </x:c>
      <x:c r="O72" s="12" t="str">
        <x:v>Resolución 2646 de 2008; Decreto 1072 de 2015</x:v>
      </x:c>
      <x:c r="P72" s="14" t="n">
        <x:v>7</x:v>
      </x:c>
      <x:c r="Q72" t="str">
        <x:v>Medio</x:v>
      </x:c>
      <x:c r="R72" s="14" t="n">
        <x:f>IFERROR(VLOOKUP(Q72,Catalogos!$G:$H,2,FALSE),"")</x:f>
        <x:v>2</x:v>
      </x:c>
      <x:c r="S72" t="str">
        <x:v>Frecuente</x:v>
      </x:c>
      <x:c r="T72" s="14" t="n">
        <x:f>IFERROR(VLOOKUP(S72,Catalogos!$I:$J,2,FALSE),"")</x:f>
        <x:v>3</x:v>
      </x:c>
      <x:c r="U72" s="14" t="n">
        <x:f>IF(OR(R72="",T72=""),"",R72*T72)</x:f>
        <x:v>6</x:v>
      </x:c>
      <x:c r="V72" t="str">
        <x:f>IF(U72="","",IF(U72&gt;=24,"MUY ALTO",IF(U72&gt;=10,"ALTO",IF(U72&gt;=6,"MEDIO","BAJO"))))</x:f>
        <x:v>MEDIO</x:v>
      </x:c>
      <x:c r="W72" t="str">
        <x:v>Grave</x:v>
      </x:c>
      <x:c r="X72" s="14" t="n">
        <x:f>IFERROR(VLOOKUP(W72,Catalogos!$G:$H,2,FALSE),"")</x:f>
        <x:v>25</x:v>
      </x:c>
      <x:c r="Y72" s="14" t="n">
        <x:f>IF(OR(U72="",X72=""),"",U72*X72)</x:f>
        <x:v>150</x:v>
      </x:c>
      <x:c r="Z72" t="str">
        <x:f>IF(Y72="","",IF(Y72&gt;=600,"I - Situación crítica. Suspender actividades hasta que el riesgo esté bajo control. Intervención urgente.",IF(Y72&gt;=150,"II - Corregir y adoptar medidas de control de inmediato.",IF(Y72&gt;=40,"III - Mejorar si es posible. Conviene justificar la intervención y su rentabilidad.","IV - Mantener controles existentes."))))</x:f>
        <x:v>II - Corregir y adoptar medidas de control de inmediato.</x:v>
      </x:c>
      <x:c r="AA72" t="str">
        <x:f>IF(Y72="","",IF(Y72&gt;=600,"No aceptable",IF(Y72&gt;=150,"No aceptable / Aceptable con control específico","Aceptable")))</x:f>
        <x:v>No aceptable / Aceptable con control específico</x:v>
      </x:c>
      <x:c r="AB72" s="12" t="str">
        <x:v>Eliminar acumulación de tareas críticas en una sola persona</x:v>
      </x:c>
      <x:c r="AC72" s="12" t="str">
        <x:v>Redistribución de funciones y automatización</x:v>
      </x:c>
      <x:c r="AD72" s="12" t="str">
        <x:v>Herramientas tecnológicas de seguimiento</x:v>
      </x:c>
      <x:c r="AE72" s="12" t="str">
        <x:v>Priorización, evaluación psicosocial y seguimiento</x:v>
      </x:c>
      <x:c r="AF72" s="12" t="str">
        <x:v>No aplica</x:v>
      </x:c>
      <x:c r="AG72" s="12" t="str">
        <x:v>Director Contable y Financiero</x:v>
      </x:c>
      <x:c r="AH72" s="16" t="str">
        <x:v>2026-05-30</x:v>
      </x:c>
      <x:c r="AI72" s="12" t="str"/>
    </x:row>
    <x:row r="73">
      <x:c r="A73" t="str">
        <x:v>IPVR-072</x:v>
      </x:c>
      <x:c r="B73" t="str">
        <x:v>Bogotá</x:v>
      </x:c>
      <x:c r="C73" t="str">
        <x:v>Gestión del talento humano</x:v>
      </x:c>
      <x:c r="D73" s="12" t="str">
        <x:v>Oficinas / visitas de selección y contratación</x:v>
      </x:c>
      <x:c r="E73" s="12" t="str">
        <x:v>Selección, contratación y visitas</x:v>
      </x:c>
      <x:c r="F73" s="12" t="str">
        <x:v>Desplazarse a sedes y atender procesos con interacción constante</x:v>
      </x:c>
      <x:c r="G73" s="12" t="str">
        <x:v>Sí</x:v>
      </x:c>
      <x:c r="H73" s="12" t="str">
        <x:v>Condiciones de seguridad - Accidentes de tránsito</x:v>
      </x:c>
      <x:c r="I73" s="12" t="str">
        <x:v>Siniestro vial en desplazamientos laborales</x:v>
      </x:c>
      <x:c r="J73" s="12" t="str">
        <x:v>Lesiones múltiples, incapacidad, muerte</x:v>
      </x:c>
      <x:c r="K73" s="12" t="str">
        <x:v>Programación segura de desplazamientos</x:v>
      </x:c>
      <x:c r="L73" s="12" t="str">
        <x:v>Vehículo inspeccionado y rutas seguras</x:v>
      </x:c>
      <x:c r="M73" s="12" t="str">
        <x:v>Conducción defensiva y pausas</x:v>
      </x:c>
      <x:c r="N73" s="12" t="str">
        <x:v>Muerte</x:v>
      </x:c>
      <x:c r="O73" s="12" t="str">
        <x:v>Resolución 40595 de 2022; Decreto 1072 de 2015</x:v>
      </x:c>
      <x:c r="P73" s="14" t="n">
        <x:v>3</x:v>
      </x:c>
      <x:c r="Q73" t="str">
        <x:v>Alto</x:v>
      </x:c>
      <x:c r="R73" s="14" t="n">
        <x:f>IFERROR(VLOOKUP(Q73,Catalogos!$G:$H,2,FALSE),"")</x:f>
        <x:v>6</x:v>
      </x:c>
      <x:c r="S73" t="str">
        <x:v>Ocasional</x:v>
      </x:c>
      <x:c r="T73" s="14" t="n">
        <x:f>IFERROR(VLOOKUP(S73,Catalogos!$I:$J,2,FALSE),"")</x:f>
        <x:v>2</x:v>
      </x:c>
      <x:c r="U73" s="14" t="n">
        <x:f>IF(OR(R73="",T73=""),"",R73*T73)</x:f>
        <x:v>12</x:v>
      </x:c>
      <x:c r="V73" t="str">
        <x:f>IF(U73="","",IF(U73&gt;=24,"MUY ALTO",IF(U73&gt;=10,"ALTO",IF(U73&gt;=6,"MEDIO","BAJO"))))</x:f>
        <x:v>ALTO</x:v>
      </x:c>
      <x:c r="W73" t="str">
        <x:v>Muy grave</x:v>
      </x:c>
      <x:c r="X73" s="14" t="n">
        <x:f>IFERROR(VLOOKUP(W73,Catalogos!$G:$H,2,FALSE),"")</x:f>
        <x:v>60</x:v>
      </x:c>
      <x:c r="Y73" s="14" t="n">
        <x:f>IF(OR(U73="",X73=""),"",U73*X73)</x:f>
        <x:v>720</x:v>
      </x:c>
      <x:c r="Z73" t="str">
        <x:f>IF(Y73="","",IF(Y73&gt;=600,"I - Situación crítica. Suspender actividades hasta que el riesgo esté bajo control. Intervención urgente.",IF(Y73&gt;=150,"II - Corregir y adoptar medidas de control de inmediato.",IF(Y73&gt;=40,"III - Mejorar si es posible. Conviene justificar la intervención y su rentabilidad.","IV - Mantener controles existentes."))))</x:f>
        <x:v>I - Situación crítica. Suspender actividades hasta que el riesgo esté bajo control. Intervención urgente.</x:v>
      </x:c>
      <x:c r="AA73" t="str">
        <x:f>IF(Y73="","",IF(Y73&gt;=600,"No aceptable",IF(Y73&gt;=150,"No aceptable / Aceptable con control específico","Aceptable")))</x:f>
        <x:v>No aceptable</x:v>
      </x:c>
      <x:c r="AB73" s="12" t="str">
        <x:v>Eliminar viajes innecesarios mediante gestión virtual</x:v>
      </x:c>
      <x:c r="AC73" s="12" t="str">
        <x:v>Transporte más seguro cuando aplique</x:v>
      </x:c>
      <x:c r="AD73" s="12" t="str">
        <x:v>Monitoreo GPS y mantenimiento vehicular</x:v>
      </x:c>
      <x:c r="AE73" s="12" t="str">
        <x:v>PESV, programación y control de desplazamientos</x:v>
      </x:c>
      <x:c r="AF73" s="12" t="str">
        <x:v>Cinturón, casco si motocicleta</x:v>
      </x:c>
      <x:c r="AG73" s="12" t="str">
        <x:v>Director de Talento Humano</x:v>
      </x:c>
      <x:c r="AH73" s="16" t="str">
        <x:v>2026-05-30</x:v>
      </x:c>
      <x:c r="AI73" s="12" t="str"/>
    </x:row>
    <x:row r="74">
      <x:c r="A74" t="str">
        <x:v>IPVR-073</x:v>
      </x:c>
      <x:c r="B74" t="str">
        <x:v>Bogotá</x:v>
      </x:c>
      <x:c r="C74" t="str">
        <x:v>Gestión SST</x:v>
      </x:c>
      <x:c r="D74" s="12" t="str">
        <x:v>Sedes y puestos de trabajo</x:v>
      </x:c>
      <x:c r="E74" s="12" t="str">
        <x:v>Inspecciones, capacitaciones e investigación de eventos</x:v>
      </x:c>
      <x:c r="F74" s="12" t="str">
        <x:v>Ingresar a áreas operativas y levantar información en campo</x:v>
      </x:c>
      <x:c r="G74" s="12" t="str">
        <x:v>Sí</x:v>
      </x:c>
      <x:c r="H74" s="12" t="str">
        <x:v>Condiciones de seguridad - Público</x:v>
      </x:c>
      <x:c r="I74" s="12" t="str">
        <x:v>Exposición a agresión, hurto o alteración del orden en visitas externas</x:v>
      </x:c>
      <x:c r="J74" s="12" t="str">
        <x:v>Lesiones, trauma psicológico</x:v>
      </x:c>
      <x:c r="K74" s="12" t="str">
        <x:v>Coordinación previa y acompañamiento</x:v>
      </x:c>
      <x:c r="L74" s="12" t="str">
        <x:v>Comunicación permanente y georreferenciación</x:v>
      </x:c>
      <x:c r="M74" s="12" t="str">
        <x:v>Autoprotección y protocolos de visita segura</x:v>
      </x:c>
      <x:c r="N74" s="12" t="str">
        <x:v>Lesión grave</x:v>
      </x:c>
      <x:c r="O74" s="12" t="str">
        <x:v>Decreto 1072 de 2015; Resolución 0312 de 2019</x:v>
      </x:c>
      <x:c r="P74" s="14" t="n">
        <x:v>2</x:v>
      </x:c>
      <x:c r="Q74" t="str">
        <x:v>Alto</x:v>
      </x:c>
      <x:c r="R74" s="14" t="n">
        <x:f>IFERROR(VLOOKUP(Q74,Catalogos!$G:$H,2,FALSE),"")</x:f>
        <x:v>6</x:v>
      </x:c>
      <x:c r="S74" t="str">
        <x:v>Ocasional</x:v>
      </x:c>
      <x:c r="T74" s="14" t="n">
        <x:f>IFERROR(VLOOKUP(S74,Catalogos!$I:$J,2,FALSE),"")</x:f>
        <x:v>2</x:v>
      </x:c>
      <x:c r="U74" s="14" t="n">
        <x:f>IF(OR(R74="",T74=""),"",R74*T74)</x:f>
        <x:v>12</x:v>
      </x:c>
      <x:c r="V74" t="str">
        <x:f>IF(U74="","",IF(U74&gt;=24,"MUY ALTO",IF(U74&gt;=10,"ALTO",IF(U74&gt;=6,"MEDIO","BAJO"))))</x:f>
        <x:v>ALTO</x:v>
      </x:c>
      <x:c r="W74" t="str">
        <x:v>Muy grave</x:v>
      </x:c>
      <x:c r="X74" s="14" t="n">
        <x:f>IFERROR(VLOOKUP(W74,Catalogos!$G:$H,2,FALSE),"")</x:f>
        <x:v>60</x:v>
      </x:c>
      <x:c r="Y74" s="14" t="n">
        <x:f>IF(OR(U74="",X74=""),"",U74*X74)</x:f>
        <x:v>720</x:v>
      </x:c>
      <x:c r="Z74" t="str">
        <x:f>IF(Y74="","",IF(Y74&gt;=600,"I - Situación crítica. Suspender actividades hasta que el riesgo esté bajo control. Intervención urgente.",IF(Y74&gt;=150,"II - Corregir y adoptar medidas de control de inmediato.",IF(Y74&gt;=40,"III - Mejorar si es posible. Conviene justificar la intervención y su rentabilidad.","IV - Mantener controles existentes."))))</x:f>
        <x:v>I - Situación crítica. Suspender actividades hasta que el riesgo esté bajo control. Intervención urgente.</x:v>
      </x:c>
      <x:c r="AA74" t="str">
        <x:f>IF(Y74="","",IF(Y74&gt;=600,"No aceptable",IF(Y74&gt;=150,"No aceptable / Aceptable con control específico","Aceptable")))</x:f>
        <x:v>No aceptable</x:v>
      </x:c>
      <x:c r="AB74" s="12" t="str">
        <x:v>Eliminar visitas individuales a zonas críticas</x:v>
      </x:c>
      <x:c r="AC74" s="12" t="str">
        <x:v>Virtualizar seguimiento cuando sea viable</x:v>
      </x:c>
      <x:c r="AD74" s="12" t="str">
        <x:v>Botón de pánico y rastreo</x:v>
      </x:c>
      <x:c r="AE74" s="12" t="str">
        <x:v>Matriz de seguridad por sitio, acompañamiento y rutas seguras</x:v>
      </x:c>
      <x:c r="AF74" s="12" t="str">
        <x:v>Chaleco institucional, radio o teléfono</x:v>
      </x:c>
      <x:c r="AG74" s="12" t="str">
        <x:v>Líder SST</x:v>
      </x:c>
      <x:c r="AH74" s="16" t="str">
        <x:v>2026-05-30</x:v>
      </x:c>
      <x:c r="AI74" s="12" t="str"/>
    </x:row>
    <x:row r="75">
      <x:c r="A75" t="str">
        <x:v>IPVR-074</x:v>
      </x:c>
      <x:c r="B75" t="str">
        <x:v>Bogotá</x:v>
      </x:c>
      <x:c r="C75" t="str">
        <x:v>Gestión jurídica y compras</x:v>
      </x:c>
      <x:c r="D75" s="12" t="str">
        <x:v>Oficinas / diligencias externas</x:v>
      </x:c>
      <x:c r="E75" s="12" t="str">
        <x:v>Revisión contractual, compras y trámites</x:v>
      </x:c>
      <x:c r="F75" s="12" t="str">
        <x:v>Desplazamiento ocasional y manejo documental</x:v>
      </x:c>
      <x:c r="G75" s="12" t="str">
        <x:v>Sí</x:v>
      </x:c>
      <x:c r="H75" s="12" t="str">
        <x:v>Condiciones de seguridad - Locativo</x:v>
      </x:c>
      <x:c r="I75" s="12" t="str">
        <x:v>Caída al mismo nivel por superficies desordenadas, cables u obstáculos</x:v>
      </x:c>
      <x:c r="J75" s="12" t="str">
        <x:v>Golpes, esguinces, contusiones</x:v>
      </x:c>
      <x:c r="K75" s="12" t="str">
        <x:v>Orden y aseo permanente</x:v>
      </x:c>
      <x:c r="L75" s="12" t="str">
        <x:v>Canalización de cables y señalización</x:v>
      </x:c>
      <x:c r="M75" s="12" t="str">
        <x:v>Atención al tránsito seguro</x:v>
      </x:c>
      <x:c r="N75" s="12" t="str">
        <x:v>Fractura simple</x:v>
      </x:c>
      <x:c r="O75" s="12" t="str">
        <x:v>Decreto 1072 de 2015; Resolución 0312 de 2019</x:v>
      </x:c>
      <x:c r="P75" s="14" t="n">
        <x:v>3</x:v>
      </x:c>
      <x:c r="Q75" t="str">
        <x:v>Medio</x:v>
      </x:c>
      <x:c r="R75" s="14" t="n">
        <x:f>IFERROR(VLOOKUP(Q75,Catalogos!$G:$H,2,FALSE),"")</x:f>
        <x:v>2</x:v>
      </x:c>
      <x:c r="S75" t="str">
        <x:v>Ocasional</x:v>
      </x:c>
      <x:c r="T75" s="14" t="n">
        <x:f>IFERROR(VLOOKUP(S75,Catalogos!$I:$J,2,FALSE),"")</x:f>
        <x:v>2</x:v>
      </x:c>
      <x:c r="U75" s="14" t="n">
        <x:f>IF(OR(R75="",T75=""),"",R75*T75)</x:f>
        <x:v>4</x:v>
      </x:c>
      <x:c r="V75" t="str">
        <x:f>IF(U75="","",IF(U75&gt;=24,"MUY ALTO",IF(U75&gt;=10,"ALTO",IF(U75&gt;=6,"MEDIO","BAJO"))))</x:f>
        <x:v>BAJO</x:v>
      </x:c>
      <x:c r="W75" t="str">
        <x:v>Grave</x:v>
      </x:c>
      <x:c r="X75" s="14" t="n">
        <x:f>IFERROR(VLOOKUP(W75,Catalogos!$G:$H,2,FALSE),"")</x:f>
        <x:v>25</x:v>
      </x:c>
      <x:c r="Y75" s="14" t="n">
        <x:f>IF(OR(U75="",X75=""),"",U75*X75)</x:f>
        <x:v>100</x:v>
      </x:c>
      <x:c r="Z75" t="str">
        <x:f>IF(Y75="","",IF(Y75&gt;=600,"I - Situación crítica. Suspender actividades hasta que el riesgo esté bajo control. Intervención urgente.",IF(Y75&gt;=150,"II - Corregir y adoptar medidas de control de inmediato.",IF(Y75&gt;=40,"III - Mejorar si es posible. Conviene justificar la intervención y su rentabilidad.","IV - Mantener controles existentes."))))</x:f>
        <x:v>III - Mejorar si es posible. Conviene justificar la intervención y su rentabilidad.</x:v>
      </x:c>
      <x:c r="AA75" t="str">
        <x:f>IF(Y75="","",IF(Y75&gt;=600,"No aceptable",IF(Y75&gt;=150,"No aceptable / Aceptable con control específico","Aceptable")))</x:f>
        <x:v>Aceptable</x:v>
      </x:c>
      <x:c r="AB75" s="12" t="str">
        <x:v>Eliminar obstáculos y cables sueltos</x:v>
      </x:c>
      <x:c r="AC75" s="12" t="str">
        <x:v>No aplica</x:v>
      </x:c>
      <x:c r="AD75" s="12" t="str">
        <x:v>Canaletas y antideslizantes</x:v>
      </x:c>
      <x:c r="AE75" s="12" t="str">
        <x:v>Inspecciones y reportes de actos/condiciones inseguras</x:v>
      </x:c>
      <x:c r="AF75" s="12" t="str">
        <x:v>Calzado cerrado</x:v>
      </x:c>
      <x:c r="AG75" s="12" t="str">
        <x:v>Director Jurídico / Director de Compras</x:v>
      </x:c>
      <x:c r="AH75" s="16" t="str">
        <x:v>2026-05-30</x:v>
      </x:c>
      <x:c r="AI75" s="12" t="str"/>
    </x:row>
    <x:row r="76">
      <x:c r="A76" t="str">
        <x:v>IPVR-075</x:v>
      </x:c>
      <x:c r="B76" t="str">
        <x:v>Bogotá</x:v>
      </x:c>
      <x:c r="C76" t="str">
        <x:v>Dirección estratégica</x:v>
      </x:c>
      <x:c r="D76" s="12" t="str">
        <x:v>Oficina principal / desplazamientos a clientes</x:v>
      </x:c>
      <x:c r="E76" s="12" t="str">
        <x:v>Reuniones estratégicas y visitas comerciales</x:v>
      </x:c>
      <x:c r="F76" s="12" t="str">
        <x:v>Desplazamientos, reuniones y toma de decisiones bajo presión</x:v>
      </x:c>
      <x:c r="G76" s="12" t="str">
        <x:v>Sí</x:v>
      </x:c>
      <x:c r="H76" s="12" t="str">
        <x:v>Condiciones de seguridad - Público</x:v>
      </x:c>
      <x:c r="I76" s="12" t="str">
        <x:v>Riesgo público durante desplazamientos y reuniones externas</x:v>
      </x:c>
      <x:c r="J76" s="12" t="str">
        <x:v>Agresión, hurto, afectación psicológica</x:v>
      </x:c>
      <x:c r="K76" s="12" t="str">
        <x:v>Planeación de agenda y análisis previo de seguridad</x:v>
      </x:c>
      <x:c r="L76" s="12" t="str">
        <x:v>Rutas seguras y acompañamiento cuando aplique</x:v>
      </x:c>
      <x:c r="M76" s="12" t="str">
        <x:v>Autoprotección y comunicación permanente</x:v>
      </x:c>
      <x:c r="N76" s="12" t="str">
        <x:v>Lesión grave</x:v>
      </x:c>
      <x:c r="O76" s="12" t="str">
        <x:v>Decreto 1072 de 2015; Resolución 0312 de 2019</x:v>
      </x:c>
      <x:c r="P76" s="14" t="n">
        <x:v>1</x:v>
      </x:c>
      <x:c r="Q76" t="str">
        <x:v>Alto</x:v>
      </x:c>
      <x:c r="R76" s="14" t="n">
        <x:f>IFERROR(VLOOKUP(Q76,Catalogos!$G:$H,2,FALSE),"")</x:f>
        <x:v>6</x:v>
      </x:c>
      <x:c r="S76" t="str">
        <x:v>Esporádica</x:v>
      </x:c>
      <x:c r="T76" s="14" t="n">
        <x:f>IFERROR(VLOOKUP(S76,Catalogos!$I:$J,2,FALSE),"")</x:f>
        <x:v>1</x:v>
      </x:c>
      <x:c r="U76" s="14" t="n">
        <x:f>IF(OR(R76="",T76=""),"",R76*T76)</x:f>
        <x:v>6</x:v>
      </x:c>
      <x:c r="V76" t="str">
        <x:f>IF(U76="","",IF(U76&gt;=24,"MUY ALTO",IF(U76&gt;=10,"ALTO",IF(U76&gt;=6,"MEDIO","BAJO"))))</x:f>
        <x:v>MEDIO</x:v>
      </x:c>
      <x:c r="W76" t="str">
        <x:v>Muy grave</x:v>
      </x:c>
      <x:c r="X76" s="14" t="n">
        <x:f>IFERROR(VLOOKUP(W76,Catalogos!$G:$H,2,FALSE),"")</x:f>
        <x:v>60</x:v>
      </x:c>
      <x:c r="Y76" s="14" t="n">
        <x:f>IF(OR(U76="",X76=""),"",U76*X76)</x:f>
        <x:v>360</x:v>
      </x:c>
      <x:c r="Z76" t="str">
        <x:f>IF(Y76="","",IF(Y76&gt;=600,"I - Situación crítica. Suspender actividades hasta que el riesgo esté bajo control. Intervención urgente.",IF(Y76&gt;=150,"II - Corregir y adoptar medidas de control de inmediato.",IF(Y76&gt;=40,"III - Mejorar si es posible. Conviene justificar la intervención y su rentabilidad.","IV - Mantener controles existentes."))))</x:f>
        <x:v>II - Corregir y adoptar medidas de control de inmediato.</x:v>
      </x:c>
      <x:c r="AA76" t="str">
        <x:f>IF(Y76="","",IF(Y76&gt;=600,"No aceptable",IF(Y76&gt;=150,"No aceptable / Aceptable con control específico","Aceptable")))</x:f>
        <x:v>No aceptable / Aceptable con control específico</x:v>
      </x:c>
      <x:c r="AB76" s="12" t="str">
        <x:v>Eliminar desplazamientos no indispensables</x:v>
      </x:c>
      <x:c r="AC76" s="12" t="str">
        <x:v>Videoconferencia cuando sea posible</x:v>
      </x:c>
      <x:c r="AD76" s="12" t="str">
        <x:v>Sistemas de rastreo y comunicaciones</x:v>
      </x:c>
      <x:c r="AE76" s="12" t="str">
        <x:v>Protocolos de viaje y análisis de seguridad</x:v>
      </x:c>
      <x:c r="AF76" s="12" t="str">
        <x:v>No aplica</x:v>
      </x:c>
      <x:c r="AG76" s="12" t="str">
        <x:v>Gerencia</x:v>
      </x:c>
      <x:c r="AH76" s="16" t="str">
        <x:v>2026-05-30</x:v>
      </x:c>
      <x:c r="AI76" s="12" t="str"/>
    </x:row>
    <x:row r="77">
      <x:c r="A77" t="str">
        <x:v>IPVR-076</x:v>
      </x:c>
      <x:c r="B77" t="str">
        <x:v>Bogotá</x:v>
      </x:c>
      <x:c r="C77" t="str">
        <x:v>Escolta</x:v>
      </x:c>
      <x:c r="D77" s="12" t="str">
        <x:v>Vehículos / rutas / acompañamiento a protegidos</x:v>
      </x:c>
      <x:c r="E77" s="12" t="str">
        <x:v>Protección a personas y bienes</x:v>
      </x:c>
      <x:c r="F77" s="12" t="str">
        <x:v>Acompañamiento de desplazamientos y reacción ante amenazas</x:v>
      </x:c>
      <x:c r="G77" s="12" t="str">
        <x:v>Sí</x:v>
      </x:c>
      <x:c r="H77" s="12" t="str">
        <x:v>Condiciones de seguridad - Público</x:v>
      </x:c>
      <x:c r="I77" s="12" t="str">
        <x:v>Atentado, agresión armada o amenaza contra escolta/protegido</x:v>
      </x:c>
      <x:c r="J77" s="12" t="str">
        <x:v>Lesiones graves, muerte, trauma psicológico</x:v>
      </x:c>
      <x:c r="K77" s="12" t="str">
        <x:v>Análisis previo de riesgo y planeación operativa</x:v>
      </x:c>
      <x:c r="L77" s="12" t="str">
        <x:v>Vehículos, comunicaciones, apoyo y rutas alternas</x:v>
      </x:c>
      <x:c r="M77" s="12" t="str">
        <x:v>Entrenamiento táctico, reacción y autoprotección</x:v>
      </x:c>
      <x:c r="N77" s="12" t="str">
        <x:v>Muerte</x:v>
      </x:c>
      <x:c r="O77" s="12" t="str">
        <x:v>Decreto 1072 de 2015; Resolución 0312 de 2019</x:v>
      </x:c>
      <x:c r="P77" s="14" t="n">
        <x:v>8</x:v>
      </x:c>
      <x:c r="Q77" t="str">
        <x:v>Muy alto</x:v>
      </x:c>
      <x:c r="R77" s="14" t="n">
        <x:f>IFERROR(VLOOKUP(Q77,Catalogos!$G:$H,2,FALSE),"")</x:f>
        <x:v>10</x:v>
      </x:c>
      <x:c r="S77" t="str">
        <x:v>Ocasional</x:v>
      </x:c>
      <x:c r="T77" s="14" t="n">
        <x:f>IFERROR(VLOOKUP(S77,Catalogos!$I:$J,2,FALSE),"")</x:f>
        <x:v>2</x:v>
      </x:c>
      <x:c r="U77" s="14" t="n">
        <x:f>IF(OR(R77="",T77=""),"",R77*T77)</x:f>
        <x:v>20</x:v>
      </x:c>
      <x:c r="V77" t="str">
        <x:f>IF(U77="","",IF(U77&gt;=24,"MUY ALTO",IF(U77&gt;=10,"ALTO",IF(U77&gt;=6,"MEDIO","BAJO"))))</x:f>
        <x:v>ALTO</x:v>
      </x:c>
      <x:c r="W77" t="str">
        <x:v>Mortal o catastrófico</x:v>
      </x:c>
      <x:c r="X77" s="14" t="n">
        <x:f>IFERROR(VLOOKUP(W77,Catalogos!$G:$H,2,FALSE),"")</x:f>
        <x:v>100</x:v>
      </x:c>
      <x:c r="Y77" s="14" t="n">
        <x:f>IF(OR(U77="",X77=""),"",U77*X77)</x:f>
        <x:v>2000</x:v>
      </x:c>
      <x:c r="Z77" t="str">
        <x:f>IF(Y77="","",IF(Y77&gt;=600,"I - Situación crítica. Suspender actividades hasta que el riesgo esté bajo control. Intervención urgente.",IF(Y77&gt;=150,"II - Corregir y adoptar medidas de control de inmediato.",IF(Y77&gt;=40,"III - Mejorar si es posible. Conviene justificar la intervención y su rentabilidad.","IV - Mantener controles existentes."))))</x:f>
        <x:v>I - Situación crítica. Suspender actividades hasta que el riesgo esté bajo control. Intervención urgente.</x:v>
      </x:c>
      <x:c r="AA77" t="str">
        <x:f>IF(Y77="","",IF(Y77&gt;=600,"No aceptable",IF(Y77&gt;=150,"No aceptable / Aceptable con control específico","Aceptable")))</x:f>
        <x:v>No aceptable</x:v>
      </x:c>
      <x:c r="AB77" s="12" t="str">
        <x:v>Eliminar recorridos en horarios/rutas de alto riesgo cuando sea posible</x:v>
      </x:c>
      <x:c r="AC77" s="12" t="str">
        <x:v>Cambiar rutas y medios de desplazamiento según análisis</x:v>
      </x:c>
      <x:c r="AD77" s="12" t="str">
        <x:v>Vehículos y comunicaciones seguras</x:v>
      </x:c>
      <x:c r="AE77" s="12" t="str">
        <x:v>Estudios de seguridad, planeación táctica y briefings</x:v>
      </x:c>
      <x:c r="AF77" s="12" t="str">
        <x:v>Chaleco balístico, radio, linterna</x:v>
      </x:c>
      <x:c r="AG77" s="12" t="str">
        <x:v>Director de Operaciones</x:v>
      </x:c>
      <x:c r="AH77" s="16" t="str">
        <x:v>2026-05-30</x:v>
      </x:c>
      <x:c r="AI77" s="12" t="str"/>
    </x:row>
    <x:row r="78">
      <x:c r="A78" t="str">
        <x:v>IPVR-077</x:v>
      </x:c>
      <x:c r="B78" t="str">
        <x:v>Bogotá</x:v>
      </x:c>
      <x:c r="C78" t="str">
        <x:v>Escolta</x:v>
      </x:c>
      <x:c r="D78" s="12" t="str">
        <x:v>Vías urbanas e intermunicipales</x:v>
      </x:c>
      <x:c r="E78" s="12" t="str">
        <x:v>Desplazamiento en operación de escolta</x:v>
      </x:c>
      <x:c r="F78" s="12" t="str">
        <x:v>Conducción preventiva en servicio</x:v>
      </x:c>
      <x:c r="G78" s="12" t="str">
        <x:v>Sí</x:v>
      </x:c>
      <x:c r="H78" s="12" t="str">
        <x:v>Condiciones de seguridad - Accidentes de tránsito</x:v>
      </x:c>
      <x:c r="I78" s="12" t="str">
        <x:v>Colisión o siniestro vial en desplazamiento operativo</x:v>
      </x:c>
      <x:c r="J78" s="12" t="str">
        <x:v>Politraumatismo, incapacidad, muerte</x:v>
      </x:c>
      <x:c r="K78" s="12" t="str">
        <x:v>Mantenimiento preventivo y control de velocidad</x:v>
      </x:c>
      <x:c r="L78" s="12" t="str">
        <x:v>GPS, frenos ABS, inspección vehicular</x:v>
      </x:c>
      <x:c r="M78" s="12" t="str">
        <x:v>Conducción defensiva y manejo evasivo autorizado</x:v>
      </x:c>
      <x:c r="N78" s="12" t="str">
        <x:v>Muerte</x:v>
      </x:c>
      <x:c r="O78" s="12" t="str">
        <x:v>Resolución 40595 de 2022; Decreto 1072 de 2015</x:v>
      </x:c>
      <x:c r="P78" s="14" t="n">
        <x:v>8</x:v>
      </x:c>
      <x:c r="Q78" t="str">
        <x:v>Alto</x:v>
      </x:c>
      <x:c r="R78" s="14" t="n">
        <x:f>IFERROR(VLOOKUP(Q78,Catalogos!$G:$H,2,FALSE),"")</x:f>
        <x:v>6</x:v>
      </x:c>
      <x:c r="S78" t="str">
        <x:v>Frecuente</x:v>
      </x:c>
      <x:c r="T78" s="14" t="n">
        <x:f>IFERROR(VLOOKUP(S78,Catalogos!$I:$J,2,FALSE),"")</x:f>
        <x:v>3</x:v>
      </x:c>
      <x:c r="U78" s="14" t="n">
        <x:f>IF(OR(R78="",T78=""),"",R78*T78)</x:f>
        <x:v>18</x:v>
      </x:c>
      <x:c r="V78" t="str">
        <x:f>IF(U78="","",IF(U78&gt;=24,"MUY ALTO",IF(U78&gt;=10,"ALTO",IF(U78&gt;=6,"MEDIO","BAJO"))))</x:f>
        <x:v>ALTO</x:v>
      </x:c>
      <x:c r="W78" t="str">
        <x:v>Muy grave</x:v>
      </x:c>
      <x:c r="X78" s="14" t="n">
        <x:f>IFERROR(VLOOKUP(W78,Catalogos!$G:$H,2,FALSE),"")</x:f>
        <x:v>60</x:v>
      </x:c>
      <x:c r="Y78" s="14" t="n">
        <x:f>IF(OR(U78="",X78=""),"",U78*X78)</x:f>
        <x:v>1080</x:v>
      </x:c>
      <x:c r="Z78" t="str">
        <x:f>IF(Y78="","",IF(Y78&gt;=600,"I - Situación crítica. Suspender actividades hasta que el riesgo esté bajo control. Intervención urgente.",IF(Y78&gt;=150,"II - Corregir y adoptar medidas de control de inmediato.",IF(Y78&gt;=40,"III - Mejorar si es posible. Conviene justificar la intervención y su rentabilidad.","IV - Mantener controles existentes."))))</x:f>
        <x:v>I - Situación crítica. Suspender actividades hasta que el riesgo esté bajo control. Intervención urgente.</x:v>
      </x:c>
      <x:c r="AA78" t="str">
        <x:f>IF(Y78="","",IF(Y78&gt;=600,"No aceptable",IF(Y78&gt;=150,"No aceptable / Aceptable con control específico","Aceptable")))</x:f>
        <x:v>No aceptable</x:v>
      </x:c>
      <x:c r="AB78" s="12" t="str">
        <x:v>Eliminar trayectos no indispensables</x:v>
      </x:c>
      <x:c r="AC78" s="12" t="str">
        <x:v>Uso de vehículo más seguro según nivel de riesgo</x:v>
      </x:c>
      <x:c r="AD78" s="12" t="str">
        <x:v>Sistemas de asistencia y monitoreo</x:v>
      </x:c>
      <x:c r="AE78" s="12" t="str">
        <x:v>PESV, turnos, control de fatiga y preoperacional</x:v>
      </x:c>
      <x:c r="AF78" s="12" t="str">
        <x:v>Cinturón de seguridad</x:v>
      </x:c>
      <x:c r="AG78" s="12" t="str">
        <x:v>Director de Operaciones</x:v>
      </x:c>
      <x:c r="AH78" s="16" t="str">
        <x:v>2026-05-30</x:v>
      </x:c>
      <x:c r="AI78" s="12" t="str"/>
    </x:row>
    <x:row r="79">
      <x:c r="A79" t="str">
        <x:v>IPVR-078</x:v>
      </x:c>
      <x:c r="B79" t="str">
        <x:v>Bogotá</x:v>
      </x:c>
      <x:c r="C79" t="str">
        <x:v>Escolta</x:v>
      </x:c>
      <x:c r="D79" s="12" t="str">
        <x:v>Vehículos / servicio operativo</x:v>
      </x:c>
      <x:c r="E79" s="12" t="str">
        <x:v>Jornadas operativas y vigilancia sostenida</x:v>
      </x:c>
      <x:c r="F79" s="12" t="str">
        <x:v>Mantener atención permanente durante largos turnos</x:v>
      </x:c>
      <x:c r="G79" s="12" t="str">
        <x:v>Sí</x:v>
      </x:c>
      <x:c r="H79" s="12" t="str">
        <x:v>Psicosocial</x:v>
      </x:c>
      <x:c r="I79" s="12" t="str">
        <x:v>Fatiga mental, turnicidad y presión operacional</x:v>
      </x:c>
      <x:c r="J79" s="12" t="str">
        <x:v>Distracción, errores operativos, alteraciones del sueño</x:v>
      </x:c>
      <x:c r="K79" s="12" t="str">
        <x:v>Planeación de relevos</x:v>
      </x:c>
      <x:c r="L79" s="12" t="str">
        <x:v>Espacios adecuados para descansos</x:v>
      </x:c>
      <x:c r="M79" s="12" t="str">
        <x:v>Higiene del sueño y autocuidado</x:v>
      </x:c>
      <x:c r="N79" s="12" t="str">
        <x:v>Error crítico en servicio</x:v>
      </x:c>
      <x:c r="O79" s="12" t="str">
        <x:v>Resolución 2646 de 2008; Decreto 1072 de 2015</x:v>
      </x:c>
      <x:c r="P79" s="14" t="n">
        <x:v>8</x:v>
      </x:c>
      <x:c r="Q79" t="str">
        <x:v>Medio</x:v>
      </x:c>
      <x:c r="R79" s="14" t="n">
        <x:f>IFERROR(VLOOKUP(Q79,Catalogos!$G:$H,2,FALSE),"")</x:f>
        <x:v>2</x:v>
      </x:c>
      <x:c r="S79" t="str">
        <x:v>Continua</x:v>
      </x:c>
      <x:c r="T79" s="14" t="n">
        <x:f>IFERROR(VLOOKUP(S79,Catalogos!$I:$J,2,FALSE),"")</x:f>
        <x:v>4</x:v>
      </x:c>
      <x:c r="U79" s="14" t="n">
        <x:f>IF(OR(R79="",T79=""),"",R79*T79)</x:f>
        <x:v>8</x:v>
      </x:c>
      <x:c r="V79" t="str">
        <x:f>IF(U79="","",IF(U79&gt;=24,"MUY ALTO",IF(U79&gt;=10,"ALTO",IF(U79&gt;=6,"MEDIO","BAJO"))))</x:f>
        <x:v>MEDIO</x:v>
      </x:c>
      <x:c r="W79" t="str">
        <x:v>Grave</x:v>
      </x:c>
      <x:c r="X79" s="14" t="n">
        <x:f>IFERROR(VLOOKUP(W79,Catalogos!$G:$H,2,FALSE),"")</x:f>
        <x:v>25</x:v>
      </x:c>
      <x:c r="Y79" s="14" t="n">
        <x:f>IF(OR(U79="",X79=""),"",U79*X79)</x:f>
        <x:v>200</x:v>
      </x:c>
      <x:c r="Z79" t="str">
        <x:f>IF(Y79="","",IF(Y79&gt;=600,"I - Situación crítica. Suspender actividades hasta que el riesgo esté bajo control. Intervención urgente.",IF(Y79&gt;=150,"II - Corregir y adoptar medidas de control de inmediato.",IF(Y79&gt;=40,"III - Mejorar si es posible. Conviene justificar la intervención y su rentabilidad.","IV - Mantener controles existentes."))))</x:f>
        <x:v>II - Corregir y adoptar medidas de control de inmediato.</x:v>
      </x:c>
      <x:c r="AA79" t="str">
        <x:f>IF(Y79="","",IF(Y79&gt;=600,"No aceptable",IF(Y79&gt;=150,"No aceptable / Aceptable con control específico","Aceptable")))</x:f>
        <x:v>No aceptable / Aceptable con control específico</x:v>
      </x:c>
      <x:c r="AB79" s="12" t="str">
        <x:v>Eliminar turnos excesivos</x:v>
      </x:c>
      <x:c r="AC79" s="12" t="str">
        <x:v>Relevo oportuno por personal disponible</x:v>
      </x:c>
      <x:c r="AD79" s="12" t="str">
        <x:v>Monitoreo de fatiga cuando aplique</x:v>
      </x:c>
      <x:c r="AE79" s="12" t="str">
        <x:v>Límites de jornada, pausas y seguimiento psicosocial</x:v>
      </x:c>
      <x:c r="AF79" s="12" t="str">
        <x:v>No aplica</x:v>
      </x:c>
      <x:c r="AG79" s="12" t="str">
        <x:v>Director de Operaciones</x:v>
      </x:c>
      <x:c r="AH79" s="16" t="str">
        <x:v>2026-05-30</x:v>
      </x:c>
      <x:c r="AI79" s="12" t="str"/>
    </x:row>
    <x:row r="80">
      <x:c r="A80" t="str">
        <x:v>IPVR-079</x:v>
      </x:c>
      <x:c r="B80" t="str">
        <x:v>Tibú</x:v>
      </x:c>
      <x:c r="C80" t="str">
        <x:v>Vigilancia física fija</x:v>
      </x:c>
      <x:c r="D80" s="12" t="str">
        <x:v>Puesto de vigilancia / accesos</x:v>
      </x:c>
      <x:c r="E80" s="12" t="str">
        <x:v>Control de accesos y verificación</x:v>
      </x:c>
      <x:c r="F80" s="12" t="str">
        <x:v>Permanecer de pie, registrar ingresos y realizar rondas cortas</x:v>
      </x:c>
      <x:c r="G80" s="12" t="str">
        <x:v>Sí</x:v>
      </x:c>
      <x:c r="H80" s="12" t="str">
        <x:v>Biomecánico</x:v>
      </x:c>
      <x:c r="I80" s="12" t="str">
        <x:v>Posturas prolongadas, bipedestación y desplazamientos frecuentes</x:v>
      </x:c>
      <x:c r="J80" s="12" t="str">
        <x:v>Fatiga muscular, lumbalgia, trastornos osteomusculares en miembros inferiores y columna</x:v>
      </x:c>
      <x:c r="K80" s="12" t="str">
        <x:v>Rotación parcial de tareas y pausas activas programadas</x:v>
      </x:c>
      <x:c r="L80" s="12" t="str">
        <x:v>Puntos de apoyo, silla de descanso en relevos y superficies niveladas</x:v>
      </x:c>
      <x:c r="M80" s="12" t="str">
        <x:v>Capacitación en higiene postural y uso de calzado ergonómico</x:v>
      </x:c>
      <x:c r="N80" s="12" t="str">
        <x:v>Trastorno musculoesquelético incapacitante</x:v>
      </x:c>
      <x:c r="O80" s="12" t="str">
        <x:v>Decreto 1072 de 2015; Resolución 0312 de 2019</x:v>
      </x:c>
      <x:c r="P80" s="14" t="n">
        <x:v>9</x:v>
      </x:c>
      <x:c r="Q80" t="str">
        <x:v>Medio</x:v>
      </x:c>
      <x:c r="R80" s="14" t="n">
        <x:f>IFERROR(VLOOKUP(Q80,Catalogos!$G:$H,2,FALSE),"")</x:f>
        <x:v>2</x:v>
      </x:c>
      <x:c r="S80" t="str">
        <x:v>Continua</x:v>
      </x:c>
      <x:c r="T80" s="14" t="n">
        <x:f>IFERROR(VLOOKUP(S80,Catalogos!$I:$J,2,FALSE),"")</x:f>
        <x:v>4</x:v>
      </x:c>
      <x:c r="U80" s="14" t="n">
        <x:f>IF(OR(R80="",T80=""),"",R80*T80)</x:f>
        <x:v>8</x:v>
      </x:c>
      <x:c r="V80" t="str">
        <x:f>IF(U80="","",IF(U80&gt;=24,"MUY ALTO",IF(U80&gt;=10,"ALTO",IF(U80&gt;=6,"MEDIO","BAJO"))))</x:f>
        <x:v>MEDIO</x:v>
      </x:c>
      <x:c r="W80" t="str">
        <x:v>Grave</x:v>
      </x:c>
      <x:c r="X80" s="14" t="n">
        <x:f>IFERROR(VLOOKUP(W80,Catalogos!$G:$H,2,FALSE),"")</x:f>
        <x:v>25</x:v>
      </x:c>
      <x:c r="Y80" s="14" t="n">
        <x:f>IF(OR(U80="",X80=""),"",U80*X80)</x:f>
        <x:v>200</x:v>
      </x:c>
      <x:c r="Z80" t="str">
        <x:f>IF(Y80="","",IF(Y80&gt;=600,"I - Situación crítica. Suspender actividades hasta que el riesgo esté bajo control. Intervención urgente.",IF(Y80&gt;=150,"II - Corregir y adoptar medidas de control de inmediato.",IF(Y80&gt;=40,"III - Mejorar si es posible. Conviene justificar la intervención y su rentabilidad.","IV - Mantener controles existentes."))))</x:f>
        <x:v>II - Corregir y adoptar medidas de control de inmediato.</x:v>
      </x:c>
      <x:c r="AA80" t="str">
        <x:f>IF(Y80="","",IF(Y80&gt;=600,"No aceptable",IF(Y80&gt;=150,"No aceptable / Aceptable con control específico","Aceptable")))</x:f>
        <x:v>No aceptable / Aceptable con control específico</x:v>
      </x:c>
      <x:c r="AB80" s="12" t="str">
        <x:v>Reorganizar el puesto para alternar tareas estáticas y dinámicas</x:v>
      </x:c>
      <x:c r="AC80" s="12" t="str">
        <x:v>No aplica</x:v>
      </x:c>
      <x:c r="AD80" s="12" t="str">
        <x:v>Adecuar apoyapiés y superficies ergonómicas</x:v>
      </x:c>
      <x:c r="AE80" s="12" t="str">
        <x:v>Pausas activas, rotación, inspecciones ergonómicas y seguimiento médico</x:v>
      </x:c>
      <x:c r="AF80" s="12" t="str">
        <x:v>Calzado de seguridad ergonómico</x:v>
      </x:c>
      <x:c r="AG80" s="12" t="str">
        <x:v>Director de Operaciones</x:v>
      </x:c>
      <x:c r="AH80" s="16" t="str">
        <x:v>2026-05-15</x:v>
      </x:c>
      <x:c r="AI80" s="12" t="str"/>
    </x:row>
    <x:row r="81">
      <x:c r="A81" t="str">
        <x:v>IPVR-080</x:v>
      </x:c>
      <x:c r="B81" t="str">
        <x:v>Tibú</x:v>
      </x:c>
      <x:c r="C81" t="str">
        <x:v>Vigilancia física fija</x:v>
      </x:c>
      <x:c r="D81" s="12" t="str">
        <x:v>Puesto de vigilancia / perímetro</x:v>
      </x:c>
      <x:c r="E81" s="12" t="str">
        <x:v>Vigilancia perimetral y atención de incidentes</x:v>
      </x:c>
      <x:c r="F81" s="12" t="str">
        <x:v>Interactuar con usuarios y controlar eventos de alteración del orden</x:v>
      </x:c>
      <x:c r="G81" s="12" t="str">
        <x:v>Sí</x:v>
      </x:c>
      <x:c r="H81" s="12" t="str">
        <x:v>Condiciones de seguridad - Público</x:v>
      </x:c>
      <x:c r="I81" s="12" t="str">
        <x:v>Agresión física o verbal, hurto, amenaza o alteración del orden público</x:v>
      </x:c>
      <x:c r="J81" s="12" t="str">
        <x:v>Contusiones, trauma psicológico, lesiones graves o muerte</x:v>
      </x:c>
      <x:c r="K81" s="12" t="str">
        <x:v>Protocolos de reacción y comunicación inmediata con central</x:v>
      </x:c>
      <x:c r="L81" s="12" t="str">
        <x:v>CCTV, radios, botón de pánico, iluminación exterior</x:v>
      </x:c>
      <x:c r="M81" s="12" t="str">
        <x:v>Entrenamiento en control de crisis y manejo defensivo</x:v>
      </x:c>
      <x:c r="N81" s="12" t="str">
        <x:v>Homicidio o lesión grave</x:v>
      </x:c>
      <x:c r="O81" s="12" t="str">
        <x:v>Decreto 1072 de 2015; Resolución 0312 de 2019</x:v>
      </x:c>
      <x:c r="P81" s="14" t="n">
        <x:v>9</x:v>
      </x:c>
      <x:c r="Q81" t="str">
        <x:v>Alto</x:v>
      </x:c>
      <x:c r="R81" s="14" t="n">
        <x:f>IFERROR(VLOOKUP(Q81,Catalogos!$G:$H,2,FALSE),"")</x:f>
        <x:v>6</x:v>
      </x:c>
      <x:c r="S81" t="str">
        <x:v>Ocasional</x:v>
      </x:c>
      <x:c r="T81" s="14" t="n">
        <x:f>IFERROR(VLOOKUP(S81,Catalogos!$I:$J,2,FALSE),"")</x:f>
        <x:v>2</x:v>
      </x:c>
      <x:c r="U81" s="14" t="n">
        <x:f>IF(OR(R81="",T81=""),"",R81*T81)</x:f>
        <x:v>12</x:v>
      </x:c>
      <x:c r="V81" t="str">
        <x:f>IF(U81="","",IF(U81&gt;=24,"MUY ALTO",IF(U81&gt;=10,"ALTO",IF(U81&gt;=6,"MEDIO","BAJO"))))</x:f>
        <x:v>ALTO</x:v>
      </x:c>
      <x:c r="W81" t="str">
        <x:v>Muy grave</x:v>
      </x:c>
      <x:c r="X81" s="14" t="n">
        <x:f>IFERROR(VLOOKUP(W81,Catalogos!$G:$H,2,FALSE),"")</x:f>
        <x:v>60</x:v>
      </x:c>
      <x:c r="Y81" s="14" t="n">
        <x:f>IF(OR(U81="",X81=""),"",U81*X81)</x:f>
        <x:v>720</x:v>
      </x:c>
      <x:c r="Z81" t="str">
        <x:f>IF(Y81="","",IF(Y81&gt;=600,"I - Situación crítica. Suspender actividades hasta que el riesgo esté bajo control. Intervención urgente.",IF(Y81&gt;=150,"II - Corregir y adoptar medidas de control de inmediato.",IF(Y81&gt;=40,"III - Mejorar si es posible. Conviene justificar la intervención y su rentabilidad.","IV - Mantener controles existentes."))))</x:f>
        <x:v>I - Situación crítica. Suspender actividades hasta que el riesgo esté bajo control. Intervención urgente.</x:v>
      </x:c>
      <x:c r="AA81" t="str">
        <x:f>IF(Y81="","",IF(Y81&gt;=600,"No aceptable",IF(Y81&gt;=150,"No aceptable / Aceptable con control específico","Aceptable")))</x:f>
        <x:v>No aceptable</x:v>
      </x:c>
      <x:c r="AB81" s="12" t="str">
        <x:v>Eliminar puntos ciegos y actividades en solitario de alto riesgo</x:v>
      </x:c>
      <x:c r="AC81" s="12" t="str">
        <x:v>Sustituir rondas aisladas por acompañamiento dual en sitios críticos</x:v>
      </x:c>
      <x:c r="AD81" s="12" t="str">
        <x:v>Mejorar CCTV, alarmas y control de acceso</x:v>
      </x:c>
      <x:c r="AE81" s="12" t="str">
        <x:v>Protocolos de reacción, análisis de seguridad por puesto, simulacros</x:v>
      </x:c>
      <x:c r="AF81" s="12" t="str">
        <x:v>Chaleco, linterna, radio, elemento de protección balística si aplica</x:v>
      </x:c>
      <x:c r="AG81" s="12" t="str">
        <x:v>Director de Operaciones</x:v>
      </x:c>
      <x:c r="AH81" s="16" t="str">
        <x:v>2026-05-15</x:v>
      </x:c>
      <x:c r="AI81" s="12" t="str"/>
    </x:row>
    <x:row r="82">
      <x:c r="A82" t="str">
        <x:v>IPVR-081</x:v>
      </x:c>
      <x:c r="B82" t="str">
        <x:v>Tibú</x:v>
      </x:c>
      <x:c r="C82" t="str">
        <x:v>Vigilancia física fija</x:v>
      </x:c>
      <x:c r="D82" s="12" t="str">
        <x:v>Áreas comunes / perímetro</x:v>
      </x:c>
      <x:c r="E82" s="12" t="str">
        <x:v>Rondas de inspección</x:v>
      </x:c>
      <x:c r="F82" s="12" t="str">
        <x:v>Desplazarse por escaleras, pasillos, zonas húmedas o irregulares</x:v>
      </x:c>
      <x:c r="G82" s="12" t="str">
        <x:v>Sí</x:v>
      </x:c>
      <x:c r="H82" s="12" t="str">
        <x:v>Condiciones de seguridad - Locativo</x:v>
      </x:c>
      <x:c r="I82" s="12" t="str">
        <x:v>Caídas al mismo nivel por superficies irregulares, húmedas o con obstáculos</x:v>
      </x:c>
      <x:c r="J82" s="12" t="str">
        <x:v>Esguinces, fracturas, golpes, incapacidad temporal</x:v>
      </x:c>
      <x:c r="K82" s="12" t="str">
        <x:v>Inspecciones locativas y corrección de condiciones inseguras</x:v>
      </x:c>
      <x:c r="L82" s="12" t="str">
        <x:v>Señalización, orden y aseo, iluminación adecuada</x:v>
      </x:c>
      <x:c r="M82" s="12" t="str">
        <x:v>Reporte oportuno de condiciones inseguras y atención al tránsito seguro</x:v>
      </x:c>
      <x:c r="N82" s="12" t="str">
        <x:v>Fractura con incapacidad prolongada</x:v>
      </x:c>
      <x:c r="O82" s="12" t="str">
        <x:v>Decreto 1072 de 2015; Resolución 0312 de 2019</x:v>
      </x:c>
      <x:c r="P82" s="14" t="n">
        <x:v>9</x:v>
      </x:c>
      <x:c r="Q82" t="str">
        <x:v>Alto</x:v>
      </x:c>
      <x:c r="R82" s="14" t="n">
        <x:f>IFERROR(VLOOKUP(Q82,Catalogos!$G:$H,2,FALSE),"")</x:f>
        <x:v>6</x:v>
      </x:c>
      <x:c r="S82" t="str">
        <x:v>Ocasional</x:v>
      </x:c>
      <x:c r="T82" s="14" t="n">
        <x:f>IFERROR(VLOOKUP(S82,Catalogos!$I:$J,2,FALSE),"")</x:f>
        <x:v>2</x:v>
      </x:c>
      <x:c r="U82" s="14" t="n">
        <x:f>IF(OR(R82="",T82=""),"",R82*T82)</x:f>
        <x:v>12</x:v>
      </x:c>
      <x:c r="V82" t="str">
        <x:f>IF(U82="","",IF(U82&gt;=24,"MUY ALTO",IF(U82&gt;=10,"ALTO",IF(U82&gt;=6,"MEDIO","BAJO"))))</x:f>
        <x:v>ALTO</x:v>
      </x:c>
      <x:c r="W82" t="str">
        <x:v>Grave</x:v>
      </x:c>
      <x:c r="X82" s="14" t="n">
        <x:f>IFERROR(VLOOKUP(W82,Catalogos!$G:$H,2,FALSE),"")</x:f>
        <x:v>25</x:v>
      </x:c>
      <x:c r="Y82" s="14" t="n">
        <x:f>IF(OR(U82="",X82=""),"",U82*X82)</x:f>
        <x:v>300</x:v>
      </x:c>
      <x:c r="Z82" t="str">
        <x:f>IF(Y82="","",IF(Y82&gt;=600,"I - Situación crítica. Suspender actividades hasta que el riesgo esté bajo control. Intervención urgente.",IF(Y82&gt;=150,"II - Corregir y adoptar medidas de control de inmediato.",IF(Y82&gt;=40,"III - Mejorar si es posible. Conviene justificar la intervención y su rentabilidad.","IV - Mantener controles existentes."))))</x:f>
        <x:v>II - Corregir y adoptar medidas de control de inmediato.</x:v>
      </x:c>
      <x:c r="AA82" t="str">
        <x:f>IF(Y82="","",IF(Y82&gt;=600,"No aceptable",IF(Y82&gt;=150,"No aceptable / Aceptable con control específico","Aceptable")))</x:f>
        <x:v>No aceptable / Aceptable con control específico</x:v>
      </x:c>
      <x:c r="AB82" s="12" t="str">
        <x:v>Eliminar obstáculos y desniveles inseguros</x:v>
      </x:c>
      <x:c r="AC82" s="12" t="str">
        <x:v>Revestimientos antideslizantes en zonas críticas</x:v>
      </x:c>
      <x:c r="AD82" s="12" t="str">
        <x:v>Mejorar drenajes y pisos</x:v>
      </x:c>
      <x:c r="AE82" s="12" t="str">
        <x:v>Inspecciones periódicas, orden y aseo, reporte de novedades</x:v>
      </x:c>
      <x:c r="AF82" s="12" t="str">
        <x:v>Calzado de seguridad antideslizante</x:v>
      </x:c>
      <x:c r="AG82" s="12" t="str">
        <x:v>Director de Operaciones</x:v>
      </x:c>
      <x:c r="AH82" s="16" t="str">
        <x:v>2026-05-15</x:v>
      </x:c>
      <x:c r="AI82" s="12" t="str"/>
    </x:row>
    <x:row r="83">
      <x:c r="A83" t="str">
        <x:v>IPVR-082</x:v>
      </x:c>
      <x:c r="B83" t="str">
        <x:v>Tibú</x:v>
      </x:c>
      <x:c r="C83" t="str">
        <x:v>Vigilancia física fija</x:v>
      </x:c>
      <x:c r="D83" s="12" t="str">
        <x:v>Garitas y perímetro externo</x:v>
      </x:c>
      <x:c r="E83" s="12" t="str">
        <x:v>Vigilancia exterior</x:v>
      </x:c>
      <x:c r="F83" s="12" t="str">
        <x:v>Exposición a radiación solar, lluvia y cambios bruscos de temperatura</x:v>
      </x:c>
      <x:c r="G83" s="12" t="str">
        <x:v>Sí</x:v>
      </x:c>
      <x:c r="H83" s="12" t="str">
        <x:v>Físico</x:v>
      </x:c>
      <x:c r="I83" s="12" t="str">
        <x:v>Exposición a radiación solar, calor, lluvia y disconfort térmico</x:v>
      </x:c>
      <x:c r="J83" s="12" t="str">
        <x:v>Deshidratación, cefalea, fatiga térmica, dermatosis</x:v>
      </x:c>
      <x:c r="K83" s="12" t="str">
        <x:v>Programación de relevos y zonas de sombra</x:v>
      </x:c>
      <x:c r="L83" s="12" t="str">
        <x:v>Cubiertas, hidratación disponible, ventilación</x:v>
      </x:c>
      <x:c r="M83" s="12" t="str">
        <x:v>Autocuidado e hidratación permanente</x:v>
      </x:c>
      <x:c r="N83" s="12" t="str">
        <x:v>Golpe de calor</x:v>
      </x:c>
      <x:c r="O83" s="12" t="str">
        <x:v>Decreto 1072 de 2015; Resolución 0312 de 2019</x:v>
      </x:c>
      <x:c r="P83" s="14" t="n">
        <x:v>9</x:v>
      </x:c>
      <x:c r="Q83" t="str">
        <x:v>Medio</x:v>
      </x:c>
      <x:c r="R83" s="14" t="n">
        <x:f>IFERROR(VLOOKUP(Q83,Catalogos!$G:$H,2,FALSE),"")</x:f>
        <x:v>2</x:v>
      </x:c>
      <x:c r="S83" t="str">
        <x:v>Frecuente</x:v>
      </x:c>
      <x:c r="T83" s="14" t="n">
        <x:f>IFERROR(VLOOKUP(S83,Catalogos!$I:$J,2,FALSE),"")</x:f>
        <x:v>3</x:v>
      </x:c>
      <x:c r="U83" s="14" t="n">
        <x:f>IF(OR(R83="",T83=""),"",R83*T83)</x:f>
        <x:v>6</x:v>
      </x:c>
      <x:c r="V83" t="str">
        <x:f>IF(U83="","",IF(U83&gt;=24,"MUY ALTO",IF(U83&gt;=10,"ALTO",IF(U83&gt;=6,"MEDIO","BAJO"))))</x:f>
        <x:v>MEDIO</x:v>
      </x:c>
      <x:c r="W83" t="str">
        <x:v>Leve</x:v>
      </x:c>
      <x:c r="X83" s="14" t="n">
        <x:f>IFERROR(VLOOKUP(W83,Catalogos!$G:$H,2,FALSE),"")</x:f>
        <x:v>10</x:v>
      </x:c>
      <x:c r="Y83" s="14" t="n">
        <x:f>IF(OR(U83="",X83=""),"",U83*X83)</x:f>
        <x:v>60</x:v>
      </x:c>
      <x:c r="Z83" t="str">
        <x:f>IF(Y83="","",IF(Y83&gt;=600,"I - Situación crítica. Suspender actividades hasta que el riesgo esté bajo control. Intervención urgente.",IF(Y83&gt;=150,"II - Corregir y adoptar medidas de control de inmediato.",IF(Y83&gt;=40,"III - Mejorar si es posible. Conviene justificar la intervención y su rentabilidad.","IV - Mantener controles existentes."))))</x:f>
        <x:v>III - Mejorar si es posible. Conviene justificar la intervención y su rentabilidad.</x:v>
      </x:c>
      <x:c r="AA83" t="str">
        <x:f>IF(Y83="","",IF(Y83&gt;=600,"No aceptable",IF(Y83&gt;=150,"No aceptable / Aceptable con control específico","Aceptable")))</x:f>
        <x:v>Aceptable</x:v>
      </x:c>
      <x:c r="AB83" s="12" t="str">
        <x:v>Reubicar puestos sin protección directa al clima cuando sea viable</x:v>
      </x:c>
      <x:c r="AC83" s="12" t="str">
        <x:v>No aplica</x:v>
      </x:c>
      <x:c r="AD83" s="12" t="str">
        <x:v>Instalar cubiertas y ventilación</x:v>
      </x:c>
      <x:c r="AE83" s="12" t="str">
        <x:v>Relevos, pausas de hidratación y seguimiento en temporadas críticas</x:v>
      </x:c>
      <x:c r="AF83" s="12" t="str">
        <x:v>Gorra, bloqueador solar, impermeable</x:v>
      </x:c>
      <x:c r="AG83" s="12" t="str">
        <x:v>Director de Operaciones</x:v>
      </x:c>
      <x:c r="AH83" s="16" t="str">
        <x:v>2026-05-15</x:v>
      </x:c>
      <x:c r="AI83" s="12" t="str"/>
    </x:row>
    <x:row r="84">
      <x:c r="A84" t="str">
        <x:v>IPVR-083</x:v>
      </x:c>
      <x:c r="B84" t="str">
        <x:v>Tibú</x:v>
      </x:c>
      <x:c r="C84" t="str">
        <x:v>Supervisión operativa y rondas</x:v>
      </x:c>
      <x:c r="D84" s="12" t="str">
        <x:v>Vías urbanas e intermunicipales</x:v>
      </x:c>
      <x:c r="E84" s="12" t="str">
        <x:v>Rondas motorizadas y desplazamiento entre puestos</x:v>
      </x:c>
      <x:c r="F84" s="12" t="str">
        <x:v>Conducir motocicleta o vehículo para supervisión de servicios</x:v>
      </x:c>
      <x:c r="G84" s="12" t="str">
        <x:v>Sí</x:v>
      </x:c>
      <x:c r="H84" s="12" t="str">
        <x:v>Condiciones de seguridad - Accidentes de tránsito</x:v>
      </x:c>
      <x:c r="I84" s="12" t="str">
        <x:v>Colisión, volcamiento, atropellamiento o siniestro vial</x:v>
      </x:c>
      <x:c r="J84" s="12" t="str">
        <x:v>Politraumatismo, incapacidad, muerte</x:v>
      </x:c>
      <x:c r="K84" s="12" t="str">
        <x:v>Mantenimiento preventivo y control de velocidad</x:v>
      </x:c>
      <x:c r="L84" s="12" t="str">
        <x:v>Vehículos en buen estado, GPS, reflectivos</x:v>
      </x:c>
      <x:c r="M84" s="12" t="str">
        <x:v>Capacitación PESV y conducción defensiva</x:v>
      </x:c>
      <x:c r="N84" s="12" t="str">
        <x:v>Muerte</x:v>
      </x:c>
      <x:c r="O84" s="12" t="str">
        <x:v>Resolución 40595 de 2022; Decreto 1072 de 2015</x:v>
      </x:c>
      <x:c r="P84" s="14" t="n">
        <x:v>2</x:v>
      </x:c>
      <x:c r="Q84" t="str">
        <x:v>Muy alto</x:v>
      </x:c>
      <x:c r="R84" s="14" t="n">
        <x:f>IFERROR(VLOOKUP(Q84,Catalogos!$G:$H,2,FALSE),"")</x:f>
        <x:v>10</x:v>
      </x:c>
      <x:c r="S84" t="str">
        <x:v>Frecuente</x:v>
      </x:c>
      <x:c r="T84" s="14" t="n">
        <x:f>IFERROR(VLOOKUP(S84,Catalogos!$I:$J,2,FALSE),"")</x:f>
        <x:v>3</x:v>
      </x:c>
      <x:c r="U84" s="14" t="n">
        <x:f>IF(OR(R84="",T84=""),"",R84*T84)</x:f>
        <x:v>30</x:v>
      </x:c>
      <x:c r="V84" t="str">
        <x:f>IF(U84="","",IF(U84&gt;=24,"MUY ALTO",IF(U84&gt;=10,"ALTO",IF(U84&gt;=6,"MEDIO","BAJO"))))</x:f>
        <x:v>MUY ALTO</x:v>
      </x:c>
      <x:c r="W84" t="str">
        <x:v>Muy grave</x:v>
      </x:c>
      <x:c r="X84" s="14" t="n">
        <x:f>IFERROR(VLOOKUP(W84,Catalogos!$G:$H,2,FALSE),"")</x:f>
        <x:v>60</x:v>
      </x:c>
      <x:c r="Y84" s="14" t="n">
        <x:f>IF(OR(U84="",X84=""),"",U84*X84)</x:f>
        <x:v>1800</x:v>
      </x:c>
      <x:c r="Z84" t="str">
        <x:f>IF(Y84="","",IF(Y84&gt;=600,"I - Situación crítica. Suspender actividades hasta que el riesgo esté bajo control. Intervención urgente.",IF(Y84&gt;=150,"II - Corregir y adoptar medidas de control de inmediato.",IF(Y84&gt;=40,"III - Mejorar si es posible. Conviene justificar la intervención y su rentabilidad.","IV - Mantener controles existentes."))))</x:f>
        <x:v>I - Situación crítica. Suspender actividades hasta que el riesgo esté bajo control. Intervención urgente.</x:v>
      </x:c>
      <x:c r="AA84" t="str">
        <x:f>IF(Y84="","",IF(Y84&gt;=600,"No aceptable",IF(Y84&gt;=150,"No aceptable / Aceptable con control específico","Aceptable")))</x:f>
        <x:v>No aceptable</x:v>
      </x:c>
      <x:c r="AB84" s="12" t="str">
        <x:v>Eliminar desplazamientos innecesarios</x:v>
      </x:c>
      <x:c r="AC84" s="12" t="str">
        <x:v>Sustituir motocicleta por vehículo en trayectos críticos cuando aplique</x:v>
      </x:c>
      <x:c r="AD84" s="12" t="str">
        <x:v>GPS, cámaras y mantenimientos</x:v>
      </x:c>
      <x:c r="AE84" s="12" t="str">
        <x:v>PESV, control de fatiga, inspección preoperacional</x:v>
      </x:c>
      <x:c r="AF84" s="12" t="str">
        <x:v>Casco certificado, chaleco reflectivo</x:v>
      </x:c>
      <x:c r="AG84" s="12" t="str">
        <x:v>Director de Operaciones</x:v>
      </x:c>
      <x:c r="AH84" s="16" t="str">
        <x:v>2026-05-15</x:v>
      </x:c>
      <x:c r="AI84" s="12" t="str"/>
    </x:row>
    <x:row r="85">
      <x:c r="A85" t="str">
        <x:v>IPVR-084</x:v>
      </x:c>
      <x:c r="B85" t="str">
        <x:v>Tibú</x:v>
      </x:c>
      <x:c r="C85" t="str">
        <x:v>Supervisión operativa y rondas</x:v>
      </x:c>
      <x:c r="D85" s="12" t="str">
        <x:v>Puestos externos / vía pública</x:v>
      </x:c>
      <x:c r="E85" s="12" t="str">
        <x:v>Atención de novedades e inspecciones en campo</x:v>
      </x:c>
      <x:c r="F85" s="12" t="str">
        <x:v>Ingresar a sitios con potencial alteración de orden público</x:v>
      </x:c>
      <x:c r="G85" s="12" t="str">
        <x:v>Sí</x:v>
      </x:c>
      <x:c r="H85" s="12" t="str">
        <x:v>Condiciones de seguridad - Público</x:v>
      </x:c>
      <x:c r="I85" s="12" t="str">
        <x:v>Asalto, amenaza, retención o agresión de terceros</x:v>
      </x:c>
      <x:c r="J85" s="12" t="str">
        <x:v>Lesiones, trauma psicológico, muerte</x:v>
      </x:c>
      <x:c r="K85" s="12" t="str">
        <x:v>Protocolos de apoyo y monitoreo</x:v>
      </x:c>
      <x:c r="L85" s="12" t="str">
        <x:v>Comunicación permanente con central y georreferenciación</x:v>
      </x:c>
      <x:c r="M85" s="12" t="str">
        <x:v>Entrenamiento de reacción segura y autoprotección</x:v>
      </x:c>
      <x:c r="N85" s="12" t="str">
        <x:v>Lesión grave o muerte</x:v>
      </x:c>
      <x:c r="O85" s="12" t="str">
        <x:v>Decreto 1072 de 2015; Resolución 0312 de 2019</x:v>
      </x:c>
      <x:c r="P85" s="14" t="n">
        <x:v>2</x:v>
      </x:c>
      <x:c r="Q85" t="str">
        <x:v>Alto</x:v>
      </x:c>
      <x:c r="R85" s="14" t="n">
        <x:f>IFERROR(VLOOKUP(Q85,Catalogos!$G:$H,2,FALSE),"")</x:f>
        <x:v>6</x:v>
      </x:c>
      <x:c r="S85" t="str">
        <x:v>Ocasional</x:v>
      </x:c>
      <x:c r="T85" s="14" t="n">
        <x:f>IFERROR(VLOOKUP(S85,Catalogos!$I:$J,2,FALSE),"")</x:f>
        <x:v>2</x:v>
      </x:c>
      <x:c r="U85" s="14" t="n">
        <x:f>IF(OR(R85="",T85=""),"",R85*T85)</x:f>
        <x:v>12</x:v>
      </x:c>
      <x:c r="V85" t="str">
        <x:f>IF(U85="","",IF(U85&gt;=24,"MUY ALTO",IF(U85&gt;=10,"ALTO",IF(U85&gt;=6,"MEDIO","BAJO"))))</x:f>
        <x:v>ALTO</x:v>
      </x:c>
      <x:c r="W85" t="str">
        <x:v>Muy grave</x:v>
      </x:c>
      <x:c r="X85" s="14" t="n">
        <x:f>IFERROR(VLOOKUP(W85,Catalogos!$G:$H,2,FALSE),"")</x:f>
        <x:v>60</x:v>
      </x:c>
      <x:c r="Y85" s="14" t="n">
        <x:f>IF(OR(U85="",X85=""),"",U85*X85)</x:f>
        <x:v>720</x:v>
      </x:c>
      <x:c r="Z85" t="str">
        <x:f>IF(Y85="","",IF(Y85&gt;=600,"I - Situación crítica. Suspender actividades hasta que el riesgo esté bajo control. Intervención urgente.",IF(Y85&gt;=150,"II - Corregir y adoptar medidas de control de inmediato.",IF(Y85&gt;=40,"III - Mejorar si es posible. Conviene justificar la intervención y su rentabilidad.","IV - Mantener controles existentes."))))</x:f>
        <x:v>I - Situación crítica. Suspender actividades hasta que el riesgo esté bajo control. Intervención urgente.</x:v>
      </x:c>
      <x:c r="AA85" t="str">
        <x:f>IF(Y85="","",IF(Y85&gt;=600,"No aceptable",IF(Y85&gt;=150,"No aceptable / Aceptable con control específico","Aceptable")))</x:f>
        <x:v>No aceptable</x:v>
      </x:c>
      <x:c r="AB85" s="12" t="str">
        <x:v>Suspender atención individual en zonas críticas</x:v>
      </x:c>
      <x:c r="AC85" s="12" t="str">
        <x:v>Acompañamiento dual o apoyo policial en zonas de alto riesgo</x:v>
      </x:c>
      <x:c r="AD85" s="12" t="str">
        <x:v>Dispositivos de comunicación redundante</x:v>
      </x:c>
      <x:c r="AE85" s="12" t="str">
        <x:v>Mapas de riesgo, briefing previo y protocolos de atención</x:v>
      </x:c>
      <x:c r="AF85" s="12" t="str">
        <x:v>Chaleco, radio, linterna táctica</x:v>
      </x:c>
      <x:c r="AG85" s="12" t="str">
        <x:v>Director de Operaciones</x:v>
      </x:c>
      <x:c r="AH85" s="16" t="str">
        <x:v>2026-05-15</x:v>
      </x:c>
      <x:c r="AI85" s="12" t="str"/>
    </x:row>
    <x:row r="86">
      <x:c r="A86" t="str">
        <x:v>IPVR-085</x:v>
      </x:c>
      <x:c r="B86" t="str">
        <x:v>Medellín</x:v>
      </x:c>
      <x:c r="C86" t="str">
        <x:v>Vigilancia física fija</x:v>
      </x:c>
      <x:c r="D86" s="12" t="str">
        <x:v>Puesto de vigilancia / accesos</x:v>
      </x:c>
      <x:c r="E86" s="12" t="str">
        <x:v>Control de accesos y verificación</x:v>
      </x:c>
      <x:c r="F86" s="12" t="str">
        <x:v>Permanecer de pie, registrar ingresos y realizar rondas cortas</x:v>
      </x:c>
      <x:c r="G86" s="12" t="str">
        <x:v>Sí</x:v>
      </x:c>
      <x:c r="H86" s="12" t="str">
        <x:v>Biomecánico</x:v>
      </x:c>
      <x:c r="I86" s="12" t="str">
        <x:v>Posturas prolongadas, bipedestación y desplazamientos frecuentes</x:v>
      </x:c>
      <x:c r="J86" s="12" t="str">
        <x:v>Fatiga muscular, lumbalgia, trastornos osteomusculares en miembros inferiores y columna</x:v>
      </x:c>
      <x:c r="K86" s="12" t="str">
        <x:v>Rotación parcial de tareas y pausas activas programadas</x:v>
      </x:c>
      <x:c r="L86" s="12" t="str">
        <x:v>Puntos de apoyo, silla de descanso en relevos y superficies niveladas</x:v>
      </x:c>
      <x:c r="M86" s="12" t="str">
        <x:v>Capacitación en higiene postural y uso de calzado ergonómico</x:v>
      </x:c>
      <x:c r="N86" s="12" t="str">
        <x:v>Trastorno musculoesquelético incapacitante</x:v>
      </x:c>
      <x:c r="O86" s="12" t="str">
        <x:v>Decreto 1072 de 2015; Resolución 0312 de 2019</x:v>
      </x:c>
      <x:c r="P86" s="14" t="n">
        <x:v>18</x:v>
      </x:c>
      <x:c r="Q86" t="str">
        <x:v>Medio</x:v>
      </x:c>
      <x:c r="R86" s="14" t="n">
        <x:f>IFERROR(VLOOKUP(Q86,Catalogos!$G:$H,2,FALSE),"")</x:f>
        <x:v>2</x:v>
      </x:c>
      <x:c r="S86" t="str">
        <x:v>Continua</x:v>
      </x:c>
      <x:c r="T86" s="14" t="n">
        <x:f>IFERROR(VLOOKUP(S86,Catalogos!$I:$J,2,FALSE),"")</x:f>
        <x:v>4</x:v>
      </x:c>
      <x:c r="U86" s="14" t="n">
        <x:f>IF(OR(R86="",T86=""),"",R86*T86)</x:f>
        <x:v>8</x:v>
      </x:c>
      <x:c r="V86" t="str">
        <x:f>IF(U86="","",IF(U86&gt;=24,"MUY ALTO",IF(U86&gt;=10,"ALTO",IF(U86&gt;=6,"MEDIO","BAJO"))))</x:f>
        <x:v>MEDIO</x:v>
      </x:c>
      <x:c r="W86" t="str">
        <x:v>Grave</x:v>
      </x:c>
      <x:c r="X86" s="14" t="n">
        <x:f>IFERROR(VLOOKUP(W86,Catalogos!$G:$H,2,FALSE),"")</x:f>
        <x:v>25</x:v>
      </x:c>
      <x:c r="Y86" s="14" t="n">
        <x:f>IF(OR(U86="",X86=""),"",U86*X86)</x:f>
        <x:v>200</x:v>
      </x:c>
      <x:c r="Z86" t="str">
        <x:f>IF(Y86="","",IF(Y86&gt;=600,"I - Situación crítica. Suspender actividades hasta que el riesgo esté bajo control. Intervención urgente.",IF(Y86&gt;=150,"II - Corregir y adoptar medidas de control de inmediato.",IF(Y86&gt;=40,"III - Mejorar si es posible. Conviene justificar la intervención y su rentabilidad.","IV - Mantener controles existentes."))))</x:f>
        <x:v>II - Corregir y adoptar medidas de control de inmediato.</x:v>
      </x:c>
      <x:c r="AA86" t="str">
        <x:f>IF(Y86="","",IF(Y86&gt;=600,"No aceptable",IF(Y86&gt;=150,"No aceptable / Aceptable con control específico","Aceptable")))</x:f>
        <x:v>No aceptable / Aceptable con control específico</x:v>
      </x:c>
      <x:c r="AB86" s="12" t="str">
        <x:v>Reorganizar el puesto para alternar tareas estáticas y dinámicas</x:v>
      </x:c>
      <x:c r="AC86" s="12" t="str">
        <x:v>No aplica</x:v>
      </x:c>
      <x:c r="AD86" s="12" t="str">
        <x:v>Adecuar apoyapiés y superficies ergonómicas</x:v>
      </x:c>
      <x:c r="AE86" s="12" t="str">
        <x:v>Pausas activas, rotación, inspecciones ergonómicas y seguimiento médico</x:v>
      </x:c>
      <x:c r="AF86" s="12" t="str">
        <x:v>Calzado de seguridad ergonómico</x:v>
      </x:c>
      <x:c r="AG86" s="12" t="str">
        <x:v>Director de Operaciones</x:v>
      </x:c>
      <x:c r="AH86" s="16" t="str">
        <x:v>2026-05-28</x:v>
      </x:c>
      <x:c r="AI86" s="12" t="str"/>
    </x:row>
    <x:row r="87">
      <x:c r="A87" t="str">
        <x:v>IPVR-086</x:v>
      </x:c>
      <x:c r="B87" t="str">
        <x:v>Medellín</x:v>
      </x:c>
      <x:c r="C87" t="str">
        <x:v>Vigilancia física fija</x:v>
      </x:c>
      <x:c r="D87" s="12" t="str">
        <x:v>Puesto de vigilancia / perímetro</x:v>
      </x:c>
      <x:c r="E87" s="12" t="str">
        <x:v>Vigilancia perimetral y atención de incidentes</x:v>
      </x:c>
      <x:c r="F87" s="12" t="str">
        <x:v>Interactuar con usuarios y controlar eventos de alteración del orden</x:v>
      </x:c>
      <x:c r="G87" s="12" t="str">
        <x:v>Sí</x:v>
      </x:c>
      <x:c r="H87" s="12" t="str">
        <x:v>Condiciones de seguridad - Público</x:v>
      </x:c>
      <x:c r="I87" s="12" t="str">
        <x:v>Agresión física o verbal, hurto, amenaza o alteración del orden público</x:v>
      </x:c>
      <x:c r="J87" s="12" t="str">
        <x:v>Contusiones, trauma psicológico, lesiones graves o muerte</x:v>
      </x:c>
      <x:c r="K87" s="12" t="str">
        <x:v>Protocolos de reacción y comunicación inmediata con central</x:v>
      </x:c>
      <x:c r="L87" s="12" t="str">
        <x:v>CCTV, radios, botón de pánico, iluminación exterior</x:v>
      </x:c>
      <x:c r="M87" s="12" t="str">
        <x:v>Entrenamiento en control de crisis y manejo defensivo</x:v>
      </x:c>
      <x:c r="N87" s="12" t="str">
        <x:v>Homicidio o lesión grave</x:v>
      </x:c>
      <x:c r="O87" s="12" t="str">
        <x:v>Decreto 1072 de 2015; Resolución 0312 de 2019</x:v>
      </x:c>
      <x:c r="P87" s="14" t="n">
        <x:v>18</x:v>
      </x:c>
      <x:c r="Q87" t="str">
        <x:v>Alto</x:v>
      </x:c>
      <x:c r="R87" s="14" t="n">
        <x:f>IFERROR(VLOOKUP(Q87,Catalogos!$G:$H,2,FALSE),"")</x:f>
        <x:v>6</x:v>
      </x:c>
      <x:c r="S87" t="str">
        <x:v>Ocasional</x:v>
      </x:c>
      <x:c r="T87" s="14" t="n">
        <x:f>IFERROR(VLOOKUP(S87,Catalogos!$I:$J,2,FALSE),"")</x:f>
        <x:v>2</x:v>
      </x:c>
      <x:c r="U87" s="14" t="n">
        <x:f>IF(OR(R87="",T87=""),"",R87*T87)</x:f>
        <x:v>12</x:v>
      </x:c>
      <x:c r="V87" t="str">
        <x:f>IF(U87="","",IF(U87&gt;=24,"MUY ALTO",IF(U87&gt;=10,"ALTO",IF(U87&gt;=6,"MEDIO","BAJO"))))</x:f>
        <x:v>ALTO</x:v>
      </x:c>
      <x:c r="W87" t="str">
        <x:v>Muy grave</x:v>
      </x:c>
      <x:c r="X87" s="14" t="n">
        <x:f>IFERROR(VLOOKUP(W87,Catalogos!$G:$H,2,FALSE),"")</x:f>
        <x:v>60</x:v>
      </x:c>
      <x:c r="Y87" s="14" t="n">
        <x:f>IF(OR(U87="",X87=""),"",U87*X87)</x:f>
        <x:v>720</x:v>
      </x:c>
      <x:c r="Z87" t="str">
        <x:f>IF(Y87="","",IF(Y87&gt;=600,"I - Situación crítica. Suspender actividades hasta que el riesgo esté bajo control. Intervención urgente.",IF(Y87&gt;=150,"II - Corregir y adoptar medidas de control de inmediato.",IF(Y87&gt;=40,"III - Mejorar si es posible. Conviene justificar la intervención y su rentabilidad.","IV - Mantener controles existentes."))))</x:f>
        <x:v>I - Situación crítica. Suspender actividades hasta que el riesgo esté bajo control. Intervención urgente.</x:v>
      </x:c>
      <x:c r="AA87" t="str">
        <x:f>IF(Y87="","",IF(Y87&gt;=600,"No aceptable",IF(Y87&gt;=150,"No aceptable / Aceptable con control específico","Aceptable")))</x:f>
        <x:v>No aceptable</x:v>
      </x:c>
      <x:c r="AB87" s="12" t="str">
        <x:v>Eliminar puntos ciegos y actividades en solitario de alto riesgo</x:v>
      </x:c>
      <x:c r="AC87" s="12" t="str">
        <x:v>Sustituir rondas aisladas por acompañamiento dual en sitios críticos</x:v>
      </x:c>
      <x:c r="AD87" s="12" t="str">
        <x:v>Mejorar CCTV, alarmas y control de acceso</x:v>
      </x:c>
      <x:c r="AE87" s="12" t="str">
        <x:v>Protocolos de reacción, análisis de seguridad por puesto, simulacros</x:v>
      </x:c>
      <x:c r="AF87" s="12" t="str">
        <x:v>Chaleco, linterna, radio, elemento de protección balística si aplica</x:v>
      </x:c>
      <x:c r="AG87" s="12" t="str">
        <x:v>Director de Operaciones</x:v>
      </x:c>
      <x:c r="AH87" s="16" t="str">
        <x:v>2026-05-28</x:v>
      </x:c>
      <x:c r="AI87" s="12" t="str"/>
    </x:row>
    <x:row r="88">
      <x:c r="A88" t="str">
        <x:v>IPVR-087</x:v>
      </x:c>
      <x:c r="B88" t="str">
        <x:v>Medellín</x:v>
      </x:c>
      <x:c r="C88" t="str">
        <x:v>Vigilancia física fija</x:v>
      </x:c>
      <x:c r="D88" s="12" t="str">
        <x:v>Áreas comunes / perímetro</x:v>
      </x:c>
      <x:c r="E88" s="12" t="str">
        <x:v>Rondas de inspección</x:v>
      </x:c>
      <x:c r="F88" s="12" t="str">
        <x:v>Desplazarse por escaleras, pasillos, zonas húmedas o irregulares</x:v>
      </x:c>
      <x:c r="G88" s="12" t="str">
        <x:v>Sí</x:v>
      </x:c>
      <x:c r="H88" s="12" t="str">
        <x:v>Condiciones de seguridad - Locativo</x:v>
      </x:c>
      <x:c r="I88" s="12" t="str">
        <x:v>Caídas al mismo nivel por superficies irregulares, húmedas o con obstáculos</x:v>
      </x:c>
      <x:c r="J88" s="12" t="str">
        <x:v>Esguinces, fracturas, golpes, incapacidad temporal</x:v>
      </x:c>
      <x:c r="K88" s="12" t="str">
        <x:v>Inspecciones locativas y corrección de condiciones inseguras</x:v>
      </x:c>
      <x:c r="L88" s="12" t="str">
        <x:v>Señalización, orden y aseo, iluminación adecuada</x:v>
      </x:c>
      <x:c r="M88" s="12" t="str">
        <x:v>Reporte oportuno de condiciones inseguras y atención al tránsito seguro</x:v>
      </x:c>
      <x:c r="N88" s="12" t="str">
        <x:v>Fractura con incapacidad prolongada</x:v>
      </x:c>
      <x:c r="O88" s="12" t="str">
        <x:v>Decreto 1072 de 2015; Resolución 0312 de 2019</x:v>
      </x:c>
      <x:c r="P88" s="14" t="n">
        <x:v>18</x:v>
      </x:c>
      <x:c r="Q88" t="str">
        <x:v>Alto</x:v>
      </x:c>
      <x:c r="R88" s="14" t="n">
        <x:f>IFERROR(VLOOKUP(Q88,Catalogos!$G:$H,2,FALSE),"")</x:f>
        <x:v>6</x:v>
      </x:c>
      <x:c r="S88" t="str">
        <x:v>Ocasional</x:v>
      </x:c>
      <x:c r="T88" s="14" t="n">
        <x:f>IFERROR(VLOOKUP(S88,Catalogos!$I:$J,2,FALSE),"")</x:f>
        <x:v>2</x:v>
      </x:c>
      <x:c r="U88" s="14" t="n">
        <x:f>IF(OR(R88="",T88=""),"",R88*T88)</x:f>
        <x:v>12</x:v>
      </x:c>
      <x:c r="V88" t="str">
        <x:f>IF(U88="","",IF(U88&gt;=24,"MUY ALTO",IF(U88&gt;=10,"ALTO",IF(U88&gt;=6,"MEDIO","BAJO"))))</x:f>
        <x:v>ALTO</x:v>
      </x:c>
      <x:c r="W88" t="str">
        <x:v>Grave</x:v>
      </x:c>
      <x:c r="X88" s="14" t="n">
        <x:f>IFERROR(VLOOKUP(W88,Catalogos!$G:$H,2,FALSE),"")</x:f>
        <x:v>25</x:v>
      </x:c>
      <x:c r="Y88" s="14" t="n">
        <x:f>IF(OR(U88="",X88=""),"",U88*X88)</x:f>
        <x:v>300</x:v>
      </x:c>
      <x:c r="Z88" t="str">
        <x:f>IF(Y88="","",IF(Y88&gt;=600,"I - Situación crítica. Suspender actividades hasta que el riesgo esté bajo control. Intervención urgente.",IF(Y88&gt;=150,"II - Corregir y adoptar medidas de control de inmediato.",IF(Y88&gt;=40,"III - Mejorar si es posible. Conviene justificar la intervención y su rentabilidad.","IV - Mantener controles existentes."))))</x:f>
        <x:v>II - Corregir y adoptar medidas de control de inmediato.</x:v>
      </x:c>
      <x:c r="AA88" t="str">
        <x:f>IF(Y88="","",IF(Y88&gt;=600,"No aceptable",IF(Y88&gt;=150,"No aceptable / Aceptable con control específico","Aceptable")))</x:f>
        <x:v>No aceptable / Aceptable con control específico</x:v>
      </x:c>
      <x:c r="AB88" s="12" t="str">
        <x:v>Eliminar obstáculos y desniveles inseguros</x:v>
      </x:c>
      <x:c r="AC88" s="12" t="str">
        <x:v>Revestimientos antideslizantes en zonas críticas</x:v>
      </x:c>
      <x:c r="AD88" s="12" t="str">
        <x:v>Mejorar drenajes y pisos</x:v>
      </x:c>
      <x:c r="AE88" s="12" t="str">
        <x:v>Inspecciones periódicas, orden y aseo, reporte de novedades</x:v>
      </x:c>
      <x:c r="AF88" s="12" t="str">
        <x:v>Calzado de seguridad antideslizante</x:v>
      </x:c>
      <x:c r="AG88" s="12" t="str">
        <x:v>Director de Operaciones</x:v>
      </x:c>
      <x:c r="AH88" s="16" t="str">
        <x:v>2026-05-28</x:v>
      </x:c>
      <x:c r="AI88" s="12" t="str"/>
    </x:row>
    <x:row r="89">
      <x:c r="A89" t="str">
        <x:v>IPVR-088</x:v>
      </x:c>
      <x:c r="B89" t="str">
        <x:v>Medellín</x:v>
      </x:c>
      <x:c r="C89" t="str">
        <x:v>Vigilancia física fija</x:v>
      </x:c>
      <x:c r="D89" s="12" t="str">
        <x:v>Garitas y perímetro externo</x:v>
      </x:c>
      <x:c r="E89" s="12" t="str">
        <x:v>Vigilancia exterior</x:v>
      </x:c>
      <x:c r="F89" s="12" t="str">
        <x:v>Exposición a radiación solar, lluvia y cambios bruscos de temperatura</x:v>
      </x:c>
      <x:c r="G89" s="12" t="str">
        <x:v>Sí</x:v>
      </x:c>
      <x:c r="H89" s="12" t="str">
        <x:v>Físico</x:v>
      </x:c>
      <x:c r="I89" s="12" t="str">
        <x:v>Exposición a radiación solar, calor, lluvia y disconfort térmico</x:v>
      </x:c>
      <x:c r="J89" s="12" t="str">
        <x:v>Deshidratación, cefalea, fatiga térmica, dermatosis</x:v>
      </x:c>
      <x:c r="K89" s="12" t="str">
        <x:v>Programación de relevos y zonas de sombra</x:v>
      </x:c>
      <x:c r="L89" s="12" t="str">
        <x:v>Cubiertas, hidratación disponible, ventilación</x:v>
      </x:c>
      <x:c r="M89" s="12" t="str">
        <x:v>Autocuidado e hidratación permanente</x:v>
      </x:c>
      <x:c r="N89" s="12" t="str">
        <x:v>Golpe de calor</x:v>
      </x:c>
      <x:c r="O89" s="12" t="str">
        <x:v>Decreto 1072 de 2015; Resolución 0312 de 2019</x:v>
      </x:c>
      <x:c r="P89" s="14" t="n">
        <x:v>18</x:v>
      </x:c>
      <x:c r="Q89" t="str">
        <x:v>Medio</x:v>
      </x:c>
      <x:c r="R89" s="14" t="n">
        <x:f>IFERROR(VLOOKUP(Q89,Catalogos!$G:$H,2,FALSE),"")</x:f>
        <x:v>2</x:v>
      </x:c>
      <x:c r="S89" t="str">
        <x:v>Frecuente</x:v>
      </x:c>
      <x:c r="T89" s="14" t="n">
        <x:f>IFERROR(VLOOKUP(S89,Catalogos!$I:$J,2,FALSE),"")</x:f>
        <x:v>3</x:v>
      </x:c>
      <x:c r="U89" s="14" t="n">
        <x:f>IF(OR(R89="",T89=""),"",R89*T89)</x:f>
        <x:v>6</x:v>
      </x:c>
      <x:c r="V89" t="str">
        <x:f>IF(U89="","",IF(U89&gt;=24,"MUY ALTO",IF(U89&gt;=10,"ALTO",IF(U89&gt;=6,"MEDIO","BAJO"))))</x:f>
        <x:v>MEDIO</x:v>
      </x:c>
      <x:c r="W89" t="str">
        <x:v>Leve</x:v>
      </x:c>
      <x:c r="X89" s="14" t="n">
        <x:f>IFERROR(VLOOKUP(W89,Catalogos!$G:$H,2,FALSE),"")</x:f>
        <x:v>10</x:v>
      </x:c>
      <x:c r="Y89" s="14" t="n">
        <x:f>IF(OR(U89="",X89=""),"",U89*X89)</x:f>
        <x:v>60</x:v>
      </x:c>
      <x:c r="Z89" t="str">
        <x:f>IF(Y89="","",IF(Y89&gt;=600,"I - Situación crítica. Suspender actividades hasta que el riesgo esté bajo control. Intervención urgente.",IF(Y89&gt;=150,"II - Corregir y adoptar medidas de control de inmediato.",IF(Y89&gt;=40,"III - Mejorar si es posible. Conviene justificar la intervención y su rentabilidad.","IV - Mantener controles existentes."))))</x:f>
        <x:v>III - Mejorar si es posible. Conviene justificar la intervención y su rentabilidad.</x:v>
      </x:c>
      <x:c r="AA89" t="str">
        <x:f>IF(Y89="","",IF(Y89&gt;=600,"No aceptable",IF(Y89&gt;=150,"No aceptable / Aceptable con control específico","Aceptable")))</x:f>
        <x:v>Aceptable</x:v>
      </x:c>
      <x:c r="AB89" s="12" t="str">
        <x:v>Reubicar puestos sin protección directa al clima cuando sea viable</x:v>
      </x:c>
      <x:c r="AC89" s="12" t="str">
        <x:v>No aplica</x:v>
      </x:c>
      <x:c r="AD89" s="12" t="str">
        <x:v>Instalar cubiertas y ventilación</x:v>
      </x:c>
      <x:c r="AE89" s="12" t="str">
        <x:v>Relevos, pausas de hidratación y seguimiento en temporadas críticas</x:v>
      </x:c>
      <x:c r="AF89" s="12" t="str">
        <x:v>Gorra, bloqueador solar, impermeable</x:v>
      </x:c>
      <x:c r="AG89" s="12" t="str">
        <x:v>Director de Operaciones</x:v>
      </x:c>
      <x:c r="AH89" s="16" t="str">
        <x:v>2026-05-28</x:v>
      </x:c>
      <x:c r="AI89" s="12" t="str"/>
    </x:row>
    <x:row r="90">
      <x:c r="A90" t="str">
        <x:v>IPVR-089</x:v>
      </x:c>
      <x:c r="B90" t="str">
        <x:v>Medellín</x:v>
      </x:c>
      <x:c r="C90" t="str">
        <x:v>Supervisión operativa y rondas</x:v>
      </x:c>
      <x:c r="D90" s="12" t="str">
        <x:v>Vías urbanas e intermunicipales</x:v>
      </x:c>
      <x:c r="E90" s="12" t="str">
        <x:v>Rondas motorizadas y desplazamiento entre puestos</x:v>
      </x:c>
      <x:c r="F90" s="12" t="str">
        <x:v>Conducir motocicleta o vehículo para supervisión de servicios</x:v>
      </x:c>
      <x:c r="G90" s="12" t="str">
        <x:v>Sí</x:v>
      </x:c>
      <x:c r="H90" s="12" t="str">
        <x:v>Condiciones de seguridad - Accidentes de tránsito</x:v>
      </x:c>
      <x:c r="I90" s="12" t="str">
        <x:v>Colisión, volcamiento, atropellamiento o siniestro vial</x:v>
      </x:c>
      <x:c r="J90" s="12" t="str">
        <x:v>Politraumatismo, incapacidad, muerte</x:v>
      </x:c>
      <x:c r="K90" s="12" t="str">
        <x:v>Mantenimiento preventivo y control de velocidad</x:v>
      </x:c>
      <x:c r="L90" s="12" t="str">
        <x:v>Vehículos en buen estado, GPS, reflectivos</x:v>
      </x:c>
      <x:c r="M90" s="12" t="str">
        <x:v>Capacitación PESV y conducción defensiva</x:v>
      </x:c>
      <x:c r="N90" s="12" t="str">
        <x:v>Muerte</x:v>
      </x:c>
      <x:c r="O90" s="12" t="str">
        <x:v>Resolución 40595 de 2022; Decreto 1072 de 2015</x:v>
      </x:c>
      <x:c r="P90" s="14" t="n">
        <x:v>3</x:v>
      </x:c>
      <x:c r="Q90" t="str">
        <x:v>Muy alto</x:v>
      </x:c>
      <x:c r="R90" s="14" t="n">
        <x:f>IFERROR(VLOOKUP(Q90,Catalogos!$G:$H,2,FALSE),"")</x:f>
        <x:v>10</x:v>
      </x:c>
      <x:c r="S90" t="str">
        <x:v>Frecuente</x:v>
      </x:c>
      <x:c r="T90" s="14" t="n">
        <x:f>IFERROR(VLOOKUP(S90,Catalogos!$I:$J,2,FALSE),"")</x:f>
        <x:v>3</x:v>
      </x:c>
      <x:c r="U90" s="14" t="n">
        <x:f>IF(OR(R90="",T90=""),"",R90*T90)</x:f>
        <x:v>30</x:v>
      </x:c>
      <x:c r="V90" t="str">
        <x:f>IF(U90="","",IF(U90&gt;=24,"MUY ALTO",IF(U90&gt;=10,"ALTO",IF(U90&gt;=6,"MEDIO","BAJO"))))</x:f>
        <x:v>MUY ALTO</x:v>
      </x:c>
      <x:c r="W90" t="str">
        <x:v>Muy grave</x:v>
      </x:c>
      <x:c r="X90" s="14" t="n">
        <x:f>IFERROR(VLOOKUP(W90,Catalogos!$G:$H,2,FALSE),"")</x:f>
        <x:v>60</x:v>
      </x:c>
      <x:c r="Y90" s="14" t="n">
        <x:f>IF(OR(U90="",X90=""),"",U90*X90)</x:f>
        <x:v>1800</x:v>
      </x:c>
      <x:c r="Z90" t="str">
        <x:f>IF(Y90="","",IF(Y90&gt;=600,"I - Situación crítica. Suspender actividades hasta que el riesgo esté bajo control. Intervención urgente.",IF(Y90&gt;=150,"II - Corregir y adoptar medidas de control de inmediato.",IF(Y90&gt;=40,"III - Mejorar si es posible. Conviene justificar la intervención y su rentabilidad.","IV - Mantener controles existentes."))))</x:f>
        <x:v>I - Situación crítica. Suspender actividades hasta que el riesgo esté bajo control. Intervención urgente.</x:v>
      </x:c>
      <x:c r="AA90" t="str">
        <x:f>IF(Y90="","",IF(Y90&gt;=600,"No aceptable",IF(Y90&gt;=150,"No aceptable / Aceptable con control específico","Aceptable")))</x:f>
        <x:v>No aceptable</x:v>
      </x:c>
      <x:c r="AB90" s="12" t="str">
        <x:v>Eliminar desplazamientos innecesarios</x:v>
      </x:c>
      <x:c r="AC90" s="12" t="str">
        <x:v>Sustituir motocicleta por vehículo en trayectos críticos cuando aplique</x:v>
      </x:c>
      <x:c r="AD90" s="12" t="str">
        <x:v>GPS, cámaras y mantenimientos</x:v>
      </x:c>
      <x:c r="AE90" s="12" t="str">
        <x:v>PESV, control de fatiga, inspección preoperacional</x:v>
      </x:c>
      <x:c r="AF90" s="12" t="str">
        <x:v>Casco certificado, chaleco reflectivo</x:v>
      </x:c>
      <x:c r="AG90" s="12" t="str">
        <x:v>Director de Operaciones</x:v>
      </x:c>
      <x:c r="AH90" s="16" t="str">
        <x:v>2026-05-28</x:v>
      </x:c>
      <x:c r="AI90" s="12" t="str"/>
    </x:row>
    <x:row r="91">
      <x:c r="A91" t="str">
        <x:v>IPVR-090</x:v>
      </x:c>
      <x:c r="B91" t="str">
        <x:v>Medellín</x:v>
      </x:c>
      <x:c r="C91" t="str">
        <x:v>Supervisión operativa y rondas</x:v>
      </x:c>
      <x:c r="D91" s="12" t="str">
        <x:v>Puestos externos / vía pública</x:v>
      </x:c>
      <x:c r="E91" s="12" t="str">
        <x:v>Atención de novedades e inspecciones en campo</x:v>
      </x:c>
      <x:c r="F91" s="12" t="str">
        <x:v>Ingresar a sitios con potencial alteración de orden público</x:v>
      </x:c>
      <x:c r="G91" s="12" t="str">
        <x:v>Sí</x:v>
      </x:c>
      <x:c r="H91" s="12" t="str">
        <x:v>Condiciones de seguridad - Público</x:v>
      </x:c>
      <x:c r="I91" s="12" t="str">
        <x:v>Asalto, amenaza, retención o agresión de terceros</x:v>
      </x:c>
      <x:c r="J91" s="12" t="str">
        <x:v>Lesiones, trauma psicológico, muerte</x:v>
      </x:c>
      <x:c r="K91" s="12" t="str">
        <x:v>Protocolos de apoyo y monitoreo</x:v>
      </x:c>
      <x:c r="L91" s="12" t="str">
        <x:v>Comunicación permanente con central y georreferenciación</x:v>
      </x:c>
      <x:c r="M91" s="12" t="str">
        <x:v>Entrenamiento de reacción segura y autoprotección</x:v>
      </x:c>
      <x:c r="N91" s="12" t="str">
        <x:v>Lesión grave o muerte</x:v>
      </x:c>
      <x:c r="O91" s="12" t="str">
        <x:v>Decreto 1072 de 2015; Resolución 0312 de 2019</x:v>
      </x:c>
      <x:c r="P91" s="14" t="n">
        <x:v>3</x:v>
      </x:c>
      <x:c r="Q91" t="str">
        <x:v>Alto</x:v>
      </x:c>
      <x:c r="R91" s="14" t="n">
        <x:f>IFERROR(VLOOKUP(Q91,Catalogos!$G:$H,2,FALSE),"")</x:f>
        <x:v>6</x:v>
      </x:c>
      <x:c r="S91" t="str">
        <x:v>Ocasional</x:v>
      </x:c>
      <x:c r="T91" s="14" t="n">
        <x:f>IFERROR(VLOOKUP(S91,Catalogos!$I:$J,2,FALSE),"")</x:f>
        <x:v>2</x:v>
      </x:c>
      <x:c r="U91" s="14" t="n">
        <x:f>IF(OR(R91="",T91=""),"",R91*T91)</x:f>
        <x:v>12</x:v>
      </x:c>
      <x:c r="V91" t="str">
        <x:f>IF(U91="","",IF(U91&gt;=24,"MUY ALTO",IF(U91&gt;=10,"ALTO",IF(U91&gt;=6,"MEDIO","BAJO"))))</x:f>
        <x:v>ALTO</x:v>
      </x:c>
      <x:c r="W91" t="str">
        <x:v>Muy grave</x:v>
      </x:c>
      <x:c r="X91" s="14" t="n">
        <x:f>IFERROR(VLOOKUP(W91,Catalogos!$G:$H,2,FALSE),"")</x:f>
        <x:v>60</x:v>
      </x:c>
      <x:c r="Y91" s="14" t="n">
        <x:f>IF(OR(U91="",X91=""),"",U91*X91)</x:f>
        <x:v>720</x:v>
      </x:c>
      <x:c r="Z91" t="str">
        <x:f>IF(Y91="","",IF(Y91&gt;=600,"I - Situación crítica. Suspender actividades hasta que el riesgo esté bajo control. Intervención urgente.",IF(Y91&gt;=150,"II - Corregir y adoptar medidas de control de inmediato.",IF(Y91&gt;=40,"III - Mejorar si es posible. Conviene justificar la intervención y su rentabilidad.","IV - Mantener controles existentes."))))</x:f>
        <x:v>I - Situación crítica. Suspender actividades hasta que el riesgo esté bajo control. Intervención urgente.</x:v>
      </x:c>
      <x:c r="AA91" t="str">
        <x:f>IF(Y91="","",IF(Y91&gt;=600,"No aceptable",IF(Y91&gt;=150,"No aceptable / Aceptable con control específico","Aceptable")))</x:f>
        <x:v>No aceptable</x:v>
      </x:c>
      <x:c r="AB91" s="12" t="str">
        <x:v>Suspender atención individual en zonas críticas</x:v>
      </x:c>
      <x:c r="AC91" s="12" t="str">
        <x:v>Acompañamiento dual o apoyo policial en zonas de alto riesgo</x:v>
      </x:c>
      <x:c r="AD91" s="12" t="str">
        <x:v>Dispositivos de comunicación redundante</x:v>
      </x:c>
      <x:c r="AE91" s="12" t="str">
        <x:v>Mapas de riesgo, briefing previo y protocolos de atención</x:v>
      </x:c>
      <x:c r="AF91" s="12" t="str">
        <x:v>Chaleco, radio, linterna táctica</x:v>
      </x:c>
      <x:c r="AG91" s="12" t="str">
        <x:v>Director de Operaciones</x:v>
      </x:c>
      <x:c r="AH91" s="16" t="str">
        <x:v>2026-05-28</x:v>
      </x:c>
      <x:c r="AI91" s="12" t="str"/>
    </x:row>
    <x:row r="92">
      <x:c r="A92" t="str">
        <x:v>IPVR-091</x:v>
      </x:c>
      <x:c r="B92" t="str">
        <x:v>Medellín</x:v>
      </x:c>
      <x:c r="C92" t="str">
        <x:v>Monitoreo de medios tecnológicos</x:v>
      </x:c>
      <x:c r="D92" s="12" t="str">
        <x:v>Central de monitoreo / CCTV</x:v>
      </x:c>
      <x:c r="E92" s="12" t="str">
        <x:v>Monitoreo continuo de pantallas</x:v>
      </x:c>
      <x:c r="F92" s="12" t="str">
        <x:v>Observar cámaras, registrar eventos y responder alarmas</x:v>
      </x:c>
      <x:c r="G92" s="12" t="str">
        <x:v>Sí</x:v>
      </x:c>
      <x:c r="H92" s="12" t="str">
        <x:v>Biomecánico</x:v>
      </x:c>
      <x:c r="I92" s="12" t="str">
        <x:v>Postura sedente prolongada y movimientos repetitivos de miembros superiores</x:v>
      </x:c>
      <x:c r="J92" s="12" t="str">
        <x:v>Dolor lumbar, cervicalgia, síndrome de túnel carpiano</x:v>
      </x:c>
      <x:c r="K92" s="12" t="str">
        <x:v>Pausas activas y rediseño del puesto</x:v>
      </x:c>
      <x:c r="L92" s="12" t="str">
        <x:v>Sillas ergonómicas y alturas ajustadas</x:v>
      </x:c>
      <x:c r="M92" s="12" t="str">
        <x:v>Capacitación ergonómica y pausas visuales</x:v>
      </x:c>
      <x:c r="N92" s="12" t="str">
        <x:v>Trastorno musculoesquelético con restricción médica</x:v>
      </x:c>
      <x:c r="O92" s="12" t="str">
        <x:v>Decreto 1072 de 2015; Resolución 0312 de 2019</x:v>
      </x:c>
      <x:c r="P92" s="14" t="n">
        <x:v>4</x:v>
      </x:c>
      <x:c r="Q92" t="str">
        <x:v>Medio</x:v>
      </x:c>
      <x:c r="R92" s="14" t="n">
        <x:f>IFERROR(VLOOKUP(Q92,Catalogos!$G:$H,2,FALSE),"")</x:f>
        <x:v>2</x:v>
      </x:c>
      <x:c r="S92" t="str">
        <x:v>Continua</x:v>
      </x:c>
      <x:c r="T92" s="14" t="n">
        <x:f>IFERROR(VLOOKUP(S92,Catalogos!$I:$J,2,FALSE),"")</x:f>
        <x:v>4</x:v>
      </x:c>
      <x:c r="U92" s="14" t="n">
        <x:f>IF(OR(R92="",T92=""),"",R92*T92)</x:f>
        <x:v>8</x:v>
      </x:c>
      <x:c r="V92" t="str">
        <x:f>IF(U92="","",IF(U92&gt;=24,"MUY ALTO",IF(U92&gt;=10,"ALTO",IF(U92&gt;=6,"MEDIO","BAJO"))))</x:f>
        <x:v>MEDIO</x:v>
      </x:c>
      <x:c r="W92" t="str">
        <x:v>Grave</x:v>
      </x:c>
      <x:c r="X92" s="14" t="n">
        <x:f>IFERROR(VLOOKUP(W92,Catalogos!$G:$H,2,FALSE),"")</x:f>
        <x:v>25</x:v>
      </x:c>
      <x:c r="Y92" s="14" t="n">
        <x:f>IF(OR(U92="",X92=""),"",U92*X92)</x:f>
        <x:v>200</x:v>
      </x:c>
      <x:c r="Z92" t="str">
        <x:f>IF(Y92="","",IF(Y92&gt;=600,"I - Situación crítica. Suspender actividades hasta que el riesgo esté bajo control. Intervención urgente.",IF(Y92&gt;=150,"II - Corregir y adoptar medidas de control de inmediato.",IF(Y92&gt;=40,"III - Mejorar si es posible. Conviene justificar la intervención y su rentabilidad.","IV - Mantener controles existentes."))))</x:f>
        <x:v>II - Corregir y adoptar medidas de control de inmediato.</x:v>
      </x:c>
      <x:c r="AA92" t="str">
        <x:f>IF(Y92="","",IF(Y92&gt;=600,"No aceptable",IF(Y92&gt;=150,"No aceptable / Aceptable con control específico","Aceptable")))</x:f>
        <x:v>No aceptable / Aceptable con control específico</x:v>
      </x:c>
      <x:c r="AB92" s="12" t="str">
        <x:v>Automatizar tareas repetitivas cuando sea viable</x:v>
      </x:c>
      <x:c r="AC92" s="12" t="str">
        <x:v>No aplica</x:v>
      </x:c>
      <x:c r="AD92" s="12" t="str">
        <x:v>Puestos ajustables, soporte lumbar, apoyabrazos</x:v>
      </x:c>
      <x:c r="AE92" s="12" t="str">
        <x:v>Pausas activas, rotación y seguimiento ergonómico</x:v>
      </x:c>
      <x:c r="AF92" s="12" t="str">
        <x:v>No aplica</x:v>
      </x:c>
      <x:c r="AG92" s="12" t="str">
        <x:v>Director de Medios Tecnológicos</x:v>
      </x:c>
      <x:c r="AH92" s="16" t="str">
        <x:v>2026-05-28</x:v>
      </x:c>
      <x:c r="AI92" s="12" t="str"/>
    </x:row>
    <x:row r="93">
      <x:c r="A93" t="str">
        <x:v>IPVR-092</x:v>
      </x:c>
      <x:c r="B93" t="str">
        <x:v>Medellín</x:v>
      </x:c>
      <x:c r="C93" t="str">
        <x:v>Monitoreo de medios tecnológicos</x:v>
      </x:c>
      <x:c r="D93" s="12" t="str">
        <x:v>Central de monitoreo / CCTV</x:v>
      </x:c>
      <x:c r="E93" s="12" t="str">
        <x:v>Monitoreo continuo de pantallas</x:v>
      </x:c>
      <x:c r="F93" s="12" t="str">
        <x:v>Exposición prolongada a pantallas y atención visual sostenida</x:v>
      </x:c>
      <x:c r="G93" s="12" t="str">
        <x:v>Sí</x:v>
      </x:c>
      <x:c r="H93" s="12" t="str">
        <x:v>Físico</x:v>
      </x:c>
      <x:c r="I93" s="12" t="str">
        <x:v>Fatiga visual por iluminación inadecuada y uso prolongado de pantallas</x:v>
      </x:c>
      <x:c r="J93" s="12" t="str">
        <x:v>Cefalea, visión borrosa, irritación ocular</x:v>
      </x:c>
      <x:c r="K93" s="12" t="str">
        <x:v>Mantenimiento de monitores y configuración luminosa</x:v>
      </x:c>
      <x:c r="L93" s="12" t="str">
        <x:v>Iluminación indirecta y control de brillos</x:v>
      </x:c>
      <x:c r="M93" s="12" t="str">
        <x:v>Pausas visuales y valoración optométrica periódica</x:v>
      </x:c>
      <x:c r="N93" s="12" t="str">
        <x:v>Alteración visual funcional temporal</x:v>
      </x:c>
      <x:c r="O93" s="12" t="str">
        <x:v>Decreto 1072 de 2015; Resolución 0312 de 2019</x:v>
      </x:c>
      <x:c r="P93" s="14" t="n">
        <x:v>4</x:v>
      </x:c>
      <x:c r="Q93" t="str">
        <x:v>Medio</x:v>
      </x:c>
      <x:c r="R93" s="14" t="n">
        <x:f>IFERROR(VLOOKUP(Q93,Catalogos!$G:$H,2,FALSE),"")</x:f>
        <x:v>2</x:v>
      </x:c>
      <x:c r="S93" t="str">
        <x:v>Continua</x:v>
      </x:c>
      <x:c r="T93" s="14" t="n">
        <x:f>IFERROR(VLOOKUP(S93,Catalogos!$I:$J,2,FALSE),"")</x:f>
        <x:v>4</x:v>
      </x:c>
      <x:c r="U93" s="14" t="n">
        <x:f>IF(OR(R93="",T93=""),"",R93*T93)</x:f>
        <x:v>8</x:v>
      </x:c>
      <x:c r="V93" t="str">
        <x:f>IF(U93="","",IF(U93&gt;=24,"MUY ALTO",IF(U93&gt;=10,"ALTO",IF(U93&gt;=6,"MEDIO","BAJO"))))</x:f>
        <x:v>MEDIO</x:v>
      </x:c>
      <x:c r="W93" t="str">
        <x:v>Leve</x:v>
      </x:c>
      <x:c r="X93" s="14" t="n">
        <x:f>IFERROR(VLOOKUP(W93,Catalogos!$G:$H,2,FALSE),"")</x:f>
        <x:v>10</x:v>
      </x:c>
      <x:c r="Y93" s="14" t="n">
        <x:f>IF(OR(U93="",X93=""),"",U93*X93)</x:f>
        <x:v>80</x:v>
      </x:c>
      <x:c r="Z93" t="str">
        <x:f>IF(Y93="","",IF(Y93&gt;=600,"I - Situación crítica. Suspender actividades hasta que el riesgo esté bajo control. Intervención urgente.",IF(Y93&gt;=150,"II - Corregir y adoptar medidas de control de inmediato.",IF(Y93&gt;=40,"III - Mejorar si es posible. Conviene justificar la intervención y su rentabilidad.","IV - Mantener controles existentes."))))</x:f>
        <x:v>III - Mejorar si es posible. Conviene justificar la intervención y su rentabilidad.</x:v>
      </x:c>
      <x:c r="AA93" t="str">
        <x:f>IF(Y93="","",IF(Y93&gt;=600,"No aceptable",IF(Y93&gt;=150,"No aceptable / Aceptable con control específico","Aceptable")))</x:f>
        <x:v>Aceptable</x:v>
      </x:c>
      <x:c r="AB93" s="12" t="str">
        <x:v>Reducir exposición continua sin pausas</x:v>
      </x:c>
      <x:c r="AC93" s="12" t="str">
        <x:v>Monitores con mejor resolución y menor parpadeo</x:v>
      </x:c>
      <x:c r="AD93" s="12" t="str">
        <x:v>Ajuste de iluminación y filtros</x:v>
      </x:c>
      <x:c r="AE93" s="12" t="str">
        <x:v>Regla 20-20-20 y pausas programadas</x:v>
      </x:c>
      <x:c r="AF93" s="12" t="str">
        <x:v>Lentes formulados si aplica</x:v>
      </x:c>
      <x:c r="AG93" s="12" t="str">
        <x:v>Director de Medios Tecnológicos</x:v>
      </x:c>
      <x:c r="AH93" s="16" t="str">
        <x:v>2026-05-28</x:v>
      </x:c>
      <x:c r="AI93" s="12" t="str"/>
    </x:row>
    <x:row r="94">
      <x:c r="A94" t="str">
        <x:v>IPVR-093</x:v>
      </x:c>
      <x:c r="B94" t="str">
        <x:v>Medellín</x:v>
      </x:c>
      <x:c r="C94" t="str">
        <x:v>Monitoreo de medios tecnológicos</x:v>
      </x:c>
      <x:c r="D94" s="12" t="str">
        <x:v>Central de monitoreo / CCTV</x:v>
      </x:c>
      <x:c r="E94" s="12" t="str">
        <x:v>Atención de alarmas y eventos</x:v>
      </x:c>
      <x:c r="F94" s="12" t="str">
        <x:v>Responder a múltiples eventos simultáneos por turno</x:v>
      </x:c>
      <x:c r="G94" s="12" t="str">
        <x:v>Sí</x:v>
      </x:c>
      <x:c r="H94" s="12" t="str">
        <x:v>Psicosocial</x:v>
      </x:c>
      <x:c r="I94" s="12" t="str">
        <x:v>Alta carga mental, presión temporal, turnos y vigilancia sostenida</x:v>
      </x:c>
      <x:c r="J94" s="12" t="str">
        <x:v>Estrés, fatiga mental, errores operativos, alteraciones del sueño</x:v>
      </x:c>
      <x:c r="K94" s="12" t="str">
        <x:v>Dimensionamiento adecuado del personal</x:v>
      </x:c>
      <x:c r="L94" s="12" t="str">
        <x:v>Ambiente controlado y apoyo de software</x:v>
      </x:c>
      <x:c r="M94" s="12" t="str">
        <x:v>Capacitación en manejo del estrés y pausas</x:v>
      </x:c>
      <x:c r="N94" s="12" t="str">
        <x:v>Burnout o error crítico por fatiga</x:v>
      </x:c>
      <x:c r="O94" s="12" t="str">
        <x:v>Resolución 2646 de 2008; Decreto 1072 de 2015</x:v>
      </x:c>
      <x:c r="P94" s="14" t="n">
        <x:v>4</x:v>
      </x:c>
      <x:c r="Q94" t="str">
        <x:v>Medio</x:v>
      </x:c>
      <x:c r="R94" s="14" t="n">
        <x:f>IFERROR(VLOOKUP(Q94,Catalogos!$G:$H,2,FALSE),"")</x:f>
        <x:v>2</x:v>
      </x:c>
      <x:c r="S94" t="str">
        <x:v>Continua</x:v>
      </x:c>
      <x:c r="T94" s="14" t="n">
        <x:f>IFERROR(VLOOKUP(S94,Catalogos!$I:$J,2,FALSE),"")</x:f>
        <x:v>4</x:v>
      </x:c>
      <x:c r="U94" s="14" t="n">
        <x:f>IF(OR(R94="",T94=""),"",R94*T94)</x:f>
        <x:v>8</x:v>
      </x:c>
      <x:c r="V94" t="str">
        <x:f>IF(U94="","",IF(U94&gt;=24,"MUY ALTO",IF(U94&gt;=10,"ALTO",IF(U94&gt;=6,"MEDIO","BAJO"))))</x:f>
        <x:v>MEDIO</x:v>
      </x:c>
      <x:c r="W94" t="str">
        <x:v>Grave</x:v>
      </x:c>
      <x:c r="X94" s="14" t="n">
        <x:f>IFERROR(VLOOKUP(W94,Catalogos!$G:$H,2,FALSE),"")</x:f>
        <x:v>25</x:v>
      </x:c>
      <x:c r="Y94" s="14" t="n">
        <x:f>IF(OR(U94="",X94=""),"",U94*X94)</x:f>
        <x:v>200</x:v>
      </x:c>
      <x:c r="Z94" t="str">
        <x:f>IF(Y94="","",IF(Y94&gt;=600,"I - Situación crítica. Suspender actividades hasta que el riesgo esté bajo control. Intervención urgente.",IF(Y94&gt;=150,"II - Corregir y adoptar medidas de control de inmediato.",IF(Y94&gt;=40,"III - Mejorar si es posible. Conviene justificar la intervención y su rentabilidad.","IV - Mantener controles existentes."))))</x:f>
        <x:v>II - Corregir y adoptar medidas de control de inmediato.</x:v>
      </x:c>
      <x:c r="AA94" t="str">
        <x:f>IF(Y94="","",IF(Y94&gt;=600,"No aceptable",IF(Y94&gt;=150,"No aceptable / Aceptable con control específico","Aceptable")))</x:f>
        <x:v>No aceptable / Aceptable con control específico</x:v>
      </x:c>
      <x:c r="AB94" s="12" t="str">
        <x:v>Eliminar sobrecarga de eventos en un solo operador</x:v>
      </x:c>
      <x:c r="AC94" s="12" t="str">
        <x:v>Redistribución de cargas por software y turnos</x:v>
      </x:c>
      <x:c r="AD94" s="12" t="str">
        <x:v>Herramientas de priorización de alarmas</x:v>
      </x:c>
      <x:c r="AE94" s="12" t="str">
        <x:v>Turnos equilibrados, pausas y evaluación psicosocial</x:v>
      </x:c>
      <x:c r="AF94" s="12" t="str">
        <x:v>No aplica</x:v>
      </x:c>
      <x:c r="AG94" s="12" t="str">
        <x:v>Director de Medios Tecnológicos</x:v>
      </x:c>
      <x:c r="AH94" s="16" t="str">
        <x:v>2026-05-28</x:v>
      </x:c>
      <x:c r="AI94" s="12" t="str"/>
    </x:row>
    <x:row r="95">
      <x:c r="A95" t="str">
        <x:v>IPVR-094</x:v>
      </x:c>
      <x:c r="B95" t="str">
        <x:v>Medellín</x:v>
      </x:c>
      <x:c r="C95" t="str">
        <x:v>Instalación y mantenimiento de medios tecnológicos</x:v>
      </x:c>
      <x:c r="D95" s="12" t="str">
        <x:v>Postes, fachadas y cubiertas</x:v>
      </x:c>
      <x:c r="E95" s="12" t="str">
        <x:v>Instalación de cámaras y cableado</x:v>
      </x:c>
      <x:c r="F95" s="12" t="str">
        <x:v>Trabajar sobre escaleras o alturas menores y mayores</x:v>
      </x:c>
      <x:c r="G95" s="12" t="str">
        <x:v>No</x:v>
      </x:c>
      <x:c r="H95" s="12" t="str">
        <x:v>Condiciones de seguridad - Trabajo en alturas</x:v>
      </x:c>
      <x:c r="I95" s="12" t="str">
        <x:v>Caída de persona o de objetos durante labores en altura</x:v>
      </x:c>
      <x:c r="J95" s="12" t="str">
        <x:v>Trauma severo, fracturas múltiples, muerte</x:v>
      </x:c>
      <x:c r="K95" s="12" t="str">
        <x:v>Planeación segura de la tarea y permisos</x:v>
      </x:c>
      <x:c r="L95" s="12" t="str">
        <x:v>Líneas de vida, escaleras certificadas, delimitación del área</x:v>
      </x:c>
      <x:c r="M95" s="12" t="str">
        <x:v>Certificación y entrenamiento en alturas</x:v>
      </x:c>
      <x:c r="N95" s="12" t="str">
        <x:v>Muerte</x:v>
      </x:c>
      <x:c r="O95" s="12" t="str">
        <x:v>Resolución 4272 de 2021; Decreto 1072 de 2015</x:v>
      </x:c>
      <x:c r="P95" s="14" t="n">
        <x:v>3</x:v>
      </x:c>
      <x:c r="Q95" t="str">
        <x:v>Alto</x:v>
      </x:c>
      <x:c r="R95" s="14" t="n">
        <x:f>IFERROR(VLOOKUP(Q95,Catalogos!$G:$H,2,FALSE),"")</x:f>
        <x:v>6</x:v>
      </x:c>
      <x:c r="S95" t="str">
        <x:v>Ocasional</x:v>
      </x:c>
      <x:c r="T95" s="14" t="n">
        <x:f>IFERROR(VLOOKUP(S95,Catalogos!$I:$J,2,FALSE),"")</x:f>
        <x:v>2</x:v>
      </x:c>
      <x:c r="U95" s="14" t="n">
        <x:f>IF(OR(R95="",T95=""),"",R95*T95)</x:f>
        <x:v>12</x:v>
      </x:c>
      <x:c r="V95" t="str">
        <x:f>IF(U95="","",IF(U95&gt;=24,"MUY ALTO",IF(U95&gt;=10,"ALTO",IF(U95&gt;=6,"MEDIO","BAJO"))))</x:f>
        <x:v>ALTO</x:v>
      </x:c>
      <x:c r="W95" t="str">
        <x:v>Muy grave</x:v>
      </x:c>
      <x:c r="X95" s="14" t="n">
        <x:f>IFERROR(VLOOKUP(W95,Catalogos!$G:$H,2,FALSE),"")</x:f>
        <x:v>60</x:v>
      </x:c>
      <x:c r="Y95" s="14" t="n">
        <x:f>IF(OR(U95="",X95=""),"",U95*X95)</x:f>
        <x:v>720</x:v>
      </x:c>
      <x:c r="Z95" t="str">
        <x:f>IF(Y95="","",IF(Y95&gt;=600,"I - Situación crítica. Suspender actividades hasta que el riesgo esté bajo control. Intervención urgente.",IF(Y95&gt;=150,"II - Corregir y adoptar medidas de control de inmediato.",IF(Y95&gt;=40,"III - Mejorar si es posible. Conviene justificar la intervención y su rentabilidad.","IV - Mantener controles existentes."))))</x:f>
        <x:v>I - Situación crítica. Suspender actividades hasta que el riesgo esté bajo control. Intervención urgente.</x:v>
      </x:c>
      <x:c r="AA95" t="str">
        <x:f>IF(Y95="","",IF(Y95&gt;=600,"No aceptable",IF(Y95&gt;=150,"No aceptable / Aceptable con control específico","Aceptable")))</x:f>
        <x:v>No aceptable</x:v>
      </x:c>
      <x:c r="AB95" s="12" t="str">
        <x:v>Eliminar trabajos en altura mediante rediseño desde piso cuando sea viable</x:v>
      </x:c>
      <x:c r="AC95" s="12" t="str">
        <x:v>Sustituir escalera por plataforma segura cuando aplique</x:v>
      </x:c>
      <x:c r="AD95" s="12" t="str">
        <x:v>Puntos de anclaje y sistemas anticaídas</x:v>
      </x:c>
      <x:c r="AE95" s="12" t="str">
        <x:v>Permiso de trabajo, ATS, inspección de equipos y observador</x:v>
      </x:c>
      <x:c r="AF95" s="12" t="str">
        <x:v>Arnés, eslinga, casco con barbuquejo</x:v>
      </x:c>
      <x:c r="AG95" s="12" t="str">
        <x:v>Director de Medios Tecnológicos</x:v>
      </x:c>
      <x:c r="AH95" s="16" t="str">
        <x:v>2026-05-28</x:v>
      </x:c>
      <x:c r="AI95" s="12" t="str"/>
    </x:row>
    <x:row r="96">
      <x:c r="A96" t="str">
        <x:v>IPVR-095</x:v>
      </x:c>
      <x:c r="B96" t="str">
        <x:v>Medellín</x:v>
      </x:c>
      <x:c r="C96" t="str">
        <x:v>Instalación y mantenimiento de medios tecnológicos</x:v>
      </x:c>
      <x:c r="D96" s="12" t="str">
        <x:v>Cuartos técnicos / tableros / puntos eléctricos</x:v>
      </x:c>
      <x:c r="E96" s="12" t="str">
        <x:v>Conexión y mantenimiento de equipos</x:v>
      </x:c>
      <x:c r="F96" s="12" t="str">
        <x:v>Intervenir cableado, fuentes, tableros o UPS</x:v>
      </x:c>
      <x:c r="G96" s="12" t="str">
        <x:v>No</x:v>
      </x:c>
      <x:c r="H96" s="12" t="str">
        <x:v>Condiciones de seguridad - Eléctrico</x:v>
      </x:c>
      <x:c r="I96" s="12" t="str">
        <x:v>Contacto eléctrico directo o indirecto, arco eléctrico</x:v>
      </x:c>
      <x:c r="J96" s="12" t="str">
        <x:v>Quemaduras, fibrilación, muerte</x:v>
      </x:c>
      <x:c r="K96" s="12" t="str">
        <x:v>Bloqueo y etiquetado, desenergización</x:v>
      </x:c>
      <x:c r="L96" s="12" t="str">
        <x:v>Tableros protegidos, herramientas aisladas</x:v>
      </x:c>
      <x:c r="M96" s="12" t="str">
        <x:v>Competencia técnica y verificación ausencia de tensión</x:v>
      </x:c>
      <x:c r="N96" s="12" t="str">
        <x:v>Electrocución</x:v>
      </x:c>
      <x:c r="O96" s="12" t="str">
        <x:v>Decreto 1072 de 2015; Resolución 0312 de 2019</x:v>
      </x:c>
      <x:c r="P96" s="14" t="n">
        <x:v>3</x:v>
      </x:c>
      <x:c r="Q96" t="str">
        <x:v>Alto</x:v>
      </x:c>
      <x:c r="R96" s="14" t="n">
        <x:f>IFERROR(VLOOKUP(Q96,Catalogos!$G:$H,2,FALSE),"")</x:f>
        <x:v>6</x:v>
      </x:c>
      <x:c r="S96" t="str">
        <x:v>Ocasional</x:v>
      </x:c>
      <x:c r="T96" s="14" t="n">
        <x:f>IFERROR(VLOOKUP(S96,Catalogos!$I:$J,2,FALSE),"")</x:f>
        <x:v>2</x:v>
      </x:c>
      <x:c r="U96" s="14" t="n">
        <x:f>IF(OR(R96="",T96=""),"",R96*T96)</x:f>
        <x:v>12</x:v>
      </x:c>
      <x:c r="V96" t="str">
        <x:f>IF(U96="","",IF(U96&gt;=24,"MUY ALTO",IF(U96&gt;=10,"ALTO",IF(U96&gt;=6,"MEDIO","BAJO"))))</x:f>
        <x:v>ALTO</x:v>
      </x:c>
      <x:c r="W96" t="str">
        <x:v>Muy grave</x:v>
      </x:c>
      <x:c r="X96" s="14" t="n">
        <x:f>IFERROR(VLOOKUP(W96,Catalogos!$G:$H,2,FALSE),"")</x:f>
        <x:v>60</x:v>
      </x:c>
      <x:c r="Y96" s="14" t="n">
        <x:f>IF(OR(U96="",X96=""),"",U96*X96)</x:f>
        <x:v>720</x:v>
      </x:c>
      <x:c r="Z96" t="str">
        <x:f>IF(Y96="","",IF(Y96&gt;=600,"I - Situación crítica. Suspender actividades hasta que el riesgo esté bajo control. Intervención urgente.",IF(Y96&gt;=150,"II - Corregir y adoptar medidas de control de inmediato.",IF(Y96&gt;=40,"III - Mejorar si es posible. Conviene justificar la intervención y su rentabilidad.","IV - Mantener controles existentes."))))</x:f>
        <x:v>I - Situación crítica. Suspender actividades hasta que el riesgo esté bajo control. Intervención urgente.</x:v>
      </x:c>
      <x:c r="AA96" t="str">
        <x:f>IF(Y96="","",IF(Y96&gt;=600,"No aceptable",IF(Y96&gt;=150,"No aceptable / Aceptable con control específico","Aceptable")))</x:f>
        <x:v>No aceptable</x:v>
      </x:c>
      <x:c r="AB96" s="12" t="str">
        <x:v>Eliminar intervención energizada</x:v>
      </x:c>
      <x:c r="AC96" s="12" t="str">
        <x:v>Equipos de menor tensión cuando sea viable</x:v>
      </x:c>
      <x:c r="AD96" s="12" t="str">
        <x:v>Protecciones diferenciales, puesta a tierra</x:v>
      </x:c>
      <x:c r="AE96" s="12" t="str">
        <x:v>Permisos, procedimientos y verificación previa</x:v>
      </x:c>
      <x:c r="AF96" s="12" t="str">
        <x:v>Guantes dieléctricos, gafas, casco</x:v>
      </x:c>
      <x:c r="AG96" s="12" t="str">
        <x:v>Director de Medios Tecnológicos</x:v>
      </x:c>
      <x:c r="AH96" s="16" t="str">
        <x:v>2026-05-28</x:v>
      </x:c>
      <x:c r="AI96" s="12" t="str"/>
    </x:row>
    <x:row r="97">
      <x:c r="A97" t="str">
        <x:v>IPVR-096</x:v>
      </x:c>
      <x:c r="B97" t="str">
        <x:v>Medellín</x:v>
      </x:c>
      <x:c r="C97" t="str">
        <x:v>Instalación y mantenimiento de medios tecnológicos</x:v>
      </x:c>
      <x:c r="D97" s="12" t="str">
        <x:v>Taller / campo</x:v>
      </x:c>
      <x:c r="E97" s="12" t="str">
        <x:v>Uso de herramientas manuales y eléctricas</x:v>
      </x:c>
      <x:c r="F97" s="12" t="str">
        <x:v>Perforar, cortar, fijar y ajustar equipos</x:v>
      </x:c>
      <x:c r="G97" s="12" t="str">
        <x:v>Sí</x:v>
      </x:c>
      <x:c r="H97" s="12" t="str">
        <x:v>Condiciones de seguridad - Mecánico</x:v>
      </x:c>
      <x:c r="I97" s="12" t="str">
        <x:v>Cortes, atrapamientos y proyección de partículas por herramientas</x:v>
      </x:c>
      <x:c r="J97" s="12" t="str">
        <x:v>Heridas, laceraciones, lesión ocular</x:v>
      </x:c>
      <x:c r="K97" s="12" t="str">
        <x:v>Mantenimiento e inspección de herramientas</x:v>
      </x:c>
      <x:c r="L97" s="12" t="str">
        <x:v>Guardas, mesas estables y orden del área</x:v>
      </x:c>
      <x:c r="M97" s="12" t="str">
        <x:v>Capacitación y uso correcto de herramienta</x:v>
      </x:c>
      <x:c r="N97" s="12" t="str">
        <x:v>Amputación parcial o lesión ocular grave</x:v>
      </x:c>
      <x:c r="O97" s="12" t="str">
        <x:v>Decreto 1072 de 2015; Resolución 0312 de 2019</x:v>
      </x:c>
      <x:c r="P97" s="14" t="n">
        <x:v>3</x:v>
      </x:c>
      <x:c r="Q97" t="str">
        <x:v>Medio</x:v>
      </x:c>
      <x:c r="R97" s="14" t="n">
        <x:f>IFERROR(VLOOKUP(Q97,Catalogos!$G:$H,2,FALSE),"")</x:f>
        <x:v>2</x:v>
      </x:c>
      <x:c r="S97" t="str">
        <x:v>Frecuente</x:v>
      </x:c>
      <x:c r="T97" s="14" t="n">
        <x:f>IFERROR(VLOOKUP(S97,Catalogos!$I:$J,2,FALSE),"")</x:f>
        <x:v>3</x:v>
      </x:c>
      <x:c r="U97" s="14" t="n">
        <x:f>IF(OR(R97="",T97=""),"",R97*T97)</x:f>
        <x:v>6</x:v>
      </x:c>
      <x:c r="V97" t="str">
        <x:f>IF(U97="","",IF(U97&gt;=24,"MUY ALTO",IF(U97&gt;=10,"ALTO",IF(U97&gt;=6,"MEDIO","BAJO"))))</x:f>
        <x:v>MEDIO</x:v>
      </x:c>
      <x:c r="W97" t="str">
        <x:v>Grave</x:v>
      </x:c>
      <x:c r="X97" s="14" t="n">
        <x:f>IFERROR(VLOOKUP(W97,Catalogos!$G:$H,2,FALSE),"")</x:f>
        <x:v>25</x:v>
      </x:c>
      <x:c r="Y97" s="14" t="n">
        <x:f>IF(OR(U97="",X97=""),"",U97*X97)</x:f>
        <x:v>150</x:v>
      </x:c>
      <x:c r="Z97" t="str">
        <x:f>IF(Y97="","",IF(Y97&gt;=600,"I - Situación crítica. Suspender actividades hasta que el riesgo esté bajo control. Intervención urgente.",IF(Y97&gt;=150,"II - Corregir y adoptar medidas de control de inmediato.",IF(Y97&gt;=40,"III - Mejorar si es posible. Conviene justificar la intervención y su rentabilidad.","IV - Mantener controles existentes."))))</x:f>
        <x:v>II - Corregir y adoptar medidas de control de inmediato.</x:v>
      </x:c>
      <x:c r="AA97" t="str">
        <x:f>IF(Y97="","",IF(Y97&gt;=600,"No aceptable",IF(Y97&gt;=150,"No aceptable / Aceptable con control específico","Aceptable")))</x:f>
        <x:v>No aceptable / Aceptable con control específico</x:v>
      </x:c>
      <x:c r="AB97" s="12" t="str">
        <x:v>Eliminar herramientas defectuosas</x:v>
      </x:c>
      <x:c r="AC97" s="12" t="str">
        <x:v>Sustituir herramientas de alto riesgo por opciones seguras</x:v>
      </x:c>
      <x:c r="AD97" s="12" t="str">
        <x:v>Guardas y soportes</x:v>
      </x:c>
      <x:c r="AE97" s="12" t="str">
        <x:v>Inspección preuso y procedimientos</x:v>
      </x:c>
      <x:c r="AF97" s="12" t="str">
        <x:v>Guantes, gafas, casco</x:v>
      </x:c>
      <x:c r="AG97" s="12" t="str">
        <x:v>Director de Medios Tecnológicos</x:v>
      </x:c>
      <x:c r="AH97" s="16" t="str">
        <x:v>2026-05-28</x:v>
      </x:c>
      <x:c r="AI97" s="12" t="str"/>
    </x:row>
    <x:row r="98">
      <x:c r="A98" t="str">
        <x:v>IPVR-097</x:v>
      </x:c>
      <x:c r="B98" t="str">
        <x:v>Medellín</x:v>
      </x:c>
      <x:c r="C98" t="str">
        <x:v>Gestión administrativa y financiera</x:v>
      </x:c>
      <x:c r="D98" s="12" t="str">
        <x:v>Oficinas administrativas</x:v>
      </x:c>
      <x:c r="E98" s="12" t="str">
        <x:v>Trabajo en computador y gestión documental</x:v>
      </x:c>
      <x:c r="F98" s="12" t="str">
        <x:v>Digitación, revisión de documentos y análisis financiero</x:v>
      </x:c>
      <x:c r="G98" s="12" t="str">
        <x:v>Sí</x:v>
      </x:c>
      <x:c r="H98" s="12" t="str">
        <x:v>Biomecánico</x:v>
      </x:c>
      <x:c r="I98" s="12" t="str">
        <x:v>Posturas prolongadas, movimientos repetitivos y estaciones mal diseñadas</x:v>
      </x:c>
      <x:c r="J98" s="12" t="str">
        <x:v>Cervicalgia, dorsalgia, síndrome de túnel carpiano</x:v>
      </x:c>
      <x:c r="K98" s="12" t="str">
        <x:v>Ergonomía del puesto y pausas</x:v>
      </x:c>
      <x:c r="L98" s="12" t="str">
        <x:v>Mobiliario ergonómico y monitores a altura adecuada</x:v>
      </x:c>
      <x:c r="M98" s="12" t="str">
        <x:v>Capacitación y autocuidado postural</x:v>
      </x:c>
      <x:c r="N98" s="12" t="str">
        <x:v>Trastorno musculoesquelético incapacitante</x:v>
      </x:c>
      <x:c r="O98" s="12" t="str">
        <x:v>Decreto 1072 de 2015; Resolución 0312 de 2019</x:v>
      </x:c>
      <x:c r="P98" s="14" t="n">
        <x:v>4</x:v>
      </x:c>
      <x:c r="Q98" t="str">
        <x:v>Medio</x:v>
      </x:c>
      <x:c r="R98" s="14" t="n">
        <x:f>IFERROR(VLOOKUP(Q98,Catalogos!$G:$H,2,FALSE),"")</x:f>
        <x:v>2</x:v>
      </x:c>
      <x:c r="S98" t="str">
        <x:v>Continua</x:v>
      </x:c>
      <x:c r="T98" s="14" t="n">
        <x:f>IFERROR(VLOOKUP(S98,Catalogos!$I:$J,2,FALSE),"")</x:f>
        <x:v>4</x:v>
      </x:c>
      <x:c r="U98" s="14" t="n">
        <x:f>IF(OR(R98="",T98=""),"",R98*T98)</x:f>
        <x:v>8</x:v>
      </x:c>
      <x:c r="V98" t="str">
        <x:f>IF(U98="","",IF(U98&gt;=24,"MUY ALTO",IF(U98&gt;=10,"ALTO",IF(U98&gt;=6,"MEDIO","BAJO"))))</x:f>
        <x:v>MEDIO</x:v>
      </x:c>
      <x:c r="W98" t="str">
        <x:v>Grave</x:v>
      </x:c>
      <x:c r="X98" s="14" t="n">
        <x:f>IFERROR(VLOOKUP(W98,Catalogos!$G:$H,2,FALSE),"")</x:f>
        <x:v>25</x:v>
      </x:c>
      <x:c r="Y98" s="14" t="n">
        <x:f>IF(OR(U98="",X98=""),"",U98*X98)</x:f>
        <x:v>200</x:v>
      </x:c>
      <x:c r="Z98" t="str">
        <x:f>IF(Y98="","",IF(Y98&gt;=600,"I - Situación crítica. Suspender actividades hasta que el riesgo esté bajo control. Intervención urgente.",IF(Y98&gt;=150,"II - Corregir y adoptar medidas de control de inmediato.",IF(Y98&gt;=40,"III - Mejorar si es posible. Conviene justificar la intervención y su rentabilidad.","IV - Mantener controles existentes."))))</x:f>
        <x:v>II - Corregir y adoptar medidas de control de inmediato.</x:v>
      </x:c>
      <x:c r="AA98" t="str">
        <x:f>IF(Y98="","",IF(Y98&gt;=600,"No aceptable",IF(Y98&gt;=150,"No aceptable / Aceptable con control específico","Aceptable")))</x:f>
        <x:v>No aceptable / Aceptable con control específico</x:v>
      </x:c>
      <x:c r="AB98" s="12" t="str">
        <x:v>Eliminar estaciones inadecuadas</x:v>
      </x:c>
      <x:c r="AC98" s="12" t="str">
        <x:v>Cambio de sillas/mesas no ergonómicas</x:v>
      </x:c>
      <x:c r="AD98" s="12" t="str">
        <x:v>Puestos ajustables, soportes y accesorios</x:v>
      </x:c>
      <x:c r="AE98" s="12" t="str">
        <x:v>Pausas activas, teletrabajo seguro si aplica, APT</x:v>
      </x:c>
      <x:c r="AF98" s="12" t="str">
        <x:v>No aplica</x:v>
      </x:c>
      <x:c r="AG98" s="12" t="str">
        <x:v>Director Contable y Financiero</x:v>
      </x:c>
      <x:c r="AH98" s="16" t="str">
        <x:v>2026-05-28</x:v>
      </x:c>
      <x:c r="AI98" s="12" t="str"/>
    </x:row>
    <x:row r="99">
      <x:c r="A99" t="str">
        <x:v>IPVR-098</x:v>
      </x:c>
      <x:c r="B99" t="str">
        <x:v>Medellín</x:v>
      </x:c>
      <x:c r="C99" t="str">
        <x:v>Gestión administrativa y financiera</x:v>
      </x:c>
      <x:c r="D99" s="12" t="str">
        <x:v>Oficinas administrativas</x:v>
      </x:c>
      <x:c r="E99" s="12" t="str">
        <x:v>Cierres, pagos, informes y atención</x:v>
      </x:c>
      <x:c r="F99" s="12" t="str">
        <x:v>Cumplir metas en tiempos ajustados y responder requerimientos simultáneos</x:v>
      </x:c>
      <x:c r="G99" s="12" t="str">
        <x:v>Sí</x:v>
      </x:c>
      <x:c r="H99" s="12" t="str">
        <x:v>Psicosocial</x:v>
      </x:c>
      <x:c r="I99" s="12" t="str">
        <x:v>Exigencias cuantitativas, jornadas extensas y presión por resultados</x:v>
      </x:c>
      <x:c r="J99" s="12" t="str">
        <x:v>Estrés, ansiedad, agotamiento, errores administrativos</x:v>
      </x:c>
      <x:c r="K99" s="12" t="str">
        <x:v>Planeación realista de cargas</x:v>
      </x:c>
      <x:c r="L99" s="12" t="str">
        <x:v>Herramientas de gestión y apoyo operativo</x:v>
      </x:c>
      <x:c r="M99" s="12" t="str">
        <x:v>Formación en manejo del tiempo y estrés</x:v>
      </x:c>
      <x:c r="N99" s="12" t="str">
        <x:v>Afectación de salud mental con incapacidad</x:v>
      </x:c>
      <x:c r="O99" s="12" t="str">
        <x:v>Resolución 2646 de 2008; Decreto 1072 de 2015</x:v>
      </x:c>
      <x:c r="P99" s="14" t="n">
        <x:v>4</x:v>
      </x:c>
      <x:c r="Q99" t="str">
        <x:v>Medio</x:v>
      </x:c>
      <x:c r="R99" s="14" t="n">
        <x:f>IFERROR(VLOOKUP(Q99,Catalogos!$G:$H,2,FALSE),"")</x:f>
        <x:v>2</x:v>
      </x:c>
      <x:c r="S99" t="str">
        <x:v>Frecuente</x:v>
      </x:c>
      <x:c r="T99" s="14" t="n">
        <x:f>IFERROR(VLOOKUP(S99,Catalogos!$I:$J,2,FALSE),"")</x:f>
        <x:v>3</x:v>
      </x:c>
      <x:c r="U99" s="14" t="n">
        <x:f>IF(OR(R99="",T99=""),"",R99*T99)</x:f>
        <x:v>6</x:v>
      </x:c>
      <x:c r="V99" t="str">
        <x:f>IF(U99="","",IF(U99&gt;=24,"MUY ALTO",IF(U99&gt;=10,"ALTO",IF(U99&gt;=6,"MEDIO","BAJO"))))</x:f>
        <x:v>MEDIO</x:v>
      </x:c>
      <x:c r="W99" t="str">
        <x:v>Grave</x:v>
      </x:c>
      <x:c r="X99" s="14" t="n">
        <x:f>IFERROR(VLOOKUP(W99,Catalogos!$G:$H,2,FALSE),"")</x:f>
        <x:v>25</x:v>
      </x:c>
      <x:c r="Y99" s="14" t="n">
        <x:f>IF(OR(U99="",X99=""),"",U99*X99)</x:f>
        <x:v>150</x:v>
      </x:c>
      <x:c r="Z99" t="str">
        <x:f>IF(Y99="","",IF(Y99&gt;=600,"I - Situación crítica. Suspender actividades hasta que el riesgo esté bajo control. Intervención urgente.",IF(Y99&gt;=150,"II - Corregir y adoptar medidas de control de inmediato.",IF(Y99&gt;=40,"III - Mejorar si es posible. Conviene justificar la intervención y su rentabilidad.","IV - Mantener controles existentes."))))</x:f>
        <x:v>II - Corregir y adoptar medidas de control de inmediato.</x:v>
      </x:c>
      <x:c r="AA99" t="str">
        <x:f>IF(Y99="","",IF(Y99&gt;=600,"No aceptable",IF(Y99&gt;=150,"No aceptable / Aceptable con control específico","Aceptable")))</x:f>
        <x:v>No aceptable / Aceptable con control específico</x:v>
      </x:c>
      <x:c r="AB99" s="12" t="str">
        <x:v>Eliminar acumulación de tareas críticas en una sola persona</x:v>
      </x:c>
      <x:c r="AC99" s="12" t="str">
        <x:v>Redistribución de funciones y automatización</x:v>
      </x:c>
      <x:c r="AD99" s="12" t="str">
        <x:v>Herramientas tecnológicas de seguimiento</x:v>
      </x:c>
      <x:c r="AE99" s="12" t="str">
        <x:v>Priorización, evaluación psicosocial y seguimiento</x:v>
      </x:c>
      <x:c r="AF99" s="12" t="str">
        <x:v>No aplica</x:v>
      </x:c>
      <x:c r="AG99" s="12" t="str">
        <x:v>Director Contable y Financiero</x:v>
      </x:c>
      <x:c r="AH99" s="16" t="str">
        <x:v>2026-05-28</x:v>
      </x:c>
      <x:c r="AI99" s="12" t="str"/>
    </x:row>
    <x:row r="100">
      <x:c r="A100" t="str">
        <x:v>IPVR-099</x:v>
      </x:c>
      <x:c r="B100" t="str">
        <x:v>Medellín</x:v>
      </x:c>
      <x:c r="C100" t="str">
        <x:v>Gestión del talento humano</x:v>
      </x:c>
      <x:c r="D100" s="12" t="str">
        <x:v>Oficinas / visitas de selección y contratación</x:v>
      </x:c>
      <x:c r="E100" s="12" t="str">
        <x:v>Selección, contratación y visitas</x:v>
      </x:c>
      <x:c r="F100" s="12" t="str">
        <x:v>Desplazarse a sedes y atender procesos con interacción constante</x:v>
      </x:c>
      <x:c r="G100" s="12" t="str">
        <x:v>Sí</x:v>
      </x:c>
      <x:c r="H100" s="12" t="str">
        <x:v>Condiciones de seguridad - Accidentes de tránsito</x:v>
      </x:c>
      <x:c r="I100" s="12" t="str">
        <x:v>Siniestro vial en desplazamientos laborales</x:v>
      </x:c>
      <x:c r="J100" s="12" t="str">
        <x:v>Lesiones múltiples, incapacidad, muerte</x:v>
      </x:c>
      <x:c r="K100" s="12" t="str">
        <x:v>Programación segura de desplazamientos</x:v>
      </x:c>
      <x:c r="L100" s="12" t="str">
        <x:v>Vehículo inspeccionado y rutas seguras</x:v>
      </x:c>
      <x:c r="M100" s="12" t="str">
        <x:v>Conducción defensiva y pausas</x:v>
      </x:c>
      <x:c r="N100" s="12" t="str">
        <x:v>Muerte</x:v>
      </x:c>
      <x:c r="O100" s="12" t="str">
        <x:v>Resolución 40595 de 2022; Decreto 1072 de 2015</x:v>
      </x:c>
      <x:c r="P100" s="14" t="n">
        <x:v>2</x:v>
      </x:c>
      <x:c r="Q100" t="str">
        <x:v>Alto</x:v>
      </x:c>
      <x:c r="R100" s="14" t="n">
        <x:f>IFERROR(VLOOKUP(Q100,Catalogos!$G:$H,2,FALSE),"")</x:f>
        <x:v>6</x:v>
      </x:c>
      <x:c r="S100" t="str">
        <x:v>Ocasional</x:v>
      </x:c>
      <x:c r="T100" s="14" t="n">
        <x:f>IFERROR(VLOOKUP(S100,Catalogos!$I:$J,2,FALSE),"")</x:f>
        <x:v>2</x:v>
      </x:c>
      <x:c r="U100" s="14" t="n">
        <x:f>IF(OR(R100="",T100=""),"",R100*T100)</x:f>
        <x:v>12</x:v>
      </x:c>
      <x:c r="V100" t="str">
        <x:f>IF(U100="","",IF(U100&gt;=24,"MUY ALTO",IF(U100&gt;=10,"ALTO",IF(U100&gt;=6,"MEDIO","BAJO"))))</x:f>
        <x:v>ALTO</x:v>
      </x:c>
      <x:c r="W100" t="str">
        <x:v>Muy grave</x:v>
      </x:c>
      <x:c r="X100" s="14" t="n">
        <x:f>IFERROR(VLOOKUP(W100,Catalogos!$G:$H,2,FALSE),"")</x:f>
        <x:v>60</x:v>
      </x:c>
      <x:c r="Y100" s="14" t="n">
        <x:f>IF(OR(U100="",X100=""),"",U100*X100)</x:f>
        <x:v>720</x:v>
      </x:c>
      <x:c r="Z100" t="str">
        <x:f>IF(Y100="","",IF(Y100&gt;=600,"I - Situación crítica. Suspender actividades hasta que el riesgo esté bajo control. Intervención urgente.",IF(Y100&gt;=150,"II - Corregir y adoptar medidas de control de inmediato.",IF(Y100&gt;=40,"III - Mejorar si es posible. Conviene justificar la intervención y su rentabilidad.","IV - Mantener controles existentes."))))</x:f>
        <x:v>I - Situación crítica. Suspender actividades hasta que el riesgo esté bajo control. Intervención urgente.</x:v>
      </x:c>
      <x:c r="AA100" t="str">
        <x:f>IF(Y100="","",IF(Y100&gt;=600,"No aceptable",IF(Y100&gt;=150,"No aceptable / Aceptable con control específico","Aceptable")))</x:f>
        <x:v>No aceptable</x:v>
      </x:c>
      <x:c r="AB100" s="12" t="str">
        <x:v>Eliminar viajes innecesarios mediante gestión virtual</x:v>
      </x:c>
      <x:c r="AC100" s="12" t="str">
        <x:v>Transporte más seguro cuando aplique</x:v>
      </x:c>
      <x:c r="AD100" s="12" t="str">
        <x:v>Monitoreo GPS y mantenimiento vehicular</x:v>
      </x:c>
      <x:c r="AE100" s="12" t="str">
        <x:v>PESV, programación y control de desplazamientos</x:v>
      </x:c>
      <x:c r="AF100" s="12" t="str">
        <x:v>Cinturón, casco si motocicleta</x:v>
      </x:c>
      <x:c r="AG100" s="12" t="str">
        <x:v>Director de Talento Humano</x:v>
      </x:c>
      <x:c r="AH100" s="16" t="str">
        <x:v>2026-05-28</x:v>
      </x:c>
      <x:c r="AI100" s="12" t="str"/>
    </x:row>
    <x:row r="101">
      <x:c r="A101" t="str">
        <x:v>IPVR-100</x:v>
      </x:c>
      <x:c r="B101" t="str">
        <x:v>Medellín</x:v>
      </x:c>
      <x:c r="C101" t="str">
        <x:v>Gestión SST</x:v>
      </x:c>
      <x:c r="D101" s="12" t="str">
        <x:v>Sedes y puestos de trabajo</x:v>
      </x:c>
      <x:c r="E101" s="12" t="str">
        <x:v>Inspecciones, capacitaciones e investigación de eventos</x:v>
      </x:c>
      <x:c r="F101" s="12" t="str">
        <x:v>Ingresar a áreas operativas y levantar información en campo</x:v>
      </x:c>
      <x:c r="G101" s="12" t="str">
        <x:v>Sí</x:v>
      </x:c>
      <x:c r="H101" s="12" t="str">
        <x:v>Condiciones de seguridad - Público</x:v>
      </x:c>
      <x:c r="I101" s="12" t="str">
        <x:v>Exposición a agresión, hurto o alteración del orden en visitas externas</x:v>
      </x:c>
      <x:c r="J101" s="12" t="str">
        <x:v>Lesiones, trauma psicológico</x:v>
      </x:c>
      <x:c r="K101" s="12" t="str">
        <x:v>Coordinación previa y acompañamiento</x:v>
      </x:c>
      <x:c r="L101" s="12" t="str">
        <x:v>Comunicación permanente y georreferenciación</x:v>
      </x:c>
      <x:c r="M101" s="12" t="str">
        <x:v>Autoprotección y protocolos de visita segura</x:v>
      </x:c>
      <x:c r="N101" s="12" t="str">
        <x:v>Lesión grave</x:v>
      </x:c>
      <x:c r="O101" s="12" t="str">
        <x:v>Decreto 1072 de 2015; Resolución 0312 de 2019</x:v>
      </x:c>
      <x:c r="P101" s="14" t="n">
        <x:v>1</x:v>
      </x:c>
      <x:c r="Q101" t="str">
        <x:v>Alto</x:v>
      </x:c>
      <x:c r="R101" s="14" t="n">
        <x:f>IFERROR(VLOOKUP(Q101,Catalogos!$G:$H,2,FALSE),"")</x:f>
        <x:v>6</x:v>
      </x:c>
      <x:c r="S101" t="str">
        <x:v>Ocasional</x:v>
      </x:c>
      <x:c r="T101" s="14" t="n">
        <x:f>IFERROR(VLOOKUP(S101,Catalogos!$I:$J,2,FALSE),"")</x:f>
        <x:v>2</x:v>
      </x:c>
      <x:c r="U101" s="14" t="n">
        <x:f>IF(OR(R101="",T101=""),"",R101*T101)</x:f>
        <x:v>12</x:v>
      </x:c>
      <x:c r="V101" t="str">
        <x:f>IF(U101="","",IF(U101&gt;=24,"MUY ALTO",IF(U101&gt;=10,"ALTO",IF(U101&gt;=6,"MEDIO","BAJO"))))</x:f>
        <x:v>ALTO</x:v>
      </x:c>
      <x:c r="W101" t="str">
        <x:v>Muy grave</x:v>
      </x:c>
      <x:c r="X101" s="14" t="n">
        <x:f>IFERROR(VLOOKUP(W101,Catalogos!$G:$H,2,FALSE),"")</x:f>
        <x:v>60</x:v>
      </x:c>
      <x:c r="Y101" s="14" t="n">
        <x:f>IF(OR(U101="",X101=""),"",U101*X101)</x:f>
        <x:v>720</x:v>
      </x:c>
      <x:c r="Z101" t="str">
        <x:f>IF(Y101="","",IF(Y101&gt;=600,"I - Situación crítica. Suspender actividades hasta que el riesgo esté bajo control. Intervención urgente.",IF(Y101&gt;=150,"II - Corregir y adoptar medidas de control de inmediato.",IF(Y101&gt;=40,"III - Mejorar si es posible. Conviene justificar la intervención y su rentabilidad.","IV - Mantener controles existentes."))))</x:f>
        <x:v>I - Situación crítica. Suspender actividades hasta que el riesgo esté bajo control. Intervención urgente.</x:v>
      </x:c>
      <x:c r="AA101" t="str">
        <x:f>IF(Y101="","",IF(Y101&gt;=600,"No aceptable",IF(Y101&gt;=150,"No aceptable / Aceptable con control específico","Aceptable")))</x:f>
        <x:v>No aceptable</x:v>
      </x:c>
      <x:c r="AB101" s="12" t="str">
        <x:v>Eliminar visitas individuales a zonas críticas</x:v>
      </x:c>
      <x:c r="AC101" s="12" t="str">
        <x:v>Virtualizar seguimiento cuando sea viable</x:v>
      </x:c>
      <x:c r="AD101" s="12" t="str">
        <x:v>Botón de pánico y rastreo</x:v>
      </x:c>
      <x:c r="AE101" s="12" t="str">
        <x:v>Matriz de seguridad por sitio, acompañamiento y rutas seguras</x:v>
      </x:c>
      <x:c r="AF101" s="12" t="str">
        <x:v>Chaleco institucional, radio o teléfono</x:v>
      </x:c>
      <x:c r="AG101" s="12" t="str">
        <x:v>Líder SST</x:v>
      </x:c>
      <x:c r="AH101" s="16" t="str">
        <x:v>2026-05-28</x:v>
      </x:c>
      <x:c r="AI101" s="12" t="str"/>
    </x:row>
    <x:row r="102">
      <x:c r="A102" t="str">
        <x:v>IPVR-101</x:v>
      </x:c>
      <x:c r="B102" t="str">
        <x:v>Medellín</x:v>
      </x:c>
      <x:c r="C102" t="str">
        <x:v>Gestión jurídica y compras</x:v>
      </x:c>
      <x:c r="D102" s="12" t="str">
        <x:v>Oficinas / diligencias externas</x:v>
      </x:c>
      <x:c r="E102" s="12" t="str">
        <x:v>Revisión contractual, compras y trámites</x:v>
      </x:c>
      <x:c r="F102" s="12" t="str">
        <x:v>Desplazamiento ocasional y manejo documental</x:v>
      </x:c>
      <x:c r="G102" s="12" t="str">
        <x:v>Sí</x:v>
      </x:c>
      <x:c r="H102" s="12" t="str">
        <x:v>Condiciones de seguridad - Locativo</x:v>
      </x:c>
      <x:c r="I102" s="12" t="str">
        <x:v>Caída al mismo nivel por superficies desordenadas, cables u obstáculos</x:v>
      </x:c>
      <x:c r="J102" s="12" t="str">
        <x:v>Golpes, esguinces, contusiones</x:v>
      </x:c>
      <x:c r="K102" s="12" t="str">
        <x:v>Orden y aseo permanente</x:v>
      </x:c>
      <x:c r="L102" s="12" t="str">
        <x:v>Canalización de cables y señalización</x:v>
      </x:c>
      <x:c r="M102" s="12" t="str">
        <x:v>Atención al tránsito seguro</x:v>
      </x:c>
      <x:c r="N102" s="12" t="str">
        <x:v>Fractura simple</x:v>
      </x:c>
      <x:c r="O102" s="12" t="str">
        <x:v>Decreto 1072 de 2015; Resolución 0312 de 2019</x:v>
      </x:c>
      <x:c r="P102" s="14" t="n">
        <x:v>2</x:v>
      </x:c>
      <x:c r="Q102" t="str">
        <x:v>Medio</x:v>
      </x:c>
      <x:c r="R102" s="14" t="n">
        <x:f>IFERROR(VLOOKUP(Q102,Catalogos!$G:$H,2,FALSE),"")</x:f>
        <x:v>2</x:v>
      </x:c>
      <x:c r="S102" t="str">
        <x:v>Ocasional</x:v>
      </x:c>
      <x:c r="T102" s="14" t="n">
        <x:f>IFERROR(VLOOKUP(S102,Catalogos!$I:$J,2,FALSE),"")</x:f>
        <x:v>2</x:v>
      </x:c>
      <x:c r="U102" s="14" t="n">
        <x:f>IF(OR(R102="",T102=""),"",R102*T102)</x:f>
        <x:v>4</x:v>
      </x:c>
      <x:c r="V102" t="str">
        <x:f>IF(U102="","",IF(U102&gt;=24,"MUY ALTO",IF(U102&gt;=10,"ALTO",IF(U102&gt;=6,"MEDIO","BAJO"))))</x:f>
        <x:v>BAJO</x:v>
      </x:c>
      <x:c r="W102" t="str">
        <x:v>Grave</x:v>
      </x:c>
      <x:c r="X102" s="14" t="n">
        <x:f>IFERROR(VLOOKUP(W102,Catalogos!$G:$H,2,FALSE),"")</x:f>
        <x:v>25</x:v>
      </x:c>
      <x:c r="Y102" s="14" t="n">
        <x:f>IF(OR(U102="",X102=""),"",U102*X102)</x:f>
        <x:v>100</x:v>
      </x:c>
      <x:c r="Z102" t="str">
        <x:f>IF(Y102="","",IF(Y102&gt;=600,"I - Situación crítica. Suspender actividades hasta que el riesgo esté bajo control. Intervención urgente.",IF(Y102&gt;=150,"II - Corregir y adoptar medidas de control de inmediato.",IF(Y102&gt;=40,"III - Mejorar si es posible. Conviene justificar la intervención y su rentabilidad.","IV - Mantener controles existentes."))))</x:f>
        <x:v>III - Mejorar si es posible. Conviene justificar la intervención y su rentabilidad.</x:v>
      </x:c>
      <x:c r="AA102" t="str">
        <x:f>IF(Y102="","",IF(Y102&gt;=600,"No aceptable",IF(Y102&gt;=150,"No aceptable / Aceptable con control específico","Aceptable")))</x:f>
        <x:v>Aceptable</x:v>
      </x:c>
      <x:c r="AB102" s="12" t="str">
        <x:v>Eliminar obstáculos y cables sueltos</x:v>
      </x:c>
      <x:c r="AC102" s="12" t="str">
        <x:v>No aplica</x:v>
      </x:c>
      <x:c r="AD102" s="12" t="str">
        <x:v>Canaletas y antideslizantes</x:v>
      </x:c>
      <x:c r="AE102" s="12" t="str">
        <x:v>Inspecciones y reportes de actos/condiciones inseguras</x:v>
      </x:c>
      <x:c r="AF102" s="12" t="str">
        <x:v>Calzado cerrado</x:v>
      </x:c>
      <x:c r="AG102" s="12" t="str">
        <x:v>Director Jurídico / Director de Compras</x:v>
      </x:c>
      <x:c r="AH102" s="16" t="str">
        <x:v>2026-05-28</x:v>
      </x:c>
      <x:c r="AI102" s="12" t="str"/>
    </x:row>
    <x:row r="103">
      <x:c r="A103" t="str">
        <x:v>IPVR-102</x:v>
      </x:c>
      <x:c r="B103" t="str">
        <x:v>Medellín</x:v>
      </x:c>
      <x:c r="C103" t="str">
        <x:v>Dirección estratégica</x:v>
      </x:c>
      <x:c r="D103" s="12" t="str">
        <x:v>Oficina principal / desplazamientos a clientes</x:v>
      </x:c>
      <x:c r="E103" s="12" t="str">
        <x:v>Reuniones estratégicas y visitas comerciales</x:v>
      </x:c>
      <x:c r="F103" s="12" t="str">
        <x:v>Desplazamientos, reuniones y toma de decisiones bajo presión</x:v>
      </x:c>
      <x:c r="G103" s="12" t="str">
        <x:v>Sí</x:v>
      </x:c>
      <x:c r="H103" s="12" t="str">
        <x:v>Condiciones de seguridad - Público</x:v>
      </x:c>
      <x:c r="I103" s="12" t="str">
        <x:v>Riesgo público durante desplazamientos y reuniones externas</x:v>
      </x:c>
      <x:c r="J103" s="12" t="str">
        <x:v>Agresión, hurto, afectación psicológica</x:v>
      </x:c>
      <x:c r="K103" s="12" t="str">
        <x:v>Planeación de agenda y análisis previo de seguridad</x:v>
      </x:c>
      <x:c r="L103" s="12" t="str">
        <x:v>Rutas seguras y acompañamiento cuando aplique</x:v>
      </x:c>
      <x:c r="M103" s="12" t="str">
        <x:v>Autoprotección y comunicación permanente</x:v>
      </x:c>
      <x:c r="N103" s="12" t="str">
        <x:v>Lesión grave</x:v>
      </x:c>
      <x:c r="O103" s="12" t="str">
        <x:v>Decreto 1072 de 2015; Resolución 0312 de 2019</x:v>
      </x:c>
      <x:c r="P103" s="14" t="n">
        <x:v>1</x:v>
      </x:c>
      <x:c r="Q103" t="str">
        <x:v>Alto</x:v>
      </x:c>
      <x:c r="R103" s="14" t="n">
        <x:f>IFERROR(VLOOKUP(Q103,Catalogos!$G:$H,2,FALSE),"")</x:f>
        <x:v>6</x:v>
      </x:c>
      <x:c r="S103" t="str">
        <x:v>Esporádica</x:v>
      </x:c>
      <x:c r="T103" s="14" t="n">
        <x:f>IFERROR(VLOOKUP(S103,Catalogos!$I:$J,2,FALSE),"")</x:f>
        <x:v>1</x:v>
      </x:c>
      <x:c r="U103" s="14" t="n">
        <x:f>IF(OR(R103="",T103=""),"",R103*T103)</x:f>
        <x:v>6</x:v>
      </x:c>
      <x:c r="V103" t="str">
        <x:f>IF(U103="","",IF(U103&gt;=24,"MUY ALTO",IF(U103&gt;=10,"ALTO",IF(U103&gt;=6,"MEDIO","BAJO"))))</x:f>
        <x:v>MEDIO</x:v>
      </x:c>
      <x:c r="W103" t="str">
        <x:v>Muy grave</x:v>
      </x:c>
      <x:c r="X103" s="14" t="n">
        <x:f>IFERROR(VLOOKUP(W103,Catalogos!$G:$H,2,FALSE),"")</x:f>
        <x:v>60</x:v>
      </x:c>
      <x:c r="Y103" s="14" t="n">
        <x:f>IF(OR(U103="",X103=""),"",U103*X103)</x:f>
        <x:v>360</x:v>
      </x:c>
      <x:c r="Z103" t="str">
        <x:f>IF(Y103="","",IF(Y103&gt;=600,"I - Situación crítica. Suspender actividades hasta que el riesgo esté bajo control. Intervención urgente.",IF(Y103&gt;=150,"II - Corregir y adoptar medidas de control de inmediato.",IF(Y103&gt;=40,"III - Mejorar si es posible. Conviene justificar la intervención y su rentabilidad.","IV - Mantener controles existentes."))))</x:f>
        <x:v>II - Corregir y adoptar medidas de control de inmediato.</x:v>
      </x:c>
      <x:c r="AA103" t="str">
        <x:f>IF(Y103="","",IF(Y103&gt;=600,"No aceptable",IF(Y103&gt;=150,"No aceptable / Aceptable con control específico","Aceptable")))</x:f>
        <x:v>No aceptable / Aceptable con control específico</x:v>
      </x:c>
      <x:c r="AB103" s="12" t="str">
        <x:v>Eliminar desplazamientos no indispensables</x:v>
      </x:c>
      <x:c r="AC103" s="12" t="str">
        <x:v>Videoconferencia cuando sea posible</x:v>
      </x:c>
      <x:c r="AD103" s="12" t="str">
        <x:v>Sistemas de rastreo y comunicaciones</x:v>
      </x:c>
      <x:c r="AE103" s="12" t="str">
        <x:v>Protocolos de viaje y análisis de seguridad</x:v>
      </x:c>
      <x:c r="AF103" s="12" t="str">
        <x:v>No aplica</x:v>
      </x:c>
      <x:c r="AG103" s="12" t="str">
        <x:v>Gerencia</x:v>
      </x:c>
      <x:c r="AH103" s="16" t="str">
        <x:v>2026-05-28</x:v>
      </x:c>
      <x:c r="AI103" s="12" t="str"/>
    </x:row>
    <x:row r="104">
      <x:c r="A104" t="str">
        <x:v>IPVR-103</x:v>
      </x:c>
      <x:c r="B104" t="str">
        <x:v>Medellín</x:v>
      </x:c>
      <x:c r="C104" t="str">
        <x:v>Escolta</x:v>
      </x:c>
      <x:c r="D104" s="12" t="str">
        <x:v>Vehículos / rutas / acompañamiento a protegidos</x:v>
      </x:c>
      <x:c r="E104" s="12" t="str">
        <x:v>Protección a personas y bienes</x:v>
      </x:c>
      <x:c r="F104" s="12" t="str">
        <x:v>Acompañamiento de desplazamientos y reacción ante amenazas</x:v>
      </x:c>
      <x:c r="G104" s="12" t="str">
        <x:v>Sí</x:v>
      </x:c>
      <x:c r="H104" s="12" t="str">
        <x:v>Condiciones de seguridad - Público</x:v>
      </x:c>
      <x:c r="I104" s="12" t="str">
        <x:v>Atentado, agresión armada o amenaza contra escolta/protegido</x:v>
      </x:c>
      <x:c r="J104" s="12" t="str">
        <x:v>Lesiones graves, muerte, trauma psicológico</x:v>
      </x:c>
      <x:c r="K104" s="12" t="str">
        <x:v>Análisis previo de riesgo y planeación operativa</x:v>
      </x:c>
      <x:c r="L104" s="12" t="str">
        <x:v>Vehículos, comunicaciones, apoyo y rutas alternas</x:v>
      </x:c>
      <x:c r="M104" s="12" t="str">
        <x:v>Entrenamiento táctico, reacción y autoprotección</x:v>
      </x:c>
      <x:c r="N104" s="12" t="str">
        <x:v>Muerte</x:v>
      </x:c>
      <x:c r="O104" s="12" t="str">
        <x:v>Decreto 1072 de 2015; Resolución 0312 de 2019</x:v>
      </x:c>
      <x:c r="P104" s="14" t="n">
        <x:v>5</x:v>
      </x:c>
      <x:c r="Q104" t="str">
        <x:v>Muy alto</x:v>
      </x:c>
      <x:c r="R104" s="14" t="n">
        <x:f>IFERROR(VLOOKUP(Q104,Catalogos!$G:$H,2,FALSE),"")</x:f>
        <x:v>10</x:v>
      </x:c>
      <x:c r="S104" t="str">
        <x:v>Ocasional</x:v>
      </x:c>
      <x:c r="T104" s="14" t="n">
        <x:f>IFERROR(VLOOKUP(S104,Catalogos!$I:$J,2,FALSE),"")</x:f>
        <x:v>2</x:v>
      </x:c>
      <x:c r="U104" s="14" t="n">
        <x:f>IF(OR(R104="",T104=""),"",R104*T104)</x:f>
        <x:v>20</x:v>
      </x:c>
      <x:c r="V104" t="str">
        <x:f>IF(U104="","",IF(U104&gt;=24,"MUY ALTO",IF(U104&gt;=10,"ALTO",IF(U104&gt;=6,"MEDIO","BAJO"))))</x:f>
        <x:v>ALTO</x:v>
      </x:c>
      <x:c r="W104" t="str">
        <x:v>Mortal o catastrófico</x:v>
      </x:c>
      <x:c r="X104" s="14" t="n">
        <x:f>IFERROR(VLOOKUP(W104,Catalogos!$G:$H,2,FALSE),"")</x:f>
        <x:v>100</x:v>
      </x:c>
      <x:c r="Y104" s="14" t="n">
        <x:f>IF(OR(U104="",X104=""),"",U104*X104)</x:f>
        <x:v>2000</x:v>
      </x:c>
      <x:c r="Z104" t="str">
        <x:f>IF(Y104="","",IF(Y104&gt;=600,"I - Situación crítica. Suspender actividades hasta que el riesgo esté bajo control. Intervención urgente.",IF(Y104&gt;=150,"II - Corregir y adoptar medidas de control de inmediato.",IF(Y104&gt;=40,"III - Mejorar si es posible. Conviene justificar la intervención y su rentabilidad.","IV - Mantener controles existentes."))))</x:f>
        <x:v>I - Situación crítica. Suspender actividades hasta que el riesgo esté bajo control. Intervención urgente.</x:v>
      </x:c>
      <x:c r="AA104" t="str">
        <x:f>IF(Y104="","",IF(Y104&gt;=600,"No aceptable",IF(Y104&gt;=150,"No aceptable / Aceptable con control específico","Aceptable")))</x:f>
        <x:v>No aceptable</x:v>
      </x:c>
      <x:c r="AB104" s="12" t="str">
        <x:v>Eliminar recorridos en horarios/rutas de alto riesgo cuando sea posible</x:v>
      </x:c>
      <x:c r="AC104" s="12" t="str">
        <x:v>Cambiar rutas y medios de desplazamiento según análisis</x:v>
      </x:c>
      <x:c r="AD104" s="12" t="str">
        <x:v>Vehículos y comunicaciones seguras</x:v>
      </x:c>
      <x:c r="AE104" s="12" t="str">
        <x:v>Estudios de seguridad, planeación táctica y briefings</x:v>
      </x:c>
      <x:c r="AF104" s="12" t="str">
        <x:v>Chaleco balístico, radio, linterna</x:v>
      </x:c>
      <x:c r="AG104" s="12" t="str">
        <x:v>Director de Operaciones</x:v>
      </x:c>
      <x:c r="AH104" s="16" t="str">
        <x:v>2026-05-28</x:v>
      </x:c>
      <x:c r="AI104" s="12" t="str"/>
    </x:row>
    <x:row r="105">
      <x:c r="A105" t="str">
        <x:v>IPVR-104</x:v>
      </x:c>
      <x:c r="B105" t="str">
        <x:v>Medellín</x:v>
      </x:c>
      <x:c r="C105" t="str">
        <x:v>Escolta</x:v>
      </x:c>
      <x:c r="D105" s="12" t="str">
        <x:v>Vías urbanas e intermunicipales</x:v>
      </x:c>
      <x:c r="E105" s="12" t="str">
        <x:v>Desplazamiento en operación de escolta</x:v>
      </x:c>
      <x:c r="F105" s="12" t="str">
        <x:v>Conducción preventiva en servicio</x:v>
      </x:c>
      <x:c r="G105" s="12" t="str">
        <x:v>Sí</x:v>
      </x:c>
      <x:c r="H105" s="12" t="str">
        <x:v>Condiciones de seguridad - Accidentes de tránsito</x:v>
      </x:c>
      <x:c r="I105" s="12" t="str">
        <x:v>Colisión o siniestro vial en desplazamiento operativo</x:v>
      </x:c>
      <x:c r="J105" s="12" t="str">
        <x:v>Politraumatismo, incapacidad, muerte</x:v>
      </x:c>
      <x:c r="K105" s="12" t="str">
        <x:v>Mantenimiento preventivo y control de velocidad</x:v>
      </x:c>
      <x:c r="L105" s="12" t="str">
        <x:v>GPS, frenos ABS, inspección vehicular</x:v>
      </x:c>
      <x:c r="M105" s="12" t="str">
        <x:v>Conducción defensiva y manejo evasivo autorizado</x:v>
      </x:c>
      <x:c r="N105" s="12" t="str">
        <x:v>Muerte</x:v>
      </x:c>
      <x:c r="O105" s="12" t="str">
        <x:v>Resolución 40595 de 2022; Decreto 1072 de 2015</x:v>
      </x:c>
      <x:c r="P105" s="14" t="n">
        <x:v>5</x:v>
      </x:c>
      <x:c r="Q105" t="str">
        <x:v>Alto</x:v>
      </x:c>
      <x:c r="R105" s="14" t="n">
        <x:f>IFERROR(VLOOKUP(Q105,Catalogos!$G:$H,2,FALSE),"")</x:f>
        <x:v>6</x:v>
      </x:c>
      <x:c r="S105" t="str">
        <x:v>Frecuente</x:v>
      </x:c>
      <x:c r="T105" s="14" t="n">
        <x:f>IFERROR(VLOOKUP(S105,Catalogos!$I:$J,2,FALSE),"")</x:f>
        <x:v>3</x:v>
      </x:c>
      <x:c r="U105" s="14" t="n">
        <x:f>IF(OR(R105="",T105=""),"",R105*T105)</x:f>
        <x:v>18</x:v>
      </x:c>
      <x:c r="V105" t="str">
        <x:f>IF(U105="","",IF(U105&gt;=24,"MUY ALTO",IF(U105&gt;=10,"ALTO",IF(U105&gt;=6,"MEDIO","BAJO"))))</x:f>
        <x:v>ALTO</x:v>
      </x:c>
      <x:c r="W105" t="str">
        <x:v>Muy grave</x:v>
      </x:c>
      <x:c r="X105" s="14" t="n">
        <x:f>IFERROR(VLOOKUP(W105,Catalogos!$G:$H,2,FALSE),"")</x:f>
        <x:v>60</x:v>
      </x:c>
      <x:c r="Y105" s="14" t="n">
        <x:f>IF(OR(U105="",X105=""),"",U105*X105)</x:f>
        <x:v>1080</x:v>
      </x:c>
      <x:c r="Z105" t="str">
        <x:f>IF(Y105="","",IF(Y105&gt;=600,"I - Situación crítica. Suspender actividades hasta que el riesgo esté bajo control. Intervención urgente.",IF(Y105&gt;=150,"II - Corregir y adoptar medidas de control de inmediato.",IF(Y105&gt;=40,"III - Mejorar si es posible. Conviene justificar la intervención y su rentabilidad.","IV - Mantener controles existentes."))))</x:f>
        <x:v>I - Situación crítica. Suspender actividades hasta que el riesgo esté bajo control. Intervención urgente.</x:v>
      </x:c>
      <x:c r="AA105" t="str">
        <x:f>IF(Y105="","",IF(Y105&gt;=600,"No aceptable",IF(Y105&gt;=150,"No aceptable / Aceptable con control específico","Aceptable")))</x:f>
        <x:v>No aceptable</x:v>
      </x:c>
      <x:c r="AB105" s="12" t="str">
        <x:v>Eliminar trayectos no indispensables</x:v>
      </x:c>
      <x:c r="AC105" s="12" t="str">
        <x:v>Uso de vehículo más seguro según nivel de riesgo</x:v>
      </x:c>
      <x:c r="AD105" s="12" t="str">
        <x:v>Sistemas de asistencia y monitoreo</x:v>
      </x:c>
      <x:c r="AE105" s="12" t="str">
        <x:v>PESV, turnos, control de fatiga y preoperacional</x:v>
      </x:c>
      <x:c r="AF105" s="12" t="str">
        <x:v>Cinturón de seguridad</x:v>
      </x:c>
      <x:c r="AG105" s="12" t="str">
        <x:v>Director de Operaciones</x:v>
      </x:c>
      <x:c r="AH105" s="16" t="str">
        <x:v>2026-05-28</x:v>
      </x:c>
      <x:c r="AI105" s="12" t="str"/>
    </x:row>
    <x:row r="106">
      <x:c r="A106" t="str">
        <x:v>IPVR-105</x:v>
      </x:c>
      <x:c r="B106" t="str">
        <x:v>Medellín</x:v>
      </x:c>
      <x:c r="C106" t="str">
        <x:v>Escolta</x:v>
      </x:c>
      <x:c r="D106" s="12" t="str">
        <x:v>Vehículos / servicio operativo</x:v>
      </x:c>
      <x:c r="E106" s="12" t="str">
        <x:v>Jornadas operativas y vigilancia sostenida</x:v>
      </x:c>
      <x:c r="F106" s="12" t="str">
        <x:v>Mantener atención permanente durante largos turnos</x:v>
      </x:c>
      <x:c r="G106" s="12" t="str">
        <x:v>Sí</x:v>
      </x:c>
      <x:c r="H106" s="12" t="str">
        <x:v>Psicosocial</x:v>
      </x:c>
      <x:c r="I106" s="12" t="str">
        <x:v>Fatiga mental, turnicidad y presión operacional</x:v>
      </x:c>
      <x:c r="J106" s="12" t="str">
        <x:v>Distracción, errores operativos, alteraciones del sueño</x:v>
      </x:c>
      <x:c r="K106" s="12" t="str">
        <x:v>Planeación de relevos</x:v>
      </x:c>
      <x:c r="L106" s="12" t="str">
        <x:v>Espacios adecuados para descansos</x:v>
      </x:c>
      <x:c r="M106" s="12" t="str">
        <x:v>Higiene del sueño y autocuidado</x:v>
      </x:c>
      <x:c r="N106" s="12" t="str">
        <x:v>Error crítico en servicio</x:v>
      </x:c>
      <x:c r="O106" s="12" t="str">
        <x:v>Resolución 2646 de 2008; Decreto 1072 de 2015</x:v>
      </x:c>
      <x:c r="P106" s="14" t="n">
        <x:v>5</x:v>
      </x:c>
      <x:c r="Q106" t="str">
        <x:v>Medio</x:v>
      </x:c>
      <x:c r="R106" s="14" t="n">
        <x:f>IFERROR(VLOOKUP(Q106,Catalogos!$G:$H,2,FALSE),"")</x:f>
        <x:v>2</x:v>
      </x:c>
      <x:c r="S106" t="str">
        <x:v>Continua</x:v>
      </x:c>
      <x:c r="T106" s="14" t="n">
        <x:f>IFERROR(VLOOKUP(S106,Catalogos!$I:$J,2,FALSE),"")</x:f>
        <x:v>4</x:v>
      </x:c>
      <x:c r="U106" s="14" t="n">
        <x:f>IF(OR(R106="",T106=""),"",R106*T106)</x:f>
        <x:v>8</x:v>
      </x:c>
      <x:c r="V106" t="str">
        <x:f>IF(U106="","",IF(U106&gt;=24,"MUY ALTO",IF(U106&gt;=10,"ALTO",IF(U106&gt;=6,"MEDIO","BAJO"))))</x:f>
        <x:v>MEDIO</x:v>
      </x:c>
      <x:c r="W106" t="str">
        <x:v>Grave</x:v>
      </x:c>
      <x:c r="X106" s="14" t="n">
        <x:f>IFERROR(VLOOKUP(W106,Catalogos!$G:$H,2,FALSE),"")</x:f>
        <x:v>25</x:v>
      </x:c>
      <x:c r="Y106" s="14" t="n">
        <x:f>IF(OR(U106="",X106=""),"",U106*X106)</x:f>
        <x:v>200</x:v>
      </x:c>
      <x:c r="Z106" t="str">
        <x:f>IF(Y106="","",IF(Y106&gt;=600,"I - Situación crítica. Suspender actividades hasta que el riesgo esté bajo control. Intervención urgente.",IF(Y106&gt;=150,"II - Corregir y adoptar medidas de control de inmediato.",IF(Y106&gt;=40,"III - Mejorar si es posible. Conviene justificar la intervención y su rentabilidad.","IV - Mantener controles existentes."))))</x:f>
        <x:v>II - Corregir y adoptar medidas de control de inmediato.</x:v>
      </x:c>
      <x:c r="AA106" t="str">
        <x:f>IF(Y106="","",IF(Y106&gt;=600,"No aceptable",IF(Y106&gt;=150,"No aceptable / Aceptable con control específico","Aceptable")))</x:f>
        <x:v>No aceptable / Aceptable con control específico</x:v>
      </x:c>
      <x:c r="AB106" s="12" t="str">
        <x:v>Eliminar turnos excesivos</x:v>
      </x:c>
      <x:c r="AC106" s="12" t="str">
        <x:v>Relevo oportuno por personal disponible</x:v>
      </x:c>
      <x:c r="AD106" s="12" t="str">
        <x:v>Monitoreo de fatiga cuando aplique</x:v>
      </x:c>
      <x:c r="AE106" s="12" t="str">
        <x:v>Límites de jornada, pausas y seguimiento psicosocial</x:v>
      </x:c>
      <x:c r="AF106" s="12" t="str">
        <x:v>No aplica</x:v>
      </x:c>
      <x:c r="AG106" s="12" t="str">
        <x:v>Director de Operaciones</x:v>
      </x:c>
      <x:c r="AH106" s="16" t="str">
        <x:v>2026-05-28</x:v>
      </x:c>
      <x:c r="AI106" s="12" t="str"/>
    </x:row>
    <x:row r="107">
      <x:c r="A107" t="str">
        <x:v>IPVR-106</x:v>
      </x:c>
      <x:c r="B107" t="str">
        <x:v>Ábrego</x:v>
      </x:c>
      <x:c r="C107" t="str">
        <x:v>Vigilancia física fija</x:v>
      </x:c>
      <x:c r="D107" s="12" t="str">
        <x:v>Puesto de vigilancia / accesos</x:v>
      </x:c>
      <x:c r="E107" s="12" t="str">
        <x:v>Control de accesos y verificación</x:v>
      </x:c>
      <x:c r="F107" s="12" t="str">
        <x:v>Permanecer de pie, registrar ingresos y realizar rondas cortas</x:v>
      </x:c>
      <x:c r="G107" s="12" t="str">
        <x:v>Sí</x:v>
      </x:c>
      <x:c r="H107" s="12" t="str">
        <x:v>Biomecánico</x:v>
      </x:c>
      <x:c r="I107" s="12" t="str">
        <x:v>Posturas prolongadas, bipedestación y desplazamientos frecuentes</x:v>
      </x:c>
      <x:c r="J107" s="12" t="str">
        <x:v>Fatiga muscular, lumbalgia, trastornos osteomusculares en miembros inferiores y columna</x:v>
      </x:c>
      <x:c r="K107" s="12" t="str">
        <x:v>Rotación parcial de tareas y pausas activas programadas</x:v>
      </x:c>
      <x:c r="L107" s="12" t="str">
        <x:v>Puntos de apoyo, silla de descanso en relevos y superficies niveladas</x:v>
      </x:c>
      <x:c r="M107" s="12" t="str">
        <x:v>Capacitación en higiene postural y uso de calzado ergonómico</x:v>
      </x:c>
      <x:c r="N107" s="12" t="str">
        <x:v>Trastorno musculoesquelético incapacitante</x:v>
      </x:c>
      <x:c r="O107" s="12" t="str">
        <x:v>Decreto 1072 de 2015; Resolución 0312 de 2019</x:v>
      </x:c>
      <x:c r="P107" s="14" t="n">
        <x:v>7</x:v>
      </x:c>
      <x:c r="Q107" t="str">
        <x:v>Medio</x:v>
      </x:c>
      <x:c r="R107" s="14" t="n">
        <x:f>IFERROR(VLOOKUP(Q107,Catalogos!$G:$H,2,FALSE),"")</x:f>
        <x:v>2</x:v>
      </x:c>
      <x:c r="S107" t="str">
        <x:v>Continua</x:v>
      </x:c>
      <x:c r="T107" s="14" t="n">
        <x:f>IFERROR(VLOOKUP(S107,Catalogos!$I:$J,2,FALSE),"")</x:f>
        <x:v>4</x:v>
      </x:c>
      <x:c r="U107" s="14" t="n">
        <x:f>IF(OR(R107="",T107=""),"",R107*T107)</x:f>
        <x:v>8</x:v>
      </x:c>
      <x:c r="V107" t="str">
        <x:f>IF(U107="","",IF(U107&gt;=24,"MUY ALTO",IF(U107&gt;=10,"ALTO",IF(U107&gt;=6,"MEDIO","BAJO"))))</x:f>
        <x:v>MEDIO</x:v>
      </x:c>
      <x:c r="W107" t="str">
        <x:v>Grave</x:v>
      </x:c>
      <x:c r="X107" s="14" t="n">
        <x:f>IFERROR(VLOOKUP(W107,Catalogos!$G:$H,2,FALSE),"")</x:f>
        <x:v>25</x:v>
      </x:c>
      <x:c r="Y107" s="14" t="n">
        <x:f>IF(OR(U107="",X107=""),"",U107*X107)</x:f>
        <x:v>200</x:v>
      </x:c>
      <x:c r="Z107" t="str">
        <x:f>IF(Y107="","",IF(Y107&gt;=600,"I - Situación crítica. Suspender actividades hasta que el riesgo esté bajo control. Intervención urgente.",IF(Y107&gt;=150,"II - Corregir y adoptar medidas de control de inmediato.",IF(Y107&gt;=40,"III - Mejorar si es posible. Conviene justificar la intervención y su rentabilidad.","IV - Mantener controles existentes."))))</x:f>
        <x:v>II - Corregir y adoptar medidas de control de inmediato.</x:v>
      </x:c>
      <x:c r="AA107" t="str">
        <x:f>IF(Y107="","",IF(Y107&gt;=600,"No aceptable",IF(Y107&gt;=150,"No aceptable / Aceptable con control específico","Aceptable")))</x:f>
        <x:v>No aceptable / Aceptable con control específico</x:v>
      </x:c>
      <x:c r="AB107" s="12" t="str">
        <x:v>Reorganizar el puesto para alternar tareas estáticas y dinámicas</x:v>
      </x:c>
      <x:c r="AC107" s="12" t="str">
        <x:v>No aplica</x:v>
      </x:c>
      <x:c r="AD107" s="12" t="str">
        <x:v>Adecuar apoyapiés y superficies ergonómicas</x:v>
      </x:c>
      <x:c r="AE107" s="12" t="str">
        <x:v>Pausas activas, rotación, inspecciones ergonómicas y seguimiento médico</x:v>
      </x:c>
      <x:c r="AF107" s="12" t="str">
        <x:v>Calzado de seguridad ergonómico</x:v>
      </x:c>
      <x:c r="AG107" s="12" t="str">
        <x:v>Director de Operaciones</x:v>
      </x:c>
      <x:c r="AH107" s="16" t="str">
        <x:v>2026-05-12</x:v>
      </x:c>
      <x:c r="AI107" s="12" t="str"/>
    </x:row>
    <x:row r="108">
      <x:c r="A108" t="str">
        <x:v>IPVR-107</x:v>
      </x:c>
      <x:c r="B108" t="str">
        <x:v>Ábrego</x:v>
      </x:c>
      <x:c r="C108" t="str">
        <x:v>Vigilancia física fija</x:v>
      </x:c>
      <x:c r="D108" s="12" t="str">
        <x:v>Puesto de vigilancia / perímetro</x:v>
      </x:c>
      <x:c r="E108" s="12" t="str">
        <x:v>Vigilancia perimetral y atención de incidentes</x:v>
      </x:c>
      <x:c r="F108" s="12" t="str">
        <x:v>Interactuar con usuarios y controlar eventos de alteración del orden</x:v>
      </x:c>
      <x:c r="G108" s="12" t="str">
        <x:v>Sí</x:v>
      </x:c>
      <x:c r="H108" s="12" t="str">
        <x:v>Condiciones de seguridad - Público</x:v>
      </x:c>
      <x:c r="I108" s="12" t="str">
        <x:v>Agresión física o verbal, hurto, amenaza o alteración del orden público</x:v>
      </x:c>
      <x:c r="J108" s="12" t="str">
        <x:v>Contusiones, trauma psicológico, lesiones graves o muerte</x:v>
      </x:c>
      <x:c r="K108" s="12" t="str">
        <x:v>Protocolos de reacción y comunicación inmediata con central</x:v>
      </x:c>
      <x:c r="L108" s="12" t="str">
        <x:v>CCTV, radios, botón de pánico, iluminación exterior</x:v>
      </x:c>
      <x:c r="M108" s="12" t="str">
        <x:v>Entrenamiento en control de crisis y manejo defensivo</x:v>
      </x:c>
      <x:c r="N108" s="12" t="str">
        <x:v>Homicidio o lesión grave</x:v>
      </x:c>
      <x:c r="O108" s="12" t="str">
        <x:v>Decreto 1072 de 2015; Resolución 0312 de 2019</x:v>
      </x:c>
      <x:c r="P108" s="14" t="n">
        <x:v>7</x:v>
      </x:c>
      <x:c r="Q108" t="str">
        <x:v>Alto</x:v>
      </x:c>
      <x:c r="R108" s="14" t="n">
        <x:f>IFERROR(VLOOKUP(Q108,Catalogos!$G:$H,2,FALSE),"")</x:f>
        <x:v>6</x:v>
      </x:c>
      <x:c r="S108" t="str">
        <x:v>Ocasional</x:v>
      </x:c>
      <x:c r="T108" s="14" t="n">
        <x:f>IFERROR(VLOOKUP(S108,Catalogos!$I:$J,2,FALSE),"")</x:f>
        <x:v>2</x:v>
      </x:c>
      <x:c r="U108" s="14" t="n">
        <x:f>IF(OR(R108="",T108=""),"",R108*T108)</x:f>
        <x:v>12</x:v>
      </x:c>
      <x:c r="V108" t="str">
        <x:f>IF(U108="","",IF(U108&gt;=24,"MUY ALTO",IF(U108&gt;=10,"ALTO",IF(U108&gt;=6,"MEDIO","BAJO"))))</x:f>
        <x:v>ALTO</x:v>
      </x:c>
      <x:c r="W108" t="str">
        <x:v>Muy grave</x:v>
      </x:c>
      <x:c r="X108" s="14" t="n">
        <x:f>IFERROR(VLOOKUP(W108,Catalogos!$G:$H,2,FALSE),"")</x:f>
        <x:v>60</x:v>
      </x:c>
      <x:c r="Y108" s="14" t="n">
        <x:f>IF(OR(U108="",X108=""),"",U108*X108)</x:f>
        <x:v>720</x:v>
      </x:c>
      <x:c r="Z108" t="str">
        <x:f>IF(Y108="","",IF(Y108&gt;=600,"I - Situación crítica. Suspender actividades hasta que el riesgo esté bajo control. Intervención urgente.",IF(Y108&gt;=150,"II - Corregir y adoptar medidas de control de inmediato.",IF(Y108&gt;=40,"III - Mejorar si es posible. Conviene justificar la intervención y su rentabilidad.","IV - Mantener controles existentes."))))</x:f>
        <x:v>I - Situación crítica. Suspender actividades hasta que el riesgo esté bajo control. Intervención urgente.</x:v>
      </x:c>
      <x:c r="AA108" t="str">
        <x:f>IF(Y108="","",IF(Y108&gt;=600,"No aceptable",IF(Y108&gt;=150,"No aceptable / Aceptable con control específico","Aceptable")))</x:f>
        <x:v>No aceptable</x:v>
      </x:c>
      <x:c r="AB108" s="12" t="str">
        <x:v>Eliminar puntos ciegos y actividades en solitario de alto riesgo</x:v>
      </x:c>
      <x:c r="AC108" s="12" t="str">
        <x:v>Sustituir rondas aisladas por acompañamiento dual en sitios críticos</x:v>
      </x:c>
      <x:c r="AD108" s="12" t="str">
        <x:v>Mejorar CCTV, alarmas y control de acceso</x:v>
      </x:c>
      <x:c r="AE108" s="12" t="str">
        <x:v>Protocolos de reacción, análisis de seguridad por puesto, simulacros</x:v>
      </x:c>
      <x:c r="AF108" s="12" t="str">
        <x:v>Chaleco, linterna, radio, elemento de protección balística si aplica</x:v>
      </x:c>
      <x:c r="AG108" s="12" t="str">
        <x:v>Director de Operaciones</x:v>
      </x:c>
      <x:c r="AH108" s="16" t="str">
        <x:v>2026-05-12</x:v>
      </x:c>
      <x:c r="AI108" s="12" t="str"/>
    </x:row>
    <x:row r="109">
      <x:c r="A109" t="str">
        <x:v>IPVR-108</x:v>
      </x:c>
      <x:c r="B109" t="str">
        <x:v>Ábrego</x:v>
      </x:c>
      <x:c r="C109" t="str">
        <x:v>Vigilancia física fija</x:v>
      </x:c>
      <x:c r="D109" s="12" t="str">
        <x:v>Áreas comunes / perímetro</x:v>
      </x:c>
      <x:c r="E109" s="12" t="str">
        <x:v>Rondas de inspección</x:v>
      </x:c>
      <x:c r="F109" s="12" t="str">
        <x:v>Desplazarse por escaleras, pasillos, zonas húmedas o irregulares</x:v>
      </x:c>
      <x:c r="G109" s="12" t="str">
        <x:v>Sí</x:v>
      </x:c>
      <x:c r="H109" s="12" t="str">
        <x:v>Condiciones de seguridad - Locativo</x:v>
      </x:c>
      <x:c r="I109" s="12" t="str">
        <x:v>Caídas al mismo nivel por superficies irregulares, húmedas o con obstáculos</x:v>
      </x:c>
      <x:c r="J109" s="12" t="str">
        <x:v>Esguinces, fracturas, golpes, incapacidad temporal</x:v>
      </x:c>
      <x:c r="K109" s="12" t="str">
        <x:v>Inspecciones locativas y corrección de condiciones inseguras</x:v>
      </x:c>
      <x:c r="L109" s="12" t="str">
        <x:v>Señalización, orden y aseo, iluminación adecuada</x:v>
      </x:c>
      <x:c r="M109" s="12" t="str">
        <x:v>Reporte oportuno de condiciones inseguras y atención al tránsito seguro</x:v>
      </x:c>
      <x:c r="N109" s="12" t="str">
        <x:v>Fractura con incapacidad prolongada</x:v>
      </x:c>
      <x:c r="O109" s="12" t="str">
        <x:v>Decreto 1072 de 2015; Resolución 0312 de 2019</x:v>
      </x:c>
      <x:c r="P109" s="14" t="n">
        <x:v>7</x:v>
      </x:c>
      <x:c r="Q109" t="str">
        <x:v>Alto</x:v>
      </x:c>
      <x:c r="R109" s="14" t="n">
        <x:f>IFERROR(VLOOKUP(Q109,Catalogos!$G:$H,2,FALSE),"")</x:f>
        <x:v>6</x:v>
      </x:c>
      <x:c r="S109" t="str">
        <x:v>Ocasional</x:v>
      </x:c>
      <x:c r="T109" s="14" t="n">
        <x:f>IFERROR(VLOOKUP(S109,Catalogos!$I:$J,2,FALSE),"")</x:f>
        <x:v>2</x:v>
      </x:c>
      <x:c r="U109" s="14" t="n">
        <x:f>IF(OR(R109="",T109=""),"",R109*T109)</x:f>
        <x:v>12</x:v>
      </x:c>
      <x:c r="V109" t="str">
        <x:f>IF(U109="","",IF(U109&gt;=24,"MUY ALTO",IF(U109&gt;=10,"ALTO",IF(U109&gt;=6,"MEDIO","BAJO"))))</x:f>
        <x:v>ALTO</x:v>
      </x:c>
      <x:c r="W109" t="str">
        <x:v>Grave</x:v>
      </x:c>
      <x:c r="X109" s="14" t="n">
        <x:f>IFERROR(VLOOKUP(W109,Catalogos!$G:$H,2,FALSE),"")</x:f>
        <x:v>25</x:v>
      </x:c>
      <x:c r="Y109" s="14" t="n">
        <x:f>IF(OR(U109="",X109=""),"",U109*X109)</x:f>
        <x:v>300</x:v>
      </x:c>
      <x:c r="Z109" t="str">
        <x:f>IF(Y109="","",IF(Y109&gt;=600,"I - Situación crítica. Suspender actividades hasta que el riesgo esté bajo control. Intervención urgente.",IF(Y109&gt;=150,"II - Corregir y adoptar medidas de control de inmediato.",IF(Y109&gt;=40,"III - Mejorar si es posible. Conviene justificar la intervención y su rentabilidad.","IV - Mantener controles existentes."))))</x:f>
        <x:v>II - Corregir y adoptar medidas de control de inmediato.</x:v>
      </x:c>
      <x:c r="AA109" t="str">
        <x:f>IF(Y109="","",IF(Y109&gt;=600,"No aceptable",IF(Y109&gt;=150,"No aceptable / Aceptable con control específico","Aceptable")))</x:f>
        <x:v>No aceptable / Aceptable con control específico</x:v>
      </x:c>
      <x:c r="AB109" s="12" t="str">
        <x:v>Eliminar obstáculos y desniveles inseguros</x:v>
      </x:c>
      <x:c r="AC109" s="12" t="str">
        <x:v>Revestimientos antideslizantes en zonas críticas</x:v>
      </x:c>
      <x:c r="AD109" s="12" t="str">
        <x:v>Mejorar drenajes y pisos</x:v>
      </x:c>
      <x:c r="AE109" s="12" t="str">
        <x:v>Inspecciones periódicas, orden y aseo, reporte de novedades</x:v>
      </x:c>
      <x:c r="AF109" s="12" t="str">
        <x:v>Calzado de seguridad antideslizante</x:v>
      </x:c>
      <x:c r="AG109" s="12" t="str">
        <x:v>Director de Operaciones</x:v>
      </x:c>
      <x:c r="AH109" s="16" t="str">
        <x:v>2026-05-12</x:v>
      </x:c>
      <x:c r="AI109" s="12" t="str"/>
    </x:row>
    <x:row r="110">
      <x:c r="A110" t="str">
        <x:v>IPVR-109</x:v>
      </x:c>
      <x:c r="B110" t="str">
        <x:v>Ábrego</x:v>
      </x:c>
      <x:c r="C110" t="str">
        <x:v>Vigilancia física fija</x:v>
      </x:c>
      <x:c r="D110" s="12" t="str">
        <x:v>Garitas y perímetro externo</x:v>
      </x:c>
      <x:c r="E110" s="12" t="str">
        <x:v>Vigilancia exterior</x:v>
      </x:c>
      <x:c r="F110" s="12" t="str">
        <x:v>Exposición a radiación solar, lluvia y cambios bruscos de temperatura</x:v>
      </x:c>
      <x:c r="G110" s="12" t="str">
        <x:v>Sí</x:v>
      </x:c>
      <x:c r="H110" s="12" t="str">
        <x:v>Físico</x:v>
      </x:c>
      <x:c r="I110" s="12" t="str">
        <x:v>Exposición a radiación solar, calor, lluvia y disconfort térmico</x:v>
      </x:c>
      <x:c r="J110" s="12" t="str">
        <x:v>Deshidratación, cefalea, fatiga térmica, dermatosis</x:v>
      </x:c>
      <x:c r="K110" s="12" t="str">
        <x:v>Programación de relevos y zonas de sombra</x:v>
      </x:c>
      <x:c r="L110" s="12" t="str">
        <x:v>Cubiertas, hidratación disponible, ventilación</x:v>
      </x:c>
      <x:c r="M110" s="12" t="str">
        <x:v>Autocuidado e hidratación permanente</x:v>
      </x:c>
      <x:c r="N110" s="12" t="str">
        <x:v>Golpe de calor</x:v>
      </x:c>
      <x:c r="O110" s="12" t="str">
        <x:v>Decreto 1072 de 2015; Resolución 0312 de 2019</x:v>
      </x:c>
      <x:c r="P110" s="14" t="n">
        <x:v>7</x:v>
      </x:c>
      <x:c r="Q110" t="str">
        <x:v>Medio</x:v>
      </x:c>
      <x:c r="R110" s="14" t="n">
        <x:f>IFERROR(VLOOKUP(Q110,Catalogos!$G:$H,2,FALSE),"")</x:f>
        <x:v>2</x:v>
      </x:c>
      <x:c r="S110" t="str">
        <x:v>Frecuente</x:v>
      </x:c>
      <x:c r="T110" s="14" t="n">
        <x:f>IFERROR(VLOOKUP(S110,Catalogos!$I:$J,2,FALSE),"")</x:f>
        <x:v>3</x:v>
      </x:c>
      <x:c r="U110" s="14" t="n">
        <x:f>IF(OR(R110="",T110=""),"",R110*T110)</x:f>
        <x:v>6</x:v>
      </x:c>
      <x:c r="V110" t="str">
        <x:f>IF(U110="","",IF(U110&gt;=24,"MUY ALTO",IF(U110&gt;=10,"ALTO",IF(U110&gt;=6,"MEDIO","BAJO"))))</x:f>
        <x:v>MEDIO</x:v>
      </x:c>
      <x:c r="W110" t="str">
        <x:v>Leve</x:v>
      </x:c>
      <x:c r="X110" s="14" t="n">
        <x:f>IFERROR(VLOOKUP(W110,Catalogos!$G:$H,2,FALSE),"")</x:f>
        <x:v>10</x:v>
      </x:c>
      <x:c r="Y110" s="14" t="n">
        <x:f>IF(OR(U110="",X110=""),"",U110*X110)</x:f>
        <x:v>60</x:v>
      </x:c>
      <x:c r="Z110" t="str">
        <x:f>IF(Y110="","",IF(Y110&gt;=600,"I - Situación crítica. Suspender actividades hasta que el riesgo esté bajo control. Intervención urgente.",IF(Y110&gt;=150,"II - Corregir y adoptar medidas de control de inmediato.",IF(Y110&gt;=40,"III - Mejorar si es posible. Conviene justificar la intervención y su rentabilidad.","IV - Mantener controles existentes."))))</x:f>
        <x:v>III - Mejorar si es posible. Conviene justificar la intervención y su rentabilidad.</x:v>
      </x:c>
      <x:c r="AA110" t="str">
        <x:f>IF(Y110="","",IF(Y110&gt;=600,"No aceptable",IF(Y110&gt;=150,"No aceptable / Aceptable con control específico","Aceptable")))</x:f>
        <x:v>Aceptable</x:v>
      </x:c>
      <x:c r="AB110" s="12" t="str">
        <x:v>Reubicar puestos sin protección directa al clima cuando sea viable</x:v>
      </x:c>
      <x:c r="AC110" s="12" t="str">
        <x:v>No aplica</x:v>
      </x:c>
      <x:c r="AD110" s="12" t="str">
        <x:v>Instalar cubiertas y ventilación</x:v>
      </x:c>
      <x:c r="AE110" s="12" t="str">
        <x:v>Relevos, pausas de hidratación y seguimiento en temporadas críticas</x:v>
      </x:c>
      <x:c r="AF110" s="12" t="str">
        <x:v>Gorra, bloqueador solar, impermeable</x:v>
      </x:c>
      <x:c r="AG110" s="12" t="str">
        <x:v>Director de Operaciones</x:v>
      </x:c>
      <x:c r="AH110" s="16" t="str">
        <x:v>2026-05-12</x:v>
      </x:c>
      <x:c r="AI110" s="12" t="str"/>
    </x:row>
    <x:row r="111">
      <x:c r="A111" t="str">
        <x:v>IPVR-110</x:v>
      </x:c>
      <x:c r="B111" t="str">
        <x:v>Ábrego</x:v>
      </x:c>
      <x:c r="C111" t="str">
        <x:v>Supervisión operativa y rondas</x:v>
      </x:c>
      <x:c r="D111" s="12" t="str">
        <x:v>Vías urbanas e intermunicipales</x:v>
      </x:c>
      <x:c r="E111" s="12" t="str">
        <x:v>Rondas motorizadas y desplazamiento entre puestos</x:v>
      </x:c>
      <x:c r="F111" s="12" t="str">
        <x:v>Conducir motocicleta o vehículo para supervisión de servicios</x:v>
      </x:c>
      <x:c r="G111" s="12" t="str">
        <x:v>Sí</x:v>
      </x:c>
      <x:c r="H111" s="12" t="str">
        <x:v>Condiciones de seguridad - Accidentes de tránsito</x:v>
      </x:c>
      <x:c r="I111" s="12" t="str">
        <x:v>Colisión, volcamiento, atropellamiento o siniestro vial</x:v>
      </x:c>
      <x:c r="J111" s="12" t="str">
        <x:v>Politraumatismo, incapacidad, muerte</x:v>
      </x:c>
      <x:c r="K111" s="12" t="str">
        <x:v>Mantenimiento preventivo y control de velocidad</x:v>
      </x:c>
      <x:c r="L111" s="12" t="str">
        <x:v>Vehículos en buen estado, GPS, reflectivos</x:v>
      </x:c>
      <x:c r="M111" s="12" t="str">
        <x:v>Capacitación PESV y conducción defensiva</x:v>
      </x:c>
      <x:c r="N111" s="12" t="str">
        <x:v>Muerte</x:v>
      </x:c>
      <x:c r="O111" s="12" t="str">
        <x:v>Resolución 40595 de 2022; Decreto 1072 de 2015</x:v>
      </x:c>
      <x:c r="P111" s="14" t="n">
        <x:v>2</x:v>
      </x:c>
      <x:c r="Q111" t="str">
        <x:v>Muy alto</x:v>
      </x:c>
      <x:c r="R111" s="14" t="n">
        <x:f>IFERROR(VLOOKUP(Q111,Catalogos!$G:$H,2,FALSE),"")</x:f>
        <x:v>10</x:v>
      </x:c>
      <x:c r="S111" t="str">
        <x:v>Frecuente</x:v>
      </x:c>
      <x:c r="T111" s="14" t="n">
        <x:f>IFERROR(VLOOKUP(S111,Catalogos!$I:$J,2,FALSE),"")</x:f>
        <x:v>3</x:v>
      </x:c>
      <x:c r="U111" s="14" t="n">
        <x:f>IF(OR(R111="",T111=""),"",R111*T111)</x:f>
        <x:v>30</x:v>
      </x:c>
      <x:c r="V111" t="str">
        <x:f>IF(U111="","",IF(U111&gt;=24,"MUY ALTO",IF(U111&gt;=10,"ALTO",IF(U111&gt;=6,"MEDIO","BAJO"))))</x:f>
        <x:v>MUY ALTO</x:v>
      </x:c>
      <x:c r="W111" t="str">
        <x:v>Muy grave</x:v>
      </x:c>
      <x:c r="X111" s="14" t="n">
        <x:f>IFERROR(VLOOKUP(W111,Catalogos!$G:$H,2,FALSE),"")</x:f>
        <x:v>60</x:v>
      </x:c>
      <x:c r="Y111" s="14" t="n">
        <x:f>IF(OR(U111="",X111=""),"",U111*X111)</x:f>
        <x:v>1800</x:v>
      </x:c>
      <x:c r="Z111" t="str">
        <x:f>IF(Y111="","",IF(Y111&gt;=600,"I - Situación crítica. Suspender actividades hasta que el riesgo esté bajo control. Intervención urgente.",IF(Y111&gt;=150,"II - Corregir y adoptar medidas de control de inmediato.",IF(Y111&gt;=40,"III - Mejorar si es posible. Conviene justificar la intervención y su rentabilidad.","IV - Mantener controles existentes."))))</x:f>
        <x:v>I - Situación crítica. Suspender actividades hasta que el riesgo esté bajo control. Intervención urgente.</x:v>
      </x:c>
      <x:c r="AA111" t="str">
        <x:f>IF(Y111="","",IF(Y111&gt;=600,"No aceptable",IF(Y111&gt;=150,"No aceptable / Aceptable con control específico","Aceptable")))</x:f>
        <x:v>No aceptable</x:v>
      </x:c>
      <x:c r="AB111" s="12" t="str">
        <x:v>Eliminar desplazamientos innecesarios</x:v>
      </x:c>
      <x:c r="AC111" s="12" t="str">
        <x:v>Sustituir motocicleta por vehículo en trayectos críticos cuando aplique</x:v>
      </x:c>
      <x:c r="AD111" s="12" t="str">
        <x:v>GPS, cámaras y mantenimientos</x:v>
      </x:c>
      <x:c r="AE111" s="12" t="str">
        <x:v>PESV, control de fatiga, inspección preoperacional</x:v>
      </x:c>
      <x:c r="AF111" s="12" t="str">
        <x:v>Casco certificado, chaleco reflectivo</x:v>
      </x:c>
      <x:c r="AG111" s="12" t="str">
        <x:v>Director de Operaciones</x:v>
      </x:c>
      <x:c r="AH111" s="16" t="str">
        <x:v>2026-05-12</x:v>
      </x:c>
      <x:c r="AI111" s="12" t="str"/>
    </x:row>
    <x:row r="112">
      <x:c r="A112" t="str">
        <x:v>IPVR-111</x:v>
      </x:c>
      <x:c r="B112" t="str">
        <x:v>Ábrego</x:v>
      </x:c>
      <x:c r="C112" t="str">
        <x:v>Supervisión operativa y rondas</x:v>
      </x:c>
      <x:c r="D112" s="12" t="str">
        <x:v>Puestos externos / vía pública</x:v>
      </x:c>
      <x:c r="E112" s="12" t="str">
        <x:v>Atención de novedades e inspecciones en campo</x:v>
      </x:c>
      <x:c r="F112" s="12" t="str">
        <x:v>Ingresar a sitios con potencial alteración de orden público</x:v>
      </x:c>
      <x:c r="G112" s="12" t="str">
        <x:v>Sí</x:v>
      </x:c>
      <x:c r="H112" s="12" t="str">
        <x:v>Condiciones de seguridad - Público</x:v>
      </x:c>
      <x:c r="I112" s="12" t="str">
        <x:v>Asalto, amenaza, retención o agresión de terceros</x:v>
      </x:c>
      <x:c r="J112" s="12" t="str">
        <x:v>Lesiones, trauma psicológico, muerte</x:v>
      </x:c>
      <x:c r="K112" s="12" t="str">
        <x:v>Protocolos de apoyo y monitoreo</x:v>
      </x:c>
      <x:c r="L112" s="12" t="str">
        <x:v>Comunicación permanente con central y georreferenciación</x:v>
      </x:c>
      <x:c r="M112" s="12" t="str">
        <x:v>Entrenamiento de reacción segura y autoprotección</x:v>
      </x:c>
      <x:c r="N112" s="12" t="str">
        <x:v>Lesión grave o muerte</x:v>
      </x:c>
      <x:c r="O112" s="12" t="str">
        <x:v>Decreto 1072 de 2015; Resolución 0312 de 2019</x:v>
      </x:c>
      <x:c r="P112" s="14" t="n">
        <x:v>2</x:v>
      </x:c>
      <x:c r="Q112" t="str">
        <x:v>Alto</x:v>
      </x:c>
      <x:c r="R112" s="14" t="n">
        <x:f>IFERROR(VLOOKUP(Q112,Catalogos!$G:$H,2,FALSE),"")</x:f>
        <x:v>6</x:v>
      </x:c>
      <x:c r="S112" t="str">
        <x:v>Ocasional</x:v>
      </x:c>
      <x:c r="T112" s="14" t="n">
        <x:f>IFERROR(VLOOKUP(S112,Catalogos!$I:$J,2,FALSE),"")</x:f>
        <x:v>2</x:v>
      </x:c>
      <x:c r="U112" s="14" t="n">
        <x:f>IF(OR(R112="",T112=""),"",R112*T112)</x:f>
        <x:v>12</x:v>
      </x:c>
      <x:c r="V112" t="str">
        <x:f>IF(U112="","",IF(U112&gt;=24,"MUY ALTO",IF(U112&gt;=10,"ALTO",IF(U112&gt;=6,"MEDIO","BAJO"))))</x:f>
        <x:v>ALTO</x:v>
      </x:c>
      <x:c r="W112" t="str">
        <x:v>Muy grave</x:v>
      </x:c>
      <x:c r="X112" s="14" t="n">
        <x:f>IFERROR(VLOOKUP(W112,Catalogos!$G:$H,2,FALSE),"")</x:f>
        <x:v>60</x:v>
      </x:c>
      <x:c r="Y112" s="14" t="n">
        <x:f>IF(OR(U112="",X112=""),"",U112*X112)</x:f>
        <x:v>720</x:v>
      </x:c>
      <x:c r="Z112" t="str">
        <x:f>IF(Y112="","",IF(Y112&gt;=600,"I - Situación crítica. Suspender actividades hasta que el riesgo esté bajo control. Intervención urgente.",IF(Y112&gt;=150,"II - Corregir y adoptar medidas de control de inmediato.",IF(Y112&gt;=40,"III - Mejorar si es posible. Conviene justificar la intervención y su rentabilidad.","IV - Mantener controles existentes."))))</x:f>
        <x:v>I - Situación crítica. Suspender actividades hasta que el riesgo esté bajo control. Intervención urgente.</x:v>
      </x:c>
      <x:c r="AA112" t="str">
        <x:f>IF(Y112="","",IF(Y112&gt;=600,"No aceptable",IF(Y112&gt;=150,"No aceptable / Aceptable con control específico","Aceptable")))</x:f>
        <x:v>No aceptable</x:v>
      </x:c>
      <x:c r="AB112" s="12" t="str">
        <x:v>Suspender atención individual en zonas críticas</x:v>
      </x:c>
      <x:c r="AC112" s="12" t="str">
        <x:v>Acompañamiento dual o apoyo policial en zonas de alto riesgo</x:v>
      </x:c>
      <x:c r="AD112" s="12" t="str">
        <x:v>Dispositivos de comunicación redundante</x:v>
      </x:c>
      <x:c r="AE112" s="12" t="str">
        <x:v>Mapas de riesgo, briefing previo y protocolos de atención</x:v>
      </x:c>
      <x:c r="AF112" s="12" t="str">
        <x:v>Chaleco, radio, linterna táctica</x:v>
      </x:c>
      <x:c r="AG112" s="12" t="str">
        <x:v>Director de Operaciones</x:v>
      </x:c>
      <x:c r="AH112" s="16" t="str">
        <x:v>2026-05-12</x:v>
      </x:c>
      <x:c r="AI112" s="12" t="str"/>
    </x:row>
    <x:row r="113">
      <x:c r="A113" t="str">
        <x:v>IPVR-112</x:v>
      </x:c>
      <x:c r="B113" t="str">
        <x:v>Pamplona</x:v>
      </x:c>
      <x:c r="C113" t="str">
        <x:v>Vigilancia física fija</x:v>
      </x:c>
      <x:c r="D113" s="12" t="str">
        <x:v>Puesto de vigilancia / accesos</x:v>
      </x:c>
      <x:c r="E113" s="12" t="str">
        <x:v>Control de accesos y verificación</x:v>
      </x:c>
      <x:c r="F113" s="12" t="str">
        <x:v>Permanecer de pie, registrar ingresos y realizar rondas cortas</x:v>
      </x:c>
      <x:c r="G113" s="12" t="str">
        <x:v>Sí</x:v>
      </x:c>
      <x:c r="H113" s="12" t="str">
        <x:v>Biomecánico</x:v>
      </x:c>
      <x:c r="I113" s="12" t="str">
        <x:v>Posturas prolongadas, bipedestación y desplazamientos frecuentes</x:v>
      </x:c>
      <x:c r="J113" s="12" t="str">
        <x:v>Fatiga muscular, lumbalgia, trastornos osteomusculares en miembros inferiores y columna</x:v>
      </x:c>
      <x:c r="K113" s="12" t="str">
        <x:v>Rotación parcial de tareas y pausas activas programadas</x:v>
      </x:c>
      <x:c r="L113" s="12" t="str">
        <x:v>Puntos de apoyo, silla de descanso en relevos y superficies niveladas</x:v>
      </x:c>
      <x:c r="M113" s="12" t="str">
        <x:v>Capacitación en higiene postural y uso de calzado ergonómico</x:v>
      </x:c>
      <x:c r="N113" s="12" t="str">
        <x:v>Trastorno musculoesquelético incapacitante</x:v>
      </x:c>
      <x:c r="O113" s="12" t="str">
        <x:v>Decreto 1072 de 2015; Resolución 0312 de 2019</x:v>
      </x:c>
      <x:c r="P113" s="14" t="n">
        <x:v>8</x:v>
      </x:c>
      <x:c r="Q113" t="str">
        <x:v>Medio</x:v>
      </x:c>
      <x:c r="R113" s="14" t="n">
        <x:f>IFERROR(VLOOKUP(Q113,Catalogos!$G:$H,2,FALSE),"")</x:f>
        <x:v>2</x:v>
      </x:c>
      <x:c r="S113" t="str">
        <x:v>Continua</x:v>
      </x:c>
      <x:c r="T113" s="14" t="n">
        <x:f>IFERROR(VLOOKUP(S113,Catalogos!$I:$J,2,FALSE),"")</x:f>
        <x:v>4</x:v>
      </x:c>
      <x:c r="U113" s="14" t="n">
        <x:f>IF(OR(R113="",T113=""),"",R113*T113)</x:f>
        <x:v>8</x:v>
      </x:c>
      <x:c r="V113" t="str">
        <x:f>IF(U113="","",IF(U113&gt;=24,"MUY ALTO",IF(U113&gt;=10,"ALTO",IF(U113&gt;=6,"MEDIO","BAJO"))))</x:f>
        <x:v>MEDIO</x:v>
      </x:c>
      <x:c r="W113" t="str">
        <x:v>Grave</x:v>
      </x:c>
      <x:c r="X113" s="14" t="n">
        <x:f>IFERROR(VLOOKUP(W113,Catalogos!$G:$H,2,FALSE),"")</x:f>
        <x:v>25</x:v>
      </x:c>
      <x:c r="Y113" s="14" t="n">
        <x:f>IF(OR(U113="",X113=""),"",U113*X113)</x:f>
        <x:v>200</x:v>
      </x:c>
      <x:c r="Z113" t="str">
        <x:f>IF(Y113="","",IF(Y113&gt;=600,"I - Situación crítica. Suspender actividades hasta que el riesgo esté bajo control. Intervención urgente.",IF(Y113&gt;=150,"II - Corregir y adoptar medidas de control de inmediato.",IF(Y113&gt;=40,"III - Mejorar si es posible. Conviene justificar la intervención y su rentabilidad.","IV - Mantener controles existentes."))))</x:f>
        <x:v>II - Corregir y adoptar medidas de control de inmediato.</x:v>
      </x:c>
      <x:c r="AA113" t="str">
        <x:f>IF(Y113="","",IF(Y113&gt;=600,"No aceptable",IF(Y113&gt;=150,"No aceptable / Aceptable con control específico","Aceptable")))</x:f>
        <x:v>No aceptable / Aceptable con control específico</x:v>
      </x:c>
      <x:c r="AB113" s="12" t="str">
        <x:v>Reorganizar el puesto para alternar tareas estáticas y dinámicas</x:v>
      </x:c>
      <x:c r="AC113" s="12" t="str">
        <x:v>No aplica</x:v>
      </x:c>
      <x:c r="AD113" s="12" t="str">
        <x:v>Adecuar apoyapiés y superficies ergonómicas</x:v>
      </x:c>
      <x:c r="AE113" s="12" t="str">
        <x:v>Pausas activas, rotación, inspecciones ergonómicas y seguimiento médico</x:v>
      </x:c>
      <x:c r="AF113" s="12" t="str">
        <x:v>Calzado de seguridad ergonómico</x:v>
      </x:c>
      <x:c r="AG113" s="12" t="str">
        <x:v>Director de Operaciones</x:v>
      </x:c>
      <x:c r="AH113" s="16" t="str">
        <x:v>2026-05-14</x:v>
      </x:c>
      <x:c r="AI113" s="12" t="str"/>
    </x:row>
    <x:row r="114">
      <x:c r="A114" t="str">
        <x:v>IPVR-113</x:v>
      </x:c>
      <x:c r="B114" t="str">
        <x:v>Pamplona</x:v>
      </x:c>
      <x:c r="C114" t="str">
        <x:v>Vigilancia física fija</x:v>
      </x:c>
      <x:c r="D114" s="12" t="str">
        <x:v>Puesto de vigilancia / perímetro</x:v>
      </x:c>
      <x:c r="E114" s="12" t="str">
        <x:v>Vigilancia perimetral y atención de incidentes</x:v>
      </x:c>
      <x:c r="F114" s="12" t="str">
        <x:v>Interactuar con usuarios y controlar eventos de alteración del orden</x:v>
      </x:c>
      <x:c r="G114" s="12" t="str">
        <x:v>Sí</x:v>
      </x:c>
      <x:c r="H114" s="12" t="str">
        <x:v>Condiciones de seguridad - Público</x:v>
      </x:c>
      <x:c r="I114" s="12" t="str">
        <x:v>Agresión física o verbal, hurto, amenaza o alteración del orden público</x:v>
      </x:c>
      <x:c r="J114" s="12" t="str">
        <x:v>Contusiones, trauma psicológico, lesiones graves o muerte</x:v>
      </x:c>
      <x:c r="K114" s="12" t="str">
        <x:v>Protocolos de reacción y comunicación inmediata con central</x:v>
      </x:c>
      <x:c r="L114" s="12" t="str">
        <x:v>CCTV, radios, botón de pánico, iluminación exterior</x:v>
      </x:c>
      <x:c r="M114" s="12" t="str">
        <x:v>Entrenamiento en control de crisis y manejo defensivo</x:v>
      </x:c>
      <x:c r="N114" s="12" t="str">
        <x:v>Homicidio o lesión grave</x:v>
      </x:c>
      <x:c r="O114" s="12" t="str">
        <x:v>Decreto 1072 de 2015; Resolución 0312 de 2019</x:v>
      </x:c>
      <x:c r="P114" s="14" t="n">
        <x:v>8</x:v>
      </x:c>
      <x:c r="Q114" t="str">
        <x:v>Alto</x:v>
      </x:c>
      <x:c r="R114" s="14" t="n">
        <x:f>IFERROR(VLOOKUP(Q114,Catalogos!$G:$H,2,FALSE),"")</x:f>
        <x:v>6</x:v>
      </x:c>
      <x:c r="S114" t="str">
        <x:v>Ocasional</x:v>
      </x:c>
      <x:c r="T114" s="14" t="n">
        <x:f>IFERROR(VLOOKUP(S114,Catalogos!$I:$J,2,FALSE),"")</x:f>
        <x:v>2</x:v>
      </x:c>
      <x:c r="U114" s="14" t="n">
        <x:f>IF(OR(R114="",T114=""),"",R114*T114)</x:f>
        <x:v>12</x:v>
      </x:c>
      <x:c r="V114" t="str">
        <x:f>IF(U114="","",IF(U114&gt;=24,"MUY ALTO",IF(U114&gt;=10,"ALTO",IF(U114&gt;=6,"MEDIO","BAJO"))))</x:f>
        <x:v>ALTO</x:v>
      </x:c>
      <x:c r="W114" t="str">
        <x:v>Muy grave</x:v>
      </x:c>
      <x:c r="X114" s="14" t="n">
        <x:f>IFERROR(VLOOKUP(W114,Catalogos!$G:$H,2,FALSE),"")</x:f>
        <x:v>60</x:v>
      </x:c>
      <x:c r="Y114" s="14" t="n">
        <x:f>IF(OR(U114="",X114=""),"",U114*X114)</x:f>
        <x:v>720</x:v>
      </x:c>
      <x:c r="Z114" t="str">
        <x:f>IF(Y114="","",IF(Y114&gt;=600,"I - Situación crítica. Suspender actividades hasta que el riesgo esté bajo control. Intervención urgente.",IF(Y114&gt;=150,"II - Corregir y adoptar medidas de control de inmediato.",IF(Y114&gt;=40,"III - Mejorar si es posible. Conviene justificar la intervención y su rentabilidad.","IV - Mantener controles existentes."))))</x:f>
        <x:v>I - Situación crítica. Suspender actividades hasta que el riesgo esté bajo control. Intervención urgente.</x:v>
      </x:c>
      <x:c r="AA114" t="str">
        <x:f>IF(Y114="","",IF(Y114&gt;=600,"No aceptable",IF(Y114&gt;=150,"No aceptable / Aceptable con control específico","Aceptable")))</x:f>
        <x:v>No aceptable</x:v>
      </x:c>
      <x:c r="AB114" s="12" t="str">
        <x:v>Eliminar puntos ciegos y actividades en solitario de alto riesgo</x:v>
      </x:c>
      <x:c r="AC114" s="12" t="str">
        <x:v>Sustituir rondas aisladas por acompañamiento dual en sitios críticos</x:v>
      </x:c>
      <x:c r="AD114" s="12" t="str">
        <x:v>Mejorar CCTV, alarmas y control de acceso</x:v>
      </x:c>
      <x:c r="AE114" s="12" t="str">
        <x:v>Protocolos de reacción, análisis de seguridad por puesto, simulacros</x:v>
      </x:c>
      <x:c r="AF114" s="12" t="str">
        <x:v>Chaleco, linterna, radio, elemento de protección balística si aplica</x:v>
      </x:c>
      <x:c r="AG114" s="12" t="str">
        <x:v>Director de Operaciones</x:v>
      </x:c>
      <x:c r="AH114" s="16" t="str">
        <x:v>2026-05-14</x:v>
      </x:c>
      <x:c r="AI114" s="12" t="str"/>
    </x:row>
    <x:row r="115">
      <x:c r="A115" t="str">
        <x:v>IPVR-114</x:v>
      </x:c>
      <x:c r="B115" t="str">
        <x:v>Pamplona</x:v>
      </x:c>
      <x:c r="C115" t="str">
        <x:v>Vigilancia física fija</x:v>
      </x:c>
      <x:c r="D115" s="12" t="str">
        <x:v>Áreas comunes / perímetro</x:v>
      </x:c>
      <x:c r="E115" s="12" t="str">
        <x:v>Rondas de inspección</x:v>
      </x:c>
      <x:c r="F115" s="12" t="str">
        <x:v>Desplazarse por escaleras, pasillos, zonas húmedas o irregulares</x:v>
      </x:c>
      <x:c r="G115" s="12" t="str">
        <x:v>Sí</x:v>
      </x:c>
      <x:c r="H115" s="12" t="str">
        <x:v>Condiciones de seguridad - Locativo</x:v>
      </x:c>
      <x:c r="I115" s="12" t="str">
        <x:v>Caídas al mismo nivel por superficies irregulares, húmedas o con obstáculos</x:v>
      </x:c>
      <x:c r="J115" s="12" t="str">
        <x:v>Esguinces, fracturas, golpes, incapacidad temporal</x:v>
      </x:c>
      <x:c r="K115" s="12" t="str">
        <x:v>Inspecciones locativas y corrección de condiciones inseguras</x:v>
      </x:c>
      <x:c r="L115" s="12" t="str">
        <x:v>Señalización, orden y aseo, iluminación adecuada</x:v>
      </x:c>
      <x:c r="M115" s="12" t="str">
        <x:v>Reporte oportuno de condiciones inseguras y atención al tránsito seguro</x:v>
      </x:c>
      <x:c r="N115" s="12" t="str">
        <x:v>Fractura con incapacidad prolongada</x:v>
      </x:c>
      <x:c r="O115" s="12" t="str">
        <x:v>Decreto 1072 de 2015; Resolución 0312 de 2019</x:v>
      </x:c>
      <x:c r="P115" s="14" t="n">
        <x:v>8</x:v>
      </x:c>
      <x:c r="Q115" t="str">
        <x:v>Alto</x:v>
      </x:c>
      <x:c r="R115" s="14" t="n">
        <x:f>IFERROR(VLOOKUP(Q115,Catalogos!$G:$H,2,FALSE),"")</x:f>
        <x:v>6</x:v>
      </x:c>
      <x:c r="S115" t="str">
        <x:v>Ocasional</x:v>
      </x:c>
      <x:c r="T115" s="14" t="n">
        <x:f>IFERROR(VLOOKUP(S115,Catalogos!$I:$J,2,FALSE),"")</x:f>
        <x:v>2</x:v>
      </x:c>
      <x:c r="U115" s="14" t="n">
        <x:f>IF(OR(R115="",T115=""),"",R115*T115)</x:f>
        <x:v>12</x:v>
      </x:c>
      <x:c r="V115" t="str">
        <x:f>IF(U115="","",IF(U115&gt;=24,"MUY ALTO",IF(U115&gt;=10,"ALTO",IF(U115&gt;=6,"MEDIO","BAJO"))))</x:f>
        <x:v>ALTO</x:v>
      </x:c>
      <x:c r="W115" t="str">
        <x:v>Grave</x:v>
      </x:c>
      <x:c r="X115" s="14" t="n">
        <x:f>IFERROR(VLOOKUP(W115,Catalogos!$G:$H,2,FALSE),"")</x:f>
        <x:v>25</x:v>
      </x:c>
      <x:c r="Y115" s="14" t="n">
        <x:f>IF(OR(U115="",X115=""),"",U115*X115)</x:f>
        <x:v>300</x:v>
      </x:c>
      <x:c r="Z115" t="str">
        <x:f>IF(Y115="","",IF(Y115&gt;=600,"I - Situación crítica. Suspender actividades hasta que el riesgo esté bajo control. Intervención urgente.",IF(Y115&gt;=150,"II - Corregir y adoptar medidas de control de inmediato.",IF(Y115&gt;=40,"III - Mejorar si es posible. Conviene justificar la intervención y su rentabilidad.","IV - Mantener controles existentes."))))</x:f>
        <x:v>II - Corregir y adoptar medidas de control de inmediato.</x:v>
      </x:c>
      <x:c r="AA115" t="str">
        <x:f>IF(Y115="","",IF(Y115&gt;=600,"No aceptable",IF(Y115&gt;=150,"No aceptable / Aceptable con control específico","Aceptable")))</x:f>
        <x:v>No aceptable / Aceptable con control específico</x:v>
      </x:c>
      <x:c r="AB115" s="12" t="str">
        <x:v>Eliminar obstáculos y desniveles inseguros</x:v>
      </x:c>
      <x:c r="AC115" s="12" t="str">
        <x:v>Revestimientos antideslizantes en zonas críticas</x:v>
      </x:c>
      <x:c r="AD115" s="12" t="str">
        <x:v>Mejorar drenajes y pisos</x:v>
      </x:c>
      <x:c r="AE115" s="12" t="str">
        <x:v>Inspecciones periódicas, orden y aseo, reporte de novedades</x:v>
      </x:c>
      <x:c r="AF115" s="12" t="str">
        <x:v>Calzado de seguridad antideslizante</x:v>
      </x:c>
      <x:c r="AG115" s="12" t="str">
        <x:v>Director de Operaciones</x:v>
      </x:c>
      <x:c r="AH115" s="16" t="str">
        <x:v>2026-05-14</x:v>
      </x:c>
      <x:c r="AI115" s="12" t="str"/>
    </x:row>
    <x:row r="116">
      <x:c r="A116" t="str">
        <x:v>IPVR-115</x:v>
      </x:c>
      <x:c r="B116" t="str">
        <x:v>Pamplona</x:v>
      </x:c>
      <x:c r="C116" t="str">
        <x:v>Vigilancia física fija</x:v>
      </x:c>
      <x:c r="D116" s="12" t="str">
        <x:v>Garitas y perímetro externo</x:v>
      </x:c>
      <x:c r="E116" s="12" t="str">
        <x:v>Vigilancia exterior</x:v>
      </x:c>
      <x:c r="F116" s="12" t="str">
        <x:v>Exposición a radiación solar, lluvia y cambios bruscos de temperatura</x:v>
      </x:c>
      <x:c r="G116" s="12" t="str">
        <x:v>Sí</x:v>
      </x:c>
      <x:c r="H116" s="12" t="str">
        <x:v>Físico</x:v>
      </x:c>
      <x:c r="I116" s="12" t="str">
        <x:v>Exposición a radiación solar, calor, lluvia y disconfort térmico</x:v>
      </x:c>
      <x:c r="J116" s="12" t="str">
        <x:v>Deshidratación, cefalea, fatiga térmica, dermatosis</x:v>
      </x:c>
      <x:c r="K116" s="12" t="str">
        <x:v>Programación de relevos y zonas de sombra</x:v>
      </x:c>
      <x:c r="L116" s="12" t="str">
        <x:v>Cubiertas, hidratación disponible, ventilación</x:v>
      </x:c>
      <x:c r="M116" s="12" t="str">
        <x:v>Autocuidado e hidratación permanente</x:v>
      </x:c>
      <x:c r="N116" s="12" t="str">
        <x:v>Golpe de calor</x:v>
      </x:c>
      <x:c r="O116" s="12" t="str">
        <x:v>Decreto 1072 de 2015; Resolución 0312 de 2019</x:v>
      </x:c>
      <x:c r="P116" s="14" t="n">
        <x:v>8</x:v>
      </x:c>
      <x:c r="Q116" t="str">
        <x:v>Medio</x:v>
      </x:c>
      <x:c r="R116" s="14" t="n">
        <x:f>IFERROR(VLOOKUP(Q116,Catalogos!$G:$H,2,FALSE),"")</x:f>
        <x:v>2</x:v>
      </x:c>
      <x:c r="S116" t="str">
        <x:v>Frecuente</x:v>
      </x:c>
      <x:c r="T116" s="14" t="n">
        <x:f>IFERROR(VLOOKUP(S116,Catalogos!$I:$J,2,FALSE),"")</x:f>
        <x:v>3</x:v>
      </x:c>
      <x:c r="U116" s="14" t="n">
        <x:f>IF(OR(R116="",T116=""),"",R116*T116)</x:f>
        <x:v>6</x:v>
      </x:c>
      <x:c r="V116" t="str">
        <x:f>IF(U116="","",IF(U116&gt;=24,"MUY ALTO",IF(U116&gt;=10,"ALTO",IF(U116&gt;=6,"MEDIO","BAJO"))))</x:f>
        <x:v>MEDIO</x:v>
      </x:c>
      <x:c r="W116" t="str">
        <x:v>Leve</x:v>
      </x:c>
      <x:c r="X116" s="14" t="n">
        <x:f>IFERROR(VLOOKUP(W116,Catalogos!$G:$H,2,FALSE),"")</x:f>
        <x:v>10</x:v>
      </x:c>
      <x:c r="Y116" s="14" t="n">
        <x:f>IF(OR(U116="",X116=""),"",U116*X116)</x:f>
        <x:v>60</x:v>
      </x:c>
      <x:c r="Z116" t="str">
        <x:f>IF(Y116="","",IF(Y116&gt;=600,"I - Situación crítica. Suspender actividades hasta que el riesgo esté bajo control. Intervención urgente.",IF(Y116&gt;=150,"II - Corregir y adoptar medidas de control de inmediato.",IF(Y116&gt;=40,"III - Mejorar si es posible. Conviene justificar la intervención y su rentabilidad.","IV - Mantener controles existentes."))))</x:f>
        <x:v>III - Mejorar si es posible. Conviene justificar la intervención y su rentabilidad.</x:v>
      </x:c>
      <x:c r="AA116" t="str">
        <x:f>IF(Y116="","",IF(Y116&gt;=600,"No aceptable",IF(Y116&gt;=150,"No aceptable / Aceptable con control específico","Aceptable")))</x:f>
        <x:v>Aceptable</x:v>
      </x:c>
      <x:c r="AB116" s="12" t="str">
        <x:v>Reubicar puestos sin protección directa al clima cuando sea viable</x:v>
      </x:c>
      <x:c r="AC116" s="12" t="str">
        <x:v>No aplica</x:v>
      </x:c>
      <x:c r="AD116" s="12" t="str">
        <x:v>Instalar cubiertas y ventilación</x:v>
      </x:c>
      <x:c r="AE116" s="12" t="str">
        <x:v>Relevos, pausas de hidratación y seguimiento en temporadas críticas</x:v>
      </x:c>
      <x:c r="AF116" s="12" t="str">
        <x:v>Gorra, bloqueador solar, impermeable</x:v>
      </x:c>
      <x:c r="AG116" s="12" t="str">
        <x:v>Director de Operaciones</x:v>
      </x:c>
      <x:c r="AH116" s="16" t="str">
        <x:v>2026-05-14</x:v>
      </x:c>
      <x:c r="AI116" s="12" t="str"/>
    </x:row>
    <x:row r="117">
      <x:c r="A117" t="str">
        <x:v>IPVR-116</x:v>
      </x:c>
      <x:c r="B117" t="str">
        <x:v>Pamplona</x:v>
      </x:c>
      <x:c r="C117" t="str">
        <x:v>Supervisión operativa y rondas</x:v>
      </x:c>
      <x:c r="D117" s="12" t="str">
        <x:v>Vías urbanas e intermunicipales</x:v>
      </x:c>
      <x:c r="E117" s="12" t="str">
        <x:v>Rondas motorizadas y desplazamiento entre puestos</x:v>
      </x:c>
      <x:c r="F117" s="12" t="str">
        <x:v>Conducir motocicleta o vehículo para supervisión de servicios</x:v>
      </x:c>
      <x:c r="G117" s="12" t="str">
        <x:v>Sí</x:v>
      </x:c>
      <x:c r="H117" s="12" t="str">
        <x:v>Condiciones de seguridad - Accidentes de tránsito</x:v>
      </x:c>
      <x:c r="I117" s="12" t="str">
        <x:v>Colisión, volcamiento, atropellamiento o siniestro vial</x:v>
      </x:c>
      <x:c r="J117" s="12" t="str">
        <x:v>Politraumatismo, incapacidad, muerte</x:v>
      </x:c>
      <x:c r="K117" s="12" t="str">
        <x:v>Mantenimiento preventivo y control de velocidad</x:v>
      </x:c>
      <x:c r="L117" s="12" t="str">
        <x:v>Vehículos en buen estado, GPS, reflectivos</x:v>
      </x:c>
      <x:c r="M117" s="12" t="str">
        <x:v>Capacitación PESV y conducción defensiva</x:v>
      </x:c>
      <x:c r="N117" s="12" t="str">
        <x:v>Muerte</x:v>
      </x:c>
      <x:c r="O117" s="12" t="str">
        <x:v>Resolución 40595 de 2022; Decreto 1072 de 2015</x:v>
      </x:c>
      <x:c r="P117" s="14" t="n">
        <x:v>2</x:v>
      </x:c>
      <x:c r="Q117" t="str">
        <x:v>Muy alto</x:v>
      </x:c>
      <x:c r="R117" s="14" t="n">
        <x:f>IFERROR(VLOOKUP(Q117,Catalogos!$G:$H,2,FALSE),"")</x:f>
        <x:v>10</x:v>
      </x:c>
      <x:c r="S117" t="str">
        <x:v>Frecuente</x:v>
      </x:c>
      <x:c r="T117" s="14" t="n">
        <x:f>IFERROR(VLOOKUP(S117,Catalogos!$I:$J,2,FALSE),"")</x:f>
        <x:v>3</x:v>
      </x:c>
      <x:c r="U117" s="14" t="n">
        <x:f>IF(OR(R117="",T117=""),"",R117*T117)</x:f>
        <x:v>30</x:v>
      </x:c>
      <x:c r="V117" t="str">
        <x:f>IF(U117="","",IF(U117&gt;=24,"MUY ALTO",IF(U117&gt;=10,"ALTO",IF(U117&gt;=6,"MEDIO","BAJO"))))</x:f>
        <x:v>MUY ALTO</x:v>
      </x:c>
      <x:c r="W117" t="str">
        <x:v>Muy grave</x:v>
      </x:c>
      <x:c r="X117" s="14" t="n">
        <x:f>IFERROR(VLOOKUP(W117,Catalogos!$G:$H,2,FALSE),"")</x:f>
        <x:v>60</x:v>
      </x:c>
      <x:c r="Y117" s="14" t="n">
        <x:f>IF(OR(U117="",X117=""),"",U117*X117)</x:f>
        <x:v>1800</x:v>
      </x:c>
      <x:c r="Z117" t="str">
        <x:f>IF(Y117="","",IF(Y117&gt;=600,"I - Situación crítica. Suspender actividades hasta que el riesgo esté bajo control. Intervención urgente.",IF(Y117&gt;=150,"II - Corregir y adoptar medidas de control de inmediato.",IF(Y117&gt;=40,"III - Mejorar si es posible. Conviene justificar la intervención y su rentabilidad.","IV - Mantener controles existentes."))))</x:f>
        <x:v>I - Situación crítica. Suspender actividades hasta que el riesgo esté bajo control. Intervención urgente.</x:v>
      </x:c>
      <x:c r="AA117" t="str">
        <x:f>IF(Y117="","",IF(Y117&gt;=600,"No aceptable",IF(Y117&gt;=150,"No aceptable / Aceptable con control específico","Aceptable")))</x:f>
        <x:v>No aceptable</x:v>
      </x:c>
      <x:c r="AB117" s="12" t="str">
        <x:v>Eliminar desplazamientos innecesarios</x:v>
      </x:c>
      <x:c r="AC117" s="12" t="str">
        <x:v>Sustituir motocicleta por vehículo en trayectos críticos cuando aplique</x:v>
      </x:c>
      <x:c r="AD117" s="12" t="str">
        <x:v>GPS, cámaras y mantenimientos</x:v>
      </x:c>
      <x:c r="AE117" s="12" t="str">
        <x:v>PESV, control de fatiga, inspección preoperacional</x:v>
      </x:c>
      <x:c r="AF117" s="12" t="str">
        <x:v>Casco certificado, chaleco reflectivo</x:v>
      </x:c>
      <x:c r="AG117" s="12" t="str">
        <x:v>Director de Operaciones</x:v>
      </x:c>
      <x:c r="AH117" s="16" t="str">
        <x:v>2026-05-14</x:v>
      </x:c>
      <x:c r="AI117" s="12" t="str"/>
    </x:row>
    <x:row r="118">
      <x:c r="A118" t="str">
        <x:v>IPVR-117</x:v>
      </x:c>
      <x:c r="B118" t="str">
        <x:v>Pamplona</x:v>
      </x:c>
      <x:c r="C118" t="str">
        <x:v>Supervisión operativa y rondas</x:v>
      </x:c>
      <x:c r="D118" s="12" t="str">
        <x:v>Puestos externos / vía pública</x:v>
      </x:c>
      <x:c r="E118" s="12" t="str">
        <x:v>Atención de novedades e inspecciones en campo</x:v>
      </x:c>
      <x:c r="F118" s="12" t="str">
        <x:v>Ingresar a sitios con potencial alteración de orden público</x:v>
      </x:c>
      <x:c r="G118" s="12" t="str">
        <x:v>Sí</x:v>
      </x:c>
      <x:c r="H118" s="12" t="str">
        <x:v>Condiciones de seguridad - Público</x:v>
      </x:c>
      <x:c r="I118" s="12" t="str">
        <x:v>Asalto, amenaza, retención o agresión de terceros</x:v>
      </x:c>
      <x:c r="J118" s="12" t="str">
        <x:v>Lesiones, trauma psicológico, muerte</x:v>
      </x:c>
      <x:c r="K118" s="12" t="str">
        <x:v>Protocolos de apoyo y monitoreo</x:v>
      </x:c>
      <x:c r="L118" s="12" t="str">
        <x:v>Comunicación permanente con central y georreferenciación</x:v>
      </x:c>
      <x:c r="M118" s="12" t="str">
        <x:v>Entrenamiento de reacción segura y autoprotección</x:v>
      </x:c>
      <x:c r="N118" s="12" t="str">
        <x:v>Lesión grave o muerte</x:v>
      </x:c>
      <x:c r="O118" s="12" t="str">
        <x:v>Decreto 1072 de 2015; Resolución 0312 de 2019</x:v>
      </x:c>
      <x:c r="P118" s="14" t="n">
        <x:v>2</x:v>
      </x:c>
      <x:c r="Q118" t="str">
        <x:v>Alto</x:v>
      </x:c>
      <x:c r="R118" s="14" t="n">
        <x:f>IFERROR(VLOOKUP(Q118,Catalogos!$G:$H,2,FALSE),"")</x:f>
        <x:v>6</x:v>
      </x:c>
      <x:c r="S118" t="str">
        <x:v>Ocasional</x:v>
      </x:c>
      <x:c r="T118" s="14" t="n">
        <x:f>IFERROR(VLOOKUP(S118,Catalogos!$I:$J,2,FALSE),"")</x:f>
        <x:v>2</x:v>
      </x:c>
      <x:c r="U118" s="14" t="n">
        <x:f>IF(OR(R118="",T118=""),"",R118*T118)</x:f>
        <x:v>12</x:v>
      </x:c>
      <x:c r="V118" t="str">
        <x:f>IF(U118="","",IF(U118&gt;=24,"MUY ALTO",IF(U118&gt;=10,"ALTO",IF(U118&gt;=6,"MEDIO","BAJO"))))</x:f>
        <x:v>ALTO</x:v>
      </x:c>
      <x:c r="W118" t="str">
        <x:v>Muy grave</x:v>
      </x:c>
      <x:c r="X118" s="14" t="n">
        <x:f>IFERROR(VLOOKUP(W118,Catalogos!$G:$H,2,FALSE),"")</x:f>
        <x:v>60</x:v>
      </x:c>
      <x:c r="Y118" s="14" t="n">
        <x:f>IF(OR(U118="",X118=""),"",U118*X118)</x:f>
        <x:v>720</x:v>
      </x:c>
      <x:c r="Z118" t="str">
        <x:f>IF(Y118="","",IF(Y118&gt;=600,"I - Situación crítica. Suspender actividades hasta que el riesgo esté bajo control. Intervención urgente.",IF(Y118&gt;=150,"II - Corregir y adoptar medidas de control de inmediato.",IF(Y118&gt;=40,"III - Mejorar si es posible. Conviene justificar la intervención y su rentabilidad.","IV - Mantener controles existentes."))))</x:f>
        <x:v>I - Situación crítica. Suspender actividades hasta que el riesgo esté bajo control. Intervención urgente.</x:v>
      </x:c>
      <x:c r="AA118" t="str">
        <x:f>IF(Y118="","",IF(Y118&gt;=600,"No aceptable",IF(Y118&gt;=150,"No aceptable / Aceptable con control específico","Aceptable")))</x:f>
        <x:v>No aceptable</x:v>
      </x:c>
      <x:c r="AB118" s="12" t="str">
        <x:v>Suspender atención individual en zonas críticas</x:v>
      </x:c>
      <x:c r="AC118" s="12" t="str">
        <x:v>Acompañamiento dual o apoyo policial en zonas de alto riesgo</x:v>
      </x:c>
      <x:c r="AD118" s="12" t="str">
        <x:v>Dispositivos de comunicación redundante</x:v>
      </x:c>
      <x:c r="AE118" s="12" t="str">
        <x:v>Mapas de riesgo, briefing previo y protocolos de atención</x:v>
      </x:c>
      <x:c r="AF118" s="12" t="str">
        <x:v>Chaleco, radio, linterna táctica</x:v>
      </x:c>
      <x:c r="AG118" s="12" t="str">
        <x:v>Director de Operaciones</x:v>
      </x:c>
      <x:c r="AH118" s="16" t="str">
        <x:v>2026-05-14</x:v>
      </x:c>
      <x:c r="AI118" s="12" t="str"/>
    </x:row>
    <x:row r="119">
      <x:c r="D119" s="12"/>
      <x:c r="E119" s="12"/>
      <x:c r="F119" s="12"/>
      <x:c r="G119" s="12"/>
      <x:c r="H119" s="12"/>
      <x:c r="I119" s="12"/>
      <x:c r="J119" s="12"/>
      <x:c r="K119" s="12"/>
      <x:c r="L119" s="12"/>
      <x:c r="M119" s="12"/>
      <x:c r="N119" s="12"/>
      <x:c r="O119" s="12"/>
      <x:c r="AB119" s="12"/>
      <x:c r="AC119" s="12"/>
      <x:c r="AD119" s="12"/>
      <x:c r="AE119" s="12"/>
      <x:c r="AF119" s="12"/>
      <x:c r="AG119" s="12"/>
      <x:c r="AH119" s="12"/>
      <x:c r="AI119" s="12"/>
    </x:row>
    <x:row r="120">
      <x:c r="D120" s="12"/>
      <x:c r="E120" s="12"/>
      <x:c r="F120" s="12"/>
      <x:c r="G120" s="12"/>
      <x:c r="H120" s="12"/>
      <x:c r="I120" s="12"/>
      <x:c r="J120" s="12"/>
      <x:c r="K120" s="12"/>
      <x:c r="L120" s="12"/>
      <x:c r="M120" s="12"/>
      <x:c r="N120" s="12"/>
      <x:c r="O120" s="12"/>
      <x:c r="AB120" s="12"/>
      <x:c r="AC120" s="12"/>
      <x:c r="AD120" s="12"/>
      <x:c r="AE120" s="12"/>
      <x:c r="AF120" s="12"/>
      <x:c r="AG120" s="12"/>
      <x:c r="AH120" s="12"/>
      <x:c r="AI120" s="12"/>
    </x:row>
    <x:row r="121">
      <x:c r="D121" s="12"/>
      <x:c r="E121" s="12"/>
      <x:c r="F121" s="12"/>
      <x:c r="G121" s="12"/>
      <x:c r="H121" s="12"/>
      <x:c r="I121" s="12"/>
      <x:c r="J121" s="12"/>
      <x:c r="K121" s="12"/>
      <x:c r="L121" s="12"/>
      <x:c r="M121" s="12"/>
      <x:c r="N121" s="12"/>
      <x:c r="O121" s="12"/>
      <x:c r="AB121" s="12"/>
      <x:c r="AC121" s="12"/>
      <x:c r="AD121" s="12"/>
      <x:c r="AE121" s="12"/>
      <x:c r="AF121" s="12"/>
      <x:c r="AG121" s="12"/>
      <x:c r="AH121" s="12"/>
      <x:c r="AI121" s="12"/>
    </x:row>
    <x:row r="122">
      <x:c r="D122" s="12"/>
      <x:c r="E122" s="12"/>
      <x:c r="F122" s="12"/>
      <x:c r="G122" s="12"/>
      <x:c r="H122" s="12"/>
      <x:c r="I122" s="12"/>
      <x:c r="J122" s="12"/>
      <x:c r="K122" s="12"/>
      <x:c r="L122" s="12"/>
      <x:c r="M122" s="12"/>
      <x:c r="N122" s="12"/>
      <x:c r="O122" s="12"/>
      <x:c r="AB122" s="12"/>
      <x:c r="AC122" s="12"/>
      <x:c r="AD122" s="12"/>
      <x:c r="AE122" s="12"/>
      <x:c r="AF122" s="12"/>
      <x:c r="AG122" s="12"/>
      <x:c r="AH122" s="12"/>
      <x:c r="AI122" s="12"/>
    </x:row>
    <x:row r="123">
      <x:c r="D123" s="12"/>
      <x:c r="E123" s="12"/>
      <x:c r="F123" s="12"/>
      <x:c r="G123" s="12"/>
      <x:c r="H123" s="12"/>
      <x:c r="I123" s="12"/>
      <x:c r="J123" s="12"/>
      <x:c r="K123" s="12"/>
      <x:c r="L123" s="12"/>
      <x:c r="M123" s="12"/>
      <x:c r="N123" s="12"/>
      <x:c r="O123" s="12"/>
      <x:c r="AB123" s="12"/>
      <x:c r="AC123" s="12"/>
      <x:c r="AD123" s="12"/>
      <x:c r="AE123" s="12"/>
      <x:c r="AF123" s="12"/>
      <x:c r="AG123" s="12"/>
      <x:c r="AH123" s="12"/>
      <x:c r="AI123" s="12"/>
    </x:row>
    <x:row r="124">
      <x:c r="D124" s="12"/>
      <x:c r="E124" s="12"/>
      <x:c r="F124" s="12"/>
      <x:c r="G124" s="12"/>
      <x:c r="H124" s="12"/>
      <x:c r="I124" s="12"/>
      <x:c r="J124" s="12"/>
      <x:c r="K124" s="12"/>
      <x:c r="L124" s="12"/>
      <x:c r="M124" s="12"/>
      <x:c r="N124" s="12"/>
      <x:c r="O124" s="12"/>
      <x:c r="AB124" s="12"/>
      <x:c r="AC124" s="12"/>
      <x:c r="AD124" s="12"/>
      <x:c r="AE124" s="12"/>
      <x:c r="AF124" s="12"/>
      <x:c r="AG124" s="12"/>
      <x:c r="AH124" s="12"/>
      <x:c r="AI124" s="12"/>
    </x:row>
    <x:row r="125">
      <x:c r="D125" s="12"/>
      <x:c r="E125" s="12"/>
      <x:c r="F125" s="12"/>
      <x:c r="G125" s="12"/>
      <x:c r="H125" s="12"/>
      <x:c r="I125" s="12"/>
      <x:c r="J125" s="12"/>
      <x:c r="K125" s="12"/>
      <x:c r="L125" s="12"/>
      <x:c r="M125" s="12"/>
      <x:c r="N125" s="12"/>
      <x:c r="O125" s="12"/>
      <x:c r="AB125" s="12"/>
      <x:c r="AC125" s="12"/>
      <x:c r="AD125" s="12"/>
      <x:c r="AE125" s="12"/>
      <x:c r="AF125" s="12"/>
      <x:c r="AG125" s="12"/>
      <x:c r="AH125" s="12"/>
      <x:c r="AI125" s="12"/>
    </x:row>
    <x:row r="126">
      <x:c r="D126" s="12"/>
      <x:c r="E126" s="12"/>
      <x:c r="F126" s="12"/>
      <x:c r="G126" s="12"/>
      <x:c r="H126" s="12"/>
      <x:c r="I126" s="12"/>
      <x:c r="J126" s="12"/>
      <x:c r="K126" s="12"/>
      <x:c r="L126" s="12"/>
      <x:c r="M126" s="12"/>
      <x:c r="N126" s="12"/>
      <x:c r="O126" s="12"/>
      <x:c r="AB126" s="12"/>
      <x:c r="AC126" s="12"/>
      <x:c r="AD126" s="12"/>
      <x:c r="AE126" s="12"/>
      <x:c r="AF126" s="12"/>
      <x:c r="AG126" s="12"/>
      <x:c r="AH126" s="12"/>
      <x:c r="AI126" s="12"/>
    </x:row>
    <x:row r="127">
      <x:c r="D127" s="12"/>
      <x:c r="E127" s="12"/>
      <x:c r="F127" s="12"/>
      <x:c r="G127" s="12"/>
      <x:c r="H127" s="12"/>
      <x:c r="I127" s="12"/>
      <x:c r="J127" s="12"/>
      <x:c r="K127" s="12"/>
      <x:c r="L127" s="12"/>
      <x:c r="M127" s="12"/>
      <x:c r="N127" s="12"/>
      <x:c r="O127" s="12"/>
      <x:c r="AB127" s="12"/>
      <x:c r="AC127" s="12"/>
      <x:c r="AD127" s="12"/>
      <x:c r="AE127" s="12"/>
      <x:c r="AF127" s="12"/>
      <x:c r="AG127" s="12"/>
      <x:c r="AH127" s="12"/>
      <x:c r="AI127" s="12"/>
    </x:row>
    <x:row r="128">
      <x:c r="D128" s="12"/>
      <x:c r="E128" s="12"/>
      <x:c r="F128" s="12"/>
      <x:c r="G128" s="12"/>
      <x:c r="H128" s="12"/>
      <x:c r="I128" s="12"/>
      <x:c r="J128" s="12"/>
      <x:c r="K128" s="12"/>
      <x:c r="L128" s="12"/>
      <x:c r="M128" s="12"/>
      <x:c r="N128" s="12"/>
      <x:c r="O128" s="12"/>
      <x:c r="AB128" s="12"/>
      <x:c r="AC128" s="12"/>
      <x:c r="AD128" s="12"/>
      <x:c r="AE128" s="12"/>
      <x:c r="AF128" s="12"/>
      <x:c r="AG128" s="12"/>
      <x:c r="AH128" s="12"/>
      <x:c r="AI128" s="12"/>
    </x:row>
    <x:row r="129">
      <x:c r="D129" s="12"/>
      <x:c r="E129" s="12"/>
      <x:c r="F129" s="12"/>
      <x:c r="G129" s="12"/>
      <x:c r="H129" s="12"/>
      <x:c r="I129" s="12"/>
      <x:c r="J129" s="12"/>
      <x:c r="K129" s="12"/>
      <x:c r="L129" s="12"/>
      <x:c r="M129" s="12"/>
      <x:c r="N129" s="12"/>
      <x:c r="O129" s="12"/>
      <x:c r="AB129" s="12"/>
      <x:c r="AC129" s="12"/>
      <x:c r="AD129" s="12"/>
      <x:c r="AE129" s="12"/>
      <x:c r="AF129" s="12"/>
      <x:c r="AG129" s="12"/>
      <x:c r="AH129" s="12"/>
      <x:c r="AI129" s="12"/>
    </x:row>
    <x:row r="130">
      <x:c r="D130" s="12"/>
      <x:c r="E130" s="12"/>
      <x:c r="F130" s="12"/>
      <x:c r="G130" s="12"/>
      <x:c r="H130" s="12"/>
      <x:c r="I130" s="12"/>
      <x:c r="J130" s="12"/>
      <x:c r="K130" s="12"/>
      <x:c r="L130" s="12"/>
      <x:c r="M130" s="12"/>
      <x:c r="N130" s="12"/>
      <x:c r="O130" s="12"/>
      <x:c r="AB130" s="12"/>
      <x:c r="AC130" s="12"/>
      <x:c r="AD130" s="12"/>
      <x:c r="AE130" s="12"/>
      <x:c r="AF130" s="12"/>
      <x:c r="AG130" s="12"/>
      <x:c r="AH130" s="12"/>
      <x:c r="AI130" s="12"/>
    </x:row>
    <x:row r="131">
      <x:c r="D131" s="12"/>
      <x:c r="E131" s="12"/>
      <x:c r="F131" s="12"/>
      <x:c r="G131" s="12"/>
      <x:c r="H131" s="12"/>
      <x:c r="I131" s="12"/>
      <x:c r="J131" s="12"/>
      <x:c r="K131" s="12"/>
      <x:c r="L131" s="12"/>
      <x:c r="M131" s="12"/>
      <x:c r="N131" s="12"/>
      <x:c r="O131" s="12"/>
      <x:c r="AB131" s="12"/>
      <x:c r="AC131" s="12"/>
      <x:c r="AD131" s="12"/>
      <x:c r="AE131" s="12"/>
      <x:c r="AF131" s="12"/>
      <x:c r="AG131" s="12"/>
      <x:c r="AH131" s="12"/>
      <x:c r="AI131" s="12"/>
    </x:row>
    <x:row r="132">
      <x:c r="D132" s="12"/>
      <x:c r="E132" s="12"/>
      <x:c r="F132" s="12"/>
      <x:c r="G132" s="12"/>
      <x:c r="H132" s="12"/>
      <x:c r="I132" s="12"/>
      <x:c r="J132" s="12"/>
      <x:c r="K132" s="12"/>
      <x:c r="L132" s="12"/>
      <x:c r="M132" s="12"/>
      <x:c r="N132" s="12"/>
      <x:c r="O132" s="12"/>
      <x:c r="AB132" s="12"/>
      <x:c r="AC132" s="12"/>
      <x:c r="AD132" s="12"/>
      <x:c r="AE132" s="12"/>
      <x:c r="AF132" s="12"/>
      <x:c r="AG132" s="12"/>
      <x:c r="AH132" s="12"/>
      <x:c r="AI132" s="12"/>
    </x:row>
    <x:row r="133">
      <x:c r="D133" s="12"/>
      <x:c r="E133" s="12"/>
      <x:c r="F133" s="12"/>
      <x:c r="G133" s="12"/>
      <x:c r="H133" s="12"/>
      <x:c r="I133" s="12"/>
      <x:c r="J133" s="12"/>
      <x:c r="K133" s="12"/>
      <x:c r="L133" s="12"/>
      <x:c r="M133" s="12"/>
      <x:c r="N133" s="12"/>
      <x:c r="O133" s="12"/>
      <x:c r="AB133" s="12"/>
      <x:c r="AC133" s="12"/>
      <x:c r="AD133" s="12"/>
      <x:c r="AE133" s="12"/>
      <x:c r="AF133" s="12"/>
      <x:c r="AG133" s="12"/>
      <x:c r="AH133" s="12"/>
      <x:c r="AI133" s="12"/>
    </x:row>
    <x:row r="134">
      <x:c r="D134" s="12"/>
      <x:c r="E134" s="12"/>
      <x:c r="F134" s="12"/>
      <x:c r="G134" s="12"/>
      <x:c r="H134" s="12"/>
      <x:c r="I134" s="12"/>
      <x:c r="J134" s="12"/>
      <x:c r="K134" s="12"/>
      <x:c r="L134" s="12"/>
      <x:c r="M134" s="12"/>
      <x:c r="N134" s="12"/>
      <x:c r="O134" s="12"/>
      <x:c r="AB134" s="12"/>
      <x:c r="AC134" s="12"/>
      <x:c r="AD134" s="12"/>
      <x:c r="AE134" s="12"/>
      <x:c r="AF134" s="12"/>
      <x:c r="AG134" s="12"/>
      <x:c r="AH134" s="12"/>
      <x:c r="AI134" s="12"/>
    </x:row>
    <x:row r="135">
      <x:c r="D135" s="12"/>
      <x:c r="E135" s="12"/>
      <x:c r="F135" s="12"/>
      <x:c r="G135" s="12"/>
      <x:c r="H135" s="12"/>
      <x:c r="I135" s="12"/>
      <x:c r="J135" s="12"/>
      <x:c r="K135" s="12"/>
      <x:c r="L135" s="12"/>
      <x:c r="M135" s="12"/>
      <x:c r="N135" s="12"/>
      <x:c r="O135" s="12"/>
      <x:c r="AB135" s="12"/>
      <x:c r="AC135" s="12"/>
      <x:c r="AD135" s="12"/>
      <x:c r="AE135" s="12"/>
      <x:c r="AF135" s="12"/>
      <x:c r="AG135" s="12"/>
      <x:c r="AH135" s="12"/>
      <x:c r="AI135" s="12"/>
    </x:row>
    <x:row r="136">
      <x:c r="D136" s="12"/>
      <x:c r="E136" s="12"/>
      <x:c r="F136" s="12"/>
      <x:c r="G136" s="12"/>
      <x:c r="H136" s="12"/>
      <x:c r="I136" s="12"/>
      <x:c r="J136" s="12"/>
      <x:c r="K136" s="12"/>
      <x:c r="L136" s="12"/>
      <x:c r="M136" s="12"/>
      <x:c r="N136" s="12"/>
      <x:c r="O136" s="12"/>
      <x:c r="AB136" s="12"/>
      <x:c r="AC136" s="12"/>
      <x:c r="AD136" s="12"/>
      <x:c r="AE136" s="12"/>
      <x:c r="AF136" s="12"/>
      <x:c r="AG136" s="12"/>
      <x:c r="AH136" s="12"/>
      <x:c r="AI136" s="12"/>
    </x:row>
    <x:row r="137">
      <x:c r="D137" s="12"/>
      <x:c r="E137" s="12"/>
      <x:c r="F137" s="12"/>
      <x:c r="G137" s="12"/>
      <x:c r="H137" s="12"/>
      <x:c r="I137" s="12"/>
      <x:c r="J137" s="12"/>
      <x:c r="K137" s="12"/>
      <x:c r="L137" s="12"/>
      <x:c r="M137" s="12"/>
      <x:c r="N137" s="12"/>
      <x:c r="O137" s="12"/>
      <x:c r="AB137" s="12"/>
      <x:c r="AC137" s="12"/>
      <x:c r="AD137" s="12"/>
      <x:c r="AE137" s="12"/>
      <x:c r="AF137" s="12"/>
      <x:c r="AG137" s="12"/>
      <x:c r="AH137" s="12"/>
      <x:c r="AI137" s="12"/>
    </x:row>
    <x:row r="138">
      <x:c r="D138" s="12"/>
      <x:c r="E138" s="12"/>
      <x:c r="F138" s="12"/>
      <x:c r="G138" s="12"/>
      <x:c r="H138" s="12"/>
      <x:c r="I138" s="12"/>
      <x:c r="J138" s="12"/>
      <x:c r="K138" s="12"/>
      <x:c r="L138" s="12"/>
      <x:c r="M138" s="12"/>
      <x:c r="N138" s="12"/>
      <x:c r="O138" s="12"/>
      <x:c r="AB138" s="12"/>
      <x:c r="AC138" s="12"/>
      <x:c r="AD138" s="12"/>
      <x:c r="AE138" s="12"/>
      <x:c r="AF138" s="12"/>
      <x:c r="AG138" s="12"/>
      <x:c r="AH138" s="12"/>
      <x:c r="AI138" s="12"/>
    </x:row>
    <x:row r="139">
      <x:c r="D139" s="12"/>
      <x:c r="E139" s="12"/>
      <x:c r="F139" s="12"/>
      <x:c r="G139" s="12"/>
      <x:c r="H139" s="12"/>
      <x:c r="I139" s="12"/>
      <x:c r="J139" s="12"/>
      <x:c r="K139" s="12"/>
      <x:c r="L139" s="12"/>
      <x:c r="M139" s="12"/>
      <x:c r="N139" s="12"/>
      <x:c r="O139" s="12"/>
      <x:c r="AB139" s="12"/>
      <x:c r="AC139" s="12"/>
      <x:c r="AD139" s="12"/>
      <x:c r="AE139" s="12"/>
      <x:c r="AF139" s="12"/>
      <x:c r="AG139" s="12"/>
      <x:c r="AH139" s="12"/>
      <x:c r="AI139" s="12"/>
    </x:row>
    <x:row r="140">
      <x:c r="D140" s="12"/>
      <x:c r="E140" s="12"/>
      <x:c r="F140" s="12"/>
      <x:c r="G140" s="12"/>
      <x:c r="H140" s="12"/>
      <x:c r="I140" s="12"/>
      <x:c r="J140" s="12"/>
      <x:c r="K140" s="12"/>
      <x:c r="L140" s="12"/>
      <x:c r="M140" s="12"/>
      <x:c r="N140" s="12"/>
      <x:c r="O140" s="12"/>
      <x:c r="AB140" s="12"/>
      <x:c r="AC140" s="12"/>
      <x:c r="AD140" s="12"/>
      <x:c r="AE140" s="12"/>
      <x:c r="AF140" s="12"/>
      <x:c r="AG140" s="12"/>
      <x:c r="AH140" s="12"/>
      <x:c r="AI140" s="12"/>
    </x:row>
    <x:row r="141">
      <x:c r="D141" s="12"/>
      <x:c r="E141" s="12"/>
      <x:c r="F141" s="12"/>
      <x:c r="G141" s="12"/>
      <x:c r="H141" s="12"/>
      <x:c r="I141" s="12"/>
      <x:c r="J141" s="12"/>
      <x:c r="K141" s="12"/>
      <x:c r="L141" s="12"/>
      <x:c r="M141" s="12"/>
      <x:c r="N141" s="12"/>
      <x:c r="O141" s="12"/>
      <x:c r="AB141" s="12"/>
      <x:c r="AC141" s="12"/>
      <x:c r="AD141" s="12"/>
      <x:c r="AE141" s="12"/>
      <x:c r="AF141" s="12"/>
      <x:c r="AG141" s="12"/>
      <x:c r="AH141" s="12"/>
      <x:c r="AI141" s="12"/>
    </x:row>
    <x:row r="142">
      <x:c r="D142" s="12"/>
      <x:c r="E142" s="12"/>
      <x:c r="F142" s="12"/>
      <x:c r="G142" s="12"/>
      <x:c r="H142" s="12"/>
      <x:c r="I142" s="12"/>
      <x:c r="J142" s="12"/>
      <x:c r="K142" s="12"/>
      <x:c r="L142" s="12"/>
      <x:c r="M142" s="12"/>
      <x:c r="N142" s="12"/>
      <x:c r="O142" s="12"/>
      <x:c r="AB142" s="12"/>
      <x:c r="AC142" s="12"/>
      <x:c r="AD142" s="12"/>
      <x:c r="AE142" s="12"/>
      <x:c r="AF142" s="12"/>
      <x:c r="AG142" s="12"/>
      <x:c r="AH142" s="12"/>
      <x:c r="AI142" s="12"/>
    </x:row>
    <x:row r="143">
      <x:c r="D143" s="12"/>
      <x:c r="E143" s="12"/>
      <x:c r="F143" s="12"/>
      <x:c r="G143" s="12"/>
      <x:c r="H143" s="12"/>
      <x:c r="I143" s="12"/>
      <x:c r="J143" s="12"/>
      <x:c r="K143" s="12"/>
      <x:c r="L143" s="12"/>
      <x:c r="M143" s="12"/>
      <x:c r="N143" s="12"/>
      <x:c r="O143" s="12"/>
      <x:c r="AB143" s="12"/>
      <x:c r="AC143" s="12"/>
      <x:c r="AD143" s="12"/>
      <x:c r="AE143" s="12"/>
      <x:c r="AF143" s="12"/>
      <x:c r="AG143" s="12"/>
      <x:c r="AH143" s="12"/>
      <x:c r="AI143" s="12"/>
    </x:row>
    <x:row r="144">
      <x:c r="D144" s="12"/>
      <x:c r="E144" s="12"/>
      <x:c r="F144" s="12"/>
      <x:c r="G144" s="12"/>
      <x:c r="H144" s="12"/>
      <x:c r="I144" s="12"/>
      <x:c r="J144" s="12"/>
      <x:c r="K144" s="12"/>
      <x:c r="L144" s="12"/>
      <x:c r="M144" s="12"/>
      <x:c r="N144" s="12"/>
      <x:c r="O144" s="12"/>
      <x:c r="AB144" s="12"/>
      <x:c r="AC144" s="12"/>
      <x:c r="AD144" s="12"/>
      <x:c r="AE144" s="12"/>
      <x:c r="AF144" s="12"/>
      <x:c r="AG144" s="12"/>
      <x:c r="AH144" s="12"/>
      <x:c r="AI144" s="12"/>
    </x:row>
    <x:row r="145">
      <x:c r="D145" s="12"/>
      <x:c r="E145" s="12"/>
      <x:c r="F145" s="12"/>
      <x:c r="G145" s="12"/>
      <x:c r="H145" s="12"/>
      <x:c r="I145" s="12"/>
      <x:c r="J145" s="12"/>
      <x:c r="K145" s="12"/>
      <x:c r="L145" s="12"/>
      <x:c r="M145" s="12"/>
      <x:c r="N145" s="12"/>
      <x:c r="O145" s="12"/>
      <x:c r="AB145" s="12"/>
      <x:c r="AC145" s="12"/>
      <x:c r="AD145" s="12"/>
      <x:c r="AE145" s="12"/>
      <x:c r="AF145" s="12"/>
      <x:c r="AG145" s="12"/>
      <x:c r="AH145" s="12"/>
      <x:c r="AI145" s="12"/>
    </x:row>
    <x:row r="146">
      <x:c r="D146" s="12"/>
      <x:c r="E146" s="12"/>
      <x:c r="F146" s="12"/>
      <x:c r="G146" s="12"/>
      <x:c r="H146" s="12"/>
      <x:c r="I146" s="12"/>
      <x:c r="J146" s="12"/>
      <x:c r="K146" s="12"/>
      <x:c r="L146" s="12"/>
      <x:c r="M146" s="12"/>
      <x:c r="N146" s="12"/>
      <x:c r="O146" s="12"/>
      <x:c r="AB146" s="12"/>
      <x:c r="AC146" s="12"/>
      <x:c r="AD146" s="12"/>
      <x:c r="AE146" s="12"/>
      <x:c r="AF146" s="12"/>
      <x:c r="AG146" s="12"/>
      <x:c r="AH146" s="12"/>
      <x:c r="AI146" s="12"/>
    </x:row>
    <x:row r="147">
      <x:c r="D147" s="12"/>
      <x:c r="E147" s="12"/>
      <x:c r="F147" s="12"/>
      <x:c r="G147" s="12"/>
      <x:c r="H147" s="12"/>
      <x:c r="I147" s="12"/>
      <x:c r="J147" s="12"/>
      <x:c r="K147" s="12"/>
      <x:c r="L147" s="12"/>
      <x:c r="M147" s="12"/>
      <x:c r="N147" s="12"/>
      <x:c r="O147" s="12"/>
      <x:c r="AB147" s="12"/>
      <x:c r="AC147" s="12"/>
      <x:c r="AD147" s="12"/>
      <x:c r="AE147" s="12"/>
      <x:c r="AF147" s="12"/>
      <x:c r="AG147" s="12"/>
      <x:c r="AH147" s="12"/>
      <x:c r="AI147" s="12"/>
    </x:row>
    <x:row r="148">
      <x:c r="D148" s="12"/>
      <x:c r="E148" s="12"/>
      <x:c r="F148" s="12"/>
      <x:c r="G148" s="12"/>
      <x:c r="H148" s="12"/>
      <x:c r="I148" s="12"/>
      <x:c r="J148" s="12"/>
      <x:c r="K148" s="12"/>
      <x:c r="L148" s="12"/>
      <x:c r="M148" s="12"/>
      <x:c r="N148" s="12"/>
      <x:c r="O148" s="12"/>
      <x:c r="AB148" s="12"/>
      <x:c r="AC148" s="12"/>
      <x:c r="AD148" s="12"/>
      <x:c r="AE148" s="12"/>
      <x:c r="AF148" s="12"/>
      <x:c r="AG148" s="12"/>
      <x:c r="AH148" s="12"/>
      <x:c r="AI148" s="12"/>
    </x:row>
    <x:row r="149">
      <x:c r="D149" s="12"/>
      <x:c r="E149" s="12"/>
      <x:c r="F149" s="12"/>
      <x:c r="G149" s="12"/>
      <x:c r="H149" s="12"/>
      <x:c r="I149" s="12"/>
      <x:c r="J149" s="12"/>
      <x:c r="K149" s="12"/>
      <x:c r="L149" s="12"/>
      <x:c r="M149" s="12"/>
      <x:c r="N149" s="12"/>
      <x:c r="O149" s="12"/>
      <x:c r="AB149" s="12"/>
      <x:c r="AC149" s="12"/>
      <x:c r="AD149" s="12"/>
      <x:c r="AE149" s="12"/>
      <x:c r="AF149" s="12"/>
      <x:c r="AG149" s="12"/>
      <x:c r="AH149" s="12"/>
      <x:c r="AI149" s="12"/>
    </x:row>
    <x:row r="150">
      <x:c r="D150" s="12"/>
      <x:c r="E150" s="12"/>
      <x:c r="F150" s="12"/>
      <x:c r="G150" s="12"/>
      <x:c r="H150" s="12"/>
      <x:c r="I150" s="12"/>
      <x:c r="J150" s="12"/>
      <x:c r="K150" s="12"/>
      <x:c r="L150" s="12"/>
      <x:c r="M150" s="12"/>
      <x:c r="N150" s="12"/>
      <x:c r="O150" s="12"/>
      <x:c r="AB150" s="12"/>
      <x:c r="AC150" s="12"/>
      <x:c r="AD150" s="12"/>
      <x:c r="AE150" s="12"/>
      <x:c r="AF150" s="12"/>
      <x:c r="AG150" s="12"/>
      <x:c r="AH150" s="12"/>
      <x:c r="AI150" s="12"/>
    </x:row>
    <x:row r="151">
      <x:c r="D151" s="12"/>
      <x:c r="E151" s="12"/>
      <x:c r="F151" s="12"/>
      <x:c r="G151" s="12"/>
      <x:c r="H151" s="12"/>
      <x:c r="I151" s="12"/>
      <x:c r="J151" s="12"/>
      <x:c r="K151" s="12"/>
      <x:c r="L151" s="12"/>
      <x:c r="M151" s="12"/>
      <x:c r="N151" s="12"/>
      <x:c r="O151" s="12"/>
      <x:c r="AB151" s="12"/>
      <x:c r="AC151" s="12"/>
      <x:c r="AD151" s="12"/>
      <x:c r="AE151" s="12"/>
      <x:c r="AF151" s="12"/>
      <x:c r="AG151" s="12"/>
      <x:c r="AH151" s="12"/>
      <x:c r="AI151" s="12"/>
    </x:row>
    <x:row r="152">
      <x:c r="D152" s="12"/>
      <x:c r="E152" s="12"/>
      <x:c r="F152" s="12"/>
      <x:c r="G152" s="12"/>
      <x:c r="H152" s="12"/>
      <x:c r="I152" s="12"/>
      <x:c r="J152" s="12"/>
      <x:c r="K152" s="12"/>
      <x:c r="L152" s="12"/>
      <x:c r="M152" s="12"/>
      <x:c r="N152" s="12"/>
      <x:c r="O152" s="12"/>
      <x:c r="AB152" s="12"/>
      <x:c r="AC152" s="12"/>
      <x:c r="AD152" s="12"/>
      <x:c r="AE152" s="12"/>
      <x:c r="AF152" s="12"/>
      <x:c r="AG152" s="12"/>
      <x:c r="AH152" s="12"/>
      <x:c r="AI152" s="12"/>
    </x:row>
    <x:row r="153">
      <x:c r="D153" s="12"/>
      <x:c r="E153" s="12"/>
      <x:c r="F153" s="12"/>
      <x:c r="G153" s="12"/>
      <x:c r="H153" s="12"/>
      <x:c r="I153" s="12"/>
      <x:c r="J153" s="12"/>
      <x:c r="K153" s="12"/>
      <x:c r="L153" s="12"/>
      <x:c r="M153" s="12"/>
      <x:c r="N153" s="12"/>
      <x:c r="O153" s="12"/>
      <x:c r="AB153" s="12"/>
      <x:c r="AC153" s="12"/>
      <x:c r="AD153" s="12"/>
      <x:c r="AE153" s="12"/>
      <x:c r="AF153" s="12"/>
      <x:c r="AG153" s="12"/>
      <x:c r="AH153" s="12"/>
      <x:c r="AI153" s="12"/>
    </x:row>
    <x:row r="154">
      <x:c r="D154" s="12"/>
      <x:c r="E154" s="12"/>
      <x:c r="F154" s="12"/>
      <x:c r="G154" s="12"/>
      <x:c r="H154" s="12"/>
      <x:c r="I154" s="12"/>
      <x:c r="J154" s="12"/>
      <x:c r="K154" s="12"/>
      <x:c r="L154" s="12"/>
      <x:c r="M154" s="12"/>
      <x:c r="N154" s="12"/>
      <x:c r="O154" s="12"/>
      <x:c r="AB154" s="12"/>
      <x:c r="AC154" s="12"/>
      <x:c r="AD154" s="12"/>
      <x:c r="AE154" s="12"/>
      <x:c r="AF154" s="12"/>
      <x:c r="AG154" s="12"/>
      <x:c r="AH154" s="12"/>
      <x:c r="AI154" s="12"/>
    </x:row>
    <x:row r="155">
      <x:c r="D155" s="12"/>
      <x:c r="E155" s="12"/>
      <x:c r="F155" s="12"/>
      <x:c r="G155" s="12"/>
      <x:c r="H155" s="12"/>
      <x:c r="I155" s="12"/>
      <x:c r="J155" s="12"/>
      <x:c r="K155" s="12"/>
      <x:c r="L155" s="12"/>
      <x:c r="M155" s="12"/>
      <x:c r="N155" s="12"/>
      <x:c r="O155" s="12"/>
      <x:c r="AB155" s="12"/>
      <x:c r="AC155" s="12"/>
      <x:c r="AD155" s="12"/>
      <x:c r="AE155" s="12"/>
      <x:c r="AF155" s="12"/>
      <x:c r="AG155" s="12"/>
      <x:c r="AH155" s="12"/>
      <x:c r="AI155" s="12"/>
    </x:row>
    <x:row r="156">
      <x:c r="D156" s="12"/>
      <x:c r="E156" s="12"/>
      <x:c r="F156" s="12"/>
      <x:c r="G156" s="12"/>
      <x:c r="H156" s="12"/>
      <x:c r="I156" s="12"/>
      <x:c r="J156" s="12"/>
      <x:c r="K156" s="12"/>
      <x:c r="L156" s="12"/>
      <x:c r="M156" s="12"/>
      <x:c r="N156" s="12"/>
      <x:c r="O156" s="12"/>
      <x:c r="AB156" s="12"/>
      <x:c r="AC156" s="12"/>
      <x:c r="AD156" s="12"/>
      <x:c r="AE156" s="12"/>
      <x:c r="AF156" s="12"/>
      <x:c r="AG156" s="12"/>
      <x:c r="AH156" s="12"/>
      <x:c r="AI156" s="12"/>
    </x:row>
    <x:row r="157">
      <x:c r="D157" s="12"/>
      <x:c r="E157" s="12"/>
      <x:c r="F157" s="12"/>
      <x:c r="G157" s="12"/>
      <x:c r="H157" s="12"/>
      <x:c r="I157" s="12"/>
      <x:c r="J157" s="12"/>
      <x:c r="K157" s="12"/>
      <x:c r="L157" s="12"/>
      <x:c r="M157" s="12"/>
      <x:c r="N157" s="12"/>
      <x:c r="O157" s="12"/>
      <x:c r="AB157" s="12"/>
      <x:c r="AC157" s="12"/>
      <x:c r="AD157" s="12"/>
      <x:c r="AE157" s="12"/>
      <x:c r="AF157" s="12"/>
      <x:c r="AG157" s="12"/>
      <x:c r="AH157" s="12"/>
      <x:c r="AI157" s="12"/>
    </x:row>
    <x:row r="158">
      <x:c r="D158" s="12"/>
      <x:c r="E158" s="12"/>
      <x:c r="F158" s="12"/>
      <x:c r="G158" s="12"/>
      <x:c r="H158" s="12"/>
      <x:c r="I158" s="12"/>
      <x:c r="J158" s="12"/>
      <x:c r="K158" s="12"/>
      <x:c r="L158" s="12"/>
      <x:c r="M158" s="12"/>
      <x:c r="N158" s="12"/>
      <x:c r="O158" s="12"/>
      <x:c r="AB158" s="12"/>
      <x:c r="AC158" s="12"/>
      <x:c r="AD158" s="12"/>
      <x:c r="AE158" s="12"/>
      <x:c r="AF158" s="12"/>
      <x:c r="AG158" s="12"/>
      <x:c r="AH158" s="12"/>
      <x:c r="AI158" s="12"/>
    </x:row>
    <x:row r="159">
      <x:c r="D159" s="12"/>
      <x:c r="E159" s="12"/>
      <x:c r="F159" s="12"/>
      <x:c r="G159" s="12"/>
      <x:c r="H159" s="12"/>
      <x:c r="I159" s="12"/>
      <x:c r="J159" s="12"/>
      <x:c r="K159" s="12"/>
      <x:c r="L159" s="12"/>
      <x:c r="M159" s="12"/>
      <x:c r="N159" s="12"/>
      <x:c r="O159" s="12"/>
      <x:c r="AB159" s="12"/>
      <x:c r="AC159" s="12"/>
      <x:c r="AD159" s="12"/>
      <x:c r="AE159" s="12"/>
      <x:c r="AF159" s="12"/>
      <x:c r="AG159" s="12"/>
      <x:c r="AH159" s="12"/>
      <x:c r="AI159" s="12"/>
    </x:row>
    <x:row r="160">
      <x:c r="D160" s="12"/>
      <x:c r="E160" s="12"/>
      <x:c r="F160" s="12"/>
      <x:c r="G160" s="12"/>
      <x:c r="H160" s="12"/>
      <x:c r="I160" s="12"/>
      <x:c r="J160" s="12"/>
      <x:c r="K160" s="12"/>
      <x:c r="L160" s="12"/>
      <x:c r="M160" s="12"/>
      <x:c r="N160" s="12"/>
      <x:c r="O160" s="12"/>
      <x:c r="AB160" s="12"/>
      <x:c r="AC160" s="12"/>
      <x:c r="AD160" s="12"/>
      <x:c r="AE160" s="12"/>
      <x:c r="AF160" s="12"/>
      <x:c r="AG160" s="12"/>
      <x:c r="AH160" s="12"/>
      <x:c r="AI160" s="12"/>
    </x:row>
    <x:row r="161">
      <x:c r="D161" s="12"/>
      <x:c r="E161" s="12"/>
      <x:c r="F161" s="12"/>
      <x:c r="G161" s="12"/>
      <x:c r="H161" s="12"/>
      <x:c r="I161" s="12"/>
      <x:c r="J161" s="12"/>
      <x:c r="K161" s="12"/>
      <x:c r="L161" s="12"/>
      <x:c r="M161" s="12"/>
      <x:c r="N161" s="12"/>
      <x:c r="O161" s="12"/>
      <x:c r="AB161" s="12"/>
      <x:c r="AC161" s="12"/>
      <x:c r="AD161" s="12"/>
      <x:c r="AE161" s="12"/>
      <x:c r="AF161" s="12"/>
      <x:c r="AG161" s="12"/>
      <x:c r="AH161" s="12"/>
      <x:c r="AI161" s="12"/>
    </x:row>
    <x:row r="162">
      <x:c r="D162" s="12"/>
      <x:c r="E162" s="12"/>
      <x:c r="F162" s="12"/>
      <x:c r="G162" s="12"/>
      <x:c r="H162" s="12"/>
      <x:c r="I162" s="12"/>
      <x:c r="J162" s="12"/>
      <x:c r="K162" s="12"/>
      <x:c r="L162" s="12"/>
      <x:c r="M162" s="12"/>
      <x:c r="N162" s="12"/>
      <x:c r="O162" s="12"/>
      <x:c r="AB162" s="12"/>
      <x:c r="AC162" s="12"/>
      <x:c r="AD162" s="12"/>
      <x:c r="AE162" s="12"/>
      <x:c r="AF162" s="12"/>
      <x:c r="AG162" s="12"/>
      <x:c r="AH162" s="12"/>
      <x:c r="AI162" s="12"/>
    </x:row>
    <x:row r="163">
      <x:c r="D163" s="12"/>
      <x:c r="E163" s="12"/>
      <x:c r="F163" s="12"/>
      <x:c r="G163" s="12"/>
      <x:c r="H163" s="12"/>
      <x:c r="I163" s="12"/>
      <x:c r="J163" s="12"/>
      <x:c r="K163" s="12"/>
      <x:c r="L163" s="12"/>
      <x:c r="M163" s="12"/>
      <x:c r="N163" s="12"/>
      <x:c r="O163" s="12"/>
      <x:c r="AB163" s="12"/>
      <x:c r="AC163" s="12"/>
      <x:c r="AD163" s="12"/>
      <x:c r="AE163" s="12"/>
      <x:c r="AF163" s="12"/>
      <x:c r="AG163" s="12"/>
      <x:c r="AH163" s="12"/>
      <x:c r="AI163" s="12"/>
    </x:row>
    <x:row r="164">
      <x:c r="D164" s="12"/>
      <x:c r="E164" s="12"/>
      <x:c r="F164" s="12"/>
      <x:c r="G164" s="12"/>
      <x:c r="H164" s="12"/>
      <x:c r="I164" s="12"/>
      <x:c r="J164" s="12"/>
      <x:c r="K164" s="12"/>
      <x:c r="L164" s="12"/>
      <x:c r="M164" s="12"/>
      <x:c r="N164" s="12"/>
      <x:c r="O164" s="12"/>
      <x:c r="AB164" s="12"/>
      <x:c r="AC164" s="12"/>
      <x:c r="AD164" s="12"/>
      <x:c r="AE164" s="12"/>
      <x:c r="AF164" s="12"/>
      <x:c r="AG164" s="12"/>
      <x:c r="AH164" s="12"/>
      <x:c r="AI164" s="12"/>
    </x:row>
    <x:row r="165">
      <x:c r="D165" s="12"/>
      <x:c r="E165" s="12"/>
      <x:c r="F165" s="12"/>
      <x:c r="G165" s="12"/>
      <x:c r="H165" s="12"/>
      <x:c r="I165" s="12"/>
      <x:c r="J165" s="12"/>
      <x:c r="K165" s="12"/>
      <x:c r="L165" s="12"/>
      <x:c r="M165" s="12"/>
      <x:c r="N165" s="12"/>
      <x:c r="O165" s="12"/>
      <x:c r="AB165" s="12"/>
      <x:c r="AC165" s="12"/>
      <x:c r="AD165" s="12"/>
      <x:c r="AE165" s="12"/>
      <x:c r="AF165" s="12"/>
      <x:c r="AG165" s="12"/>
      <x:c r="AH165" s="12"/>
      <x:c r="AI165" s="12"/>
    </x:row>
    <x:row r="166">
      <x:c r="D166" s="12"/>
      <x:c r="E166" s="12"/>
      <x:c r="F166" s="12"/>
      <x:c r="G166" s="12"/>
      <x:c r="H166" s="12"/>
      <x:c r="I166" s="12"/>
      <x:c r="J166" s="12"/>
      <x:c r="K166" s="12"/>
      <x:c r="L166" s="12"/>
      <x:c r="M166" s="12"/>
      <x:c r="N166" s="12"/>
      <x:c r="O166" s="12"/>
      <x:c r="AB166" s="12"/>
      <x:c r="AC166" s="12"/>
      <x:c r="AD166" s="12"/>
      <x:c r="AE166" s="12"/>
      <x:c r="AF166" s="12"/>
      <x:c r="AG166" s="12"/>
      <x:c r="AH166" s="12"/>
      <x:c r="AI166" s="12"/>
    </x:row>
    <x:row r="167">
      <x:c r="D167" s="12"/>
      <x:c r="E167" s="12"/>
      <x:c r="F167" s="12"/>
      <x:c r="G167" s="12"/>
      <x:c r="H167" s="12"/>
      <x:c r="I167" s="12"/>
      <x:c r="J167" s="12"/>
      <x:c r="K167" s="12"/>
      <x:c r="L167" s="12"/>
      <x:c r="M167" s="12"/>
      <x:c r="N167" s="12"/>
      <x:c r="O167" s="12"/>
      <x:c r="AB167" s="12"/>
      <x:c r="AC167" s="12"/>
      <x:c r="AD167" s="12"/>
      <x:c r="AE167" s="12"/>
      <x:c r="AF167" s="12"/>
      <x:c r="AG167" s="12"/>
      <x:c r="AH167" s="12"/>
      <x:c r="AI167" s="12"/>
    </x:row>
    <x:row r="168">
      <x:c r="D168" s="12"/>
      <x:c r="E168" s="12"/>
      <x:c r="F168" s="12"/>
      <x:c r="G168" s="12"/>
      <x:c r="H168" s="12"/>
      <x:c r="I168" s="12"/>
      <x:c r="J168" s="12"/>
      <x:c r="K168" s="12"/>
      <x:c r="L168" s="12"/>
      <x:c r="M168" s="12"/>
      <x:c r="N168" s="12"/>
      <x:c r="O168" s="12"/>
      <x:c r="AB168" s="12"/>
      <x:c r="AC168" s="12"/>
      <x:c r="AD168" s="12"/>
      <x:c r="AE168" s="12"/>
      <x:c r="AF168" s="12"/>
      <x:c r="AG168" s="12"/>
      <x:c r="AH168" s="12"/>
      <x:c r="AI168" s="12"/>
    </x:row>
    <x:row r="169">
      <x:c r="D169" s="12"/>
      <x:c r="E169" s="12"/>
      <x:c r="F169" s="12"/>
      <x:c r="G169" s="12"/>
      <x:c r="H169" s="12"/>
      <x:c r="I169" s="12"/>
      <x:c r="J169" s="12"/>
      <x:c r="K169" s="12"/>
      <x:c r="L169" s="12"/>
      <x:c r="M169" s="12"/>
      <x:c r="N169" s="12"/>
      <x:c r="O169" s="12"/>
      <x:c r="AB169" s="12"/>
      <x:c r="AC169" s="12"/>
      <x:c r="AD169" s="12"/>
      <x:c r="AE169" s="12"/>
      <x:c r="AF169" s="12"/>
      <x:c r="AG169" s="12"/>
      <x:c r="AH169" s="12"/>
      <x:c r="AI169" s="12"/>
    </x:row>
    <x:row r="170">
      <x:c r="D170" s="12"/>
      <x:c r="E170" s="12"/>
      <x:c r="F170" s="12"/>
      <x:c r="G170" s="12"/>
      <x:c r="H170" s="12"/>
      <x:c r="I170" s="12"/>
      <x:c r="J170" s="12"/>
      <x:c r="K170" s="12"/>
      <x:c r="L170" s="12"/>
      <x:c r="M170" s="12"/>
      <x:c r="N170" s="12"/>
      <x:c r="O170" s="12"/>
      <x:c r="AB170" s="12"/>
      <x:c r="AC170" s="12"/>
      <x:c r="AD170" s="12"/>
      <x:c r="AE170" s="12"/>
      <x:c r="AF170" s="12"/>
      <x:c r="AG170" s="12"/>
      <x:c r="AH170" s="12"/>
      <x:c r="AI170" s="12"/>
    </x:row>
    <x:row r="171">
      <x:c r="D171" s="12"/>
      <x:c r="E171" s="12"/>
      <x:c r="F171" s="12"/>
      <x:c r="G171" s="12"/>
      <x:c r="H171" s="12"/>
      <x:c r="I171" s="12"/>
      <x:c r="J171" s="12"/>
      <x:c r="K171" s="12"/>
      <x:c r="L171" s="12"/>
      <x:c r="M171" s="12"/>
      <x:c r="N171" s="12"/>
      <x:c r="O171" s="12"/>
      <x:c r="AB171" s="12"/>
      <x:c r="AC171" s="12"/>
      <x:c r="AD171" s="12"/>
      <x:c r="AE171" s="12"/>
      <x:c r="AF171" s="12"/>
      <x:c r="AG171" s="12"/>
      <x:c r="AH171" s="12"/>
      <x:c r="AI171" s="12"/>
    </x:row>
    <x:row r="172">
      <x:c r="D172" s="12"/>
      <x:c r="E172" s="12"/>
      <x:c r="F172" s="12"/>
      <x:c r="G172" s="12"/>
      <x:c r="H172" s="12"/>
      <x:c r="I172" s="12"/>
      <x:c r="J172" s="12"/>
      <x:c r="K172" s="12"/>
      <x:c r="L172" s="12"/>
      <x:c r="M172" s="12"/>
      <x:c r="N172" s="12"/>
      <x:c r="O172" s="12"/>
      <x:c r="AB172" s="12"/>
      <x:c r="AC172" s="12"/>
      <x:c r="AD172" s="12"/>
      <x:c r="AE172" s="12"/>
      <x:c r="AF172" s="12"/>
      <x:c r="AG172" s="12"/>
      <x:c r="AH172" s="12"/>
      <x:c r="AI172" s="12"/>
    </x:row>
    <x:row r="173">
      <x:c r="D173" s="12"/>
      <x:c r="E173" s="12"/>
      <x:c r="F173" s="12"/>
      <x:c r="G173" s="12"/>
      <x:c r="H173" s="12"/>
      <x:c r="I173" s="12"/>
      <x:c r="J173" s="12"/>
      <x:c r="K173" s="12"/>
      <x:c r="L173" s="12"/>
      <x:c r="M173" s="12"/>
      <x:c r="N173" s="12"/>
      <x:c r="O173" s="12"/>
      <x:c r="AB173" s="12"/>
      <x:c r="AC173" s="12"/>
      <x:c r="AD173" s="12"/>
      <x:c r="AE173" s="12"/>
      <x:c r="AF173" s="12"/>
      <x:c r="AG173" s="12"/>
      <x:c r="AH173" s="12"/>
      <x:c r="AI173" s="12"/>
    </x:row>
    <x:row r="174">
      <x:c r="D174" s="12"/>
      <x:c r="E174" s="12"/>
      <x:c r="F174" s="12"/>
      <x:c r="G174" s="12"/>
      <x:c r="H174" s="12"/>
      <x:c r="I174" s="12"/>
      <x:c r="J174" s="12"/>
      <x:c r="K174" s="12"/>
      <x:c r="L174" s="12"/>
      <x:c r="M174" s="12"/>
      <x:c r="N174" s="12"/>
      <x:c r="O174" s="12"/>
      <x:c r="AB174" s="12"/>
      <x:c r="AC174" s="12"/>
      <x:c r="AD174" s="12"/>
      <x:c r="AE174" s="12"/>
      <x:c r="AF174" s="12"/>
      <x:c r="AG174" s="12"/>
      <x:c r="AH174" s="12"/>
      <x:c r="AI174" s="12"/>
    </x:row>
    <x:row r="175">
      <x:c r="D175" s="12"/>
      <x:c r="E175" s="12"/>
      <x:c r="F175" s="12"/>
      <x:c r="G175" s="12"/>
      <x:c r="H175" s="12"/>
      <x:c r="I175" s="12"/>
      <x:c r="J175" s="12"/>
      <x:c r="K175" s="12"/>
      <x:c r="L175" s="12"/>
      <x:c r="M175" s="12"/>
      <x:c r="N175" s="12"/>
      <x:c r="O175" s="12"/>
      <x:c r="AB175" s="12"/>
      <x:c r="AC175" s="12"/>
      <x:c r="AD175" s="12"/>
      <x:c r="AE175" s="12"/>
      <x:c r="AF175" s="12"/>
      <x:c r="AG175" s="12"/>
      <x:c r="AH175" s="12"/>
      <x:c r="AI175" s="12"/>
    </x:row>
    <x:row r="176">
      <x:c r="D176" s="12"/>
      <x:c r="E176" s="12"/>
      <x:c r="F176" s="12"/>
      <x:c r="G176" s="12"/>
      <x:c r="H176" s="12"/>
      <x:c r="I176" s="12"/>
      <x:c r="J176" s="12"/>
      <x:c r="K176" s="12"/>
      <x:c r="L176" s="12"/>
      <x:c r="M176" s="12"/>
      <x:c r="N176" s="12"/>
      <x:c r="O176" s="12"/>
      <x:c r="AB176" s="12"/>
      <x:c r="AC176" s="12"/>
      <x:c r="AD176" s="12"/>
      <x:c r="AE176" s="12"/>
      <x:c r="AF176" s="12"/>
      <x:c r="AG176" s="12"/>
      <x:c r="AH176" s="12"/>
      <x:c r="AI176" s="12"/>
    </x:row>
    <x:row r="177">
      <x:c r="D177" s="12"/>
      <x:c r="E177" s="12"/>
      <x:c r="F177" s="12"/>
      <x:c r="G177" s="12"/>
      <x:c r="H177" s="12"/>
      <x:c r="I177" s="12"/>
      <x:c r="J177" s="12"/>
      <x:c r="K177" s="12"/>
      <x:c r="L177" s="12"/>
      <x:c r="M177" s="12"/>
      <x:c r="N177" s="12"/>
      <x:c r="O177" s="12"/>
      <x:c r="AB177" s="12"/>
      <x:c r="AC177" s="12"/>
      <x:c r="AD177" s="12"/>
      <x:c r="AE177" s="12"/>
      <x:c r="AF177" s="12"/>
      <x:c r="AG177" s="12"/>
      <x:c r="AH177" s="12"/>
      <x:c r="AI177" s="12"/>
    </x:row>
    <x:row r="178">
      <x:c r="D178" s="12"/>
      <x:c r="E178" s="12"/>
      <x:c r="F178" s="12"/>
      <x:c r="G178" s="12"/>
      <x:c r="H178" s="12"/>
      <x:c r="I178" s="12"/>
      <x:c r="J178" s="12"/>
      <x:c r="K178" s="12"/>
      <x:c r="L178" s="12"/>
      <x:c r="M178" s="12"/>
      <x:c r="N178" s="12"/>
      <x:c r="O178" s="12"/>
      <x:c r="AB178" s="12"/>
      <x:c r="AC178" s="12"/>
      <x:c r="AD178" s="12"/>
      <x:c r="AE178" s="12"/>
      <x:c r="AF178" s="12"/>
      <x:c r="AG178" s="12"/>
      <x:c r="AH178" s="12"/>
      <x:c r="AI178" s="12"/>
    </x:row>
    <x:row r="179">
      <x:c r="D179" s="12"/>
      <x:c r="E179" s="12"/>
      <x:c r="F179" s="12"/>
      <x:c r="G179" s="12"/>
      <x:c r="H179" s="12"/>
      <x:c r="I179" s="12"/>
      <x:c r="J179" s="12"/>
      <x:c r="K179" s="12"/>
      <x:c r="L179" s="12"/>
      <x:c r="M179" s="12"/>
      <x:c r="N179" s="12"/>
      <x:c r="O179" s="12"/>
      <x:c r="AB179" s="12"/>
      <x:c r="AC179" s="12"/>
      <x:c r="AD179" s="12"/>
      <x:c r="AE179" s="12"/>
      <x:c r="AF179" s="12"/>
      <x:c r="AG179" s="12"/>
      <x:c r="AH179" s="12"/>
      <x:c r="AI179" s="12"/>
    </x:row>
    <x:row r="180">
      <x:c r="D180" s="12"/>
      <x:c r="E180" s="12"/>
      <x:c r="F180" s="12"/>
      <x:c r="G180" s="12"/>
      <x:c r="H180" s="12"/>
      <x:c r="I180" s="12"/>
      <x:c r="J180" s="12"/>
      <x:c r="K180" s="12"/>
      <x:c r="L180" s="12"/>
      <x:c r="M180" s="12"/>
      <x:c r="N180" s="12"/>
      <x:c r="O180" s="12"/>
      <x:c r="AB180" s="12"/>
      <x:c r="AC180" s="12"/>
      <x:c r="AD180" s="12"/>
      <x:c r="AE180" s="12"/>
      <x:c r="AF180" s="12"/>
      <x:c r="AG180" s="12"/>
      <x:c r="AH180" s="12"/>
      <x:c r="AI180" s="12"/>
    </x:row>
    <x:row r="181">
      <x:c r="D181" s="12"/>
      <x:c r="E181" s="12"/>
      <x:c r="F181" s="12"/>
      <x:c r="G181" s="12"/>
      <x:c r="H181" s="12"/>
      <x:c r="I181" s="12"/>
      <x:c r="J181" s="12"/>
      <x:c r="K181" s="12"/>
      <x:c r="L181" s="12"/>
      <x:c r="M181" s="12"/>
      <x:c r="N181" s="12"/>
      <x:c r="O181" s="12"/>
      <x:c r="AB181" s="12"/>
      <x:c r="AC181" s="12"/>
      <x:c r="AD181" s="12"/>
      <x:c r="AE181" s="12"/>
      <x:c r="AF181" s="12"/>
      <x:c r="AG181" s="12"/>
      <x:c r="AH181" s="12"/>
      <x:c r="AI181" s="12"/>
    </x:row>
    <x:row r="182">
      <x:c r="D182" s="12"/>
      <x:c r="E182" s="12"/>
      <x:c r="F182" s="12"/>
      <x:c r="G182" s="12"/>
      <x:c r="H182" s="12"/>
      <x:c r="I182" s="12"/>
      <x:c r="J182" s="12"/>
      <x:c r="K182" s="12"/>
      <x:c r="L182" s="12"/>
      <x:c r="M182" s="12"/>
      <x:c r="N182" s="12"/>
      <x:c r="O182" s="12"/>
      <x:c r="AB182" s="12"/>
      <x:c r="AC182" s="12"/>
      <x:c r="AD182" s="12"/>
      <x:c r="AE182" s="12"/>
      <x:c r="AF182" s="12"/>
      <x:c r="AG182" s="12"/>
      <x:c r="AH182" s="12"/>
      <x:c r="AI182" s="12"/>
    </x:row>
    <x:row r="183">
      <x:c r="D183" s="12"/>
      <x:c r="E183" s="12"/>
      <x:c r="F183" s="12"/>
      <x:c r="G183" s="12"/>
      <x:c r="H183" s="12"/>
      <x:c r="I183" s="12"/>
      <x:c r="J183" s="12"/>
      <x:c r="K183" s="12"/>
      <x:c r="L183" s="12"/>
      <x:c r="M183" s="12"/>
      <x:c r="N183" s="12"/>
      <x:c r="O183" s="12"/>
      <x:c r="AB183" s="12"/>
      <x:c r="AC183" s="12"/>
      <x:c r="AD183" s="12"/>
      <x:c r="AE183" s="12"/>
      <x:c r="AF183" s="12"/>
      <x:c r="AG183" s="12"/>
      <x:c r="AH183" s="12"/>
      <x:c r="AI183" s="12"/>
    </x:row>
    <x:row r="184">
      <x:c r="D184" s="12"/>
      <x:c r="E184" s="12"/>
      <x:c r="F184" s="12"/>
      <x:c r="G184" s="12"/>
      <x:c r="H184" s="12"/>
      <x:c r="I184" s="12"/>
      <x:c r="J184" s="12"/>
      <x:c r="K184" s="12"/>
      <x:c r="L184" s="12"/>
      <x:c r="M184" s="12"/>
      <x:c r="N184" s="12"/>
      <x:c r="O184" s="12"/>
      <x:c r="AB184" s="12"/>
      <x:c r="AC184" s="12"/>
      <x:c r="AD184" s="12"/>
      <x:c r="AE184" s="12"/>
      <x:c r="AF184" s="12"/>
      <x:c r="AG184" s="12"/>
      <x:c r="AH184" s="12"/>
      <x:c r="AI184" s="12"/>
    </x:row>
    <x:row r="185">
      <x:c r="D185" s="12"/>
      <x:c r="E185" s="12"/>
      <x:c r="F185" s="12"/>
      <x:c r="G185" s="12"/>
      <x:c r="H185" s="12"/>
      <x:c r="I185" s="12"/>
      <x:c r="J185" s="12"/>
      <x:c r="K185" s="12"/>
      <x:c r="L185" s="12"/>
      <x:c r="M185" s="12"/>
      <x:c r="N185" s="12"/>
      <x:c r="O185" s="12"/>
      <x:c r="AB185" s="12"/>
      <x:c r="AC185" s="12"/>
      <x:c r="AD185" s="12"/>
      <x:c r="AE185" s="12"/>
      <x:c r="AF185" s="12"/>
      <x:c r="AG185" s="12"/>
      <x:c r="AH185" s="12"/>
      <x:c r="AI185" s="12"/>
    </x:row>
    <x:row r="186">
      <x:c r="D186" s="12"/>
      <x:c r="E186" s="12"/>
      <x:c r="F186" s="12"/>
      <x:c r="G186" s="12"/>
      <x:c r="H186" s="12"/>
      <x:c r="I186" s="12"/>
      <x:c r="J186" s="12"/>
      <x:c r="K186" s="12"/>
      <x:c r="L186" s="12"/>
      <x:c r="M186" s="12"/>
      <x:c r="N186" s="12"/>
      <x:c r="O186" s="12"/>
      <x:c r="AB186" s="12"/>
      <x:c r="AC186" s="12"/>
      <x:c r="AD186" s="12"/>
      <x:c r="AE186" s="12"/>
      <x:c r="AF186" s="12"/>
      <x:c r="AG186" s="12"/>
      <x:c r="AH186" s="12"/>
      <x:c r="AI186" s="12"/>
    </x:row>
    <x:row r="187">
      <x:c r="D187" s="12"/>
      <x:c r="E187" s="12"/>
      <x:c r="F187" s="12"/>
      <x:c r="G187" s="12"/>
      <x:c r="H187" s="12"/>
      <x:c r="I187" s="12"/>
      <x:c r="J187" s="12"/>
      <x:c r="K187" s="12"/>
      <x:c r="L187" s="12"/>
      <x:c r="M187" s="12"/>
      <x:c r="N187" s="12"/>
      <x:c r="O187" s="12"/>
      <x:c r="AB187" s="12"/>
      <x:c r="AC187" s="12"/>
      <x:c r="AD187" s="12"/>
      <x:c r="AE187" s="12"/>
      <x:c r="AF187" s="12"/>
      <x:c r="AG187" s="12"/>
      <x:c r="AH187" s="12"/>
      <x:c r="AI187" s="12"/>
    </x:row>
    <x:row r="188">
      <x:c r="D188" s="12"/>
      <x:c r="E188" s="12"/>
      <x:c r="F188" s="12"/>
      <x:c r="G188" s="12"/>
      <x:c r="H188" s="12"/>
      <x:c r="I188" s="12"/>
      <x:c r="J188" s="12"/>
      <x:c r="K188" s="12"/>
      <x:c r="L188" s="12"/>
      <x:c r="M188" s="12"/>
      <x:c r="N188" s="12"/>
      <x:c r="O188" s="12"/>
      <x:c r="AB188" s="12"/>
      <x:c r="AC188" s="12"/>
      <x:c r="AD188" s="12"/>
      <x:c r="AE188" s="12"/>
      <x:c r="AF188" s="12"/>
      <x:c r="AG188" s="12"/>
      <x:c r="AH188" s="12"/>
      <x:c r="AI188" s="12"/>
    </x:row>
    <x:row r="189">
      <x:c r="D189" s="12"/>
      <x:c r="E189" s="12"/>
      <x:c r="F189" s="12"/>
      <x:c r="G189" s="12"/>
      <x:c r="H189" s="12"/>
      <x:c r="I189" s="12"/>
      <x:c r="J189" s="12"/>
      <x:c r="K189" s="12"/>
      <x:c r="L189" s="12"/>
      <x:c r="M189" s="12"/>
      <x:c r="N189" s="12"/>
      <x:c r="O189" s="12"/>
      <x:c r="AB189" s="12"/>
      <x:c r="AC189" s="12"/>
      <x:c r="AD189" s="12"/>
      <x:c r="AE189" s="12"/>
      <x:c r="AF189" s="12"/>
      <x:c r="AG189" s="12"/>
      <x:c r="AH189" s="12"/>
      <x:c r="AI189" s="12"/>
    </x:row>
    <x:row r="190">
      <x:c r="D190" s="12"/>
      <x:c r="E190" s="12"/>
      <x:c r="F190" s="12"/>
      <x:c r="G190" s="12"/>
      <x:c r="H190" s="12"/>
      <x:c r="I190" s="12"/>
      <x:c r="J190" s="12"/>
      <x:c r="K190" s="12"/>
      <x:c r="L190" s="12"/>
      <x:c r="M190" s="12"/>
      <x:c r="N190" s="12"/>
      <x:c r="O190" s="12"/>
      <x:c r="AB190" s="12"/>
      <x:c r="AC190" s="12"/>
      <x:c r="AD190" s="12"/>
      <x:c r="AE190" s="12"/>
      <x:c r="AF190" s="12"/>
      <x:c r="AG190" s="12"/>
      <x:c r="AH190" s="12"/>
      <x:c r="AI190" s="12"/>
    </x:row>
    <x:row r="191">
      <x:c r="D191" s="12"/>
      <x:c r="E191" s="12"/>
      <x:c r="F191" s="12"/>
      <x:c r="G191" s="12"/>
      <x:c r="H191" s="12"/>
      <x:c r="I191" s="12"/>
      <x:c r="J191" s="12"/>
      <x:c r="K191" s="12"/>
      <x:c r="L191" s="12"/>
      <x:c r="M191" s="12"/>
      <x:c r="N191" s="12"/>
      <x:c r="O191" s="12"/>
      <x:c r="AB191" s="12"/>
      <x:c r="AC191" s="12"/>
      <x:c r="AD191" s="12"/>
      <x:c r="AE191" s="12"/>
      <x:c r="AF191" s="12"/>
      <x:c r="AG191" s="12"/>
      <x:c r="AH191" s="12"/>
      <x:c r="AI191" s="12"/>
    </x:row>
    <x:row r="192">
      <x:c r="D192" s="12"/>
      <x:c r="E192" s="12"/>
      <x:c r="F192" s="12"/>
      <x:c r="G192" s="12"/>
      <x:c r="H192" s="12"/>
      <x:c r="I192" s="12"/>
      <x:c r="J192" s="12"/>
      <x:c r="K192" s="12"/>
      <x:c r="L192" s="12"/>
      <x:c r="M192" s="12"/>
      <x:c r="N192" s="12"/>
      <x:c r="O192" s="12"/>
      <x:c r="AB192" s="12"/>
      <x:c r="AC192" s="12"/>
      <x:c r="AD192" s="12"/>
      <x:c r="AE192" s="12"/>
      <x:c r="AF192" s="12"/>
      <x:c r="AG192" s="12"/>
      <x:c r="AH192" s="12"/>
      <x:c r="AI192" s="12"/>
    </x:row>
    <x:row r="193">
      <x:c r="D193" s="12"/>
      <x:c r="E193" s="12"/>
      <x:c r="F193" s="12"/>
      <x:c r="G193" s="12"/>
      <x:c r="H193" s="12"/>
      <x:c r="I193" s="12"/>
      <x:c r="J193" s="12"/>
      <x:c r="K193" s="12"/>
      <x:c r="L193" s="12"/>
      <x:c r="M193" s="12"/>
      <x:c r="N193" s="12"/>
      <x:c r="O193" s="12"/>
      <x:c r="AB193" s="12"/>
      <x:c r="AC193" s="12"/>
      <x:c r="AD193" s="12"/>
      <x:c r="AE193" s="12"/>
      <x:c r="AF193" s="12"/>
      <x:c r="AG193" s="12"/>
      <x:c r="AH193" s="12"/>
      <x:c r="AI193" s="12"/>
    </x:row>
    <x:row r="194">
      <x:c r="D194" s="12"/>
      <x:c r="E194" s="12"/>
      <x:c r="F194" s="12"/>
      <x:c r="G194" s="12"/>
      <x:c r="H194" s="12"/>
      <x:c r="I194" s="12"/>
      <x:c r="J194" s="12"/>
      <x:c r="K194" s="12"/>
      <x:c r="L194" s="12"/>
      <x:c r="M194" s="12"/>
      <x:c r="N194" s="12"/>
      <x:c r="O194" s="12"/>
      <x:c r="AB194" s="12"/>
      <x:c r="AC194" s="12"/>
      <x:c r="AD194" s="12"/>
      <x:c r="AE194" s="12"/>
      <x:c r="AF194" s="12"/>
      <x:c r="AG194" s="12"/>
      <x:c r="AH194" s="12"/>
      <x:c r="AI194" s="12"/>
    </x:row>
    <x:row r="195">
      <x:c r="D195" s="12"/>
      <x:c r="E195" s="12"/>
      <x:c r="F195" s="12"/>
      <x:c r="G195" s="12"/>
      <x:c r="H195" s="12"/>
      <x:c r="I195" s="12"/>
      <x:c r="J195" s="12"/>
      <x:c r="K195" s="12"/>
      <x:c r="L195" s="12"/>
      <x:c r="M195" s="12"/>
      <x:c r="N195" s="12"/>
      <x:c r="O195" s="12"/>
      <x:c r="AB195" s="12"/>
      <x:c r="AC195" s="12"/>
      <x:c r="AD195" s="12"/>
      <x:c r="AE195" s="12"/>
      <x:c r="AF195" s="12"/>
      <x:c r="AG195" s="12"/>
      <x:c r="AH195" s="12"/>
      <x:c r="AI195" s="12"/>
    </x:row>
    <x:row r="196">
      <x:c r="D196" s="12"/>
      <x:c r="E196" s="12"/>
      <x:c r="F196" s="12"/>
      <x:c r="G196" s="12"/>
      <x:c r="H196" s="12"/>
      <x:c r="I196" s="12"/>
      <x:c r="J196" s="12"/>
      <x:c r="K196" s="12"/>
      <x:c r="L196" s="12"/>
      <x:c r="M196" s="12"/>
      <x:c r="N196" s="12"/>
      <x:c r="O196" s="12"/>
      <x:c r="AB196" s="12"/>
      <x:c r="AC196" s="12"/>
      <x:c r="AD196" s="12"/>
      <x:c r="AE196" s="12"/>
      <x:c r="AF196" s="12"/>
      <x:c r="AG196" s="12"/>
      <x:c r="AH196" s="12"/>
      <x:c r="AI196" s="12"/>
    </x:row>
    <x:row r="197">
      <x:c r="D197" s="12"/>
      <x:c r="E197" s="12"/>
      <x:c r="F197" s="12"/>
      <x:c r="G197" s="12"/>
      <x:c r="H197" s="12"/>
      <x:c r="I197" s="12"/>
      <x:c r="J197" s="12"/>
      <x:c r="K197" s="12"/>
      <x:c r="L197" s="12"/>
      <x:c r="M197" s="12"/>
      <x:c r="N197" s="12"/>
      <x:c r="O197" s="12"/>
      <x:c r="AB197" s="12"/>
      <x:c r="AC197" s="12"/>
      <x:c r="AD197" s="12"/>
      <x:c r="AE197" s="12"/>
      <x:c r="AF197" s="12"/>
      <x:c r="AG197" s="12"/>
      <x:c r="AH197" s="12"/>
      <x:c r="AI197" s="12"/>
    </x:row>
    <x:row r="198">
      <x:c r="D198" s="12"/>
      <x:c r="E198" s="12"/>
      <x:c r="F198" s="12"/>
      <x:c r="G198" s="12"/>
      <x:c r="H198" s="12"/>
      <x:c r="I198" s="12"/>
      <x:c r="J198" s="12"/>
      <x:c r="K198" s="12"/>
      <x:c r="L198" s="12"/>
      <x:c r="M198" s="12"/>
      <x:c r="N198" s="12"/>
      <x:c r="O198" s="12"/>
      <x:c r="AB198" s="12"/>
      <x:c r="AC198" s="12"/>
      <x:c r="AD198" s="12"/>
      <x:c r="AE198" s="12"/>
      <x:c r="AF198" s="12"/>
      <x:c r="AG198" s="12"/>
      <x:c r="AH198" s="12"/>
      <x:c r="AI198" s="12"/>
    </x:row>
    <x:row r="199">
      <x:c r="D199" s="12"/>
      <x:c r="E199" s="12"/>
      <x:c r="F199" s="12"/>
      <x:c r="G199" s="12"/>
      <x:c r="H199" s="12"/>
      <x:c r="I199" s="12"/>
      <x:c r="J199" s="12"/>
      <x:c r="K199" s="12"/>
      <x:c r="L199" s="12"/>
      <x:c r="M199" s="12"/>
      <x:c r="N199" s="12"/>
      <x:c r="O199" s="12"/>
      <x:c r="AB199" s="12"/>
      <x:c r="AC199" s="12"/>
      <x:c r="AD199" s="12"/>
      <x:c r="AE199" s="12"/>
      <x:c r="AF199" s="12"/>
      <x:c r="AG199" s="12"/>
      <x:c r="AH199" s="12"/>
      <x:c r="AI199" s="12"/>
    </x:row>
    <x:row r="200">
      <x:c r="D200" s="12"/>
      <x:c r="E200" s="12"/>
      <x:c r="F200" s="12"/>
      <x:c r="G200" s="12"/>
      <x:c r="H200" s="12"/>
      <x:c r="I200" s="12"/>
      <x:c r="J200" s="12"/>
      <x:c r="K200" s="12"/>
      <x:c r="L200" s="12"/>
      <x:c r="M200" s="12"/>
      <x:c r="N200" s="12"/>
      <x:c r="O200" s="12"/>
      <x:c r="AB200" s="12"/>
      <x:c r="AC200" s="12"/>
      <x:c r="AD200" s="12"/>
      <x:c r="AE200" s="12"/>
      <x:c r="AF200" s="12"/>
      <x:c r="AG200" s="12"/>
      <x:c r="AH200" s="12"/>
      <x:c r="AI200" s="12"/>
    </x:row>
  </x:sheetData>
  <x:conditionalFormatting sqref="Y2:Y118">
    <x:cfRule type="dataBar" priority="1">
      <x:dataBar>
        <x:cfvo type="min"/>
        <x:cfvo type="max"/>
        <x:color rgb="1F77B4"/>
      </x:dataBar>
      <x:extLst>
        <x:ext xmlns:x14="http://schemas.microsoft.com/office/spreadsheetml/2009/9/main" uri="{B025F937-C7B1-47D3-B67F-A62EFF666E3E}">
          <x14:id>{71692169-1321-E304-7DCD-37634079B552}</x14:id>
        </x:ext>
      </x:extLst>
    </x:cfRule>
  </x:conditionalFormatting>
  <x:conditionalFormatting sqref="AA2:AA118">
    <x:cfRule type="expression" dxfId="0" priority="2">
      <x:formula>LEFT($AA2,13)="No aceptable"</x:formula>
    </x:cfRule>
    <x:cfRule type="expression" dxfId="1" priority="3">
      <x:formula>$AA2="Aceptable"</x:formula>
    </x:cfRule>
  </x:conditionalFormatting>
  <x:dataValidations count="7">
    <x:dataValidation type="list" sqref="B2:B200">
      <x:formula1>Catalogos!$A$2:$A$12</x:formula1>
    </x:dataValidation>
    <x:dataValidation type="list" sqref="C2:C200">
      <x:formula1>Catalogos!$C$2:$C$11</x:formula1>
    </x:dataValidation>
    <x:dataValidation type="list" sqref="G2:G200">
      <x:formula1>"Sí,No"</x:formula1>
    </x:dataValidation>
    <x:dataValidation type="list" sqref="H2:H200">
      <x:formula1>Catalogos!$E$2:$E$14</x:formula1>
    </x:dataValidation>
    <x:dataValidation type="list" sqref="Q2:Q200">
      <x:formula1>Catalogos!$G$2:$G$5</x:formula1>
    </x:dataValidation>
    <x:dataValidation type="list" sqref="S2:S200">
      <x:formula1>Catalogos!$I$2:$I$5</x:formula1>
    </x:dataValidation>
    <x:dataValidation type="list" sqref="W2:W200">
      <x:formula1>Catalogos!$G$19:$G$22</x:formula1>
    </x:dataValidation>
  </x:dataValidations>
  <x:pageMargins left="0.7" right="0.7" top="0.75" bottom="0.75" header="0.3" footer="0.3"/>
  <x:tableParts count="1">
    <x:tablePart xmlns:r="http://schemas.openxmlformats.org/officeDocument/2006/relationships" r:id="Raf8b1faeae3d40bf"/>
  </x:tableParts>
  <x:extLst>
    <x:ext xmlns:x14="http://schemas.microsoft.com/office/spreadsheetml/2009/9/main" xmlns:xm="http://schemas.microsoft.com/office/excel/2006/main" uri="{78C0D931-6437-407d-A8EE-F0AAD7539E65}">
      <x14:conditionalFormattings>
        <x14:conditionalFormatting>
          <x14:cfRule type="dataBar" priority="1" id="{71692169-1321-E304-7DCD-37634079B552}">
            <x14:dataBar gradient="1">
              <x14:cfvo type="min"/>
              <x14:cfvo type="max"/>
              <x14:fillColor rgb="1F77B4"/>
            </x14:dataBar>
          </x14:cfRule>
          <xm:sqref>Y2:Y118</xm:sqref>
        </x14:conditionalFormatting>
      </x14:conditionalFormattings>
    </x:ext>
  </x:extLst>
</x:worksheet>
</file>

<file path=xl/worksheets/sheet5.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4" hidden="0" customWidth="1"/>
    <x:col min="7" max="7" width="4" hidden="0" customWidth="1"/>
  </x:cols>
  <x:sheetData>
    <x:row r="1">
      <x:c r="A1" s="34" t="str">
        <x:v>Resumen de la matriz GTC 45:2012</x:v>
      </x:c>
      <x:c r="B1" s="12" t="str"/>
      <x:c r="C1" s="12" t="str"/>
      <x:c r="D1" s="12" t="str"/>
      <x:c r="E1" s="12" t="str"/>
      <x:c r="F1" s="12" t="str"/>
      <x:c r="G1" s="12" t="str"/>
    </x:row>
    <x:row r="2">
      <x:c r="A2" s="3" t="str">
        <x:v>Indicador</x:v>
      </x:c>
      <x:c r="B2" s="3" t="str">
        <x:v>Valor</x:v>
      </x:c>
      <x:c r="C2" t="str"/>
      <x:c r="D2" s="3" t="str">
        <x:v>Distribución por nivel</x:v>
      </x:c>
      <x:c r="E2" s="3" t="str">
        <x:v>Cantidad</x:v>
      </x:c>
      <x:c r="F2" t="str"/>
      <x:c r="G2" t="str"/>
    </x:row>
    <x:row r="3">
      <x:c r="A3" s="3" t="str">
        <x:v>Total de peligros identificados</x:v>
      </x:c>
      <x:c r="B3" s="3" t="n">
        <x:f>COUNTA(Matriz_General!$A$2:$A$118)</x:f>
        <x:v>117</x:v>
      </x:c>
      <x:c r="C3" t="str"/>
      <x:c r="D3" s="3" t="str">
        <x:v>I - Crítico</x:v>
      </x:c>
      <x:c r="E3" s="3" t="n">
        <x:f>SUMPRODUCT(--(Matriz_General!$Y$2:$Y$118&gt;=600))</x:f>
        <x:v>55</x:v>
      </x:c>
      <x:c r="F3" t="str"/>
      <x:c r="G3" t="str"/>
    </x:row>
    <x:row r="4">
      <x:c r="A4" s="3" t="str">
        <x:v>Riesgos no aceptables</x:v>
      </x:c>
      <x:c r="B4" s="3" t="n">
        <x:f>SUMPRODUCT(--(Matriz_General!$Y$2:$Y$118&gt;=150))</x:f>
        <x:v>100</x:v>
      </x:c>
      <x:c r="C4" t="str"/>
      <x:c r="D4" s="3" t="str">
        <x:v>II - Alto</x:v>
      </x:c>
      <x:c r="E4" s="3" t="n">
        <x:f>SUMPRODUCT(--(Matriz_General!$Y$2:$Y$118&gt;=150),--(Matriz_General!$Y$2:$Y$118&lt;600))</x:f>
        <x:v>45</x:v>
      </x:c>
      <x:c r="F4" t="str"/>
      <x:c r="G4" t="str"/>
    </x:row>
    <x:row r="5">
      <x:c r="A5" s="3" t="str">
        <x:v>Riesgos aceptables</x:v>
      </x:c>
      <x:c r="B5" s="3" t="n">
        <x:f>SUMPRODUCT(--(Matriz_General!$Y$2:$Y$118&gt;0),--(Matriz_General!$Y$2:$Y$118&lt;150))</x:f>
        <x:v>17</x:v>
      </x:c>
      <x:c r="C5" t="str"/>
      <x:c r="D5" s="3" t="str">
        <x:v>III - Medio</x:v>
      </x:c>
      <x:c r="E5" s="3" t="n">
        <x:f>SUMPRODUCT(--(Matriz_General!$Y$2:$Y$118&gt;=40),--(Matriz_General!$Y$2:$Y$118&lt;150))</x:f>
        <x:v>17</x:v>
      </x:c>
      <x:c r="F5" t="str"/>
      <x:c r="G5" t="str"/>
    </x:row>
    <x:row r="6">
      <x:c r="A6" s="3" t="str">
        <x:v>Procesos evaluados</x:v>
      </x:c>
      <x:c r="B6" s="3" t="n">
        <x:f>COUNTA(Catalogos!$C$2:$C$11)</x:f>
        <x:v>10</x:v>
      </x:c>
      <x:c r="C6" t="str"/>
      <x:c r="D6" s="3" t="str">
        <x:v>IV - Bajo</x:v>
      </x:c>
      <x:c r="E6" s="3" t="n">
        <x:f>SUMPRODUCT(--(Matriz_General!$Y$2:$Y$118&gt;0),--(Matriz_General!$Y$2:$Y$118&lt;40))</x:f>
        <x:v>0</x:v>
      </x:c>
      <x:c r="F6" t="str"/>
      <x:c r="G6" t="str"/>
    </x:row>
    <x:row r="7">
      <x:c r="A7" s="3" t="str">
        <x:v>Sedes evaluadas</x:v>
      </x:c>
      <x:c r="B7" s="3" t="n">
        <x:f>COUNTA(Catalogos!$A$2:$A$12)</x:f>
        <x:v>11</x:v>
      </x:c>
      <x:c r="C7" t="str"/>
      <x:c r="D7" t="str"/>
      <x:c r="E7" t="str"/>
      <x:c r="F7" t="str"/>
      <x:c r="G7" t="str"/>
    </x:row>
    <x:row r="8">
      <x:c r="A8" t="str"/>
      <x:c r="B8" t="str"/>
      <x:c r="C8" t="str"/>
      <x:c r="D8" t="str"/>
      <x:c r="E8" t="str"/>
      <x:c r="F8" t="str"/>
      <x:c r="G8" t="str"/>
    </x:row>
    <x:row r="9">
      <x:c r="A9" s="3" t="str">
        <x:v>Sede</x:v>
      </x:c>
      <x:c r="B9" s="3" t="str">
        <x:v>Total peligros</x:v>
      </x:c>
      <x:c r="C9" s="3" t="str">
        <x:v>Nivel I</x:v>
      </x:c>
      <x:c r="D9" s="3" t="str">
        <x:v>Nivel II</x:v>
      </x:c>
      <x:c r="E9" s="3" t="str">
        <x:v>No aceptables</x:v>
      </x:c>
      <x:c r="F9" t="str"/>
      <x:c r="G9" t="str"/>
    </x:row>
    <x:row r="10">
      <x:c r="A10" t="str">
        <x:v>Cúcuta</x:v>
      </x:c>
      <x:c r="B10" t="n">
        <x:f>COUNTIF(Matriz_General!$B$2:$B$118,A10)</x:f>
        <x:v>21</x:v>
      </x:c>
      <x:c r="C10" t="n">
        <x:f>SUMPRODUCT(--(Matriz_General!$B$2:$B$118=A10),--(Matriz_General!$Y$2:$Y$118&gt;=600))</x:f>
        <x:v>9</x:v>
      </x:c>
      <x:c r="D10" t="n">
        <x:f>SUMPRODUCT(--(Matriz_General!$B$2:$B$118=A10),--(Matriz_General!$Y$2:$Y$118&gt;=150),--(Matriz_General!$Y$2:$Y$118&lt;600))</x:f>
        <x:v>9</x:v>
      </x:c>
      <x:c r="E10" t="n">
        <x:f>SUMPRODUCT(--(Matriz_General!$B$2:$B$118=A10),--(Matriz_General!$Y$2:$Y$118&gt;=150))</x:f>
        <x:v>18</x:v>
      </x:c>
      <x:c r="F10" t="str"/>
      <x:c r="G10" t="str"/>
    </x:row>
    <x:row r="11">
      <x:c r="A11" t="str">
        <x:v>Barrancabermeja</x:v>
      </x:c>
      <x:c r="B11" t="n">
        <x:f>COUNTIF(Matriz_General!$B$2:$B$118,A11)</x:f>
        <x:v>9</x:v>
      </x:c>
      <x:c r="C11" t="n">
        <x:f>SUMPRODUCT(--(Matriz_General!$B$2:$B$118=A11),--(Matriz_General!$Y$2:$Y$118&gt;=600))</x:f>
        <x:v>5</x:v>
      </x:c>
      <x:c r="D11" t="n">
        <x:f>SUMPRODUCT(--(Matriz_General!$B$2:$B$118=A11),--(Matriz_General!$Y$2:$Y$118&gt;=150),--(Matriz_General!$Y$2:$Y$118&lt;600))</x:f>
        <x:v>3</x:v>
      </x:c>
      <x:c r="E11" t="n">
        <x:f>SUMPRODUCT(--(Matriz_General!$B$2:$B$118=A11),--(Matriz_General!$Y$2:$Y$118&gt;=150))</x:f>
        <x:v>8</x:v>
      </x:c>
      <x:c r="F11" t="str"/>
      <x:c r="G11" t="str"/>
    </x:row>
    <x:row r="12">
      <x:c r="A12" t="str">
        <x:v>Ocaña</x:v>
      </x:c>
      <x:c r="B12" t="n">
        <x:f>COUNTIF(Matriz_General!$B$2:$B$118,A12)</x:f>
        <x:v>6</x:v>
      </x:c>
      <x:c r="C12" t="n">
        <x:f>SUMPRODUCT(--(Matriz_General!$B$2:$B$118=A12),--(Matriz_General!$Y$2:$Y$118&gt;=600))</x:f>
        <x:v>3</x:v>
      </x:c>
      <x:c r="D12" t="n">
        <x:f>SUMPRODUCT(--(Matriz_General!$B$2:$B$118=A12),--(Matriz_General!$Y$2:$Y$118&gt;=150),--(Matriz_General!$Y$2:$Y$118&lt;600))</x:f>
        <x:v>2</x:v>
      </x:c>
      <x:c r="E12" t="n">
        <x:f>SUMPRODUCT(--(Matriz_General!$B$2:$B$118=A12),--(Matriz_General!$Y$2:$Y$118&gt;=150))</x:f>
        <x:v>5</x:v>
      </x:c>
      <x:c r="F12" t="str"/>
      <x:c r="G12" t="str"/>
    </x:row>
    <x:row r="13">
      <x:c r="A13" t="str">
        <x:v>Girón</x:v>
      </x:c>
      <x:c r="B13" t="n">
        <x:f>COUNTIF(Matriz_General!$B$2:$B$118,A13)</x:f>
        <x:v>6</x:v>
      </x:c>
      <x:c r="C13" t="n">
        <x:f>SUMPRODUCT(--(Matriz_General!$B$2:$B$118=A13),--(Matriz_General!$Y$2:$Y$118&gt;=600))</x:f>
        <x:v>3</x:v>
      </x:c>
      <x:c r="D13" t="n">
        <x:f>SUMPRODUCT(--(Matriz_General!$B$2:$B$118=A13),--(Matriz_General!$Y$2:$Y$118&gt;=150),--(Matriz_General!$Y$2:$Y$118&lt;600))</x:f>
        <x:v>2</x:v>
      </x:c>
      <x:c r="E13" t="n">
        <x:f>SUMPRODUCT(--(Matriz_General!$B$2:$B$118=A13),--(Matriz_General!$Y$2:$Y$118&gt;=150))</x:f>
        <x:v>5</x:v>
      </x:c>
      <x:c r="F13" t="str"/>
      <x:c r="G13" t="str"/>
    </x:row>
    <x:row r="14">
      <x:c r="A14" t="str">
        <x:v>Valledupar</x:v>
      </x:c>
      <x:c r="B14" t="n">
        <x:f>COUNTIF(Matriz_General!$B$2:$B$118,A14)</x:f>
        <x:v>9</x:v>
      </x:c>
      <x:c r="C14" t="n">
        <x:f>SUMPRODUCT(--(Matriz_General!$B$2:$B$118=A14),--(Matriz_General!$Y$2:$Y$118&gt;=600))</x:f>
        <x:v>5</x:v>
      </x:c>
      <x:c r="D14" t="n">
        <x:f>SUMPRODUCT(--(Matriz_General!$B$2:$B$118=A14),--(Matriz_General!$Y$2:$Y$118&gt;=150),--(Matriz_General!$Y$2:$Y$118&lt;600))</x:f>
        <x:v>3</x:v>
      </x:c>
      <x:c r="E14" t="n">
        <x:f>SUMPRODUCT(--(Matriz_General!$B$2:$B$118=A14),--(Matriz_General!$Y$2:$Y$118&gt;=150))</x:f>
        <x:v>8</x:v>
      </x:c>
      <x:c r="F14" t="str"/>
      <x:c r="G14" t="str"/>
    </x:row>
    <x:row r="15">
      <x:c r="A15" t="str">
        <x:v>Arauca</x:v>
      </x:c>
      <x:c r="B15" t="n">
        <x:f>COUNTIF(Matriz_General!$B$2:$B$118,A15)</x:f>
        <x:v>6</x:v>
      </x:c>
      <x:c r="C15" t="n">
        <x:f>SUMPRODUCT(--(Matriz_General!$B$2:$B$118=A15),--(Matriz_General!$Y$2:$Y$118&gt;=600))</x:f>
        <x:v>3</x:v>
      </x:c>
      <x:c r="D15" t="n">
        <x:f>SUMPRODUCT(--(Matriz_General!$B$2:$B$118=A15),--(Matriz_General!$Y$2:$Y$118&gt;=150),--(Matriz_General!$Y$2:$Y$118&lt;600))</x:f>
        <x:v>2</x:v>
      </x:c>
      <x:c r="E15" t="n">
        <x:f>SUMPRODUCT(--(Matriz_General!$B$2:$B$118=A15),--(Matriz_General!$Y$2:$Y$118&gt;=150))</x:f>
        <x:v>5</x:v>
      </x:c>
      <x:c r="F15" t="str"/>
      <x:c r="G15" t="str"/>
    </x:row>
    <x:row r="16">
      <x:c r="A16" t="str">
        <x:v>Bogotá</x:v>
      </x:c>
      <x:c r="B16" t="n">
        <x:f>COUNTIF(Matriz_General!$B$2:$B$118,A16)</x:f>
        <x:v>21</x:v>
      </x:c>
      <x:c r="C16" t="n">
        <x:f>SUMPRODUCT(--(Matriz_General!$B$2:$B$118=A16),--(Matriz_General!$Y$2:$Y$118&gt;=600))</x:f>
        <x:v>9</x:v>
      </x:c>
      <x:c r="D16" t="n">
        <x:f>SUMPRODUCT(--(Matriz_General!$B$2:$B$118=A16),--(Matriz_General!$Y$2:$Y$118&gt;=150),--(Matriz_General!$Y$2:$Y$118&lt;600))</x:f>
        <x:v>9</x:v>
      </x:c>
      <x:c r="E16" t="n">
        <x:f>SUMPRODUCT(--(Matriz_General!$B$2:$B$118=A16),--(Matriz_General!$Y$2:$Y$118&gt;=150))</x:f>
        <x:v>18</x:v>
      </x:c>
      <x:c r="F16" t="str"/>
      <x:c r="G16" t="str"/>
    </x:row>
    <x:row r="17">
      <x:c r="A17" t="str">
        <x:v>Tibú</x:v>
      </x:c>
      <x:c r="B17" t="n">
        <x:f>COUNTIF(Matriz_General!$B$2:$B$118,A17)</x:f>
        <x:v>6</x:v>
      </x:c>
      <x:c r="C17" t="n">
        <x:f>SUMPRODUCT(--(Matriz_General!$B$2:$B$118=A17),--(Matriz_General!$Y$2:$Y$118&gt;=600))</x:f>
        <x:v>3</x:v>
      </x:c>
      <x:c r="D17" t="n">
        <x:f>SUMPRODUCT(--(Matriz_General!$B$2:$B$118=A17),--(Matriz_General!$Y$2:$Y$118&gt;=150),--(Matriz_General!$Y$2:$Y$118&lt;600))</x:f>
        <x:v>2</x:v>
      </x:c>
      <x:c r="E17" t="n">
        <x:f>SUMPRODUCT(--(Matriz_General!$B$2:$B$118=A17),--(Matriz_General!$Y$2:$Y$118&gt;=150))</x:f>
        <x:v>5</x:v>
      </x:c>
      <x:c r="F17" t="str"/>
      <x:c r="G17" t="str"/>
    </x:row>
    <x:row r="18">
      <x:c r="A18" t="str">
        <x:v>Medellín</x:v>
      </x:c>
      <x:c r="B18" t="n">
        <x:f>COUNTIF(Matriz_General!$B$2:$B$118,A18)</x:f>
        <x:v>21</x:v>
      </x:c>
      <x:c r="C18" t="n">
        <x:f>SUMPRODUCT(--(Matriz_General!$B$2:$B$118=A18),--(Matriz_General!$Y$2:$Y$118&gt;=600))</x:f>
        <x:v>9</x:v>
      </x:c>
      <x:c r="D18" t="n">
        <x:f>SUMPRODUCT(--(Matriz_General!$B$2:$B$118=A18),--(Matriz_General!$Y$2:$Y$118&gt;=150),--(Matriz_General!$Y$2:$Y$118&lt;600))</x:f>
        <x:v>9</x:v>
      </x:c>
      <x:c r="E18" t="n">
        <x:f>SUMPRODUCT(--(Matriz_General!$B$2:$B$118=A18),--(Matriz_General!$Y$2:$Y$118&gt;=150))</x:f>
        <x:v>18</x:v>
      </x:c>
      <x:c r="F18" t="str"/>
      <x:c r="G18" t="str"/>
    </x:row>
    <x:row r="19">
      <x:c r="A19" t="str">
        <x:v>Ábrego</x:v>
      </x:c>
      <x:c r="B19" t="n">
        <x:f>COUNTIF(Matriz_General!$B$2:$B$118,A19)</x:f>
        <x:v>6</x:v>
      </x:c>
      <x:c r="C19" t="n">
        <x:f>SUMPRODUCT(--(Matriz_General!$B$2:$B$118=A19),--(Matriz_General!$Y$2:$Y$118&gt;=600))</x:f>
        <x:v>3</x:v>
      </x:c>
      <x:c r="D19" t="n">
        <x:f>SUMPRODUCT(--(Matriz_General!$B$2:$B$118=A19),--(Matriz_General!$Y$2:$Y$118&gt;=150),--(Matriz_General!$Y$2:$Y$118&lt;600))</x:f>
        <x:v>2</x:v>
      </x:c>
      <x:c r="E19" t="n">
        <x:f>SUMPRODUCT(--(Matriz_General!$B$2:$B$118=A19),--(Matriz_General!$Y$2:$Y$118&gt;=150))</x:f>
        <x:v>5</x:v>
      </x:c>
      <x:c r="F19" t="str"/>
      <x:c r="G19" t="str"/>
    </x:row>
    <x:row r="20">
      <x:c r="A20" t="str">
        <x:v>Pamplona</x:v>
      </x:c>
      <x:c r="B20" t="n">
        <x:f>COUNTIF(Matriz_General!$B$2:$B$118,A20)</x:f>
        <x:v>6</x:v>
      </x:c>
      <x:c r="C20" t="n">
        <x:f>SUMPRODUCT(--(Matriz_General!$B$2:$B$118=A20),--(Matriz_General!$Y$2:$Y$118&gt;=600))</x:f>
        <x:v>3</x:v>
      </x:c>
      <x:c r="D20" t="n">
        <x:f>SUMPRODUCT(--(Matriz_General!$B$2:$B$118=A20),--(Matriz_General!$Y$2:$Y$118&gt;=150),--(Matriz_General!$Y$2:$Y$118&lt;600))</x:f>
        <x:v>2</x:v>
      </x:c>
      <x:c r="E20" t="n">
        <x:f>SUMPRODUCT(--(Matriz_General!$B$2:$B$118=A20),--(Matriz_General!$Y$2:$Y$118&gt;=150))</x:f>
        <x:v>5</x:v>
      </x:c>
      <x:c r="F20" t="str"/>
      <x:c r="G20" t="str"/>
    </x:row>
    <x:row r="21">
      <x:c r="A21" t="str"/>
      <x:c r="B21" t="str"/>
      <x:c r="C21" t="str"/>
      <x:c r="D21" t="str"/>
      <x:c r="E21" t="str"/>
      <x:c r="F21" t="str"/>
      <x:c r="G21" t="str"/>
    </x:row>
    <x:row r="22">
      <x:c r="A22" t="str">
        <x:v>Proceso</x:v>
      </x:c>
      <x:c r="B22" t="str">
        <x:v>Total peligros</x:v>
      </x:c>
      <x:c r="C22" t="str">
        <x:v>Nivel I</x:v>
      </x:c>
      <x:c r="D22" t="str">
        <x:v>Nivel II</x:v>
      </x:c>
      <x:c r="E22" t="str">
        <x:v>Aceptables</x:v>
      </x:c>
      <x:c r="F22" t="str"/>
      <x:c r="G22" t="str"/>
    </x:row>
    <x:row r="23">
      <x:c r="A23" s="3" t="str">
        <x:v>Dirección estratégica</x:v>
      </x:c>
      <x:c r="B23" s="3" t="n">
        <x:f>COUNTIF(Matriz_General!$C$2:$C$118,A23)</x:f>
        <x:v>3</x:v>
      </x:c>
      <x:c r="C23" s="3" t="n">
        <x:f>SUMPRODUCT(--(Matriz_General!$C$2:$C$118=A23),--(Matriz_General!$Y$2:$Y$118&gt;=600))</x:f>
        <x:v>0</x:v>
      </x:c>
      <x:c r="D23" s="3" t="n">
        <x:f>SUMPRODUCT(--(Matriz_General!$C$2:$C$118=A23),--(Matriz_General!$Y$2:$Y$118&gt;=150),--(Matriz_General!$Y$2:$Y$118&lt;600))</x:f>
        <x:v>3</x:v>
      </x:c>
      <x:c r="E23" s="3" t="n">
        <x:f>SUMPRODUCT(--(Matriz_General!$C$2:$C$118=A23),--(Matriz_General!$Y$2:$Y$118&gt;0),--(Matriz_General!$Y$2:$Y$118&lt;150))</x:f>
        <x:v>0</x:v>
      </x:c>
      <x:c r="F23" t="str"/>
      <x:c r="G23" t="str"/>
    </x:row>
    <x:row r="24">
      <x:c r="A24" t="str">
        <x:v>Gestión administrativa y financiera</x:v>
      </x:c>
      <x:c r="B24" t="n">
        <x:f>COUNTIF(Matriz_General!$C$2:$C$118,A24)</x:f>
        <x:v>6</x:v>
      </x:c>
      <x:c r="C24" t="n">
        <x:f>SUMPRODUCT(--(Matriz_General!$C$2:$C$118=A24),--(Matriz_General!$Y$2:$Y$118&gt;=600))</x:f>
        <x:v>0</x:v>
      </x:c>
      <x:c r="D24" t="n">
        <x:f>SUMPRODUCT(--(Matriz_General!$C$2:$C$118=A24),--(Matriz_General!$Y$2:$Y$118&gt;=150),--(Matriz_General!$Y$2:$Y$118&lt;600))</x:f>
        <x:v>6</x:v>
      </x:c>
      <x:c r="E24" t="n">
        <x:f>SUMPRODUCT(--(Matriz_General!$C$2:$C$118=A24),--(Matriz_General!$Y$2:$Y$118&gt;0),--(Matriz_General!$Y$2:$Y$118&lt;150))</x:f>
        <x:v>0</x:v>
      </x:c>
      <x:c r="F24" t="str"/>
      <x:c r="G24" t="str"/>
    </x:row>
    <x:row r="25">
      <x:c r="A25" t="str">
        <x:v>Gestión del talento humano</x:v>
      </x:c>
      <x:c r="B25" t="n">
        <x:f>COUNTIF(Matriz_General!$C$2:$C$118,A25)</x:f>
        <x:v>3</x:v>
      </x:c>
      <x:c r="C25" t="n">
        <x:f>SUMPRODUCT(--(Matriz_General!$C$2:$C$118=A25),--(Matriz_General!$Y$2:$Y$118&gt;=600))</x:f>
        <x:v>3</x:v>
      </x:c>
      <x:c r="D25" t="n">
        <x:f>SUMPRODUCT(--(Matriz_General!$C$2:$C$118=A25),--(Matriz_General!$Y$2:$Y$118&gt;=150),--(Matriz_General!$Y$2:$Y$118&lt;600))</x:f>
        <x:v>0</x:v>
      </x:c>
      <x:c r="E25" t="n">
        <x:f>SUMPRODUCT(--(Matriz_General!$C$2:$C$118=A25),--(Matriz_General!$Y$2:$Y$118&gt;0),--(Matriz_General!$Y$2:$Y$118&lt;150))</x:f>
        <x:v>0</x:v>
      </x:c>
      <x:c r="F25" t="str"/>
      <x:c r="G25" t="str"/>
    </x:row>
    <x:row r="26">
      <x:c r="A26" t="str">
        <x:v>Gestión SST</x:v>
      </x:c>
      <x:c r="B26" t="n">
        <x:f>COUNTIF(Matriz_General!$C$2:$C$118,A26)</x:f>
        <x:v>3</x:v>
      </x:c>
      <x:c r="C26" t="n">
        <x:f>SUMPRODUCT(--(Matriz_General!$C$2:$C$118=A26),--(Matriz_General!$Y$2:$Y$118&gt;=600))</x:f>
        <x:v>3</x:v>
      </x:c>
      <x:c r="D26" t="n">
        <x:f>SUMPRODUCT(--(Matriz_General!$C$2:$C$118=A26),--(Matriz_General!$Y$2:$Y$118&gt;=150),--(Matriz_General!$Y$2:$Y$118&lt;600))</x:f>
        <x:v>0</x:v>
      </x:c>
      <x:c r="E26" t="n">
        <x:f>SUMPRODUCT(--(Matriz_General!$C$2:$C$118=A26),--(Matriz_General!$Y$2:$Y$118&gt;0),--(Matriz_General!$Y$2:$Y$118&lt;150))</x:f>
        <x:v>0</x:v>
      </x:c>
      <x:c r="F26" t="str"/>
      <x:c r="G26" t="str"/>
    </x:row>
    <x:row r="27">
      <x:c r="A27" t="str">
        <x:v>Vigilancia física fija</x:v>
      </x:c>
      <x:c r="B27" t="n">
        <x:f>COUNTIF(Matriz_General!$C$2:$C$118,A27)</x:f>
        <x:v>44</x:v>
      </x:c>
      <x:c r="C27" t="n">
        <x:f>SUMPRODUCT(--(Matriz_General!$C$2:$C$118=A27),--(Matriz_General!$Y$2:$Y$118&gt;=600))</x:f>
        <x:v>11</x:v>
      </x:c>
      <x:c r="D27" t="n">
        <x:f>SUMPRODUCT(--(Matriz_General!$C$2:$C$118=A27),--(Matriz_General!$Y$2:$Y$118&gt;=150),--(Matriz_General!$Y$2:$Y$118&lt;600))</x:f>
        <x:v>22</x:v>
      </x:c>
      <x:c r="E27" t="n">
        <x:f>SUMPRODUCT(--(Matriz_General!$C$2:$C$118=A27),--(Matriz_General!$Y$2:$Y$118&gt;0),--(Matriz_General!$Y$2:$Y$118&lt;150))</x:f>
        <x:v>11</x:v>
      </x:c>
      <x:c r="F27" t="str"/>
      <x:c r="G27" t="str"/>
    </x:row>
    <x:row r="28">
      <x:c r="A28" t="str">
        <x:v>Supervisión operativa y rondas</x:v>
      </x:c>
      <x:c r="B28" t="n">
        <x:f>COUNTIF(Matriz_General!$C$2:$C$118,A28)</x:f>
        <x:v>22</x:v>
      </x:c>
      <x:c r="C28" t="n">
        <x:f>SUMPRODUCT(--(Matriz_General!$C$2:$C$118=A28),--(Matriz_General!$Y$2:$Y$118&gt;=600))</x:f>
        <x:v>22</x:v>
      </x:c>
      <x:c r="D28" t="n">
        <x:f>SUMPRODUCT(--(Matriz_General!$C$2:$C$118=A28),--(Matriz_General!$Y$2:$Y$118&gt;=150),--(Matriz_General!$Y$2:$Y$118&lt;600))</x:f>
        <x:v>0</x:v>
      </x:c>
      <x:c r="E28" t="n">
        <x:f>SUMPRODUCT(--(Matriz_General!$C$2:$C$118=A28),--(Matriz_General!$Y$2:$Y$118&gt;0),--(Matriz_General!$Y$2:$Y$118&lt;150))</x:f>
        <x:v>0</x:v>
      </x:c>
      <x:c r="F28" t="str"/>
      <x:c r="G28" t="str"/>
    </x:row>
    <x:row r="29">
      <x:c r="A29" t="str">
        <x:v>Monitoreo de medios tecnológicos</x:v>
      </x:c>
      <x:c r="B29" t="n">
        <x:f>COUNTIF(Matriz_General!$C$2:$C$118,A29)</x:f>
        <x:v>9</x:v>
      </x:c>
      <x:c r="C29" t="n">
        <x:f>SUMPRODUCT(--(Matriz_General!$C$2:$C$118=A29),--(Matriz_General!$Y$2:$Y$118&gt;=600))</x:f>
        <x:v>0</x:v>
      </x:c>
      <x:c r="D29" t="n">
        <x:f>SUMPRODUCT(--(Matriz_General!$C$2:$C$118=A29),--(Matriz_General!$Y$2:$Y$118&gt;=150),--(Matriz_General!$Y$2:$Y$118&lt;600))</x:f>
        <x:v>6</x:v>
      </x:c>
      <x:c r="E29" t="n">
        <x:f>SUMPRODUCT(--(Matriz_General!$C$2:$C$118=A29),--(Matriz_General!$Y$2:$Y$118&gt;0),--(Matriz_General!$Y$2:$Y$118&lt;150))</x:f>
        <x:v>3</x:v>
      </x:c>
      <x:c r="F29" t="str"/>
      <x:c r="G29" t="str"/>
    </x:row>
    <x:row r="30">
      <x:c r="A30" t="str">
        <x:v>Instalación y mantenimiento de medios tecnológicos</x:v>
      </x:c>
      <x:c r="B30" t="n">
        <x:f>COUNTIF(Matriz_General!$C$2:$C$118,A30)</x:f>
        <x:v>9</x:v>
      </x:c>
      <x:c r="C30" t="n">
        <x:f>SUMPRODUCT(--(Matriz_General!$C$2:$C$118=A30),--(Matriz_General!$Y$2:$Y$118&gt;=600))</x:f>
        <x:v>6</x:v>
      </x:c>
      <x:c r="D30" t="n">
        <x:f>SUMPRODUCT(--(Matriz_General!$C$2:$C$118=A30),--(Matriz_General!$Y$2:$Y$118&gt;=150),--(Matriz_General!$Y$2:$Y$118&lt;600))</x:f>
        <x:v>3</x:v>
      </x:c>
      <x:c r="E30" t="n">
        <x:f>SUMPRODUCT(--(Matriz_General!$C$2:$C$118=A30),--(Matriz_General!$Y$2:$Y$118&gt;0),--(Matriz_General!$Y$2:$Y$118&lt;150))</x:f>
        <x:v>0</x:v>
      </x:c>
      <x:c r="F30" t="str"/>
      <x:c r="G30" t="str"/>
    </x:row>
    <x:row r="31">
      <x:c r="A31" t="str">
        <x:v>Escolta</x:v>
      </x:c>
      <x:c r="B31" t="n">
        <x:f>COUNTIF(Matriz_General!$C$2:$C$118,A31)</x:f>
        <x:v>15</x:v>
      </x:c>
      <x:c r="C31" t="n">
        <x:f>SUMPRODUCT(--(Matriz_General!$C$2:$C$118=A31),--(Matriz_General!$Y$2:$Y$118&gt;=600))</x:f>
        <x:v>10</x:v>
      </x:c>
      <x:c r="D31" t="n">
        <x:f>SUMPRODUCT(--(Matriz_General!$C$2:$C$118=A31),--(Matriz_General!$Y$2:$Y$118&gt;=150),--(Matriz_General!$Y$2:$Y$118&lt;600))</x:f>
        <x:v>5</x:v>
      </x:c>
      <x:c r="E31" t="n">
        <x:f>SUMPRODUCT(--(Matriz_General!$C$2:$C$118=A31),--(Matriz_General!$Y$2:$Y$118&gt;0),--(Matriz_General!$Y$2:$Y$118&lt;150))</x:f>
        <x:v>0</x:v>
      </x:c>
      <x:c r="F31" t="str"/>
      <x:c r="G31" t="str"/>
    </x:row>
    <x:row r="32">
      <x:c r="A32" t="str">
        <x:v>Gestión jurídica y compras</x:v>
      </x:c>
      <x:c r="B32" t="n">
        <x:f>COUNTIF(Matriz_General!$C$2:$C$118,A32)</x:f>
        <x:v>3</x:v>
      </x:c>
      <x:c r="C32" t="n">
        <x:f>SUMPRODUCT(--(Matriz_General!$C$2:$C$118=A32),--(Matriz_General!$Y$2:$Y$118&gt;=600))</x:f>
        <x:v>0</x:v>
      </x:c>
      <x:c r="D32" t="n">
        <x:f>SUMPRODUCT(--(Matriz_General!$C$2:$C$118=A32),--(Matriz_General!$Y$2:$Y$118&gt;=150),--(Matriz_General!$Y$2:$Y$118&lt;600))</x:f>
        <x:v>0</x:v>
      </x:c>
      <x:c r="E32" t="n">
        <x:f>SUMPRODUCT(--(Matriz_General!$C$2:$C$118=A32),--(Matriz_General!$Y$2:$Y$118&gt;0),--(Matriz_General!$Y$2:$Y$118&lt;150))</x:f>
        <x:v>3</x:v>
      </x:c>
      <x:c r="F32" t="str"/>
      <x:c r="G32" t="str"/>
    </x:row>
  </x:sheetData>
  <x:mergeCells>
    <x:mergeCell ref="A1:G1"/>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s>
  <x:sheetData>
    <x:row r="1">
      <x:c r="A1" s="24" t="str">
        <x:v>Dashboard - Matriz de Peligros y Riesgos GTC 45:2012</x:v>
      </x:c>
      <x:c r="B1" s="12" t="str"/>
      <x:c r="C1" s="12" t="str"/>
      <x:c r="D1" s="12" t="str"/>
      <x:c r="E1" s="12" t="str"/>
      <x:c r="F1" s="12" t="str"/>
      <x:c r="G1" s="12" t="str"/>
      <x:c r="H1" s="12" t="str"/>
      <x:c r="I1" s="12" t="str"/>
      <x:c r="J1" s="12" t="str"/>
      <x:c r="K1" s="12" t="str"/>
      <x:c r="L1" s="12" t="str"/>
    </x:row>
    <x:row r="2">
      <x:c r="A2" s="12" t="str"/>
      <x:c r="B2" s="12" t="str"/>
      <x:c r="C2" s="12" t="str"/>
      <x:c r="D2" s="12" t="str"/>
      <x:c r="E2" s="12" t="str"/>
      <x:c r="F2" s="12" t="str"/>
      <x:c r="G2" s="12" t="str"/>
      <x:c r="H2" s="12" t="str"/>
      <x:c r="I2" s="12" t="str"/>
      <x:c r="J2" s="12" t="str"/>
      <x:c r="K2" s="12" t="str"/>
      <x:c r="L2" s="12" t="str"/>
    </x:row>
    <x:row r="3">
      <x:c r="A3" s="4" t="str">
        <x:v>KPI</x:v>
      </x:c>
      <x:c r="B3" s="4" t="str">
        <x:v>Valor</x:v>
      </x:c>
      <x:c r="C3" s="12" t="str"/>
      <x:c r="D3" s="4" t="str">
        <x:v>Nivel</x:v>
      </x:c>
      <x:c r="E3" s="4" t="str">
        <x:v>Cantidad</x:v>
      </x:c>
      <x:c r="F3" s="12" t="str"/>
      <x:c r="G3" s="12" t="str"/>
      <x:c r="H3" s="12" t="str"/>
      <x:c r="I3" s="12" t="str"/>
      <x:c r="J3" s="12" t="str"/>
      <x:c r="K3" s="12" t="str"/>
      <x:c r="L3" s="12" t="str"/>
    </x:row>
    <x:row r="4">
      <x:c r="A4" s="39" t="str">
        <x:v>Total peligros identificados</x:v>
      </x:c>
      <x:c r="B4" s="50" t="n">
        <x:f>Resumen!B3</x:f>
        <x:v>117</x:v>
      </x:c>
      <x:c r="C4" s="12" t="str"/>
      <x:c r="D4" s="47" t="str">
        <x:v>I</x:v>
      </x:c>
      <x:c r="E4" s="52" t="n">
        <x:f>Resumen!E3</x:f>
        <x:v>55</x:v>
      </x:c>
      <x:c r="F4" s="12" t="str"/>
      <x:c r="G4" s="12" t="str"/>
      <x:c r="H4" s="12" t="str"/>
      <x:c r="I4" s="12" t="str"/>
      <x:c r="J4" s="12" t="str"/>
      <x:c r="K4" s="12" t="str"/>
      <x:c r="L4" s="12" t="str"/>
    </x:row>
    <x:row r="5">
      <x:c r="A5" s="39" t="str">
        <x:v>Riesgos no aceptables</x:v>
      </x:c>
      <x:c r="B5" s="50" t="n">
        <x:f>Resumen!B4</x:f>
        <x:v>100</x:v>
      </x:c>
      <x:c r="C5" s="12" t="str"/>
      <x:c r="D5" s="47" t="str">
        <x:v>II</x:v>
      </x:c>
      <x:c r="E5" s="52" t="n">
        <x:f>Resumen!E4</x:f>
        <x:v>45</x:v>
      </x:c>
      <x:c r="F5" s="12" t="str"/>
      <x:c r="G5" s="12" t="str"/>
      <x:c r="H5" s="12" t="str"/>
      <x:c r="I5" s="12" t="str"/>
      <x:c r="J5" s="12" t="str"/>
      <x:c r="K5" s="12" t="str"/>
      <x:c r="L5" s="12" t="str"/>
    </x:row>
    <x:row r="6">
      <x:c r="A6" s="39" t="str">
        <x:v>Riesgos aceptables</x:v>
      </x:c>
      <x:c r="B6" s="50" t="n">
        <x:f>Resumen!B5</x:f>
        <x:v>17</x:v>
      </x:c>
      <x:c r="C6" s="12" t="str"/>
      <x:c r="D6" s="47" t="str">
        <x:v>III</x:v>
      </x:c>
      <x:c r="E6" s="52" t="n">
        <x:f>Resumen!E5</x:f>
        <x:v>17</x:v>
      </x:c>
      <x:c r="F6" s="12" t="str"/>
      <x:c r="G6" s="12" t="str"/>
      <x:c r="H6" s="12" t="str"/>
      <x:c r="I6" s="12" t="str"/>
      <x:c r="J6" s="12" t="str"/>
      <x:c r="K6" s="12" t="str"/>
      <x:c r="L6" s="12" t="str"/>
    </x:row>
    <x:row r="7">
      <x:c r="A7" s="39" t="str">
        <x:v>Procesos evaluados</x:v>
      </x:c>
      <x:c r="B7" s="50" t="n">
        <x:f>Resumen!B6</x:f>
        <x:v>10</x:v>
      </x:c>
      <x:c r="C7" s="12" t="str"/>
      <x:c r="D7" s="47" t="str">
        <x:v>IV</x:v>
      </x:c>
      <x:c r="E7" s="52" t="n">
        <x:f>Resumen!E6</x:f>
        <x:v>0</x:v>
      </x:c>
      <x:c r="F7" s="12" t="str"/>
      <x:c r="G7" s="12" t="str"/>
      <x:c r="H7" s="12" t="str"/>
      <x:c r="I7" s="12" t="str"/>
      <x:c r="J7" s="12" t="str"/>
      <x:c r="K7" s="12" t="str"/>
      <x:c r="L7" s="12" t="str"/>
    </x:row>
    <x:row r="8">
      <x:c r="A8" s="39" t="str">
        <x:v>Sedes evaluadas</x:v>
      </x:c>
      <x:c r="B8" s="50" t="n">
        <x:f>Resumen!B7</x:f>
        <x:v>11</x:v>
      </x:c>
      <x:c r="C8" s="12" t="str"/>
      <x:c r="D8" s="12" t="str"/>
      <x:c r="E8" s="12" t="str"/>
      <x:c r="F8" s="12" t="str"/>
      <x:c r="G8" s="12" t="str"/>
      <x:c r="H8" s="12" t="str"/>
      <x:c r="I8" s="12" t="str"/>
      <x:c r="J8" s="12" t="str"/>
      <x:c r="K8" s="12" t="str"/>
      <x:c r="L8" s="12" t="str"/>
    </x:row>
    <x:row r="9">
      <x:c r="A9" s="12" t="str"/>
      <x:c r="B9" s="12" t="str"/>
      <x:c r="C9" s="12" t="str"/>
      <x:c r="D9" s="12" t="str"/>
      <x:c r="E9" s="12" t="str"/>
      <x:c r="F9" s="12" t="str"/>
      <x:c r="G9" s="12" t="str"/>
      <x:c r="H9" s="12" t="str"/>
      <x:c r="I9" s="12" t="str"/>
      <x:c r="J9" s="12" t="str"/>
      <x:c r="K9" s="12" t="str"/>
      <x:c r="L9" s="12" t="str"/>
    </x:row>
    <x:row r="10">
      <x:c r="A10" s="4" t="str">
        <x:v>Sede</x:v>
      </x:c>
      <x:c r="B10" s="4" t="str">
        <x:v>Peligros</x:v>
      </x:c>
      <x:c r="C10" s="4" t="str">
        <x:v>Nivel I</x:v>
      </x:c>
      <x:c r="D10" s="4" t="str">
        <x:v>Nivel II</x:v>
      </x:c>
      <x:c r="E10" s="4" t="str">
        <x:v>No aceptables</x:v>
      </x:c>
      <x:c r="F10" s="12" t="str"/>
      <x:c r="G10" s="12" t="str"/>
      <x:c r="H10" s="12" t="str"/>
      <x:c r="I10" s="12" t="str"/>
      <x:c r="J10" s="12" t="str"/>
      <x:c r="K10" s="12" t="str"/>
      <x:c r="L10" s="12" t="str"/>
    </x:row>
    <x:row r="11">
      <x:c r="A11" s="12" t="str">
        <x:f>Resumen!A10</x:f>
        <x:v>Cúcuta</x:v>
      </x:c>
      <x:c r="B11" s="12" t="n">
        <x:f>Resumen!B10</x:f>
        <x:v>21</x:v>
      </x:c>
      <x:c r="C11" s="12" t="n">
        <x:f>Resumen!C10</x:f>
        <x:v>9</x:v>
      </x:c>
      <x:c r="D11" s="12" t="n">
        <x:f>Resumen!D10</x:f>
        <x:v>9</x:v>
      </x:c>
      <x:c r="E11" s="12" t="n">
        <x:f>Resumen!E10</x:f>
        <x:v>18</x:v>
      </x:c>
      <x:c r="F11" s="12" t="str"/>
      <x:c r="G11" s="12" t="str"/>
      <x:c r="H11" s="12" t="str"/>
      <x:c r="I11" s="12" t="str"/>
      <x:c r="J11" s="12" t="str"/>
      <x:c r="K11" s="12" t="str"/>
      <x:c r="L11" s="12" t="str"/>
    </x:row>
    <x:row r="12">
      <x:c r="A12" s="12" t="str">
        <x:f>Resumen!A11</x:f>
        <x:v>Barrancabermeja</x:v>
      </x:c>
      <x:c r="B12" s="12" t="n">
        <x:f>Resumen!B11</x:f>
        <x:v>9</x:v>
      </x:c>
      <x:c r="C12" s="12" t="n">
        <x:f>Resumen!C11</x:f>
        <x:v>5</x:v>
      </x:c>
      <x:c r="D12" s="12" t="n">
        <x:f>Resumen!D11</x:f>
        <x:v>3</x:v>
      </x:c>
      <x:c r="E12" s="12" t="n">
        <x:f>Resumen!E11</x:f>
        <x:v>8</x:v>
      </x:c>
      <x:c r="F12" s="12" t="str"/>
      <x:c r="G12" s="12" t="str"/>
      <x:c r="H12" s="12" t="str"/>
      <x:c r="I12" s="12" t="str"/>
      <x:c r="J12" s="12" t="str"/>
      <x:c r="K12" s="12" t="str"/>
      <x:c r="L12" s="12" t="str"/>
    </x:row>
    <x:row r="13">
      <x:c r="A13" s="12" t="str">
        <x:f>Resumen!A12</x:f>
        <x:v>Ocaña</x:v>
      </x:c>
      <x:c r="B13" s="12" t="n">
        <x:f>Resumen!B12</x:f>
        <x:v>6</x:v>
      </x:c>
      <x:c r="C13" s="12" t="n">
        <x:f>Resumen!C12</x:f>
        <x:v>3</x:v>
      </x:c>
      <x:c r="D13" s="12" t="n">
        <x:f>Resumen!D12</x:f>
        <x:v>2</x:v>
      </x:c>
      <x:c r="E13" s="12" t="n">
        <x:f>Resumen!E12</x:f>
        <x:v>5</x:v>
      </x:c>
      <x:c r="F13" s="12" t="str"/>
      <x:c r="G13" s="12" t="str"/>
      <x:c r="H13" s="12" t="str"/>
      <x:c r="I13" s="12" t="str"/>
      <x:c r="J13" s="12" t="str"/>
      <x:c r="K13" s="12" t="str"/>
      <x:c r="L13" s="12" t="str"/>
    </x:row>
    <x:row r="14">
      <x:c r="A14" s="12" t="str">
        <x:f>Resumen!A13</x:f>
        <x:v>Girón</x:v>
      </x:c>
      <x:c r="B14" s="12" t="n">
        <x:f>Resumen!B13</x:f>
        <x:v>6</x:v>
      </x:c>
      <x:c r="C14" s="12" t="n">
        <x:f>Resumen!C13</x:f>
        <x:v>3</x:v>
      </x:c>
      <x:c r="D14" s="12" t="n">
        <x:f>Resumen!D13</x:f>
        <x:v>2</x:v>
      </x:c>
      <x:c r="E14" s="12" t="n">
        <x:f>Resumen!E13</x:f>
        <x:v>5</x:v>
      </x:c>
      <x:c r="F14" s="12" t="str"/>
      <x:c r="G14" s="12" t="str"/>
      <x:c r="H14" s="12" t="str"/>
      <x:c r="I14" s="12" t="str"/>
      <x:c r="J14" s="12" t="str"/>
      <x:c r="K14" s="12" t="str"/>
      <x:c r="L14" s="12" t="str"/>
    </x:row>
    <x:row r="15">
      <x:c r="A15" s="12" t="str">
        <x:f>Resumen!A14</x:f>
        <x:v>Valledupar</x:v>
      </x:c>
      <x:c r="B15" s="12" t="n">
        <x:f>Resumen!B14</x:f>
        <x:v>9</x:v>
      </x:c>
      <x:c r="C15" s="12" t="n">
        <x:f>Resumen!C14</x:f>
        <x:v>5</x:v>
      </x:c>
      <x:c r="D15" s="12" t="n">
        <x:f>Resumen!D14</x:f>
        <x:v>3</x:v>
      </x:c>
      <x:c r="E15" s="12" t="n">
        <x:f>Resumen!E14</x:f>
        <x:v>8</x:v>
      </x:c>
      <x:c r="F15" s="12" t="str"/>
      <x:c r="G15" s="12" t="str"/>
      <x:c r="H15" s="12" t="str"/>
      <x:c r="I15" s="12" t="str"/>
      <x:c r="J15" s="12" t="str"/>
      <x:c r="K15" s="12" t="str"/>
      <x:c r="L15" s="12" t="str"/>
    </x:row>
    <x:row r="16">
      <x:c r="A16" s="12" t="str">
        <x:f>Resumen!A15</x:f>
        <x:v>Arauca</x:v>
      </x:c>
      <x:c r="B16" s="12" t="n">
        <x:f>Resumen!B15</x:f>
        <x:v>6</x:v>
      </x:c>
      <x:c r="C16" s="12" t="n">
        <x:f>Resumen!C15</x:f>
        <x:v>3</x:v>
      </x:c>
      <x:c r="D16" s="12" t="n">
        <x:f>Resumen!D15</x:f>
        <x:v>2</x:v>
      </x:c>
      <x:c r="E16" s="12" t="n">
        <x:f>Resumen!E15</x:f>
        <x:v>5</x:v>
      </x:c>
      <x:c r="F16" s="12" t="str"/>
      <x:c r="G16" s="12" t="str"/>
      <x:c r="H16" s="12" t="str"/>
      <x:c r="I16" s="12" t="str"/>
      <x:c r="J16" s="12" t="str"/>
      <x:c r="K16" s="12" t="str"/>
      <x:c r="L16" s="12" t="str"/>
    </x:row>
    <x:row r="17">
      <x:c r="A17" s="12" t="str">
        <x:f>Resumen!A16</x:f>
        <x:v>Bogotá</x:v>
      </x:c>
      <x:c r="B17" s="12" t="n">
        <x:f>Resumen!B16</x:f>
        <x:v>21</x:v>
      </x:c>
      <x:c r="C17" s="12" t="n">
        <x:f>Resumen!C16</x:f>
        <x:v>9</x:v>
      </x:c>
      <x:c r="D17" s="12" t="n">
        <x:f>Resumen!D16</x:f>
        <x:v>9</x:v>
      </x:c>
      <x:c r="E17" s="12" t="n">
        <x:f>Resumen!E16</x:f>
        <x:v>18</x:v>
      </x:c>
      <x:c r="F17" s="12" t="str"/>
      <x:c r="G17" s="12" t="str"/>
      <x:c r="H17" s="12" t="str"/>
      <x:c r="I17" s="12" t="str"/>
      <x:c r="J17" s="12" t="str"/>
      <x:c r="K17" s="12" t="str"/>
      <x:c r="L17" s="12" t="str"/>
    </x:row>
    <x:row r="18">
      <x:c r="A18" s="12" t="str">
        <x:f>Resumen!A17</x:f>
        <x:v>Tibú</x:v>
      </x:c>
      <x:c r="B18" s="12" t="n">
        <x:f>Resumen!B17</x:f>
        <x:v>6</x:v>
      </x:c>
      <x:c r="C18" s="12" t="n">
        <x:f>Resumen!C17</x:f>
        <x:v>3</x:v>
      </x:c>
      <x:c r="D18" s="12" t="n">
        <x:f>Resumen!D17</x:f>
        <x:v>2</x:v>
      </x:c>
      <x:c r="E18" s="12" t="n">
        <x:f>Resumen!E17</x:f>
        <x:v>5</x:v>
      </x:c>
      <x:c r="F18" s="12" t="str"/>
      <x:c r="G18" s="12" t="str"/>
      <x:c r="H18" s="12" t="str"/>
      <x:c r="I18" s="12" t="str"/>
      <x:c r="J18" s="12" t="str"/>
      <x:c r="K18" s="12" t="str"/>
      <x:c r="L18" s="12" t="str"/>
    </x:row>
    <x:row r="19">
      <x:c r="A19" s="12" t="str">
        <x:f>Resumen!A18</x:f>
        <x:v>Medellín</x:v>
      </x:c>
      <x:c r="B19" s="12" t="n">
        <x:f>Resumen!B18</x:f>
        <x:v>21</x:v>
      </x:c>
      <x:c r="C19" s="12" t="n">
        <x:f>Resumen!C18</x:f>
        <x:v>9</x:v>
      </x:c>
      <x:c r="D19" s="12" t="n">
        <x:f>Resumen!D18</x:f>
        <x:v>9</x:v>
      </x:c>
      <x:c r="E19" s="12" t="n">
        <x:f>Resumen!E18</x:f>
        <x:v>18</x:v>
      </x:c>
      <x:c r="F19" s="12" t="str"/>
      <x:c r="G19" s="12" t="str"/>
      <x:c r="H19" s="12" t="str"/>
      <x:c r="I19" s="12" t="str"/>
      <x:c r="J19" s="12" t="str"/>
      <x:c r="K19" s="12" t="str"/>
      <x:c r="L19" s="12" t="str"/>
    </x:row>
    <x:row r="20">
      <x:c r="A20" s="12" t="str">
        <x:f>Resumen!A19</x:f>
        <x:v>Ábrego</x:v>
      </x:c>
      <x:c r="B20" s="12" t="n">
        <x:f>Resumen!B19</x:f>
        <x:v>6</x:v>
      </x:c>
      <x:c r="C20" s="12" t="n">
        <x:f>Resumen!C19</x:f>
        <x:v>3</x:v>
      </x:c>
      <x:c r="D20" s="12" t="n">
        <x:f>Resumen!D19</x:f>
        <x:v>2</x:v>
      </x:c>
      <x:c r="E20" s="12" t="n">
        <x:f>Resumen!E19</x:f>
        <x:v>5</x:v>
      </x:c>
      <x:c r="F20" s="12" t="str"/>
      <x:c r="G20" s="12" t="str"/>
      <x:c r="H20" s="12" t="str"/>
      <x:c r="I20" s="12" t="str"/>
      <x:c r="J20" s="12" t="str"/>
      <x:c r="K20" s="12" t="str"/>
      <x:c r="L20" s="12" t="str"/>
    </x:row>
    <x:row r="21">
      <x:c r="A21" s="12" t="str">
        <x:f>Resumen!A20</x:f>
        <x:v>Pamplona</x:v>
      </x:c>
      <x:c r="B21" s="12" t="n">
        <x:f>Resumen!B20</x:f>
        <x:v>6</x:v>
      </x:c>
      <x:c r="C21" s="12" t="n">
        <x:f>Resumen!C20</x:f>
        <x:v>3</x:v>
      </x:c>
      <x:c r="D21" s="12" t="n">
        <x:f>Resumen!D20</x:f>
        <x:v>2</x:v>
      </x:c>
      <x:c r="E21" s="12" t="n">
        <x:f>Resumen!E20</x:f>
        <x:v>5</x:v>
      </x:c>
      <x:c r="F21" s="12" t="str"/>
      <x:c r="G21" s="12" t="str"/>
      <x:c r="H21" s="12" t="str"/>
      <x:c r="I21" s="12" t="str"/>
      <x:c r="J21" s="12" t="str"/>
      <x:c r="K21" s="12" t="str"/>
      <x:c r="L21" s="12" t="str"/>
    </x:row>
    <x:row r="22">
      <x:c r="A22" s="12" t="str"/>
      <x:c r="B22" s="12" t="str"/>
      <x:c r="C22" s="12" t="str"/>
      <x:c r="D22" s="12" t="str"/>
      <x:c r="E22" s="12" t="str"/>
      <x:c r="F22" s="12" t="str"/>
      <x:c r="G22" s="12" t="str"/>
      <x:c r="H22" s="12" t="str"/>
      <x:c r="I22" s="12" t="str"/>
      <x:c r="J22" s="12" t="str"/>
      <x:c r="K22" s="12" t="str"/>
      <x:c r="L22" s="12" t="str"/>
    </x:row>
    <x:row r="23">
      <x:c r="A23" s="12" t="str"/>
      <x:c r="B23" s="12" t="str"/>
      <x:c r="C23" s="12" t="str"/>
      <x:c r="D23" s="12" t="str"/>
      <x:c r="E23" s="12" t="str"/>
      <x:c r="F23" s="12" t="str"/>
      <x:c r="G23" s="12" t="str"/>
      <x:c r="H23" s="12" t="str"/>
      <x:c r="I23" s="12" t="str"/>
      <x:c r="J23" s="12" t="str"/>
      <x:c r="K23" s="12" t="str"/>
      <x:c r="L23" s="12" t="str"/>
    </x:row>
    <x:row r="24">
      <x:c r="A24" s="4" t="str">
        <x:v>Proceso</x:v>
      </x:c>
      <x:c r="B24" s="4" t="str">
        <x:v>Peligros</x:v>
      </x:c>
      <x:c r="C24" s="4" t="str">
        <x:v>Nivel I</x:v>
      </x:c>
      <x:c r="D24" s="4" t="str">
        <x:v>Nivel II</x:v>
      </x:c>
      <x:c r="E24" s="4" t="str">
        <x:v>Aceptables</x:v>
      </x:c>
      <x:c r="F24" s="12" t="str"/>
      <x:c r="G24" s="12" t="str"/>
      <x:c r="H24" s="12" t="str"/>
      <x:c r="I24" s="12" t="str"/>
      <x:c r="J24" s="12" t="str"/>
      <x:c r="K24" s="12" t="str"/>
      <x:c r="L24" s="12" t="str"/>
    </x:row>
    <x:row r="25">
      <x:c r="A25" s="12" t="str">
        <x:f>Resumen!A23</x:f>
        <x:v>Dirección estratégica</x:v>
      </x:c>
      <x:c r="B25" s="12" t="n">
        <x:f>Resumen!B23</x:f>
        <x:v>3</x:v>
      </x:c>
      <x:c r="C25" s="12" t="n">
        <x:f>Resumen!C23</x:f>
        <x:v>0</x:v>
      </x:c>
      <x:c r="D25" s="12" t="n">
        <x:f>Resumen!D23</x:f>
        <x:v>3</x:v>
      </x:c>
      <x:c r="E25" s="12" t="n">
        <x:f>Resumen!E23</x:f>
        <x:v>0</x:v>
      </x:c>
      <x:c r="F25" s="12" t="str"/>
      <x:c r="G25" s="12" t="str"/>
      <x:c r="H25" s="12" t="str"/>
      <x:c r="I25" s="12" t="str"/>
      <x:c r="J25" s="12" t="str"/>
      <x:c r="K25" s="12" t="str"/>
      <x:c r="L25" s="12" t="str"/>
    </x:row>
    <x:row r="26">
      <x:c r="A26" s="12" t="str">
        <x:f>Resumen!A24</x:f>
        <x:v>Gestión administrativa y financiera</x:v>
      </x:c>
      <x:c r="B26" s="12" t="n">
        <x:f>Resumen!B24</x:f>
        <x:v>6</x:v>
      </x:c>
      <x:c r="C26" s="12" t="n">
        <x:f>Resumen!C24</x:f>
        <x:v>0</x:v>
      </x:c>
      <x:c r="D26" s="12" t="n">
        <x:f>Resumen!D24</x:f>
        <x:v>6</x:v>
      </x:c>
      <x:c r="E26" s="12" t="n">
        <x:f>Resumen!E24</x:f>
        <x:v>0</x:v>
      </x:c>
      <x:c r="F26" s="12" t="str"/>
      <x:c r="G26" s="12" t="str"/>
      <x:c r="H26" s="12" t="str"/>
      <x:c r="I26" s="12" t="str"/>
      <x:c r="J26" s="12" t="str"/>
      <x:c r="K26" s="12" t="str"/>
      <x:c r="L26" s="12" t="str"/>
    </x:row>
    <x:row r="27">
      <x:c r="A27" s="12" t="str">
        <x:f>Resumen!A25</x:f>
        <x:v>Gestión del talento humano</x:v>
      </x:c>
      <x:c r="B27" s="12" t="n">
        <x:f>Resumen!B25</x:f>
        <x:v>3</x:v>
      </x:c>
      <x:c r="C27" s="12" t="n">
        <x:f>Resumen!C25</x:f>
        <x:v>3</x:v>
      </x:c>
      <x:c r="D27" s="12" t="n">
        <x:f>Resumen!D25</x:f>
        <x:v>0</x:v>
      </x:c>
      <x:c r="E27" s="12" t="n">
        <x:f>Resumen!E25</x:f>
        <x:v>0</x:v>
      </x:c>
      <x:c r="F27" s="12" t="str"/>
      <x:c r="G27" s="12" t="str"/>
      <x:c r="H27" s="12" t="str"/>
      <x:c r="I27" s="12" t="str"/>
      <x:c r="J27" s="12" t="str"/>
      <x:c r="K27" s="12" t="str"/>
      <x:c r="L27" s="12" t="str"/>
    </x:row>
    <x:row r="28">
      <x:c r="A28" s="12" t="str">
        <x:f>Resumen!A26</x:f>
        <x:v>Gestión SST</x:v>
      </x:c>
      <x:c r="B28" s="12" t="n">
        <x:f>Resumen!B26</x:f>
        <x:v>3</x:v>
      </x:c>
      <x:c r="C28" s="12" t="n">
        <x:f>Resumen!C26</x:f>
        <x:v>3</x:v>
      </x:c>
      <x:c r="D28" s="12" t="n">
        <x:f>Resumen!D26</x:f>
        <x:v>0</x:v>
      </x:c>
      <x:c r="E28" s="12" t="n">
        <x:f>Resumen!E26</x:f>
        <x:v>0</x:v>
      </x:c>
      <x:c r="F28" s="12" t="str"/>
      <x:c r="G28" s="12" t="str"/>
      <x:c r="H28" s="12" t="str"/>
      <x:c r="I28" s="12" t="str"/>
      <x:c r="J28" s="12" t="str"/>
      <x:c r="K28" s="12" t="str"/>
      <x:c r="L28" s="12" t="str"/>
    </x:row>
    <x:row r="29">
      <x:c r="A29" s="12" t="str">
        <x:f>Resumen!A27</x:f>
        <x:v>Vigilancia física fija</x:v>
      </x:c>
      <x:c r="B29" s="12" t="n">
        <x:f>Resumen!B27</x:f>
        <x:v>44</x:v>
      </x:c>
      <x:c r="C29" s="12" t="n">
        <x:f>Resumen!C27</x:f>
        <x:v>11</x:v>
      </x:c>
      <x:c r="D29" s="12" t="n">
        <x:f>Resumen!D27</x:f>
        <x:v>22</x:v>
      </x:c>
      <x:c r="E29" s="12" t="n">
        <x:f>Resumen!E27</x:f>
        <x:v>11</x:v>
      </x:c>
      <x:c r="F29" s="12" t="str"/>
      <x:c r="G29" s="12" t="str"/>
      <x:c r="H29" s="12" t="str"/>
      <x:c r="I29" s="12" t="str"/>
      <x:c r="J29" s="12" t="str"/>
      <x:c r="K29" s="12" t="str"/>
      <x:c r="L29" s="12" t="str"/>
    </x:row>
    <x:row r="30">
      <x:c r="A30" s="12" t="str">
        <x:f>Resumen!A28</x:f>
        <x:v>Supervisión operativa y rondas</x:v>
      </x:c>
      <x:c r="B30" s="12" t="n">
        <x:f>Resumen!B28</x:f>
        <x:v>22</x:v>
      </x:c>
      <x:c r="C30" s="12" t="n">
        <x:f>Resumen!C28</x:f>
        <x:v>22</x:v>
      </x:c>
      <x:c r="D30" s="12" t="n">
        <x:f>Resumen!D28</x:f>
        <x:v>0</x:v>
      </x:c>
      <x:c r="E30" s="12" t="n">
        <x:f>Resumen!E28</x:f>
        <x:v>0</x:v>
      </x:c>
      <x:c r="F30" s="12" t="str"/>
      <x:c r="G30" s="12" t="str"/>
      <x:c r="H30" s="12" t="str"/>
      <x:c r="I30" s="12" t="str"/>
      <x:c r="J30" s="12" t="str"/>
      <x:c r="K30" s="12" t="str"/>
      <x:c r="L30" s="12" t="str"/>
    </x:row>
    <x:row r="31">
      <x:c r="A31" s="12" t="str">
        <x:f>Resumen!A29</x:f>
        <x:v>Monitoreo de medios tecnológicos</x:v>
      </x:c>
      <x:c r="B31" s="12" t="n">
        <x:f>Resumen!B29</x:f>
        <x:v>9</x:v>
      </x:c>
      <x:c r="C31" s="12" t="n">
        <x:f>Resumen!C29</x:f>
        <x:v>0</x:v>
      </x:c>
      <x:c r="D31" s="12" t="n">
        <x:f>Resumen!D29</x:f>
        <x:v>6</x:v>
      </x:c>
      <x:c r="E31" s="12" t="n">
        <x:f>Resumen!E29</x:f>
        <x:v>3</x:v>
      </x:c>
      <x:c r="F31" s="12" t="str"/>
      <x:c r="G31" s="12" t="str"/>
      <x:c r="H31" s="12" t="str"/>
      <x:c r="I31" s="12" t="str"/>
      <x:c r="J31" s="12" t="str"/>
      <x:c r="K31" s="12" t="str"/>
      <x:c r="L31" s="12" t="str"/>
    </x:row>
    <x:row r="32">
      <x:c r="A32" s="12" t="str">
        <x:f>Resumen!A30</x:f>
        <x:v>Instalación y mantenimiento de medios tecnológicos</x:v>
      </x:c>
      <x:c r="B32" s="12" t="n">
        <x:f>Resumen!B30</x:f>
        <x:v>9</x:v>
      </x:c>
      <x:c r="C32" s="12" t="n">
        <x:f>Resumen!C30</x:f>
        <x:v>6</x:v>
      </x:c>
      <x:c r="D32" s="12" t="n">
        <x:f>Resumen!D30</x:f>
        <x:v>3</x:v>
      </x:c>
      <x:c r="E32" s="12" t="n">
        <x:f>Resumen!E30</x:f>
        <x:v>0</x:v>
      </x:c>
      <x:c r="F32" s="12" t="str"/>
      <x:c r="G32" s="12" t="str"/>
      <x:c r="H32" s="12" t="str"/>
      <x:c r="I32" s="12" t="str"/>
      <x:c r="J32" s="12" t="str"/>
      <x:c r="K32" s="12" t="str"/>
      <x:c r="L32" s="12" t="str"/>
    </x:row>
    <x:row r="33">
      <x:c r="A33" s="12" t="str">
        <x:f>Resumen!A31</x:f>
        <x:v>Escolta</x:v>
      </x:c>
      <x:c r="B33" s="12" t="n">
        <x:f>Resumen!B31</x:f>
        <x:v>15</x:v>
      </x:c>
      <x:c r="C33" s="12" t="n">
        <x:f>Resumen!C31</x:f>
        <x:v>10</x:v>
      </x:c>
      <x:c r="D33" s="12" t="n">
        <x:f>Resumen!D31</x:f>
        <x:v>5</x:v>
      </x:c>
      <x:c r="E33" s="12" t="n">
        <x:f>Resumen!E31</x:f>
        <x:v>0</x:v>
      </x:c>
      <x:c r="F33" s="12" t="str"/>
      <x:c r="G33" s="12" t="str"/>
      <x:c r="H33" s="12" t="str"/>
      <x:c r="I33" s="12" t="str"/>
      <x:c r="J33" s="12" t="str"/>
      <x:c r="K33" s="12" t="str"/>
      <x:c r="L33" s="12" t="str"/>
    </x:row>
    <x:row r="34">
      <x:c r="A34" s="12" t="str">
        <x:f>Resumen!A32</x:f>
        <x:v>Gestión jurídica y compras</x:v>
      </x:c>
      <x:c r="B34" s="12" t="n">
        <x:f>Resumen!B32</x:f>
        <x:v>3</x:v>
      </x:c>
      <x:c r="C34" s="12" t="n">
        <x:f>Resumen!C32</x:f>
        <x:v>0</x:v>
      </x:c>
      <x:c r="D34" s="12" t="n">
        <x:f>Resumen!D32</x:f>
        <x:v>0</x:v>
      </x:c>
      <x:c r="E34" s="12" t="n">
        <x:f>Resumen!E32</x:f>
        <x:v>3</x:v>
      </x:c>
      <x:c r="F34" s="12" t="str"/>
      <x:c r="G34" s="12" t="str"/>
      <x:c r="H34" s="12" t="str"/>
      <x:c r="I34" s="12" t="str"/>
      <x:c r="J34" s="12" t="str"/>
      <x:c r="K34" s="12" t="str"/>
      <x:c r="L34" s="12" t="str"/>
    </x:row>
    <x:row r="35">
      <x:c r="A35" s="12" t="str"/>
      <x:c r="B35" s="12" t="str"/>
      <x:c r="C35" s="12" t="str"/>
      <x:c r="D35" s="12" t="str"/>
      <x:c r="E35" s="12" t="str"/>
      <x:c r="F35" s="12" t="str"/>
      <x:c r="G35" s="12" t="str"/>
      <x:c r="H35" s="12" t="str"/>
      <x:c r="I35" s="12" t="str"/>
      <x:c r="J35" s="12" t="str"/>
      <x:c r="K35" s="12" t="str"/>
      <x:c r="L35" s="12" t="str"/>
    </x:row>
    <x:row r="36">
      <x:c r="A36" s="12" t="str"/>
      <x:c r="B36" s="12" t="str"/>
      <x:c r="C36" s="12" t="str"/>
      <x:c r="D36" s="12" t="str"/>
      <x:c r="E36" s="12" t="str"/>
      <x:c r="F36" s="12" t="str"/>
      <x:c r="G36" s="12" t="str"/>
      <x:c r="H36" s="12" t="str"/>
      <x:c r="I36" s="12" t="str"/>
      <x:c r="J36" s="12" t="str"/>
      <x:c r="K36" s="12" t="str"/>
      <x:c r="L36" s="12" t="str"/>
    </x:row>
    <x:row r="37">
      <x:c r="A37" s="12" t="str"/>
      <x:c r="B37" s="12" t="str"/>
      <x:c r="C37" s="12" t="str"/>
      <x:c r="D37" s="12" t="str"/>
      <x:c r="E37" s="12" t="str"/>
      <x:c r="F37" s="12" t="str"/>
      <x:c r="G37" s="12" t="str"/>
      <x:c r="H37" s="12" t="str"/>
      <x:c r="I37" s="12" t="str"/>
      <x:c r="J37" s="12" t="str"/>
      <x:c r="K37" s="12" t="str"/>
      <x:c r="L37" s="12" t="str"/>
    </x:row>
    <x:row r="38">
      <x:c r="A38" s="12" t="str"/>
      <x:c r="B38" s="12" t="str"/>
      <x:c r="C38" s="12" t="str"/>
      <x:c r="D38" s="12" t="str"/>
      <x:c r="E38" s="12" t="str"/>
      <x:c r="F38" s="12" t="str"/>
      <x:c r="G38" s="12" t="str"/>
      <x:c r="H38" s="12" t="str"/>
      <x:c r="I38" s="12" t="str"/>
      <x:c r="J38" s="12" t="str"/>
      <x:c r="K38" s="12" t="str"/>
      <x:c r="L38" s="12" t="str"/>
    </x:row>
    <x:row r="39">
      <x:c r="A39" s="12" t="str"/>
      <x:c r="B39" s="12" t="str"/>
      <x:c r="C39" s="12" t="str"/>
      <x:c r="D39" s="12" t="str"/>
      <x:c r="E39" s="12" t="str"/>
      <x:c r="F39" s="12" t="str"/>
      <x:c r="G39" s="12" t="str"/>
      <x:c r="H39" s="12" t="str"/>
      <x:c r="I39" s="12" t="str"/>
      <x:c r="J39" s="12" t="str"/>
      <x:c r="K39" s="12" t="str"/>
      <x:c r="L39" s="12" t="str"/>
    </x:row>
    <x:row r="40">
      <x:c r="A40" s="12" t="str"/>
      <x:c r="B40" s="12" t="str"/>
      <x:c r="C40" s="12" t="str"/>
      <x:c r="D40" s="12" t="str"/>
      <x:c r="E40" s="12" t="str"/>
      <x:c r="F40" s="12" t="str"/>
      <x:c r="G40" s="12" t="str"/>
      <x:c r="H40" s="12" t="str"/>
      <x:c r="I40" s="12" t="str"/>
      <x:c r="J40" s="12" t="str"/>
      <x:c r="K40" s="12" t="str"/>
      <x:c r="L40" s="12" t="str"/>
    </x:row>
  </x:sheetData>
  <x:mergeCells>
    <x:mergeCell ref="A1:L1"/>
  </x:mergeCells>
  <x:conditionalFormatting sqref="B4:B8">
    <x:cfRule type="dataBar" priority="1">
      <x:dataBar>
        <x:cfvo type="min"/>
        <x:cfvo type="max"/>
        <x:color rgb="5B9BD5"/>
      </x:dataBar>
      <x:extLst>
        <x:ext xmlns:x14="http://schemas.microsoft.com/office/spreadsheetml/2009/9/main" uri="{B025F937-C7B1-47D3-B67F-A62EFF666E3E}">
          <x14:id>{E5D2A047-4238-8741-E2B3-85669B88D1C8}</x14:id>
        </x:ext>
      </x:extLst>
    </x:cfRule>
  </x:conditionalFormatting>
  <x:pageMargins left="0.7" right="0.7" top="0.75" bottom="0.75" header="0.3" footer="0.3"/>
  <x:drawing xmlns:r="http://schemas.openxmlformats.org/officeDocument/2006/relationships" r:id="R1da6368dbef84f7d"/>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5B9BD5"/>
            </x14:dataBar>
          </x14:cfRule>
          <xm:sqref>B4:B8</xm:sqref>
        </x14:conditionalFormatting>
      </x14:conditionalFormattings>
    </x:ext>
  </x:extLst>
</x:worksheet>
</file>