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3dd39718894e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vo" sheetId="1" r:id="R584f85b54c0449be"/>
    <x:sheet xmlns:r="http://schemas.openxmlformats.org/officeDocument/2006/relationships" name="Catálogos" sheetId="2" r:id="Rf9654131e0dc4819"/>
    <x:sheet xmlns:r="http://schemas.openxmlformats.org/officeDocument/2006/relationships" name="Registro" sheetId="3" r:id="R1589c59b137d48a5"/>
    <x:sheet xmlns:r="http://schemas.openxmlformats.org/officeDocument/2006/relationships" name="Resumen_Anual" sheetId="4" r:id="R57b81944d91748ae"/>
    <x:sheet xmlns:r="http://schemas.openxmlformats.org/officeDocument/2006/relationships" name="Resumen_Sedes" sheetId="5" r:id="R8522a61aa7554be8"/>
    <x:sheet xmlns:r="http://schemas.openxmlformats.org/officeDocument/2006/relationships" name="Resumen_Mensual" sheetId="6" r:id="Rc7eb64247e15430e"/>
    <x:sheet xmlns:r="http://schemas.openxmlformats.org/officeDocument/2006/relationships" name="Dashboard" sheetId="7" r:id="R6331700560b444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%"/>
    <x:numFmt numFmtId="202" formatCode="0.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243E"/>
      </x:patternFill>
    </x:fill>
    <x:fill>
      <x:patternFill patternType="solid">
        <x:fgColor rgb="D9EAF7"/>
      </x:patternFill>
    </x:fill>
    <x:fill>
      <x:patternFill patternType="solid">
        <x:fgColor rgb="1F4E78"/>
      </x:patternFill>
    </x:fill>
    <x:fill>
      <x:patternFill patternType="solid">
        <x:fgColor rgb="E2F0D9"/>
      </x:patternFill>
    </x:fill>
  </x:fills>
  <x:borders count="18">
    <x:border/>
    <x:border/>
    <x:border>
      <x:left>
        <x:color rgb="BFBFBF"/>
      </x:left>
      <x:top>
        <x:color rgb="BFBFBF"/>
      </x:top>
    </x:border>
    <x:border>
      <x:top>
        <x:color rgb="BFBFBF"/>
      </x:top>
    </x:border>
    <x:border>
      <x:right>
        <x:color rgb="BFBFBF"/>
      </x:right>
      <x:top>
        <x:color rgb="BFBFBF"/>
      </x:top>
    </x:border>
    <x:border>
      <x:left>
        <x:color rgb="BFBFBF"/>
      </x:left>
    </x:border>
    <x:border>
      <x:right>
        <x:color rgb="BFBFBF"/>
      </x:right>
    </x:border>
    <x:border>
      <x:left>
        <x:color rgb="BFBFBF"/>
      </x:left>
      <x:bottom>
        <x:color rgb="BFBFBF"/>
      </x:bottom>
    </x:border>
    <x:border>
      <x:bottom>
        <x:color rgb="BFBFBF"/>
      </x:bottom>
    </x:border>
    <x:border>
      <x:right>
        <x:color rgb="BFBFBF"/>
      </x:right>
      <x:bottom>
        <x:color rgb="BFBFBF"/>
      </x:bottom>
    </x:border>
    <x:border>
      <x:left>
        <x:color rgb="BFBFBF"/>
      </x:left>
      <x:top>
        <x:color rgb="BFBFBF"/>
      </x:top>
    </x:border>
    <x:border>
      <x:top>
        <x:color rgb="BFBFBF"/>
      </x:top>
    </x:border>
    <x:border>
      <x:right>
        <x:color rgb="BFBFBF"/>
      </x:right>
      <x:top>
        <x:color rgb="BFBFBF"/>
      </x:top>
    </x:border>
    <x:border>
      <x:left>
        <x:color rgb="BFBFBF"/>
      </x:left>
    </x:border>
    <x:border>
      <x:right>
        <x:color rgb="BFBFBF"/>
      </x:right>
    </x:border>
    <x:border>
      <x:left>
        <x:color rgb="BFBFBF"/>
      </x:left>
      <x:bottom>
        <x:color rgb="BFBFBF"/>
      </x:bottom>
    </x:border>
    <x:border>
      <x:bottom>
        <x:color rgb="BFBFBF"/>
      </x:bottom>
    </x:border>
    <x:border>
      <x:right>
        <x:color rgb="BFBFBF"/>
      </x:right>
      <x:bottom>
        <x:color rgb="BFBFBF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3" xfId="0" applyNumberFormat="1" applyFont="1" applyFill="1" applyBorder="1"/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1" fontId="0" fillId="0" borderId="3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1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202" fontId="0" fillId="0" borderId="3" xfId="0" applyNumberFormat="1" applyFont="1" applyFill="1" applyBorder="1"/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202" fontId="0" fillId="0" borderId="11" xfId="0" applyNumberFormat="1" applyFont="1" applyFill="1" applyBorder="1"/>
    <x:xf numFmtId="202" fontId="0" fillId="0" borderId="1" xfId="0" applyNumberFormat="1" applyFont="1" applyFill="1" applyBorder="1"/>
    <x:xf numFmtId="202" fontId="0" fillId="0" borderId="16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201" fontId="0" fillId="0" borderId="14" xfId="0" applyNumberFormat="1" applyFont="1" applyFill="1" applyBorder="1"/>
    <x:xf numFmtId="201" fontId="0" fillId="0" borderId="17" xfId="0" applyNumberFormat="1" applyFont="1" applyFill="1" applyBorder="1"/>
    <x:xf numFmtId="201" fontId="3" fillId="4" borderId="0" xfId="0" applyNumberFormat="1" applyFont="1" applyFill="1" applyBorder="1"/>
    <x:xf numFmtId="201" fontId="3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12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201" fontId="1" fillId="2" borderId="0" xfId="0" applyNumberFormat="1" applyFont="1" applyFill="1" applyBorder="1" applyAlignment="1">
      <x:alignment horizontal="center"/>
    </x:xf>
    <x:xf numFmtId="201" fontId="1" fillId="2" borderId="1" xfId="0" applyNumberFormat="1" applyFont="1" applyFill="1" applyBorder="1" applyAlignment="1">
      <x:alignment horizontal="center"/>
    </x:xf>
    <x:xf numFmtId="201" fontId="2" fillId="5" borderId="0" xfId="0" applyNumberFormat="1" applyFont="1" applyFill="1" applyBorder="1" applyAlignment="1">
      <x:alignment horizontal="center"/>
    </x:xf>
    <x:xf numFmtId="201" fontId="2" fillId="5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6"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529ef9cfaf4a34" /><Relationship Type="http://schemas.openxmlformats.org/officeDocument/2006/relationships/theme" Target="/xl/theme/theme1.xml" Id="R8d9d933471eb4ec6" /><Relationship Type="http://schemas.openxmlformats.org/officeDocument/2006/relationships/sharedStrings" Target="/xl/sharedStrings.xml" Id="R93742ab1833e4f99" /><Relationship Type="http://schemas.openxmlformats.org/officeDocument/2006/relationships/worksheet" Target="/xl/worksheets/sheet1.xml" Id="R584f85b54c0449be" /><Relationship Type="http://schemas.openxmlformats.org/officeDocument/2006/relationships/worksheet" Target="/xl/worksheets/sheet2.xml" Id="Rf9654131e0dc4819" /><Relationship Type="http://schemas.openxmlformats.org/officeDocument/2006/relationships/worksheet" Target="/xl/worksheets/sheet3.xml" Id="R1589c59b137d48a5" /><Relationship Type="http://schemas.openxmlformats.org/officeDocument/2006/relationships/worksheet" Target="/xl/worksheets/sheet4.xml" Id="R57b81944d91748ae" /><Relationship Type="http://schemas.openxmlformats.org/officeDocument/2006/relationships/worksheet" Target="/xl/worksheets/sheet5.xml" Id="R8522a61aa7554be8" /><Relationship Type="http://schemas.openxmlformats.org/officeDocument/2006/relationships/worksheet" Target="/xl/worksheets/sheet6.xml" Id="Rc7eb64247e15430e" /><Relationship Type="http://schemas.openxmlformats.org/officeDocument/2006/relationships/worksheet" Target="/xl/worksheets/sheet7.xml" Id="R6331700560b4444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19270f24b6e41a2" /><Relationship Type="http://schemas.openxmlformats.org/officeDocument/2006/relationships/chart" Target="/xl/drawings/charts/chart2.xml" Id="Rc0f8ef4c25f645a5" /><Relationship Type="http://schemas.openxmlformats.org/officeDocument/2006/relationships/chart" Target="/xl/drawings/charts/chart3.xml" Id="R10a4d913d6f94909" /><Relationship Type="http://schemas.openxmlformats.org/officeDocument/2006/relationships/chart" Target="/xl/drawings/charts/chart4.xml" Id="R0001f7daa7d24f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Planeación y ejecución anual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Actividades planeadas</c:v>
          </c:tx>
          <c:cat>
            <c:strRef>
              <c:f>'Resumen_Anual'!$A$2:$A$5</c:f>
              <c:strCache>
                <c:ptCount val="0"/>
              </c:strCache>
            </c:strRef>
          </c:cat>
          <c:val>
            <c:numRef>
              <c:f>'Resumen_Anual'!$B$2:$B$5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Ejecutadas</c:v>
          </c:tx>
          <c:cat>
            <c:strRef>
              <c:f>'Resumen_Anual'!$A$2:$A$5</c:f>
              <c:strCache>
                <c:ptCount val="0"/>
              </c:strCache>
            </c:strRef>
          </c:cat>
          <c:val>
            <c:numRef>
              <c:f>'Resumen_Anual'!$C$2:$C$5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Reprogramadas</c:v>
          </c:tx>
          <c:cat>
            <c:strRef>
              <c:f>'Resumen_Anual'!$A$2:$A$5</c:f>
              <c:strCache>
                <c:ptCount val="0"/>
              </c:strCache>
            </c:strRef>
          </c:cat>
          <c:val>
            <c:numRef>
              <c:f>'Resumen_Anual'!$D$2:$D$5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Canceladas</c:v>
          </c:tx>
          <c:cat>
            <c:strRef>
              <c:f>'Resumen_Anual'!$A$2:$A$5</c:f>
              <c:strCache>
                <c:ptCount val="0"/>
              </c:strCache>
            </c:strRef>
          </c:cat>
          <c:val>
            <c:numRef>
              <c:f>'Resumen_Anual'!$E$2:$E$5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Horas planeadas</c:v>
          </c:tx>
          <c:cat>
            <c:strRef>
              <c:f>'Resumen_Anual'!$A$2:$A$5</c:f>
              <c:strCache>
                <c:ptCount val="0"/>
              </c:strCache>
            </c:strRef>
          </c:cat>
          <c:val>
            <c:numRef>
              <c:f>'Resumen_Anual'!$F$2:$F$5</c:f>
              <c:numCache>
                <c:formatCode/>
                <c:ptCount val="0"/>
              </c:numCache>
            </c:numRef>
          </c:val>
        </c:ser>
        <c:ser>
          <c:idx val="5"/>
          <c:order val="5"/>
          <c:tx>
            <c:v>Horas ejecutadas</c:v>
          </c:tx>
          <c:cat>
            <c:strRef>
              <c:f>'Resumen_Anual'!$A$2:$A$5</c:f>
              <c:strCache>
                <c:ptCount val="0"/>
              </c:strCache>
            </c:strRef>
          </c:cat>
          <c:val>
            <c:numRef>
              <c:f>'Resumen_Anual'!$G$2:$G$5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Cobertura y efectividad por año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Actividades planeadas</c:v>
          </c:tx>
          <c:cat>
            <c:strRef>
              <c:f>'Resumen_Anual'!$A$2:$A$5</c:f>
              <c:strCache>
                <c:ptCount val="0"/>
              </c:strCache>
            </c:strRef>
          </c:cat>
          <c:val>
            <c:numRef>
              <c:f>'Resumen_Anual'!$B$2:$B$5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Ejecutadas</c:v>
          </c:tx>
          <c:cat>
            <c:strRef>
              <c:f>'Resumen_Anual'!$A$2:$A$5</c:f>
              <c:strCache>
                <c:ptCount val="0"/>
              </c:strCache>
            </c:strRef>
          </c:cat>
          <c:val>
            <c:numRef>
              <c:f>'Resumen_Anual'!$C$2:$C$5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Reprogramadas</c:v>
          </c:tx>
          <c:cat>
            <c:strRef>
              <c:f>'Resumen_Anual'!$A$2:$A$5</c:f>
              <c:strCache>
                <c:ptCount val="0"/>
              </c:strCache>
            </c:strRef>
          </c:cat>
          <c:val>
            <c:numRef>
              <c:f>'Resumen_Anual'!$D$2:$D$5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tx>
            <c:v>Canceladas</c:v>
          </c:tx>
          <c:cat>
            <c:strRef>
              <c:f>'Resumen_Anual'!$A$2:$A$5</c:f>
              <c:strCache>
                <c:ptCount val="0"/>
              </c:strCache>
            </c:strRef>
          </c:cat>
          <c:val>
            <c:numRef>
              <c:f>'Resumen_Anual'!$E$2:$E$5</c:f>
              <c:numCache>
                <c:formatCode/>
                <c:ptCount val="0"/>
              </c:numCache>
            </c:numRef>
          </c:val>
          <c:smooth val="0"/>
        </c:ser>
        <c:ser>
          <c:idx val="4"/>
          <c:order val="4"/>
          <c:tx>
            <c:v>Horas planeadas</c:v>
          </c:tx>
          <c:cat>
            <c:strRef>
              <c:f>'Resumen_Anual'!$A$2:$A$5</c:f>
              <c:strCache>
                <c:ptCount val="0"/>
              </c:strCache>
            </c:strRef>
          </c:cat>
          <c:val>
            <c:numRef>
              <c:f>'Resumen_Anual'!$F$2:$F$5</c:f>
              <c:numCache>
                <c:formatCode/>
                <c:ptCount val="0"/>
              </c:numCache>
            </c:numRef>
          </c:val>
          <c:smooth val="0"/>
        </c:ser>
        <c:ser>
          <c:idx val="5"/>
          <c:order val="5"/>
          <c:tx>
            <c:v>Horas ejecutadas</c:v>
          </c:tx>
          <c:cat>
            <c:strRef>
              <c:f>'Resumen_Anual'!$A$2:$A$5</c:f>
              <c:strCache>
                <c:ptCount val="0"/>
              </c:strCache>
            </c:strRef>
          </c:cat>
          <c:val>
            <c:numRef>
              <c:f>'Resumen_Anual'!$G$2:$G$5</c:f>
              <c:numCache>
                <c:formatCode/>
                <c:ptCount val="0"/>
              </c:numCache>
            </c:numRef>
          </c:val>
          <c:smooth val="0"/>
        </c:ser>
        <c:ser>
          <c:idx val="6"/>
          <c:order val="6"/>
          <c:tx>
            <c:v>Cobertura promedio</c:v>
          </c:tx>
          <c:cat>
            <c:strRef>
              <c:f>'Resumen_Anual'!$A$2:$A$5</c:f>
              <c:strCache>
                <c:ptCount val="0"/>
              </c:strCache>
            </c:strRef>
          </c:cat>
          <c:val>
            <c:numRef>
              <c:f>'Resumen_Anual'!$H$2:$H$5</c:f>
              <c:numCache>
                <c:formatCode/>
                <c:ptCount val="0"/>
              </c:numCache>
            </c:numRef>
          </c:val>
          <c:smooth val="0"/>
        </c:ser>
        <c:ser>
          <c:idx val="7"/>
          <c:order val="7"/>
          <c:tx>
            <c:v>Actividades efectivas</c:v>
          </c:tx>
          <c:cat>
            <c:strRef>
              <c:f>'Resumen_Anual'!$A$2:$A$5</c:f>
              <c:strCache>
                <c:ptCount val="0"/>
              </c:strCache>
            </c:strRef>
          </c:cat>
          <c:val>
            <c:numRef>
              <c:f>'Resumen_Anual'!$I$2:$I$5</c:f>
              <c:numCache>
                <c:formatCode/>
                <c:ptCount val="0"/>
              </c:numCache>
            </c:numRef>
          </c:val>
          <c:smooth val="0"/>
        </c:ser>
        <c:ser>
          <c:idx val="8"/>
          <c:order val="8"/>
          <c:tx>
            <c:v>% Efectividad</c:v>
          </c:tx>
          <c:cat>
            <c:strRef>
              <c:f>'Resumen_Anual'!$A$2:$A$5</c:f>
              <c:strCache>
                <c:ptCount val="0"/>
              </c:strCache>
            </c:strRef>
          </c:cat>
          <c:val>
            <c:numRef>
              <c:f>'Resumen_Anual'!$J$2:$J$5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Ejecución 2026 por sede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Planeadas</c:v>
          </c:tx>
          <c:cat>
            <c:strRef>
              <c:f>'Dashboard'!$H$4:$H$14</c:f>
              <c:strCache>
                <c:ptCount val="0"/>
              </c:strCache>
            </c:strRef>
          </c:cat>
          <c:val>
            <c:numRef>
              <c:f>'Dashboard'!$I$4:$I$14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Ejecutadas</c:v>
          </c:tx>
          <c:cat>
            <c:strRef>
              <c:f>'Dashboard'!$H$4:$H$14</c:f>
              <c:strCache>
                <c:ptCount val="0"/>
              </c:strCache>
            </c:strRef>
          </c:cat>
          <c:val>
            <c:numRef>
              <c:f>'Dashboard'!$J$4:$J$14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Tendencia mensual 2026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Planeadas</c:v>
          </c:tx>
          <c:cat>
            <c:strRef>
              <c:f>'Dashboard'!$H$19:$H$23</c:f>
              <c:strCache>
                <c:ptCount val="0"/>
              </c:strCache>
            </c:strRef>
          </c:cat>
          <c:val>
            <c:numRef>
              <c:f>'Dashboard'!$I$19:$I$23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v>Ejecutadas</c:v>
          </c:tx>
          <c:cat>
            <c:strRef>
              <c:f>'Dashboard'!$H$19:$H$23</c:f>
              <c:strCache>
                <c:ptCount val="0"/>
              </c:strCache>
            </c:strRef>
          </c:cat>
          <c:val>
            <c:numRef>
              <c:f>'Dashboard'!$J$19:$J$23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v>Cobertura prom.</c:v>
          </c:tx>
          <c:cat>
            <c:strRef>
              <c:f>'Dashboard'!$H$19:$H$23</c:f>
              <c:strCache>
                <c:ptCount val="0"/>
              </c:strCache>
            </c:strRef>
          </c:cat>
          <c:val>
            <c:numRef>
              <c:f>'Dashboard'!$K$19:$K$23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tx>
            <c:v>% Efectividad</c:v>
          </c:tx>
          <c:cat>
            <c:strRef>
              <c:f>'Dashboard'!$H$19:$H$23</c:f>
              <c:strCache>
                <c:ptCount val="0"/>
              </c:strCache>
            </c:strRef>
          </c:cat>
          <c:val>
            <c:numRef>
              <c:f>'Dashboard'!$L$19:$L$23</c:f>
              <c:numCache>
                <c:formatCode/>
                <c:ptCount val="0"/>
              </c:numCache>
            </c:numRef>
          </c:val>
          <c:smooth val="0"/>
        </c:ser>
        <c:ser>
          <c:idx val="4"/>
          <c:order val="4"/>
          <c:tx>
            <c:v>% Asistencia</c:v>
          </c:tx>
          <c:cat>
            <c:strRef>
              <c:f>'Dashboard'!$H$19:$H$23</c:f>
              <c:strCache>
                <c:ptCount val="0"/>
              </c:strCache>
            </c:strRef>
          </c:cat>
          <c:val>
            <c:numRef>
              <c:f>'Dashboard'!$M$19:$M$23</c:f>
              <c:numCache>
                <c:formatCode/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19270f24b6e41a2"/>
        </a:graphicData>
      </a:graphic>
    </xdr:graphicFrame>
    <xdr:clientData/>
  </xdr:twoCellAnchor>
  <xdr:twoCellAnchor>
    <xdr:from>
      <xdr:col>0</xdr:col>
      <xdr:colOff>0</xdr:colOff>
      <xdr:row>32</xdr:row>
      <xdr:rowOff>0</xdr:rowOff>
    </xdr:from>
    <xdr:to>
      <xdr:col>6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f8ef4c25f645a5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a4d913d6f94909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20</xdr:col>
      <xdr:colOff>0</xdr:colOff>
      <xdr:row>40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001f7daa7d24f5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lanFormacionTable" displayName="PlanFormacionTable" ref="A1:Y452" headerRowCount="1">
  <x:tableColumns count="25">
    <x:tableColumn id="1" name="ID"/>
    <x:tableColumn id="2" name="Año"/>
    <x:tableColumn id="3" name="Mes planeado"/>
    <x:tableColumn id="4" name="N° mes"/>
    <x:tableColumn id="5" name="Categoría"/>
    <x:tableColumn id="6" name="Clasificación"/>
    <x:tableColumn id="7" name="Origen"/>
    <x:tableColumn id="8" name="Público objeto"/>
    <x:tableColumn id="9" name="Sede"/>
    <x:tableColumn id="10" name="Nombre del evento"/>
    <x:tableColumn id="11" name="Objetivo del evento"/>
    <x:tableColumn id="12" name="Horas planeadas"/>
    <x:tableColumn id="13" name="Fecha de ejecución"/>
    <x:tableColumn id="14" name="Horas ejecutadas"/>
    <x:tableColumn id="15" name="No. población trabajadores"/>
    <x:tableColumn id="16" name="No. asistentes"/>
    <x:tableColumn id="17" name="% Cobertura"/>
    <x:tableColumn id="18" name="Mecanismo de evaluación"/>
    <x:tableColumn id="19" name="Resultado evaluación (1-5)"/>
    <x:tableColumn id="20" name="¿Fue efectiva?"/>
    <x:tableColumn id="21" name="Facilitador"/>
    <x:tableColumn id="22" name="Recursos"/>
    <x:tableColumn id="23" name="Responsable"/>
    <x:tableColumn id="24" name="Estado"/>
    <x:tableColumn id="25" name="Observaciones / acciones a seguir"/>
  </x:tableColumns>
  <x:tableStyleInfo name="TableStyleMedium2" showRowStripes="1"/>
</x:table>
</file>

<file path=xl/tables/table2.xml><?xml version="1.0" encoding="utf-8"?>
<x:table xmlns:x="http://schemas.openxmlformats.org/spreadsheetml/2006/main" id="2" name="ResumenAnualTable" displayName="ResumenAnualTable" ref="A1:M5" headerRowCount="1">
  <x:tableColumns count="13">
    <x:tableColumn id="1" name="Año"/>
    <x:tableColumn id="2" name="Actividades planeadas"/>
    <x:tableColumn id="3" name="Ejecutadas"/>
    <x:tableColumn id="4" name="Reprogramadas"/>
    <x:tableColumn id="5" name="Canceladas"/>
    <x:tableColumn id="6" name="Horas planeadas"/>
    <x:tableColumn id="7" name="Horas ejecutadas"/>
    <x:tableColumn id="8" name="Cobertura promedio"/>
    <x:tableColumn id="9" name="Actividades efectivas"/>
    <x:tableColumn id="10" name="% Efectividad"/>
    <x:tableColumn id="11" name="Población objetivo acumulada"/>
    <x:tableColumn id="12" name="Asistentes acumulados"/>
    <x:tableColumn id="13" name="% Asistencia acumulada"/>
  </x:tableColumns>
  <x:tableStyleInfo name="TableStyleMedium2" showRowStripes="1"/>
</x:table>
</file>

<file path=xl/tables/table3.xml><?xml version="1.0" encoding="utf-8"?>
<x:table xmlns:x="http://schemas.openxmlformats.org/spreadsheetml/2006/main" id="3" name="ResumenSedesTable" displayName="ResumenSedesTable" ref="A1:N45" headerRowCount="1">
  <x:tableColumns count="14">
    <x:tableColumn id="1" name="Año"/>
    <x:tableColumn id="2" name="Sede"/>
    <x:tableColumn id="3" name="Actividades planeadas"/>
    <x:tableColumn id="4" name="Ejecutadas"/>
    <x:tableColumn id="5" name="Reprogramadas"/>
    <x:tableColumn id="6" name="Canceladas"/>
    <x:tableColumn id="7" name="Horas planeadas"/>
    <x:tableColumn id="8" name="Horas ejecutadas"/>
    <x:tableColumn id="9" name="Cobertura promedio"/>
    <x:tableColumn id="10" name="Actividades efectivas"/>
    <x:tableColumn id="11" name="% Efectividad"/>
    <x:tableColumn id="12" name="Población objetivo acumulada"/>
    <x:tableColumn id="13" name="Asistentes acumulados"/>
    <x:tableColumn id="14" name="% Asistencia acumulada"/>
  </x:tableColumns>
  <x:tableStyleInfo name="TableStyleMedium2" showRowStripes="1"/>
</x:table>
</file>

<file path=xl/tables/table4.xml><?xml version="1.0" encoding="utf-8"?>
<x:table xmlns:x="http://schemas.openxmlformats.org/spreadsheetml/2006/main" id="4" name="ResumenMensualTable" displayName="ResumenMensualTable" ref="A1:O42" headerRowCount="1">
  <x:tableColumns count="15">
    <x:tableColumn id="1" name="Año"/>
    <x:tableColumn id="2" name="N° mes"/>
    <x:tableColumn id="3" name="Mes"/>
    <x:tableColumn id="4" name="Actividades planeadas"/>
    <x:tableColumn id="5" name="Ejecutadas"/>
    <x:tableColumn id="6" name="Reprogramadas"/>
    <x:tableColumn id="7" name="Canceladas"/>
    <x:tableColumn id="8" name="Horas planeadas"/>
    <x:tableColumn id="9" name="Horas ejecutadas"/>
    <x:tableColumn id="10" name="Cobertura promedio"/>
    <x:tableColumn id="11" name="Actividades efectivas"/>
    <x:tableColumn id="12" name="% Efectividad"/>
    <x:tableColumn id="13" name="Población objetivo acumulada"/>
    <x:tableColumn id="14" name="Asistentes acumulados"/>
    <x:tableColumn id="15" name="% Asistencia acumulad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bed61417711f42a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b72d6da0d1940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69999911ba944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c7540f2f39d428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ffc9fdb404374c75" /></Relationships>
</file>

<file path=xl/worksheets/sheet1.xml><?xml version="1.0" encoding="utf-8"?>
<x:worksheet xmlns:x="http://schemas.openxmlformats.org/spreadsheetml/2006/main">
  <x:sheetFormatPr defaultRowHeight="15"/>
  <x:cols>
    <x:col min="1" max="1" width="110" hidden="0" customWidth="1"/>
  </x:cols>
  <x:sheetData>
    <x:row r="1">
      <x:c r="A1" s="10" t="str">
        <x:v>FORMATO F-GH-11 | PLAN DE FORMACIÓN Y CAPACITACIONES (SIMULADO 2023-2026)</x:v>
      </x:c>
    </x:row>
    <x:row r="2">
      <x:c r="A2" s="11"/>
    </x:row>
    <x:row r="3">
      <x:c r="A3" s="12" t="str">
        <x:v>Objetivo</x:v>
      </x:c>
    </x:row>
    <x:row r="4">
      <x:c r="A4" s="11" t="str">
        <x:v>Consolidar la planeación, ejecución y seguimiento de las actividades de formación del SG-SST por sede, año y tema, con información compatible para análisis en Google Sheets, Excel y Looker Studio.</x:v>
      </x:c>
    </x:row>
    <x:row r="5">
      <x:c r="A5" s="11"/>
    </x:row>
    <x:row r="6">
      <x:c r="A6" s="12" t="str">
        <x:v>Alcance de la simulación</x:v>
      </x:c>
    </x:row>
    <x:row r="7">
      <x:c r="A7" s="11" t="str">
        <x:v>El archivo contiene información simulada desde 2023 hasta 2026 con corte a mayo, para las sedes de Cúcuta, Barrancabermeja, Ocaña, Girón, Valledupar, Arauca, Bogotá, Tibú, Medellín, Ábrego y Pamplona.</x:v>
      </x:c>
    </x:row>
    <x:row r="8">
      <x:c r="A8" s="11"/>
    </x:row>
    <x:row r="9">
      <x:c r="A9" s="12" t="str">
        <x:v>Hojas incluidas</x:v>
      </x:c>
    </x:row>
    <x:row r="10">
      <x:c r="A10" s="11" t="str">
        <x:v>Registro: base principal de eventos de capacitación y seguimiento.</x:v>
      </x:c>
    </x:row>
    <x:row r="11">
      <x:c r="A11" s="11" t="str">
        <x:v>Resumen_Anual: indicadores consolidados por año.</x:v>
      </x:c>
    </x:row>
    <x:row r="12">
      <x:c r="A12" s="11" t="str">
        <x:v>Resumen_Sedes: consolidado por sede y año.</x:v>
      </x:c>
    </x:row>
    <x:row r="13">
      <x:c r="A13" s="11" t="str">
        <x:v>Resumen_Mensual: seguimiento por año y mes.</x:v>
      </x:c>
    </x:row>
    <x:row r="14">
      <x:c r="A14" s="11" t="str">
        <x:v>Dashboard: visualización ejecutiva de indicadores y tendencias.</x:v>
      </x:c>
    </x:row>
    <x:row r="15">
      <x:c r="A15" s="11" t="str">
        <x:v>Catálogos: listas maestras para validación y referencia.</x:v>
      </x:c>
    </x:row>
    <x:row r="16">
      <x:c r="A16" s="11"/>
    </x:row>
    <x:row r="17">
      <x:c r="A17" s="12" t="str">
        <x:v>Campos clave del registro</x:v>
      </x:c>
    </x:row>
    <x:row r="18">
      <x:c r="A18" s="11" t="str">
        <x:v>Año, mes planeado, categoría, clasificación, origen, público objeto, sede, nombre del evento, objetivo, horas planeadas, fecha y horas ejecutadas, población objetivo, asistentes, % cobertura, mecanismo de evaluación, resultado, efectividad, facilitador, recursos, responsable, estado y observaciones.</x:v>
      </x:c>
    </x:row>
    <x:row r="19">
      <x:c r="A19" s="11"/>
    </x:row>
    <x:row r="20">
      <x:c r="A20" s="12" t="str">
        <x:v>Supuestos de la simulación</x:v>
      </x:c>
    </x:row>
    <x:row r="21">
      <x:c r="A21" s="11" t="str">
        <x:v>1. Se programó una actividad mensual por sede. 2023, 2024 y 2025 contienen 12 meses completos; 2026 contiene enero a mayo.</x:v>
      </x:c>
    </x:row>
    <x:row r="22">
      <x:c r="A22" s="11" t="str">
        <x:v>2. La población de trabajadores por sede crece de manera gradual entre 2023 y 2026.</x:v>
      </x:c>
    </x:row>
    <x:row r="23">
      <x:c r="A23" s="11" t="str">
        <x:v>3. La cobertura y el resultado de evaluación varían por sede y por evento para reflejar comportamiento realista.</x:v>
      </x:c>
    </x:row>
    <x:row r="24">
      <x:c r="A24" s="11" t="str">
        <x:v>4. Se incluyeron estados Ejecutada, Reprogramada y Cancelada para simular seguimiento operativo del plan.</x:v>
      </x:c>
    </x:row>
    <x:row r="25">
      <x:c r="A25" s="11"/>
    </x:row>
    <x:row r="26">
      <x:c r="A26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729999542236328" hidden="0" customWidth="1"/>
    <x:col min="2" max="2" width="19.520000457763672" hidden="0" customWidth="1"/>
    <x:col min="3" max="3" width="10.09000015258789" hidden="0" customWidth="1"/>
    <x:col min="4" max="4" width="6.190000057220459" hidden="0" customWidth="1"/>
    <x:col min="5" max="5" width="10.09000015258789" hidden="0" customWidth="1"/>
    <x:col min="6" max="6" width="20.459999084472656" hidden="0" customWidth="1"/>
    <x:col min="7" max="7" width="11.710000038146973" hidden="0" customWidth="1"/>
    <x:col min="8" max="8" width="8.880000114440918" hidden="0" customWidth="1"/>
  </x:cols>
  <x:sheetData>
    <x:row r="1">
      <x:c r="A1" s="20" t="str">
        <x:v>Sedes</x:v>
      </x:c>
      <x:c r="B1" s="21" t="str">
        <x:v>Categorías</x:v>
      </x:c>
      <x:c r="C1" s="21" t="str">
        <x:v>Clasificación</x:v>
      </x:c>
      <x:c r="D1" s="21" t="str">
        <x:v>Origen</x:v>
      </x:c>
      <x:c r="E1" s="21" t="str">
        <x:v>Público</x:v>
      </x:c>
      <x:c r="F1" s="21" t="str">
        <x:v>Mecanismo</x:v>
      </x:c>
      <x:c r="G1" s="21" t="str">
        <x:v>Estado</x:v>
      </x:c>
      <x:c r="H1" s="22" t="str">
        <x:v>Efectividad</x:v>
      </x:c>
    </x:row>
    <x:row r="2">
      <x:c r="A2" s="23" t="str">
        <x:v>Cúcuta</x:v>
      </x:c>
      <x:c r="B2" s="24" t="str">
        <x:v>ATEL</x:v>
      </x:c>
      <x:c r="C2" s="24" t="str">
        <x:v>Capacitación</x:v>
      </x:c>
      <x:c r="D2" s="24" t="str">
        <x:v>Interno</x:v>
      </x:c>
      <x:c r="E2" s="24" t="str">
        <x:v>Brigadistas</x:v>
      </x:c>
      <x:c r="F2" s="24" t="str">
        <x:v>Caso práctico</x:v>
      </x:c>
      <x:c r="G2" s="24" t="str">
        <x:v>Ejecutada</x:v>
      </x:c>
      <x:c r="H2" s="25" t="str">
        <x:v>Sí</x:v>
      </x:c>
    </x:row>
    <x:row r="3">
      <x:c r="A3" s="23" t="str">
        <x:v>Barrancabermeja</x:v>
      </x:c>
      <x:c r="B3" s="24" t="str">
        <x:v>Acoso laboral</x:v>
      </x:c>
      <x:c r="C3" s="24" t="str">
        <x:v>Curso</x:v>
      </x:c>
      <x:c r="D3" s="24" t="str">
        <x:v>Externo</x:v>
      </x:c>
      <x:c r="E3" s="24" t="str">
        <x:v>Conductores</x:v>
      </x:c>
      <x:c r="F3" s="24" t="str">
        <x:v>Encuesta de comprensión</x:v>
      </x:c>
      <x:c r="G3" s="24" t="str">
        <x:v>Reprogramada</x:v>
      </x:c>
      <x:c r="H3" s="25" t="str">
        <x:v>Parcial</x:v>
      </x:c>
    </x:row>
    <x:row r="4">
      <x:c r="A4" s="23" t="str">
        <x:v>Ocaña</x:v>
      </x:c>
      <x:c r="B4" s="24" t="str">
        <x:v>Alturas</x:v>
      </x:c>
      <x:c r="C4" s="24" t="str">
        <x:v>Simulacro</x:v>
      </x:c>
      <x:c r="D4" s="24"/>
      <x:c r="E4" s="24" t="str">
        <x:v>Líderes</x:v>
      </x:c>
      <x:c r="F4" s="24" t="str">
        <x:v>Encuesta de percepción</x:v>
      </x:c>
      <x:c r="G4" s="24" t="str">
        <x:v>Cancelada</x:v>
      </x:c>
      <x:c r="H4" s="25" t="str">
        <x:v>No</x:v>
      </x:c>
    </x:row>
    <x:row r="5">
      <x:c r="A5" s="23" t="str">
        <x:v>Girón</x:v>
      </x:c>
      <x:c r="B5" s="24" t="str">
        <x:v>Biomecánico</x:v>
      </x:c>
      <x:c r="C5" s="24" t="str">
        <x:v>Socialización</x:v>
      </x:c>
      <x:c r="D5" s="24"/>
      <x:c r="E5" s="24" t="str">
        <x:v>Operativos</x:v>
      </x:c>
      <x:c r="F5" s="24" t="str">
        <x:v>Evaluación escrita</x:v>
      </x:c>
      <x:c r="G5" s="24"/>
      <x:c r="H5" s="25"/>
    </x:row>
    <x:row r="6">
      <x:c r="A6" s="23" t="str">
        <x:v>Valledupar</x:v>
      </x:c>
      <x:c r="B6" s="24" t="str">
        <x:v>COPASST/CCL</x:v>
      </x:c>
      <x:c r="C6" s="24" t="str">
        <x:v>Taller</x:v>
      </x:c>
      <x:c r="D6" s="24"/>
      <x:c r="E6" s="24" t="str">
        <x:v>Todos</x:v>
      </x:c>
      <x:c r="F6" s="24" t="str">
        <x:v>Formulario / taller</x:v>
      </x:c>
      <x:c r="G6" s="24"/>
      <x:c r="H6" s="25"/>
    </x:row>
    <x:row r="7">
      <x:c r="A7" s="23" t="str">
        <x:v>Arauca</x:v>
      </x:c>
      <x:c r="B7" s="24" t="str">
        <x:v>EPP</x:v>
      </x:c>
      <x:c r="C7" s="24"/>
      <x:c r="D7" s="24"/>
      <x:c r="E7" s="24"/>
      <x:c r="F7" s="24" t="str">
        <x:v>Inspección</x:v>
      </x:c>
      <x:c r="G7" s="24"/>
      <x:c r="H7" s="25"/>
    </x:row>
    <x:row r="8">
      <x:c r="A8" s="23" t="str">
        <x:v>Bogotá</x:v>
      </x:c>
      <x:c r="B8" s="24" t="str">
        <x:v>Emergencias</x:v>
      </x:c>
      <x:c r="C8" s="24"/>
      <x:c r="D8" s="24"/>
      <x:c r="E8" s="24"/>
      <x:c r="F8" s="24" t="str">
        <x:v>Lista de chequeo</x:v>
      </x:c>
      <x:c r="G8" s="24"/>
      <x:c r="H8" s="25"/>
    </x:row>
    <x:row r="9">
      <x:c r="A9" s="23" t="str">
        <x:v>Tibú</x:v>
      </x:c>
      <x:c r="B9" s="24" t="str">
        <x:v>General</x:v>
      </x:c>
      <x:c r="C9" s="24"/>
      <x:c r="D9" s="24"/>
      <x:c r="E9" s="24"/>
      <x:c r="F9" s="24" t="str">
        <x:v>Observación en puesto</x:v>
      </x:c>
      <x:c r="G9" s="24"/>
      <x:c r="H9" s="25"/>
    </x:row>
    <x:row r="10">
      <x:c r="A10" s="23" t="str">
        <x:v>Medellín</x:v>
      </x:c>
      <x:c r="B10" s="24" t="str">
        <x:v>Inspecciones</x:v>
      </x:c>
      <x:c r="C10" s="24"/>
      <x:c r="D10" s="24"/>
      <x:c r="E10" s="24"/>
      <x:c r="F10" s="24" t="str">
        <x:v>Prueba práctica</x:v>
      </x:c>
      <x:c r="G10" s="24"/>
      <x:c r="H10" s="25"/>
    </x:row>
    <x:row r="11">
      <x:c r="A11" s="23" t="str">
        <x:v>Ábrego</x:v>
      </x:c>
      <x:c r="B11" s="24" t="str">
        <x:v>Locativo</x:v>
      </x:c>
      <x:c r="C11" s="24"/>
      <x:c r="D11" s="24"/>
      <x:c r="E11" s="24"/>
      <x:c r="F11" s="24" t="str">
        <x:v>Retroalimentación grupal</x:v>
      </x:c>
      <x:c r="G11" s="24"/>
      <x:c r="H11" s="25"/>
    </x:row>
    <x:row r="12">
      <x:c r="A12" s="23" t="str">
        <x:v>Pamplona</x:v>
      </x:c>
      <x:c r="B12" s="24" t="str">
        <x:v>PESV</x:v>
      </x:c>
      <x:c r="C12" s="24"/>
      <x:c r="D12" s="24"/>
      <x:c r="E12" s="24"/>
      <x:c r="F12" s="24" t="str">
        <x:v>Simulacro</x:v>
      </x:c>
      <x:c r="G12" s="24"/>
      <x:c r="H12" s="25"/>
    </x:row>
    <x:row r="13">
      <x:c r="A13" s="23"/>
      <x:c r="B13" s="24" t="str">
        <x:v>Prevención del consumo</x:v>
      </x:c>
      <x:c r="C13" s="24"/>
      <x:c r="D13" s="24"/>
      <x:c r="E13" s="24"/>
      <x:c r="F13" s="24" t="str">
        <x:v>Taller práctico</x:v>
      </x:c>
      <x:c r="G13" s="24"/>
      <x:c r="H13" s="25"/>
    </x:row>
    <x:row r="14">
      <x:c r="A14" s="23"/>
      <x:c r="B14" s="24"/>
      <x:c r="C14" s="24"/>
      <x:c r="D14" s="24"/>
      <x:c r="E14" s="24"/>
      <x:c r="F14" s="24"/>
      <x:c r="G14" s="24"/>
      <x:c r="H14" s="25"/>
    </x:row>
    <x:row r="15">
      <x:c r="A15" s="23"/>
      <x:c r="B15" s="24"/>
      <x:c r="C15" s="24"/>
      <x:c r="D15" s="24"/>
      <x:c r="E15" s="24"/>
      <x:c r="F15" s="24"/>
      <x:c r="G15" s="24"/>
      <x:c r="H15" s="25"/>
    </x:row>
    <x:row r="16">
      <x:c r="A16" s="23"/>
      <x:c r="B16" s="24"/>
      <x:c r="C16" s="24"/>
      <x:c r="D16" s="24"/>
      <x:c r="E16" s="24"/>
      <x:c r="F16" s="24"/>
      <x:c r="G16" s="24"/>
      <x:c r="H16" s="25"/>
    </x:row>
    <x:row r="17">
      <x:c r="A17" s="23"/>
      <x:c r="B17" s="24"/>
      <x:c r="C17" s="24"/>
      <x:c r="D17" s="24"/>
      <x:c r="E17" s="24"/>
      <x:c r="F17" s="24"/>
      <x:c r="G17" s="24"/>
      <x:c r="H17" s="25"/>
    </x:row>
    <x:row r="18">
      <x:c r="A18" s="23"/>
      <x:c r="B18" s="24"/>
      <x:c r="C18" s="24"/>
      <x:c r="D18" s="24"/>
      <x:c r="E18" s="24"/>
      <x:c r="F18" s="24"/>
      <x:c r="G18" s="24"/>
      <x:c r="H18" s="25"/>
    </x:row>
    <x:row r="19">
      <x:c r="A19" s="23"/>
      <x:c r="B19" s="24"/>
      <x:c r="C19" s="24"/>
      <x:c r="D19" s="24"/>
      <x:c r="E19" s="24"/>
      <x:c r="F19" s="24"/>
      <x:c r="G19" s="24"/>
      <x:c r="H19" s="25"/>
    </x:row>
    <x:row r="20">
      <x:c r="A20" s="26"/>
      <x:c r="B20" s="27"/>
      <x:c r="C20" s="27"/>
      <x:c r="D20" s="27"/>
      <x:c r="E20" s="27"/>
      <x:c r="F20" s="27"/>
      <x:c r="G20" s="27"/>
      <x:c r="H20" s="2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21" max="21" width="16" hidden="0" customWidth="1"/>
    <x:col min="22" max="22" width="38" hidden="0" customWidth="1"/>
    <x:col min="23" max="23" width="16" hidden="0" customWidth="1"/>
    <x:col min="24" max="24" width="16" hidden="0" customWidth="1"/>
    <x:col min="11" max="11" width="40" hidden="0" customWidth="1"/>
    <x:col min="25" max="25" width="4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</x:cols>
  <x:sheetData>
    <x:row r="1">
      <x:c r="A1" s="38" t="str">
        <x:v>ID</x:v>
      </x:c>
      <x:c r="B1" s="38" t="str">
        <x:v>Año</x:v>
      </x:c>
      <x:c r="C1" s="38" t="str">
        <x:v>Mes planeado</x:v>
      </x:c>
      <x:c r="D1" s="38" t="str">
        <x:v>N° mes</x:v>
      </x:c>
      <x:c r="E1" s="38" t="str">
        <x:v>Categoría</x:v>
      </x:c>
      <x:c r="F1" s="38" t="str">
        <x:v>Clasificación</x:v>
      </x:c>
      <x:c r="G1" s="38" t="str">
        <x:v>Origen</x:v>
      </x:c>
      <x:c r="H1" s="38" t="str">
        <x:v>Público objeto</x:v>
      </x:c>
      <x:c r="I1" s="38" t="str">
        <x:v>Sede</x:v>
      </x:c>
      <x:c r="J1" s="38" t="str">
        <x:v>Nombre del evento</x:v>
      </x:c>
      <x:c r="K1" s="38" t="str">
        <x:v>Objetivo del evento</x:v>
      </x:c>
      <x:c r="L1" s="38" t="str">
        <x:v>Horas planeadas</x:v>
      </x:c>
      <x:c r="M1" s="38" t="str">
        <x:v>Fecha de ejecución</x:v>
      </x:c>
      <x:c r="N1" s="38" t="str">
        <x:v>Horas ejecutadas</x:v>
      </x:c>
      <x:c r="O1" s="38" t="str">
        <x:v>No. población trabajadores</x:v>
      </x:c>
      <x:c r="P1" s="38" t="str">
        <x:v>No. asistentes</x:v>
      </x:c>
      <x:c r="Q1" s="38" t="str">
        <x:v>% Cobertura</x:v>
      </x:c>
      <x:c r="R1" s="38" t="str">
        <x:v>Mecanismo de evaluación</x:v>
      </x:c>
      <x:c r="S1" s="38" t="str">
        <x:v>Resultado evaluación (1-5)</x:v>
      </x:c>
      <x:c r="T1" s="38" t="str">
        <x:v>¿Fue efectiva?</x:v>
      </x:c>
      <x:c r="U1" s="38" t="str">
        <x:v>Facilitador</x:v>
      </x:c>
      <x:c r="V1" s="38" t="str">
        <x:v>Recursos</x:v>
      </x:c>
      <x:c r="W1" s="38" t="str">
        <x:v>Responsable</x:v>
      </x:c>
      <x:c r="X1" s="38" t="str">
        <x:v>Estado</x:v>
      </x:c>
      <x:c r="Y1" s="38" t="str">
        <x:v>Observaciones / acciones a seguir</x:v>
      </x:c>
    </x:row>
    <x:row r="2">
      <x:c r="A2" s="41" t="n">
        <x:v>1</x:v>
      </x:c>
      <x:c r="B2" s="42" t="n">
        <x:v>2023</x:v>
      </x:c>
      <x:c r="C2" s="42" t="str">
        <x:v>Enero</x:v>
      </x:c>
      <x:c r="D2" s="42" t="n">
        <x:v>1</x:v>
      </x:c>
      <x:c r="E2" s="42" t="str">
        <x:v>General</x:v>
      </x:c>
      <x:c r="F2" s="42" t="str">
        <x:v>Capacitación</x:v>
      </x:c>
      <x:c r="G2" s="42" t="str">
        <x:v>Interno</x:v>
      </x:c>
      <x:c r="H2" s="42" t="str">
        <x:v>Todos</x:v>
      </x:c>
      <x:c r="I2" s="42" t="str">
        <x:v>Cúcuta</x:v>
      </x:c>
      <x:c r="J2" s="47" t="str">
        <x:v>Inducción y reinducción al SG-SST</x:v>
      </x:c>
      <x:c r="K2" s="47" t="str">
        <x:v>Socializar los lineamientos generales del SG-SST, responsabilidades y canales de reporte para fortalecer el autocuidado y el cumplimiento normativo.</x:v>
      </x:c>
      <x:c r="L2" s="42" t="n">
        <x:v>2</x:v>
      </x:c>
      <x:c r="M2" s="57" t="n">
        <x:v>44951</x:v>
      </x:c>
      <x:c r="N2" s="42" t="n">
        <x:v>2</x:v>
      </x:c>
      <x:c r="O2" s="42" t="n">
        <x:v>78</x:v>
      </x:c>
      <x:c r="P2" s="42" t="n">
        <x:v>61</x:v>
      </x:c>
      <x:c r="Q2" s="63" t="n">
        <x:f>IFERROR(P2/O2,0)</x:f>
        <x:v>0.782051282051282</x:v>
      </x:c>
      <x:c r="R2" s="42" t="str">
        <x:v>Evaluación escrita</x:v>
      </x:c>
      <x:c r="S2" s="69" t="n">
        <x:v>4.3</x:v>
      </x:c>
      <x:c r="T2" s="42" t="str">
        <x:f>IF(XOR(X2="Reprogramada",X2="Cancelada"),"",IF(AND(Q2&gt;=0.8,S2&gt;=4),"Sí",IF(AND(Q2&gt;=0.65,S2&gt;=3.5),"Parcial","No")))</x:f>
        <x:v>Parcial</x:v>
      </x:c>
      <x:c r="U2" s="42" t="str">
        <x:v>Carlos Felipe Parada Ramón</x:v>
      </x:c>
      <x:c r="V2" s="47" t="str">
        <x:v>Humano (facilitador interno) / Logístico / Material de apoyo</x:v>
      </x:c>
      <x:c r="W2" s="47" t="str">
        <x:v>Carlos Felipe Parada Ramón</x:v>
      </x:c>
      <x:c r="X2" s="47" t="str">
        <x:v>Ejecutada</x:v>
      </x:c>
      <x:c r="Y2" s="51" t="str">
        <x:v>Actividad ejecutada satisfactoriamente; mantener evidencia y seguimiento.</x:v>
      </x:c>
    </x:row>
    <x:row r="3">
      <x:c r="A3" s="23" t="n">
        <x:v>2</x:v>
      </x:c>
      <x:c r="B3" s="24" t="n">
        <x:v>2023</x:v>
      </x:c>
      <x:c r="C3" s="24" t="str">
        <x:v>Enero</x:v>
      </x:c>
      <x:c r="D3" s="24" t="n">
        <x:v>1</x:v>
      </x:c>
      <x:c r="E3" s="24" t="str">
        <x:v>General</x:v>
      </x:c>
      <x:c r="F3" s="24" t="str">
        <x:v>Capacitación</x:v>
      </x:c>
      <x:c r="G3" s="24" t="str">
        <x:v>Interno</x:v>
      </x:c>
      <x:c r="H3" s="24" t="str">
        <x:v>Todos</x:v>
      </x:c>
      <x:c r="I3" s="24" t="str">
        <x:v>Barrancabermeja</x:v>
      </x:c>
      <x:c r="J3" s="11" t="str">
        <x:v>Inducción y reinducción al SG-SST</x:v>
      </x:c>
      <x:c r="K3" s="11" t="str">
        <x:v>Socializar los lineamientos generales del SG-SST, responsabilidades y canales de reporte para fortalecer el autocuidado y el cumplimiento normativo.</x:v>
      </x:c>
      <x:c r="L3" s="24" t="n">
        <x:v>2</x:v>
      </x:c>
      <x:c r="M3" s="58" t="n">
        <x:v>44939</x:v>
      </x:c>
      <x:c r="N3" s="24" t="n">
        <x:v>1.5</x:v>
      </x:c>
      <x:c r="O3" s="24" t="n">
        <x:v>52</x:v>
      </x:c>
      <x:c r="P3" s="24" t="n">
        <x:v>49</x:v>
      </x:c>
      <x:c r="Q3" s="64" t="n">
        <x:f>IFERROR(P3/O3,0)</x:f>
        <x:v>0.9423076923076923</x:v>
      </x:c>
      <x:c r="R3" s="24" t="str">
        <x:v>Evaluación escrita</x:v>
      </x:c>
      <x:c r="S3" s="70" t="n">
        <x:v>4.8</x:v>
      </x:c>
      <x:c r="T3" s="24" t="str">
        <x:f>IF(XOR(X3="Reprogramada",X3="Cancelada"),"",IF(AND(Q3&gt;=0.8,S3&gt;=4),"Sí",IF(AND(Q3&gt;=0.65,S3&gt;=3.5),"Parcial","No")))</x:f>
        <x:v>Sí</x:v>
      </x:c>
      <x:c r="U3" s="24" t="str">
        <x:v>Carlos Felipe Parada Ramón</x:v>
      </x:c>
      <x:c r="V3" s="11" t="str">
        <x:v>Humano (facilitador interno) / Logístico / Material de apoyo</x:v>
      </x:c>
      <x:c r="W3" s="11" t="str">
        <x:v>Camila Andrea Galván</x:v>
      </x:c>
      <x:c r="X3" s="11" t="str">
        <x:v>Ejecutada</x:v>
      </x:c>
      <x:c r="Y3" s="52" t="str">
        <x:v>Actividad ejecutada satisfactoriamente; mantener evidencia y seguimiento.</x:v>
      </x:c>
    </x:row>
    <x:row r="4">
      <x:c r="A4" s="23" t="n">
        <x:v>3</x:v>
      </x:c>
      <x:c r="B4" s="24" t="n">
        <x:v>2023</x:v>
      </x:c>
      <x:c r="C4" s="24" t="str">
        <x:v>Enero</x:v>
      </x:c>
      <x:c r="D4" s="24" t="n">
        <x:v>1</x:v>
      </x:c>
      <x:c r="E4" s="24" t="str">
        <x:v>General</x:v>
      </x:c>
      <x:c r="F4" s="24" t="str">
        <x:v>Capacitación</x:v>
      </x:c>
      <x:c r="G4" s="24" t="str">
        <x:v>Interno</x:v>
      </x:c>
      <x:c r="H4" s="24" t="str">
        <x:v>Todos</x:v>
      </x:c>
      <x:c r="I4" s="24" t="str">
        <x:v>Ocaña</x:v>
      </x:c>
      <x:c r="J4" s="11" t="str">
        <x:v>Inducción y reinducción al SG-SST</x:v>
      </x:c>
      <x:c r="K4" s="11" t="str">
        <x:v>Socializar los lineamientos generales del SG-SST, responsabilidades y canales de reporte para fortalecer el autocuidado y el cumplimiento normativo.</x:v>
      </x:c>
      <x:c r="L4" s="24" t="n">
        <x:v>2</x:v>
      </x:c>
      <x:c r="M4" s="58" t="n">
        <x:v>44936</x:v>
      </x:c>
      <x:c r="N4" s="24" t="n">
        <x:v>2</x:v>
      </x:c>
      <x:c r="O4" s="24" t="n">
        <x:v>36</x:v>
      </x:c>
      <x:c r="P4" s="24" t="n">
        <x:v>33</x:v>
      </x:c>
      <x:c r="Q4" s="64" t="n">
        <x:f>IFERROR(P4/O4,0)</x:f>
        <x:v>0.9166666666666666</x:v>
      </x:c>
      <x:c r="R4" s="24" t="str">
        <x:v>Evaluación escrita</x:v>
      </x:c>
      <x:c r="S4" s="70" t="n">
        <x:v>4.4</x:v>
      </x:c>
      <x:c r="T4" s="24" t="str">
        <x:f>IF(XOR(X4="Reprogramada",X4="Cancelada"),"",IF(AND(Q4&gt;=0.8,S4&gt;=4),"Sí",IF(AND(Q4&gt;=0.65,S4&gt;=3.5),"Parcial","No")))</x:f>
        <x:v>Sí</x:v>
      </x:c>
      <x:c r="U4" s="24" t="str">
        <x:v>Carlos Felipe Parada Ramón</x:v>
      </x:c>
      <x:c r="V4" s="11" t="str">
        <x:v>Humano (facilitador interno) / Logístico / Material de apoyo</x:v>
      </x:c>
      <x:c r="W4" s="11" t="str">
        <x:v>Jesús Guerrero</x:v>
      </x:c>
      <x:c r="X4" s="11" t="str">
        <x:v>Ejecutada</x:v>
      </x:c>
      <x:c r="Y4" s="52" t="str">
        <x:v>Actividad ejecutada satisfactoriamente; mantener evidencia y seguimiento.</x:v>
      </x:c>
    </x:row>
    <x:row r="5">
      <x:c r="A5" s="23" t="n">
        <x:v>4</x:v>
      </x:c>
      <x:c r="B5" s="24" t="n">
        <x:v>2023</x:v>
      </x:c>
      <x:c r="C5" s="24" t="str">
        <x:v>Enero</x:v>
      </x:c>
      <x:c r="D5" s="24" t="n">
        <x:v>1</x:v>
      </x:c>
      <x:c r="E5" s="24" t="str">
        <x:v>General</x:v>
      </x:c>
      <x:c r="F5" s="24" t="str">
        <x:v>Capacitación</x:v>
      </x:c>
      <x:c r="G5" s="24" t="str">
        <x:v>Interno</x:v>
      </x:c>
      <x:c r="H5" s="24" t="str">
        <x:v>Todos</x:v>
      </x:c>
      <x:c r="I5" s="24" t="str">
        <x:v>Girón</x:v>
      </x:c>
      <x:c r="J5" s="11" t="str">
        <x:v>Inducción y reinducción al SG-SST</x:v>
      </x:c>
      <x:c r="K5" s="11" t="str">
        <x:v>Socializar los lineamientos generales del SG-SST, responsabilidades y canales de reporte para fortalecer el autocuidado y el cumplimiento normativo.</x:v>
      </x:c>
      <x:c r="L5" s="24" t="n">
        <x:v>2</x:v>
      </x:c>
      <x:c r="M5" s="58" t="n">
        <x:v>44945</x:v>
      </x:c>
      <x:c r="N5" s="24" t="n">
        <x:v>1.5</x:v>
      </x:c>
      <x:c r="O5" s="24" t="n">
        <x:v>41</x:v>
      </x:c>
      <x:c r="P5" s="24" t="n">
        <x:v>36</x:v>
      </x:c>
      <x:c r="Q5" s="64" t="n">
        <x:f>IFERROR(P5/O5,0)</x:f>
        <x:v>0.8780487804878049</x:v>
      </x:c>
      <x:c r="R5" s="24" t="str">
        <x:v>Evaluación escrita</x:v>
      </x:c>
      <x:c r="S5" s="70" t="n">
        <x:v>4.4</x:v>
      </x:c>
      <x:c r="T5" s="24" t="str">
        <x:f>IF(XOR(X5="Reprogramada",X5="Cancelada"),"",IF(AND(Q5&gt;=0.8,S5&gt;=4),"Sí",IF(AND(Q5&gt;=0.65,S5&gt;=3.5),"Parcial","No")))</x:f>
        <x:v>Sí</x:v>
      </x:c>
      <x:c r="U5" s="24" t="str">
        <x:v>Carlos Felipe Parada Ramón</x:v>
      </x:c>
      <x:c r="V5" s="11" t="str">
        <x:v>Humano (facilitador interno) / Logístico / Material de apoyo</x:v>
      </x:c>
      <x:c r="W5" s="11" t="str">
        <x:v>Carlos Felipe Parada Ramón</x:v>
      </x:c>
      <x:c r="X5" s="11" t="str">
        <x:v>Ejecutada</x:v>
      </x:c>
      <x:c r="Y5" s="52" t="str">
        <x:v>Actividad ejecutada satisfactoriamente; mantener evidencia y seguimiento.</x:v>
      </x:c>
    </x:row>
    <x:row r="6">
      <x:c r="A6" s="23" t="n">
        <x:v>5</x:v>
      </x:c>
      <x:c r="B6" s="24" t="n">
        <x:v>2023</x:v>
      </x:c>
      <x:c r="C6" s="24" t="str">
        <x:v>Enero</x:v>
      </x:c>
      <x:c r="D6" s="24" t="n">
        <x:v>1</x:v>
      </x:c>
      <x:c r="E6" s="24" t="str">
        <x:v>General</x:v>
      </x:c>
      <x:c r="F6" s="24" t="str">
        <x:v>Capacitación</x:v>
      </x:c>
      <x:c r="G6" s="24" t="str">
        <x:v>Interno</x:v>
      </x:c>
      <x:c r="H6" s="24" t="str">
        <x:v>Todos</x:v>
      </x:c>
      <x:c r="I6" s="24" t="str">
        <x:v>Valledupar</x:v>
      </x:c>
      <x:c r="J6" s="11" t="str">
        <x:v>Inducción y reinducción al SG-SST</x:v>
      </x:c>
      <x:c r="K6" s="11" t="str">
        <x:v>Socializar los lineamientos generales del SG-SST, responsabilidades y canales de reporte para fortalecer el autocuidado y el cumplimiento normativo.</x:v>
      </x:c>
      <x:c r="L6" s="24" t="n">
        <x:v>2</x:v>
      </x:c>
      <x:c r="M6" s="58" t="n">
        <x:v>44939</x:v>
      </x:c>
      <x:c r="N6" s="24" t="n">
        <x:v>2</x:v>
      </x:c>
      <x:c r="O6" s="24" t="n">
        <x:v>47</x:v>
      </x:c>
      <x:c r="P6" s="24" t="n">
        <x:v>39</x:v>
      </x:c>
      <x:c r="Q6" s="64" t="n">
        <x:f>IFERROR(P6/O6,0)</x:f>
        <x:v>0.8297872340425532</x:v>
      </x:c>
      <x:c r="R6" s="24" t="str">
        <x:v>Evaluación escrita</x:v>
      </x:c>
      <x:c r="S6" s="70" t="n">
        <x:v>4.5</x:v>
      </x:c>
      <x:c r="T6" s="24" t="str">
        <x:f>IF(XOR(X6="Reprogramada",X6="Cancelada"),"",IF(AND(Q6&gt;=0.8,S6&gt;=4),"Sí",IF(AND(Q6&gt;=0.65,S6&gt;=3.5),"Parcial","No")))</x:f>
        <x:v>Sí</x:v>
      </x:c>
      <x:c r="U6" s="24" t="str">
        <x:v>Carlos Felipe Parada Ramón</x:v>
      </x:c>
      <x:c r="V6" s="11" t="str">
        <x:v>Humano (facilitador interno) / Logístico / Material de apoyo</x:v>
      </x:c>
      <x:c r="W6" s="11" t="str">
        <x:v>Camila Andrea Galván</x:v>
      </x:c>
      <x:c r="X6" s="11" t="str">
        <x:v>Ejecutada</x:v>
      </x:c>
      <x:c r="Y6" s="52" t="str">
        <x:v>Actividad ejecutada satisfactoriamente; mantener evidencia y seguimiento.</x:v>
      </x:c>
    </x:row>
    <x:row r="7">
      <x:c r="A7" s="23" t="n">
        <x:v>6</x:v>
      </x:c>
      <x:c r="B7" s="24" t="n">
        <x:v>2023</x:v>
      </x:c>
      <x:c r="C7" s="24" t="str">
        <x:v>Enero</x:v>
      </x:c>
      <x:c r="D7" s="24" t="n">
        <x:v>1</x:v>
      </x:c>
      <x:c r="E7" s="24" t="str">
        <x:v>General</x:v>
      </x:c>
      <x:c r="F7" s="24" t="str">
        <x:v>Capacitación</x:v>
      </x:c>
      <x:c r="G7" s="24" t="str">
        <x:v>Interno</x:v>
      </x:c>
      <x:c r="H7" s="24" t="str">
        <x:v>Todos</x:v>
      </x:c>
      <x:c r="I7" s="24" t="str">
        <x:v>Arauca</x:v>
      </x:c>
      <x:c r="J7" s="11" t="str">
        <x:v>Inducción y reinducción al SG-SST</x:v>
      </x:c>
      <x:c r="K7" s="11" t="str">
        <x:v>Socializar los lineamientos generales del SG-SST, responsabilidades y canales de reporte para fortalecer el autocuidado y el cumplimiento normativo.</x:v>
      </x:c>
      <x:c r="L7" s="24" t="n">
        <x:v>2</x:v>
      </x:c>
      <x:c r="M7" s="58" t="n">
        <x:v>44949</x:v>
      </x:c>
      <x:c r="N7" s="24" t="n">
        <x:v>2</x:v>
      </x:c>
      <x:c r="O7" s="24" t="n">
        <x:v>29</x:v>
      </x:c>
      <x:c r="P7" s="24" t="n">
        <x:v>26</x:v>
      </x:c>
      <x:c r="Q7" s="64" t="n">
        <x:f>IFERROR(P7/O7,0)</x:f>
        <x:v>0.896551724137931</x:v>
      </x:c>
      <x:c r="R7" s="24" t="str">
        <x:v>Evaluación escrita</x:v>
      </x:c>
      <x:c r="S7" s="70" t="n">
        <x:v>4.2</x:v>
      </x:c>
      <x:c r="T7" s="24" t="str">
        <x:f>IF(XOR(X7="Reprogramada",X7="Cancelada"),"",IF(AND(Q7&gt;=0.8,S7&gt;=4),"Sí",IF(AND(Q7&gt;=0.65,S7&gt;=3.5),"Parcial","No")))</x:f>
        <x:v>Sí</x:v>
      </x:c>
      <x:c r="U7" s="24" t="str">
        <x:v>Carlos Felipe Parada Ramón</x:v>
      </x:c>
      <x:c r="V7" s="11" t="str">
        <x:v>Humano (facilitador interno) / Logístico / Material de apoyo</x:v>
      </x:c>
      <x:c r="W7" s="11" t="str">
        <x:v>Jesús Guerrero</x:v>
      </x:c>
      <x:c r="X7" s="11" t="str">
        <x:v>Ejecutada</x:v>
      </x:c>
      <x:c r="Y7" s="52" t="str">
        <x:v>Actividad ejecutada satisfactoriamente; mantener evidencia y seguimiento.</x:v>
      </x:c>
    </x:row>
    <x:row r="8">
      <x:c r="A8" s="23" t="n">
        <x:v>7</x:v>
      </x:c>
      <x:c r="B8" s="24" t="n">
        <x:v>2023</x:v>
      </x:c>
      <x:c r="C8" s="24" t="str">
        <x:v>Enero</x:v>
      </x:c>
      <x:c r="D8" s="24" t="n">
        <x:v>1</x:v>
      </x:c>
      <x:c r="E8" s="24" t="str">
        <x:v>General</x:v>
      </x:c>
      <x:c r="F8" s="24" t="str">
        <x:v>Capacitación</x:v>
      </x:c>
      <x:c r="G8" s="24" t="str">
        <x:v>Interno</x:v>
      </x:c>
      <x:c r="H8" s="24" t="str">
        <x:v>Todos</x:v>
      </x:c>
      <x:c r="I8" s="24" t="str">
        <x:v>Bogotá</x:v>
      </x:c>
      <x:c r="J8" s="11" t="str">
        <x:v>Inducción y reinducción al SG-SST</x:v>
      </x:c>
      <x:c r="K8" s="11" t="str">
        <x:v>Socializar los lineamientos generales del SG-SST, responsabilidades y canales de reporte para fortalecer el autocuidado y el cumplimiento normativo.</x:v>
      </x:c>
      <x:c r="L8" s="24" t="n">
        <x:v>2</x:v>
      </x:c>
      <x:c r="M8" s="58" t="n">
        <x:v>44940</x:v>
      </x:c>
      <x:c r="N8" s="24" t="n">
        <x:v>2</x:v>
      </x:c>
      <x:c r="O8" s="24" t="n">
        <x:v>63</x:v>
      </x:c>
      <x:c r="P8" s="24" t="n">
        <x:v>51</x:v>
      </x:c>
      <x:c r="Q8" s="64" t="n">
        <x:f>IFERROR(P8/O8,0)</x:f>
        <x:v>0.8095238095238095</x:v>
      </x:c>
      <x:c r="R8" s="24" t="str">
        <x:v>Evaluación escrita</x:v>
      </x:c>
      <x:c r="S8" s="70" t="n">
        <x:v>4.5</x:v>
      </x:c>
      <x:c r="T8" s="24" t="str">
        <x:f>IF(XOR(X8="Reprogramada",X8="Cancelada"),"",IF(AND(Q8&gt;=0.8,S8&gt;=4),"Sí",IF(AND(Q8&gt;=0.65,S8&gt;=3.5),"Parcial","No")))</x:f>
        <x:v>Sí</x:v>
      </x:c>
      <x:c r="U8" s="24" t="str">
        <x:v>Carlos Felipe Parada Ramón</x:v>
      </x:c>
      <x:c r="V8" s="11" t="str">
        <x:v>Humano (facilitador interno) / Logístico / Material de apoyo</x:v>
      </x:c>
      <x:c r="W8" s="11" t="str">
        <x:v>Carlos Felipe Parada Ramón</x:v>
      </x:c>
      <x:c r="X8" s="11" t="str">
        <x:v>Ejecutada</x:v>
      </x:c>
      <x:c r="Y8" s="52" t="str">
        <x:v>Actividad ejecutada satisfactoriamente; mantener evidencia y seguimiento.</x:v>
      </x:c>
    </x:row>
    <x:row r="9">
      <x:c r="A9" s="23" t="n">
        <x:v>8</x:v>
      </x:c>
      <x:c r="B9" s="24" t="n">
        <x:v>2023</x:v>
      </x:c>
      <x:c r="C9" s="24" t="str">
        <x:v>Enero</x:v>
      </x:c>
      <x:c r="D9" s="24" t="n">
        <x:v>1</x:v>
      </x:c>
      <x:c r="E9" s="24" t="str">
        <x:v>General</x:v>
      </x:c>
      <x:c r="F9" s="24" t="str">
        <x:v>Capacitación</x:v>
      </x:c>
      <x:c r="G9" s="24" t="str">
        <x:v>Interno</x:v>
      </x:c>
      <x:c r="H9" s="24" t="str">
        <x:v>Todos</x:v>
      </x:c>
      <x:c r="I9" s="24" t="str">
        <x:v>Tibú</x:v>
      </x:c>
      <x:c r="J9" s="11" t="str">
        <x:v>Inducción y reinducción al SG-SST</x:v>
      </x:c>
      <x:c r="K9" s="11" t="str">
        <x:v>Socializar los lineamientos generales del SG-SST, responsabilidades y canales de reporte para fortalecer el autocuidado y el cumplimiento normativo.</x:v>
      </x:c>
      <x:c r="L9" s="24" t="n">
        <x:v>2</x:v>
      </x:c>
      <x:c r="M9" s="58" t="n">
        <x:v>44943</x:v>
      </x:c>
      <x:c r="N9" s="24" t="n">
        <x:v>2</x:v>
      </x:c>
      <x:c r="O9" s="24" t="n">
        <x:v>31</x:v>
      </x:c>
      <x:c r="P9" s="24" t="n">
        <x:v>27</x:v>
      </x:c>
      <x:c r="Q9" s="64" t="n">
        <x:f>IFERROR(P9/O9,0)</x:f>
        <x:v>0.8709677419354839</x:v>
      </x:c>
      <x:c r="R9" s="24" t="str">
        <x:v>Evaluación escrita</x:v>
      </x:c>
      <x:c r="S9" s="70" t="n">
        <x:v>4.4</x:v>
      </x:c>
      <x:c r="T9" s="24" t="str">
        <x:f>IF(XOR(X9="Reprogramada",X9="Cancelada"),"",IF(AND(Q9&gt;=0.8,S9&gt;=4),"Sí",IF(AND(Q9&gt;=0.65,S9&gt;=3.5),"Parcial","No")))</x:f>
        <x:v>Sí</x:v>
      </x:c>
      <x:c r="U9" s="24" t="str">
        <x:v>Carlos Felipe Parada Ramón</x:v>
      </x:c>
      <x:c r="V9" s="11" t="str">
        <x:v>Humano (facilitador interno) / Logístico / Material de apoyo</x:v>
      </x:c>
      <x:c r="W9" s="11" t="str">
        <x:v>Camila Andrea Galván</x:v>
      </x:c>
      <x:c r="X9" s="11" t="str">
        <x:v>Ejecutada</x:v>
      </x:c>
      <x:c r="Y9" s="52" t="str">
        <x:v>Actividad ejecutada satisfactoriamente; mantener evidencia y seguimiento.</x:v>
      </x:c>
    </x:row>
    <x:row r="10">
      <x:c r="A10" s="23" t="n">
        <x:v>9</x:v>
      </x:c>
      <x:c r="B10" s="24" t="n">
        <x:v>2023</x:v>
      </x:c>
      <x:c r="C10" s="24" t="str">
        <x:v>Enero</x:v>
      </x:c>
      <x:c r="D10" s="24" t="n">
        <x:v>1</x:v>
      </x:c>
      <x:c r="E10" s="24" t="str">
        <x:v>General</x:v>
      </x:c>
      <x:c r="F10" s="24" t="str">
        <x:v>Capacitación</x:v>
      </x:c>
      <x:c r="G10" s="24" t="str">
        <x:v>Interno</x:v>
      </x:c>
      <x:c r="H10" s="24" t="str">
        <x:v>Todos</x:v>
      </x:c>
      <x:c r="I10" s="24" t="str">
        <x:v>Medellín</x:v>
      </x:c>
      <x:c r="J10" s="11" t="str">
        <x:v>Inducción y reinducción al SG-SST</x:v>
      </x:c>
      <x:c r="K10" s="11" t="str">
        <x:v>Socializar los lineamientos generales del SG-SST, responsabilidades y canales de reporte para fortalecer el autocuidado y el cumplimiento normativo.</x:v>
      </x:c>
      <x:c r="L10" s="24" t="n">
        <x:v>2</x:v>
      </x:c>
      <x:c r="M10" s="58"/>
      <x:c r="N10" s="24"/>
      <x:c r="O10" s="24" t="n">
        <x:v>58</x:v>
      </x:c>
      <x:c r="P10" s="24"/>
      <x:c r="Q10" s="64" t="n">
        <x:f>IFERROR(P10/O10,0)</x:f>
        <x:v>0</x:v>
      </x:c>
      <x:c r="R10" s="24" t="str">
        <x:v>Evaluación escrita</x:v>
      </x:c>
      <x:c r="S10" s="70"/>
      <x:c r="T10" s="24" t="str">
        <x:f>IF(XOR(X10="Reprogramada",X10="Cancelada"),"",IF(AND(Q10&gt;=0.8,S10&gt;=4),"Sí",IF(AND(Q10&gt;=0.65,S10&gt;=3.5),"Parcial","No")))</x:f>
      </x:c>
      <x:c r="U10" s="24" t="str">
        <x:v>Carlos Felipe Parada Ramón</x:v>
      </x:c>
      <x:c r="V10" s="11" t="str">
        <x:v>Humano (facilitador interno) / Logístico / Material de apoyo</x:v>
      </x:c>
      <x:c r="W10" s="11" t="str">
        <x:v>Jesús Guerrero</x:v>
      </x:c>
      <x:c r="X10" s="11" t="str">
        <x:v>Reprogramada</x:v>
      </x:c>
      <x:c r="Y10" s="52" t="str">
        <x:v>Actividad reprogramada por operación, disponibilidad del facilitador o ajustes logísticos.</x:v>
      </x:c>
    </x:row>
    <x:row r="11">
      <x:c r="A11" s="23" t="n">
        <x:v>10</x:v>
      </x:c>
      <x:c r="B11" s="24" t="n">
        <x:v>2023</x:v>
      </x:c>
      <x:c r="C11" s="24" t="str">
        <x:v>Enero</x:v>
      </x:c>
      <x:c r="D11" s="24" t="n">
        <x:v>1</x:v>
      </x:c>
      <x:c r="E11" s="24" t="str">
        <x:v>General</x:v>
      </x:c>
      <x:c r="F11" s="24" t="str">
        <x:v>Capacitación</x:v>
      </x:c>
      <x:c r="G11" s="24" t="str">
        <x:v>Interno</x:v>
      </x:c>
      <x:c r="H11" s="24" t="str">
        <x:v>Todos</x:v>
      </x:c>
      <x:c r="I11" s="24" t="str">
        <x:v>Ábrego</x:v>
      </x:c>
      <x:c r="J11" s="11" t="str">
        <x:v>Inducción y reinducción al SG-SST</x:v>
      </x:c>
      <x:c r="K11" s="11" t="str">
        <x:v>Socializar los lineamientos generales del SG-SST, responsabilidades y canales de reporte para fortalecer el autocuidado y el cumplimiento normativo.</x:v>
      </x:c>
      <x:c r="L11" s="24" t="n">
        <x:v>2</x:v>
      </x:c>
      <x:c r="M11" s="58" t="n">
        <x:v>44939</x:v>
      </x:c>
      <x:c r="N11" s="24" t="n">
        <x:v>2</x:v>
      </x:c>
      <x:c r="O11" s="24" t="n">
        <x:v>24</x:v>
      </x:c>
      <x:c r="P11" s="24" t="n">
        <x:v>22</x:v>
      </x:c>
      <x:c r="Q11" s="64" t="n">
        <x:f>IFERROR(P11/O11,0)</x:f>
        <x:v>0.9166666666666666</x:v>
      </x:c>
      <x:c r="R11" s="24" t="str">
        <x:v>Evaluación escrita</x:v>
      </x:c>
      <x:c r="S11" s="70" t="n">
        <x:v>4.3</x:v>
      </x:c>
      <x:c r="T11" s="24" t="str">
        <x:f>IF(XOR(X11="Reprogramada",X11="Cancelada"),"",IF(AND(Q11&gt;=0.8,S11&gt;=4),"Sí",IF(AND(Q11&gt;=0.65,S11&gt;=3.5),"Parcial","No")))</x:f>
        <x:v>Sí</x:v>
      </x:c>
      <x:c r="U11" s="24" t="str">
        <x:v>Carlos Felipe Parada Ramón</x:v>
      </x:c>
      <x:c r="V11" s="11" t="str">
        <x:v>Humano (facilitador interno) / Logístico / Material de apoyo</x:v>
      </x:c>
      <x:c r="W11" s="11" t="str">
        <x:v>Carlos Felipe Parada Ramón</x:v>
      </x:c>
      <x:c r="X11" s="11" t="str">
        <x:v>Ejecutada</x:v>
      </x:c>
      <x:c r="Y11" s="52" t="str">
        <x:v>Actividad ejecutada satisfactoriamente; mantener evidencia y seguimiento.</x:v>
      </x:c>
    </x:row>
    <x:row r="12">
      <x:c r="A12" s="23" t="n">
        <x:v>11</x:v>
      </x:c>
      <x:c r="B12" s="24" t="n">
        <x:v>2023</x:v>
      </x:c>
      <x:c r="C12" s="24" t="str">
        <x:v>Enero</x:v>
      </x:c>
      <x:c r="D12" s="24" t="n">
        <x:v>1</x:v>
      </x:c>
      <x:c r="E12" s="24" t="str">
        <x:v>General</x:v>
      </x:c>
      <x:c r="F12" s="24" t="str">
        <x:v>Capacitación</x:v>
      </x:c>
      <x:c r="G12" s="24" t="str">
        <x:v>Interno</x:v>
      </x:c>
      <x:c r="H12" s="24" t="str">
        <x:v>Todos</x:v>
      </x:c>
      <x:c r="I12" s="24" t="str">
        <x:v>Pamplona</x:v>
      </x:c>
      <x:c r="J12" s="11" t="str">
        <x:v>Inducción y reinducción al SG-SST</x:v>
      </x:c>
      <x:c r="K12" s="11" t="str">
        <x:v>Socializar los lineamientos generales del SG-SST, responsabilidades y canales de reporte para fortalecer el autocuidado y el cumplimiento normativo.</x:v>
      </x:c>
      <x:c r="L12" s="24" t="n">
        <x:v>2</x:v>
      </x:c>
      <x:c r="M12" s="58" t="n">
        <x:v>44938</x:v>
      </x:c>
      <x:c r="N12" s="24" t="n">
        <x:v>2.5</x:v>
      </x:c>
      <x:c r="O12" s="24" t="n">
        <x:v>27</x:v>
      </x:c>
      <x:c r="P12" s="24" t="n">
        <x:v>26</x:v>
      </x:c>
      <x:c r="Q12" s="64" t="n">
        <x:f>IFERROR(P12/O12,0)</x:f>
        <x:v>0.9629629629629629</x:v>
      </x:c>
      <x:c r="R12" s="24" t="str">
        <x:v>Evaluación escrita</x:v>
      </x:c>
      <x:c r="S12" s="70" t="n">
        <x:v>4.6</x:v>
      </x:c>
      <x:c r="T12" s="24" t="str">
        <x:f>IF(XOR(X12="Reprogramada",X12="Cancelada"),"",IF(AND(Q12&gt;=0.8,S12&gt;=4),"Sí",IF(AND(Q12&gt;=0.65,S12&gt;=3.5),"Parcial","No")))</x:f>
        <x:v>Sí</x:v>
      </x:c>
      <x:c r="U12" s="24" t="str">
        <x:v>Carlos Felipe Parada Ramón</x:v>
      </x:c>
      <x:c r="V12" s="11" t="str">
        <x:v>Humano (facilitador interno) / Logístico / Material de apoyo</x:v>
      </x:c>
      <x:c r="W12" s="11" t="str">
        <x:v>Camila Andrea Galván</x:v>
      </x:c>
      <x:c r="X12" s="11" t="str">
        <x:v>Ejecutada</x:v>
      </x:c>
      <x:c r="Y12" s="52" t="str">
        <x:v>Actividad ejecutada satisfactoriamente; mantener evidencia y seguimiento.</x:v>
      </x:c>
    </x:row>
    <x:row r="13">
      <x:c r="A13" s="23" t="n">
        <x:v>12</x:v>
      </x:c>
      <x:c r="B13" s="24" t="n">
        <x:v>2023</x:v>
      </x:c>
      <x:c r="C13" s="24" t="str">
        <x:v>Febrero</x:v>
      </x:c>
      <x:c r="D13" s="24" t="n">
        <x:v>2</x:v>
      </x:c>
      <x:c r="E13" s="24" t="str">
        <x:v>Biomecánico</x:v>
      </x:c>
      <x:c r="F13" s="24" t="str">
        <x:v>Capacitación</x:v>
      </x:c>
      <x:c r="G13" s="24" t="str">
        <x:v>Interno</x:v>
      </x:c>
      <x:c r="H13" s="24" t="str">
        <x:v>Operativos</x:v>
      </x:c>
      <x:c r="I13" s="24" t="str">
        <x:v>Cúcuta</x:v>
      </x:c>
      <x:c r="J13" s="11" t="str">
        <x:v>Riesgo biomecánico e higiene postural</x:v>
      </x:c>
      <x:c r="K13" s="11" t="str">
        <x:v>Fortalecer las buenas prácticas de postura, manipulación de cargas y pausas activas para prevenir lesiones osteomusculares.</x:v>
      </x:c>
      <x:c r="L13" s="24" t="n">
        <x:v>2</x:v>
      </x:c>
      <x:c r="M13" s="58" t="n">
        <x:v>44968</x:v>
      </x:c>
      <x:c r="N13" s="24" t="n">
        <x:v>2.5</x:v>
      </x:c>
      <x:c r="O13" s="24" t="n">
        <x:v>78</x:v>
      </x:c>
      <x:c r="P13" s="24" t="n">
        <x:v>65</x:v>
      </x:c>
      <x:c r="Q13" s="64" t="n">
        <x:f>IFERROR(P13/O13,0)</x:f>
        <x:v>0.8333333333333334</x:v>
      </x:c>
      <x:c r="R13" s="24" t="str">
        <x:v>Lista de chequeo</x:v>
      </x:c>
      <x:c r="S13" s="70" t="n">
        <x:v>4.7</x:v>
      </x:c>
      <x:c r="T13" s="24" t="str">
        <x:f>IF(XOR(X13="Reprogramada",X13="Cancelada"),"",IF(AND(Q13&gt;=0.8,S13&gt;=4),"Sí",IF(AND(Q13&gt;=0.65,S13&gt;=3.5),"Parcial","No")))</x:f>
        <x:v>Sí</x:v>
      </x:c>
      <x:c r="U13" s="24" t="str">
        <x:v>Camila Andrea Galván</x:v>
      </x:c>
      <x:c r="V13" s="11" t="str">
        <x:v>Humano (facilitador interno) / Logístico / Material de apoyo</x:v>
      </x:c>
      <x:c r="W13" s="11" t="str">
        <x:v>Jesús Guerrero</x:v>
      </x:c>
      <x:c r="X13" s="11" t="str">
        <x:v>Ejecutada</x:v>
      </x:c>
      <x:c r="Y13" s="52" t="str">
        <x:v>Actividad ejecutada satisfactoriamente; mantener evidencia y seguimiento.</x:v>
      </x:c>
    </x:row>
    <x:row r="14">
      <x:c r="A14" s="23" t="n">
        <x:v>13</x:v>
      </x:c>
      <x:c r="B14" s="24" t="n">
        <x:v>2023</x:v>
      </x:c>
      <x:c r="C14" s="24" t="str">
        <x:v>Febrero</x:v>
      </x:c>
      <x:c r="D14" s="24" t="n">
        <x:v>2</x:v>
      </x:c>
      <x:c r="E14" s="24" t="str">
        <x:v>Biomecánico</x:v>
      </x:c>
      <x:c r="F14" s="24" t="str">
        <x:v>Capacitación</x:v>
      </x:c>
      <x:c r="G14" s="24" t="str">
        <x:v>Interno</x:v>
      </x:c>
      <x:c r="H14" s="24" t="str">
        <x:v>Operativos</x:v>
      </x:c>
      <x:c r="I14" s="24" t="str">
        <x:v>Barrancabermeja</x:v>
      </x:c>
      <x:c r="J14" s="11" t="str">
        <x:v>Riesgo biomecánico e higiene postural</x:v>
      </x:c>
      <x:c r="K14" s="11" t="str">
        <x:v>Fortalecer las buenas prácticas de postura, manipulación de cargas y pausas activas para prevenir lesiones osteomusculares.</x:v>
      </x:c>
      <x:c r="L14" s="24" t="n">
        <x:v>2</x:v>
      </x:c>
      <x:c r="M14" s="58" t="n">
        <x:v>44972</x:v>
      </x:c>
      <x:c r="N14" s="24" t="n">
        <x:v>2</x:v>
      </x:c>
      <x:c r="O14" s="24" t="n">
        <x:v>52</x:v>
      </x:c>
      <x:c r="P14" s="24" t="n">
        <x:v>45</x:v>
      </x:c>
      <x:c r="Q14" s="64" t="n">
        <x:f>IFERROR(P14/O14,0)</x:f>
        <x:v>0.8653846153846154</x:v>
      </x:c>
      <x:c r="R14" s="24" t="str">
        <x:v>Lista de chequeo</x:v>
      </x:c>
      <x:c r="S14" s="70" t="n">
        <x:v>4.9</x:v>
      </x:c>
      <x:c r="T14" s="24" t="str">
        <x:f>IF(XOR(X14="Reprogramada",X14="Cancelada"),"",IF(AND(Q14&gt;=0.8,S14&gt;=4),"Sí",IF(AND(Q14&gt;=0.65,S14&gt;=3.5),"Parcial","No")))</x:f>
        <x:v>Sí</x:v>
      </x:c>
      <x:c r="U14" s="24" t="str">
        <x:v>Camila Andrea Galván</x:v>
      </x:c>
      <x:c r="V14" s="11" t="str">
        <x:v>Humano (facilitador interno) / Logístico / Material de apoyo</x:v>
      </x:c>
      <x:c r="W14" s="11" t="str">
        <x:v>Carlos Felipe Parada Ramón</x:v>
      </x:c>
      <x:c r="X14" s="11" t="str">
        <x:v>Ejecutada</x:v>
      </x:c>
      <x:c r="Y14" s="52" t="str">
        <x:v>Actividad ejecutada satisfactoriamente; mantener evidencia y seguimiento.</x:v>
      </x:c>
    </x:row>
    <x:row r="15">
      <x:c r="A15" s="23" t="n">
        <x:v>14</x:v>
      </x:c>
      <x:c r="B15" s="24" t="n">
        <x:v>2023</x:v>
      </x:c>
      <x:c r="C15" s="24" t="str">
        <x:v>Febrero</x:v>
      </x:c>
      <x:c r="D15" s="24" t="n">
        <x:v>2</x:v>
      </x:c>
      <x:c r="E15" s="24" t="str">
        <x:v>Biomecánico</x:v>
      </x:c>
      <x:c r="F15" s="24" t="str">
        <x:v>Capacitación</x:v>
      </x:c>
      <x:c r="G15" s="24" t="str">
        <x:v>Interno</x:v>
      </x:c>
      <x:c r="H15" s="24" t="str">
        <x:v>Operativos</x:v>
      </x:c>
      <x:c r="I15" s="24" t="str">
        <x:v>Ocaña</x:v>
      </x:c>
      <x:c r="J15" s="11" t="str">
        <x:v>Riesgo biomecánico e higiene postural</x:v>
      </x:c>
      <x:c r="K15" s="11" t="str">
        <x:v>Fortalecer las buenas prácticas de postura, manipulación de cargas y pausas activas para prevenir lesiones osteomusculares.</x:v>
      </x:c>
      <x:c r="L15" s="24" t="n">
        <x:v>2</x:v>
      </x:c>
      <x:c r="M15" s="58" t="n">
        <x:v>44982</x:v>
      </x:c>
      <x:c r="N15" s="24" t="n">
        <x:v>1.5</x:v>
      </x:c>
      <x:c r="O15" s="24" t="n">
        <x:v>36</x:v>
      </x:c>
      <x:c r="P15" s="24" t="n">
        <x:v>29</x:v>
      </x:c>
      <x:c r="Q15" s="64" t="n">
        <x:f>IFERROR(P15/O15,0)</x:f>
        <x:v>0.8055555555555556</x:v>
      </x:c>
      <x:c r="R15" s="24" t="str">
        <x:v>Lista de chequeo</x:v>
      </x:c>
      <x:c r="S15" s="70" t="n">
        <x:v>4.1</x:v>
      </x:c>
      <x:c r="T15" s="24" t="str">
        <x:f>IF(XOR(X15="Reprogramada",X15="Cancelada"),"",IF(AND(Q15&gt;=0.8,S15&gt;=4),"Sí",IF(AND(Q15&gt;=0.65,S15&gt;=3.5),"Parcial","No")))</x:f>
        <x:v>Sí</x:v>
      </x:c>
      <x:c r="U15" s="24" t="str">
        <x:v>Camila Andrea Galván</x:v>
      </x:c>
      <x:c r="V15" s="11" t="str">
        <x:v>Humano (facilitador interno) / Logístico / Material de apoyo</x:v>
      </x:c>
      <x:c r="W15" s="11" t="str">
        <x:v>Camila Andrea Galván</x:v>
      </x:c>
      <x:c r="X15" s="11" t="str">
        <x:v>Ejecutada</x:v>
      </x:c>
      <x:c r="Y15" s="52" t="str">
        <x:v>Actividad ejecutada satisfactoriamente; mantener evidencia y seguimiento.</x:v>
      </x:c>
    </x:row>
    <x:row r="16">
      <x:c r="A16" s="23" t="n">
        <x:v>15</x:v>
      </x:c>
      <x:c r="B16" s="24" t="n">
        <x:v>2023</x:v>
      </x:c>
      <x:c r="C16" s="24" t="str">
        <x:v>Febrero</x:v>
      </x:c>
      <x:c r="D16" s="24" t="n">
        <x:v>2</x:v>
      </x:c>
      <x:c r="E16" s="24" t="str">
        <x:v>Biomecánico</x:v>
      </x:c>
      <x:c r="F16" s="24" t="str">
        <x:v>Capacitación</x:v>
      </x:c>
      <x:c r="G16" s="24" t="str">
        <x:v>Interno</x:v>
      </x:c>
      <x:c r="H16" s="24" t="str">
        <x:v>Operativos</x:v>
      </x:c>
      <x:c r="I16" s="24" t="str">
        <x:v>Girón</x:v>
      </x:c>
      <x:c r="J16" s="11" t="str">
        <x:v>Riesgo biomecánico e higiene postural</x:v>
      </x:c>
      <x:c r="K16" s="11" t="str">
        <x:v>Fortalecer las buenas prácticas de postura, manipulación de cargas y pausas activas para prevenir lesiones osteomusculares.</x:v>
      </x:c>
      <x:c r="L16" s="24" t="n">
        <x:v>2</x:v>
      </x:c>
      <x:c r="M16" s="58" t="n">
        <x:v>44971</x:v>
      </x:c>
      <x:c r="N16" s="24" t="n">
        <x:v>2</x:v>
      </x:c>
      <x:c r="O16" s="24" t="n">
        <x:v>41</x:v>
      </x:c>
      <x:c r="P16" s="24" t="n">
        <x:v>35</x:v>
      </x:c>
      <x:c r="Q16" s="64" t="n">
        <x:f>IFERROR(P16/O16,0)</x:f>
        <x:v>0.8536585365853658</x:v>
      </x:c>
      <x:c r="R16" s="24" t="str">
        <x:v>Lista de chequeo</x:v>
      </x:c>
      <x:c r="S16" s="70" t="n">
        <x:v>4.6</x:v>
      </x:c>
      <x:c r="T16" s="24" t="str">
        <x:f>IF(XOR(X16="Reprogramada",X16="Cancelada"),"",IF(AND(Q16&gt;=0.8,S16&gt;=4),"Sí",IF(AND(Q16&gt;=0.65,S16&gt;=3.5),"Parcial","No")))</x:f>
        <x:v>Sí</x:v>
      </x:c>
      <x:c r="U16" s="24" t="str">
        <x:v>Camila Andrea Galván</x:v>
      </x:c>
      <x:c r="V16" s="11" t="str">
        <x:v>Humano (facilitador interno) / Logístico / Material de apoyo</x:v>
      </x:c>
      <x:c r="W16" s="11" t="str">
        <x:v>Jesús Guerrero</x:v>
      </x:c>
      <x:c r="X16" s="11" t="str">
        <x:v>Ejecutada</x:v>
      </x:c>
      <x:c r="Y16" s="52" t="str">
        <x:v>Actividad ejecutada satisfactoriamente; mantener evidencia y seguimiento.</x:v>
      </x:c>
    </x:row>
    <x:row r="17">
      <x:c r="A17" s="23" t="n">
        <x:v>16</x:v>
      </x:c>
      <x:c r="B17" s="24" t="n">
        <x:v>2023</x:v>
      </x:c>
      <x:c r="C17" s="24" t="str">
        <x:v>Febrero</x:v>
      </x:c>
      <x:c r="D17" s="24" t="n">
        <x:v>2</x:v>
      </x:c>
      <x:c r="E17" s="24" t="str">
        <x:v>Biomecánico</x:v>
      </x:c>
      <x:c r="F17" s="24" t="str">
        <x:v>Capacitación</x:v>
      </x:c>
      <x:c r="G17" s="24" t="str">
        <x:v>Interno</x:v>
      </x:c>
      <x:c r="H17" s="24" t="str">
        <x:v>Operativos</x:v>
      </x:c>
      <x:c r="I17" s="24" t="str">
        <x:v>Valledupar</x:v>
      </x:c>
      <x:c r="J17" s="11" t="str">
        <x:v>Riesgo biomecánico e higiene postural</x:v>
      </x:c>
      <x:c r="K17" s="11" t="str">
        <x:v>Fortalecer las buenas prácticas de postura, manipulación de cargas y pausas activas para prevenir lesiones osteomusculares.</x:v>
      </x:c>
      <x:c r="L17" s="24" t="n">
        <x:v>2</x:v>
      </x:c>
      <x:c r="M17" s="58" t="n">
        <x:v>44977</x:v>
      </x:c>
      <x:c r="N17" s="24" t="n">
        <x:v>1.5</x:v>
      </x:c>
      <x:c r="O17" s="24" t="n">
        <x:v>47</x:v>
      </x:c>
      <x:c r="P17" s="24" t="n">
        <x:v>39</x:v>
      </x:c>
      <x:c r="Q17" s="64" t="n">
        <x:f>IFERROR(P17/O17,0)</x:f>
        <x:v>0.8297872340425532</x:v>
      </x:c>
      <x:c r="R17" s="24" t="str">
        <x:v>Lista de chequeo</x:v>
      </x:c>
      <x:c r="S17" s="70" t="n">
        <x:v>4.5</x:v>
      </x:c>
      <x:c r="T17" s="24" t="str">
        <x:f>IF(XOR(X17="Reprogramada",X17="Cancelada"),"",IF(AND(Q17&gt;=0.8,S17&gt;=4),"Sí",IF(AND(Q17&gt;=0.65,S17&gt;=3.5),"Parcial","No")))</x:f>
        <x:v>Sí</x:v>
      </x:c>
      <x:c r="U17" s="24" t="str">
        <x:v>Camila Andrea Galván</x:v>
      </x:c>
      <x:c r="V17" s="11" t="str">
        <x:v>Humano (facilitador interno) / Logístico / Material de apoyo</x:v>
      </x:c>
      <x:c r="W17" s="11" t="str">
        <x:v>Carlos Felipe Parada Ramón</x:v>
      </x:c>
      <x:c r="X17" s="11" t="str">
        <x:v>Ejecutada</x:v>
      </x:c>
      <x:c r="Y17" s="52" t="str">
        <x:v>Actividad ejecutada satisfactoriamente; mantener evidencia y seguimiento.</x:v>
      </x:c>
    </x:row>
    <x:row r="18">
      <x:c r="A18" s="23" t="n">
        <x:v>17</x:v>
      </x:c>
      <x:c r="B18" s="24" t="n">
        <x:v>2023</x:v>
      </x:c>
      <x:c r="C18" s="24" t="str">
        <x:v>Febrero</x:v>
      </x:c>
      <x:c r="D18" s="24" t="n">
        <x:v>2</x:v>
      </x:c>
      <x:c r="E18" s="24" t="str">
        <x:v>Biomecánico</x:v>
      </x:c>
      <x:c r="F18" s="24" t="str">
        <x:v>Capacitación</x:v>
      </x:c>
      <x:c r="G18" s="24" t="str">
        <x:v>Interno</x:v>
      </x:c>
      <x:c r="H18" s="24" t="str">
        <x:v>Operativos</x:v>
      </x:c>
      <x:c r="I18" s="24" t="str">
        <x:v>Arauca</x:v>
      </x:c>
      <x:c r="J18" s="11" t="str">
        <x:v>Riesgo biomecánico e higiene postural</x:v>
      </x:c>
      <x:c r="K18" s="11" t="str">
        <x:v>Fortalecer las buenas prácticas de postura, manipulación de cargas y pausas activas para prevenir lesiones osteomusculares.</x:v>
      </x:c>
      <x:c r="L18" s="24" t="n">
        <x:v>2</x:v>
      </x:c>
      <x:c r="M18" s="58"/>
      <x:c r="N18" s="24"/>
      <x:c r="O18" s="24" t="n">
        <x:v>29</x:v>
      </x:c>
      <x:c r="P18" s="24"/>
      <x:c r="Q18" s="64" t="n">
        <x:f>IFERROR(P18/O18,0)</x:f>
        <x:v>0</x:v>
      </x:c>
      <x:c r="R18" s="24" t="str">
        <x:v>Lista de chequeo</x:v>
      </x:c>
      <x:c r="S18" s="70"/>
      <x:c r="T18" s="24" t="str">
        <x:f>IF(XOR(X18="Reprogramada",X18="Cancelada"),"",IF(AND(Q18&gt;=0.8,S18&gt;=4),"Sí",IF(AND(Q18&gt;=0.65,S18&gt;=3.5),"Parcial","No")))</x:f>
      </x:c>
      <x:c r="U18" s="24" t="str">
        <x:v>Camila Andrea Galván</x:v>
      </x:c>
      <x:c r="V18" s="11" t="str">
        <x:v>Humano (facilitador interno) / Logístico / Material de apoyo</x:v>
      </x:c>
      <x:c r="W18" s="11" t="str">
        <x:v>Camila Andrea Galván</x:v>
      </x:c>
      <x:c r="X18" s="11" t="str">
        <x:v>Reprogramada</x:v>
      </x:c>
      <x:c r="Y18" s="52" t="str">
        <x:v>Actividad reprogramada por operación, disponibilidad del facilitador o ajustes logísticos.</x:v>
      </x:c>
    </x:row>
    <x:row r="19">
      <x:c r="A19" s="23" t="n">
        <x:v>18</x:v>
      </x:c>
      <x:c r="B19" s="24" t="n">
        <x:v>2023</x:v>
      </x:c>
      <x:c r="C19" s="24" t="str">
        <x:v>Febrero</x:v>
      </x:c>
      <x:c r="D19" s="24" t="n">
        <x:v>2</x:v>
      </x:c>
      <x:c r="E19" s="24" t="str">
        <x:v>Biomecánico</x:v>
      </x:c>
      <x:c r="F19" s="24" t="str">
        <x:v>Capacitación</x:v>
      </x:c>
      <x:c r="G19" s="24" t="str">
        <x:v>Interno</x:v>
      </x:c>
      <x:c r="H19" s="24" t="str">
        <x:v>Operativos</x:v>
      </x:c>
      <x:c r="I19" s="24" t="str">
        <x:v>Bogotá</x:v>
      </x:c>
      <x:c r="J19" s="11" t="str">
        <x:v>Riesgo biomecánico e higiene postural</x:v>
      </x:c>
      <x:c r="K19" s="11" t="str">
        <x:v>Fortalecer las buenas prácticas de postura, manipulación de cargas y pausas activas para prevenir lesiones osteomusculares.</x:v>
      </x:c>
      <x:c r="L19" s="24" t="n">
        <x:v>2</x:v>
      </x:c>
      <x:c r="M19" s="58" t="n">
        <x:v>44978</x:v>
      </x:c>
      <x:c r="N19" s="24" t="n">
        <x:v>2</x:v>
      </x:c>
      <x:c r="O19" s="24" t="n">
        <x:v>63</x:v>
      </x:c>
      <x:c r="P19" s="24" t="n">
        <x:v>54</x:v>
      </x:c>
      <x:c r="Q19" s="64" t="n">
        <x:f>IFERROR(P19/O19,0)</x:f>
        <x:v>0.8571428571428571</x:v>
      </x:c>
      <x:c r="R19" s="24" t="str">
        <x:v>Lista de chequeo</x:v>
      </x:c>
      <x:c r="S19" s="70" t="n">
        <x:v>4.3</x:v>
      </x:c>
      <x:c r="T19" s="24" t="str">
        <x:f>IF(XOR(X19="Reprogramada",X19="Cancelada"),"",IF(AND(Q19&gt;=0.8,S19&gt;=4),"Sí",IF(AND(Q19&gt;=0.65,S19&gt;=3.5),"Parcial","No")))</x:f>
        <x:v>Sí</x:v>
      </x:c>
      <x:c r="U19" s="24" t="str">
        <x:v>Camila Andrea Galván</x:v>
      </x:c>
      <x:c r="V19" s="11" t="str">
        <x:v>Humano (facilitador interno) / Logístico / Material de apoyo</x:v>
      </x:c>
      <x:c r="W19" s="11" t="str">
        <x:v>Jesús Guerrero</x:v>
      </x:c>
      <x:c r="X19" s="11" t="str">
        <x:v>Ejecutada</x:v>
      </x:c>
      <x:c r="Y19" s="52" t="str">
        <x:v>Actividad ejecutada satisfactoriamente; mantener evidencia y seguimiento.</x:v>
      </x:c>
    </x:row>
    <x:row r="20">
      <x:c r="A20" s="23" t="n">
        <x:v>19</x:v>
      </x:c>
      <x:c r="B20" s="24" t="n">
        <x:v>2023</x:v>
      </x:c>
      <x:c r="C20" s="24" t="str">
        <x:v>Febrero</x:v>
      </x:c>
      <x:c r="D20" s="24" t="n">
        <x:v>2</x:v>
      </x:c>
      <x:c r="E20" s="24" t="str">
        <x:v>Biomecánico</x:v>
      </x:c>
      <x:c r="F20" s="24" t="str">
        <x:v>Capacitación</x:v>
      </x:c>
      <x:c r="G20" s="24" t="str">
        <x:v>Interno</x:v>
      </x:c>
      <x:c r="H20" s="24" t="str">
        <x:v>Operativos</x:v>
      </x:c>
      <x:c r="I20" s="24" t="str">
        <x:v>Tibú</x:v>
      </x:c>
      <x:c r="J20" s="11" t="str">
        <x:v>Riesgo biomecánico e higiene postural</x:v>
      </x:c>
      <x:c r="K20" s="11" t="str">
        <x:v>Fortalecer las buenas prácticas de postura, manipulación de cargas y pausas activas para prevenir lesiones osteomusculares.</x:v>
      </x:c>
      <x:c r="L20" s="24" t="n">
        <x:v>2</x:v>
      </x:c>
      <x:c r="M20" s="58" t="n">
        <x:v>44977</x:v>
      </x:c>
      <x:c r="N20" s="24" t="n">
        <x:v>2</x:v>
      </x:c>
      <x:c r="O20" s="24" t="n">
        <x:v>31</x:v>
      </x:c>
      <x:c r="P20" s="24" t="n">
        <x:v>27</x:v>
      </x:c>
      <x:c r="Q20" s="64" t="n">
        <x:f>IFERROR(P20/O20,0)</x:f>
        <x:v>0.8709677419354839</x:v>
      </x:c>
      <x:c r="R20" s="24" t="str">
        <x:v>Lista de chequeo</x:v>
      </x:c>
      <x:c r="S20" s="70" t="n">
        <x:v>4.3</x:v>
      </x:c>
      <x:c r="T20" s="24" t="str">
        <x:f>IF(XOR(X20="Reprogramada",X20="Cancelada"),"",IF(AND(Q20&gt;=0.8,S20&gt;=4),"Sí",IF(AND(Q20&gt;=0.65,S20&gt;=3.5),"Parcial","No")))</x:f>
        <x:v>Sí</x:v>
      </x:c>
      <x:c r="U20" s="24" t="str">
        <x:v>Camila Andrea Galván</x:v>
      </x:c>
      <x:c r="V20" s="11" t="str">
        <x:v>Humano (facilitador interno) / Logístico / Material de apoyo</x:v>
      </x:c>
      <x:c r="W20" s="11" t="str">
        <x:v>Carlos Felipe Parada Ramón</x:v>
      </x:c>
      <x:c r="X20" s="11" t="str">
        <x:v>Ejecutada</x:v>
      </x:c>
      <x:c r="Y20" s="52" t="str">
        <x:v>Actividad ejecutada satisfactoriamente; mantener evidencia y seguimiento.</x:v>
      </x:c>
    </x:row>
    <x:row r="21">
      <x:c r="A21" s="23" t="n">
        <x:v>20</x:v>
      </x:c>
      <x:c r="B21" s="24" t="n">
        <x:v>2023</x:v>
      </x:c>
      <x:c r="C21" s="24" t="str">
        <x:v>Febrero</x:v>
      </x:c>
      <x:c r="D21" s="24" t="n">
        <x:v>2</x:v>
      </x:c>
      <x:c r="E21" s="24" t="str">
        <x:v>Biomecánico</x:v>
      </x:c>
      <x:c r="F21" s="24" t="str">
        <x:v>Capacitación</x:v>
      </x:c>
      <x:c r="G21" s="24" t="str">
        <x:v>Interno</x:v>
      </x:c>
      <x:c r="H21" s="24" t="str">
        <x:v>Operativos</x:v>
      </x:c>
      <x:c r="I21" s="24" t="str">
        <x:v>Medellín</x:v>
      </x:c>
      <x:c r="J21" s="11" t="str">
        <x:v>Riesgo biomecánico e higiene postural</x:v>
      </x:c>
      <x:c r="K21" s="11" t="str">
        <x:v>Fortalecer las buenas prácticas de postura, manipulación de cargas y pausas activas para prevenir lesiones osteomusculares.</x:v>
      </x:c>
      <x:c r="L21" s="24" t="n">
        <x:v>2</x:v>
      </x:c>
      <x:c r="M21" s="58"/>
      <x:c r="N21" s="24"/>
      <x:c r="O21" s="24" t="n">
        <x:v>58</x:v>
      </x:c>
      <x:c r="P21" s="24"/>
      <x:c r="Q21" s="64" t="n">
        <x:f>IFERROR(P21/O21,0)</x:f>
        <x:v>0</x:v>
      </x:c>
      <x:c r="R21" s="24" t="str">
        <x:v>Lista de chequeo</x:v>
      </x:c>
      <x:c r="S21" s="70"/>
      <x:c r="T21" s="24" t="str">
        <x:f>IF(XOR(X21="Reprogramada",X21="Cancelada"),"",IF(AND(Q21&gt;=0.8,S21&gt;=4),"Sí",IF(AND(Q21&gt;=0.65,S21&gt;=3.5),"Parcial","No")))</x:f>
      </x:c>
      <x:c r="U21" s="24" t="str">
        <x:v>Camila Andrea Galván</x:v>
      </x:c>
      <x:c r="V21" s="11" t="str">
        <x:v>Humano (facilitador interno) / Logístico / Material de apoyo</x:v>
      </x:c>
      <x:c r="W21" s="11" t="str">
        <x:v>Camila Andrea Galván</x:v>
      </x:c>
      <x:c r="X21" s="11" t="str">
        <x:v>Reprogramada</x:v>
      </x:c>
      <x:c r="Y21" s="52" t="str">
        <x:v>Actividad reprogramada por operación, disponibilidad del facilitador o ajustes logísticos.</x:v>
      </x:c>
    </x:row>
    <x:row r="22">
      <x:c r="A22" s="23" t="n">
        <x:v>21</x:v>
      </x:c>
      <x:c r="B22" s="24" t="n">
        <x:v>2023</x:v>
      </x:c>
      <x:c r="C22" s="24" t="str">
        <x:v>Febrero</x:v>
      </x:c>
      <x:c r="D22" s="24" t="n">
        <x:v>2</x:v>
      </x:c>
      <x:c r="E22" s="24" t="str">
        <x:v>Biomecánico</x:v>
      </x:c>
      <x:c r="F22" s="24" t="str">
        <x:v>Capacitación</x:v>
      </x:c>
      <x:c r="G22" s="24" t="str">
        <x:v>Interno</x:v>
      </x:c>
      <x:c r="H22" s="24" t="str">
        <x:v>Operativos</x:v>
      </x:c>
      <x:c r="I22" s="24" t="str">
        <x:v>Ábrego</x:v>
      </x:c>
      <x:c r="J22" s="11" t="str">
        <x:v>Riesgo biomecánico e higiene postural</x:v>
      </x:c>
      <x:c r="K22" s="11" t="str">
        <x:v>Fortalecer las buenas prácticas de postura, manipulación de cargas y pausas activas para prevenir lesiones osteomusculares.</x:v>
      </x:c>
      <x:c r="L22" s="24" t="n">
        <x:v>2</x:v>
      </x:c>
      <x:c r="M22" s="58" t="n">
        <x:v>44973</x:v>
      </x:c>
      <x:c r="N22" s="24" t="n">
        <x:v>1.5</x:v>
      </x:c>
      <x:c r="O22" s="24" t="n">
        <x:v>24</x:v>
      </x:c>
      <x:c r="P22" s="24" t="n">
        <x:v>20</x:v>
      </x:c>
      <x:c r="Q22" s="64" t="n">
        <x:f>IFERROR(P22/O22,0)</x:f>
        <x:v>0.8333333333333334</x:v>
      </x:c>
      <x:c r="R22" s="24" t="str">
        <x:v>Lista de chequeo</x:v>
      </x:c>
      <x:c r="S22" s="70" t="n">
        <x:v>4.9</x:v>
      </x:c>
      <x:c r="T22" s="24" t="str">
        <x:f>IF(XOR(X22="Reprogramada",X22="Cancelada"),"",IF(AND(Q22&gt;=0.8,S22&gt;=4),"Sí",IF(AND(Q22&gt;=0.65,S22&gt;=3.5),"Parcial","No")))</x:f>
        <x:v>Sí</x:v>
      </x:c>
      <x:c r="U22" s="24" t="str">
        <x:v>Camila Andrea Galván</x:v>
      </x:c>
      <x:c r="V22" s="11" t="str">
        <x:v>Humano (facilitador interno) / Logístico / Material de apoyo</x:v>
      </x:c>
      <x:c r="W22" s="11" t="str">
        <x:v>Jesús Guerrero</x:v>
      </x:c>
      <x:c r="X22" s="11" t="str">
        <x:v>Ejecutada</x:v>
      </x:c>
      <x:c r="Y22" s="52" t="str">
        <x:v>Actividad ejecutada satisfactoriamente; mantener evidencia y seguimiento.</x:v>
      </x:c>
    </x:row>
    <x:row r="23">
      <x:c r="A23" s="23" t="n">
        <x:v>22</x:v>
      </x:c>
      <x:c r="B23" s="24" t="n">
        <x:v>2023</x:v>
      </x:c>
      <x:c r="C23" s="24" t="str">
        <x:v>Febrero</x:v>
      </x:c>
      <x:c r="D23" s="24" t="n">
        <x:v>2</x:v>
      </x:c>
      <x:c r="E23" s="24" t="str">
        <x:v>Biomecánico</x:v>
      </x:c>
      <x:c r="F23" s="24" t="str">
        <x:v>Capacitación</x:v>
      </x:c>
      <x:c r="G23" s="24" t="str">
        <x:v>Interno</x:v>
      </x:c>
      <x:c r="H23" s="24" t="str">
        <x:v>Operativos</x:v>
      </x:c>
      <x:c r="I23" s="24" t="str">
        <x:v>Pamplona</x:v>
      </x:c>
      <x:c r="J23" s="11" t="str">
        <x:v>Riesgo biomecánico e higiene postural</x:v>
      </x:c>
      <x:c r="K23" s="11" t="str">
        <x:v>Fortalecer las buenas prácticas de postura, manipulación de cargas y pausas activas para prevenir lesiones osteomusculares.</x:v>
      </x:c>
      <x:c r="L23" s="24" t="n">
        <x:v>2</x:v>
      </x:c>
      <x:c r="M23" s="58" t="n">
        <x:v>44982</x:v>
      </x:c>
      <x:c r="N23" s="24" t="n">
        <x:v>2</x:v>
      </x:c>
      <x:c r="O23" s="24" t="n">
        <x:v>27</x:v>
      </x:c>
      <x:c r="P23" s="24" t="n">
        <x:v>21</x:v>
      </x:c>
      <x:c r="Q23" s="64" t="n">
        <x:f>IFERROR(P23/O23,0)</x:f>
        <x:v>0.7777777777777778</x:v>
      </x:c>
      <x:c r="R23" s="24" t="str">
        <x:v>Lista de chequeo</x:v>
      </x:c>
      <x:c r="S23" s="70" t="n">
        <x:v>4.2</x:v>
      </x:c>
      <x:c r="T23" s="24" t="str">
        <x:f>IF(XOR(X23="Reprogramada",X23="Cancelada"),"",IF(AND(Q23&gt;=0.8,S23&gt;=4),"Sí",IF(AND(Q23&gt;=0.65,S23&gt;=3.5),"Parcial","No")))</x:f>
        <x:v>Parcial</x:v>
      </x:c>
      <x:c r="U23" s="24" t="str">
        <x:v>Camila Andrea Galván</x:v>
      </x:c>
      <x:c r="V23" s="11" t="str">
        <x:v>Humano (facilitador interno) / Logístico / Material de apoyo</x:v>
      </x:c>
      <x:c r="W23" s="11" t="str">
        <x:v>Carlos Felipe Parada Ramón</x:v>
      </x:c>
      <x:c r="X23" s="11" t="str">
        <x:v>Ejecutada</x:v>
      </x:c>
      <x:c r="Y23" s="52" t="str">
        <x:v>Actividad ejecutada satisfactoriamente; mantener evidencia y seguimiento.</x:v>
      </x:c>
    </x:row>
    <x:row r="24">
      <x:c r="A24" s="23" t="n">
        <x:v>23</x:v>
      </x:c>
      <x:c r="B24" s="24" t="n">
        <x:v>2023</x:v>
      </x:c>
      <x:c r="C24" s="24" t="str">
        <x:v>Marzo</x:v>
      </x:c>
      <x:c r="D24" s="24" t="n">
        <x:v>3</x:v>
      </x:c>
      <x:c r="E24" s="24" t="str">
        <x:v>General</x:v>
      </x:c>
      <x:c r="F24" s="24" t="str">
        <x:v>Socialización</x:v>
      </x:c>
      <x:c r="G24" s="24" t="str">
        <x:v>Interno</x:v>
      </x:c>
      <x:c r="H24" s="24" t="str">
        <x:v>Todos</x:v>
      </x:c>
      <x:c r="I24" s="24" t="str">
        <x:v>Cúcuta</x:v>
      </x:c>
      <x:c r="J24" s="11" t="str">
        <x:v>Reporte de actos y condiciones inseguras</x:v>
      </x:c>
      <x:c r="K24" s="11" t="str">
        <x:v>Promover la cultura del reporte oportuno de condiciones y actos inseguros como herramienta preventiva del SG-SST.</x:v>
      </x:c>
      <x:c r="L24" s="24" t="n">
        <x:v>1</x:v>
      </x:c>
      <x:c r="M24" s="58" t="n">
        <x:v>45001</x:v>
      </x:c>
      <x:c r="N24" s="24" t="n">
        <x:v>1</x:v>
      </x:c>
      <x:c r="O24" s="24" t="n">
        <x:v>78</x:v>
      </x:c>
      <x:c r="P24" s="24" t="n">
        <x:v>64</x:v>
      </x:c>
      <x:c r="Q24" s="64" t="n">
        <x:f>IFERROR(P24/O24,0)</x:f>
        <x:v>0.8205128205128205</x:v>
      </x:c>
      <x:c r="R24" s="24" t="str">
        <x:v>Formulario / taller</x:v>
      </x:c>
      <x:c r="S24" s="70" t="n">
        <x:v>4.8</x:v>
      </x:c>
      <x:c r="T24" s="24" t="str">
        <x:f>IF(XOR(X24="Reprogramada",X24="Cancelada"),"",IF(AND(Q24&gt;=0.8,S24&gt;=4),"Sí",IF(AND(Q24&gt;=0.65,S24&gt;=3.5),"Parcial","No")))</x:f>
        <x:v>Sí</x:v>
      </x:c>
      <x:c r="U24" s="24" t="str">
        <x:v>Jesús Guerrero</x:v>
      </x:c>
      <x:c r="V24" s="11" t="str">
        <x:v>Humano (facilitador interno) / Logístico / Material de apoyo</x:v>
      </x:c>
      <x:c r="W24" s="11" t="str">
        <x:v>Camila Andrea Galván</x:v>
      </x:c>
      <x:c r="X24" s="11" t="str">
        <x:v>Ejecutada</x:v>
      </x:c>
      <x:c r="Y24" s="52" t="str">
        <x:v>Actividad ejecutada satisfactoriamente; mantener evidencia y seguimiento.</x:v>
      </x:c>
    </x:row>
    <x:row r="25">
      <x:c r="A25" s="23" t="n">
        <x:v>24</x:v>
      </x:c>
      <x:c r="B25" s="24" t="n">
        <x:v>2023</x:v>
      </x:c>
      <x:c r="C25" s="24" t="str">
        <x:v>Marzo</x:v>
      </x:c>
      <x:c r="D25" s="24" t="n">
        <x:v>3</x:v>
      </x:c>
      <x:c r="E25" s="24" t="str">
        <x:v>General</x:v>
      </x:c>
      <x:c r="F25" s="24" t="str">
        <x:v>Socialización</x:v>
      </x:c>
      <x:c r="G25" s="24" t="str">
        <x:v>Interno</x:v>
      </x:c>
      <x:c r="H25" s="24" t="str">
        <x:v>Todos</x:v>
      </x:c>
      <x:c r="I25" s="24" t="str">
        <x:v>Barrancabermeja</x:v>
      </x:c>
      <x:c r="J25" s="11" t="str">
        <x:v>Reporte de actos y condiciones inseguras</x:v>
      </x:c>
      <x:c r="K25" s="11" t="str">
        <x:v>Promover la cultura del reporte oportuno de condiciones y actos inseguros como herramienta preventiva del SG-SST.</x:v>
      </x:c>
      <x:c r="L25" s="24" t="n">
        <x:v>1</x:v>
      </x:c>
      <x:c r="M25" s="58" t="n">
        <x:v>45000</x:v>
      </x:c>
      <x:c r="N25" s="24" t="n">
        <x:v>1</x:v>
      </x:c>
      <x:c r="O25" s="24" t="n">
        <x:v>52</x:v>
      </x:c>
      <x:c r="P25" s="24" t="n">
        <x:v>46</x:v>
      </x:c>
      <x:c r="Q25" s="64" t="n">
        <x:f>IFERROR(P25/O25,0)</x:f>
        <x:v>0.8846153846153846</x:v>
      </x:c>
      <x:c r="R25" s="24" t="str">
        <x:v>Formulario / taller</x:v>
      </x:c>
      <x:c r="S25" s="70" t="n">
        <x:v>4.4</x:v>
      </x:c>
      <x:c r="T25" s="24" t="str">
        <x:f>IF(XOR(X25="Reprogramada",X25="Cancelada"),"",IF(AND(Q25&gt;=0.8,S25&gt;=4),"Sí",IF(AND(Q25&gt;=0.65,S25&gt;=3.5),"Parcial","No")))</x:f>
        <x:v>Sí</x:v>
      </x:c>
      <x:c r="U25" s="24" t="str">
        <x:v>Jesús Guerrero</x:v>
      </x:c>
      <x:c r="V25" s="11" t="str">
        <x:v>Humano (facilitador interno) / Logístico / Material de apoyo</x:v>
      </x:c>
      <x:c r="W25" s="11" t="str">
        <x:v>Jesús Guerrero</x:v>
      </x:c>
      <x:c r="X25" s="11" t="str">
        <x:v>Ejecutada</x:v>
      </x:c>
      <x:c r="Y25" s="52" t="str">
        <x:v>Actividad ejecutada satisfactoriamente; mantener evidencia y seguimiento.</x:v>
      </x:c>
    </x:row>
    <x:row r="26">
      <x:c r="A26" s="23" t="n">
        <x:v>25</x:v>
      </x:c>
      <x:c r="B26" s="24" t="n">
        <x:v>2023</x:v>
      </x:c>
      <x:c r="C26" s="24" t="str">
        <x:v>Marzo</x:v>
      </x:c>
      <x:c r="D26" s="24" t="n">
        <x:v>3</x:v>
      </x:c>
      <x:c r="E26" s="24" t="str">
        <x:v>General</x:v>
      </x:c>
      <x:c r="F26" s="24" t="str">
        <x:v>Socialización</x:v>
      </x:c>
      <x:c r="G26" s="24" t="str">
        <x:v>Interno</x:v>
      </x:c>
      <x:c r="H26" s="24" t="str">
        <x:v>Todos</x:v>
      </x:c>
      <x:c r="I26" s="24" t="str">
        <x:v>Ocaña</x:v>
      </x:c>
      <x:c r="J26" s="11" t="str">
        <x:v>Reporte de actos y condiciones inseguras</x:v>
      </x:c>
      <x:c r="K26" s="11" t="str">
        <x:v>Promover la cultura del reporte oportuno de condiciones y actos inseguros como herramienta preventiva del SG-SST.</x:v>
      </x:c>
      <x:c r="L26" s="24" t="n">
        <x:v>1</x:v>
      </x:c>
      <x:c r="M26" s="58" t="n">
        <x:v>45003</x:v>
      </x:c>
      <x:c r="N26" s="24" t="n">
        <x:v>1</x:v>
      </x:c>
      <x:c r="O26" s="24" t="n">
        <x:v>36</x:v>
      </x:c>
      <x:c r="P26" s="24" t="n">
        <x:v>28</x:v>
      </x:c>
      <x:c r="Q26" s="64" t="n">
        <x:f>IFERROR(P26/O26,0)</x:f>
        <x:v>0.7777777777777778</x:v>
      </x:c>
      <x:c r="R26" s="24" t="str">
        <x:v>Formulario / taller</x:v>
      </x:c>
      <x:c r="S26" s="70" t="n">
        <x:v>4.5</x:v>
      </x:c>
      <x:c r="T26" s="24" t="str">
        <x:f>IF(XOR(X26="Reprogramada",X26="Cancelada"),"",IF(AND(Q26&gt;=0.8,S26&gt;=4),"Sí",IF(AND(Q26&gt;=0.65,S26&gt;=3.5),"Parcial","No")))</x:f>
        <x:v>Parcial</x:v>
      </x:c>
      <x:c r="U26" s="24" t="str">
        <x:v>Jesús Guerrero</x:v>
      </x:c>
      <x:c r="V26" s="11" t="str">
        <x:v>Humano (facilitador interno) / Logístico / Material de apoyo</x:v>
      </x:c>
      <x:c r="W26" s="11" t="str">
        <x:v>Carlos Felipe Parada Ramón</x:v>
      </x:c>
      <x:c r="X26" s="11" t="str">
        <x:v>Ejecutada</x:v>
      </x:c>
      <x:c r="Y26" s="52" t="str">
        <x:v>Actividad ejecutada satisfactoriamente; mantener evidencia y seguimiento.</x:v>
      </x:c>
    </x:row>
    <x:row r="27">
      <x:c r="A27" s="23" t="n">
        <x:v>26</x:v>
      </x:c>
      <x:c r="B27" s="24" t="n">
        <x:v>2023</x:v>
      </x:c>
      <x:c r="C27" s="24" t="str">
        <x:v>Marzo</x:v>
      </x:c>
      <x:c r="D27" s="24" t="n">
        <x:v>3</x:v>
      </x:c>
      <x:c r="E27" s="24" t="str">
        <x:v>General</x:v>
      </x:c>
      <x:c r="F27" s="24" t="str">
        <x:v>Socialización</x:v>
      </x:c>
      <x:c r="G27" s="24" t="str">
        <x:v>Interno</x:v>
      </x:c>
      <x:c r="H27" s="24" t="str">
        <x:v>Todos</x:v>
      </x:c>
      <x:c r="I27" s="24" t="str">
        <x:v>Girón</x:v>
      </x:c>
      <x:c r="J27" s="11" t="str">
        <x:v>Reporte de actos y condiciones inseguras</x:v>
      </x:c>
      <x:c r="K27" s="11" t="str">
        <x:v>Promover la cultura del reporte oportuno de condiciones y actos inseguros como herramienta preventiva del SG-SST.</x:v>
      </x:c>
      <x:c r="L27" s="24" t="n">
        <x:v>1</x:v>
      </x:c>
      <x:c r="M27" s="58" t="n">
        <x:v>44998</x:v>
      </x:c>
      <x:c r="N27" s="24" t="n">
        <x:v>1</x:v>
      </x:c>
      <x:c r="O27" s="24" t="n">
        <x:v>41</x:v>
      </x:c>
      <x:c r="P27" s="24" t="n">
        <x:v>36</x:v>
      </x:c>
      <x:c r="Q27" s="64" t="n">
        <x:f>IFERROR(P27/O27,0)</x:f>
        <x:v>0.8780487804878049</x:v>
      </x:c>
      <x:c r="R27" s="24" t="str">
        <x:v>Formulario / taller</x:v>
      </x:c>
      <x:c r="S27" s="70" t="n">
        <x:v>4.7</x:v>
      </x:c>
      <x:c r="T27" s="24" t="str">
        <x:f>IF(XOR(X27="Reprogramada",X27="Cancelada"),"",IF(AND(Q27&gt;=0.8,S27&gt;=4),"Sí",IF(AND(Q27&gt;=0.65,S27&gt;=3.5),"Parcial","No")))</x:f>
        <x:v>Sí</x:v>
      </x:c>
      <x:c r="U27" s="24" t="str">
        <x:v>Jesús Guerrero</x:v>
      </x:c>
      <x:c r="V27" s="11" t="str">
        <x:v>Humano (facilitador interno) / Logístico / Material de apoyo</x:v>
      </x:c>
      <x:c r="W27" s="11" t="str">
        <x:v>Camila Andrea Galván</x:v>
      </x:c>
      <x:c r="X27" s="11" t="str">
        <x:v>Ejecutada</x:v>
      </x:c>
      <x:c r="Y27" s="52" t="str">
        <x:v>Actividad ejecutada satisfactoriamente; mantener evidencia y seguimiento.</x:v>
      </x:c>
    </x:row>
    <x:row r="28">
      <x:c r="A28" s="23" t="n">
        <x:v>27</x:v>
      </x:c>
      <x:c r="B28" s="24" t="n">
        <x:v>2023</x:v>
      </x:c>
      <x:c r="C28" s="24" t="str">
        <x:v>Marzo</x:v>
      </x:c>
      <x:c r="D28" s="24" t="n">
        <x:v>3</x:v>
      </x:c>
      <x:c r="E28" s="24" t="str">
        <x:v>General</x:v>
      </x:c>
      <x:c r="F28" s="24" t="str">
        <x:v>Socialización</x:v>
      </x:c>
      <x:c r="G28" s="24" t="str">
        <x:v>Interno</x:v>
      </x:c>
      <x:c r="H28" s="24" t="str">
        <x:v>Todos</x:v>
      </x:c>
      <x:c r="I28" s="24" t="str">
        <x:v>Valledupar</x:v>
      </x:c>
      <x:c r="J28" s="11" t="str">
        <x:v>Reporte de actos y condiciones inseguras</x:v>
      </x:c>
      <x:c r="K28" s="11" t="str">
        <x:v>Promover la cultura del reporte oportuno de condiciones y actos inseguros como herramienta preventiva del SG-SST.</x:v>
      </x:c>
      <x:c r="L28" s="24" t="n">
        <x:v>1</x:v>
      </x:c>
      <x:c r="M28" s="58" t="n">
        <x:v>45009</x:v>
      </x:c>
      <x:c r="N28" s="24" t="n">
        <x:v>1</x:v>
      </x:c>
      <x:c r="O28" s="24" t="n">
        <x:v>47</x:v>
      </x:c>
      <x:c r="P28" s="24" t="n">
        <x:v>42</x:v>
      </x:c>
      <x:c r="Q28" s="64" t="n">
        <x:f>IFERROR(P28/O28,0)</x:f>
        <x:v>0.8936170212765957</x:v>
      </x:c>
      <x:c r="R28" s="24" t="str">
        <x:v>Formulario / taller</x:v>
      </x:c>
      <x:c r="S28" s="70" t="n">
        <x:v>4.7</x:v>
      </x:c>
      <x:c r="T28" s="24" t="str">
        <x:f>IF(XOR(X28="Reprogramada",X28="Cancelada"),"",IF(AND(Q28&gt;=0.8,S28&gt;=4),"Sí",IF(AND(Q28&gt;=0.65,S28&gt;=3.5),"Parcial","No")))</x:f>
        <x:v>Sí</x:v>
      </x:c>
      <x:c r="U28" s="24" t="str">
        <x:v>Jesús Guerrero</x:v>
      </x:c>
      <x:c r="V28" s="11" t="str">
        <x:v>Humano (facilitador interno) / Logístico / Material de apoyo</x:v>
      </x:c>
      <x:c r="W28" s="11" t="str">
        <x:v>Jesús Guerrero</x:v>
      </x:c>
      <x:c r="X28" s="11" t="str">
        <x:v>Ejecutada</x:v>
      </x:c>
      <x:c r="Y28" s="52" t="str">
        <x:v>Actividad ejecutada satisfactoriamente; mantener evidencia y seguimiento.</x:v>
      </x:c>
    </x:row>
    <x:row r="29">
      <x:c r="A29" s="23" t="n">
        <x:v>28</x:v>
      </x:c>
      <x:c r="B29" s="24" t="n">
        <x:v>2023</x:v>
      </x:c>
      <x:c r="C29" s="24" t="str">
        <x:v>Marzo</x:v>
      </x:c>
      <x:c r="D29" s="24" t="n">
        <x:v>3</x:v>
      </x:c>
      <x:c r="E29" s="24" t="str">
        <x:v>General</x:v>
      </x:c>
      <x:c r="F29" s="24" t="str">
        <x:v>Socialización</x:v>
      </x:c>
      <x:c r="G29" s="24" t="str">
        <x:v>Interno</x:v>
      </x:c>
      <x:c r="H29" s="24" t="str">
        <x:v>Todos</x:v>
      </x:c>
      <x:c r="I29" s="24" t="str">
        <x:v>Arauca</x:v>
      </x:c>
      <x:c r="J29" s="11" t="str">
        <x:v>Reporte de actos y condiciones inseguras</x:v>
      </x:c>
      <x:c r="K29" s="11" t="str">
        <x:v>Promover la cultura del reporte oportuno de condiciones y actos inseguros como herramienta preventiva del SG-SST.</x:v>
      </x:c>
      <x:c r="L29" s="24" t="n">
        <x:v>1</x:v>
      </x:c>
      <x:c r="M29" s="58" t="n">
        <x:v>45005</x:v>
      </x:c>
      <x:c r="N29" s="24" t="n">
        <x:v>1</x:v>
      </x:c>
      <x:c r="O29" s="24" t="n">
        <x:v>29</x:v>
      </x:c>
      <x:c r="P29" s="24" t="n">
        <x:v>23</x:v>
      </x:c>
      <x:c r="Q29" s="64" t="n">
        <x:f>IFERROR(P29/O29,0)</x:f>
        <x:v>0.7931034482758621</x:v>
      </x:c>
      <x:c r="R29" s="24" t="str">
        <x:v>Formulario / taller</x:v>
      </x:c>
      <x:c r="S29" s="70" t="n">
        <x:v>4.3</x:v>
      </x:c>
      <x:c r="T29" s="24" t="str">
        <x:f>IF(XOR(X29="Reprogramada",X29="Cancelada"),"",IF(AND(Q29&gt;=0.8,S29&gt;=4),"Sí",IF(AND(Q29&gt;=0.65,S29&gt;=3.5),"Parcial","No")))</x:f>
        <x:v>Parcial</x:v>
      </x:c>
      <x:c r="U29" s="24" t="str">
        <x:v>Jesús Guerrero</x:v>
      </x:c>
      <x:c r="V29" s="11" t="str">
        <x:v>Humano (facilitador interno) / Logístico / Material de apoyo</x:v>
      </x:c>
      <x:c r="W29" s="11" t="str">
        <x:v>Carlos Felipe Parada Ramón</x:v>
      </x:c>
      <x:c r="X29" s="11" t="str">
        <x:v>Ejecutada</x:v>
      </x:c>
      <x:c r="Y29" s="52" t="str">
        <x:v>Actividad ejecutada satisfactoriamente; mantener evidencia y seguimiento.</x:v>
      </x:c>
    </x:row>
    <x:row r="30">
      <x:c r="A30" s="23" t="n">
        <x:v>29</x:v>
      </x:c>
      <x:c r="B30" s="24" t="n">
        <x:v>2023</x:v>
      </x:c>
      <x:c r="C30" s="24" t="str">
        <x:v>Marzo</x:v>
      </x:c>
      <x:c r="D30" s="24" t="n">
        <x:v>3</x:v>
      </x:c>
      <x:c r="E30" s="24" t="str">
        <x:v>General</x:v>
      </x:c>
      <x:c r="F30" s="24" t="str">
        <x:v>Socialización</x:v>
      </x:c>
      <x:c r="G30" s="24" t="str">
        <x:v>Interno</x:v>
      </x:c>
      <x:c r="H30" s="24" t="str">
        <x:v>Todos</x:v>
      </x:c>
      <x:c r="I30" s="24" t="str">
        <x:v>Bogotá</x:v>
      </x:c>
      <x:c r="J30" s="11" t="str">
        <x:v>Reporte de actos y condiciones inseguras</x:v>
      </x:c>
      <x:c r="K30" s="11" t="str">
        <x:v>Promover la cultura del reporte oportuno de condiciones y actos inseguros como herramienta preventiva del SG-SST.</x:v>
      </x:c>
      <x:c r="L30" s="24" t="n">
        <x:v>1</x:v>
      </x:c>
      <x:c r="M30" s="58"/>
      <x:c r="N30" s="24" t="n">
        <x:v>0</x:v>
      </x:c>
      <x:c r="O30" s="24" t="n">
        <x:v>63</x:v>
      </x:c>
      <x:c r="P30" s="24"/>
      <x:c r="Q30" s="64" t="n">
        <x:f>IFERROR(P30/O30,0)</x:f>
        <x:v>0</x:v>
      </x:c>
      <x:c r="R30" s="24" t="str">
        <x:v>Formulario / taller</x:v>
      </x:c>
      <x:c r="S30" s="70"/>
      <x:c r="T30" s="24" t="str">
        <x:f>IF(XOR(X30="Reprogramada",X30="Cancelada"),"",IF(AND(Q30&gt;=0.8,S30&gt;=4),"Sí",IF(AND(Q30&gt;=0.65,S30&gt;=3.5),"Parcial","No")))</x:f>
      </x:c>
      <x:c r="U30" s="24" t="str">
        <x:v>Jesús Guerrero</x:v>
      </x:c>
      <x:c r="V30" s="11" t="str">
        <x:v>Humano (facilitador interno) / Logístico / Material de apoyo</x:v>
      </x:c>
      <x:c r="W30" s="11" t="str">
        <x:v>Camila Andrea Galván</x:v>
      </x:c>
      <x:c r="X30" s="11" t="str">
        <x:v>Cancelada</x:v>
      </x:c>
      <x:c r="Y30" s="52" t="str">
        <x:v>Actividad cancelada por reorganización operativa o priorización de otras necesidades.</x:v>
      </x:c>
    </x:row>
    <x:row r="31">
      <x:c r="A31" s="23" t="n">
        <x:v>30</x:v>
      </x:c>
      <x:c r="B31" s="24" t="n">
        <x:v>2023</x:v>
      </x:c>
      <x:c r="C31" s="24" t="str">
        <x:v>Marzo</x:v>
      </x:c>
      <x:c r="D31" s="24" t="n">
        <x:v>3</x:v>
      </x:c>
      <x:c r="E31" s="24" t="str">
        <x:v>General</x:v>
      </x:c>
      <x:c r="F31" s="24" t="str">
        <x:v>Socialización</x:v>
      </x:c>
      <x:c r="G31" s="24" t="str">
        <x:v>Interno</x:v>
      </x:c>
      <x:c r="H31" s="24" t="str">
        <x:v>Todos</x:v>
      </x:c>
      <x:c r="I31" s="24" t="str">
        <x:v>Tibú</x:v>
      </x:c>
      <x:c r="J31" s="11" t="str">
        <x:v>Reporte de actos y condiciones inseguras</x:v>
      </x:c>
      <x:c r="K31" s="11" t="str">
        <x:v>Promover la cultura del reporte oportuno de condiciones y actos inseguros como herramienta preventiva del SG-SST.</x:v>
      </x:c>
      <x:c r="L31" s="24" t="n">
        <x:v>1</x:v>
      </x:c>
      <x:c r="M31" s="58" t="n">
        <x:v>45003</x:v>
      </x:c>
      <x:c r="N31" s="24" t="n">
        <x:v>1.5</x:v>
      </x:c>
      <x:c r="O31" s="24" t="n">
        <x:v>31</x:v>
      </x:c>
      <x:c r="P31" s="24" t="n">
        <x:v>27</x:v>
      </x:c>
      <x:c r="Q31" s="64" t="n">
        <x:f>IFERROR(P31/O31,0)</x:f>
        <x:v>0.8709677419354839</x:v>
      </x:c>
      <x:c r="R31" s="24" t="str">
        <x:v>Formulario / taller</x:v>
      </x:c>
      <x:c r="S31" s="70" t="n">
        <x:v>4.8</x:v>
      </x:c>
      <x:c r="T31" s="24" t="str">
        <x:f>IF(XOR(X31="Reprogramada",X31="Cancelada"),"",IF(AND(Q31&gt;=0.8,S31&gt;=4),"Sí",IF(AND(Q31&gt;=0.65,S31&gt;=3.5),"Parcial","No")))</x:f>
        <x:v>Sí</x:v>
      </x:c>
      <x:c r="U31" s="24" t="str">
        <x:v>Jesús Guerrero</x:v>
      </x:c>
      <x:c r="V31" s="11" t="str">
        <x:v>Humano (facilitador interno) / Logístico / Material de apoyo</x:v>
      </x:c>
      <x:c r="W31" s="11" t="str">
        <x:v>Jesús Guerrero</x:v>
      </x:c>
      <x:c r="X31" s="11" t="str">
        <x:v>Ejecutada</x:v>
      </x:c>
      <x:c r="Y31" s="52" t="str">
        <x:v>Actividad ejecutada satisfactoriamente; mantener evidencia y seguimiento.</x:v>
      </x:c>
    </x:row>
    <x:row r="32">
      <x:c r="A32" s="23" t="n">
        <x:v>31</x:v>
      </x:c>
      <x:c r="B32" s="24" t="n">
        <x:v>2023</x:v>
      </x:c>
      <x:c r="C32" s="24" t="str">
        <x:v>Marzo</x:v>
      </x:c>
      <x:c r="D32" s="24" t="n">
        <x:v>3</x:v>
      </x:c>
      <x:c r="E32" s="24" t="str">
        <x:v>General</x:v>
      </x:c>
      <x:c r="F32" s="24" t="str">
        <x:v>Socialización</x:v>
      </x:c>
      <x:c r="G32" s="24" t="str">
        <x:v>Interno</x:v>
      </x:c>
      <x:c r="H32" s="24" t="str">
        <x:v>Todos</x:v>
      </x:c>
      <x:c r="I32" s="24" t="str">
        <x:v>Medellín</x:v>
      </x:c>
      <x:c r="J32" s="11" t="str">
        <x:v>Reporte de actos y condiciones inseguras</x:v>
      </x:c>
      <x:c r="K32" s="11" t="str">
        <x:v>Promover la cultura del reporte oportuno de condiciones y actos inseguros como herramienta preventiva del SG-SST.</x:v>
      </x:c>
      <x:c r="L32" s="24" t="n">
        <x:v>1</x:v>
      </x:c>
      <x:c r="M32" s="58" t="n">
        <x:v>45004</x:v>
      </x:c>
      <x:c r="N32" s="24" t="n">
        <x:v>1</x:v>
      </x:c>
      <x:c r="O32" s="24" t="n">
        <x:v>58</x:v>
      </x:c>
      <x:c r="P32" s="24" t="n">
        <x:v>49</x:v>
      </x:c>
      <x:c r="Q32" s="64" t="n">
        <x:f>IFERROR(P32/O32,0)</x:f>
        <x:v>0.8448275862068966</x:v>
      </x:c>
      <x:c r="R32" s="24" t="str">
        <x:v>Formulario / taller</x:v>
      </x:c>
      <x:c r="S32" s="70" t="n">
        <x:v>4.3</x:v>
      </x:c>
      <x:c r="T32" s="24" t="str">
        <x:f>IF(XOR(X32="Reprogramada",X32="Cancelada"),"",IF(AND(Q32&gt;=0.8,S32&gt;=4),"Sí",IF(AND(Q32&gt;=0.65,S32&gt;=3.5),"Parcial","No")))</x:f>
        <x:v>Sí</x:v>
      </x:c>
      <x:c r="U32" s="24" t="str">
        <x:v>Jesús Guerrero</x:v>
      </x:c>
      <x:c r="V32" s="11" t="str">
        <x:v>Humano (facilitador interno) / Logístico / Material de apoyo</x:v>
      </x:c>
      <x:c r="W32" s="11" t="str">
        <x:v>Carlos Felipe Parada Ramón</x:v>
      </x:c>
      <x:c r="X32" s="11" t="str">
        <x:v>Ejecutada</x:v>
      </x:c>
      <x:c r="Y32" s="52" t="str">
        <x:v>Actividad ejecutada satisfactoriamente; mantener evidencia y seguimiento.</x:v>
      </x:c>
    </x:row>
    <x:row r="33">
      <x:c r="A33" s="23" t="n">
        <x:v>32</x:v>
      </x:c>
      <x:c r="B33" s="24" t="n">
        <x:v>2023</x:v>
      </x:c>
      <x:c r="C33" s="24" t="str">
        <x:v>Marzo</x:v>
      </x:c>
      <x:c r="D33" s="24" t="n">
        <x:v>3</x:v>
      </x:c>
      <x:c r="E33" s="24" t="str">
        <x:v>General</x:v>
      </x:c>
      <x:c r="F33" s="24" t="str">
        <x:v>Socialización</x:v>
      </x:c>
      <x:c r="G33" s="24" t="str">
        <x:v>Interno</x:v>
      </x:c>
      <x:c r="H33" s="24" t="str">
        <x:v>Todos</x:v>
      </x:c>
      <x:c r="I33" s="24" t="str">
        <x:v>Ábrego</x:v>
      </x:c>
      <x:c r="J33" s="11" t="str">
        <x:v>Reporte de actos y condiciones inseguras</x:v>
      </x:c>
      <x:c r="K33" s="11" t="str">
        <x:v>Promover la cultura del reporte oportuno de condiciones y actos inseguros como herramienta preventiva del SG-SST.</x:v>
      </x:c>
      <x:c r="L33" s="24" t="n">
        <x:v>1</x:v>
      </x:c>
      <x:c r="M33" s="58" t="n">
        <x:v>45000</x:v>
      </x:c>
      <x:c r="N33" s="24" t="n">
        <x:v>1</x:v>
      </x:c>
      <x:c r="O33" s="24" t="n">
        <x:v>24</x:v>
      </x:c>
      <x:c r="P33" s="24" t="n">
        <x:v>20</x:v>
      </x:c>
      <x:c r="Q33" s="64" t="n">
        <x:f>IFERROR(P33/O33,0)</x:f>
        <x:v>0.8333333333333334</x:v>
      </x:c>
      <x:c r="R33" s="24" t="str">
        <x:v>Formulario / taller</x:v>
      </x:c>
      <x:c r="S33" s="70" t="n">
        <x:v>4.3</x:v>
      </x:c>
      <x:c r="T33" s="24" t="str">
        <x:f>IF(XOR(X33="Reprogramada",X33="Cancelada"),"",IF(AND(Q33&gt;=0.8,S33&gt;=4),"Sí",IF(AND(Q33&gt;=0.65,S33&gt;=3.5),"Parcial","No")))</x:f>
        <x:v>Sí</x:v>
      </x:c>
      <x:c r="U33" s="24" t="str">
        <x:v>Jesús Guerrero</x:v>
      </x:c>
      <x:c r="V33" s="11" t="str">
        <x:v>Humano (facilitador interno) / Logístico / Material de apoyo</x:v>
      </x:c>
      <x:c r="W33" s="11" t="str">
        <x:v>Camila Andrea Galván</x:v>
      </x:c>
      <x:c r="X33" s="11" t="str">
        <x:v>Ejecutada</x:v>
      </x:c>
      <x:c r="Y33" s="52" t="str">
        <x:v>Actividad ejecutada satisfactoriamente; mantener evidencia y seguimiento.</x:v>
      </x:c>
    </x:row>
    <x:row r="34">
      <x:c r="A34" s="23" t="n">
        <x:v>33</x:v>
      </x:c>
      <x:c r="B34" s="24" t="n">
        <x:v>2023</x:v>
      </x:c>
      <x:c r="C34" s="24" t="str">
        <x:v>Marzo</x:v>
      </x:c>
      <x:c r="D34" s="24" t="n">
        <x:v>3</x:v>
      </x:c>
      <x:c r="E34" s="24" t="str">
        <x:v>General</x:v>
      </x:c>
      <x:c r="F34" s="24" t="str">
        <x:v>Socialización</x:v>
      </x:c>
      <x:c r="G34" s="24" t="str">
        <x:v>Interno</x:v>
      </x:c>
      <x:c r="H34" s="24" t="str">
        <x:v>Todos</x:v>
      </x:c>
      <x:c r="I34" s="24" t="str">
        <x:v>Pamplona</x:v>
      </x:c>
      <x:c r="J34" s="11" t="str">
        <x:v>Reporte de actos y condiciones inseguras</x:v>
      </x:c>
      <x:c r="K34" s="11" t="str">
        <x:v>Promover la cultura del reporte oportuno de condiciones y actos inseguros como herramienta preventiva del SG-SST.</x:v>
      </x:c>
      <x:c r="L34" s="24" t="n">
        <x:v>1</x:v>
      </x:c>
      <x:c r="M34" s="58"/>
      <x:c r="N34" s="24" t="n">
        <x:v>0</x:v>
      </x:c>
      <x:c r="O34" s="24" t="n">
        <x:v>27</x:v>
      </x:c>
      <x:c r="P34" s="24"/>
      <x:c r="Q34" s="64" t="n">
        <x:f>IFERROR(P34/O34,0)</x:f>
        <x:v>0</x:v>
      </x:c>
      <x:c r="R34" s="24" t="str">
        <x:v>Formulario / taller</x:v>
      </x:c>
      <x:c r="S34" s="70"/>
      <x:c r="T34" s="24" t="str">
        <x:f>IF(XOR(X34="Reprogramada",X34="Cancelada"),"",IF(AND(Q34&gt;=0.8,S34&gt;=4),"Sí",IF(AND(Q34&gt;=0.65,S34&gt;=3.5),"Parcial","No")))</x:f>
      </x:c>
      <x:c r="U34" s="24" t="str">
        <x:v>Jesús Guerrero</x:v>
      </x:c>
      <x:c r="V34" s="11" t="str">
        <x:v>Humano (facilitador interno) / Logístico / Material de apoyo</x:v>
      </x:c>
      <x:c r="W34" s="11" t="str">
        <x:v>Jesús Guerrero</x:v>
      </x:c>
      <x:c r="X34" s="11" t="str">
        <x:v>Cancelada</x:v>
      </x:c>
      <x:c r="Y34" s="52" t="str">
        <x:v>Actividad cancelada por reorganización operativa o priorización de otras necesidades.</x:v>
      </x:c>
    </x:row>
    <x:row r="35">
      <x:c r="A35" s="23" t="n">
        <x:v>34</x:v>
      </x:c>
      <x:c r="B35" s="24" t="n">
        <x:v>2023</x:v>
      </x:c>
      <x:c r="C35" s="24" t="str">
        <x:v>Abril</x:v>
      </x:c>
      <x:c r="D35" s="24" t="n">
        <x:v>4</x:v>
      </x:c>
      <x:c r="E35" s="24" t="str">
        <x:v>Emergencias</x:v>
      </x:c>
      <x:c r="F35" s="24" t="str">
        <x:v>Taller</x:v>
      </x:c>
      <x:c r="G35" s="24" t="str">
        <x:v>Externo</x:v>
      </x:c>
      <x:c r="H35" s="24" t="str">
        <x:v>Todos</x:v>
      </x:c>
      <x:c r="I35" s="24" t="str">
        <x:v>Cúcuta</x:v>
      </x:c>
      <x:c r="J35" s="11" t="str">
        <x:v>Prevención de incendios y uso de extintores</x:v>
      </x:c>
      <x:c r="K35" s="11" t="str">
        <x:v>Capacitar sobre prevención de incendios, clasificación del fuego y uso adecuado del extintor ante emergencias.</x:v>
      </x:c>
      <x:c r="L35" s="24" t="n">
        <x:v>3</x:v>
      </x:c>
      <x:c r="M35" s="58" t="n">
        <x:v>45033</x:v>
      </x:c>
      <x:c r="N35" s="24" t="n">
        <x:v>3</x:v>
      </x:c>
      <x:c r="O35" s="24" t="n">
        <x:v>78</x:v>
      </x:c>
      <x:c r="P35" s="24" t="n">
        <x:v>64</x:v>
      </x:c>
      <x:c r="Q35" s="64" t="n">
        <x:f>IFERROR(P35/O35,0)</x:f>
        <x:v>0.8205128205128205</x:v>
      </x:c>
      <x:c r="R35" s="24" t="str">
        <x:v>Taller práctico</x:v>
      </x:c>
      <x:c r="S35" s="70" t="n">
        <x:v>4.3</x:v>
      </x:c>
      <x:c r="T35" s="24" t="str">
        <x:f>IF(XOR(X35="Reprogramada",X35="Cancelada"),"",IF(AND(Q35&gt;=0.8,S35&gt;=4),"Sí",IF(AND(Q35&gt;=0.65,S35&gt;=3.5),"Parcial","No")))</x:f>
        <x:v>Sí</x:v>
      </x:c>
      <x:c r="U35" s="24" t="str">
        <x:v>Brigada Externa SST</x:v>
      </x:c>
      <x:c r="V35" s="11" t="str">
        <x:v>Humano (facilitador externo) / Financiero / Logístico / Material didáctico</x:v>
      </x:c>
      <x:c r="W35" s="11" t="str">
        <x:v>Carlos Felipe Parada Ramón</x:v>
      </x:c>
      <x:c r="X35" s="11" t="str">
        <x:v>Ejecutada</x:v>
      </x:c>
      <x:c r="Y35" s="52" t="str">
        <x:v>Actividad ejecutada satisfactoriamente; mantener evidencia y seguimiento.</x:v>
      </x:c>
    </x:row>
    <x:row r="36">
      <x:c r="A36" s="23" t="n">
        <x:v>35</x:v>
      </x:c>
      <x:c r="B36" s="24" t="n">
        <x:v>2023</x:v>
      </x:c>
      <x:c r="C36" s="24" t="str">
        <x:v>Abril</x:v>
      </x:c>
      <x:c r="D36" s="24" t="n">
        <x:v>4</x:v>
      </x:c>
      <x:c r="E36" s="24" t="str">
        <x:v>Emergencias</x:v>
      </x:c>
      <x:c r="F36" s="24" t="str">
        <x:v>Taller</x:v>
      </x:c>
      <x:c r="G36" s="24" t="str">
        <x:v>Externo</x:v>
      </x:c>
      <x:c r="H36" s="24" t="str">
        <x:v>Todos</x:v>
      </x:c>
      <x:c r="I36" s="24" t="str">
        <x:v>Barrancabermeja</x:v>
      </x:c>
      <x:c r="J36" s="11" t="str">
        <x:v>Prevención de incendios y uso de extintores</x:v>
      </x:c>
      <x:c r="K36" s="11" t="str">
        <x:v>Capacitar sobre prevención de incendios, clasificación del fuego y uso adecuado del extintor ante emergencias.</x:v>
      </x:c>
      <x:c r="L36" s="24" t="n">
        <x:v>3</x:v>
      </x:c>
      <x:c r="M36" s="58" t="n">
        <x:v>45027</x:v>
      </x:c>
      <x:c r="N36" s="24" t="n">
        <x:v>3</x:v>
      </x:c>
      <x:c r="O36" s="24" t="n">
        <x:v>52</x:v>
      </x:c>
      <x:c r="P36" s="24" t="n">
        <x:v>45</x:v>
      </x:c>
      <x:c r="Q36" s="64" t="n">
        <x:f>IFERROR(P36/O36,0)</x:f>
        <x:v>0.8653846153846154</x:v>
      </x:c>
      <x:c r="R36" s="24" t="str">
        <x:v>Taller práctico</x:v>
      </x:c>
      <x:c r="S36" s="70" t="n">
        <x:v>4.4</x:v>
      </x:c>
      <x:c r="T36" s="24" t="str">
        <x:f>IF(XOR(X36="Reprogramada",X36="Cancelada"),"",IF(AND(Q36&gt;=0.8,S36&gt;=4),"Sí",IF(AND(Q36&gt;=0.65,S36&gt;=3.5),"Parcial","No")))</x:f>
        <x:v>Sí</x:v>
      </x:c>
      <x:c r="U36" s="24" t="str">
        <x:v>Brigada Externa SST</x:v>
      </x:c>
      <x:c r="V36" s="11" t="str">
        <x:v>Humano (facilitador externo) / Financiero / Logístico / Material didáctico</x:v>
      </x:c>
      <x:c r="W36" s="11" t="str">
        <x:v>Camila Andrea Galván</x:v>
      </x:c>
      <x:c r="X36" s="11" t="str">
        <x:v>Ejecutada</x:v>
      </x:c>
      <x:c r="Y36" s="52" t="str">
        <x:v>Actividad ejecutada satisfactoriamente; mantener evidencia y seguimiento.</x:v>
      </x:c>
    </x:row>
    <x:row r="37">
      <x:c r="A37" s="23" t="n">
        <x:v>36</x:v>
      </x:c>
      <x:c r="B37" s="24" t="n">
        <x:v>2023</x:v>
      </x:c>
      <x:c r="C37" s="24" t="str">
        <x:v>Abril</x:v>
      </x:c>
      <x:c r="D37" s="24" t="n">
        <x:v>4</x:v>
      </x:c>
      <x:c r="E37" s="24" t="str">
        <x:v>Emergencias</x:v>
      </x:c>
      <x:c r="F37" s="24" t="str">
        <x:v>Taller</x:v>
      </x:c>
      <x:c r="G37" s="24" t="str">
        <x:v>Externo</x:v>
      </x:c>
      <x:c r="H37" s="24" t="str">
        <x:v>Todos</x:v>
      </x:c>
      <x:c r="I37" s="24" t="str">
        <x:v>Ocaña</x:v>
      </x:c>
      <x:c r="J37" s="11" t="str">
        <x:v>Prevención de incendios y uso de extintores</x:v>
      </x:c>
      <x:c r="K37" s="11" t="str">
        <x:v>Capacitar sobre prevención de incendios, clasificación del fuego y uso adecuado del extintor ante emergencias.</x:v>
      </x:c>
      <x:c r="L37" s="24" t="n">
        <x:v>3</x:v>
      </x:c>
      <x:c r="M37" s="58" t="n">
        <x:v>45036</x:v>
      </x:c>
      <x:c r="N37" s="24" t="n">
        <x:v>3</x:v>
      </x:c>
      <x:c r="O37" s="24" t="n">
        <x:v>36</x:v>
      </x:c>
      <x:c r="P37" s="24" t="n">
        <x:v>29</x:v>
      </x:c>
      <x:c r="Q37" s="64" t="n">
        <x:f>IFERROR(P37/O37,0)</x:f>
        <x:v>0.8055555555555556</x:v>
      </x:c>
      <x:c r="R37" s="24" t="str">
        <x:v>Taller práctico</x:v>
      </x:c>
      <x:c r="S37" s="70" t="n">
        <x:v>4.9</x:v>
      </x:c>
      <x:c r="T37" s="24" t="str">
        <x:f>IF(XOR(X37="Reprogramada",X37="Cancelada"),"",IF(AND(Q37&gt;=0.8,S37&gt;=4),"Sí",IF(AND(Q37&gt;=0.65,S37&gt;=3.5),"Parcial","No")))</x:f>
        <x:v>Sí</x:v>
      </x:c>
      <x:c r="U37" s="24" t="str">
        <x:v>Brigada Externa SST</x:v>
      </x:c>
      <x:c r="V37" s="11" t="str">
        <x:v>Humano (facilitador externo) / Financiero / Logístico / Material didáctico</x:v>
      </x:c>
      <x:c r="W37" s="11" t="str">
        <x:v>Jesús Guerrero</x:v>
      </x:c>
      <x:c r="X37" s="11" t="str">
        <x:v>Ejecutada</x:v>
      </x:c>
      <x:c r="Y37" s="52" t="str">
        <x:v>Actividad ejecutada satisfactoriamente; mantener evidencia y seguimiento.</x:v>
      </x:c>
    </x:row>
    <x:row r="38">
      <x:c r="A38" s="23" t="n">
        <x:v>37</x:v>
      </x:c>
      <x:c r="B38" s="24" t="n">
        <x:v>2023</x:v>
      </x:c>
      <x:c r="C38" s="24" t="str">
        <x:v>Abril</x:v>
      </x:c>
      <x:c r="D38" s="24" t="n">
        <x:v>4</x:v>
      </x:c>
      <x:c r="E38" s="24" t="str">
        <x:v>Emergencias</x:v>
      </x:c>
      <x:c r="F38" s="24" t="str">
        <x:v>Taller</x:v>
      </x:c>
      <x:c r="G38" s="24" t="str">
        <x:v>Externo</x:v>
      </x:c>
      <x:c r="H38" s="24" t="str">
        <x:v>Todos</x:v>
      </x:c>
      <x:c r="I38" s="24" t="str">
        <x:v>Girón</x:v>
      </x:c>
      <x:c r="J38" s="11" t="str">
        <x:v>Prevención de incendios y uso de extintores</x:v>
      </x:c>
      <x:c r="K38" s="11" t="str">
        <x:v>Capacitar sobre prevención de incendios, clasificación del fuego y uso adecuado del extintor ante emergencias.</x:v>
      </x:c>
      <x:c r="L38" s="24" t="n">
        <x:v>3</x:v>
      </x:c>
      <x:c r="M38" s="58" t="n">
        <x:v>45039</x:v>
      </x:c>
      <x:c r="N38" s="24" t="n">
        <x:v>3</x:v>
      </x:c>
      <x:c r="O38" s="24" t="n">
        <x:v>41</x:v>
      </x:c>
      <x:c r="P38" s="24" t="n">
        <x:v>34</x:v>
      </x:c>
      <x:c r="Q38" s="64" t="n">
        <x:f>IFERROR(P38/O38,0)</x:f>
        <x:v>0.8292682926829268</x:v>
      </x:c>
      <x:c r="R38" s="24" t="str">
        <x:v>Taller práctico</x:v>
      </x:c>
      <x:c r="S38" s="70" t="n">
        <x:v>4.6</x:v>
      </x:c>
      <x:c r="T38" s="24" t="str">
        <x:f>IF(XOR(X38="Reprogramada",X38="Cancelada"),"",IF(AND(Q38&gt;=0.8,S38&gt;=4),"Sí",IF(AND(Q38&gt;=0.65,S38&gt;=3.5),"Parcial","No")))</x:f>
        <x:v>Sí</x:v>
      </x:c>
      <x:c r="U38" s="24" t="str">
        <x:v>Brigada Externa SST</x:v>
      </x:c>
      <x:c r="V38" s="11" t="str">
        <x:v>Humano (facilitador externo) / Financiero / Logístico / Material didáctico</x:v>
      </x:c>
      <x:c r="W38" s="11" t="str">
        <x:v>Carlos Felipe Parada Ramón</x:v>
      </x:c>
      <x:c r="X38" s="11" t="str">
        <x:v>Ejecutada</x:v>
      </x:c>
      <x:c r="Y38" s="52" t="str">
        <x:v>Actividad ejecutada satisfactoriamente; mantener evidencia y seguimiento.</x:v>
      </x:c>
    </x:row>
    <x:row r="39">
      <x:c r="A39" s="23" t="n">
        <x:v>38</x:v>
      </x:c>
      <x:c r="B39" s="24" t="n">
        <x:v>2023</x:v>
      </x:c>
      <x:c r="C39" s="24" t="str">
        <x:v>Abril</x:v>
      </x:c>
      <x:c r="D39" s="24" t="n">
        <x:v>4</x:v>
      </x:c>
      <x:c r="E39" s="24" t="str">
        <x:v>Emergencias</x:v>
      </x:c>
      <x:c r="F39" s="24" t="str">
        <x:v>Taller</x:v>
      </x:c>
      <x:c r="G39" s="24" t="str">
        <x:v>Externo</x:v>
      </x:c>
      <x:c r="H39" s="24" t="str">
        <x:v>Todos</x:v>
      </x:c>
      <x:c r="I39" s="24" t="str">
        <x:v>Valledupar</x:v>
      </x:c>
      <x:c r="J39" s="11" t="str">
        <x:v>Prevención de incendios y uso de extintores</x:v>
      </x:c>
      <x:c r="K39" s="11" t="str">
        <x:v>Capacitar sobre prevención de incendios, clasificación del fuego y uso adecuado del extintor ante emergencias.</x:v>
      </x:c>
      <x:c r="L39" s="24" t="n">
        <x:v>3</x:v>
      </x:c>
      <x:c r="M39" s="58" t="n">
        <x:v>45037</x:v>
      </x:c>
      <x:c r="N39" s="24" t="n">
        <x:v>3</x:v>
      </x:c>
      <x:c r="O39" s="24" t="n">
        <x:v>47</x:v>
      </x:c>
      <x:c r="P39" s="24" t="n">
        <x:v>46</x:v>
      </x:c>
      <x:c r="Q39" s="64" t="n">
        <x:f>IFERROR(P39/O39,0)</x:f>
        <x:v>0.9787234042553191</x:v>
      </x:c>
      <x:c r="R39" s="24" t="str">
        <x:v>Taller práctico</x:v>
      </x:c>
      <x:c r="S39" s="70" t="n">
        <x:v>4.7</x:v>
      </x:c>
      <x:c r="T39" s="24" t="str">
        <x:f>IF(XOR(X39="Reprogramada",X39="Cancelada"),"",IF(AND(Q39&gt;=0.8,S39&gt;=4),"Sí",IF(AND(Q39&gt;=0.65,S39&gt;=3.5),"Parcial","No")))</x:f>
        <x:v>Sí</x:v>
      </x:c>
      <x:c r="U39" s="24" t="str">
        <x:v>Brigada Externa SST</x:v>
      </x:c>
      <x:c r="V39" s="11" t="str">
        <x:v>Humano (facilitador externo) / Financiero / Logístico / Material didáctico</x:v>
      </x:c>
      <x:c r="W39" s="11" t="str">
        <x:v>Camila Andrea Galván</x:v>
      </x:c>
      <x:c r="X39" s="11" t="str">
        <x:v>Ejecutada</x:v>
      </x:c>
      <x:c r="Y39" s="52" t="str">
        <x:v>Actividad ejecutada satisfactoriamente; mantener evidencia y seguimiento.</x:v>
      </x:c>
    </x:row>
    <x:row r="40">
      <x:c r="A40" s="23" t="n">
        <x:v>39</x:v>
      </x:c>
      <x:c r="B40" s="24" t="n">
        <x:v>2023</x:v>
      </x:c>
      <x:c r="C40" s="24" t="str">
        <x:v>Abril</x:v>
      </x:c>
      <x:c r="D40" s="24" t="n">
        <x:v>4</x:v>
      </x:c>
      <x:c r="E40" s="24" t="str">
        <x:v>Emergencias</x:v>
      </x:c>
      <x:c r="F40" s="24" t="str">
        <x:v>Taller</x:v>
      </x:c>
      <x:c r="G40" s="24" t="str">
        <x:v>Externo</x:v>
      </x:c>
      <x:c r="H40" s="24" t="str">
        <x:v>Todos</x:v>
      </x:c>
      <x:c r="I40" s="24" t="str">
        <x:v>Arauca</x:v>
      </x:c>
      <x:c r="J40" s="11" t="str">
        <x:v>Prevención de incendios y uso de extintores</x:v>
      </x:c>
      <x:c r="K40" s="11" t="str">
        <x:v>Capacitar sobre prevención de incendios, clasificación del fuego y uso adecuado del extintor ante emergencias.</x:v>
      </x:c>
      <x:c r="L40" s="24" t="n">
        <x:v>3</x:v>
      </x:c>
      <x:c r="M40" s="58" t="n">
        <x:v>45029</x:v>
      </x:c>
      <x:c r="N40" s="24" t="n">
        <x:v>3</x:v>
      </x:c>
      <x:c r="O40" s="24" t="n">
        <x:v>29</x:v>
      </x:c>
      <x:c r="P40" s="24" t="n">
        <x:v>26</x:v>
      </x:c>
      <x:c r="Q40" s="64" t="n">
        <x:f>IFERROR(P40/O40,0)</x:f>
        <x:v>0.896551724137931</x:v>
      </x:c>
      <x:c r="R40" s="24" t="str">
        <x:v>Taller práctico</x:v>
      </x:c>
      <x:c r="S40" s="70" t="n">
        <x:v>4.6</x:v>
      </x:c>
      <x:c r="T40" s="24" t="str">
        <x:f>IF(XOR(X40="Reprogramada",X40="Cancelada"),"",IF(AND(Q40&gt;=0.8,S40&gt;=4),"Sí",IF(AND(Q40&gt;=0.65,S40&gt;=3.5),"Parcial","No")))</x:f>
        <x:v>Sí</x:v>
      </x:c>
      <x:c r="U40" s="24" t="str">
        <x:v>Brigada Externa SST</x:v>
      </x:c>
      <x:c r="V40" s="11" t="str">
        <x:v>Humano (facilitador externo) / Financiero / Logístico / Material didáctico</x:v>
      </x:c>
      <x:c r="W40" s="11" t="str">
        <x:v>Jesús Guerrero</x:v>
      </x:c>
      <x:c r="X40" s="11" t="str">
        <x:v>Ejecutada</x:v>
      </x:c>
      <x:c r="Y40" s="52" t="str">
        <x:v>Actividad ejecutada satisfactoriamente; mantener evidencia y seguimiento.</x:v>
      </x:c>
    </x:row>
    <x:row r="41">
      <x:c r="A41" s="23" t="n">
        <x:v>40</x:v>
      </x:c>
      <x:c r="B41" s="24" t="n">
        <x:v>2023</x:v>
      </x:c>
      <x:c r="C41" s="24" t="str">
        <x:v>Abril</x:v>
      </x:c>
      <x:c r="D41" s="24" t="n">
        <x:v>4</x:v>
      </x:c>
      <x:c r="E41" s="24" t="str">
        <x:v>Emergencias</x:v>
      </x:c>
      <x:c r="F41" s="24" t="str">
        <x:v>Taller</x:v>
      </x:c>
      <x:c r="G41" s="24" t="str">
        <x:v>Externo</x:v>
      </x:c>
      <x:c r="H41" s="24" t="str">
        <x:v>Todos</x:v>
      </x:c>
      <x:c r="I41" s="24" t="str">
        <x:v>Bogotá</x:v>
      </x:c>
      <x:c r="J41" s="11" t="str">
        <x:v>Prevención de incendios y uso de extintores</x:v>
      </x:c>
      <x:c r="K41" s="11" t="str">
        <x:v>Capacitar sobre prevención de incendios, clasificación del fuego y uso adecuado del extintor ante emergencias.</x:v>
      </x:c>
      <x:c r="L41" s="24" t="n">
        <x:v>3</x:v>
      </x:c>
      <x:c r="M41" s="58" t="n">
        <x:v>45027</x:v>
      </x:c>
      <x:c r="N41" s="24" t="n">
        <x:v>3</x:v>
      </x:c>
      <x:c r="O41" s="24" t="n">
        <x:v>63</x:v>
      </x:c>
      <x:c r="P41" s="24" t="n">
        <x:v>54</x:v>
      </x:c>
      <x:c r="Q41" s="64" t="n">
        <x:f>IFERROR(P41/O41,0)</x:f>
        <x:v>0.8571428571428571</x:v>
      </x:c>
      <x:c r="R41" s="24" t="str">
        <x:v>Taller práctico</x:v>
      </x:c>
      <x:c r="S41" s="70" t="n">
        <x:v>4.8</x:v>
      </x:c>
      <x:c r="T41" s="24" t="str">
        <x:f>IF(XOR(X41="Reprogramada",X41="Cancelada"),"",IF(AND(Q41&gt;=0.8,S41&gt;=4),"Sí",IF(AND(Q41&gt;=0.65,S41&gt;=3.5),"Parcial","No")))</x:f>
        <x:v>Sí</x:v>
      </x:c>
      <x:c r="U41" s="24" t="str">
        <x:v>Brigada Externa SST</x:v>
      </x:c>
      <x:c r="V41" s="11" t="str">
        <x:v>Humano (facilitador externo) / Financiero / Logístico / Material didáctico</x:v>
      </x:c>
      <x:c r="W41" s="11" t="str">
        <x:v>Carlos Felipe Parada Ramón</x:v>
      </x:c>
      <x:c r="X41" s="11" t="str">
        <x:v>Ejecutada</x:v>
      </x:c>
      <x:c r="Y41" s="52" t="str">
        <x:v>Actividad ejecutada satisfactoriamente; mantener evidencia y seguimiento.</x:v>
      </x:c>
    </x:row>
    <x:row r="42">
      <x:c r="A42" s="23" t="n">
        <x:v>41</x:v>
      </x:c>
      <x:c r="B42" s="24" t="n">
        <x:v>2023</x:v>
      </x:c>
      <x:c r="C42" s="24" t="str">
        <x:v>Abril</x:v>
      </x:c>
      <x:c r="D42" s="24" t="n">
        <x:v>4</x:v>
      </x:c>
      <x:c r="E42" s="24" t="str">
        <x:v>Emergencias</x:v>
      </x:c>
      <x:c r="F42" s="24" t="str">
        <x:v>Taller</x:v>
      </x:c>
      <x:c r="G42" s="24" t="str">
        <x:v>Externo</x:v>
      </x:c>
      <x:c r="H42" s="24" t="str">
        <x:v>Todos</x:v>
      </x:c>
      <x:c r="I42" s="24" t="str">
        <x:v>Tibú</x:v>
      </x:c>
      <x:c r="J42" s="11" t="str">
        <x:v>Prevención de incendios y uso de extintores</x:v>
      </x:c>
      <x:c r="K42" s="11" t="str">
        <x:v>Capacitar sobre prevención de incendios, clasificación del fuego y uso adecuado del extintor ante emergencias.</x:v>
      </x:c>
      <x:c r="L42" s="24" t="n">
        <x:v>3</x:v>
      </x:c>
      <x:c r="M42" s="58" t="n">
        <x:v>45029</x:v>
      </x:c>
      <x:c r="N42" s="24" t="n">
        <x:v>3.5</x:v>
      </x:c>
      <x:c r="O42" s="24" t="n">
        <x:v>31</x:v>
      </x:c>
      <x:c r="P42" s="24" t="n">
        <x:v>30</x:v>
      </x:c>
      <x:c r="Q42" s="64" t="n">
        <x:f>IFERROR(P42/O42,0)</x:f>
        <x:v>0.967741935483871</x:v>
      </x:c>
      <x:c r="R42" s="24" t="str">
        <x:v>Taller práctico</x:v>
      </x:c>
      <x:c r="S42" s="70" t="n">
        <x:v>4.4</x:v>
      </x:c>
      <x:c r="T42" s="24" t="str">
        <x:f>IF(XOR(X42="Reprogramada",X42="Cancelada"),"",IF(AND(Q42&gt;=0.8,S42&gt;=4),"Sí",IF(AND(Q42&gt;=0.65,S42&gt;=3.5),"Parcial","No")))</x:f>
        <x:v>Sí</x:v>
      </x:c>
      <x:c r="U42" s="24" t="str">
        <x:v>Brigada Externa SST</x:v>
      </x:c>
      <x:c r="V42" s="11" t="str">
        <x:v>Humano (facilitador externo) / Financiero / Logístico / Material didáctico</x:v>
      </x:c>
      <x:c r="W42" s="11" t="str">
        <x:v>Camila Andrea Galván</x:v>
      </x:c>
      <x:c r="X42" s="11" t="str">
        <x:v>Ejecutada</x:v>
      </x:c>
      <x:c r="Y42" s="52" t="str">
        <x:v>Actividad ejecutada satisfactoriamente; mantener evidencia y seguimiento.</x:v>
      </x:c>
    </x:row>
    <x:row r="43">
      <x:c r="A43" s="23" t="n">
        <x:v>42</x:v>
      </x:c>
      <x:c r="B43" s="24" t="n">
        <x:v>2023</x:v>
      </x:c>
      <x:c r="C43" s="24" t="str">
        <x:v>Abril</x:v>
      </x:c>
      <x:c r="D43" s="24" t="n">
        <x:v>4</x:v>
      </x:c>
      <x:c r="E43" s="24" t="str">
        <x:v>Emergencias</x:v>
      </x:c>
      <x:c r="F43" s="24" t="str">
        <x:v>Taller</x:v>
      </x:c>
      <x:c r="G43" s="24" t="str">
        <x:v>Externo</x:v>
      </x:c>
      <x:c r="H43" s="24" t="str">
        <x:v>Todos</x:v>
      </x:c>
      <x:c r="I43" s="24" t="str">
        <x:v>Medellín</x:v>
      </x:c>
      <x:c r="J43" s="11" t="str">
        <x:v>Prevención de incendios y uso de extintores</x:v>
      </x:c>
      <x:c r="K43" s="11" t="str">
        <x:v>Capacitar sobre prevención de incendios, clasificación del fuego y uso adecuado del extintor ante emergencias.</x:v>
      </x:c>
      <x:c r="L43" s="24" t="n">
        <x:v>3</x:v>
      </x:c>
      <x:c r="M43" s="58"/>
      <x:c r="N43" s="24"/>
      <x:c r="O43" s="24" t="n">
        <x:v>58</x:v>
      </x:c>
      <x:c r="P43" s="24"/>
      <x:c r="Q43" s="64" t="n">
        <x:f>IFERROR(P43/O43,0)</x:f>
        <x:v>0</x:v>
      </x:c>
      <x:c r="R43" s="24" t="str">
        <x:v>Taller práctico</x:v>
      </x:c>
      <x:c r="S43" s="70"/>
      <x:c r="T43" s="24" t="str">
        <x:f>IF(XOR(X43="Reprogramada",X43="Cancelada"),"",IF(AND(Q43&gt;=0.8,S43&gt;=4),"Sí",IF(AND(Q43&gt;=0.65,S43&gt;=3.5),"Parcial","No")))</x:f>
      </x:c>
      <x:c r="U43" s="24" t="str">
        <x:v>Brigada Externa SST</x:v>
      </x:c>
      <x:c r="V43" s="11" t="str">
        <x:v>Humano (facilitador externo) / Financiero / Logístico / Material didáctico</x:v>
      </x:c>
      <x:c r="W43" s="11" t="str">
        <x:v>Jesús Guerrero</x:v>
      </x:c>
      <x:c r="X43" s="11" t="str">
        <x:v>Reprogramada</x:v>
      </x:c>
      <x:c r="Y43" s="52" t="str">
        <x:v>Actividad reprogramada por operación, disponibilidad del facilitador o ajustes logísticos.</x:v>
      </x:c>
    </x:row>
    <x:row r="44">
      <x:c r="A44" s="23" t="n">
        <x:v>43</x:v>
      </x:c>
      <x:c r="B44" s="24" t="n">
        <x:v>2023</x:v>
      </x:c>
      <x:c r="C44" s="24" t="str">
        <x:v>Abril</x:v>
      </x:c>
      <x:c r="D44" s="24" t="n">
        <x:v>4</x:v>
      </x:c>
      <x:c r="E44" s="24" t="str">
        <x:v>Emergencias</x:v>
      </x:c>
      <x:c r="F44" s="24" t="str">
        <x:v>Taller</x:v>
      </x:c>
      <x:c r="G44" s="24" t="str">
        <x:v>Externo</x:v>
      </x:c>
      <x:c r="H44" s="24" t="str">
        <x:v>Todos</x:v>
      </x:c>
      <x:c r="I44" s="24" t="str">
        <x:v>Ábrego</x:v>
      </x:c>
      <x:c r="J44" s="11" t="str">
        <x:v>Prevención de incendios y uso de extintores</x:v>
      </x:c>
      <x:c r="K44" s="11" t="str">
        <x:v>Capacitar sobre prevención de incendios, clasificación del fuego y uso adecuado del extintor ante emergencias.</x:v>
      </x:c>
      <x:c r="L44" s="24" t="n">
        <x:v>3</x:v>
      </x:c>
      <x:c r="M44" s="58" t="n">
        <x:v>45038</x:v>
      </x:c>
      <x:c r="N44" s="24" t="n">
        <x:v>3</x:v>
      </x:c>
      <x:c r="O44" s="24" t="n">
        <x:v>24</x:v>
      </x:c>
      <x:c r="P44" s="24" t="n">
        <x:v>23</x:v>
      </x:c>
      <x:c r="Q44" s="64" t="n">
        <x:f>IFERROR(P44/O44,0)</x:f>
        <x:v>0.9583333333333334</x:v>
      </x:c>
      <x:c r="R44" s="24" t="str">
        <x:v>Taller práctico</x:v>
      </x:c>
      <x:c r="S44" s="70" t="n">
        <x:v>4.3</x:v>
      </x:c>
      <x:c r="T44" s="24" t="str">
        <x:f>IF(XOR(X44="Reprogramada",X44="Cancelada"),"",IF(AND(Q44&gt;=0.8,S44&gt;=4),"Sí",IF(AND(Q44&gt;=0.65,S44&gt;=3.5),"Parcial","No")))</x:f>
        <x:v>Sí</x:v>
      </x:c>
      <x:c r="U44" s="24" t="str">
        <x:v>Brigada Externa SST</x:v>
      </x:c>
      <x:c r="V44" s="11" t="str">
        <x:v>Humano (facilitador externo) / Financiero / Logístico / Material didáctico</x:v>
      </x:c>
      <x:c r="W44" s="11" t="str">
        <x:v>Carlos Felipe Parada Ramón</x:v>
      </x:c>
      <x:c r="X44" s="11" t="str">
        <x:v>Ejecutada</x:v>
      </x:c>
      <x:c r="Y44" s="52" t="str">
        <x:v>Actividad ejecutada satisfactoriamente; mantener evidencia y seguimiento.</x:v>
      </x:c>
    </x:row>
    <x:row r="45">
      <x:c r="A45" s="23" t="n">
        <x:v>44</x:v>
      </x:c>
      <x:c r="B45" s="24" t="n">
        <x:v>2023</x:v>
      </x:c>
      <x:c r="C45" s="24" t="str">
        <x:v>Abril</x:v>
      </x:c>
      <x:c r="D45" s="24" t="n">
        <x:v>4</x:v>
      </x:c>
      <x:c r="E45" s="24" t="str">
        <x:v>Emergencias</x:v>
      </x:c>
      <x:c r="F45" s="24" t="str">
        <x:v>Taller</x:v>
      </x:c>
      <x:c r="G45" s="24" t="str">
        <x:v>Externo</x:v>
      </x:c>
      <x:c r="H45" s="24" t="str">
        <x:v>Todos</x:v>
      </x:c>
      <x:c r="I45" s="24" t="str">
        <x:v>Pamplona</x:v>
      </x:c>
      <x:c r="J45" s="11" t="str">
        <x:v>Prevención de incendios y uso de extintores</x:v>
      </x:c>
      <x:c r="K45" s="11" t="str">
        <x:v>Capacitar sobre prevención de incendios, clasificación del fuego y uso adecuado del extintor ante emergencias.</x:v>
      </x:c>
      <x:c r="L45" s="24" t="n">
        <x:v>3</x:v>
      </x:c>
      <x:c r="M45" s="58" t="n">
        <x:v>45037</x:v>
      </x:c>
      <x:c r="N45" s="24" t="n">
        <x:v>3</x:v>
      </x:c>
      <x:c r="O45" s="24" t="n">
        <x:v>27</x:v>
      </x:c>
      <x:c r="P45" s="24" t="n">
        <x:v>23</x:v>
      </x:c>
      <x:c r="Q45" s="64" t="n">
        <x:f>IFERROR(P45/O45,0)</x:f>
        <x:v>0.8518518518518519</x:v>
      </x:c>
      <x:c r="R45" s="24" t="str">
        <x:v>Taller práctico</x:v>
      </x:c>
      <x:c r="S45" s="70" t="n">
        <x:v>4.6</x:v>
      </x:c>
      <x:c r="T45" s="24" t="str">
        <x:f>IF(XOR(X45="Reprogramada",X45="Cancelada"),"",IF(AND(Q45&gt;=0.8,S45&gt;=4),"Sí",IF(AND(Q45&gt;=0.65,S45&gt;=3.5),"Parcial","No")))</x:f>
        <x:v>Sí</x:v>
      </x:c>
      <x:c r="U45" s="24" t="str">
        <x:v>Brigada Externa SST</x:v>
      </x:c>
      <x:c r="V45" s="11" t="str">
        <x:v>Humano (facilitador externo) / Financiero / Logístico / Material didáctico</x:v>
      </x:c>
      <x:c r="W45" s="11" t="str">
        <x:v>Camila Andrea Galván</x:v>
      </x:c>
      <x:c r="X45" s="11" t="str">
        <x:v>Ejecutada</x:v>
      </x:c>
      <x:c r="Y45" s="52" t="str">
        <x:v>Actividad ejecutada satisfactoriamente; mantener evidencia y seguimiento.</x:v>
      </x:c>
    </x:row>
    <x:row r="46">
      <x:c r="A46" s="23" t="n">
        <x:v>45</x:v>
      </x:c>
      <x:c r="B46" s="24" t="n">
        <x:v>2023</x:v>
      </x:c>
      <x:c r="C46" s="24" t="str">
        <x:v>Mayo</x:v>
      </x:c>
      <x:c r="D46" s="24" t="n">
        <x:v>5</x:v>
      </x:c>
      <x:c r="E46" s="24" t="str">
        <x:v>Psicosocial</x:v>
      </x:c>
      <x:c r="F46" s="24" t="str">
        <x:v>Capacitación</x:v>
      </x:c>
      <x:c r="G46" s="24" t="str">
        <x:v>Externo</x:v>
      </x:c>
      <x:c r="H46" s="24" t="str">
        <x:v>Todos</x:v>
      </x:c>
      <x:c r="I46" s="24" t="str">
        <x:v>Cúcuta</x:v>
      </x:c>
      <x:c r="J46" s="11" t="str">
        <x:v>Riesgo psicosocial y manejo del estrés</x:v>
      </x:c>
      <x:c r="K46" s="11" t="str">
        <x:v>Brindar herramientas para la gestión del estrés, la prevención del agotamiento y la promoción del bienestar laboral.</x:v>
      </x:c>
      <x:c r="L46" s="24" t="n">
        <x:v>2</x:v>
      </x:c>
      <x:c r="M46" s="58" t="n">
        <x:v>45065</x:v>
      </x:c>
      <x:c r="N46" s="24" t="n">
        <x:v>2.5</x:v>
      </x:c>
      <x:c r="O46" s="24" t="n">
        <x:v>78</x:v>
      </x:c>
      <x:c r="P46" s="24" t="n">
        <x:v>62</x:v>
      </x:c>
      <x:c r="Q46" s="64" t="n">
        <x:f>IFERROR(P46/O46,0)</x:f>
        <x:v>0.7948717948717948</x:v>
      </x:c>
      <x:c r="R46" s="24" t="str">
        <x:v>Encuesta de percepción</x:v>
      </x:c>
      <x:c r="S46" s="70" t="n">
        <x:v>4.2</x:v>
      </x:c>
      <x:c r="T46" s="24" t="str">
        <x:f>IF(XOR(X46="Reprogramada",X46="Cancelada"),"",IF(AND(Q46&gt;=0.8,S46&gt;=4),"Sí",IF(AND(Q46&gt;=0.65,S46&gt;=3.5),"Parcial","No")))</x:f>
        <x:v>Parcial</x:v>
      </x:c>
      <x:c r="U46" s="24" t="str">
        <x:v>Psicología SST</x:v>
      </x:c>
      <x:c r="V46" s="11" t="str">
        <x:v>Humano (facilitador externo) / Financiero / Logístico / Material didáctico</x:v>
      </x:c>
      <x:c r="W46" s="11" t="str">
        <x:v>Jesús Guerrero</x:v>
      </x:c>
      <x:c r="X46" s="11" t="str">
        <x:v>Ejecutada</x:v>
      </x:c>
      <x:c r="Y46" s="52" t="str">
        <x:v>Actividad ejecutada satisfactoriamente; mantener evidencia y seguimiento.</x:v>
      </x:c>
    </x:row>
    <x:row r="47">
      <x:c r="A47" s="23" t="n">
        <x:v>46</x:v>
      </x:c>
      <x:c r="B47" s="24" t="n">
        <x:v>2023</x:v>
      </x:c>
      <x:c r="C47" s="24" t="str">
        <x:v>Mayo</x:v>
      </x:c>
      <x:c r="D47" s="24" t="n">
        <x:v>5</x:v>
      </x:c>
      <x:c r="E47" s="24" t="str">
        <x:v>Psicosocial</x:v>
      </x:c>
      <x:c r="F47" s="24" t="str">
        <x:v>Capacitación</x:v>
      </x:c>
      <x:c r="G47" s="24" t="str">
        <x:v>Externo</x:v>
      </x:c>
      <x:c r="H47" s="24" t="str">
        <x:v>Todos</x:v>
      </x:c>
      <x:c r="I47" s="24" t="str">
        <x:v>Barrancabermeja</x:v>
      </x:c>
      <x:c r="J47" s="11" t="str">
        <x:v>Riesgo psicosocial y manejo del estrés</x:v>
      </x:c>
      <x:c r="K47" s="11" t="str">
        <x:v>Brindar herramientas para la gestión del estrés, la prevención del agotamiento y la promoción del bienestar laboral.</x:v>
      </x:c>
      <x:c r="L47" s="24" t="n">
        <x:v>2</x:v>
      </x:c>
      <x:c r="M47" s="58" t="n">
        <x:v>45072</x:v>
      </x:c>
      <x:c r="N47" s="24" t="n">
        <x:v>2</x:v>
      </x:c>
      <x:c r="O47" s="24" t="n">
        <x:v>52</x:v>
      </x:c>
      <x:c r="P47" s="24" t="n">
        <x:v>49</x:v>
      </x:c>
      <x:c r="Q47" s="64" t="n">
        <x:f>IFERROR(P47/O47,0)</x:f>
        <x:v>0.9423076923076923</x:v>
      </x:c>
      <x:c r="R47" s="24" t="str">
        <x:v>Encuesta de percepción</x:v>
      </x:c>
      <x:c r="S47" s="70" t="n">
        <x:v>4.6</x:v>
      </x:c>
      <x:c r="T47" s="24" t="str">
        <x:f>IF(XOR(X47="Reprogramada",X47="Cancelada"),"",IF(AND(Q47&gt;=0.8,S47&gt;=4),"Sí",IF(AND(Q47&gt;=0.65,S47&gt;=3.5),"Parcial","No")))</x:f>
        <x:v>Sí</x:v>
      </x:c>
      <x:c r="U47" s="24" t="str">
        <x:v>Psicología SST</x:v>
      </x:c>
      <x:c r="V47" s="11" t="str">
        <x:v>Humano (facilitador externo) / Financiero / Logístico / Material didáctico</x:v>
      </x:c>
      <x:c r="W47" s="11" t="str">
        <x:v>Carlos Felipe Parada Ramón</x:v>
      </x:c>
      <x:c r="X47" s="11" t="str">
        <x:v>Ejecutada</x:v>
      </x:c>
      <x:c r="Y47" s="52" t="str">
        <x:v>Actividad ejecutada satisfactoriamente; mantener evidencia y seguimiento.</x:v>
      </x:c>
    </x:row>
    <x:row r="48">
      <x:c r="A48" s="23" t="n">
        <x:v>47</x:v>
      </x:c>
      <x:c r="B48" s="24" t="n">
        <x:v>2023</x:v>
      </x:c>
      <x:c r="C48" s="24" t="str">
        <x:v>Mayo</x:v>
      </x:c>
      <x:c r="D48" s="24" t="n">
        <x:v>5</x:v>
      </x:c>
      <x:c r="E48" s="24" t="str">
        <x:v>Psicosocial</x:v>
      </x:c>
      <x:c r="F48" s="24" t="str">
        <x:v>Capacitación</x:v>
      </x:c>
      <x:c r="G48" s="24" t="str">
        <x:v>Externo</x:v>
      </x:c>
      <x:c r="H48" s="24" t="str">
        <x:v>Todos</x:v>
      </x:c>
      <x:c r="I48" s="24" t="str">
        <x:v>Ocaña</x:v>
      </x:c>
      <x:c r="J48" s="11" t="str">
        <x:v>Riesgo psicosocial y manejo del estrés</x:v>
      </x:c>
      <x:c r="K48" s="11" t="str">
        <x:v>Brindar herramientas para la gestión del estrés, la prevención del agotamiento y la promoción del bienestar laboral.</x:v>
      </x:c>
      <x:c r="L48" s="24" t="n">
        <x:v>2</x:v>
      </x:c>
      <x:c r="M48" s="58" t="n">
        <x:v>45064</x:v>
      </x:c>
      <x:c r="N48" s="24" t="n">
        <x:v>1.5</x:v>
      </x:c>
      <x:c r="O48" s="24" t="n">
        <x:v>36</x:v>
      </x:c>
      <x:c r="P48" s="24" t="n">
        <x:v>35</x:v>
      </x:c>
      <x:c r="Q48" s="64" t="n">
        <x:f>IFERROR(P48/O48,0)</x:f>
        <x:v>0.9722222222222222</x:v>
      </x:c>
      <x:c r="R48" s="24" t="str">
        <x:v>Encuesta de percepción</x:v>
      </x:c>
      <x:c r="S48" s="70" t="n">
        <x:v>4.8</x:v>
      </x:c>
      <x:c r="T48" s="24" t="str">
        <x:f>IF(XOR(X48="Reprogramada",X48="Cancelada"),"",IF(AND(Q48&gt;=0.8,S48&gt;=4),"Sí",IF(AND(Q48&gt;=0.65,S48&gt;=3.5),"Parcial","No")))</x:f>
        <x:v>Sí</x:v>
      </x:c>
      <x:c r="U48" s="24" t="str">
        <x:v>Psicología SST</x:v>
      </x:c>
      <x:c r="V48" s="11" t="str">
        <x:v>Humano (facilitador externo) / Financiero / Logístico / Material didáctico</x:v>
      </x:c>
      <x:c r="W48" s="11" t="str">
        <x:v>Camila Andrea Galván</x:v>
      </x:c>
      <x:c r="X48" s="11" t="str">
        <x:v>Ejecutada</x:v>
      </x:c>
      <x:c r="Y48" s="52" t="str">
        <x:v>Actividad ejecutada satisfactoriamente; mantener evidencia y seguimiento.</x:v>
      </x:c>
    </x:row>
    <x:row r="49">
      <x:c r="A49" s="23" t="n">
        <x:v>48</x:v>
      </x:c>
      <x:c r="B49" s="24" t="n">
        <x:v>2023</x:v>
      </x:c>
      <x:c r="C49" s="24" t="str">
        <x:v>Mayo</x:v>
      </x:c>
      <x:c r="D49" s="24" t="n">
        <x:v>5</x:v>
      </x:c>
      <x:c r="E49" s="24" t="str">
        <x:v>Psicosocial</x:v>
      </x:c>
      <x:c r="F49" s="24" t="str">
        <x:v>Capacitación</x:v>
      </x:c>
      <x:c r="G49" s="24" t="str">
        <x:v>Externo</x:v>
      </x:c>
      <x:c r="H49" s="24" t="str">
        <x:v>Todos</x:v>
      </x:c>
      <x:c r="I49" s="24" t="str">
        <x:v>Girón</x:v>
      </x:c>
      <x:c r="J49" s="11" t="str">
        <x:v>Riesgo psicosocial y manejo del estrés</x:v>
      </x:c>
      <x:c r="K49" s="11" t="str">
        <x:v>Brindar herramientas para la gestión del estrés, la prevención del agotamiento y la promoción del bienestar laboral.</x:v>
      </x:c>
      <x:c r="L49" s="24" t="n">
        <x:v>2</x:v>
      </x:c>
      <x:c r="M49" s="58"/>
      <x:c r="N49" s="24" t="n">
        <x:v>0</x:v>
      </x:c>
      <x:c r="O49" s="24" t="n">
        <x:v>41</x:v>
      </x:c>
      <x:c r="P49" s="24"/>
      <x:c r="Q49" s="64" t="n">
        <x:f>IFERROR(P49/O49,0)</x:f>
        <x:v>0</x:v>
      </x:c>
      <x:c r="R49" s="24" t="str">
        <x:v>Encuesta de percepción</x:v>
      </x:c>
      <x:c r="S49" s="70"/>
      <x:c r="T49" s="24" t="str">
        <x:f>IF(XOR(X49="Reprogramada",X49="Cancelada"),"",IF(AND(Q49&gt;=0.8,S49&gt;=4),"Sí",IF(AND(Q49&gt;=0.65,S49&gt;=3.5),"Parcial","No")))</x:f>
      </x:c>
      <x:c r="U49" s="24" t="str">
        <x:v>Psicología SST</x:v>
      </x:c>
      <x:c r="V49" s="11" t="str">
        <x:v>Humano (facilitador externo) / Financiero / Logístico / Material didáctico</x:v>
      </x:c>
      <x:c r="W49" s="11" t="str">
        <x:v>Jesús Guerrero</x:v>
      </x:c>
      <x:c r="X49" s="11" t="str">
        <x:v>Cancelada</x:v>
      </x:c>
      <x:c r="Y49" s="52" t="str">
        <x:v>Actividad cancelada por reorganización operativa o priorización de otras necesidades.</x:v>
      </x:c>
    </x:row>
    <x:row r="50">
      <x:c r="A50" s="23" t="n">
        <x:v>49</x:v>
      </x:c>
      <x:c r="B50" s="24" t="n">
        <x:v>2023</x:v>
      </x:c>
      <x:c r="C50" s="24" t="str">
        <x:v>Mayo</x:v>
      </x:c>
      <x:c r="D50" s="24" t="n">
        <x:v>5</x:v>
      </x:c>
      <x:c r="E50" s="24" t="str">
        <x:v>Psicosocial</x:v>
      </x:c>
      <x:c r="F50" s="24" t="str">
        <x:v>Capacitación</x:v>
      </x:c>
      <x:c r="G50" s="24" t="str">
        <x:v>Externo</x:v>
      </x:c>
      <x:c r="H50" s="24" t="str">
        <x:v>Todos</x:v>
      </x:c>
      <x:c r="I50" s="24" t="str">
        <x:v>Valledupar</x:v>
      </x:c>
      <x:c r="J50" s="11" t="str">
        <x:v>Riesgo psicosocial y manejo del estrés</x:v>
      </x:c>
      <x:c r="K50" s="11" t="str">
        <x:v>Brindar herramientas para la gestión del estrés, la prevención del agotamiento y la promoción del bienestar laboral.</x:v>
      </x:c>
      <x:c r="L50" s="24" t="n">
        <x:v>2</x:v>
      </x:c>
      <x:c r="M50" s="58" t="n">
        <x:v>45060</x:v>
      </x:c>
      <x:c r="N50" s="24" t="n">
        <x:v>2.5</x:v>
      </x:c>
      <x:c r="O50" s="24" t="n">
        <x:v>47</x:v>
      </x:c>
      <x:c r="P50" s="24" t="n">
        <x:v>42</x:v>
      </x:c>
      <x:c r="Q50" s="64" t="n">
        <x:f>IFERROR(P50/O50,0)</x:f>
        <x:v>0.8936170212765957</x:v>
      </x:c>
      <x:c r="R50" s="24" t="str">
        <x:v>Encuesta de percepción</x:v>
      </x:c>
      <x:c r="S50" s="70" t="n">
        <x:v>4.4</x:v>
      </x:c>
      <x:c r="T50" s="24" t="str">
        <x:f>IF(XOR(X50="Reprogramada",X50="Cancelada"),"",IF(AND(Q50&gt;=0.8,S50&gt;=4),"Sí",IF(AND(Q50&gt;=0.65,S50&gt;=3.5),"Parcial","No")))</x:f>
        <x:v>Sí</x:v>
      </x:c>
      <x:c r="U50" s="24" t="str">
        <x:v>Psicología SST</x:v>
      </x:c>
      <x:c r="V50" s="11" t="str">
        <x:v>Humano (facilitador externo) / Financiero / Logístico / Material didáctico</x:v>
      </x:c>
      <x:c r="W50" s="11" t="str">
        <x:v>Carlos Felipe Parada Ramón</x:v>
      </x:c>
      <x:c r="X50" s="11" t="str">
        <x:v>Ejecutada</x:v>
      </x:c>
      <x:c r="Y50" s="52" t="str">
        <x:v>Actividad ejecutada satisfactoriamente; mantener evidencia y seguimiento.</x:v>
      </x:c>
    </x:row>
    <x:row r="51">
      <x:c r="A51" s="23" t="n">
        <x:v>50</x:v>
      </x:c>
      <x:c r="B51" s="24" t="n">
        <x:v>2023</x:v>
      </x:c>
      <x:c r="C51" s="24" t="str">
        <x:v>Mayo</x:v>
      </x:c>
      <x:c r="D51" s="24" t="n">
        <x:v>5</x:v>
      </x:c>
      <x:c r="E51" s="24" t="str">
        <x:v>Psicosocial</x:v>
      </x:c>
      <x:c r="F51" s="24" t="str">
        <x:v>Capacitación</x:v>
      </x:c>
      <x:c r="G51" s="24" t="str">
        <x:v>Externo</x:v>
      </x:c>
      <x:c r="H51" s="24" t="str">
        <x:v>Todos</x:v>
      </x:c>
      <x:c r="I51" s="24" t="str">
        <x:v>Arauca</x:v>
      </x:c>
      <x:c r="J51" s="11" t="str">
        <x:v>Riesgo psicosocial y manejo del estrés</x:v>
      </x:c>
      <x:c r="K51" s="11" t="str">
        <x:v>Brindar herramientas para la gestión del estrés, la prevención del agotamiento y la promoción del bienestar laboral.</x:v>
      </x:c>
      <x:c r="L51" s="24" t="n">
        <x:v>2</x:v>
      </x:c>
      <x:c r="M51" s="58" t="n">
        <x:v>45061</x:v>
      </x:c>
      <x:c r="N51" s="24" t="n">
        <x:v>2</x:v>
      </x:c>
      <x:c r="O51" s="24" t="n">
        <x:v>29</x:v>
      </x:c>
      <x:c r="P51" s="24" t="n">
        <x:v>24</x:v>
      </x:c>
      <x:c r="Q51" s="64" t="n">
        <x:f>IFERROR(P51/O51,0)</x:f>
        <x:v>0.8275862068965517</x:v>
      </x:c>
      <x:c r="R51" s="24" t="str">
        <x:v>Encuesta de percepción</x:v>
      </x:c>
      <x:c r="S51" s="70" t="n">
        <x:v>4.7</x:v>
      </x:c>
      <x:c r="T51" s="24" t="str">
        <x:f>IF(XOR(X51="Reprogramada",X51="Cancelada"),"",IF(AND(Q51&gt;=0.8,S51&gt;=4),"Sí",IF(AND(Q51&gt;=0.65,S51&gt;=3.5),"Parcial","No")))</x:f>
        <x:v>Sí</x:v>
      </x:c>
      <x:c r="U51" s="24" t="str">
        <x:v>Psicología SST</x:v>
      </x:c>
      <x:c r="V51" s="11" t="str">
        <x:v>Humano (facilitador externo) / Financiero / Logístico / Material didáctico</x:v>
      </x:c>
      <x:c r="W51" s="11" t="str">
        <x:v>Camila Andrea Galván</x:v>
      </x:c>
      <x:c r="X51" s="11" t="str">
        <x:v>Ejecutada</x:v>
      </x:c>
      <x:c r="Y51" s="52" t="str">
        <x:v>Actividad ejecutada satisfactoriamente; mantener evidencia y seguimiento.</x:v>
      </x:c>
    </x:row>
    <x:row r="52">
      <x:c r="A52" s="23" t="n">
        <x:v>51</x:v>
      </x:c>
      <x:c r="B52" s="24" t="n">
        <x:v>2023</x:v>
      </x:c>
      <x:c r="C52" s="24" t="str">
        <x:v>Mayo</x:v>
      </x:c>
      <x:c r="D52" s="24" t="n">
        <x:v>5</x:v>
      </x:c>
      <x:c r="E52" s="24" t="str">
        <x:v>Psicosocial</x:v>
      </x:c>
      <x:c r="F52" s="24" t="str">
        <x:v>Capacitación</x:v>
      </x:c>
      <x:c r="G52" s="24" t="str">
        <x:v>Externo</x:v>
      </x:c>
      <x:c r="H52" s="24" t="str">
        <x:v>Todos</x:v>
      </x:c>
      <x:c r="I52" s="24" t="str">
        <x:v>Bogotá</x:v>
      </x:c>
      <x:c r="J52" s="11" t="str">
        <x:v>Riesgo psicosocial y manejo del estrés</x:v>
      </x:c>
      <x:c r="K52" s="11" t="str">
        <x:v>Brindar herramientas para la gestión del estrés, la prevención del agotamiento y la promoción del bienestar laboral.</x:v>
      </x:c>
      <x:c r="L52" s="24" t="n">
        <x:v>2</x:v>
      </x:c>
      <x:c r="M52" s="58" t="n">
        <x:v>45062</x:v>
      </x:c>
      <x:c r="N52" s="24" t="n">
        <x:v>2.5</x:v>
      </x:c>
      <x:c r="O52" s="24" t="n">
        <x:v>63</x:v>
      </x:c>
      <x:c r="P52" s="24" t="n">
        <x:v>61</x:v>
      </x:c>
      <x:c r="Q52" s="64" t="n">
        <x:f>IFERROR(P52/O52,0)</x:f>
        <x:v>0.9682539682539683</x:v>
      </x:c>
      <x:c r="R52" s="24" t="str">
        <x:v>Encuesta de percepción</x:v>
      </x:c>
      <x:c r="S52" s="70" t="n">
        <x:v>4.3</x:v>
      </x:c>
      <x:c r="T52" s="24" t="str">
        <x:f>IF(XOR(X52="Reprogramada",X52="Cancelada"),"",IF(AND(Q52&gt;=0.8,S52&gt;=4),"Sí",IF(AND(Q52&gt;=0.65,S52&gt;=3.5),"Parcial","No")))</x:f>
        <x:v>Sí</x:v>
      </x:c>
      <x:c r="U52" s="24" t="str">
        <x:v>Psicología SST</x:v>
      </x:c>
      <x:c r="V52" s="11" t="str">
        <x:v>Humano (facilitador externo) / Financiero / Logístico / Material didáctico</x:v>
      </x:c>
      <x:c r="W52" s="11" t="str">
        <x:v>Jesús Guerrero</x:v>
      </x:c>
      <x:c r="X52" s="11" t="str">
        <x:v>Ejecutada</x:v>
      </x:c>
      <x:c r="Y52" s="52" t="str">
        <x:v>Actividad ejecutada satisfactoriamente; mantener evidencia y seguimiento.</x:v>
      </x:c>
    </x:row>
    <x:row r="53">
      <x:c r="A53" s="23" t="n">
        <x:v>52</x:v>
      </x:c>
      <x:c r="B53" s="24" t="n">
        <x:v>2023</x:v>
      </x:c>
      <x:c r="C53" s="24" t="str">
        <x:v>Mayo</x:v>
      </x:c>
      <x:c r="D53" s="24" t="n">
        <x:v>5</x:v>
      </x:c>
      <x:c r="E53" s="24" t="str">
        <x:v>Psicosocial</x:v>
      </x:c>
      <x:c r="F53" s="24" t="str">
        <x:v>Capacitación</x:v>
      </x:c>
      <x:c r="G53" s="24" t="str">
        <x:v>Externo</x:v>
      </x:c>
      <x:c r="H53" s="24" t="str">
        <x:v>Todos</x:v>
      </x:c>
      <x:c r="I53" s="24" t="str">
        <x:v>Tibú</x:v>
      </x:c>
      <x:c r="J53" s="11" t="str">
        <x:v>Riesgo psicosocial y manejo del estrés</x:v>
      </x:c>
      <x:c r="K53" s="11" t="str">
        <x:v>Brindar herramientas para la gestión del estrés, la prevención del agotamiento y la promoción del bienestar laboral.</x:v>
      </x:c>
      <x:c r="L53" s="24" t="n">
        <x:v>2</x:v>
      </x:c>
      <x:c r="M53" s="58" t="n">
        <x:v>45066</x:v>
      </x:c>
      <x:c r="N53" s="24" t="n">
        <x:v>1.5</x:v>
      </x:c>
      <x:c r="O53" s="24" t="n">
        <x:v>31</x:v>
      </x:c>
      <x:c r="P53" s="24" t="n">
        <x:v>30</x:v>
      </x:c>
      <x:c r="Q53" s="64" t="n">
        <x:f>IFERROR(P53/O53,0)</x:f>
        <x:v>0.967741935483871</x:v>
      </x:c>
      <x:c r="R53" s="24" t="str">
        <x:v>Encuesta de percepción</x:v>
      </x:c>
      <x:c r="S53" s="70" t="n">
        <x:v>4.3</x:v>
      </x:c>
      <x:c r="T53" s="24" t="str">
        <x:f>IF(XOR(X53="Reprogramada",X53="Cancelada"),"",IF(AND(Q53&gt;=0.8,S53&gt;=4),"Sí",IF(AND(Q53&gt;=0.65,S53&gt;=3.5),"Parcial","No")))</x:f>
        <x:v>Sí</x:v>
      </x:c>
      <x:c r="U53" s="24" t="str">
        <x:v>Psicología SST</x:v>
      </x:c>
      <x:c r="V53" s="11" t="str">
        <x:v>Humano (facilitador externo) / Financiero / Logístico / Material didáctico</x:v>
      </x:c>
      <x:c r="W53" s="11" t="str">
        <x:v>Carlos Felipe Parada Ramón</x:v>
      </x:c>
      <x:c r="X53" s="11" t="str">
        <x:v>Ejecutada</x:v>
      </x:c>
      <x:c r="Y53" s="52" t="str">
        <x:v>Actividad ejecutada satisfactoriamente; mantener evidencia y seguimiento.</x:v>
      </x:c>
    </x:row>
    <x:row r="54">
      <x:c r="A54" s="23" t="n">
        <x:v>53</x:v>
      </x:c>
      <x:c r="B54" s="24" t="n">
        <x:v>2023</x:v>
      </x:c>
      <x:c r="C54" s="24" t="str">
        <x:v>Mayo</x:v>
      </x:c>
      <x:c r="D54" s="24" t="n">
        <x:v>5</x:v>
      </x:c>
      <x:c r="E54" s="24" t="str">
        <x:v>Psicosocial</x:v>
      </x:c>
      <x:c r="F54" s="24" t="str">
        <x:v>Capacitación</x:v>
      </x:c>
      <x:c r="G54" s="24" t="str">
        <x:v>Externo</x:v>
      </x:c>
      <x:c r="H54" s="24" t="str">
        <x:v>Todos</x:v>
      </x:c>
      <x:c r="I54" s="24" t="str">
        <x:v>Medellín</x:v>
      </x:c>
      <x:c r="J54" s="11" t="str">
        <x:v>Riesgo psicosocial y manejo del estrés</x:v>
      </x:c>
      <x:c r="K54" s="11" t="str">
        <x:v>Brindar herramientas para la gestión del estrés, la prevención del agotamiento y la promoción del bienestar laboral.</x:v>
      </x:c>
      <x:c r="L54" s="24" t="n">
        <x:v>2</x:v>
      </x:c>
      <x:c r="M54" s="58" t="n">
        <x:v>45069</x:v>
      </x:c>
      <x:c r="N54" s="24" t="n">
        <x:v>2</x:v>
      </x:c>
      <x:c r="O54" s="24" t="n">
        <x:v>58</x:v>
      </x:c>
      <x:c r="P54" s="24" t="n">
        <x:v>48</x:v>
      </x:c>
      <x:c r="Q54" s="64" t="n">
        <x:f>IFERROR(P54/O54,0)</x:f>
        <x:v>0.8275862068965517</x:v>
      </x:c>
      <x:c r="R54" s="24" t="str">
        <x:v>Encuesta de percepción</x:v>
      </x:c>
      <x:c r="S54" s="70" t="n">
        <x:v>4.3</x:v>
      </x:c>
      <x:c r="T54" s="24" t="str">
        <x:f>IF(XOR(X54="Reprogramada",X54="Cancelada"),"",IF(AND(Q54&gt;=0.8,S54&gt;=4),"Sí",IF(AND(Q54&gt;=0.65,S54&gt;=3.5),"Parcial","No")))</x:f>
        <x:v>Sí</x:v>
      </x:c>
      <x:c r="U54" s="24" t="str">
        <x:v>Psicología SST</x:v>
      </x:c>
      <x:c r="V54" s="11" t="str">
        <x:v>Humano (facilitador externo) / Financiero / Logístico / Material didáctico</x:v>
      </x:c>
      <x:c r="W54" s="11" t="str">
        <x:v>Camila Andrea Galván</x:v>
      </x:c>
      <x:c r="X54" s="11" t="str">
        <x:v>Ejecutada</x:v>
      </x:c>
      <x:c r="Y54" s="52" t="str">
        <x:v>Actividad ejecutada satisfactoriamente; mantener evidencia y seguimiento.</x:v>
      </x:c>
    </x:row>
    <x:row r="55">
      <x:c r="A55" s="23" t="n">
        <x:v>54</x:v>
      </x:c>
      <x:c r="B55" s="24" t="n">
        <x:v>2023</x:v>
      </x:c>
      <x:c r="C55" s="24" t="str">
        <x:v>Mayo</x:v>
      </x:c>
      <x:c r="D55" s="24" t="n">
        <x:v>5</x:v>
      </x:c>
      <x:c r="E55" s="24" t="str">
        <x:v>Psicosocial</x:v>
      </x:c>
      <x:c r="F55" s="24" t="str">
        <x:v>Capacitación</x:v>
      </x:c>
      <x:c r="G55" s="24" t="str">
        <x:v>Externo</x:v>
      </x:c>
      <x:c r="H55" s="24" t="str">
        <x:v>Todos</x:v>
      </x:c>
      <x:c r="I55" s="24" t="str">
        <x:v>Ábrego</x:v>
      </x:c>
      <x:c r="J55" s="11" t="str">
        <x:v>Riesgo psicosocial y manejo del estrés</x:v>
      </x:c>
      <x:c r="K55" s="11" t="str">
        <x:v>Brindar herramientas para la gestión del estrés, la prevención del agotamiento y la promoción del bienestar laboral.</x:v>
      </x:c>
      <x:c r="L55" s="24" t="n">
        <x:v>2</x:v>
      </x:c>
      <x:c r="M55" s="58" t="n">
        <x:v>45067</x:v>
      </x:c>
      <x:c r="N55" s="24" t="n">
        <x:v>2</x:v>
      </x:c>
      <x:c r="O55" s="24" t="n">
        <x:v>24</x:v>
      </x:c>
      <x:c r="P55" s="24" t="n">
        <x:v>21</x:v>
      </x:c>
      <x:c r="Q55" s="64" t="n">
        <x:f>IFERROR(P55/O55,0)</x:f>
        <x:v>0.875</x:v>
      </x:c>
      <x:c r="R55" s="24" t="str">
        <x:v>Encuesta de percepción</x:v>
      </x:c>
      <x:c r="S55" s="70" t="n">
        <x:v>4.7</x:v>
      </x:c>
      <x:c r="T55" s="24" t="str">
        <x:f>IF(XOR(X55="Reprogramada",X55="Cancelada"),"",IF(AND(Q55&gt;=0.8,S55&gt;=4),"Sí",IF(AND(Q55&gt;=0.65,S55&gt;=3.5),"Parcial","No")))</x:f>
        <x:v>Sí</x:v>
      </x:c>
      <x:c r="U55" s="24" t="str">
        <x:v>Psicología SST</x:v>
      </x:c>
      <x:c r="V55" s="11" t="str">
        <x:v>Humano (facilitador externo) / Financiero / Logístico / Material didáctico</x:v>
      </x:c>
      <x:c r="W55" s="11" t="str">
        <x:v>Jesús Guerrero</x:v>
      </x:c>
      <x:c r="X55" s="11" t="str">
        <x:v>Ejecutada</x:v>
      </x:c>
      <x:c r="Y55" s="52" t="str">
        <x:v>Actividad ejecutada satisfactoriamente; mantener evidencia y seguimiento.</x:v>
      </x:c>
    </x:row>
    <x:row r="56">
      <x:c r="A56" s="23" t="n">
        <x:v>55</x:v>
      </x:c>
      <x:c r="B56" s="24" t="n">
        <x:v>2023</x:v>
      </x:c>
      <x:c r="C56" s="24" t="str">
        <x:v>Mayo</x:v>
      </x:c>
      <x:c r="D56" s="24" t="n">
        <x:v>5</x:v>
      </x:c>
      <x:c r="E56" s="24" t="str">
        <x:v>Psicosocial</x:v>
      </x:c>
      <x:c r="F56" s="24" t="str">
        <x:v>Capacitación</x:v>
      </x:c>
      <x:c r="G56" s="24" t="str">
        <x:v>Externo</x:v>
      </x:c>
      <x:c r="H56" s="24" t="str">
        <x:v>Todos</x:v>
      </x:c>
      <x:c r="I56" s="24" t="str">
        <x:v>Pamplona</x:v>
      </x:c>
      <x:c r="J56" s="11" t="str">
        <x:v>Riesgo psicosocial y manejo del estrés</x:v>
      </x:c>
      <x:c r="K56" s="11" t="str">
        <x:v>Brindar herramientas para la gestión del estrés, la prevención del agotamiento y la promoción del bienestar laboral.</x:v>
      </x:c>
      <x:c r="L56" s="24" t="n">
        <x:v>2</x:v>
      </x:c>
      <x:c r="M56" s="58" t="n">
        <x:v>45064</x:v>
      </x:c>
      <x:c r="N56" s="24" t="n">
        <x:v>2</x:v>
      </x:c>
      <x:c r="O56" s="24" t="n">
        <x:v>27</x:v>
      </x:c>
      <x:c r="P56" s="24" t="n">
        <x:v>26</x:v>
      </x:c>
      <x:c r="Q56" s="64" t="n">
        <x:f>IFERROR(P56/O56,0)</x:f>
        <x:v>0.9629629629629629</x:v>
      </x:c>
      <x:c r="R56" s="24" t="str">
        <x:v>Encuesta de percepción</x:v>
      </x:c>
      <x:c r="S56" s="70" t="n">
        <x:v>4.3</x:v>
      </x:c>
      <x:c r="T56" s="24" t="str">
        <x:f>IF(XOR(X56="Reprogramada",X56="Cancelada"),"",IF(AND(Q56&gt;=0.8,S56&gt;=4),"Sí",IF(AND(Q56&gt;=0.65,S56&gt;=3.5),"Parcial","No")))</x:f>
        <x:v>Sí</x:v>
      </x:c>
      <x:c r="U56" s="24" t="str">
        <x:v>Psicología SST</x:v>
      </x:c>
      <x:c r="V56" s="11" t="str">
        <x:v>Humano (facilitador externo) / Financiero / Logístico / Material didáctico</x:v>
      </x:c>
      <x:c r="W56" s="11" t="str">
        <x:v>Carlos Felipe Parada Ramón</x:v>
      </x:c>
      <x:c r="X56" s="11" t="str">
        <x:v>Ejecutada</x:v>
      </x:c>
      <x:c r="Y56" s="52" t="str">
        <x:v>Actividad ejecutada satisfactoriamente; mantener evidencia y seguimiento.</x:v>
      </x:c>
    </x:row>
    <x:row r="57">
      <x:c r="A57" s="23" t="n">
        <x:v>56</x:v>
      </x:c>
      <x:c r="B57" s="24" t="n">
        <x:v>2023</x:v>
      </x:c>
      <x:c r="C57" s="24" t="str">
        <x:v>Junio</x:v>
      </x:c>
      <x:c r="D57" s="24" t="n">
        <x:v>6</x:v>
      </x:c>
      <x:c r="E57" s="24" t="str">
        <x:v>General</x:v>
      </x:c>
      <x:c r="F57" s="24" t="str">
        <x:v>Capacitación</x:v>
      </x:c>
      <x:c r="G57" s="24" t="str">
        <x:v>Interno</x:v>
      </x:c>
      <x:c r="H57" s="24" t="str">
        <x:v>Líderes</x:v>
      </x:c>
      <x:c r="I57" s="24" t="str">
        <x:v>Cúcuta</x:v>
      </x:c>
      <x:c r="J57" s="11" t="str">
        <x:v>Investigación de incidentes y accidentes</x:v>
      </x:c>
      <x:c r="K57" s="11" t="str">
        <x:v>Fortalecer la identificación de causas básicas e inmediatas y el diseño de acciones preventivas y correctivas.</x:v>
      </x:c>
      <x:c r="L57" s="24" t="n">
        <x:v>2</x:v>
      </x:c>
      <x:c r="M57" s="58" t="n">
        <x:v>45090</x:v>
      </x:c>
      <x:c r="N57" s="24" t="n">
        <x:v>2</x:v>
      </x:c>
      <x:c r="O57" s="24" t="n">
        <x:v>78</x:v>
      </x:c>
      <x:c r="P57" s="24" t="n">
        <x:v>68</x:v>
      </x:c>
      <x:c r="Q57" s="64" t="n">
        <x:f>IFERROR(P57/O57,0)</x:f>
        <x:v>0.8717948717948718</x:v>
      </x:c>
      <x:c r="R57" s="24" t="str">
        <x:v>Caso práctico</x:v>
      </x:c>
      <x:c r="S57" s="70" t="n">
        <x:v>4.4</x:v>
      </x:c>
      <x:c r="T57" s="24" t="str">
        <x:f>IF(XOR(X57="Reprogramada",X57="Cancelada"),"",IF(AND(Q57&gt;=0.8,S57&gt;=4),"Sí",IF(AND(Q57&gt;=0.65,S57&gt;=3.5),"Parcial","No")))</x:f>
        <x:v>Sí</x:v>
      </x:c>
      <x:c r="U57" s="24" t="str">
        <x:v>Carlos Felipe Parada Ramón</x:v>
      </x:c>
      <x:c r="V57" s="11" t="str">
        <x:v>Humano (facilitador interno) / Logístico / Material de apoyo</x:v>
      </x:c>
      <x:c r="W57" s="11" t="str">
        <x:v>Camila Andrea Galván</x:v>
      </x:c>
      <x:c r="X57" s="11" t="str">
        <x:v>Ejecutada</x:v>
      </x:c>
      <x:c r="Y57" s="52" t="str">
        <x:v>Actividad ejecutada satisfactoriamente; mantener evidencia y seguimiento.</x:v>
      </x:c>
    </x:row>
    <x:row r="58">
      <x:c r="A58" s="23" t="n">
        <x:v>57</x:v>
      </x:c>
      <x:c r="B58" s="24" t="n">
        <x:v>2023</x:v>
      </x:c>
      <x:c r="C58" s="24" t="str">
        <x:v>Junio</x:v>
      </x:c>
      <x:c r="D58" s="24" t="n">
        <x:v>6</x:v>
      </x:c>
      <x:c r="E58" s="24" t="str">
        <x:v>General</x:v>
      </x:c>
      <x:c r="F58" s="24" t="str">
        <x:v>Capacitación</x:v>
      </x:c>
      <x:c r="G58" s="24" t="str">
        <x:v>Interno</x:v>
      </x:c>
      <x:c r="H58" s="24" t="str">
        <x:v>Líderes</x:v>
      </x:c>
      <x:c r="I58" s="24" t="str">
        <x:v>Barrancabermeja</x:v>
      </x:c>
      <x:c r="J58" s="11" t="str">
        <x:v>Investigación de incidentes y accidentes</x:v>
      </x:c>
      <x:c r="K58" s="11" t="str">
        <x:v>Fortalecer la identificación de causas básicas e inmediatas y el diseño de acciones preventivas y correctivas.</x:v>
      </x:c>
      <x:c r="L58" s="24" t="n">
        <x:v>2</x:v>
      </x:c>
      <x:c r="M58" s="58" t="n">
        <x:v>45092</x:v>
      </x:c>
      <x:c r="N58" s="24" t="n">
        <x:v>2</x:v>
      </x:c>
      <x:c r="O58" s="24" t="n">
        <x:v>52</x:v>
      </x:c>
      <x:c r="P58" s="24" t="n">
        <x:v>46</x:v>
      </x:c>
      <x:c r="Q58" s="64" t="n">
        <x:f>IFERROR(P58/O58,0)</x:f>
        <x:v>0.8846153846153846</x:v>
      </x:c>
      <x:c r="R58" s="24" t="str">
        <x:v>Caso práctico</x:v>
      </x:c>
      <x:c r="S58" s="70" t="n">
        <x:v>4.5</x:v>
      </x:c>
      <x:c r="T58" s="24" t="str">
        <x:f>IF(XOR(X58="Reprogramada",X58="Cancelada"),"",IF(AND(Q58&gt;=0.8,S58&gt;=4),"Sí",IF(AND(Q58&gt;=0.65,S58&gt;=3.5),"Parcial","No")))</x:f>
        <x:v>Sí</x:v>
      </x:c>
      <x:c r="U58" s="24" t="str">
        <x:v>Carlos Felipe Parada Ramón</x:v>
      </x:c>
      <x:c r="V58" s="11" t="str">
        <x:v>Humano (facilitador interno) / Logístico / Material de apoyo</x:v>
      </x:c>
      <x:c r="W58" s="11" t="str">
        <x:v>Jesús Guerrero</x:v>
      </x:c>
      <x:c r="X58" s="11" t="str">
        <x:v>Ejecutada</x:v>
      </x:c>
      <x:c r="Y58" s="52" t="str">
        <x:v>Actividad ejecutada satisfactoriamente; mantener evidencia y seguimiento.</x:v>
      </x:c>
    </x:row>
    <x:row r="59">
      <x:c r="A59" s="23" t="n">
        <x:v>58</x:v>
      </x:c>
      <x:c r="B59" s="24" t="n">
        <x:v>2023</x:v>
      </x:c>
      <x:c r="C59" s="24" t="str">
        <x:v>Junio</x:v>
      </x:c>
      <x:c r="D59" s="24" t="n">
        <x:v>6</x:v>
      </x:c>
      <x:c r="E59" s="24" t="str">
        <x:v>General</x:v>
      </x:c>
      <x:c r="F59" s="24" t="str">
        <x:v>Capacitación</x:v>
      </x:c>
      <x:c r="G59" s="24" t="str">
        <x:v>Interno</x:v>
      </x:c>
      <x:c r="H59" s="24" t="str">
        <x:v>Líderes</x:v>
      </x:c>
      <x:c r="I59" s="24" t="str">
        <x:v>Ocaña</x:v>
      </x:c>
      <x:c r="J59" s="11" t="str">
        <x:v>Investigación de incidentes y accidentes</x:v>
      </x:c>
      <x:c r="K59" s="11" t="str">
        <x:v>Fortalecer la identificación de causas básicas e inmediatas y el diseño de acciones preventivas y correctivas.</x:v>
      </x:c>
      <x:c r="L59" s="24" t="n">
        <x:v>2</x:v>
      </x:c>
      <x:c r="M59" s="58" t="n">
        <x:v>45098</x:v>
      </x:c>
      <x:c r="N59" s="24" t="n">
        <x:v>2.5</x:v>
      </x:c>
      <x:c r="O59" s="24" t="n">
        <x:v>36</x:v>
      </x:c>
      <x:c r="P59" s="24" t="n">
        <x:v>31</x:v>
      </x:c>
      <x:c r="Q59" s="64" t="n">
        <x:f>IFERROR(P59/O59,0)</x:f>
        <x:v>0.8611111111111112</x:v>
      </x:c>
      <x:c r="R59" s="24" t="str">
        <x:v>Caso práctico</x:v>
      </x:c>
      <x:c r="S59" s="70" t="n">
        <x:v>4.2</x:v>
      </x:c>
      <x:c r="T59" s="24" t="str">
        <x:f>IF(XOR(X59="Reprogramada",X59="Cancelada"),"",IF(AND(Q59&gt;=0.8,S59&gt;=4),"Sí",IF(AND(Q59&gt;=0.65,S59&gt;=3.5),"Parcial","No")))</x:f>
        <x:v>Sí</x:v>
      </x:c>
      <x:c r="U59" s="24" t="str">
        <x:v>Carlos Felipe Parada Ramón</x:v>
      </x:c>
      <x:c r="V59" s="11" t="str">
        <x:v>Humano (facilitador interno) / Logístico / Material de apoyo</x:v>
      </x:c>
      <x:c r="W59" s="11" t="str">
        <x:v>Carlos Felipe Parada Ramón</x:v>
      </x:c>
      <x:c r="X59" s="11" t="str">
        <x:v>Ejecutada</x:v>
      </x:c>
      <x:c r="Y59" s="52" t="str">
        <x:v>Actividad ejecutada satisfactoriamente; mantener evidencia y seguimiento.</x:v>
      </x:c>
    </x:row>
    <x:row r="60">
      <x:c r="A60" s="23" t="n">
        <x:v>59</x:v>
      </x:c>
      <x:c r="B60" s="24" t="n">
        <x:v>2023</x:v>
      </x:c>
      <x:c r="C60" s="24" t="str">
        <x:v>Junio</x:v>
      </x:c>
      <x:c r="D60" s="24" t="n">
        <x:v>6</x:v>
      </x:c>
      <x:c r="E60" s="24" t="str">
        <x:v>General</x:v>
      </x:c>
      <x:c r="F60" s="24" t="str">
        <x:v>Capacitación</x:v>
      </x:c>
      <x:c r="G60" s="24" t="str">
        <x:v>Interno</x:v>
      </x:c>
      <x:c r="H60" s="24" t="str">
        <x:v>Líderes</x:v>
      </x:c>
      <x:c r="I60" s="24" t="str">
        <x:v>Girón</x:v>
      </x:c>
      <x:c r="J60" s="11" t="str">
        <x:v>Investigación de incidentes y accidentes</x:v>
      </x:c>
      <x:c r="K60" s="11" t="str">
        <x:v>Fortalecer la identificación de causas básicas e inmediatas y el diseño de acciones preventivas y correctivas.</x:v>
      </x:c>
      <x:c r="L60" s="24" t="n">
        <x:v>2</x:v>
      </x:c>
      <x:c r="M60" s="58" t="n">
        <x:v>45090</x:v>
      </x:c>
      <x:c r="N60" s="24" t="n">
        <x:v>2</x:v>
      </x:c>
      <x:c r="O60" s="24" t="n">
        <x:v>41</x:v>
      </x:c>
      <x:c r="P60" s="24" t="n">
        <x:v>33</x:v>
      </x:c>
      <x:c r="Q60" s="64" t="n">
        <x:f>IFERROR(P60/O60,0)</x:f>
        <x:v>0.8048780487804879</x:v>
      </x:c>
      <x:c r="R60" s="24" t="str">
        <x:v>Caso práctico</x:v>
      </x:c>
      <x:c r="S60" s="70" t="n">
        <x:v>4.6</x:v>
      </x:c>
      <x:c r="T60" s="24" t="str">
        <x:f>IF(XOR(X60="Reprogramada",X60="Cancelada"),"",IF(AND(Q60&gt;=0.8,S60&gt;=4),"Sí",IF(AND(Q60&gt;=0.65,S60&gt;=3.5),"Parcial","No")))</x:f>
        <x:v>Sí</x:v>
      </x:c>
      <x:c r="U60" s="24" t="str">
        <x:v>Carlos Felipe Parada Ramón</x:v>
      </x:c>
      <x:c r="V60" s="11" t="str">
        <x:v>Humano (facilitador interno) / Logístico / Material de apoyo</x:v>
      </x:c>
      <x:c r="W60" s="11" t="str">
        <x:v>Camila Andrea Galván</x:v>
      </x:c>
      <x:c r="X60" s="11" t="str">
        <x:v>Ejecutada</x:v>
      </x:c>
      <x:c r="Y60" s="52" t="str">
        <x:v>Actividad ejecutada satisfactoriamente; mantener evidencia y seguimiento.</x:v>
      </x:c>
    </x:row>
    <x:row r="61">
      <x:c r="A61" s="23" t="n">
        <x:v>60</x:v>
      </x:c>
      <x:c r="B61" s="24" t="n">
        <x:v>2023</x:v>
      </x:c>
      <x:c r="C61" s="24" t="str">
        <x:v>Junio</x:v>
      </x:c>
      <x:c r="D61" s="24" t="n">
        <x:v>6</x:v>
      </x:c>
      <x:c r="E61" s="24" t="str">
        <x:v>General</x:v>
      </x:c>
      <x:c r="F61" s="24" t="str">
        <x:v>Capacitación</x:v>
      </x:c>
      <x:c r="G61" s="24" t="str">
        <x:v>Interno</x:v>
      </x:c>
      <x:c r="H61" s="24" t="str">
        <x:v>Líderes</x:v>
      </x:c>
      <x:c r="I61" s="24" t="str">
        <x:v>Valledupar</x:v>
      </x:c>
      <x:c r="J61" s="11" t="str">
        <x:v>Investigación de incidentes y accidentes</x:v>
      </x:c>
      <x:c r="K61" s="11" t="str">
        <x:v>Fortalecer la identificación de causas básicas e inmediatas y el diseño de acciones preventivas y correctivas.</x:v>
      </x:c>
      <x:c r="L61" s="24" t="n">
        <x:v>2</x:v>
      </x:c>
      <x:c r="M61" s="58" t="n">
        <x:v>45087</x:v>
      </x:c>
      <x:c r="N61" s="24" t="n">
        <x:v>2</x:v>
      </x:c>
      <x:c r="O61" s="24" t="n">
        <x:v>47</x:v>
      </x:c>
      <x:c r="P61" s="24" t="n">
        <x:v>43</x:v>
      </x:c>
      <x:c r="Q61" s="64" t="n">
        <x:f>IFERROR(P61/O61,0)</x:f>
        <x:v>0.9148936170212766</x:v>
      </x:c>
      <x:c r="R61" s="24" t="str">
        <x:v>Caso práctico</x:v>
      </x:c>
      <x:c r="S61" s="70" t="n">
        <x:v>4.4</x:v>
      </x:c>
      <x:c r="T61" s="24" t="str">
        <x:f>IF(XOR(X61="Reprogramada",X61="Cancelada"),"",IF(AND(Q61&gt;=0.8,S61&gt;=4),"Sí",IF(AND(Q61&gt;=0.65,S61&gt;=3.5),"Parcial","No")))</x:f>
        <x:v>Sí</x:v>
      </x:c>
      <x:c r="U61" s="24" t="str">
        <x:v>Carlos Felipe Parada Ramón</x:v>
      </x:c>
      <x:c r="V61" s="11" t="str">
        <x:v>Humano (facilitador interno) / Logístico / Material de apoyo</x:v>
      </x:c>
      <x:c r="W61" s="11" t="str">
        <x:v>Jesús Guerrero</x:v>
      </x:c>
      <x:c r="X61" s="11" t="str">
        <x:v>Ejecutada</x:v>
      </x:c>
      <x:c r="Y61" s="52" t="str">
        <x:v>Actividad ejecutada satisfactoriamente; mantener evidencia y seguimiento.</x:v>
      </x:c>
    </x:row>
    <x:row r="62">
      <x:c r="A62" s="23" t="n">
        <x:v>61</x:v>
      </x:c>
      <x:c r="B62" s="24" t="n">
        <x:v>2023</x:v>
      </x:c>
      <x:c r="C62" s="24" t="str">
        <x:v>Junio</x:v>
      </x:c>
      <x:c r="D62" s="24" t="n">
        <x:v>6</x:v>
      </x:c>
      <x:c r="E62" s="24" t="str">
        <x:v>General</x:v>
      </x:c>
      <x:c r="F62" s="24" t="str">
        <x:v>Capacitación</x:v>
      </x:c>
      <x:c r="G62" s="24" t="str">
        <x:v>Interno</x:v>
      </x:c>
      <x:c r="H62" s="24" t="str">
        <x:v>Líderes</x:v>
      </x:c>
      <x:c r="I62" s="24" t="str">
        <x:v>Arauca</x:v>
      </x:c>
      <x:c r="J62" s="11" t="str">
        <x:v>Investigación de incidentes y accidentes</x:v>
      </x:c>
      <x:c r="K62" s="11" t="str">
        <x:v>Fortalecer la identificación de causas básicas e inmediatas y el diseño de acciones preventivas y correctivas.</x:v>
      </x:c>
      <x:c r="L62" s="24" t="n">
        <x:v>2</x:v>
      </x:c>
      <x:c r="M62" s="58" t="n">
        <x:v>45090</x:v>
      </x:c>
      <x:c r="N62" s="24" t="n">
        <x:v>1.5</x:v>
      </x:c>
      <x:c r="O62" s="24" t="n">
        <x:v>29</x:v>
      </x:c>
      <x:c r="P62" s="24" t="n">
        <x:v>26</x:v>
      </x:c>
      <x:c r="Q62" s="64" t="n">
        <x:f>IFERROR(P62/O62,0)</x:f>
        <x:v>0.896551724137931</x:v>
      </x:c>
      <x:c r="R62" s="24" t="str">
        <x:v>Caso práctico</x:v>
      </x:c>
      <x:c r="S62" s="70" t="n">
        <x:v>4.7</x:v>
      </x:c>
      <x:c r="T62" s="24" t="str">
        <x:f>IF(XOR(X62="Reprogramada",X62="Cancelada"),"",IF(AND(Q62&gt;=0.8,S62&gt;=4),"Sí",IF(AND(Q62&gt;=0.65,S62&gt;=3.5),"Parcial","No")))</x:f>
        <x:v>Sí</x:v>
      </x:c>
      <x:c r="U62" s="24" t="str">
        <x:v>Carlos Felipe Parada Ramón</x:v>
      </x:c>
      <x:c r="V62" s="11" t="str">
        <x:v>Humano (facilitador interno) / Logístico / Material de apoyo</x:v>
      </x:c>
      <x:c r="W62" s="11" t="str">
        <x:v>Carlos Felipe Parada Ramón</x:v>
      </x:c>
      <x:c r="X62" s="11" t="str">
        <x:v>Ejecutada</x:v>
      </x:c>
      <x:c r="Y62" s="52" t="str">
        <x:v>Actividad ejecutada satisfactoriamente; mantener evidencia y seguimiento.</x:v>
      </x:c>
    </x:row>
    <x:row r="63">
      <x:c r="A63" s="23" t="n">
        <x:v>62</x:v>
      </x:c>
      <x:c r="B63" s="24" t="n">
        <x:v>2023</x:v>
      </x:c>
      <x:c r="C63" s="24" t="str">
        <x:v>Junio</x:v>
      </x:c>
      <x:c r="D63" s="24" t="n">
        <x:v>6</x:v>
      </x:c>
      <x:c r="E63" s="24" t="str">
        <x:v>General</x:v>
      </x:c>
      <x:c r="F63" s="24" t="str">
        <x:v>Capacitación</x:v>
      </x:c>
      <x:c r="G63" s="24" t="str">
        <x:v>Interno</x:v>
      </x:c>
      <x:c r="H63" s="24" t="str">
        <x:v>Líderes</x:v>
      </x:c>
      <x:c r="I63" s="24" t="str">
        <x:v>Bogotá</x:v>
      </x:c>
      <x:c r="J63" s="11" t="str">
        <x:v>Investigación de incidentes y accidentes</x:v>
      </x:c>
      <x:c r="K63" s="11" t="str">
        <x:v>Fortalecer la identificación de causas básicas e inmediatas y el diseño de acciones preventivas y correctivas.</x:v>
      </x:c>
      <x:c r="L63" s="24" t="n">
        <x:v>2</x:v>
      </x:c>
      <x:c r="M63" s="58" t="n">
        <x:v>45098</x:v>
      </x:c>
      <x:c r="N63" s="24" t="n">
        <x:v>2</x:v>
      </x:c>
      <x:c r="O63" s="24" t="n">
        <x:v>63</x:v>
      </x:c>
      <x:c r="P63" s="24" t="n">
        <x:v>51</x:v>
      </x:c>
      <x:c r="Q63" s="64" t="n">
        <x:f>IFERROR(P63/O63,0)</x:f>
        <x:v>0.8095238095238095</x:v>
      </x:c>
      <x:c r="R63" s="24" t="str">
        <x:v>Caso práctico</x:v>
      </x:c>
      <x:c r="S63" s="70" t="n">
        <x:v>4.6</x:v>
      </x:c>
      <x:c r="T63" s="24" t="str">
        <x:f>IF(XOR(X63="Reprogramada",X63="Cancelada"),"",IF(AND(Q63&gt;=0.8,S63&gt;=4),"Sí",IF(AND(Q63&gt;=0.65,S63&gt;=3.5),"Parcial","No")))</x:f>
        <x:v>Sí</x:v>
      </x:c>
      <x:c r="U63" s="24" t="str">
        <x:v>Carlos Felipe Parada Ramón</x:v>
      </x:c>
      <x:c r="V63" s="11" t="str">
        <x:v>Humano (facilitador interno) / Logístico / Material de apoyo</x:v>
      </x:c>
      <x:c r="W63" s="11" t="str">
        <x:v>Camila Andrea Galván</x:v>
      </x:c>
      <x:c r="X63" s="11" t="str">
        <x:v>Ejecutada</x:v>
      </x:c>
      <x:c r="Y63" s="52" t="str">
        <x:v>Actividad ejecutada satisfactoriamente; mantener evidencia y seguimiento.</x:v>
      </x:c>
    </x:row>
    <x:row r="64">
      <x:c r="A64" s="23" t="n">
        <x:v>63</x:v>
      </x:c>
      <x:c r="B64" s="24" t="n">
        <x:v>2023</x:v>
      </x:c>
      <x:c r="C64" s="24" t="str">
        <x:v>Junio</x:v>
      </x:c>
      <x:c r="D64" s="24" t="n">
        <x:v>6</x:v>
      </x:c>
      <x:c r="E64" s="24" t="str">
        <x:v>General</x:v>
      </x:c>
      <x:c r="F64" s="24" t="str">
        <x:v>Capacitación</x:v>
      </x:c>
      <x:c r="G64" s="24" t="str">
        <x:v>Interno</x:v>
      </x:c>
      <x:c r="H64" s="24" t="str">
        <x:v>Líderes</x:v>
      </x:c>
      <x:c r="I64" s="24" t="str">
        <x:v>Tibú</x:v>
      </x:c>
      <x:c r="J64" s="11" t="str">
        <x:v>Investigación de incidentes y accidentes</x:v>
      </x:c>
      <x:c r="K64" s="11" t="str">
        <x:v>Fortalecer la identificación de causas básicas e inmediatas y el diseño de acciones preventivas y correctivas.</x:v>
      </x:c>
      <x:c r="L64" s="24" t="n">
        <x:v>2</x:v>
      </x:c>
      <x:c r="M64" s="58" t="n">
        <x:v>45091</x:v>
      </x:c>
      <x:c r="N64" s="24" t="n">
        <x:v>2</x:v>
      </x:c>
      <x:c r="O64" s="24" t="n">
        <x:v>31</x:v>
      </x:c>
      <x:c r="P64" s="24" t="n">
        <x:v>28</x:v>
      </x:c>
      <x:c r="Q64" s="64" t="n">
        <x:f>IFERROR(P64/O64,0)</x:f>
        <x:v>0.9032258064516129</x:v>
      </x:c>
      <x:c r="R64" s="24" t="str">
        <x:v>Caso práctico</x:v>
      </x:c>
      <x:c r="S64" s="70" t="n">
        <x:v>4.7</x:v>
      </x:c>
      <x:c r="T64" s="24" t="str">
        <x:f>IF(XOR(X64="Reprogramada",X64="Cancelada"),"",IF(AND(Q64&gt;=0.8,S64&gt;=4),"Sí",IF(AND(Q64&gt;=0.65,S64&gt;=3.5),"Parcial","No")))</x:f>
        <x:v>Sí</x:v>
      </x:c>
      <x:c r="U64" s="24" t="str">
        <x:v>Carlos Felipe Parada Ramón</x:v>
      </x:c>
      <x:c r="V64" s="11" t="str">
        <x:v>Humano (facilitador interno) / Logístico / Material de apoyo</x:v>
      </x:c>
      <x:c r="W64" s="11" t="str">
        <x:v>Jesús Guerrero</x:v>
      </x:c>
      <x:c r="X64" s="11" t="str">
        <x:v>Ejecutada</x:v>
      </x:c>
      <x:c r="Y64" s="52" t="str">
        <x:v>Actividad ejecutada satisfactoriamente; mantener evidencia y seguimiento.</x:v>
      </x:c>
    </x:row>
    <x:row r="65">
      <x:c r="A65" s="23" t="n">
        <x:v>64</x:v>
      </x:c>
      <x:c r="B65" s="24" t="n">
        <x:v>2023</x:v>
      </x:c>
      <x:c r="C65" s="24" t="str">
        <x:v>Junio</x:v>
      </x:c>
      <x:c r="D65" s="24" t="n">
        <x:v>6</x:v>
      </x:c>
      <x:c r="E65" s="24" t="str">
        <x:v>General</x:v>
      </x:c>
      <x:c r="F65" s="24" t="str">
        <x:v>Capacitación</x:v>
      </x:c>
      <x:c r="G65" s="24" t="str">
        <x:v>Interno</x:v>
      </x:c>
      <x:c r="H65" s="24" t="str">
        <x:v>Líderes</x:v>
      </x:c>
      <x:c r="I65" s="24" t="str">
        <x:v>Medellín</x:v>
      </x:c>
      <x:c r="J65" s="11" t="str">
        <x:v>Investigación de incidentes y accidentes</x:v>
      </x:c>
      <x:c r="K65" s="11" t="str">
        <x:v>Fortalecer la identificación de causas básicas e inmediatas y el diseño de acciones preventivas y correctivas.</x:v>
      </x:c>
      <x:c r="L65" s="24" t="n">
        <x:v>2</x:v>
      </x:c>
      <x:c r="M65" s="58" t="n">
        <x:v>45096</x:v>
      </x:c>
      <x:c r="N65" s="24" t="n">
        <x:v>2.5</x:v>
      </x:c>
      <x:c r="O65" s="24" t="n">
        <x:v>58</x:v>
      </x:c>
      <x:c r="P65" s="24" t="n">
        <x:v>42</x:v>
      </x:c>
      <x:c r="Q65" s="64" t="n">
        <x:f>IFERROR(P65/O65,0)</x:f>
        <x:v>0.7241379310344828</x:v>
      </x:c>
      <x:c r="R65" s="24" t="str">
        <x:v>Caso práctico</x:v>
      </x:c>
      <x:c r="S65" s="70" t="n">
        <x:v>4</x:v>
      </x:c>
      <x:c r="T65" s="24" t="str">
        <x:f>IF(XOR(X65="Reprogramada",X65="Cancelada"),"",IF(AND(Q65&gt;=0.8,S65&gt;=4),"Sí",IF(AND(Q65&gt;=0.65,S65&gt;=3.5),"Parcial","No")))</x:f>
        <x:v>Parcial</x:v>
      </x:c>
      <x:c r="U65" s="24" t="str">
        <x:v>Carlos Felipe Parada Ramón</x:v>
      </x:c>
      <x:c r="V65" s="11" t="str">
        <x:v>Humano (facilitador interno) / Logístico / Material de apoyo</x:v>
      </x:c>
      <x:c r="W65" s="11" t="str">
        <x:v>Carlos Felipe Parada Ramón</x:v>
      </x:c>
      <x:c r="X65" s="11" t="str">
        <x:v>Ejecutada</x:v>
      </x:c>
      <x:c r="Y65" s="52" t="str">
        <x:v>Reforzar convocatoria y seguimiento a ausentismo.</x:v>
      </x:c>
    </x:row>
    <x:row r="66">
      <x:c r="A66" s="23" t="n">
        <x:v>65</x:v>
      </x:c>
      <x:c r="B66" s="24" t="n">
        <x:v>2023</x:v>
      </x:c>
      <x:c r="C66" s="24" t="str">
        <x:v>Junio</x:v>
      </x:c>
      <x:c r="D66" s="24" t="n">
        <x:v>6</x:v>
      </x:c>
      <x:c r="E66" s="24" t="str">
        <x:v>General</x:v>
      </x:c>
      <x:c r="F66" s="24" t="str">
        <x:v>Capacitación</x:v>
      </x:c>
      <x:c r="G66" s="24" t="str">
        <x:v>Interno</x:v>
      </x:c>
      <x:c r="H66" s="24" t="str">
        <x:v>Líderes</x:v>
      </x:c>
      <x:c r="I66" s="24" t="str">
        <x:v>Ábrego</x:v>
      </x:c>
      <x:c r="J66" s="11" t="str">
        <x:v>Investigación de incidentes y accidentes</x:v>
      </x:c>
      <x:c r="K66" s="11" t="str">
        <x:v>Fortalecer la identificación de causas básicas e inmediatas y el diseño de acciones preventivas y correctivas.</x:v>
      </x:c>
      <x:c r="L66" s="24" t="n">
        <x:v>2</x:v>
      </x:c>
      <x:c r="M66" s="58"/>
      <x:c r="N66" s="24" t="n">
        <x:v>0</x:v>
      </x:c>
      <x:c r="O66" s="24" t="n">
        <x:v>24</x:v>
      </x:c>
      <x:c r="P66" s="24"/>
      <x:c r="Q66" s="64" t="n">
        <x:f>IFERROR(P66/O66,0)</x:f>
        <x:v>0</x:v>
      </x:c>
      <x:c r="R66" s="24" t="str">
        <x:v>Caso práctico</x:v>
      </x:c>
      <x:c r="S66" s="70"/>
      <x:c r="T66" s="24" t="str">
        <x:f>IF(XOR(X66="Reprogramada",X66="Cancelada"),"",IF(AND(Q66&gt;=0.8,S66&gt;=4),"Sí",IF(AND(Q66&gt;=0.65,S66&gt;=3.5),"Parcial","No")))</x:f>
      </x:c>
      <x:c r="U66" s="24" t="str">
        <x:v>Carlos Felipe Parada Ramón</x:v>
      </x:c>
      <x:c r="V66" s="11" t="str">
        <x:v>Humano (facilitador interno) / Logístico / Material de apoyo</x:v>
      </x:c>
      <x:c r="W66" s="11" t="str">
        <x:v>Camila Andrea Galván</x:v>
      </x:c>
      <x:c r="X66" s="11" t="str">
        <x:v>Cancelada</x:v>
      </x:c>
      <x:c r="Y66" s="52" t="str">
        <x:v>Actividad cancelada por reorganización operativa o priorización de otras necesidades.</x:v>
      </x:c>
    </x:row>
    <x:row r="67">
      <x:c r="A67" s="23" t="n">
        <x:v>66</x:v>
      </x:c>
      <x:c r="B67" s="24" t="n">
        <x:v>2023</x:v>
      </x:c>
      <x:c r="C67" s="24" t="str">
        <x:v>Junio</x:v>
      </x:c>
      <x:c r="D67" s="24" t="n">
        <x:v>6</x:v>
      </x:c>
      <x:c r="E67" s="24" t="str">
        <x:v>General</x:v>
      </x:c>
      <x:c r="F67" s="24" t="str">
        <x:v>Capacitación</x:v>
      </x:c>
      <x:c r="G67" s="24" t="str">
        <x:v>Interno</x:v>
      </x:c>
      <x:c r="H67" s="24" t="str">
        <x:v>Líderes</x:v>
      </x:c>
      <x:c r="I67" s="24" t="str">
        <x:v>Pamplona</x:v>
      </x:c>
      <x:c r="J67" s="11" t="str">
        <x:v>Investigación de incidentes y accidentes</x:v>
      </x:c>
      <x:c r="K67" s="11" t="str">
        <x:v>Fortalecer la identificación de causas básicas e inmediatas y el diseño de acciones preventivas y correctivas.</x:v>
      </x:c>
      <x:c r="L67" s="24" t="n">
        <x:v>2</x:v>
      </x:c>
      <x:c r="M67" s="58" t="n">
        <x:v>45089</x:v>
      </x:c>
      <x:c r="N67" s="24" t="n">
        <x:v>2</x:v>
      </x:c>
      <x:c r="O67" s="24" t="n">
        <x:v>27</x:v>
      </x:c>
      <x:c r="P67" s="24" t="n">
        <x:v>21</x:v>
      </x:c>
      <x:c r="Q67" s="64" t="n">
        <x:f>IFERROR(P67/O67,0)</x:f>
        <x:v>0.7777777777777778</x:v>
      </x:c>
      <x:c r="R67" s="24" t="str">
        <x:v>Caso práctico</x:v>
      </x:c>
      <x:c r="S67" s="70" t="n">
        <x:v>4.6</x:v>
      </x:c>
      <x:c r="T67" s="24" t="str">
        <x:f>IF(XOR(X67="Reprogramada",X67="Cancelada"),"",IF(AND(Q67&gt;=0.8,S67&gt;=4),"Sí",IF(AND(Q67&gt;=0.65,S67&gt;=3.5),"Parcial","No")))</x:f>
        <x:v>Parcial</x:v>
      </x:c>
      <x:c r="U67" s="24" t="str">
        <x:v>Carlos Felipe Parada Ramón</x:v>
      </x:c>
      <x:c r="V67" s="11" t="str">
        <x:v>Humano (facilitador interno) / Logístico / Material de apoyo</x:v>
      </x:c>
      <x:c r="W67" s="11" t="str">
        <x:v>Jesús Guerrero</x:v>
      </x:c>
      <x:c r="X67" s="11" t="str">
        <x:v>Ejecutada</x:v>
      </x:c>
      <x:c r="Y67" s="52" t="str">
        <x:v>Actividad ejecutada satisfactoriamente; mantener evidencia y seguimiento.</x:v>
      </x:c>
    </x:row>
    <x:row r="68">
      <x:c r="A68" s="23" t="n">
        <x:v>67</x:v>
      </x:c>
      <x:c r="B68" s="24" t="n">
        <x:v>2023</x:v>
      </x:c>
      <x:c r="C68" s="24" t="str">
        <x:v>Julio</x:v>
      </x:c>
      <x:c r="D68" s="24" t="n">
        <x:v>7</x:v>
      </x:c>
      <x:c r="E68" s="24" t="str">
        <x:v>PESV</x:v>
      </x:c>
      <x:c r="F68" s="24" t="str">
        <x:v>Capacitación</x:v>
      </x:c>
      <x:c r="G68" s="24" t="str">
        <x:v>Interno</x:v>
      </x:c>
      <x:c r="H68" s="24" t="str">
        <x:v>Todos</x:v>
      </x:c>
      <x:c r="I68" s="24" t="str">
        <x:v>Cúcuta</x:v>
      </x:c>
      <x:c r="J68" s="11" t="str">
        <x:v>Seguridad vial y desplazamientos seguros</x:v>
      </x:c>
      <x:c r="K68" s="11" t="str">
        <x:v>Sensibilizar sobre desplazamientos seguros, conductas de autocuidado y prevención de siniestros viales.</x:v>
      </x:c>
      <x:c r="L68" s="24" t="n">
        <x:v>2</x:v>
      </x:c>
      <x:c r="M68" s="58" t="n">
        <x:v>45125</x:v>
      </x:c>
      <x:c r="N68" s="24" t="n">
        <x:v>2</x:v>
      </x:c>
      <x:c r="O68" s="24" t="n">
        <x:v>78</x:v>
      </x:c>
      <x:c r="P68" s="24" t="n">
        <x:v>67</x:v>
      </x:c>
      <x:c r="Q68" s="64" t="n">
        <x:f>IFERROR(P68/O68,0)</x:f>
        <x:v>0.8589743589743589</x:v>
      </x:c>
      <x:c r="R68" s="24" t="str">
        <x:v>Evaluación escrita</x:v>
      </x:c>
      <x:c r="S68" s="70" t="n">
        <x:v>4.9</x:v>
      </x:c>
      <x:c r="T68" s="24" t="str">
        <x:f>IF(XOR(X68="Reprogramada",X68="Cancelada"),"",IF(AND(Q68&gt;=0.8,S68&gt;=4),"Sí",IF(AND(Q68&gt;=0.65,S68&gt;=3.5),"Parcial","No")))</x:f>
        <x:v>Sí</x:v>
      </x:c>
      <x:c r="U68" s="24" t="str">
        <x:v>Jesús Guerrero</x:v>
      </x:c>
      <x:c r="V68" s="11" t="str">
        <x:v>Humano (facilitador interno) / Logístico / Material de apoyo</x:v>
      </x:c>
      <x:c r="W68" s="11" t="str">
        <x:v>Carlos Felipe Parada Ramón</x:v>
      </x:c>
      <x:c r="X68" s="11" t="str">
        <x:v>Ejecutada</x:v>
      </x:c>
      <x:c r="Y68" s="52" t="str">
        <x:v>Actividad ejecutada satisfactoriamente; mantener evidencia y seguimiento.</x:v>
      </x:c>
    </x:row>
    <x:row r="69">
      <x:c r="A69" s="23" t="n">
        <x:v>68</x:v>
      </x:c>
      <x:c r="B69" s="24" t="n">
        <x:v>2023</x:v>
      </x:c>
      <x:c r="C69" s="24" t="str">
        <x:v>Julio</x:v>
      </x:c>
      <x:c r="D69" s="24" t="n">
        <x:v>7</x:v>
      </x:c>
      <x:c r="E69" s="24" t="str">
        <x:v>PESV</x:v>
      </x:c>
      <x:c r="F69" s="24" t="str">
        <x:v>Capacitación</x:v>
      </x:c>
      <x:c r="G69" s="24" t="str">
        <x:v>Interno</x:v>
      </x:c>
      <x:c r="H69" s="24" t="str">
        <x:v>Todos</x:v>
      </x:c>
      <x:c r="I69" s="24" t="str">
        <x:v>Barrancabermeja</x:v>
      </x:c>
      <x:c r="J69" s="11" t="str">
        <x:v>Seguridad vial y desplazamientos seguros</x:v>
      </x:c>
      <x:c r="K69" s="11" t="str">
        <x:v>Sensibilizar sobre desplazamientos seguros, conductas de autocuidado y prevención de siniestros viales.</x:v>
      </x:c>
      <x:c r="L69" s="24" t="n">
        <x:v>2</x:v>
      </x:c>
      <x:c r="M69" s="58" t="n">
        <x:v>45125</x:v>
      </x:c>
      <x:c r="N69" s="24" t="n">
        <x:v>2</x:v>
      </x:c>
      <x:c r="O69" s="24" t="n">
        <x:v>52</x:v>
      </x:c>
      <x:c r="P69" s="24" t="n">
        <x:v>42</x:v>
      </x:c>
      <x:c r="Q69" s="64" t="n">
        <x:f>IFERROR(P69/O69,0)</x:f>
        <x:v>0.8076923076923077</x:v>
      </x:c>
      <x:c r="R69" s="24" t="str">
        <x:v>Evaluación escrita</x:v>
      </x:c>
      <x:c r="S69" s="70" t="n">
        <x:v>4.9</x:v>
      </x:c>
      <x:c r="T69" s="24" t="str">
        <x:f>IF(XOR(X69="Reprogramada",X69="Cancelada"),"",IF(AND(Q69&gt;=0.8,S69&gt;=4),"Sí",IF(AND(Q69&gt;=0.65,S69&gt;=3.5),"Parcial","No")))</x:f>
        <x:v>Sí</x:v>
      </x:c>
      <x:c r="U69" s="24" t="str">
        <x:v>Jesús Guerrero</x:v>
      </x:c>
      <x:c r="V69" s="11" t="str">
        <x:v>Humano (facilitador interno) / Logístico / Material de apoyo</x:v>
      </x:c>
      <x:c r="W69" s="11" t="str">
        <x:v>Camila Andrea Galván</x:v>
      </x:c>
      <x:c r="X69" s="11" t="str">
        <x:v>Ejecutada</x:v>
      </x:c>
      <x:c r="Y69" s="52" t="str">
        <x:v>Actividad ejecutada satisfactoriamente; mantener evidencia y seguimiento.</x:v>
      </x:c>
    </x:row>
    <x:row r="70">
      <x:c r="A70" s="23" t="n">
        <x:v>69</x:v>
      </x:c>
      <x:c r="B70" s="24" t="n">
        <x:v>2023</x:v>
      </x:c>
      <x:c r="C70" s="24" t="str">
        <x:v>Julio</x:v>
      </x:c>
      <x:c r="D70" s="24" t="n">
        <x:v>7</x:v>
      </x:c>
      <x:c r="E70" s="24" t="str">
        <x:v>PESV</x:v>
      </x:c>
      <x:c r="F70" s="24" t="str">
        <x:v>Capacitación</x:v>
      </x:c>
      <x:c r="G70" s="24" t="str">
        <x:v>Interno</x:v>
      </x:c>
      <x:c r="H70" s="24" t="str">
        <x:v>Todos</x:v>
      </x:c>
      <x:c r="I70" s="24" t="str">
        <x:v>Ocaña</x:v>
      </x:c>
      <x:c r="J70" s="11" t="str">
        <x:v>Seguridad vial y desplazamientos seguros</x:v>
      </x:c>
      <x:c r="K70" s="11" t="str">
        <x:v>Sensibilizar sobre desplazamientos seguros, conductas de autocuidado y prevención de siniestros viales.</x:v>
      </x:c>
      <x:c r="L70" s="24" t="n">
        <x:v>2</x:v>
      </x:c>
      <x:c r="M70" s="58"/>
      <x:c r="N70" s="24"/>
      <x:c r="O70" s="24" t="n">
        <x:v>36</x:v>
      </x:c>
      <x:c r="P70" s="24"/>
      <x:c r="Q70" s="64" t="n">
        <x:f>IFERROR(P70/O70,0)</x:f>
        <x:v>0</x:v>
      </x:c>
      <x:c r="R70" s="24" t="str">
        <x:v>Evaluación escrita</x:v>
      </x:c>
      <x:c r="S70" s="70"/>
      <x:c r="T70" s="24" t="str">
        <x:f>IF(XOR(X70="Reprogramada",X70="Cancelada"),"",IF(AND(Q70&gt;=0.8,S70&gt;=4),"Sí",IF(AND(Q70&gt;=0.65,S70&gt;=3.5),"Parcial","No")))</x:f>
      </x:c>
      <x:c r="U70" s="24" t="str">
        <x:v>Jesús Guerrero</x:v>
      </x:c>
      <x:c r="V70" s="11" t="str">
        <x:v>Humano (facilitador interno) / Logístico / Material de apoyo</x:v>
      </x:c>
      <x:c r="W70" s="11" t="str">
        <x:v>Jesús Guerrero</x:v>
      </x:c>
      <x:c r="X70" s="11" t="str">
        <x:v>Reprogramada</x:v>
      </x:c>
      <x:c r="Y70" s="52" t="str">
        <x:v>Actividad reprogramada por operación, disponibilidad del facilitador o ajustes logísticos.</x:v>
      </x:c>
    </x:row>
    <x:row r="71">
      <x:c r="A71" s="23" t="n">
        <x:v>70</x:v>
      </x:c>
      <x:c r="B71" s="24" t="n">
        <x:v>2023</x:v>
      </x:c>
      <x:c r="C71" s="24" t="str">
        <x:v>Julio</x:v>
      </x:c>
      <x:c r="D71" s="24" t="n">
        <x:v>7</x:v>
      </x:c>
      <x:c r="E71" s="24" t="str">
        <x:v>PESV</x:v>
      </x:c>
      <x:c r="F71" s="24" t="str">
        <x:v>Capacitación</x:v>
      </x:c>
      <x:c r="G71" s="24" t="str">
        <x:v>Interno</x:v>
      </x:c>
      <x:c r="H71" s="24" t="str">
        <x:v>Todos</x:v>
      </x:c>
      <x:c r="I71" s="24" t="str">
        <x:v>Girón</x:v>
      </x:c>
      <x:c r="J71" s="11" t="str">
        <x:v>Seguridad vial y desplazamientos seguros</x:v>
      </x:c>
      <x:c r="K71" s="11" t="str">
        <x:v>Sensibilizar sobre desplazamientos seguros, conductas de autocuidado y prevención de siniestros viales.</x:v>
      </x:c>
      <x:c r="L71" s="24" t="n">
        <x:v>2</x:v>
      </x:c>
      <x:c r="M71" s="58" t="n">
        <x:v>45130</x:v>
      </x:c>
      <x:c r="N71" s="24" t="n">
        <x:v>1.5</x:v>
      </x:c>
      <x:c r="O71" s="24" t="n">
        <x:v>41</x:v>
      </x:c>
      <x:c r="P71" s="24" t="n">
        <x:v>37</x:v>
      </x:c>
      <x:c r="Q71" s="64" t="n">
        <x:f>IFERROR(P71/O71,0)</x:f>
        <x:v>0.9024390243902439</x:v>
      </x:c>
      <x:c r="R71" s="24" t="str">
        <x:v>Evaluación escrita</x:v>
      </x:c>
      <x:c r="S71" s="70" t="n">
        <x:v>4.8</x:v>
      </x:c>
      <x:c r="T71" s="24" t="str">
        <x:f>IF(XOR(X71="Reprogramada",X71="Cancelada"),"",IF(AND(Q71&gt;=0.8,S71&gt;=4),"Sí",IF(AND(Q71&gt;=0.65,S71&gt;=3.5),"Parcial","No")))</x:f>
        <x:v>Sí</x:v>
      </x:c>
      <x:c r="U71" s="24" t="str">
        <x:v>Jesús Guerrero</x:v>
      </x:c>
      <x:c r="V71" s="11" t="str">
        <x:v>Humano (facilitador interno) / Logístico / Material de apoyo</x:v>
      </x:c>
      <x:c r="W71" s="11" t="str">
        <x:v>Carlos Felipe Parada Ramón</x:v>
      </x:c>
      <x:c r="X71" s="11" t="str">
        <x:v>Ejecutada</x:v>
      </x:c>
      <x:c r="Y71" s="52" t="str">
        <x:v>Actividad ejecutada satisfactoriamente; mantener evidencia y seguimiento.</x:v>
      </x:c>
    </x:row>
    <x:row r="72">
      <x:c r="A72" s="23" t="n">
        <x:v>71</x:v>
      </x:c>
      <x:c r="B72" s="24" t="n">
        <x:v>2023</x:v>
      </x:c>
      <x:c r="C72" s="24" t="str">
        <x:v>Julio</x:v>
      </x:c>
      <x:c r="D72" s="24" t="n">
        <x:v>7</x:v>
      </x:c>
      <x:c r="E72" s="24" t="str">
        <x:v>PESV</x:v>
      </x:c>
      <x:c r="F72" s="24" t="str">
        <x:v>Capacitación</x:v>
      </x:c>
      <x:c r="G72" s="24" t="str">
        <x:v>Interno</x:v>
      </x:c>
      <x:c r="H72" s="24" t="str">
        <x:v>Todos</x:v>
      </x:c>
      <x:c r="I72" s="24" t="str">
        <x:v>Valledupar</x:v>
      </x:c>
      <x:c r="J72" s="11" t="str">
        <x:v>Seguridad vial y desplazamientos seguros</x:v>
      </x:c>
      <x:c r="K72" s="11" t="str">
        <x:v>Sensibilizar sobre desplazamientos seguros, conductas de autocuidado y prevención de siniestros viales.</x:v>
      </x:c>
      <x:c r="L72" s="24" t="n">
        <x:v>2</x:v>
      </x:c>
      <x:c r="M72" s="58" t="n">
        <x:v>45132</x:v>
      </x:c>
      <x:c r="N72" s="24" t="n">
        <x:v>2</x:v>
      </x:c>
      <x:c r="O72" s="24" t="n">
        <x:v>47</x:v>
      </x:c>
      <x:c r="P72" s="24" t="n">
        <x:v>38</x:v>
      </x:c>
      <x:c r="Q72" s="64" t="n">
        <x:f>IFERROR(P72/O72,0)</x:f>
        <x:v>0.8085106382978723</x:v>
      </x:c>
      <x:c r="R72" s="24" t="str">
        <x:v>Evaluación escrita</x:v>
      </x:c>
      <x:c r="S72" s="70" t="n">
        <x:v>4.8</x:v>
      </x:c>
      <x:c r="T72" s="24" t="str">
        <x:f>IF(XOR(X72="Reprogramada",X72="Cancelada"),"",IF(AND(Q72&gt;=0.8,S72&gt;=4),"Sí",IF(AND(Q72&gt;=0.65,S72&gt;=3.5),"Parcial","No")))</x:f>
        <x:v>Sí</x:v>
      </x:c>
      <x:c r="U72" s="24" t="str">
        <x:v>Jesús Guerrero</x:v>
      </x:c>
      <x:c r="V72" s="11" t="str">
        <x:v>Humano (facilitador interno) / Logístico / Material de apoyo</x:v>
      </x:c>
      <x:c r="W72" s="11" t="str">
        <x:v>Camila Andrea Galván</x:v>
      </x:c>
      <x:c r="X72" s="11" t="str">
        <x:v>Ejecutada</x:v>
      </x:c>
      <x:c r="Y72" s="52" t="str">
        <x:v>Actividad ejecutada satisfactoriamente; mantener evidencia y seguimiento.</x:v>
      </x:c>
    </x:row>
    <x:row r="73">
      <x:c r="A73" s="23" t="n">
        <x:v>72</x:v>
      </x:c>
      <x:c r="B73" s="24" t="n">
        <x:v>2023</x:v>
      </x:c>
      <x:c r="C73" s="24" t="str">
        <x:v>Julio</x:v>
      </x:c>
      <x:c r="D73" s="24" t="n">
        <x:v>7</x:v>
      </x:c>
      <x:c r="E73" s="24" t="str">
        <x:v>PESV</x:v>
      </x:c>
      <x:c r="F73" s="24" t="str">
        <x:v>Capacitación</x:v>
      </x:c>
      <x:c r="G73" s="24" t="str">
        <x:v>Interno</x:v>
      </x:c>
      <x:c r="H73" s="24" t="str">
        <x:v>Todos</x:v>
      </x:c>
      <x:c r="I73" s="24" t="str">
        <x:v>Arauca</x:v>
      </x:c>
      <x:c r="J73" s="11" t="str">
        <x:v>Seguridad vial y desplazamientos seguros</x:v>
      </x:c>
      <x:c r="K73" s="11" t="str">
        <x:v>Sensibilizar sobre desplazamientos seguros, conductas de autocuidado y prevención de siniestros viales.</x:v>
      </x:c>
      <x:c r="L73" s="24" t="n">
        <x:v>2</x:v>
      </x:c>
      <x:c r="M73" s="58" t="n">
        <x:v>45118</x:v>
      </x:c>
      <x:c r="N73" s="24" t="n">
        <x:v>2</x:v>
      </x:c>
      <x:c r="O73" s="24" t="n">
        <x:v>29</x:v>
      </x:c>
      <x:c r="P73" s="24" t="n">
        <x:v>24</x:v>
      </x:c>
      <x:c r="Q73" s="64" t="n">
        <x:f>IFERROR(P73/O73,0)</x:f>
        <x:v>0.8275862068965517</x:v>
      </x:c>
      <x:c r="R73" s="24" t="str">
        <x:v>Evaluación escrita</x:v>
      </x:c>
      <x:c r="S73" s="70" t="n">
        <x:v>4.8</x:v>
      </x:c>
      <x:c r="T73" s="24" t="str">
        <x:f>IF(XOR(X73="Reprogramada",X73="Cancelada"),"",IF(AND(Q73&gt;=0.8,S73&gt;=4),"Sí",IF(AND(Q73&gt;=0.65,S73&gt;=3.5),"Parcial","No")))</x:f>
        <x:v>Sí</x:v>
      </x:c>
      <x:c r="U73" s="24" t="str">
        <x:v>Jesús Guerrero</x:v>
      </x:c>
      <x:c r="V73" s="11" t="str">
        <x:v>Humano (facilitador interno) / Logístico / Material de apoyo</x:v>
      </x:c>
      <x:c r="W73" s="11" t="str">
        <x:v>Jesús Guerrero</x:v>
      </x:c>
      <x:c r="X73" s="11" t="str">
        <x:v>Ejecutada</x:v>
      </x:c>
      <x:c r="Y73" s="52" t="str">
        <x:v>Actividad ejecutada satisfactoriamente; mantener evidencia y seguimiento.</x:v>
      </x:c>
    </x:row>
    <x:row r="74">
      <x:c r="A74" s="23" t="n">
        <x:v>73</x:v>
      </x:c>
      <x:c r="B74" s="24" t="n">
        <x:v>2023</x:v>
      </x:c>
      <x:c r="C74" s="24" t="str">
        <x:v>Julio</x:v>
      </x:c>
      <x:c r="D74" s="24" t="n">
        <x:v>7</x:v>
      </x:c>
      <x:c r="E74" s="24" t="str">
        <x:v>PESV</x:v>
      </x:c>
      <x:c r="F74" s="24" t="str">
        <x:v>Capacitación</x:v>
      </x:c>
      <x:c r="G74" s="24" t="str">
        <x:v>Interno</x:v>
      </x:c>
      <x:c r="H74" s="24" t="str">
        <x:v>Todos</x:v>
      </x:c>
      <x:c r="I74" s="24" t="str">
        <x:v>Bogotá</x:v>
      </x:c>
      <x:c r="J74" s="11" t="str">
        <x:v>Seguridad vial y desplazamientos seguros</x:v>
      </x:c>
      <x:c r="K74" s="11" t="str">
        <x:v>Sensibilizar sobre desplazamientos seguros, conductas de autocuidado y prevención de siniestros viales.</x:v>
      </x:c>
      <x:c r="L74" s="24" t="n">
        <x:v>2</x:v>
      </x:c>
      <x:c r="M74" s="58" t="n">
        <x:v>45132</x:v>
      </x:c>
      <x:c r="N74" s="24" t="n">
        <x:v>2</x:v>
      </x:c>
      <x:c r="O74" s="24" t="n">
        <x:v>63</x:v>
      </x:c>
      <x:c r="P74" s="24" t="n">
        <x:v>60</x:v>
      </x:c>
      <x:c r="Q74" s="64" t="n">
        <x:f>IFERROR(P74/O74,0)</x:f>
        <x:v>0.9523809523809523</x:v>
      </x:c>
      <x:c r="R74" s="24" t="str">
        <x:v>Evaluación escrita</x:v>
      </x:c>
      <x:c r="S74" s="70" t="n">
        <x:v>4.8</x:v>
      </x:c>
      <x:c r="T74" s="24" t="str">
        <x:f>IF(XOR(X74="Reprogramada",X74="Cancelada"),"",IF(AND(Q74&gt;=0.8,S74&gt;=4),"Sí",IF(AND(Q74&gt;=0.65,S74&gt;=3.5),"Parcial","No")))</x:f>
        <x:v>Sí</x:v>
      </x:c>
      <x:c r="U74" s="24" t="str">
        <x:v>Jesús Guerrero</x:v>
      </x:c>
      <x:c r="V74" s="11" t="str">
        <x:v>Humano (facilitador interno) / Logístico / Material de apoyo</x:v>
      </x:c>
      <x:c r="W74" s="11" t="str">
        <x:v>Carlos Felipe Parada Ramón</x:v>
      </x:c>
      <x:c r="X74" s="11" t="str">
        <x:v>Ejecutada</x:v>
      </x:c>
      <x:c r="Y74" s="52" t="str">
        <x:v>Actividad ejecutada satisfactoriamente; mantener evidencia y seguimiento.</x:v>
      </x:c>
    </x:row>
    <x:row r="75">
      <x:c r="A75" s="23" t="n">
        <x:v>74</x:v>
      </x:c>
      <x:c r="B75" s="24" t="n">
        <x:v>2023</x:v>
      </x:c>
      <x:c r="C75" s="24" t="str">
        <x:v>Julio</x:v>
      </x:c>
      <x:c r="D75" s="24" t="n">
        <x:v>7</x:v>
      </x:c>
      <x:c r="E75" s="24" t="str">
        <x:v>PESV</x:v>
      </x:c>
      <x:c r="F75" s="24" t="str">
        <x:v>Capacitación</x:v>
      </x:c>
      <x:c r="G75" s="24" t="str">
        <x:v>Interno</x:v>
      </x:c>
      <x:c r="H75" s="24" t="str">
        <x:v>Todos</x:v>
      </x:c>
      <x:c r="I75" s="24" t="str">
        <x:v>Tibú</x:v>
      </x:c>
      <x:c r="J75" s="11" t="str">
        <x:v>Seguridad vial y desplazamientos seguros</x:v>
      </x:c>
      <x:c r="K75" s="11" t="str">
        <x:v>Sensibilizar sobre desplazamientos seguros, conductas de autocuidado y prevención de siniestros viales.</x:v>
      </x:c>
      <x:c r="L75" s="24" t="n">
        <x:v>2</x:v>
      </x:c>
      <x:c r="M75" s="58" t="n">
        <x:v>45131</x:v>
      </x:c>
      <x:c r="N75" s="24" t="n">
        <x:v>2.5</x:v>
      </x:c>
      <x:c r="O75" s="24" t="n">
        <x:v>31</x:v>
      </x:c>
      <x:c r="P75" s="24" t="n">
        <x:v>29</x:v>
      </x:c>
      <x:c r="Q75" s="64" t="n">
        <x:f>IFERROR(P75/O75,0)</x:f>
        <x:v>0.9354838709677419</x:v>
      </x:c>
      <x:c r="R75" s="24" t="str">
        <x:v>Evaluación escrita</x:v>
      </x:c>
      <x:c r="S75" s="70" t="n">
        <x:v>4.8</x:v>
      </x:c>
      <x:c r="T75" s="24" t="str">
        <x:f>IF(XOR(X75="Reprogramada",X75="Cancelada"),"",IF(AND(Q75&gt;=0.8,S75&gt;=4),"Sí",IF(AND(Q75&gt;=0.65,S75&gt;=3.5),"Parcial","No")))</x:f>
        <x:v>Sí</x:v>
      </x:c>
      <x:c r="U75" s="24" t="str">
        <x:v>Jesús Guerrero</x:v>
      </x:c>
      <x:c r="V75" s="11" t="str">
        <x:v>Humano (facilitador interno) / Logístico / Material de apoyo</x:v>
      </x:c>
      <x:c r="W75" s="11" t="str">
        <x:v>Camila Andrea Galván</x:v>
      </x:c>
      <x:c r="X75" s="11" t="str">
        <x:v>Ejecutada</x:v>
      </x:c>
      <x:c r="Y75" s="52" t="str">
        <x:v>Actividad ejecutada satisfactoriamente; mantener evidencia y seguimiento.</x:v>
      </x:c>
    </x:row>
    <x:row r="76">
      <x:c r="A76" s="23" t="n">
        <x:v>75</x:v>
      </x:c>
      <x:c r="B76" s="24" t="n">
        <x:v>2023</x:v>
      </x:c>
      <x:c r="C76" s="24" t="str">
        <x:v>Julio</x:v>
      </x:c>
      <x:c r="D76" s="24" t="n">
        <x:v>7</x:v>
      </x:c>
      <x:c r="E76" s="24" t="str">
        <x:v>PESV</x:v>
      </x:c>
      <x:c r="F76" s="24" t="str">
        <x:v>Capacitación</x:v>
      </x:c>
      <x:c r="G76" s="24" t="str">
        <x:v>Interno</x:v>
      </x:c>
      <x:c r="H76" s="24" t="str">
        <x:v>Todos</x:v>
      </x:c>
      <x:c r="I76" s="24" t="str">
        <x:v>Medellín</x:v>
      </x:c>
      <x:c r="J76" s="11" t="str">
        <x:v>Seguridad vial y desplazamientos seguros</x:v>
      </x:c>
      <x:c r="K76" s="11" t="str">
        <x:v>Sensibilizar sobre desplazamientos seguros, conductas de autocuidado y prevención de siniestros viales.</x:v>
      </x:c>
      <x:c r="L76" s="24" t="n">
        <x:v>2</x:v>
      </x:c>
      <x:c r="M76" s="58" t="n">
        <x:v>45129</x:v>
      </x:c>
      <x:c r="N76" s="24" t="n">
        <x:v>2.5</x:v>
      </x:c>
      <x:c r="O76" s="24" t="n">
        <x:v>58</x:v>
      </x:c>
      <x:c r="P76" s="24" t="n">
        <x:v>47</x:v>
      </x:c>
      <x:c r="Q76" s="64" t="n">
        <x:f>IFERROR(P76/O76,0)</x:f>
        <x:v>0.8103448275862069</x:v>
      </x:c>
      <x:c r="R76" s="24" t="str">
        <x:v>Evaluación escrita</x:v>
      </x:c>
      <x:c r="S76" s="70" t="n">
        <x:v>4.3</x:v>
      </x:c>
      <x:c r="T76" s="24" t="str">
        <x:f>IF(XOR(X76="Reprogramada",X76="Cancelada"),"",IF(AND(Q76&gt;=0.8,S76&gt;=4),"Sí",IF(AND(Q76&gt;=0.65,S76&gt;=3.5),"Parcial","No")))</x:f>
        <x:v>Sí</x:v>
      </x:c>
      <x:c r="U76" s="24" t="str">
        <x:v>Jesús Guerrero</x:v>
      </x:c>
      <x:c r="V76" s="11" t="str">
        <x:v>Humano (facilitador interno) / Logístico / Material de apoyo</x:v>
      </x:c>
      <x:c r="W76" s="11" t="str">
        <x:v>Jesús Guerrero</x:v>
      </x:c>
      <x:c r="X76" s="11" t="str">
        <x:v>Ejecutada</x:v>
      </x:c>
      <x:c r="Y76" s="52" t="str">
        <x:v>Actividad ejecutada satisfactoriamente; mantener evidencia y seguimiento.</x:v>
      </x:c>
    </x:row>
    <x:row r="77">
      <x:c r="A77" s="23" t="n">
        <x:v>76</x:v>
      </x:c>
      <x:c r="B77" s="24" t="n">
        <x:v>2023</x:v>
      </x:c>
      <x:c r="C77" s="24" t="str">
        <x:v>Julio</x:v>
      </x:c>
      <x:c r="D77" s="24" t="n">
        <x:v>7</x:v>
      </x:c>
      <x:c r="E77" s="24" t="str">
        <x:v>PESV</x:v>
      </x:c>
      <x:c r="F77" s="24" t="str">
        <x:v>Capacitación</x:v>
      </x:c>
      <x:c r="G77" s="24" t="str">
        <x:v>Interno</x:v>
      </x:c>
      <x:c r="H77" s="24" t="str">
        <x:v>Todos</x:v>
      </x:c>
      <x:c r="I77" s="24" t="str">
        <x:v>Ábrego</x:v>
      </x:c>
      <x:c r="J77" s="11" t="str">
        <x:v>Seguridad vial y desplazamientos seguros</x:v>
      </x:c>
      <x:c r="K77" s="11" t="str">
        <x:v>Sensibilizar sobre desplazamientos seguros, conductas de autocuidado y prevención de siniestros viales.</x:v>
      </x:c>
      <x:c r="L77" s="24" t="n">
        <x:v>2</x:v>
      </x:c>
      <x:c r="M77" s="58" t="n">
        <x:v>45127</x:v>
      </x:c>
      <x:c r="N77" s="24" t="n">
        <x:v>1.5</x:v>
      </x:c>
      <x:c r="O77" s="24" t="n">
        <x:v>24</x:v>
      </x:c>
      <x:c r="P77" s="24" t="n">
        <x:v>20</x:v>
      </x:c>
      <x:c r="Q77" s="64" t="n">
        <x:f>IFERROR(P77/O77,0)</x:f>
        <x:v>0.8333333333333334</x:v>
      </x:c>
      <x:c r="R77" s="24" t="str">
        <x:v>Evaluación escrita</x:v>
      </x:c>
      <x:c r="S77" s="70" t="n">
        <x:v>4.5</x:v>
      </x:c>
      <x:c r="T77" s="24" t="str">
        <x:f>IF(XOR(X77="Reprogramada",X77="Cancelada"),"",IF(AND(Q77&gt;=0.8,S77&gt;=4),"Sí",IF(AND(Q77&gt;=0.65,S77&gt;=3.5),"Parcial","No")))</x:f>
        <x:v>Sí</x:v>
      </x:c>
      <x:c r="U77" s="24" t="str">
        <x:v>Jesús Guerrero</x:v>
      </x:c>
      <x:c r="V77" s="11" t="str">
        <x:v>Humano (facilitador interno) / Logístico / Material de apoyo</x:v>
      </x:c>
      <x:c r="W77" s="11" t="str">
        <x:v>Carlos Felipe Parada Ramón</x:v>
      </x:c>
      <x:c r="X77" s="11" t="str">
        <x:v>Ejecutada</x:v>
      </x:c>
      <x:c r="Y77" s="52" t="str">
        <x:v>Actividad ejecutada satisfactoriamente; mantener evidencia y seguimiento.</x:v>
      </x:c>
    </x:row>
    <x:row r="78">
      <x:c r="A78" s="23" t="n">
        <x:v>77</x:v>
      </x:c>
      <x:c r="B78" s="24" t="n">
        <x:v>2023</x:v>
      </x:c>
      <x:c r="C78" s="24" t="str">
        <x:v>Julio</x:v>
      </x:c>
      <x:c r="D78" s="24" t="n">
        <x:v>7</x:v>
      </x:c>
      <x:c r="E78" s="24" t="str">
        <x:v>PESV</x:v>
      </x:c>
      <x:c r="F78" s="24" t="str">
        <x:v>Capacitación</x:v>
      </x:c>
      <x:c r="G78" s="24" t="str">
        <x:v>Interno</x:v>
      </x:c>
      <x:c r="H78" s="24" t="str">
        <x:v>Todos</x:v>
      </x:c>
      <x:c r="I78" s="24" t="str">
        <x:v>Pamplona</x:v>
      </x:c>
      <x:c r="J78" s="11" t="str">
        <x:v>Seguridad vial y desplazamientos seguros</x:v>
      </x:c>
      <x:c r="K78" s="11" t="str">
        <x:v>Sensibilizar sobre desplazamientos seguros, conductas de autocuidado y prevención de siniestros viales.</x:v>
      </x:c>
      <x:c r="L78" s="24" t="n">
        <x:v>2</x:v>
      </x:c>
      <x:c r="M78" s="58" t="n">
        <x:v>45119</x:v>
      </x:c>
      <x:c r="N78" s="24" t="n">
        <x:v>2</x:v>
      </x:c>
      <x:c r="O78" s="24" t="n">
        <x:v>27</x:v>
      </x:c>
      <x:c r="P78" s="24" t="n">
        <x:v>25</x:v>
      </x:c>
      <x:c r="Q78" s="64" t="n">
        <x:f>IFERROR(P78/O78,0)</x:f>
        <x:v>0.9259259259259259</x:v>
      </x:c>
      <x:c r="R78" s="24" t="str">
        <x:v>Evaluación escrita</x:v>
      </x:c>
      <x:c r="S78" s="70" t="n">
        <x:v>4.7</x:v>
      </x:c>
      <x:c r="T78" s="24" t="str">
        <x:f>IF(XOR(X78="Reprogramada",X78="Cancelada"),"",IF(AND(Q78&gt;=0.8,S78&gt;=4),"Sí",IF(AND(Q78&gt;=0.65,S78&gt;=3.5),"Parcial","No")))</x:f>
        <x:v>Sí</x:v>
      </x:c>
      <x:c r="U78" s="24" t="str">
        <x:v>Jesús Guerrero</x:v>
      </x:c>
      <x:c r="V78" s="11" t="str">
        <x:v>Humano (facilitador interno) / Logístico / Material de apoyo</x:v>
      </x:c>
      <x:c r="W78" s="11" t="str">
        <x:v>Camila Andrea Galván</x:v>
      </x:c>
      <x:c r="X78" s="11" t="str">
        <x:v>Ejecutada</x:v>
      </x:c>
      <x:c r="Y78" s="52" t="str">
        <x:v>Actividad ejecutada satisfactoriamente; mantener evidencia y seguimiento.</x:v>
      </x:c>
    </x:row>
    <x:row r="79">
      <x:c r="A79" s="23" t="n">
        <x:v>78</x:v>
      </x:c>
      <x:c r="B79" s="24" t="n">
        <x:v>2023</x:v>
      </x:c>
      <x:c r="C79" s="24" t="str">
        <x:v>Agosto</x:v>
      </x:c>
      <x:c r="D79" s="24" t="n">
        <x:v>8</x:v>
      </x:c>
      <x:c r="E79" s="24" t="str">
        <x:v>EPP</x:v>
      </x:c>
      <x:c r="F79" s="24" t="str">
        <x:v>Socialización</x:v>
      </x:c>
      <x:c r="G79" s="24" t="str">
        <x:v>Interno</x:v>
      </x:c>
      <x:c r="H79" s="24" t="str">
        <x:v>Operativos</x:v>
      </x:c>
      <x:c r="I79" s="24" t="str">
        <x:v>Cúcuta</x:v>
      </x:c>
      <x:c r="J79" s="11" t="str">
        <x:v>Uso, cuidado y reposición de EPP</x:v>
      </x:c>
      <x:c r="K79" s="11" t="str">
        <x:v>Reforzar la selección, uso, mantenimiento y reposición adecuada de los elementos de protección personal.</x:v>
      </x:c>
      <x:c r="L79" s="24" t="n">
        <x:v>1</x:v>
      </x:c>
      <x:c r="M79" s="58" t="n">
        <x:v>45160</x:v>
      </x:c>
      <x:c r="N79" s="24" t="n">
        <x:v>1</x:v>
      </x:c>
      <x:c r="O79" s="24" t="n">
        <x:v>78</x:v>
      </x:c>
      <x:c r="P79" s="24" t="n">
        <x:v>60</x:v>
      </x:c>
      <x:c r="Q79" s="64" t="n">
        <x:f>IFERROR(P79/O79,0)</x:f>
        <x:v>0.7692307692307693</x:v>
      </x:c>
      <x:c r="R79" s="24" t="str">
        <x:v>Observación en puesto</x:v>
      </x:c>
      <x:c r="S79" s="70" t="n">
        <x:v>4.1</x:v>
      </x:c>
      <x:c r="T79" s="24" t="str">
        <x:f>IF(XOR(X79="Reprogramada",X79="Cancelada"),"",IF(AND(Q79&gt;=0.8,S79&gt;=4),"Sí",IF(AND(Q79&gt;=0.65,S79&gt;=3.5),"Parcial","No")))</x:f>
        <x:v>Parcial</x:v>
      </x:c>
      <x:c r="U79" s="24" t="str">
        <x:v>Camila Andrea Galván</x:v>
      </x:c>
      <x:c r="V79" s="11" t="str">
        <x:v>Humano (facilitador interno) / Logístico / Material de apoyo</x:v>
      </x:c>
      <x:c r="W79" s="11" t="str">
        <x:v>Jesús Guerrero</x:v>
      </x:c>
      <x:c r="X79" s="11" t="str">
        <x:v>Ejecutada</x:v>
      </x:c>
      <x:c r="Y79" s="52" t="str">
        <x:v>Actividad ejecutada satisfactoriamente; mantener evidencia y seguimiento.</x:v>
      </x:c>
    </x:row>
    <x:row r="80">
      <x:c r="A80" s="23" t="n">
        <x:v>79</x:v>
      </x:c>
      <x:c r="B80" s="24" t="n">
        <x:v>2023</x:v>
      </x:c>
      <x:c r="C80" s="24" t="str">
        <x:v>Agosto</x:v>
      </x:c>
      <x:c r="D80" s="24" t="n">
        <x:v>8</x:v>
      </x:c>
      <x:c r="E80" s="24" t="str">
        <x:v>EPP</x:v>
      </x:c>
      <x:c r="F80" s="24" t="str">
        <x:v>Socialización</x:v>
      </x:c>
      <x:c r="G80" s="24" t="str">
        <x:v>Interno</x:v>
      </x:c>
      <x:c r="H80" s="24" t="str">
        <x:v>Operativos</x:v>
      </x:c>
      <x:c r="I80" s="24" t="str">
        <x:v>Barrancabermeja</x:v>
      </x:c>
      <x:c r="J80" s="11" t="str">
        <x:v>Uso, cuidado y reposición de EPP</x:v>
      </x:c>
      <x:c r="K80" s="11" t="str">
        <x:v>Reforzar la selección, uso, mantenimiento y reposición adecuada de los elementos de protección personal.</x:v>
      </x:c>
      <x:c r="L80" s="24" t="n">
        <x:v>1</x:v>
      </x:c>
      <x:c r="M80" s="58" t="n">
        <x:v>45160</x:v>
      </x:c>
      <x:c r="N80" s="24" t="n">
        <x:v>1</x:v>
      </x:c>
      <x:c r="O80" s="24" t="n">
        <x:v>52</x:v>
      </x:c>
      <x:c r="P80" s="24" t="n">
        <x:v>41</x:v>
      </x:c>
      <x:c r="Q80" s="64" t="n">
        <x:f>IFERROR(P80/O80,0)</x:f>
        <x:v>0.7884615384615384</x:v>
      </x:c>
      <x:c r="R80" s="24" t="str">
        <x:v>Observación en puesto</x:v>
      </x:c>
      <x:c r="S80" s="70" t="n">
        <x:v>4.7</x:v>
      </x:c>
      <x:c r="T80" s="24" t="str">
        <x:f>IF(XOR(X80="Reprogramada",X80="Cancelada"),"",IF(AND(Q80&gt;=0.8,S80&gt;=4),"Sí",IF(AND(Q80&gt;=0.65,S80&gt;=3.5),"Parcial","No")))</x:f>
        <x:v>Parcial</x:v>
      </x:c>
      <x:c r="U80" s="24" t="str">
        <x:v>Camila Andrea Galván</x:v>
      </x:c>
      <x:c r="V80" s="11" t="str">
        <x:v>Humano (facilitador interno) / Logístico / Material de apoyo</x:v>
      </x:c>
      <x:c r="W80" s="11" t="str">
        <x:v>Carlos Felipe Parada Ramón</x:v>
      </x:c>
      <x:c r="X80" s="11" t="str">
        <x:v>Ejecutada</x:v>
      </x:c>
      <x:c r="Y80" s="52" t="str">
        <x:v>Actividad ejecutada satisfactoriamente; mantener evidencia y seguimiento.</x:v>
      </x:c>
    </x:row>
    <x:row r="81">
      <x:c r="A81" s="23" t="n">
        <x:v>80</x:v>
      </x:c>
      <x:c r="B81" s="24" t="n">
        <x:v>2023</x:v>
      </x:c>
      <x:c r="C81" s="24" t="str">
        <x:v>Agosto</x:v>
      </x:c>
      <x:c r="D81" s="24" t="n">
        <x:v>8</x:v>
      </x:c>
      <x:c r="E81" s="24" t="str">
        <x:v>EPP</x:v>
      </x:c>
      <x:c r="F81" s="24" t="str">
        <x:v>Socialización</x:v>
      </x:c>
      <x:c r="G81" s="24" t="str">
        <x:v>Interno</x:v>
      </x:c>
      <x:c r="H81" s="24" t="str">
        <x:v>Operativos</x:v>
      </x:c>
      <x:c r="I81" s="24" t="str">
        <x:v>Ocaña</x:v>
      </x:c>
      <x:c r="J81" s="11" t="str">
        <x:v>Uso, cuidado y reposición de EPP</x:v>
      </x:c>
      <x:c r="K81" s="11" t="str">
        <x:v>Reforzar la selección, uso, mantenimiento y reposición adecuada de los elementos de protección personal.</x:v>
      </x:c>
      <x:c r="L81" s="24" t="n">
        <x:v>1</x:v>
      </x:c>
      <x:c r="M81" s="58" t="n">
        <x:v>45155</x:v>
      </x:c>
      <x:c r="N81" s="24" t="n">
        <x:v>1</x:v>
      </x:c>
      <x:c r="O81" s="24" t="n">
        <x:v>36</x:v>
      </x:c>
      <x:c r="P81" s="24" t="n">
        <x:v>30</x:v>
      </x:c>
      <x:c r="Q81" s="64" t="n">
        <x:f>IFERROR(P81/O81,0)</x:f>
        <x:v>0.8333333333333334</x:v>
      </x:c>
      <x:c r="R81" s="24" t="str">
        <x:v>Observación en puesto</x:v>
      </x:c>
      <x:c r="S81" s="70" t="n">
        <x:v>4.2</x:v>
      </x:c>
      <x:c r="T81" s="24" t="str">
        <x:f>IF(XOR(X81="Reprogramada",X81="Cancelada"),"",IF(AND(Q81&gt;=0.8,S81&gt;=4),"Sí",IF(AND(Q81&gt;=0.65,S81&gt;=3.5),"Parcial","No")))</x:f>
        <x:v>Sí</x:v>
      </x:c>
      <x:c r="U81" s="24" t="str">
        <x:v>Camila Andrea Galván</x:v>
      </x:c>
      <x:c r="V81" s="11" t="str">
        <x:v>Humano (facilitador interno) / Logístico / Material de apoyo</x:v>
      </x:c>
      <x:c r="W81" s="11" t="str">
        <x:v>Camila Andrea Galván</x:v>
      </x:c>
      <x:c r="X81" s="11" t="str">
        <x:v>Ejecutada</x:v>
      </x:c>
      <x:c r="Y81" s="52" t="str">
        <x:v>Actividad ejecutada satisfactoriamente; mantener evidencia y seguimiento.</x:v>
      </x:c>
    </x:row>
    <x:row r="82">
      <x:c r="A82" s="23" t="n">
        <x:v>81</x:v>
      </x:c>
      <x:c r="B82" s="24" t="n">
        <x:v>2023</x:v>
      </x:c>
      <x:c r="C82" s="24" t="str">
        <x:v>Agosto</x:v>
      </x:c>
      <x:c r="D82" s="24" t="n">
        <x:v>8</x:v>
      </x:c>
      <x:c r="E82" s="24" t="str">
        <x:v>EPP</x:v>
      </x:c>
      <x:c r="F82" s="24" t="str">
        <x:v>Socialización</x:v>
      </x:c>
      <x:c r="G82" s="24" t="str">
        <x:v>Interno</x:v>
      </x:c>
      <x:c r="H82" s="24" t="str">
        <x:v>Operativos</x:v>
      </x:c>
      <x:c r="I82" s="24" t="str">
        <x:v>Girón</x:v>
      </x:c>
      <x:c r="J82" s="11" t="str">
        <x:v>Uso, cuidado y reposición de EPP</x:v>
      </x:c>
      <x:c r="K82" s="11" t="str">
        <x:v>Reforzar la selección, uso, mantenimiento y reposición adecuada de los elementos de protección personal.</x:v>
      </x:c>
      <x:c r="L82" s="24" t="n">
        <x:v>1</x:v>
      </x:c>
      <x:c r="M82" s="58" t="n">
        <x:v>45150</x:v>
      </x:c>
      <x:c r="N82" s="24" t="n">
        <x:v>1.5</x:v>
      </x:c>
      <x:c r="O82" s="24" t="n">
        <x:v>41</x:v>
      </x:c>
      <x:c r="P82" s="24" t="n">
        <x:v>39</x:v>
      </x:c>
      <x:c r="Q82" s="64" t="n">
        <x:f>IFERROR(P82/O82,0)</x:f>
        <x:v>0.9512195121951219</x:v>
      </x:c>
      <x:c r="R82" s="24" t="str">
        <x:v>Observación en puesto</x:v>
      </x:c>
      <x:c r="S82" s="70" t="n">
        <x:v>4.7</x:v>
      </x:c>
      <x:c r="T82" s="24" t="str">
        <x:f>IF(XOR(X82="Reprogramada",X82="Cancelada"),"",IF(AND(Q82&gt;=0.8,S82&gt;=4),"Sí",IF(AND(Q82&gt;=0.65,S82&gt;=3.5),"Parcial","No")))</x:f>
        <x:v>Sí</x:v>
      </x:c>
      <x:c r="U82" s="24" t="str">
        <x:v>Camila Andrea Galván</x:v>
      </x:c>
      <x:c r="V82" s="11" t="str">
        <x:v>Humano (facilitador interno) / Logístico / Material de apoyo</x:v>
      </x:c>
      <x:c r="W82" s="11" t="str">
        <x:v>Jesús Guerrero</x:v>
      </x:c>
      <x:c r="X82" s="11" t="str">
        <x:v>Ejecutada</x:v>
      </x:c>
      <x:c r="Y82" s="52" t="str">
        <x:v>Actividad ejecutada satisfactoriamente; mantener evidencia y seguimiento.</x:v>
      </x:c>
    </x:row>
    <x:row r="83">
      <x:c r="A83" s="23" t="n">
        <x:v>82</x:v>
      </x:c>
      <x:c r="B83" s="24" t="n">
        <x:v>2023</x:v>
      </x:c>
      <x:c r="C83" s="24" t="str">
        <x:v>Agosto</x:v>
      </x:c>
      <x:c r="D83" s="24" t="n">
        <x:v>8</x:v>
      </x:c>
      <x:c r="E83" s="24" t="str">
        <x:v>EPP</x:v>
      </x:c>
      <x:c r="F83" s="24" t="str">
        <x:v>Socialización</x:v>
      </x:c>
      <x:c r="G83" s="24" t="str">
        <x:v>Interno</x:v>
      </x:c>
      <x:c r="H83" s="24" t="str">
        <x:v>Operativos</x:v>
      </x:c>
      <x:c r="I83" s="24" t="str">
        <x:v>Valledupar</x:v>
      </x:c>
      <x:c r="J83" s="11" t="str">
        <x:v>Uso, cuidado y reposición de EPP</x:v>
      </x:c>
      <x:c r="K83" s="11" t="str">
        <x:v>Reforzar la selección, uso, mantenimiento y reposición adecuada de los elementos de protección personal.</x:v>
      </x:c>
      <x:c r="L83" s="24" t="n">
        <x:v>1</x:v>
      </x:c>
      <x:c r="M83" s="58" t="n">
        <x:v>45158</x:v>
      </x:c>
      <x:c r="N83" s="24" t="n">
        <x:v>1.5</x:v>
      </x:c>
      <x:c r="O83" s="24" t="n">
        <x:v>47</x:v>
      </x:c>
      <x:c r="P83" s="24" t="n">
        <x:v>46</x:v>
      </x:c>
      <x:c r="Q83" s="64" t="n">
        <x:f>IFERROR(P83/O83,0)</x:f>
        <x:v>0.9787234042553191</x:v>
      </x:c>
      <x:c r="R83" s="24" t="str">
        <x:v>Observación en puesto</x:v>
      </x:c>
      <x:c r="S83" s="70" t="n">
        <x:v>4.8</x:v>
      </x:c>
      <x:c r="T83" s="24" t="str">
        <x:f>IF(XOR(X83="Reprogramada",X83="Cancelada"),"",IF(AND(Q83&gt;=0.8,S83&gt;=4),"Sí",IF(AND(Q83&gt;=0.65,S83&gt;=3.5),"Parcial","No")))</x:f>
        <x:v>Sí</x:v>
      </x:c>
      <x:c r="U83" s="24" t="str">
        <x:v>Camila Andrea Galván</x:v>
      </x:c>
      <x:c r="V83" s="11" t="str">
        <x:v>Humano (facilitador interno) / Logístico / Material de apoyo</x:v>
      </x:c>
      <x:c r="W83" s="11" t="str">
        <x:v>Carlos Felipe Parada Ramón</x:v>
      </x:c>
      <x:c r="X83" s="11" t="str">
        <x:v>Ejecutada</x:v>
      </x:c>
      <x:c r="Y83" s="52" t="str">
        <x:v>Actividad ejecutada satisfactoriamente; mantener evidencia y seguimiento.</x:v>
      </x:c>
    </x:row>
    <x:row r="84">
      <x:c r="A84" s="23" t="n">
        <x:v>83</x:v>
      </x:c>
      <x:c r="B84" s="24" t="n">
        <x:v>2023</x:v>
      </x:c>
      <x:c r="C84" s="24" t="str">
        <x:v>Agosto</x:v>
      </x:c>
      <x:c r="D84" s="24" t="n">
        <x:v>8</x:v>
      </x:c>
      <x:c r="E84" s="24" t="str">
        <x:v>EPP</x:v>
      </x:c>
      <x:c r="F84" s="24" t="str">
        <x:v>Socialización</x:v>
      </x:c>
      <x:c r="G84" s="24" t="str">
        <x:v>Interno</x:v>
      </x:c>
      <x:c r="H84" s="24" t="str">
        <x:v>Operativos</x:v>
      </x:c>
      <x:c r="I84" s="24" t="str">
        <x:v>Arauca</x:v>
      </x:c>
      <x:c r="J84" s="11" t="str">
        <x:v>Uso, cuidado y reposición de EPP</x:v>
      </x:c>
      <x:c r="K84" s="11" t="str">
        <x:v>Reforzar la selección, uso, mantenimiento y reposición adecuada de los elementos de protección personal.</x:v>
      </x:c>
      <x:c r="L84" s="24" t="n">
        <x:v>1</x:v>
      </x:c>
      <x:c r="M84" s="58" t="n">
        <x:v>45160</x:v>
      </x:c>
      <x:c r="N84" s="24" t="n">
        <x:v>1</x:v>
      </x:c>
      <x:c r="O84" s="24" t="n">
        <x:v>29</x:v>
      </x:c>
      <x:c r="P84" s="24" t="n">
        <x:v>24</x:v>
      </x:c>
      <x:c r="Q84" s="64" t="n">
        <x:f>IFERROR(P84/O84,0)</x:f>
        <x:v>0.8275862068965517</x:v>
      </x:c>
      <x:c r="R84" s="24" t="str">
        <x:v>Observación en puesto</x:v>
      </x:c>
      <x:c r="S84" s="70" t="n">
        <x:v>4.8</x:v>
      </x:c>
      <x:c r="T84" s="24" t="str">
        <x:f>IF(XOR(X84="Reprogramada",X84="Cancelada"),"",IF(AND(Q84&gt;=0.8,S84&gt;=4),"Sí",IF(AND(Q84&gt;=0.65,S84&gt;=3.5),"Parcial","No")))</x:f>
        <x:v>Sí</x:v>
      </x:c>
      <x:c r="U84" s="24" t="str">
        <x:v>Camila Andrea Galván</x:v>
      </x:c>
      <x:c r="V84" s="11" t="str">
        <x:v>Humano (facilitador interno) / Logístico / Material de apoyo</x:v>
      </x:c>
      <x:c r="W84" s="11" t="str">
        <x:v>Camila Andrea Galván</x:v>
      </x:c>
      <x:c r="X84" s="11" t="str">
        <x:v>Ejecutada</x:v>
      </x:c>
      <x:c r="Y84" s="52" t="str">
        <x:v>Actividad ejecutada satisfactoriamente; mantener evidencia y seguimiento.</x:v>
      </x:c>
    </x:row>
    <x:row r="85">
      <x:c r="A85" s="23" t="n">
        <x:v>84</x:v>
      </x:c>
      <x:c r="B85" s="24" t="n">
        <x:v>2023</x:v>
      </x:c>
      <x:c r="C85" s="24" t="str">
        <x:v>Agosto</x:v>
      </x:c>
      <x:c r="D85" s="24" t="n">
        <x:v>8</x:v>
      </x:c>
      <x:c r="E85" s="24" t="str">
        <x:v>EPP</x:v>
      </x:c>
      <x:c r="F85" s="24" t="str">
        <x:v>Socialización</x:v>
      </x:c>
      <x:c r="G85" s="24" t="str">
        <x:v>Interno</x:v>
      </x:c>
      <x:c r="H85" s="24" t="str">
        <x:v>Operativos</x:v>
      </x:c>
      <x:c r="I85" s="24" t="str">
        <x:v>Bogotá</x:v>
      </x:c>
      <x:c r="J85" s="11" t="str">
        <x:v>Uso, cuidado y reposición de EPP</x:v>
      </x:c>
      <x:c r="K85" s="11" t="str">
        <x:v>Reforzar la selección, uso, mantenimiento y reposición adecuada de los elementos de protección personal.</x:v>
      </x:c>
      <x:c r="L85" s="24" t="n">
        <x:v>1</x:v>
      </x:c>
      <x:c r="M85" s="58"/>
      <x:c r="N85" s="24"/>
      <x:c r="O85" s="24" t="n">
        <x:v>63</x:v>
      </x:c>
      <x:c r="P85" s="24"/>
      <x:c r="Q85" s="64" t="n">
        <x:f>IFERROR(P85/O85,0)</x:f>
        <x:v>0</x:v>
      </x:c>
      <x:c r="R85" s="24" t="str">
        <x:v>Observación en puesto</x:v>
      </x:c>
      <x:c r="S85" s="70"/>
      <x:c r="T85" s="24" t="str">
        <x:f>IF(XOR(X85="Reprogramada",X85="Cancelada"),"",IF(AND(Q85&gt;=0.8,S85&gt;=4),"Sí",IF(AND(Q85&gt;=0.65,S85&gt;=3.5),"Parcial","No")))</x:f>
      </x:c>
      <x:c r="U85" s="24" t="str">
        <x:v>Camila Andrea Galván</x:v>
      </x:c>
      <x:c r="V85" s="11" t="str">
        <x:v>Humano (facilitador interno) / Logístico / Material de apoyo</x:v>
      </x:c>
      <x:c r="W85" s="11" t="str">
        <x:v>Jesús Guerrero</x:v>
      </x:c>
      <x:c r="X85" s="11" t="str">
        <x:v>Reprogramada</x:v>
      </x:c>
      <x:c r="Y85" s="52" t="str">
        <x:v>Actividad reprogramada por operación, disponibilidad del facilitador o ajustes logísticos.</x:v>
      </x:c>
    </x:row>
    <x:row r="86">
      <x:c r="A86" s="23" t="n">
        <x:v>85</x:v>
      </x:c>
      <x:c r="B86" s="24" t="n">
        <x:v>2023</x:v>
      </x:c>
      <x:c r="C86" s="24" t="str">
        <x:v>Agosto</x:v>
      </x:c>
      <x:c r="D86" s="24" t="n">
        <x:v>8</x:v>
      </x:c>
      <x:c r="E86" s="24" t="str">
        <x:v>EPP</x:v>
      </x:c>
      <x:c r="F86" s="24" t="str">
        <x:v>Socialización</x:v>
      </x:c>
      <x:c r="G86" s="24" t="str">
        <x:v>Interno</x:v>
      </x:c>
      <x:c r="H86" s="24" t="str">
        <x:v>Operativos</x:v>
      </x:c>
      <x:c r="I86" s="24" t="str">
        <x:v>Tibú</x:v>
      </x:c>
      <x:c r="J86" s="11" t="str">
        <x:v>Uso, cuidado y reposición de EPP</x:v>
      </x:c>
      <x:c r="K86" s="11" t="str">
        <x:v>Reforzar la selección, uso, mantenimiento y reposición adecuada de los elementos de protección personal.</x:v>
      </x:c>
      <x:c r="L86" s="24" t="n">
        <x:v>1</x:v>
      </x:c>
      <x:c r="M86" s="58" t="n">
        <x:v>45156</x:v>
      </x:c>
      <x:c r="N86" s="24" t="n">
        <x:v>1</x:v>
      </x:c>
      <x:c r="O86" s="24" t="n">
        <x:v>31</x:v>
      </x:c>
      <x:c r="P86" s="24" t="n">
        <x:v>24</x:v>
      </x:c>
      <x:c r="Q86" s="64" t="n">
        <x:f>IFERROR(P86/O86,0)</x:f>
        <x:v>0.7741935483870968</x:v>
      </x:c>
      <x:c r="R86" s="24" t="str">
        <x:v>Observación en puesto</x:v>
      </x:c>
      <x:c r="S86" s="70" t="n">
        <x:v>4.5</x:v>
      </x:c>
      <x:c r="T86" s="24" t="str">
        <x:f>IF(XOR(X86="Reprogramada",X86="Cancelada"),"",IF(AND(Q86&gt;=0.8,S86&gt;=4),"Sí",IF(AND(Q86&gt;=0.65,S86&gt;=3.5),"Parcial","No")))</x:f>
        <x:v>Parcial</x:v>
      </x:c>
      <x:c r="U86" s="24" t="str">
        <x:v>Camila Andrea Galván</x:v>
      </x:c>
      <x:c r="V86" s="11" t="str">
        <x:v>Humano (facilitador interno) / Logístico / Material de apoyo</x:v>
      </x:c>
      <x:c r="W86" s="11" t="str">
        <x:v>Carlos Felipe Parada Ramón</x:v>
      </x:c>
      <x:c r="X86" s="11" t="str">
        <x:v>Ejecutada</x:v>
      </x:c>
      <x:c r="Y86" s="52" t="str">
        <x:v>Actividad ejecutada satisfactoriamente; mantener evidencia y seguimiento.</x:v>
      </x:c>
    </x:row>
    <x:row r="87">
      <x:c r="A87" s="23" t="n">
        <x:v>86</x:v>
      </x:c>
      <x:c r="B87" s="24" t="n">
        <x:v>2023</x:v>
      </x:c>
      <x:c r="C87" s="24" t="str">
        <x:v>Agosto</x:v>
      </x:c>
      <x:c r="D87" s="24" t="n">
        <x:v>8</x:v>
      </x:c>
      <x:c r="E87" s="24" t="str">
        <x:v>EPP</x:v>
      </x:c>
      <x:c r="F87" s="24" t="str">
        <x:v>Socialización</x:v>
      </x:c>
      <x:c r="G87" s="24" t="str">
        <x:v>Interno</x:v>
      </x:c>
      <x:c r="H87" s="24" t="str">
        <x:v>Operativos</x:v>
      </x:c>
      <x:c r="I87" s="24" t="str">
        <x:v>Medellín</x:v>
      </x:c>
      <x:c r="J87" s="11" t="str">
        <x:v>Uso, cuidado y reposición de EPP</x:v>
      </x:c>
      <x:c r="K87" s="11" t="str">
        <x:v>Reforzar la selección, uso, mantenimiento y reposición adecuada de los elementos de protección personal.</x:v>
      </x:c>
      <x:c r="L87" s="24" t="n">
        <x:v>1</x:v>
      </x:c>
      <x:c r="M87" s="58" t="n">
        <x:v>45160</x:v>
      </x:c>
      <x:c r="N87" s="24" t="n">
        <x:v>1.5</x:v>
      </x:c>
      <x:c r="O87" s="24" t="n">
        <x:v>58</x:v>
      </x:c>
      <x:c r="P87" s="24" t="n">
        <x:v>48</x:v>
      </x:c>
      <x:c r="Q87" s="64" t="n">
        <x:f>IFERROR(P87/O87,0)</x:f>
        <x:v>0.8275862068965517</x:v>
      </x:c>
      <x:c r="R87" s="24" t="str">
        <x:v>Observación en puesto</x:v>
      </x:c>
      <x:c r="S87" s="70" t="n">
        <x:v>4.3</x:v>
      </x:c>
      <x:c r="T87" s="24" t="str">
        <x:f>IF(XOR(X87="Reprogramada",X87="Cancelada"),"",IF(AND(Q87&gt;=0.8,S87&gt;=4),"Sí",IF(AND(Q87&gt;=0.65,S87&gt;=3.5),"Parcial","No")))</x:f>
        <x:v>Sí</x:v>
      </x:c>
      <x:c r="U87" s="24" t="str">
        <x:v>Camila Andrea Galván</x:v>
      </x:c>
      <x:c r="V87" s="11" t="str">
        <x:v>Humano (facilitador interno) / Logístico / Material de apoyo</x:v>
      </x:c>
      <x:c r="W87" s="11" t="str">
        <x:v>Camila Andrea Galván</x:v>
      </x:c>
      <x:c r="X87" s="11" t="str">
        <x:v>Ejecutada</x:v>
      </x:c>
      <x:c r="Y87" s="52" t="str">
        <x:v>Actividad ejecutada satisfactoriamente; mantener evidencia y seguimiento.</x:v>
      </x:c>
    </x:row>
    <x:row r="88">
      <x:c r="A88" s="23" t="n">
        <x:v>87</x:v>
      </x:c>
      <x:c r="B88" s="24" t="n">
        <x:v>2023</x:v>
      </x:c>
      <x:c r="C88" s="24" t="str">
        <x:v>Agosto</x:v>
      </x:c>
      <x:c r="D88" s="24" t="n">
        <x:v>8</x:v>
      </x:c>
      <x:c r="E88" s="24" t="str">
        <x:v>EPP</x:v>
      </x:c>
      <x:c r="F88" s="24" t="str">
        <x:v>Socialización</x:v>
      </x:c>
      <x:c r="G88" s="24" t="str">
        <x:v>Interno</x:v>
      </x:c>
      <x:c r="H88" s="24" t="str">
        <x:v>Operativos</x:v>
      </x:c>
      <x:c r="I88" s="24" t="str">
        <x:v>Ábrego</x:v>
      </x:c>
      <x:c r="J88" s="11" t="str">
        <x:v>Uso, cuidado y reposición de EPP</x:v>
      </x:c>
      <x:c r="K88" s="11" t="str">
        <x:v>Reforzar la selección, uso, mantenimiento y reposición adecuada de los elementos de protección personal.</x:v>
      </x:c>
      <x:c r="L88" s="24" t="n">
        <x:v>1</x:v>
      </x:c>
      <x:c r="M88" s="58" t="n">
        <x:v>45157</x:v>
      </x:c>
      <x:c r="N88" s="24" t="n">
        <x:v>1</x:v>
      </x:c>
      <x:c r="O88" s="24" t="n">
        <x:v>24</x:v>
      </x:c>
      <x:c r="P88" s="24" t="n">
        <x:v>23</x:v>
      </x:c>
      <x:c r="Q88" s="64" t="n">
        <x:f>IFERROR(P88/O88,0)</x:f>
        <x:v>0.9583333333333334</x:v>
      </x:c>
      <x:c r="R88" s="24" t="str">
        <x:v>Observación en puesto</x:v>
      </x:c>
      <x:c r="S88" s="70" t="n">
        <x:v>4.4</x:v>
      </x:c>
      <x:c r="T88" s="24" t="str">
        <x:f>IF(XOR(X88="Reprogramada",X88="Cancelada"),"",IF(AND(Q88&gt;=0.8,S88&gt;=4),"Sí",IF(AND(Q88&gt;=0.65,S88&gt;=3.5),"Parcial","No")))</x:f>
        <x:v>Sí</x:v>
      </x:c>
      <x:c r="U88" s="24" t="str">
        <x:v>Camila Andrea Galván</x:v>
      </x:c>
      <x:c r="V88" s="11" t="str">
        <x:v>Humano (facilitador interno) / Logístico / Material de apoyo</x:v>
      </x:c>
      <x:c r="W88" s="11" t="str">
        <x:v>Jesús Guerrero</x:v>
      </x:c>
      <x:c r="X88" s="11" t="str">
        <x:v>Ejecutada</x:v>
      </x:c>
      <x:c r="Y88" s="52" t="str">
        <x:v>Actividad ejecutada satisfactoriamente; mantener evidencia y seguimiento.</x:v>
      </x:c>
    </x:row>
    <x:row r="89">
      <x:c r="A89" s="23" t="n">
        <x:v>88</x:v>
      </x:c>
      <x:c r="B89" s="24" t="n">
        <x:v>2023</x:v>
      </x:c>
      <x:c r="C89" s="24" t="str">
        <x:v>Agosto</x:v>
      </x:c>
      <x:c r="D89" s="24" t="n">
        <x:v>8</x:v>
      </x:c>
      <x:c r="E89" s="24" t="str">
        <x:v>EPP</x:v>
      </x:c>
      <x:c r="F89" s="24" t="str">
        <x:v>Socialización</x:v>
      </x:c>
      <x:c r="G89" s="24" t="str">
        <x:v>Interno</x:v>
      </x:c>
      <x:c r="H89" s="24" t="str">
        <x:v>Operativos</x:v>
      </x:c>
      <x:c r="I89" s="24" t="str">
        <x:v>Pamplona</x:v>
      </x:c>
      <x:c r="J89" s="11" t="str">
        <x:v>Uso, cuidado y reposición de EPP</x:v>
      </x:c>
      <x:c r="K89" s="11" t="str">
        <x:v>Reforzar la selección, uso, mantenimiento y reposición adecuada de los elementos de protección personal.</x:v>
      </x:c>
      <x:c r="L89" s="24" t="n">
        <x:v>1</x:v>
      </x:c>
      <x:c r="M89" s="58" t="n">
        <x:v>45155</x:v>
      </x:c>
      <x:c r="N89" s="24" t="n">
        <x:v>1</x:v>
      </x:c>
      <x:c r="O89" s="24" t="n">
        <x:v>27</x:v>
      </x:c>
      <x:c r="P89" s="24" t="n">
        <x:v>23</x:v>
      </x:c>
      <x:c r="Q89" s="64" t="n">
        <x:f>IFERROR(P89/O89,0)</x:f>
        <x:v>0.8518518518518519</x:v>
      </x:c>
      <x:c r="R89" s="24" t="str">
        <x:v>Observación en puesto</x:v>
      </x:c>
      <x:c r="S89" s="70" t="n">
        <x:v>4.2</x:v>
      </x:c>
      <x:c r="T89" s="24" t="str">
        <x:f>IF(XOR(X89="Reprogramada",X89="Cancelada"),"",IF(AND(Q89&gt;=0.8,S89&gt;=4),"Sí",IF(AND(Q89&gt;=0.65,S89&gt;=3.5),"Parcial","No")))</x:f>
        <x:v>Sí</x:v>
      </x:c>
      <x:c r="U89" s="24" t="str">
        <x:v>Camila Andrea Galván</x:v>
      </x:c>
      <x:c r="V89" s="11" t="str">
        <x:v>Humano (facilitador interno) / Logístico / Material de apoyo</x:v>
      </x:c>
      <x:c r="W89" s="11" t="str">
        <x:v>Carlos Felipe Parada Ramón</x:v>
      </x:c>
      <x:c r="X89" s="11" t="str">
        <x:v>Ejecutada</x:v>
      </x:c>
      <x:c r="Y89" s="52" t="str">
        <x:v>Actividad ejecutada satisfactoriamente; mantener evidencia y seguimiento.</x:v>
      </x:c>
    </x:row>
    <x:row r="90">
      <x:c r="A90" s="23" t="n">
        <x:v>89</x:v>
      </x:c>
      <x:c r="B90" s="24" t="n">
        <x:v>2023</x:v>
      </x:c>
      <x:c r="C90" s="24" t="str">
        <x:v>Septiembre</x:v>
      </x:c>
      <x:c r="D90" s="24" t="n">
        <x:v>9</x:v>
      </x:c>
      <x:c r="E90" s="24" t="str">
        <x:v>Locativo</x:v>
      </x:c>
      <x:c r="F90" s="24" t="str">
        <x:v>Capacitación</x:v>
      </x:c>
      <x:c r="G90" s="24" t="str">
        <x:v>Interno</x:v>
      </x:c>
      <x:c r="H90" s="24" t="str">
        <x:v>Todos</x:v>
      </x:c>
      <x:c r="I90" s="24" t="str">
        <x:v>Cúcuta</x:v>
      </x:c>
      <x:c r="J90" s="11" t="str">
        <x:v>Orden, aseo y prevención de caídas al mismo nivel</x:v>
      </x:c>
      <x:c r="K90" s="11" t="str">
        <x:v>Reducir la accidentalidad asociada a condiciones locativas mediante prácticas de orden y aseo.</x:v>
      </x:c>
      <x:c r="L90" s="24" t="n">
        <x:v>1</x:v>
      </x:c>
      <x:c r="M90" s="58" t="n">
        <x:v>45182</x:v>
      </x:c>
      <x:c r="N90" s="24" t="n">
        <x:v>1</x:v>
      </x:c>
      <x:c r="O90" s="24" t="n">
        <x:v>78</x:v>
      </x:c>
      <x:c r="P90" s="24" t="n">
        <x:v>72</x:v>
      </x:c>
      <x:c r="Q90" s="64" t="n">
        <x:f>IFERROR(P90/O90,0)</x:f>
        <x:v>0.9230769230769231</x:v>
      </x:c>
      <x:c r="R90" s="24" t="str">
        <x:v>Inspección</x:v>
      </x:c>
      <x:c r="S90" s="70" t="n">
        <x:v>4.2</x:v>
      </x:c>
      <x:c r="T90" s="24" t="str">
        <x:f>IF(XOR(X90="Reprogramada",X90="Cancelada"),"",IF(AND(Q90&gt;=0.8,S90&gt;=4),"Sí",IF(AND(Q90&gt;=0.65,S90&gt;=3.5),"Parcial","No")))</x:f>
        <x:v>Sí</x:v>
      </x:c>
      <x:c r="U90" s="24" t="str">
        <x:v>Jesús Guerrero</x:v>
      </x:c>
      <x:c r="V90" s="11" t="str">
        <x:v>Humano (facilitador interno) / Logístico / Material de apoyo</x:v>
      </x:c>
      <x:c r="W90" s="11" t="str">
        <x:v>Camila Andrea Galván</x:v>
      </x:c>
      <x:c r="X90" s="11" t="str">
        <x:v>Ejecutada</x:v>
      </x:c>
      <x:c r="Y90" s="52" t="str">
        <x:v>Actividad ejecutada satisfactoriamente; mantener evidencia y seguimiento.</x:v>
      </x:c>
    </x:row>
    <x:row r="91">
      <x:c r="A91" s="23" t="n">
        <x:v>90</x:v>
      </x:c>
      <x:c r="B91" s="24" t="n">
        <x:v>2023</x:v>
      </x:c>
      <x:c r="C91" s="24" t="str">
        <x:v>Septiembre</x:v>
      </x:c>
      <x:c r="D91" s="24" t="n">
        <x:v>9</x:v>
      </x:c>
      <x:c r="E91" s="24" t="str">
        <x:v>Locativo</x:v>
      </x:c>
      <x:c r="F91" s="24" t="str">
        <x:v>Capacitación</x:v>
      </x:c>
      <x:c r="G91" s="24" t="str">
        <x:v>Interno</x:v>
      </x:c>
      <x:c r="H91" s="24" t="str">
        <x:v>Todos</x:v>
      </x:c>
      <x:c r="I91" s="24" t="str">
        <x:v>Barrancabermeja</x:v>
      </x:c>
      <x:c r="J91" s="11" t="str">
        <x:v>Orden, aseo y prevención de caídas al mismo nivel</x:v>
      </x:c>
      <x:c r="K91" s="11" t="str">
        <x:v>Reducir la accidentalidad asociada a condiciones locativas mediante prácticas de orden y aseo.</x:v>
      </x:c>
      <x:c r="L91" s="24" t="n">
        <x:v>1</x:v>
      </x:c>
      <x:c r="M91" s="58" t="n">
        <x:v>45183</x:v>
      </x:c>
      <x:c r="N91" s="24" t="n">
        <x:v>1</x:v>
      </x:c>
      <x:c r="O91" s="24" t="n">
        <x:v>52</x:v>
      </x:c>
      <x:c r="P91" s="24" t="n">
        <x:v>51</x:v>
      </x:c>
      <x:c r="Q91" s="64" t="n">
        <x:f>IFERROR(P91/O91,0)</x:f>
        <x:v>0.9807692307692307</x:v>
      </x:c>
      <x:c r="R91" s="24" t="str">
        <x:v>Inspección</x:v>
      </x:c>
      <x:c r="S91" s="70" t="n">
        <x:v>4.1</x:v>
      </x:c>
      <x:c r="T91" s="24" t="str">
        <x:f>IF(XOR(X91="Reprogramada",X91="Cancelada"),"",IF(AND(Q91&gt;=0.8,S91&gt;=4),"Sí",IF(AND(Q91&gt;=0.65,S91&gt;=3.5),"Parcial","No")))</x:f>
        <x:v>Sí</x:v>
      </x:c>
      <x:c r="U91" s="24" t="str">
        <x:v>Jesús Guerrero</x:v>
      </x:c>
      <x:c r="V91" s="11" t="str">
        <x:v>Humano (facilitador interno) / Logístico / Material de apoyo</x:v>
      </x:c>
      <x:c r="W91" s="11" t="str">
        <x:v>Jesús Guerrero</x:v>
      </x:c>
      <x:c r="X91" s="11" t="str">
        <x:v>Ejecutada</x:v>
      </x:c>
      <x:c r="Y91" s="52" t="str">
        <x:v>Actividad ejecutada satisfactoriamente; mantener evidencia y seguimiento.</x:v>
      </x:c>
    </x:row>
    <x:row r="92">
      <x:c r="A92" s="23" t="n">
        <x:v>91</x:v>
      </x:c>
      <x:c r="B92" s="24" t="n">
        <x:v>2023</x:v>
      </x:c>
      <x:c r="C92" s="24" t="str">
        <x:v>Septiembre</x:v>
      </x:c>
      <x:c r="D92" s="24" t="n">
        <x:v>9</x:v>
      </x:c>
      <x:c r="E92" s="24" t="str">
        <x:v>Locativo</x:v>
      </x:c>
      <x:c r="F92" s="24" t="str">
        <x:v>Capacitación</x:v>
      </x:c>
      <x:c r="G92" s="24" t="str">
        <x:v>Interno</x:v>
      </x:c>
      <x:c r="H92" s="24" t="str">
        <x:v>Todos</x:v>
      </x:c>
      <x:c r="I92" s="24" t="str">
        <x:v>Ocaña</x:v>
      </x:c>
      <x:c r="J92" s="11" t="str">
        <x:v>Orden, aseo y prevención de caídas al mismo nivel</x:v>
      </x:c>
      <x:c r="K92" s="11" t="str">
        <x:v>Reducir la accidentalidad asociada a condiciones locativas mediante prácticas de orden y aseo.</x:v>
      </x:c>
      <x:c r="L92" s="24" t="n">
        <x:v>1</x:v>
      </x:c>
      <x:c r="M92" s="58"/>
      <x:c r="N92" s="24" t="n">
        <x:v>0</x:v>
      </x:c>
      <x:c r="O92" s="24" t="n">
        <x:v>36</x:v>
      </x:c>
      <x:c r="P92" s="24"/>
      <x:c r="Q92" s="64" t="n">
        <x:f>IFERROR(P92/O92,0)</x:f>
        <x:v>0</x:v>
      </x:c>
      <x:c r="R92" s="24" t="str">
        <x:v>Inspección</x:v>
      </x:c>
      <x:c r="S92" s="70"/>
      <x:c r="T92" s="24" t="str">
        <x:f>IF(XOR(X92="Reprogramada",X92="Cancelada"),"",IF(AND(Q92&gt;=0.8,S92&gt;=4),"Sí",IF(AND(Q92&gt;=0.65,S92&gt;=3.5),"Parcial","No")))</x:f>
      </x:c>
      <x:c r="U92" s="24" t="str">
        <x:v>Jesús Guerrero</x:v>
      </x:c>
      <x:c r="V92" s="11" t="str">
        <x:v>Humano (facilitador interno) / Logístico / Material de apoyo</x:v>
      </x:c>
      <x:c r="W92" s="11" t="str">
        <x:v>Carlos Felipe Parada Ramón</x:v>
      </x:c>
      <x:c r="X92" s="11" t="str">
        <x:v>Cancelada</x:v>
      </x:c>
      <x:c r="Y92" s="52" t="str">
        <x:v>Actividad cancelada por reorganización operativa o priorización de otras necesidades.</x:v>
      </x:c>
    </x:row>
    <x:row r="93">
      <x:c r="A93" s="23" t="n">
        <x:v>92</x:v>
      </x:c>
      <x:c r="B93" s="24" t="n">
        <x:v>2023</x:v>
      </x:c>
      <x:c r="C93" s="24" t="str">
        <x:v>Septiembre</x:v>
      </x:c>
      <x:c r="D93" s="24" t="n">
        <x:v>9</x:v>
      </x:c>
      <x:c r="E93" s="24" t="str">
        <x:v>Locativo</x:v>
      </x:c>
      <x:c r="F93" s="24" t="str">
        <x:v>Capacitación</x:v>
      </x:c>
      <x:c r="G93" s="24" t="str">
        <x:v>Interno</x:v>
      </x:c>
      <x:c r="H93" s="24" t="str">
        <x:v>Todos</x:v>
      </x:c>
      <x:c r="I93" s="24" t="str">
        <x:v>Girón</x:v>
      </x:c>
      <x:c r="J93" s="11" t="str">
        <x:v>Orden, aseo y prevención de caídas al mismo nivel</x:v>
      </x:c>
      <x:c r="K93" s="11" t="str">
        <x:v>Reducir la accidentalidad asociada a condiciones locativas mediante prácticas de orden y aseo.</x:v>
      </x:c>
      <x:c r="L93" s="24" t="n">
        <x:v>1</x:v>
      </x:c>
      <x:c r="M93" s="58"/>
      <x:c r="N93" s="24"/>
      <x:c r="O93" s="24" t="n">
        <x:v>41</x:v>
      </x:c>
      <x:c r="P93" s="24"/>
      <x:c r="Q93" s="64" t="n">
        <x:f>IFERROR(P93/O93,0)</x:f>
        <x:v>0</x:v>
      </x:c>
      <x:c r="R93" s="24" t="str">
        <x:v>Inspección</x:v>
      </x:c>
      <x:c r="S93" s="70"/>
      <x:c r="T93" s="24" t="str">
        <x:f>IF(XOR(X93="Reprogramada",X93="Cancelada"),"",IF(AND(Q93&gt;=0.8,S93&gt;=4),"Sí",IF(AND(Q93&gt;=0.65,S93&gt;=3.5),"Parcial","No")))</x:f>
      </x:c>
      <x:c r="U93" s="24" t="str">
        <x:v>Jesús Guerrero</x:v>
      </x:c>
      <x:c r="V93" s="11" t="str">
        <x:v>Humano (facilitador interno) / Logístico / Material de apoyo</x:v>
      </x:c>
      <x:c r="W93" s="11" t="str">
        <x:v>Camila Andrea Galván</x:v>
      </x:c>
      <x:c r="X93" s="11" t="str">
        <x:v>Reprogramada</x:v>
      </x:c>
      <x:c r="Y93" s="52" t="str">
        <x:v>Actividad reprogramada por operación, disponibilidad del facilitador o ajustes logísticos.</x:v>
      </x:c>
    </x:row>
    <x:row r="94">
      <x:c r="A94" s="23" t="n">
        <x:v>93</x:v>
      </x:c>
      <x:c r="B94" s="24" t="n">
        <x:v>2023</x:v>
      </x:c>
      <x:c r="C94" s="24" t="str">
        <x:v>Septiembre</x:v>
      </x:c>
      <x:c r="D94" s="24" t="n">
        <x:v>9</x:v>
      </x:c>
      <x:c r="E94" s="24" t="str">
        <x:v>Locativo</x:v>
      </x:c>
      <x:c r="F94" s="24" t="str">
        <x:v>Capacitación</x:v>
      </x:c>
      <x:c r="G94" s="24" t="str">
        <x:v>Interno</x:v>
      </x:c>
      <x:c r="H94" s="24" t="str">
        <x:v>Todos</x:v>
      </x:c>
      <x:c r="I94" s="24" t="str">
        <x:v>Valledupar</x:v>
      </x:c>
      <x:c r="J94" s="11" t="str">
        <x:v>Orden, aseo y prevención de caídas al mismo nivel</x:v>
      </x:c>
      <x:c r="K94" s="11" t="str">
        <x:v>Reducir la accidentalidad asociada a condiciones locativas mediante prácticas de orden y aseo.</x:v>
      </x:c>
      <x:c r="L94" s="24" t="n">
        <x:v>1</x:v>
      </x:c>
      <x:c r="M94" s="58" t="n">
        <x:v>45192</x:v>
      </x:c>
      <x:c r="N94" s="24" t="n">
        <x:v>1</x:v>
      </x:c>
      <x:c r="O94" s="24" t="n">
        <x:v>47</x:v>
      </x:c>
      <x:c r="P94" s="24" t="n">
        <x:v>41</x:v>
      </x:c>
      <x:c r="Q94" s="64" t="n">
        <x:f>IFERROR(P94/O94,0)</x:f>
        <x:v>0.8723404255319149</x:v>
      </x:c>
      <x:c r="R94" s="24" t="str">
        <x:v>Inspección</x:v>
      </x:c>
      <x:c r="S94" s="70" t="n">
        <x:v>4.1</x:v>
      </x:c>
      <x:c r="T94" s="24" t="str">
        <x:f>IF(XOR(X94="Reprogramada",X94="Cancelada"),"",IF(AND(Q94&gt;=0.8,S94&gt;=4),"Sí",IF(AND(Q94&gt;=0.65,S94&gt;=3.5),"Parcial","No")))</x:f>
        <x:v>Sí</x:v>
      </x:c>
      <x:c r="U94" s="24" t="str">
        <x:v>Jesús Guerrero</x:v>
      </x:c>
      <x:c r="V94" s="11" t="str">
        <x:v>Humano (facilitador interno) / Logístico / Material de apoyo</x:v>
      </x:c>
      <x:c r="W94" s="11" t="str">
        <x:v>Jesús Guerrero</x:v>
      </x:c>
      <x:c r="X94" s="11" t="str">
        <x:v>Ejecutada</x:v>
      </x:c>
      <x:c r="Y94" s="52" t="str">
        <x:v>Actividad ejecutada satisfactoriamente; mantener evidencia y seguimiento.</x:v>
      </x:c>
    </x:row>
    <x:row r="95">
      <x:c r="A95" s="23" t="n">
        <x:v>94</x:v>
      </x:c>
      <x:c r="B95" s="24" t="n">
        <x:v>2023</x:v>
      </x:c>
      <x:c r="C95" s="24" t="str">
        <x:v>Septiembre</x:v>
      </x:c>
      <x:c r="D95" s="24" t="n">
        <x:v>9</x:v>
      </x:c>
      <x:c r="E95" s="24" t="str">
        <x:v>Locativo</x:v>
      </x:c>
      <x:c r="F95" s="24" t="str">
        <x:v>Capacitación</x:v>
      </x:c>
      <x:c r="G95" s="24" t="str">
        <x:v>Interno</x:v>
      </x:c>
      <x:c r="H95" s="24" t="str">
        <x:v>Todos</x:v>
      </x:c>
      <x:c r="I95" s="24" t="str">
        <x:v>Arauca</x:v>
      </x:c>
      <x:c r="J95" s="11" t="str">
        <x:v>Orden, aseo y prevención de caídas al mismo nivel</x:v>
      </x:c>
      <x:c r="K95" s="11" t="str">
        <x:v>Reducir la accidentalidad asociada a condiciones locativas mediante prácticas de orden y aseo.</x:v>
      </x:c>
      <x:c r="L95" s="24" t="n">
        <x:v>1</x:v>
      </x:c>
      <x:c r="M95" s="58" t="n">
        <x:v>45194</x:v>
      </x:c>
      <x:c r="N95" s="24" t="n">
        <x:v>1</x:v>
      </x:c>
      <x:c r="O95" s="24" t="n">
        <x:v>29</x:v>
      </x:c>
      <x:c r="P95" s="24" t="n">
        <x:v>26</x:v>
      </x:c>
      <x:c r="Q95" s="64" t="n">
        <x:f>IFERROR(P95/O95,0)</x:f>
        <x:v>0.896551724137931</x:v>
      </x:c>
      <x:c r="R95" s="24" t="str">
        <x:v>Inspección</x:v>
      </x:c>
      <x:c r="S95" s="70" t="n">
        <x:v>4.3</x:v>
      </x:c>
      <x:c r="T95" s="24" t="str">
        <x:f>IF(XOR(X95="Reprogramada",X95="Cancelada"),"",IF(AND(Q95&gt;=0.8,S95&gt;=4),"Sí",IF(AND(Q95&gt;=0.65,S95&gt;=3.5),"Parcial","No")))</x:f>
        <x:v>Sí</x:v>
      </x:c>
      <x:c r="U95" s="24" t="str">
        <x:v>Jesús Guerrero</x:v>
      </x:c>
      <x:c r="V95" s="11" t="str">
        <x:v>Humano (facilitador interno) / Logístico / Material de apoyo</x:v>
      </x:c>
      <x:c r="W95" s="11" t="str">
        <x:v>Carlos Felipe Parada Ramón</x:v>
      </x:c>
      <x:c r="X95" s="11" t="str">
        <x:v>Ejecutada</x:v>
      </x:c>
      <x:c r="Y95" s="52" t="str">
        <x:v>Actividad ejecutada satisfactoriamente; mantener evidencia y seguimiento.</x:v>
      </x:c>
    </x:row>
    <x:row r="96">
      <x:c r="A96" s="23" t="n">
        <x:v>95</x:v>
      </x:c>
      <x:c r="B96" s="24" t="n">
        <x:v>2023</x:v>
      </x:c>
      <x:c r="C96" s="24" t="str">
        <x:v>Septiembre</x:v>
      </x:c>
      <x:c r="D96" s="24" t="n">
        <x:v>9</x:v>
      </x:c>
      <x:c r="E96" s="24" t="str">
        <x:v>Locativo</x:v>
      </x:c>
      <x:c r="F96" s="24" t="str">
        <x:v>Capacitación</x:v>
      </x:c>
      <x:c r="G96" s="24" t="str">
        <x:v>Interno</x:v>
      </x:c>
      <x:c r="H96" s="24" t="str">
        <x:v>Todos</x:v>
      </x:c>
      <x:c r="I96" s="24" t="str">
        <x:v>Bogotá</x:v>
      </x:c>
      <x:c r="J96" s="11" t="str">
        <x:v>Orden, aseo y prevención de caídas al mismo nivel</x:v>
      </x:c>
      <x:c r="K96" s="11" t="str">
        <x:v>Reducir la accidentalidad asociada a condiciones locativas mediante prácticas de orden y aseo.</x:v>
      </x:c>
      <x:c r="L96" s="24" t="n">
        <x:v>1</x:v>
      </x:c>
      <x:c r="M96" s="58" t="n">
        <x:v>45182</x:v>
      </x:c>
      <x:c r="N96" s="24" t="n">
        <x:v>1</x:v>
      </x:c>
      <x:c r="O96" s="24" t="n">
        <x:v>63</x:v>
      </x:c>
      <x:c r="P96" s="24" t="n">
        <x:v>57</x:v>
      </x:c>
      <x:c r="Q96" s="64" t="n">
        <x:f>IFERROR(P96/O96,0)</x:f>
        <x:v>0.9047619047619048</x:v>
      </x:c>
      <x:c r="R96" s="24" t="str">
        <x:v>Inspección</x:v>
      </x:c>
      <x:c r="S96" s="70" t="n">
        <x:v>4.2</x:v>
      </x:c>
      <x:c r="T96" s="24" t="str">
        <x:f>IF(XOR(X96="Reprogramada",X96="Cancelada"),"",IF(AND(Q96&gt;=0.8,S96&gt;=4),"Sí",IF(AND(Q96&gt;=0.65,S96&gt;=3.5),"Parcial","No")))</x:f>
        <x:v>Sí</x:v>
      </x:c>
      <x:c r="U96" s="24" t="str">
        <x:v>Jesús Guerrero</x:v>
      </x:c>
      <x:c r="V96" s="11" t="str">
        <x:v>Humano (facilitador interno) / Logístico / Material de apoyo</x:v>
      </x:c>
      <x:c r="W96" s="11" t="str">
        <x:v>Camila Andrea Galván</x:v>
      </x:c>
      <x:c r="X96" s="11" t="str">
        <x:v>Ejecutada</x:v>
      </x:c>
      <x:c r="Y96" s="52" t="str">
        <x:v>Actividad ejecutada satisfactoriamente; mantener evidencia y seguimiento.</x:v>
      </x:c>
    </x:row>
    <x:row r="97">
      <x:c r="A97" s="23" t="n">
        <x:v>96</x:v>
      </x:c>
      <x:c r="B97" s="24" t="n">
        <x:v>2023</x:v>
      </x:c>
      <x:c r="C97" s="24" t="str">
        <x:v>Septiembre</x:v>
      </x:c>
      <x:c r="D97" s="24" t="n">
        <x:v>9</x:v>
      </x:c>
      <x:c r="E97" s="24" t="str">
        <x:v>Locativo</x:v>
      </x:c>
      <x:c r="F97" s="24" t="str">
        <x:v>Capacitación</x:v>
      </x:c>
      <x:c r="G97" s="24" t="str">
        <x:v>Interno</x:v>
      </x:c>
      <x:c r="H97" s="24" t="str">
        <x:v>Todos</x:v>
      </x:c>
      <x:c r="I97" s="24" t="str">
        <x:v>Tibú</x:v>
      </x:c>
      <x:c r="J97" s="11" t="str">
        <x:v>Orden, aseo y prevención de caídas al mismo nivel</x:v>
      </x:c>
      <x:c r="K97" s="11" t="str">
        <x:v>Reducir la accidentalidad asociada a condiciones locativas mediante prácticas de orden y aseo.</x:v>
      </x:c>
      <x:c r="L97" s="24" t="n">
        <x:v>1</x:v>
      </x:c>
      <x:c r="M97" s="58" t="n">
        <x:v>45181</x:v>
      </x:c>
      <x:c r="N97" s="24" t="n">
        <x:v>1</x:v>
      </x:c>
      <x:c r="O97" s="24" t="n">
        <x:v>31</x:v>
      </x:c>
      <x:c r="P97" s="24" t="n">
        <x:v>24</x:v>
      </x:c>
      <x:c r="Q97" s="64" t="n">
        <x:f>IFERROR(P97/O97,0)</x:f>
        <x:v>0.7741935483870968</x:v>
      </x:c>
      <x:c r="R97" s="24" t="str">
        <x:v>Inspección</x:v>
      </x:c>
      <x:c r="S97" s="70" t="n">
        <x:v>4.7</x:v>
      </x:c>
      <x:c r="T97" s="24" t="str">
        <x:f>IF(XOR(X97="Reprogramada",X97="Cancelada"),"",IF(AND(Q97&gt;=0.8,S97&gt;=4),"Sí",IF(AND(Q97&gt;=0.65,S97&gt;=3.5),"Parcial","No")))</x:f>
        <x:v>Parcial</x:v>
      </x:c>
      <x:c r="U97" s="24" t="str">
        <x:v>Jesús Guerrero</x:v>
      </x:c>
      <x:c r="V97" s="11" t="str">
        <x:v>Humano (facilitador interno) / Logístico / Material de apoyo</x:v>
      </x:c>
      <x:c r="W97" s="11" t="str">
        <x:v>Jesús Guerrero</x:v>
      </x:c>
      <x:c r="X97" s="11" t="str">
        <x:v>Ejecutada</x:v>
      </x:c>
      <x:c r="Y97" s="52" t="str">
        <x:v>Actividad ejecutada satisfactoriamente; mantener evidencia y seguimiento.</x:v>
      </x:c>
    </x:row>
    <x:row r="98">
      <x:c r="A98" s="23" t="n">
        <x:v>97</x:v>
      </x:c>
      <x:c r="B98" s="24" t="n">
        <x:v>2023</x:v>
      </x:c>
      <x:c r="C98" s="24" t="str">
        <x:v>Septiembre</x:v>
      </x:c>
      <x:c r="D98" s="24" t="n">
        <x:v>9</x:v>
      </x:c>
      <x:c r="E98" s="24" t="str">
        <x:v>Locativo</x:v>
      </x:c>
      <x:c r="F98" s="24" t="str">
        <x:v>Capacitación</x:v>
      </x:c>
      <x:c r="G98" s="24" t="str">
        <x:v>Interno</x:v>
      </x:c>
      <x:c r="H98" s="24" t="str">
        <x:v>Todos</x:v>
      </x:c>
      <x:c r="I98" s="24" t="str">
        <x:v>Medellín</x:v>
      </x:c>
      <x:c r="J98" s="11" t="str">
        <x:v>Orden, aseo y prevención de caídas al mismo nivel</x:v>
      </x:c>
      <x:c r="K98" s="11" t="str">
        <x:v>Reducir la accidentalidad asociada a condiciones locativas mediante prácticas de orden y aseo.</x:v>
      </x:c>
      <x:c r="L98" s="24" t="n">
        <x:v>1</x:v>
      </x:c>
      <x:c r="M98" s="58" t="n">
        <x:v>45185</x:v>
      </x:c>
      <x:c r="N98" s="24" t="n">
        <x:v>1</x:v>
      </x:c>
      <x:c r="O98" s="24" t="n">
        <x:v>58</x:v>
      </x:c>
      <x:c r="P98" s="24" t="n">
        <x:v>50</x:v>
      </x:c>
      <x:c r="Q98" s="64" t="n">
        <x:f>IFERROR(P98/O98,0)</x:f>
        <x:v>0.8620689655172413</x:v>
      </x:c>
      <x:c r="R98" s="24" t="str">
        <x:v>Inspección</x:v>
      </x:c>
      <x:c r="S98" s="70" t="n">
        <x:v>4.7</x:v>
      </x:c>
      <x:c r="T98" s="24" t="str">
        <x:f>IF(XOR(X98="Reprogramada",X98="Cancelada"),"",IF(AND(Q98&gt;=0.8,S98&gt;=4),"Sí",IF(AND(Q98&gt;=0.65,S98&gt;=3.5),"Parcial","No")))</x:f>
        <x:v>Sí</x:v>
      </x:c>
      <x:c r="U98" s="24" t="str">
        <x:v>Jesús Guerrero</x:v>
      </x:c>
      <x:c r="V98" s="11" t="str">
        <x:v>Humano (facilitador interno) / Logístico / Material de apoyo</x:v>
      </x:c>
      <x:c r="W98" s="11" t="str">
        <x:v>Carlos Felipe Parada Ramón</x:v>
      </x:c>
      <x:c r="X98" s="11" t="str">
        <x:v>Ejecutada</x:v>
      </x:c>
      <x:c r="Y98" s="52" t="str">
        <x:v>Actividad ejecutada satisfactoriamente; mantener evidencia y seguimiento.</x:v>
      </x:c>
    </x:row>
    <x:row r="99">
      <x:c r="A99" s="23" t="n">
        <x:v>98</x:v>
      </x:c>
      <x:c r="B99" s="24" t="n">
        <x:v>2023</x:v>
      </x:c>
      <x:c r="C99" s="24" t="str">
        <x:v>Septiembre</x:v>
      </x:c>
      <x:c r="D99" s="24" t="n">
        <x:v>9</x:v>
      </x:c>
      <x:c r="E99" s="24" t="str">
        <x:v>Locativo</x:v>
      </x:c>
      <x:c r="F99" s="24" t="str">
        <x:v>Capacitación</x:v>
      </x:c>
      <x:c r="G99" s="24" t="str">
        <x:v>Interno</x:v>
      </x:c>
      <x:c r="H99" s="24" t="str">
        <x:v>Todos</x:v>
      </x:c>
      <x:c r="I99" s="24" t="str">
        <x:v>Ábrego</x:v>
      </x:c>
      <x:c r="J99" s="11" t="str">
        <x:v>Orden, aseo y prevención de caídas al mismo nivel</x:v>
      </x:c>
      <x:c r="K99" s="11" t="str">
        <x:v>Reducir la accidentalidad asociada a condiciones locativas mediante prácticas de orden y aseo.</x:v>
      </x:c>
      <x:c r="L99" s="24" t="n">
        <x:v>1</x:v>
      </x:c>
      <x:c r="M99" s="58" t="n">
        <x:v>45185</x:v>
      </x:c>
      <x:c r="N99" s="24" t="n">
        <x:v>1</x:v>
      </x:c>
      <x:c r="O99" s="24" t="n">
        <x:v>24</x:v>
      </x:c>
      <x:c r="P99" s="24" t="n">
        <x:v>23</x:v>
      </x:c>
      <x:c r="Q99" s="64" t="n">
        <x:f>IFERROR(P99/O99,0)</x:f>
        <x:v>0.9583333333333334</x:v>
      </x:c>
      <x:c r="R99" s="24" t="str">
        <x:v>Inspección</x:v>
      </x:c>
      <x:c r="S99" s="70" t="n">
        <x:v>4.4</x:v>
      </x:c>
      <x:c r="T99" s="24" t="str">
        <x:f>IF(XOR(X99="Reprogramada",X99="Cancelada"),"",IF(AND(Q99&gt;=0.8,S99&gt;=4),"Sí",IF(AND(Q99&gt;=0.65,S99&gt;=3.5),"Parcial","No")))</x:f>
        <x:v>Sí</x:v>
      </x:c>
      <x:c r="U99" s="24" t="str">
        <x:v>Jesús Guerrero</x:v>
      </x:c>
      <x:c r="V99" s="11" t="str">
        <x:v>Humano (facilitador interno) / Logístico / Material de apoyo</x:v>
      </x:c>
      <x:c r="W99" s="11" t="str">
        <x:v>Camila Andrea Galván</x:v>
      </x:c>
      <x:c r="X99" s="11" t="str">
        <x:v>Ejecutada</x:v>
      </x:c>
      <x:c r="Y99" s="52" t="str">
        <x:v>Actividad ejecutada satisfactoriamente; mantener evidencia y seguimiento.</x:v>
      </x:c>
    </x:row>
    <x:row r="100">
      <x:c r="A100" s="23" t="n">
        <x:v>99</x:v>
      </x:c>
      <x:c r="B100" s="24" t="n">
        <x:v>2023</x:v>
      </x:c>
      <x:c r="C100" s="24" t="str">
        <x:v>Septiembre</x:v>
      </x:c>
      <x:c r="D100" s="24" t="n">
        <x:v>9</x:v>
      </x:c>
      <x:c r="E100" s="24" t="str">
        <x:v>Locativo</x:v>
      </x:c>
      <x:c r="F100" s="24" t="str">
        <x:v>Capacitación</x:v>
      </x:c>
      <x:c r="G100" s="24" t="str">
        <x:v>Interno</x:v>
      </x:c>
      <x:c r="H100" s="24" t="str">
        <x:v>Todos</x:v>
      </x:c>
      <x:c r="I100" s="24" t="str">
        <x:v>Pamplona</x:v>
      </x:c>
      <x:c r="J100" s="11" t="str">
        <x:v>Orden, aseo y prevención de caídas al mismo nivel</x:v>
      </x:c>
      <x:c r="K100" s="11" t="str">
        <x:v>Reducir la accidentalidad asociada a condiciones locativas mediante prácticas de orden y aseo.</x:v>
      </x:c>
      <x:c r="L100" s="24" t="n">
        <x:v>1</x:v>
      </x:c>
      <x:c r="M100" s="58" t="n">
        <x:v>45191</x:v>
      </x:c>
      <x:c r="N100" s="24" t="n">
        <x:v>1</x:v>
      </x:c>
      <x:c r="O100" s="24" t="n">
        <x:v>27</x:v>
      </x:c>
      <x:c r="P100" s="24" t="n">
        <x:v>25</x:v>
      </x:c>
      <x:c r="Q100" s="64" t="n">
        <x:f>IFERROR(P100/O100,0)</x:f>
        <x:v>0.9259259259259259</x:v>
      </x:c>
      <x:c r="R100" s="24" t="str">
        <x:v>Inspección</x:v>
      </x:c>
      <x:c r="S100" s="70" t="n">
        <x:v>4.7</x:v>
      </x:c>
      <x:c r="T100" s="24" t="str">
        <x:f>IF(XOR(X100="Reprogramada",X100="Cancelada"),"",IF(AND(Q100&gt;=0.8,S100&gt;=4),"Sí",IF(AND(Q100&gt;=0.65,S100&gt;=3.5),"Parcial","No")))</x:f>
        <x:v>Sí</x:v>
      </x:c>
      <x:c r="U100" s="24" t="str">
        <x:v>Jesús Guerrero</x:v>
      </x:c>
      <x:c r="V100" s="11" t="str">
        <x:v>Humano (facilitador interno) / Logístico / Material de apoyo</x:v>
      </x:c>
      <x:c r="W100" s="11" t="str">
        <x:v>Jesús Guerrero</x:v>
      </x:c>
      <x:c r="X100" s="11" t="str">
        <x:v>Ejecutada</x:v>
      </x:c>
      <x:c r="Y100" s="52" t="str">
        <x:v>Actividad ejecutada satisfactoriamente; mantener evidencia y seguimiento.</x:v>
      </x:c>
    </x:row>
    <x:row r="101">
      <x:c r="A101" s="23" t="n">
        <x:v>100</x:v>
      </x:c>
      <x:c r="B101" s="24" t="n">
        <x:v>2023</x:v>
      </x:c>
      <x:c r="C101" s="24" t="str">
        <x:v>Octubre</x:v>
      </x:c>
      <x:c r="D101" s="24" t="n">
        <x:v>10</x:v>
      </x:c>
      <x:c r="E101" s="24" t="str">
        <x:v>Emergencias</x:v>
      </x:c>
      <x:c r="F101" s="24" t="str">
        <x:v>Simulacro</x:v>
      </x:c>
      <x:c r="G101" s="24" t="str">
        <x:v>Interno</x:v>
      </x:c>
      <x:c r="H101" s="24" t="str">
        <x:v>Todos</x:v>
      </x:c>
      <x:c r="I101" s="24" t="str">
        <x:v>Cúcuta</x:v>
      </x:c>
      <x:c r="J101" s="11" t="str">
        <x:v>Plan de emergencias y evacuación</x:v>
      </x:c>
      <x:c r="K101" s="11" t="str">
        <x:v>Preparar a los trabajadores para responder de forma organizada y segura ante una emergencia y evacuación.</x:v>
      </x:c>
      <x:c r="L101" s="24" t="n">
        <x:v>2</x:v>
      </x:c>
      <x:c r="M101" s="58" t="n">
        <x:v>45219</x:v>
      </x:c>
      <x:c r="N101" s="24" t="n">
        <x:v>2.5</x:v>
      </x:c>
      <x:c r="O101" s="24" t="n">
        <x:v>78</x:v>
      </x:c>
      <x:c r="P101" s="24" t="n">
        <x:v>64</x:v>
      </x:c>
      <x:c r="Q101" s="64" t="n">
        <x:f>IFERROR(P101/O101,0)</x:f>
        <x:v>0.8205128205128205</x:v>
      </x:c>
      <x:c r="R101" s="24" t="str">
        <x:v>Simulacro</x:v>
      </x:c>
      <x:c r="S101" s="70" t="n">
        <x:v>4.5</x:v>
      </x:c>
      <x:c r="T101" s="24" t="str">
        <x:f>IF(XOR(X101="Reprogramada",X101="Cancelada"),"",IF(AND(Q101&gt;=0.8,S101&gt;=4),"Sí",IF(AND(Q101&gt;=0.65,S101&gt;=3.5),"Parcial","No")))</x:f>
        <x:v>Sí</x:v>
      </x:c>
      <x:c r="U101" s="24" t="str">
        <x:v>Brigada Interna</x:v>
      </x:c>
      <x:c r="V101" s="11" t="str">
        <x:v>Humano (facilitador interno) / Logístico / Material de apoyo</x:v>
      </x:c>
      <x:c r="W101" s="11" t="str">
        <x:v>Carlos Felipe Parada Ramón</x:v>
      </x:c>
      <x:c r="X101" s="11" t="str">
        <x:v>Ejecutada</x:v>
      </x:c>
      <x:c r="Y101" s="52" t="str">
        <x:v>Actividad ejecutada satisfactoriamente; mantener evidencia y seguimiento.</x:v>
      </x:c>
    </x:row>
    <x:row r="102">
      <x:c r="A102" s="23" t="n">
        <x:v>101</x:v>
      </x:c>
      <x:c r="B102" s="24" t="n">
        <x:v>2023</x:v>
      </x:c>
      <x:c r="C102" s="24" t="str">
        <x:v>Octubre</x:v>
      </x:c>
      <x:c r="D102" s="24" t="n">
        <x:v>10</x:v>
      </x:c>
      <x:c r="E102" s="24" t="str">
        <x:v>Emergencias</x:v>
      </x:c>
      <x:c r="F102" s="24" t="str">
        <x:v>Simulacro</x:v>
      </x:c>
      <x:c r="G102" s="24" t="str">
        <x:v>Interno</x:v>
      </x:c>
      <x:c r="H102" s="24" t="str">
        <x:v>Todos</x:v>
      </x:c>
      <x:c r="I102" s="24" t="str">
        <x:v>Barrancabermeja</x:v>
      </x:c>
      <x:c r="J102" s="11" t="str">
        <x:v>Plan de emergencias y evacuación</x:v>
      </x:c>
      <x:c r="K102" s="11" t="str">
        <x:v>Preparar a los trabajadores para responder de forma organizada y segura ante una emergencia y evacuación.</x:v>
      </x:c>
      <x:c r="L102" s="24" t="n">
        <x:v>2</x:v>
      </x:c>
      <x:c r="M102" s="58" t="n">
        <x:v>45222</x:v>
      </x:c>
      <x:c r="N102" s="24" t="n">
        <x:v>2</x:v>
      </x:c>
      <x:c r="O102" s="24" t="n">
        <x:v>52</x:v>
      </x:c>
      <x:c r="P102" s="24" t="n">
        <x:v>44</x:v>
      </x:c>
      <x:c r="Q102" s="64" t="n">
        <x:f>IFERROR(P102/O102,0)</x:f>
        <x:v>0.8461538461538461</x:v>
      </x:c>
      <x:c r="R102" s="24" t="str">
        <x:v>Simulacro</x:v>
      </x:c>
      <x:c r="S102" s="70" t="n">
        <x:v>4.5</x:v>
      </x:c>
      <x:c r="T102" s="24" t="str">
        <x:f>IF(XOR(X102="Reprogramada",X102="Cancelada"),"",IF(AND(Q102&gt;=0.8,S102&gt;=4),"Sí",IF(AND(Q102&gt;=0.65,S102&gt;=3.5),"Parcial","No")))</x:f>
        <x:v>Sí</x:v>
      </x:c>
      <x:c r="U102" s="24" t="str">
        <x:v>Brigada Interna</x:v>
      </x:c>
      <x:c r="V102" s="11" t="str">
        <x:v>Humano (facilitador interno) / Logístico / Material de apoyo</x:v>
      </x:c>
      <x:c r="W102" s="11" t="str">
        <x:v>Camila Andrea Galván</x:v>
      </x:c>
      <x:c r="X102" s="11" t="str">
        <x:v>Ejecutada</x:v>
      </x:c>
      <x:c r="Y102" s="52" t="str">
        <x:v>Actividad ejecutada satisfactoriamente; mantener evidencia y seguimiento.</x:v>
      </x:c>
    </x:row>
    <x:row r="103">
      <x:c r="A103" s="23" t="n">
        <x:v>102</x:v>
      </x:c>
      <x:c r="B103" s="24" t="n">
        <x:v>2023</x:v>
      </x:c>
      <x:c r="C103" s="24" t="str">
        <x:v>Octubre</x:v>
      </x:c>
      <x:c r="D103" s="24" t="n">
        <x:v>10</x:v>
      </x:c>
      <x:c r="E103" s="24" t="str">
        <x:v>Emergencias</x:v>
      </x:c>
      <x:c r="F103" s="24" t="str">
        <x:v>Simulacro</x:v>
      </x:c>
      <x:c r="G103" s="24" t="str">
        <x:v>Interno</x:v>
      </x:c>
      <x:c r="H103" s="24" t="str">
        <x:v>Todos</x:v>
      </x:c>
      <x:c r="I103" s="24" t="str">
        <x:v>Ocaña</x:v>
      </x:c>
      <x:c r="J103" s="11" t="str">
        <x:v>Plan de emergencias y evacuación</x:v>
      </x:c>
      <x:c r="K103" s="11" t="str">
        <x:v>Preparar a los trabajadores para responder de forma organizada y segura ante una emergencia y evacuación.</x:v>
      </x:c>
      <x:c r="L103" s="24" t="n">
        <x:v>2</x:v>
      </x:c>
      <x:c r="M103" s="58" t="n">
        <x:v>45223</x:v>
      </x:c>
      <x:c r="N103" s="24" t="n">
        <x:v>2</x:v>
      </x:c>
      <x:c r="O103" s="24" t="n">
        <x:v>36</x:v>
      </x:c>
      <x:c r="P103" s="24" t="n">
        <x:v>29</x:v>
      </x:c>
      <x:c r="Q103" s="64" t="n">
        <x:f>IFERROR(P103/O103,0)</x:f>
        <x:v>0.8055555555555556</x:v>
      </x:c>
      <x:c r="R103" s="24" t="str">
        <x:v>Simulacro</x:v>
      </x:c>
      <x:c r="S103" s="70" t="n">
        <x:v>5</x:v>
      </x:c>
      <x:c r="T103" s="24" t="str">
        <x:f>IF(XOR(X103="Reprogramada",X103="Cancelada"),"",IF(AND(Q103&gt;=0.8,S103&gt;=4),"Sí",IF(AND(Q103&gt;=0.65,S103&gt;=3.5),"Parcial","No")))</x:f>
        <x:v>Sí</x:v>
      </x:c>
      <x:c r="U103" s="24" t="str">
        <x:v>Brigada Interna</x:v>
      </x:c>
      <x:c r="V103" s="11" t="str">
        <x:v>Humano (facilitador interno) / Logístico / Material de apoyo</x:v>
      </x:c>
      <x:c r="W103" s="11" t="str">
        <x:v>Jesús Guerrero</x:v>
      </x:c>
      <x:c r="X103" s="11" t="str">
        <x:v>Ejecutada</x:v>
      </x:c>
      <x:c r="Y103" s="52" t="str">
        <x:v>Actividad ejecutada satisfactoriamente; mantener evidencia y seguimiento.</x:v>
      </x:c>
    </x:row>
    <x:row r="104">
      <x:c r="A104" s="23" t="n">
        <x:v>103</x:v>
      </x:c>
      <x:c r="B104" s="24" t="n">
        <x:v>2023</x:v>
      </x:c>
      <x:c r="C104" s="24" t="str">
        <x:v>Octubre</x:v>
      </x:c>
      <x:c r="D104" s="24" t="n">
        <x:v>10</x:v>
      </x:c>
      <x:c r="E104" s="24" t="str">
        <x:v>Emergencias</x:v>
      </x:c>
      <x:c r="F104" s="24" t="str">
        <x:v>Simulacro</x:v>
      </x:c>
      <x:c r="G104" s="24" t="str">
        <x:v>Interno</x:v>
      </x:c>
      <x:c r="H104" s="24" t="str">
        <x:v>Todos</x:v>
      </x:c>
      <x:c r="I104" s="24" t="str">
        <x:v>Girón</x:v>
      </x:c>
      <x:c r="J104" s="11" t="str">
        <x:v>Plan de emergencias y evacuación</x:v>
      </x:c>
      <x:c r="K104" s="11" t="str">
        <x:v>Preparar a los trabajadores para responder de forma organizada y segura ante una emergencia y evacuación.</x:v>
      </x:c>
      <x:c r="L104" s="24" t="n">
        <x:v>2</x:v>
      </x:c>
      <x:c r="M104" s="58" t="n">
        <x:v>45212</x:v>
      </x:c>
      <x:c r="N104" s="24" t="n">
        <x:v>2</x:v>
      </x:c>
      <x:c r="O104" s="24" t="n">
        <x:v>41</x:v>
      </x:c>
      <x:c r="P104" s="24" t="n">
        <x:v>40</x:v>
      </x:c>
      <x:c r="Q104" s="64" t="n">
        <x:f>IFERROR(P104/O104,0)</x:f>
        <x:v>0.975609756097561</x:v>
      </x:c>
      <x:c r="R104" s="24" t="str">
        <x:v>Simulacro</x:v>
      </x:c>
      <x:c r="S104" s="70" t="n">
        <x:v>4.6</x:v>
      </x:c>
      <x:c r="T104" s="24" t="str">
        <x:f>IF(XOR(X104="Reprogramada",X104="Cancelada"),"",IF(AND(Q104&gt;=0.8,S104&gt;=4),"Sí",IF(AND(Q104&gt;=0.65,S104&gt;=3.5),"Parcial","No")))</x:f>
        <x:v>Sí</x:v>
      </x:c>
      <x:c r="U104" s="24" t="str">
        <x:v>Brigada Interna</x:v>
      </x:c>
      <x:c r="V104" s="11" t="str">
        <x:v>Humano (facilitador interno) / Logístico / Material de apoyo</x:v>
      </x:c>
      <x:c r="W104" s="11" t="str">
        <x:v>Carlos Felipe Parada Ramón</x:v>
      </x:c>
      <x:c r="X104" s="11" t="str">
        <x:v>Ejecutada</x:v>
      </x:c>
      <x:c r="Y104" s="52" t="str">
        <x:v>Actividad ejecutada satisfactoriamente; mantener evidencia y seguimiento.</x:v>
      </x:c>
    </x:row>
    <x:row r="105">
      <x:c r="A105" s="23" t="n">
        <x:v>104</x:v>
      </x:c>
      <x:c r="B105" s="24" t="n">
        <x:v>2023</x:v>
      </x:c>
      <x:c r="C105" s="24" t="str">
        <x:v>Octubre</x:v>
      </x:c>
      <x:c r="D105" s="24" t="n">
        <x:v>10</x:v>
      </x:c>
      <x:c r="E105" s="24" t="str">
        <x:v>Emergencias</x:v>
      </x:c>
      <x:c r="F105" s="24" t="str">
        <x:v>Simulacro</x:v>
      </x:c>
      <x:c r="G105" s="24" t="str">
        <x:v>Interno</x:v>
      </x:c>
      <x:c r="H105" s="24" t="str">
        <x:v>Todos</x:v>
      </x:c>
      <x:c r="I105" s="24" t="str">
        <x:v>Valledupar</x:v>
      </x:c>
      <x:c r="J105" s="11" t="str">
        <x:v>Plan de emergencias y evacuación</x:v>
      </x:c>
      <x:c r="K105" s="11" t="str">
        <x:v>Preparar a los trabajadores para responder de forma organizada y segura ante una emergencia y evacuación.</x:v>
      </x:c>
      <x:c r="L105" s="24" t="n">
        <x:v>2</x:v>
      </x:c>
      <x:c r="M105" s="58" t="n">
        <x:v>45213</x:v>
      </x:c>
      <x:c r="N105" s="24" t="n">
        <x:v>2</x:v>
      </x:c>
      <x:c r="O105" s="24" t="n">
        <x:v>47</x:v>
      </x:c>
      <x:c r="P105" s="24" t="n">
        <x:v>43</x:v>
      </x:c>
      <x:c r="Q105" s="64" t="n">
        <x:f>IFERROR(P105/O105,0)</x:f>
        <x:v>0.9148936170212766</x:v>
      </x:c>
      <x:c r="R105" s="24" t="str">
        <x:v>Simulacro</x:v>
      </x:c>
      <x:c r="S105" s="70" t="n">
        <x:v>4.9</x:v>
      </x:c>
      <x:c r="T105" s="24" t="str">
        <x:f>IF(XOR(X105="Reprogramada",X105="Cancelada"),"",IF(AND(Q105&gt;=0.8,S105&gt;=4),"Sí",IF(AND(Q105&gt;=0.65,S105&gt;=3.5),"Parcial","No")))</x:f>
        <x:v>Sí</x:v>
      </x:c>
      <x:c r="U105" s="24" t="str">
        <x:v>Brigada Interna</x:v>
      </x:c>
      <x:c r="V105" s="11" t="str">
        <x:v>Humano (facilitador interno) / Logístico / Material de apoyo</x:v>
      </x:c>
      <x:c r="W105" s="11" t="str">
        <x:v>Camila Andrea Galván</x:v>
      </x:c>
      <x:c r="X105" s="11" t="str">
        <x:v>Ejecutada</x:v>
      </x:c>
      <x:c r="Y105" s="52" t="str">
        <x:v>Actividad ejecutada satisfactoriamente; mantener evidencia y seguimiento.</x:v>
      </x:c>
    </x:row>
    <x:row r="106">
      <x:c r="A106" s="23" t="n">
        <x:v>105</x:v>
      </x:c>
      <x:c r="B106" s="24" t="n">
        <x:v>2023</x:v>
      </x:c>
      <x:c r="C106" s="24" t="str">
        <x:v>Octubre</x:v>
      </x:c>
      <x:c r="D106" s="24" t="n">
        <x:v>10</x:v>
      </x:c>
      <x:c r="E106" s="24" t="str">
        <x:v>Emergencias</x:v>
      </x:c>
      <x:c r="F106" s="24" t="str">
        <x:v>Simulacro</x:v>
      </x:c>
      <x:c r="G106" s="24" t="str">
        <x:v>Interno</x:v>
      </x:c>
      <x:c r="H106" s="24" t="str">
        <x:v>Todos</x:v>
      </x:c>
      <x:c r="I106" s="24" t="str">
        <x:v>Arauca</x:v>
      </x:c>
      <x:c r="J106" s="11" t="str">
        <x:v>Plan de emergencias y evacuación</x:v>
      </x:c>
      <x:c r="K106" s="11" t="str">
        <x:v>Preparar a los trabajadores para responder de forma organizada y segura ante una emergencia y evacuación.</x:v>
      </x:c>
      <x:c r="L106" s="24" t="n">
        <x:v>2</x:v>
      </x:c>
      <x:c r="M106" s="58" t="n">
        <x:v>45225</x:v>
      </x:c>
      <x:c r="N106" s="24" t="n">
        <x:v>1.5</x:v>
      </x:c>
      <x:c r="O106" s="24" t="n">
        <x:v>29</x:v>
      </x:c>
      <x:c r="P106" s="24" t="n">
        <x:v>27</x:v>
      </x:c>
      <x:c r="Q106" s="64" t="n">
        <x:f>IFERROR(P106/O106,0)</x:f>
        <x:v>0.9310344827586207</x:v>
      </x:c>
      <x:c r="R106" s="24" t="str">
        <x:v>Simulacro</x:v>
      </x:c>
      <x:c r="S106" s="70" t="n">
        <x:v>4.3</x:v>
      </x:c>
      <x:c r="T106" s="24" t="str">
        <x:f>IF(XOR(X106="Reprogramada",X106="Cancelada"),"",IF(AND(Q106&gt;=0.8,S106&gt;=4),"Sí",IF(AND(Q106&gt;=0.65,S106&gt;=3.5),"Parcial","No")))</x:f>
        <x:v>Sí</x:v>
      </x:c>
      <x:c r="U106" s="24" t="str">
        <x:v>Brigada Interna</x:v>
      </x:c>
      <x:c r="V106" s="11" t="str">
        <x:v>Humano (facilitador interno) / Logístico / Material de apoyo</x:v>
      </x:c>
      <x:c r="W106" s="11" t="str">
        <x:v>Jesús Guerrero</x:v>
      </x:c>
      <x:c r="X106" s="11" t="str">
        <x:v>Ejecutada</x:v>
      </x:c>
      <x:c r="Y106" s="52" t="str">
        <x:v>Actividad ejecutada satisfactoriamente; mantener evidencia y seguimiento.</x:v>
      </x:c>
    </x:row>
    <x:row r="107">
      <x:c r="A107" s="23" t="n">
        <x:v>106</x:v>
      </x:c>
      <x:c r="B107" s="24" t="n">
        <x:v>2023</x:v>
      </x:c>
      <x:c r="C107" s="24" t="str">
        <x:v>Octubre</x:v>
      </x:c>
      <x:c r="D107" s="24" t="n">
        <x:v>10</x:v>
      </x:c>
      <x:c r="E107" s="24" t="str">
        <x:v>Emergencias</x:v>
      </x:c>
      <x:c r="F107" s="24" t="str">
        <x:v>Simulacro</x:v>
      </x:c>
      <x:c r="G107" s="24" t="str">
        <x:v>Interno</x:v>
      </x:c>
      <x:c r="H107" s="24" t="str">
        <x:v>Todos</x:v>
      </x:c>
      <x:c r="I107" s="24" t="str">
        <x:v>Bogotá</x:v>
      </x:c>
      <x:c r="J107" s="11" t="str">
        <x:v>Plan de emergencias y evacuación</x:v>
      </x:c>
      <x:c r="K107" s="11" t="str">
        <x:v>Preparar a los trabajadores para responder de forma organizada y segura ante una emergencia y evacuación.</x:v>
      </x:c>
      <x:c r="L107" s="24" t="n">
        <x:v>2</x:v>
      </x:c>
      <x:c r="M107" s="58"/>
      <x:c r="N107" s="24" t="n">
        <x:v>0</x:v>
      </x:c>
      <x:c r="O107" s="24" t="n">
        <x:v>63</x:v>
      </x:c>
      <x:c r="P107" s="24"/>
      <x:c r="Q107" s="64" t="n">
        <x:f>IFERROR(P107/O107,0)</x:f>
        <x:v>0</x:v>
      </x:c>
      <x:c r="R107" s="24" t="str">
        <x:v>Simulacro</x:v>
      </x:c>
      <x:c r="S107" s="70"/>
      <x:c r="T107" s="24" t="str">
        <x:f>IF(XOR(X107="Reprogramada",X107="Cancelada"),"",IF(AND(Q107&gt;=0.8,S107&gt;=4),"Sí",IF(AND(Q107&gt;=0.65,S107&gt;=3.5),"Parcial","No")))</x:f>
      </x:c>
      <x:c r="U107" s="24" t="str">
        <x:v>Brigada Interna</x:v>
      </x:c>
      <x:c r="V107" s="11" t="str">
        <x:v>Humano (facilitador interno) / Logístico / Material de apoyo</x:v>
      </x:c>
      <x:c r="W107" s="11" t="str">
        <x:v>Carlos Felipe Parada Ramón</x:v>
      </x:c>
      <x:c r="X107" s="11" t="str">
        <x:v>Cancelada</x:v>
      </x:c>
      <x:c r="Y107" s="52" t="str">
        <x:v>Actividad cancelada por reorganización operativa o priorización de otras necesidades.</x:v>
      </x:c>
    </x:row>
    <x:row r="108">
      <x:c r="A108" s="23" t="n">
        <x:v>107</x:v>
      </x:c>
      <x:c r="B108" s="24" t="n">
        <x:v>2023</x:v>
      </x:c>
      <x:c r="C108" s="24" t="str">
        <x:v>Octubre</x:v>
      </x:c>
      <x:c r="D108" s="24" t="n">
        <x:v>10</x:v>
      </x:c>
      <x:c r="E108" s="24" t="str">
        <x:v>Emergencias</x:v>
      </x:c>
      <x:c r="F108" s="24" t="str">
        <x:v>Simulacro</x:v>
      </x:c>
      <x:c r="G108" s="24" t="str">
        <x:v>Interno</x:v>
      </x:c>
      <x:c r="H108" s="24" t="str">
        <x:v>Todos</x:v>
      </x:c>
      <x:c r="I108" s="24" t="str">
        <x:v>Tibú</x:v>
      </x:c>
      <x:c r="J108" s="11" t="str">
        <x:v>Plan de emergencias y evacuación</x:v>
      </x:c>
      <x:c r="K108" s="11" t="str">
        <x:v>Preparar a los trabajadores para responder de forma organizada y segura ante una emergencia y evacuación.</x:v>
      </x:c>
      <x:c r="L108" s="24" t="n">
        <x:v>2</x:v>
      </x:c>
      <x:c r="M108" s="58" t="n">
        <x:v>45222</x:v>
      </x:c>
      <x:c r="N108" s="24" t="n">
        <x:v>2</x:v>
      </x:c>
      <x:c r="O108" s="24" t="n">
        <x:v>31</x:v>
      </x:c>
      <x:c r="P108" s="24" t="n">
        <x:v>30</x:v>
      </x:c>
      <x:c r="Q108" s="64" t="n">
        <x:f>IFERROR(P108/O108,0)</x:f>
        <x:v>0.967741935483871</x:v>
      </x:c>
      <x:c r="R108" s="24" t="str">
        <x:v>Simulacro</x:v>
      </x:c>
      <x:c r="S108" s="70" t="n">
        <x:v>4.8</x:v>
      </x:c>
      <x:c r="T108" s="24" t="str">
        <x:f>IF(XOR(X108="Reprogramada",X108="Cancelada"),"",IF(AND(Q108&gt;=0.8,S108&gt;=4),"Sí",IF(AND(Q108&gt;=0.65,S108&gt;=3.5),"Parcial","No")))</x:f>
        <x:v>Sí</x:v>
      </x:c>
      <x:c r="U108" s="24" t="str">
        <x:v>Brigada Interna</x:v>
      </x:c>
      <x:c r="V108" s="11" t="str">
        <x:v>Humano (facilitador interno) / Logístico / Material de apoyo</x:v>
      </x:c>
      <x:c r="W108" s="11" t="str">
        <x:v>Camila Andrea Galván</x:v>
      </x:c>
      <x:c r="X108" s="11" t="str">
        <x:v>Ejecutada</x:v>
      </x:c>
      <x:c r="Y108" s="52" t="str">
        <x:v>Actividad ejecutada satisfactoriamente; mantener evidencia y seguimiento.</x:v>
      </x:c>
    </x:row>
    <x:row r="109">
      <x:c r="A109" s="23" t="n">
        <x:v>108</x:v>
      </x:c>
      <x:c r="B109" s="24" t="n">
        <x:v>2023</x:v>
      </x:c>
      <x:c r="C109" s="24" t="str">
        <x:v>Octubre</x:v>
      </x:c>
      <x:c r="D109" s="24" t="n">
        <x:v>10</x:v>
      </x:c>
      <x:c r="E109" s="24" t="str">
        <x:v>Emergencias</x:v>
      </x:c>
      <x:c r="F109" s="24" t="str">
        <x:v>Simulacro</x:v>
      </x:c>
      <x:c r="G109" s="24" t="str">
        <x:v>Interno</x:v>
      </x:c>
      <x:c r="H109" s="24" t="str">
        <x:v>Todos</x:v>
      </x:c>
      <x:c r="I109" s="24" t="str">
        <x:v>Medellín</x:v>
      </x:c>
      <x:c r="J109" s="11" t="str">
        <x:v>Plan de emergencias y evacuación</x:v>
      </x:c>
      <x:c r="K109" s="11" t="str">
        <x:v>Preparar a los trabajadores para responder de forma organizada y segura ante una emergencia y evacuación.</x:v>
      </x:c>
      <x:c r="L109" s="24" t="n">
        <x:v>2</x:v>
      </x:c>
      <x:c r="M109" s="58" t="n">
        <x:v>45214</x:v>
      </x:c>
      <x:c r="N109" s="24" t="n">
        <x:v>2</x:v>
      </x:c>
      <x:c r="O109" s="24" t="n">
        <x:v>58</x:v>
      </x:c>
      <x:c r="P109" s="24" t="n">
        <x:v>50</x:v>
      </x:c>
      <x:c r="Q109" s="64" t="n">
        <x:f>IFERROR(P109/O109,0)</x:f>
        <x:v>0.8620689655172413</x:v>
      </x:c>
      <x:c r="R109" s="24" t="str">
        <x:v>Simulacro</x:v>
      </x:c>
      <x:c r="S109" s="70" t="n">
        <x:v>4.9</x:v>
      </x:c>
      <x:c r="T109" s="24" t="str">
        <x:f>IF(XOR(X109="Reprogramada",X109="Cancelada"),"",IF(AND(Q109&gt;=0.8,S109&gt;=4),"Sí",IF(AND(Q109&gt;=0.65,S109&gt;=3.5),"Parcial","No")))</x:f>
        <x:v>Sí</x:v>
      </x:c>
      <x:c r="U109" s="24" t="str">
        <x:v>Brigada Interna</x:v>
      </x:c>
      <x:c r="V109" s="11" t="str">
        <x:v>Humano (facilitador interno) / Logístico / Material de apoyo</x:v>
      </x:c>
      <x:c r="W109" s="11" t="str">
        <x:v>Jesús Guerrero</x:v>
      </x:c>
      <x:c r="X109" s="11" t="str">
        <x:v>Ejecutada</x:v>
      </x:c>
      <x:c r="Y109" s="52" t="str">
        <x:v>Actividad ejecutada satisfactoriamente; mantener evidencia y seguimiento.</x:v>
      </x:c>
    </x:row>
    <x:row r="110">
      <x:c r="A110" s="23" t="n">
        <x:v>109</x:v>
      </x:c>
      <x:c r="B110" s="24" t="n">
        <x:v>2023</x:v>
      </x:c>
      <x:c r="C110" s="24" t="str">
        <x:v>Octubre</x:v>
      </x:c>
      <x:c r="D110" s="24" t="n">
        <x:v>10</x:v>
      </x:c>
      <x:c r="E110" s="24" t="str">
        <x:v>Emergencias</x:v>
      </x:c>
      <x:c r="F110" s="24" t="str">
        <x:v>Simulacro</x:v>
      </x:c>
      <x:c r="G110" s="24" t="str">
        <x:v>Interno</x:v>
      </x:c>
      <x:c r="H110" s="24" t="str">
        <x:v>Todos</x:v>
      </x:c>
      <x:c r="I110" s="24" t="str">
        <x:v>Ábrego</x:v>
      </x:c>
      <x:c r="J110" s="11" t="str">
        <x:v>Plan de emergencias y evacuación</x:v>
      </x:c>
      <x:c r="K110" s="11" t="str">
        <x:v>Preparar a los trabajadores para responder de forma organizada y segura ante una emergencia y evacuación.</x:v>
      </x:c>
      <x:c r="L110" s="24" t="n">
        <x:v>2</x:v>
      </x:c>
      <x:c r="M110" s="58" t="n">
        <x:v>45216</x:v>
      </x:c>
      <x:c r="N110" s="24" t="n">
        <x:v>2</x:v>
      </x:c>
      <x:c r="O110" s="24" t="n">
        <x:v>24</x:v>
      </x:c>
      <x:c r="P110" s="24" t="n">
        <x:v>21</x:v>
      </x:c>
      <x:c r="Q110" s="64" t="n">
        <x:f>IFERROR(P110/O110,0)</x:f>
        <x:v>0.875</x:v>
      </x:c>
      <x:c r="R110" s="24" t="str">
        <x:v>Simulacro</x:v>
      </x:c>
      <x:c r="S110" s="70" t="n">
        <x:v>4.9</x:v>
      </x:c>
      <x:c r="T110" s="24" t="str">
        <x:f>IF(XOR(X110="Reprogramada",X110="Cancelada"),"",IF(AND(Q110&gt;=0.8,S110&gt;=4),"Sí",IF(AND(Q110&gt;=0.65,S110&gt;=3.5),"Parcial","No")))</x:f>
        <x:v>Sí</x:v>
      </x:c>
      <x:c r="U110" s="24" t="str">
        <x:v>Brigada Interna</x:v>
      </x:c>
      <x:c r="V110" s="11" t="str">
        <x:v>Humano (facilitador interno) / Logístico / Material de apoyo</x:v>
      </x:c>
      <x:c r="W110" s="11" t="str">
        <x:v>Carlos Felipe Parada Ramón</x:v>
      </x:c>
      <x:c r="X110" s="11" t="str">
        <x:v>Ejecutada</x:v>
      </x:c>
      <x:c r="Y110" s="52" t="str">
        <x:v>Actividad ejecutada satisfactoriamente; mantener evidencia y seguimiento.</x:v>
      </x:c>
    </x:row>
    <x:row r="111">
      <x:c r="A111" s="23" t="n">
        <x:v>110</x:v>
      </x:c>
      <x:c r="B111" s="24" t="n">
        <x:v>2023</x:v>
      </x:c>
      <x:c r="C111" s="24" t="str">
        <x:v>Octubre</x:v>
      </x:c>
      <x:c r="D111" s="24" t="n">
        <x:v>10</x:v>
      </x:c>
      <x:c r="E111" s="24" t="str">
        <x:v>Emergencias</x:v>
      </x:c>
      <x:c r="F111" s="24" t="str">
        <x:v>Simulacro</x:v>
      </x:c>
      <x:c r="G111" s="24" t="str">
        <x:v>Interno</x:v>
      </x:c>
      <x:c r="H111" s="24" t="str">
        <x:v>Todos</x:v>
      </x:c>
      <x:c r="I111" s="24" t="str">
        <x:v>Pamplona</x:v>
      </x:c>
      <x:c r="J111" s="11" t="str">
        <x:v>Plan de emergencias y evacuación</x:v>
      </x:c>
      <x:c r="K111" s="11" t="str">
        <x:v>Preparar a los trabajadores para responder de forma organizada y segura ante una emergencia y evacuación.</x:v>
      </x:c>
      <x:c r="L111" s="24" t="n">
        <x:v>2</x:v>
      </x:c>
      <x:c r="M111" s="58" t="n">
        <x:v>45212</x:v>
      </x:c>
      <x:c r="N111" s="24" t="n">
        <x:v>2</x:v>
      </x:c>
      <x:c r="O111" s="24" t="n">
        <x:v>27</x:v>
      </x:c>
      <x:c r="P111" s="24" t="n">
        <x:v>23</x:v>
      </x:c>
      <x:c r="Q111" s="64" t="n">
        <x:f>IFERROR(P111/O111,0)</x:f>
        <x:v>0.8518518518518519</x:v>
      </x:c>
      <x:c r="R111" s="24" t="str">
        <x:v>Simulacro</x:v>
      </x:c>
      <x:c r="S111" s="70" t="n">
        <x:v>4.3</x:v>
      </x:c>
      <x:c r="T111" s="24" t="str">
        <x:f>IF(XOR(X111="Reprogramada",X111="Cancelada"),"",IF(AND(Q111&gt;=0.8,S111&gt;=4),"Sí",IF(AND(Q111&gt;=0.65,S111&gt;=3.5),"Parcial","No")))</x:f>
        <x:v>Sí</x:v>
      </x:c>
      <x:c r="U111" s="24" t="str">
        <x:v>Brigada Interna</x:v>
      </x:c>
      <x:c r="V111" s="11" t="str">
        <x:v>Humano (facilitador interno) / Logístico / Material de apoyo</x:v>
      </x:c>
      <x:c r="W111" s="11" t="str">
        <x:v>Camila Andrea Galván</x:v>
      </x:c>
      <x:c r="X111" s="11" t="str">
        <x:v>Ejecutada</x:v>
      </x:c>
      <x:c r="Y111" s="52" t="str">
        <x:v>Actividad ejecutada satisfactoriamente; mantener evidencia y seguimiento.</x:v>
      </x:c>
    </x:row>
    <x:row r="112">
      <x:c r="A112" s="23" t="n">
        <x:v>111</x:v>
      </x:c>
      <x:c r="B112" s="24" t="n">
        <x:v>2023</x:v>
      </x:c>
      <x:c r="C112" s="24" t="str">
        <x:v>Noviembre</x:v>
      </x:c>
      <x:c r="D112" s="24" t="n">
        <x:v>11</x:v>
      </x:c>
      <x:c r="E112" s="24" t="str">
        <x:v>COPASST/CCL</x:v>
      </x:c>
      <x:c r="F112" s="24" t="str">
        <x:v>Socialización</x:v>
      </x:c>
      <x:c r="G112" s="24" t="str">
        <x:v>Interno</x:v>
      </x:c>
      <x:c r="H112" s="24" t="str">
        <x:v>Todos</x:v>
      </x:c>
      <x:c r="I112" s="24" t="str">
        <x:v>Cúcuta</x:v>
      </x:c>
      <x:c r="J112" s="11" t="str">
        <x:v>COPASST, CCL y convivencia laboral</x:v>
      </x:c>
      <x:c r="K112" s="11" t="str">
        <x:v>Fortalecer el conocimiento del COPASST y el CCL, así como la convivencia laboral y la prevención del acoso.</x:v>
      </x:c>
      <x:c r="L112" s="24" t="n">
        <x:v>1</x:v>
      </x:c>
      <x:c r="M112" s="58"/>
      <x:c r="N112" s="24"/>
      <x:c r="O112" s="24" t="n">
        <x:v>78</x:v>
      </x:c>
      <x:c r="P112" s="24"/>
      <x:c r="Q112" s="64" t="n">
        <x:f>IFERROR(P112/O112,0)</x:f>
        <x:v>0</x:v>
      </x:c>
      <x:c r="R112" s="24" t="str">
        <x:v>Encuesta de comprensión</x:v>
      </x:c>
      <x:c r="S112" s="70"/>
      <x:c r="T112" s="24" t="str">
        <x:f>IF(XOR(X112="Reprogramada",X112="Cancelada"),"",IF(AND(Q112&gt;=0.8,S112&gt;=4),"Sí",IF(AND(Q112&gt;=0.65,S112&gt;=3.5),"Parcial","No")))</x:f>
      </x:c>
      <x:c r="U112" s="24" t="str">
        <x:v>Camila Andrea Galván</x:v>
      </x:c>
      <x:c r="V112" s="11" t="str">
        <x:v>Humano (facilitador interno) / Logístico / Material de apoyo</x:v>
      </x:c>
      <x:c r="W112" s="11" t="str">
        <x:v>Jesús Guerrero</x:v>
      </x:c>
      <x:c r="X112" s="11" t="str">
        <x:v>Reprogramada</x:v>
      </x:c>
      <x:c r="Y112" s="52" t="str">
        <x:v>Actividad reprogramada por operación, disponibilidad del facilitador o ajustes logísticos.</x:v>
      </x:c>
    </x:row>
    <x:row r="113">
      <x:c r="A113" s="23" t="n">
        <x:v>112</x:v>
      </x:c>
      <x:c r="B113" s="24" t="n">
        <x:v>2023</x:v>
      </x:c>
      <x:c r="C113" s="24" t="str">
        <x:v>Noviembre</x:v>
      </x:c>
      <x:c r="D113" s="24" t="n">
        <x:v>11</x:v>
      </x:c>
      <x:c r="E113" s="24" t="str">
        <x:v>COPASST/CCL</x:v>
      </x:c>
      <x:c r="F113" s="24" t="str">
        <x:v>Socialización</x:v>
      </x:c>
      <x:c r="G113" s="24" t="str">
        <x:v>Interno</x:v>
      </x:c>
      <x:c r="H113" s="24" t="str">
        <x:v>Todos</x:v>
      </x:c>
      <x:c r="I113" s="24" t="str">
        <x:v>Barrancabermeja</x:v>
      </x:c>
      <x:c r="J113" s="11" t="str">
        <x:v>COPASST, CCL y convivencia laboral</x:v>
      </x:c>
      <x:c r="K113" s="11" t="str">
        <x:v>Fortalecer el conocimiento del COPASST y el CCL, así como la convivencia laboral y la prevención del acoso.</x:v>
      </x:c>
      <x:c r="L113" s="24" t="n">
        <x:v>1</x:v>
      </x:c>
      <x:c r="M113" s="58" t="n">
        <x:v>45247</x:v>
      </x:c>
      <x:c r="N113" s="24" t="n">
        <x:v>1</x:v>
      </x:c>
      <x:c r="O113" s="24" t="n">
        <x:v>52</x:v>
      </x:c>
      <x:c r="P113" s="24" t="n">
        <x:v>47</x:v>
      </x:c>
      <x:c r="Q113" s="64" t="n">
        <x:f>IFERROR(P113/O113,0)</x:f>
        <x:v>0.9038461538461539</x:v>
      </x:c>
      <x:c r="R113" s="24" t="str">
        <x:v>Encuesta de comprensión</x:v>
      </x:c>
      <x:c r="S113" s="70" t="n">
        <x:v>4.7</x:v>
      </x:c>
      <x:c r="T113" s="24" t="str">
        <x:f>IF(XOR(X113="Reprogramada",X113="Cancelada"),"",IF(AND(Q113&gt;=0.8,S113&gt;=4),"Sí",IF(AND(Q113&gt;=0.65,S113&gt;=3.5),"Parcial","No")))</x:f>
        <x:v>Sí</x:v>
      </x:c>
      <x:c r="U113" s="24" t="str">
        <x:v>Camila Andrea Galván</x:v>
      </x:c>
      <x:c r="V113" s="11" t="str">
        <x:v>Humano (facilitador interno) / Logístico / Material de apoyo</x:v>
      </x:c>
      <x:c r="W113" s="11" t="str">
        <x:v>Carlos Felipe Parada Ramón</x:v>
      </x:c>
      <x:c r="X113" s="11" t="str">
        <x:v>Ejecutada</x:v>
      </x:c>
      <x:c r="Y113" s="52" t="str">
        <x:v>Actividad ejecutada satisfactoriamente; mantener evidencia y seguimiento.</x:v>
      </x:c>
    </x:row>
    <x:row r="114">
      <x:c r="A114" s="23" t="n">
        <x:v>113</x:v>
      </x:c>
      <x:c r="B114" s="24" t="n">
        <x:v>2023</x:v>
      </x:c>
      <x:c r="C114" s="24" t="str">
        <x:v>Noviembre</x:v>
      </x:c>
      <x:c r="D114" s="24" t="n">
        <x:v>11</x:v>
      </x:c>
      <x:c r="E114" s="24" t="str">
        <x:v>COPASST/CCL</x:v>
      </x:c>
      <x:c r="F114" s="24" t="str">
        <x:v>Socialización</x:v>
      </x:c>
      <x:c r="G114" s="24" t="str">
        <x:v>Interno</x:v>
      </x:c>
      <x:c r="H114" s="24" t="str">
        <x:v>Todos</x:v>
      </x:c>
      <x:c r="I114" s="24" t="str">
        <x:v>Ocaña</x:v>
      </x:c>
      <x:c r="J114" s="11" t="str">
        <x:v>COPASST, CCL y convivencia laboral</x:v>
      </x:c>
      <x:c r="K114" s="11" t="str">
        <x:v>Fortalecer el conocimiento del COPASST y el CCL, así como la convivencia laboral y la prevención del acoso.</x:v>
      </x:c>
      <x:c r="L114" s="24" t="n">
        <x:v>1</x:v>
      </x:c>
      <x:c r="M114" s="58" t="n">
        <x:v>45252</x:v>
      </x:c>
      <x:c r="N114" s="24" t="n">
        <x:v>1.5</x:v>
      </x:c>
      <x:c r="O114" s="24" t="n">
        <x:v>36</x:v>
      </x:c>
      <x:c r="P114" s="24" t="n">
        <x:v>31</x:v>
      </x:c>
      <x:c r="Q114" s="64" t="n">
        <x:f>IFERROR(P114/O114,0)</x:f>
        <x:v>0.8611111111111112</x:v>
      </x:c>
      <x:c r="R114" s="24" t="str">
        <x:v>Encuesta de comprensión</x:v>
      </x:c>
      <x:c r="S114" s="70" t="n">
        <x:v>4.5</x:v>
      </x:c>
      <x:c r="T114" s="24" t="str">
        <x:f>IF(XOR(X114="Reprogramada",X114="Cancelada"),"",IF(AND(Q114&gt;=0.8,S114&gt;=4),"Sí",IF(AND(Q114&gt;=0.65,S114&gt;=3.5),"Parcial","No")))</x:f>
        <x:v>Sí</x:v>
      </x:c>
      <x:c r="U114" s="24" t="str">
        <x:v>Camila Andrea Galván</x:v>
      </x:c>
      <x:c r="V114" s="11" t="str">
        <x:v>Humano (facilitador interno) / Logístico / Material de apoyo</x:v>
      </x:c>
      <x:c r="W114" s="11" t="str">
        <x:v>Camila Andrea Galván</x:v>
      </x:c>
      <x:c r="X114" s="11" t="str">
        <x:v>Ejecutada</x:v>
      </x:c>
      <x:c r="Y114" s="52" t="str">
        <x:v>Actividad ejecutada satisfactoriamente; mantener evidencia y seguimiento.</x:v>
      </x:c>
    </x:row>
    <x:row r="115">
      <x:c r="A115" s="23" t="n">
        <x:v>114</x:v>
      </x:c>
      <x:c r="B115" s="24" t="n">
        <x:v>2023</x:v>
      </x:c>
      <x:c r="C115" s="24" t="str">
        <x:v>Noviembre</x:v>
      </x:c>
      <x:c r="D115" s="24" t="n">
        <x:v>11</x:v>
      </x:c>
      <x:c r="E115" s="24" t="str">
        <x:v>COPASST/CCL</x:v>
      </x:c>
      <x:c r="F115" s="24" t="str">
        <x:v>Socialización</x:v>
      </x:c>
      <x:c r="G115" s="24" t="str">
        <x:v>Interno</x:v>
      </x:c>
      <x:c r="H115" s="24" t="str">
        <x:v>Todos</x:v>
      </x:c>
      <x:c r="I115" s="24" t="str">
        <x:v>Girón</x:v>
      </x:c>
      <x:c r="J115" s="11" t="str">
        <x:v>COPASST, CCL y convivencia laboral</x:v>
      </x:c>
      <x:c r="K115" s="11" t="str">
        <x:v>Fortalecer el conocimiento del COPASST y el CCL, así como la convivencia laboral y la prevención del acoso.</x:v>
      </x:c>
      <x:c r="L115" s="24" t="n">
        <x:v>1</x:v>
      </x:c>
      <x:c r="M115" s="58" t="n">
        <x:v>45243</x:v>
      </x:c>
      <x:c r="N115" s="24" t="n">
        <x:v>1.5</x:v>
      </x:c>
      <x:c r="O115" s="24" t="n">
        <x:v>41</x:v>
      </x:c>
      <x:c r="P115" s="24" t="n">
        <x:v>40</x:v>
      </x:c>
      <x:c r="Q115" s="64" t="n">
        <x:f>IFERROR(P115/O115,0)</x:f>
        <x:v>0.975609756097561</x:v>
      </x:c>
      <x:c r="R115" s="24" t="str">
        <x:v>Encuesta de comprensión</x:v>
      </x:c>
      <x:c r="S115" s="70" t="n">
        <x:v>4.6</x:v>
      </x:c>
      <x:c r="T115" s="24" t="str">
        <x:f>IF(XOR(X115="Reprogramada",X115="Cancelada"),"",IF(AND(Q115&gt;=0.8,S115&gt;=4),"Sí",IF(AND(Q115&gt;=0.65,S115&gt;=3.5),"Parcial","No")))</x:f>
        <x:v>Sí</x:v>
      </x:c>
      <x:c r="U115" s="24" t="str">
        <x:v>Camila Andrea Galván</x:v>
      </x:c>
      <x:c r="V115" s="11" t="str">
        <x:v>Humano (facilitador interno) / Logístico / Material de apoyo</x:v>
      </x:c>
      <x:c r="W115" s="11" t="str">
        <x:v>Jesús Guerrero</x:v>
      </x:c>
      <x:c r="X115" s="11" t="str">
        <x:v>Ejecutada</x:v>
      </x:c>
      <x:c r="Y115" s="52" t="str">
        <x:v>Actividad ejecutada satisfactoriamente; mantener evidencia y seguimiento.</x:v>
      </x:c>
    </x:row>
    <x:row r="116">
      <x:c r="A116" s="23" t="n">
        <x:v>115</x:v>
      </x:c>
      <x:c r="B116" s="24" t="n">
        <x:v>2023</x:v>
      </x:c>
      <x:c r="C116" s="24" t="str">
        <x:v>Noviembre</x:v>
      </x:c>
      <x:c r="D116" s="24" t="n">
        <x:v>11</x:v>
      </x:c>
      <x:c r="E116" s="24" t="str">
        <x:v>COPASST/CCL</x:v>
      </x:c>
      <x:c r="F116" s="24" t="str">
        <x:v>Socialización</x:v>
      </x:c>
      <x:c r="G116" s="24" t="str">
        <x:v>Interno</x:v>
      </x:c>
      <x:c r="H116" s="24" t="str">
        <x:v>Todos</x:v>
      </x:c>
      <x:c r="I116" s="24" t="str">
        <x:v>Valledupar</x:v>
      </x:c>
      <x:c r="J116" s="11" t="str">
        <x:v>COPASST, CCL y convivencia laboral</x:v>
      </x:c>
      <x:c r="K116" s="11" t="str">
        <x:v>Fortalecer el conocimiento del COPASST y el CCL, así como la convivencia laboral y la prevención del acoso.</x:v>
      </x:c>
      <x:c r="L116" s="24" t="n">
        <x:v>1</x:v>
      </x:c>
      <x:c r="M116" s="58"/>
      <x:c r="N116" s="24"/>
      <x:c r="O116" s="24" t="n">
        <x:v>47</x:v>
      </x:c>
      <x:c r="P116" s="24"/>
      <x:c r="Q116" s="64" t="n">
        <x:f>IFERROR(P116/O116,0)</x:f>
        <x:v>0</x:v>
      </x:c>
      <x:c r="R116" s="24" t="str">
        <x:v>Encuesta de comprensión</x:v>
      </x:c>
      <x:c r="S116" s="70"/>
      <x:c r="T116" s="24" t="str">
        <x:f>IF(XOR(X116="Reprogramada",X116="Cancelada"),"",IF(AND(Q116&gt;=0.8,S116&gt;=4),"Sí",IF(AND(Q116&gt;=0.65,S116&gt;=3.5),"Parcial","No")))</x:f>
      </x:c>
      <x:c r="U116" s="24" t="str">
        <x:v>Camila Andrea Galván</x:v>
      </x:c>
      <x:c r="V116" s="11" t="str">
        <x:v>Humano (facilitador interno) / Logístico / Material de apoyo</x:v>
      </x:c>
      <x:c r="W116" s="11" t="str">
        <x:v>Carlos Felipe Parada Ramón</x:v>
      </x:c>
      <x:c r="X116" s="11" t="str">
        <x:v>Reprogramada</x:v>
      </x:c>
      <x:c r="Y116" s="52" t="str">
        <x:v>Actividad reprogramada por operación, disponibilidad del facilitador o ajustes logísticos.</x:v>
      </x:c>
    </x:row>
    <x:row r="117">
      <x:c r="A117" s="23" t="n">
        <x:v>116</x:v>
      </x:c>
      <x:c r="B117" s="24" t="n">
        <x:v>2023</x:v>
      </x:c>
      <x:c r="C117" s="24" t="str">
        <x:v>Noviembre</x:v>
      </x:c>
      <x:c r="D117" s="24" t="n">
        <x:v>11</x:v>
      </x:c>
      <x:c r="E117" s="24" t="str">
        <x:v>COPASST/CCL</x:v>
      </x:c>
      <x:c r="F117" s="24" t="str">
        <x:v>Socialización</x:v>
      </x:c>
      <x:c r="G117" s="24" t="str">
        <x:v>Interno</x:v>
      </x:c>
      <x:c r="H117" s="24" t="str">
        <x:v>Todos</x:v>
      </x:c>
      <x:c r="I117" s="24" t="str">
        <x:v>Arauca</x:v>
      </x:c>
      <x:c r="J117" s="11" t="str">
        <x:v>COPASST, CCL y convivencia laboral</x:v>
      </x:c>
      <x:c r="K117" s="11" t="str">
        <x:v>Fortalecer el conocimiento del COPASST y el CCL, así como la convivencia laboral y la prevención del acoso.</x:v>
      </x:c>
      <x:c r="L117" s="24" t="n">
        <x:v>1</x:v>
      </x:c>
      <x:c r="M117" s="58" t="n">
        <x:v>45251</x:v>
      </x:c>
      <x:c r="N117" s="24" t="n">
        <x:v>1</x:v>
      </x:c>
      <x:c r="O117" s="24" t="n">
        <x:v>29</x:v>
      </x:c>
      <x:c r="P117" s="24" t="n">
        <x:v>28</x:v>
      </x:c>
      <x:c r="Q117" s="64" t="n">
        <x:f>IFERROR(P117/O117,0)</x:f>
        <x:v>0.9655172413793104</x:v>
      </x:c>
      <x:c r="R117" s="24" t="str">
        <x:v>Encuesta de comprensión</x:v>
      </x:c>
      <x:c r="S117" s="70" t="n">
        <x:v>4.5</x:v>
      </x:c>
      <x:c r="T117" s="24" t="str">
        <x:f>IF(XOR(X117="Reprogramada",X117="Cancelada"),"",IF(AND(Q117&gt;=0.8,S117&gt;=4),"Sí",IF(AND(Q117&gt;=0.65,S117&gt;=3.5),"Parcial","No")))</x:f>
        <x:v>Sí</x:v>
      </x:c>
      <x:c r="U117" s="24" t="str">
        <x:v>Camila Andrea Galván</x:v>
      </x:c>
      <x:c r="V117" s="11" t="str">
        <x:v>Humano (facilitador interno) / Logístico / Material de apoyo</x:v>
      </x:c>
      <x:c r="W117" s="11" t="str">
        <x:v>Camila Andrea Galván</x:v>
      </x:c>
      <x:c r="X117" s="11" t="str">
        <x:v>Ejecutada</x:v>
      </x:c>
      <x:c r="Y117" s="52" t="str">
        <x:v>Actividad ejecutada satisfactoriamente; mantener evidencia y seguimiento.</x:v>
      </x:c>
    </x:row>
    <x:row r="118">
      <x:c r="A118" s="23" t="n">
        <x:v>117</x:v>
      </x:c>
      <x:c r="B118" s="24" t="n">
        <x:v>2023</x:v>
      </x:c>
      <x:c r="C118" s="24" t="str">
        <x:v>Noviembre</x:v>
      </x:c>
      <x:c r="D118" s="24" t="n">
        <x:v>11</x:v>
      </x:c>
      <x:c r="E118" s="24" t="str">
        <x:v>COPASST/CCL</x:v>
      </x:c>
      <x:c r="F118" s="24" t="str">
        <x:v>Socialización</x:v>
      </x:c>
      <x:c r="G118" s="24" t="str">
        <x:v>Interno</x:v>
      </x:c>
      <x:c r="H118" s="24" t="str">
        <x:v>Todos</x:v>
      </x:c>
      <x:c r="I118" s="24" t="str">
        <x:v>Bogotá</x:v>
      </x:c>
      <x:c r="J118" s="11" t="str">
        <x:v>COPASST, CCL y convivencia laboral</x:v>
      </x:c>
      <x:c r="K118" s="11" t="str">
        <x:v>Fortalecer el conocimiento del COPASST y el CCL, así como la convivencia laboral y la prevención del acoso.</x:v>
      </x:c>
      <x:c r="L118" s="24" t="n">
        <x:v>1</x:v>
      </x:c>
      <x:c r="M118" s="58" t="n">
        <x:v>45252</x:v>
      </x:c>
      <x:c r="N118" s="24" t="n">
        <x:v>1</x:v>
      </x:c>
      <x:c r="O118" s="24" t="n">
        <x:v>63</x:v>
      </x:c>
      <x:c r="P118" s="24" t="n">
        <x:v>59</x:v>
      </x:c>
      <x:c r="Q118" s="64" t="n">
        <x:f>IFERROR(P118/O118,0)</x:f>
        <x:v>0.9365079365079365</x:v>
      </x:c>
      <x:c r="R118" s="24" t="str">
        <x:v>Encuesta de comprensión</x:v>
      </x:c>
      <x:c r="S118" s="70" t="n">
        <x:v>4.2</x:v>
      </x:c>
      <x:c r="T118" s="24" t="str">
        <x:f>IF(XOR(X118="Reprogramada",X118="Cancelada"),"",IF(AND(Q118&gt;=0.8,S118&gt;=4),"Sí",IF(AND(Q118&gt;=0.65,S118&gt;=3.5),"Parcial","No")))</x:f>
        <x:v>Sí</x:v>
      </x:c>
      <x:c r="U118" s="24" t="str">
        <x:v>Camila Andrea Galván</x:v>
      </x:c>
      <x:c r="V118" s="11" t="str">
        <x:v>Humano (facilitador interno) / Logístico / Material de apoyo</x:v>
      </x:c>
      <x:c r="W118" s="11" t="str">
        <x:v>Jesús Guerrero</x:v>
      </x:c>
      <x:c r="X118" s="11" t="str">
        <x:v>Ejecutada</x:v>
      </x:c>
      <x:c r="Y118" s="52" t="str">
        <x:v>Actividad ejecutada satisfactoriamente; mantener evidencia y seguimiento.</x:v>
      </x:c>
    </x:row>
    <x:row r="119">
      <x:c r="A119" s="23" t="n">
        <x:v>118</x:v>
      </x:c>
      <x:c r="B119" s="24" t="n">
        <x:v>2023</x:v>
      </x:c>
      <x:c r="C119" s="24" t="str">
        <x:v>Noviembre</x:v>
      </x:c>
      <x:c r="D119" s="24" t="n">
        <x:v>11</x:v>
      </x:c>
      <x:c r="E119" s="24" t="str">
        <x:v>COPASST/CCL</x:v>
      </x:c>
      <x:c r="F119" s="24" t="str">
        <x:v>Socialización</x:v>
      </x:c>
      <x:c r="G119" s="24" t="str">
        <x:v>Interno</x:v>
      </x:c>
      <x:c r="H119" s="24" t="str">
        <x:v>Todos</x:v>
      </x:c>
      <x:c r="I119" s="24" t="str">
        <x:v>Tibú</x:v>
      </x:c>
      <x:c r="J119" s="11" t="str">
        <x:v>COPASST, CCL y convivencia laboral</x:v>
      </x:c>
      <x:c r="K119" s="11" t="str">
        <x:v>Fortalecer el conocimiento del COPASST y el CCL, así como la convivencia laboral y la prevención del acoso.</x:v>
      </x:c>
      <x:c r="L119" s="24" t="n">
        <x:v>1</x:v>
      </x:c>
      <x:c r="M119" s="58" t="n">
        <x:v>45247</x:v>
      </x:c>
      <x:c r="N119" s="24" t="n">
        <x:v>1</x:v>
      </x:c>
      <x:c r="O119" s="24" t="n">
        <x:v>31</x:v>
      </x:c>
      <x:c r="P119" s="24" t="n">
        <x:v>24</x:v>
      </x:c>
      <x:c r="Q119" s="64" t="n">
        <x:f>IFERROR(P119/O119,0)</x:f>
        <x:v>0.7741935483870968</x:v>
      </x:c>
      <x:c r="R119" s="24" t="str">
        <x:v>Encuesta de comprensión</x:v>
      </x:c>
      <x:c r="S119" s="70" t="n">
        <x:v>4.2</x:v>
      </x:c>
      <x:c r="T119" s="24" t="str">
        <x:f>IF(XOR(X119="Reprogramada",X119="Cancelada"),"",IF(AND(Q119&gt;=0.8,S119&gt;=4),"Sí",IF(AND(Q119&gt;=0.65,S119&gt;=3.5),"Parcial","No")))</x:f>
        <x:v>Parcial</x:v>
      </x:c>
      <x:c r="U119" s="24" t="str">
        <x:v>Camila Andrea Galván</x:v>
      </x:c>
      <x:c r="V119" s="11" t="str">
        <x:v>Humano (facilitador interno) / Logístico / Material de apoyo</x:v>
      </x:c>
      <x:c r="W119" s="11" t="str">
        <x:v>Carlos Felipe Parada Ramón</x:v>
      </x:c>
      <x:c r="X119" s="11" t="str">
        <x:v>Ejecutada</x:v>
      </x:c>
      <x:c r="Y119" s="52" t="str">
        <x:v>Actividad ejecutada satisfactoriamente; mantener evidencia y seguimiento.</x:v>
      </x:c>
    </x:row>
    <x:row r="120">
      <x:c r="A120" s="23" t="n">
        <x:v>119</x:v>
      </x:c>
      <x:c r="B120" s="24" t="n">
        <x:v>2023</x:v>
      </x:c>
      <x:c r="C120" s="24" t="str">
        <x:v>Noviembre</x:v>
      </x:c>
      <x:c r="D120" s="24" t="n">
        <x:v>11</x:v>
      </x:c>
      <x:c r="E120" s="24" t="str">
        <x:v>COPASST/CCL</x:v>
      </x:c>
      <x:c r="F120" s="24" t="str">
        <x:v>Socialización</x:v>
      </x:c>
      <x:c r="G120" s="24" t="str">
        <x:v>Interno</x:v>
      </x:c>
      <x:c r="H120" s="24" t="str">
        <x:v>Todos</x:v>
      </x:c>
      <x:c r="I120" s="24" t="str">
        <x:v>Medellín</x:v>
      </x:c>
      <x:c r="J120" s="11" t="str">
        <x:v>COPASST, CCL y convivencia laboral</x:v>
      </x:c>
      <x:c r="K120" s="11" t="str">
        <x:v>Fortalecer el conocimiento del COPASST y el CCL, así como la convivencia laboral y la prevención del acoso.</x:v>
      </x:c>
      <x:c r="L120" s="24" t="n">
        <x:v>1</x:v>
      </x:c>
      <x:c r="M120" s="58" t="n">
        <x:v>45249</x:v>
      </x:c>
      <x:c r="N120" s="24" t="n">
        <x:v>1</x:v>
      </x:c>
      <x:c r="O120" s="24" t="n">
        <x:v>58</x:v>
      </x:c>
      <x:c r="P120" s="24" t="n">
        <x:v>53</x:v>
      </x:c>
      <x:c r="Q120" s="64" t="n">
        <x:f>IFERROR(P120/O120,0)</x:f>
        <x:v>0.9137931034482759</x:v>
      </x:c>
      <x:c r="R120" s="24" t="str">
        <x:v>Encuesta de comprensión</x:v>
      </x:c>
      <x:c r="S120" s="70" t="n">
        <x:v>4.7</x:v>
      </x:c>
      <x:c r="T120" s="24" t="str">
        <x:f>IF(XOR(X120="Reprogramada",X120="Cancelada"),"",IF(AND(Q120&gt;=0.8,S120&gt;=4),"Sí",IF(AND(Q120&gt;=0.65,S120&gt;=3.5),"Parcial","No")))</x:f>
        <x:v>Sí</x:v>
      </x:c>
      <x:c r="U120" s="24" t="str">
        <x:v>Camila Andrea Galván</x:v>
      </x:c>
      <x:c r="V120" s="11" t="str">
        <x:v>Humano (facilitador interno) / Logístico / Material de apoyo</x:v>
      </x:c>
      <x:c r="W120" s="11" t="str">
        <x:v>Camila Andrea Galván</x:v>
      </x:c>
      <x:c r="X120" s="11" t="str">
        <x:v>Ejecutada</x:v>
      </x:c>
      <x:c r="Y120" s="52" t="str">
        <x:v>Actividad ejecutada satisfactoriamente; mantener evidencia y seguimiento.</x:v>
      </x:c>
    </x:row>
    <x:row r="121">
      <x:c r="A121" s="23" t="n">
        <x:v>120</x:v>
      </x:c>
      <x:c r="B121" s="24" t="n">
        <x:v>2023</x:v>
      </x:c>
      <x:c r="C121" s="24" t="str">
        <x:v>Noviembre</x:v>
      </x:c>
      <x:c r="D121" s="24" t="n">
        <x:v>11</x:v>
      </x:c>
      <x:c r="E121" s="24" t="str">
        <x:v>COPASST/CCL</x:v>
      </x:c>
      <x:c r="F121" s="24" t="str">
        <x:v>Socialización</x:v>
      </x:c>
      <x:c r="G121" s="24" t="str">
        <x:v>Interno</x:v>
      </x:c>
      <x:c r="H121" s="24" t="str">
        <x:v>Todos</x:v>
      </x:c>
      <x:c r="I121" s="24" t="str">
        <x:v>Ábrego</x:v>
      </x:c>
      <x:c r="J121" s="11" t="str">
        <x:v>COPASST, CCL y convivencia laboral</x:v>
      </x:c>
      <x:c r="K121" s="11" t="str">
        <x:v>Fortalecer el conocimiento del COPASST y el CCL, así como la convivencia laboral y la prevención del acoso.</x:v>
      </x:c>
      <x:c r="L121" s="24" t="n">
        <x:v>1</x:v>
      </x:c>
      <x:c r="M121" s="58" t="n">
        <x:v>45247</x:v>
      </x:c>
      <x:c r="N121" s="24" t="n">
        <x:v>1</x:v>
      </x:c>
      <x:c r="O121" s="24" t="n">
        <x:v>24</x:v>
      </x:c>
      <x:c r="P121" s="24" t="n">
        <x:v>20</x:v>
      </x:c>
      <x:c r="Q121" s="64" t="n">
        <x:f>IFERROR(P121/O121,0)</x:f>
        <x:v>0.8333333333333334</x:v>
      </x:c>
      <x:c r="R121" s="24" t="str">
        <x:v>Encuesta de comprensión</x:v>
      </x:c>
      <x:c r="S121" s="70" t="n">
        <x:v>4.2</x:v>
      </x:c>
      <x:c r="T121" s="24" t="str">
        <x:f>IF(XOR(X121="Reprogramada",X121="Cancelada"),"",IF(AND(Q121&gt;=0.8,S121&gt;=4),"Sí",IF(AND(Q121&gt;=0.65,S121&gt;=3.5),"Parcial","No")))</x:f>
        <x:v>Sí</x:v>
      </x:c>
      <x:c r="U121" s="24" t="str">
        <x:v>Camila Andrea Galván</x:v>
      </x:c>
      <x:c r="V121" s="11" t="str">
        <x:v>Humano (facilitador interno) / Logístico / Material de apoyo</x:v>
      </x:c>
      <x:c r="W121" s="11" t="str">
        <x:v>Jesús Guerrero</x:v>
      </x:c>
      <x:c r="X121" s="11" t="str">
        <x:v>Ejecutada</x:v>
      </x:c>
      <x:c r="Y121" s="52" t="str">
        <x:v>Actividad ejecutada satisfactoriamente; mantener evidencia y seguimiento.</x:v>
      </x:c>
    </x:row>
    <x:row r="122">
      <x:c r="A122" s="23" t="n">
        <x:v>121</x:v>
      </x:c>
      <x:c r="B122" s="24" t="n">
        <x:v>2023</x:v>
      </x:c>
      <x:c r="C122" s="24" t="str">
        <x:v>Noviembre</x:v>
      </x:c>
      <x:c r="D122" s="24" t="n">
        <x:v>11</x:v>
      </x:c>
      <x:c r="E122" s="24" t="str">
        <x:v>COPASST/CCL</x:v>
      </x:c>
      <x:c r="F122" s="24" t="str">
        <x:v>Socialización</x:v>
      </x:c>
      <x:c r="G122" s="24" t="str">
        <x:v>Interno</x:v>
      </x:c>
      <x:c r="H122" s="24" t="str">
        <x:v>Todos</x:v>
      </x:c>
      <x:c r="I122" s="24" t="str">
        <x:v>Pamplona</x:v>
      </x:c>
      <x:c r="J122" s="11" t="str">
        <x:v>COPASST, CCL y convivencia laboral</x:v>
      </x:c>
      <x:c r="K122" s="11" t="str">
        <x:v>Fortalecer el conocimiento del COPASST y el CCL, así como la convivencia laboral y la prevención del acoso.</x:v>
      </x:c>
      <x:c r="L122" s="24" t="n">
        <x:v>1</x:v>
      </x:c>
      <x:c r="M122" s="58"/>
      <x:c r="N122" s="24"/>
      <x:c r="O122" s="24" t="n">
        <x:v>27</x:v>
      </x:c>
      <x:c r="P122" s="24"/>
      <x:c r="Q122" s="64" t="n">
        <x:f>IFERROR(P122/O122,0)</x:f>
        <x:v>0</x:v>
      </x:c>
      <x:c r="R122" s="24" t="str">
        <x:v>Encuesta de comprensión</x:v>
      </x:c>
      <x:c r="S122" s="70"/>
      <x:c r="T122" s="24" t="str">
        <x:f>IF(XOR(X122="Reprogramada",X122="Cancelada"),"",IF(AND(Q122&gt;=0.8,S122&gt;=4),"Sí",IF(AND(Q122&gt;=0.65,S122&gt;=3.5),"Parcial","No")))</x:f>
      </x:c>
      <x:c r="U122" s="24" t="str">
        <x:v>Camila Andrea Galván</x:v>
      </x:c>
      <x:c r="V122" s="11" t="str">
        <x:v>Humano (facilitador interno) / Logístico / Material de apoyo</x:v>
      </x:c>
      <x:c r="W122" s="11" t="str">
        <x:v>Carlos Felipe Parada Ramón</x:v>
      </x:c>
      <x:c r="X122" s="11" t="str">
        <x:v>Reprogramada</x:v>
      </x:c>
      <x:c r="Y122" s="52" t="str">
        <x:v>Actividad reprogramada por operación, disponibilidad del facilitador o ajustes logísticos.</x:v>
      </x:c>
    </x:row>
    <x:row r="123">
      <x:c r="A123" s="23" t="n">
        <x:v>122</x:v>
      </x:c>
      <x:c r="B123" s="24" t="n">
        <x:v>2023</x:v>
      </x:c>
      <x:c r="C123" s="24" t="str">
        <x:v>Diciembre</x:v>
      </x:c>
      <x:c r="D123" s="24" t="n">
        <x:v>12</x:v>
      </x:c>
      <x:c r="E123" s="24" t="str">
        <x:v>General</x:v>
      </x:c>
      <x:c r="F123" s="24" t="str">
        <x:v>Capacitación</x:v>
      </x:c>
      <x:c r="G123" s="24" t="str">
        <x:v>Interno</x:v>
      </x:c>
      <x:c r="H123" s="24" t="str">
        <x:v>Todos</x:v>
      </x:c>
      <x:c r="I123" s="24" t="str">
        <x:v>Cúcuta</x:v>
      </x:c>
      <x:c r="J123" s="11" t="str">
        <x:v>Lecciones aprendidas y autocuidado</x:v>
      </x:c>
      <x:c r="K123" s="11" t="str">
        <x:v>Cerrar el año con aprendizajes clave del SG-SST y compromisos de mejora individual y colectiva.</x:v>
      </x:c>
      <x:c r="L123" s="24" t="n">
        <x:v>1</x:v>
      </x:c>
      <x:c r="M123" s="58"/>
      <x:c r="N123" s="24" t="n">
        <x:v>0</x:v>
      </x:c>
      <x:c r="O123" s="24" t="n">
        <x:v>78</x:v>
      </x:c>
      <x:c r="P123" s="24"/>
      <x:c r="Q123" s="64" t="n">
        <x:f>IFERROR(P123/O123,0)</x:f>
        <x:v>0</x:v>
      </x:c>
      <x:c r="R123" s="24" t="str">
        <x:v>Retroalimentación grupal</x:v>
      </x:c>
      <x:c r="S123" s="70"/>
      <x:c r="T123" s="24" t="str">
        <x:f>IF(XOR(X123="Reprogramada",X123="Cancelada"),"",IF(AND(Q123&gt;=0.8,S123&gt;=4),"Sí",IF(AND(Q123&gt;=0.65,S123&gt;=3.5),"Parcial","No")))</x:f>
      </x:c>
      <x:c r="U123" s="24" t="str">
        <x:v>Carlos Felipe Parada Ramón</x:v>
      </x:c>
      <x:c r="V123" s="11" t="str">
        <x:v>Humano (facilitador interno) / Logístico / Material de apoyo</x:v>
      </x:c>
      <x:c r="W123" s="11" t="str">
        <x:v>Camila Andrea Galván</x:v>
      </x:c>
      <x:c r="X123" s="11" t="str">
        <x:v>Cancelada</x:v>
      </x:c>
      <x:c r="Y123" s="52" t="str">
        <x:v>Actividad cancelada por reorganización operativa o priorización de otras necesidades.</x:v>
      </x:c>
    </x:row>
    <x:row r="124">
      <x:c r="A124" s="23" t="n">
        <x:v>123</x:v>
      </x:c>
      <x:c r="B124" s="24" t="n">
        <x:v>2023</x:v>
      </x:c>
      <x:c r="C124" s="24" t="str">
        <x:v>Diciembre</x:v>
      </x:c>
      <x:c r="D124" s="24" t="n">
        <x:v>12</x:v>
      </x:c>
      <x:c r="E124" s="24" t="str">
        <x:v>General</x:v>
      </x:c>
      <x:c r="F124" s="24" t="str">
        <x:v>Capacitación</x:v>
      </x:c>
      <x:c r="G124" s="24" t="str">
        <x:v>Interno</x:v>
      </x:c>
      <x:c r="H124" s="24" t="str">
        <x:v>Todos</x:v>
      </x:c>
      <x:c r="I124" s="24" t="str">
        <x:v>Barrancabermeja</x:v>
      </x:c>
      <x:c r="J124" s="11" t="str">
        <x:v>Lecciones aprendidas y autocuidado</x:v>
      </x:c>
      <x:c r="K124" s="11" t="str">
        <x:v>Cerrar el año con aprendizajes clave del SG-SST y compromisos de mejora individual y colectiva.</x:v>
      </x:c>
      <x:c r="L124" s="24" t="n">
        <x:v>1</x:v>
      </x:c>
      <x:c r="M124" s="58" t="n">
        <x:v>45273</x:v>
      </x:c>
      <x:c r="N124" s="24" t="n">
        <x:v>1</x:v>
      </x:c>
      <x:c r="O124" s="24" t="n">
        <x:v>52</x:v>
      </x:c>
      <x:c r="P124" s="24" t="n">
        <x:v>48</x:v>
      </x:c>
      <x:c r="Q124" s="64" t="n">
        <x:f>IFERROR(P124/O124,0)</x:f>
        <x:v>0.9230769230769231</x:v>
      </x:c>
      <x:c r="R124" s="24" t="str">
        <x:v>Retroalimentación grupal</x:v>
      </x:c>
      <x:c r="S124" s="70" t="n">
        <x:v>4.3</x:v>
      </x:c>
      <x:c r="T124" s="24" t="str">
        <x:f>IF(XOR(X124="Reprogramada",X124="Cancelada"),"",IF(AND(Q124&gt;=0.8,S124&gt;=4),"Sí",IF(AND(Q124&gt;=0.65,S124&gt;=3.5),"Parcial","No")))</x:f>
        <x:v>Sí</x:v>
      </x:c>
      <x:c r="U124" s="24" t="str">
        <x:v>Carlos Felipe Parada Ramón</x:v>
      </x:c>
      <x:c r="V124" s="11" t="str">
        <x:v>Humano (facilitador interno) / Logístico / Material de apoyo</x:v>
      </x:c>
      <x:c r="W124" s="11" t="str">
        <x:v>Jesús Guerrero</x:v>
      </x:c>
      <x:c r="X124" s="11" t="str">
        <x:v>Ejecutada</x:v>
      </x:c>
      <x:c r="Y124" s="52" t="str">
        <x:v>Actividad ejecutada satisfactoriamente; mantener evidencia y seguimiento.</x:v>
      </x:c>
    </x:row>
    <x:row r="125">
      <x:c r="A125" s="23" t="n">
        <x:v>124</x:v>
      </x:c>
      <x:c r="B125" s="24" t="n">
        <x:v>2023</x:v>
      </x:c>
      <x:c r="C125" s="24" t="str">
        <x:v>Diciembre</x:v>
      </x:c>
      <x:c r="D125" s="24" t="n">
        <x:v>12</x:v>
      </x:c>
      <x:c r="E125" s="24" t="str">
        <x:v>General</x:v>
      </x:c>
      <x:c r="F125" s="24" t="str">
        <x:v>Capacitación</x:v>
      </x:c>
      <x:c r="G125" s="24" t="str">
        <x:v>Interno</x:v>
      </x:c>
      <x:c r="H125" s="24" t="str">
        <x:v>Todos</x:v>
      </x:c>
      <x:c r="I125" s="24" t="str">
        <x:v>Ocaña</x:v>
      </x:c>
      <x:c r="J125" s="11" t="str">
        <x:v>Lecciones aprendidas y autocuidado</x:v>
      </x:c>
      <x:c r="K125" s="11" t="str">
        <x:v>Cerrar el año con aprendizajes clave del SG-SST y compromisos de mejora individual y colectiva.</x:v>
      </x:c>
      <x:c r="L125" s="24" t="n">
        <x:v>1</x:v>
      </x:c>
      <x:c r="M125" s="58" t="n">
        <x:v>45284</x:v>
      </x:c>
      <x:c r="N125" s="24" t="n">
        <x:v>1</x:v>
      </x:c>
      <x:c r="O125" s="24" t="n">
        <x:v>36</x:v>
      </x:c>
      <x:c r="P125" s="24" t="n">
        <x:v>30</x:v>
      </x:c>
      <x:c r="Q125" s="64" t="n">
        <x:f>IFERROR(P125/O125,0)</x:f>
        <x:v>0.8333333333333334</x:v>
      </x:c>
      <x:c r="R125" s="24" t="str">
        <x:v>Retroalimentación grupal</x:v>
      </x:c>
      <x:c r="S125" s="70" t="n">
        <x:v>4.3</x:v>
      </x:c>
      <x:c r="T125" s="24" t="str">
        <x:f>IF(XOR(X125="Reprogramada",X125="Cancelada"),"",IF(AND(Q125&gt;=0.8,S125&gt;=4),"Sí",IF(AND(Q125&gt;=0.65,S125&gt;=3.5),"Parcial","No")))</x:f>
        <x:v>Sí</x:v>
      </x:c>
      <x:c r="U125" s="24" t="str">
        <x:v>Carlos Felipe Parada Ramón</x:v>
      </x:c>
      <x:c r="V125" s="11" t="str">
        <x:v>Humano (facilitador interno) / Logístico / Material de apoyo</x:v>
      </x:c>
      <x:c r="W125" s="11" t="str">
        <x:v>Carlos Felipe Parada Ramón</x:v>
      </x:c>
      <x:c r="X125" s="11" t="str">
        <x:v>Ejecutada</x:v>
      </x:c>
      <x:c r="Y125" s="52" t="str">
        <x:v>Actividad ejecutada satisfactoriamente; mantener evidencia y seguimiento.</x:v>
      </x:c>
    </x:row>
    <x:row r="126">
      <x:c r="A126" s="23" t="n">
        <x:v>125</x:v>
      </x:c>
      <x:c r="B126" s="24" t="n">
        <x:v>2023</x:v>
      </x:c>
      <x:c r="C126" s="24" t="str">
        <x:v>Diciembre</x:v>
      </x:c>
      <x:c r="D126" s="24" t="n">
        <x:v>12</x:v>
      </x:c>
      <x:c r="E126" s="24" t="str">
        <x:v>General</x:v>
      </x:c>
      <x:c r="F126" s="24" t="str">
        <x:v>Capacitación</x:v>
      </x:c>
      <x:c r="G126" s="24" t="str">
        <x:v>Interno</x:v>
      </x:c>
      <x:c r="H126" s="24" t="str">
        <x:v>Todos</x:v>
      </x:c>
      <x:c r="I126" s="24" t="str">
        <x:v>Girón</x:v>
      </x:c>
      <x:c r="J126" s="11" t="str">
        <x:v>Lecciones aprendidas y autocuidado</x:v>
      </x:c>
      <x:c r="K126" s="11" t="str">
        <x:v>Cerrar el año con aprendizajes clave del SG-SST y compromisos de mejora individual y colectiva.</x:v>
      </x:c>
      <x:c r="L126" s="24" t="n">
        <x:v>1</x:v>
      </x:c>
      <x:c r="M126" s="58" t="n">
        <x:v>45272</x:v>
      </x:c>
      <x:c r="N126" s="24" t="n">
        <x:v>1</x:v>
      </x:c>
      <x:c r="O126" s="24" t="n">
        <x:v>41</x:v>
      </x:c>
      <x:c r="P126" s="24" t="n">
        <x:v>32</x:v>
      </x:c>
      <x:c r="Q126" s="64" t="n">
        <x:f>IFERROR(P126/O126,0)</x:f>
        <x:v>0.7804878048780488</x:v>
      </x:c>
      <x:c r="R126" s="24" t="str">
        <x:v>Retroalimentación grupal</x:v>
      </x:c>
      <x:c r="S126" s="70" t="n">
        <x:v>4.5</x:v>
      </x:c>
      <x:c r="T126" s="24" t="str">
        <x:f>IF(XOR(X126="Reprogramada",X126="Cancelada"),"",IF(AND(Q126&gt;=0.8,S126&gt;=4),"Sí",IF(AND(Q126&gt;=0.65,S126&gt;=3.5),"Parcial","No")))</x:f>
        <x:v>Parcial</x:v>
      </x:c>
      <x:c r="U126" s="24" t="str">
        <x:v>Carlos Felipe Parada Ramón</x:v>
      </x:c>
      <x:c r="V126" s="11" t="str">
        <x:v>Humano (facilitador interno) / Logístico / Material de apoyo</x:v>
      </x:c>
      <x:c r="W126" s="11" t="str">
        <x:v>Camila Andrea Galván</x:v>
      </x:c>
      <x:c r="X126" s="11" t="str">
        <x:v>Ejecutada</x:v>
      </x:c>
      <x:c r="Y126" s="52" t="str">
        <x:v>Actividad ejecutada satisfactoriamente; mantener evidencia y seguimiento.</x:v>
      </x:c>
    </x:row>
    <x:row r="127">
      <x:c r="A127" s="23" t="n">
        <x:v>126</x:v>
      </x:c>
      <x:c r="B127" s="24" t="n">
        <x:v>2023</x:v>
      </x:c>
      <x:c r="C127" s="24" t="str">
        <x:v>Diciembre</x:v>
      </x:c>
      <x:c r="D127" s="24" t="n">
        <x:v>12</x:v>
      </x:c>
      <x:c r="E127" s="24" t="str">
        <x:v>General</x:v>
      </x:c>
      <x:c r="F127" s="24" t="str">
        <x:v>Capacitación</x:v>
      </x:c>
      <x:c r="G127" s="24" t="str">
        <x:v>Interno</x:v>
      </x:c>
      <x:c r="H127" s="24" t="str">
        <x:v>Todos</x:v>
      </x:c>
      <x:c r="I127" s="24" t="str">
        <x:v>Valledupar</x:v>
      </x:c>
      <x:c r="J127" s="11" t="str">
        <x:v>Lecciones aprendidas y autocuidado</x:v>
      </x:c>
      <x:c r="K127" s="11" t="str">
        <x:v>Cerrar el año con aprendizajes clave del SG-SST y compromisos de mejora individual y colectiva.</x:v>
      </x:c>
      <x:c r="L127" s="24" t="n">
        <x:v>1</x:v>
      </x:c>
      <x:c r="M127" s="58" t="n">
        <x:v>45275</x:v>
      </x:c>
      <x:c r="N127" s="24" t="n">
        <x:v>1</x:v>
      </x:c>
      <x:c r="O127" s="24" t="n">
        <x:v>47</x:v>
      </x:c>
      <x:c r="P127" s="24" t="n">
        <x:v>45</x:v>
      </x:c>
      <x:c r="Q127" s="64" t="n">
        <x:f>IFERROR(P127/O127,0)</x:f>
        <x:v>0.9574468085106383</x:v>
      </x:c>
      <x:c r="R127" s="24" t="str">
        <x:v>Retroalimentación grupal</x:v>
      </x:c>
      <x:c r="S127" s="70" t="n">
        <x:v>4.7</x:v>
      </x:c>
      <x:c r="T127" s="24" t="str">
        <x:f>IF(XOR(X127="Reprogramada",X127="Cancelada"),"",IF(AND(Q127&gt;=0.8,S127&gt;=4),"Sí",IF(AND(Q127&gt;=0.65,S127&gt;=3.5),"Parcial","No")))</x:f>
        <x:v>Sí</x:v>
      </x:c>
      <x:c r="U127" s="24" t="str">
        <x:v>Carlos Felipe Parada Ramón</x:v>
      </x:c>
      <x:c r="V127" s="11" t="str">
        <x:v>Humano (facilitador interno) / Logístico / Material de apoyo</x:v>
      </x:c>
      <x:c r="W127" s="11" t="str">
        <x:v>Jesús Guerrero</x:v>
      </x:c>
      <x:c r="X127" s="11" t="str">
        <x:v>Ejecutada</x:v>
      </x:c>
      <x:c r="Y127" s="52" t="str">
        <x:v>Actividad ejecutada satisfactoriamente; mantener evidencia y seguimiento.</x:v>
      </x:c>
    </x:row>
    <x:row r="128">
      <x:c r="A128" s="23" t="n">
        <x:v>127</x:v>
      </x:c>
      <x:c r="B128" s="24" t="n">
        <x:v>2023</x:v>
      </x:c>
      <x:c r="C128" s="24" t="str">
        <x:v>Diciembre</x:v>
      </x:c>
      <x:c r="D128" s="24" t="n">
        <x:v>12</x:v>
      </x:c>
      <x:c r="E128" s="24" t="str">
        <x:v>General</x:v>
      </x:c>
      <x:c r="F128" s="24" t="str">
        <x:v>Capacitación</x:v>
      </x:c>
      <x:c r="G128" s="24" t="str">
        <x:v>Interno</x:v>
      </x:c>
      <x:c r="H128" s="24" t="str">
        <x:v>Todos</x:v>
      </x:c>
      <x:c r="I128" s="24" t="str">
        <x:v>Arauca</x:v>
      </x:c>
      <x:c r="J128" s="11" t="str">
        <x:v>Lecciones aprendidas y autocuidado</x:v>
      </x:c>
      <x:c r="K128" s="11" t="str">
        <x:v>Cerrar el año con aprendizajes clave del SG-SST y compromisos de mejora individual y colectiva.</x:v>
      </x:c>
      <x:c r="L128" s="24" t="n">
        <x:v>1</x:v>
      </x:c>
      <x:c r="M128" s="58" t="n">
        <x:v>45285</x:v>
      </x:c>
      <x:c r="N128" s="24" t="n">
        <x:v>1</x:v>
      </x:c>
      <x:c r="O128" s="24" t="n">
        <x:v>29</x:v>
      </x:c>
      <x:c r="P128" s="24" t="n">
        <x:v>27</x:v>
      </x:c>
      <x:c r="Q128" s="64" t="n">
        <x:f>IFERROR(P128/O128,0)</x:f>
        <x:v>0.9310344827586207</x:v>
      </x:c>
      <x:c r="R128" s="24" t="str">
        <x:v>Retroalimentación grupal</x:v>
      </x:c>
      <x:c r="S128" s="70" t="n">
        <x:v>4.2</x:v>
      </x:c>
      <x:c r="T128" s="24" t="str">
        <x:f>IF(XOR(X128="Reprogramada",X128="Cancelada"),"",IF(AND(Q128&gt;=0.8,S128&gt;=4),"Sí",IF(AND(Q128&gt;=0.65,S128&gt;=3.5),"Parcial","No")))</x:f>
        <x:v>Sí</x:v>
      </x:c>
      <x:c r="U128" s="24" t="str">
        <x:v>Carlos Felipe Parada Ramón</x:v>
      </x:c>
      <x:c r="V128" s="11" t="str">
        <x:v>Humano (facilitador interno) / Logístico / Material de apoyo</x:v>
      </x:c>
      <x:c r="W128" s="11" t="str">
        <x:v>Carlos Felipe Parada Ramón</x:v>
      </x:c>
      <x:c r="X128" s="11" t="str">
        <x:v>Ejecutada</x:v>
      </x:c>
      <x:c r="Y128" s="52" t="str">
        <x:v>Actividad ejecutada satisfactoriamente; mantener evidencia y seguimiento.</x:v>
      </x:c>
    </x:row>
    <x:row r="129">
      <x:c r="A129" s="23" t="n">
        <x:v>128</x:v>
      </x:c>
      <x:c r="B129" s="24" t="n">
        <x:v>2023</x:v>
      </x:c>
      <x:c r="C129" s="24" t="str">
        <x:v>Diciembre</x:v>
      </x:c>
      <x:c r="D129" s="24" t="n">
        <x:v>12</x:v>
      </x:c>
      <x:c r="E129" s="24" t="str">
        <x:v>General</x:v>
      </x:c>
      <x:c r="F129" s="24" t="str">
        <x:v>Capacitación</x:v>
      </x:c>
      <x:c r="G129" s="24" t="str">
        <x:v>Interno</x:v>
      </x:c>
      <x:c r="H129" s="24" t="str">
        <x:v>Todos</x:v>
      </x:c>
      <x:c r="I129" s="24" t="str">
        <x:v>Bogotá</x:v>
      </x:c>
      <x:c r="J129" s="11" t="str">
        <x:v>Lecciones aprendidas y autocuidado</x:v>
      </x:c>
      <x:c r="K129" s="11" t="str">
        <x:v>Cerrar el año con aprendizajes clave del SG-SST y compromisos de mejora individual y colectiva.</x:v>
      </x:c>
      <x:c r="L129" s="24" t="n">
        <x:v>1</x:v>
      </x:c>
      <x:c r="M129" s="58" t="n">
        <x:v>45274</x:v>
      </x:c>
      <x:c r="N129" s="24" t="n">
        <x:v>1.5</x:v>
      </x:c>
      <x:c r="O129" s="24" t="n">
        <x:v>63</x:v>
      </x:c>
      <x:c r="P129" s="24" t="n">
        <x:v>57</x:v>
      </x:c>
      <x:c r="Q129" s="64" t="n">
        <x:f>IFERROR(P129/O129,0)</x:f>
        <x:v>0.9047619047619048</x:v>
      </x:c>
      <x:c r="R129" s="24" t="str">
        <x:v>Retroalimentación grupal</x:v>
      </x:c>
      <x:c r="S129" s="70" t="n">
        <x:v>4.3</x:v>
      </x:c>
      <x:c r="T129" s="24" t="str">
        <x:f>IF(XOR(X129="Reprogramada",X129="Cancelada"),"",IF(AND(Q129&gt;=0.8,S129&gt;=4),"Sí",IF(AND(Q129&gt;=0.65,S129&gt;=3.5),"Parcial","No")))</x:f>
        <x:v>Sí</x:v>
      </x:c>
      <x:c r="U129" s="24" t="str">
        <x:v>Carlos Felipe Parada Ramón</x:v>
      </x:c>
      <x:c r="V129" s="11" t="str">
        <x:v>Humano (facilitador interno) / Logístico / Material de apoyo</x:v>
      </x:c>
      <x:c r="W129" s="11" t="str">
        <x:v>Camila Andrea Galván</x:v>
      </x:c>
      <x:c r="X129" s="11" t="str">
        <x:v>Ejecutada</x:v>
      </x:c>
      <x:c r="Y129" s="52" t="str">
        <x:v>Actividad ejecutada satisfactoriamente; mantener evidencia y seguimiento.</x:v>
      </x:c>
    </x:row>
    <x:row r="130">
      <x:c r="A130" s="23" t="n">
        <x:v>129</x:v>
      </x:c>
      <x:c r="B130" s="24" t="n">
        <x:v>2023</x:v>
      </x:c>
      <x:c r="C130" s="24" t="str">
        <x:v>Diciembre</x:v>
      </x:c>
      <x:c r="D130" s="24" t="n">
        <x:v>12</x:v>
      </x:c>
      <x:c r="E130" s="24" t="str">
        <x:v>General</x:v>
      </x:c>
      <x:c r="F130" s="24" t="str">
        <x:v>Capacitación</x:v>
      </x:c>
      <x:c r="G130" s="24" t="str">
        <x:v>Interno</x:v>
      </x:c>
      <x:c r="H130" s="24" t="str">
        <x:v>Todos</x:v>
      </x:c>
      <x:c r="I130" s="24" t="str">
        <x:v>Tibú</x:v>
      </x:c>
      <x:c r="J130" s="11" t="str">
        <x:v>Lecciones aprendidas y autocuidado</x:v>
      </x:c>
      <x:c r="K130" s="11" t="str">
        <x:v>Cerrar el año con aprendizajes clave del SG-SST y compromisos de mejora individual y colectiva.</x:v>
      </x:c>
      <x:c r="L130" s="24" t="n">
        <x:v>1</x:v>
      </x:c>
      <x:c r="M130" s="58" t="n">
        <x:v>45280</x:v>
      </x:c>
      <x:c r="N130" s="24" t="n">
        <x:v>1</x:v>
      </x:c>
      <x:c r="O130" s="24" t="n">
        <x:v>31</x:v>
      </x:c>
      <x:c r="P130" s="24" t="n">
        <x:v>29</x:v>
      </x:c>
      <x:c r="Q130" s="64" t="n">
        <x:f>IFERROR(P130/O130,0)</x:f>
        <x:v>0.9354838709677419</x:v>
      </x:c>
      <x:c r="R130" s="24" t="str">
        <x:v>Retroalimentación grupal</x:v>
      </x:c>
      <x:c r="S130" s="70" t="n">
        <x:v>4.2</x:v>
      </x:c>
      <x:c r="T130" s="24" t="str">
        <x:f>IF(XOR(X130="Reprogramada",X130="Cancelada"),"",IF(AND(Q130&gt;=0.8,S130&gt;=4),"Sí",IF(AND(Q130&gt;=0.65,S130&gt;=3.5),"Parcial","No")))</x:f>
        <x:v>Sí</x:v>
      </x:c>
      <x:c r="U130" s="24" t="str">
        <x:v>Carlos Felipe Parada Ramón</x:v>
      </x:c>
      <x:c r="V130" s="11" t="str">
        <x:v>Humano (facilitador interno) / Logístico / Material de apoyo</x:v>
      </x:c>
      <x:c r="W130" s="11" t="str">
        <x:v>Jesús Guerrero</x:v>
      </x:c>
      <x:c r="X130" s="11" t="str">
        <x:v>Ejecutada</x:v>
      </x:c>
      <x:c r="Y130" s="52" t="str">
        <x:v>Actividad ejecutada satisfactoriamente; mantener evidencia y seguimiento.</x:v>
      </x:c>
    </x:row>
    <x:row r="131">
      <x:c r="A131" s="23" t="n">
        <x:v>130</x:v>
      </x:c>
      <x:c r="B131" s="24" t="n">
        <x:v>2023</x:v>
      </x:c>
      <x:c r="C131" s="24" t="str">
        <x:v>Diciembre</x:v>
      </x:c>
      <x:c r="D131" s="24" t="n">
        <x:v>12</x:v>
      </x:c>
      <x:c r="E131" s="24" t="str">
        <x:v>General</x:v>
      </x:c>
      <x:c r="F131" s="24" t="str">
        <x:v>Capacitación</x:v>
      </x:c>
      <x:c r="G131" s="24" t="str">
        <x:v>Interno</x:v>
      </x:c>
      <x:c r="H131" s="24" t="str">
        <x:v>Todos</x:v>
      </x:c>
      <x:c r="I131" s="24" t="str">
        <x:v>Medellín</x:v>
      </x:c>
      <x:c r="J131" s="11" t="str">
        <x:v>Lecciones aprendidas y autocuidado</x:v>
      </x:c>
      <x:c r="K131" s="11" t="str">
        <x:v>Cerrar el año con aprendizajes clave del SG-SST y compromisos de mejora individual y colectiva.</x:v>
      </x:c>
      <x:c r="L131" s="24" t="n">
        <x:v>1</x:v>
      </x:c>
      <x:c r="M131" s="58" t="n">
        <x:v>45273</x:v>
      </x:c>
      <x:c r="N131" s="24" t="n">
        <x:v>1</x:v>
      </x:c>
      <x:c r="O131" s="24" t="n">
        <x:v>58</x:v>
      </x:c>
      <x:c r="P131" s="24" t="n">
        <x:v>52</x:v>
      </x:c>
      <x:c r="Q131" s="64" t="n">
        <x:f>IFERROR(P131/O131,0)</x:f>
        <x:v>0.896551724137931</x:v>
      </x:c>
      <x:c r="R131" s="24" t="str">
        <x:v>Retroalimentación grupal</x:v>
      </x:c>
      <x:c r="S131" s="70" t="n">
        <x:v>4.1</x:v>
      </x:c>
      <x:c r="T131" s="24" t="str">
        <x:f>IF(XOR(X131="Reprogramada",X131="Cancelada"),"",IF(AND(Q131&gt;=0.8,S131&gt;=4),"Sí",IF(AND(Q131&gt;=0.65,S131&gt;=3.5),"Parcial","No")))</x:f>
        <x:v>Sí</x:v>
      </x:c>
      <x:c r="U131" s="24" t="str">
        <x:v>Carlos Felipe Parada Ramón</x:v>
      </x:c>
      <x:c r="V131" s="11" t="str">
        <x:v>Humano (facilitador interno) / Logístico / Material de apoyo</x:v>
      </x:c>
      <x:c r="W131" s="11" t="str">
        <x:v>Carlos Felipe Parada Ramón</x:v>
      </x:c>
      <x:c r="X131" s="11" t="str">
        <x:v>Ejecutada</x:v>
      </x:c>
      <x:c r="Y131" s="52" t="str">
        <x:v>Actividad ejecutada satisfactoriamente; mantener evidencia y seguimiento.</x:v>
      </x:c>
    </x:row>
    <x:row r="132">
      <x:c r="A132" s="23" t="n">
        <x:v>131</x:v>
      </x:c>
      <x:c r="B132" s="24" t="n">
        <x:v>2023</x:v>
      </x:c>
      <x:c r="C132" s="24" t="str">
        <x:v>Diciembre</x:v>
      </x:c>
      <x:c r="D132" s="24" t="n">
        <x:v>12</x:v>
      </x:c>
      <x:c r="E132" s="24" t="str">
        <x:v>General</x:v>
      </x:c>
      <x:c r="F132" s="24" t="str">
        <x:v>Capacitación</x:v>
      </x:c>
      <x:c r="G132" s="24" t="str">
        <x:v>Interno</x:v>
      </x:c>
      <x:c r="H132" s="24" t="str">
        <x:v>Todos</x:v>
      </x:c>
      <x:c r="I132" s="24" t="str">
        <x:v>Ábrego</x:v>
      </x:c>
      <x:c r="J132" s="11" t="str">
        <x:v>Lecciones aprendidas y autocuidado</x:v>
      </x:c>
      <x:c r="K132" s="11" t="str">
        <x:v>Cerrar el año con aprendizajes clave del SG-SST y compromisos de mejora individual y colectiva.</x:v>
      </x:c>
      <x:c r="L132" s="24" t="n">
        <x:v>1</x:v>
      </x:c>
      <x:c r="M132" s="58" t="n">
        <x:v>45271</x:v>
      </x:c>
      <x:c r="N132" s="24" t="n">
        <x:v>1</x:v>
      </x:c>
      <x:c r="O132" s="24" t="n">
        <x:v>24</x:v>
      </x:c>
      <x:c r="P132" s="24" t="n">
        <x:v>21</x:v>
      </x:c>
      <x:c r="Q132" s="64" t="n">
        <x:f>IFERROR(P132/O132,0)</x:f>
        <x:v>0.875</x:v>
      </x:c>
      <x:c r="R132" s="24" t="str">
        <x:v>Retroalimentación grupal</x:v>
      </x:c>
      <x:c r="S132" s="70" t="n">
        <x:v>4.6</x:v>
      </x:c>
      <x:c r="T132" s="24" t="str">
        <x:f>IF(XOR(X132="Reprogramada",X132="Cancelada"),"",IF(AND(Q132&gt;=0.8,S132&gt;=4),"Sí",IF(AND(Q132&gt;=0.65,S132&gt;=3.5),"Parcial","No")))</x:f>
        <x:v>Sí</x:v>
      </x:c>
      <x:c r="U132" s="24" t="str">
        <x:v>Carlos Felipe Parada Ramón</x:v>
      </x:c>
      <x:c r="V132" s="11" t="str">
        <x:v>Humano (facilitador interno) / Logístico / Material de apoyo</x:v>
      </x:c>
      <x:c r="W132" s="11" t="str">
        <x:v>Camila Andrea Galván</x:v>
      </x:c>
      <x:c r="X132" s="11" t="str">
        <x:v>Ejecutada</x:v>
      </x:c>
      <x:c r="Y132" s="52" t="str">
        <x:v>Actividad ejecutada satisfactoriamente; mantener evidencia y seguimiento.</x:v>
      </x:c>
    </x:row>
    <x:row r="133">
      <x:c r="A133" s="23" t="n">
        <x:v>132</x:v>
      </x:c>
      <x:c r="B133" s="24" t="n">
        <x:v>2023</x:v>
      </x:c>
      <x:c r="C133" s="24" t="str">
        <x:v>Diciembre</x:v>
      </x:c>
      <x:c r="D133" s="24" t="n">
        <x:v>12</x:v>
      </x:c>
      <x:c r="E133" s="24" t="str">
        <x:v>General</x:v>
      </x:c>
      <x:c r="F133" s="24" t="str">
        <x:v>Capacitación</x:v>
      </x:c>
      <x:c r="G133" s="24" t="str">
        <x:v>Interno</x:v>
      </x:c>
      <x:c r="H133" s="24" t="str">
        <x:v>Todos</x:v>
      </x:c>
      <x:c r="I133" s="24" t="str">
        <x:v>Pamplona</x:v>
      </x:c>
      <x:c r="J133" s="11" t="str">
        <x:v>Lecciones aprendidas y autocuidado</x:v>
      </x:c>
      <x:c r="K133" s="11" t="str">
        <x:v>Cerrar el año con aprendizajes clave del SG-SST y compromisos de mejora individual y colectiva.</x:v>
      </x:c>
      <x:c r="L133" s="24" t="n">
        <x:v>1</x:v>
      </x:c>
      <x:c r="M133" s="58" t="n">
        <x:v>45270</x:v>
      </x:c>
      <x:c r="N133" s="24" t="n">
        <x:v>1</x:v>
      </x:c>
      <x:c r="O133" s="24" t="n">
        <x:v>27</x:v>
      </x:c>
      <x:c r="P133" s="24" t="n">
        <x:v>23</x:v>
      </x:c>
      <x:c r="Q133" s="64" t="n">
        <x:f>IFERROR(P133/O133,0)</x:f>
        <x:v>0.8518518518518519</x:v>
      </x:c>
      <x:c r="R133" s="24" t="str">
        <x:v>Retroalimentación grupal</x:v>
      </x:c>
      <x:c r="S133" s="70" t="n">
        <x:v>4.4</x:v>
      </x:c>
      <x:c r="T133" s="24" t="str">
        <x:f>IF(XOR(X133="Reprogramada",X133="Cancelada"),"",IF(AND(Q133&gt;=0.8,S133&gt;=4),"Sí",IF(AND(Q133&gt;=0.65,S133&gt;=3.5),"Parcial","No")))</x:f>
        <x:v>Sí</x:v>
      </x:c>
      <x:c r="U133" s="24" t="str">
        <x:v>Carlos Felipe Parada Ramón</x:v>
      </x:c>
      <x:c r="V133" s="11" t="str">
        <x:v>Humano (facilitador interno) / Logístico / Material de apoyo</x:v>
      </x:c>
      <x:c r="W133" s="11" t="str">
        <x:v>Jesús Guerrero</x:v>
      </x:c>
      <x:c r="X133" s="11" t="str">
        <x:v>Ejecutada</x:v>
      </x:c>
      <x:c r="Y133" s="52" t="str">
        <x:v>Actividad ejecutada satisfactoriamente; mantener evidencia y seguimiento.</x:v>
      </x:c>
    </x:row>
    <x:row r="134">
      <x:c r="A134" s="23" t="n">
        <x:v>133</x:v>
      </x:c>
      <x:c r="B134" s="24" t="n">
        <x:v>2024</x:v>
      </x:c>
      <x:c r="C134" s="24" t="str">
        <x:v>Enero</x:v>
      </x:c>
      <x:c r="D134" s="24" t="n">
        <x:v>1</x:v>
      </x:c>
      <x:c r="E134" s="24" t="str">
        <x:v>General</x:v>
      </x:c>
      <x:c r="F134" s="24" t="str">
        <x:v>Capacitación</x:v>
      </x:c>
      <x:c r="G134" s="24" t="str">
        <x:v>Interno</x:v>
      </x:c>
      <x:c r="H134" s="24" t="str">
        <x:v>Todos</x:v>
      </x:c>
      <x:c r="I134" s="24" t="str">
        <x:v>Cúcuta</x:v>
      </x:c>
      <x:c r="J134" s="11" t="str">
        <x:v>Reinducción SG-SST y responsabilidades 2024</x:v>
      </x:c>
      <x:c r="K134" s="11" t="str">
        <x:v>Actualizar al personal en responsabilidades, objetivos y cambios del SG-SST para el nuevo período.</x:v>
      </x:c>
      <x:c r="L134" s="24" t="n">
        <x:v>2</x:v>
      </x:c>
      <x:c r="M134" s="58" t="n">
        <x:v>45313</x:v>
      </x:c>
      <x:c r="N134" s="24" t="n">
        <x:v>2</x:v>
      </x:c>
      <x:c r="O134" s="24" t="n">
        <x:v>80</x:v>
      </x:c>
      <x:c r="P134" s="24" t="n">
        <x:v>69</x:v>
      </x:c>
      <x:c r="Q134" s="64" t="n">
        <x:f>IFERROR(P134/O134,0)</x:f>
        <x:v>0.8625</x:v>
      </x:c>
      <x:c r="R134" s="24" t="str">
        <x:v>Evaluación escrita</x:v>
      </x:c>
      <x:c r="S134" s="70" t="n">
        <x:v>4.1</x:v>
      </x:c>
      <x:c r="T134" s="24" t="str">
        <x:f>IF(XOR(X134="Reprogramada",X134="Cancelada"),"",IF(AND(Q134&gt;=0.8,S134&gt;=4),"Sí",IF(AND(Q134&gt;=0.65,S134&gt;=3.5),"Parcial","No")))</x:f>
        <x:v>Sí</x:v>
      </x:c>
      <x:c r="U134" s="24" t="str">
        <x:v>Carlos Felipe Parada Ramón</x:v>
      </x:c>
      <x:c r="V134" s="11" t="str">
        <x:v>Humano (facilitador interno) / Logístico / Material de apoyo</x:v>
      </x:c>
      <x:c r="W134" s="11" t="str">
        <x:v>Carlos Felipe Parada Ramón</x:v>
      </x:c>
      <x:c r="X134" s="11" t="str">
        <x:v>Ejecutada</x:v>
      </x:c>
      <x:c r="Y134" s="52" t="str">
        <x:v>Actividad ejecutada satisfactoriamente; mantener evidencia y seguimiento.</x:v>
      </x:c>
    </x:row>
    <x:row r="135">
      <x:c r="A135" s="23" t="n">
        <x:v>134</x:v>
      </x:c>
      <x:c r="B135" s="24" t="n">
        <x:v>2024</x:v>
      </x:c>
      <x:c r="C135" s="24" t="str">
        <x:v>Enero</x:v>
      </x:c>
      <x:c r="D135" s="24" t="n">
        <x:v>1</x:v>
      </x:c>
      <x:c r="E135" s="24" t="str">
        <x:v>General</x:v>
      </x:c>
      <x:c r="F135" s="24" t="str">
        <x:v>Capacitación</x:v>
      </x:c>
      <x:c r="G135" s="24" t="str">
        <x:v>Interno</x:v>
      </x:c>
      <x:c r="H135" s="24" t="str">
        <x:v>Todos</x:v>
      </x:c>
      <x:c r="I135" s="24" t="str">
        <x:v>Barrancabermeja</x:v>
      </x:c>
      <x:c r="J135" s="11" t="str">
        <x:v>Reinducción SG-SST y responsabilidades 2024</x:v>
      </x:c>
      <x:c r="K135" s="11" t="str">
        <x:v>Actualizar al personal en responsabilidades, objetivos y cambios del SG-SST para el nuevo período.</x:v>
      </x:c>
      <x:c r="L135" s="24" t="n">
        <x:v>2</x:v>
      </x:c>
      <x:c r="M135" s="58" t="n">
        <x:v>45304</x:v>
      </x:c>
      <x:c r="N135" s="24" t="n">
        <x:v>2</x:v>
      </x:c>
      <x:c r="O135" s="24" t="n">
        <x:v>54</x:v>
      </x:c>
      <x:c r="P135" s="24" t="n">
        <x:v>46</x:v>
      </x:c>
      <x:c r="Q135" s="64" t="n">
        <x:f>IFERROR(P135/O135,0)</x:f>
        <x:v>0.8518518518518519</x:v>
      </x:c>
      <x:c r="R135" s="24" t="str">
        <x:v>Evaluación escrita</x:v>
      </x:c>
      <x:c r="S135" s="70" t="n">
        <x:v>4.3</x:v>
      </x:c>
      <x:c r="T135" s="24" t="str">
        <x:f>IF(XOR(X135="Reprogramada",X135="Cancelada"),"",IF(AND(Q135&gt;=0.8,S135&gt;=4),"Sí",IF(AND(Q135&gt;=0.65,S135&gt;=3.5),"Parcial","No")))</x:f>
        <x:v>Sí</x:v>
      </x:c>
      <x:c r="U135" s="24" t="str">
        <x:v>Carlos Felipe Parada Ramón</x:v>
      </x:c>
      <x:c r="V135" s="11" t="str">
        <x:v>Humano (facilitador interno) / Logístico / Material de apoyo</x:v>
      </x:c>
      <x:c r="W135" s="11" t="str">
        <x:v>Camila Andrea Galván</x:v>
      </x:c>
      <x:c r="X135" s="11" t="str">
        <x:v>Ejecutada</x:v>
      </x:c>
      <x:c r="Y135" s="52" t="str">
        <x:v>Actividad ejecutada satisfactoriamente; mantener evidencia y seguimiento.</x:v>
      </x:c>
    </x:row>
    <x:row r="136">
      <x:c r="A136" s="23" t="n">
        <x:v>135</x:v>
      </x:c>
      <x:c r="B136" s="24" t="n">
        <x:v>2024</x:v>
      </x:c>
      <x:c r="C136" s="24" t="str">
        <x:v>Enero</x:v>
      </x:c>
      <x:c r="D136" s="24" t="n">
        <x:v>1</x:v>
      </x:c>
      <x:c r="E136" s="24" t="str">
        <x:v>General</x:v>
      </x:c>
      <x:c r="F136" s="24" t="str">
        <x:v>Capacitación</x:v>
      </x:c>
      <x:c r="G136" s="24" t="str">
        <x:v>Interno</x:v>
      </x:c>
      <x:c r="H136" s="24" t="str">
        <x:v>Todos</x:v>
      </x:c>
      <x:c r="I136" s="24" t="str">
        <x:v>Ocaña</x:v>
      </x:c>
      <x:c r="J136" s="11" t="str">
        <x:v>Reinducción SG-SST y responsabilidades 2024</x:v>
      </x:c>
      <x:c r="K136" s="11" t="str">
        <x:v>Actualizar al personal en responsabilidades, objetivos y cambios del SG-SST para el nuevo período.</x:v>
      </x:c>
      <x:c r="L136" s="24" t="n">
        <x:v>2</x:v>
      </x:c>
      <x:c r="M136" s="58" t="n">
        <x:v>45308</x:v>
      </x:c>
      <x:c r="N136" s="24" t="n">
        <x:v>2.5</x:v>
      </x:c>
      <x:c r="O136" s="24" t="n">
        <x:v>37</x:v>
      </x:c>
      <x:c r="P136" s="24" t="n">
        <x:v>33</x:v>
      </x:c>
      <x:c r="Q136" s="64" t="n">
        <x:f>IFERROR(P136/O136,0)</x:f>
        <x:v>0.8918918918918919</x:v>
      </x:c>
      <x:c r="R136" s="24" t="str">
        <x:v>Evaluación escrita</x:v>
      </x:c>
      <x:c r="S136" s="70" t="n">
        <x:v>4.5</x:v>
      </x:c>
      <x:c r="T136" s="24" t="str">
        <x:f>IF(XOR(X136="Reprogramada",X136="Cancelada"),"",IF(AND(Q136&gt;=0.8,S136&gt;=4),"Sí",IF(AND(Q136&gt;=0.65,S136&gt;=3.5),"Parcial","No")))</x:f>
        <x:v>Sí</x:v>
      </x:c>
      <x:c r="U136" s="24" t="str">
        <x:v>Carlos Felipe Parada Ramón</x:v>
      </x:c>
      <x:c r="V136" s="11" t="str">
        <x:v>Humano (facilitador interno) / Logístico / Material de apoyo</x:v>
      </x:c>
      <x:c r="W136" s="11" t="str">
        <x:v>Jesús Guerrero</x:v>
      </x:c>
      <x:c r="X136" s="11" t="str">
        <x:v>Ejecutada</x:v>
      </x:c>
      <x:c r="Y136" s="52" t="str">
        <x:v>Actividad ejecutada satisfactoriamente; mantener evidencia y seguimiento.</x:v>
      </x:c>
    </x:row>
    <x:row r="137">
      <x:c r="A137" s="23" t="n">
        <x:v>136</x:v>
      </x:c>
      <x:c r="B137" s="24" t="n">
        <x:v>2024</x:v>
      </x:c>
      <x:c r="C137" s="24" t="str">
        <x:v>Enero</x:v>
      </x:c>
      <x:c r="D137" s="24" t="n">
        <x:v>1</x:v>
      </x:c>
      <x:c r="E137" s="24" t="str">
        <x:v>General</x:v>
      </x:c>
      <x:c r="F137" s="24" t="str">
        <x:v>Capacitación</x:v>
      </x:c>
      <x:c r="G137" s="24" t="str">
        <x:v>Interno</x:v>
      </x:c>
      <x:c r="H137" s="24" t="str">
        <x:v>Todos</x:v>
      </x:c>
      <x:c r="I137" s="24" t="str">
        <x:v>Girón</x:v>
      </x:c>
      <x:c r="J137" s="11" t="str">
        <x:v>Reinducción SG-SST y responsabilidades 2024</x:v>
      </x:c>
      <x:c r="K137" s="11" t="str">
        <x:v>Actualizar al personal en responsabilidades, objetivos y cambios del SG-SST para el nuevo período.</x:v>
      </x:c>
      <x:c r="L137" s="24" t="n">
        <x:v>2</x:v>
      </x:c>
      <x:c r="M137" s="58" t="n">
        <x:v>45303</x:v>
      </x:c>
      <x:c r="N137" s="24" t="n">
        <x:v>2</x:v>
      </x:c>
      <x:c r="O137" s="24" t="n">
        <x:v>42</x:v>
      </x:c>
      <x:c r="P137" s="24" t="n">
        <x:v>38</x:v>
      </x:c>
      <x:c r="Q137" s="64" t="n">
        <x:f>IFERROR(P137/O137,0)</x:f>
        <x:v>0.9047619047619048</x:v>
      </x:c>
      <x:c r="R137" s="24" t="str">
        <x:v>Evaluación escrita</x:v>
      </x:c>
      <x:c r="S137" s="70" t="n">
        <x:v>4.3</x:v>
      </x:c>
      <x:c r="T137" s="24" t="str">
        <x:f>IF(XOR(X137="Reprogramada",X137="Cancelada"),"",IF(AND(Q137&gt;=0.8,S137&gt;=4),"Sí",IF(AND(Q137&gt;=0.65,S137&gt;=3.5),"Parcial","No")))</x:f>
        <x:v>Sí</x:v>
      </x:c>
      <x:c r="U137" s="24" t="str">
        <x:v>Carlos Felipe Parada Ramón</x:v>
      </x:c>
      <x:c r="V137" s="11" t="str">
        <x:v>Humano (facilitador interno) / Logístico / Material de apoyo</x:v>
      </x:c>
      <x:c r="W137" s="11" t="str">
        <x:v>Carlos Felipe Parada Ramón</x:v>
      </x:c>
      <x:c r="X137" s="11" t="str">
        <x:v>Ejecutada</x:v>
      </x:c>
      <x:c r="Y137" s="52" t="str">
        <x:v>Actividad ejecutada satisfactoriamente; mantener evidencia y seguimiento.</x:v>
      </x:c>
    </x:row>
    <x:row r="138">
      <x:c r="A138" s="23" t="n">
        <x:v>137</x:v>
      </x:c>
      <x:c r="B138" s="24" t="n">
        <x:v>2024</x:v>
      </x:c>
      <x:c r="C138" s="24" t="str">
        <x:v>Enero</x:v>
      </x:c>
      <x:c r="D138" s="24" t="n">
        <x:v>1</x:v>
      </x:c>
      <x:c r="E138" s="24" t="str">
        <x:v>General</x:v>
      </x:c>
      <x:c r="F138" s="24" t="str">
        <x:v>Capacitación</x:v>
      </x:c>
      <x:c r="G138" s="24" t="str">
        <x:v>Interno</x:v>
      </x:c>
      <x:c r="H138" s="24" t="str">
        <x:v>Todos</x:v>
      </x:c>
      <x:c r="I138" s="24" t="str">
        <x:v>Valledupar</x:v>
      </x:c>
      <x:c r="J138" s="11" t="str">
        <x:v>Reinducción SG-SST y responsabilidades 2024</x:v>
      </x:c>
      <x:c r="K138" s="11" t="str">
        <x:v>Actualizar al personal en responsabilidades, objetivos y cambios del SG-SST para el nuevo período.</x:v>
      </x:c>
      <x:c r="L138" s="24" t="n">
        <x:v>2</x:v>
      </x:c>
      <x:c r="M138" s="58" t="n">
        <x:v>45308</x:v>
      </x:c>
      <x:c r="N138" s="24" t="n">
        <x:v>2</x:v>
      </x:c>
      <x:c r="O138" s="24" t="n">
        <x:v>48</x:v>
      </x:c>
      <x:c r="P138" s="24" t="n">
        <x:v>41</x:v>
      </x:c>
      <x:c r="Q138" s="64" t="n">
        <x:f>IFERROR(P138/O138,0)</x:f>
        <x:v>0.8541666666666666</x:v>
      </x:c>
      <x:c r="R138" s="24" t="str">
        <x:v>Evaluación escrita</x:v>
      </x:c>
      <x:c r="S138" s="70" t="n">
        <x:v>4.3</x:v>
      </x:c>
      <x:c r="T138" s="24" t="str">
        <x:f>IF(XOR(X138="Reprogramada",X138="Cancelada"),"",IF(AND(Q138&gt;=0.8,S138&gt;=4),"Sí",IF(AND(Q138&gt;=0.65,S138&gt;=3.5),"Parcial","No")))</x:f>
        <x:v>Sí</x:v>
      </x:c>
      <x:c r="U138" s="24" t="str">
        <x:v>Carlos Felipe Parada Ramón</x:v>
      </x:c>
      <x:c r="V138" s="11" t="str">
        <x:v>Humano (facilitador interno) / Logístico / Material de apoyo</x:v>
      </x:c>
      <x:c r="W138" s="11" t="str">
        <x:v>Camila Andrea Galván</x:v>
      </x:c>
      <x:c r="X138" s="11" t="str">
        <x:v>Ejecutada</x:v>
      </x:c>
      <x:c r="Y138" s="52" t="str">
        <x:v>Actividad ejecutada satisfactoriamente; mantener evidencia y seguimiento.</x:v>
      </x:c>
    </x:row>
    <x:row r="139">
      <x:c r="A139" s="23" t="n">
        <x:v>138</x:v>
      </x:c>
      <x:c r="B139" s="24" t="n">
        <x:v>2024</x:v>
      </x:c>
      <x:c r="C139" s="24" t="str">
        <x:v>Enero</x:v>
      </x:c>
      <x:c r="D139" s="24" t="n">
        <x:v>1</x:v>
      </x:c>
      <x:c r="E139" s="24" t="str">
        <x:v>General</x:v>
      </x:c>
      <x:c r="F139" s="24" t="str">
        <x:v>Capacitación</x:v>
      </x:c>
      <x:c r="G139" s="24" t="str">
        <x:v>Interno</x:v>
      </x:c>
      <x:c r="H139" s="24" t="str">
        <x:v>Todos</x:v>
      </x:c>
      <x:c r="I139" s="24" t="str">
        <x:v>Arauca</x:v>
      </x:c>
      <x:c r="J139" s="11" t="str">
        <x:v>Reinducción SG-SST y responsabilidades 2024</x:v>
      </x:c>
      <x:c r="K139" s="11" t="str">
        <x:v>Actualizar al personal en responsabilidades, objetivos y cambios del SG-SST para el nuevo período.</x:v>
      </x:c>
      <x:c r="L139" s="24" t="n">
        <x:v>2</x:v>
      </x:c>
      <x:c r="M139" s="58"/>
      <x:c r="N139" s="24"/>
      <x:c r="O139" s="24" t="n">
        <x:v>30</x:v>
      </x:c>
      <x:c r="P139" s="24"/>
      <x:c r="Q139" s="64" t="n">
        <x:f>IFERROR(P139/O139,0)</x:f>
        <x:v>0</x:v>
      </x:c>
      <x:c r="R139" s="24" t="str">
        <x:v>Evaluación escrita</x:v>
      </x:c>
      <x:c r="S139" s="70"/>
      <x:c r="T139" s="24" t="str">
        <x:f>IF(XOR(X139="Reprogramada",X139="Cancelada"),"",IF(AND(Q139&gt;=0.8,S139&gt;=4),"Sí",IF(AND(Q139&gt;=0.65,S139&gt;=3.5),"Parcial","No")))</x:f>
      </x:c>
      <x:c r="U139" s="24" t="str">
        <x:v>Carlos Felipe Parada Ramón</x:v>
      </x:c>
      <x:c r="V139" s="11" t="str">
        <x:v>Humano (facilitador interno) / Logístico / Material de apoyo</x:v>
      </x:c>
      <x:c r="W139" s="11" t="str">
        <x:v>Jesús Guerrero</x:v>
      </x:c>
      <x:c r="X139" s="11" t="str">
        <x:v>Reprogramada</x:v>
      </x:c>
      <x:c r="Y139" s="52" t="str">
        <x:v>Actividad reprogramada por operación, disponibilidad del facilitador o ajustes logísticos.</x:v>
      </x:c>
    </x:row>
    <x:row r="140">
      <x:c r="A140" s="23" t="n">
        <x:v>139</x:v>
      </x:c>
      <x:c r="B140" s="24" t="n">
        <x:v>2024</x:v>
      </x:c>
      <x:c r="C140" s="24" t="str">
        <x:v>Enero</x:v>
      </x:c>
      <x:c r="D140" s="24" t="n">
        <x:v>1</x:v>
      </x:c>
      <x:c r="E140" s="24" t="str">
        <x:v>General</x:v>
      </x:c>
      <x:c r="F140" s="24" t="str">
        <x:v>Capacitación</x:v>
      </x:c>
      <x:c r="G140" s="24" t="str">
        <x:v>Interno</x:v>
      </x:c>
      <x:c r="H140" s="24" t="str">
        <x:v>Todos</x:v>
      </x:c>
      <x:c r="I140" s="24" t="str">
        <x:v>Bogotá</x:v>
      </x:c>
      <x:c r="J140" s="11" t="str">
        <x:v>Reinducción SG-SST y responsabilidades 2024</x:v>
      </x:c>
      <x:c r="K140" s="11" t="str">
        <x:v>Actualizar al personal en responsabilidades, objetivos y cambios del SG-SST para el nuevo período.</x:v>
      </x:c>
      <x:c r="L140" s="24" t="n">
        <x:v>2</x:v>
      </x:c>
      <x:c r="M140" s="58" t="n">
        <x:v>45310</x:v>
      </x:c>
      <x:c r="N140" s="24" t="n">
        <x:v>2</x:v>
      </x:c>
      <x:c r="O140" s="24" t="n">
        <x:v>65</x:v>
      </x:c>
      <x:c r="P140" s="24" t="n">
        <x:v>53</x:v>
      </x:c>
      <x:c r="Q140" s="64" t="n">
        <x:f>IFERROR(P140/O140,0)</x:f>
        <x:v>0.8153846153846154</x:v>
      </x:c>
      <x:c r="R140" s="24" t="str">
        <x:v>Evaluación escrita</x:v>
      </x:c>
      <x:c r="S140" s="70" t="n">
        <x:v>4.2</x:v>
      </x:c>
      <x:c r="T140" s="24" t="str">
        <x:f>IF(XOR(X140="Reprogramada",X140="Cancelada"),"",IF(AND(Q140&gt;=0.8,S140&gt;=4),"Sí",IF(AND(Q140&gt;=0.65,S140&gt;=3.5),"Parcial","No")))</x:f>
        <x:v>Sí</x:v>
      </x:c>
      <x:c r="U140" s="24" t="str">
        <x:v>Carlos Felipe Parada Ramón</x:v>
      </x:c>
      <x:c r="V140" s="11" t="str">
        <x:v>Humano (facilitador interno) / Logístico / Material de apoyo</x:v>
      </x:c>
      <x:c r="W140" s="11" t="str">
        <x:v>Carlos Felipe Parada Ramón</x:v>
      </x:c>
      <x:c r="X140" s="11" t="str">
        <x:v>Ejecutada</x:v>
      </x:c>
      <x:c r="Y140" s="52" t="str">
        <x:v>Actividad ejecutada satisfactoriamente; mantener evidencia y seguimiento.</x:v>
      </x:c>
    </x:row>
    <x:row r="141">
      <x:c r="A141" s="23" t="n">
        <x:v>140</x:v>
      </x:c>
      <x:c r="B141" s="24" t="n">
        <x:v>2024</x:v>
      </x:c>
      <x:c r="C141" s="24" t="str">
        <x:v>Enero</x:v>
      </x:c>
      <x:c r="D141" s="24" t="n">
        <x:v>1</x:v>
      </x:c>
      <x:c r="E141" s="24" t="str">
        <x:v>General</x:v>
      </x:c>
      <x:c r="F141" s="24" t="str">
        <x:v>Capacitación</x:v>
      </x:c>
      <x:c r="G141" s="24" t="str">
        <x:v>Interno</x:v>
      </x:c>
      <x:c r="H141" s="24" t="str">
        <x:v>Todos</x:v>
      </x:c>
      <x:c r="I141" s="24" t="str">
        <x:v>Tibú</x:v>
      </x:c>
      <x:c r="J141" s="11" t="str">
        <x:v>Reinducción SG-SST y responsabilidades 2024</x:v>
      </x:c>
      <x:c r="K141" s="11" t="str">
        <x:v>Actualizar al personal en responsabilidades, objetivos y cambios del SG-SST para el nuevo período.</x:v>
      </x:c>
      <x:c r="L141" s="24" t="n">
        <x:v>2</x:v>
      </x:c>
      <x:c r="M141" s="58" t="n">
        <x:v>45304</x:v>
      </x:c>
      <x:c r="N141" s="24" t="n">
        <x:v>2</x:v>
      </x:c>
      <x:c r="O141" s="24" t="n">
        <x:v>32</x:v>
      </x:c>
      <x:c r="P141" s="24" t="n">
        <x:v>29</x:v>
      </x:c>
      <x:c r="Q141" s="64" t="n">
        <x:f>IFERROR(P141/O141,0)</x:f>
        <x:v>0.90625</x:v>
      </x:c>
      <x:c r="R141" s="24" t="str">
        <x:v>Evaluación escrita</x:v>
      </x:c>
      <x:c r="S141" s="70" t="n">
        <x:v>4.6</x:v>
      </x:c>
      <x:c r="T141" s="24" t="str">
        <x:f>IF(XOR(X141="Reprogramada",X141="Cancelada"),"",IF(AND(Q141&gt;=0.8,S141&gt;=4),"Sí",IF(AND(Q141&gt;=0.65,S141&gt;=3.5),"Parcial","No")))</x:f>
        <x:v>Sí</x:v>
      </x:c>
      <x:c r="U141" s="24" t="str">
        <x:v>Carlos Felipe Parada Ramón</x:v>
      </x:c>
      <x:c r="V141" s="11" t="str">
        <x:v>Humano (facilitador interno) / Logístico / Material de apoyo</x:v>
      </x:c>
      <x:c r="W141" s="11" t="str">
        <x:v>Camila Andrea Galván</x:v>
      </x:c>
      <x:c r="X141" s="11" t="str">
        <x:v>Ejecutada</x:v>
      </x:c>
      <x:c r="Y141" s="52" t="str">
        <x:v>Actividad ejecutada satisfactoriamente; mantener evidencia y seguimiento.</x:v>
      </x:c>
    </x:row>
    <x:row r="142">
      <x:c r="A142" s="23" t="n">
        <x:v>141</x:v>
      </x:c>
      <x:c r="B142" s="24" t="n">
        <x:v>2024</x:v>
      </x:c>
      <x:c r="C142" s="24" t="str">
        <x:v>Enero</x:v>
      </x:c>
      <x:c r="D142" s="24" t="n">
        <x:v>1</x:v>
      </x:c>
      <x:c r="E142" s="24" t="str">
        <x:v>General</x:v>
      </x:c>
      <x:c r="F142" s="24" t="str">
        <x:v>Capacitación</x:v>
      </x:c>
      <x:c r="G142" s="24" t="str">
        <x:v>Interno</x:v>
      </x:c>
      <x:c r="H142" s="24" t="str">
        <x:v>Todos</x:v>
      </x:c>
      <x:c r="I142" s="24" t="str">
        <x:v>Medellín</x:v>
      </x:c>
      <x:c r="J142" s="11" t="str">
        <x:v>Reinducción SG-SST y responsabilidades 2024</x:v>
      </x:c>
      <x:c r="K142" s="11" t="str">
        <x:v>Actualizar al personal en responsabilidades, objetivos y cambios del SG-SST para el nuevo período.</x:v>
      </x:c>
      <x:c r="L142" s="24" t="n">
        <x:v>2</x:v>
      </x:c>
      <x:c r="M142" s="58"/>
      <x:c r="N142" s="24" t="n">
        <x:v>0</x:v>
      </x:c>
      <x:c r="O142" s="24" t="n">
        <x:v>60</x:v>
      </x:c>
      <x:c r="P142" s="24"/>
      <x:c r="Q142" s="64" t="n">
        <x:f>IFERROR(P142/O142,0)</x:f>
        <x:v>0</x:v>
      </x:c>
      <x:c r="R142" s="24" t="str">
        <x:v>Evaluación escrita</x:v>
      </x:c>
      <x:c r="S142" s="70"/>
      <x:c r="T142" s="24" t="str">
        <x:f>IF(XOR(X142="Reprogramada",X142="Cancelada"),"",IF(AND(Q142&gt;=0.8,S142&gt;=4),"Sí",IF(AND(Q142&gt;=0.65,S142&gt;=3.5),"Parcial","No")))</x:f>
      </x:c>
      <x:c r="U142" s="24" t="str">
        <x:v>Carlos Felipe Parada Ramón</x:v>
      </x:c>
      <x:c r="V142" s="11" t="str">
        <x:v>Humano (facilitador interno) / Logístico / Material de apoyo</x:v>
      </x:c>
      <x:c r="W142" s="11" t="str">
        <x:v>Jesús Guerrero</x:v>
      </x:c>
      <x:c r="X142" s="11" t="str">
        <x:v>Cancelada</x:v>
      </x:c>
      <x:c r="Y142" s="52" t="str">
        <x:v>Actividad cancelada por reorganización operativa o priorización de otras necesidades.</x:v>
      </x:c>
    </x:row>
    <x:row r="143">
      <x:c r="A143" s="23" t="n">
        <x:v>142</x:v>
      </x:c>
      <x:c r="B143" s="24" t="n">
        <x:v>2024</x:v>
      </x:c>
      <x:c r="C143" s="24" t="str">
        <x:v>Enero</x:v>
      </x:c>
      <x:c r="D143" s="24" t="n">
        <x:v>1</x:v>
      </x:c>
      <x:c r="E143" s="24" t="str">
        <x:v>General</x:v>
      </x:c>
      <x:c r="F143" s="24" t="str">
        <x:v>Capacitación</x:v>
      </x:c>
      <x:c r="G143" s="24" t="str">
        <x:v>Interno</x:v>
      </x:c>
      <x:c r="H143" s="24" t="str">
        <x:v>Todos</x:v>
      </x:c>
      <x:c r="I143" s="24" t="str">
        <x:v>Ábrego</x:v>
      </x:c>
      <x:c r="J143" s="11" t="str">
        <x:v>Reinducción SG-SST y responsabilidades 2024</x:v>
      </x:c>
      <x:c r="K143" s="11" t="str">
        <x:v>Actualizar al personal en responsabilidades, objetivos y cambios del SG-SST para el nuevo período.</x:v>
      </x:c>
      <x:c r="L143" s="24" t="n">
        <x:v>2</x:v>
      </x:c>
      <x:c r="M143" s="58" t="n">
        <x:v>45312</x:v>
      </x:c>
      <x:c r="N143" s="24" t="n">
        <x:v>2</x:v>
      </x:c>
      <x:c r="O143" s="24" t="n">
        <x:v>25</x:v>
      </x:c>
      <x:c r="P143" s="24" t="n">
        <x:v>23</x:v>
      </x:c>
      <x:c r="Q143" s="64" t="n">
        <x:f>IFERROR(P143/O143,0)</x:f>
        <x:v>0.92</x:v>
      </x:c>
      <x:c r="R143" s="24" t="str">
        <x:v>Evaluación escrita</x:v>
      </x:c>
      <x:c r="S143" s="70" t="n">
        <x:v>4.7</x:v>
      </x:c>
      <x:c r="T143" s="24" t="str">
        <x:f>IF(XOR(X143="Reprogramada",X143="Cancelada"),"",IF(AND(Q143&gt;=0.8,S143&gt;=4),"Sí",IF(AND(Q143&gt;=0.65,S143&gt;=3.5),"Parcial","No")))</x:f>
        <x:v>Sí</x:v>
      </x:c>
      <x:c r="U143" s="24" t="str">
        <x:v>Carlos Felipe Parada Ramón</x:v>
      </x:c>
      <x:c r="V143" s="11" t="str">
        <x:v>Humano (facilitador interno) / Logístico / Material de apoyo</x:v>
      </x:c>
      <x:c r="W143" s="11" t="str">
        <x:v>Carlos Felipe Parada Ramón</x:v>
      </x:c>
      <x:c r="X143" s="11" t="str">
        <x:v>Ejecutada</x:v>
      </x:c>
      <x:c r="Y143" s="52" t="str">
        <x:v>Actividad ejecutada satisfactoriamente; mantener evidencia y seguimiento.</x:v>
      </x:c>
    </x:row>
    <x:row r="144">
      <x:c r="A144" s="23" t="n">
        <x:v>143</x:v>
      </x:c>
      <x:c r="B144" s="24" t="n">
        <x:v>2024</x:v>
      </x:c>
      <x:c r="C144" s="24" t="str">
        <x:v>Enero</x:v>
      </x:c>
      <x:c r="D144" s="24" t="n">
        <x:v>1</x:v>
      </x:c>
      <x:c r="E144" s="24" t="str">
        <x:v>General</x:v>
      </x:c>
      <x:c r="F144" s="24" t="str">
        <x:v>Capacitación</x:v>
      </x:c>
      <x:c r="G144" s="24" t="str">
        <x:v>Interno</x:v>
      </x:c>
      <x:c r="H144" s="24" t="str">
        <x:v>Todos</x:v>
      </x:c>
      <x:c r="I144" s="24" t="str">
        <x:v>Pamplona</x:v>
      </x:c>
      <x:c r="J144" s="11" t="str">
        <x:v>Reinducción SG-SST y responsabilidades 2024</x:v>
      </x:c>
      <x:c r="K144" s="11" t="str">
        <x:v>Actualizar al personal en responsabilidades, objetivos y cambios del SG-SST para el nuevo período.</x:v>
      </x:c>
      <x:c r="L144" s="24" t="n">
        <x:v>2</x:v>
      </x:c>
      <x:c r="M144" s="58" t="n">
        <x:v>45314</x:v>
      </x:c>
      <x:c r="N144" s="24" t="n">
        <x:v>2</x:v>
      </x:c>
      <x:c r="O144" s="24" t="n">
        <x:v>28</x:v>
      </x:c>
      <x:c r="P144" s="24" t="n">
        <x:v>23</x:v>
      </x:c>
      <x:c r="Q144" s="64" t="n">
        <x:f>IFERROR(P144/O144,0)</x:f>
        <x:v>0.8214285714285714</x:v>
      </x:c>
      <x:c r="R144" s="24" t="str">
        <x:v>Evaluación escrita</x:v>
      </x:c>
      <x:c r="S144" s="70" t="n">
        <x:v>4.5</x:v>
      </x:c>
      <x:c r="T144" s="24" t="str">
        <x:f>IF(XOR(X144="Reprogramada",X144="Cancelada"),"",IF(AND(Q144&gt;=0.8,S144&gt;=4),"Sí",IF(AND(Q144&gt;=0.65,S144&gt;=3.5),"Parcial","No")))</x:f>
        <x:v>Sí</x:v>
      </x:c>
      <x:c r="U144" s="24" t="str">
        <x:v>Carlos Felipe Parada Ramón</x:v>
      </x:c>
      <x:c r="V144" s="11" t="str">
        <x:v>Humano (facilitador interno) / Logístico / Material de apoyo</x:v>
      </x:c>
      <x:c r="W144" s="11" t="str">
        <x:v>Camila Andrea Galván</x:v>
      </x:c>
      <x:c r="X144" s="11" t="str">
        <x:v>Ejecutada</x:v>
      </x:c>
      <x:c r="Y144" s="52" t="str">
        <x:v>Actividad ejecutada satisfactoriamente; mantener evidencia y seguimiento.</x:v>
      </x:c>
    </x:row>
    <x:row r="145">
      <x:c r="A145" s="23" t="n">
        <x:v>144</x:v>
      </x:c>
      <x:c r="B145" s="24" t="n">
        <x:v>2024</x:v>
      </x:c>
      <x:c r="C145" s="24" t="str">
        <x:v>Febrero</x:v>
      </x:c>
      <x:c r="D145" s="24" t="n">
        <x:v>2</x:v>
      </x:c>
      <x:c r="E145" s="24" t="str">
        <x:v>Biomecánico</x:v>
      </x:c>
      <x:c r="F145" s="24" t="str">
        <x:v>Taller</x:v>
      </x:c>
      <x:c r="G145" s="24" t="str">
        <x:v>Interno</x:v>
      </x:c>
      <x:c r="H145" s="24" t="str">
        <x:v>Operativos</x:v>
      </x:c>
      <x:c r="I145" s="24" t="str">
        <x:v>Cúcuta</x:v>
      </x:c>
      <x:c r="J145" s="11" t="str">
        <x:v>Ergonomía en puestos de trabajo</x:v>
      </x:c>
      <x:c r="K145" s="11" t="str">
        <x:v>Mejorar hábitos posturales y ergonómicos de acuerdo con las tareas críticas del personal.</x:v>
      </x:c>
      <x:c r="L145" s="24" t="n">
        <x:v>2</x:v>
      </x:c>
      <x:c r="M145" s="58" t="n">
        <x:v>45336</x:v>
      </x:c>
      <x:c r="N145" s="24" t="n">
        <x:v>2</x:v>
      </x:c>
      <x:c r="O145" s="24" t="n">
        <x:v>80</x:v>
      </x:c>
      <x:c r="P145" s="24" t="n">
        <x:v>69</x:v>
      </x:c>
      <x:c r="Q145" s="64" t="n">
        <x:f>IFERROR(P145/O145,0)</x:f>
        <x:v>0.8625</x:v>
      </x:c>
      <x:c r="R145" s="24" t="str">
        <x:v>Taller práctico</x:v>
      </x:c>
      <x:c r="S145" s="70" t="n">
        <x:v>4.9</x:v>
      </x:c>
      <x:c r="T145" s="24" t="str">
        <x:f>IF(XOR(X145="Reprogramada",X145="Cancelada"),"",IF(AND(Q145&gt;=0.8,S145&gt;=4),"Sí",IF(AND(Q145&gt;=0.65,S145&gt;=3.5),"Parcial","No")))</x:f>
        <x:v>Sí</x:v>
      </x:c>
      <x:c r="U145" s="24" t="str">
        <x:v>Camila Andrea Galván</x:v>
      </x:c>
      <x:c r="V145" s="11" t="str">
        <x:v>Humano (facilitador interno) / Logístico / Material de apoyo</x:v>
      </x:c>
      <x:c r="W145" s="11" t="str">
        <x:v>Jesús Guerrero</x:v>
      </x:c>
      <x:c r="X145" s="11" t="str">
        <x:v>Ejecutada</x:v>
      </x:c>
      <x:c r="Y145" s="52" t="str">
        <x:v>Actividad ejecutada satisfactoriamente; mantener evidencia y seguimiento.</x:v>
      </x:c>
    </x:row>
    <x:row r="146">
      <x:c r="A146" s="23" t="n">
        <x:v>145</x:v>
      </x:c>
      <x:c r="B146" s="24" t="n">
        <x:v>2024</x:v>
      </x:c>
      <x:c r="C146" s="24" t="str">
        <x:v>Febrero</x:v>
      </x:c>
      <x:c r="D146" s="24" t="n">
        <x:v>2</x:v>
      </x:c>
      <x:c r="E146" s="24" t="str">
        <x:v>Biomecánico</x:v>
      </x:c>
      <x:c r="F146" s="24" t="str">
        <x:v>Taller</x:v>
      </x:c>
      <x:c r="G146" s="24" t="str">
        <x:v>Interno</x:v>
      </x:c>
      <x:c r="H146" s="24" t="str">
        <x:v>Operativos</x:v>
      </x:c>
      <x:c r="I146" s="24" t="str">
        <x:v>Barrancabermeja</x:v>
      </x:c>
      <x:c r="J146" s="11" t="str">
        <x:v>Ergonomía en puestos de trabajo</x:v>
      </x:c>
      <x:c r="K146" s="11" t="str">
        <x:v>Mejorar hábitos posturales y ergonómicos de acuerdo con las tareas críticas del personal.</x:v>
      </x:c>
      <x:c r="L146" s="24" t="n">
        <x:v>2</x:v>
      </x:c>
      <x:c r="M146" s="58" t="n">
        <x:v>45340</x:v>
      </x:c>
      <x:c r="N146" s="24" t="n">
        <x:v>1.5</x:v>
      </x:c>
      <x:c r="O146" s="24" t="n">
        <x:v>54</x:v>
      </x:c>
      <x:c r="P146" s="24" t="n">
        <x:v>45</x:v>
      </x:c>
      <x:c r="Q146" s="64" t="n">
        <x:f>IFERROR(P146/O146,0)</x:f>
        <x:v>0.8333333333333334</x:v>
      </x:c>
      <x:c r="R146" s="24" t="str">
        <x:v>Taller práctico</x:v>
      </x:c>
      <x:c r="S146" s="70" t="n">
        <x:v>4.5</x:v>
      </x:c>
      <x:c r="T146" s="24" t="str">
        <x:f>IF(XOR(X146="Reprogramada",X146="Cancelada"),"",IF(AND(Q146&gt;=0.8,S146&gt;=4),"Sí",IF(AND(Q146&gt;=0.65,S146&gt;=3.5),"Parcial","No")))</x:f>
        <x:v>Sí</x:v>
      </x:c>
      <x:c r="U146" s="24" t="str">
        <x:v>Camila Andrea Galván</x:v>
      </x:c>
      <x:c r="V146" s="11" t="str">
        <x:v>Humano (facilitador interno) / Logístico / Material de apoyo</x:v>
      </x:c>
      <x:c r="W146" s="11" t="str">
        <x:v>Carlos Felipe Parada Ramón</x:v>
      </x:c>
      <x:c r="X146" s="11" t="str">
        <x:v>Ejecutada</x:v>
      </x:c>
      <x:c r="Y146" s="52" t="str">
        <x:v>Actividad ejecutada satisfactoriamente; mantener evidencia y seguimiento.</x:v>
      </x:c>
    </x:row>
    <x:row r="147">
      <x:c r="A147" s="23" t="n">
        <x:v>146</x:v>
      </x:c>
      <x:c r="B147" s="24" t="n">
        <x:v>2024</x:v>
      </x:c>
      <x:c r="C147" s="24" t="str">
        <x:v>Febrero</x:v>
      </x:c>
      <x:c r="D147" s="24" t="n">
        <x:v>2</x:v>
      </x:c>
      <x:c r="E147" s="24" t="str">
        <x:v>Biomecánico</x:v>
      </x:c>
      <x:c r="F147" s="24" t="str">
        <x:v>Taller</x:v>
      </x:c>
      <x:c r="G147" s="24" t="str">
        <x:v>Interno</x:v>
      </x:c>
      <x:c r="H147" s="24" t="str">
        <x:v>Operativos</x:v>
      </x:c>
      <x:c r="I147" s="24" t="str">
        <x:v>Ocaña</x:v>
      </x:c>
      <x:c r="J147" s="11" t="str">
        <x:v>Ergonomía en puestos de trabajo</x:v>
      </x:c>
      <x:c r="K147" s="11" t="str">
        <x:v>Mejorar hábitos posturales y ergonómicos de acuerdo con las tareas críticas del personal.</x:v>
      </x:c>
      <x:c r="L147" s="24" t="n">
        <x:v>2</x:v>
      </x:c>
      <x:c r="M147" s="58" t="n">
        <x:v>45346</x:v>
      </x:c>
      <x:c r="N147" s="24" t="n">
        <x:v>2</x:v>
      </x:c>
      <x:c r="O147" s="24" t="n">
        <x:v>37</x:v>
      </x:c>
      <x:c r="P147" s="24" t="n">
        <x:v>35</x:v>
      </x:c>
      <x:c r="Q147" s="64" t="n">
        <x:f>IFERROR(P147/O147,0)</x:f>
        <x:v>0.9459459459459459</x:v>
      </x:c>
      <x:c r="R147" s="24" t="str">
        <x:v>Taller práctico</x:v>
      </x:c>
      <x:c r="S147" s="70" t="n">
        <x:v>4.5</x:v>
      </x:c>
      <x:c r="T147" s="24" t="str">
        <x:f>IF(XOR(X147="Reprogramada",X147="Cancelada"),"",IF(AND(Q147&gt;=0.8,S147&gt;=4),"Sí",IF(AND(Q147&gt;=0.65,S147&gt;=3.5),"Parcial","No")))</x:f>
        <x:v>Sí</x:v>
      </x:c>
      <x:c r="U147" s="24" t="str">
        <x:v>Camila Andrea Galván</x:v>
      </x:c>
      <x:c r="V147" s="11" t="str">
        <x:v>Humano (facilitador interno) / Logístico / Material de apoyo</x:v>
      </x:c>
      <x:c r="W147" s="11" t="str">
        <x:v>Camila Andrea Galván</x:v>
      </x:c>
      <x:c r="X147" s="11" t="str">
        <x:v>Ejecutada</x:v>
      </x:c>
      <x:c r="Y147" s="52" t="str">
        <x:v>Actividad ejecutada satisfactoriamente; mantener evidencia y seguimiento.</x:v>
      </x:c>
    </x:row>
    <x:row r="148">
      <x:c r="A148" s="23" t="n">
        <x:v>147</x:v>
      </x:c>
      <x:c r="B148" s="24" t="n">
        <x:v>2024</x:v>
      </x:c>
      <x:c r="C148" s="24" t="str">
        <x:v>Febrero</x:v>
      </x:c>
      <x:c r="D148" s="24" t="n">
        <x:v>2</x:v>
      </x:c>
      <x:c r="E148" s="24" t="str">
        <x:v>Biomecánico</x:v>
      </x:c>
      <x:c r="F148" s="24" t="str">
        <x:v>Taller</x:v>
      </x:c>
      <x:c r="G148" s="24" t="str">
        <x:v>Interno</x:v>
      </x:c>
      <x:c r="H148" s="24" t="str">
        <x:v>Operativos</x:v>
      </x:c>
      <x:c r="I148" s="24" t="str">
        <x:v>Girón</x:v>
      </x:c>
      <x:c r="J148" s="11" t="str">
        <x:v>Ergonomía en puestos de trabajo</x:v>
      </x:c>
      <x:c r="K148" s="11" t="str">
        <x:v>Mejorar hábitos posturales y ergonómicos de acuerdo con las tareas críticas del personal.</x:v>
      </x:c>
      <x:c r="L148" s="24" t="n">
        <x:v>2</x:v>
      </x:c>
      <x:c r="M148" s="58" t="n">
        <x:v>45346</x:v>
      </x:c>
      <x:c r="N148" s="24" t="n">
        <x:v>2</x:v>
      </x:c>
      <x:c r="O148" s="24" t="n">
        <x:v>42</x:v>
      </x:c>
      <x:c r="P148" s="24" t="n">
        <x:v>40</x:v>
      </x:c>
      <x:c r="Q148" s="64" t="n">
        <x:f>IFERROR(P148/O148,0)</x:f>
        <x:v>0.9523809523809523</x:v>
      </x:c>
      <x:c r="R148" s="24" t="str">
        <x:v>Taller práctico</x:v>
      </x:c>
      <x:c r="S148" s="70" t="n">
        <x:v>4.8</x:v>
      </x:c>
      <x:c r="T148" s="24" t="str">
        <x:f>IF(XOR(X148="Reprogramada",X148="Cancelada"),"",IF(AND(Q148&gt;=0.8,S148&gt;=4),"Sí",IF(AND(Q148&gt;=0.65,S148&gt;=3.5),"Parcial","No")))</x:f>
        <x:v>Sí</x:v>
      </x:c>
      <x:c r="U148" s="24" t="str">
        <x:v>Camila Andrea Galván</x:v>
      </x:c>
      <x:c r="V148" s="11" t="str">
        <x:v>Humano (facilitador interno) / Logístico / Material de apoyo</x:v>
      </x:c>
      <x:c r="W148" s="11" t="str">
        <x:v>Jesús Guerrero</x:v>
      </x:c>
      <x:c r="X148" s="11" t="str">
        <x:v>Ejecutada</x:v>
      </x:c>
      <x:c r="Y148" s="52" t="str">
        <x:v>Actividad ejecutada satisfactoriamente; mantener evidencia y seguimiento.</x:v>
      </x:c>
    </x:row>
    <x:row r="149">
      <x:c r="A149" s="23" t="n">
        <x:v>148</x:v>
      </x:c>
      <x:c r="B149" s="24" t="n">
        <x:v>2024</x:v>
      </x:c>
      <x:c r="C149" s="24" t="str">
        <x:v>Febrero</x:v>
      </x:c>
      <x:c r="D149" s="24" t="n">
        <x:v>2</x:v>
      </x:c>
      <x:c r="E149" s="24" t="str">
        <x:v>Biomecánico</x:v>
      </x:c>
      <x:c r="F149" s="24" t="str">
        <x:v>Taller</x:v>
      </x:c>
      <x:c r="G149" s="24" t="str">
        <x:v>Interno</x:v>
      </x:c>
      <x:c r="H149" s="24" t="str">
        <x:v>Operativos</x:v>
      </x:c>
      <x:c r="I149" s="24" t="str">
        <x:v>Valledupar</x:v>
      </x:c>
      <x:c r="J149" s="11" t="str">
        <x:v>Ergonomía en puestos de trabajo</x:v>
      </x:c>
      <x:c r="K149" s="11" t="str">
        <x:v>Mejorar hábitos posturales y ergonómicos de acuerdo con las tareas críticas del personal.</x:v>
      </x:c>
      <x:c r="L149" s="24" t="n">
        <x:v>2</x:v>
      </x:c>
      <x:c r="M149" s="58"/>
      <x:c r="N149" s="24" t="n">
        <x:v>0</x:v>
      </x:c>
      <x:c r="O149" s="24" t="n">
        <x:v>48</x:v>
      </x:c>
      <x:c r="P149" s="24"/>
      <x:c r="Q149" s="64" t="n">
        <x:f>IFERROR(P149/O149,0)</x:f>
        <x:v>0</x:v>
      </x:c>
      <x:c r="R149" s="24" t="str">
        <x:v>Taller práctico</x:v>
      </x:c>
      <x:c r="S149" s="70"/>
      <x:c r="T149" s="24" t="str">
        <x:f>IF(XOR(X149="Reprogramada",X149="Cancelada"),"",IF(AND(Q149&gt;=0.8,S149&gt;=4),"Sí",IF(AND(Q149&gt;=0.65,S149&gt;=3.5),"Parcial","No")))</x:f>
      </x:c>
      <x:c r="U149" s="24" t="str">
        <x:v>Camila Andrea Galván</x:v>
      </x:c>
      <x:c r="V149" s="11" t="str">
        <x:v>Humano (facilitador interno) / Logístico / Material de apoyo</x:v>
      </x:c>
      <x:c r="W149" s="11" t="str">
        <x:v>Carlos Felipe Parada Ramón</x:v>
      </x:c>
      <x:c r="X149" s="11" t="str">
        <x:v>Cancelada</x:v>
      </x:c>
      <x:c r="Y149" s="52" t="str">
        <x:v>Actividad cancelada por reorganización operativa o priorización de otras necesidades.</x:v>
      </x:c>
    </x:row>
    <x:row r="150">
      <x:c r="A150" s="23" t="n">
        <x:v>149</x:v>
      </x:c>
      <x:c r="B150" s="24" t="n">
        <x:v>2024</x:v>
      </x:c>
      <x:c r="C150" s="24" t="str">
        <x:v>Febrero</x:v>
      </x:c>
      <x:c r="D150" s="24" t="n">
        <x:v>2</x:v>
      </x:c>
      <x:c r="E150" s="24" t="str">
        <x:v>Biomecánico</x:v>
      </x:c>
      <x:c r="F150" s="24" t="str">
        <x:v>Taller</x:v>
      </x:c>
      <x:c r="G150" s="24" t="str">
        <x:v>Interno</x:v>
      </x:c>
      <x:c r="H150" s="24" t="str">
        <x:v>Operativos</x:v>
      </x:c>
      <x:c r="I150" s="24" t="str">
        <x:v>Arauca</x:v>
      </x:c>
      <x:c r="J150" s="11" t="str">
        <x:v>Ergonomía en puestos de trabajo</x:v>
      </x:c>
      <x:c r="K150" s="11" t="str">
        <x:v>Mejorar hábitos posturales y ergonómicos de acuerdo con las tareas críticas del personal.</x:v>
      </x:c>
      <x:c r="L150" s="24" t="n">
        <x:v>2</x:v>
      </x:c>
      <x:c r="M150" s="58" t="n">
        <x:v>45342</x:v>
      </x:c>
      <x:c r="N150" s="24" t="n">
        <x:v>2</x:v>
      </x:c>
      <x:c r="O150" s="24" t="n">
        <x:v>30</x:v>
      </x:c>
      <x:c r="P150" s="24" t="n">
        <x:v>28</x:v>
      </x:c>
      <x:c r="Q150" s="64" t="n">
        <x:f>IFERROR(P150/O150,0)</x:f>
        <x:v>0.9333333333333333</x:v>
      </x:c>
      <x:c r="R150" s="24" t="str">
        <x:v>Taller práctico</x:v>
      </x:c>
      <x:c r="S150" s="70" t="n">
        <x:v>5</x:v>
      </x:c>
      <x:c r="T150" s="24" t="str">
        <x:f>IF(XOR(X150="Reprogramada",X150="Cancelada"),"",IF(AND(Q150&gt;=0.8,S150&gt;=4),"Sí",IF(AND(Q150&gt;=0.65,S150&gt;=3.5),"Parcial","No")))</x:f>
        <x:v>Sí</x:v>
      </x:c>
      <x:c r="U150" s="24" t="str">
        <x:v>Camila Andrea Galván</x:v>
      </x:c>
      <x:c r="V150" s="11" t="str">
        <x:v>Humano (facilitador interno) / Logístico / Material de apoyo</x:v>
      </x:c>
      <x:c r="W150" s="11" t="str">
        <x:v>Camila Andrea Galván</x:v>
      </x:c>
      <x:c r="X150" s="11" t="str">
        <x:v>Ejecutada</x:v>
      </x:c>
      <x:c r="Y150" s="52" t="str">
        <x:v>Actividad ejecutada satisfactoriamente; mantener evidencia y seguimiento.</x:v>
      </x:c>
    </x:row>
    <x:row r="151">
      <x:c r="A151" s="23" t="n">
        <x:v>150</x:v>
      </x:c>
      <x:c r="B151" s="24" t="n">
        <x:v>2024</x:v>
      </x:c>
      <x:c r="C151" s="24" t="str">
        <x:v>Febrero</x:v>
      </x:c>
      <x:c r="D151" s="24" t="n">
        <x:v>2</x:v>
      </x:c>
      <x:c r="E151" s="24" t="str">
        <x:v>Biomecánico</x:v>
      </x:c>
      <x:c r="F151" s="24" t="str">
        <x:v>Taller</x:v>
      </x:c>
      <x:c r="G151" s="24" t="str">
        <x:v>Interno</x:v>
      </x:c>
      <x:c r="H151" s="24" t="str">
        <x:v>Operativos</x:v>
      </x:c>
      <x:c r="I151" s="24" t="str">
        <x:v>Bogotá</x:v>
      </x:c>
      <x:c r="J151" s="11" t="str">
        <x:v>Ergonomía en puestos de trabajo</x:v>
      </x:c>
      <x:c r="K151" s="11" t="str">
        <x:v>Mejorar hábitos posturales y ergonómicos de acuerdo con las tareas críticas del personal.</x:v>
      </x:c>
      <x:c r="L151" s="24" t="n">
        <x:v>2</x:v>
      </x:c>
      <x:c r="M151" s="58" t="n">
        <x:v>45338</x:v>
      </x:c>
      <x:c r="N151" s="24" t="n">
        <x:v>2</x:v>
      </x:c>
      <x:c r="O151" s="24" t="n">
        <x:v>65</x:v>
      </x:c>
      <x:c r="P151" s="24" t="n">
        <x:v>52</x:v>
      </x:c>
      <x:c r="Q151" s="64" t="n">
        <x:f>IFERROR(P151/O151,0)</x:f>
        <x:v>0.8</x:v>
      </x:c>
      <x:c r="R151" s="24" t="str">
        <x:v>Taller práctico</x:v>
      </x:c>
      <x:c r="S151" s="70" t="n">
        <x:v>4.8</x:v>
      </x:c>
      <x:c r="T151" s="24" t="str">
        <x:f>IF(XOR(X151="Reprogramada",X151="Cancelada"),"",IF(AND(Q151&gt;=0.8,S151&gt;=4),"Sí",IF(AND(Q151&gt;=0.65,S151&gt;=3.5),"Parcial","No")))</x:f>
        <x:v>Sí</x:v>
      </x:c>
      <x:c r="U151" s="24" t="str">
        <x:v>Camila Andrea Galván</x:v>
      </x:c>
      <x:c r="V151" s="11" t="str">
        <x:v>Humano (facilitador interno) / Logístico / Material de apoyo</x:v>
      </x:c>
      <x:c r="W151" s="11" t="str">
        <x:v>Jesús Guerrero</x:v>
      </x:c>
      <x:c r="X151" s="11" t="str">
        <x:v>Ejecutada</x:v>
      </x:c>
      <x:c r="Y151" s="52" t="str">
        <x:v>Actividad ejecutada satisfactoriamente; mantener evidencia y seguimiento.</x:v>
      </x:c>
    </x:row>
    <x:row r="152">
      <x:c r="A152" s="23" t="n">
        <x:v>151</x:v>
      </x:c>
      <x:c r="B152" s="24" t="n">
        <x:v>2024</x:v>
      </x:c>
      <x:c r="C152" s="24" t="str">
        <x:v>Febrero</x:v>
      </x:c>
      <x:c r="D152" s="24" t="n">
        <x:v>2</x:v>
      </x:c>
      <x:c r="E152" s="24" t="str">
        <x:v>Biomecánico</x:v>
      </x:c>
      <x:c r="F152" s="24" t="str">
        <x:v>Taller</x:v>
      </x:c>
      <x:c r="G152" s="24" t="str">
        <x:v>Interno</x:v>
      </x:c>
      <x:c r="H152" s="24" t="str">
        <x:v>Operativos</x:v>
      </x:c>
      <x:c r="I152" s="24" t="str">
        <x:v>Tibú</x:v>
      </x:c>
      <x:c r="J152" s="11" t="str">
        <x:v>Ergonomía en puestos de trabajo</x:v>
      </x:c>
      <x:c r="K152" s="11" t="str">
        <x:v>Mejorar hábitos posturales y ergonómicos de acuerdo con las tareas críticas del personal.</x:v>
      </x:c>
      <x:c r="L152" s="24" t="n">
        <x:v>2</x:v>
      </x:c>
      <x:c r="M152" s="58" t="n">
        <x:v>45339</x:v>
      </x:c>
      <x:c r="N152" s="24" t="n">
        <x:v>2</x:v>
      </x:c>
      <x:c r="O152" s="24" t="n">
        <x:v>32</x:v>
      </x:c>
      <x:c r="P152" s="24" t="n">
        <x:v>26</x:v>
      </x:c>
      <x:c r="Q152" s="64" t="n">
        <x:f>IFERROR(P152/O152,0)</x:f>
        <x:v>0.8125</x:v>
      </x:c>
      <x:c r="R152" s="24" t="str">
        <x:v>Taller práctico</x:v>
      </x:c>
      <x:c r="S152" s="70" t="n">
        <x:v>4.9</x:v>
      </x:c>
      <x:c r="T152" s="24" t="str">
        <x:f>IF(XOR(X152="Reprogramada",X152="Cancelada"),"",IF(AND(Q152&gt;=0.8,S152&gt;=4),"Sí",IF(AND(Q152&gt;=0.65,S152&gt;=3.5),"Parcial","No")))</x:f>
        <x:v>Sí</x:v>
      </x:c>
      <x:c r="U152" s="24" t="str">
        <x:v>Camila Andrea Galván</x:v>
      </x:c>
      <x:c r="V152" s="11" t="str">
        <x:v>Humano (facilitador interno) / Logístico / Material de apoyo</x:v>
      </x:c>
      <x:c r="W152" s="11" t="str">
        <x:v>Carlos Felipe Parada Ramón</x:v>
      </x:c>
      <x:c r="X152" s="11" t="str">
        <x:v>Ejecutada</x:v>
      </x:c>
      <x:c r="Y152" s="52" t="str">
        <x:v>Actividad ejecutada satisfactoriamente; mantener evidencia y seguimiento.</x:v>
      </x:c>
    </x:row>
    <x:row r="153">
      <x:c r="A153" s="23" t="n">
        <x:v>152</x:v>
      </x:c>
      <x:c r="B153" s="24" t="n">
        <x:v>2024</x:v>
      </x:c>
      <x:c r="C153" s="24" t="str">
        <x:v>Febrero</x:v>
      </x:c>
      <x:c r="D153" s="24" t="n">
        <x:v>2</x:v>
      </x:c>
      <x:c r="E153" s="24" t="str">
        <x:v>Biomecánico</x:v>
      </x:c>
      <x:c r="F153" s="24" t="str">
        <x:v>Taller</x:v>
      </x:c>
      <x:c r="G153" s="24" t="str">
        <x:v>Interno</x:v>
      </x:c>
      <x:c r="H153" s="24" t="str">
        <x:v>Operativos</x:v>
      </x:c>
      <x:c r="I153" s="24" t="str">
        <x:v>Medellín</x:v>
      </x:c>
      <x:c r="J153" s="11" t="str">
        <x:v>Ergonomía en puestos de trabajo</x:v>
      </x:c>
      <x:c r="K153" s="11" t="str">
        <x:v>Mejorar hábitos posturales y ergonómicos de acuerdo con las tareas críticas del personal.</x:v>
      </x:c>
      <x:c r="L153" s="24" t="n">
        <x:v>2</x:v>
      </x:c>
      <x:c r="M153" s="58" t="n">
        <x:v>45332</x:v>
      </x:c>
      <x:c r="N153" s="24" t="n">
        <x:v>1.5</x:v>
      </x:c>
      <x:c r="O153" s="24" t="n">
        <x:v>60</x:v>
      </x:c>
      <x:c r="P153" s="24" t="n">
        <x:v>58</x:v>
      </x:c>
      <x:c r="Q153" s="64" t="n">
        <x:f>IFERROR(P153/O153,0)</x:f>
        <x:v>0.9666666666666667</x:v>
      </x:c>
      <x:c r="R153" s="24" t="str">
        <x:v>Taller práctico</x:v>
      </x:c>
      <x:c r="S153" s="70" t="n">
        <x:v>4.8</x:v>
      </x:c>
      <x:c r="T153" s="24" t="str">
        <x:f>IF(XOR(X153="Reprogramada",X153="Cancelada"),"",IF(AND(Q153&gt;=0.8,S153&gt;=4),"Sí",IF(AND(Q153&gt;=0.65,S153&gt;=3.5),"Parcial","No")))</x:f>
        <x:v>Sí</x:v>
      </x:c>
      <x:c r="U153" s="24" t="str">
        <x:v>Camila Andrea Galván</x:v>
      </x:c>
      <x:c r="V153" s="11" t="str">
        <x:v>Humano (facilitador interno) / Logístico / Material de apoyo</x:v>
      </x:c>
      <x:c r="W153" s="11" t="str">
        <x:v>Camila Andrea Galván</x:v>
      </x:c>
      <x:c r="X153" s="11" t="str">
        <x:v>Ejecutada</x:v>
      </x:c>
      <x:c r="Y153" s="52" t="str">
        <x:v>Actividad ejecutada satisfactoriamente; mantener evidencia y seguimiento.</x:v>
      </x:c>
    </x:row>
    <x:row r="154">
      <x:c r="A154" s="23" t="n">
        <x:v>153</x:v>
      </x:c>
      <x:c r="B154" s="24" t="n">
        <x:v>2024</x:v>
      </x:c>
      <x:c r="C154" s="24" t="str">
        <x:v>Febrero</x:v>
      </x:c>
      <x:c r="D154" s="24" t="n">
        <x:v>2</x:v>
      </x:c>
      <x:c r="E154" s="24" t="str">
        <x:v>Biomecánico</x:v>
      </x:c>
      <x:c r="F154" s="24" t="str">
        <x:v>Taller</x:v>
      </x:c>
      <x:c r="G154" s="24" t="str">
        <x:v>Interno</x:v>
      </x:c>
      <x:c r="H154" s="24" t="str">
        <x:v>Operativos</x:v>
      </x:c>
      <x:c r="I154" s="24" t="str">
        <x:v>Ábrego</x:v>
      </x:c>
      <x:c r="J154" s="11" t="str">
        <x:v>Ergonomía en puestos de trabajo</x:v>
      </x:c>
      <x:c r="K154" s="11" t="str">
        <x:v>Mejorar hábitos posturales y ergonómicos de acuerdo con las tareas críticas del personal.</x:v>
      </x:c>
      <x:c r="L154" s="24" t="n">
        <x:v>2</x:v>
      </x:c>
      <x:c r="M154" s="58" t="n">
        <x:v>45335</x:v>
      </x:c>
      <x:c r="N154" s="24" t="n">
        <x:v>2</x:v>
      </x:c>
      <x:c r="O154" s="24" t="n">
        <x:v>25</x:v>
      </x:c>
      <x:c r="P154" s="24" t="n">
        <x:v>20</x:v>
      </x:c>
      <x:c r="Q154" s="64" t="n">
        <x:f>IFERROR(P154/O154,0)</x:f>
        <x:v>0.8</x:v>
      </x:c>
      <x:c r="R154" s="24" t="str">
        <x:v>Taller práctico</x:v>
      </x:c>
      <x:c r="S154" s="70" t="n">
        <x:v>4.9</x:v>
      </x:c>
      <x:c r="T154" s="24" t="str">
        <x:f>IF(XOR(X154="Reprogramada",X154="Cancelada"),"",IF(AND(Q154&gt;=0.8,S154&gt;=4),"Sí",IF(AND(Q154&gt;=0.65,S154&gt;=3.5),"Parcial","No")))</x:f>
        <x:v>Sí</x:v>
      </x:c>
      <x:c r="U154" s="24" t="str">
        <x:v>Camila Andrea Galván</x:v>
      </x:c>
      <x:c r="V154" s="11" t="str">
        <x:v>Humano (facilitador interno) / Logístico / Material de apoyo</x:v>
      </x:c>
      <x:c r="W154" s="11" t="str">
        <x:v>Jesús Guerrero</x:v>
      </x:c>
      <x:c r="X154" s="11" t="str">
        <x:v>Ejecutada</x:v>
      </x:c>
      <x:c r="Y154" s="52" t="str">
        <x:v>Actividad ejecutada satisfactoriamente; mantener evidencia y seguimiento.</x:v>
      </x:c>
    </x:row>
    <x:row r="155">
      <x:c r="A155" s="23" t="n">
        <x:v>154</x:v>
      </x:c>
      <x:c r="B155" s="24" t="n">
        <x:v>2024</x:v>
      </x:c>
      <x:c r="C155" s="24" t="str">
        <x:v>Febrero</x:v>
      </x:c>
      <x:c r="D155" s="24" t="n">
        <x:v>2</x:v>
      </x:c>
      <x:c r="E155" s="24" t="str">
        <x:v>Biomecánico</x:v>
      </x:c>
      <x:c r="F155" s="24" t="str">
        <x:v>Taller</x:v>
      </x:c>
      <x:c r="G155" s="24" t="str">
        <x:v>Interno</x:v>
      </x:c>
      <x:c r="H155" s="24" t="str">
        <x:v>Operativos</x:v>
      </x:c>
      <x:c r="I155" s="24" t="str">
        <x:v>Pamplona</x:v>
      </x:c>
      <x:c r="J155" s="11" t="str">
        <x:v>Ergonomía en puestos de trabajo</x:v>
      </x:c>
      <x:c r="K155" s="11" t="str">
        <x:v>Mejorar hábitos posturales y ergonómicos de acuerdo con las tareas críticas del personal.</x:v>
      </x:c>
      <x:c r="L155" s="24" t="n">
        <x:v>2</x:v>
      </x:c>
      <x:c r="M155" s="58" t="n">
        <x:v>45332</x:v>
      </x:c>
      <x:c r="N155" s="24" t="n">
        <x:v>2</x:v>
      </x:c>
      <x:c r="O155" s="24" t="n">
        <x:v>28</x:v>
      </x:c>
      <x:c r="P155" s="24" t="n">
        <x:v>27</x:v>
      </x:c>
      <x:c r="Q155" s="64" t="n">
        <x:f>IFERROR(P155/O155,0)</x:f>
        <x:v>0.9642857142857143</x:v>
      </x:c>
      <x:c r="R155" s="24" t="str">
        <x:v>Taller práctico</x:v>
      </x:c>
      <x:c r="S155" s="70" t="n">
        <x:v>4.2</x:v>
      </x:c>
      <x:c r="T155" s="24" t="str">
        <x:f>IF(XOR(X155="Reprogramada",X155="Cancelada"),"",IF(AND(Q155&gt;=0.8,S155&gt;=4),"Sí",IF(AND(Q155&gt;=0.65,S155&gt;=3.5),"Parcial","No")))</x:f>
        <x:v>Sí</x:v>
      </x:c>
      <x:c r="U155" s="24" t="str">
        <x:v>Camila Andrea Galván</x:v>
      </x:c>
      <x:c r="V155" s="11" t="str">
        <x:v>Humano (facilitador interno) / Logístico / Material de apoyo</x:v>
      </x:c>
      <x:c r="W155" s="11" t="str">
        <x:v>Carlos Felipe Parada Ramón</x:v>
      </x:c>
      <x:c r="X155" s="11" t="str">
        <x:v>Ejecutada</x:v>
      </x:c>
      <x:c r="Y155" s="52" t="str">
        <x:v>Actividad ejecutada satisfactoriamente; mantener evidencia y seguimiento.</x:v>
      </x:c>
    </x:row>
    <x:row r="156">
      <x:c r="A156" s="23" t="n">
        <x:v>155</x:v>
      </x:c>
      <x:c r="B156" s="24" t="n">
        <x:v>2024</x:v>
      </x:c>
      <x:c r="C156" s="24" t="str">
        <x:v>Marzo</x:v>
      </x:c>
      <x:c r="D156" s="24" t="n">
        <x:v>3</x:v>
      </x:c>
      <x:c r="E156" s="24" t="str">
        <x:v>Riesgo público</x:v>
      </x:c>
      <x:c r="F156" s="24" t="str">
        <x:v>Capacitación</x:v>
      </x:c>
      <x:c r="G156" s="24" t="str">
        <x:v>Interno</x:v>
      </x:c>
      <x:c r="H156" s="24" t="str">
        <x:v>Todos</x:v>
      </x:c>
      <x:c r="I156" s="24" t="str">
        <x:v>Cúcuta</x:v>
      </x:c>
      <x:c r="J156" s="11" t="str">
        <x:v>Autocuidado frente al riesgo público</x:v>
      </x:c>
      <x:c r="K156" s="11" t="str">
        <x:v>Prevenir situaciones derivadas de hurto, violencia y exposición en desplazamientos o labores externas.</x:v>
      </x:c>
      <x:c r="L156" s="24" t="n">
        <x:v>1</x:v>
      </x:c>
      <x:c r="M156" s="58"/>
      <x:c r="N156" s="24"/>
      <x:c r="O156" s="24" t="n">
        <x:v>80</x:v>
      </x:c>
      <x:c r="P156" s="24"/>
      <x:c r="Q156" s="64" t="n">
        <x:f>IFERROR(P156/O156,0)</x:f>
        <x:v>0</x:v>
      </x:c>
      <x:c r="R156" s="24" t="str">
        <x:v>Caso práctico</x:v>
      </x:c>
      <x:c r="S156" s="70"/>
      <x:c r="T156" s="24" t="str">
        <x:f>IF(XOR(X156="Reprogramada",X156="Cancelada"),"",IF(AND(Q156&gt;=0.8,S156&gt;=4),"Sí",IF(AND(Q156&gt;=0.65,S156&gt;=3.5),"Parcial","No")))</x:f>
      </x:c>
      <x:c r="U156" s="24" t="str">
        <x:v>Jesús Guerrero</x:v>
      </x:c>
      <x:c r="V156" s="11" t="str">
        <x:v>Humano (facilitador interno) / Logístico / Material de apoyo</x:v>
      </x:c>
      <x:c r="W156" s="11" t="str">
        <x:v>Camila Andrea Galván</x:v>
      </x:c>
      <x:c r="X156" s="11" t="str">
        <x:v>Reprogramada</x:v>
      </x:c>
      <x:c r="Y156" s="52" t="str">
        <x:v>Actividad reprogramada por operación, disponibilidad del facilitador o ajustes logísticos.</x:v>
      </x:c>
    </x:row>
    <x:row r="157">
      <x:c r="A157" s="23" t="n">
        <x:v>156</x:v>
      </x:c>
      <x:c r="B157" s="24" t="n">
        <x:v>2024</x:v>
      </x:c>
      <x:c r="C157" s="24" t="str">
        <x:v>Marzo</x:v>
      </x:c>
      <x:c r="D157" s="24" t="n">
        <x:v>3</x:v>
      </x:c>
      <x:c r="E157" s="24" t="str">
        <x:v>Riesgo público</x:v>
      </x:c>
      <x:c r="F157" s="24" t="str">
        <x:v>Capacitación</x:v>
      </x:c>
      <x:c r="G157" s="24" t="str">
        <x:v>Interno</x:v>
      </x:c>
      <x:c r="H157" s="24" t="str">
        <x:v>Todos</x:v>
      </x:c>
      <x:c r="I157" s="24" t="str">
        <x:v>Barrancabermeja</x:v>
      </x:c>
      <x:c r="J157" s="11" t="str">
        <x:v>Autocuidado frente al riesgo público</x:v>
      </x:c>
      <x:c r="K157" s="11" t="str">
        <x:v>Prevenir situaciones derivadas de hurto, violencia y exposición en desplazamientos o labores externas.</x:v>
      </x:c>
      <x:c r="L157" s="24" t="n">
        <x:v>1</x:v>
      </x:c>
      <x:c r="M157" s="58" t="n">
        <x:v>45369</x:v>
      </x:c>
      <x:c r="N157" s="24" t="n">
        <x:v>1</x:v>
      </x:c>
      <x:c r="O157" s="24" t="n">
        <x:v>54</x:v>
      </x:c>
      <x:c r="P157" s="24" t="n">
        <x:v>43</x:v>
      </x:c>
      <x:c r="Q157" s="64" t="n">
        <x:f>IFERROR(P157/O157,0)</x:f>
        <x:v>0.7962962962962963</x:v>
      </x:c>
      <x:c r="R157" s="24" t="str">
        <x:v>Caso práctico</x:v>
      </x:c>
      <x:c r="S157" s="70" t="n">
        <x:v>4.3</x:v>
      </x:c>
      <x:c r="T157" s="24" t="str">
        <x:f>IF(XOR(X157="Reprogramada",X157="Cancelada"),"",IF(AND(Q157&gt;=0.8,S157&gt;=4),"Sí",IF(AND(Q157&gt;=0.65,S157&gt;=3.5),"Parcial","No")))</x:f>
        <x:v>Parcial</x:v>
      </x:c>
      <x:c r="U157" s="24" t="str">
        <x:v>Jesús Guerrero</x:v>
      </x:c>
      <x:c r="V157" s="11" t="str">
        <x:v>Humano (facilitador interno) / Logístico / Material de apoyo</x:v>
      </x:c>
      <x:c r="W157" s="11" t="str">
        <x:v>Jesús Guerrero</x:v>
      </x:c>
      <x:c r="X157" s="11" t="str">
        <x:v>Ejecutada</x:v>
      </x:c>
      <x:c r="Y157" s="52" t="str">
        <x:v>Actividad ejecutada satisfactoriamente; mantener evidencia y seguimiento.</x:v>
      </x:c>
    </x:row>
    <x:row r="158">
      <x:c r="A158" s="23" t="n">
        <x:v>157</x:v>
      </x:c>
      <x:c r="B158" s="24" t="n">
        <x:v>2024</x:v>
      </x:c>
      <x:c r="C158" s="24" t="str">
        <x:v>Marzo</x:v>
      </x:c>
      <x:c r="D158" s="24" t="n">
        <x:v>3</x:v>
      </x:c>
      <x:c r="E158" s="24" t="str">
        <x:v>Riesgo público</x:v>
      </x:c>
      <x:c r="F158" s="24" t="str">
        <x:v>Capacitación</x:v>
      </x:c>
      <x:c r="G158" s="24" t="str">
        <x:v>Interno</x:v>
      </x:c>
      <x:c r="H158" s="24" t="str">
        <x:v>Todos</x:v>
      </x:c>
      <x:c r="I158" s="24" t="str">
        <x:v>Ocaña</x:v>
      </x:c>
      <x:c r="J158" s="11" t="str">
        <x:v>Autocuidado frente al riesgo público</x:v>
      </x:c>
      <x:c r="K158" s="11" t="str">
        <x:v>Prevenir situaciones derivadas de hurto, violencia y exposición en desplazamientos o labores externas.</x:v>
      </x:c>
      <x:c r="L158" s="24" t="n">
        <x:v>1</x:v>
      </x:c>
      <x:c r="M158" s="58" t="n">
        <x:v>45371</x:v>
      </x:c>
      <x:c r="N158" s="24" t="n">
        <x:v>1</x:v>
      </x:c>
      <x:c r="O158" s="24" t="n">
        <x:v>37</x:v>
      </x:c>
      <x:c r="P158" s="24" t="n">
        <x:v>31</x:v>
      </x:c>
      <x:c r="Q158" s="64" t="n">
        <x:f>IFERROR(P158/O158,0)</x:f>
        <x:v>0.8378378378378378</x:v>
      </x:c>
      <x:c r="R158" s="24" t="str">
        <x:v>Caso práctico</x:v>
      </x:c>
      <x:c r="S158" s="70" t="n">
        <x:v>4.7</x:v>
      </x:c>
      <x:c r="T158" s="24" t="str">
        <x:f>IF(XOR(X158="Reprogramada",X158="Cancelada"),"",IF(AND(Q158&gt;=0.8,S158&gt;=4),"Sí",IF(AND(Q158&gt;=0.65,S158&gt;=3.5),"Parcial","No")))</x:f>
        <x:v>Sí</x:v>
      </x:c>
      <x:c r="U158" s="24" t="str">
        <x:v>Jesús Guerrero</x:v>
      </x:c>
      <x:c r="V158" s="11" t="str">
        <x:v>Humano (facilitador interno) / Logístico / Material de apoyo</x:v>
      </x:c>
      <x:c r="W158" s="11" t="str">
        <x:v>Carlos Felipe Parada Ramón</x:v>
      </x:c>
      <x:c r="X158" s="11" t="str">
        <x:v>Ejecutada</x:v>
      </x:c>
      <x:c r="Y158" s="52" t="str">
        <x:v>Actividad ejecutada satisfactoriamente; mantener evidencia y seguimiento.</x:v>
      </x:c>
    </x:row>
    <x:row r="159">
      <x:c r="A159" s="23" t="n">
        <x:v>158</x:v>
      </x:c>
      <x:c r="B159" s="24" t="n">
        <x:v>2024</x:v>
      </x:c>
      <x:c r="C159" s="24" t="str">
        <x:v>Marzo</x:v>
      </x:c>
      <x:c r="D159" s="24" t="n">
        <x:v>3</x:v>
      </x:c>
      <x:c r="E159" s="24" t="str">
        <x:v>Riesgo público</x:v>
      </x:c>
      <x:c r="F159" s="24" t="str">
        <x:v>Capacitación</x:v>
      </x:c>
      <x:c r="G159" s="24" t="str">
        <x:v>Interno</x:v>
      </x:c>
      <x:c r="H159" s="24" t="str">
        <x:v>Todos</x:v>
      </x:c>
      <x:c r="I159" s="24" t="str">
        <x:v>Girón</x:v>
      </x:c>
      <x:c r="J159" s="11" t="str">
        <x:v>Autocuidado frente al riesgo público</x:v>
      </x:c>
      <x:c r="K159" s="11" t="str">
        <x:v>Prevenir situaciones derivadas de hurto, violencia y exposición en desplazamientos o labores externas.</x:v>
      </x:c>
      <x:c r="L159" s="24" t="n">
        <x:v>1</x:v>
      </x:c>
      <x:c r="M159" s="58" t="n">
        <x:v>45376</x:v>
      </x:c>
      <x:c r="N159" s="24" t="n">
        <x:v>1</x:v>
      </x:c>
      <x:c r="O159" s="24" t="n">
        <x:v>42</x:v>
      </x:c>
      <x:c r="P159" s="24" t="n">
        <x:v>38</x:v>
      </x:c>
      <x:c r="Q159" s="64" t="n">
        <x:f>IFERROR(P159/O159,0)</x:f>
        <x:v>0.9047619047619048</x:v>
      </x:c>
      <x:c r="R159" s="24" t="str">
        <x:v>Caso práctico</x:v>
      </x:c>
      <x:c r="S159" s="70" t="n">
        <x:v>4.3</x:v>
      </x:c>
      <x:c r="T159" s="24" t="str">
        <x:f>IF(XOR(X159="Reprogramada",X159="Cancelada"),"",IF(AND(Q159&gt;=0.8,S159&gt;=4),"Sí",IF(AND(Q159&gt;=0.65,S159&gt;=3.5),"Parcial","No")))</x:f>
        <x:v>Sí</x:v>
      </x:c>
      <x:c r="U159" s="24" t="str">
        <x:v>Jesús Guerrero</x:v>
      </x:c>
      <x:c r="V159" s="11" t="str">
        <x:v>Humano (facilitador interno) / Logístico / Material de apoyo</x:v>
      </x:c>
      <x:c r="W159" s="11" t="str">
        <x:v>Camila Andrea Galván</x:v>
      </x:c>
      <x:c r="X159" s="11" t="str">
        <x:v>Ejecutada</x:v>
      </x:c>
      <x:c r="Y159" s="52" t="str">
        <x:v>Actividad ejecutada satisfactoriamente; mantener evidencia y seguimiento.</x:v>
      </x:c>
    </x:row>
    <x:row r="160">
      <x:c r="A160" s="23" t="n">
        <x:v>159</x:v>
      </x:c>
      <x:c r="B160" s="24" t="n">
        <x:v>2024</x:v>
      </x:c>
      <x:c r="C160" s="24" t="str">
        <x:v>Marzo</x:v>
      </x:c>
      <x:c r="D160" s="24" t="n">
        <x:v>3</x:v>
      </x:c>
      <x:c r="E160" s="24" t="str">
        <x:v>Riesgo público</x:v>
      </x:c>
      <x:c r="F160" s="24" t="str">
        <x:v>Capacitación</x:v>
      </x:c>
      <x:c r="G160" s="24" t="str">
        <x:v>Interno</x:v>
      </x:c>
      <x:c r="H160" s="24" t="str">
        <x:v>Todos</x:v>
      </x:c>
      <x:c r="I160" s="24" t="str">
        <x:v>Valledupar</x:v>
      </x:c>
      <x:c r="J160" s="11" t="str">
        <x:v>Autocuidado frente al riesgo público</x:v>
      </x:c>
      <x:c r="K160" s="11" t="str">
        <x:v>Prevenir situaciones derivadas de hurto, violencia y exposición en desplazamientos o labores externas.</x:v>
      </x:c>
      <x:c r="L160" s="24" t="n">
        <x:v>1</x:v>
      </x:c>
      <x:c r="M160" s="58"/>
      <x:c r="N160" s="24"/>
      <x:c r="O160" s="24" t="n">
        <x:v>48</x:v>
      </x:c>
      <x:c r="P160" s="24"/>
      <x:c r="Q160" s="64" t="n">
        <x:f>IFERROR(P160/O160,0)</x:f>
        <x:v>0</x:v>
      </x:c>
      <x:c r="R160" s="24" t="str">
        <x:v>Caso práctico</x:v>
      </x:c>
      <x:c r="S160" s="70"/>
      <x:c r="T160" s="24" t="str">
        <x:f>IF(XOR(X160="Reprogramada",X160="Cancelada"),"",IF(AND(Q160&gt;=0.8,S160&gt;=4),"Sí",IF(AND(Q160&gt;=0.65,S160&gt;=3.5),"Parcial","No")))</x:f>
      </x:c>
      <x:c r="U160" s="24" t="str">
        <x:v>Jesús Guerrero</x:v>
      </x:c>
      <x:c r="V160" s="11" t="str">
        <x:v>Humano (facilitador interno) / Logístico / Material de apoyo</x:v>
      </x:c>
      <x:c r="W160" s="11" t="str">
        <x:v>Jesús Guerrero</x:v>
      </x:c>
      <x:c r="X160" s="11" t="str">
        <x:v>Reprogramada</x:v>
      </x:c>
      <x:c r="Y160" s="52" t="str">
        <x:v>Actividad reprogramada por operación, disponibilidad del facilitador o ajustes logísticos.</x:v>
      </x:c>
    </x:row>
    <x:row r="161">
      <x:c r="A161" s="23" t="n">
        <x:v>160</x:v>
      </x:c>
      <x:c r="B161" s="24" t="n">
        <x:v>2024</x:v>
      </x:c>
      <x:c r="C161" s="24" t="str">
        <x:v>Marzo</x:v>
      </x:c>
      <x:c r="D161" s="24" t="n">
        <x:v>3</x:v>
      </x:c>
      <x:c r="E161" s="24" t="str">
        <x:v>Riesgo público</x:v>
      </x:c>
      <x:c r="F161" s="24" t="str">
        <x:v>Capacitación</x:v>
      </x:c>
      <x:c r="G161" s="24" t="str">
        <x:v>Interno</x:v>
      </x:c>
      <x:c r="H161" s="24" t="str">
        <x:v>Todos</x:v>
      </x:c>
      <x:c r="I161" s="24" t="str">
        <x:v>Arauca</x:v>
      </x:c>
      <x:c r="J161" s="11" t="str">
        <x:v>Autocuidado frente al riesgo público</x:v>
      </x:c>
      <x:c r="K161" s="11" t="str">
        <x:v>Prevenir situaciones derivadas de hurto, violencia y exposición en desplazamientos o labores externas.</x:v>
      </x:c>
      <x:c r="L161" s="24" t="n">
        <x:v>1</x:v>
      </x:c>
      <x:c r="M161" s="58" t="n">
        <x:v>45370</x:v>
      </x:c>
      <x:c r="N161" s="24" t="n">
        <x:v>1</x:v>
      </x:c>
      <x:c r="O161" s="24" t="n">
        <x:v>30</x:v>
      </x:c>
      <x:c r="P161" s="24" t="n">
        <x:v>28</x:v>
      </x:c>
      <x:c r="Q161" s="64" t="n">
        <x:f>IFERROR(P161/O161,0)</x:f>
        <x:v>0.9333333333333333</x:v>
      </x:c>
      <x:c r="R161" s="24" t="str">
        <x:v>Caso práctico</x:v>
      </x:c>
      <x:c r="S161" s="70" t="n">
        <x:v>4.3</x:v>
      </x:c>
      <x:c r="T161" s="24" t="str">
        <x:f>IF(XOR(X161="Reprogramada",X161="Cancelada"),"",IF(AND(Q161&gt;=0.8,S161&gt;=4),"Sí",IF(AND(Q161&gt;=0.65,S161&gt;=3.5),"Parcial","No")))</x:f>
        <x:v>Sí</x:v>
      </x:c>
      <x:c r="U161" s="24" t="str">
        <x:v>Jesús Guerrero</x:v>
      </x:c>
      <x:c r="V161" s="11" t="str">
        <x:v>Humano (facilitador interno) / Logístico / Material de apoyo</x:v>
      </x:c>
      <x:c r="W161" s="11" t="str">
        <x:v>Carlos Felipe Parada Ramón</x:v>
      </x:c>
      <x:c r="X161" s="11" t="str">
        <x:v>Ejecutada</x:v>
      </x:c>
      <x:c r="Y161" s="52" t="str">
        <x:v>Actividad ejecutada satisfactoriamente; mantener evidencia y seguimiento.</x:v>
      </x:c>
    </x:row>
    <x:row r="162">
      <x:c r="A162" s="23" t="n">
        <x:v>161</x:v>
      </x:c>
      <x:c r="B162" s="24" t="n">
        <x:v>2024</x:v>
      </x:c>
      <x:c r="C162" s="24" t="str">
        <x:v>Marzo</x:v>
      </x:c>
      <x:c r="D162" s="24" t="n">
        <x:v>3</x:v>
      </x:c>
      <x:c r="E162" s="24" t="str">
        <x:v>Riesgo público</x:v>
      </x:c>
      <x:c r="F162" s="24" t="str">
        <x:v>Capacitación</x:v>
      </x:c>
      <x:c r="G162" s="24" t="str">
        <x:v>Interno</x:v>
      </x:c>
      <x:c r="H162" s="24" t="str">
        <x:v>Todos</x:v>
      </x:c>
      <x:c r="I162" s="24" t="str">
        <x:v>Bogotá</x:v>
      </x:c>
      <x:c r="J162" s="11" t="str">
        <x:v>Autocuidado frente al riesgo público</x:v>
      </x:c>
      <x:c r="K162" s="11" t="str">
        <x:v>Prevenir situaciones derivadas de hurto, violencia y exposición en desplazamientos o labores externas.</x:v>
      </x:c>
      <x:c r="L162" s="24" t="n">
        <x:v>1</x:v>
      </x:c>
      <x:c r="M162" s="58"/>
      <x:c r="N162" s="24" t="n">
        <x:v>0</x:v>
      </x:c>
      <x:c r="O162" s="24" t="n">
        <x:v>65</x:v>
      </x:c>
      <x:c r="P162" s="24"/>
      <x:c r="Q162" s="64" t="n">
        <x:f>IFERROR(P162/O162,0)</x:f>
        <x:v>0</x:v>
      </x:c>
      <x:c r="R162" s="24" t="str">
        <x:v>Caso práctico</x:v>
      </x:c>
      <x:c r="S162" s="70"/>
      <x:c r="T162" s="24" t="str">
        <x:f>IF(XOR(X162="Reprogramada",X162="Cancelada"),"",IF(AND(Q162&gt;=0.8,S162&gt;=4),"Sí",IF(AND(Q162&gt;=0.65,S162&gt;=3.5),"Parcial","No")))</x:f>
      </x:c>
      <x:c r="U162" s="24" t="str">
        <x:v>Jesús Guerrero</x:v>
      </x:c>
      <x:c r="V162" s="11" t="str">
        <x:v>Humano (facilitador interno) / Logístico / Material de apoyo</x:v>
      </x:c>
      <x:c r="W162" s="11" t="str">
        <x:v>Camila Andrea Galván</x:v>
      </x:c>
      <x:c r="X162" s="11" t="str">
        <x:v>Cancelada</x:v>
      </x:c>
      <x:c r="Y162" s="52" t="str">
        <x:v>Actividad cancelada por reorganización operativa o priorización de otras necesidades.</x:v>
      </x:c>
    </x:row>
    <x:row r="163">
      <x:c r="A163" s="23" t="n">
        <x:v>162</x:v>
      </x:c>
      <x:c r="B163" s="24" t="n">
        <x:v>2024</x:v>
      </x:c>
      <x:c r="C163" s="24" t="str">
        <x:v>Marzo</x:v>
      </x:c>
      <x:c r="D163" s="24" t="n">
        <x:v>3</x:v>
      </x:c>
      <x:c r="E163" s="24" t="str">
        <x:v>Riesgo público</x:v>
      </x:c>
      <x:c r="F163" s="24" t="str">
        <x:v>Capacitación</x:v>
      </x:c>
      <x:c r="G163" s="24" t="str">
        <x:v>Interno</x:v>
      </x:c>
      <x:c r="H163" s="24" t="str">
        <x:v>Todos</x:v>
      </x:c>
      <x:c r="I163" s="24" t="str">
        <x:v>Tibú</x:v>
      </x:c>
      <x:c r="J163" s="11" t="str">
        <x:v>Autocuidado frente al riesgo público</x:v>
      </x:c>
      <x:c r="K163" s="11" t="str">
        <x:v>Prevenir situaciones derivadas de hurto, violencia y exposición en desplazamientos o labores externas.</x:v>
      </x:c>
      <x:c r="L163" s="24" t="n">
        <x:v>1</x:v>
      </x:c>
      <x:c r="M163" s="58" t="n">
        <x:v>45376</x:v>
      </x:c>
      <x:c r="N163" s="24" t="n">
        <x:v>1</x:v>
      </x:c>
      <x:c r="O163" s="24" t="n">
        <x:v>32</x:v>
      </x:c>
      <x:c r="P163" s="24" t="n">
        <x:v>29</x:v>
      </x:c>
      <x:c r="Q163" s="64" t="n">
        <x:f>IFERROR(P163/O163,0)</x:f>
        <x:v>0.90625</x:v>
      </x:c>
      <x:c r="R163" s="24" t="str">
        <x:v>Caso práctico</x:v>
      </x:c>
      <x:c r="S163" s="70" t="n">
        <x:v>4.6</x:v>
      </x:c>
      <x:c r="T163" s="24" t="str">
        <x:f>IF(XOR(X163="Reprogramada",X163="Cancelada"),"",IF(AND(Q163&gt;=0.8,S163&gt;=4),"Sí",IF(AND(Q163&gt;=0.65,S163&gt;=3.5),"Parcial","No")))</x:f>
        <x:v>Sí</x:v>
      </x:c>
      <x:c r="U163" s="24" t="str">
        <x:v>Jesús Guerrero</x:v>
      </x:c>
      <x:c r="V163" s="11" t="str">
        <x:v>Humano (facilitador interno) / Logístico / Material de apoyo</x:v>
      </x:c>
      <x:c r="W163" s="11" t="str">
        <x:v>Jesús Guerrero</x:v>
      </x:c>
      <x:c r="X163" s="11" t="str">
        <x:v>Ejecutada</x:v>
      </x:c>
      <x:c r="Y163" s="52" t="str">
        <x:v>Actividad ejecutada satisfactoriamente; mantener evidencia y seguimiento.</x:v>
      </x:c>
    </x:row>
    <x:row r="164">
      <x:c r="A164" s="23" t="n">
        <x:v>163</x:v>
      </x:c>
      <x:c r="B164" s="24" t="n">
        <x:v>2024</x:v>
      </x:c>
      <x:c r="C164" s="24" t="str">
        <x:v>Marzo</x:v>
      </x:c>
      <x:c r="D164" s="24" t="n">
        <x:v>3</x:v>
      </x:c>
      <x:c r="E164" s="24" t="str">
        <x:v>Riesgo público</x:v>
      </x:c>
      <x:c r="F164" s="24" t="str">
        <x:v>Capacitación</x:v>
      </x:c>
      <x:c r="G164" s="24" t="str">
        <x:v>Interno</x:v>
      </x:c>
      <x:c r="H164" s="24" t="str">
        <x:v>Todos</x:v>
      </x:c>
      <x:c r="I164" s="24" t="str">
        <x:v>Medellín</x:v>
      </x:c>
      <x:c r="J164" s="11" t="str">
        <x:v>Autocuidado frente al riesgo público</x:v>
      </x:c>
      <x:c r="K164" s="11" t="str">
        <x:v>Prevenir situaciones derivadas de hurto, violencia y exposición en desplazamientos o labores externas.</x:v>
      </x:c>
      <x:c r="L164" s="24" t="n">
        <x:v>1</x:v>
      </x:c>
      <x:c r="M164" s="58" t="n">
        <x:v>45367</x:v>
      </x:c>
      <x:c r="N164" s="24" t="n">
        <x:v>1</x:v>
      </x:c>
      <x:c r="O164" s="24" t="n">
        <x:v>60</x:v>
      </x:c>
      <x:c r="P164" s="24" t="n">
        <x:v>56</x:v>
      </x:c>
      <x:c r="Q164" s="64" t="n">
        <x:f>IFERROR(P164/O164,0)</x:f>
        <x:v>0.9333333333333333</x:v>
      </x:c>
      <x:c r="R164" s="24" t="str">
        <x:v>Caso práctico</x:v>
      </x:c>
      <x:c r="S164" s="70" t="n">
        <x:v>4.7</x:v>
      </x:c>
      <x:c r="T164" s="24" t="str">
        <x:f>IF(XOR(X164="Reprogramada",X164="Cancelada"),"",IF(AND(Q164&gt;=0.8,S164&gt;=4),"Sí",IF(AND(Q164&gt;=0.65,S164&gt;=3.5),"Parcial","No")))</x:f>
        <x:v>Sí</x:v>
      </x:c>
      <x:c r="U164" s="24" t="str">
        <x:v>Jesús Guerrero</x:v>
      </x:c>
      <x:c r="V164" s="11" t="str">
        <x:v>Humano (facilitador interno) / Logístico / Material de apoyo</x:v>
      </x:c>
      <x:c r="W164" s="11" t="str">
        <x:v>Carlos Felipe Parada Ramón</x:v>
      </x:c>
      <x:c r="X164" s="11" t="str">
        <x:v>Ejecutada</x:v>
      </x:c>
      <x:c r="Y164" s="52" t="str">
        <x:v>Actividad ejecutada satisfactoriamente; mantener evidencia y seguimiento.</x:v>
      </x:c>
    </x:row>
    <x:row r="165">
      <x:c r="A165" s="23" t="n">
        <x:v>164</x:v>
      </x:c>
      <x:c r="B165" s="24" t="n">
        <x:v>2024</x:v>
      </x:c>
      <x:c r="C165" s="24" t="str">
        <x:v>Marzo</x:v>
      </x:c>
      <x:c r="D165" s="24" t="n">
        <x:v>3</x:v>
      </x:c>
      <x:c r="E165" s="24" t="str">
        <x:v>Riesgo público</x:v>
      </x:c>
      <x:c r="F165" s="24" t="str">
        <x:v>Capacitación</x:v>
      </x:c>
      <x:c r="G165" s="24" t="str">
        <x:v>Interno</x:v>
      </x:c>
      <x:c r="H165" s="24" t="str">
        <x:v>Todos</x:v>
      </x:c>
      <x:c r="I165" s="24" t="str">
        <x:v>Ábrego</x:v>
      </x:c>
      <x:c r="J165" s="11" t="str">
        <x:v>Autocuidado frente al riesgo público</x:v>
      </x:c>
      <x:c r="K165" s="11" t="str">
        <x:v>Prevenir situaciones derivadas de hurto, violencia y exposición en desplazamientos o labores externas.</x:v>
      </x:c>
      <x:c r="L165" s="24" t="n">
        <x:v>1</x:v>
      </x:c>
      <x:c r="M165" s="58" t="n">
        <x:v>45374</x:v>
      </x:c>
      <x:c r="N165" s="24" t="n">
        <x:v>1</x:v>
      </x:c>
      <x:c r="O165" s="24" t="n">
        <x:v>25</x:v>
      </x:c>
      <x:c r="P165" s="24" t="n">
        <x:v>23</x:v>
      </x:c>
      <x:c r="Q165" s="64" t="n">
        <x:f>IFERROR(P165/O165,0)</x:f>
        <x:v>0.92</x:v>
      </x:c>
      <x:c r="R165" s="24" t="str">
        <x:v>Caso práctico</x:v>
      </x:c>
      <x:c r="S165" s="70" t="n">
        <x:v>4.5</x:v>
      </x:c>
      <x:c r="T165" s="24" t="str">
        <x:f>IF(XOR(X165="Reprogramada",X165="Cancelada"),"",IF(AND(Q165&gt;=0.8,S165&gt;=4),"Sí",IF(AND(Q165&gt;=0.65,S165&gt;=3.5),"Parcial","No")))</x:f>
        <x:v>Sí</x:v>
      </x:c>
      <x:c r="U165" s="24" t="str">
        <x:v>Jesús Guerrero</x:v>
      </x:c>
      <x:c r="V165" s="11" t="str">
        <x:v>Humano (facilitador interno) / Logístico / Material de apoyo</x:v>
      </x:c>
      <x:c r="W165" s="11" t="str">
        <x:v>Camila Andrea Galván</x:v>
      </x:c>
      <x:c r="X165" s="11" t="str">
        <x:v>Ejecutada</x:v>
      </x:c>
      <x:c r="Y165" s="52" t="str">
        <x:v>Actividad ejecutada satisfactoriamente; mantener evidencia y seguimiento.</x:v>
      </x:c>
    </x:row>
    <x:row r="166">
      <x:c r="A166" s="23" t="n">
        <x:v>165</x:v>
      </x:c>
      <x:c r="B166" s="24" t="n">
        <x:v>2024</x:v>
      </x:c>
      <x:c r="C166" s="24" t="str">
        <x:v>Marzo</x:v>
      </x:c>
      <x:c r="D166" s="24" t="n">
        <x:v>3</x:v>
      </x:c>
      <x:c r="E166" s="24" t="str">
        <x:v>Riesgo público</x:v>
      </x:c>
      <x:c r="F166" s="24" t="str">
        <x:v>Capacitación</x:v>
      </x:c>
      <x:c r="G166" s="24" t="str">
        <x:v>Interno</x:v>
      </x:c>
      <x:c r="H166" s="24" t="str">
        <x:v>Todos</x:v>
      </x:c>
      <x:c r="I166" s="24" t="str">
        <x:v>Pamplona</x:v>
      </x:c>
      <x:c r="J166" s="11" t="str">
        <x:v>Autocuidado frente al riesgo público</x:v>
      </x:c>
      <x:c r="K166" s="11" t="str">
        <x:v>Prevenir situaciones derivadas de hurto, violencia y exposición en desplazamientos o labores externas.</x:v>
      </x:c>
      <x:c r="L166" s="24" t="n">
        <x:v>1</x:v>
      </x:c>
      <x:c r="M166" s="58" t="n">
        <x:v>45370</x:v>
      </x:c>
      <x:c r="N166" s="24" t="n">
        <x:v>1</x:v>
      </x:c>
      <x:c r="O166" s="24" t="n">
        <x:v>28</x:v>
      </x:c>
      <x:c r="P166" s="24" t="n">
        <x:v>23</x:v>
      </x:c>
      <x:c r="Q166" s="64" t="n">
        <x:f>IFERROR(P166/O166,0)</x:f>
        <x:v>0.8214285714285714</x:v>
      </x:c>
      <x:c r="R166" s="24" t="str">
        <x:v>Caso práctico</x:v>
      </x:c>
      <x:c r="S166" s="70" t="n">
        <x:v>4.5</x:v>
      </x:c>
      <x:c r="T166" s="24" t="str">
        <x:f>IF(XOR(X166="Reprogramada",X166="Cancelada"),"",IF(AND(Q166&gt;=0.8,S166&gt;=4),"Sí",IF(AND(Q166&gt;=0.65,S166&gt;=3.5),"Parcial","No")))</x:f>
        <x:v>Sí</x:v>
      </x:c>
      <x:c r="U166" s="24" t="str">
        <x:v>Jesús Guerrero</x:v>
      </x:c>
      <x:c r="V166" s="11" t="str">
        <x:v>Humano (facilitador interno) / Logístico / Material de apoyo</x:v>
      </x:c>
      <x:c r="W166" s="11" t="str">
        <x:v>Jesús Guerrero</x:v>
      </x:c>
      <x:c r="X166" s="11" t="str">
        <x:v>Ejecutada</x:v>
      </x:c>
      <x:c r="Y166" s="52" t="str">
        <x:v>Actividad ejecutada satisfactoriamente; mantener evidencia y seguimiento.</x:v>
      </x:c>
    </x:row>
    <x:row r="167">
      <x:c r="A167" s="23" t="n">
        <x:v>166</x:v>
      </x:c>
      <x:c r="B167" s="24" t="n">
        <x:v>2024</x:v>
      </x:c>
      <x:c r="C167" s="24" t="str">
        <x:v>Abril</x:v>
      </x:c>
      <x:c r="D167" s="24" t="n">
        <x:v>4</x:v>
      </x:c>
      <x:c r="E167" s="24" t="str">
        <x:v>Primeros auxilios</x:v>
      </x:c>
      <x:c r="F167" s="24" t="str">
        <x:v>Curso</x:v>
      </x:c>
      <x:c r="G167" s="24" t="str">
        <x:v>Externo</x:v>
      </x:c>
      <x:c r="H167" s="24" t="str">
        <x:v>Brigadistas</x:v>
      </x:c>
      <x:c r="I167" s="24" t="str">
        <x:v>Cúcuta</x:v>
      </x:c>
      <x:c r="J167" s="11" t="str">
        <x:v>Primeros auxilios básicos</x:v>
      </x:c>
      <x:c r="K167" s="11" t="str">
        <x:v>Desarrollar habilidades básicas de respuesta inicial ante eventos de salud y accidentes.</x:v>
      </x:c>
      <x:c r="L167" s="24" t="n">
        <x:v>4</x:v>
      </x:c>
      <x:c r="M167" s="58" t="n">
        <x:v>45403</x:v>
      </x:c>
      <x:c r="N167" s="24" t="n">
        <x:v>4</x:v>
      </x:c>
      <x:c r="O167" s="24" t="n">
        <x:v>80</x:v>
      </x:c>
      <x:c r="P167" s="24" t="n">
        <x:v>63</x:v>
      </x:c>
      <x:c r="Q167" s="64" t="n">
        <x:f>IFERROR(P167/O167,0)</x:f>
        <x:v>0.7875</x:v>
      </x:c>
      <x:c r="R167" s="24" t="str">
        <x:v>Prueba práctica</x:v>
      </x:c>
      <x:c r="S167" s="70" t="n">
        <x:v>4.2</x:v>
      </x:c>
      <x:c r="T167" s="24" t="str">
        <x:f>IF(XOR(X167="Reprogramada",X167="Cancelada"),"",IF(AND(Q167&gt;=0.8,S167&gt;=4),"Sí",IF(AND(Q167&gt;=0.65,S167&gt;=3.5),"Parcial","No")))</x:f>
        <x:v>Parcial</x:v>
      </x:c>
      <x:c r="U167" s="24" t="str">
        <x:v>Proveedor Externo</x:v>
      </x:c>
      <x:c r="V167" s="11" t="str">
        <x:v>Humano (facilitador externo) / Financiero / Logístico / Material didáctico</x:v>
      </x:c>
      <x:c r="W167" s="11" t="str">
        <x:v>Carlos Felipe Parada Ramón</x:v>
      </x:c>
      <x:c r="X167" s="11" t="str">
        <x:v>Ejecutada</x:v>
      </x:c>
      <x:c r="Y167" s="52" t="str">
        <x:v>Actividad ejecutada satisfactoriamente; mantener evidencia y seguimiento.</x:v>
      </x:c>
    </x:row>
    <x:row r="168">
      <x:c r="A168" s="23" t="n">
        <x:v>167</x:v>
      </x:c>
      <x:c r="B168" s="24" t="n">
        <x:v>2024</x:v>
      </x:c>
      <x:c r="C168" s="24" t="str">
        <x:v>Abril</x:v>
      </x:c>
      <x:c r="D168" s="24" t="n">
        <x:v>4</x:v>
      </x:c>
      <x:c r="E168" s="24" t="str">
        <x:v>Primeros auxilios</x:v>
      </x:c>
      <x:c r="F168" s="24" t="str">
        <x:v>Curso</x:v>
      </x:c>
      <x:c r="G168" s="24" t="str">
        <x:v>Externo</x:v>
      </x:c>
      <x:c r="H168" s="24" t="str">
        <x:v>Brigadistas</x:v>
      </x:c>
      <x:c r="I168" s="24" t="str">
        <x:v>Barrancabermeja</x:v>
      </x:c>
      <x:c r="J168" s="11" t="str">
        <x:v>Primeros auxilios básicos</x:v>
      </x:c>
      <x:c r="K168" s="11" t="str">
        <x:v>Desarrollar habilidades básicas de respuesta inicial ante eventos de salud y accidentes.</x:v>
      </x:c>
      <x:c r="L168" s="24" t="n">
        <x:v>4</x:v>
      </x:c>
      <x:c r="M168" s="58" t="n">
        <x:v>45401</x:v>
      </x:c>
      <x:c r="N168" s="24" t="n">
        <x:v>4</x:v>
      </x:c>
      <x:c r="O168" s="24" t="n">
        <x:v>54</x:v>
      </x:c>
      <x:c r="P168" s="24" t="n">
        <x:v>41</x:v>
      </x:c>
      <x:c r="Q168" s="64" t="n">
        <x:f>IFERROR(P168/O168,0)</x:f>
        <x:v>0.7592592592592593</x:v>
      </x:c>
      <x:c r="R168" s="24" t="str">
        <x:v>Prueba práctica</x:v>
      </x:c>
      <x:c r="S168" s="70" t="n">
        <x:v>5</x:v>
      </x:c>
      <x:c r="T168" s="24" t="str">
        <x:f>IF(XOR(X168="Reprogramada",X168="Cancelada"),"",IF(AND(Q168&gt;=0.8,S168&gt;=4),"Sí",IF(AND(Q168&gt;=0.65,S168&gt;=3.5),"Parcial","No")))</x:f>
        <x:v>Parcial</x:v>
      </x:c>
      <x:c r="U168" s="24" t="str">
        <x:v>Proveedor Externo</x:v>
      </x:c>
      <x:c r="V168" s="11" t="str">
        <x:v>Humano (facilitador externo) / Financiero / Logístico / Material didáctico</x:v>
      </x:c>
      <x:c r="W168" s="11" t="str">
        <x:v>Camila Andrea Galván</x:v>
      </x:c>
      <x:c r="X168" s="11" t="str">
        <x:v>Ejecutada</x:v>
      </x:c>
      <x:c r="Y168" s="52" t="str">
        <x:v>Actividad ejecutada satisfactoriamente; mantener evidencia y seguimiento.</x:v>
      </x:c>
    </x:row>
    <x:row r="169">
      <x:c r="A169" s="23" t="n">
        <x:v>168</x:v>
      </x:c>
      <x:c r="B169" s="24" t="n">
        <x:v>2024</x:v>
      </x:c>
      <x:c r="C169" s="24" t="str">
        <x:v>Abril</x:v>
      </x:c>
      <x:c r="D169" s="24" t="n">
        <x:v>4</x:v>
      </x:c>
      <x:c r="E169" s="24" t="str">
        <x:v>Primeros auxilios</x:v>
      </x:c>
      <x:c r="F169" s="24" t="str">
        <x:v>Curso</x:v>
      </x:c>
      <x:c r="G169" s="24" t="str">
        <x:v>Externo</x:v>
      </x:c>
      <x:c r="H169" s="24" t="str">
        <x:v>Brigadistas</x:v>
      </x:c>
      <x:c r="I169" s="24" t="str">
        <x:v>Ocaña</x:v>
      </x:c>
      <x:c r="J169" s="11" t="str">
        <x:v>Primeros auxilios básicos</x:v>
      </x:c>
      <x:c r="K169" s="11" t="str">
        <x:v>Desarrollar habilidades básicas de respuesta inicial ante eventos de salud y accidentes.</x:v>
      </x:c>
      <x:c r="L169" s="24" t="n">
        <x:v>4</x:v>
      </x:c>
      <x:c r="M169" s="58" t="n">
        <x:v>45393</x:v>
      </x:c>
      <x:c r="N169" s="24" t="n">
        <x:v>4</x:v>
      </x:c>
      <x:c r="O169" s="24" t="n">
        <x:v>37</x:v>
      </x:c>
      <x:c r="P169" s="24" t="n">
        <x:v>33</x:v>
      </x:c>
      <x:c r="Q169" s="64" t="n">
        <x:f>IFERROR(P169/O169,0)</x:f>
        <x:v>0.8918918918918919</x:v>
      </x:c>
      <x:c r="R169" s="24" t="str">
        <x:v>Prueba práctica</x:v>
      </x:c>
      <x:c r="S169" s="70" t="n">
        <x:v>4.5</x:v>
      </x:c>
      <x:c r="T169" s="24" t="str">
        <x:f>IF(XOR(X169="Reprogramada",X169="Cancelada"),"",IF(AND(Q169&gt;=0.8,S169&gt;=4),"Sí",IF(AND(Q169&gt;=0.65,S169&gt;=3.5),"Parcial","No")))</x:f>
        <x:v>Sí</x:v>
      </x:c>
      <x:c r="U169" s="24" t="str">
        <x:v>Proveedor Externo</x:v>
      </x:c>
      <x:c r="V169" s="11" t="str">
        <x:v>Humano (facilitador externo) / Financiero / Logístico / Material didáctico</x:v>
      </x:c>
      <x:c r="W169" s="11" t="str">
        <x:v>Jesús Guerrero</x:v>
      </x:c>
      <x:c r="X169" s="11" t="str">
        <x:v>Ejecutada</x:v>
      </x:c>
      <x:c r="Y169" s="52" t="str">
        <x:v>Actividad ejecutada satisfactoriamente; mantener evidencia y seguimiento.</x:v>
      </x:c>
    </x:row>
    <x:row r="170">
      <x:c r="A170" s="23" t="n">
        <x:v>169</x:v>
      </x:c>
      <x:c r="B170" s="24" t="n">
        <x:v>2024</x:v>
      </x:c>
      <x:c r="C170" s="24" t="str">
        <x:v>Abril</x:v>
      </x:c>
      <x:c r="D170" s="24" t="n">
        <x:v>4</x:v>
      </x:c>
      <x:c r="E170" s="24" t="str">
        <x:v>Primeros auxilios</x:v>
      </x:c>
      <x:c r="F170" s="24" t="str">
        <x:v>Curso</x:v>
      </x:c>
      <x:c r="G170" s="24" t="str">
        <x:v>Externo</x:v>
      </x:c>
      <x:c r="H170" s="24" t="str">
        <x:v>Brigadistas</x:v>
      </x:c>
      <x:c r="I170" s="24" t="str">
        <x:v>Girón</x:v>
      </x:c>
      <x:c r="J170" s="11" t="str">
        <x:v>Primeros auxilios básicos</x:v>
      </x:c>
      <x:c r="K170" s="11" t="str">
        <x:v>Desarrollar habilidades básicas de respuesta inicial ante eventos de salud y accidentes.</x:v>
      </x:c>
      <x:c r="L170" s="24" t="n">
        <x:v>4</x:v>
      </x:c>
      <x:c r="M170" s="58" t="n">
        <x:v>45399</x:v>
      </x:c>
      <x:c r="N170" s="24" t="n">
        <x:v>4</x:v>
      </x:c>
      <x:c r="O170" s="24" t="n">
        <x:v>42</x:v>
      </x:c>
      <x:c r="P170" s="24" t="n">
        <x:v>35</x:v>
      </x:c>
      <x:c r="Q170" s="64" t="n">
        <x:f>IFERROR(P170/O170,0)</x:f>
        <x:v>0.8333333333333334</x:v>
      </x:c>
      <x:c r="R170" s="24" t="str">
        <x:v>Prueba práctica</x:v>
      </x:c>
      <x:c r="S170" s="70" t="n">
        <x:v>4.3</x:v>
      </x:c>
      <x:c r="T170" s="24" t="str">
        <x:f>IF(XOR(X170="Reprogramada",X170="Cancelada"),"",IF(AND(Q170&gt;=0.8,S170&gt;=4),"Sí",IF(AND(Q170&gt;=0.65,S170&gt;=3.5),"Parcial","No")))</x:f>
        <x:v>Sí</x:v>
      </x:c>
      <x:c r="U170" s="24" t="str">
        <x:v>Proveedor Externo</x:v>
      </x:c>
      <x:c r="V170" s="11" t="str">
        <x:v>Humano (facilitador externo) / Financiero / Logístico / Material didáctico</x:v>
      </x:c>
      <x:c r="W170" s="11" t="str">
        <x:v>Carlos Felipe Parada Ramón</x:v>
      </x:c>
      <x:c r="X170" s="11" t="str">
        <x:v>Ejecutada</x:v>
      </x:c>
      <x:c r="Y170" s="52" t="str">
        <x:v>Actividad ejecutada satisfactoriamente; mantener evidencia y seguimiento.</x:v>
      </x:c>
    </x:row>
    <x:row r="171">
      <x:c r="A171" s="23" t="n">
        <x:v>170</x:v>
      </x:c>
      <x:c r="B171" s="24" t="n">
        <x:v>2024</x:v>
      </x:c>
      <x:c r="C171" s="24" t="str">
        <x:v>Abril</x:v>
      </x:c>
      <x:c r="D171" s="24" t="n">
        <x:v>4</x:v>
      </x:c>
      <x:c r="E171" s="24" t="str">
        <x:v>Primeros auxilios</x:v>
      </x:c>
      <x:c r="F171" s="24" t="str">
        <x:v>Curso</x:v>
      </x:c>
      <x:c r="G171" s="24" t="str">
        <x:v>Externo</x:v>
      </x:c>
      <x:c r="H171" s="24" t="str">
        <x:v>Brigadistas</x:v>
      </x:c>
      <x:c r="I171" s="24" t="str">
        <x:v>Valledupar</x:v>
      </x:c>
      <x:c r="J171" s="11" t="str">
        <x:v>Primeros auxilios básicos</x:v>
      </x:c>
      <x:c r="K171" s="11" t="str">
        <x:v>Desarrollar habilidades básicas de respuesta inicial ante eventos de salud y accidentes.</x:v>
      </x:c>
      <x:c r="L171" s="24" t="n">
        <x:v>4</x:v>
      </x:c>
      <x:c r="M171" s="58" t="n">
        <x:v>45403</x:v>
      </x:c>
      <x:c r="N171" s="24" t="n">
        <x:v>3.5</x:v>
      </x:c>
      <x:c r="O171" s="24" t="n">
        <x:v>48</x:v>
      </x:c>
      <x:c r="P171" s="24" t="n">
        <x:v>40</x:v>
      </x:c>
      <x:c r="Q171" s="64" t="n">
        <x:f>IFERROR(P171/O171,0)</x:f>
        <x:v>0.8333333333333334</x:v>
      </x:c>
      <x:c r="R171" s="24" t="str">
        <x:v>Prueba práctica</x:v>
      </x:c>
      <x:c r="S171" s="70" t="n">
        <x:v>4.2</x:v>
      </x:c>
      <x:c r="T171" s="24" t="str">
        <x:f>IF(XOR(X171="Reprogramada",X171="Cancelada"),"",IF(AND(Q171&gt;=0.8,S171&gt;=4),"Sí",IF(AND(Q171&gt;=0.65,S171&gt;=3.5),"Parcial","No")))</x:f>
        <x:v>Sí</x:v>
      </x:c>
      <x:c r="U171" s="24" t="str">
        <x:v>Proveedor Externo</x:v>
      </x:c>
      <x:c r="V171" s="11" t="str">
        <x:v>Humano (facilitador externo) / Financiero / Logístico / Material didáctico</x:v>
      </x:c>
      <x:c r="W171" s="11" t="str">
        <x:v>Camila Andrea Galván</x:v>
      </x:c>
      <x:c r="X171" s="11" t="str">
        <x:v>Ejecutada</x:v>
      </x:c>
      <x:c r="Y171" s="52" t="str">
        <x:v>Actividad ejecutada satisfactoriamente; mantener evidencia y seguimiento.</x:v>
      </x:c>
    </x:row>
    <x:row r="172">
      <x:c r="A172" s="23" t="n">
        <x:v>171</x:v>
      </x:c>
      <x:c r="B172" s="24" t="n">
        <x:v>2024</x:v>
      </x:c>
      <x:c r="C172" s="24" t="str">
        <x:v>Abril</x:v>
      </x:c>
      <x:c r="D172" s="24" t="n">
        <x:v>4</x:v>
      </x:c>
      <x:c r="E172" s="24" t="str">
        <x:v>Primeros auxilios</x:v>
      </x:c>
      <x:c r="F172" s="24" t="str">
        <x:v>Curso</x:v>
      </x:c>
      <x:c r="G172" s="24" t="str">
        <x:v>Externo</x:v>
      </x:c>
      <x:c r="H172" s="24" t="str">
        <x:v>Brigadistas</x:v>
      </x:c>
      <x:c r="I172" s="24" t="str">
        <x:v>Arauca</x:v>
      </x:c>
      <x:c r="J172" s="11" t="str">
        <x:v>Primeros auxilios básicos</x:v>
      </x:c>
      <x:c r="K172" s="11" t="str">
        <x:v>Desarrollar habilidades básicas de respuesta inicial ante eventos de salud y accidentes.</x:v>
      </x:c>
      <x:c r="L172" s="24" t="n">
        <x:v>4</x:v>
      </x:c>
      <x:c r="M172" s="58" t="n">
        <x:v>45393</x:v>
      </x:c>
      <x:c r="N172" s="24" t="n">
        <x:v>4</x:v>
      </x:c>
      <x:c r="O172" s="24" t="n">
        <x:v>30</x:v>
      </x:c>
      <x:c r="P172" s="24" t="n">
        <x:v>26</x:v>
      </x:c>
      <x:c r="Q172" s="64" t="n">
        <x:f>IFERROR(P172/O172,0)</x:f>
        <x:v>0.8666666666666667</x:v>
      </x:c>
      <x:c r="R172" s="24" t="str">
        <x:v>Prueba práctica</x:v>
      </x:c>
      <x:c r="S172" s="70" t="n">
        <x:v>4.8</x:v>
      </x:c>
      <x:c r="T172" s="24" t="str">
        <x:f>IF(XOR(X172="Reprogramada",X172="Cancelada"),"",IF(AND(Q172&gt;=0.8,S172&gt;=4),"Sí",IF(AND(Q172&gt;=0.65,S172&gt;=3.5),"Parcial","No")))</x:f>
        <x:v>Sí</x:v>
      </x:c>
      <x:c r="U172" s="24" t="str">
        <x:v>Proveedor Externo</x:v>
      </x:c>
      <x:c r="V172" s="11" t="str">
        <x:v>Humano (facilitador externo) / Financiero / Logístico / Material didáctico</x:v>
      </x:c>
      <x:c r="W172" s="11" t="str">
        <x:v>Jesús Guerrero</x:v>
      </x:c>
      <x:c r="X172" s="11" t="str">
        <x:v>Ejecutada</x:v>
      </x:c>
      <x:c r="Y172" s="52" t="str">
        <x:v>Actividad ejecutada satisfactoriamente; mantener evidencia y seguimiento.</x:v>
      </x:c>
    </x:row>
    <x:row r="173">
      <x:c r="A173" s="23" t="n">
        <x:v>172</x:v>
      </x:c>
      <x:c r="B173" s="24" t="n">
        <x:v>2024</x:v>
      </x:c>
      <x:c r="C173" s="24" t="str">
        <x:v>Abril</x:v>
      </x:c>
      <x:c r="D173" s="24" t="n">
        <x:v>4</x:v>
      </x:c>
      <x:c r="E173" s="24" t="str">
        <x:v>Primeros auxilios</x:v>
      </x:c>
      <x:c r="F173" s="24" t="str">
        <x:v>Curso</x:v>
      </x:c>
      <x:c r="G173" s="24" t="str">
        <x:v>Externo</x:v>
      </x:c>
      <x:c r="H173" s="24" t="str">
        <x:v>Brigadistas</x:v>
      </x:c>
      <x:c r="I173" s="24" t="str">
        <x:v>Bogotá</x:v>
      </x:c>
      <x:c r="J173" s="11" t="str">
        <x:v>Primeros auxilios básicos</x:v>
      </x:c>
      <x:c r="K173" s="11" t="str">
        <x:v>Desarrollar habilidades básicas de respuesta inicial ante eventos de salud y accidentes.</x:v>
      </x:c>
      <x:c r="L173" s="24" t="n">
        <x:v>4</x:v>
      </x:c>
      <x:c r="M173" s="58" t="n">
        <x:v>45398</x:v>
      </x:c>
      <x:c r="N173" s="24" t="n">
        <x:v>4.5</x:v>
      </x:c>
      <x:c r="O173" s="24" t="n">
        <x:v>65</x:v>
      </x:c>
      <x:c r="P173" s="24" t="n">
        <x:v>47</x:v>
      </x:c>
      <x:c r="Q173" s="64" t="n">
        <x:f>IFERROR(P173/O173,0)</x:f>
        <x:v>0.7230769230769231</x:v>
      </x:c>
      <x:c r="R173" s="24" t="str">
        <x:v>Prueba práctica</x:v>
      </x:c>
      <x:c r="S173" s="70" t="n">
        <x:v>4.7</x:v>
      </x:c>
      <x:c r="T173" s="24" t="str">
        <x:f>IF(XOR(X173="Reprogramada",X173="Cancelada"),"",IF(AND(Q173&gt;=0.8,S173&gt;=4),"Sí",IF(AND(Q173&gt;=0.65,S173&gt;=3.5),"Parcial","No")))</x:f>
        <x:v>Parcial</x:v>
      </x:c>
      <x:c r="U173" s="24" t="str">
        <x:v>Proveedor Externo</x:v>
      </x:c>
      <x:c r="V173" s="11" t="str">
        <x:v>Humano (facilitador externo) / Financiero / Logístico / Material didáctico</x:v>
      </x:c>
      <x:c r="W173" s="11" t="str">
        <x:v>Carlos Felipe Parada Ramón</x:v>
      </x:c>
      <x:c r="X173" s="11" t="str">
        <x:v>Ejecutada</x:v>
      </x:c>
      <x:c r="Y173" s="52" t="str">
        <x:v>Reforzar convocatoria y seguimiento a ausentismo.</x:v>
      </x:c>
    </x:row>
    <x:row r="174">
      <x:c r="A174" s="23" t="n">
        <x:v>173</x:v>
      </x:c>
      <x:c r="B174" s="24" t="n">
        <x:v>2024</x:v>
      </x:c>
      <x:c r="C174" s="24" t="str">
        <x:v>Abril</x:v>
      </x:c>
      <x:c r="D174" s="24" t="n">
        <x:v>4</x:v>
      </x:c>
      <x:c r="E174" s="24" t="str">
        <x:v>Primeros auxilios</x:v>
      </x:c>
      <x:c r="F174" s="24" t="str">
        <x:v>Curso</x:v>
      </x:c>
      <x:c r="G174" s="24" t="str">
        <x:v>Externo</x:v>
      </x:c>
      <x:c r="H174" s="24" t="str">
        <x:v>Brigadistas</x:v>
      </x:c>
      <x:c r="I174" s="24" t="str">
        <x:v>Tibú</x:v>
      </x:c>
      <x:c r="J174" s="11" t="str">
        <x:v>Primeros auxilios básicos</x:v>
      </x:c>
      <x:c r="K174" s="11" t="str">
        <x:v>Desarrollar habilidades básicas de respuesta inicial ante eventos de salud y accidentes.</x:v>
      </x:c>
      <x:c r="L174" s="24" t="n">
        <x:v>4</x:v>
      </x:c>
      <x:c r="M174" s="58" t="n">
        <x:v>45407</x:v>
      </x:c>
      <x:c r="N174" s="24" t="n">
        <x:v>3.5</x:v>
      </x:c>
      <x:c r="O174" s="24" t="n">
        <x:v>32</x:v>
      </x:c>
      <x:c r="P174" s="24" t="n">
        <x:v>25</x:v>
      </x:c>
      <x:c r="Q174" s="64" t="n">
        <x:f>IFERROR(P174/O174,0)</x:f>
        <x:v>0.78125</x:v>
      </x:c>
      <x:c r="R174" s="24" t="str">
        <x:v>Prueba práctica</x:v>
      </x:c>
      <x:c r="S174" s="70" t="n">
        <x:v>4.7</x:v>
      </x:c>
      <x:c r="T174" s="24" t="str">
        <x:f>IF(XOR(X174="Reprogramada",X174="Cancelada"),"",IF(AND(Q174&gt;=0.8,S174&gt;=4),"Sí",IF(AND(Q174&gt;=0.65,S174&gt;=3.5),"Parcial","No")))</x:f>
        <x:v>Parcial</x:v>
      </x:c>
      <x:c r="U174" s="24" t="str">
        <x:v>Proveedor Externo</x:v>
      </x:c>
      <x:c r="V174" s="11" t="str">
        <x:v>Humano (facilitador externo) / Financiero / Logístico / Material didáctico</x:v>
      </x:c>
      <x:c r="W174" s="11" t="str">
        <x:v>Camila Andrea Galván</x:v>
      </x:c>
      <x:c r="X174" s="11" t="str">
        <x:v>Ejecutada</x:v>
      </x:c>
      <x:c r="Y174" s="52" t="str">
        <x:v>Actividad ejecutada satisfactoriamente; mantener evidencia y seguimiento.</x:v>
      </x:c>
    </x:row>
    <x:row r="175">
      <x:c r="A175" s="23" t="n">
        <x:v>174</x:v>
      </x:c>
      <x:c r="B175" s="24" t="n">
        <x:v>2024</x:v>
      </x:c>
      <x:c r="C175" s="24" t="str">
        <x:v>Abril</x:v>
      </x:c>
      <x:c r="D175" s="24" t="n">
        <x:v>4</x:v>
      </x:c>
      <x:c r="E175" s="24" t="str">
        <x:v>Primeros auxilios</x:v>
      </x:c>
      <x:c r="F175" s="24" t="str">
        <x:v>Curso</x:v>
      </x:c>
      <x:c r="G175" s="24" t="str">
        <x:v>Externo</x:v>
      </x:c>
      <x:c r="H175" s="24" t="str">
        <x:v>Brigadistas</x:v>
      </x:c>
      <x:c r="I175" s="24" t="str">
        <x:v>Medellín</x:v>
      </x:c>
      <x:c r="J175" s="11" t="str">
        <x:v>Primeros auxilios básicos</x:v>
      </x:c>
      <x:c r="K175" s="11" t="str">
        <x:v>Desarrollar habilidades básicas de respuesta inicial ante eventos de salud y accidentes.</x:v>
      </x:c>
      <x:c r="L175" s="24" t="n">
        <x:v>4</x:v>
      </x:c>
      <x:c r="M175" s="58" t="n">
        <x:v>45407</x:v>
      </x:c>
      <x:c r="N175" s="24" t="n">
        <x:v>4</x:v>
      </x:c>
      <x:c r="O175" s="24" t="n">
        <x:v>60</x:v>
      </x:c>
      <x:c r="P175" s="24" t="n">
        <x:v>51</x:v>
      </x:c>
      <x:c r="Q175" s="64" t="n">
        <x:f>IFERROR(P175/O175,0)</x:f>
        <x:v>0.85</x:v>
      </x:c>
      <x:c r="R175" s="24" t="str">
        <x:v>Prueba práctica</x:v>
      </x:c>
      <x:c r="S175" s="70" t="n">
        <x:v>4.3</x:v>
      </x:c>
      <x:c r="T175" s="24" t="str">
        <x:f>IF(XOR(X175="Reprogramada",X175="Cancelada"),"",IF(AND(Q175&gt;=0.8,S175&gt;=4),"Sí",IF(AND(Q175&gt;=0.65,S175&gt;=3.5),"Parcial","No")))</x:f>
        <x:v>Sí</x:v>
      </x:c>
      <x:c r="U175" s="24" t="str">
        <x:v>Proveedor Externo</x:v>
      </x:c>
      <x:c r="V175" s="11" t="str">
        <x:v>Humano (facilitador externo) / Financiero / Logístico / Material didáctico</x:v>
      </x:c>
      <x:c r="W175" s="11" t="str">
        <x:v>Jesús Guerrero</x:v>
      </x:c>
      <x:c r="X175" s="11" t="str">
        <x:v>Ejecutada</x:v>
      </x:c>
      <x:c r="Y175" s="52" t="str">
        <x:v>Actividad ejecutada satisfactoriamente; mantener evidencia y seguimiento.</x:v>
      </x:c>
    </x:row>
    <x:row r="176">
      <x:c r="A176" s="23" t="n">
        <x:v>175</x:v>
      </x:c>
      <x:c r="B176" s="24" t="n">
        <x:v>2024</x:v>
      </x:c>
      <x:c r="C176" s="24" t="str">
        <x:v>Abril</x:v>
      </x:c>
      <x:c r="D176" s="24" t="n">
        <x:v>4</x:v>
      </x:c>
      <x:c r="E176" s="24" t="str">
        <x:v>Primeros auxilios</x:v>
      </x:c>
      <x:c r="F176" s="24" t="str">
        <x:v>Curso</x:v>
      </x:c>
      <x:c r="G176" s="24" t="str">
        <x:v>Externo</x:v>
      </x:c>
      <x:c r="H176" s="24" t="str">
        <x:v>Brigadistas</x:v>
      </x:c>
      <x:c r="I176" s="24" t="str">
        <x:v>Ábrego</x:v>
      </x:c>
      <x:c r="J176" s="11" t="str">
        <x:v>Primeros auxilios básicos</x:v>
      </x:c>
      <x:c r="K176" s="11" t="str">
        <x:v>Desarrollar habilidades básicas de respuesta inicial ante eventos de salud y accidentes.</x:v>
      </x:c>
      <x:c r="L176" s="24" t="n">
        <x:v>4</x:v>
      </x:c>
      <x:c r="M176" s="58" t="n">
        <x:v>45403</x:v>
      </x:c>
      <x:c r="N176" s="24" t="n">
        <x:v>3.5</x:v>
      </x:c>
      <x:c r="O176" s="24" t="n">
        <x:v>25</x:v>
      </x:c>
      <x:c r="P176" s="24" t="n">
        <x:v>22</x:v>
      </x:c>
      <x:c r="Q176" s="64" t="n">
        <x:f>IFERROR(P176/O176,0)</x:f>
        <x:v>0.88</x:v>
      </x:c>
      <x:c r="R176" s="24" t="str">
        <x:v>Prueba práctica</x:v>
      </x:c>
      <x:c r="S176" s="70" t="n">
        <x:v>4.6</x:v>
      </x:c>
      <x:c r="T176" s="24" t="str">
        <x:f>IF(XOR(X176="Reprogramada",X176="Cancelada"),"",IF(AND(Q176&gt;=0.8,S176&gt;=4),"Sí",IF(AND(Q176&gt;=0.65,S176&gt;=3.5),"Parcial","No")))</x:f>
        <x:v>Sí</x:v>
      </x:c>
      <x:c r="U176" s="24" t="str">
        <x:v>Proveedor Externo</x:v>
      </x:c>
      <x:c r="V176" s="11" t="str">
        <x:v>Humano (facilitador externo) / Financiero / Logístico / Material didáctico</x:v>
      </x:c>
      <x:c r="W176" s="11" t="str">
        <x:v>Carlos Felipe Parada Ramón</x:v>
      </x:c>
      <x:c r="X176" s="11" t="str">
        <x:v>Ejecutada</x:v>
      </x:c>
      <x:c r="Y176" s="52" t="str">
        <x:v>Actividad ejecutada satisfactoriamente; mantener evidencia y seguimiento.</x:v>
      </x:c>
    </x:row>
    <x:row r="177">
      <x:c r="A177" s="23" t="n">
        <x:v>176</x:v>
      </x:c>
      <x:c r="B177" s="24" t="n">
        <x:v>2024</x:v>
      </x:c>
      <x:c r="C177" s="24" t="str">
        <x:v>Abril</x:v>
      </x:c>
      <x:c r="D177" s="24" t="n">
        <x:v>4</x:v>
      </x:c>
      <x:c r="E177" s="24" t="str">
        <x:v>Primeros auxilios</x:v>
      </x:c>
      <x:c r="F177" s="24" t="str">
        <x:v>Curso</x:v>
      </x:c>
      <x:c r="G177" s="24" t="str">
        <x:v>Externo</x:v>
      </x:c>
      <x:c r="H177" s="24" t="str">
        <x:v>Brigadistas</x:v>
      </x:c>
      <x:c r="I177" s="24" t="str">
        <x:v>Pamplona</x:v>
      </x:c>
      <x:c r="J177" s="11" t="str">
        <x:v>Primeros auxilios básicos</x:v>
      </x:c>
      <x:c r="K177" s="11" t="str">
        <x:v>Desarrollar habilidades básicas de respuesta inicial ante eventos de salud y accidentes.</x:v>
      </x:c>
      <x:c r="L177" s="24" t="n">
        <x:v>4</x:v>
      </x:c>
      <x:c r="M177" s="58" t="n">
        <x:v>45394</x:v>
      </x:c>
      <x:c r="N177" s="24" t="n">
        <x:v>4.5</x:v>
      </x:c>
      <x:c r="O177" s="24" t="n">
        <x:v>28</x:v>
      </x:c>
      <x:c r="P177" s="24" t="n">
        <x:v>20</x:v>
      </x:c>
      <x:c r="Q177" s="64" t="n">
        <x:f>IFERROR(P177/O177,0)</x:f>
        <x:v>0.7142857142857143</x:v>
      </x:c>
      <x:c r="R177" s="24" t="str">
        <x:v>Prueba práctica</x:v>
      </x:c>
      <x:c r="S177" s="70" t="n">
        <x:v>4.3</x:v>
      </x:c>
      <x:c r="T177" s="24" t="str">
        <x:f>IF(XOR(X177="Reprogramada",X177="Cancelada"),"",IF(AND(Q177&gt;=0.8,S177&gt;=4),"Sí",IF(AND(Q177&gt;=0.65,S177&gt;=3.5),"Parcial","No")))</x:f>
        <x:v>Parcial</x:v>
      </x:c>
      <x:c r="U177" s="24" t="str">
        <x:v>Proveedor Externo</x:v>
      </x:c>
      <x:c r="V177" s="11" t="str">
        <x:v>Humano (facilitador externo) / Financiero / Logístico / Material didáctico</x:v>
      </x:c>
      <x:c r="W177" s="11" t="str">
        <x:v>Camila Andrea Galván</x:v>
      </x:c>
      <x:c r="X177" s="11" t="str">
        <x:v>Ejecutada</x:v>
      </x:c>
      <x:c r="Y177" s="52" t="str">
        <x:v>Reforzar convocatoria y seguimiento a ausentismo.</x:v>
      </x:c>
    </x:row>
    <x:row r="178">
      <x:c r="A178" s="23" t="n">
        <x:v>177</x:v>
      </x:c>
      <x:c r="B178" s="24" t="n">
        <x:v>2024</x:v>
      </x:c>
      <x:c r="C178" s="24" t="str">
        <x:v>Mayo</x:v>
      </x:c>
      <x:c r="D178" s="24" t="n">
        <x:v>5</x:v>
      </x:c>
      <x:c r="E178" s="24" t="str">
        <x:v>Psicosocial</x:v>
      </x:c>
      <x:c r="F178" s="24" t="str">
        <x:v>Capacitación</x:v>
      </x:c>
      <x:c r="G178" s="24" t="str">
        <x:v>Externo</x:v>
      </x:c>
      <x:c r="H178" s="24" t="str">
        <x:v>Todos</x:v>
      </x:c>
      <x:c r="I178" s="24" t="str">
        <x:v>Cúcuta</x:v>
      </x:c>
      <x:c r="J178" s="11" t="str">
        <x:v>Fatiga laboral y salud mental</x:v>
      </x:c>
      <x:c r="K178" s="11" t="str">
        <x:v>Identificar signos de fatiga laboral y fortalecer acciones individuales y colectivas de cuidado de la salud mental.</x:v>
      </x:c>
      <x:c r="L178" s="24" t="n">
        <x:v>2</x:v>
      </x:c>
      <x:c r="M178" s="58" t="n">
        <x:v>45428</x:v>
      </x:c>
      <x:c r="N178" s="24" t="n">
        <x:v>2</x:v>
      </x:c>
      <x:c r="O178" s="24" t="n">
        <x:v>80</x:v>
      </x:c>
      <x:c r="P178" s="24" t="n">
        <x:v>71</x:v>
      </x:c>
      <x:c r="Q178" s="64" t="n">
        <x:f>IFERROR(P178/O178,0)</x:f>
        <x:v>0.8875</x:v>
      </x:c>
      <x:c r="R178" s="24" t="str">
        <x:v>Encuesta de percepción</x:v>
      </x:c>
      <x:c r="S178" s="70" t="n">
        <x:v>4.6</x:v>
      </x:c>
      <x:c r="T178" s="24" t="str">
        <x:f>IF(XOR(X178="Reprogramada",X178="Cancelada"),"",IF(AND(Q178&gt;=0.8,S178&gt;=4),"Sí",IF(AND(Q178&gt;=0.65,S178&gt;=3.5),"Parcial","No")))</x:f>
        <x:v>Sí</x:v>
      </x:c>
      <x:c r="U178" s="24" t="str">
        <x:v>Psicología SST</x:v>
      </x:c>
      <x:c r="V178" s="11" t="str">
        <x:v>Humano (facilitador externo) / Financiero / Logístico / Material didáctico</x:v>
      </x:c>
      <x:c r="W178" s="11" t="str">
        <x:v>Jesús Guerrero</x:v>
      </x:c>
      <x:c r="X178" s="11" t="str">
        <x:v>Ejecutada</x:v>
      </x:c>
      <x:c r="Y178" s="52" t="str">
        <x:v>Actividad ejecutada satisfactoriamente; mantener evidencia y seguimiento.</x:v>
      </x:c>
    </x:row>
    <x:row r="179">
      <x:c r="A179" s="23" t="n">
        <x:v>178</x:v>
      </x:c>
      <x:c r="B179" s="24" t="n">
        <x:v>2024</x:v>
      </x:c>
      <x:c r="C179" s="24" t="str">
        <x:v>Mayo</x:v>
      </x:c>
      <x:c r="D179" s="24" t="n">
        <x:v>5</x:v>
      </x:c>
      <x:c r="E179" s="24" t="str">
        <x:v>Psicosocial</x:v>
      </x:c>
      <x:c r="F179" s="24" t="str">
        <x:v>Capacitación</x:v>
      </x:c>
      <x:c r="G179" s="24" t="str">
        <x:v>Externo</x:v>
      </x:c>
      <x:c r="H179" s="24" t="str">
        <x:v>Todos</x:v>
      </x:c>
      <x:c r="I179" s="24" t="str">
        <x:v>Barrancabermeja</x:v>
      </x:c>
      <x:c r="J179" s="11" t="str">
        <x:v>Fatiga laboral y salud mental</x:v>
      </x:c>
      <x:c r="K179" s="11" t="str">
        <x:v>Identificar signos de fatiga laboral y fortalecer acciones individuales y colectivas de cuidado de la salud mental.</x:v>
      </x:c>
      <x:c r="L179" s="24" t="n">
        <x:v>2</x:v>
      </x:c>
      <x:c r="M179" s="58" t="n">
        <x:v>45427</x:v>
      </x:c>
      <x:c r="N179" s="24" t="n">
        <x:v>2</x:v>
      </x:c>
      <x:c r="O179" s="24" t="n">
        <x:v>54</x:v>
      </x:c>
      <x:c r="P179" s="24" t="n">
        <x:v>45</x:v>
      </x:c>
      <x:c r="Q179" s="64" t="n">
        <x:f>IFERROR(P179/O179,0)</x:f>
        <x:v>0.8333333333333334</x:v>
      </x:c>
      <x:c r="R179" s="24" t="str">
        <x:v>Encuesta de percepción</x:v>
      </x:c>
      <x:c r="S179" s="70" t="n">
        <x:v>4.7</x:v>
      </x:c>
      <x:c r="T179" s="24" t="str">
        <x:f>IF(XOR(X179="Reprogramada",X179="Cancelada"),"",IF(AND(Q179&gt;=0.8,S179&gt;=4),"Sí",IF(AND(Q179&gt;=0.65,S179&gt;=3.5),"Parcial","No")))</x:f>
        <x:v>Sí</x:v>
      </x:c>
      <x:c r="U179" s="24" t="str">
        <x:v>Psicología SST</x:v>
      </x:c>
      <x:c r="V179" s="11" t="str">
        <x:v>Humano (facilitador externo) / Financiero / Logístico / Material didáctico</x:v>
      </x:c>
      <x:c r="W179" s="11" t="str">
        <x:v>Carlos Felipe Parada Ramón</x:v>
      </x:c>
      <x:c r="X179" s="11" t="str">
        <x:v>Ejecutada</x:v>
      </x:c>
      <x:c r="Y179" s="52" t="str">
        <x:v>Actividad ejecutada satisfactoriamente; mantener evidencia y seguimiento.</x:v>
      </x:c>
    </x:row>
    <x:row r="180">
      <x:c r="A180" s="23" t="n">
        <x:v>179</x:v>
      </x:c>
      <x:c r="B180" s="24" t="n">
        <x:v>2024</x:v>
      </x:c>
      <x:c r="C180" s="24" t="str">
        <x:v>Mayo</x:v>
      </x:c>
      <x:c r="D180" s="24" t="n">
        <x:v>5</x:v>
      </x:c>
      <x:c r="E180" s="24" t="str">
        <x:v>Psicosocial</x:v>
      </x:c>
      <x:c r="F180" s="24" t="str">
        <x:v>Capacitación</x:v>
      </x:c>
      <x:c r="G180" s="24" t="str">
        <x:v>Externo</x:v>
      </x:c>
      <x:c r="H180" s="24" t="str">
        <x:v>Todos</x:v>
      </x:c>
      <x:c r="I180" s="24" t="str">
        <x:v>Ocaña</x:v>
      </x:c>
      <x:c r="J180" s="11" t="str">
        <x:v>Fatiga laboral y salud mental</x:v>
      </x:c>
      <x:c r="K180" s="11" t="str">
        <x:v>Identificar signos de fatiga laboral y fortalecer acciones individuales y colectivas de cuidado de la salud mental.</x:v>
      </x:c>
      <x:c r="L180" s="24" t="n">
        <x:v>2</x:v>
      </x:c>
      <x:c r="M180" s="58" t="n">
        <x:v>45422</x:v>
      </x:c>
      <x:c r="N180" s="24" t="n">
        <x:v>2</x:v>
      </x:c>
      <x:c r="O180" s="24" t="n">
        <x:v>37</x:v>
      </x:c>
      <x:c r="P180" s="24" t="n">
        <x:v>30</x:v>
      </x:c>
      <x:c r="Q180" s="64" t="n">
        <x:f>IFERROR(P180/O180,0)</x:f>
        <x:v>0.8108108108108109</x:v>
      </x:c>
      <x:c r="R180" s="24" t="str">
        <x:v>Encuesta de percepción</x:v>
      </x:c>
      <x:c r="S180" s="70" t="n">
        <x:v>4.4</x:v>
      </x:c>
      <x:c r="T180" s="24" t="str">
        <x:f>IF(XOR(X180="Reprogramada",X180="Cancelada"),"",IF(AND(Q180&gt;=0.8,S180&gt;=4),"Sí",IF(AND(Q180&gt;=0.65,S180&gt;=3.5),"Parcial","No")))</x:f>
        <x:v>Sí</x:v>
      </x:c>
      <x:c r="U180" s="24" t="str">
        <x:v>Psicología SST</x:v>
      </x:c>
      <x:c r="V180" s="11" t="str">
        <x:v>Humano (facilitador externo) / Financiero / Logístico / Material didáctico</x:v>
      </x:c>
      <x:c r="W180" s="11" t="str">
        <x:v>Camila Andrea Galván</x:v>
      </x:c>
      <x:c r="X180" s="11" t="str">
        <x:v>Ejecutada</x:v>
      </x:c>
      <x:c r="Y180" s="52" t="str">
        <x:v>Actividad ejecutada satisfactoriamente; mantener evidencia y seguimiento.</x:v>
      </x:c>
    </x:row>
    <x:row r="181">
      <x:c r="A181" s="23" t="n">
        <x:v>180</x:v>
      </x:c>
      <x:c r="B181" s="24" t="n">
        <x:v>2024</x:v>
      </x:c>
      <x:c r="C181" s="24" t="str">
        <x:v>Mayo</x:v>
      </x:c>
      <x:c r="D181" s="24" t="n">
        <x:v>5</x:v>
      </x:c>
      <x:c r="E181" s="24" t="str">
        <x:v>Psicosocial</x:v>
      </x:c>
      <x:c r="F181" s="24" t="str">
        <x:v>Capacitación</x:v>
      </x:c>
      <x:c r="G181" s="24" t="str">
        <x:v>Externo</x:v>
      </x:c>
      <x:c r="H181" s="24" t="str">
        <x:v>Todos</x:v>
      </x:c>
      <x:c r="I181" s="24" t="str">
        <x:v>Girón</x:v>
      </x:c>
      <x:c r="J181" s="11" t="str">
        <x:v>Fatiga laboral y salud mental</x:v>
      </x:c>
      <x:c r="K181" s="11" t="str">
        <x:v>Identificar signos de fatiga laboral y fortalecer acciones individuales y colectivas de cuidado de la salud mental.</x:v>
      </x:c>
      <x:c r="L181" s="24" t="n">
        <x:v>2</x:v>
      </x:c>
      <x:c r="M181" s="58"/>
      <x:c r="N181" s="24"/>
      <x:c r="O181" s="24" t="n">
        <x:v>42</x:v>
      </x:c>
      <x:c r="P181" s="24"/>
      <x:c r="Q181" s="64" t="n">
        <x:f>IFERROR(P181/O181,0)</x:f>
        <x:v>0</x:v>
      </x:c>
      <x:c r="R181" s="24" t="str">
        <x:v>Encuesta de percepción</x:v>
      </x:c>
      <x:c r="S181" s="70"/>
      <x:c r="T181" s="24" t="str">
        <x:f>IF(XOR(X181="Reprogramada",X181="Cancelada"),"",IF(AND(Q181&gt;=0.8,S181&gt;=4),"Sí",IF(AND(Q181&gt;=0.65,S181&gt;=3.5),"Parcial","No")))</x:f>
      </x:c>
      <x:c r="U181" s="24" t="str">
        <x:v>Psicología SST</x:v>
      </x:c>
      <x:c r="V181" s="11" t="str">
        <x:v>Humano (facilitador externo) / Financiero / Logístico / Material didáctico</x:v>
      </x:c>
      <x:c r="W181" s="11" t="str">
        <x:v>Jesús Guerrero</x:v>
      </x:c>
      <x:c r="X181" s="11" t="str">
        <x:v>Reprogramada</x:v>
      </x:c>
      <x:c r="Y181" s="52" t="str">
        <x:v>Actividad reprogramada por operación, disponibilidad del facilitador o ajustes logísticos.</x:v>
      </x:c>
    </x:row>
    <x:row r="182">
      <x:c r="A182" s="23" t="n">
        <x:v>181</x:v>
      </x:c>
      <x:c r="B182" s="24" t="n">
        <x:v>2024</x:v>
      </x:c>
      <x:c r="C182" s="24" t="str">
        <x:v>Mayo</x:v>
      </x:c>
      <x:c r="D182" s="24" t="n">
        <x:v>5</x:v>
      </x:c>
      <x:c r="E182" s="24" t="str">
        <x:v>Psicosocial</x:v>
      </x:c>
      <x:c r="F182" s="24" t="str">
        <x:v>Capacitación</x:v>
      </x:c>
      <x:c r="G182" s="24" t="str">
        <x:v>Externo</x:v>
      </x:c>
      <x:c r="H182" s="24" t="str">
        <x:v>Todos</x:v>
      </x:c>
      <x:c r="I182" s="24" t="str">
        <x:v>Valledupar</x:v>
      </x:c>
      <x:c r="J182" s="11" t="str">
        <x:v>Fatiga laboral y salud mental</x:v>
      </x:c>
      <x:c r="K182" s="11" t="str">
        <x:v>Identificar signos de fatiga laboral y fortalecer acciones individuales y colectivas de cuidado de la salud mental.</x:v>
      </x:c>
      <x:c r="L182" s="24" t="n">
        <x:v>2</x:v>
      </x:c>
      <x:c r="M182" s="58"/>
      <x:c r="N182" s="24" t="n">
        <x:v>0</x:v>
      </x:c>
      <x:c r="O182" s="24" t="n">
        <x:v>48</x:v>
      </x:c>
      <x:c r="P182" s="24"/>
      <x:c r="Q182" s="64" t="n">
        <x:f>IFERROR(P182/O182,0)</x:f>
        <x:v>0</x:v>
      </x:c>
      <x:c r="R182" s="24" t="str">
        <x:v>Encuesta de percepción</x:v>
      </x:c>
      <x:c r="S182" s="70"/>
      <x:c r="T182" s="24" t="str">
        <x:f>IF(XOR(X182="Reprogramada",X182="Cancelada"),"",IF(AND(Q182&gt;=0.8,S182&gt;=4),"Sí",IF(AND(Q182&gt;=0.65,S182&gt;=3.5),"Parcial","No")))</x:f>
      </x:c>
      <x:c r="U182" s="24" t="str">
        <x:v>Psicología SST</x:v>
      </x:c>
      <x:c r="V182" s="11" t="str">
        <x:v>Humano (facilitador externo) / Financiero / Logístico / Material didáctico</x:v>
      </x:c>
      <x:c r="W182" s="11" t="str">
        <x:v>Carlos Felipe Parada Ramón</x:v>
      </x:c>
      <x:c r="X182" s="11" t="str">
        <x:v>Cancelada</x:v>
      </x:c>
      <x:c r="Y182" s="52" t="str">
        <x:v>Actividad cancelada por reorganización operativa o priorización de otras necesidades.</x:v>
      </x:c>
    </x:row>
    <x:row r="183">
      <x:c r="A183" s="23" t="n">
        <x:v>182</x:v>
      </x:c>
      <x:c r="B183" s="24" t="n">
        <x:v>2024</x:v>
      </x:c>
      <x:c r="C183" s="24" t="str">
        <x:v>Mayo</x:v>
      </x:c>
      <x:c r="D183" s="24" t="n">
        <x:v>5</x:v>
      </x:c>
      <x:c r="E183" s="24" t="str">
        <x:v>Psicosocial</x:v>
      </x:c>
      <x:c r="F183" s="24" t="str">
        <x:v>Capacitación</x:v>
      </x:c>
      <x:c r="G183" s="24" t="str">
        <x:v>Externo</x:v>
      </x:c>
      <x:c r="H183" s="24" t="str">
        <x:v>Todos</x:v>
      </x:c>
      <x:c r="I183" s="24" t="str">
        <x:v>Arauca</x:v>
      </x:c>
      <x:c r="J183" s="11" t="str">
        <x:v>Fatiga laboral y salud mental</x:v>
      </x:c>
      <x:c r="K183" s="11" t="str">
        <x:v>Identificar signos de fatiga laboral y fortalecer acciones individuales y colectivas de cuidado de la salud mental.</x:v>
      </x:c>
      <x:c r="L183" s="24" t="n">
        <x:v>2</x:v>
      </x:c>
      <x:c r="M183" s="58" t="n">
        <x:v>45436</x:v>
      </x:c>
      <x:c r="N183" s="24" t="n">
        <x:v>1.5</x:v>
      </x:c>
      <x:c r="O183" s="24" t="n">
        <x:v>30</x:v>
      </x:c>
      <x:c r="P183" s="24" t="n">
        <x:v>28</x:v>
      </x:c>
      <x:c r="Q183" s="64" t="n">
        <x:f>IFERROR(P183/O183,0)</x:f>
        <x:v>0.9333333333333333</x:v>
      </x:c>
      <x:c r="R183" s="24" t="str">
        <x:v>Encuesta de percepción</x:v>
      </x:c>
      <x:c r="S183" s="70" t="n">
        <x:v>4.1</x:v>
      </x:c>
      <x:c r="T183" s="24" t="str">
        <x:f>IF(XOR(X183="Reprogramada",X183="Cancelada"),"",IF(AND(Q183&gt;=0.8,S183&gt;=4),"Sí",IF(AND(Q183&gt;=0.65,S183&gt;=3.5),"Parcial","No")))</x:f>
        <x:v>Sí</x:v>
      </x:c>
      <x:c r="U183" s="24" t="str">
        <x:v>Psicología SST</x:v>
      </x:c>
      <x:c r="V183" s="11" t="str">
        <x:v>Humano (facilitador externo) / Financiero / Logístico / Material didáctico</x:v>
      </x:c>
      <x:c r="W183" s="11" t="str">
        <x:v>Camila Andrea Galván</x:v>
      </x:c>
      <x:c r="X183" s="11" t="str">
        <x:v>Ejecutada</x:v>
      </x:c>
      <x:c r="Y183" s="52" t="str">
        <x:v>Actividad ejecutada satisfactoriamente; mantener evidencia y seguimiento.</x:v>
      </x:c>
    </x:row>
    <x:row r="184">
      <x:c r="A184" s="23" t="n">
        <x:v>183</x:v>
      </x:c>
      <x:c r="B184" s="24" t="n">
        <x:v>2024</x:v>
      </x:c>
      <x:c r="C184" s="24" t="str">
        <x:v>Mayo</x:v>
      </x:c>
      <x:c r="D184" s="24" t="n">
        <x:v>5</x:v>
      </x:c>
      <x:c r="E184" s="24" t="str">
        <x:v>Psicosocial</x:v>
      </x:c>
      <x:c r="F184" s="24" t="str">
        <x:v>Capacitación</x:v>
      </x:c>
      <x:c r="G184" s="24" t="str">
        <x:v>Externo</x:v>
      </x:c>
      <x:c r="H184" s="24" t="str">
        <x:v>Todos</x:v>
      </x:c>
      <x:c r="I184" s="24" t="str">
        <x:v>Bogotá</x:v>
      </x:c>
      <x:c r="J184" s="11" t="str">
        <x:v>Fatiga laboral y salud mental</x:v>
      </x:c>
      <x:c r="K184" s="11" t="str">
        <x:v>Identificar signos de fatiga laboral y fortalecer acciones individuales y colectivas de cuidado de la salud mental.</x:v>
      </x:c>
      <x:c r="L184" s="24" t="n">
        <x:v>2</x:v>
      </x:c>
      <x:c r="M184" s="58" t="n">
        <x:v>45428</x:v>
      </x:c>
      <x:c r="N184" s="24" t="n">
        <x:v>2</x:v>
      </x:c>
      <x:c r="O184" s="24" t="n">
        <x:v>65</x:v>
      </x:c>
      <x:c r="P184" s="24" t="n">
        <x:v>53</x:v>
      </x:c>
      <x:c r="Q184" s="64" t="n">
        <x:f>IFERROR(P184/O184,0)</x:f>
        <x:v>0.8153846153846154</x:v>
      </x:c>
      <x:c r="R184" s="24" t="str">
        <x:v>Encuesta de percepción</x:v>
      </x:c>
      <x:c r="S184" s="70" t="n">
        <x:v>4.5</x:v>
      </x:c>
      <x:c r="T184" s="24" t="str">
        <x:f>IF(XOR(X184="Reprogramada",X184="Cancelada"),"",IF(AND(Q184&gt;=0.8,S184&gt;=4),"Sí",IF(AND(Q184&gt;=0.65,S184&gt;=3.5),"Parcial","No")))</x:f>
        <x:v>Sí</x:v>
      </x:c>
      <x:c r="U184" s="24" t="str">
        <x:v>Psicología SST</x:v>
      </x:c>
      <x:c r="V184" s="11" t="str">
        <x:v>Humano (facilitador externo) / Financiero / Logístico / Material didáctico</x:v>
      </x:c>
      <x:c r="W184" s="11" t="str">
        <x:v>Jesús Guerrero</x:v>
      </x:c>
      <x:c r="X184" s="11" t="str">
        <x:v>Ejecutada</x:v>
      </x:c>
      <x:c r="Y184" s="52" t="str">
        <x:v>Actividad ejecutada satisfactoriamente; mantener evidencia y seguimiento.</x:v>
      </x:c>
    </x:row>
    <x:row r="185">
      <x:c r="A185" s="23" t="n">
        <x:v>184</x:v>
      </x:c>
      <x:c r="B185" s="24" t="n">
        <x:v>2024</x:v>
      </x:c>
      <x:c r="C185" s="24" t="str">
        <x:v>Mayo</x:v>
      </x:c>
      <x:c r="D185" s="24" t="n">
        <x:v>5</x:v>
      </x:c>
      <x:c r="E185" s="24" t="str">
        <x:v>Psicosocial</x:v>
      </x:c>
      <x:c r="F185" s="24" t="str">
        <x:v>Capacitación</x:v>
      </x:c>
      <x:c r="G185" s="24" t="str">
        <x:v>Externo</x:v>
      </x:c>
      <x:c r="H185" s="24" t="str">
        <x:v>Todos</x:v>
      </x:c>
      <x:c r="I185" s="24" t="str">
        <x:v>Tibú</x:v>
      </x:c>
      <x:c r="J185" s="11" t="str">
        <x:v>Fatiga laboral y salud mental</x:v>
      </x:c>
      <x:c r="K185" s="11" t="str">
        <x:v>Identificar signos de fatiga laboral y fortalecer acciones individuales y colectivas de cuidado de la salud mental.</x:v>
      </x:c>
      <x:c r="L185" s="24" t="n">
        <x:v>2</x:v>
      </x:c>
      <x:c r="M185" s="58" t="n">
        <x:v>45428</x:v>
      </x:c>
      <x:c r="N185" s="24" t="n">
        <x:v>1.5</x:v>
      </x:c>
      <x:c r="O185" s="24" t="n">
        <x:v>32</x:v>
      </x:c>
      <x:c r="P185" s="24" t="n">
        <x:v>30</x:v>
      </x:c>
      <x:c r="Q185" s="64" t="n">
        <x:f>IFERROR(P185/O185,0)</x:f>
        <x:v>0.9375</x:v>
      </x:c>
      <x:c r="R185" s="24" t="str">
        <x:v>Encuesta de percepción</x:v>
      </x:c>
      <x:c r="S185" s="70" t="n">
        <x:v>4.5</x:v>
      </x:c>
      <x:c r="T185" s="24" t="str">
        <x:f>IF(XOR(X185="Reprogramada",X185="Cancelada"),"",IF(AND(Q185&gt;=0.8,S185&gt;=4),"Sí",IF(AND(Q185&gt;=0.65,S185&gt;=3.5),"Parcial","No")))</x:f>
        <x:v>Sí</x:v>
      </x:c>
      <x:c r="U185" s="24" t="str">
        <x:v>Psicología SST</x:v>
      </x:c>
      <x:c r="V185" s="11" t="str">
        <x:v>Humano (facilitador externo) / Financiero / Logístico / Material didáctico</x:v>
      </x:c>
      <x:c r="W185" s="11" t="str">
        <x:v>Carlos Felipe Parada Ramón</x:v>
      </x:c>
      <x:c r="X185" s="11" t="str">
        <x:v>Ejecutada</x:v>
      </x:c>
      <x:c r="Y185" s="52" t="str">
        <x:v>Actividad ejecutada satisfactoriamente; mantener evidencia y seguimiento.</x:v>
      </x:c>
    </x:row>
    <x:row r="186">
      <x:c r="A186" s="23" t="n">
        <x:v>185</x:v>
      </x:c>
      <x:c r="B186" s="24" t="n">
        <x:v>2024</x:v>
      </x:c>
      <x:c r="C186" s="24" t="str">
        <x:v>Mayo</x:v>
      </x:c>
      <x:c r="D186" s="24" t="n">
        <x:v>5</x:v>
      </x:c>
      <x:c r="E186" s="24" t="str">
        <x:v>Psicosocial</x:v>
      </x:c>
      <x:c r="F186" s="24" t="str">
        <x:v>Capacitación</x:v>
      </x:c>
      <x:c r="G186" s="24" t="str">
        <x:v>Externo</x:v>
      </x:c>
      <x:c r="H186" s="24" t="str">
        <x:v>Todos</x:v>
      </x:c>
      <x:c r="I186" s="24" t="str">
        <x:v>Medellín</x:v>
      </x:c>
      <x:c r="J186" s="11" t="str">
        <x:v>Fatiga laboral y salud mental</x:v>
      </x:c>
      <x:c r="K186" s="11" t="str">
        <x:v>Identificar signos de fatiga laboral y fortalecer acciones individuales y colectivas de cuidado de la salud mental.</x:v>
      </x:c>
      <x:c r="L186" s="24" t="n">
        <x:v>2</x:v>
      </x:c>
      <x:c r="M186" s="58" t="n">
        <x:v>45437</x:v>
      </x:c>
      <x:c r="N186" s="24" t="n">
        <x:v>2</x:v>
      </x:c>
      <x:c r="O186" s="24" t="n">
        <x:v>60</x:v>
      </x:c>
      <x:c r="P186" s="24" t="n">
        <x:v>56</x:v>
      </x:c>
      <x:c r="Q186" s="64" t="n">
        <x:f>IFERROR(P186/O186,0)</x:f>
        <x:v>0.9333333333333333</x:v>
      </x:c>
      <x:c r="R186" s="24" t="str">
        <x:v>Encuesta de percepción</x:v>
      </x:c>
      <x:c r="S186" s="70" t="n">
        <x:v>4.4</x:v>
      </x:c>
      <x:c r="T186" s="24" t="str">
        <x:f>IF(XOR(X186="Reprogramada",X186="Cancelada"),"",IF(AND(Q186&gt;=0.8,S186&gt;=4),"Sí",IF(AND(Q186&gt;=0.65,S186&gt;=3.5),"Parcial","No")))</x:f>
        <x:v>Sí</x:v>
      </x:c>
      <x:c r="U186" s="24" t="str">
        <x:v>Psicología SST</x:v>
      </x:c>
      <x:c r="V186" s="11" t="str">
        <x:v>Humano (facilitador externo) / Financiero / Logístico / Material didáctico</x:v>
      </x:c>
      <x:c r="W186" s="11" t="str">
        <x:v>Camila Andrea Galván</x:v>
      </x:c>
      <x:c r="X186" s="11" t="str">
        <x:v>Ejecutada</x:v>
      </x:c>
      <x:c r="Y186" s="52" t="str">
        <x:v>Actividad ejecutada satisfactoriamente; mantener evidencia y seguimiento.</x:v>
      </x:c>
    </x:row>
    <x:row r="187">
      <x:c r="A187" s="23" t="n">
        <x:v>186</x:v>
      </x:c>
      <x:c r="B187" s="24" t="n">
        <x:v>2024</x:v>
      </x:c>
      <x:c r="C187" s="24" t="str">
        <x:v>Mayo</x:v>
      </x:c>
      <x:c r="D187" s="24" t="n">
        <x:v>5</x:v>
      </x:c>
      <x:c r="E187" s="24" t="str">
        <x:v>Psicosocial</x:v>
      </x:c>
      <x:c r="F187" s="24" t="str">
        <x:v>Capacitación</x:v>
      </x:c>
      <x:c r="G187" s="24" t="str">
        <x:v>Externo</x:v>
      </x:c>
      <x:c r="H187" s="24" t="str">
        <x:v>Todos</x:v>
      </x:c>
      <x:c r="I187" s="24" t="str">
        <x:v>Ábrego</x:v>
      </x:c>
      <x:c r="J187" s="11" t="str">
        <x:v>Fatiga laboral y salud mental</x:v>
      </x:c>
      <x:c r="K187" s="11" t="str">
        <x:v>Identificar signos de fatiga laboral y fortalecer acciones individuales y colectivas de cuidado de la salud mental.</x:v>
      </x:c>
      <x:c r="L187" s="24" t="n">
        <x:v>2</x:v>
      </x:c>
      <x:c r="M187" s="58" t="n">
        <x:v>45436</x:v>
      </x:c>
      <x:c r="N187" s="24" t="n">
        <x:v>2.5</x:v>
      </x:c>
      <x:c r="O187" s="24" t="n">
        <x:v>25</x:v>
      </x:c>
      <x:c r="P187" s="24" t="n">
        <x:v>24</x:v>
      </x:c>
      <x:c r="Q187" s="64" t="n">
        <x:f>IFERROR(P187/O187,0)</x:f>
        <x:v>0.96</x:v>
      </x:c>
      <x:c r="R187" s="24" t="str">
        <x:v>Encuesta de percepción</x:v>
      </x:c>
      <x:c r="S187" s="70" t="n">
        <x:v>4.8</x:v>
      </x:c>
      <x:c r="T187" s="24" t="str">
        <x:f>IF(XOR(X187="Reprogramada",X187="Cancelada"),"",IF(AND(Q187&gt;=0.8,S187&gt;=4),"Sí",IF(AND(Q187&gt;=0.65,S187&gt;=3.5),"Parcial","No")))</x:f>
        <x:v>Sí</x:v>
      </x:c>
      <x:c r="U187" s="24" t="str">
        <x:v>Psicología SST</x:v>
      </x:c>
      <x:c r="V187" s="11" t="str">
        <x:v>Humano (facilitador externo) / Financiero / Logístico / Material didáctico</x:v>
      </x:c>
      <x:c r="W187" s="11" t="str">
        <x:v>Jesús Guerrero</x:v>
      </x:c>
      <x:c r="X187" s="11" t="str">
        <x:v>Ejecutada</x:v>
      </x:c>
      <x:c r="Y187" s="52" t="str">
        <x:v>Actividad ejecutada satisfactoriamente; mantener evidencia y seguimiento.</x:v>
      </x:c>
    </x:row>
    <x:row r="188">
      <x:c r="A188" s="23" t="n">
        <x:v>187</x:v>
      </x:c>
      <x:c r="B188" s="24" t="n">
        <x:v>2024</x:v>
      </x:c>
      <x:c r="C188" s="24" t="str">
        <x:v>Mayo</x:v>
      </x:c>
      <x:c r="D188" s="24" t="n">
        <x:v>5</x:v>
      </x:c>
      <x:c r="E188" s="24" t="str">
        <x:v>Psicosocial</x:v>
      </x:c>
      <x:c r="F188" s="24" t="str">
        <x:v>Capacitación</x:v>
      </x:c>
      <x:c r="G188" s="24" t="str">
        <x:v>Externo</x:v>
      </x:c>
      <x:c r="H188" s="24" t="str">
        <x:v>Todos</x:v>
      </x:c>
      <x:c r="I188" s="24" t="str">
        <x:v>Pamplona</x:v>
      </x:c>
      <x:c r="J188" s="11" t="str">
        <x:v>Fatiga laboral y salud mental</x:v>
      </x:c>
      <x:c r="K188" s="11" t="str">
        <x:v>Identificar signos de fatiga laboral y fortalecer acciones individuales y colectivas de cuidado de la salud mental.</x:v>
      </x:c>
      <x:c r="L188" s="24" t="n">
        <x:v>2</x:v>
      </x:c>
      <x:c r="M188" s="58" t="n">
        <x:v>45425</x:v>
      </x:c>
      <x:c r="N188" s="24" t="n">
        <x:v>1.5</x:v>
      </x:c>
      <x:c r="O188" s="24" t="n">
        <x:v>28</x:v>
      </x:c>
      <x:c r="P188" s="24" t="n">
        <x:v>26</x:v>
      </x:c>
      <x:c r="Q188" s="64" t="n">
        <x:f>IFERROR(P188/O188,0)</x:f>
        <x:v>0.9285714285714286</x:v>
      </x:c>
      <x:c r="R188" s="24" t="str">
        <x:v>Encuesta de percepción</x:v>
      </x:c>
      <x:c r="S188" s="70" t="n">
        <x:v>4.1</x:v>
      </x:c>
      <x:c r="T188" s="24" t="str">
        <x:f>IF(XOR(X188="Reprogramada",X188="Cancelada"),"",IF(AND(Q188&gt;=0.8,S188&gt;=4),"Sí",IF(AND(Q188&gt;=0.65,S188&gt;=3.5),"Parcial","No")))</x:f>
        <x:v>Sí</x:v>
      </x:c>
      <x:c r="U188" s="24" t="str">
        <x:v>Psicología SST</x:v>
      </x:c>
      <x:c r="V188" s="11" t="str">
        <x:v>Humano (facilitador externo) / Financiero / Logístico / Material didáctico</x:v>
      </x:c>
      <x:c r="W188" s="11" t="str">
        <x:v>Carlos Felipe Parada Ramón</x:v>
      </x:c>
      <x:c r="X188" s="11" t="str">
        <x:v>Ejecutada</x:v>
      </x:c>
      <x:c r="Y188" s="52" t="str">
        <x:v>Actividad ejecutada satisfactoriamente; mantener evidencia y seguimiento.</x:v>
      </x:c>
    </x:row>
    <x:row r="189">
      <x:c r="A189" s="23" t="n">
        <x:v>188</x:v>
      </x:c>
      <x:c r="B189" s="24" t="n">
        <x:v>2024</x:v>
      </x:c>
      <x:c r="C189" s="24" t="str">
        <x:v>Junio</x:v>
      </x:c>
      <x:c r="D189" s="24" t="n">
        <x:v>6</x:v>
      </x:c>
      <x:c r="E189" s="24" t="str">
        <x:v>General</x:v>
      </x:c>
      <x:c r="F189" s="24" t="str">
        <x:v>Capacitación</x:v>
      </x:c>
      <x:c r="G189" s="24" t="str">
        <x:v>Interno</x:v>
      </x:c>
      <x:c r="H189" s="24" t="str">
        <x:v>Líderes</x:v>
      </x:c>
      <x:c r="I189" s="24" t="str">
        <x:v>Cúcuta</x:v>
      </x:c>
      <x:c r="J189" s="11" t="str">
        <x:v>Investigación de AT e implementación de planes de acción</x:v>
      </x:c>
      <x:c r="K189" s="11" t="str">
        <x:v>Reforzar el análisis causal y el cierre oportuno de acciones derivadas de accidentes e incidentes.</x:v>
      </x:c>
      <x:c r="L189" s="24" t="n">
        <x:v>2</x:v>
      </x:c>
      <x:c r="M189" s="58" t="n">
        <x:v>45456</x:v>
      </x:c>
      <x:c r="N189" s="24" t="n">
        <x:v>2</x:v>
      </x:c>
      <x:c r="O189" s="24" t="n">
        <x:v>80</x:v>
      </x:c>
      <x:c r="P189" s="24" t="n">
        <x:v>70</x:v>
      </x:c>
      <x:c r="Q189" s="64" t="n">
        <x:f>IFERROR(P189/O189,0)</x:f>
        <x:v>0.875</x:v>
      </x:c>
      <x:c r="R189" s="24" t="str">
        <x:v>Caso práctico</x:v>
      </x:c>
      <x:c r="S189" s="70" t="n">
        <x:v>4.6</x:v>
      </x:c>
      <x:c r="T189" s="24" t="str">
        <x:f>IF(XOR(X189="Reprogramada",X189="Cancelada"),"",IF(AND(Q189&gt;=0.8,S189&gt;=4),"Sí",IF(AND(Q189&gt;=0.65,S189&gt;=3.5),"Parcial","No")))</x:f>
        <x:v>Sí</x:v>
      </x:c>
      <x:c r="U189" s="24" t="str">
        <x:v>Carlos Felipe Parada Ramón</x:v>
      </x:c>
      <x:c r="V189" s="11" t="str">
        <x:v>Humano (facilitador interno) / Logístico / Material de apoyo</x:v>
      </x:c>
      <x:c r="W189" s="11" t="str">
        <x:v>Camila Andrea Galván</x:v>
      </x:c>
      <x:c r="X189" s="11" t="str">
        <x:v>Ejecutada</x:v>
      </x:c>
      <x:c r="Y189" s="52" t="str">
        <x:v>Actividad ejecutada satisfactoriamente; mantener evidencia y seguimiento.</x:v>
      </x:c>
    </x:row>
    <x:row r="190">
      <x:c r="A190" s="23" t="n">
        <x:v>189</x:v>
      </x:c>
      <x:c r="B190" s="24" t="n">
        <x:v>2024</x:v>
      </x:c>
      <x:c r="C190" s="24" t="str">
        <x:v>Junio</x:v>
      </x:c>
      <x:c r="D190" s="24" t="n">
        <x:v>6</x:v>
      </x:c>
      <x:c r="E190" s="24" t="str">
        <x:v>General</x:v>
      </x:c>
      <x:c r="F190" s="24" t="str">
        <x:v>Capacitación</x:v>
      </x:c>
      <x:c r="G190" s="24" t="str">
        <x:v>Interno</x:v>
      </x:c>
      <x:c r="H190" s="24" t="str">
        <x:v>Líderes</x:v>
      </x:c>
      <x:c r="I190" s="24" t="str">
        <x:v>Barrancabermeja</x:v>
      </x:c>
      <x:c r="J190" s="11" t="str">
        <x:v>Investigación de AT e implementación de planes de acción</x:v>
      </x:c>
      <x:c r="K190" s="11" t="str">
        <x:v>Reforzar el análisis causal y el cierre oportuno de acciones derivadas de accidentes e incidentes.</x:v>
      </x:c>
      <x:c r="L190" s="24" t="n">
        <x:v>2</x:v>
      </x:c>
      <x:c r="M190" s="58"/>
      <x:c r="N190" s="24" t="n">
        <x:v>0</x:v>
      </x:c>
      <x:c r="O190" s="24" t="n">
        <x:v>54</x:v>
      </x:c>
      <x:c r="P190" s="24"/>
      <x:c r="Q190" s="64" t="n">
        <x:f>IFERROR(P190/O190,0)</x:f>
        <x:v>0</x:v>
      </x:c>
      <x:c r="R190" s="24" t="str">
        <x:v>Caso práctico</x:v>
      </x:c>
      <x:c r="S190" s="70"/>
      <x:c r="T190" s="24" t="str">
        <x:f>IF(XOR(X190="Reprogramada",X190="Cancelada"),"",IF(AND(Q190&gt;=0.8,S190&gt;=4),"Sí",IF(AND(Q190&gt;=0.65,S190&gt;=3.5),"Parcial","No")))</x:f>
      </x:c>
      <x:c r="U190" s="24" t="str">
        <x:v>Carlos Felipe Parada Ramón</x:v>
      </x:c>
      <x:c r="V190" s="11" t="str">
        <x:v>Humano (facilitador interno) / Logístico / Material de apoyo</x:v>
      </x:c>
      <x:c r="W190" s="11" t="str">
        <x:v>Jesús Guerrero</x:v>
      </x:c>
      <x:c r="X190" s="11" t="str">
        <x:v>Cancelada</x:v>
      </x:c>
      <x:c r="Y190" s="52" t="str">
        <x:v>Actividad cancelada por reorganización operativa o priorización de otras necesidades.</x:v>
      </x:c>
    </x:row>
    <x:row r="191">
      <x:c r="A191" s="23" t="n">
        <x:v>190</x:v>
      </x:c>
      <x:c r="B191" s="24" t="n">
        <x:v>2024</x:v>
      </x:c>
      <x:c r="C191" s="24" t="str">
        <x:v>Junio</x:v>
      </x:c>
      <x:c r="D191" s="24" t="n">
        <x:v>6</x:v>
      </x:c>
      <x:c r="E191" s="24" t="str">
        <x:v>General</x:v>
      </x:c>
      <x:c r="F191" s="24" t="str">
        <x:v>Capacitación</x:v>
      </x:c>
      <x:c r="G191" s="24" t="str">
        <x:v>Interno</x:v>
      </x:c>
      <x:c r="H191" s="24" t="str">
        <x:v>Líderes</x:v>
      </x:c>
      <x:c r="I191" s="24" t="str">
        <x:v>Ocaña</x:v>
      </x:c>
      <x:c r="J191" s="11" t="str">
        <x:v>Investigación de AT e implementación de planes de acción</x:v>
      </x:c>
      <x:c r="K191" s="11" t="str">
        <x:v>Reforzar el análisis causal y el cierre oportuno de acciones derivadas de accidentes e incidentes.</x:v>
      </x:c>
      <x:c r="L191" s="24" t="n">
        <x:v>2</x:v>
      </x:c>
      <x:c r="M191" s="58" t="n">
        <x:v>45456</x:v>
      </x:c>
      <x:c r="N191" s="24" t="n">
        <x:v>2</x:v>
      </x:c>
      <x:c r="O191" s="24" t="n">
        <x:v>37</x:v>
      </x:c>
      <x:c r="P191" s="24" t="n">
        <x:v>29</x:v>
      </x:c>
      <x:c r="Q191" s="64" t="n">
        <x:f>IFERROR(P191/O191,0)</x:f>
        <x:v>0.7837837837837838</x:v>
      </x:c>
      <x:c r="R191" s="24" t="str">
        <x:v>Caso práctico</x:v>
      </x:c>
      <x:c r="S191" s="70" t="n">
        <x:v>4.2</x:v>
      </x:c>
      <x:c r="T191" s="24" t="str">
        <x:f>IF(XOR(X191="Reprogramada",X191="Cancelada"),"",IF(AND(Q191&gt;=0.8,S191&gt;=4),"Sí",IF(AND(Q191&gt;=0.65,S191&gt;=3.5),"Parcial","No")))</x:f>
        <x:v>Parcial</x:v>
      </x:c>
      <x:c r="U191" s="24" t="str">
        <x:v>Carlos Felipe Parada Ramón</x:v>
      </x:c>
      <x:c r="V191" s="11" t="str">
        <x:v>Humano (facilitador interno) / Logístico / Material de apoyo</x:v>
      </x:c>
      <x:c r="W191" s="11" t="str">
        <x:v>Carlos Felipe Parada Ramón</x:v>
      </x:c>
      <x:c r="X191" s="11" t="str">
        <x:v>Ejecutada</x:v>
      </x:c>
      <x:c r="Y191" s="52" t="str">
        <x:v>Actividad ejecutada satisfactoriamente; mantener evidencia y seguimiento.</x:v>
      </x:c>
    </x:row>
    <x:row r="192">
      <x:c r="A192" s="23" t="n">
        <x:v>191</x:v>
      </x:c>
      <x:c r="B192" s="24" t="n">
        <x:v>2024</x:v>
      </x:c>
      <x:c r="C192" s="24" t="str">
        <x:v>Junio</x:v>
      </x:c>
      <x:c r="D192" s="24" t="n">
        <x:v>6</x:v>
      </x:c>
      <x:c r="E192" s="24" t="str">
        <x:v>General</x:v>
      </x:c>
      <x:c r="F192" s="24" t="str">
        <x:v>Capacitación</x:v>
      </x:c>
      <x:c r="G192" s="24" t="str">
        <x:v>Interno</x:v>
      </x:c>
      <x:c r="H192" s="24" t="str">
        <x:v>Líderes</x:v>
      </x:c>
      <x:c r="I192" s="24" t="str">
        <x:v>Girón</x:v>
      </x:c>
      <x:c r="J192" s="11" t="str">
        <x:v>Investigación de AT e implementación de planes de acción</x:v>
      </x:c>
      <x:c r="K192" s="11" t="str">
        <x:v>Reforzar el análisis causal y el cierre oportuno de acciones derivadas de accidentes e incidentes.</x:v>
      </x:c>
      <x:c r="L192" s="24" t="n">
        <x:v>2</x:v>
      </x:c>
      <x:c r="M192" s="58"/>
      <x:c r="N192" s="24"/>
      <x:c r="O192" s="24" t="n">
        <x:v>42</x:v>
      </x:c>
      <x:c r="P192" s="24"/>
      <x:c r="Q192" s="64" t="n">
        <x:f>IFERROR(P192/O192,0)</x:f>
        <x:v>0</x:v>
      </x:c>
      <x:c r="R192" s="24" t="str">
        <x:v>Caso práctico</x:v>
      </x:c>
      <x:c r="S192" s="70"/>
      <x:c r="T192" s="24" t="str">
        <x:f>IF(XOR(X192="Reprogramada",X192="Cancelada"),"",IF(AND(Q192&gt;=0.8,S192&gt;=4),"Sí",IF(AND(Q192&gt;=0.65,S192&gt;=3.5),"Parcial","No")))</x:f>
      </x:c>
      <x:c r="U192" s="24" t="str">
        <x:v>Carlos Felipe Parada Ramón</x:v>
      </x:c>
      <x:c r="V192" s="11" t="str">
        <x:v>Humano (facilitador interno) / Logístico / Material de apoyo</x:v>
      </x:c>
      <x:c r="W192" s="11" t="str">
        <x:v>Camila Andrea Galván</x:v>
      </x:c>
      <x:c r="X192" s="11" t="str">
        <x:v>Reprogramada</x:v>
      </x:c>
      <x:c r="Y192" s="52" t="str">
        <x:v>Actividad reprogramada por operación, disponibilidad del facilitador o ajustes logísticos.</x:v>
      </x:c>
    </x:row>
    <x:row r="193">
      <x:c r="A193" s="23" t="n">
        <x:v>192</x:v>
      </x:c>
      <x:c r="B193" s="24" t="n">
        <x:v>2024</x:v>
      </x:c>
      <x:c r="C193" s="24" t="str">
        <x:v>Junio</x:v>
      </x:c>
      <x:c r="D193" s="24" t="n">
        <x:v>6</x:v>
      </x:c>
      <x:c r="E193" s="24" t="str">
        <x:v>General</x:v>
      </x:c>
      <x:c r="F193" s="24" t="str">
        <x:v>Capacitación</x:v>
      </x:c>
      <x:c r="G193" s="24" t="str">
        <x:v>Interno</x:v>
      </x:c>
      <x:c r="H193" s="24" t="str">
        <x:v>Líderes</x:v>
      </x:c>
      <x:c r="I193" s="24" t="str">
        <x:v>Valledupar</x:v>
      </x:c>
      <x:c r="J193" s="11" t="str">
        <x:v>Investigación de AT e implementación de planes de acción</x:v>
      </x:c>
      <x:c r="K193" s="11" t="str">
        <x:v>Reforzar el análisis causal y el cierre oportuno de acciones derivadas de accidentes e incidentes.</x:v>
      </x:c>
      <x:c r="L193" s="24" t="n">
        <x:v>2</x:v>
      </x:c>
      <x:c r="M193" s="58" t="n">
        <x:v>45454</x:v>
      </x:c>
      <x:c r="N193" s="24" t="n">
        <x:v>2.5</x:v>
      </x:c>
      <x:c r="O193" s="24" t="n">
        <x:v>48</x:v>
      </x:c>
      <x:c r="P193" s="24" t="n">
        <x:v>40</x:v>
      </x:c>
      <x:c r="Q193" s="64" t="n">
        <x:f>IFERROR(P193/O193,0)</x:f>
        <x:v>0.8333333333333334</x:v>
      </x:c>
      <x:c r="R193" s="24" t="str">
        <x:v>Caso práctico</x:v>
      </x:c>
      <x:c r="S193" s="70" t="n">
        <x:v>4.2</x:v>
      </x:c>
      <x:c r="T193" s="24" t="str">
        <x:f>IF(XOR(X193="Reprogramada",X193="Cancelada"),"",IF(AND(Q193&gt;=0.8,S193&gt;=4),"Sí",IF(AND(Q193&gt;=0.65,S193&gt;=3.5),"Parcial","No")))</x:f>
        <x:v>Sí</x:v>
      </x:c>
      <x:c r="U193" s="24" t="str">
        <x:v>Carlos Felipe Parada Ramón</x:v>
      </x:c>
      <x:c r="V193" s="11" t="str">
        <x:v>Humano (facilitador interno) / Logístico / Material de apoyo</x:v>
      </x:c>
      <x:c r="W193" s="11" t="str">
        <x:v>Jesús Guerrero</x:v>
      </x:c>
      <x:c r="X193" s="11" t="str">
        <x:v>Ejecutada</x:v>
      </x:c>
      <x:c r="Y193" s="52" t="str">
        <x:v>Actividad ejecutada satisfactoriamente; mantener evidencia y seguimiento.</x:v>
      </x:c>
    </x:row>
    <x:row r="194">
      <x:c r="A194" s="23" t="n">
        <x:v>193</x:v>
      </x:c>
      <x:c r="B194" s="24" t="n">
        <x:v>2024</x:v>
      </x:c>
      <x:c r="C194" s="24" t="str">
        <x:v>Junio</x:v>
      </x:c>
      <x:c r="D194" s="24" t="n">
        <x:v>6</x:v>
      </x:c>
      <x:c r="E194" s="24" t="str">
        <x:v>General</x:v>
      </x:c>
      <x:c r="F194" s="24" t="str">
        <x:v>Capacitación</x:v>
      </x:c>
      <x:c r="G194" s="24" t="str">
        <x:v>Interno</x:v>
      </x:c>
      <x:c r="H194" s="24" t="str">
        <x:v>Líderes</x:v>
      </x:c>
      <x:c r="I194" s="24" t="str">
        <x:v>Arauca</x:v>
      </x:c>
      <x:c r="J194" s="11" t="str">
        <x:v>Investigación de AT e implementación de planes de acción</x:v>
      </x:c>
      <x:c r="K194" s="11" t="str">
        <x:v>Reforzar el análisis causal y el cierre oportuno de acciones derivadas de accidentes e incidentes.</x:v>
      </x:c>
      <x:c r="L194" s="24" t="n">
        <x:v>2</x:v>
      </x:c>
      <x:c r="M194" s="58" t="n">
        <x:v>45463</x:v>
      </x:c>
      <x:c r="N194" s="24" t="n">
        <x:v>2</x:v>
      </x:c>
      <x:c r="O194" s="24" t="n">
        <x:v>30</x:v>
      </x:c>
      <x:c r="P194" s="24" t="n">
        <x:v>26</x:v>
      </x:c>
      <x:c r="Q194" s="64" t="n">
        <x:f>IFERROR(P194/O194,0)</x:f>
        <x:v>0.8666666666666667</x:v>
      </x:c>
      <x:c r="R194" s="24" t="str">
        <x:v>Caso práctico</x:v>
      </x:c>
      <x:c r="S194" s="70" t="n">
        <x:v>4.8</x:v>
      </x:c>
      <x:c r="T194" s="24" t="str">
        <x:f>IF(XOR(X194="Reprogramada",X194="Cancelada"),"",IF(AND(Q194&gt;=0.8,S194&gt;=4),"Sí",IF(AND(Q194&gt;=0.65,S194&gt;=3.5),"Parcial","No")))</x:f>
        <x:v>Sí</x:v>
      </x:c>
      <x:c r="U194" s="24" t="str">
        <x:v>Carlos Felipe Parada Ramón</x:v>
      </x:c>
      <x:c r="V194" s="11" t="str">
        <x:v>Humano (facilitador interno) / Logístico / Material de apoyo</x:v>
      </x:c>
      <x:c r="W194" s="11" t="str">
        <x:v>Carlos Felipe Parada Ramón</x:v>
      </x:c>
      <x:c r="X194" s="11" t="str">
        <x:v>Ejecutada</x:v>
      </x:c>
      <x:c r="Y194" s="52" t="str">
        <x:v>Actividad ejecutada satisfactoriamente; mantener evidencia y seguimiento.</x:v>
      </x:c>
    </x:row>
    <x:row r="195">
      <x:c r="A195" s="23" t="n">
        <x:v>194</x:v>
      </x:c>
      <x:c r="B195" s="24" t="n">
        <x:v>2024</x:v>
      </x:c>
      <x:c r="C195" s="24" t="str">
        <x:v>Junio</x:v>
      </x:c>
      <x:c r="D195" s="24" t="n">
        <x:v>6</x:v>
      </x:c>
      <x:c r="E195" s="24" t="str">
        <x:v>General</x:v>
      </x:c>
      <x:c r="F195" s="24" t="str">
        <x:v>Capacitación</x:v>
      </x:c>
      <x:c r="G195" s="24" t="str">
        <x:v>Interno</x:v>
      </x:c>
      <x:c r="H195" s="24" t="str">
        <x:v>Líderes</x:v>
      </x:c>
      <x:c r="I195" s="24" t="str">
        <x:v>Bogotá</x:v>
      </x:c>
      <x:c r="J195" s="11" t="str">
        <x:v>Investigación de AT e implementación de planes de acción</x:v>
      </x:c>
      <x:c r="K195" s="11" t="str">
        <x:v>Reforzar el análisis causal y el cierre oportuno de acciones derivadas de accidentes e incidentes.</x:v>
      </x:c>
      <x:c r="L195" s="24" t="n">
        <x:v>2</x:v>
      </x:c>
      <x:c r="M195" s="58" t="n">
        <x:v>45460</x:v>
      </x:c>
      <x:c r="N195" s="24" t="n">
        <x:v>2.5</x:v>
      </x:c>
      <x:c r="O195" s="24" t="n">
        <x:v>65</x:v>
      </x:c>
      <x:c r="P195" s="24" t="n">
        <x:v>47</x:v>
      </x:c>
      <x:c r="Q195" s="64" t="n">
        <x:f>IFERROR(P195/O195,0)</x:f>
        <x:v>0.7230769230769231</x:v>
      </x:c>
      <x:c r="R195" s="24" t="str">
        <x:v>Caso práctico</x:v>
      </x:c>
      <x:c r="S195" s="70" t="n">
        <x:v>4.3</x:v>
      </x:c>
      <x:c r="T195" s="24" t="str">
        <x:f>IF(XOR(X195="Reprogramada",X195="Cancelada"),"",IF(AND(Q195&gt;=0.8,S195&gt;=4),"Sí",IF(AND(Q195&gt;=0.65,S195&gt;=3.5),"Parcial","No")))</x:f>
        <x:v>Parcial</x:v>
      </x:c>
      <x:c r="U195" s="24" t="str">
        <x:v>Carlos Felipe Parada Ramón</x:v>
      </x:c>
      <x:c r="V195" s="11" t="str">
        <x:v>Humano (facilitador interno) / Logístico / Material de apoyo</x:v>
      </x:c>
      <x:c r="W195" s="11" t="str">
        <x:v>Camila Andrea Galván</x:v>
      </x:c>
      <x:c r="X195" s="11" t="str">
        <x:v>Ejecutada</x:v>
      </x:c>
      <x:c r="Y195" s="52" t="str">
        <x:v>Reforzar convocatoria y seguimiento a ausentismo.</x:v>
      </x:c>
    </x:row>
    <x:row r="196">
      <x:c r="A196" s="23" t="n">
        <x:v>195</x:v>
      </x:c>
      <x:c r="B196" s="24" t="n">
        <x:v>2024</x:v>
      </x:c>
      <x:c r="C196" s="24" t="str">
        <x:v>Junio</x:v>
      </x:c>
      <x:c r="D196" s="24" t="n">
        <x:v>6</x:v>
      </x:c>
      <x:c r="E196" s="24" t="str">
        <x:v>General</x:v>
      </x:c>
      <x:c r="F196" s="24" t="str">
        <x:v>Capacitación</x:v>
      </x:c>
      <x:c r="G196" s="24" t="str">
        <x:v>Interno</x:v>
      </x:c>
      <x:c r="H196" s="24" t="str">
        <x:v>Líderes</x:v>
      </x:c>
      <x:c r="I196" s="24" t="str">
        <x:v>Tibú</x:v>
      </x:c>
      <x:c r="J196" s="11" t="str">
        <x:v>Investigación de AT e implementación de planes de acción</x:v>
      </x:c>
      <x:c r="K196" s="11" t="str">
        <x:v>Reforzar el análisis causal y el cierre oportuno de acciones derivadas de accidentes e incidentes.</x:v>
      </x:c>
      <x:c r="L196" s="24" t="n">
        <x:v>2</x:v>
      </x:c>
      <x:c r="M196" s="58" t="n">
        <x:v>45468</x:v>
      </x:c>
      <x:c r="N196" s="24" t="n">
        <x:v>2</x:v>
      </x:c>
      <x:c r="O196" s="24" t="n">
        <x:v>32</x:v>
      </x:c>
      <x:c r="P196" s="24" t="n">
        <x:v>26</x:v>
      </x:c>
      <x:c r="Q196" s="64" t="n">
        <x:f>IFERROR(P196/O196,0)</x:f>
        <x:v>0.8125</x:v>
      </x:c>
      <x:c r="R196" s="24" t="str">
        <x:v>Caso práctico</x:v>
      </x:c>
      <x:c r="S196" s="70" t="n">
        <x:v>4.5</x:v>
      </x:c>
      <x:c r="T196" s="24" t="str">
        <x:f>IF(XOR(X196="Reprogramada",X196="Cancelada"),"",IF(AND(Q196&gt;=0.8,S196&gt;=4),"Sí",IF(AND(Q196&gt;=0.65,S196&gt;=3.5),"Parcial","No")))</x:f>
        <x:v>Sí</x:v>
      </x:c>
      <x:c r="U196" s="24" t="str">
        <x:v>Carlos Felipe Parada Ramón</x:v>
      </x:c>
      <x:c r="V196" s="11" t="str">
        <x:v>Humano (facilitador interno) / Logístico / Material de apoyo</x:v>
      </x:c>
      <x:c r="W196" s="11" t="str">
        <x:v>Jesús Guerrero</x:v>
      </x:c>
      <x:c r="X196" s="11" t="str">
        <x:v>Ejecutada</x:v>
      </x:c>
      <x:c r="Y196" s="52" t="str">
        <x:v>Actividad ejecutada satisfactoriamente; mantener evidencia y seguimiento.</x:v>
      </x:c>
    </x:row>
    <x:row r="197">
      <x:c r="A197" s="23" t="n">
        <x:v>196</x:v>
      </x:c>
      <x:c r="B197" s="24" t="n">
        <x:v>2024</x:v>
      </x:c>
      <x:c r="C197" s="24" t="str">
        <x:v>Junio</x:v>
      </x:c>
      <x:c r="D197" s="24" t="n">
        <x:v>6</x:v>
      </x:c>
      <x:c r="E197" s="24" t="str">
        <x:v>General</x:v>
      </x:c>
      <x:c r="F197" s="24" t="str">
        <x:v>Capacitación</x:v>
      </x:c>
      <x:c r="G197" s="24" t="str">
        <x:v>Interno</x:v>
      </x:c>
      <x:c r="H197" s="24" t="str">
        <x:v>Líderes</x:v>
      </x:c>
      <x:c r="I197" s="24" t="str">
        <x:v>Medellín</x:v>
      </x:c>
      <x:c r="J197" s="11" t="str">
        <x:v>Investigación de AT e implementación de planes de acción</x:v>
      </x:c>
      <x:c r="K197" s="11" t="str">
        <x:v>Reforzar el análisis causal y el cierre oportuno de acciones derivadas de accidentes e incidentes.</x:v>
      </x:c>
      <x:c r="L197" s="24" t="n">
        <x:v>2</x:v>
      </x:c>
      <x:c r="M197" s="58" t="n">
        <x:v>45455</x:v>
      </x:c>
      <x:c r="N197" s="24" t="n">
        <x:v>2</x:v>
      </x:c>
      <x:c r="O197" s="24" t="n">
        <x:v>60</x:v>
      </x:c>
      <x:c r="P197" s="24" t="n">
        <x:v>54</x:v>
      </x:c>
      <x:c r="Q197" s="64" t="n">
        <x:f>IFERROR(P197/O197,0)</x:f>
        <x:v>0.9</x:v>
      </x:c>
      <x:c r="R197" s="24" t="str">
        <x:v>Caso práctico</x:v>
      </x:c>
      <x:c r="S197" s="70" t="n">
        <x:v>4.9</x:v>
      </x:c>
      <x:c r="T197" s="24" t="str">
        <x:f>IF(XOR(X197="Reprogramada",X197="Cancelada"),"",IF(AND(Q197&gt;=0.8,S197&gt;=4),"Sí",IF(AND(Q197&gt;=0.65,S197&gt;=3.5),"Parcial","No")))</x:f>
        <x:v>Sí</x:v>
      </x:c>
      <x:c r="U197" s="24" t="str">
        <x:v>Carlos Felipe Parada Ramón</x:v>
      </x:c>
      <x:c r="V197" s="11" t="str">
        <x:v>Humano (facilitador interno) / Logístico / Material de apoyo</x:v>
      </x:c>
      <x:c r="W197" s="11" t="str">
        <x:v>Carlos Felipe Parada Ramón</x:v>
      </x:c>
      <x:c r="X197" s="11" t="str">
        <x:v>Ejecutada</x:v>
      </x:c>
      <x:c r="Y197" s="52" t="str">
        <x:v>Actividad ejecutada satisfactoriamente; mantener evidencia y seguimiento.</x:v>
      </x:c>
    </x:row>
    <x:row r="198">
      <x:c r="A198" s="23" t="n">
        <x:v>197</x:v>
      </x:c>
      <x:c r="B198" s="24" t="n">
        <x:v>2024</x:v>
      </x:c>
      <x:c r="C198" s="24" t="str">
        <x:v>Junio</x:v>
      </x:c>
      <x:c r="D198" s="24" t="n">
        <x:v>6</x:v>
      </x:c>
      <x:c r="E198" s="24" t="str">
        <x:v>General</x:v>
      </x:c>
      <x:c r="F198" s="24" t="str">
        <x:v>Capacitación</x:v>
      </x:c>
      <x:c r="G198" s="24" t="str">
        <x:v>Interno</x:v>
      </x:c>
      <x:c r="H198" s="24" t="str">
        <x:v>Líderes</x:v>
      </x:c>
      <x:c r="I198" s="24" t="str">
        <x:v>Ábrego</x:v>
      </x:c>
      <x:c r="J198" s="11" t="str">
        <x:v>Investigación de AT e implementación de planes de acción</x:v>
      </x:c>
      <x:c r="K198" s="11" t="str">
        <x:v>Reforzar el análisis causal y el cierre oportuno de acciones derivadas de accidentes e incidentes.</x:v>
      </x:c>
      <x:c r="L198" s="24" t="n">
        <x:v>2</x:v>
      </x:c>
      <x:c r="M198" s="58"/>
      <x:c r="N198" s="24"/>
      <x:c r="O198" s="24" t="n">
        <x:v>25</x:v>
      </x:c>
      <x:c r="P198" s="24"/>
      <x:c r="Q198" s="64" t="n">
        <x:f>IFERROR(P198/O198,0)</x:f>
        <x:v>0</x:v>
      </x:c>
      <x:c r="R198" s="24" t="str">
        <x:v>Caso práctico</x:v>
      </x:c>
      <x:c r="S198" s="70"/>
      <x:c r="T198" s="24" t="str">
        <x:f>IF(XOR(X198="Reprogramada",X198="Cancelada"),"",IF(AND(Q198&gt;=0.8,S198&gt;=4),"Sí",IF(AND(Q198&gt;=0.65,S198&gt;=3.5),"Parcial","No")))</x:f>
      </x:c>
      <x:c r="U198" s="24" t="str">
        <x:v>Carlos Felipe Parada Ramón</x:v>
      </x:c>
      <x:c r="V198" s="11" t="str">
        <x:v>Humano (facilitador interno) / Logístico / Material de apoyo</x:v>
      </x:c>
      <x:c r="W198" s="11" t="str">
        <x:v>Camila Andrea Galván</x:v>
      </x:c>
      <x:c r="X198" s="11" t="str">
        <x:v>Reprogramada</x:v>
      </x:c>
      <x:c r="Y198" s="52" t="str">
        <x:v>Actividad reprogramada por operación, disponibilidad del facilitador o ajustes logísticos.</x:v>
      </x:c>
    </x:row>
    <x:row r="199">
      <x:c r="A199" s="23" t="n">
        <x:v>198</x:v>
      </x:c>
      <x:c r="B199" s="24" t="n">
        <x:v>2024</x:v>
      </x:c>
      <x:c r="C199" s="24" t="str">
        <x:v>Junio</x:v>
      </x:c>
      <x:c r="D199" s="24" t="n">
        <x:v>6</x:v>
      </x:c>
      <x:c r="E199" s="24" t="str">
        <x:v>General</x:v>
      </x:c>
      <x:c r="F199" s="24" t="str">
        <x:v>Capacitación</x:v>
      </x:c>
      <x:c r="G199" s="24" t="str">
        <x:v>Interno</x:v>
      </x:c>
      <x:c r="H199" s="24" t="str">
        <x:v>Líderes</x:v>
      </x:c>
      <x:c r="I199" s="24" t="str">
        <x:v>Pamplona</x:v>
      </x:c>
      <x:c r="J199" s="11" t="str">
        <x:v>Investigación de AT e implementación de planes de acción</x:v>
      </x:c>
      <x:c r="K199" s="11" t="str">
        <x:v>Reforzar el análisis causal y el cierre oportuno de acciones derivadas de accidentes e incidentes.</x:v>
      </x:c>
      <x:c r="L199" s="24" t="n">
        <x:v>2</x:v>
      </x:c>
      <x:c r="M199" s="58" t="n">
        <x:v>45455</x:v>
      </x:c>
      <x:c r="N199" s="24" t="n">
        <x:v>2</x:v>
      </x:c>
      <x:c r="O199" s="24" t="n">
        <x:v>28</x:v>
      </x:c>
      <x:c r="P199" s="24" t="n">
        <x:v>26</x:v>
      </x:c>
      <x:c r="Q199" s="64" t="n">
        <x:f>IFERROR(P199/O199,0)</x:f>
        <x:v>0.9285714285714286</x:v>
      </x:c>
      <x:c r="R199" s="24" t="str">
        <x:v>Caso práctico</x:v>
      </x:c>
      <x:c r="S199" s="70" t="n">
        <x:v>4.5</x:v>
      </x:c>
      <x:c r="T199" s="24" t="str">
        <x:f>IF(XOR(X199="Reprogramada",X199="Cancelada"),"",IF(AND(Q199&gt;=0.8,S199&gt;=4),"Sí",IF(AND(Q199&gt;=0.65,S199&gt;=3.5),"Parcial","No")))</x:f>
        <x:v>Sí</x:v>
      </x:c>
      <x:c r="U199" s="24" t="str">
        <x:v>Carlos Felipe Parada Ramón</x:v>
      </x:c>
      <x:c r="V199" s="11" t="str">
        <x:v>Humano (facilitador interno) / Logístico / Material de apoyo</x:v>
      </x:c>
      <x:c r="W199" s="11" t="str">
        <x:v>Jesús Guerrero</x:v>
      </x:c>
      <x:c r="X199" s="11" t="str">
        <x:v>Ejecutada</x:v>
      </x:c>
      <x:c r="Y199" s="52" t="str">
        <x:v>Actividad ejecutada satisfactoriamente; mantener evidencia y seguimiento.</x:v>
      </x:c>
    </x:row>
    <x:row r="200">
      <x:c r="A200" s="23" t="n">
        <x:v>199</x:v>
      </x:c>
      <x:c r="B200" s="24" t="n">
        <x:v>2024</x:v>
      </x:c>
      <x:c r="C200" s="24" t="str">
        <x:v>Julio</x:v>
      </x:c>
      <x:c r="D200" s="24" t="n">
        <x:v>7</x:v>
      </x:c>
      <x:c r="E200" s="24" t="str">
        <x:v>PESV</x:v>
      </x:c>
      <x:c r="F200" s="24" t="str">
        <x:v>Capacitación</x:v>
      </x:c>
      <x:c r="G200" s="24" t="str">
        <x:v>Externo</x:v>
      </x:c>
      <x:c r="H200" s="24" t="str">
        <x:v>Conductores</x:v>
      </x:c>
      <x:c r="I200" s="24" t="str">
        <x:v>Cúcuta</x:v>
      </x:c>
      <x:c r="J200" s="11" t="str">
        <x:v>Conducción defensiva y seguridad vial</x:v>
      </x:c>
      <x:c r="K200" s="11" t="str">
        <x:v>Promover prácticas seguras en la conducción y en los desplazamientos laborales.</x:v>
      </x:c>
      <x:c r="L200" s="24" t="n">
        <x:v>3</x:v>
      </x:c>
      <x:c r="M200" s="58" t="n">
        <x:v>45485</x:v>
      </x:c>
      <x:c r="N200" s="24" t="n">
        <x:v>3</x:v>
      </x:c>
      <x:c r="O200" s="24" t="n">
        <x:v>80</x:v>
      </x:c>
      <x:c r="P200" s="24" t="n">
        <x:v>66</x:v>
      </x:c>
      <x:c r="Q200" s="64" t="n">
        <x:f>IFERROR(P200/O200,0)</x:f>
        <x:v>0.825</x:v>
      </x:c>
      <x:c r="R200" s="24" t="str">
        <x:v>Prueba práctica</x:v>
      </x:c>
      <x:c r="S200" s="70" t="n">
        <x:v>4.8</x:v>
      </x:c>
      <x:c r="T200" s="24" t="str">
        <x:f>IF(XOR(X200="Reprogramada",X200="Cancelada"),"",IF(AND(Q200&gt;=0.8,S200&gt;=4),"Sí",IF(AND(Q200&gt;=0.65,S200&gt;=3.5),"Parcial","No")))</x:f>
        <x:v>Sí</x:v>
      </x:c>
      <x:c r="U200" s="24" t="str">
        <x:v>Aliado PESV</x:v>
      </x:c>
      <x:c r="V200" s="11" t="str">
        <x:v>Humano (facilitador externo) / Financiero / Logístico / Material didáctico</x:v>
      </x:c>
      <x:c r="W200" s="11" t="str">
        <x:v>Carlos Felipe Parada Ramón</x:v>
      </x:c>
      <x:c r="X200" s="11" t="str">
        <x:v>Ejecutada</x:v>
      </x:c>
      <x:c r="Y200" s="52" t="str">
        <x:v>Actividad ejecutada satisfactoriamente; mantener evidencia y seguimiento.</x:v>
      </x:c>
    </x:row>
    <x:row r="201">
      <x:c r="A201" s="23" t="n">
        <x:v>200</x:v>
      </x:c>
      <x:c r="B201" s="24" t="n">
        <x:v>2024</x:v>
      </x:c>
      <x:c r="C201" s="24" t="str">
        <x:v>Julio</x:v>
      </x:c>
      <x:c r="D201" s="24" t="n">
        <x:v>7</x:v>
      </x:c>
      <x:c r="E201" s="24" t="str">
        <x:v>PESV</x:v>
      </x:c>
      <x:c r="F201" s="24" t="str">
        <x:v>Capacitación</x:v>
      </x:c>
      <x:c r="G201" s="24" t="str">
        <x:v>Externo</x:v>
      </x:c>
      <x:c r="H201" s="24" t="str">
        <x:v>Conductores</x:v>
      </x:c>
      <x:c r="I201" s="24" t="str">
        <x:v>Barrancabermeja</x:v>
      </x:c>
      <x:c r="J201" s="11" t="str">
        <x:v>Conducción defensiva y seguridad vial</x:v>
      </x:c>
      <x:c r="K201" s="11" t="str">
        <x:v>Promover prácticas seguras en la conducción y en los desplazamientos laborales.</x:v>
      </x:c>
      <x:c r="L201" s="24" t="n">
        <x:v>3</x:v>
      </x:c>
      <x:c r="M201" s="58" t="n">
        <x:v>45483</x:v>
      </x:c>
      <x:c r="N201" s="24" t="n">
        <x:v>3</x:v>
      </x:c>
      <x:c r="O201" s="24" t="n">
        <x:v>54</x:v>
      </x:c>
      <x:c r="P201" s="24" t="n">
        <x:v>44</x:v>
      </x:c>
      <x:c r="Q201" s="64" t="n">
        <x:f>IFERROR(P201/O201,0)</x:f>
        <x:v>0.8148148148148148</x:v>
      </x:c>
      <x:c r="R201" s="24" t="str">
        <x:v>Prueba práctica</x:v>
      </x:c>
      <x:c r="S201" s="70" t="n">
        <x:v>4.9</x:v>
      </x:c>
      <x:c r="T201" s="24" t="str">
        <x:f>IF(XOR(X201="Reprogramada",X201="Cancelada"),"",IF(AND(Q201&gt;=0.8,S201&gt;=4),"Sí",IF(AND(Q201&gt;=0.65,S201&gt;=3.5),"Parcial","No")))</x:f>
        <x:v>Sí</x:v>
      </x:c>
      <x:c r="U201" s="24" t="str">
        <x:v>Aliado PESV</x:v>
      </x:c>
      <x:c r="V201" s="11" t="str">
        <x:v>Humano (facilitador externo) / Financiero / Logístico / Material didáctico</x:v>
      </x:c>
      <x:c r="W201" s="11" t="str">
        <x:v>Camila Andrea Galván</x:v>
      </x:c>
      <x:c r="X201" s="11" t="str">
        <x:v>Ejecutada</x:v>
      </x:c>
      <x:c r="Y201" s="52" t="str">
        <x:v>Actividad ejecutada satisfactoriamente; mantener evidencia y seguimiento.</x:v>
      </x:c>
    </x:row>
    <x:row r="202">
      <x:c r="A202" s="23" t="n">
        <x:v>201</x:v>
      </x:c>
      <x:c r="B202" s="24" t="n">
        <x:v>2024</x:v>
      </x:c>
      <x:c r="C202" s="24" t="str">
        <x:v>Julio</x:v>
      </x:c>
      <x:c r="D202" s="24" t="n">
        <x:v>7</x:v>
      </x:c>
      <x:c r="E202" s="24" t="str">
        <x:v>PESV</x:v>
      </x:c>
      <x:c r="F202" s="24" t="str">
        <x:v>Capacitación</x:v>
      </x:c>
      <x:c r="G202" s="24" t="str">
        <x:v>Externo</x:v>
      </x:c>
      <x:c r="H202" s="24" t="str">
        <x:v>Conductores</x:v>
      </x:c>
      <x:c r="I202" s="24" t="str">
        <x:v>Ocaña</x:v>
      </x:c>
      <x:c r="J202" s="11" t="str">
        <x:v>Conducción defensiva y seguridad vial</x:v>
      </x:c>
      <x:c r="K202" s="11" t="str">
        <x:v>Promover prácticas seguras en la conducción y en los desplazamientos laborales.</x:v>
      </x:c>
      <x:c r="L202" s="24" t="n">
        <x:v>3</x:v>
      </x:c>
      <x:c r="M202" s="58" t="n">
        <x:v>45494</x:v>
      </x:c>
      <x:c r="N202" s="24" t="n">
        <x:v>2.5</x:v>
      </x:c>
      <x:c r="O202" s="24" t="n">
        <x:v>37</x:v>
      </x:c>
      <x:c r="P202" s="24" t="n">
        <x:v>32</x:v>
      </x:c>
      <x:c r="Q202" s="64" t="n">
        <x:f>IFERROR(P202/O202,0)</x:f>
        <x:v>0.8648648648648649</x:v>
      </x:c>
      <x:c r="R202" s="24" t="str">
        <x:v>Prueba práctica</x:v>
      </x:c>
      <x:c r="S202" s="70" t="n">
        <x:v>4.7</x:v>
      </x:c>
      <x:c r="T202" s="24" t="str">
        <x:f>IF(XOR(X202="Reprogramada",X202="Cancelada"),"",IF(AND(Q202&gt;=0.8,S202&gt;=4),"Sí",IF(AND(Q202&gt;=0.65,S202&gt;=3.5),"Parcial","No")))</x:f>
        <x:v>Sí</x:v>
      </x:c>
      <x:c r="U202" s="24" t="str">
        <x:v>Aliado PESV</x:v>
      </x:c>
      <x:c r="V202" s="11" t="str">
        <x:v>Humano (facilitador externo) / Financiero / Logístico / Material didáctico</x:v>
      </x:c>
      <x:c r="W202" s="11" t="str">
        <x:v>Jesús Guerrero</x:v>
      </x:c>
      <x:c r="X202" s="11" t="str">
        <x:v>Ejecutada</x:v>
      </x:c>
      <x:c r="Y202" s="52" t="str">
        <x:v>Actividad ejecutada satisfactoriamente; mantener evidencia y seguimiento.</x:v>
      </x:c>
    </x:row>
    <x:row r="203">
      <x:c r="A203" s="23" t="n">
        <x:v>202</x:v>
      </x:c>
      <x:c r="B203" s="24" t="n">
        <x:v>2024</x:v>
      </x:c>
      <x:c r="C203" s="24" t="str">
        <x:v>Julio</x:v>
      </x:c>
      <x:c r="D203" s="24" t="n">
        <x:v>7</x:v>
      </x:c>
      <x:c r="E203" s="24" t="str">
        <x:v>PESV</x:v>
      </x:c>
      <x:c r="F203" s="24" t="str">
        <x:v>Capacitación</x:v>
      </x:c>
      <x:c r="G203" s="24" t="str">
        <x:v>Externo</x:v>
      </x:c>
      <x:c r="H203" s="24" t="str">
        <x:v>Conductores</x:v>
      </x:c>
      <x:c r="I203" s="24" t="str">
        <x:v>Girón</x:v>
      </x:c>
      <x:c r="J203" s="11" t="str">
        <x:v>Conducción defensiva y seguridad vial</x:v>
      </x:c>
      <x:c r="K203" s="11" t="str">
        <x:v>Promover prácticas seguras en la conducción y en los desplazamientos laborales.</x:v>
      </x:c>
      <x:c r="L203" s="24" t="n">
        <x:v>3</x:v>
      </x:c>
      <x:c r="M203" s="58" t="n">
        <x:v>45494</x:v>
      </x:c>
      <x:c r="N203" s="24" t="n">
        <x:v>3</x:v>
      </x:c>
      <x:c r="O203" s="24" t="n">
        <x:v>42</x:v>
      </x:c>
      <x:c r="P203" s="24" t="n">
        <x:v>38</x:v>
      </x:c>
      <x:c r="Q203" s="64" t="n">
        <x:f>IFERROR(P203/O203,0)</x:f>
        <x:v>0.9047619047619048</x:v>
      </x:c>
      <x:c r="R203" s="24" t="str">
        <x:v>Prueba práctica</x:v>
      </x:c>
      <x:c r="S203" s="70" t="n">
        <x:v>4.2</x:v>
      </x:c>
      <x:c r="T203" s="24" t="str">
        <x:f>IF(XOR(X203="Reprogramada",X203="Cancelada"),"",IF(AND(Q203&gt;=0.8,S203&gt;=4),"Sí",IF(AND(Q203&gt;=0.65,S203&gt;=3.5),"Parcial","No")))</x:f>
        <x:v>Sí</x:v>
      </x:c>
      <x:c r="U203" s="24" t="str">
        <x:v>Aliado PESV</x:v>
      </x:c>
      <x:c r="V203" s="11" t="str">
        <x:v>Humano (facilitador externo) / Financiero / Logístico / Material didáctico</x:v>
      </x:c>
      <x:c r="W203" s="11" t="str">
        <x:v>Carlos Felipe Parada Ramón</x:v>
      </x:c>
      <x:c r="X203" s="11" t="str">
        <x:v>Ejecutada</x:v>
      </x:c>
      <x:c r="Y203" s="52" t="str">
        <x:v>Actividad ejecutada satisfactoriamente; mantener evidencia y seguimiento.</x:v>
      </x:c>
    </x:row>
    <x:row r="204">
      <x:c r="A204" s="23" t="n">
        <x:v>203</x:v>
      </x:c>
      <x:c r="B204" s="24" t="n">
        <x:v>2024</x:v>
      </x:c>
      <x:c r="C204" s="24" t="str">
        <x:v>Julio</x:v>
      </x:c>
      <x:c r="D204" s="24" t="n">
        <x:v>7</x:v>
      </x:c>
      <x:c r="E204" s="24" t="str">
        <x:v>PESV</x:v>
      </x:c>
      <x:c r="F204" s="24" t="str">
        <x:v>Capacitación</x:v>
      </x:c>
      <x:c r="G204" s="24" t="str">
        <x:v>Externo</x:v>
      </x:c>
      <x:c r="H204" s="24" t="str">
        <x:v>Conductores</x:v>
      </x:c>
      <x:c r="I204" s="24" t="str">
        <x:v>Valledupar</x:v>
      </x:c>
      <x:c r="J204" s="11" t="str">
        <x:v>Conducción defensiva y seguridad vial</x:v>
      </x:c>
      <x:c r="K204" s="11" t="str">
        <x:v>Promover prácticas seguras en la conducción y en los desplazamientos laborales.</x:v>
      </x:c>
      <x:c r="L204" s="24" t="n">
        <x:v>3</x:v>
      </x:c>
      <x:c r="M204" s="58" t="n">
        <x:v>45485</x:v>
      </x:c>
      <x:c r="N204" s="24" t="n">
        <x:v>3</x:v>
      </x:c>
      <x:c r="O204" s="24" t="n">
        <x:v>48</x:v>
      </x:c>
      <x:c r="P204" s="24" t="n">
        <x:v>42</x:v>
      </x:c>
      <x:c r="Q204" s="64" t="n">
        <x:f>IFERROR(P204/O204,0)</x:f>
        <x:v>0.875</x:v>
      </x:c>
      <x:c r="R204" s="24" t="str">
        <x:v>Prueba práctica</x:v>
      </x:c>
      <x:c r="S204" s="70" t="n">
        <x:v>4.9</x:v>
      </x:c>
      <x:c r="T204" s="24" t="str">
        <x:f>IF(XOR(X204="Reprogramada",X204="Cancelada"),"",IF(AND(Q204&gt;=0.8,S204&gt;=4),"Sí",IF(AND(Q204&gt;=0.65,S204&gt;=3.5),"Parcial","No")))</x:f>
        <x:v>Sí</x:v>
      </x:c>
      <x:c r="U204" s="24" t="str">
        <x:v>Aliado PESV</x:v>
      </x:c>
      <x:c r="V204" s="11" t="str">
        <x:v>Humano (facilitador externo) / Financiero / Logístico / Material didáctico</x:v>
      </x:c>
      <x:c r="W204" s="11" t="str">
        <x:v>Camila Andrea Galván</x:v>
      </x:c>
      <x:c r="X204" s="11" t="str">
        <x:v>Ejecutada</x:v>
      </x:c>
      <x:c r="Y204" s="52" t="str">
        <x:v>Actividad ejecutada satisfactoriamente; mantener evidencia y seguimiento.</x:v>
      </x:c>
    </x:row>
    <x:row r="205">
      <x:c r="A205" s="23" t="n">
        <x:v>204</x:v>
      </x:c>
      <x:c r="B205" s="24" t="n">
        <x:v>2024</x:v>
      </x:c>
      <x:c r="C205" s="24" t="str">
        <x:v>Julio</x:v>
      </x:c>
      <x:c r="D205" s="24" t="n">
        <x:v>7</x:v>
      </x:c>
      <x:c r="E205" s="24" t="str">
        <x:v>PESV</x:v>
      </x:c>
      <x:c r="F205" s="24" t="str">
        <x:v>Capacitación</x:v>
      </x:c>
      <x:c r="G205" s="24" t="str">
        <x:v>Externo</x:v>
      </x:c>
      <x:c r="H205" s="24" t="str">
        <x:v>Conductores</x:v>
      </x:c>
      <x:c r="I205" s="24" t="str">
        <x:v>Arauca</x:v>
      </x:c>
      <x:c r="J205" s="11" t="str">
        <x:v>Conducción defensiva y seguridad vial</x:v>
      </x:c>
      <x:c r="K205" s="11" t="str">
        <x:v>Promover prácticas seguras en la conducción y en los desplazamientos laborales.</x:v>
      </x:c>
      <x:c r="L205" s="24" t="n">
        <x:v>3</x:v>
      </x:c>
      <x:c r="M205" s="58" t="n">
        <x:v>45492</x:v>
      </x:c>
      <x:c r="N205" s="24" t="n">
        <x:v>3</x:v>
      </x:c>
      <x:c r="O205" s="24" t="n">
        <x:v>30</x:v>
      </x:c>
      <x:c r="P205" s="24" t="n">
        <x:v>27</x:v>
      </x:c>
      <x:c r="Q205" s="64" t="n">
        <x:f>IFERROR(P205/O205,0)</x:f>
        <x:v>0.9</x:v>
      </x:c>
      <x:c r="R205" s="24" t="str">
        <x:v>Prueba práctica</x:v>
      </x:c>
      <x:c r="S205" s="70" t="n">
        <x:v>4.2</x:v>
      </x:c>
      <x:c r="T205" s="24" t="str">
        <x:f>IF(XOR(X205="Reprogramada",X205="Cancelada"),"",IF(AND(Q205&gt;=0.8,S205&gt;=4),"Sí",IF(AND(Q205&gt;=0.65,S205&gt;=3.5),"Parcial","No")))</x:f>
        <x:v>Sí</x:v>
      </x:c>
      <x:c r="U205" s="24" t="str">
        <x:v>Aliado PESV</x:v>
      </x:c>
      <x:c r="V205" s="11" t="str">
        <x:v>Humano (facilitador externo) / Financiero / Logístico / Material didáctico</x:v>
      </x:c>
      <x:c r="W205" s="11" t="str">
        <x:v>Jesús Guerrero</x:v>
      </x:c>
      <x:c r="X205" s="11" t="str">
        <x:v>Ejecutada</x:v>
      </x:c>
      <x:c r="Y205" s="52" t="str">
        <x:v>Actividad ejecutada satisfactoriamente; mantener evidencia y seguimiento.</x:v>
      </x:c>
    </x:row>
    <x:row r="206">
      <x:c r="A206" s="23" t="n">
        <x:v>205</x:v>
      </x:c>
      <x:c r="B206" s="24" t="n">
        <x:v>2024</x:v>
      </x:c>
      <x:c r="C206" s="24" t="str">
        <x:v>Julio</x:v>
      </x:c>
      <x:c r="D206" s="24" t="n">
        <x:v>7</x:v>
      </x:c>
      <x:c r="E206" s="24" t="str">
        <x:v>PESV</x:v>
      </x:c>
      <x:c r="F206" s="24" t="str">
        <x:v>Capacitación</x:v>
      </x:c>
      <x:c r="G206" s="24" t="str">
        <x:v>Externo</x:v>
      </x:c>
      <x:c r="H206" s="24" t="str">
        <x:v>Conductores</x:v>
      </x:c>
      <x:c r="I206" s="24" t="str">
        <x:v>Bogotá</x:v>
      </x:c>
      <x:c r="J206" s="11" t="str">
        <x:v>Conducción defensiva y seguridad vial</x:v>
      </x:c>
      <x:c r="K206" s="11" t="str">
        <x:v>Promover prácticas seguras en la conducción y en los desplazamientos laborales.</x:v>
      </x:c>
      <x:c r="L206" s="24" t="n">
        <x:v>3</x:v>
      </x:c>
      <x:c r="M206" s="58" t="n">
        <x:v>45492</x:v>
      </x:c>
      <x:c r="N206" s="24" t="n">
        <x:v>3</x:v>
      </x:c>
      <x:c r="O206" s="24" t="n">
        <x:v>65</x:v>
      </x:c>
      <x:c r="P206" s="24" t="n">
        <x:v>55</x:v>
      </x:c>
      <x:c r="Q206" s="64" t="n">
        <x:f>IFERROR(P206/O206,0)</x:f>
        <x:v>0.8461538461538461</x:v>
      </x:c>
      <x:c r="R206" s="24" t="str">
        <x:v>Prueba práctica</x:v>
      </x:c>
      <x:c r="S206" s="70" t="n">
        <x:v>4.2</x:v>
      </x:c>
      <x:c r="T206" s="24" t="str">
        <x:f>IF(XOR(X206="Reprogramada",X206="Cancelada"),"",IF(AND(Q206&gt;=0.8,S206&gt;=4),"Sí",IF(AND(Q206&gt;=0.65,S206&gt;=3.5),"Parcial","No")))</x:f>
        <x:v>Sí</x:v>
      </x:c>
      <x:c r="U206" s="24" t="str">
        <x:v>Aliado PESV</x:v>
      </x:c>
      <x:c r="V206" s="11" t="str">
        <x:v>Humano (facilitador externo) / Financiero / Logístico / Material didáctico</x:v>
      </x:c>
      <x:c r="W206" s="11" t="str">
        <x:v>Carlos Felipe Parada Ramón</x:v>
      </x:c>
      <x:c r="X206" s="11" t="str">
        <x:v>Ejecutada</x:v>
      </x:c>
      <x:c r="Y206" s="52" t="str">
        <x:v>Actividad ejecutada satisfactoriamente; mantener evidencia y seguimiento.</x:v>
      </x:c>
    </x:row>
    <x:row r="207">
      <x:c r="A207" s="23" t="n">
        <x:v>206</x:v>
      </x:c>
      <x:c r="B207" s="24" t="n">
        <x:v>2024</x:v>
      </x:c>
      <x:c r="C207" s="24" t="str">
        <x:v>Julio</x:v>
      </x:c>
      <x:c r="D207" s="24" t="n">
        <x:v>7</x:v>
      </x:c>
      <x:c r="E207" s="24" t="str">
        <x:v>PESV</x:v>
      </x:c>
      <x:c r="F207" s="24" t="str">
        <x:v>Capacitación</x:v>
      </x:c>
      <x:c r="G207" s="24" t="str">
        <x:v>Externo</x:v>
      </x:c>
      <x:c r="H207" s="24" t="str">
        <x:v>Conductores</x:v>
      </x:c>
      <x:c r="I207" s="24" t="str">
        <x:v>Tibú</x:v>
      </x:c>
      <x:c r="J207" s="11" t="str">
        <x:v>Conducción defensiva y seguridad vial</x:v>
      </x:c>
      <x:c r="K207" s="11" t="str">
        <x:v>Promover prácticas seguras en la conducción y en los desplazamientos laborales.</x:v>
      </x:c>
      <x:c r="L207" s="24" t="n">
        <x:v>3</x:v>
      </x:c>
      <x:c r="M207" s="58" t="n">
        <x:v>45483</x:v>
      </x:c>
      <x:c r="N207" s="24" t="n">
        <x:v>2.5</x:v>
      </x:c>
      <x:c r="O207" s="24" t="n">
        <x:v>32</x:v>
      </x:c>
      <x:c r="P207" s="24" t="n">
        <x:v>24</x:v>
      </x:c>
      <x:c r="Q207" s="64" t="n">
        <x:f>IFERROR(P207/O207,0)</x:f>
        <x:v>0.75</x:v>
      </x:c>
      <x:c r="R207" s="24" t="str">
        <x:v>Prueba práctica</x:v>
      </x:c>
      <x:c r="S207" s="70" t="n">
        <x:v>4.6</x:v>
      </x:c>
      <x:c r="T207" s="24" t="str">
        <x:f>IF(XOR(X207="Reprogramada",X207="Cancelada"),"",IF(AND(Q207&gt;=0.8,S207&gt;=4),"Sí",IF(AND(Q207&gt;=0.65,S207&gt;=3.5),"Parcial","No")))</x:f>
        <x:v>Parcial</x:v>
      </x:c>
      <x:c r="U207" s="24" t="str">
        <x:v>Aliado PESV</x:v>
      </x:c>
      <x:c r="V207" s="11" t="str">
        <x:v>Humano (facilitador externo) / Financiero / Logístico / Material didáctico</x:v>
      </x:c>
      <x:c r="W207" s="11" t="str">
        <x:v>Camila Andrea Galván</x:v>
      </x:c>
      <x:c r="X207" s="11" t="str">
        <x:v>Ejecutada</x:v>
      </x:c>
      <x:c r="Y207" s="52" t="str">
        <x:v>Actividad ejecutada satisfactoriamente; mantener evidencia y seguimiento.</x:v>
      </x:c>
    </x:row>
    <x:row r="208">
      <x:c r="A208" s="23" t="n">
        <x:v>207</x:v>
      </x:c>
      <x:c r="B208" s="24" t="n">
        <x:v>2024</x:v>
      </x:c>
      <x:c r="C208" s="24" t="str">
        <x:v>Julio</x:v>
      </x:c>
      <x:c r="D208" s="24" t="n">
        <x:v>7</x:v>
      </x:c>
      <x:c r="E208" s="24" t="str">
        <x:v>PESV</x:v>
      </x:c>
      <x:c r="F208" s="24" t="str">
        <x:v>Capacitación</x:v>
      </x:c>
      <x:c r="G208" s="24" t="str">
        <x:v>Externo</x:v>
      </x:c>
      <x:c r="H208" s="24" t="str">
        <x:v>Conductores</x:v>
      </x:c>
      <x:c r="I208" s="24" t="str">
        <x:v>Medellín</x:v>
      </x:c>
      <x:c r="J208" s="11" t="str">
        <x:v>Conducción defensiva y seguridad vial</x:v>
      </x:c>
      <x:c r="K208" s="11" t="str">
        <x:v>Promover prácticas seguras en la conducción y en los desplazamientos laborales.</x:v>
      </x:c>
      <x:c r="L208" s="24" t="n">
        <x:v>3</x:v>
      </x:c>
      <x:c r="M208" s="58"/>
      <x:c r="N208" s="24" t="n">
        <x:v>0</x:v>
      </x:c>
      <x:c r="O208" s="24" t="n">
        <x:v>60</x:v>
      </x:c>
      <x:c r="P208" s="24"/>
      <x:c r="Q208" s="64" t="n">
        <x:f>IFERROR(P208/O208,0)</x:f>
        <x:v>0</x:v>
      </x:c>
      <x:c r="R208" s="24" t="str">
        <x:v>Prueba práctica</x:v>
      </x:c>
      <x:c r="S208" s="70"/>
      <x:c r="T208" s="24" t="str">
        <x:f>IF(XOR(X208="Reprogramada",X208="Cancelada"),"",IF(AND(Q208&gt;=0.8,S208&gt;=4),"Sí",IF(AND(Q208&gt;=0.65,S208&gt;=3.5),"Parcial","No")))</x:f>
      </x:c>
      <x:c r="U208" s="24" t="str">
        <x:v>Aliado PESV</x:v>
      </x:c>
      <x:c r="V208" s="11" t="str">
        <x:v>Humano (facilitador externo) / Financiero / Logístico / Material didáctico</x:v>
      </x:c>
      <x:c r="W208" s="11" t="str">
        <x:v>Jesús Guerrero</x:v>
      </x:c>
      <x:c r="X208" s="11" t="str">
        <x:v>Cancelada</x:v>
      </x:c>
      <x:c r="Y208" s="52" t="str">
        <x:v>Actividad cancelada por reorganización operativa o priorización de otras necesidades.</x:v>
      </x:c>
    </x:row>
    <x:row r="209">
      <x:c r="A209" s="23" t="n">
        <x:v>208</x:v>
      </x:c>
      <x:c r="B209" s="24" t="n">
        <x:v>2024</x:v>
      </x:c>
      <x:c r="C209" s="24" t="str">
        <x:v>Julio</x:v>
      </x:c>
      <x:c r="D209" s="24" t="n">
        <x:v>7</x:v>
      </x:c>
      <x:c r="E209" s="24" t="str">
        <x:v>PESV</x:v>
      </x:c>
      <x:c r="F209" s="24" t="str">
        <x:v>Capacitación</x:v>
      </x:c>
      <x:c r="G209" s="24" t="str">
        <x:v>Externo</x:v>
      </x:c>
      <x:c r="H209" s="24" t="str">
        <x:v>Conductores</x:v>
      </x:c>
      <x:c r="I209" s="24" t="str">
        <x:v>Ábrego</x:v>
      </x:c>
      <x:c r="J209" s="11" t="str">
        <x:v>Conducción defensiva y seguridad vial</x:v>
      </x:c>
      <x:c r="K209" s="11" t="str">
        <x:v>Promover prácticas seguras en la conducción y en los desplazamientos laborales.</x:v>
      </x:c>
      <x:c r="L209" s="24" t="n">
        <x:v>3</x:v>
      </x:c>
      <x:c r="M209" s="58" t="n">
        <x:v>45494</x:v>
      </x:c>
      <x:c r="N209" s="24" t="n">
        <x:v>3</x:v>
      </x:c>
      <x:c r="O209" s="24" t="n">
        <x:v>25</x:v>
      </x:c>
      <x:c r="P209" s="24" t="n">
        <x:v>23</x:v>
      </x:c>
      <x:c r="Q209" s="64" t="n">
        <x:f>IFERROR(P209/O209,0)</x:f>
        <x:v>0.92</x:v>
      </x:c>
      <x:c r="R209" s="24" t="str">
        <x:v>Prueba práctica</x:v>
      </x:c>
      <x:c r="S209" s="70" t="n">
        <x:v>4.8</x:v>
      </x:c>
      <x:c r="T209" s="24" t="str">
        <x:f>IF(XOR(X209="Reprogramada",X209="Cancelada"),"",IF(AND(Q209&gt;=0.8,S209&gt;=4),"Sí",IF(AND(Q209&gt;=0.65,S209&gt;=3.5),"Parcial","No")))</x:f>
        <x:v>Sí</x:v>
      </x:c>
      <x:c r="U209" s="24" t="str">
        <x:v>Aliado PESV</x:v>
      </x:c>
      <x:c r="V209" s="11" t="str">
        <x:v>Humano (facilitador externo) / Financiero / Logístico / Material didáctico</x:v>
      </x:c>
      <x:c r="W209" s="11" t="str">
        <x:v>Carlos Felipe Parada Ramón</x:v>
      </x:c>
      <x:c r="X209" s="11" t="str">
        <x:v>Ejecutada</x:v>
      </x:c>
      <x:c r="Y209" s="52" t="str">
        <x:v>Actividad ejecutada satisfactoriamente; mantener evidencia y seguimiento.</x:v>
      </x:c>
    </x:row>
    <x:row r="210">
      <x:c r="A210" s="23" t="n">
        <x:v>209</x:v>
      </x:c>
      <x:c r="B210" s="24" t="n">
        <x:v>2024</x:v>
      </x:c>
      <x:c r="C210" s="24" t="str">
        <x:v>Julio</x:v>
      </x:c>
      <x:c r="D210" s="24" t="n">
        <x:v>7</x:v>
      </x:c>
      <x:c r="E210" s="24" t="str">
        <x:v>PESV</x:v>
      </x:c>
      <x:c r="F210" s="24" t="str">
        <x:v>Capacitación</x:v>
      </x:c>
      <x:c r="G210" s="24" t="str">
        <x:v>Externo</x:v>
      </x:c>
      <x:c r="H210" s="24" t="str">
        <x:v>Conductores</x:v>
      </x:c>
      <x:c r="I210" s="24" t="str">
        <x:v>Pamplona</x:v>
      </x:c>
      <x:c r="J210" s="11" t="str">
        <x:v>Conducción defensiva y seguridad vial</x:v>
      </x:c>
      <x:c r="K210" s="11" t="str">
        <x:v>Promover prácticas seguras en la conducción y en los desplazamientos laborales.</x:v>
      </x:c>
      <x:c r="L210" s="24" t="n">
        <x:v>3</x:v>
      </x:c>
      <x:c r="M210" s="58"/>
      <x:c r="N210" s="24"/>
      <x:c r="O210" s="24" t="n">
        <x:v>28</x:v>
      </x:c>
      <x:c r="P210" s="24"/>
      <x:c r="Q210" s="64" t="n">
        <x:f>IFERROR(P210/O210,0)</x:f>
        <x:v>0</x:v>
      </x:c>
      <x:c r="R210" s="24" t="str">
        <x:v>Prueba práctica</x:v>
      </x:c>
      <x:c r="S210" s="70"/>
      <x:c r="T210" s="24" t="str">
        <x:f>IF(XOR(X210="Reprogramada",X210="Cancelada"),"",IF(AND(Q210&gt;=0.8,S210&gt;=4),"Sí",IF(AND(Q210&gt;=0.65,S210&gt;=3.5),"Parcial","No")))</x:f>
      </x:c>
      <x:c r="U210" s="24" t="str">
        <x:v>Aliado PESV</x:v>
      </x:c>
      <x:c r="V210" s="11" t="str">
        <x:v>Humano (facilitador externo) / Financiero / Logístico / Material didáctico</x:v>
      </x:c>
      <x:c r="W210" s="11" t="str">
        <x:v>Camila Andrea Galván</x:v>
      </x:c>
      <x:c r="X210" s="11" t="str">
        <x:v>Reprogramada</x:v>
      </x:c>
      <x:c r="Y210" s="52" t="str">
        <x:v>Actividad reprogramada por operación, disponibilidad del facilitador o ajustes logísticos.</x:v>
      </x:c>
    </x:row>
    <x:row r="211">
      <x:c r="A211" s="23" t="n">
        <x:v>210</x:v>
      </x:c>
      <x:c r="B211" s="24" t="n">
        <x:v>2024</x:v>
      </x:c>
      <x:c r="C211" s="24" t="str">
        <x:v>Agosto</x:v>
      </x:c>
      <x:c r="D211" s="24" t="n">
        <x:v>8</x:v>
      </x:c>
      <x:c r="E211" s="24" t="str">
        <x:v>Biomecánico</x:v>
      </x:c>
      <x:c r="F211" s="24" t="str">
        <x:v>Taller</x:v>
      </x:c>
      <x:c r="G211" s="24" t="str">
        <x:v>Interno</x:v>
      </x:c>
      <x:c r="H211" s="24" t="str">
        <x:v>Operativos</x:v>
      </x:c>
      <x:c r="I211" s="24" t="str">
        <x:v>Cúcuta</x:v>
      </x:c>
      <x:c r="J211" s="11" t="str">
        <x:v>Manipulación segura de cargas</x:v>
      </x:c>
      <x:c r="K211" s="11" t="str">
        <x:v>Prevenir lesiones asociadas al levantamiento, traslado y ubicación manual de materiales.</x:v>
      </x:c>
      <x:c r="L211" s="24" t="n">
        <x:v>2</x:v>
      </x:c>
      <x:c r="M211" s="58"/>
      <x:c r="N211" s="24" t="n">
        <x:v>0</x:v>
      </x:c>
      <x:c r="O211" s="24" t="n">
        <x:v>80</x:v>
      </x:c>
      <x:c r="P211" s="24"/>
      <x:c r="Q211" s="64" t="n">
        <x:f>IFERROR(P211/O211,0)</x:f>
        <x:v>0</x:v>
      </x:c>
      <x:c r="R211" s="24" t="str">
        <x:v>Observación en puesto</x:v>
      </x:c>
      <x:c r="S211" s="70"/>
      <x:c r="T211" s="24" t="str">
        <x:f>IF(XOR(X211="Reprogramada",X211="Cancelada"),"",IF(AND(Q211&gt;=0.8,S211&gt;=4),"Sí",IF(AND(Q211&gt;=0.65,S211&gt;=3.5),"Parcial","No")))</x:f>
      </x:c>
      <x:c r="U211" s="24" t="str">
        <x:v>Camila Andrea Galván</x:v>
      </x:c>
      <x:c r="V211" s="11" t="str">
        <x:v>Humano (facilitador interno) / Logístico / Material de apoyo</x:v>
      </x:c>
      <x:c r="W211" s="11" t="str">
        <x:v>Jesús Guerrero</x:v>
      </x:c>
      <x:c r="X211" s="11" t="str">
        <x:v>Cancelada</x:v>
      </x:c>
      <x:c r="Y211" s="52" t="str">
        <x:v>Actividad cancelada por reorganización operativa o priorización de otras necesidades.</x:v>
      </x:c>
    </x:row>
    <x:row r="212">
      <x:c r="A212" s="23" t="n">
        <x:v>211</x:v>
      </x:c>
      <x:c r="B212" s="24" t="n">
        <x:v>2024</x:v>
      </x:c>
      <x:c r="C212" s="24" t="str">
        <x:v>Agosto</x:v>
      </x:c>
      <x:c r="D212" s="24" t="n">
        <x:v>8</x:v>
      </x:c>
      <x:c r="E212" s="24" t="str">
        <x:v>Biomecánico</x:v>
      </x:c>
      <x:c r="F212" s="24" t="str">
        <x:v>Taller</x:v>
      </x:c>
      <x:c r="G212" s="24" t="str">
        <x:v>Interno</x:v>
      </x:c>
      <x:c r="H212" s="24" t="str">
        <x:v>Operativos</x:v>
      </x:c>
      <x:c r="I212" s="24" t="str">
        <x:v>Barrancabermeja</x:v>
      </x:c>
      <x:c r="J212" s="11" t="str">
        <x:v>Manipulación segura de cargas</x:v>
      </x:c>
      <x:c r="K212" s="11" t="str">
        <x:v>Prevenir lesiones asociadas al levantamiento, traslado y ubicación manual de materiales.</x:v>
      </x:c>
      <x:c r="L212" s="24" t="n">
        <x:v>2</x:v>
      </x:c>
      <x:c r="M212" s="58" t="n">
        <x:v>45524</x:v>
      </x:c>
      <x:c r="N212" s="24" t="n">
        <x:v>1.5</x:v>
      </x:c>
      <x:c r="O212" s="24" t="n">
        <x:v>54</x:v>
      </x:c>
      <x:c r="P212" s="24" t="n">
        <x:v>46</x:v>
      </x:c>
      <x:c r="Q212" s="64" t="n">
        <x:f>IFERROR(P212/O212,0)</x:f>
        <x:v>0.8518518518518519</x:v>
      </x:c>
      <x:c r="R212" s="24" t="str">
        <x:v>Observación en puesto</x:v>
      </x:c>
      <x:c r="S212" s="70" t="n">
        <x:v>4.2</x:v>
      </x:c>
      <x:c r="T212" s="24" t="str">
        <x:f>IF(XOR(X212="Reprogramada",X212="Cancelada"),"",IF(AND(Q212&gt;=0.8,S212&gt;=4),"Sí",IF(AND(Q212&gt;=0.65,S212&gt;=3.5),"Parcial","No")))</x:f>
        <x:v>Sí</x:v>
      </x:c>
      <x:c r="U212" s="24" t="str">
        <x:v>Camila Andrea Galván</x:v>
      </x:c>
      <x:c r="V212" s="11" t="str">
        <x:v>Humano (facilitador interno) / Logístico / Material de apoyo</x:v>
      </x:c>
      <x:c r="W212" s="11" t="str">
        <x:v>Carlos Felipe Parada Ramón</x:v>
      </x:c>
      <x:c r="X212" s="11" t="str">
        <x:v>Ejecutada</x:v>
      </x:c>
      <x:c r="Y212" s="52" t="str">
        <x:v>Actividad ejecutada satisfactoriamente; mantener evidencia y seguimiento.</x:v>
      </x:c>
    </x:row>
    <x:row r="213">
      <x:c r="A213" s="23" t="n">
        <x:v>212</x:v>
      </x:c>
      <x:c r="B213" s="24" t="n">
        <x:v>2024</x:v>
      </x:c>
      <x:c r="C213" s="24" t="str">
        <x:v>Agosto</x:v>
      </x:c>
      <x:c r="D213" s="24" t="n">
        <x:v>8</x:v>
      </x:c>
      <x:c r="E213" s="24" t="str">
        <x:v>Biomecánico</x:v>
      </x:c>
      <x:c r="F213" s="24" t="str">
        <x:v>Taller</x:v>
      </x:c>
      <x:c r="G213" s="24" t="str">
        <x:v>Interno</x:v>
      </x:c>
      <x:c r="H213" s="24" t="str">
        <x:v>Operativos</x:v>
      </x:c>
      <x:c r="I213" s="24" t="str">
        <x:v>Ocaña</x:v>
      </x:c>
      <x:c r="J213" s="11" t="str">
        <x:v>Manipulación segura de cargas</x:v>
      </x:c>
      <x:c r="K213" s="11" t="str">
        <x:v>Prevenir lesiones asociadas al levantamiento, traslado y ubicación manual de materiales.</x:v>
      </x:c>
      <x:c r="L213" s="24" t="n">
        <x:v>2</x:v>
      </x:c>
      <x:c r="M213" s="58" t="n">
        <x:v>45530</x:v>
      </x:c>
      <x:c r="N213" s="24" t="n">
        <x:v>2</x:v>
      </x:c>
      <x:c r="O213" s="24" t="n">
        <x:v>37</x:v>
      </x:c>
      <x:c r="P213" s="24" t="n">
        <x:v>35</x:v>
      </x:c>
      <x:c r="Q213" s="64" t="n">
        <x:f>IFERROR(P213/O213,0)</x:f>
        <x:v>0.9459459459459459</x:v>
      </x:c>
      <x:c r="R213" s="24" t="str">
        <x:v>Observación en puesto</x:v>
      </x:c>
      <x:c r="S213" s="70" t="n">
        <x:v>4.9</x:v>
      </x:c>
      <x:c r="T213" s="24" t="str">
        <x:f>IF(XOR(X213="Reprogramada",X213="Cancelada"),"",IF(AND(Q213&gt;=0.8,S213&gt;=4),"Sí",IF(AND(Q213&gt;=0.65,S213&gt;=3.5),"Parcial","No")))</x:f>
        <x:v>Sí</x:v>
      </x:c>
      <x:c r="U213" s="24" t="str">
        <x:v>Camila Andrea Galván</x:v>
      </x:c>
      <x:c r="V213" s="11" t="str">
        <x:v>Humano (facilitador interno) / Logístico / Material de apoyo</x:v>
      </x:c>
      <x:c r="W213" s="11" t="str">
        <x:v>Camila Andrea Galván</x:v>
      </x:c>
      <x:c r="X213" s="11" t="str">
        <x:v>Ejecutada</x:v>
      </x:c>
      <x:c r="Y213" s="52" t="str">
        <x:v>Actividad ejecutada satisfactoriamente; mantener evidencia y seguimiento.</x:v>
      </x:c>
    </x:row>
    <x:row r="214">
      <x:c r="A214" s="23" t="n">
        <x:v>213</x:v>
      </x:c>
      <x:c r="B214" s="24" t="n">
        <x:v>2024</x:v>
      </x:c>
      <x:c r="C214" s="24" t="str">
        <x:v>Agosto</x:v>
      </x:c>
      <x:c r="D214" s="24" t="n">
        <x:v>8</x:v>
      </x:c>
      <x:c r="E214" s="24" t="str">
        <x:v>Biomecánico</x:v>
      </x:c>
      <x:c r="F214" s="24" t="str">
        <x:v>Taller</x:v>
      </x:c>
      <x:c r="G214" s="24" t="str">
        <x:v>Interno</x:v>
      </x:c>
      <x:c r="H214" s="24" t="str">
        <x:v>Operativos</x:v>
      </x:c>
      <x:c r="I214" s="24" t="str">
        <x:v>Girón</x:v>
      </x:c>
      <x:c r="J214" s="11" t="str">
        <x:v>Manipulación segura de cargas</x:v>
      </x:c>
      <x:c r="K214" s="11" t="str">
        <x:v>Prevenir lesiones asociadas al levantamiento, traslado y ubicación manual de materiales.</x:v>
      </x:c>
      <x:c r="L214" s="24" t="n">
        <x:v>2</x:v>
      </x:c>
      <x:c r="M214" s="58" t="n">
        <x:v>45522</x:v>
      </x:c>
      <x:c r="N214" s="24" t="n">
        <x:v>2</x:v>
      </x:c>
      <x:c r="O214" s="24" t="n">
        <x:v>42</x:v>
      </x:c>
      <x:c r="P214" s="24" t="n">
        <x:v>37</x:v>
      </x:c>
      <x:c r="Q214" s="64" t="n">
        <x:f>IFERROR(P214/O214,0)</x:f>
        <x:v>0.8809523809523809</x:v>
      </x:c>
      <x:c r="R214" s="24" t="str">
        <x:v>Observación en puesto</x:v>
      </x:c>
      <x:c r="S214" s="70" t="n">
        <x:v>4.9</x:v>
      </x:c>
      <x:c r="T214" s="24" t="str">
        <x:f>IF(XOR(X214="Reprogramada",X214="Cancelada"),"",IF(AND(Q214&gt;=0.8,S214&gt;=4),"Sí",IF(AND(Q214&gt;=0.65,S214&gt;=3.5),"Parcial","No")))</x:f>
        <x:v>Sí</x:v>
      </x:c>
      <x:c r="U214" s="24" t="str">
        <x:v>Camila Andrea Galván</x:v>
      </x:c>
      <x:c r="V214" s="11" t="str">
        <x:v>Humano (facilitador interno) / Logístico / Material de apoyo</x:v>
      </x:c>
      <x:c r="W214" s="11" t="str">
        <x:v>Jesús Guerrero</x:v>
      </x:c>
      <x:c r="X214" s="11" t="str">
        <x:v>Ejecutada</x:v>
      </x:c>
      <x:c r="Y214" s="52" t="str">
        <x:v>Actividad ejecutada satisfactoriamente; mantener evidencia y seguimiento.</x:v>
      </x:c>
    </x:row>
    <x:row r="215">
      <x:c r="A215" s="23" t="n">
        <x:v>214</x:v>
      </x:c>
      <x:c r="B215" s="24" t="n">
        <x:v>2024</x:v>
      </x:c>
      <x:c r="C215" s="24" t="str">
        <x:v>Agosto</x:v>
      </x:c>
      <x:c r="D215" s="24" t="n">
        <x:v>8</x:v>
      </x:c>
      <x:c r="E215" s="24" t="str">
        <x:v>Biomecánico</x:v>
      </x:c>
      <x:c r="F215" s="24" t="str">
        <x:v>Taller</x:v>
      </x:c>
      <x:c r="G215" s="24" t="str">
        <x:v>Interno</x:v>
      </x:c>
      <x:c r="H215" s="24" t="str">
        <x:v>Operativos</x:v>
      </x:c>
      <x:c r="I215" s="24" t="str">
        <x:v>Valledupar</x:v>
      </x:c>
      <x:c r="J215" s="11" t="str">
        <x:v>Manipulación segura de cargas</x:v>
      </x:c>
      <x:c r="K215" s="11" t="str">
        <x:v>Prevenir lesiones asociadas al levantamiento, traslado y ubicación manual de materiales.</x:v>
      </x:c>
      <x:c r="L215" s="24" t="n">
        <x:v>2</x:v>
      </x:c>
      <x:c r="M215" s="58"/>
      <x:c r="N215" s="24" t="n">
        <x:v>0</x:v>
      </x:c>
      <x:c r="O215" s="24" t="n">
        <x:v>48</x:v>
      </x:c>
      <x:c r="P215" s="24"/>
      <x:c r="Q215" s="64" t="n">
        <x:f>IFERROR(P215/O215,0)</x:f>
        <x:v>0</x:v>
      </x:c>
      <x:c r="R215" s="24" t="str">
        <x:v>Observación en puesto</x:v>
      </x:c>
      <x:c r="S215" s="70"/>
      <x:c r="T215" s="24" t="str">
        <x:f>IF(XOR(X215="Reprogramada",X215="Cancelada"),"",IF(AND(Q215&gt;=0.8,S215&gt;=4),"Sí",IF(AND(Q215&gt;=0.65,S215&gt;=3.5),"Parcial","No")))</x:f>
      </x:c>
      <x:c r="U215" s="24" t="str">
        <x:v>Camila Andrea Galván</x:v>
      </x:c>
      <x:c r="V215" s="11" t="str">
        <x:v>Humano (facilitador interno) / Logístico / Material de apoyo</x:v>
      </x:c>
      <x:c r="W215" s="11" t="str">
        <x:v>Carlos Felipe Parada Ramón</x:v>
      </x:c>
      <x:c r="X215" s="11" t="str">
        <x:v>Cancelada</x:v>
      </x:c>
      <x:c r="Y215" s="52" t="str">
        <x:v>Actividad cancelada por reorganización operativa o priorización de otras necesidades.</x:v>
      </x:c>
    </x:row>
    <x:row r="216">
      <x:c r="A216" s="23" t="n">
        <x:v>215</x:v>
      </x:c>
      <x:c r="B216" s="24" t="n">
        <x:v>2024</x:v>
      </x:c>
      <x:c r="C216" s="24" t="str">
        <x:v>Agosto</x:v>
      </x:c>
      <x:c r="D216" s="24" t="n">
        <x:v>8</x:v>
      </x:c>
      <x:c r="E216" s="24" t="str">
        <x:v>Biomecánico</x:v>
      </x:c>
      <x:c r="F216" s="24" t="str">
        <x:v>Taller</x:v>
      </x:c>
      <x:c r="G216" s="24" t="str">
        <x:v>Interno</x:v>
      </x:c>
      <x:c r="H216" s="24" t="str">
        <x:v>Operativos</x:v>
      </x:c>
      <x:c r="I216" s="24" t="str">
        <x:v>Arauca</x:v>
      </x:c>
      <x:c r="J216" s="11" t="str">
        <x:v>Manipulación segura de cargas</x:v>
      </x:c>
      <x:c r="K216" s="11" t="str">
        <x:v>Prevenir lesiones asociadas al levantamiento, traslado y ubicación manual de materiales.</x:v>
      </x:c>
      <x:c r="L216" s="24" t="n">
        <x:v>2</x:v>
      </x:c>
      <x:c r="M216" s="58"/>
      <x:c r="N216" s="24"/>
      <x:c r="O216" s="24" t="n">
        <x:v>30</x:v>
      </x:c>
      <x:c r="P216" s="24"/>
      <x:c r="Q216" s="64" t="n">
        <x:f>IFERROR(P216/O216,0)</x:f>
        <x:v>0</x:v>
      </x:c>
      <x:c r="R216" s="24" t="str">
        <x:v>Observación en puesto</x:v>
      </x:c>
      <x:c r="S216" s="70"/>
      <x:c r="T216" s="24" t="str">
        <x:f>IF(XOR(X216="Reprogramada",X216="Cancelada"),"",IF(AND(Q216&gt;=0.8,S216&gt;=4),"Sí",IF(AND(Q216&gt;=0.65,S216&gt;=3.5),"Parcial","No")))</x:f>
      </x:c>
      <x:c r="U216" s="24" t="str">
        <x:v>Camila Andrea Galván</x:v>
      </x:c>
      <x:c r="V216" s="11" t="str">
        <x:v>Humano (facilitador interno) / Logístico / Material de apoyo</x:v>
      </x:c>
      <x:c r="W216" s="11" t="str">
        <x:v>Camila Andrea Galván</x:v>
      </x:c>
      <x:c r="X216" s="11" t="str">
        <x:v>Reprogramada</x:v>
      </x:c>
      <x:c r="Y216" s="52" t="str">
        <x:v>Actividad reprogramada por operación, disponibilidad del facilitador o ajustes logísticos.</x:v>
      </x:c>
    </x:row>
    <x:row r="217">
      <x:c r="A217" s="23" t="n">
        <x:v>216</x:v>
      </x:c>
      <x:c r="B217" s="24" t="n">
        <x:v>2024</x:v>
      </x:c>
      <x:c r="C217" s="24" t="str">
        <x:v>Agosto</x:v>
      </x:c>
      <x:c r="D217" s="24" t="n">
        <x:v>8</x:v>
      </x:c>
      <x:c r="E217" s="24" t="str">
        <x:v>Biomecánico</x:v>
      </x:c>
      <x:c r="F217" s="24" t="str">
        <x:v>Taller</x:v>
      </x:c>
      <x:c r="G217" s="24" t="str">
        <x:v>Interno</x:v>
      </x:c>
      <x:c r="H217" s="24" t="str">
        <x:v>Operativos</x:v>
      </x:c>
      <x:c r="I217" s="24" t="str">
        <x:v>Bogotá</x:v>
      </x:c>
      <x:c r="J217" s="11" t="str">
        <x:v>Manipulación segura de cargas</x:v>
      </x:c>
      <x:c r="K217" s="11" t="str">
        <x:v>Prevenir lesiones asociadas al levantamiento, traslado y ubicación manual de materiales.</x:v>
      </x:c>
      <x:c r="L217" s="24" t="n">
        <x:v>2</x:v>
      </x:c>
      <x:c r="M217" s="58" t="n">
        <x:v>45530</x:v>
      </x:c>
      <x:c r="N217" s="24" t="n">
        <x:v>1.5</x:v>
      </x:c>
      <x:c r="O217" s="24" t="n">
        <x:v>65</x:v>
      </x:c>
      <x:c r="P217" s="24" t="n">
        <x:v>62</x:v>
      </x:c>
      <x:c r="Q217" s="64" t="n">
        <x:f>IFERROR(P217/O217,0)</x:f>
        <x:v>0.9538461538461539</x:v>
      </x:c>
      <x:c r="R217" s="24" t="str">
        <x:v>Observación en puesto</x:v>
      </x:c>
      <x:c r="S217" s="70" t="n">
        <x:v>4.3</x:v>
      </x:c>
      <x:c r="T217" s="24" t="str">
        <x:f>IF(XOR(X217="Reprogramada",X217="Cancelada"),"",IF(AND(Q217&gt;=0.8,S217&gt;=4),"Sí",IF(AND(Q217&gt;=0.65,S217&gt;=3.5),"Parcial","No")))</x:f>
        <x:v>Sí</x:v>
      </x:c>
      <x:c r="U217" s="24" t="str">
        <x:v>Camila Andrea Galván</x:v>
      </x:c>
      <x:c r="V217" s="11" t="str">
        <x:v>Humano (facilitador interno) / Logístico / Material de apoyo</x:v>
      </x:c>
      <x:c r="W217" s="11" t="str">
        <x:v>Jesús Guerrero</x:v>
      </x:c>
      <x:c r="X217" s="11" t="str">
        <x:v>Ejecutada</x:v>
      </x:c>
      <x:c r="Y217" s="52" t="str">
        <x:v>Actividad ejecutada satisfactoriamente; mantener evidencia y seguimiento.</x:v>
      </x:c>
    </x:row>
    <x:row r="218">
      <x:c r="A218" s="23" t="n">
        <x:v>217</x:v>
      </x:c>
      <x:c r="B218" s="24" t="n">
        <x:v>2024</x:v>
      </x:c>
      <x:c r="C218" s="24" t="str">
        <x:v>Agosto</x:v>
      </x:c>
      <x:c r="D218" s="24" t="n">
        <x:v>8</x:v>
      </x:c>
      <x:c r="E218" s="24" t="str">
        <x:v>Biomecánico</x:v>
      </x:c>
      <x:c r="F218" s="24" t="str">
        <x:v>Taller</x:v>
      </x:c>
      <x:c r="G218" s="24" t="str">
        <x:v>Interno</x:v>
      </x:c>
      <x:c r="H218" s="24" t="str">
        <x:v>Operativos</x:v>
      </x:c>
      <x:c r="I218" s="24" t="str">
        <x:v>Tibú</x:v>
      </x:c>
      <x:c r="J218" s="11" t="str">
        <x:v>Manipulación segura de cargas</x:v>
      </x:c>
      <x:c r="K218" s="11" t="str">
        <x:v>Prevenir lesiones asociadas al levantamiento, traslado y ubicación manual de materiales.</x:v>
      </x:c>
      <x:c r="L218" s="24" t="n">
        <x:v>2</x:v>
      </x:c>
      <x:c r="M218" s="58" t="n">
        <x:v>45526</x:v>
      </x:c>
      <x:c r="N218" s="24" t="n">
        <x:v>1.5</x:v>
      </x:c>
      <x:c r="O218" s="24" t="n">
        <x:v>32</x:v>
      </x:c>
      <x:c r="P218" s="24" t="n">
        <x:v>30</x:v>
      </x:c>
      <x:c r="Q218" s="64" t="n">
        <x:f>IFERROR(P218/O218,0)</x:f>
        <x:v>0.9375</x:v>
      </x:c>
      <x:c r="R218" s="24" t="str">
        <x:v>Observación en puesto</x:v>
      </x:c>
      <x:c r="S218" s="70" t="n">
        <x:v>4.4</x:v>
      </x:c>
      <x:c r="T218" s="24" t="str">
        <x:f>IF(XOR(X218="Reprogramada",X218="Cancelada"),"",IF(AND(Q218&gt;=0.8,S218&gt;=4),"Sí",IF(AND(Q218&gt;=0.65,S218&gt;=3.5),"Parcial","No")))</x:f>
        <x:v>Sí</x:v>
      </x:c>
      <x:c r="U218" s="24" t="str">
        <x:v>Camila Andrea Galván</x:v>
      </x:c>
      <x:c r="V218" s="11" t="str">
        <x:v>Humano (facilitador interno) / Logístico / Material de apoyo</x:v>
      </x:c>
      <x:c r="W218" s="11" t="str">
        <x:v>Carlos Felipe Parada Ramón</x:v>
      </x:c>
      <x:c r="X218" s="11" t="str">
        <x:v>Ejecutada</x:v>
      </x:c>
      <x:c r="Y218" s="52" t="str">
        <x:v>Actividad ejecutada satisfactoriamente; mantener evidencia y seguimiento.</x:v>
      </x:c>
    </x:row>
    <x:row r="219">
      <x:c r="A219" s="23" t="n">
        <x:v>218</x:v>
      </x:c>
      <x:c r="B219" s="24" t="n">
        <x:v>2024</x:v>
      </x:c>
      <x:c r="C219" s="24" t="str">
        <x:v>Agosto</x:v>
      </x:c>
      <x:c r="D219" s="24" t="n">
        <x:v>8</x:v>
      </x:c>
      <x:c r="E219" s="24" t="str">
        <x:v>Biomecánico</x:v>
      </x:c>
      <x:c r="F219" s="24" t="str">
        <x:v>Taller</x:v>
      </x:c>
      <x:c r="G219" s="24" t="str">
        <x:v>Interno</x:v>
      </x:c>
      <x:c r="H219" s="24" t="str">
        <x:v>Operativos</x:v>
      </x:c>
      <x:c r="I219" s="24" t="str">
        <x:v>Medellín</x:v>
      </x:c>
      <x:c r="J219" s="11" t="str">
        <x:v>Manipulación segura de cargas</x:v>
      </x:c>
      <x:c r="K219" s="11" t="str">
        <x:v>Prevenir lesiones asociadas al levantamiento, traslado y ubicación manual de materiales.</x:v>
      </x:c>
      <x:c r="L219" s="24" t="n">
        <x:v>2</x:v>
      </x:c>
      <x:c r="M219" s="58" t="n">
        <x:v>45519</x:v>
      </x:c>
      <x:c r="N219" s="24" t="n">
        <x:v>1.5</x:v>
      </x:c>
      <x:c r="O219" s="24" t="n">
        <x:v>60</x:v>
      </x:c>
      <x:c r="P219" s="24" t="n">
        <x:v>47</x:v>
      </x:c>
      <x:c r="Q219" s="64" t="n">
        <x:f>IFERROR(P219/O219,0)</x:f>
        <x:v>0.7833333333333333</x:v>
      </x:c>
      <x:c r="R219" s="24" t="str">
        <x:v>Observación en puesto</x:v>
      </x:c>
      <x:c r="S219" s="70" t="n">
        <x:v>4.9</x:v>
      </x:c>
      <x:c r="T219" s="24" t="str">
        <x:f>IF(XOR(X219="Reprogramada",X219="Cancelada"),"",IF(AND(Q219&gt;=0.8,S219&gt;=4),"Sí",IF(AND(Q219&gt;=0.65,S219&gt;=3.5),"Parcial","No")))</x:f>
        <x:v>Parcial</x:v>
      </x:c>
      <x:c r="U219" s="24" t="str">
        <x:v>Camila Andrea Galván</x:v>
      </x:c>
      <x:c r="V219" s="11" t="str">
        <x:v>Humano (facilitador interno) / Logístico / Material de apoyo</x:v>
      </x:c>
      <x:c r="W219" s="11" t="str">
        <x:v>Camila Andrea Galván</x:v>
      </x:c>
      <x:c r="X219" s="11" t="str">
        <x:v>Ejecutada</x:v>
      </x:c>
      <x:c r="Y219" s="52" t="str">
        <x:v>Actividad ejecutada satisfactoriamente; mantener evidencia y seguimiento.</x:v>
      </x:c>
    </x:row>
    <x:row r="220">
      <x:c r="A220" s="23" t="n">
        <x:v>219</x:v>
      </x:c>
      <x:c r="B220" s="24" t="n">
        <x:v>2024</x:v>
      </x:c>
      <x:c r="C220" s="24" t="str">
        <x:v>Agosto</x:v>
      </x:c>
      <x:c r="D220" s="24" t="n">
        <x:v>8</x:v>
      </x:c>
      <x:c r="E220" s="24" t="str">
        <x:v>Biomecánico</x:v>
      </x:c>
      <x:c r="F220" s="24" t="str">
        <x:v>Taller</x:v>
      </x:c>
      <x:c r="G220" s="24" t="str">
        <x:v>Interno</x:v>
      </x:c>
      <x:c r="H220" s="24" t="str">
        <x:v>Operativos</x:v>
      </x:c>
      <x:c r="I220" s="24" t="str">
        <x:v>Ábrego</x:v>
      </x:c>
      <x:c r="J220" s="11" t="str">
        <x:v>Manipulación segura de cargas</x:v>
      </x:c>
      <x:c r="K220" s="11" t="str">
        <x:v>Prevenir lesiones asociadas al levantamiento, traslado y ubicación manual de materiales.</x:v>
      </x:c>
      <x:c r="L220" s="24" t="n">
        <x:v>2</x:v>
      </x:c>
      <x:c r="M220" s="58" t="n">
        <x:v>45517</x:v>
      </x:c>
      <x:c r="N220" s="24" t="n">
        <x:v>1.5</x:v>
      </x:c>
      <x:c r="O220" s="24" t="n">
        <x:v>25</x:v>
      </x:c>
      <x:c r="P220" s="24" t="n">
        <x:v>21</x:v>
      </x:c>
      <x:c r="Q220" s="64" t="n">
        <x:f>IFERROR(P220/O220,0)</x:f>
        <x:v>0.84</x:v>
      </x:c>
      <x:c r="R220" s="24" t="str">
        <x:v>Observación en puesto</x:v>
      </x:c>
      <x:c r="S220" s="70" t="n">
        <x:v>4.4</x:v>
      </x:c>
      <x:c r="T220" s="24" t="str">
        <x:f>IF(XOR(X220="Reprogramada",X220="Cancelada"),"",IF(AND(Q220&gt;=0.8,S220&gt;=4),"Sí",IF(AND(Q220&gt;=0.65,S220&gt;=3.5),"Parcial","No")))</x:f>
        <x:v>Sí</x:v>
      </x:c>
      <x:c r="U220" s="24" t="str">
        <x:v>Camila Andrea Galván</x:v>
      </x:c>
      <x:c r="V220" s="11" t="str">
        <x:v>Humano (facilitador interno) / Logístico / Material de apoyo</x:v>
      </x:c>
      <x:c r="W220" s="11" t="str">
        <x:v>Jesús Guerrero</x:v>
      </x:c>
      <x:c r="X220" s="11" t="str">
        <x:v>Ejecutada</x:v>
      </x:c>
      <x:c r="Y220" s="52" t="str">
        <x:v>Actividad ejecutada satisfactoriamente; mantener evidencia y seguimiento.</x:v>
      </x:c>
    </x:row>
    <x:row r="221">
      <x:c r="A221" s="23" t="n">
        <x:v>220</x:v>
      </x:c>
      <x:c r="B221" s="24" t="n">
        <x:v>2024</x:v>
      </x:c>
      <x:c r="C221" s="24" t="str">
        <x:v>Agosto</x:v>
      </x:c>
      <x:c r="D221" s="24" t="n">
        <x:v>8</x:v>
      </x:c>
      <x:c r="E221" s="24" t="str">
        <x:v>Biomecánico</x:v>
      </x:c>
      <x:c r="F221" s="24" t="str">
        <x:v>Taller</x:v>
      </x:c>
      <x:c r="G221" s="24" t="str">
        <x:v>Interno</x:v>
      </x:c>
      <x:c r="H221" s="24" t="str">
        <x:v>Operativos</x:v>
      </x:c>
      <x:c r="I221" s="24" t="str">
        <x:v>Pamplona</x:v>
      </x:c>
      <x:c r="J221" s="11" t="str">
        <x:v>Manipulación segura de cargas</x:v>
      </x:c>
      <x:c r="K221" s="11" t="str">
        <x:v>Prevenir lesiones asociadas al levantamiento, traslado y ubicación manual de materiales.</x:v>
      </x:c>
      <x:c r="L221" s="24" t="n">
        <x:v>2</x:v>
      </x:c>
      <x:c r="M221" s="58" t="n">
        <x:v>45527</x:v>
      </x:c>
      <x:c r="N221" s="24" t="n">
        <x:v>2</x:v>
      </x:c>
      <x:c r="O221" s="24" t="n">
        <x:v>28</x:v>
      </x:c>
      <x:c r="P221" s="24" t="n">
        <x:v>24</x:v>
      </x:c>
      <x:c r="Q221" s="64" t="n">
        <x:f>IFERROR(P221/O221,0)</x:f>
        <x:v>0.8571428571428571</x:v>
      </x:c>
      <x:c r="R221" s="24" t="str">
        <x:v>Observación en puesto</x:v>
      </x:c>
      <x:c r="S221" s="70" t="n">
        <x:v>4.4</x:v>
      </x:c>
      <x:c r="T221" s="24" t="str">
        <x:f>IF(XOR(X221="Reprogramada",X221="Cancelada"),"",IF(AND(Q221&gt;=0.8,S221&gt;=4),"Sí",IF(AND(Q221&gt;=0.65,S221&gt;=3.5),"Parcial","No")))</x:f>
        <x:v>Sí</x:v>
      </x:c>
      <x:c r="U221" s="24" t="str">
        <x:v>Camila Andrea Galván</x:v>
      </x:c>
      <x:c r="V221" s="11" t="str">
        <x:v>Humano (facilitador interno) / Logístico / Material de apoyo</x:v>
      </x:c>
      <x:c r="W221" s="11" t="str">
        <x:v>Carlos Felipe Parada Ramón</x:v>
      </x:c>
      <x:c r="X221" s="11" t="str">
        <x:v>Ejecutada</x:v>
      </x:c>
      <x:c r="Y221" s="52" t="str">
        <x:v>Actividad ejecutada satisfactoriamente; mantener evidencia y seguimiento.</x:v>
      </x:c>
    </x:row>
    <x:row r="222">
      <x:c r="A222" s="23" t="n">
        <x:v>221</x:v>
      </x:c>
      <x:c r="B222" s="24" t="n">
        <x:v>2024</x:v>
      </x:c>
      <x:c r="C222" s="24" t="str">
        <x:v>Septiembre</x:v>
      </x:c>
      <x:c r="D222" s="24" t="n">
        <x:v>9</x:v>
      </x:c>
      <x:c r="E222" s="24" t="str">
        <x:v>Prevención del consumo</x:v>
      </x:c>
      <x:c r="F222" s="24" t="str">
        <x:v>Socialización</x:v>
      </x:c>
      <x:c r="G222" s="24" t="str">
        <x:v>Interno</x:v>
      </x:c>
      <x:c r="H222" s="24" t="str">
        <x:v>Todos</x:v>
      </x:c>
      <x:c r="I222" s="24" t="str">
        <x:v>Cúcuta</x:v>
      </x:c>
      <x:c r="J222" s="11" t="str">
        <x:v>Prevención del consumo de alcohol, tabaco y sustancias</x:v>
      </x:c>
      <x:c r="K222" s="11" t="str">
        <x:v>Sensibilizar sobre efectos del consumo y su impacto en la seguridad, salud y convivencia.</x:v>
      </x:c>
      <x:c r="L222" s="24" t="n">
        <x:v>1</x:v>
      </x:c>
      <x:c r="M222" s="58" t="n">
        <x:v>45547</x:v>
      </x:c>
      <x:c r="N222" s="24" t="n">
        <x:v>1</x:v>
      </x:c>
      <x:c r="O222" s="24" t="n">
        <x:v>80</x:v>
      </x:c>
      <x:c r="P222" s="24" t="n">
        <x:v>67</x:v>
      </x:c>
      <x:c r="Q222" s="64" t="n">
        <x:f>IFERROR(P222/O222,0)</x:f>
        <x:v>0.8375</x:v>
      </x:c>
      <x:c r="R222" s="24" t="str">
        <x:v>Encuesta de comprensión</x:v>
      </x:c>
      <x:c r="S222" s="70" t="n">
        <x:v>4.4</x:v>
      </x:c>
      <x:c r="T222" s="24" t="str">
        <x:f>IF(XOR(X222="Reprogramada",X222="Cancelada"),"",IF(AND(Q222&gt;=0.8,S222&gt;=4),"Sí",IF(AND(Q222&gt;=0.65,S222&gt;=3.5),"Parcial","No")))</x:f>
        <x:v>Sí</x:v>
      </x:c>
      <x:c r="U222" s="24" t="str">
        <x:v>Jesús Guerrero</x:v>
      </x:c>
      <x:c r="V222" s="11" t="str">
        <x:v>Humano (facilitador interno) / Logístico / Material de apoyo</x:v>
      </x:c>
      <x:c r="W222" s="11" t="str">
        <x:v>Camila Andrea Galván</x:v>
      </x:c>
      <x:c r="X222" s="11" t="str">
        <x:v>Ejecutada</x:v>
      </x:c>
      <x:c r="Y222" s="52" t="str">
        <x:v>Actividad ejecutada satisfactoriamente; mantener evidencia y seguimiento.</x:v>
      </x:c>
    </x:row>
    <x:row r="223">
      <x:c r="A223" s="23" t="n">
        <x:v>222</x:v>
      </x:c>
      <x:c r="B223" s="24" t="n">
        <x:v>2024</x:v>
      </x:c>
      <x:c r="C223" s="24" t="str">
        <x:v>Septiembre</x:v>
      </x:c>
      <x:c r="D223" s="24" t="n">
        <x:v>9</x:v>
      </x:c>
      <x:c r="E223" s="24" t="str">
        <x:v>Prevención del consumo</x:v>
      </x:c>
      <x:c r="F223" s="24" t="str">
        <x:v>Socialización</x:v>
      </x:c>
      <x:c r="G223" s="24" t="str">
        <x:v>Interno</x:v>
      </x:c>
      <x:c r="H223" s="24" t="str">
        <x:v>Todos</x:v>
      </x:c>
      <x:c r="I223" s="24" t="str">
        <x:v>Barrancabermeja</x:v>
      </x:c>
      <x:c r="J223" s="11" t="str">
        <x:v>Prevención del consumo de alcohol, tabaco y sustancias</x:v>
      </x:c>
      <x:c r="K223" s="11" t="str">
        <x:v>Sensibilizar sobre efectos del consumo y su impacto en la seguridad, salud y convivencia.</x:v>
      </x:c>
      <x:c r="L223" s="24" t="n">
        <x:v>1</x:v>
      </x:c>
      <x:c r="M223" s="58" t="n">
        <x:v>45547</x:v>
      </x:c>
      <x:c r="N223" s="24" t="n">
        <x:v>1</x:v>
      </x:c>
      <x:c r="O223" s="24" t="n">
        <x:v>54</x:v>
      </x:c>
      <x:c r="P223" s="24" t="n">
        <x:v>44</x:v>
      </x:c>
      <x:c r="Q223" s="64" t="n">
        <x:f>IFERROR(P223/O223,0)</x:f>
        <x:v>0.8148148148148148</x:v>
      </x:c>
      <x:c r="R223" s="24" t="str">
        <x:v>Encuesta de comprensión</x:v>
      </x:c>
      <x:c r="S223" s="70" t="n">
        <x:v>4.2</x:v>
      </x:c>
      <x:c r="T223" s="24" t="str">
        <x:f>IF(XOR(X223="Reprogramada",X223="Cancelada"),"",IF(AND(Q223&gt;=0.8,S223&gt;=4),"Sí",IF(AND(Q223&gt;=0.65,S223&gt;=3.5),"Parcial","No")))</x:f>
        <x:v>Sí</x:v>
      </x:c>
      <x:c r="U223" s="24" t="str">
        <x:v>Jesús Guerrero</x:v>
      </x:c>
      <x:c r="V223" s="11" t="str">
        <x:v>Humano (facilitador interno) / Logístico / Material de apoyo</x:v>
      </x:c>
      <x:c r="W223" s="11" t="str">
        <x:v>Jesús Guerrero</x:v>
      </x:c>
      <x:c r="X223" s="11" t="str">
        <x:v>Ejecutada</x:v>
      </x:c>
      <x:c r="Y223" s="52" t="str">
        <x:v>Actividad ejecutada satisfactoriamente; mantener evidencia y seguimiento.</x:v>
      </x:c>
    </x:row>
    <x:row r="224">
      <x:c r="A224" s="23" t="n">
        <x:v>223</x:v>
      </x:c>
      <x:c r="B224" s="24" t="n">
        <x:v>2024</x:v>
      </x:c>
      <x:c r="C224" s="24" t="str">
        <x:v>Septiembre</x:v>
      </x:c>
      <x:c r="D224" s="24" t="n">
        <x:v>9</x:v>
      </x:c>
      <x:c r="E224" s="24" t="str">
        <x:v>Prevención del consumo</x:v>
      </x:c>
      <x:c r="F224" s="24" t="str">
        <x:v>Socialización</x:v>
      </x:c>
      <x:c r="G224" s="24" t="str">
        <x:v>Interno</x:v>
      </x:c>
      <x:c r="H224" s="24" t="str">
        <x:v>Todos</x:v>
      </x:c>
      <x:c r="I224" s="24" t="str">
        <x:v>Ocaña</x:v>
      </x:c>
      <x:c r="J224" s="11" t="str">
        <x:v>Prevención del consumo de alcohol, tabaco y sustancias</x:v>
      </x:c>
      <x:c r="K224" s="11" t="str">
        <x:v>Sensibilizar sobre efectos del consumo y su impacto en la seguridad, salud y convivencia.</x:v>
      </x:c>
      <x:c r="L224" s="24" t="n">
        <x:v>1</x:v>
      </x:c>
      <x:c r="M224" s="58" t="n">
        <x:v>45549</x:v>
      </x:c>
      <x:c r="N224" s="24" t="n">
        <x:v>1</x:v>
      </x:c>
      <x:c r="O224" s="24" t="n">
        <x:v>37</x:v>
      </x:c>
      <x:c r="P224" s="24" t="n">
        <x:v>36</x:v>
      </x:c>
      <x:c r="Q224" s="64" t="n">
        <x:f>IFERROR(P224/O224,0)</x:f>
        <x:v>0.972972972972973</x:v>
      </x:c>
      <x:c r="R224" s="24" t="str">
        <x:v>Encuesta de comprensión</x:v>
      </x:c>
      <x:c r="S224" s="70" t="n">
        <x:v>4.4</x:v>
      </x:c>
      <x:c r="T224" s="24" t="str">
        <x:f>IF(XOR(X224="Reprogramada",X224="Cancelada"),"",IF(AND(Q224&gt;=0.8,S224&gt;=4),"Sí",IF(AND(Q224&gt;=0.65,S224&gt;=3.5),"Parcial","No")))</x:f>
        <x:v>Sí</x:v>
      </x:c>
      <x:c r="U224" s="24" t="str">
        <x:v>Jesús Guerrero</x:v>
      </x:c>
      <x:c r="V224" s="11" t="str">
        <x:v>Humano (facilitador interno) / Logístico / Material de apoyo</x:v>
      </x:c>
      <x:c r="W224" s="11" t="str">
        <x:v>Carlos Felipe Parada Ramón</x:v>
      </x:c>
      <x:c r="X224" s="11" t="str">
        <x:v>Ejecutada</x:v>
      </x:c>
      <x:c r="Y224" s="52" t="str">
        <x:v>Actividad ejecutada satisfactoriamente; mantener evidencia y seguimiento.</x:v>
      </x:c>
    </x:row>
    <x:row r="225">
      <x:c r="A225" s="23" t="n">
        <x:v>224</x:v>
      </x:c>
      <x:c r="B225" s="24" t="n">
        <x:v>2024</x:v>
      </x:c>
      <x:c r="C225" s="24" t="str">
        <x:v>Septiembre</x:v>
      </x:c>
      <x:c r="D225" s="24" t="n">
        <x:v>9</x:v>
      </x:c>
      <x:c r="E225" s="24" t="str">
        <x:v>Prevención del consumo</x:v>
      </x:c>
      <x:c r="F225" s="24" t="str">
        <x:v>Socialización</x:v>
      </x:c>
      <x:c r="G225" s="24" t="str">
        <x:v>Interno</x:v>
      </x:c>
      <x:c r="H225" s="24" t="str">
        <x:v>Todos</x:v>
      </x:c>
      <x:c r="I225" s="24" t="str">
        <x:v>Girón</x:v>
      </x:c>
      <x:c r="J225" s="11" t="str">
        <x:v>Prevención del consumo de alcohol, tabaco y sustancias</x:v>
      </x:c>
      <x:c r="K225" s="11" t="str">
        <x:v>Sensibilizar sobre efectos del consumo y su impacto en la seguridad, salud y convivencia.</x:v>
      </x:c>
      <x:c r="L225" s="24" t="n">
        <x:v>1</x:v>
      </x:c>
      <x:c r="M225" s="58" t="n">
        <x:v>45557</x:v>
      </x:c>
      <x:c r="N225" s="24" t="n">
        <x:v>1</x:v>
      </x:c>
      <x:c r="O225" s="24" t="n">
        <x:v>42</x:v>
      </x:c>
      <x:c r="P225" s="24" t="n">
        <x:v>33</x:v>
      </x:c>
      <x:c r="Q225" s="64" t="n">
        <x:f>IFERROR(P225/O225,0)</x:f>
        <x:v>0.7857142857142857</x:v>
      </x:c>
      <x:c r="R225" s="24" t="str">
        <x:v>Encuesta de comprensión</x:v>
      </x:c>
      <x:c r="S225" s="70" t="n">
        <x:v>4.7</x:v>
      </x:c>
      <x:c r="T225" s="24" t="str">
        <x:f>IF(XOR(X225="Reprogramada",X225="Cancelada"),"",IF(AND(Q225&gt;=0.8,S225&gt;=4),"Sí",IF(AND(Q225&gt;=0.65,S225&gt;=3.5),"Parcial","No")))</x:f>
        <x:v>Parcial</x:v>
      </x:c>
      <x:c r="U225" s="24" t="str">
        <x:v>Jesús Guerrero</x:v>
      </x:c>
      <x:c r="V225" s="11" t="str">
        <x:v>Humano (facilitador interno) / Logístico / Material de apoyo</x:v>
      </x:c>
      <x:c r="W225" s="11" t="str">
        <x:v>Camila Andrea Galván</x:v>
      </x:c>
      <x:c r="X225" s="11" t="str">
        <x:v>Ejecutada</x:v>
      </x:c>
      <x:c r="Y225" s="52" t="str">
        <x:v>Actividad ejecutada satisfactoriamente; mantener evidencia y seguimiento.</x:v>
      </x:c>
    </x:row>
    <x:row r="226">
      <x:c r="A226" s="23" t="n">
        <x:v>225</x:v>
      </x:c>
      <x:c r="B226" s="24" t="n">
        <x:v>2024</x:v>
      </x:c>
      <x:c r="C226" s="24" t="str">
        <x:v>Septiembre</x:v>
      </x:c>
      <x:c r="D226" s="24" t="n">
        <x:v>9</x:v>
      </x:c>
      <x:c r="E226" s="24" t="str">
        <x:v>Prevención del consumo</x:v>
      </x:c>
      <x:c r="F226" s="24" t="str">
        <x:v>Socialización</x:v>
      </x:c>
      <x:c r="G226" s="24" t="str">
        <x:v>Interno</x:v>
      </x:c>
      <x:c r="H226" s="24" t="str">
        <x:v>Todos</x:v>
      </x:c>
      <x:c r="I226" s="24" t="str">
        <x:v>Valledupar</x:v>
      </x:c>
      <x:c r="J226" s="11" t="str">
        <x:v>Prevención del consumo de alcohol, tabaco y sustancias</x:v>
      </x:c>
      <x:c r="K226" s="11" t="str">
        <x:v>Sensibilizar sobre efectos del consumo y su impacto en la seguridad, salud y convivencia.</x:v>
      </x:c>
      <x:c r="L226" s="24" t="n">
        <x:v>1</x:v>
      </x:c>
      <x:c r="M226" s="58" t="n">
        <x:v>45555</x:v>
      </x:c>
      <x:c r="N226" s="24" t="n">
        <x:v>1</x:v>
      </x:c>
      <x:c r="O226" s="24" t="n">
        <x:v>48</x:v>
      </x:c>
      <x:c r="P226" s="24" t="n">
        <x:v>39</x:v>
      </x:c>
      <x:c r="Q226" s="64" t="n">
        <x:f>IFERROR(P226/O226,0)</x:f>
        <x:v>0.8125</x:v>
      </x:c>
      <x:c r="R226" s="24" t="str">
        <x:v>Encuesta de comprensión</x:v>
      </x:c>
      <x:c r="S226" s="70" t="n">
        <x:v>4.5</x:v>
      </x:c>
      <x:c r="T226" s="24" t="str">
        <x:f>IF(XOR(X226="Reprogramada",X226="Cancelada"),"",IF(AND(Q226&gt;=0.8,S226&gt;=4),"Sí",IF(AND(Q226&gt;=0.65,S226&gt;=3.5),"Parcial","No")))</x:f>
        <x:v>Sí</x:v>
      </x:c>
      <x:c r="U226" s="24" t="str">
        <x:v>Jesús Guerrero</x:v>
      </x:c>
      <x:c r="V226" s="11" t="str">
        <x:v>Humano (facilitador interno) / Logístico / Material de apoyo</x:v>
      </x:c>
      <x:c r="W226" s="11" t="str">
        <x:v>Jesús Guerrero</x:v>
      </x:c>
      <x:c r="X226" s="11" t="str">
        <x:v>Ejecutada</x:v>
      </x:c>
      <x:c r="Y226" s="52" t="str">
        <x:v>Actividad ejecutada satisfactoriamente; mantener evidencia y seguimiento.</x:v>
      </x:c>
    </x:row>
    <x:row r="227">
      <x:c r="A227" s="23" t="n">
        <x:v>226</x:v>
      </x:c>
      <x:c r="B227" s="24" t="n">
        <x:v>2024</x:v>
      </x:c>
      <x:c r="C227" s="24" t="str">
        <x:v>Septiembre</x:v>
      </x:c>
      <x:c r="D227" s="24" t="n">
        <x:v>9</x:v>
      </x:c>
      <x:c r="E227" s="24" t="str">
        <x:v>Prevención del consumo</x:v>
      </x:c>
      <x:c r="F227" s="24" t="str">
        <x:v>Socialización</x:v>
      </x:c>
      <x:c r="G227" s="24" t="str">
        <x:v>Interno</x:v>
      </x:c>
      <x:c r="H227" s="24" t="str">
        <x:v>Todos</x:v>
      </x:c>
      <x:c r="I227" s="24" t="str">
        <x:v>Arauca</x:v>
      </x:c>
      <x:c r="J227" s="11" t="str">
        <x:v>Prevención del consumo de alcohol, tabaco y sustancias</x:v>
      </x:c>
      <x:c r="K227" s="11" t="str">
        <x:v>Sensibilizar sobre efectos del consumo y su impacto en la seguridad, salud y convivencia.</x:v>
      </x:c>
      <x:c r="L227" s="24" t="n">
        <x:v>1</x:v>
      </x:c>
      <x:c r="M227" s="58" t="n">
        <x:v>45554</x:v>
      </x:c>
      <x:c r="N227" s="24" t="n">
        <x:v>1</x:v>
      </x:c>
      <x:c r="O227" s="24" t="n">
        <x:v>30</x:v>
      </x:c>
      <x:c r="P227" s="24" t="n">
        <x:v>27</x:v>
      </x:c>
      <x:c r="Q227" s="64" t="n">
        <x:f>IFERROR(P227/O227,0)</x:f>
        <x:v>0.9</x:v>
      </x:c>
      <x:c r="R227" s="24" t="str">
        <x:v>Encuesta de comprensión</x:v>
      </x:c>
      <x:c r="S227" s="70" t="n">
        <x:v>4.2</x:v>
      </x:c>
      <x:c r="T227" s="24" t="str">
        <x:f>IF(XOR(X227="Reprogramada",X227="Cancelada"),"",IF(AND(Q227&gt;=0.8,S227&gt;=4),"Sí",IF(AND(Q227&gt;=0.65,S227&gt;=3.5),"Parcial","No")))</x:f>
        <x:v>Sí</x:v>
      </x:c>
      <x:c r="U227" s="24" t="str">
        <x:v>Jesús Guerrero</x:v>
      </x:c>
      <x:c r="V227" s="11" t="str">
        <x:v>Humano (facilitador interno) / Logístico / Material de apoyo</x:v>
      </x:c>
      <x:c r="W227" s="11" t="str">
        <x:v>Carlos Felipe Parada Ramón</x:v>
      </x:c>
      <x:c r="X227" s="11" t="str">
        <x:v>Ejecutada</x:v>
      </x:c>
      <x:c r="Y227" s="52" t="str">
        <x:v>Actividad ejecutada satisfactoriamente; mantener evidencia y seguimiento.</x:v>
      </x:c>
    </x:row>
    <x:row r="228">
      <x:c r="A228" s="23" t="n">
        <x:v>227</x:v>
      </x:c>
      <x:c r="B228" s="24" t="n">
        <x:v>2024</x:v>
      </x:c>
      <x:c r="C228" s="24" t="str">
        <x:v>Septiembre</x:v>
      </x:c>
      <x:c r="D228" s="24" t="n">
        <x:v>9</x:v>
      </x:c>
      <x:c r="E228" s="24" t="str">
        <x:v>Prevención del consumo</x:v>
      </x:c>
      <x:c r="F228" s="24" t="str">
        <x:v>Socialización</x:v>
      </x:c>
      <x:c r="G228" s="24" t="str">
        <x:v>Interno</x:v>
      </x:c>
      <x:c r="H228" s="24" t="str">
        <x:v>Todos</x:v>
      </x:c>
      <x:c r="I228" s="24" t="str">
        <x:v>Bogotá</x:v>
      </x:c>
      <x:c r="J228" s="11" t="str">
        <x:v>Prevención del consumo de alcohol, tabaco y sustancias</x:v>
      </x:c>
      <x:c r="K228" s="11" t="str">
        <x:v>Sensibilizar sobre efectos del consumo y su impacto en la seguridad, salud y convivencia.</x:v>
      </x:c>
      <x:c r="L228" s="24" t="n">
        <x:v>1</x:v>
      </x:c>
      <x:c r="M228" s="58" t="n">
        <x:v>45558</x:v>
      </x:c>
      <x:c r="N228" s="24" t="n">
        <x:v>1.5</x:v>
      </x:c>
      <x:c r="O228" s="24" t="n">
        <x:v>65</x:v>
      </x:c>
      <x:c r="P228" s="24" t="n">
        <x:v>52</x:v>
      </x:c>
      <x:c r="Q228" s="64" t="n">
        <x:f>IFERROR(P228/O228,0)</x:f>
        <x:v>0.8</x:v>
      </x:c>
      <x:c r="R228" s="24" t="str">
        <x:v>Encuesta de comprensión</x:v>
      </x:c>
      <x:c r="S228" s="70" t="n">
        <x:v>4.7</x:v>
      </x:c>
      <x:c r="T228" s="24" t="str">
        <x:f>IF(XOR(X228="Reprogramada",X228="Cancelada"),"",IF(AND(Q228&gt;=0.8,S228&gt;=4),"Sí",IF(AND(Q228&gt;=0.65,S228&gt;=3.5),"Parcial","No")))</x:f>
        <x:v>Sí</x:v>
      </x:c>
      <x:c r="U228" s="24" t="str">
        <x:v>Jesús Guerrero</x:v>
      </x:c>
      <x:c r="V228" s="11" t="str">
        <x:v>Humano (facilitador interno) / Logístico / Material de apoyo</x:v>
      </x:c>
      <x:c r="W228" s="11" t="str">
        <x:v>Camila Andrea Galván</x:v>
      </x:c>
      <x:c r="X228" s="11" t="str">
        <x:v>Ejecutada</x:v>
      </x:c>
      <x:c r="Y228" s="52" t="str">
        <x:v>Actividad ejecutada satisfactoriamente; mantener evidencia y seguimiento.</x:v>
      </x:c>
    </x:row>
    <x:row r="229">
      <x:c r="A229" s="23" t="n">
        <x:v>228</x:v>
      </x:c>
      <x:c r="B229" s="24" t="n">
        <x:v>2024</x:v>
      </x:c>
      <x:c r="C229" s="24" t="str">
        <x:v>Septiembre</x:v>
      </x:c>
      <x:c r="D229" s="24" t="n">
        <x:v>9</x:v>
      </x:c>
      <x:c r="E229" s="24" t="str">
        <x:v>Prevención del consumo</x:v>
      </x:c>
      <x:c r="F229" s="24" t="str">
        <x:v>Socialización</x:v>
      </x:c>
      <x:c r="G229" s="24" t="str">
        <x:v>Interno</x:v>
      </x:c>
      <x:c r="H229" s="24" t="str">
        <x:v>Todos</x:v>
      </x:c>
      <x:c r="I229" s="24" t="str">
        <x:v>Tibú</x:v>
      </x:c>
      <x:c r="J229" s="11" t="str">
        <x:v>Prevención del consumo de alcohol, tabaco y sustancias</x:v>
      </x:c>
      <x:c r="K229" s="11" t="str">
        <x:v>Sensibilizar sobre efectos del consumo y su impacto en la seguridad, salud y convivencia.</x:v>
      </x:c>
      <x:c r="L229" s="24" t="n">
        <x:v>1</x:v>
      </x:c>
      <x:c r="M229" s="58"/>
      <x:c r="N229" s="24"/>
      <x:c r="O229" s="24" t="n">
        <x:v>32</x:v>
      </x:c>
      <x:c r="P229" s="24"/>
      <x:c r="Q229" s="64" t="n">
        <x:f>IFERROR(P229/O229,0)</x:f>
        <x:v>0</x:v>
      </x:c>
      <x:c r="R229" s="24" t="str">
        <x:v>Encuesta de comprensión</x:v>
      </x:c>
      <x:c r="S229" s="70"/>
      <x:c r="T229" s="24" t="str">
        <x:f>IF(XOR(X229="Reprogramada",X229="Cancelada"),"",IF(AND(Q229&gt;=0.8,S229&gt;=4),"Sí",IF(AND(Q229&gt;=0.65,S229&gt;=3.5),"Parcial","No")))</x:f>
      </x:c>
      <x:c r="U229" s="24" t="str">
        <x:v>Jesús Guerrero</x:v>
      </x:c>
      <x:c r="V229" s="11" t="str">
        <x:v>Humano (facilitador interno) / Logístico / Material de apoyo</x:v>
      </x:c>
      <x:c r="W229" s="11" t="str">
        <x:v>Jesús Guerrero</x:v>
      </x:c>
      <x:c r="X229" s="11" t="str">
        <x:v>Reprogramada</x:v>
      </x:c>
      <x:c r="Y229" s="52" t="str">
        <x:v>Actividad reprogramada por operación, disponibilidad del facilitador o ajustes logísticos.</x:v>
      </x:c>
    </x:row>
    <x:row r="230">
      <x:c r="A230" s="23" t="n">
        <x:v>229</x:v>
      </x:c>
      <x:c r="B230" s="24" t="n">
        <x:v>2024</x:v>
      </x:c>
      <x:c r="C230" s="24" t="str">
        <x:v>Septiembre</x:v>
      </x:c>
      <x:c r="D230" s="24" t="n">
        <x:v>9</x:v>
      </x:c>
      <x:c r="E230" s="24" t="str">
        <x:v>Prevención del consumo</x:v>
      </x:c>
      <x:c r="F230" s="24" t="str">
        <x:v>Socialización</x:v>
      </x:c>
      <x:c r="G230" s="24" t="str">
        <x:v>Interno</x:v>
      </x:c>
      <x:c r="H230" s="24" t="str">
        <x:v>Todos</x:v>
      </x:c>
      <x:c r="I230" s="24" t="str">
        <x:v>Medellín</x:v>
      </x:c>
      <x:c r="J230" s="11" t="str">
        <x:v>Prevención del consumo de alcohol, tabaco y sustancias</x:v>
      </x:c>
      <x:c r="K230" s="11" t="str">
        <x:v>Sensibilizar sobre efectos del consumo y su impacto en la seguridad, salud y convivencia.</x:v>
      </x:c>
      <x:c r="L230" s="24" t="n">
        <x:v>1</x:v>
      </x:c>
      <x:c r="M230" s="58" t="n">
        <x:v>45547</x:v>
      </x:c>
      <x:c r="N230" s="24" t="n">
        <x:v>1</x:v>
      </x:c>
      <x:c r="O230" s="24" t="n">
        <x:v>60</x:v>
      </x:c>
      <x:c r="P230" s="24" t="n">
        <x:v>50</x:v>
      </x:c>
      <x:c r="Q230" s="64" t="n">
        <x:f>IFERROR(P230/O230,0)</x:f>
        <x:v>0.8333333333333334</x:v>
      </x:c>
      <x:c r="R230" s="24" t="str">
        <x:v>Encuesta de comprensión</x:v>
      </x:c>
      <x:c r="S230" s="70" t="n">
        <x:v>4.5</x:v>
      </x:c>
      <x:c r="T230" s="24" t="str">
        <x:f>IF(XOR(X230="Reprogramada",X230="Cancelada"),"",IF(AND(Q230&gt;=0.8,S230&gt;=4),"Sí",IF(AND(Q230&gt;=0.65,S230&gt;=3.5),"Parcial","No")))</x:f>
        <x:v>Sí</x:v>
      </x:c>
      <x:c r="U230" s="24" t="str">
        <x:v>Jesús Guerrero</x:v>
      </x:c>
      <x:c r="V230" s="11" t="str">
        <x:v>Humano (facilitador interno) / Logístico / Material de apoyo</x:v>
      </x:c>
      <x:c r="W230" s="11" t="str">
        <x:v>Carlos Felipe Parada Ramón</x:v>
      </x:c>
      <x:c r="X230" s="11" t="str">
        <x:v>Ejecutada</x:v>
      </x:c>
      <x:c r="Y230" s="52" t="str">
        <x:v>Actividad ejecutada satisfactoriamente; mantener evidencia y seguimiento.</x:v>
      </x:c>
    </x:row>
    <x:row r="231">
      <x:c r="A231" s="23" t="n">
        <x:v>230</x:v>
      </x:c>
      <x:c r="B231" s="24" t="n">
        <x:v>2024</x:v>
      </x:c>
      <x:c r="C231" s="24" t="str">
        <x:v>Septiembre</x:v>
      </x:c>
      <x:c r="D231" s="24" t="n">
        <x:v>9</x:v>
      </x:c>
      <x:c r="E231" s="24" t="str">
        <x:v>Prevención del consumo</x:v>
      </x:c>
      <x:c r="F231" s="24" t="str">
        <x:v>Socialización</x:v>
      </x:c>
      <x:c r="G231" s="24" t="str">
        <x:v>Interno</x:v>
      </x:c>
      <x:c r="H231" s="24" t="str">
        <x:v>Todos</x:v>
      </x:c>
      <x:c r="I231" s="24" t="str">
        <x:v>Ábrego</x:v>
      </x:c>
      <x:c r="J231" s="11" t="str">
        <x:v>Prevención del consumo de alcohol, tabaco y sustancias</x:v>
      </x:c>
      <x:c r="K231" s="11" t="str">
        <x:v>Sensibilizar sobre efectos del consumo y su impacto en la seguridad, salud y convivencia.</x:v>
      </x:c>
      <x:c r="L231" s="24" t="n">
        <x:v>1</x:v>
      </x:c>
      <x:c r="M231" s="58" t="n">
        <x:v>45548</x:v>
      </x:c>
      <x:c r="N231" s="24" t="n">
        <x:v>1</x:v>
      </x:c>
      <x:c r="O231" s="24" t="n">
        <x:v>25</x:v>
      </x:c>
      <x:c r="P231" s="24" t="n">
        <x:v>23</x:v>
      </x:c>
      <x:c r="Q231" s="64" t="n">
        <x:f>IFERROR(P231/O231,0)</x:f>
        <x:v>0.92</x:v>
      </x:c>
      <x:c r="R231" s="24" t="str">
        <x:v>Encuesta de comprensión</x:v>
      </x:c>
      <x:c r="S231" s="70" t="n">
        <x:v>4.8</x:v>
      </x:c>
      <x:c r="T231" s="24" t="str">
        <x:f>IF(XOR(X231="Reprogramada",X231="Cancelada"),"",IF(AND(Q231&gt;=0.8,S231&gt;=4),"Sí",IF(AND(Q231&gt;=0.65,S231&gt;=3.5),"Parcial","No")))</x:f>
        <x:v>Sí</x:v>
      </x:c>
      <x:c r="U231" s="24" t="str">
        <x:v>Jesús Guerrero</x:v>
      </x:c>
      <x:c r="V231" s="11" t="str">
        <x:v>Humano (facilitador interno) / Logístico / Material de apoyo</x:v>
      </x:c>
      <x:c r="W231" s="11" t="str">
        <x:v>Camila Andrea Galván</x:v>
      </x:c>
      <x:c r="X231" s="11" t="str">
        <x:v>Ejecutada</x:v>
      </x:c>
      <x:c r="Y231" s="52" t="str">
        <x:v>Actividad ejecutada satisfactoriamente; mantener evidencia y seguimiento.</x:v>
      </x:c>
    </x:row>
    <x:row r="232">
      <x:c r="A232" s="23" t="n">
        <x:v>231</x:v>
      </x:c>
      <x:c r="B232" s="24" t="n">
        <x:v>2024</x:v>
      </x:c>
      <x:c r="C232" s="24" t="str">
        <x:v>Septiembre</x:v>
      </x:c>
      <x:c r="D232" s="24" t="n">
        <x:v>9</x:v>
      </x:c>
      <x:c r="E232" s="24" t="str">
        <x:v>Prevención del consumo</x:v>
      </x:c>
      <x:c r="F232" s="24" t="str">
        <x:v>Socialización</x:v>
      </x:c>
      <x:c r="G232" s="24" t="str">
        <x:v>Interno</x:v>
      </x:c>
      <x:c r="H232" s="24" t="str">
        <x:v>Todos</x:v>
      </x:c>
      <x:c r="I232" s="24" t="str">
        <x:v>Pamplona</x:v>
      </x:c>
      <x:c r="J232" s="11" t="str">
        <x:v>Prevención del consumo de alcohol, tabaco y sustancias</x:v>
      </x:c>
      <x:c r="K232" s="11" t="str">
        <x:v>Sensibilizar sobre efectos del consumo y su impacto en la seguridad, salud y convivencia.</x:v>
      </x:c>
      <x:c r="L232" s="24" t="n">
        <x:v>1</x:v>
      </x:c>
      <x:c r="M232" s="58" t="n">
        <x:v>45545</x:v>
      </x:c>
      <x:c r="N232" s="24" t="n">
        <x:v>1</x:v>
      </x:c>
      <x:c r="O232" s="24" t="n">
        <x:v>28</x:v>
      </x:c>
      <x:c r="P232" s="24" t="n">
        <x:v>26</x:v>
      </x:c>
      <x:c r="Q232" s="64" t="n">
        <x:f>IFERROR(P232/O232,0)</x:f>
        <x:v>0.9285714285714286</x:v>
      </x:c>
      <x:c r="R232" s="24" t="str">
        <x:v>Encuesta de comprensión</x:v>
      </x:c>
      <x:c r="S232" s="70" t="n">
        <x:v>4.5</x:v>
      </x:c>
      <x:c r="T232" s="24" t="str">
        <x:f>IF(XOR(X232="Reprogramada",X232="Cancelada"),"",IF(AND(Q232&gt;=0.8,S232&gt;=4),"Sí",IF(AND(Q232&gt;=0.65,S232&gt;=3.5),"Parcial","No")))</x:f>
        <x:v>Sí</x:v>
      </x:c>
      <x:c r="U232" s="24" t="str">
        <x:v>Jesús Guerrero</x:v>
      </x:c>
      <x:c r="V232" s="11" t="str">
        <x:v>Humano (facilitador interno) / Logístico / Material de apoyo</x:v>
      </x:c>
      <x:c r="W232" s="11" t="str">
        <x:v>Jesús Guerrero</x:v>
      </x:c>
      <x:c r="X232" s="11" t="str">
        <x:v>Ejecutada</x:v>
      </x:c>
      <x:c r="Y232" s="52" t="str">
        <x:v>Actividad ejecutada satisfactoriamente; mantener evidencia y seguimiento.</x:v>
      </x:c>
    </x:row>
    <x:row r="233">
      <x:c r="A233" s="23" t="n">
        <x:v>232</x:v>
      </x:c>
      <x:c r="B233" s="24" t="n">
        <x:v>2024</x:v>
      </x:c>
      <x:c r="C233" s="24" t="str">
        <x:v>Octubre</x:v>
      </x:c>
      <x:c r="D233" s="24" t="n">
        <x:v>10</x:v>
      </x:c>
      <x:c r="E233" s="24" t="str">
        <x:v>Emergencias</x:v>
      </x:c>
      <x:c r="F233" s="24" t="str">
        <x:v>Simulacro</x:v>
      </x:c>
      <x:c r="G233" s="24" t="str">
        <x:v>Interno</x:v>
      </x:c>
      <x:c r="H233" s="24" t="str">
        <x:v>Todos</x:v>
      </x:c>
      <x:c r="I233" s="24" t="str">
        <x:v>Cúcuta</x:v>
      </x:c>
      <x:c r="J233" s="11" t="str">
        <x:v>Simulacro de evacuación y respuesta a emergencias</x:v>
      </x:c>
      <x:c r="K233" s="11" t="str">
        <x:v>Validar la capacidad de respuesta y los tiempos de evacuación ante una emergencia.</x:v>
      </x:c>
      <x:c r="L233" s="24" t="n">
        <x:v>2</x:v>
      </x:c>
      <x:c r="M233" s="58" t="n">
        <x:v>45579</x:v>
      </x:c>
      <x:c r="N233" s="24" t="n">
        <x:v>2</x:v>
      </x:c>
      <x:c r="O233" s="24" t="n">
        <x:v>80</x:v>
      </x:c>
      <x:c r="P233" s="24" t="n">
        <x:v>66</x:v>
      </x:c>
      <x:c r="Q233" s="64" t="n">
        <x:f>IFERROR(P233/O233,0)</x:f>
        <x:v>0.825</x:v>
      </x:c>
      <x:c r="R233" s="24" t="str">
        <x:v>Simulacro</x:v>
      </x:c>
      <x:c r="S233" s="70" t="n">
        <x:v>4.4</x:v>
      </x:c>
      <x:c r="T233" s="24" t="str">
        <x:f>IF(XOR(X233="Reprogramada",X233="Cancelada"),"",IF(AND(Q233&gt;=0.8,S233&gt;=4),"Sí",IF(AND(Q233&gt;=0.65,S233&gt;=3.5),"Parcial","No")))</x:f>
        <x:v>Sí</x:v>
      </x:c>
      <x:c r="U233" s="24" t="str">
        <x:v>Brigada Interna</x:v>
      </x:c>
      <x:c r="V233" s="11" t="str">
        <x:v>Humano (facilitador interno) / Logístico / Material de apoyo</x:v>
      </x:c>
      <x:c r="W233" s="11" t="str">
        <x:v>Carlos Felipe Parada Ramón</x:v>
      </x:c>
      <x:c r="X233" s="11" t="str">
        <x:v>Ejecutada</x:v>
      </x:c>
      <x:c r="Y233" s="52" t="str">
        <x:v>Actividad ejecutada satisfactoriamente; mantener evidencia y seguimiento.</x:v>
      </x:c>
    </x:row>
    <x:row r="234">
      <x:c r="A234" s="23" t="n">
        <x:v>233</x:v>
      </x:c>
      <x:c r="B234" s="24" t="n">
        <x:v>2024</x:v>
      </x:c>
      <x:c r="C234" s="24" t="str">
        <x:v>Octubre</x:v>
      </x:c>
      <x:c r="D234" s="24" t="n">
        <x:v>10</x:v>
      </x:c>
      <x:c r="E234" s="24" t="str">
        <x:v>Emergencias</x:v>
      </x:c>
      <x:c r="F234" s="24" t="str">
        <x:v>Simulacro</x:v>
      </x:c>
      <x:c r="G234" s="24" t="str">
        <x:v>Interno</x:v>
      </x:c>
      <x:c r="H234" s="24" t="str">
        <x:v>Todos</x:v>
      </x:c>
      <x:c r="I234" s="24" t="str">
        <x:v>Barrancabermeja</x:v>
      </x:c>
      <x:c r="J234" s="11" t="str">
        <x:v>Simulacro de evacuación y respuesta a emergencias</x:v>
      </x:c>
      <x:c r="K234" s="11" t="str">
        <x:v>Validar la capacidad de respuesta y los tiempos de evacuación ante una emergencia.</x:v>
      </x:c>
      <x:c r="L234" s="24" t="n">
        <x:v>2</x:v>
      </x:c>
      <x:c r="M234" s="58" t="n">
        <x:v>45579</x:v>
      </x:c>
      <x:c r="N234" s="24" t="n">
        <x:v>2</x:v>
      </x:c>
      <x:c r="O234" s="24" t="n">
        <x:v>54</x:v>
      </x:c>
      <x:c r="P234" s="24" t="n">
        <x:v>53</x:v>
      </x:c>
      <x:c r="Q234" s="64" t="n">
        <x:f>IFERROR(P234/O234,0)</x:f>
        <x:v>0.9814814814814815</x:v>
      </x:c>
      <x:c r="R234" s="24" t="str">
        <x:v>Simulacro</x:v>
      </x:c>
      <x:c r="S234" s="70" t="n">
        <x:v>4.9</x:v>
      </x:c>
      <x:c r="T234" s="24" t="str">
        <x:f>IF(XOR(X234="Reprogramada",X234="Cancelada"),"",IF(AND(Q234&gt;=0.8,S234&gt;=4),"Sí",IF(AND(Q234&gt;=0.65,S234&gt;=3.5),"Parcial","No")))</x:f>
        <x:v>Sí</x:v>
      </x:c>
      <x:c r="U234" s="24" t="str">
        <x:v>Brigada Interna</x:v>
      </x:c>
      <x:c r="V234" s="11" t="str">
        <x:v>Humano (facilitador interno) / Logístico / Material de apoyo</x:v>
      </x:c>
      <x:c r="W234" s="11" t="str">
        <x:v>Camila Andrea Galván</x:v>
      </x:c>
      <x:c r="X234" s="11" t="str">
        <x:v>Ejecutada</x:v>
      </x:c>
      <x:c r="Y234" s="52" t="str">
        <x:v>Actividad ejecutada satisfactoriamente; mantener evidencia y seguimiento.</x:v>
      </x:c>
    </x:row>
    <x:row r="235">
      <x:c r="A235" s="23" t="n">
        <x:v>234</x:v>
      </x:c>
      <x:c r="B235" s="24" t="n">
        <x:v>2024</x:v>
      </x:c>
      <x:c r="C235" s="24" t="str">
        <x:v>Octubre</x:v>
      </x:c>
      <x:c r="D235" s="24" t="n">
        <x:v>10</x:v>
      </x:c>
      <x:c r="E235" s="24" t="str">
        <x:v>Emergencias</x:v>
      </x:c>
      <x:c r="F235" s="24" t="str">
        <x:v>Simulacro</x:v>
      </x:c>
      <x:c r="G235" s="24" t="str">
        <x:v>Interno</x:v>
      </x:c>
      <x:c r="H235" s="24" t="str">
        <x:v>Todos</x:v>
      </x:c>
      <x:c r="I235" s="24" t="str">
        <x:v>Ocaña</x:v>
      </x:c>
      <x:c r="J235" s="11" t="str">
        <x:v>Simulacro de evacuación y respuesta a emergencias</x:v>
      </x:c>
      <x:c r="K235" s="11" t="str">
        <x:v>Validar la capacidad de respuesta y los tiempos de evacuación ante una emergencia.</x:v>
      </x:c>
      <x:c r="L235" s="24" t="n">
        <x:v>2</x:v>
      </x:c>
      <x:c r="M235" s="58" t="n">
        <x:v>45588</x:v>
      </x:c>
      <x:c r="N235" s="24" t="n">
        <x:v>2.5</x:v>
      </x:c>
      <x:c r="O235" s="24" t="n">
        <x:v>37</x:v>
      </x:c>
      <x:c r="P235" s="24" t="n">
        <x:v>34</x:v>
      </x:c>
      <x:c r="Q235" s="64" t="n">
        <x:f>IFERROR(P235/O235,0)</x:f>
        <x:v>0.918918918918919</x:v>
      </x:c>
      <x:c r="R235" s="24" t="str">
        <x:v>Simulacro</x:v>
      </x:c>
      <x:c r="S235" s="70" t="n">
        <x:v>4.9</x:v>
      </x:c>
      <x:c r="T235" s="24" t="str">
        <x:f>IF(XOR(X235="Reprogramada",X235="Cancelada"),"",IF(AND(Q235&gt;=0.8,S235&gt;=4),"Sí",IF(AND(Q235&gt;=0.65,S235&gt;=3.5),"Parcial","No")))</x:f>
        <x:v>Sí</x:v>
      </x:c>
      <x:c r="U235" s="24" t="str">
        <x:v>Brigada Interna</x:v>
      </x:c>
      <x:c r="V235" s="11" t="str">
        <x:v>Humano (facilitador interno) / Logístico / Material de apoyo</x:v>
      </x:c>
      <x:c r="W235" s="11" t="str">
        <x:v>Jesús Guerrero</x:v>
      </x:c>
      <x:c r="X235" s="11" t="str">
        <x:v>Ejecutada</x:v>
      </x:c>
      <x:c r="Y235" s="52" t="str">
        <x:v>Actividad ejecutada satisfactoriamente; mantener evidencia y seguimiento.</x:v>
      </x:c>
    </x:row>
    <x:row r="236">
      <x:c r="A236" s="23" t="n">
        <x:v>235</x:v>
      </x:c>
      <x:c r="B236" s="24" t="n">
        <x:v>2024</x:v>
      </x:c>
      <x:c r="C236" s="24" t="str">
        <x:v>Octubre</x:v>
      </x:c>
      <x:c r="D236" s="24" t="n">
        <x:v>10</x:v>
      </x:c>
      <x:c r="E236" s="24" t="str">
        <x:v>Emergencias</x:v>
      </x:c>
      <x:c r="F236" s="24" t="str">
        <x:v>Simulacro</x:v>
      </x:c>
      <x:c r="G236" s="24" t="str">
        <x:v>Interno</x:v>
      </x:c>
      <x:c r="H236" s="24" t="str">
        <x:v>Todos</x:v>
      </x:c>
      <x:c r="I236" s="24" t="str">
        <x:v>Girón</x:v>
      </x:c>
      <x:c r="J236" s="11" t="str">
        <x:v>Simulacro de evacuación y respuesta a emergencias</x:v>
      </x:c>
      <x:c r="K236" s="11" t="str">
        <x:v>Validar la capacidad de respuesta y los tiempos de evacuación ante una emergencia.</x:v>
      </x:c>
      <x:c r="L236" s="24" t="n">
        <x:v>2</x:v>
      </x:c>
      <x:c r="M236" s="58" t="n">
        <x:v>45575</x:v>
      </x:c>
      <x:c r="N236" s="24" t="n">
        <x:v>2</x:v>
      </x:c>
      <x:c r="O236" s="24" t="n">
        <x:v>42</x:v>
      </x:c>
      <x:c r="P236" s="24" t="n">
        <x:v>35</x:v>
      </x:c>
      <x:c r="Q236" s="64" t="n">
        <x:f>IFERROR(P236/O236,0)</x:f>
        <x:v>0.8333333333333334</x:v>
      </x:c>
      <x:c r="R236" s="24" t="str">
        <x:v>Simulacro</x:v>
      </x:c>
      <x:c r="S236" s="70" t="n">
        <x:v>4.6</x:v>
      </x:c>
      <x:c r="T236" s="24" t="str">
        <x:f>IF(XOR(X236="Reprogramada",X236="Cancelada"),"",IF(AND(Q236&gt;=0.8,S236&gt;=4),"Sí",IF(AND(Q236&gt;=0.65,S236&gt;=3.5),"Parcial","No")))</x:f>
        <x:v>Sí</x:v>
      </x:c>
      <x:c r="U236" s="24" t="str">
        <x:v>Brigada Interna</x:v>
      </x:c>
      <x:c r="V236" s="11" t="str">
        <x:v>Humano (facilitador interno) / Logístico / Material de apoyo</x:v>
      </x:c>
      <x:c r="W236" s="11" t="str">
        <x:v>Carlos Felipe Parada Ramón</x:v>
      </x:c>
      <x:c r="X236" s="11" t="str">
        <x:v>Ejecutada</x:v>
      </x:c>
      <x:c r="Y236" s="52" t="str">
        <x:v>Actividad ejecutada satisfactoriamente; mantener evidencia y seguimiento.</x:v>
      </x:c>
    </x:row>
    <x:row r="237">
      <x:c r="A237" s="23" t="n">
        <x:v>236</x:v>
      </x:c>
      <x:c r="B237" s="24" t="n">
        <x:v>2024</x:v>
      </x:c>
      <x:c r="C237" s="24" t="str">
        <x:v>Octubre</x:v>
      </x:c>
      <x:c r="D237" s="24" t="n">
        <x:v>10</x:v>
      </x:c>
      <x:c r="E237" s="24" t="str">
        <x:v>Emergencias</x:v>
      </x:c>
      <x:c r="F237" s="24" t="str">
        <x:v>Simulacro</x:v>
      </x:c>
      <x:c r="G237" s="24" t="str">
        <x:v>Interno</x:v>
      </x:c>
      <x:c r="H237" s="24" t="str">
        <x:v>Todos</x:v>
      </x:c>
      <x:c r="I237" s="24" t="str">
        <x:v>Valledupar</x:v>
      </x:c>
      <x:c r="J237" s="11" t="str">
        <x:v>Simulacro de evacuación y respuesta a emergencias</x:v>
      </x:c>
      <x:c r="K237" s="11" t="str">
        <x:v>Validar la capacidad de respuesta y los tiempos de evacuación ante una emergencia.</x:v>
      </x:c>
      <x:c r="L237" s="24" t="n">
        <x:v>2</x:v>
      </x:c>
      <x:c r="M237" s="58" t="n">
        <x:v>45588</x:v>
      </x:c>
      <x:c r="N237" s="24" t="n">
        <x:v>2</x:v>
      </x:c>
      <x:c r="O237" s="24" t="n">
        <x:v>48</x:v>
      </x:c>
      <x:c r="P237" s="24" t="n">
        <x:v>45</x:v>
      </x:c>
      <x:c r="Q237" s="64" t="n">
        <x:f>IFERROR(P237/O237,0)</x:f>
        <x:v>0.9375</x:v>
      </x:c>
      <x:c r="R237" s="24" t="str">
        <x:v>Simulacro</x:v>
      </x:c>
      <x:c r="S237" s="70" t="n">
        <x:v>4.3</x:v>
      </x:c>
      <x:c r="T237" s="24" t="str">
        <x:f>IF(XOR(X237="Reprogramada",X237="Cancelada"),"",IF(AND(Q237&gt;=0.8,S237&gt;=4),"Sí",IF(AND(Q237&gt;=0.65,S237&gt;=3.5),"Parcial","No")))</x:f>
        <x:v>Sí</x:v>
      </x:c>
      <x:c r="U237" s="24" t="str">
        <x:v>Brigada Interna</x:v>
      </x:c>
      <x:c r="V237" s="11" t="str">
        <x:v>Humano (facilitador interno) / Logístico / Material de apoyo</x:v>
      </x:c>
      <x:c r="W237" s="11" t="str">
        <x:v>Camila Andrea Galván</x:v>
      </x:c>
      <x:c r="X237" s="11" t="str">
        <x:v>Ejecutada</x:v>
      </x:c>
      <x:c r="Y237" s="52" t="str">
        <x:v>Actividad ejecutada satisfactoriamente; mantener evidencia y seguimiento.</x:v>
      </x:c>
    </x:row>
    <x:row r="238">
      <x:c r="A238" s="23" t="n">
        <x:v>237</x:v>
      </x:c>
      <x:c r="B238" s="24" t="n">
        <x:v>2024</x:v>
      </x:c>
      <x:c r="C238" s="24" t="str">
        <x:v>Octubre</x:v>
      </x:c>
      <x:c r="D238" s="24" t="n">
        <x:v>10</x:v>
      </x:c>
      <x:c r="E238" s="24" t="str">
        <x:v>Emergencias</x:v>
      </x:c>
      <x:c r="F238" s="24" t="str">
        <x:v>Simulacro</x:v>
      </x:c>
      <x:c r="G238" s="24" t="str">
        <x:v>Interno</x:v>
      </x:c>
      <x:c r="H238" s="24" t="str">
        <x:v>Todos</x:v>
      </x:c>
      <x:c r="I238" s="24" t="str">
        <x:v>Arauca</x:v>
      </x:c>
      <x:c r="J238" s="11" t="str">
        <x:v>Simulacro de evacuación y respuesta a emergencias</x:v>
      </x:c>
      <x:c r="K238" s="11" t="str">
        <x:v>Validar la capacidad de respuesta y los tiempos de evacuación ante una emergencia.</x:v>
      </x:c>
      <x:c r="L238" s="24" t="n">
        <x:v>2</x:v>
      </x:c>
      <x:c r="M238" s="58" t="n">
        <x:v>45587</x:v>
      </x:c>
      <x:c r="N238" s="24" t="n">
        <x:v>2</x:v>
      </x:c>
      <x:c r="O238" s="24" t="n">
        <x:v>30</x:v>
      </x:c>
      <x:c r="P238" s="24" t="n">
        <x:v>26</x:v>
      </x:c>
      <x:c r="Q238" s="64" t="n">
        <x:f>IFERROR(P238/O238,0)</x:f>
        <x:v>0.8666666666666667</x:v>
      </x:c>
      <x:c r="R238" s="24" t="str">
        <x:v>Simulacro</x:v>
      </x:c>
      <x:c r="S238" s="70" t="n">
        <x:v>4.2</x:v>
      </x:c>
      <x:c r="T238" s="24" t="str">
        <x:f>IF(XOR(X238="Reprogramada",X238="Cancelada"),"",IF(AND(Q238&gt;=0.8,S238&gt;=4),"Sí",IF(AND(Q238&gt;=0.65,S238&gt;=3.5),"Parcial","No")))</x:f>
        <x:v>Sí</x:v>
      </x:c>
      <x:c r="U238" s="24" t="str">
        <x:v>Brigada Interna</x:v>
      </x:c>
      <x:c r="V238" s="11" t="str">
        <x:v>Humano (facilitador interno) / Logístico / Material de apoyo</x:v>
      </x:c>
      <x:c r="W238" s="11" t="str">
        <x:v>Jesús Guerrero</x:v>
      </x:c>
      <x:c r="X238" s="11" t="str">
        <x:v>Ejecutada</x:v>
      </x:c>
      <x:c r="Y238" s="52" t="str">
        <x:v>Actividad ejecutada satisfactoriamente; mantener evidencia y seguimiento.</x:v>
      </x:c>
    </x:row>
    <x:row r="239">
      <x:c r="A239" s="23" t="n">
        <x:v>238</x:v>
      </x:c>
      <x:c r="B239" s="24" t="n">
        <x:v>2024</x:v>
      </x:c>
      <x:c r="C239" s="24" t="str">
        <x:v>Octubre</x:v>
      </x:c>
      <x:c r="D239" s="24" t="n">
        <x:v>10</x:v>
      </x:c>
      <x:c r="E239" s="24" t="str">
        <x:v>Emergencias</x:v>
      </x:c>
      <x:c r="F239" s="24" t="str">
        <x:v>Simulacro</x:v>
      </x:c>
      <x:c r="G239" s="24" t="str">
        <x:v>Interno</x:v>
      </x:c>
      <x:c r="H239" s="24" t="str">
        <x:v>Todos</x:v>
      </x:c>
      <x:c r="I239" s="24" t="str">
        <x:v>Bogotá</x:v>
      </x:c>
      <x:c r="J239" s="11" t="str">
        <x:v>Simulacro de evacuación y respuesta a emergencias</x:v>
      </x:c>
      <x:c r="K239" s="11" t="str">
        <x:v>Validar la capacidad de respuesta y los tiempos de evacuación ante una emergencia.</x:v>
      </x:c>
      <x:c r="L239" s="24" t="n">
        <x:v>2</x:v>
      </x:c>
      <x:c r="M239" s="58" t="n">
        <x:v>45576</x:v>
      </x:c>
      <x:c r="N239" s="24" t="n">
        <x:v>2</x:v>
      </x:c>
      <x:c r="O239" s="24" t="n">
        <x:v>65</x:v>
      </x:c>
      <x:c r="P239" s="24" t="n">
        <x:v>63</x:v>
      </x:c>
      <x:c r="Q239" s="64" t="n">
        <x:f>IFERROR(P239/O239,0)</x:f>
        <x:v>0.9692307692307692</x:v>
      </x:c>
      <x:c r="R239" s="24" t="str">
        <x:v>Simulacro</x:v>
      </x:c>
      <x:c r="S239" s="70" t="n">
        <x:v>4.3</x:v>
      </x:c>
      <x:c r="T239" s="24" t="str">
        <x:f>IF(XOR(X239="Reprogramada",X239="Cancelada"),"",IF(AND(Q239&gt;=0.8,S239&gt;=4),"Sí",IF(AND(Q239&gt;=0.65,S239&gt;=3.5),"Parcial","No")))</x:f>
        <x:v>Sí</x:v>
      </x:c>
      <x:c r="U239" s="24" t="str">
        <x:v>Brigada Interna</x:v>
      </x:c>
      <x:c r="V239" s="11" t="str">
        <x:v>Humano (facilitador interno) / Logístico / Material de apoyo</x:v>
      </x:c>
      <x:c r="W239" s="11" t="str">
        <x:v>Carlos Felipe Parada Ramón</x:v>
      </x:c>
      <x:c r="X239" s="11" t="str">
        <x:v>Ejecutada</x:v>
      </x:c>
      <x:c r="Y239" s="52" t="str">
        <x:v>Actividad ejecutada satisfactoriamente; mantener evidencia y seguimiento.</x:v>
      </x:c>
    </x:row>
    <x:row r="240">
      <x:c r="A240" s="23" t="n">
        <x:v>239</x:v>
      </x:c>
      <x:c r="B240" s="24" t="n">
        <x:v>2024</x:v>
      </x:c>
      <x:c r="C240" s="24" t="str">
        <x:v>Octubre</x:v>
      </x:c>
      <x:c r="D240" s="24" t="n">
        <x:v>10</x:v>
      </x:c>
      <x:c r="E240" s="24" t="str">
        <x:v>Emergencias</x:v>
      </x:c>
      <x:c r="F240" s="24" t="str">
        <x:v>Simulacro</x:v>
      </x:c>
      <x:c r="G240" s="24" t="str">
        <x:v>Interno</x:v>
      </x:c>
      <x:c r="H240" s="24" t="str">
        <x:v>Todos</x:v>
      </x:c>
      <x:c r="I240" s="24" t="str">
        <x:v>Tibú</x:v>
      </x:c>
      <x:c r="J240" s="11" t="str">
        <x:v>Simulacro de evacuación y respuesta a emergencias</x:v>
      </x:c>
      <x:c r="K240" s="11" t="str">
        <x:v>Validar la capacidad de respuesta y los tiempos de evacuación ante una emergencia.</x:v>
      </x:c>
      <x:c r="L240" s="24" t="n">
        <x:v>2</x:v>
      </x:c>
      <x:c r="M240" s="58" t="n">
        <x:v>45581</x:v>
      </x:c>
      <x:c r="N240" s="24" t="n">
        <x:v>2</x:v>
      </x:c>
      <x:c r="O240" s="24" t="n">
        <x:v>32</x:v>
      </x:c>
      <x:c r="P240" s="24" t="n">
        <x:v>28</x:v>
      </x:c>
      <x:c r="Q240" s="64" t="n">
        <x:f>IFERROR(P240/O240,0)</x:f>
        <x:v>0.875</x:v>
      </x:c>
      <x:c r="R240" s="24" t="str">
        <x:v>Simulacro</x:v>
      </x:c>
      <x:c r="S240" s="70" t="n">
        <x:v>5</x:v>
      </x:c>
      <x:c r="T240" s="24" t="str">
        <x:f>IF(XOR(X240="Reprogramada",X240="Cancelada"),"",IF(AND(Q240&gt;=0.8,S240&gt;=4),"Sí",IF(AND(Q240&gt;=0.65,S240&gt;=3.5),"Parcial","No")))</x:f>
        <x:v>Sí</x:v>
      </x:c>
      <x:c r="U240" s="24" t="str">
        <x:v>Brigada Interna</x:v>
      </x:c>
      <x:c r="V240" s="11" t="str">
        <x:v>Humano (facilitador interno) / Logístico / Material de apoyo</x:v>
      </x:c>
      <x:c r="W240" s="11" t="str">
        <x:v>Camila Andrea Galván</x:v>
      </x:c>
      <x:c r="X240" s="11" t="str">
        <x:v>Ejecutada</x:v>
      </x:c>
      <x:c r="Y240" s="52" t="str">
        <x:v>Actividad ejecutada satisfactoriamente; mantener evidencia y seguimiento.</x:v>
      </x:c>
    </x:row>
    <x:row r="241">
      <x:c r="A241" s="23" t="n">
        <x:v>240</x:v>
      </x:c>
      <x:c r="B241" s="24" t="n">
        <x:v>2024</x:v>
      </x:c>
      <x:c r="C241" s="24" t="str">
        <x:v>Octubre</x:v>
      </x:c>
      <x:c r="D241" s="24" t="n">
        <x:v>10</x:v>
      </x:c>
      <x:c r="E241" s="24" t="str">
        <x:v>Emergencias</x:v>
      </x:c>
      <x:c r="F241" s="24" t="str">
        <x:v>Simulacro</x:v>
      </x:c>
      <x:c r="G241" s="24" t="str">
        <x:v>Interno</x:v>
      </x:c>
      <x:c r="H241" s="24" t="str">
        <x:v>Todos</x:v>
      </x:c>
      <x:c r="I241" s="24" t="str">
        <x:v>Medellín</x:v>
      </x:c>
      <x:c r="J241" s="11" t="str">
        <x:v>Simulacro de evacuación y respuesta a emergencias</x:v>
      </x:c>
      <x:c r="K241" s="11" t="str">
        <x:v>Validar la capacidad de respuesta y los tiempos de evacuación ante una emergencia.</x:v>
      </x:c>
      <x:c r="L241" s="24" t="n">
        <x:v>2</x:v>
      </x:c>
      <x:c r="M241" s="58" t="n">
        <x:v>45586</x:v>
      </x:c>
      <x:c r="N241" s="24" t="n">
        <x:v>2.5</x:v>
      </x:c>
      <x:c r="O241" s="24" t="n">
        <x:v>60</x:v>
      </x:c>
      <x:c r="P241" s="24" t="n">
        <x:v>52</x:v>
      </x:c>
      <x:c r="Q241" s="64" t="n">
        <x:f>IFERROR(P241/O241,0)</x:f>
        <x:v>0.8666666666666667</x:v>
      </x:c>
      <x:c r="R241" s="24" t="str">
        <x:v>Simulacro</x:v>
      </x:c>
      <x:c r="S241" s="70" t="n">
        <x:v>4.6</x:v>
      </x:c>
      <x:c r="T241" s="24" t="str">
        <x:f>IF(XOR(X241="Reprogramada",X241="Cancelada"),"",IF(AND(Q241&gt;=0.8,S241&gt;=4),"Sí",IF(AND(Q241&gt;=0.65,S241&gt;=3.5),"Parcial","No")))</x:f>
        <x:v>Sí</x:v>
      </x:c>
      <x:c r="U241" s="24" t="str">
        <x:v>Brigada Interna</x:v>
      </x:c>
      <x:c r="V241" s="11" t="str">
        <x:v>Humano (facilitador interno) / Logístico / Material de apoyo</x:v>
      </x:c>
      <x:c r="W241" s="11" t="str">
        <x:v>Jesús Guerrero</x:v>
      </x:c>
      <x:c r="X241" s="11" t="str">
        <x:v>Ejecutada</x:v>
      </x:c>
      <x:c r="Y241" s="52" t="str">
        <x:v>Actividad ejecutada satisfactoriamente; mantener evidencia y seguimiento.</x:v>
      </x:c>
    </x:row>
    <x:row r="242">
      <x:c r="A242" s="23" t="n">
        <x:v>241</x:v>
      </x:c>
      <x:c r="B242" s="24" t="n">
        <x:v>2024</x:v>
      </x:c>
      <x:c r="C242" s="24" t="str">
        <x:v>Octubre</x:v>
      </x:c>
      <x:c r="D242" s="24" t="n">
        <x:v>10</x:v>
      </x:c>
      <x:c r="E242" s="24" t="str">
        <x:v>Emergencias</x:v>
      </x:c>
      <x:c r="F242" s="24" t="str">
        <x:v>Simulacro</x:v>
      </x:c>
      <x:c r="G242" s="24" t="str">
        <x:v>Interno</x:v>
      </x:c>
      <x:c r="H242" s="24" t="str">
        <x:v>Todos</x:v>
      </x:c>
      <x:c r="I242" s="24" t="str">
        <x:v>Ábrego</x:v>
      </x:c>
      <x:c r="J242" s="11" t="str">
        <x:v>Simulacro de evacuación y respuesta a emergencias</x:v>
      </x:c>
      <x:c r="K242" s="11" t="str">
        <x:v>Validar la capacidad de respuesta y los tiempos de evacuación ante una emergencia.</x:v>
      </x:c>
      <x:c r="L242" s="24" t="n">
        <x:v>2</x:v>
      </x:c>
      <x:c r="M242" s="58" t="n">
        <x:v>45584</x:v>
      </x:c>
      <x:c r="N242" s="24" t="n">
        <x:v>2</x:v>
      </x:c>
      <x:c r="O242" s="24" t="n">
        <x:v>25</x:v>
      </x:c>
      <x:c r="P242" s="24" t="n">
        <x:v>25</x:v>
      </x:c>
      <x:c r="Q242" s="64" t="n">
        <x:f>IFERROR(P242/O242,0)</x:f>
        <x:v>1</x:v>
      </x:c>
      <x:c r="R242" s="24" t="str">
        <x:v>Simulacro</x:v>
      </x:c>
      <x:c r="S242" s="70" t="n">
        <x:v>4.8</x:v>
      </x:c>
      <x:c r="T242" s="24" t="str">
        <x:f>IF(XOR(X242="Reprogramada",X242="Cancelada"),"",IF(AND(Q242&gt;=0.8,S242&gt;=4),"Sí",IF(AND(Q242&gt;=0.65,S242&gt;=3.5),"Parcial","No")))</x:f>
        <x:v>Sí</x:v>
      </x:c>
      <x:c r="U242" s="24" t="str">
        <x:v>Brigada Interna</x:v>
      </x:c>
      <x:c r="V242" s="11" t="str">
        <x:v>Humano (facilitador interno) / Logístico / Material de apoyo</x:v>
      </x:c>
      <x:c r="W242" s="11" t="str">
        <x:v>Carlos Felipe Parada Ramón</x:v>
      </x:c>
      <x:c r="X242" s="11" t="str">
        <x:v>Ejecutada</x:v>
      </x:c>
      <x:c r="Y242" s="52" t="str">
        <x:v>Actividad ejecutada satisfactoriamente; mantener evidencia y seguimiento.</x:v>
      </x:c>
    </x:row>
    <x:row r="243">
      <x:c r="A243" s="23" t="n">
        <x:v>242</x:v>
      </x:c>
      <x:c r="B243" s="24" t="n">
        <x:v>2024</x:v>
      </x:c>
      <x:c r="C243" s="24" t="str">
        <x:v>Octubre</x:v>
      </x:c>
      <x:c r="D243" s="24" t="n">
        <x:v>10</x:v>
      </x:c>
      <x:c r="E243" s="24" t="str">
        <x:v>Emergencias</x:v>
      </x:c>
      <x:c r="F243" s="24" t="str">
        <x:v>Simulacro</x:v>
      </x:c>
      <x:c r="G243" s="24" t="str">
        <x:v>Interno</x:v>
      </x:c>
      <x:c r="H243" s="24" t="str">
        <x:v>Todos</x:v>
      </x:c>
      <x:c r="I243" s="24" t="str">
        <x:v>Pamplona</x:v>
      </x:c>
      <x:c r="J243" s="11" t="str">
        <x:v>Simulacro de evacuación y respuesta a emergencias</x:v>
      </x:c>
      <x:c r="K243" s="11" t="str">
        <x:v>Validar la capacidad de respuesta y los tiempos de evacuación ante una emergencia.</x:v>
      </x:c>
      <x:c r="L243" s="24" t="n">
        <x:v>2</x:v>
      </x:c>
      <x:c r="M243" s="58" t="n">
        <x:v>45586</x:v>
      </x:c>
      <x:c r="N243" s="24" t="n">
        <x:v>2</x:v>
      </x:c>
      <x:c r="O243" s="24" t="n">
        <x:v>28</x:v>
      </x:c>
      <x:c r="P243" s="24" t="n">
        <x:v>26</x:v>
      </x:c>
      <x:c r="Q243" s="64" t="n">
        <x:f>IFERROR(P243/O243,0)</x:f>
        <x:v>0.9285714285714286</x:v>
      </x:c>
      <x:c r="R243" s="24" t="str">
        <x:v>Simulacro</x:v>
      </x:c>
      <x:c r="S243" s="70" t="n">
        <x:v>4.9</x:v>
      </x:c>
      <x:c r="T243" s="24" t="str">
        <x:f>IF(XOR(X243="Reprogramada",X243="Cancelada"),"",IF(AND(Q243&gt;=0.8,S243&gt;=4),"Sí",IF(AND(Q243&gt;=0.65,S243&gt;=3.5),"Parcial","No")))</x:f>
        <x:v>Sí</x:v>
      </x:c>
      <x:c r="U243" s="24" t="str">
        <x:v>Brigada Interna</x:v>
      </x:c>
      <x:c r="V243" s="11" t="str">
        <x:v>Humano (facilitador interno) / Logístico / Material de apoyo</x:v>
      </x:c>
      <x:c r="W243" s="11" t="str">
        <x:v>Camila Andrea Galván</x:v>
      </x:c>
      <x:c r="X243" s="11" t="str">
        <x:v>Ejecutada</x:v>
      </x:c>
      <x:c r="Y243" s="52" t="str">
        <x:v>Actividad ejecutada satisfactoriamente; mantener evidencia y seguimiento.</x:v>
      </x:c>
    </x:row>
    <x:row r="244">
      <x:c r="A244" s="23" t="n">
        <x:v>243</x:v>
      </x:c>
      <x:c r="B244" s="24" t="n">
        <x:v>2024</x:v>
      </x:c>
      <x:c r="C244" s="24" t="str">
        <x:v>Noviembre</x:v>
      </x:c>
      <x:c r="D244" s="24" t="n">
        <x:v>11</x:v>
      </x:c>
      <x:c r="E244" s="24" t="str">
        <x:v>Acoso laboral</x:v>
      </x:c>
      <x:c r="F244" s="24" t="str">
        <x:v>Socialización</x:v>
      </x:c>
      <x:c r="G244" s="24" t="str">
        <x:v>Interno</x:v>
      </x:c>
      <x:c r="H244" s="24" t="str">
        <x:v>Todos</x:v>
      </x:c>
      <x:c r="I244" s="24" t="str">
        <x:v>Cúcuta</x:v>
      </x:c>
      <x:c r="J244" s="11" t="str">
        <x:v>Acoso laboral y ruta de atención</x:v>
      </x:c>
      <x:c r="K244" s="11" t="str">
        <x:v>Socializar conductas de acoso laboral, canales de atención y obligaciones institucionales.</x:v>
      </x:c>
      <x:c r="L244" s="24" t="n">
        <x:v>1</x:v>
      </x:c>
      <x:c r="M244" s="58" t="n">
        <x:v>45607</x:v>
      </x:c>
      <x:c r="N244" s="24" t="n">
        <x:v>1</x:v>
      </x:c>
      <x:c r="O244" s="24" t="n">
        <x:v>80</x:v>
      </x:c>
      <x:c r="P244" s="24" t="n">
        <x:v>76</x:v>
      </x:c>
      <x:c r="Q244" s="64" t="n">
        <x:f>IFERROR(P244/O244,0)</x:f>
        <x:v>0.95</x:v>
      </x:c>
      <x:c r="R244" s="24" t="str">
        <x:v>Encuesta de comprensión</x:v>
      </x:c>
      <x:c r="S244" s="70" t="n">
        <x:v>4.4</x:v>
      </x:c>
      <x:c r="T244" s="24" t="str">
        <x:f>IF(XOR(X244="Reprogramada",X244="Cancelada"),"",IF(AND(Q244&gt;=0.8,S244&gt;=4),"Sí",IF(AND(Q244&gt;=0.65,S244&gt;=3.5),"Parcial","No")))</x:f>
        <x:v>Sí</x:v>
      </x:c>
      <x:c r="U244" s="24" t="str">
        <x:v>Camila Andrea Galván</x:v>
      </x:c>
      <x:c r="V244" s="11" t="str">
        <x:v>Humano (facilitador interno) / Logístico / Material de apoyo</x:v>
      </x:c>
      <x:c r="W244" s="11" t="str">
        <x:v>Jesús Guerrero</x:v>
      </x:c>
      <x:c r="X244" s="11" t="str">
        <x:v>Ejecutada</x:v>
      </x:c>
      <x:c r="Y244" s="52" t="str">
        <x:v>Actividad ejecutada satisfactoriamente; mantener evidencia y seguimiento.</x:v>
      </x:c>
    </x:row>
    <x:row r="245">
      <x:c r="A245" s="23" t="n">
        <x:v>244</x:v>
      </x:c>
      <x:c r="B245" s="24" t="n">
        <x:v>2024</x:v>
      </x:c>
      <x:c r="C245" s="24" t="str">
        <x:v>Noviembre</x:v>
      </x:c>
      <x:c r="D245" s="24" t="n">
        <x:v>11</x:v>
      </x:c>
      <x:c r="E245" s="24" t="str">
        <x:v>Acoso laboral</x:v>
      </x:c>
      <x:c r="F245" s="24" t="str">
        <x:v>Socialización</x:v>
      </x:c>
      <x:c r="G245" s="24" t="str">
        <x:v>Interno</x:v>
      </x:c>
      <x:c r="H245" s="24" t="str">
        <x:v>Todos</x:v>
      </x:c>
      <x:c r="I245" s="24" t="str">
        <x:v>Barrancabermeja</x:v>
      </x:c>
      <x:c r="J245" s="11" t="str">
        <x:v>Acoso laboral y ruta de atención</x:v>
      </x:c>
      <x:c r="K245" s="11" t="str">
        <x:v>Socializar conductas de acoso laboral, canales de atención y obligaciones institucionales.</x:v>
      </x:c>
      <x:c r="L245" s="24" t="n">
        <x:v>1</x:v>
      </x:c>
      <x:c r="M245" s="58" t="n">
        <x:v>45606</x:v>
      </x:c>
      <x:c r="N245" s="24" t="n">
        <x:v>1</x:v>
      </x:c>
      <x:c r="O245" s="24" t="n">
        <x:v>54</x:v>
      </x:c>
      <x:c r="P245" s="24" t="n">
        <x:v>52</x:v>
      </x:c>
      <x:c r="Q245" s="64" t="n">
        <x:f>IFERROR(P245/O245,0)</x:f>
        <x:v>0.9629629629629629</x:v>
      </x:c>
      <x:c r="R245" s="24" t="str">
        <x:v>Encuesta de comprensión</x:v>
      </x:c>
      <x:c r="S245" s="70" t="n">
        <x:v>4.4</x:v>
      </x:c>
      <x:c r="T245" s="24" t="str">
        <x:f>IF(XOR(X245="Reprogramada",X245="Cancelada"),"",IF(AND(Q245&gt;=0.8,S245&gt;=4),"Sí",IF(AND(Q245&gt;=0.65,S245&gt;=3.5),"Parcial","No")))</x:f>
        <x:v>Sí</x:v>
      </x:c>
      <x:c r="U245" s="24" t="str">
        <x:v>Camila Andrea Galván</x:v>
      </x:c>
      <x:c r="V245" s="11" t="str">
        <x:v>Humano (facilitador interno) / Logístico / Material de apoyo</x:v>
      </x:c>
      <x:c r="W245" s="11" t="str">
        <x:v>Carlos Felipe Parada Ramón</x:v>
      </x:c>
      <x:c r="X245" s="11" t="str">
        <x:v>Ejecutada</x:v>
      </x:c>
      <x:c r="Y245" s="52" t="str">
        <x:v>Actividad ejecutada satisfactoriamente; mantener evidencia y seguimiento.</x:v>
      </x:c>
    </x:row>
    <x:row r="246">
      <x:c r="A246" s="23" t="n">
        <x:v>245</x:v>
      </x:c>
      <x:c r="B246" s="24" t="n">
        <x:v>2024</x:v>
      </x:c>
      <x:c r="C246" s="24" t="str">
        <x:v>Noviembre</x:v>
      </x:c>
      <x:c r="D246" s="24" t="n">
        <x:v>11</x:v>
      </x:c>
      <x:c r="E246" s="24" t="str">
        <x:v>Acoso laboral</x:v>
      </x:c>
      <x:c r="F246" s="24" t="str">
        <x:v>Socialización</x:v>
      </x:c>
      <x:c r="G246" s="24" t="str">
        <x:v>Interno</x:v>
      </x:c>
      <x:c r="H246" s="24" t="str">
        <x:v>Todos</x:v>
      </x:c>
      <x:c r="I246" s="24" t="str">
        <x:v>Ocaña</x:v>
      </x:c>
      <x:c r="J246" s="11" t="str">
        <x:v>Acoso laboral y ruta de atención</x:v>
      </x:c>
      <x:c r="K246" s="11" t="str">
        <x:v>Socializar conductas de acoso laboral, canales de atención y obligaciones institucionales.</x:v>
      </x:c>
      <x:c r="L246" s="24" t="n">
        <x:v>1</x:v>
      </x:c>
      <x:c r="M246" s="58" t="n">
        <x:v>45606</x:v>
      </x:c>
      <x:c r="N246" s="24" t="n">
        <x:v>1</x:v>
      </x:c>
      <x:c r="O246" s="24" t="n">
        <x:v>37</x:v>
      </x:c>
      <x:c r="P246" s="24" t="n">
        <x:v>32</x:v>
      </x:c>
      <x:c r="Q246" s="64" t="n">
        <x:f>IFERROR(P246/O246,0)</x:f>
        <x:v>0.8648648648648649</x:v>
      </x:c>
      <x:c r="R246" s="24" t="str">
        <x:v>Encuesta de comprensión</x:v>
      </x:c>
      <x:c r="S246" s="70" t="n">
        <x:v>4.1</x:v>
      </x:c>
      <x:c r="T246" s="24" t="str">
        <x:f>IF(XOR(X246="Reprogramada",X246="Cancelada"),"",IF(AND(Q246&gt;=0.8,S246&gt;=4),"Sí",IF(AND(Q246&gt;=0.65,S246&gt;=3.5),"Parcial","No")))</x:f>
        <x:v>Sí</x:v>
      </x:c>
      <x:c r="U246" s="24" t="str">
        <x:v>Camila Andrea Galván</x:v>
      </x:c>
      <x:c r="V246" s="11" t="str">
        <x:v>Humano (facilitador interno) / Logístico / Material de apoyo</x:v>
      </x:c>
      <x:c r="W246" s="11" t="str">
        <x:v>Camila Andrea Galván</x:v>
      </x:c>
      <x:c r="X246" s="11" t="str">
        <x:v>Ejecutada</x:v>
      </x:c>
      <x:c r="Y246" s="52" t="str">
        <x:v>Actividad ejecutada satisfactoriamente; mantener evidencia y seguimiento.</x:v>
      </x:c>
    </x:row>
    <x:row r="247">
      <x:c r="A247" s="23" t="n">
        <x:v>246</x:v>
      </x:c>
      <x:c r="B247" s="24" t="n">
        <x:v>2024</x:v>
      </x:c>
      <x:c r="C247" s="24" t="str">
        <x:v>Noviembre</x:v>
      </x:c>
      <x:c r="D247" s="24" t="n">
        <x:v>11</x:v>
      </x:c>
      <x:c r="E247" s="24" t="str">
        <x:v>Acoso laboral</x:v>
      </x:c>
      <x:c r="F247" s="24" t="str">
        <x:v>Socialización</x:v>
      </x:c>
      <x:c r="G247" s="24" t="str">
        <x:v>Interno</x:v>
      </x:c>
      <x:c r="H247" s="24" t="str">
        <x:v>Todos</x:v>
      </x:c>
      <x:c r="I247" s="24" t="str">
        <x:v>Girón</x:v>
      </x:c>
      <x:c r="J247" s="11" t="str">
        <x:v>Acoso laboral y ruta de atención</x:v>
      </x:c>
      <x:c r="K247" s="11" t="str">
        <x:v>Socializar conductas de acoso laboral, canales de atención y obligaciones institucionales.</x:v>
      </x:c>
      <x:c r="L247" s="24" t="n">
        <x:v>1</x:v>
      </x:c>
      <x:c r="M247" s="58" t="n">
        <x:v>45620</x:v>
      </x:c>
      <x:c r="N247" s="24" t="n">
        <x:v>1</x:v>
      </x:c>
      <x:c r="O247" s="24" t="n">
        <x:v>42</x:v>
      </x:c>
      <x:c r="P247" s="24" t="n">
        <x:v>34</x:v>
      </x:c>
      <x:c r="Q247" s="64" t="n">
        <x:f>IFERROR(P247/O247,0)</x:f>
        <x:v>0.8095238095238095</x:v>
      </x:c>
      <x:c r="R247" s="24" t="str">
        <x:v>Encuesta de comprensión</x:v>
      </x:c>
      <x:c r="S247" s="70" t="n">
        <x:v>4.6</x:v>
      </x:c>
      <x:c r="T247" s="24" t="str">
        <x:f>IF(XOR(X247="Reprogramada",X247="Cancelada"),"",IF(AND(Q247&gt;=0.8,S247&gt;=4),"Sí",IF(AND(Q247&gt;=0.65,S247&gt;=3.5),"Parcial","No")))</x:f>
        <x:v>Sí</x:v>
      </x:c>
      <x:c r="U247" s="24" t="str">
        <x:v>Camila Andrea Galván</x:v>
      </x:c>
      <x:c r="V247" s="11" t="str">
        <x:v>Humano (facilitador interno) / Logístico / Material de apoyo</x:v>
      </x:c>
      <x:c r="W247" s="11" t="str">
        <x:v>Jesús Guerrero</x:v>
      </x:c>
      <x:c r="X247" s="11" t="str">
        <x:v>Ejecutada</x:v>
      </x:c>
      <x:c r="Y247" s="52" t="str">
        <x:v>Actividad ejecutada satisfactoriamente; mantener evidencia y seguimiento.</x:v>
      </x:c>
    </x:row>
    <x:row r="248">
      <x:c r="A248" s="23" t="n">
        <x:v>247</x:v>
      </x:c>
      <x:c r="B248" s="24" t="n">
        <x:v>2024</x:v>
      </x:c>
      <x:c r="C248" s="24" t="str">
        <x:v>Noviembre</x:v>
      </x:c>
      <x:c r="D248" s="24" t="n">
        <x:v>11</x:v>
      </x:c>
      <x:c r="E248" s="24" t="str">
        <x:v>Acoso laboral</x:v>
      </x:c>
      <x:c r="F248" s="24" t="str">
        <x:v>Socialización</x:v>
      </x:c>
      <x:c r="G248" s="24" t="str">
        <x:v>Interno</x:v>
      </x:c>
      <x:c r="H248" s="24" t="str">
        <x:v>Todos</x:v>
      </x:c>
      <x:c r="I248" s="24" t="str">
        <x:v>Valledupar</x:v>
      </x:c>
      <x:c r="J248" s="11" t="str">
        <x:v>Acoso laboral y ruta de atención</x:v>
      </x:c>
      <x:c r="K248" s="11" t="str">
        <x:v>Socializar conductas de acoso laboral, canales de atención y obligaciones institucionales.</x:v>
      </x:c>
      <x:c r="L248" s="24" t="n">
        <x:v>1</x:v>
      </x:c>
      <x:c r="M248" s="58" t="n">
        <x:v>45615</x:v>
      </x:c>
      <x:c r="N248" s="24" t="n">
        <x:v>1.5</x:v>
      </x:c>
      <x:c r="O248" s="24" t="n">
        <x:v>48</x:v>
      </x:c>
      <x:c r="P248" s="24" t="n">
        <x:v>47</x:v>
      </x:c>
      <x:c r="Q248" s="64" t="n">
        <x:f>IFERROR(P248/O248,0)</x:f>
        <x:v>0.9791666666666666</x:v>
      </x:c>
      <x:c r="R248" s="24" t="str">
        <x:v>Encuesta de comprensión</x:v>
      </x:c>
      <x:c r="S248" s="70" t="n">
        <x:v>4.3</x:v>
      </x:c>
      <x:c r="T248" s="24" t="str">
        <x:f>IF(XOR(X248="Reprogramada",X248="Cancelada"),"",IF(AND(Q248&gt;=0.8,S248&gt;=4),"Sí",IF(AND(Q248&gt;=0.65,S248&gt;=3.5),"Parcial","No")))</x:f>
        <x:v>Sí</x:v>
      </x:c>
      <x:c r="U248" s="24" t="str">
        <x:v>Camila Andrea Galván</x:v>
      </x:c>
      <x:c r="V248" s="11" t="str">
        <x:v>Humano (facilitador interno) / Logístico / Material de apoyo</x:v>
      </x:c>
      <x:c r="W248" s="11" t="str">
        <x:v>Carlos Felipe Parada Ramón</x:v>
      </x:c>
      <x:c r="X248" s="11" t="str">
        <x:v>Ejecutada</x:v>
      </x:c>
      <x:c r="Y248" s="52" t="str">
        <x:v>Actividad ejecutada satisfactoriamente; mantener evidencia y seguimiento.</x:v>
      </x:c>
    </x:row>
    <x:row r="249">
      <x:c r="A249" s="23" t="n">
        <x:v>248</x:v>
      </x:c>
      <x:c r="B249" s="24" t="n">
        <x:v>2024</x:v>
      </x:c>
      <x:c r="C249" s="24" t="str">
        <x:v>Noviembre</x:v>
      </x:c>
      <x:c r="D249" s="24" t="n">
        <x:v>11</x:v>
      </x:c>
      <x:c r="E249" s="24" t="str">
        <x:v>Acoso laboral</x:v>
      </x:c>
      <x:c r="F249" s="24" t="str">
        <x:v>Socialización</x:v>
      </x:c>
      <x:c r="G249" s="24" t="str">
        <x:v>Interno</x:v>
      </x:c>
      <x:c r="H249" s="24" t="str">
        <x:v>Todos</x:v>
      </x:c>
      <x:c r="I249" s="24" t="str">
        <x:v>Arauca</x:v>
      </x:c>
      <x:c r="J249" s="11" t="str">
        <x:v>Acoso laboral y ruta de atención</x:v>
      </x:c>
      <x:c r="K249" s="11" t="str">
        <x:v>Socializar conductas de acoso laboral, canales de atención y obligaciones institucionales.</x:v>
      </x:c>
      <x:c r="L249" s="24" t="n">
        <x:v>1</x:v>
      </x:c>
      <x:c r="M249" s="58" t="n">
        <x:v>45616</x:v>
      </x:c>
      <x:c r="N249" s="24" t="n">
        <x:v>1</x:v>
      </x:c>
      <x:c r="O249" s="24" t="n">
        <x:v>30</x:v>
      </x:c>
      <x:c r="P249" s="24" t="n">
        <x:v>28</x:v>
      </x:c>
      <x:c r="Q249" s="64" t="n">
        <x:f>IFERROR(P249/O249,0)</x:f>
        <x:v>0.9333333333333333</x:v>
      </x:c>
      <x:c r="R249" s="24" t="str">
        <x:v>Encuesta de comprensión</x:v>
      </x:c>
      <x:c r="S249" s="70" t="n">
        <x:v>4.8</x:v>
      </x:c>
      <x:c r="T249" s="24" t="str">
        <x:f>IF(XOR(X249="Reprogramada",X249="Cancelada"),"",IF(AND(Q249&gt;=0.8,S249&gt;=4),"Sí",IF(AND(Q249&gt;=0.65,S249&gt;=3.5),"Parcial","No")))</x:f>
        <x:v>Sí</x:v>
      </x:c>
      <x:c r="U249" s="24" t="str">
        <x:v>Camila Andrea Galván</x:v>
      </x:c>
      <x:c r="V249" s="11" t="str">
        <x:v>Humano (facilitador interno) / Logístico / Material de apoyo</x:v>
      </x:c>
      <x:c r="W249" s="11" t="str">
        <x:v>Camila Andrea Galván</x:v>
      </x:c>
      <x:c r="X249" s="11" t="str">
        <x:v>Ejecutada</x:v>
      </x:c>
      <x:c r="Y249" s="52" t="str">
        <x:v>Actividad ejecutada satisfactoriamente; mantener evidencia y seguimiento.</x:v>
      </x:c>
    </x:row>
    <x:row r="250">
      <x:c r="A250" s="23" t="n">
        <x:v>249</x:v>
      </x:c>
      <x:c r="B250" s="24" t="n">
        <x:v>2024</x:v>
      </x:c>
      <x:c r="C250" s="24" t="str">
        <x:v>Noviembre</x:v>
      </x:c>
      <x:c r="D250" s="24" t="n">
        <x:v>11</x:v>
      </x:c>
      <x:c r="E250" s="24" t="str">
        <x:v>Acoso laboral</x:v>
      </x:c>
      <x:c r="F250" s="24" t="str">
        <x:v>Socialización</x:v>
      </x:c>
      <x:c r="G250" s="24" t="str">
        <x:v>Interno</x:v>
      </x:c>
      <x:c r="H250" s="24" t="str">
        <x:v>Todos</x:v>
      </x:c>
      <x:c r="I250" s="24" t="str">
        <x:v>Bogotá</x:v>
      </x:c>
      <x:c r="J250" s="11" t="str">
        <x:v>Acoso laboral y ruta de atención</x:v>
      </x:c>
      <x:c r="K250" s="11" t="str">
        <x:v>Socializar conductas de acoso laboral, canales de atención y obligaciones institucionales.</x:v>
      </x:c>
      <x:c r="L250" s="24" t="n">
        <x:v>1</x:v>
      </x:c>
      <x:c r="M250" s="58" t="n">
        <x:v>45616</x:v>
      </x:c>
      <x:c r="N250" s="24" t="n">
        <x:v>1</x:v>
      </x:c>
      <x:c r="O250" s="24" t="n">
        <x:v>65</x:v>
      </x:c>
      <x:c r="P250" s="24" t="n">
        <x:v>56</x:v>
      </x:c>
      <x:c r="Q250" s="64" t="n">
        <x:f>IFERROR(P250/O250,0)</x:f>
        <x:v>0.8615384615384616</x:v>
      </x:c>
      <x:c r="R250" s="24" t="str">
        <x:v>Encuesta de comprensión</x:v>
      </x:c>
      <x:c r="S250" s="70" t="n">
        <x:v>4.4</x:v>
      </x:c>
      <x:c r="T250" s="24" t="str">
        <x:f>IF(XOR(X250="Reprogramada",X250="Cancelada"),"",IF(AND(Q250&gt;=0.8,S250&gt;=4),"Sí",IF(AND(Q250&gt;=0.65,S250&gt;=3.5),"Parcial","No")))</x:f>
        <x:v>Sí</x:v>
      </x:c>
      <x:c r="U250" s="24" t="str">
        <x:v>Camila Andrea Galván</x:v>
      </x:c>
      <x:c r="V250" s="11" t="str">
        <x:v>Humano (facilitador interno) / Logístico / Material de apoyo</x:v>
      </x:c>
      <x:c r="W250" s="11" t="str">
        <x:v>Jesús Guerrero</x:v>
      </x:c>
      <x:c r="X250" s="11" t="str">
        <x:v>Ejecutada</x:v>
      </x:c>
      <x:c r="Y250" s="52" t="str">
        <x:v>Actividad ejecutada satisfactoriamente; mantener evidencia y seguimiento.</x:v>
      </x:c>
    </x:row>
    <x:row r="251">
      <x:c r="A251" s="23" t="n">
        <x:v>250</x:v>
      </x:c>
      <x:c r="B251" s="24" t="n">
        <x:v>2024</x:v>
      </x:c>
      <x:c r="C251" s="24" t="str">
        <x:v>Noviembre</x:v>
      </x:c>
      <x:c r="D251" s="24" t="n">
        <x:v>11</x:v>
      </x:c>
      <x:c r="E251" s="24" t="str">
        <x:v>Acoso laboral</x:v>
      </x:c>
      <x:c r="F251" s="24" t="str">
        <x:v>Socialización</x:v>
      </x:c>
      <x:c r="G251" s="24" t="str">
        <x:v>Interno</x:v>
      </x:c>
      <x:c r="H251" s="24" t="str">
        <x:v>Todos</x:v>
      </x:c>
      <x:c r="I251" s="24" t="str">
        <x:v>Tibú</x:v>
      </x:c>
      <x:c r="J251" s="11" t="str">
        <x:v>Acoso laboral y ruta de atención</x:v>
      </x:c>
      <x:c r="K251" s="11" t="str">
        <x:v>Socializar conductas de acoso laboral, canales de atención y obligaciones institucionales.</x:v>
      </x:c>
      <x:c r="L251" s="24" t="n">
        <x:v>1</x:v>
      </x:c>
      <x:c r="M251" s="58"/>
      <x:c r="N251" s="24" t="n">
        <x:v>0</x:v>
      </x:c>
      <x:c r="O251" s="24" t="n">
        <x:v>32</x:v>
      </x:c>
      <x:c r="P251" s="24"/>
      <x:c r="Q251" s="64" t="n">
        <x:f>IFERROR(P251/O251,0)</x:f>
        <x:v>0</x:v>
      </x:c>
      <x:c r="R251" s="24" t="str">
        <x:v>Encuesta de comprensión</x:v>
      </x:c>
      <x:c r="S251" s="70"/>
      <x:c r="T251" s="24" t="str">
        <x:f>IF(XOR(X251="Reprogramada",X251="Cancelada"),"",IF(AND(Q251&gt;=0.8,S251&gt;=4),"Sí",IF(AND(Q251&gt;=0.65,S251&gt;=3.5),"Parcial","No")))</x:f>
      </x:c>
      <x:c r="U251" s="24" t="str">
        <x:v>Camila Andrea Galván</x:v>
      </x:c>
      <x:c r="V251" s="11" t="str">
        <x:v>Humano (facilitador interno) / Logístico / Material de apoyo</x:v>
      </x:c>
      <x:c r="W251" s="11" t="str">
        <x:v>Carlos Felipe Parada Ramón</x:v>
      </x:c>
      <x:c r="X251" s="11" t="str">
        <x:v>Cancelada</x:v>
      </x:c>
      <x:c r="Y251" s="52" t="str">
        <x:v>Actividad cancelada por reorganización operativa o priorización de otras necesidades.</x:v>
      </x:c>
    </x:row>
    <x:row r="252">
      <x:c r="A252" s="23" t="n">
        <x:v>251</x:v>
      </x:c>
      <x:c r="B252" s="24" t="n">
        <x:v>2024</x:v>
      </x:c>
      <x:c r="C252" s="24" t="str">
        <x:v>Noviembre</x:v>
      </x:c>
      <x:c r="D252" s="24" t="n">
        <x:v>11</x:v>
      </x:c>
      <x:c r="E252" s="24" t="str">
        <x:v>Acoso laboral</x:v>
      </x:c>
      <x:c r="F252" s="24" t="str">
        <x:v>Socialización</x:v>
      </x:c>
      <x:c r="G252" s="24" t="str">
        <x:v>Interno</x:v>
      </x:c>
      <x:c r="H252" s="24" t="str">
        <x:v>Todos</x:v>
      </x:c>
      <x:c r="I252" s="24" t="str">
        <x:v>Medellín</x:v>
      </x:c>
      <x:c r="J252" s="11" t="str">
        <x:v>Acoso laboral y ruta de atención</x:v>
      </x:c>
      <x:c r="K252" s="11" t="str">
        <x:v>Socializar conductas de acoso laboral, canales de atención y obligaciones institucionales.</x:v>
      </x:c>
      <x:c r="L252" s="24" t="n">
        <x:v>1</x:v>
      </x:c>
      <x:c r="M252" s="58" t="n">
        <x:v>45608</x:v>
      </x:c>
      <x:c r="N252" s="24" t="n">
        <x:v>1</x:v>
      </x:c>
      <x:c r="O252" s="24" t="n">
        <x:v>60</x:v>
      </x:c>
      <x:c r="P252" s="24" t="n">
        <x:v>54</x:v>
      </x:c>
      <x:c r="Q252" s="64" t="n">
        <x:f>IFERROR(P252/O252,0)</x:f>
        <x:v>0.9</x:v>
      </x:c>
      <x:c r="R252" s="24" t="str">
        <x:v>Encuesta de comprensión</x:v>
      </x:c>
      <x:c r="S252" s="70" t="n">
        <x:v>4.3</x:v>
      </x:c>
      <x:c r="T252" s="24" t="str">
        <x:f>IF(XOR(X252="Reprogramada",X252="Cancelada"),"",IF(AND(Q252&gt;=0.8,S252&gt;=4),"Sí",IF(AND(Q252&gt;=0.65,S252&gt;=3.5),"Parcial","No")))</x:f>
        <x:v>Sí</x:v>
      </x:c>
      <x:c r="U252" s="24" t="str">
        <x:v>Camila Andrea Galván</x:v>
      </x:c>
      <x:c r="V252" s="11" t="str">
        <x:v>Humano (facilitador interno) / Logístico / Material de apoyo</x:v>
      </x:c>
      <x:c r="W252" s="11" t="str">
        <x:v>Camila Andrea Galván</x:v>
      </x:c>
      <x:c r="X252" s="11" t="str">
        <x:v>Ejecutada</x:v>
      </x:c>
      <x:c r="Y252" s="52" t="str">
        <x:v>Actividad ejecutada satisfactoriamente; mantener evidencia y seguimiento.</x:v>
      </x:c>
    </x:row>
    <x:row r="253">
      <x:c r="A253" s="23" t="n">
        <x:v>252</x:v>
      </x:c>
      <x:c r="B253" s="24" t="n">
        <x:v>2024</x:v>
      </x:c>
      <x:c r="C253" s="24" t="str">
        <x:v>Noviembre</x:v>
      </x:c>
      <x:c r="D253" s="24" t="n">
        <x:v>11</x:v>
      </x:c>
      <x:c r="E253" s="24" t="str">
        <x:v>Acoso laboral</x:v>
      </x:c>
      <x:c r="F253" s="24" t="str">
        <x:v>Socialización</x:v>
      </x:c>
      <x:c r="G253" s="24" t="str">
        <x:v>Interno</x:v>
      </x:c>
      <x:c r="H253" s="24" t="str">
        <x:v>Todos</x:v>
      </x:c>
      <x:c r="I253" s="24" t="str">
        <x:v>Ábrego</x:v>
      </x:c>
      <x:c r="J253" s="11" t="str">
        <x:v>Acoso laboral y ruta de atención</x:v>
      </x:c>
      <x:c r="K253" s="11" t="str">
        <x:v>Socializar conductas de acoso laboral, canales de atención y obligaciones institucionales.</x:v>
      </x:c>
      <x:c r="L253" s="24" t="n">
        <x:v>1</x:v>
      </x:c>
      <x:c r="M253" s="58"/>
      <x:c r="N253" s="24"/>
      <x:c r="O253" s="24" t="n">
        <x:v>25</x:v>
      </x:c>
      <x:c r="P253" s="24"/>
      <x:c r="Q253" s="64" t="n">
        <x:f>IFERROR(P253/O253,0)</x:f>
        <x:v>0</x:v>
      </x:c>
      <x:c r="R253" s="24" t="str">
        <x:v>Encuesta de comprensión</x:v>
      </x:c>
      <x:c r="S253" s="70"/>
      <x:c r="T253" s="24" t="str">
        <x:f>IF(XOR(X253="Reprogramada",X253="Cancelada"),"",IF(AND(Q253&gt;=0.8,S253&gt;=4),"Sí",IF(AND(Q253&gt;=0.65,S253&gt;=3.5),"Parcial","No")))</x:f>
      </x:c>
      <x:c r="U253" s="24" t="str">
        <x:v>Camila Andrea Galván</x:v>
      </x:c>
      <x:c r="V253" s="11" t="str">
        <x:v>Humano (facilitador interno) / Logístico / Material de apoyo</x:v>
      </x:c>
      <x:c r="W253" s="11" t="str">
        <x:v>Jesús Guerrero</x:v>
      </x:c>
      <x:c r="X253" s="11" t="str">
        <x:v>Reprogramada</x:v>
      </x:c>
      <x:c r="Y253" s="52" t="str">
        <x:v>Actividad reprogramada por operación, disponibilidad del facilitador o ajustes logísticos.</x:v>
      </x:c>
    </x:row>
    <x:row r="254">
      <x:c r="A254" s="23" t="n">
        <x:v>253</x:v>
      </x:c>
      <x:c r="B254" s="24" t="n">
        <x:v>2024</x:v>
      </x:c>
      <x:c r="C254" s="24" t="str">
        <x:v>Noviembre</x:v>
      </x:c>
      <x:c r="D254" s="24" t="n">
        <x:v>11</x:v>
      </x:c>
      <x:c r="E254" s="24" t="str">
        <x:v>Acoso laboral</x:v>
      </x:c>
      <x:c r="F254" s="24" t="str">
        <x:v>Socialización</x:v>
      </x:c>
      <x:c r="G254" s="24" t="str">
        <x:v>Interno</x:v>
      </x:c>
      <x:c r="H254" s="24" t="str">
        <x:v>Todos</x:v>
      </x:c>
      <x:c r="I254" s="24" t="str">
        <x:v>Pamplona</x:v>
      </x:c>
      <x:c r="J254" s="11" t="str">
        <x:v>Acoso laboral y ruta de atención</x:v>
      </x:c>
      <x:c r="K254" s="11" t="str">
        <x:v>Socializar conductas de acoso laboral, canales de atención y obligaciones institucionales.</x:v>
      </x:c>
      <x:c r="L254" s="24" t="n">
        <x:v>1</x:v>
      </x:c>
      <x:c r="M254" s="58" t="n">
        <x:v>45612</x:v>
      </x:c>
      <x:c r="N254" s="24" t="n">
        <x:v>1</x:v>
      </x:c>
      <x:c r="O254" s="24" t="n">
        <x:v>28</x:v>
      </x:c>
      <x:c r="P254" s="24" t="n">
        <x:v>23</x:v>
      </x:c>
      <x:c r="Q254" s="64" t="n">
        <x:f>IFERROR(P254/O254,0)</x:f>
        <x:v>0.8214285714285714</x:v>
      </x:c>
      <x:c r="R254" s="24" t="str">
        <x:v>Encuesta de comprensión</x:v>
      </x:c>
      <x:c r="S254" s="70" t="n">
        <x:v>4.2</x:v>
      </x:c>
      <x:c r="T254" s="24" t="str">
        <x:f>IF(XOR(X254="Reprogramada",X254="Cancelada"),"",IF(AND(Q254&gt;=0.8,S254&gt;=4),"Sí",IF(AND(Q254&gt;=0.65,S254&gt;=3.5),"Parcial","No")))</x:f>
        <x:v>Sí</x:v>
      </x:c>
      <x:c r="U254" s="24" t="str">
        <x:v>Camila Andrea Galván</x:v>
      </x:c>
      <x:c r="V254" s="11" t="str">
        <x:v>Humano (facilitador interno) / Logístico / Material de apoyo</x:v>
      </x:c>
      <x:c r="W254" s="11" t="str">
        <x:v>Carlos Felipe Parada Ramón</x:v>
      </x:c>
      <x:c r="X254" s="11" t="str">
        <x:v>Ejecutada</x:v>
      </x:c>
      <x:c r="Y254" s="52" t="str">
        <x:v>Actividad ejecutada satisfactoriamente; mantener evidencia y seguimiento.</x:v>
      </x:c>
    </x:row>
    <x:row r="255">
      <x:c r="A255" s="23" t="n">
        <x:v>254</x:v>
      </x:c>
      <x:c r="B255" s="24" t="n">
        <x:v>2024</x:v>
      </x:c>
      <x:c r="C255" s="24" t="str">
        <x:v>Diciembre</x:v>
      </x:c>
      <x:c r="D255" s="24" t="n">
        <x:v>12</x:v>
      </x:c>
      <x:c r="E255" s="24" t="str">
        <x:v>General</x:v>
      </x:c>
      <x:c r="F255" s="24" t="str">
        <x:v>Capacitación</x:v>
      </x:c>
      <x:c r="G255" s="24" t="str">
        <x:v>Interno</x:v>
      </x:c>
      <x:c r="H255" s="24" t="str">
        <x:v>Todos</x:v>
      </x:c>
      <x:c r="I255" s="24" t="str">
        <x:v>Cúcuta</x:v>
      </x:c>
      <x:c r="J255" s="11" t="str">
        <x:v>Cierre anual del SG-SST y lecciones aprendidas</x:v>
      </x:c>
      <x:c r="K255" s="11" t="str">
        <x:v>Consolidar logros, hallazgos y compromisos de mejora para el siguiente ciclo del SG-SST.</x:v>
      </x:c>
      <x:c r="L255" s="24" t="n">
        <x:v>1</x:v>
      </x:c>
      <x:c r="M255" s="58" t="n">
        <x:v>45636</x:v>
      </x:c>
      <x:c r="N255" s="24" t="n">
        <x:v>1</x:v>
      </x:c>
      <x:c r="O255" s="24" t="n">
        <x:v>80</x:v>
      </x:c>
      <x:c r="P255" s="24" t="n">
        <x:v>65</x:v>
      </x:c>
      <x:c r="Q255" s="64" t="n">
        <x:f>IFERROR(P255/O255,0)</x:f>
        <x:v>0.8125</x:v>
      </x:c>
      <x:c r="R255" s="24" t="str">
        <x:v>Retroalimentación grupal</x:v>
      </x:c>
      <x:c r="S255" s="70" t="n">
        <x:v>4.8</x:v>
      </x:c>
      <x:c r="T255" s="24" t="str">
        <x:f>IF(XOR(X255="Reprogramada",X255="Cancelada"),"",IF(AND(Q255&gt;=0.8,S255&gt;=4),"Sí",IF(AND(Q255&gt;=0.65,S255&gt;=3.5),"Parcial","No")))</x:f>
        <x:v>Sí</x:v>
      </x:c>
      <x:c r="U255" s="24" t="str">
        <x:v>Carlos Felipe Parada Ramón</x:v>
      </x:c>
      <x:c r="V255" s="11" t="str">
        <x:v>Humano (facilitador interno) / Logístico / Material de apoyo</x:v>
      </x:c>
      <x:c r="W255" s="11" t="str">
        <x:v>Camila Andrea Galván</x:v>
      </x:c>
      <x:c r="X255" s="11" t="str">
        <x:v>Ejecutada</x:v>
      </x:c>
      <x:c r="Y255" s="52" t="str">
        <x:v>Actividad ejecutada satisfactoriamente; mantener evidencia y seguimiento.</x:v>
      </x:c>
    </x:row>
    <x:row r="256">
      <x:c r="A256" s="23" t="n">
        <x:v>255</x:v>
      </x:c>
      <x:c r="B256" s="24" t="n">
        <x:v>2024</x:v>
      </x:c>
      <x:c r="C256" s="24" t="str">
        <x:v>Diciembre</x:v>
      </x:c>
      <x:c r="D256" s="24" t="n">
        <x:v>12</x:v>
      </x:c>
      <x:c r="E256" s="24" t="str">
        <x:v>General</x:v>
      </x:c>
      <x:c r="F256" s="24" t="str">
        <x:v>Capacitación</x:v>
      </x:c>
      <x:c r="G256" s="24" t="str">
        <x:v>Interno</x:v>
      </x:c>
      <x:c r="H256" s="24" t="str">
        <x:v>Todos</x:v>
      </x:c>
      <x:c r="I256" s="24" t="str">
        <x:v>Barrancabermeja</x:v>
      </x:c>
      <x:c r="J256" s="11" t="str">
        <x:v>Cierre anual del SG-SST y lecciones aprendidas</x:v>
      </x:c>
      <x:c r="K256" s="11" t="str">
        <x:v>Consolidar logros, hallazgos y compromisos de mejora para el siguiente ciclo del SG-SST.</x:v>
      </x:c>
      <x:c r="L256" s="24" t="n">
        <x:v>1</x:v>
      </x:c>
      <x:c r="M256" s="58"/>
      <x:c r="N256" s="24"/>
      <x:c r="O256" s="24" t="n">
        <x:v>54</x:v>
      </x:c>
      <x:c r="P256" s="24"/>
      <x:c r="Q256" s="64" t="n">
        <x:f>IFERROR(P256/O256,0)</x:f>
        <x:v>0</x:v>
      </x:c>
      <x:c r="R256" s="24" t="str">
        <x:v>Retroalimentación grupal</x:v>
      </x:c>
      <x:c r="S256" s="70"/>
      <x:c r="T256" s="24" t="str">
        <x:f>IF(XOR(X256="Reprogramada",X256="Cancelada"),"",IF(AND(Q256&gt;=0.8,S256&gt;=4),"Sí",IF(AND(Q256&gt;=0.65,S256&gt;=3.5),"Parcial","No")))</x:f>
      </x:c>
      <x:c r="U256" s="24" t="str">
        <x:v>Carlos Felipe Parada Ramón</x:v>
      </x:c>
      <x:c r="V256" s="11" t="str">
        <x:v>Humano (facilitador interno) / Logístico / Material de apoyo</x:v>
      </x:c>
      <x:c r="W256" s="11" t="str">
        <x:v>Jesús Guerrero</x:v>
      </x:c>
      <x:c r="X256" s="11" t="str">
        <x:v>Reprogramada</x:v>
      </x:c>
      <x:c r="Y256" s="52" t="str">
        <x:v>Actividad reprogramada por operación, disponibilidad del facilitador o ajustes logísticos.</x:v>
      </x:c>
    </x:row>
    <x:row r="257">
      <x:c r="A257" s="23" t="n">
        <x:v>256</x:v>
      </x:c>
      <x:c r="B257" s="24" t="n">
        <x:v>2024</x:v>
      </x:c>
      <x:c r="C257" s="24" t="str">
        <x:v>Diciembre</x:v>
      </x:c>
      <x:c r="D257" s="24" t="n">
        <x:v>12</x:v>
      </x:c>
      <x:c r="E257" s="24" t="str">
        <x:v>General</x:v>
      </x:c>
      <x:c r="F257" s="24" t="str">
        <x:v>Capacitación</x:v>
      </x:c>
      <x:c r="G257" s="24" t="str">
        <x:v>Interno</x:v>
      </x:c>
      <x:c r="H257" s="24" t="str">
        <x:v>Todos</x:v>
      </x:c>
      <x:c r="I257" s="24" t="str">
        <x:v>Ocaña</x:v>
      </x:c>
      <x:c r="J257" s="11" t="str">
        <x:v>Cierre anual del SG-SST y lecciones aprendidas</x:v>
      </x:c>
      <x:c r="K257" s="11" t="str">
        <x:v>Consolidar logros, hallazgos y compromisos de mejora para el siguiente ciclo del SG-SST.</x:v>
      </x:c>
      <x:c r="L257" s="24" t="n">
        <x:v>1</x:v>
      </x:c>
      <x:c r="M257" s="58" t="n">
        <x:v>45646</x:v>
      </x:c>
      <x:c r="N257" s="24" t="n">
        <x:v>1</x:v>
      </x:c>
      <x:c r="O257" s="24" t="n">
        <x:v>37</x:v>
      </x:c>
      <x:c r="P257" s="24" t="n">
        <x:v>32</x:v>
      </x:c>
      <x:c r="Q257" s="64" t="n">
        <x:f>IFERROR(P257/O257,0)</x:f>
        <x:v>0.8648648648648649</x:v>
      </x:c>
      <x:c r="R257" s="24" t="str">
        <x:v>Retroalimentación grupal</x:v>
      </x:c>
      <x:c r="S257" s="70" t="n">
        <x:v>4.3</x:v>
      </x:c>
      <x:c r="T257" s="24" t="str">
        <x:f>IF(XOR(X257="Reprogramada",X257="Cancelada"),"",IF(AND(Q257&gt;=0.8,S257&gt;=4),"Sí",IF(AND(Q257&gt;=0.65,S257&gt;=3.5),"Parcial","No")))</x:f>
        <x:v>Sí</x:v>
      </x:c>
      <x:c r="U257" s="24" t="str">
        <x:v>Carlos Felipe Parada Ramón</x:v>
      </x:c>
      <x:c r="V257" s="11" t="str">
        <x:v>Humano (facilitador interno) / Logístico / Material de apoyo</x:v>
      </x:c>
      <x:c r="W257" s="11" t="str">
        <x:v>Carlos Felipe Parada Ramón</x:v>
      </x:c>
      <x:c r="X257" s="11" t="str">
        <x:v>Ejecutada</x:v>
      </x:c>
      <x:c r="Y257" s="52" t="str">
        <x:v>Actividad ejecutada satisfactoriamente; mantener evidencia y seguimiento.</x:v>
      </x:c>
    </x:row>
    <x:row r="258">
      <x:c r="A258" s="23" t="n">
        <x:v>257</x:v>
      </x:c>
      <x:c r="B258" s="24" t="n">
        <x:v>2024</x:v>
      </x:c>
      <x:c r="C258" s="24" t="str">
        <x:v>Diciembre</x:v>
      </x:c>
      <x:c r="D258" s="24" t="n">
        <x:v>12</x:v>
      </x:c>
      <x:c r="E258" s="24" t="str">
        <x:v>General</x:v>
      </x:c>
      <x:c r="F258" s="24" t="str">
        <x:v>Capacitación</x:v>
      </x:c>
      <x:c r="G258" s="24" t="str">
        <x:v>Interno</x:v>
      </x:c>
      <x:c r="H258" s="24" t="str">
        <x:v>Todos</x:v>
      </x:c>
      <x:c r="I258" s="24" t="str">
        <x:v>Girón</x:v>
      </x:c>
      <x:c r="J258" s="11" t="str">
        <x:v>Cierre anual del SG-SST y lecciones aprendidas</x:v>
      </x:c>
      <x:c r="K258" s="11" t="str">
        <x:v>Consolidar logros, hallazgos y compromisos de mejora para el siguiente ciclo del SG-SST.</x:v>
      </x:c>
      <x:c r="L258" s="24" t="n">
        <x:v>1</x:v>
      </x:c>
      <x:c r="M258" s="58" t="n">
        <x:v>45642</x:v>
      </x:c>
      <x:c r="N258" s="24" t="n">
        <x:v>1</x:v>
      </x:c>
      <x:c r="O258" s="24" t="n">
        <x:v>42</x:v>
      </x:c>
      <x:c r="P258" s="24" t="n">
        <x:v>37</x:v>
      </x:c>
      <x:c r="Q258" s="64" t="n">
        <x:f>IFERROR(P258/O258,0)</x:f>
        <x:v>0.8809523809523809</x:v>
      </x:c>
      <x:c r="R258" s="24" t="str">
        <x:v>Retroalimentación grupal</x:v>
      </x:c>
      <x:c r="S258" s="70" t="n">
        <x:v>4.5</x:v>
      </x:c>
      <x:c r="T258" s="24" t="str">
        <x:f>IF(XOR(X258="Reprogramada",X258="Cancelada"),"",IF(AND(Q258&gt;=0.8,S258&gt;=4),"Sí",IF(AND(Q258&gt;=0.65,S258&gt;=3.5),"Parcial","No")))</x:f>
        <x:v>Sí</x:v>
      </x:c>
      <x:c r="U258" s="24" t="str">
        <x:v>Carlos Felipe Parada Ramón</x:v>
      </x:c>
      <x:c r="V258" s="11" t="str">
        <x:v>Humano (facilitador interno) / Logístico / Material de apoyo</x:v>
      </x:c>
      <x:c r="W258" s="11" t="str">
        <x:v>Camila Andrea Galván</x:v>
      </x:c>
      <x:c r="X258" s="11" t="str">
        <x:v>Ejecutada</x:v>
      </x:c>
      <x:c r="Y258" s="52" t="str">
        <x:v>Actividad ejecutada satisfactoriamente; mantener evidencia y seguimiento.</x:v>
      </x:c>
    </x:row>
    <x:row r="259">
      <x:c r="A259" s="23" t="n">
        <x:v>258</x:v>
      </x:c>
      <x:c r="B259" s="24" t="n">
        <x:v>2024</x:v>
      </x:c>
      <x:c r="C259" s="24" t="str">
        <x:v>Diciembre</x:v>
      </x:c>
      <x:c r="D259" s="24" t="n">
        <x:v>12</x:v>
      </x:c>
      <x:c r="E259" s="24" t="str">
        <x:v>General</x:v>
      </x:c>
      <x:c r="F259" s="24" t="str">
        <x:v>Capacitación</x:v>
      </x:c>
      <x:c r="G259" s="24" t="str">
        <x:v>Interno</x:v>
      </x:c>
      <x:c r="H259" s="24" t="str">
        <x:v>Todos</x:v>
      </x:c>
      <x:c r="I259" s="24" t="str">
        <x:v>Valledupar</x:v>
      </x:c>
      <x:c r="J259" s="11" t="str">
        <x:v>Cierre anual del SG-SST y lecciones aprendidas</x:v>
      </x:c>
      <x:c r="K259" s="11" t="str">
        <x:v>Consolidar logros, hallazgos y compromisos de mejora para el siguiente ciclo del SG-SST.</x:v>
      </x:c>
      <x:c r="L259" s="24" t="n">
        <x:v>1</x:v>
      </x:c>
      <x:c r="M259" s="58" t="n">
        <x:v>45650</x:v>
      </x:c>
      <x:c r="N259" s="24" t="n">
        <x:v>1</x:v>
      </x:c>
      <x:c r="O259" s="24" t="n">
        <x:v>48</x:v>
      </x:c>
      <x:c r="P259" s="24" t="n">
        <x:v>39</x:v>
      </x:c>
      <x:c r="Q259" s="64" t="n">
        <x:f>IFERROR(P259/O259,0)</x:f>
        <x:v>0.8125</x:v>
      </x:c>
      <x:c r="R259" s="24" t="str">
        <x:v>Retroalimentación grupal</x:v>
      </x:c>
      <x:c r="S259" s="70" t="n">
        <x:v>4.7</x:v>
      </x:c>
      <x:c r="T259" s="24" t="str">
        <x:f>IF(XOR(X259="Reprogramada",X259="Cancelada"),"",IF(AND(Q259&gt;=0.8,S259&gt;=4),"Sí",IF(AND(Q259&gt;=0.65,S259&gt;=3.5),"Parcial","No")))</x:f>
        <x:v>Sí</x:v>
      </x:c>
      <x:c r="U259" s="24" t="str">
        <x:v>Carlos Felipe Parada Ramón</x:v>
      </x:c>
      <x:c r="V259" s="11" t="str">
        <x:v>Humano (facilitador interno) / Logístico / Material de apoyo</x:v>
      </x:c>
      <x:c r="W259" s="11" t="str">
        <x:v>Jesús Guerrero</x:v>
      </x:c>
      <x:c r="X259" s="11" t="str">
        <x:v>Ejecutada</x:v>
      </x:c>
      <x:c r="Y259" s="52" t="str">
        <x:v>Actividad ejecutada satisfactoriamente; mantener evidencia y seguimiento.</x:v>
      </x:c>
    </x:row>
    <x:row r="260">
      <x:c r="A260" s="23" t="n">
        <x:v>259</x:v>
      </x:c>
      <x:c r="B260" s="24" t="n">
        <x:v>2024</x:v>
      </x:c>
      <x:c r="C260" s="24" t="str">
        <x:v>Diciembre</x:v>
      </x:c>
      <x:c r="D260" s="24" t="n">
        <x:v>12</x:v>
      </x:c>
      <x:c r="E260" s="24" t="str">
        <x:v>General</x:v>
      </x:c>
      <x:c r="F260" s="24" t="str">
        <x:v>Capacitación</x:v>
      </x:c>
      <x:c r="G260" s="24" t="str">
        <x:v>Interno</x:v>
      </x:c>
      <x:c r="H260" s="24" t="str">
        <x:v>Todos</x:v>
      </x:c>
      <x:c r="I260" s="24" t="str">
        <x:v>Arauca</x:v>
      </x:c>
      <x:c r="J260" s="11" t="str">
        <x:v>Cierre anual del SG-SST y lecciones aprendidas</x:v>
      </x:c>
      <x:c r="K260" s="11" t="str">
        <x:v>Consolidar logros, hallazgos y compromisos de mejora para el siguiente ciclo del SG-SST.</x:v>
      </x:c>
      <x:c r="L260" s="24" t="n">
        <x:v>1</x:v>
      </x:c>
      <x:c r="M260" s="58" t="n">
        <x:v>45651</x:v>
      </x:c>
      <x:c r="N260" s="24" t="n">
        <x:v>1</x:v>
      </x:c>
      <x:c r="O260" s="24" t="n">
        <x:v>30</x:v>
      </x:c>
      <x:c r="P260" s="24" t="n">
        <x:v>26</x:v>
      </x:c>
      <x:c r="Q260" s="64" t="n">
        <x:f>IFERROR(P260/O260,0)</x:f>
        <x:v>0.8666666666666667</x:v>
      </x:c>
      <x:c r="R260" s="24" t="str">
        <x:v>Retroalimentación grupal</x:v>
      </x:c>
      <x:c r="S260" s="70" t="n">
        <x:v>4.1</x:v>
      </x:c>
      <x:c r="T260" s="24" t="str">
        <x:f>IF(XOR(X260="Reprogramada",X260="Cancelada"),"",IF(AND(Q260&gt;=0.8,S260&gt;=4),"Sí",IF(AND(Q260&gt;=0.65,S260&gt;=3.5),"Parcial","No")))</x:f>
        <x:v>Sí</x:v>
      </x:c>
      <x:c r="U260" s="24" t="str">
        <x:v>Carlos Felipe Parada Ramón</x:v>
      </x:c>
      <x:c r="V260" s="11" t="str">
        <x:v>Humano (facilitador interno) / Logístico / Material de apoyo</x:v>
      </x:c>
      <x:c r="W260" s="11" t="str">
        <x:v>Carlos Felipe Parada Ramón</x:v>
      </x:c>
      <x:c r="X260" s="11" t="str">
        <x:v>Ejecutada</x:v>
      </x:c>
      <x:c r="Y260" s="52" t="str">
        <x:v>Actividad ejecutada satisfactoriamente; mantener evidencia y seguimiento.</x:v>
      </x:c>
    </x:row>
    <x:row r="261">
      <x:c r="A261" s="23" t="n">
        <x:v>260</x:v>
      </x:c>
      <x:c r="B261" s="24" t="n">
        <x:v>2024</x:v>
      </x:c>
      <x:c r="C261" s="24" t="str">
        <x:v>Diciembre</x:v>
      </x:c>
      <x:c r="D261" s="24" t="n">
        <x:v>12</x:v>
      </x:c>
      <x:c r="E261" s="24" t="str">
        <x:v>General</x:v>
      </x:c>
      <x:c r="F261" s="24" t="str">
        <x:v>Capacitación</x:v>
      </x:c>
      <x:c r="G261" s="24" t="str">
        <x:v>Interno</x:v>
      </x:c>
      <x:c r="H261" s="24" t="str">
        <x:v>Todos</x:v>
      </x:c>
      <x:c r="I261" s="24" t="str">
        <x:v>Bogotá</x:v>
      </x:c>
      <x:c r="J261" s="11" t="str">
        <x:v>Cierre anual del SG-SST y lecciones aprendidas</x:v>
      </x:c>
      <x:c r="K261" s="11" t="str">
        <x:v>Consolidar logros, hallazgos y compromisos de mejora para el siguiente ciclo del SG-SST.</x:v>
      </x:c>
      <x:c r="L261" s="24" t="n">
        <x:v>1</x:v>
      </x:c>
      <x:c r="M261" s="58"/>
      <x:c r="N261" s="24"/>
      <x:c r="O261" s="24" t="n">
        <x:v>65</x:v>
      </x:c>
      <x:c r="P261" s="24"/>
      <x:c r="Q261" s="64" t="n">
        <x:f>IFERROR(P261/O261,0)</x:f>
        <x:v>0</x:v>
      </x:c>
      <x:c r="R261" s="24" t="str">
        <x:v>Retroalimentación grupal</x:v>
      </x:c>
      <x:c r="S261" s="70"/>
      <x:c r="T261" s="24" t="str">
        <x:f>IF(XOR(X261="Reprogramada",X261="Cancelada"),"",IF(AND(Q261&gt;=0.8,S261&gt;=4),"Sí",IF(AND(Q261&gt;=0.65,S261&gt;=3.5),"Parcial","No")))</x:f>
      </x:c>
      <x:c r="U261" s="24" t="str">
        <x:v>Carlos Felipe Parada Ramón</x:v>
      </x:c>
      <x:c r="V261" s="11" t="str">
        <x:v>Humano (facilitador interno) / Logístico / Material de apoyo</x:v>
      </x:c>
      <x:c r="W261" s="11" t="str">
        <x:v>Camila Andrea Galván</x:v>
      </x:c>
      <x:c r="X261" s="11" t="str">
        <x:v>Reprogramada</x:v>
      </x:c>
      <x:c r="Y261" s="52" t="str">
        <x:v>Actividad reprogramada por operación, disponibilidad del facilitador o ajustes logísticos.</x:v>
      </x:c>
    </x:row>
    <x:row r="262">
      <x:c r="A262" s="23" t="n">
        <x:v>261</x:v>
      </x:c>
      <x:c r="B262" s="24" t="n">
        <x:v>2024</x:v>
      </x:c>
      <x:c r="C262" s="24" t="str">
        <x:v>Diciembre</x:v>
      </x:c>
      <x:c r="D262" s="24" t="n">
        <x:v>12</x:v>
      </x:c>
      <x:c r="E262" s="24" t="str">
        <x:v>General</x:v>
      </x:c>
      <x:c r="F262" s="24" t="str">
        <x:v>Capacitación</x:v>
      </x:c>
      <x:c r="G262" s="24" t="str">
        <x:v>Interno</x:v>
      </x:c>
      <x:c r="H262" s="24" t="str">
        <x:v>Todos</x:v>
      </x:c>
      <x:c r="I262" s="24" t="str">
        <x:v>Tibú</x:v>
      </x:c>
      <x:c r="J262" s="11" t="str">
        <x:v>Cierre anual del SG-SST y lecciones aprendidas</x:v>
      </x:c>
      <x:c r="K262" s="11" t="str">
        <x:v>Consolidar logros, hallazgos y compromisos de mejora para el siguiente ciclo del SG-SST.</x:v>
      </x:c>
      <x:c r="L262" s="24" t="n">
        <x:v>1</x:v>
      </x:c>
      <x:c r="M262" s="58" t="n">
        <x:v>45644</x:v>
      </x:c>
      <x:c r="N262" s="24" t="n">
        <x:v>1</x:v>
      </x:c>
      <x:c r="O262" s="24" t="n">
        <x:v>32</x:v>
      </x:c>
      <x:c r="P262" s="24" t="n">
        <x:v>29</x:v>
      </x:c>
      <x:c r="Q262" s="64" t="n">
        <x:f>IFERROR(P262/O262,0)</x:f>
        <x:v>0.90625</x:v>
      </x:c>
      <x:c r="R262" s="24" t="str">
        <x:v>Retroalimentación grupal</x:v>
      </x:c>
      <x:c r="S262" s="70" t="n">
        <x:v>4.2</x:v>
      </x:c>
      <x:c r="T262" s="24" t="str">
        <x:f>IF(XOR(X262="Reprogramada",X262="Cancelada"),"",IF(AND(Q262&gt;=0.8,S262&gt;=4),"Sí",IF(AND(Q262&gt;=0.65,S262&gt;=3.5),"Parcial","No")))</x:f>
        <x:v>Sí</x:v>
      </x:c>
      <x:c r="U262" s="24" t="str">
        <x:v>Carlos Felipe Parada Ramón</x:v>
      </x:c>
      <x:c r="V262" s="11" t="str">
        <x:v>Humano (facilitador interno) / Logístico / Material de apoyo</x:v>
      </x:c>
      <x:c r="W262" s="11" t="str">
        <x:v>Jesús Guerrero</x:v>
      </x:c>
      <x:c r="X262" s="11" t="str">
        <x:v>Ejecutada</x:v>
      </x:c>
      <x:c r="Y262" s="52" t="str">
        <x:v>Actividad ejecutada satisfactoriamente; mantener evidencia y seguimiento.</x:v>
      </x:c>
    </x:row>
    <x:row r="263">
      <x:c r="A263" s="23" t="n">
        <x:v>262</x:v>
      </x:c>
      <x:c r="B263" s="24" t="n">
        <x:v>2024</x:v>
      </x:c>
      <x:c r="C263" s="24" t="str">
        <x:v>Diciembre</x:v>
      </x:c>
      <x:c r="D263" s="24" t="n">
        <x:v>12</x:v>
      </x:c>
      <x:c r="E263" s="24" t="str">
        <x:v>General</x:v>
      </x:c>
      <x:c r="F263" s="24" t="str">
        <x:v>Capacitación</x:v>
      </x:c>
      <x:c r="G263" s="24" t="str">
        <x:v>Interno</x:v>
      </x:c>
      <x:c r="H263" s="24" t="str">
        <x:v>Todos</x:v>
      </x:c>
      <x:c r="I263" s="24" t="str">
        <x:v>Medellín</x:v>
      </x:c>
      <x:c r="J263" s="11" t="str">
        <x:v>Cierre anual del SG-SST y lecciones aprendidas</x:v>
      </x:c>
      <x:c r="K263" s="11" t="str">
        <x:v>Consolidar logros, hallazgos y compromisos de mejora para el siguiente ciclo del SG-SST.</x:v>
      </x:c>
      <x:c r="L263" s="24" t="n">
        <x:v>1</x:v>
      </x:c>
      <x:c r="M263" s="58" t="n">
        <x:v>45645</x:v>
      </x:c>
      <x:c r="N263" s="24" t="n">
        <x:v>1.5</x:v>
      </x:c>
      <x:c r="O263" s="24" t="n">
        <x:v>60</x:v>
      </x:c>
      <x:c r="P263" s="24" t="n">
        <x:v>52</x:v>
      </x:c>
      <x:c r="Q263" s="64" t="n">
        <x:f>IFERROR(P263/O263,0)</x:f>
        <x:v>0.8666666666666667</x:v>
      </x:c>
      <x:c r="R263" s="24" t="str">
        <x:v>Retroalimentación grupal</x:v>
      </x:c>
      <x:c r="S263" s="70" t="n">
        <x:v>4.7</x:v>
      </x:c>
      <x:c r="T263" s="24" t="str">
        <x:f>IF(XOR(X263="Reprogramada",X263="Cancelada"),"",IF(AND(Q263&gt;=0.8,S263&gt;=4),"Sí",IF(AND(Q263&gt;=0.65,S263&gt;=3.5),"Parcial","No")))</x:f>
        <x:v>Sí</x:v>
      </x:c>
      <x:c r="U263" s="24" t="str">
        <x:v>Carlos Felipe Parada Ramón</x:v>
      </x:c>
      <x:c r="V263" s="11" t="str">
        <x:v>Humano (facilitador interno) / Logístico / Material de apoyo</x:v>
      </x:c>
      <x:c r="W263" s="11" t="str">
        <x:v>Carlos Felipe Parada Ramón</x:v>
      </x:c>
      <x:c r="X263" s="11" t="str">
        <x:v>Ejecutada</x:v>
      </x:c>
      <x:c r="Y263" s="52" t="str">
        <x:v>Actividad ejecutada satisfactoriamente; mantener evidencia y seguimiento.</x:v>
      </x:c>
    </x:row>
    <x:row r="264">
      <x:c r="A264" s="23" t="n">
        <x:v>263</x:v>
      </x:c>
      <x:c r="B264" s="24" t="n">
        <x:v>2024</x:v>
      </x:c>
      <x:c r="C264" s="24" t="str">
        <x:v>Diciembre</x:v>
      </x:c>
      <x:c r="D264" s="24" t="n">
        <x:v>12</x:v>
      </x:c>
      <x:c r="E264" s="24" t="str">
        <x:v>General</x:v>
      </x:c>
      <x:c r="F264" s="24" t="str">
        <x:v>Capacitación</x:v>
      </x:c>
      <x:c r="G264" s="24" t="str">
        <x:v>Interno</x:v>
      </x:c>
      <x:c r="H264" s="24" t="str">
        <x:v>Todos</x:v>
      </x:c>
      <x:c r="I264" s="24" t="str">
        <x:v>Ábrego</x:v>
      </x:c>
      <x:c r="J264" s="11" t="str">
        <x:v>Cierre anual del SG-SST y lecciones aprendidas</x:v>
      </x:c>
      <x:c r="K264" s="11" t="str">
        <x:v>Consolidar logros, hallazgos y compromisos de mejora para el siguiente ciclo del SG-SST.</x:v>
      </x:c>
      <x:c r="L264" s="24" t="n">
        <x:v>1</x:v>
      </x:c>
      <x:c r="M264" s="58" t="n">
        <x:v>45650</x:v>
      </x:c>
      <x:c r="N264" s="24" t="n">
        <x:v>1</x:v>
      </x:c>
      <x:c r="O264" s="24" t="n">
        <x:v>25</x:v>
      </x:c>
      <x:c r="P264" s="24" t="n">
        <x:v>22</x:v>
      </x:c>
      <x:c r="Q264" s="64" t="n">
        <x:f>IFERROR(P264/O264,0)</x:f>
        <x:v>0.88</x:v>
      </x:c>
      <x:c r="R264" s="24" t="str">
        <x:v>Retroalimentación grupal</x:v>
      </x:c>
      <x:c r="S264" s="70" t="n">
        <x:v>4.4</x:v>
      </x:c>
      <x:c r="T264" s="24" t="str">
        <x:f>IF(XOR(X264="Reprogramada",X264="Cancelada"),"",IF(AND(Q264&gt;=0.8,S264&gt;=4),"Sí",IF(AND(Q264&gt;=0.65,S264&gt;=3.5),"Parcial","No")))</x:f>
        <x:v>Sí</x:v>
      </x:c>
      <x:c r="U264" s="24" t="str">
        <x:v>Carlos Felipe Parada Ramón</x:v>
      </x:c>
      <x:c r="V264" s="11" t="str">
        <x:v>Humano (facilitador interno) / Logístico / Material de apoyo</x:v>
      </x:c>
      <x:c r="W264" s="11" t="str">
        <x:v>Camila Andrea Galván</x:v>
      </x:c>
      <x:c r="X264" s="11" t="str">
        <x:v>Ejecutada</x:v>
      </x:c>
      <x:c r="Y264" s="52" t="str">
        <x:v>Actividad ejecutada satisfactoriamente; mantener evidencia y seguimiento.</x:v>
      </x:c>
    </x:row>
    <x:row r="265">
      <x:c r="A265" s="23" t="n">
        <x:v>264</x:v>
      </x:c>
      <x:c r="B265" s="24" t="n">
        <x:v>2024</x:v>
      </x:c>
      <x:c r="C265" s="24" t="str">
        <x:v>Diciembre</x:v>
      </x:c>
      <x:c r="D265" s="24" t="n">
        <x:v>12</x:v>
      </x:c>
      <x:c r="E265" s="24" t="str">
        <x:v>General</x:v>
      </x:c>
      <x:c r="F265" s="24" t="str">
        <x:v>Capacitación</x:v>
      </x:c>
      <x:c r="G265" s="24" t="str">
        <x:v>Interno</x:v>
      </x:c>
      <x:c r="H265" s="24" t="str">
        <x:v>Todos</x:v>
      </x:c>
      <x:c r="I265" s="24" t="str">
        <x:v>Pamplona</x:v>
      </x:c>
      <x:c r="J265" s="11" t="str">
        <x:v>Cierre anual del SG-SST y lecciones aprendidas</x:v>
      </x:c>
      <x:c r="K265" s="11" t="str">
        <x:v>Consolidar logros, hallazgos y compromisos de mejora para el siguiente ciclo del SG-SST.</x:v>
      </x:c>
      <x:c r="L265" s="24" t="n">
        <x:v>1</x:v>
      </x:c>
      <x:c r="M265" s="58"/>
      <x:c r="N265" s="24"/>
      <x:c r="O265" s="24" t="n">
        <x:v>28</x:v>
      </x:c>
      <x:c r="P265" s="24"/>
      <x:c r="Q265" s="64" t="n">
        <x:f>IFERROR(P265/O265,0)</x:f>
        <x:v>0</x:v>
      </x:c>
      <x:c r="R265" s="24" t="str">
        <x:v>Retroalimentación grupal</x:v>
      </x:c>
      <x:c r="S265" s="70"/>
      <x:c r="T265" s="24" t="str">
        <x:f>IF(XOR(X265="Reprogramada",X265="Cancelada"),"",IF(AND(Q265&gt;=0.8,S265&gt;=4),"Sí",IF(AND(Q265&gt;=0.65,S265&gt;=3.5),"Parcial","No")))</x:f>
      </x:c>
      <x:c r="U265" s="24" t="str">
        <x:v>Carlos Felipe Parada Ramón</x:v>
      </x:c>
      <x:c r="V265" s="11" t="str">
        <x:v>Humano (facilitador interno) / Logístico / Material de apoyo</x:v>
      </x:c>
      <x:c r="W265" s="11" t="str">
        <x:v>Jesús Guerrero</x:v>
      </x:c>
      <x:c r="X265" s="11" t="str">
        <x:v>Reprogramada</x:v>
      </x:c>
      <x:c r="Y265" s="52" t="str">
        <x:v>Actividad reprogramada por operación, disponibilidad del facilitador o ajustes logísticos.</x:v>
      </x:c>
    </x:row>
    <x:row r="266">
      <x:c r="A266" s="23" t="n">
        <x:v>265</x:v>
      </x:c>
      <x:c r="B266" s="24" t="n">
        <x:v>2025</x:v>
      </x:c>
      <x:c r="C266" s="24" t="str">
        <x:v>Enero</x:v>
      </x:c>
      <x:c r="D266" s="24" t="n">
        <x:v>1</x:v>
      </x:c>
      <x:c r="E266" s="24" t="str">
        <x:v>General</x:v>
      </x:c>
      <x:c r="F266" s="24" t="str">
        <x:v>Capacitación</x:v>
      </x:c>
      <x:c r="G266" s="24" t="str">
        <x:v>Interno</x:v>
      </x:c>
      <x:c r="H266" s="24" t="str">
        <x:v>Todos</x:v>
      </x:c>
      <x:c r="I266" s="24" t="str">
        <x:v>Cúcuta</x:v>
      </x:c>
      <x:c r="J266" s="11" t="str">
        <x:v>Inducción 2025 y cambios normativos en SST</x:v>
      </x:c>
      <x:c r="K266" s="11" t="str">
        <x:v>Actualizar al personal sobre lineamientos, cambios normativos y metas del SG-SST.</x:v>
      </x:c>
      <x:c r="L266" s="24" t="n">
        <x:v>2</x:v>
      </x:c>
      <x:c r="M266" s="58" t="n">
        <x:v>45680</x:v>
      </x:c>
      <x:c r="N266" s="24" t="n">
        <x:v>2</x:v>
      </x:c>
      <x:c r="O266" s="24" t="n">
        <x:v>83</x:v>
      </x:c>
      <x:c r="P266" s="24" t="n">
        <x:v>77</x:v>
      </x:c>
      <x:c r="Q266" s="64" t="n">
        <x:f>IFERROR(P266/O266,0)</x:f>
        <x:v>0.927710843373494</x:v>
      </x:c>
      <x:c r="R266" s="24" t="str">
        <x:v>Evaluación escrita</x:v>
      </x:c>
      <x:c r="S266" s="70" t="n">
        <x:v>4.6</x:v>
      </x:c>
      <x:c r="T266" s="24" t="str">
        <x:f>IF(XOR(X266="Reprogramada",X266="Cancelada"),"",IF(AND(Q266&gt;=0.8,S266&gt;=4),"Sí",IF(AND(Q266&gt;=0.65,S266&gt;=3.5),"Parcial","No")))</x:f>
        <x:v>Sí</x:v>
      </x:c>
      <x:c r="U266" s="24" t="str">
        <x:v>Carlos Felipe Parada Ramón</x:v>
      </x:c>
      <x:c r="V266" s="11" t="str">
        <x:v>Humano (facilitador interno) / Logístico / Material de apoyo</x:v>
      </x:c>
      <x:c r="W266" s="11" t="str">
        <x:v>Carlos Felipe Parada Ramón</x:v>
      </x:c>
      <x:c r="X266" s="11" t="str">
        <x:v>Ejecutada</x:v>
      </x:c>
      <x:c r="Y266" s="52" t="str">
        <x:v>Actividad ejecutada satisfactoriamente; mantener evidencia y seguimiento.</x:v>
      </x:c>
    </x:row>
    <x:row r="267">
      <x:c r="A267" s="23" t="n">
        <x:v>266</x:v>
      </x:c>
      <x:c r="B267" s="24" t="n">
        <x:v>2025</x:v>
      </x:c>
      <x:c r="C267" s="24" t="str">
        <x:v>Enero</x:v>
      </x:c>
      <x:c r="D267" s="24" t="n">
        <x:v>1</x:v>
      </x:c>
      <x:c r="E267" s="24" t="str">
        <x:v>General</x:v>
      </x:c>
      <x:c r="F267" s="24" t="str">
        <x:v>Capacitación</x:v>
      </x:c>
      <x:c r="G267" s="24" t="str">
        <x:v>Interno</x:v>
      </x:c>
      <x:c r="H267" s="24" t="str">
        <x:v>Todos</x:v>
      </x:c>
      <x:c r="I267" s="24" t="str">
        <x:v>Barrancabermeja</x:v>
      </x:c>
      <x:c r="J267" s="11" t="str">
        <x:v>Inducción 2025 y cambios normativos en SST</x:v>
      </x:c>
      <x:c r="K267" s="11" t="str">
        <x:v>Actualizar al personal sobre lineamientos, cambios normativos y metas del SG-SST.</x:v>
      </x:c>
      <x:c r="L267" s="24" t="n">
        <x:v>2</x:v>
      </x:c>
      <x:c r="M267" s="58" t="n">
        <x:v>45680</x:v>
      </x:c>
      <x:c r="N267" s="24" t="n">
        <x:v>2</x:v>
      </x:c>
      <x:c r="O267" s="24" t="n">
        <x:v>56</x:v>
      </x:c>
      <x:c r="P267" s="24" t="n">
        <x:v>48</x:v>
      </x:c>
      <x:c r="Q267" s="64" t="n">
        <x:f>IFERROR(P267/O267,0)</x:f>
        <x:v>0.8571428571428571</x:v>
      </x:c>
      <x:c r="R267" s="24" t="str">
        <x:v>Evaluación escrita</x:v>
      </x:c>
      <x:c r="S267" s="70" t="n">
        <x:v>4.9</x:v>
      </x:c>
      <x:c r="T267" s="24" t="str">
        <x:f>IF(XOR(X267="Reprogramada",X267="Cancelada"),"",IF(AND(Q267&gt;=0.8,S267&gt;=4),"Sí",IF(AND(Q267&gt;=0.65,S267&gt;=3.5),"Parcial","No")))</x:f>
        <x:v>Sí</x:v>
      </x:c>
      <x:c r="U267" s="24" t="str">
        <x:v>Carlos Felipe Parada Ramón</x:v>
      </x:c>
      <x:c r="V267" s="11" t="str">
        <x:v>Humano (facilitador interno) / Logístico / Material de apoyo</x:v>
      </x:c>
      <x:c r="W267" s="11" t="str">
        <x:v>Camila Andrea Galván</x:v>
      </x:c>
      <x:c r="X267" s="11" t="str">
        <x:v>Ejecutada</x:v>
      </x:c>
      <x:c r="Y267" s="52" t="str">
        <x:v>Actividad ejecutada satisfactoriamente; mantener evidencia y seguimiento.</x:v>
      </x:c>
    </x:row>
    <x:row r="268">
      <x:c r="A268" s="23" t="n">
        <x:v>267</x:v>
      </x:c>
      <x:c r="B268" s="24" t="n">
        <x:v>2025</x:v>
      </x:c>
      <x:c r="C268" s="24" t="str">
        <x:v>Enero</x:v>
      </x:c>
      <x:c r="D268" s="24" t="n">
        <x:v>1</x:v>
      </x:c>
      <x:c r="E268" s="24" t="str">
        <x:v>General</x:v>
      </x:c>
      <x:c r="F268" s="24" t="str">
        <x:v>Capacitación</x:v>
      </x:c>
      <x:c r="G268" s="24" t="str">
        <x:v>Interno</x:v>
      </x:c>
      <x:c r="H268" s="24" t="str">
        <x:v>Todos</x:v>
      </x:c>
      <x:c r="I268" s="24" t="str">
        <x:v>Ocaña</x:v>
      </x:c>
      <x:c r="J268" s="11" t="str">
        <x:v>Inducción 2025 y cambios normativos en SST</x:v>
      </x:c>
      <x:c r="K268" s="11" t="str">
        <x:v>Actualizar al personal sobre lineamientos, cambios normativos y metas del SG-SST.</x:v>
      </x:c>
      <x:c r="L268" s="24" t="n">
        <x:v>2</x:v>
      </x:c>
      <x:c r="M268" s="58" t="n">
        <x:v>45670</x:v>
      </x:c>
      <x:c r="N268" s="24" t="n">
        <x:v>2</x:v>
      </x:c>
      <x:c r="O268" s="24" t="n">
        <x:v>39</x:v>
      </x:c>
      <x:c r="P268" s="24" t="n">
        <x:v>35</x:v>
      </x:c>
      <x:c r="Q268" s="64" t="n">
        <x:f>IFERROR(P268/O268,0)</x:f>
        <x:v>0.8974358974358975</x:v>
      </x:c>
      <x:c r="R268" s="24" t="str">
        <x:v>Evaluación escrita</x:v>
      </x:c>
      <x:c r="S268" s="70" t="n">
        <x:v>4.8</x:v>
      </x:c>
      <x:c r="T268" s="24" t="str">
        <x:f>IF(XOR(X268="Reprogramada",X268="Cancelada"),"",IF(AND(Q268&gt;=0.8,S268&gt;=4),"Sí",IF(AND(Q268&gt;=0.65,S268&gt;=3.5),"Parcial","No")))</x:f>
        <x:v>Sí</x:v>
      </x:c>
      <x:c r="U268" s="24" t="str">
        <x:v>Carlos Felipe Parada Ramón</x:v>
      </x:c>
      <x:c r="V268" s="11" t="str">
        <x:v>Humano (facilitador interno) / Logístico / Material de apoyo</x:v>
      </x:c>
      <x:c r="W268" s="11" t="str">
        <x:v>Jesús Guerrero</x:v>
      </x:c>
      <x:c r="X268" s="11" t="str">
        <x:v>Ejecutada</x:v>
      </x:c>
      <x:c r="Y268" s="52" t="str">
        <x:v>Actividad ejecutada satisfactoriamente; mantener evidencia y seguimiento.</x:v>
      </x:c>
    </x:row>
    <x:row r="269">
      <x:c r="A269" s="23" t="n">
        <x:v>268</x:v>
      </x:c>
      <x:c r="B269" s="24" t="n">
        <x:v>2025</x:v>
      </x:c>
      <x:c r="C269" s="24" t="str">
        <x:v>Enero</x:v>
      </x:c>
      <x:c r="D269" s="24" t="n">
        <x:v>1</x:v>
      </x:c>
      <x:c r="E269" s="24" t="str">
        <x:v>General</x:v>
      </x:c>
      <x:c r="F269" s="24" t="str">
        <x:v>Capacitación</x:v>
      </x:c>
      <x:c r="G269" s="24" t="str">
        <x:v>Interno</x:v>
      </x:c>
      <x:c r="H269" s="24" t="str">
        <x:v>Todos</x:v>
      </x:c>
      <x:c r="I269" s="24" t="str">
        <x:v>Girón</x:v>
      </x:c>
      <x:c r="J269" s="11" t="str">
        <x:v>Inducción 2025 y cambios normativos en SST</x:v>
      </x:c>
      <x:c r="K269" s="11" t="str">
        <x:v>Actualizar al personal sobre lineamientos, cambios normativos y metas del SG-SST.</x:v>
      </x:c>
      <x:c r="L269" s="24" t="n">
        <x:v>2</x:v>
      </x:c>
      <x:c r="M269" s="58" t="n">
        <x:v>45673</x:v>
      </x:c>
      <x:c r="N269" s="24" t="n">
        <x:v>2</x:v>
      </x:c>
      <x:c r="O269" s="24" t="n">
        <x:v>44</x:v>
      </x:c>
      <x:c r="P269" s="24" t="n">
        <x:v>40</x:v>
      </x:c>
      <x:c r="Q269" s="64" t="n">
        <x:f>IFERROR(P269/O269,0)</x:f>
        <x:v>0.9090909090909091</x:v>
      </x:c>
      <x:c r="R269" s="24" t="str">
        <x:v>Evaluación escrita</x:v>
      </x:c>
      <x:c r="S269" s="70" t="n">
        <x:v>4.7</x:v>
      </x:c>
      <x:c r="T269" s="24" t="str">
        <x:f>IF(XOR(X269="Reprogramada",X269="Cancelada"),"",IF(AND(Q269&gt;=0.8,S269&gt;=4),"Sí",IF(AND(Q269&gt;=0.65,S269&gt;=3.5),"Parcial","No")))</x:f>
        <x:v>Sí</x:v>
      </x:c>
      <x:c r="U269" s="24" t="str">
        <x:v>Carlos Felipe Parada Ramón</x:v>
      </x:c>
      <x:c r="V269" s="11" t="str">
        <x:v>Humano (facilitador interno) / Logístico / Material de apoyo</x:v>
      </x:c>
      <x:c r="W269" s="11" t="str">
        <x:v>Carlos Felipe Parada Ramón</x:v>
      </x:c>
      <x:c r="X269" s="11" t="str">
        <x:v>Ejecutada</x:v>
      </x:c>
      <x:c r="Y269" s="52" t="str">
        <x:v>Actividad ejecutada satisfactoriamente; mantener evidencia y seguimiento.</x:v>
      </x:c>
    </x:row>
    <x:row r="270">
      <x:c r="A270" s="23" t="n">
        <x:v>269</x:v>
      </x:c>
      <x:c r="B270" s="24" t="n">
        <x:v>2025</x:v>
      </x:c>
      <x:c r="C270" s="24" t="str">
        <x:v>Enero</x:v>
      </x:c>
      <x:c r="D270" s="24" t="n">
        <x:v>1</x:v>
      </x:c>
      <x:c r="E270" s="24" t="str">
        <x:v>General</x:v>
      </x:c>
      <x:c r="F270" s="24" t="str">
        <x:v>Capacitación</x:v>
      </x:c>
      <x:c r="G270" s="24" t="str">
        <x:v>Interno</x:v>
      </x:c>
      <x:c r="H270" s="24" t="str">
        <x:v>Todos</x:v>
      </x:c>
      <x:c r="I270" s="24" t="str">
        <x:v>Valledupar</x:v>
      </x:c>
      <x:c r="J270" s="11" t="str">
        <x:v>Inducción 2025 y cambios normativos en SST</x:v>
      </x:c>
      <x:c r="K270" s="11" t="str">
        <x:v>Actualizar al personal sobre lineamientos, cambios normativos y metas del SG-SST.</x:v>
      </x:c>
      <x:c r="L270" s="24" t="n">
        <x:v>2</x:v>
      </x:c>
      <x:c r="M270" s="58" t="n">
        <x:v>45672</x:v>
      </x:c>
      <x:c r="N270" s="24" t="n">
        <x:v>1.5</x:v>
      </x:c>
      <x:c r="O270" s="24" t="n">
        <x:v>50</x:v>
      </x:c>
      <x:c r="P270" s="24" t="n">
        <x:v>49</x:v>
      </x:c>
      <x:c r="Q270" s="64" t="n">
        <x:f>IFERROR(P270/O270,0)</x:f>
        <x:v>0.98</x:v>
      </x:c>
      <x:c r="R270" s="24" t="str">
        <x:v>Evaluación escrita</x:v>
      </x:c>
      <x:c r="S270" s="70" t="n">
        <x:v>4.6</x:v>
      </x:c>
      <x:c r="T270" s="24" t="str">
        <x:f>IF(XOR(X270="Reprogramada",X270="Cancelada"),"",IF(AND(Q270&gt;=0.8,S270&gt;=4),"Sí",IF(AND(Q270&gt;=0.65,S270&gt;=3.5),"Parcial","No")))</x:f>
        <x:v>Sí</x:v>
      </x:c>
      <x:c r="U270" s="24" t="str">
        <x:v>Carlos Felipe Parada Ramón</x:v>
      </x:c>
      <x:c r="V270" s="11" t="str">
        <x:v>Humano (facilitador interno) / Logístico / Material de apoyo</x:v>
      </x:c>
      <x:c r="W270" s="11" t="str">
        <x:v>Camila Andrea Galván</x:v>
      </x:c>
      <x:c r="X270" s="11" t="str">
        <x:v>Ejecutada</x:v>
      </x:c>
      <x:c r="Y270" s="52" t="str">
        <x:v>Actividad ejecutada satisfactoriamente; mantener evidencia y seguimiento.</x:v>
      </x:c>
    </x:row>
    <x:row r="271">
      <x:c r="A271" s="23" t="n">
        <x:v>270</x:v>
      </x:c>
      <x:c r="B271" s="24" t="n">
        <x:v>2025</x:v>
      </x:c>
      <x:c r="C271" s="24" t="str">
        <x:v>Enero</x:v>
      </x:c>
      <x:c r="D271" s="24" t="n">
        <x:v>1</x:v>
      </x:c>
      <x:c r="E271" s="24" t="str">
        <x:v>General</x:v>
      </x:c>
      <x:c r="F271" s="24" t="str">
        <x:v>Capacitación</x:v>
      </x:c>
      <x:c r="G271" s="24" t="str">
        <x:v>Interno</x:v>
      </x:c>
      <x:c r="H271" s="24" t="str">
        <x:v>Todos</x:v>
      </x:c>
      <x:c r="I271" s="24" t="str">
        <x:v>Arauca</x:v>
      </x:c>
      <x:c r="J271" s="11" t="str">
        <x:v>Inducción 2025 y cambios normativos en SST</x:v>
      </x:c>
      <x:c r="K271" s="11" t="str">
        <x:v>Actualizar al personal sobre lineamientos, cambios normativos y metas del SG-SST.</x:v>
      </x:c>
      <x:c r="L271" s="24" t="n">
        <x:v>2</x:v>
      </x:c>
      <x:c r="M271" s="58" t="n">
        <x:v>45670</x:v>
      </x:c>
      <x:c r="N271" s="24" t="n">
        <x:v>2</x:v>
      </x:c>
      <x:c r="O271" s="24" t="n">
        <x:v>31</x:v>
      </x:c>
      <x:c r="P271" s="24" t="n">
        <x:v>28</x:v>
      </x:c>
      <x:c r="Q271" s="64" t="n">
        <x:f>IFERROR(P271/O271,0)</x:f>
        <x:v>0.9032258064516129</x:v>
      </x:c>
      <x:c r="R271" s="24" t="str">
        <x:v>Evaluación escrita</x:v>
      </x:c>
      <x:c r="S271" s="70" t="n">
        <x:v>4.4</x:v>
      </x:c>
      <x:c r="T271" s="24" t="str">
        <x:f>IF(XOR(X271="Reprogramada",X271="Cancelada"),"",IF(AND(Q271&gt;=0.8,S271&gt;=4),"Sí",IF(AND(Q271&gt;=0.65,S271&gt;=3.5),"Parcial","No")))</x:f>
        <x:v>Sí</x:v>
      </x:c>
      <x:c r="U271" s="24" t="str">
        <x:v>Carlos Felipe Parada Ramón</x:v>
      </x:c>
      <x:c r="V271" s="11" t="str">
        <x:v>Humano (facilitador interno) / Logístico / Material de apoyo</x:v>
      </x:c>
      <x:c r="W271" s="11" t="str">
        <x:v>Jesús Guerrero</x:v>
      </x:c>
      <x:c r="X271" s="11" t="str">
        <x:v>Ejecutada</x:v>
      </x:c>
      <x:c r="Y271" s="52" t="str">
        <x:v>Actividad ejecutada satisfactoriamente; mantener evidencia y seguimiento.</x:v>
      </x:c>
    </x:row>
    <x:row r="272">
      <x:c r="A272" s="23" t="n">
        <x:v>271</x:v>
      </x:c>
      <x:c r="B272" s="24" t="n">
        <x:v>2025</x:v>
      </x:c>
      <x:c r="C272" s="24" t="str">
        <x:v>Enero</x:v>
      </x:c>
      <x:c r="D272" s="24" t="n">
        <x:v>1</x:v>
      </x:c>
      <x:c r="E272" s="24" t="str">
        <x:v>General</x:v>
      </x:c>
      <x:c r="F272" s="24" t="str">
        <x:v>Capacitación</x:v>
      </x:c>
      <x:c r="G272" s="24" t="str">
        <x:v>Interno</x:v>
      </x:c>
      <x:c r="H272" s="24" t="str">
        <x:v>Todos</x:v>
      </x:c>
      <x:c r="I272" s="24" t="str">
        <x:v>Bogotá</x:v>
      </x:c>
      <x:c r="J272" s="11" t="str">
        <x:v>Inducción 2025 y cambios normativos en SST</x:v>
      </x:c>
      <x:c r="K272" s="11" t="str">
        <x:v>Actualizar al personal sobre lineamientos, cambios normativos y metas del SG-SST.</x:v>
      </x:c>
      <x:c r="L272" s="24" t="n">
        <x:v>2</x:v>
      </x:c>
      <x:c r="M272" s="58" t="n">
        <x:v>45676</x:v>
      </x:c>
      <x:c r="N272" s="24" t="n">
        <x:v>1.5</x:v>
      </x:c>
      <x:c r="O272" s="24" t="n">
        <x:v>67</x:v>
      </x:c>
      <x:c r="P272" s="24" t="n">
        <x:v>57</x:v>
      </x:c>
      <x:c r="Q272" s="64" t="n">
        <x:f>IFERROR(P272/O272,0)</x:f>
        <x:v>0.8507462686567164</x:v>
      </x:c>
      <x:c r="R272" s="24" t="str">
        <x:v>Evaluación escrita</x:v>
      </x:c>
      <x:c r="S272" s="70" t="n">
        <x:v>4.4</x:v>
      </x:c>
      <x:c r="T272" s="24" t="str">
        <x:f>IF(XOR(X272="Reprogramada",X272="Cancelada"),"",IF(AND(Q272&gt;=0.8,S272&gt;=4),"Sí",IF(AND(Q272&gt;=0.65,S272&gt;=3.5),"Parcial","No")))</x:f>
        <x:v>Sí</x:v>
      </x:c>
      <x:c r="U272" s="24" t="str">
        <x:v>Carlos Felipe Parada Ramón</x:v>
      </x:c>
      <x:c r="V272" s="11" t="str">
        <x:v>Humano (facilitador interno) / Logístico / Material de apoyo</x:v>
      </x:c>
      <x:c r="W272" s="11" t="str">
        <x:v>Carlos Felipe Parada Ramón</x:v>
      </x:c>
      <x:c r="X272" s="11" t="str">
        <x:v>Ejecutada</x:v>
      </x:c>
      <x:c r="Y272" s="52" t="str">
        <x:v>Actividad ejecutada satisfactoriamente; mantener evidencia y seguimiento.</x:v>
      </x:c>
    </x:row>
    <x:row r="273">
      <x:c r="A273" s="23" t="n">
        <x:v>272</x:v>
      </x:c>
      <x:c r="B273" s="24" t="n">
        <x:v>2025</x:v>
      </x:c>
      <x:c r="C273" s="24" t="str">
        <x:v>Enero</x:v>
      </x:c>
      <x:c r="D273" s="24" t="n">
        <x:v>1</x:v>
      </x:c>
      <x:c r="E273" s="24" t="str">
        <x:v>General</x:v>
      </x:c>
      <x:c r="F273" s="24" t="str">
        <x:v>Capacitación</x:v>
      </x:c>
      <x:c r="G273" s="24" t="str">
        <x:v>Interno</x:v>
      </x:c>
      <x:c r="H273" s="24" t="str">
        <x:v>Todos</x:v>
      </x:c>
      <x:c r="I273" s="24" t="str">
        <x:v>Tibú</x:v>
      </x:c>
      <x:c r="J273" s="11" t="str">
        <x:v>Inducción 2025 y cambios normativos en SST</x:v>
      </x:c>
      <x:c r="K273" s="11" t="str">
        <x:v>Actualizar al personal sobre lineamientos, cambios normativos y metas del SG-SST.</x:v>
      </x:c>
      <x:c r="L273" s="24" t="n">
        <x:v>2</x:v>
      </x:c>
      <x:c r="M273" s="58"/>
      <x:c r="N273" s="24" t="n">
        <x:v>0</x:v>
      </x:c>
      <x:c r="O273" s="24" t="n">
        <x:v>33</x:v>
      </x:c>
      <x:c r="P273" s="24"/>
      <x:c r="Q273" s="64" t="n">
        <x:f>IFERROR(P273/O273,0)</x:f>
        <x:v>0</x:v>
      </x:c>
      <x:c r="R273" s="24" t="str">
        <x:v>Evaluación escrita</x:v>
      </x:c>
      <x:c r="S273" s="70"/>
      <x:c r="T273" s="24" t="str">
        <x:f>IF(XOR(X273="Reprogramada",X273="Cancelada"),"",IF(AND(Q273&gt;=0.8,S273&gt;=4),"Sí",IF(AND(Q273&gt;=0.65,S273&gt;=3.5),"Parcial","No")))</x:f>
      </x:c>
      <x:c r="U273" s="24" t="str">
        <x:v>Carlos Felipe Parada Ramón</x:v>
      </x:c>
      <x:c r="V273" s="11" t="str">
        <x:v>Humano (facilitador interno) / Logístico / Material de apoyo</x:v>
      </x:c>
      <x:c r="W273" s="11" t="str">
        <x:v>Camila Andrea Galván</x:v>
      </x:c>
      <x:c r="X273" s="11" t="str">
        <x:v>Cancelada</x:v>
      </x:c>
      <x:c r="Y273" s="52" t="str">
        <x:v>Actividad cancelada por reorganización operativa o priorización de otras necesidades.</x:v>
      </x:c>
    </x:row>
    <x:row r="274">
      <x:c r="A274" s="23" t="n">
        <x:v>273</x:v>
      </x:c>
      <x:c r="B274" s="24" t="n">
        <x:v>2025</x:v>
      </x:c>
      <x:c r="C274" s="24" t="str">
        <x:v>Enero</x:v>
      </x:c>
      <x:c r="D274" s="24" t="n">
        <x:v>1</x:v>
      </x:c>
      <x:c r="E274" s="24" t="str">
        <x:v>General</x:v>
      </x:c>
      <x:c r="F274" s="24" t="str">
        <x:v>Capacitación</x:v>
      </x:c>
      <x:c r="G274" s="24" t="str">
        <x:v>Interno</x:v>
      </x:c>
      <x:c r="H274" s="24" t="str">
        <x:v>Todos</x:v>
      </x:c>
      <x:c r="I274" s="24" t="str">
        <x:v>Medellín</x:v>
      </x:c>
      <x:c r="J274" s="11" t="str">
        <x:v>Inducción 2025 y cambios normativos en SST</x:v>
      </x:c>
      <x:c r="K274" s="11" t="str">
        <x:v>Actualizar al personal sobre lineamientos, cambios normativos y metas del SG-SST.</x:v>
      </x:c>
      <x:c r="L274" s="24" t="n">
        <x:v>2</x:v>
      </x:c>
      <x:c r="M274" s="58" t="n">
        <x:v>45681</x:v>
      </x:c>
      <x:c r="N274" s="24" t="n">
        <x:v>2</x:v>
      </x:c>
      <x:c r="O274" s="24" t="n">
        <x:v>62</x:v>
      </x:c>
      <x:c r="P274" s="24" t="n">
        <x:v>50</x:v>
      </x:c>
      <x:c r="Q274" s="64" t="n">
        <x:f>IFERROR(P274/O274,0)</x:f>
        <x:v>0.8064516129032258</x:v>
      </x:c>
      <x:c r="R274" s="24" t="str">
        <x:v>Evaluación escrita</x:v>
      </x:c>
      <x:c r="S274" s="70" t="n">
        <x:v>4.7</x:v>
      </x:c>
      <x:c r="T274" s="24" t="str">
        <x:f>IF(XOR(X274="Reprogramada",X274="Cancelada"),"",IF(AND(Q274&gt;=0.8,S274&gt;=4),"Sí",IF(AND(Q274&gt;=0.65,S274&gt;=3.5),"Parcial","No")))</x:f>
        <x:v>Sí</x:v>
      </x:c>
      <x:c r="U274" s="24" t="str">
        <x:v>Carlos Felipe Parada Ramón</x:v>
      </x:c>
      <x:c r="V274" s="11" t="str">
        <x:v>Humano (facilitador interno) / Logístico / Material de apoyo</x:v>
      </x:c>
      <x:c r="W274" s="11" t="str">
        <x:v>Jesús Guerrero</x:v>
      </x:c>
      <x:c r="X274" s="11" t="str">
        <x:v>Ejecutada</x:v>
      </x:c>
      <x:c r="Y274" s="52" t="str">
        <x:v>Actividad ejecutada satisfactoriamente; mantener evidencia y seguimiento.</x:v>
      </x:c>
    </x:row>
    <x:row r="275">
      <x:c r="A275" s="23" t="n">
        <x:v>274</x:v>
      </x:c>
      <x:c r="B275" s="24" t="n">
        <x:v>2025</x:v>
      </x:c>
      <x:c r="C275" s="24" t="str">
        <x:v>Enero</x:v>
      </x:c>
      <x:c r="D275" s="24" t="n">
        <x:v>1</x:v>
      </x:c>
      <x:c r="E275" s="24" t="str">
        <x:v>General</x:v>
      </x:c>
      <x:c r="F275" s="24" t="str">
        <x:v>Capacitación</x:v>
      </x:c>
      <x:c r="G275" s="24" t="str">
        <x:v>Interno</x:v>
      </x:c>
      <x:c r="H275" s="24" t="str">
        <x:v>Todos</x:v>
      </x:c>
      <x:c r="I275" s="24" t="str">
        <x:v>Ábrego</x:v>
      </x:c>
      <x:c r="J275" s="11" t="str">
        <x:v>Inducción 2025 y cambios normativos en SST</x:v>
      </x:c>
      <x:c r="K275" s="11" t="str">
        <x:v>Actualizar al personal sobre lineamientos, cambios normativos y metas del SG-SST.</x:v>
      </x:c>
      <x:c r="L275" s="24" t="n">
        <x:v>2</x:v>
      </x:c>
      <x:c r="M275" s="58" t="n">
        <x:v>45683</x:v>
      </x:c>
      <x:c r="N275" s="24" t="n">
        <x:v>2</x:v>
      </x:c>
      <x:c r="O275" s="24" t="n">
        <x:v>26</x:v>
      </x:c>
      <x:c r="P275" s="24" t="n">
        <x:v>23</x:v>
      </x:c>
      <x:c r="Q275" s="64" t="n">
        <x:f>IFERROR(P275/O275,0)</x:f>
        <x:v>0.8846153846153846</x:v>
      </x:c>
      <x:c r="R275" s="24" t="str">
        <x:v>Evaluación escrita</x:v>
      </x:c>
      <x:c r="S275" s="70" t="n">
        <x:v>4.3</x:v>
      </x:c>
      <x:c r="T275" s="24" t="str">
        <x:f>IF(XOR(X275="Reprogramada",X275="Cancelada"),"",IF(AND(Q275&gt;=0.8,S275&gt;=4),"Sí",IF(AND(Q275&gt;=0.65,S275&gt;=3.5),"Parcial","No")))</x:f>
        <x:v>Sí</x:v>
      </x:c>
      <x:c r="U275" s="24" t="str">
        <x:v>Carlos Felipe Parada Ramón</x:v>
      </x:c>
      <x:c r="V275" s="11" t="str">
        <x:v>Humano (facilitador interno) / Logístico / Material de apoyo</x:v>
      </x:c>
      <x:c r="W275" s="11" t="str">
        <x:v>Carlos Felipe Parada Ramón</x:v>
      </x:c>
      <x:c r="X275" s="11" t="str">
        <x:v>Ejecutada</x:v>
      </x:c>
      <x:c r="Y275" s="52" t="str">
        <x:v>Actividad ejecutada satisfactoriamente; mantener evidencia y seguimiento.</x:v>
      </x:c>
    </x:row>
    <x:row r="276">
      <x:c r="A276" s="23" t="n">
        <x:v>275</x:v>
      </x:c>
      <x:c r="B276" s="24" t="n">
        <x:v>2025</x:v>
      </x:c>
      <x:c r="C276" s="24" t="str">
        <x:v>Enero</x:v>
      </x:c>
      <x:c r="D276" s="24" t="n">
        <x:v>1</x:v>
      </x:c>
      <x:c r="E276" s="24" t="str">
        <x:v>General</x:v>
      </x:c>
      <x:c r="F276" s="24" t="str">
        <x:v>Capacitación</x:v>
      </x:c>
      <x:c r="G276" s="24" t="str">
        <x:v>Interno</x:v>
      </x:c>
      <x:c r="H276" s="24" t="str">
        <x:v>Todos</x:v>
      </x:c>
      <x:c r="I276" s="24" t="str">
        <x:v>Pamplona</x:v>
      </x:c>
      <x:c r="J276" s="11" t="str">
        <x:v>Inducción 2025 y cambios normativos en SST</x:v>
      </x:c>
      <x:c r="K276" s="11" t="str">
        <x:v>Actualizar al personal sobre lineamientos, cambios normativos y metas del SG-SST.</x:v>
      </x:c>
      <x:c r="L276" s="24" t="n">
        <x:v>2</x:v>
      </x:c>
      <x:c r="M276" s="58" t="n">
        <x:v>45670</x:v>
      </x:c>
      <x:c r="N276" s="24" t="n">
        <x:v>2</x:v>
      </x:c>
      <x:c r="O276" s="24" t="n">
        <x:v>29</x:v>
      </x:c>
      <x:c r="P276" s="24" t="n">
        <x:v>26</x:v>
      </x:c>
      <x:c r="Q276" s="64" t="n">
        <x:f>IFERROR(P276/O276,0)</x:f>
        <x:v>0.896551724137931</x:v>
      </x:c>
      <x:c r="R276" s="24" t="str">
        <x:v>Evaluación escrita</x:v>
      </x:c>
      <x:c r="S276" s="70" t="n">
        <x:v>4.6</x:v>
      </x:c>
      <x:c r="T276" s="24" t="str">
        <x:f>IF(XOR(X276="Reprogramada",X276="Cancelada"),"",IF(AND(Q276&gt;=0.8,S276&gt;=4),"Sí",IF(AND(Q276&gt;=0.65,S276&gt;=3.5),"Parcial","No")))</x:f>
        <x:v>Sí</x:v>
      </x:c>
      <x:c r="U276" s="24" t="str">
        <x:v>Carlos Felipe Parada Ramón</x:v>
      </x:c>
      <x:c r="V276" s="11" t="str">
        <x:v>Humano (facilitador interno) / Logístico / Material de apoyo</x:v>
      </x:c>
      <x:c r="W276" s="11" t="str">
        <x:v>Camila Andrea Galván</x:v>
      </x:c>
      <x:c r="X276" s="11" t="str">
        <x:v>Ejecutada</x:v>
      </x:c>
      <x:c r="Y276" s="52" t="str">
        <x:v>Actividad ejecutada satisfactoriamente; mantener evidencia y seguimiento.</x:v>
      </x:c>
    </x:row>
    <x:row r="277">
      <x:c r="A277" s="23" t="n">
        <x:v>276</x:v>
      </x:c>
      <x:c r="B277" s="24" t="n">
        <x:v>2025</x:v>
      </x:c>
      <x:c r="C277" s="24" t="str">
        <x:v>Febrero</x:v>
      </x:c>
      <x:c r="D277" s="24" t="n">
        <x:v>2</x:v>
      </x:c>
      <x:c r="E277" s="24" t="str">
        <x:v>Biomecánico</x:v>
      </x:c>
      <x:c r="F277" s="24" t="str">
        <x:v>Taller</x:v>
      </x:c>
      <x:c r="G277" s="24" t="str">
        <x:v>Interno</x:v>
      </x:c>
      <x:c r="H277" s="24" t="str">
        <x:v>Todos</x:v>
      </x:c>
      <x:c r="I277" s="24" t="str">
        <x:v>Cúcuta</x:v>
      </x:c>
      <x:c r="J277" s="11" t="str">
        <x:v>Pausas activas y cuidado osteomuscular</x:v>
      </x:c>
      <x:c r="K277" s="11" t="str">
        <x:v>Reforzar prácticas de prevención osteomuscular y pausas activas durante la jornada laboral.</x:v>
      </x:c>
      <x:c r="L277" s="24" t="n">
        <x:v>2</x:v>
      </x:c>
      <x:c r="M277" s="58" t="n">
        <x:v>45706</x:v>
      </x:c>
      <x:c r="N277" s="24" t="n">
        <x:v>2</x:v>
      </x:c>
      <x:c r="O277" s="24" t="n">
        <x:v>83</x:v>
      </x:c>
      <x:c r="P277" s="24" t="n">
        <x:v>66</x:v>
      </x:c>
      <x:c r="Q277" s="64" t="n">
        <x:f>IFERROR(P277/O277,0)</x:f>
        <x:v>0.7951807228915663</x:v>
      </x:c>
      <x:c r="R277" s="24" t="str">
        <x:v>Taller práctico</x:v>
      </x:c>
      <x:c r="S277" s="70" t="n">
        <x:v>4.4</x:v>
      </x:c>
      <x:c r="T277" s="24" t="str">
        <x:f>IF(XOR(X277="Reprogramada",X277="Cancelada"),"",IF(AND(Q277&gt;=0.8,S277&gt;=4),"Sí",IF(AND(Q277&gt;=0.65,S277&gt;=3.5),"Parcial","No")))</x:f>
        <x:v>Parcial</x:v>
      </x:c>
      <x:c r="U277" s="24" t="str">
        <x:v>Camila Andrea Galván</x:v>
      </x:c>
      <x:c r="V277" s="11" t="str">
        <x:v>Humano (facilitador interno) / Logístico / Material de apoyo</x:v>
      </x:c>
      <x:c r="W277" s="11" t="str">
        <x:v>Jesús Guerrero</x:v>
      </x:c>
      <x:c r="X277" s="11" t="str">
        <x:v>Ejecutada</x:v>
      </x:c>
      <x:c r="Y277" s="52" t="str">
        <x:v>Actividad ejecutada satisfactoriamente; mantener evidencia y seguimiento.</x:v>
      </x:c>
    </x:row>
    <x:row r="278">
      <x:c r="A278" s="23" t="n">
        <x:v>277</x:v>
      </x:c>
      <x:c r="B278" s="24" t="n">
        <x:v>2025</x:v>
      </x:c>
      <x:c r="C278" s="24" t="str">
        <x:v>Febrero</x:v>
      </x:c>
      <x:c r="D278" s="24" t="n">
        <x:v>2</x:v>
      </x:c>
      <x:c r="E278" s="24" t="str">
        <x:v>Biomecánico</x:v>
      </x:c>
      <x:c r="F278" s="24" t="str">
        <x:v>Taller</x:v>
      </x:c>
      <x:c r="G278" s="24" t="str">
        <x:v>Interno</x:v>
      </x:c>
      <x:c r="H278" s="24" t="str">
        <x:v>Todos</x:v>
      </x:c>
      <x:c r="I278" s="24" t="str">
        <x:v>Barrancabermeja</x:v>
      </x:c>
      <x:c r="J278" s="11" t="str">
        <x:v>Pausas activas y cuidado osteomuscular</x:v>
      </x:c>
      <x:c r="K278" s="11" t="str">
        <x:v>Reforzar prácticas de prevención osteomuscular y pausas activas durante la jornada laboral.</x:v>
      </x:c>
      <x:c r="L278" s="24" t="n">
        <x:v>2</x:v>
      </x:c>
      <x:c r="M278" s="58" t="n">
        <x:v>45699</x:v>
      </x:c>
      <x:c r="N278" s="24" t="n">
        <x:v>2</x:v>
      </x:c>
      <x:c r="O278" s="24" t="n">
        <x:v>56</x:v>
      </x:c>
      <x:c r="P278" s="24" t="n">
        <x:v>49</x:v>
      </x:c>
      <x:c r="Q278" s="64" t="n">
        <x:f>IFERROR(P278/O278,0)</x:f>
        <x:v>0.875</x:v>
      </x:c>
      <x:c r="R278" s="24" t="str">
        <x:v>Taller práctico</x:v>
      </x:c>
      <x:c r="S278" s="70" t="n">
        <x:v>4.7</x:v>
      </x:c>
      <x:c r="T278" s="24" t="str">
        <x:f>IF(XOR(X278="Reprogramada",X278="Cancelada"),"",IF(AND(Q278&gt;=0.8,S278&gt;=4),"Sí",IF(AND(Q278&gt;=0.65,S278&gt;=3.5),"Parcial","No")))</x:f>
        <x:v>Sí</x:v>
      </x:c>
      <x:c r="U278" s="24" t="str">
        <x:v>Camila Andrea Galván</x:v>
      </x:c>
      <x:c r="V278" s="11" t="str">
        <x:v>Humano (facilitador interno) / Logístico / Material de apoyo</x:v>
      </x:c>
      <x:c r="W278" s="11" t="str">
        <x:v>Carlos Felipe Parada Ramón</x:v>
      </x:c>
      <x:c r="X278" s="11" t="str">
        <x:v>Ejecutada</x:v>
      </x:c>
      <x:c r="Y278" s="52" t="str">
        <x:v>Actividad ejecutada satisfactoriamente; mantener evidencia y seguimiento.</x:v>
      </x:c>
    </x:row>
    <x:row r="279">
      <x:c r="A279" s="23" t="n">
        <x:v>278</x:v>
      </x:c>
      <x:c r="B279" s="24" t="n">
        <x:v>2025</x:v>
      </x:c>
      <x:c r="C279" s="24" t="str">
        <x:v>Febrero</x:v>
      </x:c>
      <x:c r="D279" s="24" t="n">
        <x:v>2</x:v>
      </x:c>
      <x:c r="E279" s="24" t="str">
        <x:v>Biomecánico</x:v>
      </x:c>
      <x:c r="F279" s="24" t="str">
        <x:v>Taller</x:v>
      </x:c>
      <x:c r="G279" s="24" t="str">
        <x:v>Interno</x:v>
      </x:c>
      <x:c r="H279" s="24" t="str">
        <x:v>Todos</x:v>
      </x:c>
      <x:c r="I279" s="24" t="str">
        <x:v>Ocaña</x:v>
      </x:c>
      <x:c r="J279" s="11" t="str">
        <x:v>Pausas activas y cuidado osteomuscular</x:v>
      </x:c>
      <x:c r="K279" s="11" t="str">
        <x:v>Reforzar prácticas de prevención osteomuscular y pausas activas durante la jornada laboral.</x:v>
      </x:c>
      <x:c r="L279" s="24" t="n">
        <x:v>2</x:v>
      </x:c>
      <x:c r="M279" s="58" t="n">
        <x:v>45706</x:v>
      </x:c>
      <x:c r="N279" s="24" t="n">
        <x:v>2</x:v>
      </x:c>
      <x:c r="O279" s="24" t="n">
        <x:v>39</x:v>
      </x:c>
      <x:c r="P279" s="24" t="n">
        <x:v>35</x:v>
      </x:c>
      <x:c r="Q279" s="64" t="n">
        <x:f>IFERROR(P279/O279,0)</x:f>
        <x:v>0.8974358974358975</x:v>
      </x:c>
      <x:c r="R279" s="24" t="str">
        <x:v>Taller práctico</x:v>
      </x:c>
      <x:c r="S279" s="70" t="n">
        <x:v>4.7</x:v>
      </x:c>
      <x:c r="T279" s="24" t="str">
        <x:f>IF(XOR(X279="Reprogramada",X279="Cancelada"),"",IF(AND(Q279&gt;=0.8,S279&gt;=4),"Sí",IF(AND(Q279&gt;=0.65,S279&gt;=3.5),"Parcial","No")))</x:f>
        <x:v>Sí</x:v>
      </x:c>
      <x:c r="U279" s="24" t="str">
        <x:v>Camila Andrea Galván</x:v>
      </x:c>
      <x:c r="V279" s="11" t="str">
        <x:v>Humano (facilitador interno) / Logístico / Material de apoyo</x:v>
      </x:c>
      <x:c r="W279" s="11" t="str">
        <x:v>Camila Andrea Galván</x:v>
      </x:c>
      <x:c r="X279" s="11" t="str">
        <x:v>Ejecutada</x:v>
      </x:c>
      <x:c r="Y279" s="52" t="str">
        <x:v>Actividad ejecutada satisfactoriamente; mantener evidencia y seguimiento.</x:v>
      </x:c>
    </x:row>
    <x:row r="280">
      <x:c r="A280" s="23" t="n">
        <x:v>279</x:v>
      </x:c>
      <x:c r="B280" s="24" t="n">
        <x:v>2025</x:v>
      </x:c>
      <x:c r="C280" s="24" t="str">
        <x:v>Febrero</x:v>
      </x:c>
      <x:c r="D280" s="24" t="n">
        <x:v>2</x:v>
      </x:c>
      <x:c r="E280" s="24" t="str">
        <x:v>Biomecánico</x:v>
      </x:c>
      <x:c r="F280" s="24" t="str">
        <x:v>Taller</x:v>
      </x:c>
      <x:c r="G280" s="24" t="str">
        <x:v>Interno</x:v>
      </x:c>
      <x:c r="H280" s="24" t="str">
        <x:v>Todos</x:v>
      </x:c>
      <x:c r="I280" s="24" t="str">
        <x:v>Girón</x:v>
      </x:c>
      <x:c r="J280" s="11" t="str">
        <x:v>Pausas activas y cuidado osteomuscular</x:v>
      </x:c>
      <x:c r="K280" s="11" t="str">
        <x:v>Reforzar prácticas de prevención osteomuscular y pausas activas durante la jornada laboral.</x:v>
      </x:c>
      <x:c r="L280" s="24" t="n">
        <x:v>2</x:v>
      </x:c>
      <x:c r="M280" s="58"/>
      <x:c r="N280" s="24"/>
      <x:c r="O280" s="24" t="n">
        <x:v>44</x:v>
      </x:c>
      <x:c r="P280" s="24"/>
      <x:c r="Q280" s="64" t="n">
        <x:f>IFERROR(P280/O280,0)</x:f>
        <x:v>0</x:v>
      </x:c>
      <x:c r="R280" s="24" t="str">
        <x:v>Taller práctico</x:v>
      </x:c>
      <x:c r="S280" s="70"/>
      <x:c r="T280" s="24" t="str">
        <x:f>IF(XOR(X280="Reprogramada",X280="Cancelada"),"",IF(AND(Q280&gt;=0.8,S280&gt;=4),"Sí",IF(AND(Q280&gt;=0.65,S280&gt;=3.5),"Parcial","No")))</x:f>
      </x:c>
      <x:c r="U280" s="24" t="str">
        <x:v>Camila Andrea Galván</x:v>
      </x:c>
      <x:c r="V280" s="11" t="str">
        <x:v>Humano (facilitador interno) / Logístico / Material de apoyo</x:v>
      </x:c>
      <x:c r="W280" s="11" t="str">
        <x:v>Jesús Guerrero</x:v>
      </x:c>
      <x:c r="X280" s="11" t="str">
        <x:v>Reprogramada</x:v>
      </x:c>
      <x:c r="Y280" s="52" t="str">
        <x:v>Actividad reprogramada por operación, disponibilidad del facilitador o ajustes logísticos.</x:v>
      </x:c>
    </x:row>
    <x:row r="281">
      <x:c r="A281" s="23" t="n">
        <x:v>280</x:v>
      </x:c>
      <x:c r="B281" s="24" t="n">
        <x:v>2025</x:v>
      </x:c>
      <x:c r="C281" s="24" t="str">
        <x:v>Febrero</x:v>
      </x:c>
      <x:c r="D281" s="24" t="n">
        <x:v>2</x:v>
      </x:c>
      <x:c r="E281" s="24" t="str">
        <x:v>Biomecánico</x:v>
      </x:c>
      <x:c r="F281" s="24" t="str">
        <x:v>Taller</x:v>
      </x:c>
      <x:c r="G281" s="24" t="str">
        <x:v>Interno</x:v>
      </x:c>
      <x:c r="H281" s="24" t="str">
        <x:v>Todos</x:v>
      </x:c>
      <x:c r="I281" s="24" t="str">
        <x:v>Valledupar</x:v>
      </x:c>
      <x:c r="J281" s="11" t="str">
        <x:v>Pausas activas y cuidado osteomuscular</x:v>
      </x:c>
      <x:c r="K281" s="11" t="str">
        <x:v>Reforzar prácticas de prevención osteomuscular y pausas activas durante la jornada laboral.</x:v>
      </x:c>
      <x:c r="L281" s="24" t="n">
        <x:v>2</x:v>
      </x:c>
      <x:c r="M281" s="58" t="n">
        <x:v>45701</x:v>
      </x:c>
      <x:c r="N281" s="24" t="n">
        <x:v>2</x:v>
      </x:c>
      <x:c r="O281" s="24" t="n">
        <x:v>50</x:v>
      </x:c>
      <x:c r="P281" s="24" t="n">
        <x:v>43</x:v>
      </x:c>
      <x:c r="Q281" s="64" t="n">
        <x:f>IFERROR(P281/O281,0)</x:f>
        <x:v>0.86</x:v>
      </x:c>
      <x:c r="R281" s="24" t="str">
        <x:v>Taller práctico</x:v>
      </x:c>
      <x:c r="S281" s="70" t="n">
        <x:v>5</x:v>
      </x:c>
      <x:c r="T281" s="24" t="str">
        <x:f>IF(XOR(X281="Reprogramada",X281="Cancelada"),"",IF(AND(Q281&gt;=0.8,S281&gt;=4),"Sí",IF(AND(Q281&gt;=0.65,S281&gt;=3.5),"Parcial","No")))</x:f>
        <x:v>Sí</x:v>
      </x:c>
      <x:c r="U281" s="24" t="str">
        <x:v>Camila Andrea Galván</x:v>
      </x:c>
      <x:c r="V281" s="11" t="str">
        <x:v>Humano (facilitador interno) / Logístico / Material de apoyo</x:v>
      </x:c>
      <x:c r="W281" s="11" t="str">
        <x:v>Carlos Felipe Parada Ramón</x:v>
      </x:c>
      <x:c r="X281" s="11" t="str">
        <x:v>Ejecutada</x:v>
      </x:c>
      <x:c r="Y281" s="52" t="str">
        <x:v>Actividad ejecutada satisfactoriamente; mantener evidencia y seguimiento.</x:v>
      </x:c>
    </x:row>
    <x:row r="282">
      <x:c r="A282" s="23" t="n">
        <x:v>281</x:v>
      </x:c>
      <x:c r="B282" s="24" t="n">
        <x:v>2025</x:v>
      </x:c>
      <x:c r="C282" s="24" t="str">
        <x:v>Febrero</x:v>
      </x:c>
      <x:c r="D282" s="24" t="n">
        <x:v>2</x:v>
      </x:c>
      <x:c r="E282" s="24" t="str">
        <x:v>Biomecánico</x:v>
      </x:c>
      <x:c r="F282" s="24" t="str">
        <x:v>Taller</x:v>
      </x:c>
      <x:c r="G282" s="24" t="str">
        <x:v>Interno</x:v>
      </x:c>
      <x:c r="H282" s="24" t="str">
        <x:v>Todos</x:v>
      </x:c>
      <x:c r="I282" s="24" t="str">
        <x:v>Arauca</x:v>
      </x:c>
      <x:c r="J282" s="11" t="str">
        <x:v>Pausas activas y cuidado osteomuscular</x:v>
      </x:c>
      <x:c r="K282" s="11" t="str">
        <x:v>Reforzar prácticas de prevención osteomuscular y pausas activas durante la jornada laboral.</x:v>
      </x:c>
      <x:c r="L282" s="24" t="n">
        <x:v>2</x:v>
      </x:c>
      <x:c r="M282" s="58" t="n">
        <x:v>45703</x:v>
      </x:c>
      <x:c r="N282" s="24" t="n">
        <x:v>1.5</x:v>
      </x:c>
      <x:c r="O282" s="24" t="n">
        <x:v>31</x:v>
      </x:c>
      <x:c r="P282" s="24" t="n">
        <x:v>25</x:v>
      </x:c>
      <x:c r="Q282" s="64" t="n">
        <x:f>IFERROR(P282/O282,0)</x:f>
        <x:v>0.8064516129032258</x:v>
      </x:c>
      <x:c r="R282" s="24" t="str">
        <x:v>Taller práctico</x:v>
      </x:c>
      <x:c r="S282" s="70" t="n">
        <x:v>4.8</x:v>
      </x:c>
      <x:c r="T282" s="24" t="str">
        <x:f>IF(XOR(X282="Reprogramada",X282="Cancelada"),"",IF(AND(Q282&gt;=0.8,S282&gt;=4),"Sí",IF(AND(Q282&gt;=0.65,S282&gt;=3.5),"Parcial","No")))</x:f>
        <x:v>Sí</x:v>
      </x:c>
      <x:c r="U282" s="24" t="str">
        <x:v>Camila Andrea Galván</x:v>
      </x:c>
      <x:c r="V282" s="11" t="str">
        <x:v>Humano (facilitador interno) / Logístico / Material de apoyo</x:v>
      </x:c>
      <x:c r="W282" s="11" t="str">
        <x:v>Camila Andrea Galván</x:v>
      </x:c>
      <x:c r="X282" s="11" t="str">
        <x:v>Ejecutada</x:v>
      </x:c>
      <x:c r="Y282" s="52" t="str">
        <x:v>Actividad ejecutada satisfactoriamente; mantener evidencia y seguimiento.</x:v>
      </x:c>
    </x:row>
    <x:row r="283">
      <x:c r="A283" s="23" t="n">
        <x:v>282</x:v>
      </x:c>
      <x:c r="B283" s="24" t="n">
        <x:v>2025</x:v>
      </x:c>
      <x:c r="C283" s="24" t="str">
        <x:v>Febrero</x:v>
      </x:c>
      <x:c r="D283" s="24" t="n">
        <x:v>2</x:v>
      </x:c>
      <x:c r="E283" s="24" t="str">
        <x:v>Biomecánico</x:v>
      </x:c>
      <x:c r="F283" s="24" t="str">
        <x:v>Taller</x:v>
      </x:c>
      <x:c r="G283" s="24" t="str">
        <x:v>Interno</x:v>
      </x:c>
      <x:c r="H283" s="24" t="str">
        <x:v>Todos</x:v>
      </x:c>
      <x:c r="I283" s="24" t="str">
        <x:v>Bogotá</x:v>
      </x:c>
      <x:c r="J283" s="11" t="str">
        <x:v>Pausas activas y cuidado osteomuscular</x:v>
      </x:c>
      <x:c r="K283" s="11" t="str">
        <x:v>Reforzar prácticas de prevención osteomuscular y pausas activas durante la jornada laboral.</x:v>
      </x:c>
      <x:c r="L283" s="24" t="n">
        <x:v>2</x:v>
      </x:c>
      <x:c r="M283" s="58"/>
      <x:c r="N283" s="24"/>
      <x:c r="O283" s="24" t="n">
        <x:v>67</x:v>
      </x:c>
      <x:c r="P283" s="24"/>
      <x:c r="Q283" s="64" t="n">
        <x:f>IFERROR(P283/O283,0)</x:f>
        <x:v>0</x:v>
      </x:c>
      <x:c r="R283" s="24" t="str">
        <x:v>Taller práctico</x:v>
      </x:c>
      <x:c r="S283" s="70"/>
      <x:c r="T283" s="24" t="str">
        <x:f>IF(XOR(X283="Reprogramada",X283="Cancelada"),"",IF(AND(Q283&gt;=0.8,S283&gt;=4),"Sí",IF(AND(Q283&gt;=0.65,S283&gt;=3.5),"Parcial","No")))</x:f>
      </x:c>
      <x:c r="U283" s="24" t="str">
        <x:v>Camila Andrea Galván</x:v>
      </x:c>
      <x:c r="V283" s="11" t="str">
        <x:v>Humano (facilitador interno) / Logístico / Material de apoyo</x:v>
      </x:c>
      <x:c r="W283" s="11" t="str">
        <x:v>Jesús Guerrero</x:v>
      </x:c>
      <x:c r="X283" s="11" t="str">
        <x:v>Reprogramada</x:v>
      </x:c>
      <x:c r="Y283" s="52" t="str">
        <x:v>Actividad reprogramada por operación, disponibilidad del facilitador o ajustes logísticos.</x:v>
      </x:c>
    </x:row>
    <x:row r="284">
      <x:c r="A284" s="23" t="n">
        <x:v>283</x:v>
      </x:c>
      <x:c r="B284" s="24" t="n">
        <x:v>2025</x:v>
      </x:c>
      <x:c r="C284" s="24" t="str">
        <x:v>Febrero</x:v>
      </x:c>
      <x:c r="D284" s="24" t="n">
        <x:v>2</x:v>
      </x:c>
      <x:c r="E284" s="24" t="str">
        <x:v>Biomecánico</x:v>
      </x:c>
      <x:c r="F284" s="24" t="str">
        <x:v>Taller</x:v>
      </x:c>
      <x:c r="G284" s="24" t="str">
        <x:v>Interno</x:v>
      </x:c>
      <x:c r="H284" s="24" t="str">
        <x:v>Todos</x:v>
      </x:c>
      <x:c r="I284" s="24" t="str">
        <x:v>Tibú</x:v>
      </x:c>
      <x:c r="J284" s="11" t="str">
        <x:v>Pausas activas y cuidado osteomuscular</x:v>
      </x:c>
      <x:c r="K284" s="11" t="str">
        <x:v>Reforzar prácticas de prevención osteomuscular y pausas activas durante la jornada laboral.</x:v>
      </x:c>
      <x:c r="L284" s="24" t="n">
        <x:v>2</x:v>
      </x:c>
      <x:c r="M284" s="58"/>
      <x:c r="N284" s="24" t="n">
        <x:v>0</x:v>
      </x:c>
      <x:c r="O284" s="24" t="n">
        <x:v>33</x:v>
      </x:c>
      <x:c r="P284" s="24"/>
      <x:c r="Q284" s="64" t="n">
        <x:f>IFERROR(P284/O284,0)</x:f>
        <x:v>0</x:v>
      </x:c>
      <x:c r="R284" s="24" t="str">
        <x:v>Taller práctico</x:v>
      </x:c>
      <x:c r="S284" s="70"/>
      <x:c r="T284" s="24" t="str">
        <x:f>IF(XOR(X284="Reprogramada",X284="Cancelada"),"",IF(AND(Q284&gt;=0.8,S284&gt;=4),"Sí",IF(AND(Q284&gt;=0.65,S284&gt;=3.5),"Parcial","No")))</x:f>
      </x:c>
      <x:c r="U284" s="24" t="str">
        <x:v>Camila Andrea Galván</x:v>
      </x:c>
      <x:c r="V284" s="11" t="str">
        <x:v>Humano (facilitador interno) / Logístico / Material de apoyo</x:v>
      </x:c>
      <x:c r="W284" s="11" t="str">
        <x:v>Carlos Felipe Parada Ramón</x:v>
      </x:c>
      <x:c r="X284" s="11" t="str">
        <x:v>Cancelada</x:v>
      </x:c>
      <x:c r="Y284" s="52" t="str">
        <x:v>Actividad cancelada por reorganización operativa o priorización de otras necesidades.</x:v>
      </x:c>
    </x:row>
    <x:row r="285">
      <x:c r="A285" s="23" t="n">
        <x:v>284</x:v>
      </x:c>
      <x:c r="B285" s="24" t="n">
        <x:v>2025</x:v>
      </x:c>
      <x:c r="C285" s="24" t="str">
        <x:v>Febrero</x:v>
      </x:c>
      <x:c r="D285" s="24" t="n">
        <x:v>2</x:v>
      </x:c>
      <x:c r="E285" s="24" t="str">
        <x:v>Biomecánico</x:v>
      </x:c>
      <x:c r="F285" s="24" t="str">
        <x:v>Taller</x:v>
      </x:c>
      <x:c r="G285" s="24" t="str">
        <x:v>Interno</x:v>
      </x:c>
      <x:c r="H285" s="24" t="str">
        <x:v>Todos</x:v>
      </x:c>
      <x:c r="I285" s="24" t="str">
        <x:v>Medellín</x:v>
      </x:c>
      <x:c r="J285" s="11" t="str">
        <x:v>Pausas activas y cuidado osteomuscular</x:v>
      </x:c>
      <x:c r="K285" s="11" t="str">
        <x:v>Reforzar prácticas de prevención osteomuscular y pausas activas durante la jornada laboral.</x:v>
      </x:c>
      <x:c r="L285" s="24" t="n">
        <x:v>2</x:v>
      </x:c>
      <x:c r="M285" s="58" t="n">
        <x:v>45713</x:v>
      </x:c>
      <x:c r="N285" s="24" t="n">
        <x:v>2</x:v>
      </x:c>
      <x:c r="O285" s="24" t="n">
        <x:v>62</x:v>
      </x:c>
      <x:c r="P285" s="24" t="n">
        <x:v>53</x:v>
      </x:c>
      <x:c r="Q285" s="64" t="n">
        <x:f>IFERROR(P285/O285,0)</x:f>
        <x:v>0.8548387096774194</x:v>
      </x:c>
      <x:c r="R285" s="24" t="str">
        <x:v>Taller práctico</x:v>
      </x:c>
      <x:c r="S285" s="70" t="n">
        <x:v>4.4</x:v>
      </x:c>
      <x:c r="T285" s="24" t="str">
        <x:f>IF(XOR(X285="Reprogramada",X285="Cancelada"),"",IF(AND(Q285&gt;=0.8,S285&gt;=4),"Sí",IF(AND(Q285&gt;=0.65,S285&gt;=3.5),"Parcial","No")))</x:f>
        <x:v>Sí</x:v>
      </x:c>
      <x:c r="U285" s="24" t="str">
        <x:v>Camila Andrea Galván</x:v>
      </x:c>
      <x:c r="V285" s="11" t="str">
        <x:v>Humano (facilitador interno) / Logístico / Material de apoyo</x:v>
      </x:c>
      <x:c r="W285" s="11" t="str">
        <x:v>Camila Andrea Galván</x:v>
      </x:c>
      <x:c r="X285" s="11" t="str">
        <x:v>Ejecutada</x:v>
      </x:c>
      <x:c r="Y285" s="52" t="str">
        <x:v>Actividad ejecutada satisfactoriamente; mantener evidencia y seguimiento.</x:v>
      </x:c>
    </x:row>
    <x:row r="286">
      <x:c r="A286" s="23" t="n">
        <x:v>285</x:v>
      </x:c>
      <x:c r="B286" s="24" t="n">
        <x:v>2025</x:v>
      </x:c>
      <x:c r="C286" s="24" t="str">
        <x:v>Febrero</x:v>
      </x:c>
      <x:c r="D286" s="24" t="n">
        <x:v>2</x:v>
      </x:c>
      <x:c r="E286" s="24" t="str">
        <x:v>Biomecánico</x:v>
      </x:c>
      <x:c r="F286" s="24" t="str">
        <x:v>Taller</x:v>
      </x:c>
      <x:c r="G286" s="24" t="str">
        <x:v>Interno</x:v>
      </x:c>
      <x:c r="H286" s="24" t="str">
        <x:v>Todos</x:v>
      </x:c>
      <x:c r="I286" s="24" t="str">
        <x:v>Ábrego</x:v>
      </x:c>
      <x:c r="J286" s="11" t="str">
        <x:v>Pausas activas y cuidado osteomuscular</x:v>
      </x:c>
      <x:c r="K286" s="11" t="str">
        <x:v>Reforzar prácticas de prevención osteomuscular y pausas activas durante la jornada laboral.</x:v>
      </x:c>
      <x:c r="L286" s="24" t="n">
        <x:v>2</x:v>
      </x:c>
      <x:c r="M286" s="58" t="n">
        <x:v>45703</x:v>
      </x:c>
      <x:c r="N286" s="24" t="n">
        <x:v>2.5</x:v>
      </x:c>
      <x:c r="O286" s="24" t="n">
        <x:v>26</x:v>
      </x:c>
      <x:c r="P286" s="24" t="n">
        <x:v>23</x:v>
      </x:c>
      <x:c r="Q286" s="64" t="n">
        <x:f>IFERROR(P286/O286,0)</x:f>
        <x:v>0.8846153846153846</x:v>
      </x:c>
      <x:c r="R286" s="24" t="str">
        <x:v>Taller práctico</x:v>
      </x:c>
      <x:c r="S286" s="70" t="n">
        <x:v>4.3</x:v>
      </x:c>
      <x:c r="T286" s="24" t="str">
        <x:f>IF(XOR(X286="Reprogramada",X286="Cancelada"),"",IF(AND(Q286&gt;=0.8,S286&gt;=4),"Sí",IF(AND(Q286&gt;=0.65,S286&gt;=3.5),"Parcial","No")))</x:f>
        <x:v>Sí</x:v>
      </x:c>
      <x:c r="U286" s="24" t="str">
        <x:v>Camila Andrea Galván</x:v>
      </x:c>
      <x:c r="V286" s="11" t="str">
        <x:v>Humano (facilitador interno) / Logístico / Material de apoyo</x:v>
      </x:c>
      <x:c r="W286" s="11" t="str">
        <x:v>Jesús Guerrero</x:v>
      </x:c>
      <x:c r="X286" s="11" t="str">
        <x:v>Ejecutada</x:v>
      </x:c>
      <x:c r="Y286" s="52" t="str">
        <x:v>Actividad ejecutada satisfactoriamente; mantener evidencia y seguimiento.</x:v>
      </x:c>
    </x:row>
    <x:row r="287">
      <x:c r="A287" s="23" t="n">
        <x:v>286</x:v>
      </x:c>
      <x:c r="B287" s="24" t="n">
        <x:v>2025</x:v>
      </x:c>
      <x:c r="C287" s="24" t="str">
        <x:v>Febrero</x:v>
      </x:c>
      <x:c r="D287" s="24" t="n">
        <x:v>2</x:v>
      </x:c>
      <x:c r="E287" s="24" t="str">
        <x:v>Biomecánico</x:v>
      </x:c>
      <x:c r="F287" s="24" t="str">
        <x:v>Taller</x:v>
      </x:c>
      <x:c r="G287" s="24" t="str">
        <x:v>Interno</x:v>
      </x:c>
      <x:c r="H287" s="24" t="str">
        <x:v>Todos</x:v>
      </x:c>
      <x:c r="I287" s="24" t="str">
        <x:v>Pamplona</x:v>
      </x:c>
      <x:c r="J287" s="11" t="str">
        <x:v>Pausas activas y cuidado osteomuscular</x:v>
      </x:c>
      <x:c r="K287" s="11" t="str">
        <x:v>Reforzar prácticas de prevención osteomuscular y pausas activas durante la jornada laboral.</x:v>
      </x:c>
      <x:c r="L287" s="24" t="n">
        <x:v>2</x:v>
      </x:c>
      <x:c r="M287" s="58" t="n">
        <x:v>45714</x:v>
      </x:c>
      <x:c r="N287" s="24" t="n">
        <x:v>2</x:v>
      </x:c>
      <x:c r="O287" s="24" t="n">
        <x:v>29</x:v>
      </x:c>
      <x:c r="P287" s="24" t="n">
        <x:v>23</x:v>
      </x:c>
      <x:c r="Q287" s="64" t="n">
        <x:f>IFERROR(P287/O287,0)</x:f>
        <x:v>0.7931034482758621</x:v>
      </x:c>
      <x:c r="R287" s="24" t="str">
        <x:v>Taller práctico</x:v>
      </x:c>
      <x:c r="S287" s="70" t="n">
        <x:v>4.6</x:v>
      </x:c>
      <x:c r="T287" s="24" t="str">
        <x:f>IF(XOR(X287="Reprogramada",X287="Cancelada"),"",IF(AND(Q287&gt;=0.8,S287&gt;=4),"Sí",IF(AND(Q287&gt;=0.65,S287&gt;=3.5),"Parcial","No")))</x:f>
        <x:v>Parcial</x:v>
      </x:c>
      <x:c r="U287" s="24" t="str">
        <x:v>Camila Andrea Galván</x:v>
      </x:c>
      <x:c r="V287" s="11" t="str">
        <x:v>Humano (facilitador interno) / Logístico / Material de apoyo</x:v>
      </x:c>
      <x:c r="W287" s="11" t="str">
        <x:v>Carlos Felipe Parada Ramón</x:v>
      </x:c>
      <x:c r="X287" s="11" t="str">
        <x:v>Ejecutada</x:v>
      </x:c>
      <x:c r="Y287" s="52" t="str">
        <x:v>Actividad ejecutada satisfactoriamente; mantener evidencia y seguimiento.</x:v>
      </x:c>
    </x:row>
    <x:row r="288">
      <x:c r="A288" s="23" t="n">
        <x:v>287</x:v>
      </x:c>
      <x:c r="B288" s="24" t="n">
        <x:v>2025</x:v>
      </x:c>
      <x:c r="C288" s="24" t="str">
        <x:v>Marzo</x:v>
      </x:c>
      <x:c r="D288" s="24" t="n">
        <x:v>3</x:v>
      </x:c>
      <x:c r="E288" s="24" t="str">
        <x:v>Inspecciones</x:v>
      </x:c>
      <x:c r="F288" s="24" t="str">
        <x:v>Capacitación</x:v>
      </x:c>
      <x:c r="G288" s="24" t="str">
        <x:v>Interno</x:v>
      </x:c>
      <x:c r="H288" s="24" t="str">
        <x:v>Líderes</x:v>
      </x:c>
      <x:c r="I288" s="24" t="str">
        <x:v>Cúcuta</x:v>
      </x:c>
      <x:c r="J288" s="11" t="str">
        <x:v>Inspecciones planeadas y verificación de controles</x:v>
      </x:c>
      <x:c r="K288" s="11" t="str">
        <x:v>Fortalecer la identificación temprana de peligros y el seguimiento a controles operacionales.</x:v>
      </x:c>
      <x:c r="L288" s="24" t="n">
        <x:v>2</x:v>
      </x:c>
      <x:c r="M288" s="58" t="n">
        <x:v>45730</x:v>
      </x:c>
      <x:c r="N288" s="24" t="n">
        <x:v>2</x:v>
      </x:c>
      <x:c r="O288" s="24" t="n">
        <x:v>83</x:v>
      </x:c>
      <x:c r="P288" s="24" t="n">
        <x:v>70</x:v>
      </x:c>
      <x:c r="Q288" s="64" t="n">
        <x:f>IFERROR(P288/O288,0)</x:f>
        <x:v>0.8433734939759037</x:v>
      </x:c>
      <x:c r="R288" s="24" t="str">
        <x:v>Lista de chequeo</x:v>
      </x:c>
      <x:c r="S288" s="70" t="n">
        <x:v>4.6</x:v>
      </x:c>
      <x:c r="T288" s="24" t="str">
        <x:f>IF(XOR(X288="Reprogramada",X288="Cancelada"),"",IF(AND(Q288&gt;=0.8,S288&gt;=4),"Sí",IF(AND(Q288&gt;=0.65,S288&gt;=3.5),"Parcial","No")))</x:f>
        <x:v>Sí</x:v>
      </x:c>
      <x:c r="U288" s="24" t="str">
        <x:v>Jesús Guerrero</x:v>
      </x:c>
      <x:c r="V288" s="11" t="str">
        <x:v>Humano (facilitador interno) / Logístico / Material de apoyo</x:v>
      </x:c>
      <x:c r="W288" s="11" t="str">
        <x:v>Camila Andrea Galván</x:v>
      </x:c>
      <x:c r="X288" s="11" t="str">
        <x:v>Ejecutada</x:v>
      </x:c>
      <x:c r="Y288" s="52" t="str">
        <x:v>Actividad ejecutada satisfactoriamente; mantener evidencia y seguimiento.</x:v>
      </x:c>
    </x:row>
    <x:row r="289">
      <x:c r="A289" s="23" t="n">
        <x:v>288</x:v>
      </x:c>
      <x:c r="B289" s="24" t="n">
        <x:v>2025</x:v>
      </x:c>
      <x:c r="C289" s="24" t="str">
        <x:v>Marzo</x:v>
      </x:c>
      <x:c r="D289" s="24" t="n">
        <x:v>3</x:v>
      </x:c>
      <x:c r="E289" s="24" t="str">
        <x:v>Inspecciones</x:v>
      </x:c>
      <x:c r="F289" s="24" t="str">
        <x:v>Capacitación</x:v>
      </x:c>
      <x:c r="G289" s="24" t="str">
        <x:v>Interno</x:v>
      </x:c>
      <x:c r="H289" s="24" t="str">
        <x:v>Líderes</x:v>
      </x:c>
      <x:c r="I289" s="24" t="str">
        <x:v>Barrancabermeja</x:v>
      </x:c>
      <x:c r="J289" s="11" t="str">
        <x:v>Inspecciones planeadas y verificación de controles</x:v>
      </x:c>
      <x:c r="K289" s="11" t="str">
        <x:v>Fortalecer la identificación temprana de peligros y el seguimiento a controles operacionales.</x:v>
      </x:c>
      <x:c r="L289" s="24" t="n">
        <x:v>2</x:v>
      </x:c>
      <x:c r="M289" s="58" t="n">
        <x:v>45738</x:v>
      </x:c>
      <x:c r="N289" s="24" t="n">
        <x:v>1.5</x:v>
      </x:c>
      <x:c r="O289" s="24" t="n">
        <x:v>56</x:v>
      </x:c>
      <x:c r="P289" s="24" t="n">
        <x:v>45</x:v>
      </x:c>
      <x:c r="Q289" s="64" t="n">
        <x:f>IFERROR(P289/O289,0)</x:f>
        <x:v>0.8035714285714286</x:v>
      </x:c>
      <x:c r="R289" s="24" t="str">
        <x:v>Lista de chequeo</x:v>
      </x:c>
      <x:c r="S289" s="70" t="n">
        <x:v>4.8</x:v>
      </x:c>
      <x:c r="T289" s="24" t="str">
        <x:f>IF(XOR(X289="Reprogramada",X289="Cancelada"),"",IF(AND(Q289&gt;=0.8,S289&gt;=4),"Sí",IF(AND(Q289&gt;=0.65,S289&gt;=3.5),"Parcial","No")))</x:f>
        <x:v>Sí</x:v>
      </x:c>
      <x:c r="U289" s="24" t="str">
        <x:v>Jesús Guerrero</x:v>
      </x:c>
      <x:c r="V289" s="11" t="str">
        <x:v>Humano (facilitador interno) / Logístico / Material de apoyo</x:v>
      </x:c>
      <x:c r="W289" s="11" t="str">
        <x:v>Jesús Guerrero</x:v>
      </x:c>
      <x:c r="X289" s="11" t="str">
        <x:v>Ejecutada</x:v>
      </x:c>
      <x:c r="Y289" s="52" t="str">
        <x:v>Actividad ejecutada satisfactoriamente; mantener evidencia y seguimiento.</x:v>
      </x:c>
    </x:row>
    <x:row r="290">
      <x:c r="A290" s="23" t="n">
        <x:v>289</x:v>
      </x:c>
      <x:c r="B290" s="24" t="n">
        <x:v>2025</x:v>
      </x:c>
      <x:c r="C290" s="24" t="str">
        <x:v>Marzo</x:v>
      </x:c>
      <x:c r="D290" s="24" t="n">
        <x:v>3</x:v>
      </x:c>
      <x:c r="E290" s="24" t="str">
        <x:v>Inspecciones</x:v>
      </x:c>
      <x:c r="F290" s="24" t="str">
        <x:v>Capacitación</x:v>
      </x:c>
      <x:c r="G290" s="24" t="str">
        <x:v>Interno</x:v>
      </x:c>
      <x:c r="H290" s="24" t="str">
        <x:v>Líderes</x:v>
      </x:c>
      <x:c r="I290" s="24" t="str">
        <x:v>Ocaña</x:v>
      </x:c>
      <x:c r="J290" s="11" t="str">
        <x:v>Inspecciones planeadas y verificación de controles</x:v>
      </x:c>
      <x:c r="K290" s="11" t="str">
        <x:v>Fortalecer la identificación temprana de peligros y el seguimiento a controles operacionales.</x:v>
      </x:c>
      <x:c r="L290" s="24" t="n">
        <x:v>2</x:v>
      </x:c>
      <x:c r="M290" s="58" t="n">
        <x:v>45726</x:v>
      </x:c>
      <x:c r="N290" s="24" t="n">
        <x:v>2</x:v>
      </x:c>
      <x:c r="O290" s="24" t="n">
        <x:v>39</x:v>
      </x:c>
      <x:c r="P290" s="24" t="n">
        <x:v>36</x:v>
      </x:c>
      <x:c r="Q290" s="64" t="n">
        <x:f>IFERROR(P290/O290,0)</x:f>
        <x:v>0.9230769230769231</x:v>
      </x:c>
      <x:c r="R290" s="24" t="str">
        <x:v>Lista de chequeo</x:v>
      </x:c>
      <x:c r="S290" s="70" t="n">
        <x:v>4.3</x:v>
      </x:c>
      <x:c r="T290" s="24" t="str">
        <x:f>IF(XOR(X290="Reprogramada",X290="Cancelada"),"",IF(AND(Q290&gt;=0.8,S290&gt;=4),"Sí",IF(AND(Q290&gt;=0.65,S290&gt;=3.5),"Parcial","No")))</x:f>
        <x:v>Sí</x:v>
      </x:c>
      <x:c r="U290" s="24" t="str">
        <x:v>Jesús Guerrero</x:v>
      </x:c>
      <x:c r="V290" s="11" t="str">
        <x:v>Humano (facilitador interno) / Logístico / Material de apoyo</x:v>
      </x:c>
      <x:c r="W290" s="11" t="str">
        <x:v>Carlos Felipe Parada Ramón</x:v>
      </x:c>
      <x:c r="X290" s="11" t="str">
        <x:v>Ejecutada</x:v>
      </x:c>
      <x:c r="Y290" s="52" t="str">
        <x:v>Actividad ejecutada satisfactoriamente; mantener evidencia y seguimiento.</x:v>
      </x:c>
    </x:row>
    <x:row r="291">
      <x:c r="A291" s="23" t="n">
        <x:v>290</x:v>
      </x:c>
      <x:c r="B291" s="24" t="n">
        <x:v>2025</x:v>
      </x:c>
      <x:c r="C291" s="24" t="str">
        <x:v>Marzo</x:v>
      </x:c>
      <x:c r="D291" s="24" t="n">
        <x:v>3</x:v>
      </x:c>
      <x:c r="E291" s="24" t="str">
        <x:v>Inspecciones</x:v>
      </x:c>
      <x:c r="F291" s="24" t="str">
        <x:v>Capacitación</x:v>
      </x:c>
      <x:c r="G291" s="24" t="str">
        <x:v>Interno</x:v>
      </x:c>
      <x:c r="H291" s="24" t="str">
        <x:v>Líderes</x:v>
      </x:c>
      <x:c r="I291" s="24" t="str">
        <x:v>Girón</x:v>
      </x:c>
      <x:c r="J291" s="11" t="str">
        <x:v>Inspecciones planeadas y verificación de controles</x:v>
      </x:c>
      <x:c r="K291" s="11" t="str">
        <x:v>Fortalecer la identificación temprana de peligros y el seguimiento a controles operacionales.</x:v>
      </x:c>
      <x:c r="L291" s="24" t="n">
        <x:v>2</x:v>
      </x:c>
      <x:c r="M291" s="58" t="n">
        <x:v>45740</x:v>
      </x:c>
      <x:c r="N291" s="24" t="n">
        <x:v>2.5</x:v>
      </x:c>
      <x:c r="O291" s="24" t="n">
        <x:v>44</x:v>
      </x:c>
      <x:c r="P291" s="24" t="n">
        <x:v>39</x:v>
      </x:c>
      <x:c r="Q291" s="64" t="n">
        <x:f>IFERROR(P291/O291,0)</x:f>
        <x:v>0.8863636363636364</x:v>
      </x:c>
      <x:c r="R291" s="24" t="str">
        <x:v>Lista de chequeo</x:v>
      </x:c>
      <x:c r="S291" s="70" t="n">
        <x:v>4.9</x:v>
      </x:c>
      <x:c r="T291" s="24" t="str">
        <x:f>IF(XOR(X291="Reprogramada",X291="Cancelada"),"",IF(AND(Q291&gt;=0.8,S291&gt;=4),"Sí",IF(AND(Q291&gt;=0.65,S291&gt;=3.5),"Parcial","No")))</x:f>
        <x:v>Sí</x:v>
      </x:c>
      <x:c r="U291" s="24" t="str">
        <x:v>Jesús Guerrero</x:v>
      </x:c>
      <x:c r="V291" s="11" t="str">
        <x:v>Humano (facilitador interno) / Logístico / Material de apoyo</x:v>
      </x:c>
      <x:c r="W291" s="11" t="str">
        <x:v>Camila Andrea Galván</x:v>
      </x:c>
      <x:c r="X291" s="11" t="str">
        <x:v>Ejecutada</x:v>
      </x:c>
      <x:c r="Y291" s="52" t="str">
        <x:v>Actividad ejecutada satisfactoriamente; mantener evidencia y seguimiento.</x:v>
      </x:c>
    </x:row>
    <x:row r="292">
      <x:c r="A292" s="23" t="n">
        <x:v>291</x:v>
      </x:c>
      <x:c r="B292" s="24" t="n">
        <x:v>2025</x:v>
      </x:c>
      <x:c r="C292" s="24" t="str">
        <x:v>Marzo</x:v>
      </x:c>
      <x:c r="D292" s="24" t="n">
        <x:v>3</x:v>
      </x:c>
      <x:c r="E292" s="24" t="str">
        <x:v>Inspecciones</x:v>
      </x:c>
      <x:c r="F292" s="24" t="str">
        <x:v>Capacitación</x:v>
      </x:c>
      <x:c r="G292" s="24" t="str">
        <x:v>Interno</x:v>
      </x:c>
      <x:c r="H292" s="24" t="str">
        <x:v>Líderes</x:v>
      </x:c>
      <x:c r="I292" s="24" t="str">
        <x:v>Valledupar</x:v>
      </x:c>
      <x:c r="J292" s="11" t="str">
        <x:v>Inspecciones planeadas y verificación de controles</x:v>
      </x:c>
      <x:c r="K292" s="11" t="str">
        <x:v>Fortalecer la identificación temprana de peligros y el seguimiento a controles operacionales.</x:v>
      </x:c>
      <x:c r="L292" s="24" t="n">
        <x:v>2</x:v>
      </x:c>
      <x:c r="M292" s="58" t="n">
        <x:v>45733</x:v>
      </x:c>
      <x:c r="N292" s="24" t="n">
        <x:v>2</x:v>
      </x:c>
      <x:c r="O292" s="24" t="n">
        <x:v>50</x:v>
      </x:c>
      <x:c r="P292" s="24" t="n">
        <x:v>44</x:v>
      </x:c>
      <x:c r="Q292" s="64" t="n">
        <x:f>IFERROR(P292/O292,0)</x:f>
        <x:v>0.88</x:v>
      </x:c>
      <x:c r="R292" s="24" t="str">
        <x:v>Lista de chequeo</x:v>
      </x:c>
      <x:c r="S292" s="70" t="n">
        <x:v>4.8</x:v>
      </x:c>
      <x:c r="T292" s="24" t="str">
        <x:f>IF(XOR(X292="Reprogramada",X292="Cancelada"),"",IF(AND(Q292&gt;=0.8,S292&gt;=4),"Sí",IF(AND(Q292&gt;=0.65,S292&gt;=3.5),"Parcial","No")))</x:f>
        <x:v>Sí</x:v>
      </x:c>
      <x:c r="U292" s="24" t="str">
        <x:v>Jesús Guerrero</x:v>
      </x:c>
      <x:c r="V292" s="11" t="str">
        <x:v>Humano (facilitador interno) / Logístico / Material de apoyo</x:v>
      </x:c>
      <x:c r="W292" s="11" t="str">
        <x:v>Jesús Guerrero</x:v>
      </x:c>
      <x:c r="X292" s="11" t="str">
        <x:v>Ejecutada</x:v>
      </x:c>
      <x:c r="Y292" s="52" t="str">
        <x:v>Actividad ejecutada satisfactoriamente; mantener evidencia y seguimiento.</x:v>
      </x:c>
    </x:row>
    <x:row r="293">
      <x:c r="A293" s="23" t="n">
        <x:v>292</x:v>
      </x:c>
      <x:c r="B293" s="24" t="n">
        <x:v>2025</x:v>
      </x:c>
      <x:c r="C293" s="24" t="str">
        <x:v>Marzo</x:v>
      </x:c>
      <x:c r="D293" s="24" t="n">
        <x:v>3</x:v>
      </x:c>
      <x:c r="E293" s="24" t="str">
        <x:v>Inspecciones</x:v>
      </x:c>
      <x:c r="F293" s="24" t="str">
        <x:v>Capacitación</x:v>
      </x:c>
      <x:c r="G293" s="24" t="str">
        <x:v>Interno</x:v>
      </x:c>
      <x:c r="H293" s="24" t="str">
        <x:v>Líderes</x:v>
      </x:c>
      <x:c r="I293" s="24" t="str">
        <x:v>Arauca</x:v>
      </x:c>
      <x:c r="J293" s="11" t="str">
        <x:v>Inspecciones planeadas y verificación de controles</x:v>
      </x:c>
      <x:c r="K293" s="11" t="str">
        <x:v>Fortalecer la identificación temprana de peligros y el seguimiento a controles operacionales.</x:v>
      </x:c>
      <x:c r="L293" s="24" t="n">
        <x:v>2</x:v>
      </x:c>
      <x:c r="M293" s="58" t="n">
        <x:v>45727</x:v>
      </x:c>
      <x:c r="N293" s="24" t="n">
        <x:v>2</x:v>
      </x:c>
      <x:c r="O293" s="24" t="n">
        <x:v>31</x:v>
      </x:c>
      <x:c r="P293" s="24" t="n">
        <x:v>27</x:v>
      </x:c>
      <x:c r="Q293" s="64" t="n">
        <x:f>IFERROR(P293/O293,0)</x:f>
        <x:v>0.8709677419354839</x:v>
      </x:c>
      <x:c r="R293" s="24" t="str">
        <x:v>Lista de chequeo</x:v>
      </x:c>
      <x:c r="S293" s="70" t="n">
        <x:v>4.8</x:v>
      </x:c>
      <x:c r="T293" s="24" t="str">
        <x:f>IF(XOR(X293="Reprogramada",X293="Cancelada"),"",IF(AND(Q293&gt;=0.8,S293&gt;=4),"Sí",IF(AND(Q293&gt;=0.65,S293&gt;=3.5),"Parcial","No")))</x:f>
        <x:v>Sí</x:v>
      </x:c>
      <x:c r="U293" s="24" t="str">
        <x:v>Jesús Guerrero</x:v>
      </x:c>
      <x:c r="V293" s="11" t="str">
        <x:v>Humano (facilitador interno) / Logístico / Material de apoyo</x:v>
      </x:c>
      <x:c r="W293" s="11" t="str">
        <x:v>Carlos Felipe Parada Ramón</x:v>
      </x:c>
      <x:c r="X293" s="11" t="str">
        <x:v>Ejecutada</x:v>
      </x:c>
      <x:c r="Y293" s="52" t="str">
        <x:v>Actividad ejecutada satisfactoriamente; mantener evidencia y seguimiento.</x:v>
      </x:c>
    </x:row>
    <x:row r="294">
      <x:c r="A294" s="23" t="n">
        <x:v>293</x:v>
      </x:c>
      <x:c r="B294" s="24" t="n">
        <x:v>2025</x:v>
      </x:c>
      <x:c r="C294" s="24" t="str">
        <x:v>Marzo</x:v>
      </x:c>
      <x:c r="D294" s="24" t="n">
        <x:v>3</x:v>
      </x:c>
      <x:c r="E294" s="24" t="str">
        <x:v>Inspecciones</x:v>
      </x:c>
      <x:c r="F294" s="24" t="str">
        <x:v>Capacitación</x:v>
      </x:c>
      <x:c r="G294" s="24" t="str">
        <x:v>Interno</x:v>
      </x:c>
      <x:c r="H294" s="24" t="str">
        <x:v>Líderes</x:v>
      </x:c>
      <x:c r="I294" s="24" t="str">
        <x:v>Bogotá</x:v>
      </x:c>
      <x:c r="J294" s="11" t="str">
        <x:v>Inspecciones planeadas y verificación de controles</x:v>
      </x:c>
      <x:c r="K294" s="11" t="str">
        <x:v>Fortalecer la identificación temprana de peligros y el seguimiento a controles operacionales.</x:v>
      </x:c>
      <x:c r="L294" s="24" t="n">
        <x:v>2</x:v>
      </x:c>
      <x:c r="M294" s="58" t="n">
        <x:v>45726</x:v>
      </x:c>
      <x:c r="N294" s="24" t="n">
        <x:v>1.5</x:v>
      </x:c>
      <x:c r="O294" s="24" t="n">
        <x:v>67</x:v>
      </x:c>
      <x:c r="P294" s="24" t="n">
        <x:v>51</x:v>
      </x:c>
      <x:c r="Q294" s="64" t="n">
        <x:f>IFERROR(P294/O294,0)</x:f>
        <x:v>0.7611940298507462</x:v>
      </x:c>
      <x:c r="R294" s="24" t="str">
        <x:v>Lista de chequeo</x:v>
      </x:c>
      <x:c r="S294" s="70" t="n">
        <x:v>4.7</x:v>
      </x:c>
      <x:c r="T294" s="24" t="str">
        <x:f>IF(XOR(X294="Reprogramada",X294="Cancelada"),"",IF(AND(Q294&gt;=0.8,S294&gt;=4),"Sí",IF(AND(Q294&gt;=0.65,S294&gt;=3.5),"Parcial","No")))</x:f>
        <x:v>Parcial</x:v>
      </x:c>
      <x:c r="U294" s="24" t="str">
        <x:v>Jesús Guerrero</x:v>
      </x:c>
      <x:c r="V294" s="11" t="str">
        <x:v>Humano (facilitador interno) / Logístico / Material de apoyo</x:v>
      </x:c>
      <x:c r="W294" s="11" t="str">
        <x:v>Camila Andrea Galván</x:v>
      </x:c>
      <x:c r="X294" s="11" t="str">
        <x:v>Ejecutada</x:v>
      </x:c>
      <x:c r="Y294" s="52" t="str">
        <x:v>Actividad ejecutada satisfactoriamente; mantener evidencia y seguimiento.</x:v>
      </x:c>
    </x:row>
    <x:row r="295">
      <x:c r="A295" s="23" t="n">
        <x:v>294</x:v>
      </x:c>
      <x:c r="B295" s="24" t="n">
        <x:v>2025</x:v>
      </x:c>
      <x:c r="C295" s="24" t="str">
        <x:v>Marzo</x:v>
      </x:c>
      <x:c r="D295" s="24" t="n">
        <x:v>3</x:v>
      </x:c>
      <x:c r="E295" s="24" t="str">
        <x:v>Inspecciones</x:v>
      </x:c>
      <x:c r="F295" s="24" t="str">
        <x:v>Capacitación</x:v>
      </x:c>
      <x:c r="G295" s="24" t="str">
        <x:v>Interno</x:v>
      </x:c>
      <x:c r="H295" s="24" t="str">
        <x:v>Líderes</x:v>
      </x:c>
      <x:c r="I295" s="24" t="str">
        <x:v>Tibú</x:v>
      </x:c>
      <x:c r="J295" s="11" t="str">
        <x:v>Inspecciones planeadas y verificación de controles</x:v>
      </x:c>
      <x:c r="K295" s="11" t="str">
        <x:v>Fortalecer la identificación temprana de peligros y el seguimiento a controles operacionales.</x:v>
      </x:c>
      <x:c r="L295" s="24" t="n">
        <x:v>2</x:v>
      </x:c>
      <x:c r="M295" s="58" t="n">
        <x:v>45737</x:v>
      </x:c>
      <x:c r="N295" s="24" t="n">
        <x:v>2</x:v>
      </x:c>
      <x:c r="O295" s="24" t="n">
        <x:v>33</x:v>
      </x:c>
      <x:c r="P295" s="24" t="n">
        <x:v>25</x:v>
      </x:c>
      <x:c r="Q295" s="64" t="n">
        <x:f>IFERROR(P295/O295,0)</x:f>
        <x:v>0.7575757575757576</x:v>
      </x:c>
      <x:c r="R295" s="24" t="str">
        <x:v>Lista de chequeo</x:v>
      </x:c>
      <x:c r="S295" s="70" t="n">
        <x:v>4.4</x:v>
      </x:c>
      <x:c r="T295" s="24" t="str">
        <x:f>IF(XOR(X295="Reprogramada",X295="Cancelada"),"",IF(AND(Q295&gt;=0.8,S295&gt;=4),"Sí",IF(AND(Q295&gt;=0.65,S295&gt;=3.5),"Parcial","No")))</x:f>
        <x:v>Parcial</x:v>
      </x:c>
      <x:c r="U295" s="24" t="str">
        <x:v>Jesús Guerrero</x:v>
      </x:c>
      <x:c r="V295" s="11" t="str">
        <x:v>Humano (facilitador interno) / Logístico / Material de apoyo</x:v>
      </x:c>
      <x:c r="W295" s="11" t="str">
        <x:v>Jesús Guerrero</x:v>
      </x:c>
      <x:c r="X295" s="11" t="str">
        <x:v>Ejecutada</x:v>
      </x:c>
      <x:c r="Y295" s="52" t="str">
        <x:v>Actividad ejecutada satisfactoriamente; mantener evidencia y seguimiento.</x:v>
      </x:c>
    </x:row>
    <x:row r="296">
      <x:c r="A296" s="23" t="n">
        <x:v>295</x:v>
      </x:c>
      <x:c r="B296" s="24" t="n">
        <x:v>2025</x:v>
      </x:c>
      <x:c r="C296" s="24" t="str">
        <x:v>Marzo</x:v>
      </x:c>
      <x:c r="D296" s="24" t="n">
        <x:v>3</x:v>
      </x:c>
      <x:c r="E296" s="24" t="str">
        <x:v>Inspecciones</x:v>
      </x:c>
      <x:c r="F296" s="24" t="str">
        <x:v>Capacitación</x:v>
      </x:c>
      <x:c r="G296" s="24" t="str">
        <x:v>Interno</x:v>
      </x:c>
      <x:c r="H296" s="24" t="str">
        <x:v>Líderes</x:v>
      </x:c>
      <x:c r="I296" s="24" t="str">
        <x:v>Medellín</x:v>
      </x:c>
      <x:c r="J296" s="11" t="str">
        <x:v>Inspecciones planeadas y verificación de controles</x:v>
      </x:c>
      <x:c r="K296" s="11" t="str">
        <x:v>Fortalecer la identificación temprana de peligros y el seguimiento a controles operacionales.</x:v>
      </x:c>
      <x:c r="L296" s="24" t="n">
        <x:v>2</x:v>
      </x:c>
      <x:c r="M296" s="58" t="n">
        <x:v>45740</x:v>
      </x:c>
      <x:c r="N296" s="24" t="n">
        <x:v>2.5</x:v>
      </x:c>
      <x:c r="O296" s="24" t="n">
        <x:v>62</x:v>
      </x:c>
      <x:c r="P296" s="24" t="n">
        <x:v>45</x:v>
      </x:c>
      <x:c r="Q296" s="64" t="n">
        <x:f>IFERROR(P296/O296,0)</x:f>
        <x:v>0.7258064516129032</x:v>
      </x:c>
      <x:c r="R296" s="24" t="str">
        <x:v>Lista de chequeo</x:v>
      </x:c>
      <x:c r="S296" s="70" t="n">
        <x:v>4</x:v>
      </x:c>
      <x:c r="T296" s="24" t="str">
        <x:f>IF(XOR(X296="Reprogramada",X296="Cancelada"),"",IF(AND(Q296&gt;=0.8,S296&gt;=4),"Sí",IF(AND(Q296&gt;=0.65,S296&gt;=3.5),"Parcial","No")))</x:f>
        <x:v>Parcial</x:v>
      </x:c>
      <x:c r="U296" s="24" t="str">
        <x:v>Jesús Guerrero</x:v>
      </x:c>
      <x:c r="V296" s="11" t="str">
        <x:v>Humano (facilitador interno) / Logístico / Material de apoyo</x:v>
      </x:c>
      <x:c r="W296" s="11" t="str">
        <x:v>Carlos Felipe Parada Ramón</x:v>
      </x:c>
      <x:c r="X296" s="11" t="str">
        <x:v>Ejecutada</x:v>
      </x:c>
      <x:c r="Y296" s="52" t="str">
        <x:v>Reforzar convocatoria y seguimiento a ausentismo.</x:v>
      </x:c>
    </x:row>
    <x:row r="297">
      <x:c r="A297" s="23" t="n">
        <x:v>296</x:v>
      </x:c>
      <x:c r="B297" s="24" t="n">
        <x:v>2025</x:v>
      </x:c>
      <x:c r="C297" s="24" t="str">
        <x:v>Marzo</x:v>
      </x:c>
      <x:c r="D297" s="24" t="n">
        <x:v>3</x:v>
      </x:c>
      <x:c r="E297" s="24" t="str">
        <x:v>Inspecciones</x:v>
      </x:c>
      <x:c r="F297" s="24" t="str">
        <x:v>Capacitación</x:v>
      </x:c>
      <x:c r="G297" s="24" t="str">
        <x:v>Interno</x:v>
      </x:c>
      <x:c r="H297" s="24" t="str">
        <x:v>Líderes</x:v>
      </x:c>
      <x:c r="I297" s="24" t="str">
        <x:v>Ábrego</x:v>
      </x:c>
      <x:c r="J297" s="11" t="str">
        <x:v>Inspecciones planeadas y verificación de controles</x:v>
      </x:c>
      <x:c r="K297" s="11" t="str">
        <x:v>Fortalecer la identificación temprana de peligros y el seguimiento a controles operacionales.</x:v>
      </x:c>
      <x:c r="L297" s="24" t="n">
        <x:v>2</x:v>
      </x:c>
      <x:c r="M297" s="58"/>
      <x:c r="N297" s="24"/>
      <x:c r="O297" s="24" t="n">
        <x:v>26</x:v>
      </x:c>
      <x:c r="P297" s="24"/>
      <x:c r="Q297" s="64" t="n">
        <x:f>IFERROR(P297/O297,0)</x:f>
        <x:v>0</x:v>
      </x:c>
      <x:c r="R297" s="24" t="str">
        <x:v>Lista de chequeo</x:v>
      </x:c>
      <x:c r="S297" s="70"/>
      <x:c r="T297" s="24" t="str">
        <x:f>IF(XOR(X297="Reprogramada",X297="Cancelada"),"",IF(AND(Q297&gt;=0.8,S297&gt;=4),"Sí",IF(AND(Q297&gt;=0.65,S297&gt;=3.5),"Parcial","No")))</x:f>
      </x:c>
      <x:c r="U297" s="24" t="str">
        <x:v>Jesús Guerrero</x:v>
      </x:c>
      <x:c r="V297" s="11" t="str">
        <x:v>Humano (facilitador interno) / Logístico / Material de apoyo</x:v>
      </x:c>
      <x:c r="W297" s="11" t="str">
        <x:v>Camila Andrea Galván</x:v>
      </x:c>
      <x:c r="X297" s="11" t="str">
        <x:v>Reprogramada</x:v>
      </x:c>
      <x:c r="Y297" s="52" t="str">
        <x:v>Actividad reprogramada por operación, disponibilidad del facilitador o ajustes logísticos.</x:v>
      </x:c>
    </x:row>
    <x:row r="298">
      <x:c r="A298" s="23" t="n">
        <x:v>297</x:v>
      </x:c>
      <x:c r="B298" s="24" t="n">
        <x:v>2025</x:v>
      </x:c>
      <x:c r="C298" s="24" t="str">
        <x:v>Marzo</x:v>
      </x:c>
      <x:c r="D298" s="24" t="n">
        <x:v>3</x:v>
      </x:c>
      <x:c r="E298" s="24" t="str">
        <x:v>Inspecciones</x:v>
      </x:c>
      <x:c r="F298" s="24" t="str">
        <x:v>Capacitación</x:v>
      </x:c>
      <x:c r="G298" s="24" t="str">
        <x:v>Interno</x:v>
      </x:c>
      <x:c r="H298" s="24" t="str">
        <x:v>Líderes</x:v>
      </x:c>
      <x:c r="I298" s="24" t="str">
        <x:v>Pamplona</x:v>
      </x:c>
      <x:c r="J298" s="11" t="str">
        <x:v>Inspecciones planeadas y verificación de controles</x:v>
      </x:c>
      <x:c r="K298" s="11" t="str">
        <x:v>Fortalecer la identificación temprana de peligros y el seguimiento a controles operacionales.</x:v>
      </x:c>
      <x:c r="L298" s="24" t="n">
        <x:v>2</x:v>
      </x:c>
      <x:c r="M298" s="58" t="n">
        <x:v>45734</x:v>
      </x:c>
      <x:c r="N298" s="24" t="n">
        <x:v>1.5</x:v>
      </x:c>
      <x:c r="O298" s="24" t="n">
        <x:v>29</x:v>
      </x:c>
      <x:c r="P298" s="24" t="n">
        <x:v>23</x:v>
      </x:c>
      <x:c r="Q298" s="64" t="n">
        <x:f>IFERROR(P298/O298,0)</x:f>
        <x:v>0.7931034482758621</x:v>
      </x:c>
      <x:c r="R298" s="24" t="str">
        <x:v>Lista de chequeo</x:v>
      </x:c>
      <x:c r="S298" s="70" t="n">
        <x:v>4.3</x:v>
      </x:c>
      <x:c r="T298" s="24" t="str">
        <x:f>IF(XOR(X298="Reprogramada",X298="Cancelada"),"",IF(AND(Q298&gt;=0.8,S298&gt;=4),"Sí",IF(AND(Q298&gt;=0.65,S298&gt;=3.5),"Parcial","No")))</x:f>
        <x:v>Parcial</x:v>
      </x:c>
      <x:c r="U298" s="24" t="str">
        <x:v>Jesús Guerrero</x:v>
      </x:c>
      <x:c r="V298" s="11" t="str">
        <x:v>Humano (facilitador interno) / Logístico / Material de apoyo</x:v>
      </x:c>
      <x:c r="W298" s="11" t="str">
        <x:v>Jesús Guerrero</x:v>
      </x:c>
      <x:c r="X298" s="11" t="str">
        <x:v>Ejecutada</x:v>
      </x:c>
      <x:c r="Y298" s="52" t="str">
        <x:v>Actividad ejecutada satisfactoriamente; mantener evidencia y seguimiento.</x:v>
      </x:c>
    </x:row>
    <x:row r="299">
      <x:c r="A299" s="23" t="n">
        <x:v>298</x:v>
      </x:c>
      <x:c r="B299" s="24" t="n">
        <x:v>2025</x:v>
      </x:c>
      <x:c r="C299" s="24" t="str">
        <x:v>Abril</x:v>
      </x:c>
      <x:c r="D299" s="24" t="n">
        <x:v>4</x:v>
      </x:c>
      <x:c r="E299" s="24" t="str">
        <x:v>Riesgo eléctrico</x:v>
      </x:c>
      <x:c r="F299" s="24" t="str">
        <x:v>Capacitación</x:v>
      </x:c>
      <x:c r="G299" s="24" t="str">
        <x:v>Externo</x:v>
      </x:c>
      <x:c r="H299" s="24" t="str">
        <x:v>Operativos</x:v>
      </x:c>
      <x:c r="I299" s="24" t="str">
        <x:v>Cúcuta</x:v>
      </x:c>
      <x:c r="J299" s="11" t="str">
        <x:v>Riesgo eléctrico y condiciones locativas seguras</x:v>
      </x:c>
      <x:c r="K299" s="11" t="str">
        <x:v>Prevenir incidentes asociados al riesgo eléctrico y a fallas locativas en áreas de trabajo.</x:v>
      </x:c>
      <x:c r="L299" s="24" t="n">
        <x:v>2</x:v>
      </x:c>
      <x:c r="M299" s="58" t="n">
        <x:v>45764</x:v>
      </x:c>
      <x:c r="N299" s="24" t="n">
        <x:v>2</x:v>
      </x:c>
      <x:c r="O299" s="24" t="n">
        <x:v>83</x:v>
      </x:c>
      <x:c r="P299" s="24" t="n">
        <x:v>76</x:v>
      </x:c>
      <x:c r="Q299" s="64" t="n">
        <x:f>IFERROR(P299/O299,0)</x:f>
        <x:v>0.9156626506024096</x:v>
      </x:c>
      <x:c r="R299" s="24" t="str">
        <x:v>Evaluación escrita</x:v>
      </x:c>
      <x:c r="S299" s="70" t="n">
        <x:v>4.8</x:v>
      </x:c>
      <x:c r="T299" s="24" t="str">
        <x:f>IF(XOR(X299="Reprogramada",X299="Cancelada"),"",IF(AND(Q299&gt;=0.8,S299&gt;=4),"Sí",IF(AND(Q299&gt;=0.65,S299&gt;=3.5),"Parcial","No")))</x:f>
        <x:v>Sí</x:v>
      </x:c>
      <x:c r="U299" s="24" t="str">
        <x:v>Proveedor Externo</x:v>
      </x:c>
      <x:c r="V299" s="11" t="str">
        <x:v>Humano (facilitador externo) / Financiero / Logístico / Material didáctico</x:v>
      </x:c>
      <x:c r="W299" s="11" t="str">
        <x:v>Carlos Felipe Parada Ramón</x:v>
      </x:c>
      <x:c r="X299" s="11" t="str">
        <x:v>Ejecutada</x:v>
      </x:c>
      <x:c r="Y299" s="52" t="str">
        <x:v>Actividad ejecutada satisfactoriamente; mantener evidencia y seguimiento.</x:v>
      </x:c>
    </x:row>
    <x:row r="300">
      <x:c r="A300" s="23" t="n">
        <x:v>299</x:v>
      </x:c>
      <x:c r="B300" s="24" t="n">
        <x:v>2025</x:v>
      </x:c>
      <x:c r="C300" s="24" t="str">
        <x:v>Abril</x:v>
      </x:c>
      <x:c r="D300" s="24" t="n">
        <x:v>4</x:v>
      </x:c>
      <x:c r="E300" s="24" t="str">
        <x:v>Riesgo eléctrico</x:v>
      </x:c>
      <x:c r="F300" s="24" t="str">
        <x:v>Capacitación</x:v>
      </x:c>
      <x:c r="G300" s="24" t="str">
        <x:v>Externo</x:v>
      </x:c>
      <x:c r="H300" s="24" t="str">
        <x:v>Operativos</x:v>
      </x:c>
      <x:c r="I300" s="24" t="str">
        <x:v>Barrancabermeja</x:v>
      </x:c>
      <x:c r="J300" s="11" t="str">
        <x:v>Riesgo eléctrico y condiciones locativas seguras</x:v>
      </x:c>
      <x:c r="K300" s="11" t="str">
        <x:v>Prevenir incidentes asociados al riesgo eléctrico y a fallas locativas en áreas de trabajo.</x:v>
      </x:c>
      <x:c r="L300" s="24" t="n">
        <x:v>2</x:v>
      </x:c>
      <x:c r="M300" s="58" t="n">
        <x:v>45768</x:v>
      </x:c>
      <x:c r="N300" s="24" t="n">
        <x:v>2</x:v>
      </x:c>
      <x:c r="O300" s="24" t="n">
        <x:v>56</x:v>
      </x:c>
      <x:c r="P300" s="24" t="n">
        <x:v>46</x:v>
      </x:c>
      <x:c r="Q300" s="64" t="n">
        <x:f>IFERROR(P300/O300,0)</x:f>
        <x:v>0.8214285714285714</x:v>
      </x:c>
      <x:c r="R300" s="24" t="str">
        <x:v>Evaluación escrita</x:v>
      </x:c>
      <x:c r="S300" s="70" t="n">
        <x:v>4.5</x:v>
      </x:c>
      <x:c r="T300" s="24" t="str">
        <x:f>IF(XOR(X300="Reprogramada",X300="Cancelada"),"",IF(AND(Q300&gt;=0.8,S300&gt;=4),"Sí",IF(AND(Q300&gt;=0.65,S300&gt;=3.5),"Parcial","No")))</x:f>
        <x:v>Sí</x:v>
      </x:c>
      <x:c r="U300" s="24" t="str">
        <x:v>Proveedor Externo</x:v>
      </x:c>
      <x:c r="V300" s="11" t="str">
        <x:v>Humano (facilitador externo) / Financiero / Logístico / Material didáctico</x:v>
      </x:c>
      <x:c r="W300" s="11" t="str">
        <x:v>Camila Andrea Galván</x:v>
      </x:c>
      <x:c r="X300" s="11" t="str">
        <x:v>Ejecutada</x:v>
      </x:c>
      <x:c r="Y300" s="52" t="str">
        <x:v>Actividad ejecutada satisfactoriamente; mantener evidencia y seguimiento.</x:v>
      </x:c>
    </x:row>
    <x:row r="301">
      <x:c r="A301" s="23" t="n">
        <x:v>300</x:v>
      </x:c>
      <x:c r="B301" s="24" t="n">
        <x:v>2025</x:v>
      </x:c>
      <x:c r="C301" s="24" t="str">
        <x:v>Abril</x:v>
      </x:c>
      <x:c r="D301" s="24" t="n">
        <x:v>4</x:v>
      </x:c>
      <x:c r="E301" s="24" t="str">
        <x:v>Riesgo eléctrico</x:v>
      </x:c>
      <x:c r="F301" s="24" t="str">
        <x:v>Capacitación</x:v>
      </x:c>
      <x:c r="G301" s="24" t="str">
        <x:v>Externo</x:v>
      </x:c>
      <x:c r="H301" s="24" t="str">
        <x:v>Operativos</x:v>
      </x:c>
      <x:c r="I301" s="24" t="str">
        <x:v>Ocaña</x:v>
      </x:c>
      <x:c r="J301" s="11" t="str">
        <x:v>Riesgo eléctrico y condiciones locativas seguras</x:v>
      </x:c>
      <x:c r="K301" s="11" t="str">
        <x:v>Prevenir incidentes asociados al riesgo eléctrico y a fallas locativas en áreas de trabajo.</x:v>
      </x:c>
      <x:c r="L301" s="24" t="n">
        <x:v>2</x:v>
      </x:c>
      <x:c r="M301" s="58"/>
      <x:c r="N301" s="24" t="n">
        <x:v>0</x:v>
      </x:c>
      <x:c r="O301" s="24" t="n">
        <x:v>39</x:v>
      </x:c>
      <x:c r="P301" s="24"/>
      <x:c r="Q301" s="64" t="n">
        <x:f>IFERROR(P301/O301,0)</x:f>
        <x:v>0</x:v>
      </x:c>
      <x:c r="R301" s="24" t="str">
        <x:v>Evaluación escrita</x:v>
      </x:c>
      <x:c r="S301" s="70"/>
      <x:c r="T301" s="24" t="str">
        <x:f>IF(XOR(X301="Reprogramada",X301="Cancelada"),"",IF(AND(Q301&gt;=0.8,S301&gt;=4),"Sí",IF(AND(Q301&gt;=0.65,S301&gt;=3.5),"Parcial","No")))</x:f>
      </x:c>
      <x:c r="U301" s="24" t="str">
        <x:v>Proveedor Externo</x:v>
      </x:c>
      <x:c r="V301" s="11" t="str">
        <x:v>Humano (facilitador externo) / Financiero / Logístico / Material didáctico</x:v>
      </x:c>
      <x:c r="W301" s="11" t="str">
        <x:v>Jesús Guerrero</x:v>
      </x:c>
      <x:c r="X301" s="11" t="str">
        <x:v>Cancelada</x:v>
      </x:c>
      <x:c r="Y301" s="52" t="str">
        <x:v>Actividad cancelada por reorganización operativa o priorización de otras necesidades.</x:v>
      </x:c>
    </x:row>
    <x:row r="302">
      <x:c r="A302" s="23" t="n">
        <x:v>301</x:v>
      </x:c>
      <x:c r="B302" s="24" t="n">
        <x:v>2025</x:v>
      </x:c>
      <x:c r="C302" s="24" t="str">
        <x:v>Abril</x:v>
      </x:c>
      <x:c r="D302" s="24" t="n">
        <x:v>4</x:v>
      </x:c>
      <x:c r="E302" s="24" t="str">
        <x:v>Riesgo eléctrico</x:v>
      </x:c>
      <x:c r="F302" s="24" t="str">
        <x:v>Capacitación</x:v>
      </x:c>
      <x:c r="G302" s="24" t="str">
        <x:v>Externo</x:v>
      </x:c>
      <x:c r="H302" s="24" t="str">
        <x:v>Operativos</x:v>
      </x:c>
      <x:c r="I302" s="24" t="str">
        <x:v>Girón</x:v>
      </x:c>
      <x:c r="J302" s="11" t="str">
        <x:v>Riesgo eléctrico y condiciones locativas seguras</x:v>
      </x:c>
      <x:c r="K302" s="11" t="str">
        <x:v>Prevenir incidentes asociados al riesgo eléctrico y a fallas locativas en áreas de trabajo.</x:v>
      </x:c>
      <x:c r="L302" s="24" t="n">
        <x:v>2</x:v>
      </x:c>
      <x:c r="M302" s="58" t="n">
        <x:v>45764</x:v>
      </x:c>
      <x:c r="N302" s="24" t="n">
        <x:v>2</x:v>
      </x:c>
      <x:c r="O302" s="24" t="n">
        <x:v>44</x:v>
      </x:c>
      <x:c r="P302" s="24" t="n">
        <x:v>41</x:v>
      </x:c>
      <x:c r="Q302" s="64" t="n">
        <x:f>IFERROR(P302/O302,0)</x:f>
        <x:v>0.9318181818181818</x:v>
      </x:c>
      <x:c r="R302" s="24" t="str">
        <x:v>Evaluación escrita</x:v>
      </x:c>
      <x:c r="S302" s="70" t="n">
        <x:v>4.3</x:v>
      </x:c>
      <x:c r="T302" s="24" t="str">
        <x:f>IF(XOR(X302="Reprogramada",X302="Cancelada"),"",IF(AND(Q302&gt;=0.8,S302&gt;=4),"Sí",IF(AND(Q302&gt;=0.65,S302&gt;=3.5),"Parcial","No")))</x:f>
        <x:v>Sí</x:v>
      </x:c>
      <x:c r="U302" s="24" t="str">
        <x:v>Proveedor Externo</x:v>
      </x:c>
      <x:c r="V302" s="11" t="str">
        <x:v>Humano (facilitador externo) / Financiero / Logístico / Material didáctico</x:v>
      </x:c>
      <x:c r="W302" s="11" t="str">
        <x:v>Carlos Felipe Parada Ramón</x:v>
      </x:c>
      <x:c r="X302" s="11" t="str">
        <x:v>Ejecutada</x:v>
      </x:c>
      <x:c r="Y302" s="52" t="str">
        <x:v>Actividad ejecutada satisfactoriamente; mantener evidencia y seguimiento.</x:v>
      </x:c>
    </x:row>
    <x:row r="303">
      <x:c r="A303" s="23" t="n">
        <x:v>302</x:v>
      </x:c>
      <x:c r="B303" s="24" t="n">
        <x:v>2025</x:v>
      </x:c>
      <x:c r="C303" s="24" t="str">
        <x:v>Abril</x:v>
      </x:c>
      <x:c r="D303" s="24" t="n">
        <x:v>4</x:v>
      </x:c>
      <x:c r="E303" s="24" t="str">
        <x:v>Riesgo eléctrico</x:v>
      </x:c>
      <x:c r="F303" s="24" t="str">
        <x:v>Capacitación</x:v>
      </x:c>
      <x:c r="G303" s="24" t="str">
        <x:v>Externo</x:v>
      </x:c>
      <x:c r="H303" s="24" t="str">
        <x:v>Operativos</x:v>
      </x:c>
      <x:c r="I303" s="24" t="str">
        <x:v>Valledupar</x:v>
      </x:c>
      <x:c r="J303" s="11" t="str">
        <x:v>Riesgo eléctrico y condiciones locativas seguras</x:v>
      </x:c>
      <x:c r="K303" s="11" t="str">
        <x:v>Prevenir incidentes asociados al riesgo eléctrico y a fallas locativas en áreas de trabajo.</x:v>
      </x:c>
      <x:c r="L303" s="24" t="n">
        <x:v>2</x:v>
      </x:c>
      <x:c r="M303" s="58"/>
      <x:c r="N303" s="24"/>
      <x:c r="O303" s="24" t="n">
        <x:v>50</x:v>
      </x:c>
      <x:c r="P303" s="24"/>
      <x:c r="Q303" s="64" t="n">
        <x:f>IFERROR(P303/O303,0)</x:f>
        <x:v>0</x:v>
      </x:c>
      <x:c r="R303" s="24" t="str">
        <x:v>Evaluación escrita</x:v>
      </x:c>
      <x:c r="S303" s="70"/>
      <x:c r="T303" s="24" t="str">
        <x:f>IF(XOR(X303="Reprogramada",X303="Cancelada"),"",IF(AND(Q303&gt;=0.8,S303&gt;=4),"Sí",IF(AND(Q303&gt;=0.65,S303&gt;=3.5),"Parcial","No")))</x:f>
      </x:c>
      <x:c r="U303" s="24" t="str">
        <x:v>Proveedor Externo</x:v>
      </x:c>
      <x:c r="V303" s="11" t="str">
        <x:v>Humano (facilitador externo) / Financiero / Logístico / Material didáctico</x:v>
      </x:c>
      <x:c r="W303" s="11" t="str">
        <x:v>Camila Andrea Galván</x:v>
      </x:c>
      <x:c r="X303" s="11" t="str">
        <x:v>Reprogramada</x:v>
      </x:c>
      <x:c r="Y303" s="52" t="str">
        <x:v>Actividad reprogramada por operación, disponibilidad del facilitador o ajustes logísticos.</x:v>
      </x:c>
    </x:row>
    <x:row r="304">
      <x:c r="A304" s="23" t="n">
        <x:v>303</x:v>
      </x:c>
      <x:c r="B304" s="24" t="n">
        <x:v>2025</x:v>
      </x:c>
      <x:c r="C304" s="24" t="str">
        <x:v>Abril</x:v>
      </x:c>
      <x:c r="D304" s="24" t="n">
        <x:v>4</x:v>
      </x:c>
      <x:c r="E304" s="24" t="str">
        <x:v>Riesgo eléctrico</x:v>
      </x:c>
      <x:c r="F304" s="24" t="str">
        <x:v>Capacitación</x:v>
      </x:c>
      <x:c r="G304" s="24" t="str">
        <x:v>Externo</x:v>
      </x:c>
      <x:c r="H304" s="24" t="str">
        <x:v>Operativos</x:v>
      </x:c>
      <x:c r="I304" s="24" t="str">
        <x:v>Arauca</x:v>
      </x:c>
      <x:c r="J304" s="11" t="str">
        <x:v>Riesgo eléctrico y condiciones locativas seguras</x:v>
      </x:c>
      <x:c r="K304" s="11" t="str">
        <x:v>Prevenir incidentes asociados al riesgo eléctrico y a fallas locativas en áreas de trabajo.</x:v>
      </x:c>
      <x:c r="L304" s="24" t="n">
        <x:v>2</x:v>
      </x:c>
      <x:c r="M304" s="58" t="n">
        <x:v>45757</x:v>
      </x:c>
      <x:c r="N304" s="24" t="n">
        <x:v>2</x:v>
      </x:c>
      <x:c r="O304" s="24" t="n">
        <x:v>31</x:v>
      </x:c>
      <x:c r="P304" s="24" t="n">
        <x:v>28</x:v>
      </x:c>
      <x:c r="Q304" s="64" t="n">
        <x:f>IFERROR(P304/O304,0)</x:f>
        <x:v>0.9032258064516129</x:v>
      </x:c>
      <x:c r="R304" s="24" t="str">
        <x:v>Evaluación escrita</x:v>
      </x:c>
      <x:c r="S304" s="70" t="n">
        <x:v>4.2</x:v>
      </x:c>
      <x:c r="T304" s="24" t="str">
        <x:f>IF(XOR(X304="Reprogramada",X304="Cancelada"),"",IF(AND(Q304&gt;=0.8,S304&gt;=4),"Sí",IF(AND(Q304&gt;=0.65,S304&gt;=3.5),"Parcial","No")))</x:f>
        <x:v>Sí</x:v>
      </x:c>
      <x:c r="U304" s="24" t="str">
        <x:v>Proveedor Externo</x:v>
      </x:c>
      <x:c r="V304" s="11" t="str">
        <x:v>Humano (facilitador externo) / Financiero / Logístico / Material didáctico</x:v>
      </x:c>
      <x:c r="W304" s="11" t="str">
        <x:v>Jesús Guerrero</x:v>
      </x:c>
      <x:c r="X304" s="11" t="str">
        <x:v>Ejecutada</x:v>
      </x:c>
      <x:c r="Y304" s="52" t="str">
        <x:v>Actividad ejecutada satisfactoriamente; mantener evidencia y seguimiento.</x:v>
      </x:c>
    </x:row>
    <x:row r="305">
      <x:c r="A305" s="23" t="n">
        <x:v>304</x:v>
      </x:c>
      <x:c r="B305" s="24" t="n">
        <x:v>2025</x:v>
      </x:c>
      <x:c r="C305" s="24" t="str">
        <x:v>Abril</x:v>
      </x:c>
      <x:c r="D305" s="24" t="n">
        <x:v>4</x:v>
      </x:c>
      <x:c r="E305" s="24" t="str">
        <x:v>Riesgo eléctrico</x:v>
      </x:c>
      <x:c r="F305" s="24" t="str">
        <x:v>Capacitación</x:v>
      </x:c>
      <x:c r="G305" s="24" t="str">
        <x:v>Externo</x:v>
      </x:c>
      <x:c r="H305" s="24" t="str">
        <x:v>Operativos</x:v>
      </x:c>
      <x:c r="I305" s="24" t="str">
        <x:v>Bogotá</x:v>
      </x:c>
      <x:c r="J305" s="11" t="str">
        <x:v>Riesgo eléctrico y condiciones locativas seguras</x:v>
      </x:c>
      <x:c r="K305" s="11" t="str">
        <x:v>Prevenir incidentes asociados al riesgo eléctrico y a fallas locativas en áreas de trabajo.</x:v>
      </x:c>
      <x:c r="L305" s="24" t="n">
        <x:v>2</x:v>
      </x:c>
      <x:c r="M305" s="58"/>
      <x:c r="N305" s="24"/>
      <x:c r="O305" s="24" t="n">
        <x:v>67</x:v>
      </x:c>
      <x:c r="P305" s="24"/>
      <x:c r="Q305" s="64" t="n">
        <x:f>IFERROR(P305/O305,0)</x:f>
        <x:v>0</x:v>
      </x:c>
      <x:c r="R305" s="24" t="str">
        <x:v>Evaluación escrita</x:v>
      </x:c>
      <x:c r="S305" s="70"/>
      <x:c r="T305" s="24" t="str">
        <x:f>IF(XOR(X305="Reprogramada",X305="Cancelada"),"",IF(AND(Q305&gt;=0.8,S305&gt;=4),"Sí",IF(AND(Q305&gt;=0.65,S305&gt;=3.5),"Parcial","No")))</x:f>
      </x:c>
      <x:c r="U305" s="24" t="str">
        <x:v>Proveedor Externo</x:v>
      </x:c>
      <x:c r="V305" s="11" t="str">
        <x:v>Humano (facilitador externo) / Financiero / Logístico / Material didáctico</x:v>
      </x:c>
      <x:c r="W305" s="11" t="str">
        <x:v>Carlos Felipe Parada Ramón</x:v>
      </x:c>
      <x:c r="X305" s="11" t="str">
        <x:v>Reprogramada</x:v>
      </x:c>
      <x:c r="Y305" s="52" t="str">
        <x:v>Actividad reprogramada por operación, disponibilidad del facilitador o ajustes logísticos.</x:v>
      </x:c>
    </x:row>
    <x:row r="306">
      <x:c r="A306" s="23" t="n">
        <x:v>305</x:v>
      </x:c>
      <x:c r="B306" s="24" t="n">
        <x:v>2025</x:v>
      </x:c>
      <x:c r="C306" s="24" t="str">
        <x:v>Abril</x:v>
      </x:c>
      <x:c r="D306" s="24" t="n">
        <x:v>4</x:v>
      </x:c>
      <x:c r="E306" s="24" t="str">
        <x:v>Riesgo eléctrico</x:v>
      </x:c>
      <x:c r="F306" s="24" t="str">
        <x:v>Capacitación</x:v>
      </x:c>
      <x:c r="G306" s="24" t="str">
        <x:v>Externo</x:v>
      </x:c>
      <x:c r="H306" s="24" t="str">
        <x:v>Operativos</x:v>
      </x:c>
      <x:c r="I306" s="24" t="str">
        <x:v>Tibú</x:v>
      </x:c>
      <x:c r="J306" s="11" t="str">
        <x:v>Riesgo eléctrico y condiciones locativas seguras</x:v>
      </x:c>
      <x:c r="K306" s="11" t="str">
        <x:v>Prevenir incidentes asociados al riesgo eléctrico y a fallas locativas en áreas de trabajo.</x:v>
      </x:c>
      <x:c r="L306" s="24" t="n">
        <x:v>2</x:v>
      </x:c>
      <x:c r="M306" s="58" t="n">
        <x:v>45771</x:v>
      </x:c>
      <x:c r="N306" s="24" t="n">
        <x:v>2</x:v>
      </x:c>
      <x:c r="O306" s="24" t="n">
        <x:v>33</x:v>
      </x:c>
      <x:c r="P306" s="24" t="n">
        <x:v>26</x:v>
      </x:c>
      <x:c r="Q306" s="64" t="n">
        <x:f>IFERROR(P306/O306,0)</x:f>
        <x:v>0.7878787878787878</x:v>
      </x:c>
      <x:c r="R306" s="24" t="str">
        <x:v>Evaluación escrita</x:v>
      </x:c>
      <x:c r="S306" s="70" t="n">
        <x:v>4.7</x:v>
      </x:c>
      <x:c r="T306" s="24" t="str">
        <x:f>IF(XOR(X306="Reprogramada",X306="Cancelada"),"",IF(AND(Q306&gt;=0.8,S306&gt;=4),"Sí",IF(AND(Q306&gt;=0.65,S306&gt;=3.5),"Parcial","No")))</x:f>
        <x:v>Parcial</x:v>
      </x:c>
      <x:c r="U306" s="24" t="str">
        <x:v>Proveedor Externo</x:v>
      </x:c>
      <x:c r="V306" s="11" t="str">
        <x:v>Humano (facilitador externo) / Financiero / Logístico / Material didáctico</x:v>
      </x:c>
      <x:c r="W306" s="11" t="str">
        <x:v>Camila Andrea Galván</x:v>
      </x:c>
      <x:c r="X306" s="11" t="str">
        <x:v>Ejecutada</x:v>
      </x:c>
      <x:c r="Y306" s="52" t="str">
        <x:v>Actividad ejecutada satisfactoriamente; mantener evidencia y seguimiento.</x:v>
      </x:c>
    </x:row>
    <x:row r="307">
      <x:c r="A307" s="23" t="n">
        <x:v>306</x:v>
      </x:c>
      <x:c r="B307" s="24" t="n">
        <x:v>2025</x:v>
      </x:c>
      <x:c r="C307" s="24" t="str">
        <x:v>Abril</x:v>
      </x:c>
      <x:c r="D307" s="24" t="n">
        <x:v>4</x:v>
      </x:c>
      <x:c r="E307" s="24" t="str">
        <x:v>Riesgo eléctrico</x:v>
      </x:c>
      <x:c r="F307" s="24" t="str">
        <x:v>Capacitación</x:v>
      </x:c>
      <x:c r="G307" s="24" t="str">
        <x:v>Externo</x:v>
      </x:c>
      <x:c r="H307" s="24" t="str">
        <x:v>Operativos</x:v>
      </x:c>
      <x:c r="I307" s="24" t="str">
        <x:v>Medellín</x:v>
      </x:c>
      <x:c r="J307" s="11" t="str">
        <x:v>Riesgo eléctrico y condiciones locativas seguras</x:v>
      </x:c>
      <x:c r="K307" s="11" t="str">
        <x:v>Prevenir incidentes asociados al riesgo eléctrico y a fallas locativas en áreas de trabajo.</x:v>
      </x:c>
      <x:c r="L307" s="24" t="n">
        <x:v>2</x:v>
      </x:c>
      <x:c r="M307" s="58" t="n">
        <x:v>45764</x:v>
      </x:c>
      <x:c r="N307" s="24" t="n">
        <x:v>2</x:v>
      </x:c>
      <x:c r="O307" s="24" t="n">
        <x:v>62</x:v>
      </x:c>
      <x:c r="P307" s="24" t="n">
        <x:v>49</x:v>
      </x:c>
      <x:c r="Q307" s="64" t="n">
        <x:f>IFERROR(P307/O307,0)</x:f>
        <x:v>0.7903225806451613</x:v>
      </x:c>
      <x:c r="R307" s="24" t="str">
        <x:v>Evaluación escrita</x:v>
      </x:c>
      <x:c r="S307" s="70" t="n">
        <x:v>4.6</x:v>
      </x:c>
      <x:c r="T307" s="24" t="str">
        <x:f>IF(XOR(X307="Reprogramada",X307="Cancelada"),"",IF(AND(Q307&gt;=0.8,S307&gt;=4),"Sí",IF(AND(Q307&gt;=0.65,S307&gt;=3.5),"Parcial","No")))</x:f>
        <x:v>Parcial</x:v>
      </x:c>
      <x:c r="U307" s="24" t="str">
        <x:v>Proveedor Externo</x:v>
      </x:c>
      <x:c r="V307" s="11" t="str">
        <x:v>Humano (facilitador externo) / Financiero / Logístico / Material didáctico</x:v>
      </x:c>
      <x:c r="W307" s="11" t="str">
        <x:v>Jesús Guerrero</x:v>
      </x:c>
      <x:c r="X307" s="11" t="str">
        <x:v>Ejecutada</x:v>
      </x:c>
      <x:c r="Y307" s="52" t="str">
        <x:v>Actividad ejecutada satisfactoriamente; mantener evidencia y seguimiento.</x:v>
      </x:c>
    </x:row>
    <x:row r="308">
      <x:c r="A308" s="23" t="n">
        <x:v>307</x:v>
      </x:c>
      <x:c r="B308" s="24" t="n">
        <x:v>2025</x:v>
      </x:c>
      <x:c r="C308" s="24" t="str">
        <x:v>Abril</x:v>
      </x:c>
      <x:c r="D308" s="24" t="n">
        <x:v>4</x:v>
      </x:c>
      <x:c r="E308" s="24" t="str">
        <x:v>Riesgo eléctrico</x:v>
      </x:c>
      <x:c r="F308" s="24" t="str">
        <x:v>Capacitación</x:v>
      </x:c>
      <x:c r="G308" s="24" t="str">
        <x:v>Externo</x:v>
      </x:c>
      <x:c r="H308" s="24" t="str">
        <x:v>Operativos</x:v>
      </x:c>
      <x:c r="I308" s="24" t="str">
        <x:v>Ábrego</x:v>
      </x:c>
      <x:c r="J308" s="11" t="str">
        <x:v>Riesgo eléctrico y condiciones locativas seguras</x:v>
      </x:c>
      <x:c r="K308" s="11" t="str">
        <x:v>Prevenir incidentes asociados al riesgo eléctrico y a fallas locativas en áreas de trabajo.</x:v>
      </x:c>
      <x:c r="L308" s="24" t="n">
        <x:v>2</x:v>
      </x:c>
      <x:c r="M308" s="58" t="n">
        <x:v>45765</x:v>
      </x:c>
      <x:c r="N308" s="24" t="n">
        <x:v>2</x:v>
      </x:c>
      <x:c r="O308" s="24" t="n">
        <x:v>26</x:v>
      </x:c>
      <x:c r="P308" s="24" t="n">
        <x:v>22</x:v>
      </x:c>
      <x:c r="Q308" s="64" t="n">
        <x:f>IFERROR(P308/O308,0)</x:f>
        <x:v>0.8461538461538461</x:v>
      </x:c>
      <x:c r="R308" s="24" t="str">
        <x:v>Evaluación escrita</x:v>
      </x:c>
      <x:c r="S308" s="70" t="n">
        <x:v>4.7</x:v>
      </x:c>
      <x:c r="T308" s="24" t="str">
        <x:f>IF(XOR(X308="Reprogramada",X308="Cancelada"),"",IF(AND(Q308&gt;=0.8,S308&gt;=4),"Sí",IF(AND(Q308&gt;=0.65,S308&gt;=3.5),"Parcial","No")))</x:f>
        <x:v>Sí</x:v>
      </x:c>
      <x:c r="U308" s="24" t="str">
        <x:v>Proveedor Externo</x:v>
      </x:c>
      <x:c r="V308" s="11" t="str">
        <x:v>Humano (facilitador externo) / Financiero / Logístico / Material didáctico</x:v>
      </x:c>
      <x:c r="W308" s="11" t="str">
        <x:v>Carlos Felipe Parada Ramón</x:v>
      </x:c>
      <x:c r="X308" s="11" t="str">
        <x:v>Ejecutada</x:v>
      </x:c>
      <x:c r="Y308" s="52" t="str">
        <x:v>Actividad ejecutada satisfactoriamente; mantener evidencia y seguimiento.</x:v>
      </x:c>
    </x:row>
    <x:row r="309">
      <x:c r="A309" s="23" t="n">
        <x:v>308</x:v>
      </x:c>
      <x:c r="B309" s="24" t="n">
        <x:v>2025</x:v>
      </x:c>
      <x:c r="C309" s="24" t="str">
        <x:v>Abril</x:v>
      </x:c>
      <x:c r="D309" s="24" t="n">
        <x:v>4</x:v>
      </x:c>
      <x:c r="E309" s="24" t="str">
        <x:v>Riesgo eléctrico</x:v>
      </x:c>
      <x:c r="F309" s="24" t="str">
        <x:v>Capacitación</x:v>
      </x:c>
      <x:c r="G309" s="24" t="str">
        <x:v>Externo</x:v>
      </x:c>
      <x:c r="H309" s="24" t="str">
        <x:v>Operativos</x:v>
      </x:c>
      <x:c r="I309" s="24" t="str">
        <x:v>Pamplona</x:v>
      </x:c>
      <x:c r="J309" s="11" t="str">
        <x:v>Riesgo eléctrico y condiciones locativas seguras</x:v>
      </x:c>
      <x:c r="K309" s="11" t="str">
        <x:v>Prevenir incidentes asociados al riesgo eléctrico y a fallas locativas en áreas de trabajo.</x:v>
      </x:c>
      <x:c r="L309" s="24" t="n">
        <x:v>2</x:v>
      </x:c>
      <x:c r="M309" s="58" t="n">
        <x:v>45771</x:v>
      </x:c>
      <x:c r="N309" s="24" t="n">
        <x:v>2</x:v>
      </x:c>
      <x:c r="O309" s="24" t="n">
        <x:v>29</x:v>
      </x:c>
      <x:c r="P309" s="24" t="n">
        <x:v>27</x:v>
      </x:c>
      <x:c r="Q309" s="64" t="n">
        <x:f>IFERROR(P309/O309,0)</x:f>
        <x:v>0.9310344827586207</x:v>
      </x:c>
      <x:c r="R309" s="24" t="str">
        <x:v>Evaluación escrita</x:v>
      </x:c>
      <x:c r="S309" s="70" t="n">
        <x:v>4.7</x:v>
      </x:c>
      <x:c r="T309" s="24" t="str">
        <x:f>IF(XOR(X309="Reprogramada",X309="Cancelada"),"",IF(AND(Q309&gt;=0.8,S309&gt;=4),"Sí",IF(AND(Q309&gt;=0.65,S309&gt;=3.5),"Parcial","No")))</x:f>
        <x:v>Sí</x:v>
      </x:c>
      <x:c r="U309" s="24" t="str">
        <x:v>Proveedor Externo</x:v>
      </x:c>
      <x:c r="V309" s="11" t="str">
        <x:v>Humano (facilitador externo) / Financiero / Logístico / Material didáctico</x:v>
      </x:c>
      <x:c r="W309" s="11" t="str">
        <x:v>Camila Andrea Galván</x:v>
      </x:c>
      <x:c r="X309" s="11" t="str">
        <x:v>Ejecutada</x:v>
      </x:c>
      <x:c r="Y309" s="52" t="str">
        <x:v>Actividad ejecutada satisfactoriamente; mantener evidencia y seguimiento.</x:v>
      </x:c>
    </x:row>
    <x:row r="310">
      <x:c r="A310" s="23" t="n">
        <x:v>309</x:v>
      </x:c>
      <x:c r="B310" s="24" t="n">
        <x:v>2025</x:v>
      </x:c>
      <x:c r="C310" s="24" t="str">
        <x:v>Mayo</x:v>
      </x:c>
      <x:c r="D310" s="24" t="n">
        <x:v>5</x:v>
      </x:c>
      <x:c r="E310" s="24" t="str">
        <x:v>Psicosocial</x:v>
      </x:c>
      <x:c r="F310" s="24" t="str">
        <x:v>Capacitación</x:v>
      </x:c>
      <x:c r="G310" s="24" t="str">
        <x:v>Externo</x:v>
      </x:c>
      <x:c r="H310" s="24" t="str">
        <x:v>Todos</x:v>
      </x:c>
      <x:c r="I310" s="24" t="str">
        <x:v>Cúcuta</x:v>
      </x:c>
      <x:c r="J310" s="11" t="str">
        <x:v>Bienestar emocional y prevención del agotamiento</x:v>
      </x:c>
      <x:c r="K310" s="11" t="str">
        <x:v>Promover estrategias de autorregulación emocional y hábitos de bienestar en el entorno laboral.</x:v>
      </x:c>
      <x:c r="L310" s="24" t="n">
        <x:v>2</x:v>
      </x:c>
      <x:c r="M310" s="58" t="n">
        <x:v>45789</x:v>
      </x:c>
      <x:c r="N310" s="24" t="n">
        <x:v>2.5</x:v>
      </x:c>
      <x:c r="O310" s="24" t="n">
        <x:v>83</x:v>
      </x:c>
      <x:c r="P310" s="24" t="n">
        <x:v>72</x:v>
      </x:c>
      <x:c r="Q310" s="64" t="n">
        <x:f>IFERROR(P310/O310,0)</x:f>
        <x:v>0.8674698795180723</x:v>
      </x:c>
      <x:c r="R310" s="24" t="str">
        <x:v>Encuesta de percepción</x:v>
      </x:c>
      <x:c r="S310" s="70" t="n">
        <x:v>4.5</x:v>
      </x:c>
      <x:c r="T310" s="24" t="str">
        <x:f>IF(XOR(X310="Reprogramada",X310="Cancelada"),"",IF(AND(Q310&gt;=0.8,S310&gt;=4),"Sí",IF(AND(Q310&gt;=0.65,S310&gt;=3.5),"Parcial","No")))</x:f>
        <x:v>Sí</x:v>
      </x:c>
      <x:c r="U310" s="24" t="str">
        <x:v>Psicología SST</x:v>
      </x:c>
      <x:c r="V310" s="11" t="str">
        <x:v>Humano (facilitador externo) / Financiero / Logístico / Material didáctico</x:v>
      </x:c>
      <x:c r="W310" s="11" t="str">
        <x:v>Jesús Guerrero</x:v>
      </x:c>
      <x:c r="X310" s="11" t="str">
        <x:v>Ejecutada</x:v>
      </x:c>
      <x:c r="Y310" s="52" t="str">
        <x:v>Actividad ejecutada satisfactoriamente; mantener evidencia y seguimiento.</x:v>
      </x:c>
    </x:row>
    <x:row r="311">
      <x:c r="A311" s="23" t="n">
        <x:v>310</x:v>
      </x:c>
      <x:c r="B311" s="24" t="n">
        <x:v>2025</x:v>
      </x:c>
      <x:c r="C311" s="24" t="str">
        <x:v>Mayo</x:v>
      </x:c>
      <x:c r="D311" s="24" t="n">
        <x:v>5</x:v>
      </x:c>
      <x:c r="E311" s="24" t="str">
        <x:v>Psicosocial</x:v>
      </x:c>
      <x:c r="F311" s="24" t="str">
        <x:v>Capacitación</x:v>
      </x:c>
      <x:c r="G311" s="24" t="str">
        <x:v>Externo</x:v>
      </x:c>
      <x:c r="H311" s="24" t="str">
        <x:v>Todos</x:v>
      </x:c>
      <x:c r="I311" s="24" t="str">
        <x:v>Barrancabermeja</x:v>
      </x:c>
      <x:c r="J311" s="11" t="str">
        <x:v>Bienestar emocional y prevención del agotamiento</x:v>
      </x:c>
      <x:c r="K311" s="11" t="str">
        <x:v>Promover estrategias de autorregulación emocional y hábitos de bienestar en el entorno laboral.</x:v>
      </x:c>
      <x:c r="L311" s="24" t="n">
        <x:v>2</x:v>
      </x:c>
      <x:c r="M311" s="58" t="n">
        <x:v>45791</x:v>
      </x:c>
      <x:c r="N311" s="24" t="n">
        <x:v>2</x:v>
      </x:c>
      <x:c r="O311" s="24" t="n">
        <x:v>56</x:v>
      </x:c>
      <x:c r="P311" s="24" t="n">
        <x:v>47</x:v>
      </x:c>
      <x:c r="Q311" s="64" t="n">
        <x:f>IFERROR(P311/O311,0)</x:f>
        <x:v>0.8392857142857143</x:v>
      </x:c>
      <x:c r="R311" s="24" t="str">
        <x:v>Encuesta de percepción</x:v>
      </x:c>
      <x:c r="S311" s="70" t="n">
        <x:v>4.3</x:v>
      </x:c>
      <x:c r="T311" s="24" t="str">
        <x:f>IF(XOR(X311="Reprogramada",X311="Cancelada"),"",IF(AND(Q311&gt;=0.8,S311&gt;=4),"Sí",IF(AND(Q311&gt;=0.65,S311&gt;=3.5),"Parcial","No")))</x:f>
        <x:v>Sí</x:v>
      </x:c>
      <x:c r="U311" s="24" t="str">
        <x:v>Psicología SST</x:v>
      </x:c>
      <x:c r="V311" s="11" t="str">
        <x:v>Humano (facilitador externo) / Financiero / Logístico / Material didáctico</x:v>
      </x:c>
      <x:c r="W311" s="11" t="str">
        <x:v>Carlos Felipe Parada Ramón</x:v>
      </x:c>
      <x:c r="X311" s="11" t="str">
        <x:v>Ejecutada</x:v>
      </x:c>
      <x:c r="Y311" s="52" t="str">
        <x:v>Actividad ejecutada satisfactoriamente; mantener evidencia y seguimiento.</x:v>
      </x:c>
    </x:row>
    <x:row r="312">
      <x:c r="A312" s="23" t="n">
        <x:v>311</x:v>
      </x:c>
      <x:c r="B312" s="24" t="n">
        <x:v>2025</x:v>
      </x:c>
      <x:c r="C312" s="24" t="str">
        <x:v>Mayo</x:v>
      </x:c>
      <x:c r="D312" s="24" t="n">
        <x:v>5</x:v>
      </x:c>
      <x:c r="E312" s="24" t="str">
        <x:v>Psicosocial</x:v>
      </x:c>
      <x:c r="F312" s="24" t="str">
        <x:v>Capacitación</x:v>
      </x:c>
      <x:c r="G312" s="24" t="str">
        <x:v>Externo</x:v>
      </x:c>
      <x:c r="H312" s="24" t="str">
        <x:v>Todos</x:v>
      </x:c>
      <x:c r="I312" s="24" t="str">
        <x:v>Ocaña</x:v>
      </x:c>
      <x:c r="J312" s="11" t="str">
        <x:v>Bienestar emocional y prevención del agotamiento</x:v>
      </x:c>
      <x:c r="K312" s="11" t="str">
        <x:v>Promover estrategias de autorregulación emocional y hábitos de bienestar en el entorno laboral.</x:v>
      </x:c>
      <x:c r="L312" s="24" t="n">
        <x:v>2</x:v>
      </x:c>
      <x:c r="M312" s="58" t="n">
        <x:v>45792</x:v>
      </x:c>
      <x:c r="N312" s="24" t="n">
        <x:v>2</x:v>
      </x:c>
      <x:c r="O312" s="24" t="n">
        <x:v>39</x:v>
      </x:c>
      <x:c r="P312" s="24" t="n">
        <x:v>32</x:v>
      </x:c>
      <x:c r="Q312" s="64" t="n">
        <x:f>IFERROR(P312/O312,0)</x:f>
        <x:v>0.8205128205128205</x:v>
      </x:c>
      <x:c r="R312" s="24" t="str">
        <x:v>Encuesta de percepción</x:v>
      </x:c>
      <x:c r="S312" s="70" t="n">
        <x:v>4.2</x:v>
      </x:c>
      <x:c r="T312" s="24" t="str">
        <x:f>IF(XOR(X312="Reprogramada",X312="Cancelada"),"",IF(AND(Q312&gt;=0.8,S312&gt;=4),"Sí",IF(AND(Q312&gt;=0.65,S312&gt;=3.5),"Parcial","No")))</x:f>
        <x:v>Sí</x:v>
      </x:c>
      <x:c r="U312" s="24" t="str">
        <x:v>Psicología SST</x:v>
      </x:c>
      <x:c r="V312" s="11" t="str">
        <x:v>Humano (facilitador externo) / Financiero / Logístico / Material didáctico</x:v>
      </x:c>
      <x:c r="W312" s="11" t="str">
        <x:v>Camila Andrea Galván</x:v>
      </x:c>
      <x:c r="X312" s="11" t="str">
        <x:v>Ejecutada</x:v>
      </x:c>
      <x:c r="Y312" s="52" t="str">
        <x:v>Actividad ejecutada satisfactoriamente; mantener evidencia y seguimiento.</x:v>
      </x:c>
    </x:row>
    <x:row r="313">
      <x:c r="A313" s="23" t="n">
        <x:v>312</x:v>
      </x:c>
      <x:c r="B313" s="24" t="n">
        <x:v>2025</x:v>
      </x:c>
      <x:c r="C313" s="24" t="str">
        <x:v>Mayo</x:v>
      </x:c>
      <x:c r="D313" s="24" t="n">
        <x:v>5</x:v>
      </x:c>
      <x:c r="E313" s="24" t="str">
        <x:v>Psicosocial</x:v>
      </x:c>
      <x:c r="F313" s="24" t="str">
        <x:v>Capacitación</x:v>
      </x:c>
      <x:c r="G313" s="24" t="str">
        <x:v>Externo</x:v>
      </x:c>
      <x:c r="H313" s="24" t="str">
        <x:v>Todos</x:v>
      </x:c>
      <x:c r="I313" s="24" t="str">
        <x:v>Girón</x:v>
      </x:c>
      <x:c r="J313" s="11" t="str">
        <x:v>Bienestar emocional y prevención del agotamiento</x:v>
      </x:c>
      <x:c r="K313" s="11" t="str">
        <x:v>Promover estrategias de autorregulación emocional y hábitos de bienestar en el entorno laboral.</x:v>
      </x:c>
      <x:c r="L313" s="24" t="n">
        <x:v>2</x:v>
      </x:c>
      <x:c r="M313" s="58" t="n">
        <x:v>45796</x:v>
      </x:c>
      <x:c r="N313" s="24" t="n">
        <x:v>2</x:v>
      </x:c>
      <x:c r="O313" s="24" t="n">
        <x:v>44</x:v>
      </x:c>
      <x:c r="P313" s="24" t="n">
        <x:v>42</x:v>
      </x:c>
      <x:c r="Q313" s="64" t="n">
        <x:f>IFERROR(P313/O313,0)</x:f>
        <x:v>0.9545454545454546</x:v>
      </x:c>
      <x:c r="R313" s="24" t="str">
        <x:v>Encuesta de percepción</x:v>
      </x:c>
      <x:c r="S313" s="70" t="n">
        <x:v>4.7</x:v>
      </x:c>
      <x:c r="T313" s="24" t="str">
        <x:f>IF(XOR(X313="Reprogramada",X313="Cancelada"),"",IF(AND(Q313&gt;=0.8,S313&gt;=4),"Sí",IF(AND(Q313&gt;=0.65,S313&gt;=3.5),"Parcial","No")))</x:f>
        <x:v>Sí</x:v>
      </x:c>
      <x:c r="U313" s="24" t="str">
        <x:v>Psicología SST</x:v>
      </x:c>
      <x:c r="V313" s="11" t="str">
        <x:v>Humano (facilitador externo) / Financiero / Logístico / Material didáctico</x:v>
      </x:c>
      <x:c r="W313" s="11" t="str">
        <x:v>Jesús Guerrero</x:v>
      </x:c>
      <x:c r="X313" s="11" t="str">
        <x:v>Ejecutada</x:v>
      </x:c>
      <x:c r="Y313" s="52" t="str">
        <x:v>Actividad ejecutada satisfactoriamente; mantener evidencia y seguimiento.</x:v>
      </x:c>
    </x:row>
    <x:row r="314">
      <x:c r="A314" s="23" t="n">
        <x:v>313</x:v>
      </x:c>
      <x:c r="B314" s="24" t="n">
        <x:v>2025</x:v>
      </x:c>
      <x:c r="C314" s="24" t="str">
        <x:v>Mayo</x:v>
      </x:c>
      <x:c r="D314" s="24" t="n">
        <x:v>5</x:v>
      </x:c>
      <x:c r="E314" s="24" t="str">
        <x:v>Psicosocial</x:v>
      </x:c>
      <x:c r="F314" s="24" t="str">
        <x:v>Capacitación</x:v>
      </x:c>
      <x:c r="G314" s="24" t="str">
        <x:v>Externo</x:v>
      </x:c>
      <x:c r="H314" s="24" t="str">
        <x:v>Todos</x:v>
      </x:c>
      <x:c r="I314" s="24" t="str">
        <x:v>Valledupar</x:v>
      </x:c>
      <x:c r="J314" s="11" t="str">
        <x:v>Bienestar emocional y prevención del agotamiento</x:v>
      </x:c>
      <x:c r="K314" s="11" t="str">
        <x:v>Promover estrategias de autorregulación emocional y hábitos de bienestar en el entorno laboral.</x:v>
      </x:c>
      <x:c r="L314" s="24" t="n">
        <x:v>2</x:v>
      </x:c>
      <x:c r="M314" s="58" t="n">
        <x:v>45803</x:v>
      </x:c>
      <x:c r="N314" s="24" t="n">
        <x:v>2</x:v>
      </x:c>
      <x:c r="O314" s="24" t="n">
        <x:v>50</x:v>
      </x:c>
      <x:c r="P314" s="24" t="n">
        <x:v>46</x:v>
      </x:c>
      <x:c r="Q314" s="64" t="n">
        <x:f>IFERROR(P314/O314,0)</x:f>
        <x:v>0.92</x:v>
      </x:c>
      <x:c r="R314" s="24" t="str">
        <x:v>Encuesta de percepción</x:v>
      </x:c>
      <x:c r="S314" s="70" t="n">
        <x:v>4.8</x:v>
      </x:c>
      <x:c r="T314" s="24" t="str">
        <x:f>IF(XOR(X314="Reprogramada",X314="Cancelada"),"",IF(AND(Q314&gt;=0.8,S314&gt;=4),"Sí",IF(AND(Q314&gt;=0.65,S314&gt;=3.5),"Parcial","No")))</x:f>
        <x:v>Sí</x:v>
      </x:c>
      <x:c r="U314" s="24" t="str">
        <x:v>Psicología SST</x:v>
      </x:c>
      <x:c r="V314" s="11" t="str">
        <x:v>Humano (facilitador externo) / Financiero / Logístico / Material didáctico</x:v>
      </x:c>
      <x:c r="W314" s="11" t="str">
        <x:v>Carlos Felipe Parada Ramón</x:v>
      </x:c>
      <x:c r="X314" s="11" t="str">
        <x:v>Ejecutada</x:v>
      </x:c>
      <x:c r="Y314" s="52" t="str">
        <x:v>Actividad ejecutada satisfactoriamente; mantener evidencia y seguimiento.</x:v>
      </x:c>
    </x:row>
    <x:row r="315">
      <x:c r="A315" s="23" t="n">
        <x:v>314</x:v>
      </x:c>
      <x:c r="B315" s="24" t="n">
        <x:v>2025</x:v>
      </x:c>
      <x:c r="C315" s="24" t="str">
        <x:v>Mayo</x:v>
      </x:c>
      <x:c r="D315" s="24" t="n">
        <x:v>5</x:v>
      </x:c>
      <x:c r="E315" s="24" t="str">
        <x:v>Psicosocial</x:v>
      </x:c>
      <x:c r="F315" s="24" t="str">
        <x:v>Capacitación</x:v>
      </x:c>
      <x:c r="G315" s="24" t="str">
        <x:v>Externo</x:v>
      </x:c>
      <x:c r="H315" s="24" t="str">
        <x:v>Todos</x:v>
      </x:c>
      <x:c r="I315" s="24" t="str">
        <x:v>Arauca</x:v>
      </x:c>
      <x:c r="J315" s="11" t="str">
        <x:v>Bienestar emocional y prevención del agotamiento</x:v>
      </x:c>
      <x:c r="K315" s="11" t="str">
        <x:v>Promover estrategias de autorregulación emocional y hábitos de bienestar en el entorno laboral.</x:v>
      </x:c>
      <x:c r="L315" s="24" t="n">
        <x:v>2</x:v>
      </x:c>
      <x:c r="M315" s="58" t="n">
        <x:v>45792</x:v>
      </x:c>
      <x:c r="N315" s="24" t="n">
        <x:v>1.5</x:v>
      </x:c>
      <x:c r="O315" s="24" t="n">
        <x:v>31</x:v>
      </x:c>
      <x:c r="P315" s="24" t="n">
        <x:v>26</x:v>
      </x:c>
      <x:c r="Q315" s="64" t="n">
        <x:f>IFERROR(P315/O315,0)</x:f>
        <x:v>0.8387096774193549</x:v>
      </x:c>
      <x:c r="R315" s="24" t="str">
        <x:v>Encuesta de percepción</x:v>
      </x:c>
      <x:c r="S315" s="70" t="n">
        <x:v>4.4</x:v>
      </x:c>
      <x:c r="T315" s="24" t="str">
        <x:f>IF(XOR(X315="Reprogramada",X315="Cancelada"),"",IF(AND(Q315&gt;=0.8,S315&gt;=4),"Sí",IF(AND(Q315&gt;=0.65,S315&gt;=3.5),"Parcial","No")))</x:f>
        <x:v>Sí</x:v>
      </x:c>
      <x:c r="U315" s="24" t="str">
        <x:v>Psicología SST</x:v>
      </x:c>
      <x:c r="V315" s="11" t="str">
        <x:v>Humano (facilitador externo) / Financiero / Logístico / Material didáctico</x:v>
      </x:c>
      <x:c r="W315" s="11" t="str">
        <x:v>Camila Andrea Galván</x:v>
      </x:c>
      <x:c r="X315" s="11" t="str">
        <x:v>Ejecutada</x:v>
      </x:c>
      <x:c r="Y315" s="52" t="str">
        <x:v>Actividad ejecutada satisfactoriamente; mantener evidencia y seguimiento.</x:v>
      </x:c>
    </x:row>
    <x:row r="316">
      <x:c r="A316" s="23" t="n">
        <x:v>315</x:v>
      </x:c>
      <x:c r="B316" s="24" t="n">
        <x:v>2025</x:v>
      </x:c>
      <x:c r="C316" s="24" t="str">
        <x:v>Mayo</x:v>
      </x:c>
      <x:c r="D316" s="24" t="n">
        <x:v>5</x:v>
      </x:c>
      <x:c r="E316" s="24" t="str">
        <x:v>Psicosocial</x:v>
      </x:c>
      <x:c r="F316" s="24" t="str">
        <x:v>Capacitación</x:v>
      </x:c>
      <x:c r="G316" s="24" t="str">
        <x:v>Externo</x:v>
      </x:c>
      <x:c r="H316" s="24" t="str">
        <x:v>Todos</x:v>
      </x:c>
      <x:c r="I316" s="24" t="str">
        <x:v>Bogotá</x:v>
      </x:c>
      <x:c r="J316" s="11" t="str">
        <x:v>Bienestar emocional y prevención del agotamiento</x:v>
      </x:c>
      <x:c r="K316" s="11" t="str">
        <x:v>Promover estrategias de autorregulación emocional y hábitos de bienestar en el entorno laboral.</x:v>
      </x:c>
      <x:c r="L316" s="24" t="n">
        <x:v>2</x:v>
      </x:c>
      <x:c r="M316" s="58" t="n">
        <x:v>45803</x:v>
      </x:c>
      <x:c r="N316" s="24" t="n">
        <x:v>1.5</x:v>
      </x:c>
      <x:c r="O316" s="24" t="n">
        <x:v>67</x:v>
      </x:c>
      <x:c r="P316" s="24" t="n">
        <x:v>55</x:v>
      </x:c>
      <x:c r="Q316" s="64" t="n">
        <x:f>IFERROR(P316/O316,0)</x:f>
        <x:v>0.8208955223880597</x:v>
      </x:c>
      <x:c r="R316" s="24" t="str">
        <x:v>Encuesta de percepción</x:v>
      </x:c>
      <x:c r="S316" s="70" t="n">
        <x:v>4.4</x:v>
      </x:c>
      <x:c r="T316" s="24" t="str">
        <x:f>IF(XOR(X316="Reprogramada",X316="Cancelada"),"",IF(AND(Q316&gt;=0.8,S316&gt;=4),"Sí",IF(AND(Q316&gt;=0.65,S316&gt;=3.5),"Parcial","No")))</x:f>
        <x:v>Sí</x:v>
      </x:c>
      <x:c r="U316" s="24" t="str">
        <x:v>Psicología SST</x:v>
      </x:c>
      <x:c r="V316" s="11" t="str">
        <x:v>Humano (facilitador externo) / Financiero / Logístico / Material didáctico</x:v>
      </x:c>
      <x:c r="W316" s="11" t="str">
        <x:v>Jesús Guerrero</x:v>
      </x:c>
      <x:c r="X316" s="11" t="str">
        <x:v>Ejecutada</x:v>
      </x:c>
      <x:c r="Y316" s="52" t="str">
        <x:v>Actividad ejecutada satisfactoriamente; mantener evidencia y seguimiento.</x:v>
      </x:c>
    </x:row>
    <x:row r="317">
      <x:c r="A317" s="23" t="n">
        <x:v>316</x:v>
      </x:c>
      <x:c r="B317" s="24" t="n">
        <x:v>2025</x:v>
      </x:c>
      <x:c r="C317" s="24" t="str">
        <x:v>Mayo</x:v>
      </x:c>
      <x:c r="D317" s="24" t="n">
        <x:v>5</x:v>
      </x:c>
      <x:c r="E317" s="24" t="str">
        <x:v>Psicosocial</x:v>
      </x:c>
      <x:c r="F317" s="24" t="str">
        <x:v>Capacitación</x:v>
      </x:c>
      <x:c r="G317" s="24" t="str">
        <x:v>Externo</x:v>
      </x:c>
      <x:c r="H317" s="24" t="str">
        <x:v>Todos</x:v>
      </x:c>
      <x:c r="I317" s="24" t="str">
        <x:v>Tibú</x:v>
      </x:c>
      <x:c r="J317" s="11" t="str">
        <x:v>Bienestar emocional y prevención del agotamiento</x:v>
      </x:c>
      <x:c r="K317" s="11" t="str">
        <x:v>Promover estrategias de autorregulación emocional y hábitos de bienestar en el entorno laboral.</x:v>
      </x:c>
      <x:c r="L317" s="24" t="n">
        <x:v>2</x:v>
      </x:c>
      <x:c r="M317" s="58" t="n">
        <x:v>45803</x:v>
      </x:c>
      <x:c r="N317" s="24" t="n">
        <x:v>2.5</x:v>
      </x:c>
      <x:c r="O317" s="24" t="n">
        <x:v>33</x:v>
      </x:c>
      <x:c r="P317" s="24" t="n">
        <x:v>28</x:v>
      </x:c>
      <x:c r="Q317" s="64" t="n">
        <x:f>IFERROR(P317/O317,0)</x:f>
        <x:v>0.8484848484848485</x:v>
      </x:c>
      <x:c r="R317" s="24" t="str">
        <x:v>Encuesta de percepción</x:v>
      </x:c>
      <x:c r="S317" s="70" t="n">
        <x:v>4.8</x:v>
      </x:c>
      <x:c r="T317" s="24" t="str">
        <x:f>IF(XOR(X317="Reprogramada",X317="Cancelada"),"",IF(AND(Q317&gt;=0.8,S317&gt;=4),"Sí",IF(AND(Q317&gt;=0.65,S317&gt;=3.5),"Parcial","No")))</x:f>
        <x:v>Sí</x:v>
      </x:c>
      <x:c r="U317" s="24" t="str">
        <x:v>Psicología SST</x:v>
      </x:c>
      <x:c r="V317" s="11" t="str">
        <x:v>Humano (facilitador externo) / Financiero / Logístico / Material didáctico</x:v>
      </x:c>
      <x:c r="W317" s="11" t="str">
        <x:v>Carlos Felipe Parada Ramón</x:v>
      </x:c>
      <x:c r="X317" s="11" t="str">
        <x:v>Ejecutada</x:v>
      </x:c>
      <x:c r="Y317" s="52" t="str">
        <x:v>Actividad ejecutada satisfactoriamente; mantener evidencia y seguimiento.</x:v>
      </x:c>
    </x:row>
    <x:row r="318">
      <x:c r="A318" s="23" t="n">
        <x:v>317</x:v>
      </x:c>
      <x:c r="B318" s="24" t="n">
        <x:v>2025</x:v>
      </x:c>
      <x:c r="C318" s="24" t="str">
        <x:v>Mayo</x:v>
      </x:c>
      <x:c r="D318" s="24" t="n">
        <x:v>5</x:v>
      </x:c>
      <x:c r="E318" s="24" t="str">
        <x:v>Psicosocial</x:v>
      </x:c>
      <x:c r="F318" s="24" t="str">
        <x:v>Capacitación</x:v>
      </x:c>
      <x:c r="G318" s="24" t="str">
        <x:v>Externo</x:v>
      </x:c>
      <x:c r="H318" s="24" t="str">
        <x:v>Todos</x:v>
      </x:c>
      <x:c r="I318" s="24" t="str">
        <x:v>Medellín</x:v>
      </x:c>
      <x:c r="J318" s="11" t="str">
        <x:v>Bienestar emocional y prevención del agotamiento</x:v>
      </x:c>
      <x:c r="K318" s="11" t="str">
        <x:v>Promover estrategias de autorregulación emocional y hábitos de bienestar en el entorno laboral.</x:v>
      </x:c>
      <x:c r="L318" s="24" t="n">
        <x:v>2</x:v>
      </x:c>
      <x:c r="M318" s="58" t="n">
        <x:v>45799</x:v>
      </x:c>
      <x:c r="N318" s="24" t="n">
        <x:v>2</x:v>
      </x:c>
      <x:c r="O318" s="24" t="n">
        <x:v>62</x:v>
      </x:c>
      <x:c r="P318" s="24" t="n">
        <x:v>50</x:v>
      </x:c>
      <x:c r="Q318" s="64" t="n">
        <x:f>IFERROR(P318/O318,0)</x:f>
        <x:v>0.8064516129032258</x:v>
      </x:c>
      <x:c r="R318" s="24" t="str">
        <x:v>Encuesta de percepción</x:v>
      </x:c>
      <x:c r="S318" s="70" t="n">
        <x:v>4.8</x:v>
      </x:c>
      <x:c r="T318" s="24" t="str">
        <x:f>IF(XOR(X318="Reprogramada",X318="Cancelada"),"",IF(AND(Q318&gt;=0.8,S318&gt;=4),"Sí",IF(AND(Q318&gt;=0.65,S318&gt;=3.5),"Parcial","No")))</x:f>
        <x:v>Sí</x:v>
      </x:c>
      <x:c r="U318" s="24" t="str">
        <x:v>Psicología SST</x:v>
      </x:c>
      <x:c r="V318" s="11" t="str">
        <x:v>Humano (facilitador externo) / Financiero / Logístico / Material didáctico</x:v>
      </x:c>
      <x:c r="W318" s="11" t="str">
        <x:v>Camila Andrea Galván</x:v>
      </x:c>
      <x:c r="X318" s="11" t="str">
        <x:v>Ejecutada</x:v>
      </x:c>
      <x:c r="Y318" s="52" t="str">
        <x:v>Actividad ejecutada satisfactoriamente; mantener evidencia y seguimiento.</x:v>
      </x:c>
    </x:row>
    <x:row r="319">
      <x:c r="A319" s="23" t="n">
        <x:v>318</x:v>
      </x:c>
      <x:c r="B319" s="24" t="n">
        <x:v>2025</x:v>
      </x:c>
      <x:c r="C319" s="24" t="str">
        <x:v>Mayo</x:v>
      </x:c>
      <x:c r="D319" s="24" t="n">
        <x:v>5</x:v>
      </x:c>
      <x:c r="E319" s="24" t="str">
        <x:v>Psicosocial</x:v>
      </x:c>
      <x:c r="F319" s="24" t="str">
        <x:v>Capacitación</x:v>
      </x:c>
      <x:c r="G319" s="24" t="str">
        <x:v>Externo</x:v>
      </x:c>
      <x:c r="H319" s="24" t="str">
        <x:v>Todos</x:v>
      </x:c>
      <x:c r="I319" s="24" t="str">
        <x:v>Ábrego</x:v>
      </x:c>
      <x:c r="J319" s="11" t="str">
        <x:v>Bienestar emocional y prevención del agotamiento</x:v>
      </x:c>
      <x:c r="K319" s="11" t="str">
        <x:v>Promover estrategias de autorregulación emocional y hábitos de bienestar en el entorno laboral.</x:v>
      </x:c>
      <x:c r="L319" s="24" t="n">
        <x:v>2</x:v>
      </x:c>
      <x:c r="M319" s="58" t="n">
        <x:v>45787</x:v>
      </x:c>
      <x:c r="N319" s="24" t="n">
        <x:v>2.5</x:v>
      </x:c>
      <x:c r="O319" s="24" t="n">
        <x:v>26</x:v>
      </x:c>
      <x:c r="P319" s="24" t="n">
        <x:v>24</x:v>
      </x:c>
      <x:c r="Q319" s="64" t="n">
        <x:f>IFERROR(P319/O319,0)</x:f>
        <x:v>0.9230769230769231</x:v>
      </x:c>
      <x:c r="R319" s="24" t="str">
        <x:v>Encuesta de percepción</x:v>
      </x:c>
      <x:c r="S319" s="70" t="n">
        <x:v>4.2</x:v>
      </x:c>
      <x:c r="T319" s="24" t="str">
        <x:f>IF(XOR(X319="Reprogramada",X319="Cancelada"),"",IF(AND(Q319&gt;=0.8,S319&gt;=4),"Sí",IF(AND(Q319&gt;=0.65,S319&gt;=3.5),"Parcial","No")))</x:f>
        <x:v>Sí</x:v>
      </x:c>
      <x:c r="U319" s="24" t="str">
        <x:v>Psicología SST</x:v>
      </x:c>
      <x:c r="V319" s="11" t="str">
        <x:v>Humano (facilitador externo) / Financiero / Logístico / Material didáctico</x:v>
      </x:c>
      <x:c r="W319" s="11" t="str">
        <x:v>Jesús Guerrero</x:v>
      </x:c>
      <x:c r="X319" s="11" t="str">
        <x:v>Ejecutada</x:v>
      </x:c>
      <x:c r="Y319" s="52" t="str">
        <x:v>Actividad ejecutada satisfactoriamente; mantener evidencia y seguimiento.</x:v>
      </x:c>
    </x:row>
    <x:row r="320">
      <x:c r="A320" s="23" t="n">
        <x:v>319</x:v>
      </x:c>
      <x:c r="B320" s="24" t="n">
        <x:v>2025</x:v>
      </x:c>
      <x:c r="C320" s="24" t="str">
        <x:v>Mayo</x:v>
      </x:c>
      <x:c r="D320" s="24" t="n">
        <x:v>5</x:v>
      </x:c>
      <x:c r="E320" s="24" t="str">
        <x:v>Psicosocial</x:v>
      </x:c>
      <x:c r="F320" s="24" t="str">
        <x:v>Capacitación</x:v>
      </x:c>
      <x:c r="G320" s="24" t="str">
        <x:v>Externo</x:v>
      </x:c>
      <x:c r="H320" s="24" t="str">
        <x:v>Todos</x:v>
      </x:c>
      <x:c r="I320" s="24" t="str">
        <x:v>Pamplona</x:v>
      </x:c>
      <x:c r="J320" s="11" t="str">
        <x:v>Bienestar emocional y prevención del agotamiento</x:v>
      </x:c>
      <x:c r="K320" s="11" t="str">
        <x:v>Promover estrategias de autorregulación emocional y hábitos de bienestar en el entorno laboral.</x:v>
      </x:c>
      <x:c r="L320" s="24" t="n">
        <x:v>2</x:v>
      </x:c>
      <x:c r="M320" s="58"/>
      <x:c r="N320" s="24" t="n">
        <x:v>0</x:v>
      </x:c>
      <x:c r="O320" s="24" t="n">
        <x:v>29</x:v>
      </x:c>
      <x:c r="P320" s="24"/>
      <x:c r="Q320" s="64" t="n">
        <x:f>IFERROR(P320/O320,0)</x:f>
        <x:v>0</x:v>
      </x:c>
      <x:c r="R320" s="24" t="str">
        <x:v>Encuesta de percepción</x:v>
      </x:c>
      <x:c r="S320" s="70"/>
      <x:c r="T320" s="24" t="str">
        <x:f>IF(XOR(X320="Reprogramada",X320="Cancelada"),"",IF(AND(Q320&gt;=0.8,S320&gt;=4),"Sí",IF(AND(Q320&gt;=0.65,S320&gt;=3.5),"Parcial","No")))</x:f>
      </x:c>
      <x:c r="U320" s="24" t="str">
        <x:v>Psicología SST</x:v>
      </x:c>
      <x:c r="V320" s="11" t="str">
        <x:v>Humano (facilitador externo) / Financiero / Logístico / Material didáctico</x:v>
      </x:c>
      <x:c r="W320" s="11" t="str">
        <x:v>Carlos Felipe Parada Ramón</x:v>
      </x:c>
      <x:c r="X320" s="11" t="str">
        <x:v>Cancelada</x:v>
      </x:c>
      <x:c r="Y320" s="52" t="str">
        <x:v>Actividad cancelada por reorganización operativa o priorización de otras necesidades.</x:v>
      </x:c>
    </x:row>
    <x:row r="321">
      <x:c r="A321" s="23" t="n">
        <x:v>320</x:v>
      </x:c>
      <x:c r="B321" s="24" t="n">
        <x:v>2025</x:v>
      </x:c>
      <x:c r="C321" s="24" t="str">
        <x:v>Junio</x:v>
      </x:c>
      <x:c r="D321" s="24" t="n">
        <x:v>6</x:v>
      </x:c>
      <x:c r="E321" s="24" t="str">
        <x:v>ATEL</x:v>
      </x:c>
      <x:c r="F321" s="24" t="str">
        <x:v>Capacitación</x:v>
      </x:c>
      <x:c r="G321" s="24" t="str">
        <x:v>Interno</x:v>
      </x:c>
      <x:c r="H321" s="24" t="str">
        <x:v>Líderes</x:v>
      </x:c>
      <x:c r="I321" s="24" t="str">
        <x:v>Cúcuta</x:v>
      </x:c>
      <x:c r="J321" s="11" t="str">
        <x:v>ATEL y reporte oportuno</x:v>
      </x:c>
      <x:c r="K321" s="11" t="str">
        <x:v>Garantizar la oportunidad y calidad del reporte de accidentes de trabajo y enfermedad laboral.</x:v>
      </x:c>
      <x:c r="L321" s="24" t="n">
        <x:v>2</x:v>
      </x:c>
      <x:c r="M321" s="58" t="n">
        <x:v>45828</x:v>
      </x:c>
      <x:c r="N321" s="24" t="n">
        <x:v>2</x:v>
      </x:c>
      <x:c r="O321" s="24" t="n">
        <x:v>83</x:v>
      </x:c>
      <x:c r="P321" s="24" t="n">
        <x:v>67</x:v>
      </x:c>
      <x:c r="Q321" s="64" t="n">
        <x:f>IFERROR(P321/O321,0)</x:f>
        <x:v>0.8072289156626506</x:v>
      </x:c>
      <x:c r="R321" s="24" t="str">
        <x:v>Caso práctico</x:v>
      </x:c>
      <x:c r="S321" s="70" t="n">
        <x:v>4.7</x:v>
      </x:c>
      <x:c r="T321" s="24" t="str">
        <x:f>IF(XOR(X321="Reprogramada",X321="Cancelada"),"",IF(AND(Q321&gt;=0.8,S321&gt;=4),"Sí",IF(AND(Q321&gt;=0.65,S321&gt;=3.5),"Parcial","No")))</x:f>
        <x:v>Sí</x:v>
      </x:c>
      <x:c r="U321" s="24" t="str">
        <x:v>Carlos Felipe Parada Ramón</x:v>
      </x:c>
      <x:c r="V321" s="11" t="str">
        <x:v>Humano (facilitador interno) / Logístico / Material de apoyo</x:v>
      </x:c>
      <x:c r="W321" s="11" t="str">
        <x:v>Camila Andrea Galván</x:v>
      </x:c>
      <x:c r="X321" s="11" t="str">
        <x:v>Ejecutada</x:v>
      </x:c>
      <x:c r="Y321" s="52" t="str">
        <x:v>Actividad ejecutada satisfactoriamente; mantener evidencia y seguimiento.</x:v>
      </x:c>
    </x:row>
    <x:row r="322">
      <x:c r="A322" s="23" t="n">
        <x:v>321</x:v>
      </x:c>
      <x:c r="B322" s="24" t="n">
        <x:v>2025</x:v>
      </x:c>
      <x:c r="C322" s="24" t="str">
        <x:v>Junio</x:v>
      </x:c>
      <x:c r="D322" s="24" t="n">
        <x:v>6</x:v>
      </x:c>
      <x:c r="E322" s="24" t="str">
        <x:v>ATEL</x:v>
      </x:c>
      <x:c r="F322" s="24" t="str">
        <x:v>Capacitación</x:v>
      </x:c>
      <x:c r="G322" s="24" t="str">
        <x:v>Interno</x:v>
      </x:c>
      <x:c r="H322" s="24" t="str">
        <x:v>Líderes</x:v>
      </x:c>
      <x:c r="I322" s="24" t="str">
        <x:v>Barrancabermeja</x:v>
      </x:c>
      <x:c r="J322" s="11" t="str">
        <x:v>ATEL y reporte oportuno</x:v>
      </x:c>
      <x:c r="K322" s="11" t="str">
        <x:v>Garantizar la oportunidad y calidad del reporte de accidentes de trabajo y enfermedad laboral.</x:v>
      </x:c>
      <x:c r="L322" s="24" t="n">
        <x:v>2</x:v>
      </x:c>
      <x:c r="M322" s="58" t="n">
        <x:v>45828</x:v>
      </x:c>
      <x:c r="N322" s="24" t="n">
        <x:v>2</x:v>
      </x:c>
      <x:c r="O322" s="24" t="n">
        <x:v>56</x:v>
      </x:c>
      <x:c r="P322" s="24" t="n">
        <x:v>46</x:v>
      </x:c>
      <x:c r="Q322" s="64" t="n">
        <x:f>IFERROR(P322/O322,0)</x:f>
        <x:v>0.8214285714285714</x:v>
      </x:c>
      <x:c r="R322" s="24" t="str">
        <x:v>Caso práctico</x:v>
      </x:c>
      <x:c r="S322" s="70" t="n">
        <x:v>4.4</x:v>
      </x:c>
      <x:c r="T322" s="24" t="str">
        <x:f>IF(XOR(X322="Reprogramada",X322="Cancelada"),"",IF(AND(Q322&gt;=0.8,S322&gt;=4),"Sí",IF(AND(Q322&gt;=0.65,S322&gt;=3.5),"Parcial","No")))</x:f>
        <x:v>Sí</x:v>
      </x:c>
      <x:c r="U322" s="24" t="str">
        <x:v>Carlos Felipe Parada Ramón</x:v>
      </x:c>
      <x:c r="V322" s="11" t="str">
        <x:v>Humano (facilitador interno) / Logístico / Material de apoyo</x:v>
      </x:c>
      <x:c r="W322" s="11" t="str">
        <x:v>Jesús Guerrero</x:v>
      </x:c>
      <x:c r="X322" s="11" t="str">
        <x:v>Ejecutada</x:v>
      </x:c>
      <x:c r="Y322" s="52" t="str">
        <x:v>Actividad ejecutada satisfactoriamente; mantener evidencia y seguimiento.</x:v>
      </x:c>
    </x:row>
    <x:row r="323">
      <x:c r="A323" s="23" t="n">
        <x:v>322</x:v>
      </x:c>
      <x:c r="B323" s="24" t="n">
        <x:v>2025</x:v>
      </x:c>
      <x:c r="C323" s="24" t="str">
        <x:v>Junio</x:v>
      </x:c>
      <x:c r="D323" s="24" t="n">
        <x:v>6</x:v>
      </x:c>
      <x:c r="E323" s="24" t="str">
        <x:v>ATEL</x:v>
      </x:c>
      <x:c r="F323" s="24" t="str">
        <x:v>Capacitación</x:v>
      </x:c>
      <x:c r="G323" s="24" t="str">
        <x:v>Interno</x:v>
      </x:c>
      <x:c r="H323" s="24" t="str">
        <x:v>Líderes</x:v>
      </x:c>
      <x:c r="I323" s="24" t="str">
        <x:v>Ocaña</x:v>
      </x:c>
      <x:c r="J323" s="11" t="str">
        <x:v>ATEL y reporte oportuno</x:v>
      </x:c>
      <x:c r="K323" s="11" t="str">
        <x:v>Garantizar la oportunidad y calidad del reporte de accidentes de trabajo y enfermedad laboral.</x:v>
      </x:c>
      <x:c r="L323" s="24" t="n">
        <x:v>2</x:v>
      </x:c>
      <x:c r="M323" s="58" t="n">
        <x:v>45830</x:v>
      </x:c>
      <x:c r="N323" s="24" t="n">
        <x:v>2</x:v>
      </x:c>
      <x:c r="O323" s="24" t="n">
        <x:v>39</x:v>
      </x:c>
      <x:c r="P323" s="24" t="n">
        <x:v>29</x:v>
      </x:c>
      <x:c r="Q323" s="64" t="n">
        <x:f>IFERROR(P323/O323,0)</x:f>
        <x:v>0.7435897435897436</x:v>
      </x:c>
      <x:c r="R323" s="24" t="str">
        <x:v>Caso práctico</x:v>
      </x:c>
      <x:c r="S323" s="70" t="n">
        <x:v>4.3</x:v>
      </x:c>
      <x:c r="T323" s="24" t="str">
        <x:f>IF(XOR(X323="Reprogramada",X323="Cancelada"),"",IF(AND(Q323&gt;=0.8,S323&gt;=4),"Sí",IF(AND(Q323&gt;=0.65,S323&gt;=3.5),"Parcial","No")))</x:f>
        <x:v>Parcial</x:v>
      </x:c>
      <x:c r="U323" s="24" t="str">
        <x:v>Carlos Felipe Parada Ramón</x:v>
      </x:c>
      <x:c r="V323" s="11" t="str">
        <x:v>Humano (facilitador interno) / Logístico / Material de apoyo</x:v>
      </x:c>
      <x:c r="W323" s="11" t="str">
        <x:v>Carlos Felipe Parada Ramón</x:v>
      </x:c>
      <x:c r="X323" s="11" t="str">
        <x:v>Ejecutada</x:v>
      </x:c>
      <x:c r="Y323" s="52" t="str">
        <x:v>Reforzar convocatoria y seguimiento a ausentismo.</x:v>
      </x:c>
    </x:row>
    <x:row r="324">
      <x:c r="A324" s="23" t="n">
        <x:v>323</x:v>
      </x:c>
      <x:c r="B324" s="24" t="n">
        <x:v>2025</x:v>
      </x:c>
      <x:c r="C324" s="24" t="str">
        <x:v>Junio</x:v>
      </x:c>
      <x:c r="D324" s="24" t="n">
        <x:v>6</x:v>
      </x:c>
      <x:c r="E324" s="24" t="str">
        <x:v>ATEL</x:v>
      </x:c>
      <x:c r="F324" s="24" t="str">
        <x:v>Capacitación</x:v>
      </x:c>
      <x:c r="G324" s="24" t="str">
        <x:v>Interno</x:v>
      </x:c>
      <x:c r="H324" s="24" t="str">
        <x:v>Líderes</x:v>
      </x:c>
      <x:c r="I324" s="24" t="str">
        <x:v>Girón</x:v>
      </x:c>
      <x:c r="J324" s="11" t="str">
        <x:v>ATEL y reporte oportuno</x:v>
      </x:c>
      <x:c r="K324" s="11" t="str">
        <x:v>Garantizar la oportunidad y calidad del reporte de accidentes de trabajo y enfermedad laboral.</x:v>
      </x:c>
      <x:c r="L324" s="24" t="n">
        <x:v>2</x:v>
      </x:c>
      <x:c r="M324" s="58"/>
      <x:c r="N324" s="24" t="n">
        <x:v>0</x:v>
      </x:c>
      <x:c r="O324" s="24" t="n">
        <x:v>44</x:v>
      </x:c>
      <x:c r="P324" s="24"/>
      <x:c r="Q324" s="64" t="n">
        <x:f>IFERROR(P324/O324,0)</x:f>
        <x:v>0</x:v>
      </x:c>
      <x:c r="R324" s="24" t="str">
        <x:v>Caso práctico</x:v>
      </x:c>
      <x:c r="S324" s="70"/>
      <x:c r="T324" s="24" t="str">
        <x:f>IF(XOR(X324="Reprogramada",X324="Cancelada"),"",IF(AND(Q324&gt;=0.8,S324&gt;=4),"Sí",IF(AND(Q324&gt;=0.65,S324&gt;=3.5),"Parcial","No")))</x:f>
      </x:c>
      <x:c r="U324" s="24" t="str">
        <x:v>Carlos Felipe Parada Ramón</x:v>
      </x:c>
      <x:c r="V324" s="11" t="str">
        <x:v>Humano (facilitador interno) / Logístico / Material de apoyo</x:v>
      </x:c>
      <x:c r="W324" s="11" t="str">
        <x:v>Camila Andrea Galván</x:v>
      </x:c>
      <x:c r="X324" s="11" t="str">
        <x:v>Cancelada</x:v>
      </x:c>
      <x:c r="Y324" s="52" t="str">
        <x:v>Actividad cancelada por reorganización operativa o priorización de otras necesidades.</x:v>
      </x:c>
    </x:row>
    <x:row r="325">
      <x:c r="A325" s="23" t="n">
        <x:v>324</x:v>
      </x:c>
      <x:c r="B325" s="24" t="n">
        <x:v>2025</x:v>
      </x:c>
      <x:c r="C325" s="24" t="str">
        <x:v>Junio</x:v>
      </x:c>
      <x:c r="D325" s="24" t="n">
        <x:v>6</x:v>
      </x:c>
      <x:c r="E325" s="24" t="str">
        <x:v>ATEL</x:v>
      </x:c>
      <x:c r="F325" s="24" t="str">
        <x:v>Capacitación</x:v>
      </x:c>
      <x:c r="G325" s="24" t="str">
        <x:v>Interno</x:v>
      </x:c>
      <x:c r="H325" s="24" t="str">
        <x:v>Líderes</x:v>
      </x:c>
      <x:c r="I325" s="24" t="str">
        <x:v>Valledupar</x:v>
      </x:c>
      <x:c r="J325" s="11" t="str">
        <x:v>ATEL y reporte oportuno</x:v>
      </x:c>
      <x:c r="K325" s="11" t="str">
        <x:v>Garantizar la oportunidad y calidad del reporte de accidentes de trabajo y enfermedad laboral.</x:v>
      </x:c>
      <x:c r="L325" s="24" t="n">
        <x:v>2</x:v>
      </x:c>
      <x:c r="M325" s="58" t="n">
        <x:v>45830</x:v>
      </x:c>
      <x:c r="N325" s="24" t="n">
        <x:v>2</x:v>
      </x:c>
      <x:c r="O325" s="24" t="n">
        <x:v>50</x:v>
      </x:c>
      <x:c r="P325" s="24" t="n">
        <x:v>44</x:v>
      </x:c>
      <x:c r="Q325" s="64" t="n">
        <x:f>IFERROR(P325/O325,0)</x:f>
        <x:v>0.88</x:v>
      </x:c>
      <x:c r="R325" s="24" t="str">
        <x:v>Caso práctico</x:v>
      </x:c>
      <x:c r="S325" s="70" t="n">
        <x:v>4.7</x:v>
      </x:c>
      <x:c r="T325" s="24" t="str">
        <x:f>IF(XOR(X325="Reprogramada",X325="Cancelada"),"",IF(AND(Q325&gt;=0.8,S325&gt;=4),"Sí",IF(AND(Q325&gt;=0.65,S325&gt;=3.5),"Parcial","No")))</x:f>
        <x:v>Sí</x:v>
      </x:c>
      <x:c r="U325" s="24" t="str">
        <x:v>Carlos Felipe Parada Ramón</x:v>
      </x:c>
      <x:c r="V325" s="11" t="str">
        <x:v>Humano (facilitador interno) / Logístico / Material de apoyo</x:v>
      </x:c>
      <x:c r="W325" s="11" t="str">
        <x:v>Jesús Guerrero</x:v>
      </x:c>
      <x:c r="X325" s="11" t="str">
        <x:v>Ejecutada</x:v>
      </x:c>
      <x:c r="Y325" s="52" t="str">
        <x:v>Actividad ejecutada satisfactoriamente; mantener evidencia y seguimiento.</x:v>
      </x:c>
    </x:row>
    <x:row r="326">
      <x:c r="A326" s="23" t="n">
        <x:v>325</x:v>
      </x:c>
      <x:c r="B326" s="24" t="n">
        <x:v>2025</x:v>
      </x:c>
      <x:c r="C326" s="24" t="str">
        <x:v>Junio</x:v>
      </x:c>
      <x:c r="D326" s="24" t="n">
        <x:v>6</x:v>
      </x:c>
      <x:c r="E326" s="24" t="str">
        <x:v>ATEL</x:v>
      </x:c>
      <x:c r="F326" s="24" t="str">
        <x:v>Capacitación</x:v>
      </x:c>
      <x:c r="G326" s="24" t="str">
        <x:v>Interno</x:v>
      </x:c>
      <x:c r="H326" s="24" t="str">
        <x:v>Líderes</x:v>
      </x:c>
      <x:c r="I326" s="24" t="str">
        <x:v>Arauca</x:v>
      </x:c>
      <x:c r="J326" s="11" t="str">
        <x:v>ATEL y reporte oportuno</x:v>
      </x:c>
      <x:c r="K326" s="11" t="str">
        <x:v>Garantizar la oportunidad y calidad del reporte de accidentes de trabajo y enfermedad laboral.</x:v>
      </x:c>
      <x:c r="L326" s="24" t="n">
        <x:v>2</x:v>
      </x:c>
      <x:c r="M326" s="58" t="n">
        <x:v>45820</x:v>
      </x:c>
      <x:c r="N326" s="24" t="n">
        <x:v>2</x:v>
      </x:c>
      <x:c r="O326" s="24" t="n">
        <x:v>31</x:v>
      </x:c>
      <x:c r="P326" s="24" t="n">
        <x:v>23</x:v>
      </x:c>
      <x:c r="Q326" s="64" t="n">
        <x:f>IFERROR(P326/O326,0)</x:f>
        <x:v>0.7419354838709677</x:v>
      </x:c>
      <x:c r="R326" s="24" t="str">
        <x:v>Caso práctico</x:v>
      </x:c>
      <x:c r="S326" s="70" t="n">
        <x:v>4.3</x:v>
      </x:c>
      <x:c r="T326" s="24" t="str">
        <x:f>IF(XOR(X326="Reprogramada",X326="Cancelada"),"",IF(AND(Q326&gt;=0.8,S326&gt;=4),"Sí",IF(AND(Q326&gt;=0.65,S326&gt;=3.5),"Parcial","No")))</x:f>
        <x:v>Parcial</x:v>
      </x:c>
      <x:c r="U326" s="24" t="str">
        <x:v>Carlos Felipe Parada Ramón</x:v>
      </x:c>
      <x:c r="V326" s="11" t="str">
        <x:v>Humano (facilitador interno) / Logístico / Material de apoyo</x:v>
      </x:c>
      <x:c r="W326" s="11" t="str">
        <x:v>Carlos Felipe Parada Ramón</x:v>
      </x:c>
      <x:c r="X326" s="11" t="str">
        <x:v>Ejecutada</x:v>
      </x:c>
      <x:c r="Y326" s="52" t="str">
        <x:v>Reforzar convocatoria y seguimiento a ausentismo.</x:v>
      </x:c>
    </x:row>
    <x:row r="327">
      <x:c r="A327" s="23" t="n">
        <x:v>326</x:v>
      </x:c>
      <x:c r="B327" s="24" t="n">
        <x:v>2025</x:v>
      </x:c>
      <x:c r="C327" s="24" t="str">
        <x:v>Junio</x:v>
      </x:c>
      <x:c r="D327" s="24" t="n">
        <x:v>6</x:v>
      </x:c>
      <x:c r="E327" s="24" t="str">
        <x:v>ATEL</x:v>
      </x:c>
      <x:c r="F327" s="24" t="str">
        <x:v>Capacitación</x:v>
      </x:c>
      <x:c r="G327" s="24" t="str">
        <x:v>Interno</x:v>
      </x:c>
      <x:c r="H327" s="24" t="str">
        <x:v>Líderes</x:v>
      </x:c>
      <x:c r="I327" s="24" t="str">
        <x:v>Bogotá</x:v>
      </x:c>
      <x:c r="J327" s="11" t="str">
        <x:v>ATEL y reporte oportuno</x:v>
      </x:c>
      <x:c r="K327" s="11" t="str">
        <x:v>Garantizar la oportunidad y calidad del reporte de accidentes de trabajo y enfermedad laboral.</x:v>
      </x:c>
      <x:c r="L327" s="24" t="n">
        <x:v>2</x:v>
      </x:c>
      <x:c r="M327" s="58" t="n">
        <x:v>45830</x:v>
      </x:c>
      <x:c r="N327" s="24" t="n">
        <x:v>2</x:v>
      </x:c>
      <x:c r="O327" s="24" t="n">
        <x:v>67</x:v>
      </x:c>
      <x:c r="P327" s="24" t="n">
        <x:v>50</x:v>
      </x:c>
      <x:c r="Q327" s="64" t="n">
        <x:f>IFERROR(P327/O327,0)</x:f>
        <x:v>0.746268656716418</x:v>
      </x:c>
      <x:c r="R327" s="24" t="str">
        <x:v>Caso práctico</x:v>
      </x:c>
      <x:c r="S327" s="70" t="n">
        <x:v>4.1</x:v>
      </x:c>
      <x:c r="T327" s="24" t="str">
        <x:f>IF(XOR(X327="Reprogramada",X327="Cancelada"),"",IF(AND(Q327&gt;=0.8,S327&gt;=4),"Sí",IF(AND(Q327&gt;=0.65,S327&gt;=3.5),"Parcial","No")))</x:f>
        <x:v>Parcial</x:v>
      </x:c>
      <x:c r="U327" s="24" t="str">
        <x:v>Carlos Felipe Parada Ramón</x:v>
      </x:c>
      <x:c r="V327" s="11" t="str">
        <x:v>Humano (facilitador interno) / Logístico / Material de apoyo</x:v>
      </x:c>
      <x:c r="W327" s="11" t="str">
        <x:v>Camila Andrea Galván</x:v>
      </x:c>
      <x:c r="X327" s="11" t="str">
        <x:v>Ejecutada</x:v>
      </x:c>
      <x:c r="Y327" s="52" t="str">
        <x:v>Reforzar convocatoria y seguimiento a ausentismo.</x:v>
      </x:c>
    </x:row>
    <x:row r="328">
      <x:c r="A328" s="23" t="n">
        <x:v>327</x:v>
      </x:c>
      <x:c r="B328" s="24" t="n">
        <x:v>2025</x:v>
      </x:c>
      <x:c r="C328" s="24" t="str">
        <x:v>Junio</x:v>
      </x:c>
      <x:c r="D328" s="24" t="n">
        <x:v>6</x:v>
      </x:c>
      <x:c r="E328" s="24" t="str">
        <x:v>ATEL</x:v>
      </x:c>
      <x:c r="F328" s="24" t="str">
        <x:v>Capacitación</x:v>
      </x:c>
      <x:c r="G328" s="24" t="str">
        <x:v>Interno</x:v>
      </x:c>
      <x:c r="H328" s="24" t="str">
        <x:v>Líderes</x:v>
      </x:c>
      <x:c r="I328" s="24" t="str">
        <x:v>Tibú</x:v>
      </x:c>
      <x:c r="J328" s="11" t="str">
        <x:v>ATEL y reporte oportuno</x:v>
      </x:c>
      <x:c r="K328" s="11" t="str">
        <x:v>Garantizar la oportunidad y calidad del reporte de accidentes de trabajo y enfermedad laboral.</x:v>
      </x:c>
      <x:c r="L328" s="24" t="n">
        <x:v>2</x:v>
      </x:c>
      <x:c r="M328" s="58" t="n">
        <x:v>45820</x:v>
      </x:c>
      <x:c r="N328" s="24" t="n">
        <x:v>2</x:v>
      </x:c>
      <x:c r="O328" s="24" t="n">
        <x:v>33</x:v>
      </x:c>
      <x:c r="P328" s="24" t="n">
        <x:v>25</x:v>
      </x:c>
      <x:c r="Q328" s="64" t="n">
        <x:f>IFERROR(P328/O328,0)</x:f>
        <x:v>0.7575757575757576</x:v>
      </x:c>
      <x:c r="R328" s="24" t="str">
        <x:v>Caso práctico</x:v>
      </x:c>
      <x:c r="S328" s="70" t="n">
        <x:v>4.5</x:v>
      </x:c>
      <x:c r="T328" s="24" t="str">
        <x:f>IF(XOR(X328="Reprogramada",X328="Cancelada"),"",IF(AND(Q328&gt;=0.8,S328&gt;=4),"Sí",IF(AND(Q328&gt;=0.65,S328&gt;=3.5),"Parcial","No")))</x:f>
        <x:v>Parcial</x:v>
      </x:c>
      <x:c r="U328" s="24" t="str">
        <x:v>Carlos Felipe Parada Ramón</x:v>
      </x:c>
      <x:c r="V328" s="11" t="str">
        <x:v>Humano (facilitador interno) / Logístico / Material de apoyo</x:v>
      </x:c>
      <x:c r="W328" s="11" t="str">
        <x:v>Jesús Guerrero</x:v>
      </x:c>
      <x:c r="X328" s="11" t="str">
        <x:v>Ejecutada</x:v>
      </x:c>
      <x:c r="Y328" s="52" t="str">
        <x:v>Actividad ejecutada satisfactoriamente; mantener evidencia y seguimiento.</x:v>
      </x:c>
    </x:row>
    <x:row r="329">
      <x:c r="A329" s="23" t="n">
        <x:v>328</x:v>
      </x:c>
      <x:c r="B329" s="24" t="n">
        <x:v>2025</x:v>
      </x:c>
      <x:c r="C329" s="24" t="str">
        <x:v>Junio</x:v>
      </x:c>
      <x:c r="D329" s="24" t="n">
        <x:v>6</x:v>
      </x:c>
      <x:c r="E329" s="24" t="str">
        <x:v>ATEL</x:v>
      </x:c>
      <x:c r="F329" s="24" t="str">
        <x:v>Capacitación</x:v>
      </x:c>
      <x:c r="G329" s="24" t="str">
        <x:v>Interno</x:v>
      </x:c>
      <x:c r="H329" s="24" t="str">
        <x:v>Líderes</x:v>
      </x:c>
      <x:c r="I329" s="24" t="str">
        <x:v>Medellín</x:v>
      </x:c>
      <x:c r="J329" s="11" t="str">
        <x:v>ATEL y reporte oportuno</x:v>
      </x:c>
      <x:c r="K329" s="11" t="str">
        <x:v>Garantizar la oportunidad y calidad del reporte de accidentes de trabajo y enfermedad laboral.</x:v>
      </x:c>
      <x:c r="L329" s="24" t="n">
        <x:v>2</x:v>
      </x:c>
      <x:c r="M329" s="58" t="n">
        <x:v>45820</x:v>
      </x:c>
      <x:c r="N329" s="24" t="n">
        <x:v>2</x:v>
      </x:c>
      <x:c r="O329" s="24" t="n">
        <x:v>62</x:v>
      </x:c>
      <x:c r="P329" s="24" t="n">
        <x:v>46</x:v>
      </x:c>
      <x:c r="Q329" s="64" t="n">
        <x:f>IFERROR(P329/O329,0)</x:f>
        <x:v>0.7419354838709677</x:v>
      </x:c>
      <x:c r="R329" s="24" t="str">
        <x:v>Caso práctico</x:v>
      </x:c>
      <x:c r="S329" s="70" t="n">
        <x:v>4.1</x:v>
      </x:c>
      <x:c r="T329" s="24" t="str">
        <x:f>IF(XOR(X329="Reprogramada",X329="Cancelada"),"",IF(AND(Q329&gt;=0.8,S329&gt;=4),"Sí",IF(AND(Q329&gt;=0.65,S329&gt;=3.5),"Parcial","No")))</x:f>
        <x:v>Parcial</x:v>
      </x:c>
      <x:c r="U329" s="24" t="str">
        <x:v>Carlos Felipe Parada Ramón</x:v>
      </x:c>
      <x:c r="V329" s="11" t="str">
        <x:v>Humano (facilitador interno) / Logístico / Material de apoyo</x:v>
      </x:c>
      <x:c r="W329" s="11" t="str">
        <x:v>Carlos Felipe Parada Ramón</x:v>
      </x:c>
      <x:c r="X329" s="11" t="str">
        <x:v>Ejecutada</x:v>
      </x:c>
      <x:c r="Y329" s="52" t="str">
        <x:v>Reforzar convocatoria y seguimiento a ausentismo.</x:v>
      </x:c>
    </x:row>
    <x:row r="330">
      <x:c r="A330" s="23" t="n">
        <x:v>329</x:v>
      </x:c>
      <x:c r="B330" s="24" t="n">
        <x:v>2025</x:v>
      </x:c>
      <x:c r="C330" s="24" t="str">
        <x:v>Junio</x:v>
      </x:c>
      <x:c r="D330" s="24" t="n">
        <x:v>6</x:v>
      </x:c>
      <x:c r="E330" s="24" t="str">
        <x:v>ATEL</x:v>
      </x:c>
      <x:c r="F330" s="24" t="str">
        <x:v>Capacitación</x:v>
      </x:c>
      <x:c r="G330" s="24" t="str">
        <x:v>Interno</x:v>
      </x:c>
      <x:c r="H330" s="24" t="str">
        <x:v>Líderes</x:v>
      </x:c>
      <x:c r="I330" s="24" t="str">
        <x:v>Ábrego</x:v>
      </x:c>
      <x:c r="J330" s="11" t="str">
        <x:v>ATEL y reporte oportuno</x:v>
      </x:c>
      <x:c r="K330" s="11" t="str">
        <x:v>Garantizar la oportunidad y calidad del reporte de accidentes de trabajo y enfermedad laboral.</x:v>
      </x:c>
      <x:c r="L330" s="24" t="n">
        <x:v>2</x:v>
      </x:c>
      <x:c r="M330" s="58" t="n">
        <x:v>45822</x:v>
      </x:c>
      <x:c r="N330" s="24" t="n">
        <x:v>2.5</x:v>
      </x:c>
      <x:c r="O330" s="24" t="n">
        <x:v>26</x:v>
      </x:c>
      <x:c r="P330" s="24" t="n">
        <x:v>20</x:v>
      </x:c>
      <x:c r="Q330" s="64" t="n">
        <x:f>IFERROR(P330/O330,0)</x:f>
        <x:v>0.7692307692307693</x:v>
      </x:c>
      <x:c r="R330" s="24" t="str">
        <x:v>Caso práctico</x:v>
      </x:c>
      <x:c r="S330" s="70" t="n">
        <x:v>4.9</x:v>
      </x:c>
      <x:c r="T330" s="24" t="str">
        <x:f>IF(XOR(X330="Reprogramada",X330="Cancelada"),"",IF(AND(Q330&gt;=0.8,S330&gt;=4),"Sí",IF(AND(Q330&gt;=0.65,S330&gt;=3.5),"Parcial","No")))</x:f>
        <x:v>Parcial</x:v>
      </x:c>
      <x:c r="U330" s="24" t="str">
        <x:v>Carlos Felipe Parada Ramón</x:v>
      </x:c>
      <x:c r="V330" s="11" t="str">
        <x:v>Humano (facilitador interno) / Logístico / Material de apoyo</x:v>
      </x:c>
      <x:c r="W330" s="11" t="str">
        <x:v>Camila Andrea Galván</x:v>
      </x:c>
      <x:c r="X330" s="11" t="str">
        <x:v>Ejecutada</x:v>
      </x:c>
      <x:c r="Y330" s="52" t="str">
        <x:v>Actividad ejecutada satisfactoriamente; mantener evidencia y seguimiento.</x:v>
      </x:c>
    </x:row>
    <x:row r="331">
      <x:c r="A331" s="23" t="n">
        <x:v>330</x:v>
      </x:c>
      <x:c r="B331" s="24" t="n">
        <x:v>2025</x:v>
      </x:c>
      <x:c r="C331" s="24" t="str">
        <x:v>Junio</x:v>
      </x:c>
      <x:c r="D331" s="24" t="n">
        <x:v>6</x:v>
      </x:c>
      <x:c r="E331" s="24" t="str">
        <x:v>ATEL</x:v>
      </x:c>
      <x:c r="F331" s="24" t="str">
        <x:v>Capacitación</x:v>
      </x:c>
      <x:c r="G331" s="24" t="str">
        <x:v>Interno</x:v>
      </x:c>
      <x:c r="H331" s="24" t="str">
        <x:v>Líderes</x:v>
      </x:c>
      <x:c r="I331" s="24" t="str">
        <x:v>Pamplona</x:v>
      </x:c>
      <x:c r="J331" s="11" t="str">
        <x:v>ATEL y reporte oportuno</x:v>
      </x:c>
      <x:c r="K331" s="11" t="str">
        <x:v>Garantizar la oportunidad y calidad del reporte de accidentes de trabajo y enfermedad laboral.</x:v>
      </x:c>
      <x:c r="L331" s="24" t="n">
        <x:v>2</x:v>
      </x:c>
      <x:c r="M331" s="58"/>
      <x:c r="N331" s="24"/>
      <x:c r="O331" s="24" t="n">
        <x:v>29</x:v>
      </x:c>
      <x:c r="P331" s="24"/>
      <x:c r="Q331" s="64" t="n">
        <x:f>IFERROR(P331/O331,0)</x:f>
        <x:v>0</x:v>
      </x:c>
      <x:c r="R331" s="24" t="str">
        <x:v>Caso práctico</x:v>
      </x:c>
      <x:c r="S331" s="70"/>
      <x:c r="T331" s="24" t="str">
        <x:f>IF(XOR(X331="Reprogramada",X331="Cancelada"),"",IF(AND(Q331&gt;=0.8,S331&gt;=4),"Sí",IF(AND(Q331&gt;=0.65,S331&gt;=3.5),"Parcial","No")))</x:f>
      </x:c>
      <x:c r="U331" s="24" t="str">
        <x:v>Carlos Felipe Parada Ramón</x:v>
      </x:c>
      <x:c r="V331" s="11" t="str">
        <x:v>Humano (facilitador interno) / Logístico / Material de apoyo</x:v>
      </x:c>
      <x:c r="W331" s="11" t="str">
        <x:v>Jesús Guerrero</x:v>
      </x:c>
      <x:c r="X331" s="11" t="str">
        <x:v>Reprogramada</x:v>
      </x:c>
      <x:c r="Y331" s="52" t="str">
        <x:v>Actividad reprogramada por operación, disponibilidad del facilitador o ajustes logísticos.</x:v>
      </x:c>
    </x:row>
    <x:row r="332">
      <x:c r="A332" s="23" t="n">
        <x:v>331</x:v>
      </x:c>
      <x:c r="B332" s="24" t="n">
        <x:v>2025</x:v>
      </x:c>
      <x:c r="C332" s="24" t="str">
        <x:v>Julio</x:v>
      </x:c>
      <x:c r="D332" s="24" t="n">
        <x:v>7</x:v>
      </x:c>
      <x:c r="E332" s="24" t="str">
        <x:v>PESV</x:v>
      </x:c>
      <x:c r="F332" s="24" t="str">
        <x:v>Capacitación</x:v>
      </x:c>
      <x:c r="G332" s="24" t="str">
        <x:v>Interno</x:v>
      </x:c>
      <x:c r="H332" s="24" t="str">
        <x:v>Todos</x:v>
      </x:c>
      <x:c r="I332" s="24" t="str">
        <x:v>Cúcuta</x:v>
      </x:c>
      <x:c r="J332" s="11" t="str">
        <x:v>Movilidad segura del trabajador peatón y conductor</x:v>
      </x:c>
      <x:c r="K332" s="11" t="str">
        <x:v>Fortalecer conductas seguras en la movilidad laboral y prevención del riesgo vial.</x:v>
      </x:c>
      <x:c r="L332" s="24" t="n">
        <x:v>2</x:v>
      </x:c>
      <x:c r="M332" s="58" t="n">
        <x:v>45854</x:v>
      </x:c>
      <x:c r="N332" s="24" t="n">
        <x:v>2</x:v>
      </x:c>
      <x:c r="O332" s="24" t="n">
        <x:v>83</x:v>
      </x:c>
      <x:c r="P332" s="24" t="n">
        <x:v>75</x:v>
      </x:c>
      <x:c r="Q332" s="64" t="n">
        <x:f>IFERROR(P332/O332,0)</x:f>
        <x:v>0.9036144578313253</x:v>
      </x:c>
      <x:c r="R332" s="24" t="str">
        <x:v>Evaluación escrita</x:v>
      </x:c>
      <x:c r="S332" s="70" t="n">
        <x:v>4.3</x:v>
      </x:c>
      <x:c r="T332" s="24" t="str">
        <x:f>IF(XOR(X332="Reprogramada",X332="Cancelada"),"",IF(AND(Q332&gt;=0.8,S332&gt;=4),"Sí",IF(AND(Q332&gt;=0.65,S332&gt;=3.5),"Parcial","No")))</x:f>
        <x:v>Sí</x:v>
      </x:c>
      <x:c r="U332" s="24" t="str">
        <x:v>Jesús Guerrero</x:v>
      </x:c>
      <x:c r="V332" s="11" t="str">
        <x:v>Humano (facilitador interno) / Logístico / Material de apoyo</x:v>
      </x:c>
      <x:c r="W332" s="11" t="str">
        <x:v>Carlos Felipe Parada Ramón</x:v>
      </x:c>
      <x:c r="X332" s="11" t="str">
        <x:v>Ejecutada</x:v>
      </x:c>
      <x:c r="Y332" s="52" t="str">
        <x:v>Actividad ejecutada satisfactoriamente; mantener evidencia y seguimiento.</x:v>
      </x:c>
    </x:row>
    <x:row r="333">
      <x:c r="A333" s="23" t="n">
        <x:v>332</x:v>
      </x:c>
      <x:c r="B333" s="24" t="n">
        <x:v>2025</x:v>
      </x:c>
      <x:c r="C333" s="24" t="str">
        <x:v>Julio</x:v>
      </x:c>
      <x:c r="D333" s="24" t="n">
        <x:v>7</x:v>
      </x:c>
      <x:c r="E333" s="24" t="str">
        <x:v>PESV</x:v>
      </x:c>
      <x:c r="F333" s="24" t="str">
        <x:v>Capacitación</x:v>
      </x:c>
      <x:c r="G333" s="24" t="str">
        <x:v>Interno</x:v>
      </x:c>
      <x:c r="H333" s="24" t="str">
        <x:v>Todos</x:v>
      </x:c>
      <x:c r="I333" s="24" t="str">
        <x:v>Barrancabermeja</x:v>
      </x:c>
      <x:c r="J333" s="11" t="str">
        <x:v>Movilidad segura del trabajador peatón y conductor</x:v>
      </x:c>
      <x:c r="K333" s="11" t="str">
        <x:v>Fortalecer conductas seguras en la movilidad laboral y prevención del riesgo vial.</x:v>
      </x:c>
      <x:c r="L333" s="24" t="n">
        <x:v>2</x:v>
      </x:c>
      <x:c r="M333" s="58" t="n">
        <x:v>45863</x:v>
      </x:c>
      <x:c r="N333" s="24" t="n">
        <x:v>2</x:v>
      </x:c>
      <x:c r="O333" s="24" t="n">
        <x:v>56</x:v>
      </x:c>
      <x:c r="P333" s="24" t="n">
        <x:v>49</x:v>
      </x:c>
      <x:c r="Q333" s="64" t="n">
        <x:f>IFERROR(P333/O333,0)</x:f>
        <x:v>0.875</x:v>
      </x:c>
      <x:c r="R333" s="24" t="str">
        <x:v>Evaluación escrita</x:v>
      </x:c>
      <x:c r="S333" s="70" t="n">
        <x:v>4.9</x:v>
      </x:c>
      <x:c r="T333" s="24" t="str">
        <x:f>IF(XOR(X333="Reprogramada",X333="Cancelada"),"",IF(AND(Q333&gt;=0.8,S333&gt;=4),"Sí",IF(AND(Q333&gt;=0.65,S333&gt;=3.5),"Parcial","No")))</x:f>
        <x:v>Sí</x:v>
      </x:c>
      <x:c r="U333" s="24" t="str">
        <x:v>Jesús Guerrero</x:v>
      </x:c>
      <x:c r="V333" s="11" t="str">
        <x:v>Humano (facilitador interno) / Logístico / Material de apoyo</x:v>
      </x:c>
      <x:c r="W333" s="11" t="str">
        <x:v>Camila Andrea Galván</x:v>
      </x:c>
      <x:c r="X333" s="11" t="str">
        <x:v>Ejecutada</x:v>
      </x:c>
      <x:c r="Y333" s="52" t="str">
        <x:v>Actividad ejecutada satisfactoriamente; mantener evidencia y seguimiento.</x:v>
      </x:c>
    </x:row>
    <x:row r="334">
      <x:c r="A334" s="23" t="n">
        <x:v>333</x:v>
      </x:c>
      <x:c r="B334" s="24" t="n">
        <x:v>2025</x:v>
      </x:c>
      <x:c r="C334" s="24" t="str">
        <x:v>Julio</x:v>
      </x:c>
      <x:c r="D334" s="24" t="n">
        <x:v>7</x:v>
      </x:c>
      <x:c r="E334" s="24" t="str">
        <x:v>PESV</x:v>
      </x:c>
      <x:c r="F334" s="24" t="str">
        <x:v>Capacitación</x:v>
      </x:c>
      <x:c r="G334" s="24" t="str">
        <x:v>Interno</x:v>
      </x:c>
      <x:c r="H334" s="24" t="str">
        <x:v>Todos</x:v>
      </x:c>
      <x:c r="I334" s="24" t="str">
        <x:v>Ocaña</x:v>
      </x:c>
      <x:c r="J334" s="11" t="str">
        <x:v>Movilidad segura del trabajador peatón y conductor</x:v>
      </x:c>
      <x:c r="K334" s="11" t="str">
        <x:v>Fortalecer conductas seguras en la movilidad laboral y prevención del riesgo vial.</x:v>
      </x:c>
      <x:c r="L334" s="24" t="n">
        <x:v>2</x:v>
      </x:c>
      <x:c r="M334" s="58" t="n">
        <x:v>45857</x:v>
      </x:c>
      <x:c r="N334" s="24" t="n">
        <x:v>1.5</x:v>
      </x:c>
      <x:c r="O334" s="24" t="n">
        <x:v>39</x:v>
      </x:c>
      <x:c r="P334" s="24" t="n">
        <x:v>36</x:v>
      </x:c>
      <x:c r="Q334" s="64" t="n">
        <x:f>IFERROR(P334/O334,0)</x:f>
        <x:v>0.9230769230769231</x:v>
      </x:c>
      <x:c r="R334" s="24" t="str">
        <x:v>Evaluación escrita</x:v>
      </x:c>
      <x:c r="S334" s="70" t="n">
        <x:v>4.8</x:v>
      </x:c>
      <x:c r="T334" s="24" t="str">
        <x:f>IF(XOR(X334="Reprogramada",X334="Cancelada"),"",IF(AND(Q334&gt;=0.8,S334&gt;=4),"Sí",IF(AND(Q334&gt;=0.65,S334&gt;=3.5),"Parcial","No")))</x:f>
        <x:v>Sí</x:v>
      </x:c>
      <x:c r="U334" s="24" t="str">
        <x:v>Jesús Guerrero</x:v>
      </x:c>
      <x:c r="V334" s="11" t="str">
        <x:v>Humano (facilitador interno) / Logístico / Material de apoyo</x:v>
      </x:c>
      <x:c r="W334" s="11" t="str">
        <x:v>Jesús Guerrero</x:v>
      </x:c>
      <x:c r="X334" s="11" t="str">
        <x:v>Ejecutada</x:v>
      </x:c>
      <x:c r="Y334" s="52" t="str">
        <x:v>Actividad ejecutada satisfactoriamente; mantener evidencia y seguimiento.</x:v>
      </x:c>
    </x:row>
    <x:row r="335">
      <x:c r="A335" s="23" t="n">
        <x:v>334</x:v>
      </x:c>
      <x:c r="B335" s="24" t="n">
        <x:v>2025</x:v>
      </x:c>
      <x:c r="C335" s="24" t="str">
        <x:v>Julio</x:v>
      </x:c>
      <x:c r="D335" s="24" t="n">
        <x:v>7</x:v>
      </x:c>
      <x:c r="E335" s="24" t="str">
        <x:v>PESV</x:v>
      </x:c>
      <x:c r="F335" s="24" t="str">
        <x:v>Capacitación</x:v>
      </x:c>
      <x:c r="G335" s="24" t="str">
        <x:v>Interno</x:v>
      </x:c>
      <x:c r="H335" s="24" t="str">
        <x:v>Todos</x:v>
      </x:c>
      <x:c r="I335" s="24" t="str">
        <x:v>Girón</x:v>
      </x:c>
      <x:c r="J335" s="11" t="str">
        <x:v>Movilidad segura del trabajador peatón y conductor</x:v>
      </x:c>
      <x:c r="K335" s="11" t="str">
        <x:v>Fortalecer conductas seguras en la movilidad laboral y prevención del riesgo vial.</x:v>
      </x:c>
      <x:c r="L335" s="24" t="n">
        <x:v>2</x:v>
      </x:c>
      <x:c r="M335" s="58" t="n">
        <x:v>45859</x:v>
      </x:c>
      <x:c r="N335" s="24" t="n">
        <x:v>1.5</x:v>
      </x:c>
      <x:c r="O335" s="24" t="n">
        <x:v>44</x:v>
      </x:c>
      <x:c r="P335" s="24" t="n">
        <x:v>36</x:v>
      </x:c>
      <x:c r="Q335" s="64" t="n">
        <x:f>IFERROR(P335/O335,0)</x:f>
        <x:v>0.8181818181818182</x:v>
      </x:c>
      <x:c r="R335" s="24" t="str">
        <x:v>Evaluación escrita</x:v>
      </x:c>
      <x:c r="S335" s="70" t="n">
        <x:v>4.7</x:v>
      </x:c>
      <x:c r="T335" s="24" t="str">
        <x:f>IF(XOR(X335="Reprogramada",X335="Cancelada"),"",IF(AND(Q335&gt;=0.8,S335&gt;=4),"Sí",IF(AND(Q335&gt;=0.65,S335&gt;=3.5),"Parcial","No")))</x:f>
        <x:v>Sí</x:v>
      </x:c>
      <x:c r="U335" s="24" t="str">
        <x:v>Jesús Guerrero</x:v>
      </x:c>
      <x:c r="V335" s="11" t="str">
        <x:v>Humano (facilitador interno) / Logístico / Material de apoyo</x:v>
      </x:c>
      <x:c r="W335" s="11" t="str">
        <x:v>Carlos Felipe Parada Ramón</x:v>
      </x:c>
      <x:c r="X335" s="11" t="str">
        <x:v>Ejecutada</x:v>
      </x:c>
      <x:c r="Y335" s="52" t="str">
        <x:v>Actividad ejecutada satisfactoriamente; mantener evidencia y seguimiento.</x:v>
      </x:c>
    </x:row>
    <x:row r="336">
      <x:c r="A336" s="23" t="n">
        <x:v>335</x:v>
      </x:c>
      <x:c r="B336" s="24" t="n">
        <x:v>2025</x:v>
      </x:c>
      <x:c r="C336" s="24" t="str">
        <x:v>Julio</x:v>
      </x:c>
      <x:c r="D336" s="24" t="n">
        <x:v>7</x:v>
      </x:c>
      <x:c r="E336" s="24" t="str">
        <x:v>PESV</x:v>
      </x:c>
      <x:c r="F336" s="24" t="str">
        <x:v>Capacitación</x:v>
      </x:c>
      <x:c r="G336" s="24" t="str">
        <x:v>Interno</x:v>
      </x:c>
      <x:c r="H336" s="24" t="str">
        <x:v>Todos</x:v>
      </x:c>
      <x:c r="I336" s="24" t="str">
        <x:v>Valledupar</x:v>
      </x:c>
      <x:c r="J336" s="11" t="str">
        <x:v>Movilidad segura del trabajador peatón y conductor</x:v>
      </x:c>
      <x:c r="K336" s="11" t="str">
        <x:v>Fortalecer conductas seguras en la movilidad laboral y prevención del riesgo vial.</x:v>
      </x:c>
      <x:c r="L336" s="24" t="n">
        <x:v>2</x:v>
      </x:c>
      <x:c r="M336" s="58"/>
      <x:c r="N336" s="24" t="n">
        <x:v>0</x:v>
      </x:c>
      <x:c r="O336" s="24" t="n">
        <x:v>50</x:v>
      </x:c>
      <x:c r="P336" s="24"/>
      <x:c r="Q336" s="64" t="n">
        <x:f>IFERROR(P336/O336,0)</x:f>
        <x:v>0</x:v>
      </x:c>
      <x:c r="R336" s="24" t="str">
        <x:v>Evaluación escrita</x:v>
      </x:c>
      <x:c r="S336" s="70"/>
      <x:c r="T336" s="24" t="str">
        <x:f>IF(XOR(X336="Reprogramada",X336="Cancelada"),"",IF(AND(Q336&gt;=0.8,S336&gt;=4),"Sí",IF(AND(Q336&gt;=0.65,S336&gt;=3.5),"Parcial","No")))</x:f>
      </x:c>
      <x:c r="U336" s="24" t="str">
        <x:v>Jesús Guerrero</x:v>
      </x:c>
      <x:c r="V336" s="11" t="str">
        <x:v>Humano (facilitador interno) / Logístico / Material de apoyo</x:v>
      </x:c>
      <x:c r="W336" s="11" t="str">
        <x:v>Camila Andrea Galván</x:v>
      </x:c>
      <x:c r="X336" s="11" t="str">
        <x:v>Cancelada</x:v>
      </x:c>
      <x:c r="Y336" s="52" t="str">
        <x:v>Actividad cancelada por reorganización operativa o priorización de otras necesidades.</x:v>
      </x:c>
    </x:row>
    <x:row r="337">
      <x:c r="A337" s="23" t="n">
        <x:v>336</x:v>
      </x:c>
      <x:c r="B337" s="24" t="n">
        <x:v>2025</x:v>
      </x:c>
      <x:c r="C337" s="24" t="str">
        <x:v>Julio</x:v>
      </x:c>
      <x:c r="D337" s="24" t="n">
        <x:v>7</x:v>
      </x:c>
      <x:c r="E337" s="24" t="str">
        <x:v>PESV</x:v>
      </x:c>
      <x:c r="F337" s="24" t="str">
        <x:v>Capacitación</x:v>
      </x:c>
      <x:c r="G337" s="24" t="str">
        <x:v>Interno</x:v>
      </x:c>
      <x:c r="H337" s="24" t="str">
        <x:v>Todos</x:v>
      </x:c>
      <x:c r="I337" s="24" t="str">
        <x:v>Arauca</x:v>
      </x:c>
      <x:c r="J337" s="11" t="str">
        <x:v>Movilidad segura del trabajador peatón y conductor</x:v>
      </x:c>
      <x:c r="K337" s="11" t="str">
        <x:v>Fortalecer conductas seguras en la movilidad laboral y prevención del riesgo vial.</x:v>
      </x:c>
      <x:c r="L337" s="24" t="n">
        <x:v>2</x:v>
      </x:c>
      <x:c r="M337" s="58" t="n">
        <x:v>45861</x:v>
      </x:c>
      <x:c r="N337" s="24" t="n">
        <x:v>2</x:v>
      </x:c>
      <x:c r="O337" s="24" t="n">
        <x:v>31</x:v>
      </x:c>
      <x:c r="P337" s="24" t="n">
        <x:v>25</x:v>
      </x:c>
      <x:c r="Q337" s="64" t="n">
        <x:f>IFERROR(P337/O337,0)</x:f>
        <x:v>0.8064516129032258</x:v>
      </x:c>
      <x:c r="R337" s="24" t="str">
        <x:v>Evaluación escrita</x:v>
      </x:c>
      <x:c r="S337" s="70" t="n">
        <x:v>4.3</x:v>
      </x:c>
      <x:c r="T337" s="24" t="str">
        <x:f>IF(XOR(X337="Reprogramada",X337="Cancelada"),"",IF(AND(Q337&gt;=0.8,S337&gt;=4),"Sí",IF(AND(Q337&gt;=0.65,S337&gt;=3.5),"Parcial","No")))</x:f>
        <x:v>Sí</x:v>
      </x:c>
      <x:c r="U337" s="24" t="str">
        <x:v>Jesús Guerrero</x:v>
      </x:c>
      <x:c r="V337" s="11" t="str">
        <x:v>Humano (facilitador interno) / Logístico / Material de apoyo</x:v>
      </x:c>
      <x:c r="W337" s="11" t="str">
        <x:v>Jesús Guerrero</x:v>
      </x:c>
      <x:c r="X337" s="11" t="str">
        <x:v>Ejecutada</x:v>
      </x:c>
      <x:c r="Y337" s="52" t="str">
        <x:v>Actividad ejecutada satisfactoriamente; mantener evidencia y seguimiento.</x:v>
      </x:c>
    </x:row>
    <x:row r="338">
      <x:c r="A338" s="23" t="n">
        <x:v>337</x:v>
      </x:c>
      <x:c r="B338" s="24" t="n">
        <x:v>2025</x:v>
      </x:c>
      <x:c r="C338" s="24" t="str">
        <x:v>Julio</x:v>
      </x:c>
      <x:c r="D338" s="24" t="n">
        <x:v>7</x:v>
      </x:c>
      <x:c r="E338" s="24" t="str">
        <x:v>PESV</x:v>
      </x:c>
      <x:c r="F338" s="24" t="str">
        <x:v>Capacitación</x:v>
      </x:c>
      <x:c r="G338" s="24" t="str">
        <x:v>Interno</x:v>
      </x:c>
      <x:c r="H338" s="24" t="str">
        <x:v>Todos</x:v>
      </x:c>
      <x:c r="I338" s="24" t="str">
        <x:v>Bogotá</x:v>
      </x:c>
      <x:c r="J338" s="11" t="str">
        <x:v>Movilidad segura del trabajador peatón y conductor</x:v>
      </x:c>
      <x:c r="K338" s="11" t="str">
        <x:v>Fortalecer conductas seguras en la movilidad laboral y prevención del riesgo vial.</x:v>
      </x:c>
      <x:c r="L338" s="24" t="n">
        <x:v>2</x:v>
      </x:c>
      <x:c r="M338" s="58" t="n">
        <x:v>45860</x:v>
      </x:c>
      <x:c r="N338" s="24" t="n">
        <x:v>2</x:v>
      </x:c>
      <x:c r="O338" s="24" t="n">
        <x:v>67</x:v>
      </x:c>
      <x:c r="P338" s="24" t="n">
        <x:v>56</x:v>
      </x:c>
      <x:c r="Q338" s="64" t="n">
        <x:f>IFERROR(P338/O338,0)</x:f>
        <x:v>0.835820895522388</x:v>
      </x:c>
      <x:c r="R338" s="24" t="str">
        <x:v>Evaluación escrita</x:v>
      </x:c>
      <x:c r="S338" s="70" t="n">
        <x:v>4.4</x:v>
      </x:c>
      <x:c r="T338" s="24" t="str">
        <x:f>IF(XOR(X338="Reprogramada",X338="Cancelada"),"",IF(AND(Q338&gt;=0.8,S338&gt;=4),"Sí",IF(AND(Q338&gt;=0.65,S338&gt;=3.5),"Parcial","No")))</x:f>
        <x:v>Sí</x:v>
      </x:c>
      <x:c r="U338" s="24" t="str">
        <x:v>Jesús Guerrero</x:v>
      </x:c>
      <x:c r="V338" s="11" t="str">
        <x:v>Humano (facilitador interno) / Logístico / Material de apoyo</x:v>
      </x:c>
      <x:c r="W338" s="11" t="str">
        <x:v>Carlos Felipe Parada Ramón</x:v>
      </x:c>
      <x:c r="X338" s="11" t="str">
        <x:v>Ejecutada</x:v>
      </x:c>
      <x:c r="Y338" s="52" t="str">
        <x:v>Actividad ejecutada satisfactoriamente; mantener evidencia y seguimiento.</x:v>
      </x:c>
    </x:row>
    <x:row r="339">
      <x:c r="A339" s="23" t="n">
        <x:v>338</x:v>
      </x:c>
      <x:c r="B339" s="24" t="n">
        <x:v>2025</x:v>
      </x:c>
      <x:c r="C339" s="24" t="str">
        <x:v>Julio</x:v>
      </x:c>
      <x:c r="D339" s="24" t="n">
        <x:v>7</x:v>
      </x:c>
      <x:c r="E339" s="24" t="str">
        <x:v>PESV</x:v>
      </x:c>
      <x:c r="F339" s="24" t="str">
        <x:v>Capacitación</x:v>
      </x:c>
      <x:c r="G339" s="24" t="str">
        <x:v>Interno</x:v>
      </x:c>
      <x:c r="H339" s="24" t="str">
        <x:v>Todos</x:v>
      </x:c>
      <x:c r="I339" s="24" t="str">
        <x:v>Tibú</x:v>
      </x:c>
      <x:c r="J339" s="11" t="str">
        <x:v>Movilidad segura del trabajador peatón y conductor</x:v>
      </x:c>
      <x:c r="K339" s="11" t="str">
        <x:v>Fortalecer conductas seguras en la movilidad laboral y prevención del riesgo vial.</x:v>
      </x:c>
      <x:c r="L339" s="24" t="n">
        <x:v>2</x:v>
      </x:c>
      <x:c r="M339" s="58" t="n">
        <x:v>45855</x:v>
      </x:c>
      <x:c r="N339" s="24" t="n">
        <x:v>2</x:v>
      </x:c>
      <x:c r="O339" s="24" t="n">
        <x:v>33</x:v>
      </x:c>
      <x:c r="P339" s="24" t="n">
        <x:v>31</x:v>
      </x:c>
      <x:c r="Q339" s="64" t="n">
        <x:f>IFERROR(P339/O339,0)</x:f>
        <x:v>0.9393939393939394</x:v>
      </x:c>
      <x:c r="R339" s="24" t="str">
        <x:v>Evaluación escrita</x:v>
      </x:c>
      <x:c r="S339" s="70" t="n">
        <x:v>4.8</x:v>
      </x:c>
      <x:c r="T339" s="24" t="str">
        <x:f>IF(XOR(X339="Reprogramada",X339="Cancelada"),"",IF(AND(Q339&gt;=0.8,S339&gt;=4),"Sí",IF(AND(Q339&gt;=0.65,S339&gt;=3.5),"Parcial","No")))</x:f>
        <x:v>Sí</x:v>
      </x:c>
      <x:c r="U339" s="24" t="str">
        <x:v>Jesús Guerrero</x:v>
      </x:c>
      <x:c r="V339" s="11" t="str">
        <x:v>Humano (facilitador interno) / Logístico / Material de apoyo</x:v>
      </x:c>
      <x:c r="W339" s="11" t="str">
        <x:v>Camila Andrea Galván</x:v>
      </x:c>
      <x:c r="X339" s="11" t="str">
        <x:v>Ejecutada</x:v>
      </x:c>
      <x:c r="Y339" s="52" t="str">
        <x:v>Actividad ejecutada satisfactoriamente; mantener evidencia y seguimiento.</x:v>
      </x:c>
    </x:row>
    <x:row r="340">
      <x:c r="A340" s="23" t="n">
        <x:v>339</x:v>
      </x:c>
      <x:c r="B340" s="24" t="n">
        <x:v>2025</x:v>
      </x:c>
      <x:c r="C340" s="24" t="str">
        <x:v>Julio</x:v>
      </x:c>
      <x:c r="D340" s="24" t="n">
        <x:v>7</x:v>
      </x:c>
      <x:c r="E340" s="24" t="str">
        <x:v>PESV</x:v>
      </x:c>
      <x:c r="F340" s="24" t="str">
        <x:v>Capacitación</x:v>
      </x:c>
      <x:c r="G340" s="24" t="str">
        <x:v>Interno</x:v>
      </x:c>
      <x:c r="H340" s="24" t="str">
        <x:v>Todos</x:v>
      </x:c>
      <x:c r="I340" s="24" t="str">
        <x:v>Medellín</x:v>
      </x:c>
      <x:c r="J340" s="11" t="str">
        <x:v>Movilidad segura del trabajador peatón y conductor</x:v>
      </x:c>
      <x:c r="K340" s="11" t="str">
        <x:v>Fortalecer conductas seguras en la movilidad laboral y prevención del riesgo vial.</x:v>
      </x:c>
      <x:c r="L340" s="24" t="n">
        <x:v>2</x:v>
      </x:c>
      <x:c r="M340" s="58" t="n">
        <x:v>45860</x:v>
      </x:c>
      <x:c r="N340" s="24" t="n">
        <x:v>2</x:v>
      </x:c>
      <x:c r="O340" s="24" t="n">
        <x:v>62</x:v>
      </x:c>
      <x:c r="P340" s="24" t="n">
        <x:v>53</x:v>
      </x:c>
      <x:c r="Q340" s="64" t="n">
        <x:f>IFERROR(P340/O340,0)</x:f>
        <x:v>0.8548387096774194</x:v>
      </x:c>
      <x:c r="R340" s="24" t="str">
        <x:v>Evaluación escrita</x:v>
      </x:c>
      <x:c r="S340" s="70" t="n">
        <x:v>4.5</x:v>
      </x:c>
      <x:c r="T340" s="24" t="str">
        <x:f>IF(XOR(X340="Reprogramada",X340="Cancelada"),"",IF(AND(Q340&gt;=0.8,S340&gt;=4),"Sí",IF(AND(Q340&gt;=0.65,S340&gt;=3.5),"Parcial","No")))</x:f>
        <x:v>Sí</x:v>
      </x:c>
      <x:c r="U340" s="24" t="str">
        <x:v>Jesús Guerrero</x:v>
      </x:c>
      <x:c r="V340" s="11" t="str">
        <x:v>Humano (facilitador interno) / Logístico / Material de apoyo</x:v>
      </x:c>
      <x:c r="W340" s="11" t="str">
        <x:v>Jesús Guerrero</x:v>
      </x:c>
      <x:c r="X340" s="11" t="str">
        <x:v>Ejecutada</x:v>
      </x:c>
      <x:c r="Y340" s="52" t="str">
        <x:v>Actividad ejecutada satisfactoriamente; mantener evidencia y seguimiento.</x:v>
      </x:c>
    </x:row>
    <x:row r="341">
      <x:c r="A341" s="23" t="n">
        <x:v>340</x:v>
      </x:c>
      <x:c r="B341" s="24" t="n">
        <x:v>2025</x:v>
      </x:c>
      <x:c r="C341" s="24" t="str">
        <x:v>Julio</x:v>
      </x:c>
      <x:c r="D341" s="24" t="n">
        <x:v>7</x:v>
      </x:c>
      <x:c r="E341" s="24" t="str">
        <x:v>PESV</x:v>
      </x:c>
      <x:c r="F341" s="24" t="str">
        <x:v>Capacitación</x:v>
      </x:c>
      <x:c r="G341" s="24" t="str">
        <x:v>Interno</x:v>
      </x:c>
      <x:c r="H341" s="24" t="str">
        <x:v>Todos</x:v>
      </x:c>
      <x:c r="I341" s="24" t="str">
        <x:v>Ábrego</x:v>
      </x:c>
      <x:c r="J341" s="11" t="str">
        <x:v>Movilidad segura del trabajador peatón y conductor</x:v>
      </x:c>
      <x:c r="K341" s="11" t="str">
        <x:v>Fortalecer conductas seguras en la movilidad laboral y prevención del riesgo vial.</x:v>
      </x:c>
      <x:c r="L341" s="24" t="n">
        <x:v>2</x:v>
      </x:c>
      <x:c r="M341" s="58" t="n">
        <x:v>45859</x:v>
      </x:c>
      <x:c r="N341" s="24" t="n">
        <x:v>2</x:v>
      </x:c>
      <x:c r="O341" s="24" t="n">
        <x:v>26</x:v>
      </x:c>
      <x:c r="P341" s="24" t="n">
        <x:v>22</x:v>
      </x:c>
      <x:c r="Q341" s="64" t="n">
        <x:f>IFERROR(P341/O341,0)</x:f>
        <x:v>0.8461538461538461</x:v>
      </x:c>
      <x:c r="R341" s="24" t="str">
        <x:v>Evaluación escrita</x:v>
      </x:c>
      <x:c r="S341" s="70" t="n">
        <x:v>4.2</x:v>
      </x:c>
      <x:c r="T341" s="24" t="str">
        <x:f>IF(XOR(X341="Reprogramada",X341="Cancelada"),"",IF(AND(Q341&gt;=0.8,S341&gt;=4),"Sí",IF(AND(Q341&gt;=0.65,S341&gt;=3.5),"Parcial","No")))</x:f>
        <x:v>Sí</x:v>
      </x:c>
      <x:c r="U341" s="24" t="str">
        <x:v>Jesús Guerrero</x:v>
      </x:c>
      <x:c r="V341" s="11" t="str">
        <x:v>Humano (facilitador interno) / Logístico / Material de apoyo</x:v>
      </x:c>
      <x:c r="W341" s="11" t="str">
        <x:v>Carlos Felipe Parada Ramón</x:v>
      </x:c>
      <x:c r="X341" s="11" t="str">
        <x:v>Ejecutada</x:v>
      </x:c>
      <x:c r="Y341" s="52" t="str">
        <x:v>Actividad ejecutada satisfactoriamente; mantener evidencia y seguimiento.</x:v>
      </x:c>
    </x:row>
    <x:row r="342">
      <x:c r="A342" s="23" t="n">
        <x:v>341</x:v>
      </x:c>
      <x:c r="B342" s="24" t="n">
        <x:v>2025</x:v>
      </x:c>
      <x:c r="C342" s="24" t="str">
        <x:v>Julio</x:v>
      </x:c>
      <x:c r="D342" s="24" t="n">
        <x:v>7</x:v>
      </x:c>
      <x:c r="E342" s="24" t="str">
        <x:v>PESV</x:v>
      </x:c>
      <x:c r="F342" s="24" t="str">
        <x:v>Capacitación</x:v>
      </x:c>
      <x:c r="G342" s="24" t="str">
        <x:v>Interno</x:v>
      </x:c>
      <x:c r="H342" s="24" t="str">
        <x:v>Todos</x:v>
      </x:c>
      <x:c r="I342" s="24" t="str">
        <x:v>Pamplona</x:v>
      </x:c>
      <x:c r="J342" s="11" t="str">
        <x:v>Movilidad segura del trabajador peatón y conductor</x:v>
      </x:c>
      <x:c r="K342" s="11" t="str">
        <x:v>Fortalecer conductas seguras en la movilidad laboral y prevención del riesgo vial.</x:v>
      </x:c>
      <x:c r="L342" s="24" t="n">
        <x:v>2</x:v>
      </x:c>
      <x:c r="M342" s="58" t="n">
        <x:v>45850</x:v>
      </x:c>
      <x:c r="N342" s="24" t="n">
        <x:v>2.5</x:v>
      </x:c>
      <x:c r="O342" s="24" t="n">
        <x:v>29</x:v>
      </x:c>
      <x:c r="P342" s="24" t="n">
        <x:v>23</x:v>
      </x:c>
      <x:c r="Q342" s="64" t="n">
        <x:f>IFERROR(P342/O342,0)</x:f>
        <x:v>0.7931034482758621</x:v>
      </x:c>
      <x:c r="R342" s="24" t="str">
        <x:v>Evaluación escrita</x:v>
      </x:c>
      <x:c r="S342" s="70" t="n">
        <x:v>4.8</x:v>
      </x:c>
      <x:c r="T342" s="24" t="str">
        <x:f>IF(XOR(X342="Reprogramada",X342="Cancelada"),"",IF(AND(Q342&gt;=0.8,S342&gt;=4),"Sí",IF(AND(Q342&gt;=0.65,S342&gt;=3.5),"Parcial","No")))</x:f>
        <x:v>Parcial</x:v>
      </x:c>
      <x:c r="U342" s="24" t="str">
        <x:v>Jesús Guerrero</x:v>
      </x:c>
      <x:c r="V342" s="11" t="str">
        <x:v>Humano (facilitador interno) / Logístico / Material de apoyo</x:v>
      </x:c>
      <x:c r="W342" s="11" t="str">
        <x:v>Camila Andrea Galván</x:v>
      </x:c>
      <x:c r="X342" s="11" t="str">
        <x:v>Ejecutada</x:v>
      </x:c>
      <x:c r="Y342" s="52" t="str">
        <x:v>Actividad ejecutada satisfactoriamente; mantener evidencia y seguimiento.</x:v>
      </x:c>
    </x:row>
    <x:row r="343">
      <x:c r="A343" s="23" t="n">
        <x:v>342</x:v>
      </x:c>
      <x:c r="B343" s="24" t="n">
        <x:v>2025</x:v>
      </x:c>
      <x:c r="C343" s="24" t="str">
        <x:v>Agosto</x:v>
      </x:c>
      <x:c r="D343" s="24" t="n">
        <x:v>8</x:v>
      </x:c>
      <x:c r="E343" s="24" t="str">
        <x:v>Locativo</x:v>
      </x:c>
      <x:c r="F343" s="24" t="str">
        <x:v>Taller</x:v>
      </x:c>
      <x:c r="G343" s="24" t="str">
        <x:v>Interno</x:v>
      </x:c>
      <x:c r="H343" s="24" t="str">
        <x:v>Operativos</x:v>
      </x:c>
      <x:c r="I343" s="24" t="str">
        <x:v>Cúcuta</x:v>
      </x:c>
      <x:c r="J343" s="11" t="str">
        <x:v>Herramientas manuales, orden y aseo</x:v>
      </x:c>
      <x:c r="K343" s="11" t="str">
        <x:v>Reducir lesiones y eventos derivados del uso inadecuado de herramientas y de condiciones locativas inseguras.</x:v>
      </x:c>
      <x:c r="L343" s="24" t="n">
        <x:v>2</x:v>
      </x:c>
      <x:c r="M343" s="58" t="n">
        <x:v>45890</x:v>
      </x:c>
      <x:c r="N343" s="24" t="n">
        <x:v>1.5</x:v>
      </x:c>
      <x:c r="O343" s="24" t="n">
        <x:v>83</x:v>
      </x:c>
      <x:c r="P343" s="24" t="n">
        <x:v>80</x:v>
      </x:c>
      <x:c r="Q343" s="64" t="n">
        <x:f>IFERROR(P343/O343,0)</x:f>
        <x:v>0.963855421686747</x:v>
      </x:c>
      <x:c r="R343" s="24" t="str">
        <x:v>Observación en puesto</x:v>
      </x:c>
      <x:c r="S343" s="70" t="n">
        <x:v>4.7</x:v>
      </x:c>
      <x:c r="T343" s="24" t="str">
        <x:f>IF(XOR(X343="Reprogramada",X343="Cancelada"),"",IF(AND(Q343&gt;=0.8,S343&gt;=4),"Sí",IF(AND(Q343&gt;=0.65,S343&gt;=3.5),"Parcial","No")))</x:f>
        <x:v>Sí</x:v>
      </x:c>
      <x:c r="U343" s="24" t="str">
        <x:v>Camila Andrea Galván</x:v>
      </x:c>
      <x:c r="V343" s="11" t="str">
        <x:v>Humano (facilitador interno) / Logístico / Material de apoyo</x:v>
      </x:c>
      <x:c r="W343" s="11" t="str">
        <x:v>Jesús Guerrero</x:v>
      </x:c>
      <x:c r="X343" s="11" t="str">
        <x:v>Ejecutada</x:v>
      </x:c>
      <x:c r="Y343" s="52" t="str">
        <x:v>Actividad ejecutada satisfactoriamente; mantener evidencia y seguimiento.</x:v>
      </x:c>
    </x:row>
    <x:row r="344">
      <x:c r="A344" s="23" t="n">
        <x:v>343</x:v>
      </x:c>
      <x:c r="B344" s="24" t="n">
        <x:v>2025</x:v>
      </x:c>
      <x:c r="C344" s="24" t="str">
        <x:v>Agosto</x:v>
      </x:c>
      <x:c r="D344" s="24" t="n">
        <x:v>8</x:v>
      </x:c>
      <x:c r="E344" s="24" t="str">
        <x:v>Locativo</x:v>
      </x:c>
      <x:c r="F344" s="24" t="str">
        <x:v>Taller</x:v>
      </x:c>
      <x:c r="G344" s="24" t="str">
        <x:v>Interno</x:v>
      </x:c>
      <x:c r="H344" s="24" t="str">
        <x:v>Operativos</x:v>
      </x:c>
      <x:c r="I344" s="24" t="str">
        <x:v>Barrancabermeja</x:v>
      </x:c>
      <x:c r="J344" s="11" t="str">
        <x:v>Herramientas manuales, orden y aseo</x:v>
      </x:c>
      <x:c r="K344" s="11" t="str">
        <x:v>Reducir lesiones y eventos derivados del uso inadecuado de herramientas y de condiciones locativas inseguras.</x:v>
      </x:c>
      <x:c r="L344" s="24" t="n">
        <x:v>2</x:v>
      </x:c>
      <x:c r="M344" s="58" t="n">
        <x:v>45884</x:v>
      </x:c>
      <x:c r="N344" s="24" t="n">
        <x:v>2</x:v>
      </x:c>
      <x:c r="O344" s="24" t="n">
        <x:v>56</x:v>
      </x:c>
      <x:c r="P344" s="24" t="n">
        <x:v>47</x:v>
      </x:c>
      <x:c r="Q344" s="64" t="n">
        <x:f>IFERROR(P344/O344,0)</x:f>
        <x:v>0.8392857142857143</x:v>
      </x:c>
      <x:c r="R344" s="24" t="str">
        <x:v>Observación en puesto</x:v>
      </x:c>
      <x:c r="S344" s="70" t="n">
        <x:v>4.9</x:v>
      </x:c>
      <x:c r="T344" s="24" t="str">
        <x:f>IF(XOR(X344="Reprogramada",X344="Cancelada"),"",IF(AND(Q344&gt;=0.8,S344&gt;=4),"Sí",IF(AND(Q344&gt;=0.65,S344&gt;=3.5),"Parcial","No")))</x:f>
        <x:v>Sí</x:v>
      </x:c>
      <x:c r="U344" s="24" t="str">
        <x:v>Camila Andrea Galván</x:v>
      </x:c>
      <x:c r="V344" s="11" t="str">
        <x:v>Humano (facilitador interno) / Logístico / Material de apoyo</x:v>
      </x:c>
      <x:c r="W344" s="11" t="str">
        <x:v>Carlos Felipe Parada Ramón</x:v>
      </x:c>
      <x:c r="X344" s="11" t="str">
        <x:v>Ejecutada</x:v>
      </x:c>
      <x:c r="Y344" s="52" t="str">
        <x:v>Actividad ejecutada satisfactoriamente; mantener evidencia y seguimiento.</x:v>
      </x:c>
    </x:row>
    <x:row r="345">
      <x:c r="A345" s="23" t="n">
        <x:v>344</x:v>
      </x:c>
      <x:c r="B345" s="24" t="n">
        <x:v>2025</x:v>
      </x:c>
      <x:c r="C345" s="24" t="str">
        <x:v>Agosto</x:v>
      </x:c>
      <x:c r="D345" s="24" t="n">
        <x:v>8</x:v>
      </x:c>
      <x:c r="E345" s="24" t="str">
        <x:v>Locativo</x:v>
      </x:c>
      <x:c r="F345" s="24" t="str">
        <x:v>Taller</x:v>
      </x:c>
      <x:c r="G345" s="24" t="str">
        <x:v>Interno</x:v>
      </x:c>
      <x:c r="H345" s="24" t="str">
        <x:v>Operativos</x:v>
      </x:c>
      <x:c r="I345" s="24" t="str">
        <x:v>Ocaña</x:v>
      </x:c>
      <x:c r="J345" s="11" t="str">
        <x:v>Herramientas manuales, orden y aseo</x:v>
      </x:c>
      <x:c r="K345" s="11" t="str">
        <x:v>Reducir lesiones y eventos derivados del uso inadecuado de herramientas y de condiciones locativas inseguras.</x:v>
      </x:c>
      <x:c r="L345" s="24" t="n">
        <x:v>2</x:v>
      </x:c>
      <x:c r="M345" s="58" t="n">
        <x:v>45894</x:v>
      </x:c>
      <x:c r="N345" s="24" t="n">
        <x:v>2</x:v>
      </x:c>
      <x:c r="O345" s="24" t="n">
        <x:v>39</x:v>
      </x:c>
      <x:c r="P345" s="24" t="n">
        <x:v>31</x:v>
      </x:c>
      <x:c r="Q345" s="64" t="n">
        <x:f>IFERROR(P345/O345,0)</x:f>
        <x:v>0.7948717948717948</x:v>
      </x:c>
      <x:c r="R345" s="24" t="str">
        <x:v>Observación en puesto</x:v>
      </x:c>
      <x:c r="S345" s="70" t="n">
        <x:v>4.8</x:v>
      </x:c>
      <x:c r="T345" s="24" t="str">
        <x:f>IF(XOR(X345="Reprogramada",X345="Cancelada"),"",IF(AND(Q345&gt;=0.8,S345&gt;=4),"Sí",IF(AND(Q345&gt;=0.65,S345&gt;=3.5),"Parcial","No")))</x:f>
        <x:v>Parcial</x:v>
      </x:c>
      <x:c r="U345" s="24" t="str">
        <x:v>Camila Andrea Galván</x:v>
      </x:c>
      <x:c r="V345" s="11" t="str">
        <x:v>Humano (facilitador interno) / Logístico / Material de apoyo</x:v>
      </x:c>
      <x:c r="W345" s="11" t="str">
        <x:v>Camila Andrea Galván</x:v>
      </x:c>
      <x:c r="X345" s="11" t="str">
        <x:v>Ejecutada</x:v>
      </x:c>
      <x:c r="Y345" s="52" t="str">
        <x:v>Actividad ejecutada satisfactoriamente; mantener evidencia y seguimiento.</x:v>
      </x:c>
    </x:row>
    <x:row r="346">
      <x:c r="A346" s="23" t="n">
        <x:v>345</x:v>
      </x:c>
      <x:c r="B346" s="24" t="n">
        <x:v>2025</x:v>
      </x:c>
      <x:c r="C346" s="24" t="str">
        <x:v>Agosto</x:v>
      </x:c>
      <x:c r="D346" s="24" t="n">
        <x:v>8</x:v>
      </x:c>
      <x:c r="E346" s="24" t="str">
        <x:v>Locativo</x:v>
      </x:c>
      <x:c r="F346" s="24" t="str">
        <x:v>Taller</x:v>
      </x:c>
      <x:c r="G346" s="24" t="str">
        <x:v>Interno</x:v>
      </x:c>
      <x:c r="H346" s="24" t="str">
        <x:v>Operativos</x:v>
      </x:c>
      <x:c r="I346" s="24" t="str">
        <x:v>Girón</x:v>
      </x:c>
      <x:c r="J346" s="11" t="str">
        <x:v>Herramientas manuales, orden y aseo</x:v>
      </x:c>
      <x:c r="K346" s="11" t="str">
        <x:v>Reducir lesiones y eventos derivados del uso inadecuado de herramientas y de condiciones locativas inseguras.</x:v>
      </x:c>
      <x:c r="L346" s="24" t="n">
        <x:v>2</x:v>
      </x:c>
      <x:c r="M346" s="58" t="n">
        <x:v>45887</x:v>
      </x:c>
      <x:c r="N346" s="24" t="n">
        <x:v>2</x:v>
      </x:c>
      <x:c r="O346" s="24" t="n">
        <x:v>44</x:v>
      </x:c>
      <x:c r="P346" s="24" t="n">
        <x:v>39</x:v>
      </x:c>
      <x:c r="Q346" s="64" t="n">
        <x:f>IFERROR(P346/O346,0)</x:f>
        <x:v>0.8863636363636364</x:v>
      </x:c>
      <x:c r="R346" s="24" t="str">
        <x:v>Observación en puesto</x:v>
      </x:c>
      <x:c r="S346" s="70" t="n">
        <x:v>4.5</x:v>
      </x:c>
      <x:c r="T346" s="24" t="str">
        <x:f>IF(XOR(X346="Reprogramada",X346="Cancelada"),"",IF(AND(Q346&gt;=0.8,S346&gt;=4),"Sí",IF(AND(Q346&gt;=0.65,S346&gt;=3.5),"Parcial","No")))</x:f>
        <x:v>Sí</x:v>
      </x:c>
      <x:c r="U346" s="24" t="str">
        <x:v>Camila Andrea Galván</x:v>
      </x:c>
      <x:c r="V346" s="11" t="str">
        <x:v>Humano (facilitador interno) / Logístico / Material de apoyo</x:v>
      </x:c>
      <x:c r="W346" s="11" t="str">
        <x:v>Jesús Guerrero</x:v>
      </x:c>
      <x:c r="X346" s="11" t="str">
        <x:v>Ejecutada</x:v>
      </x:c>
      <x:c r="Y346" s="52" t="str">
        <x:v>Actividad ejecutada satisfactoriamente; mantener evidencia y seguimiento.</x:v>
      </x:c>
    </x:row>
    <x:row r="347">
      <x:c r="A347" s="23" t="n">
        <x:v>346</x:v>
      </x:c>
      <x:c r="B347" s="24" t="n">
        <x:v>2025</x:v>
      </x:c>
      <x:c r="C347" s="24" t="str">
        <x:v>Agosto</x:v>
      </x:c>
      <x:c r="D347" s="24" t="n">
        <x:v>8</x:v>
      </x:c>
      <x:c r="E347" s="24" t="str">
        <x:v>Locativo</x:v>
      </x:c>
      <x:c r="F347" s="24" t="str">
        <x:v>Taller</x:v>
      </x:c>
      <x:c r="G347" s="24" t="str">
        <x:v>Interno</x:v>
      </x:c>
      <x:c r="H347" s="24" t="str">
        <x:v>Operativos</x:v>
      </x:c>
      <x:c r="I347" s="24" t="str">
        <x:v>Valledupar</x:v>
      </x:c>
      <x:c r="J347" s="11" t="str">
        <x:v>Herramientas manuales, orden y aseo</x:v>
      </x:c>
      <x:c r="K347" s="11" t="str">
        <x:v>Reducir lesiones y eventos derivados del uso inadecuado de herramientas y de condiciones locativas inseguras.</x:v>
      </x:c>
      <x:c r="L347" s="24" t="n">
        <x:v>2</x:v>
      </x:c>
      <x:c r="M347" s="58" t="n">
        <x:v>45883</x:v>
      </x:c>
      <x:c r="N347" s="24" t="n">
        <x:v>2</x:v>
      </x:c>
      <x:c r="O347" s="24" t="n">
        <x:v>50</x:v>
      </x:c>
      <x:c r="P347" s="24" t="n">
        <x:v>46</x:v>
      </x:c>
      <x:c r="Q347" s="64" t="n">
        <x:f>IFERROR(P347/O347,0)</x:f>
        <x:v>0.92</x:v>
      </x:c>
      <x:c r="R347" s="24" t="str">
        <x:v>Observación en puesto</x:v>
      </x:c>
      <x:c r="S347" s="70" t="n">
        <x:v>4.9</x:v>
      </x:c>
      <x:c r="T347" s="24" t="str">
        <x:f>IF(XOR(X347="Reprogramada",X347="Cancelada"),"",IF(AND(Q347&gt;=0.8,S347&gt;=4),"Sí",IF(AND(Q347&gt;=0.65,S347&gt;=3.5),"Parcial","No")))</x:f>
        <x:v>Sí</x:v>
      </x:c>
      <x:c r="U347" s="24" t="str">
        <x:v>Camila Andrea Galván</x:v>
      </x:c>
      <x:c r="V347" s="11" t="str">
        <x:v>Humano (facilitador interno) / Logístico / Material de apoyo</x:v>
      </x:c>
      <x:c r="W347" s="11" t="str">
        <x:v>Carlos Felipe Parada Ramón</x:v>
      </x:c>
      <x:c r="X347" s="11" t="str">
        <x:v>Ejecutada</x:v>
      </x:c>
      <x:c r="Y347" s="52" t="str">
        <x:v>Actividad ejecutada satisfactoriamente; mantener evidencia y seguimiento.</x:v>
      </x:c>
    </x:row>
    <x:row r="348">
      <x:c r="A348" s="23" t="n">
        <x:v>347</x:v>
      </x:c>
      <x:c r="B348" s="24" t="n">
        <x:v>2025</x:v>
      </x:c>
      <x:c r="C348" s="24" t="str">
        <x:v>Agosto</x:v>
      </x:c>
      <x:c r="D348" s="24" t="n">
        <x:v>8</x:v>
      </x:c>
      <x:c r="E348" s="24" t="str">
        <x:v>Locativo</x:v>
      </x:c>
      <x:c r="F348" s="24" t="str">
        <x:v>Taller</x:v>
      </x:c>
      <x:c r="G348" s="24" t="str">
        <x:v>Interno</x:v>
      </x:c>
      <x:c r="H348" s="24" t="str">
        <x:v>Operativos</x:v>
      </x:c>
      <x:c r="I348" s="24" t="str">
        <x:v>Arauca</x:v>
      </x:c>
      <x:c r="J348" s="11" t="str">
        <x:v>Herramientas manuales, orden y aseo</x:v>
      </x:c>
      <x:c r="K348" s="11" t="str">
        <x:v>Reducir lesiones y eventos derivados del uso inadecuado de herramientas y de condiciones locativas inseguras.</x:v>
      </x:c>
      <x:c r="L348" s="24" t="n">
        <x:v>2</x:v>
      </x:c>
      <x:c r="M348" s="58" t="n">
        <x:v>45887</x:v>
      </x:c>
      <x:c r="N348" s="24" t="n">
        <x:v>2</x:v>
      </x:c>
      <x:c r="O348" s="24" t="n">
        <x:v>31</x:v>
      </x:c>
      <x:c r="P348" s="24" t="n">
        <x:v>30</x:v>
      </x:c>
      <x:c r="Q348" s="64" t="n">
        <x:f>IFERROR(P348/O348,0)</x:f>
        <x:v>0.967741935483871</x:v>
      </x:c>
      <x:c r="R348" s="24" t="str">
        <x:v>Observación en puesto</x:v>
      </x:c>
      <x:c r="S348" s="70" t="n">
        <x:v>4.7</x:v>
      </x:c>
      <x:c r="T348" s="24" t="str">
        <x:f>IF(XOR(X348="Reprogramada",X348="Cancelada"),"",IF(AND(Q348&gt;=0.8,S348&gt;=4),"Sí",IF(AND(Q348&gt;=0.65,S348&gt;=3.5),"Parcial","No")))</x:f>
        <x:v>Sí</x:v>
      </x:c>
      <x:c r="U348" s="24" t="str">
        <x:v>Camila Andrea Galván</x:v>
      </x:c>
      <x:c r="V348" s="11" t="str">
        <x:v>Humano (facilitador interno) / Logístico / Material de apoyo</x:v>
      </x:c>
      <x:c r="W348" s="11" t="str">
        <x:v>Camila Andrea Galván</x:v>
      </x:c>
      <x:c r="X348" s="11" t="str">
        <x:v>Ejecutada</x:v>
      </x:c>
      <x:c r="Y348" s="52" t="str">
        <x:v>Actividad ejecutada satisfactoriamente; mantener evidencia y seguimiento.</x:v>
      </x:c>
    </x:row>
    <x:row r="349">
      <x:c r="A349" s="23" t="n">
        <x:v>348</x:v>
      </x:c>
      <x:c r="B349" s="24" t="n">
        <x:v>2025</x:v>
      </x:c>
      <x:c r="C349" s="24" t="str">
        <x:v>Agosto</x:v>
      </x:c>
      <x:c r="D349" s="24" t="n">
        <x:v>8</x:v>
      </x:c>
      <x:c r="E349" s="24" t="str">
        <x:v>Locativo</x:v>
      </x:c>
      <x:c r="F349" s="24" t="str">
        <x:v>Taller</x:v>
      </x:c>
      <x:c r="G349" s="24" t="str">
        <x:v>Interno</x:v>
      </x:c>
      <x:c r="H349" s="24" t="str">
        <x:v>Operativos</x:v>
      </x:c>
      <x:c r="I349" s="24" t="str">
        <x:v>Bogotá</x:v>
      </x:c>
      <x:c r="J349" s="11" t="str">
        <x:v>Herramientas manuales, orden y aseo</x:v>
      </x:c>
      <x:c r="K349" s="11" t="str">
        <x:v>Reducir lesiones y eventos derivados del uso inadecuado de herramientas y de condiciones locativas inseguras.</x:v>
      </x:c>
      <x:c r="L349" s="24" t="n">
        <x:v>2</x:v>
      </x:c>
      <x:c r="M349" s="58"/>
      <x:c r="N349" s="24" t="n">
        <x:v>0</x:v>
      </x:c>
      <x:c r="O349" s="24" t="n">
        <x:v>67</x:v>
      </x:c>
      <x:c r="P349" s="24"/>
      <x:c r="Q349" s="64" t="n">
        <x:f>IFERROR(P349/O349,0)</x:f>
        <x:v>0</x:v>
      </x:c>
      <x:c r="R349" s="24" t="str">
        <x:v>Observación en puesto</x:v>
      </x:c>
      <x:c r="S349" s="70"/>
      <x:c r="T349" s="24" t="str">
        <x:f>IF(XOR(X349="Reprogramada",X349="Cancelada"),"",IF(AND(Q349&gt;=0.8,S349&gt;=4),"Sí",IF(AND(Q349&gt;=0.65,S349&gt;=3.5),"Parcial","No")))</x:f>
      </x:c>
      <x:c r="U349" s="24" t="str">
        <x:v>Camila Andrea Galván</x:v>
      </x:c>
      <x:c r="V349" s="11" t="str">
        <x:v>Humano (facilitador interno) / Logístico / Material de apoyo</x:v>
      </x:c>
      <x:c r="W349" s="11" t="str">
        <x:v>Jesús Guerrero</x:v>
      </x:c>
      <x:c r="X349" s="11" t="str">
        <x:v>Cancelada</x:v>
      </x:c>
      <x:c r="Y349" s="52" t="str">
        <x:v>Actividad cancelada por reorganización operativa o priorización de otras necesidades.</x:v>
      </x:c>
    </x:row>
    <x:row r="350">
      <x:c r="A350" s="23" t="n">
        <x:v>349</x:v>
      </x:c>
      <x:c r="B350" s="24" t="n">
        <x:v>2025</x:v>
      </x:c>
      <x:c r="C350" s="24" t="str">
        <x:v>Agosto</x:v>
      </x:c>
      <x:c r="D350" s="24" t="n">
        <x:v>8</x:v>
      </x:c>
      <x:c r="E350" s="24" t="str">
        <x:v>Locativo</x:v>
      </x:c>
      <x:c r="F350" s="24" t="str">
        <x:v>Taller</x:v>
      </x:c>
      <x:c r="G350" s="24" t="str">
        <x:v>Interno</x:v>
      </x:c>
      <x:c r="H350" s="24" t="str">
        <x:v>Operativos</x:v>
      </x:c>
      <x:c r="I350" s="24" t="str">
        <x:v>Tibú</x:v>
      </x:c>
      <x:c r="J350" s="11" t="str">
        <x:v>Herramientas manuales, orden y aseo</x:v>
      </x:c>
      <x:c r="K350" s="11" t="str">
        <x:v>Reducir lesiones y eventos derivados del uso inadecuado de herramientas y de condiciones locativas inseguras.</x:v>
      </x:c>
      <x:c r="L350" s="24" t="n">
        <x:v>2</x:v>
      </x:c>
      <x:c r="M350" s="58" t="n">
        <x:v>45892</x:v>
      </x:c>
      <x:c r="N350" s="24" t="n">
        <x:v>2</x:v>
      </x:c>
      <x:c r="O350" s="24" t="n">
        <x:v>33</x:v>
      </x:c>
      <x:c r="P350" s="24" t="n">
        <x:v>28</x:v>
      </x:c>
      <x:c r="Q350" s="64" t="n">
        <x:f>IFERROR(P350/O350,0)</x:f>
        <x:v>0.8484848484848485</x:v>
      </x:c>
      <x:c r="R350" s="24" t="str">
        <x:v>Observación en puesto</x:v>
      </x:c>
      <x:c r="S350" s="70" t="n">
        <x:v>4.7</x:v>
      </x:c>
      <x:c r="T350" s="24" t="str">
        <x:f>IF(XOR(X350="Reprogramada",X350="Cancelada"),"",IF(AND(Q350&gt;=0.8,S350&gt;=4),"Sí",IF(AND(Q350&gt;=0.65,S350&gt;=3.5),"Parcial","No")))</x:f>
        <x:v>Sí</x:v>
      </x:c>
      <x:c r="U350" s="24" t="str">
        <x:v>Camila Andrea Galván</x:v>
      </x:c>
      <x:c r="V350" s="11" t="str">
        <x:v>Humano (facilitador interno) / Logístico / Material de apoyo</x:v>
      </x:c>
      <x:c r="W350" s="11" t="str">
        <x:v>Carlos Felipe Parada Ramón</x:v>
      </x:c>
      <x:c r="X350" s="11" t="str">
        <x:v>Ejecutada</x:v>
      </x:c>
      <x:c r="Y350" s="52" t="str">
        <x:v>Actividad ejecutada satisfactoriamente; mantener evidencia y seguimiento.</x:v>
      </x:c>
    </x:row>
    <x:row r="351">
      <x:c r="A351" s="23" t="n">
        <x:v>350</x:v>
      </x:c>
      <x:c r="B351" s="24" t="n">
        <x:v>2025</x:v>
      </x:c>
      <x:c r="C351" s="24" t="str">
        <x:v>Agosto</x:v>
      </x:c>
      <x:c r="D351" s="24" t="n">
        <x:v>8</x:v>
      </x:c>
      <x:c r="E351" s="24" t="str">
        <x:v>Locativo</x:v>
      </x:c>
      <x:c r="F351" s="24" t="str">
        <x:v>Taller</x:v>
      </x:c>
      <x:c r="G351" s="24" t="str">
        <x:v>Interno</x:v>
      </x:c>
      <x:c r="H351" s="24" t="str">
        <x:v>Operativos</x:v>
      </x:c>
      <x:c r="I351" s="24" t="str">
        <x:v>Medellín</x:v>
      </x:c>
      <x:c r="J351" s="11" t="str">
        <x:v>Herramientas manuales, orden y aseo</x:v>
      </x:c>
      <x:c r="K351" s="11" t="str">
        <x:v>Reducir lesiones y eventos derivados del uso inadecuado de herramientas y de condiciones locativas inseguras.</x:v>
      </x:c>
      <x:c r="L351" s="24" t="n">
        <x:v>2</x:v>
      </x:c>
      <x:c r="M351" s="58" t="n">
        <x:v>45882</x:v>
      </x:c>
      <x:c r="N351" s="24" t="n">
        <x:v>2</x:v>
      </x:c>
      <x:c r="O351" s="24" t="n">
        <x:v>62</x:v>
      </x:c>
      <x:c r="P351" s="24" t="n">
        <x:v>60</x:v>
      </x:c>
      <x:c r="Q351" s="64" t="n">
        <x:f>IFERROR(P351/O351,0)</x:f>
        <x:v>0.967741935483871</x:v>
      </x:c>
      <x:c r="R351" s="24" t="str">
        <x:v>Observación en puesto</x:v>
      </x:c>
      <x:c r="S351" s="70" t="n">
        <x:v>4.7</x:v>
      </x:c>
      <x:c r="T351" s="24" t="str">
        <x:f>IF(XOR(X351="Reprogramada",X351="Cancelada"),"",IF(AND(Q351&gt;=0.8,S351&gt;=4),"Sí",IF(AND(Q351&gt;=0.65,S351&gt;=3.5),"Parcial","No")))</x:f>
        <x:v>Sí</x:v>
      </x:c>
      <x:c r="U351" s="24" t="str">
        <x:v>Camila Andrea Galván</x:v>
      </x:c>
      <x:c r="V351" s="11" t="str">
        <x:v>Humano (facilitador interno) / Logístico / Material de apoyo</x:v>
      </x:c>
      <x:c r="W351" s="11" t="str">
        <x:v>Camila Andrea Galván</x:v>
      </x:c>
      <x:c r="X351" s="11" t="str">
        <x:v>Ejecutada</x:v>
      </x:c>
      <x:c r="Y351" s="52" t="str">
        <x:v>Actividad ejecutada satisfactoriamente; mantener evidencia y seguimiento.</x:v>
      </x:c>
    </x:row>
    <x:row r="352">
      <x:c r="A352" s="23" t="n">
        <x:v>351</x:v>
      </x:c>
      <x:c r="B352" s="24" t="n">
        <x:v>2025</x:v>
      </x:c>
      <x:c r="C352" s="24" t="str">
        <x:v>Agosto</x:v>
      </x:c>
      <x:c r="D352" s="24" t="n">
        <x:v>8</x:v>
      </x:c>
      <x:c r="E352" s="24" t="str">
        <x:v>Locativo</x:v>
      </x:c>
      <x:c r="F352" s="24" t="str">
        <x:v>Taller</x:v>
      </x:c>
      <x:c r="G352" s="24" t="str">
        <x:v>Interno</x:v>
      </x:c>
      <x:c r="H352" s="24" t="str">
        <x:v>Operativos</x:v>
      </x:c>
      <x:c r="I352" s="24" t="str">
        <x:v>Ábrego</x:v>
      </x:c>
      <x:c r="J352" s="11" t="str">
        <x:v>Herramientas manuales, orden y aseo</x:v>
      </x:c>
      <x:c r="K352" s="11" t="str">
        <x:v>Reducir lesiones y eventos derivados del uso inadecuado de herramientas y de condiciones locativas inseguras.</x:v>
      </x:c>
      <x:c r="L352" s="24" t="n">
        <x:v>2</x:v>
      </x:c>
      <x:c r="M352" s="58"/>
      <x:c r="N352" s="24"/>
      <x:c r="O352" s="24" t="n">
        <x:v>26</x:v>
      </x:c>
      <x:c r="P352" s="24"/>
      <x:c r="Q352" s="64" t="n">
        <x:f>IFERROR(P352/O352,0)</x:f>
        <x:v>0</x:v>
      </x:c>
      <x:c r="R352" s="24" t="str">
        <x:v>Observación en puesto</x:v>
      </x:c>
      <x:c r="S352" s="70"/>
      <x:c r="T352" s="24" t="str">
        <x:f>IF(XOR(X352="Reprogramada",X352="Cancelada"),"",IF(AND(Q352&gt;=0.8,S352&gt;=4),"Sí",IF(AND(Q352&gt;=0.65,S352&gt;=3.5),"Parcial","No")))</x:f>
      </x:c>
      <x:c r="U352" s="24" t="str">
        <x:v>Camila Andrea Galván</x:v>
      </x:c>
      <x:c r="V352" s="11" t="str">
        <x:v>Humano (facilitador interno) / Logístico / Material de apoyo</x:v>
      </x:c>
      <x:c r="W352" s="11" t="str">
        <x:v>Jesús Guerrero</x:v>
      </x:c>
      <x:c r="X352" s="11" t="str">
        <x:v>Reprogramada</x:v>
      </x:c>
      <x:c r="Y352" s="52" t="str">
        <x:v>Actividad reprogramada por operación, disponibilidad del facilitador o ajustes logísticos.</x:v>
      </x:c>
    </x:row>
    <x:row r="353">
      <x:c r="A353" s="23" t="n">
        <x:v>352</x:v>
      </x:c>
      <x:c r="B353" s="24" t="n">
        <x:v>2025</x:v>
      </x:c>
      <x:c r="C353" s="24" t="str">
        <x:v>Agosto</x:v>
      </x:c>
      <x:c r="D353" s="24" t="n">
        <x:v>8</x:v>
      </x:c>
      <x:c r="E353" s="24" t="str">
        <x:v>Locativo</x:v>
      </x:c>
      <x:c r="F353" s="24" t="str">
        <x:v>Taller</x:v>
      </x:c>
      <x:c r="G353" s="24" t="str">
        <x:v>Interno</x:v>
      </x:c>
      <x:c r="H353" s="24" t="str">
        <x:v>Operativos</x:v>
      </x:c>
      <x:c r="I353" s="24" t="str">
        <x:v>Pamplona</x:v>
      </x:c>
      <x:c r="J353" s="11" t="str">
        <x:v>Herramientas manuales, orden y aseo</x:v>
      </x:c>
      <x:c r="K353" s="11" t="str">
        <x:v>Reducir lesiones y eventos derivados del uso inadecuado de herramientas y de condiciones locativas inseguras.</x:v>
      </x:c>
      <x:c r="L353" s="24" t="n">
        <x:v>2</x:v>
      </x:c>
      <x:c r="M353" s="58" t="n">
        <x:v>45886</x:v>
      </x:c>
      <x:c r="N353" s="24" t="n">
        <x:v>2</x:v>
      </x:c>
      <x:c r="O353" s="24" t="n">
        <x:v>29</x:v>
      </x:c>
      <x:c r="P353" s="24" t="n">
        <x:v>25</x:v>
      </x:c>
      <x:c r="Q353" s="64" t="n">
        <x:f>IFERROR(P353/O353,0)</x:f>
        <x:v>0.8620689655172413</x:v>
      </x:c>
      <x:c r="R353" s="24" t="str">
        <x:v>Observación en puesto</x:v>
      </x:c>
      <x:c r="S353" s="70" t="n">
        <x:v>4.4</x:v>
      </x:c>
      <x:c r="T353" s="24" t="str">
        <x:f>IF(XOR(X353="Reprogramada",X353="Cancelada"),"",IF(AND(Q353&gt;=0.8,S353&gt;=4),"Sí",IF(AND(Q353&gt;=0.65,S353&gt;=3.5),"Parcial","No")))</x:f>
        <x:v>Sí</x:v>
      </x:c>
      <x:c r="U353" s="24" t="str">
        <x:v>Camila Andrea Galván</x:v>
      </x:c>
      <x:c r="V353" s="11" t="str">
        <x:v>Humano (facilitador interno) / Logístico / Material de apoyo</x:v>
      </x:c>
      <x:c r="W353" s="11" t="str">
        <x:v>Carlos Felipe Parada Ramón</x:v>
      </x:c>
      <x:c r="X353" s="11" t="str">
        <x:v>Ejecutada</x:v>
      </x:c>
      <x:c r="Y353" s="52" t="str">
        <x:v>Actividad ejecutada satisfactoriamente; mantener evidencia y seguimiento.</x:v>
      </x:c>
    </x:row>
    <x:row r="354">
      <x:c r="A354" s="23" t="n">
        <x:v>353</x:v>
      </x:c>
      <x:c r="B354" s="24" t="n">
        <x:v>2025</x:v>
      </x:c>
      <x:c r="C354" s="24" t="str">
        <x:v>Septiembre</x:v>
      </x:c>
      <x:c r="D354" s="24" t="n">
        <x:v>9</x:v>
      </x:c>
      <x:c r="E354" s="24" t="str">
        <x:v>Alturas</x:v>
      </x:c>
      <x:c r="F354" s="24" t="str">
        <x:v>Socialización</x:v>
      </x:c>
      <x:c r="G354" s="24" t="str">
        <x:v>Interno</x:v>
      </x:c>
      <x:c r="H354" s="24" t="str">
        <x:v>Operativos</x:v>
      </x:c>
      <x:c r="I354" s="24" t="str">
        <x:v>Cúcuta</x:v>
      </x:c>
      <x:c r="J354" s="11" t="str">
        <x:v>Trabajo seguro en alturas: sensibilización</x:v>
      </x:c>
      <x:c r="K354" s="11" t="str">
        <x:v>Recordar controles críticos y requisitos mínimos para tareas con riesgo de caída a distinto nivel.</x:v>
      </x:c>
      <x:c r="L354" s="24" t="n">
        <x:v>1</x:v>
      </x:c>
      <x:c r="M354" s="58" t="n">
        <x:v>45916</x:v>
      </x:c>
      <x:c r="N354" s="24" t="n">
        <x:v>1</x:v>
      </x:c>
      <x:c r="O354" s="24" t="n">
        <x:v>83</x:v>
      </x:c>
      <x:c r="P354" s="24" t="n">
        <x:v>72</x:v>
      </x:c>
      <x:c r="Q354" s="64" t="n">
        <x:f>IFERROR(P354/O354,0)</x:f>
        <x:v>0.8674698795180723</x:v>
      </x:c>
      <x:c r="R354" s="24" t="str">
        <x:v>Lista de chequeo</x:v>
      </x:c>
      <x:c r="S354" s="70" t="n">
        <x:v>4.3</x:v>
      </x:c>
      <x:c r="T354" s="24" t="str">
        <x:f>IF(XOR(X354="Reprogramada",X354="Cancelada"),"",IF(AND(Q354&gt;=0.8,S354&gt;=4),"Sí",IF(AND(Q354&gt;=0.65,S354&gt;=3.5),"Parcial","No")))</x:f>
        <x:v>Sí</x:v>
      </x:c>
      <x:c r="U354" s="24" t="str">
        <x:v>Jesús Guerrero</x:v>
      </x:c>
      <x:c r="V354" s="11" t="str">
        <x:v>Humano (facilitador interno) / Logístico / Material de apoyo</x:v>
      </x:c>
      <x:c r="W354" s="11" t="str">
        <x:v>Camila Andrea Galván</x:v>
      </x:c>
      <x:c r="X354" s="11" t="str">
        <x:v>Ejecutada</x:v>
      </x:c>
      <x:c r="Y354" s="52" t="str">
        <x:v>Actividad ejecutada satisfactoriamente; mantener evidencia y seguimiento.</x:v>
      </x:c>
    </x:row>
    <x:row r="355">
      <x:c r="A355" s="23" t="n">
        <x:v>354</x:v>
      </x:c>
      <x:c r="B355" s="24" t="n">
        <x:v>2025</x:v>
      </x:c>
      <x:c r="C355" s="24" t="str">
        <x:v>Septiembre</x:v>
      </x:c>
      <x:c r="D355" s="24" t="n">
        <x:v>9</x:v>
      </x:c>
      <x:c r="E355" s="24" t="str">
        <x:v>Alturas</x:v>
      </x:c>
      <x:c r="F355" s="24" t="str">
        <x:v>Socialización</x:v>
      </x:c>
      <x:c r="G355" s="24" t="str">
        <x:v>Interno</x:v>
      </x:c>
      <x:c r="H355" s="24" t="str">
        <x:v>Operativos</x:v>
      </x:c>
      <x:c r="I355" s="24" t="str">
        <x:v>Barrancabermeja</x:v>
      </x:c>
      <x:c r="J355" s="11" t="str">
        <x:v>Trabajo seguro en alturas: sensibilización</x:v>
      </x:c>
      <x:c r="K355" s="11" t="str">
        <x:v>Recordar controles críticos y requisitos mínimos para tareas con riesgo de caída a distinto nivel.</x:v>
      </x:c>
      <x:c r="L355" s="24" t="n">
        <x:v>1</x:v>
      </x:c>
      <x:c r="M355" s="58" t="n">
        <x:v>45926</x:v>
      </x:c>
      <x:c r="N355" s="24" t="n">
        <x:v>1</x:v>
      </x:c>
      <x:c r="O355" s="24" t="n">
        <x:v>56</x:v>
      </x:c>
      <x:c r="P355" s="24" t="n">
        <x:v>55</x:v>
      </x:c>
      <x:c r="Q355" s="64" t="n">
        <x:f>IFERROR(P355/O355,0)</x:f>
        <x:v>0.9821428571428571</x:v>
      </x:c>
      <x:c r="R355" s="24" t="str">
        <x:v>Lista de chequeo</x:v>
      </x:c>
      <x:c r="S355" s="70" t="n">
        <x:v>4.6</x:v>
      </x:c>
      <x:c r="T355" s="24" t="str">
        <x:f>IF(XOR(X355="Reprogramada",X355="Cancelada"),"",IF(AND(Q355&gt;=0.8,S355&gt;=4),"Sí",IF(AND(Q355&gt;=0.65,S355&gt;=3.5),"Parcial","No")))</x:f>
        <x:v>Sí</x:v>
      </x:c>
      <x:c r="U355" s="24" t="str">
        <x:v>Jesús Guerrero</x:v>
      </x:c>
      <x:c r="V355" s="11" t="str">
        <x:v>Humano (facilitador interno) / Logístico / Material de apoyo</x:v>
      </x:c>
      <x:c r="W355" s="11" t="str">
        <x:v>Jesús Guerrero</x:v>
      </x:c>
      <x:c r="X355" s="11" t="str">
        <x:v>Ejecutada</x:v>
      </x:c>
      <x:c r="Y355" s="52" t="str">
        <x:v>Actividad ejecutada satisfactoriamente; mantener evidencia y seguimiento.</x:v>
      </x:c>
    </x:row>
    <x:row r="356">
      <x:c r="A356" s="23" t="n">
        <x:v>355</x:v>
      </x:c>
      <x:c r="B356" s="24" t="n">
        <x:v>2025</x:v>
      </x:c>
      <x:c r="C356" s="24" t="str">
        <x:v>Septiembre</x:v>
      </x:c>
      <x:c r="D356" s="24" t="n">
        <x:v>9</x:v>
      </x:c>
      <x:c r="E356" s="24" t="str">
        <x:v>Alturas</x:v>
      </x:c>
      <x:c r="F356" s="24" t="str">
        <x:v>Socialización</x:v>
      </x:c>
      <x:c r="G356" s="24" t="str">
        <x:v>Interno</x:v>
      </x:c>
      <x:c r="H356" s="24" t="str">
        <x:v>Operativos</x:v>
      </x:c>
      <x:c r="I356" s="24" t="str">
        <x:v>Ocaña</x:v>
      </x:c>
      <x:c r="J356" s="11" t="str">
        <x:v>Trabajo seguro en alturas: sensibilización</x:v>
      </x:c>
      <x:c r="K356" s="11" t="str">
        <x:v>Recordar controles críticos y requisitos mínimos para tareas con riesgo de caída a distinto nivel.</x:v>
      </x:c>
      <x:c r="L356" s="24" t="n">
        <x:v>1</x:v>
      </x:c>
      <x:c r="M356" s="58"/>
      <x:c r="N356" s="24" t="n">
        <x:v>0</x:v>
      </x:c>
      <x:c r="O356" s="24" t="n">
        <x:v>39</x:v>
      </x:c>
      <x:c r="P356" s="24"/>
      <x:c r="Q356" s="64" t="n">
        <x:f>IFERROR(P356/O356,0)</x:f>
        <x:v>0</x:v>
      </x:c>
      <x:c r="R356" s="24" t="str">
        <x:v>Lista de chequeo</x:v>
      </x:c>
      <x:c r="S356" s="70"/>
      <x:c r="T356" s="24" t="str">
        <x:f>IF(XOR(X356="Reprogramada",X356="Cancelada"),"",IF(AND(Q356&gt;=0.8,S356&gt;=4),"Sí",IF(AND(Q356&gt;=0.65,S356&gt;=3.5),"Parcial","No")))</x:f>
      </x:c>
      <x:c r="U356" s="24" t="str">
        <x:v>Jesús Guerrero</x:v>
      </x:c>
      <x:c r="V356" s="11" t="str">
        <x:v>Humano (facilitador interno) / Logístico / Material de apoyo</x:v>
      </x:c>
      <x:c r="W356" s="11" t="str">
        <x:v>Carlos Felipe Parada Ramón</x:v>
      </x:c>
      <x:c r="X356" s="11" t="str">
        <x:v>Cancelada</x:v>
      </x:c>
      <x:c r="Y356" s="52" t="str">
        <x:v>Actividad cancelada por reorganización operativa o priorización de otras necesidades.</x:v>
      </x:c>
    </x:row>
    <x:row r="357">
      <x:c r="A357" s="23" t="n">
        <x:v>356</x:v>
      </x:c>
      <x:c r="B357" s="24" t="n">
        <x:v>2025</x:v>
      </x:c>
      <x:c r="C357" s="24" t="str">
        <x:v>Septiembre</x:v>
      </x:c>
      <x:c r="D357" s="24" t="n">
        <x:v>9</x:v>
      </x:c>
      <x:c r="E357" s="24" t="str">
        <x:v>Alturas</x:v>
      </x:c>
      <x:c r="F357" s="24" t="str">
        <x:v>Socialización</x:v>
      </x:c>
      <x:c r="G357" s="24" t="str">
        <x:v>Interno</x:v>
      </x:c>
      <x:c r="H357" s="24" t="str">
        <x:v>Operativos</x:v>
      </x:c>
      <x:c r="I357" s="24" t="str">
        <x:v>Girón</x:v>
      </x:c>
      <x:c r="J357" s="11" t="str">
        <x:v>Trabajo seguro en alturas: sensibilización</x:v>
      </x:c>
      <x:c r="K357" s="11" t="str">
        <x:v>Recordar controles críticos y requisitos mínimos para tareas con riesgo de caída a distinto nivel.</x:v>
      </x:c>
      <x:c r="L357" s="24" t="n">
        <x:v>1</x:v>
      </x:c>
      <x:c r="M357" s="58" t="n">
        <x:v>45914</x:v>
      </x:c>
      <x:c r="N357" s="24" t="n">
        <x:v>1.5</x:v>
      </x:c>
      <x:c r="O357" s="24" t="n">
        <x:v>44</x:v>
      </x:c>
      <x:c r="P357" s="24" t="n">
        <x:v>41</x:v>
      </x:c>
      <x:c r="Q357" s="64" t="n">
        <x:f>IFERROR(P357/O357,0)</x:f>
        <x:v>0.9318181818181818</x:v>
      </x:c>
      <x:c r="R357" s="24" t="str">
        <x:v>Lista de chequeo</x:v>
      </x:c>
      <x:c r="S357" s="70" t="n">
        <x:v>4.8</x:v>
      </x:c>
      <x:c r="T357" s="24" t="str">
        <x:f>IF(XOR(X357="Reprogramada",X357="Cancelada"),"",IF(AND(Q357&gt;=0.8,S357&gt;=4),"Sí",IF(AND(Q357&gt;=0.65,S357&gt;=3.5),"Parcial","No")))</x:f>
        <x:v>Sí</x:v>
      </x:c>
      <x:c r="U357" s="24" t="str">
        <x:v>Jesús Guerrero</x:v>
      </x:c>
      <x:c r="V357" s="11" t="str">
        <x:v>Humano (facilitador interno) / Logístico / Material de apoyo</x:v>
      </x:c>
      <x:c r="W357" s="11" t="str">
        <x:v>Camila Andrea Galván</x:v>
      </x:c>
      <x:c r="X357" s="11" t="str">
        <x:v>Ejecutada</x:v>
      </x:c>
      <x:c r="Y357" s="52" t="str">
        <x:v>Actividad ejecutada satisfactoriamente; mantener evidencia y seguimiento.</x:v>
      </x:c>
    </x:row>
    <x:row r="358">
      <x:c r="A358" s="23" t="n">
        <x:v>357</x:v>
      </x:c>
      <x:c r="B358" s="24" t="n">
        <x:v>2025</x:v>
      </x:c>
      <x:c r="C358" s="24" t="str">
        <x:v>Septiembre</x:v>
      </x:c>
      <x:c r="D358" s="24" t="n">
        <x:v>9</x:v>
      </x:c>
      <x:c r="E358" s="24" t="str">
        <x:v>Alturas</x:v>
      </x:c>
      <x:c r="F358" s="24" t="str">
        <x:v>Socialización</x:v>
      </x:c>
      <x:c r="G358" s="24" t="str">
        <x:v>Interno</x:v>
      </x:c>
      <x:c r="H358" s="24" t="str">
        <x:v>Operativos</x:v>
      </x:c>
      <x:c r="I358" s="24" t="str">
        <x:v>Valledupar</x:v>
      </x:c>
      <x:c r="J358" s="11" t="str">
        <x:v>Trabajo seguro en alturas: sensibilización</x:v>
      </x:c>
      <x:c r="K358" s="11" t="str">
        <x:v>Recordar controles críticos y requisitos mínimos para tareas con riesgo de caída a distinto nivel.</x:v>
      </x:c>
      <x:c r="L358" s="24" t="n">
        <x:v>1</x:v>
      </x:c>
      <x:c r="M358" s="58" t="n">
        <x:v>45923</x:v>
      </x:c>
      <x:c r="N358" s="24" t="n">
        <x:v>1</x:v>
      </x:c>
      <x:c r="O358" s="24" t="n">
        <x:v>50</x:v>
      </x:c>
      <x:c r="P358" s="24" t="n">
        <x:v>40</x:v>
      </x:c>
      <x:c r="Q358" s="64" t="n">
        <x:f>IFERROR(P358/O358,0)</x:f>
        <x:v>0.8</x:v>
      </x:c>
      <x:c r="R358" s="24" t="str">
        <x:v>Lista de chequeo</x:v>
      </x:c>
      <x:c r="S358" s="70" t="n">
        <x:v>4.2</x:v>
      </x:c>
      <x:c r="T358" s="24" t="str">
        <x:f>IF(XOR(X358="Reprogramada",X358="Cancelada"),"",IF(AND(Q358&gt;=0.8,S358&gt;=4),"Sí",IF(AND(Q358&gt;=0.65,S358&gt;=3.5),"Parcial","No")))</x:f>
        <x:v>Sí</x:v>
      </x:c>
      <x:c r="U358" s="24" t="str">
        <x:v>Jesús Guerrero</x:v>
      </x:c>
      <x:c r="V358" s="11" t="str">
        <x:v>Humano (facilitador interno) / Logístico / Material de apoyo</x:v>
      </x:c>
      <x:c r="W358" s="11" t="str">
        <x:v>Jesús Guerrero</x:v>
      </x:c>
      <x:c r="X358" s="11" t="str">
        <x:v>Ejecutada</x:v>
      </x:c>
      <x:c r="Y358" s="52" t="str">
        <x:v>Actividad ejecutada satisfactoriamente; mantener evidencia y seguimiento.</x:v>
      </x:c>
    </x:row>
    <x:row r="359">
      <x:c r="A359" s="23" t="n">
        <x:v>358</x:v>
      </x:c>
      <x:c r="B359" s="24" t="n">
        <x:v>2025</x:v>
      </x:c>
      <x:c r="C359" s="24" t="str">
        <x:v>Septiembre</x:v>
      </x:c>
      <x:c r="D359" s="24" t="n">
        <x:v>9</x:v>
      </x:c>
      <x:c r="E359" s="24" t="str">
        <x:v>Alturas</x:v>
      </x:c>
      <x:c r="F359" s="24" t="str">
        <x:v>Socialización</x:v>
      </x:c>
      <x:c r="G359" s="24" t="str">
        <x:v>Interno</x:v>
      </x:c>
      <x:c r="H359" s="24" t="str">
        <x:v>Operativos</x:v>
      </x:c>
      <x:c r="I359" s="24" t="str">
        <x:v>Arauca</x:v>
      </x:c>
      <x:c r="J359" s="11" t="str">
        <x:v>Trabajo seguro en alturas: sensibilización</x:v>
      </x:c>
      <x:c r="K359" s="11" t="str">
        <x:v>Recordar controles críticos y requisitos mínimos para tareas con riesgo de caída a distinto nivel.</x:v>
      </x:c>
      <x:c r="L359" s="24" t="n">
        <x:v>1</x:v>
      </x:c>
      <x:c r="M359" s="58" t="n">
        <x:v>45917</x:v>
      </x:c>
      <x:c r="N359" s="24" t="n">
        <x:v>1</x:v>
      </x:c>
      <x:c r="O359" s="24" t="n">
        <x:v>31</x:v>
      </x:c>
      <x:c r="P359" s="24" t="n">
        <x:v>26</x:v>
      </x:c>
      <x:c r="Q359" s="64" t="n">
        <x:f>IFERROR(P359/O359,0)</x:f>
        <x:v>0.8387096774193549</x:v>
      </x:c>
      <x:c r="R359" s="24" t="str">
        <x:v>Lista de chequeo</x:v>
      </x:c>
      <x:c r="S359" s="70" t="n">
        <x:v>4.8</x:v>
      </x:c>
      <x:c r="T359" s="24" t="str">
        <x:f>IF(XOR(X359="Reprogramada",X359="Cancelada"),"",IF(AND(Q359&gt;=0.8,S359&gt;=4),"Sí",IF(AND(Q359&gt;=0.65,S359&gt;=3.5),"Parcial","No")))</x:f>
        <x:v>Sí</x:v>
      </x:c>
      <x:c r="U359" s="24" t="str">
        <x:v>Jesús Guerrero</x:v>
      </x:c>
      <x:c r="V359" s="11" t="str">
        <x:v>Humano (facilitador interno) / Logístico / Material de apoyo</x:v>
      </x:c>
      <x:c r="W359" s="11" t="str">
        <x:v>Carlos Felipe Parada Ramón</x:v>
      </x:c>
      <x:c r="X359" s="11" t="str">
        <x:v>Ejecutada</x:v>
      </x:c>
      <x:c r="Y359" s="52" t="str">
        <x:v>Actividad ejecutada satisfactoriamente; mantener evidencia y seguimiento.</x:v>
      </x:c>
    </x:row>
    <x:row r="360">
      <x:c r="A360" s="23" t="n">
        <x:v>359</x:v>
      </x:c>
      <x:c r="B360" s="24" t="n">
        <x:v>2025</x:v>
      </x:c>
      <x:c r="C360" s="24" t="str">
        <x:v>Septiembre</x:v>
      </x:c>
      <x:c r="D360" s="24" t="n">
        <x:v>9</x:v>
      </x:c>
      <x:c r="E360" s="24" t="str">
        <x:v>Alturas</x:v>
      </x:c>
      <x:c r="F360" s="24" t="str">
        <x:v>Socialización</x:v>
      </x:c>
      <x:c r="G360" s="24" t="str">
        <x:v>Interno</x:v>
      </x:c>
      <x:c r="H360" s="24" t="str">
        <x:v>Operativos</x:v>
      </x:c>
      <x:c r="I360" s="24" t="str">
        <x:v>Bogotá</x:v>
      </x:c>
      <x:c r="J360" s="11" t="str">
        <x:v>Trabajo seguro en alturas: sensibilización</x:v>
      </x:c>
      <x:c r="K360" s="11" t="str">
        <x:v>Recordar controles críticos y requisitos mínimos para tareas con riesgo de caída a distinto nivel.</x:v>
      </x:c>
      <x:c r="L360" s="24" t="n">
        <x:v>1</x:v>
      </x:c>
      <x:c r="M360" s="58" t="n">
        <x:v>45922</x:v>
      </x:c>
      <x:c r="N360" s="24" t="n">
        <x:v>1</x:v>
      </x:c>
      <x:c r="O360" s="24" t="n">
        <x:v>67</x:v>
      </x:c>
      <x:c r="P360" s="24" t="n">
        <x:v>54</x:v>
      </x:c>
      <x:c r="Q360" s="64" t="n">
        <x:f>IFERROR(P360/O360,0)</x:f>
        <x:v>0.8059701492537313</x:v>
      </x:c>
      <x:c r="R360" s="24" t="str">
        <x:v>Lista de chequeo</x:v>
      </x:c>
      <x:c r="S360" s="70" t="n">
        <x:v>4.8</x:v>
      </x:c>
      <x:c r="T360" s="24" t="str">
        <x:f>IF(XOR(X360="Reprogramada",X360="Cancelada"),"",IF(AND(Q360&gt;=0.8,S360&gt;=4),"Sí",IF(AND(Q360&gt;=0.65,S360&gt;=3.5),"Parcial","No")))</x:f>
        <x:v>Sí</x:v>
      </x:c>
      <x:c r="U360" s="24" t="str">
        <x:v>Jesús Guerrero</x:v>
      </x:c>
      <x:c r="V360" s="11" t="str">
        <x:v>Humano (facilitador interno) / Logístico / Material de apoyo</x:v>
      </x:c>
      <x:c r="W360" s="11" t="str">
        <x:v>Camila Andrea Galván</x:v>
      </x:c>
      <x:c r="X360" s="11" t="str">
        <x:v>Ejecutada</x:v>
      </x:c>
      <x:c r="Y360" s="52" t="str">
        <x:v>Actividad ejecutada satisfactoriamente; mantener evidencia y seguimiento.</x:v>
      </x:c>
    </x:row>
    <x:row r="361">
      <x:c r="A361" s="23" t="n">
        <x:v>360</x:v>
      </x:c>
      <x:c r="B361" s="24" t="n">
        <x:v>2025</x:v>
      </x:c>
      <x:c r="C361" s="24" t="str">
        <x:v>Septiembre</x:v>
      </x:c>
      <x:c r="D361" s="24" t="n">
        <x:v>9</x:v>
      </x:c>
      <x:c r="E361" s="24" t="str">
        <x:v>Alturas</x:v>
      </x:c>
      <x:c r="F361" s="24" t="str">
        <x:v>Socialización</x:v>
      </x:c>
      <x:c r="G361" s="24" t="str">
        <x:v>Interno</x:v>
      </x:c>
      <x:c r="H361" s="24" t="str">
        <x:v>Operativos</x:v>
      </x:c>
      <x:c r="I361" s="24" t="str">
        <x:v>Tibú</x:v>
      </x:c>
      <x:c r="J361" s="11" t="str">
        <x:v>Trabajo seguro en alturas: sensibilización</x:v>
      </x:c>
      <x:c r="K361" s="11" t="str">
        <x:v>Recordar controles críticos y requisitos mínimos para tareas con riesgo de caída a distinto nivel.</x:v>
      </x:c>
      <x:c r="L361" s="24" t="n">
        <x:v>1</x:v>
      </x:c>
      <x:c r="M361" s="58" t="n">
        <x:v>45919</x:v>
      </x:c>
      <x:c r="N361" s="24" t="n">
        <x:v>1.5</x:v>
      </x:c>
      <x:c r="O361" s="24" t="n">
        <x:v>33</x:v>
      </x:c>
      <x:c r="P361" s="24" t="n">
        <x:v>26</x:v>
      </x:c>
      <x:c r="Q361" s="64" t="n">
        <x:f>IFERROR(P361/O361,0)</x:f>
        <x:v>0.7878787878787878</x:v>
      </x:c>
      <x:c r="R361" s="24" t="str">
        <x:v>Lista de chequeo</x:v>
      </x:c>
      <x:c r="S361" s="70" t="n">
        <x:v>4.2</x:v>
      </x:c>
      <x:c r="T361" s="24" t="str">
        <x:f>IF(XOR(X361="Reprogramada",X361="Cancelada"),"",IF(AND(Q361&gt;=0.8,S361&gt;=4),"Sí",IF(AND(Q361&gt;=0.65,S361&gt;=3.5),"Parcial","No")))</x:f>
        <x:v>Parcial</x:v>
      </x:c>
      <x:c r="U361" s="24" t="str">
        <x:v>Jesús Guerrero</x:v>
      </x:c>
      <x:c r="V361" s="11" t="str">
        <x:v>Humano (facilitador interno) / Logístico / Material de apoyo</x:v>
      </x:c>
      <x:c r="W361" s="11" t="str">
        <x:v>Jesús Guerrero</x:v>
      </x:c>
      <x:c r="X361" s="11" t="str">
        <x:v>Ejecutada</x:v>
      </x:c>
      <x:c r="Y361" s="52" t="str">
        <x:v>Actividad ejecutada satisfactoriamente; mantener evidencia y seguimiento.</x:v>
      </x:c>
    </x:row>
    <x:row r="362">
      <x:c r="A362" s="23" t="n">
        <x:v>361</x:v>
      </x:c>
      <x:c r="B362" s="24" t="n">
        <x:v>2025</x:v>
      </x:c>
      <x:c r="C362" s="24" t="str">
        <x:v>Septiembre</x:v>
      </x:c>
      <x:c r="D362" s="24" t="n">
        <x:v>9</x:v>
      </x:c>
      <x:c r="E362" s="24" t="str">
        <x:v>Alturas</x:v>
      </x:c>
      <x:c r="F362" s="24" t="str">
        <x:v>Socialización</x:v>
      </x:c>
      <x:c r="G362" s="24" t="str">
        <x:v>Interno</x:v>
      </x:c>
      <x:c r="H362" s="24" t="str">
        <x:v>Operativos</x:v>
      </x:c>
      <x:c r="I362" s="24" t="str">
        <x:v>Medellín</x:v>
      </x:c>
      <x:c r="J362" s="11" t="str">
        <x:v>Trabajo seguro en alturas: sensibilización</x:v>
      </x:c>
      <x:c r="K362" s="11" t="str">
        <x:v>Recordar controles críticos y requisitos mínimos para tareas con riesgo de caída a distinto nivel.</x:v>
      </x:c>
      <x:c r="L362" s="24" t="n">
        <x:v>1</x:v>
      </x:c>
      <x:c r="M362" s="58" t="n">
        <x:v>45917</x:v>
      </x:c>
      <x:c r="N362" s="24" t="n">
        <x:v>1</x:v>
      </x:c>
      <x:c r="O362" s="24" t="n">
        <x:v>62</x:v>
      </x:c>
      <x:c r="P362" s="24" t="n">
        <x:v>60</x:v>
      </x:c>
      <x:c r="Q362" s="64" t="n">
        <x:f>IFERROR(P362/O362,0)</x:f>
        <x:v>0.967741935483871</x:v>
      </x:c>
      <x:c r="R362" s="24" t="str">
        <x:v>Lista de chequeo</x:v>
      </x:c>
      <x:c r="S362" s="70" t="n">
        <x:v>4.1</x:v>
      </x:c>
      <x:c r="T362" s="24" t="str">
        <x:f>IF(XOR(X362="Reprogramada",X362="Cancelada"),"",IF(AND(Q362&gt;=0.8,S362&gt;=4),"Sí",IF(AND(Q362&gt;=0.65,S362&gt;=3.5),"Parcial","No")))</x:f>
        <x:v>Sí</x:v>
      </x:c>
      <x:c r="U362" s="24" t="str">
        <x:v>Jesús Guerrero</x:v>
      </x:c>
      <x:c r="V362" s="11" t="str">
        <x:v>Humano (facilitador interno) / Logístico / Material de apoyo</x:v>
      </x:c>
      <x:c r="W362" s="11" t="str">
        <x:v>Carlos Felipe Parada Ramón</x:v>
      </x:c>
      <x:c r="X362" s="11" t="str">
        <x:v>Ejecutada</x:v>
      </x:c>
      <x:c r="Y362" s="52" t="str">
        <x:v>Actividad ejecutada satisfactoriamente; mantener evidencia y seguimiento.</x:v>
      </x:c>
    </x:row>
    <x:row r="363">
      <x:c r="A363" s="23" t="n">
        <x:v>362</x:v>
      </x:c>
      <x:c r="B363" s="24" t="n">
        <x:v>2025</x:v>
      </x:c>
      <x:c r="C363" s="24" t="str">
        <x:v>Septiembre</x:v>
      </x:c>
      <x:c r="D363" s="24" t="n">
        <x:v>9</x:v>
      </x:c>
      <x:c r="E363" s="24" t="str">
        <x:v>Alturas</x:v>
      </x:c>
      <x:c r="F363" s="24" t="str">
        <x:v>Socialización</x:v>
      </x:c>
      <x:c r="G363" s="24" t="str">
        <x:v>Interno</x:v>
      </x:c>
      <x:c r="H363" s="24" t="str">
        <x:v>Operativos</x:v>
      </x:c>
      <x:c r="I363" s="24" t="str">
        <x:v>Ábrego</x:v>
      </x:c>
      <x:c r="J363" s="11" t="str">
        <x:v>Trabajo seguro en alturas: sensibilización</x:v>
      </x:c>
      <x:c r="K363" s="11" t="str">
        <x:v>Recordar controles críticos y requisitos mínimos para tareas con riesgo de caída a distinto nivel.</x:v>
      </x:c>
      <x:c r="L363" s="24" t="n">
        <x:v>1</x:v>
      </x:c>
      <x:c r="M363" s="58" t="n">
        <x:v>45917</x:v>
      </x:c>
      <x:c r="N363" s="24" t="n">
        <x:v>1</x:v>
      </x:c>
      <x:c r="O363" s="24" t="n">
        <x:v>26</x:v>
      </x:c>
      <x:c r="P363" s="24" t="n">
        <x:v>21</x:v>
      </x:c>
      <x:c r="Q363" s="64" t="n">
        <x:f>IFERROR(P363/O363,0)</x:f>
        <x:v>0.8076923076923077</x:v>
      </x:c>
      <x:c r="R363" s="24" t="str">
        <x:v>Lista de chequeo</x:v>
      </x:c>
      <x:c r="S363" s="70" t="n">
        <x:v>4.3</x:v>
      </x:c>
      <x:c r="T363" s="24" t="str">
        <x:f>IF(XOR(X363="Reprogramada",X363="Cancelada"),"",IF(AND(Q363&gt;=0.8,S363&gt;=4),"Sí",IF(AND(Q363&gt;=0.65,S363&gt;=3.5),"Parcial","No")))</x:f>
        <x:v>Sí</x:v>
      </x:c>
      <x:c r="U363" s="24" t="str">
        <x:v>Jesús Guerrero</x:v>
      </x:c>
      <x:c r="V363" s="11" t="str">
        <x:v>Humano (facilitador interno) / Logístico / Material de apoyo</x:v>
      </x:c>
      <x:c r="W363" s="11" t="str">
        <x:v>Camila Andrea Galván</x:v>
      </x:c>
      <x:c r="X363" s="11" t="str">
        <x:v>Ejecutada</x:v>
      </x:c>
      <x:c r="Y363" s="52" t="str">
        <x:v>Actividad ejecutada satisfactoriamente; mantener evidencia y seguimiento.</x:v>
      </x:c>
    </x:row>
    <x:row r="364">
      <x:c r="A364" s="23" t="n">
        <x:v>363</x:v>
      </x:c>
      <x:c r="B364" s="24" t="n">
        <x:v>2025</x:v>
      </x:c>
      <x:c r="C364" s="24" t="str">
        <x:v>Septiembre</x:v>
      </x:c>
      <x:c r="D364" s="24" t="n">
        <x:v>9</x:v>
      </x:c>
      <x:c r="E364" s="24" t="str">
        <x:v>Alturas</x:v>
      </x:c>
      <x:c r="F364" s="24" t="str">
        <x:v>Socialización</x:v>
      </x:c>
      <x:c r="G364" s="24" t="str">
        <x:v>Interno</x:v>
      </x:c>
      <x:c r="H364" s="24" t="str">
        <x:v>Operativos</x:v>
      </x:c>
      <x:c r="I364" s="24" t="str">
        <x:v>Pamplona</x:v>
      </x:c>
      <x:c r="J364" s="11" t="str">
        <x:v>Trabajo seguro en alturas: sensibilización</x:v>
      </x:c>
      <x:c r="K364" s="11" t="str">
        <x:v>Recordar controles críticos y requisitos mínimos para tareas con riesgo de caída a distinto nivel.</x:v>
      </x:c>
      <x:c r="L364" s="24" t="n">
        <x:v>1</x:v>
      </x:c>
      <x:c r="M364" s="58"/>
      <x:c r="N364" s="24" t="n">
        <x:v>0</x:v>
      </x:c>
      <x:c r="O364" s="24" t="n">
        <x:v>29</x:v>
      </x:c>
      <x:c r="P364" s="24"/>
      <x:c r="Q364" s="64" t="n">
        <x:f>IFERROR(P364/O364,0)</x:f>
        <x:v>0</x:v>
      </x:c>
      <x:c r="R364" s="24" t="str">
        <x:v>Lista de chequeo</x:v>
      </x:c>
      <x:c r="S364" s="70"/>
      <x:c r="T364" s="24" t="str">
        <x:f>IF(XOR(X364="Reprogramada",X364="Cancelada"),"",IF(AND(Q364&gt;=0.8,S364&gt;=4),"Sí",IF(AND(Q364&gt;=0.65,S364&gt;=3.5),"Parcial","No")))</x:f>
      </x:c>
      <x:c r="U364" s="24" t="str">
        <x:v>Jesús Guerrero</x:v>
      </x:c>
      <x:c r="V364" s="11" t="str">
        <x:v>Humano (facilitador interno) / Logístico / Material de apoyo</x:v>
      </x:c>
      <x:c r="W364" s="11" t="str">
        <x:v>Jesús Guerrero</x:v>
      </x:c>
      <x:c r="X364" s="11" t="str">
        <x:v>Cancelada</x:v>
      </x:c>
      <x:c r="Y364" s="52" t="str">
        <x:v>Actividad cancelada por reorganización operativa o priorización de otras necesidades.</x:v>
      </x:c>
    </x:row>
    <x:row r="365">
      <x:c r="A365" s="23" t="n">
        <x:v>364</x:v>
      </x:c>
      <x:c r="B365" s="24" t="n">
        <x:v>2025</x:v>
      </x:c>
      <x:c r="C365" s="24" t="str">
        <x:v>Octubre</x:v>
      </x:c>
      <x:c r="D365" s="24" t="n">
        <x:v>10</x:v>
      </x:c>
      <x:c r="E365" s="24" t="str">
        <x:v>Emergencias</x:v>
      </x:c>
      <x:c r="F365" s="24" t="str">
        <x:v>Simulacro</x:v>
      </x:c>
      <x:c r="G365" s="24" t="str">
        <x:v>Interno</x:v>
      </x:c>
      <x:c r="H365" s="24" t="str">
        <x:v>Todos</x:v>
      </x:c>
      <x:c r="I365" s="24" t="str">
        <x:v>Cúcuta</x:v>
      </x:c>
      <x:c r="J365" s="11" t="str">
        <x:v>Respuesta a emergencias y brigadas</x:v>
      </x:c>
      <x:c r="K365" s="11" t="str">
        <x:v>Mejorar la coordinación del personal ante escenarios de emergencia y fortalecer la brigada.</x:v>
      </x:c>
      <x:c r="L365" s="24" t="n">
        <x:v>2</x:v>
      </x:c>
      <x:c r="M365" s="58" t="n">
        <x:v>45948</x:v>
      </x:c>
      <x:c r="N365" s="24" t="n">
        <x:v>2</x:v>
      </x:c>
      <x:c r="O365" s="24" t="n">
        <x:v>83</x:v>
      </x:c>
      <x:c r="P365" s="24" t="n">
        <x:v>78</x:v>
      </x:c>
      <x:c r="Q365" s="64" t="n">
        <x:f>IFERROR(P365/O365,0)</x:f>
        <x:v>0.9397590361445783</x:v>
      </x:c>
      <x:c r="R365" s="24" t="str">
        <x:v>Simulacro</x:v>
      </x:c>
      <x:c r="S365" s="70" t="n">
        <x:v>4.3</x:v>
      </x:c>
      <x:c r="T365" s="24" t="str">
        <x:f>IF(XOR(X365="Reprogramada",X365="Cancelada"),"",IF(AND(Q365&gt;=0.8,S365&gt;=4),"Sí",IF(AND(Q365&gt;=0.65,S365&gt;=3.5),"Parcial","No")))</x:f>
        <x:v>Sí</x:v>
      </x:c>
      <x:c r="U365" s="24" t="str">
        <x:v>Brigada Interna</x:v>
      </x:c>
      <x:c r="V365" s="11" t="str">
        <x:v>Humano (facilitador interno) / Logístico / Material de apoyo</x:v>
      </x:c>
      <x:c r="W365" s="11" t="str">
        <x:v>Carlos Felipe Parada Ramón</x:v>
      </x:c>
      <x:c r="X365" s="11" t="str">
        <x:v>Ejecutada</x:v>
      </x:c>
      <x:c r="Y365" s="52" t="str">
        <x:v>Actividad ejecutada satisfactoriamente; mantener evidencia y seguimiento.</x:v>
      </x:c>
    </x:row>
    <x:row r="366">
      <x:c r="A366" s="23" t="n">
        <x:v>365</x:v>
      </x:c>
      <x:c r="B366" s="24" t="n">
        <x:v>2025</x:v>
      </x:c>
      <x:c r="C366" s="24" t="str">
        <x:v>Octubre</x:v>
      </x:c>
      <x:c r="D366" s="24" t="n">
        <x:v>10</x:v>
      </x:c>
      <x:c r="E366" s="24" t="str">
        <x:v>Emergencias</x:v>
      </x:c>
      <x:c r="F366" s="24" t="str">
        <x:v>Simulacro</x:v>
      </x:c>
      <x:c r="G366" s="24" t="str">
        <x:v>Interno</x:v>
      </x:c>
      <x:c r="H366" s="24" t="str">
        <x:v>Todos</x:v>
      </x:c>
      <x:c r="I366" s="24" t="str">
        <x:v>Barrancabermeja</x:v>
      </x:c>
      <x:c r="J366" s="11" t="str">
        <x:v>Respuesta a emergencias y brigadas</x:v>
      </x:c>
      <x:c r="K366" s="11" t="str">
        <x:v>Mejorar la coordinación del personal ante escenarios de emergencia y fortalecer la brigada.</x:v>
      </x:c>
      <x:c r="L366" s="24" t="n">
        <x:v>2</x:v>
      </x:c>
      <x:c r="M366" s="58" t="n">
        <x:v>45947</x:v>
      </x:c>
      <x:c r="N366" s="24" t="n">
        <x:v>1.5</x:v>
      </x:c>
      <x:c r="O366" s="24" t="n">
        <x:v>56</x:v>
      </x:c>
      <x:c r="P366" s="24" t="n">
        <x:v>55</x:v>
      </x:c>
      <x:c r="Q366" s="64" t="n">
        <x:f>IFERROR(P366/O366,0)</x:f>
        <x:v>0.9821428571428571</x:v>
      </x:c>
      <x:c r="R366" s="24" t="str">
        <x:v>Simulacro</x:v>
      </x:c>
      <x:c r="S366" s="70" t="n">
        <x:v>4.4</x:v>
      </x:c>
      <x:c r="T366" s="24" t="str">
        <x:f>IF(XOR(X366="Reprogramada",X366="Cancelada"),"",IF(AND(Q366&gt;=0.8,S366&gt;=4),"Sí",IF(AND(Q366&gt;=0.65,S366&gt;=3.5),"Parcial","No")))</x:f>
        <x:v>Sí</x:v>
      </x:c>
      <x:c r="U366" s="24" t="str">
        <x:v>Brigada Interna</x:v>
      </x:c>
      <x:c r="V366" s="11" t="str">
        <x:v>Humano (facilitador interno) / Logístico / Material de apoyo</x:v>
      </x:c>
      <x:c r="W366" s="11" t="str">
        <x:v>Camila Andrea Galván</x:v>
      </x:c>
      <x:c r="X366" s="11" t="str">
        <x:v>Ejecutada</x:v>
      </x:c>
      <x:c r="Y366" s="52" t="str">
        <x:v>Actividad ejecutada satisfactoriamente; mantener evidencia y seguimiento.</x:v>
      </x:c>
    </x:row>
    <x:row r="367">
      <x:c r="A367" s="23" t="n">
        <x:v>366</x:v>
      </x:c>
      <x:c r="B367" s="24" t="n">
        <x:v>2025</x:v>
      </x:c>
      <x:c r="C367" s="24" t="str">
        <x:v>Octubre</x:v>
      </x:c>
      <x:c r="D367" s="24" t="n">
        <x:v>10</x:v>
      </x:c>
      <x:c r="E367" s="24" t="str">
        <x:v>Emergencias</x:v>
      </x:c>
      <x:c r="F367" s="24" t="str">
        <x:v>Simulacro</x:v>
      </x:c>
      <x:c r="G367" s="24" t="str">
        <x:v>Interno</x:v>
      </x:c>
      <x:c r="H367" s="24" t="str">
        <x:v>Todos</x:v>
      </x:c>
      <x:c r="I367" s="24" t="str">
        <x:v>Ocaña</x:v>
      </x:c>
      <x:c r="J367" s="11" t="str">
        <x:v>Respuesta a emergencias y brigadas</x:v>
      </x:c>
      <x:c r="K367" s="11" t="str">
        <x:v>Mejorar la coordinación del personal ante escenarios de emergencia y fortalecer la brigada.</x:v>
      </x:c>
      <x:c r="L367" s="24" t="n">
        <x:v>2</x:v>
      </x:c>
      <x:c r="M367" s="58" t="n">
        <x:v>45940</x:v>
      </x:c>
      <x:c r="N367" s="24" t="n">
        <x:v>2</x:v>
      </x:c>
      <x:c r="O367" s="24" t="n">
        <x:v>39</x:v>
      </x:c>
      <x:c r="P367" s="24" t="n">
        <x:v>37</x:v>
      </x:c>
      <x:c r="Q367" s="64" t="n">
        <x:f>IFERROR(P367/O367,0)</x:f>
        <x:v>0.9487179487179487</x:v>
      </x:c>
      <x:c r="R367" s="24" t="str">
        <x:v>Simulacro</x:v>
      </x:c>
      <x:c r="S367" s="70" t="n">
        <x:v>4.4</x:v>
      </x:c>
      <x:c r="T367" s="24" t="str">
        <x:f>IF(XOR(X367="Reprogramada",X367="Cancelada"),"",IF(AND(Q367&gt;=0.8,S367&gt;=4),"Sí",IF(AND(Q367&gt;=0.65,S367&gt;=3.5),"Parcial","No")))</x:f>
        <x:v>Sí</x:v>
      </x:c>
      <x:c r="U367" s="24" t="str">
        <x:v>Brigada Interna</x:v>
      </x:c>
      <x:c r="V367" s="11" t="str">
        <x:v>Humano (facilitador interno) / Logístico / Material de apoyo</x:v>
      </x:c>
      <x:c r="W367" s="11" t="str">
        <x:v>Jesús Guerrero</x:v>
      </x:c>
      <x:c r="X367" s="11" t="str">
        <x:v>Ejecutada</x:v>
      </x:c>
      <x:c r="Y367" s="52" t="str">
        <x:v>Actividad ejecutada satisfactoriamente; mantener evidencia y seguimiento.</x:v>
      </x:c>
    </x:row>
    <x:row r="368">
      <x:c r="A368" s="23" t="n">
        <x:v>367</x:v>
      </x:c>
      <x:c r="B368" s="24" t="n">
        <x:v>2025</x:v>
      </x:c>
      <x:c r="C368" s="24" t="str">
        <x:v>Octubre</x:v>
      </x:c>
      <x:c r="D368" s="24" t="n">
        <x:v>10</x:v>
      </x:c>
      <x:c r="E368" s="24" t="str">
        <x:v>Emergencias</x:v>
      </x:c>
      <x:c r="F368" s="24" t="str">
        <x:v>Simulacro</x:v>
      </x:c>
      <x:c r="G368" s="24" t="str">
        <x:v>Interno</x:v>
      </x:c>
      <x:c r="H368" s="24" t="str">
        <x:v>Todos</x:v>
      </x:c>
      <x:c r="I368" s="24" t="str">
        <x:v>Girón</x:v>
      </x:c>
      <x:c r="J368" s="11" t="str">
        <x:v>Respuesta a emergencias y brigadas</x:v>
      </x:c>
      <x:c r="K368" s="11" t="str">
        <x:v>Mejorar la coordinación del personal ante escenarios de emergencia y fortalecer la brigada.</x:v>
      </x:c>
      <x:c r="L368" s="24" t="n">
        <x:v>2</x:v>
      </x:c>
      <x:c r="M368" s="58" t="n">
        <x:v>45943</x:v>
      </x:c>
      <x:c r="N368" s="24" t="n">
        <x:v>2</x:v>
      </x:c>
      <x:c r="O368" s="24" t="n">
        <x:v>44</x:v>
      </x:c>
      <x:c r="P368" s="24" t="n">
        <x:v>37</x:v>
      </x:c>
      <x:c r="Q368" s="64" t="n">
        <x:f>IFERROR(P368/O368,0)</x:f>
        <x:v>0.8409090909090909</x:v>
      </x:c>
      <x:c r="R368" s="24" t="str">
        <x:v>Simulacro</x:v>
      </x:c>
      <x:c r="S368" s="70" t="n">
        <x:v>4.7</x:v>
      </x:c>
      <x:c r="T368" s="24" t="str">
        <x:f>IF(XOR(X368="Reprogramada",X368="Cancelada"),"",IF(AND(Q368&gt;=0.8,S368&gt;=4),"Sí",IF(AND(Q368&gt;=0.65,S368&gt;=3.5),"Parcial","No")))</x:f>
        <x:v>Sí</x:v>
      </x:c>
      <x:c r="U368" s="24" t="str">
        <x:v>Brigada Interna</x:v>
      </x:c>
      <x:c r="V368" s="11" t="str">
        <x:v>Humano (facilitador interno) / Logístico / Material de apoyo</x:v>
      </x:c>
      <x:c r="W368" s="11" t="str">
        <x:v>Carlos Felipe Parada Ramón</x:v>
      </x:c>
      <x:c r="X368" s="11" t="str">
        <x:v>Ejecutada</x:v>
      </x:c>
      <x:c r="Y368" s="52" t="str">
        <x:v>Actividad ejecutada satisfactoriamente; mantener evidencia y seguimiento.</x:v>
      </x:c>
    </x:row>
    <x:row r="369">
      <x:c r="A369" s="23" t="n">
        <x:v>368</x:v>
      </x:c>
      <x:c r="B369" s="24" t="n">
        <x:v>2025</x:v>
      </x:c>
      <x:c r="C369" s="24" t="str">
        <x:v>Octubre</x:v>
      </x:c>
      <x:c r="D369" s="24" t="n">
        <x:v>10</x:v>
      </x:c>
      <x:c r="E369" s="24" t="str">
        <x:v>Emergencias</x:v>
      </x:c>
      <x:c r="F369" s="24" t="str">
        <x:v>Simulacro</x:v>
      </x:c>
      <x:c r="G369" s="24" t="str">
        <x:v>Interno</x:v>
      </x:c>
      <x:c r="H369" s="24" t="str">
        <x:v>Todos</x:v>
      </x:c>
      <x:c r="I369" s="24" t="str">
        <x:v>Valledupar</x:v>
      </x:c>
      <x:c r="J369" s="11" t="str">
        <x:v>Respuesta a emergencias y brigadas</x:v>
      </x:c>
      <x:c r="K369" s="11" t="str">
        <x:v>Mejorar la coordinación del personal ante escenarios de emergencia y fortalecer la brigada.</x:v>
      </x:c>
      <x:c r="L369" s="24" t="n">
        <x:v>2</x:v>
      </x:c>
      <x:c r="M369" s="58" t="n">
        <x:v>45942</x:v>
      </x:c>
      <x:c r="N369" s="24" t="n">
        <x:v>2</x:v>
      </x:c>
      <x:c r="O369" s="24" t="n">
        <x:v>50</x:v>
      </x:c>
      <x:c r="P369" s="24" t="n">
        <x:v>43</x:v>
      </x:c>
      <x:c r="Q369" s="64" t="n">
        <x:f>IFERROR(P369/O369,0)</x:f>
        <x:v>0.86</x:v>
      </x:c>
      <x:c r="R369" s="24" t="str">
        <x:v>Simulacro</x:v>
      </x:c>
      <x:c r="S369" s="70" t="n">
        <x:v>4.8</x:v>
      </x:c>
      <x:c r="T369" s="24" t="str">
        <x:f>IF(XOR(X369="Reprogramada",X369="Cancelada"),"",IF(AND(Q369&gt;=0.8,S369&gt;=4),"Sí",IF(AND(Q369&gt;=0.65,S369&gt;=3.5),"Parcial","No")))</x:f>
        <x:v>Sí</x:v>
      </x:c>
      <x:c r="U369" s="24" t="str">
        <x:v>Brigada Interna</x:v>
      </x:c>
      <x:c r="V369" s="11" t="str">
        <x:v>Humano (facilitador interno) / Logístico / Material de apoyo</x:v>
      </x:c>
      <x:c r="W369" s="11" t="str">
        <x:v>Camila Andrea Galván</x:v>
      </x:c>
      <x:c r="X369" s="11" t="str">
        <x:v>Ejecutada</x:v>
      </x:c>
      <x:c r="Y369" s="52" t="str">
        <x:v>Actividad ejecutada satisfactoriamente; mantener evidencia y seguimiento.</x:v>
      </x:c>
    </x:row>
    <x:row r="370">
      <x:c r="A370" s="23" t="n">
        <x:v>369</x:v>
      </x:c>
      <x:c r="B370" s="24" t="n">
        <x:v>2025</x:v>
      </x:c>
      <x:c r="C370" s="24" t="str">
        <x:v>Octubre</x:v>
      </x:c>
      <x:c r="D370" s="24" t="n">
        <x:v>10</x:v>
      </x:c>
      <x:c r="E370" s="24" t="str">
        <x:v>Emergencias</x:v>
      </x:c>
      <x:c r="F370" s="24" t="str">
        <x:v>Simulacro</x:v>
      </x:c>
      <x:c r="G370" s="24" t="str">
        <x:v>Interno</x:v>
      </x:c>
      <x:c r="H370" s="24" t="str">
        <x:v>Todos</x:v>
      </x:c>
      <x:c r="I370" s="24" t="str">
        <x:v>Arauca</x:v>
      </x:c>
      <x:c r="J370" s="11" t="str">
        <x:v>Respuesta a emergencias y brigadas</x:v>
      </x:c>
      <x:c r="K370" s="11" t="str">
        <x:v>Mejorar la coordinación del personal ante escenarios de emergencia y fortalecer la brigada.</x:v>
      </x:c>
      <x:c r="L370" s="24" t="n">
        <x:v>2</x:v>
      </x:c>
      <x:c r="M370" s="58" t="n">
        <x:v>45942</x:v>
      </x:c>
      <x:c r="N370" s="24" t="n">
        <x:v>2</x:v>
      </x:c>
      <x:c r="O370" s="24" t="n">
        <x:v>31</x:v>
      </x:c>
      <x:c r="P370" s="24" t="n">
        <x:v>26</x:v>
      </x:c>
      <x:c r="Q370" s="64" t="n">
        <x:f>IFERROR(P370/O370,0)</x:f>
        <x:v>0.8387096774193549</x:v>
      </x:c>
      <x:c r="R370" s="24" t="str">
        <x:v>Simulacro</x:v>
      </x:c>
      <x:c r="S370" s="70" t="n">
        <x:v>4.3</x:v>
      </x:c>
      <x:c r="T370" s="24" t="str">
        <x:f>IF(XOR(X370="Reprogramada",X370="Cancelada"),"",IF(AND(Q370&gt;=0.8,S370&gt;=4),"Sí",IF(AND(Q370&gt;=0.65,S370&gt;=3.5),"Parcial","No")))</x:f>
        <x:v>Sí</x:v>
      </x:c>
      <x:c r="U370" s="24" t="str">
        <x:v>Brigada Interna</x:v>
      </x:c>
      <x:c r="V370" s="11" t="str">
        <x:v>Humano (facilitador interno) / Logístico / Material de apoyo</x:v>
      </x:c>
      <x:c r="W370" s="11" t="str">
        <x:v>Jesús Guerrero</x:v>
      </x:c>
      <x:c r="X370" s="11" t="str">
        <x:v>Ejecutada</x:v>
      </x:c>
      <x:c r="Y370" s="52" t="str">
        <x:v>Actividad ejecutada satisfactoriamente; mantener evidencia y seguimiento.</x:v>
      </x:c>
    </x:row>
    <x:row r="371">
      <x:c r="A371" s="23" t="n">
        <x:v>370</x:v>
      </x:c>
      <x:c r="B371" s="24" t="n">
        <x:v>2025</x:v>
      </x:c>
      <x:c r="C371" s="24" t="str">
        <x:v>Octubre</x:v>
      </x:c>
      <x:c r="D371" s="24" t="n">
        <x:v>10</x:v>
      </x:c>
      <x:c r="E371" s="24" t="str">
        <x:v>Emergencias</x:v>
      </x:c>
      <x:c r="F371" s="24" t="str">
        <x:v>Simulacro</x:v>
      </x:c>
      <x:c r="G371" s="24" t="str">
        <x:v>Interno</x:v>
      </x:c>
      <x:c r="H371" s="24" t="str">
        <x:v>Todos</x:v>
      </x:c>
      <x:c r="I371" s="24" t="str">
        <x:v>Bogotá</x:v>
      </x:c>
      <x:c r="J371" s="11" t="str">
        <x:v>Respuesta a emergencias y brigadas</x:v>
      </x:c>
      <x:c r="K371" s="11" t="str">
        <x:v>Mejorar la coordinación del personal ante escenarios de emergencia y fortalecer la brigada.</x:v>
      </x:c>
      <x:c r="L371" s="24" t="n">
        <x:v>2</x:v>
      </x:c>
      <x:c r="M371" s="58" t="n">
        <x:v>45941</x:v>
      </x:c>
      <x:c r="N371" s="24" t="n">
        <x:v>1.5</x:v>
      </x:c>
      <x:c r="O371" s="24" t="n">
        <x:v>67</x:v>
      </x:c>
      <x:c r="P371" s="24" t="n">
        <x:v>59</x:v>
      </x:c>
      <x:c r="Q371" s="64" t="n">
        <x:f>IFERROR(P371/O371,0)</x:f>
        <x:v>0.8805970149253731</x:v>
      </x:c>
      <x:c r="R371" s="24" t="str">
        <x:v>Simulacro</x:v>
      </x:c>
      <x:c r="S371" s="70" t="n">
        <x:v>4.7</x:v>
      </x:c>
      <x:c r="T371" s="24" t="str">
        <x:f>IF(XOR(X371="Reprogramada",X371="Cancelada"),"",IF(AND(Q371&gt;=0.8,S371&gt;=4),"Sí",IF(AND(Q371&gt;=0.65,S371&gt;=3.5),"Parcial","No")))</x:f>
        <x:v>Sí</x:v>
      </x:c>
      <x:c r="U371" s="24" t="str">
        <x:v>Brigada Interna</x:v>
      </x:c>
      <x:c r="V371" s="11" t="str">
        <x:v>Humano (facilitador interno) / Logístico / Material de apoyo</x:v>
      </x:c>
      <x:c r="W371" s="11" t="str">
        <x:v>Carlos Felipe Parada Ramón</x:v>
      </x:c>
      <x:c r="X371" s="11" t="str">
        <x:v>Ejecutada</x:v>
      </x:c>
      <x:c r="Y371" s="52" t="str">
        <x:v>Actividad ejecutada satisfactoriamente; mantener evidencia y seguimiento.</x:v>
      </x:c>
    </x:row>
    <x:row r="372">
      <x:c r="A372" s="23" t="n">
        <x:v>371</x:v>
      </x:c>
      <x:c r="B372" s="24" t="n">
        <x:v>2025</x:v>
      </x:c>
      <x:c r="C372" s="24" t="str">
        <x:v>Octubre</x:v>
      </x:c>
      <x:c r="D372" s="24" t="n">
        <x:v>10</x:v>
      </x:c>
      <x:c r="E372" s="24" t="str">
        <x:v>Emergencias</x:v>
      </x:c>
      <x:c r="F372" s="24" t="str">
        <x:v>Simulacro</x:v>
      </x:c>
      <x:c r="G372" s="24" t="str">
        <x:v>Interno</x:v>
      </x:c>
      <x:c r="H372" s="24" t="str">
        <x:v>Todos</x:v>
      </x:c>
      <x:c r="I372" s="24" t="str">
        <x:v>Tibú</x:v>
      </x:c>
      <x:c r="J372" s="11" t="str">
        <x:v>Respuesta a emergencias y brigadas</x:v>
      </x:c>
      <x:c r="K372" s="11" t="str">
        <x:v>Mejorar la coordinación del personal ante escenarios de emergencia y fortalecer la brigada.</x:v>
      </x:c>
      <x:c r="L372" s="24" t="n">
        <x:v>2</x:v>
      </x:c>
      <x:c r="M372" s="58" t="n">
        <x:v>45950</x:v>
      </x:c>
      <x:c r="N372" s="24" t="n">
        <x:v>2</x:v>
      </x:c>
      <x:c r="O372" s="24" t="n">
        <x:v>33</x:v>
      </x:c>
      <x:c r="P372" s="24" t="n">
        <x:v>31</x:v>
      </x:c>
      <x:c r="Q372" s="64" t="n">
        <x:f>IFERROR(P372/O372,0)</x:f>
        <x:v>0.9393939393939394</x:v>
      </x:c>
      <x:c r="R372" s="24" t="str">
        <x:v>Simulacro</x:v>
      </x:c>
      <x:c r="S372" s="70" t="n">
        <x:v>4.8</x:v>
      </x:c>
      <x:c r="T372" s="24" t="str">
        <x:f>IF(XOR(X372="Reprogramada",X372="Cancelada"),"",IF(AND(Q372&gt;=0.8,S372&gt;=4),"Sí",IF(AND(Q372&gt;=0.65,S372&gt;=3.5),"Parcial","No")))</x:f>
        <x:v>Sí</x:v>
      </x:c>
      <x:c r="U372" s="24" t="str">
        <x:v>Brigada Interna</x:v>
      </x:c>
      <x:c r="V372" s="11" t="str">
        <x:v>Humano (facilitador interno) / Logístico / Material de apoyo</x:v>
      </x:c>
      <x:c r="W372" s="11" t="str">
        <x:v>Camila Andrea Galván</x:v>
      </x:c>
      <x:c r="X372" s="11" t="str">
        <x:v>Ejecutada</x:v>
      </x:c>
      <x:c r="Y372" s="52" t="str">
        <x:v>Actividad ejecutada satisfactoriamente; mantener evidencia y seguimiento.</x:v>
      </x:c>
    </x:row>
    <x:row r="373">
      <x:c r="A373" s="23" t="n">
        <x:v>372</x:v>
      </x:c>
      <x:c r="B373" s="24" t="n">
        <x:v>2025</x:v>
      </x:c>
      <x:c r="C373" s="24" t="str">
        <x:v>Octubre</x:v>
      </x:c>
      <x:c r="D373" s="24" t="n">
        <x:v>10</x:v>
      </x:c>
      <x:c r="E373" s="24" t="str">
        <x:v>Emergencias</x:v>
      </x:c>
      <x:c r="F373" s="24" t="str">
        <x:v>Simulacro</x:v>
      </x:c>
      <x:c r="G373" s="24" t="str">
        <x:v>Interno</x:v>
      </x:c>
      <x:c r="H373" s="24" t="str">
        <x:v>Todos</x:v>
      </x:c>
      <x:c r="I373" s="24" t="str">
        <x:v>Medellín</x:v>
      </x:c>
      <x:c r="J373" s="11" t="str">
        <x:v>Respuesta a emergencias y brigadas</x:v>
      </x:c>
      <x:c r="K373" s="11" t="str">
        <x:v>Mejorar la coordinación del personal ante escenarios de emergencia y fortalecer la brigada.</x:v>
      </x:c>
      <x:c r="L373" s="24" t="n">
        <x:v>2</x:v>
      </x:c>
      <x:c r="M373" s="58" t="n">
        <x:v>45940</x:v>
      </x:c>
      <x:c r="N373" s="24" t="n">
        <x:v>2.5</x:v>
      </x:c>
      <x:c r="O373" s="24" t="n">
        <x:v>62</x:v>
      </x:c>
      <x:c r="P373" s="24" t="n">
        <x:v>54</x:v>
      </x:c>
      <x:c r="Q373" s="64" t="n">
        <x:f>IFERROR(P373/O373,0)</x:f>
        <x:v>0.8709677419354839</x:v>
      </x:c>
      <x:c r="R373" s="24" t="str">
        <x:v>Simulacro</x:v>
      </x:c>
      <x:c r="S373" s="70" t="n">
        <x:v>5</x:v>
      </x:c>
      <x:c r="T373" s="24" t="str">
        <x:f>IF(XOR(X373="Reprogramada",X373="Cancelada"),"",IF(AND(Q373&gt;=0.8,S373&gt;=4),"Sí",IF(AND(Q373&gt;=0.65,S373&gt;=3.5),"Parcial","No")))</x:f>
        <x:v>Sí</x:v>
      </x:c>
      <x:c r="U373" s="24" t="str">
        <x:v>Brigada Interna</x:v>
      </x:c>
      <x:c r="V373" s="11" t="str">
        <x:v>Humano (facilitador interno) / Logístico / Material de apoyo</x:v>
      </x:c>
      <x:c r="W373" s="11" t="str">
        <x:v>Jesús Guerrero</x:v>
      </x:c>
      <x:c r="X373" s="11" t="str">
        <x:v>Ejecutada</x:v>
      </x:c>
      <x:c r="Y373" s="52" t="str">
        <x:v>Actividad ejecutada satisfactoriamente; mantener evidencia y seguimiento.</x:v>
      </x:c>
    </x:row>
    <x:row r="374">
      <x:c r="A374" s="23" t="n">
        <x:v>373</x:v>
      </x:c>
      <x:c r="B374" s="24" t="n">
        <x:v>2025</x:v>
      </x:c>
      <x:c r="C374" s="24" t="str">
        <x:v>Octubre</x:v>
      </x:c>
      <x:c r="D374" s="24" t="n">
        <x:v>10</x:v>
      </x:c>
      <x:c r="E374" s="24" t="str">
        <x:v>Emergencias</x:v>
      </x:c>
      <x:c r="F374" s="24" t="str">
        <x:v>Simulacro</x:v>
      </x:c>
      <x:c r="G374" s="24" t="str">
        <x:v>Interno</x:v>
      </x:c>
      <x:c r="H374" s="24" t="str">
        <x:v>Todos</x:v>
      </x:c>
      <x:c r="I374" s="24" t="str">
        <x:v>Ábrego</x:v>
      </x:c>
      <x:c r="J374" s="11" t="str">
        <x:v>Respuesta a emergencias y brigadas</x:v>
      </x:c>
      <x:c r="K374" s="11" t="str">
        <x:v>Mejorar la coordinación del personal ante escenarios de emergencia y fortalecer la brigada.</x:v>
      </x:c>
      <x:c r="L374" s="24" t="n">
        <x:v>2</x:v>
      </x:c>
      <x:c r="M374" s="58" t="n">
        <x:v>45943</x:v>
      </x:c>
      <x:c r="N374" s="24" t="n">
        <x:v>1.5</x:v>
      </x:c>
      <x:c r="O374" s="24" t="n">
        <x:v>26</x:v>
      </x:c>
      <x:c r="P374" s="24" t="n">
        <x:v>23</x:v>
      </x:c>
      <x:c r="Q374" s="64" t="n">
        <x:f>IFERROR(P374/O374,0)</x:f>
        <x:v>0.8846153846153846</x:v>
      </x:c>
      <x:c r="R374" s="24" t="str">
        <x:v>Simulacro</x:v>
      </x:c>
      <x:c r="S374" s="70" t="n">
        <x:v>4.4</x:v>
      </x:c>
      <x:c r="T374" s="24" t="str">
        <x:f>IF(XOR(X374="Reprogramada",X374="Cancelada"),"",IF(AND(Q374&gt;=0.8,S374&gt;=4),"Sí",IF(AND(Q374&gt;=0.65,S374&gt;=3.5),"Parcial","No")))</x:f>
        <x:v>Sí</x:v>
      </x:c>
      <x:c r="U374" s="24" t="str">
        <x:v>Brigada Interna</x:v>
      </x:c>
      <x:c r="V374" s="11" t="str">
        <x:v>Humano (facilitador interno) / Logístico / Material de apoyo</x:v>
      </x:c>
      <x:c r="W374" s="11" t="str">
        <x:v>Carlos Felipe Parada Ramón</x:v>
      </x:c>
      <x:c r="X374" s="11" t="str">
        <x:v>Ejecutada</x:v>
      </x:c>
      <x:c r="Y374" s="52" t="str">
        <x:v>Actividad ejecutada satisfactoriamente; mantener evidencia y seguimiento.</x:v>
      </x:c>
    </x:row>
    <x:row r="375">
      <x:c r="A375" s="23" t="n">
        <x:v>374</x:v>
      </x:c>
      <x:c r="B375" s="24" t="n">
        <x:v>2025</x:v>
      </x:c>
      <x:c r="C375" s="24" t="str">
        <x:v>Octubre</x:v>
      </x:c>
      <x:c r="D375" s="24" t="n">
        <x:v>10</x:v>
      </x:c>
      <x:c r="E375" s="24" t="str">
        <x:v>Emergencias</x:v>
      </x:c>
      <x:c r="F375" s="24" t="str">
        <x:v>Simulacro</x:v>
      </x:c>
      <x:c r="G375" s="24" t="str">
        <x:v>Interno</x:v>
      </x:c>
      <x:c r="H375" s="24" t="str">
        <x:v>Todos</x:v>
      </x:c>
      <x:c r="I375" s="24" t="str">
        <x:v>Pamplona</x:v>
      </x:c>
      <x:c r="J375" s="11" t="str">
        <x:v>Respuesta a emergencias y brigadas</x:v>
      </x:c>
      <x:c r="K375" s="11" t="str">
        <x:v>Mejorar la coordinación del personal ante escenarios de emergencia y fortalecer la brigada.</x:v>
      </x:c>
      <x:c r="L375" s="24" t="n">
        <x:v>2</x:v>
      </x:c>
      <x:c r="M375" s="58" t="n">
        <x:v>45952</x:v>
      </x:c>
      <x:c r="N375" s="24" t="n">
        <x:v>2</x:v>
      </x:c>
      <x:c r="O375" s="24" t="n">
        <x:v>29</x:v>
      </x:c>
      <x:c r="P375" s="24" t="n">
        <x:v>26</x:v>
      </x:c>
      <x:c r="Q375" s="64" t="n">
        <x:f>IFERROR(P375/O375,0)</x:f>
        <x:v>0.896551724137931</x:v>
      </x:c>
      <x:c r="R375" s="24" t="str">
        <x:v>Simulacro</x:v>
      </x:c>
      <x:c r="S375" s="70" t="n">
        <x:v>5</x:v>
      </x:c>
      <x:c r="T375" s="24" t="str">
        <x:f>IF(XOR(X375="Reprogramada",X375="Cancelada"),"",IF(AND(Q375&gt;=0.8,S375&gt;=4),"Sí",IF(AND(Q375&gt;=0.65,S375&gt;=3.5),"Parcial","No")))</x:f>
        <x:v>Sí</x:v>
      </x:c>
      <x:c r="U375" s="24" t="str">
        <x:v>Brigada Interna</x:v>
      </x:c>
      <x:c r="V375" s="11" t="str">
        <x:v>Humano (facilitador interno) / Logístico / Material de apoyo</x:v>
      </x:c>
      <x:c r="W375" s="11" t="str">
        <x:v>Camila Andrea Galván</x:v>
      </x:c>
      <x:c r="X375" s="11" t="str">
        <x:v>Ejecutada</x:v>
      </x:c>
      <x:c r="Y375" s="52" t="str">
        <x:v>Actividad ejecutada satisfactoriamente; mantener evidencia y seguimiento.</x:v>
      </x:c>
    </x:row>
    <x:row r="376">
      <x:c r="A376" s="23" t="n">
        <x:v>375</x:v>
      </x:c>
      <x:c r="B376" s="24" t="n">
        <x:v>2025</x:v>
      </x:c>
      <x:c r="C376" s="24" t="str">
        <x:v>Noviembre</x:v>
      </x:c>
      <x:c r="D376" s="24" t="n">
        <x:v>11</x:v>
      </x:c>
      <x:c r="E376" s="24" t="str">
        <x:v>COPASST/CCL</x:v>
      </x:c>
      <x:c r="F376" s="24" t="str">
        <x:v>Socialización</x:v>
      </x:c>
      <x:c r="G376" s="24" t="str">
        <x:v>Interno</x:v>
      </x:c>
      <x:c r="H376" s="24" t="str">
        <x:v>Todos</x:v>
      </x:c>
      <x:c r="I376" s="24" t="str">
        <x:v>Cúcuta</x:v>
      </x:c>
      <x:c r="J376" s="11" t="str">
        <x:v>Roles del COPASST y Comité de Convivencia</x:v>
      </x:c>
      <x:c r="K376" s="11" t="str">
        <x:v>Precisar responsabilidades de los comités y fomentar la participación en seguridad y convivencia.</x:v>
      </x:c>
      <x:c r="L376" s="24" t="n">
        <x:v>1</x:v>
      </x:c>
      <x:c r="M376" s="58" t="n">
        <x:v>45987</x:v>
      </x:c>
      <x:c r="N376" s="24" t="n">
        <x:v>1</x:v>
      </x:c>
      <x:c r="O376" s="24" t="n">
        <x:v>83</x:v>
      </x:c>
      <x:c r="P376" s="24" t="n">
        <x:v>78</x:v>
      </x:c>
      <x:c r="Q376" s="64" t="n">
        <x:f>IFERROR(P376/O376,0)</x:f>
        <x:v>0.9397590361445783</x:v>
      </x:c>
      <x:c r="R376" s="24" t="str">
        <x:v>Encuesta de comprensión</x:v>
      </x:c>
      <x:c r="S376" s="70" t="n">
        <x:v>4.5</x:v>
      </x:c>
      <x:c r="T376" s="24" t="str">
        <x:f>IF(XOR(X376="Reprogramada",X376="Cancelada"),"",IF(AND(Q376&gt;=0.8,S376&gt;=4),"Sí",IF(AND(Q376&gt;=0.65,S376&gt;=3.5),"Parcial","No")))</x:f>
        <x:v>Sí</x:v>
      </x:c>
      <x:c r="U376" s="24" t="str">
        <x:v>Camila Andrea Galván</x:v>
      </x:c>
      <x:c r="V376" s="11" t="str">
        <x:v>Humano (facilitador interno) / Logístico / Material de apoyo</x:v>
      </x:c>
      <x:c r="W376" s="11" t="str">
        <x:v>Jesús Guerrero</x:v>
      </x:c>
      <x:c r="X376" s="11" t="str">
        <x:v>Ejecutada</x:v>
      </x:c>
      <x:c r="Y376" s="52" t="str">
        <x:v>Actividad ejecutada satisfactoriamente; mantener evidencia y seguimiento.</x:v>
      </x:c>
    </x:row>
    <x:row r="377">
      <x:c r="A377" s="23" t="n">
        <x:v>376</x:v>
      </x:c>
      <x:c r="B377" s="24" t="n">
        <x:v>2025</x:v>
      </x:c>
      <x:c r="C377" s="24" t="str">
        <x:v>Noviembre</x:v>
      </x:c>
      <x:c r="D377" s="24" t="n">
        <x:v>11</x:v>
      </x:c>
      <x:c r="E377" s="24" t="str">
        <x:v>COPASST/CCL</x:v>
      </x:c>
      <x:c r="F377" s="24" t="str">
        <x:v>Socialización</x:v>
      </x:c>
      <x:c r="G377" s="24" t="str">
        <x:v>Interno</x:v>
      </x:c>
      <x:c r="H377" s="24" t="str">
        <x:v>Todos</x:v>
      </x:c>
      <x:c r="I377" s="24" t="str">
        <x:v>Barrancabermeja</x:v>
      </x:c>
      <x:c r="J377" s="11" t="str">
        <x:v>Roles del COPASST y Comité de Convivencia</x:v>
      </x:c>
      <x:c r="K377" s="11" t="str">
        <x:v>Precisar responsabilidades de los comités y fomentar la participación en seguridad y convivencia.</x:v>
      </x:c>
      <x:c r="L377" s="24" t="n">
        <x:v>1</x:v>
      </x:c>
      <x:c r="M377" s="58" t="n">
        <x:v>45974</x:v>
      </x:c>
      <x:c r="N377" s="24" t="n">
        <x:v>1</x:v>
      </x:c>
      <x:c r="O377" s="24" t="n">
        <x:v>56</x:v>
      </x:c>
      <x:c r="P377" s="24" t="n">
        <x:v>44</x:v>
      </x:c>
      <x:c r="Q377" s="64" t="n">
        <x:f>IFERROR(P377/O377,0)</x:f>
        <x:v>0.7857142857142857</x:v>
      </x:c>
      <x:c r="R377" s="24" t="str">
        <x:v>Encuesta de comprensión</x:v>
      </x:c>
      <x:c r="S377" s="70" t="n">
        <x:v>4.1</x:v>
      </x:c>
      <x:c r="T377" s="24" t="str">
        <x:f>IF(XOR(X377="Reprogramada",X377="Cancelada"),"",IF(AND(Q377&gt;=0.8,S377&gt;=4),"Sí",IF(AND(Q377&gt;=0.65,S377&gt;=3.5),"Parcial","No")))</x:f>
        <x:v>Parcial</x:v>
      </x:c>
      <x:c r="U377" s="24" t="str">
        <x:v>Camila Andrea Galván</x:v>
      </x:c>
      <x:c r="V377" s="11" t="str">
        <x:v>Humano (facilitador interno) / Logístico / Material de apoyo</x:v>
      </x:c>
      <x:c r="W377" s="11" t="str">
        <x:v>Carlos Felipe Parada Ramón</x:v>
      </x:c>
      <x:c r="X377" s="11" t="str">
        <x:v>Ejecutada</x:v>
      </x:c>
      <x:c r="Y377" s="52" t="str">
        <x:v>Actividad ejecutada satisfactoriamente; mantener evidencia y seguimiento.</x:v>
      </x:c>
    </x:row>
    <x:row r="378">
      <x:c r="A378" s="23" t="n">
        <x:v>377</x:v>
      </x:c>
      <x:c r="B378" s="24" t="n">
        <x:v>2025</x:v>
      </x:c>
      <x:c r="C378" s="24" t="str">
        <x:v>Noviembre</x:v>
      </x:c>
      <x:c r="D378" s="24" t="n">
        <x:v>11</x:v>
      </x:c>
      <x:c r="E378" s="24" t="str">
        <x:v>COPASST/CCL</x:v>
      </x:c>
      <x:c r="F378" s="24" t="str">
        <x:v>Socialización</x:v>
      </x:c>
      <x:c r="G378" s="24" t="str">
        <x:v>Interno</x:v>
      </x:c>
      <x:c r="H378" s="24" t="str">
        <x:v>Todos</x:v>
      </x:c>
      <x:c r="I378" s="24" t="str">
        <x:v>Ocaña</x:v>
      </x:c>
      <x:c r="J378" s="11" t="str">
        <x:v>Roles del COPASST y Comité de Convivencia</x:v>
      </x:c>
      <x:c r="K378" s="11" t="str">
        <x:v>Precisar responsabilidades de los comités y fomentar la participación en seguridad y convivencia.</x:v>
      </x:c>
      <x:c r="L378" s="24" t="n">
        <x:v>1</x:v>
      </x:c>
      <x:c r="M378" s="58" t="n">
        <x:v>45972</x:v>
      </x:c>
      <x:c r="N378" s="24" t="n">
        <x:v>1</x:v>
      </x:c>
      <x:c r="O378" s="24" t="n">
        <x:v>39</x:v>
      </x:c>
      <x:c r="P378" s="24" t="n">
        <x:v>31</x:v>
      </x:c>
      <x:c r="Q378" s="64" t="n">
        <x:f>IFERROR(P378/O378,0)</x:f>
        <x:v>0.7948717948717948</x:v>
      </x:c>
      <x:c r="R378" s="24" t="str">
        <x:v>Encuesta de comprensión</x:v>
      </x:c>
      <x:c r="S378" s="70" t="n">
        <x:v>4.2</x:v>
      </x:c>
      <x:c r="T378" s="24" t="str">
        <x:f>IF(XOR(X378="Reprogramada",X378="Cancelada"),"",IF(AND(Q378&gt;=0.8,S378&gt;=4),"Sí",IF(AND(Q378&gt;=0.65,S378&gt;=3.5),"Parcial","No")))</x:f>
        <x:v>Parcial</x:v>
      </x:c>
      <x:c r="U378" s="24" t="str">
        <x:v>Camila Andrea Galván</x:v>
      </x:c>
      <x:c r="V378" s="11" t="str">
        <x:v>Humano (facilitador interno) / Logístico / Material de apoyo</x:v>
      </x:c>
      <x:c r="W378" s="11" t="str">
        <x:v>Camila Andrea Galván</x:v>
      </x:c>
      <x:c r="X378" s="11" t="str">
        <x:v>Ejecutada</x:v>
      </x:c>
      <x:c r="Y378" s="52" t="str">
        <x:v>Actividad ejecutada satisfactoriamente; mantener evidencia y seguimiento.</x:v>
      </x:c>
    </x:row>
    <x:row r="379">
      <x:c r="A379" s="23" t="n">
        <x:v>378</x:v>
      </x:c>
      <x:c r="B379" s="24" t="n">
        <x:v>2025</x:v>
      </x:c>
      <x:c r="C379" s="24" t="str">
        <x:v>Noviembre</x:v>
      </x:c>
      <x:c r="D379" s="24" t="n">
        <x:v>11</x:v>
      </x:c>
      <x:c r="E379" s="24" t="str">
        <x:v>COPASST/CCL</x:v>
      </x:c>
      <x:c r="F379" s="24" t="str">
        <x:v>Socialización</x:v>
      </x:c>
      <x:c r="G379" s="24" t="str">
        <x:v>Interno</x:v>
      </x:c>
      <x:c r="H379" s="24" t="str">
        <x:v>Todos</x:v>
      </x:c>
      <x:c r="I379" s="24" t="str">
        <x:v>Girón</x:v>
      </x:c>
      <x:c r="J379" s="11" t="str">
        <x:v>Roles del COPASST y Comité de Convivencia</x:v>
      </x:c>
      <x:c r="K379" s="11" t="str">
        <x:v>Precisar responsabilidades de los comités y fomentar la participación en seguridad y convivencia.</x:v>
      </x:c>
      <x:c r="L379" s="24" t="n">
        <x:v>1</x:v>
      </x:c>
      <x:c r="M379" s="58" t="n">
        <x:v>45987</x:v>
      </x:c>
      <x:c r="N379" s="24" t="n">
        <x:v>1.5</x:v>
      </x:c>
      <x:c r="O379" s="24" t="n">
        <x:v>44</x:v>
      </x:c>
      <x:c r="P379" s="24" t="n">
        <x:v>41</x:v>
      </x:c>
      <x:c r="Q379" s="64" t="n">
        <x:f>IFERROR(P379/O379,0)</x:f>
        <x:v>0.9318181818181818</x:v>
      </x:c>
      <x:c r="R379" s="24" t="str">
        <x:v>Encuesta de comprensión</x:v>
      </x:c>
      <x:c r="S379" s="70" t="n">
        <x:v>4.9</x:v>
      </x:c>
      <x:c r="T379" s="24" t="str">
        <x:f>IF(XOR(X379="Reprogramada",X379="Cancelada"),"",IF(AND(Q379&gt;=0.8,S379&gt;=4),"Sí",IF(AND(Q379&gt;=0.65,S379&gt;=3.5),"Parcial","No")))</x:f>
        <x:v>Sí</x:v>
      </x:c>
      <x:c r="U379" s="24" t="str">
        <x:v>Camila Andrea Galván</x:v>
      </x:c>
      <x:c r="V379" s="11" t="str">
        <x:v>Humano (facilitador interno) / Logístico / Material de apoyo</x:v>
      </x:c>
      <x:c r="W379" s="11" t="str">
        <x:v>Jesús Guerrero</x:v>
      </x:c>
      <x:c r="X379" s="11" t="str">
        <x:v>Ejecutada</x:v>
      </x:c>
      <x:c r="Y379" s="52" t="str">
        <x:v>Actividad ejecutada satisfactoriamente; mantener evidencia y seguimiento.</x:v>
      </x:c>
    </x:row>
    <x:row r="380">
      <x:c r="A380" s="23" t="n">
        <x:v>379</x:v>
      </x:c>
      <x:c r="B380" s="24" t="n">
        <x:v>2025</x:v>
      </x:c>
      <x:c r="C380" s="24" t="str">
        <x:v>Noviembre</x:v>
      </x:c>
      <x:c r="D380" s="24" t="n">
        <x:v>11</x:v>
      </x:c>
      <x:c r="E380" s="24" t="str">
        <x:v>COPASST/CCL</x:v>
      </x:c>
      <x:c r="F380" s="24" t="str">
        <x:v>Socialización</x:v>
      </x:c>
      <x:c r="G380" s="24" t="str">
        <x:v>Interno</x:v>
      </x:c>
      <x:c r="H380" s="24" t="str">
        <x:v>Todos</x:v>
      </x:c>
      <x:c r="I380" s="24" t="str">
        <x:v>Valledupar</x:v>
      </x:c>
      <x:c r="J380" s="11" t="str">
        <x:v>Roles del COPASST y Comité de Convivencia</x:v>
      </x:c>
      <x:c r="K380" s="11" t="str">
        <x:v>Precisar responsabilidades de los comités y fomentar la participación en seguridad y convivencia.</x:v>
      </x:c>
      <x:c r="L380" s="24" t="n">
        <x:v>1</x:v>
      </x:c>
      <x:c r="M380" s="58" t="n">
        <x:v>45986</x:v>
      </x:c>
      <x:c r="N380" s="24" t="n">
        <x:v>1</x:v>
      </x:c>
      <x:c r="O380" s="24" t="n">
        <x:v>50</x:v>
      </x:c>
      <x:c r="P380" s="24" t="n">
        <x:v>41</x:v>
      </x:c>
      <x:c r="Q380" s="64" t="n">
        <x:f>IFERROR(P380/O380,0)</x:f>
        <x:v>0.82</x:v>
      </x:c>
      <x:c r="R380" s="24" t="str">
        <x:v>Encuesta de comprensión</x:v>
      </x:c>
      <x:c r="S380" s="70" t="n">
        <x:v>4.2</x:v>
      </x:c>
      <x:c r="T380" s="24" t="str">
        <x:f>IF(XOR(X380="Reprogramada",X380="Cancelada"),"",IF(AND(Q380&gt;=0.8,S380&gt;=4),"Sí",IF(AND(Q380&gt;=0.65,S380&gt;=3.5),"Parcial","No")))</x:f>
        <x:v>Sí</x:v>
      </x:c>
      <x:c r="U380" s="24" t="str">
        <x:v>Camila Andrea Galván</x:v>
      </x:c>
      <x:c r="V380" s="11" t="str">
        <x:v>Humano (facilitador interno) / Logístico / Material de apoyo</x:v>
      </x:c>
      <x:c r="W380" s="11" t="str">
        <x:v>Carlos Felipe Parada Ramón</x:v>
      </x:c>
      <x:c r="X380" s="11" t="str">
        <x:v>Ejecutada</x:v>
      </x:c>
      <x:c r="Y380" s="52" t="str">
        <x:v>Actividad ejecutada satisfactoriamente; mantener evidencia y seguimiento.</x:v>
      </x:c>
    </x:row>
    <x:row r="381">
      <x:c r="A381" s="23" t="n">
        <x:v>380</x:v>
      </x:c>
      <x:c r="B381" s="24" t="n">
        <x:v>2025</x:v>
      </x:c>
      <x:c r="C381" s="24" t="str">
        <x:v>Noviembre</x:v>
      </x:c>
      <x:c r="D381" s="24" t="n">
        <x:v>11</x:v>
      </x:c>
      <x:c r="E381" s="24" t="str">
        <x:v>COPASST/CCL</x:v>
      </x:c>
      <x:c r="F381" s="24" t="str">
        <x:v>Socialización</x:v>
      </x:c>
      <x:c r="G381" s="24" t="str">
        <x:v>Interno</x:v>
      </x:c>
      <x:c r="H381" s="24" t="str">
        <x:v>Todos</x:v>
      </x:c>
      <x:c r="I381" s="24" t="str">
        <x:v>Arauca</x:v>
      </x:c>
      <x:c r="J381" s="11" t="str">
        <x:v>Roles del COPASST y Comité de Convivencia</x:v>
      </x:c>
      <x:c r="K381" s="11" t="str">
        <x:v>Precisar responsabilidades de los comités y fomentar la participación en seguridad y convivencia.</x:v>
      </x:c>
      <x:c r="L381" s="24" t="n">
        <x:v>1</x:v>
      </x:c>
      <x:c r="M381" s="58" t="n">
        <x:v>45982</x:v>
      </x:c>
      <x:c r="N381" s="24" t="n">
        <x:v>1</x:v>
      </x:c>
      <x:c r="O381" s="24" t="n">
        <x:v>31</x:v>
      </x:c>
      <x:c r="P381" s="24" t="n">
        <x:v>25</x:v>
      </x:c>
      <x:c r="Q381" s="64" t="n">
        <x:f>IFERROR(P381/O381,0)</x:f>
        <x:v>0.8064516129032258</x:v>
      </x:c>
      <x:c r="R381" s="24" t="str">
        <x:v>Encuesta de comprensión</x:v>
      </x:c>
      <x:c r="S381" s="70" t="n">
        <x:v>4.3</x:v>
      </x:c>
      <x:c r="T381" s="24" t="str">
        <x:f>IF(XOR(X381="Reprogramada",X381="Cancelada"),"",IF(AND(Q381&gt;=0.8,S381&gt;=4),"Sí",IF(AND(Q381&gt;=0.65,S381&gt;=3.5),"Parcial","No")))</x:f>
        <x:v>Sí</x:v>
      </x:c>
      <x:c r="U381" s="24" t="str">
        <x:v>Camila Andrea Galván</x:v>
      </x:c>
      <x:c r="V381" s="11" t="str">
        <x:v>Humano (facilitador interno) / Logístico / Material de apoyo</x:v>
      </x:c>
      <x:c r="W381" s="11" t="str">
        <x:v>Camila Andrea Galván</x:v>
      </x:c>
      <x:c r="X381" s="11" t="str">
        <x:v>Ejecutada</x:v>
      </x:c>
      <x:c r="Y381" s="52" t="str">
        <x:v>Actividad ejecutada satisfactoriamente; mantener evidencia y seguimiento.</x:v>
      </x:c>
    </x:row>
    <x:row r="382">
      <x:c r="A382" s="23" t="n">
        <x:v>381</x:v>
      </x:c>
      <x:c r="B382" s="24" t="n">
        <x:v>2025</x:v>
      </x:c>
      <x:c r="C382" s="24" t="str">
        <x:v>Noviembre</x:v>
      </x:c>
      <x:c r="D382" s="24" t="n">
        <x:v>11</x:v>
      </x:c>
      <x:c r="E382" s="24" t="str">
        <x:v>COPASST/CCL</x:v>
      </x:c>
      <x:c r="F382" s="24" t="str">
        <x:v>Socialización</x:v>
      </x:c>
      <x:c r="G382" s="24" t="str">
        <x:v>Interno</x:v>
      </x:c>
      <x:c r="H382" s="24" t="str">
        <x:v>Todos</x:v>
      </x:c>
      <x:c r="I382" s="24" t="str">
        <x:v>Bogotá</x:v>
      </x:c>
      <x:c r="J382" s="11" t="str">
        <x:v>Roles del COPASST y Comité de Convivencia</x:v>
      </x:c>
      <x:c r="K382" s="11" t="str">
        <x:v>Precisar responsabilidades de los comités y fomentar la participación en seguridad y convivencia.</x:v>
      </x:c>
      <x:c r="L382" s="24" t="n">
        <x:v>1</x:v>
      </x:c>
      <x:c r="M382" s="58" t="n">
        <x:v>45980</x:v>
      </x:c>
      <x:c r="N382" s="24" t="n">
        <x:v>1</x:v>
      </x:c>
      <x:c r="O382" s="24" t="n">
        <x:v>67</x:v>
      </x:c>
      <x:c r="P382" s="24" t="n">
        <x:v>63</x:v>
      </x:c>
      <x:c r="Q382" s="64" t="n">
        <x:f>IFERROR(P382/O382,0)</x:f>
        <x:v>0.9402985074626866</x:v>
      </x:c>
      <x:c r="R382" s="24" t="str">
        <x:v>Encuesta de comprensión</x:v>
      </x:c>
      <x:c r="S382" s="70" t="n">
        <x:v>4.4</x:v>
      </x:c>
      <x:c r="T382" s="24" t="str">
        <x:f>IF(XOR(X382="Reprogramada",X382="Cancelada"),"",IF(AND(Q382&gt;=0.8,S382&gt;=4),"Sí",IF(AND(Q382&gt;=0.65,S382&gt;=3.5),"Parcial","No")))</x:f>
        <x:v>Sí</x:v>
      </x:c>
      <x:c r="U382" s="24" t="str">
        <x:v>Camila Andrea Galván</x:v>
      </x:c>
      <x:c r="V382" s="11" t="str">
        <x:v>Humano (facilitador interno) / Logístico / Material de apoyo</x:v>
      </x:c>
      <x:c r="W382" s="11" t="str">
        <x:v>Jesús Guerrero</x:v>
      </x:c>
      <x:c r="X382" s="11" t="str">
        <x:v>Ejecutada</x:v>
      </x:c>
      <x:c r="Y382" s="52" t="str">
        <x:v>Actividad ejecutada satisfactoriamente; mantener evidencia y seguimiento.</x:v>
      </x:c>
    </x:row>
    <x:row r="383">
      <x:c r="A383" s="23" t="n">
        <x:v>382</x:v>
      </x:c>
      <x:c r="B383" s="24" t="n">
        <x:v>2025</x:v>
      </x:c>
      <x:c r="C383" s="24" t="str">
        <x:v>Noviembre</x:v>
      </x:c>
      <x:c r="D383" s="24" t="n">
        <x:v>11</x:v>
      </x:c>
      <x:c r="E383" s="24" t="str">
        <x:v>COPASST/CCL</x:v>
      </x:c>
      <x:c r="F383" s="24" t="str">
        <x:v>Socialización</x:v>
      </x:c>
      <x:c r="G383" s="24" t="str">
        <x:v>Interno</x:v>
      </x:c>
      <x:c r="H383" s="24" t="str">
        <x:v>Todos</x:v>
      </x:c>
      <x:c r="I383" s="24" t="str">
        <x:v>Tibú</x:v>
      </x:c>
      <x:c r="J383" s="11" t="str">
        <x:v>Roles del COPASST y Comité de Convivencia</x:v>
      </x:c>
      <x:c r="K383" s="11" t="str">
        <x:v>Precisar responsabilidades de los comités y fomentar la participación en seguridad y convivencia.</x:v>
      </x:c>
      <x:c r="L383" s="24" t="n">
        <x:v>1</x:v>
      </x:c>
      <x:c r="M383" s="58" t="n">
        <x:v>45980</x:v>
      </x:c>
      <x:c r="N383" s="24" t="n">
        <x:v>1</x:v>
      </x:c>
      <x:c r="O383" s="24" t="n">
        <x:v>33</x:v>
      </x:c>
      <x:c r="P383" s="24" t="n">
        <x:v>29</x:v>
      </x:c>
      <x:c r="Q383" s="64" t="n">
        <x:f>IFERROR(P383/O383,0)</x:f>
        <x:v>0.8787878787878788</x:v>
      </x:c>
      <x:c r="R383" s="24" t="str">
        <x:v>Encuesta de comprensión</x:v>
      </x:c>
      <x:c r="S383" s="70" t="n">
        <x:v>4.2</x:v>
      </x:c>
      <x:c r="T383" s="24" t="str">
        <x:f>IF(XOR(X383="Reprogramada",X383="Cancelada"),"",IF(AND(Q383&gt;=0.8,S383&gt;=4),"Sí",IF(AND(Q383&gt;=0.65,S383&gt;=3.5),"Parcial","No")))</x:f>
        <x:v>Sí</x:v>
      </x:c>
      <x:c r="U383" s="24" t="str">
        <x:v>Camila Andrea Galván</x:v>
      </x:c>
      <x:c r="V383" s="11" t="str">
        <x:v>Humano (facilitador interno) / Logístico / Material de apoyo</x:v>
      </x:c>
      <x:c r="W383" s="11" t="str">
        <x:v>Carlos Felipe Parada Ramón</x:v>
      </x:c>
      <x:c r="X383" s="11" t="str">
        <x:v>Ejecutada</x:v>
      </x:c>
      <x:c r="Y383" s="52" t="str">
        <x:v>Actividad ejecutada satisfactoriamente; mantener evidencia y seguimiento.</x:v>
      </x:c>
    </x:row>
    <x:row r="384">
      <x:c r="A384" s="23" t="n">
        <x:v>383</x:v>
      </x:c>
      <x:c r="B384" s="24" t="n">
        <x:v>2025</x:v>
      </x:c>
      <x:c r="C384" s="24" t="str">
        <x:v>Noviembre</x:v>
      </x:c>
      <x:c r="D384" s="24" t="n">
        <x:v>11</x:v>
      </x:c>
      <x:c r="E384" s="24" t="str">
        <x:v>COPASST/CCL</x:v>
      </x:c>
      <x:c r="F384" s="24" t="str">
        <x:v>Socialización</x:v>
      </x:c>
      <x:c r="G384" s="24" t="str">
        <x:v>Interno</x:v>
      </x:c>
      <x:c r="H384" s="24" t="str">
        <x:v>Todos</x:v>
      </x:c>
      <x:c r="I384" s="24" t="str">
        <x:v>Medellín</x:v>
      </x:c>
      <x:c r="J384" s="11" t="str">
        <x:v>Roles del COPASST y Comité de Convivencia</x:v>
      </x:c>
      <x:c r="K384" s="11" t="str">
        <x:v>Precisar responsabilidades de los comités y fomentar la participación en seguridad y convivencia.</x:v>
      </x:c>
      <x:c r="L384" s="24" t="n">
        <x:v>1</x:v>
      </x:c>
      <x:c r="M384" s="58" t="n">
        <x:v>45987</x:v>
      </x:c>
      <x:c r="N384" s="24" t="n">
        <x:v>1</x:v>
      </x:c>
      <x:c r="O384" s="24" t="n">
        <x:v>62</x:v>
      </x:c>
      <x:c r="P384" s="24" t="n">
        <x:v>50</x:v>
      </x:c>
      <x:c r="Q384" s="64" t="n">
        <x:f>IFERROR(P384/O384,0)</x:f>
        <x:v>0.8064516129032258</x:v>
      </x:c>
      <x:c r="R384" s="24" t="str">
        <x:v>Encuesta de comprensión</x:v>
      </x:c>
      <x:c r="S384" s="70" t="n">
        <x:v>4.8</x:v>
      </x:c>
      <x:c r="T384" s="24" t="str">
        <x:f>IF(XOR(X384="Reprogramada",X384="Cancelada"),"",IF(AND(Q384&gt;=0.8,S384&gt;=4),"Sí",IF(AND(Q384&gt;=0.65,S384&gt;=3.5),"Parcial","No")))</x:f>
        <x:v>Sí</x:v>
      </x:c>
      <x:c r="U384" s="24" t="str">
        <x:v>Camila Andrea Galván</x:v>
      </x:c>
      <x:c r="V384" s="11" t="str">
        <x:v>Humano (facilitador interno) / Logístico / Material de apoyo</x:v>
      </x:c>
      <x:c r="W384" s="11" t="str">
        <x:v>Camila Andrea Galván</x:v>
      </x:c>
      <x:c r="X384" s="11" t="str">
        <x:v>Ejecutada</x:v>
      </x:c>
      <x:c r="Y384" s="52" t="str">
        <x:v>Actividad ejecutada satisfactoriamente; mantener evidencia y seguimiento.</x:v>
      </x:c>
    </x:row>
    <x:row r="385">
      <x:c r="A385" s="23" t="n">
        <x:v>384</x:v>
      </x:c>
      <x:c r="B385" s="24" t="n">
        <x:v>2025</x:v>
      </x:c>
      <x:c r="C385" s="24" t="str">
        <x:v>Noviembre</x:v>
      </x:c>
      <x:c r="D385" s="24" t="n">
        <x:v>11</x:v>
      </x:c>
      <x:c r="E385" s="24" t="str">
        <x:v>COPASST/CCL</x:v>
      </x:c>
      <x:c r="F385" s="24" t="str">
        <x:v>Socialización</x:v>
      </x:c>
      <x:c r="G385" s="24" t="str">
        <x:v>Interno</x:v>
      </x:c>
      <x:c r="H385" s="24" t="str">
        <x:v>Todos</x:v>
      </x:c>
      <x:c r="I385" s="24" t="str">
        <x:v>Ábrego</x:v>
      </x:c>
      <x:c r="J385" s="11" t="str">
        <x:v>Roles del COPASST y Comité de Convivencia</x:v>
      </x:c>
      <x:c r="K385" s="11" t="str">
        <x:v>Precisar responsabilidades de los comités y fomentar la participación en seguridad y convivencia.</x:v>
      </x:c>
      <x:c r="L385" s="24" t="n">
        <x:v>1</x:v>
      </x:c>
      <x:c r="M385" s="58" t="n">
        <x:v>45987</x:v>
      </x:c>
      <x:c r="N385" s="24" t="n">
        <x:v>1</x:v>
      </x:c>
      <x:c r="O385" s="24" t="n">
        <x:v>26</x:v>
      </x:c>
      <x:c r="P385" s="24" t="n">
        <x:v>23</x:v>
      </x:c>
      <x:c r="Q385" s="64" t="n">
        <x:f>IFERROR(P385/O385,0)</x:f>
        <x:v>0.8846153846153846</x:v>
      </x:c>
      <x:c r="R385" s="24" t="str">
        <x:v>Encuesta de comprensión</x:v>
      </x:c>
      <x:c r="S385" s="70" t="n">
        <x:v>4.5</x:v>
      </x:c>
      <x:c r="T385" s="24" t="str">
        <x:f>IF(XOR(X385="Reprogramada",X385="Cancelada"),"",IF(AND(Q385&gt;=0.8,S385&gt;=4),"Sí",IF(AND(Q385&gt;=0.65,S385&gt;=3.5),"Parcial","No")))</x:f>
        <x:v>Sí</x:v>
      </x:c>
      <x:c r="U385" s="24" t="str">
        <x:v>Camila Andrea Galván</x:v>
      </x:c>
      <x:c r="V385" s="11" t="str">
        <x:v>Humano (facilitador interno) / Logístico / Material de apoyo</x:v>
      </x:c>
      <x:c r="W385" s="11" t="str">
        <x:v>Jesús Guerrero</x:v>
      </x:c>
      <x:c r="X385" s="11" t="str">
        <x:v>Ejecutada</x:v>
      </x:c>
      <x:c r="Y385" s="52" t="str">
        <x:v>Actividad ejecutada satisfactoriamente; mantener evidencia y seguimiento.</x:v>
      </x:c>
    </x:row>
    <x:row r="386">
      <x:c r="A386" s="23" t="n">
        <x:v>385</x:v>
      </x:c>
      <x:c r="B386" s="24" t="n">
        <x:v>2025</x:v>
      </x:c>
      <x:c r="C386" s="24" t="str">
        <x:v>Noviembre</x:v>
      </x:c>
      <x:c r="D386" s="24" t="n">
        <x:v>11</x:v>
      </x:c>
      <x:c r="E386" s="24" t="str">
        <x:v>COPASST/CCL</x:v>
      </x:c>
      <x:c r="F386" s="24" t="str">
        <x:v>Socialización</x:v>
      </x:c>
      <x:c r="G386" s="24" t="str">
        <x:v>Interno</x:v>
      </x:c>
      <x:c r="H386" s="24" t="str">
        <x:v>Todos</x:v>
      </x:c>
      <x:c r="I386" s="24" t="str">
        <x:v>Pamplona</x:v>
      </x:c>
      <x:c r="J386" s="11" t="str">
        <x:v>Roles del COPASST y Comité de Convivencia</x:v>
      </x:c>
      <x:c r="K386" s="11" t="str">
        <x:v>Precisar responsabilidades de los comités y fomentar la participación en seguridad y convivencia.</x:v>
      </x:c>
      <x:c r="L386" s="24" t="n">
        <x:v>1</x:v>
      </x:c>
      <x:c r="M386" s="58" t="n">
        <x:v>45972</x:v>
      </x:c>
      <x:c r="N386" s="24" t="n">
        <x:v>1</x:v>
      </x:c>
      <x:c r="O386" s="24" t="n">
        <x:v>29</x:v>
      </x:c>
      <x:c r="P386" s="24" t="n">
        <x:v>28</x:v>
      </x:c>
      <x:c r="Q386" s="64" t="n">
        <x:f>IFERROR(P386/O386,0)</x:f>
        <x:v>0.9655172413793104</x:v>
      </x:c>
      <x:c r="R386" s="24" t="str">
        <x:v>Encuesta de comprensión</x:v>
      </x:c>
      <x:c r="S386" s="70" t="n">
        <x:v>4.4</x:v>
      </x:c>
      <x:c r="T386" s="24" t="str">
        <x:f>IF(XOR(X386="Reprogramada",X386="Cancelada"),"",IF(AND(Q386&gt;=0.8,S386&gt;=4),"Sí",IF(AND(Q386&gt;=0.65,S386&gt;=3.5),"Parcial","No")))</x:f>
        <x:v>Sí</x:v>
      </x:c>
      <x:c r="U386" s="24" t="str">
        <x:v>Camila Andrea Galván</x:v>
      </x:c>
      <x:c r="V386" s="11" t="str">
        <x:v>Humano (facilitador interno) / Logístico / Material de apoyo</x:v>
      </x:c>
      <x:c r="W386" s="11" t="str">
        <x:v>Carlos Felipe Parada Ramón</x:v>
      </x:c>
      <x:c r="X386" s="11" t="str">
        <x:v>Ejecutada</x:v>
      </x:c>
      <x:c r="Y386" s="52" t="str">
        <x:v>Actividad ejecutada satisfactoriamente; mantener evidencia y seguimiento.</x:v>
      </x:c>
    </x:row>
    <x:row r="387">
      <x:c r="A387" s="23" t="n">
        <x:v>386</x:v>
      </x:c>
      <x:c r="B387" s="24" t="n">
        <x:v>2025</x:v>
      </x:c>
      <x:c r="C387" s="24" t="str">
        <x:v>Diciembre</x:v>
      </x:c>
      <x:c r="D387" s="24" t="n">
        <x:v>12</x:v>
      </x:c>
      <x:c r="E387" s="24" t="str">
        <x:v>General</x:v>
      </x:c>
      <x:c r="F387" s="24" t="str">
        <x:v>Capacitación</x:v>
      </x:c>
      <x:c r="G387" s="24" t="str">
        <x:v>Interno</x:v>
      </x:c>
      <x:c r="H387" s="24" t="str">
        <x:v>Todos</x:v>
      </x:c>
      <x:c r="I387" s="24" t="str">
        <x:v>Cúcuta</x:v>
      </x:c>
      <x:c r="J387" s="11" t="str">
        <x:v>Balance SST 2025 y planificación 2026</x:v>
      </x:c>
      <x:c r="K387" s="11" t="str">
        <x:v>Realizar cierre de gestión, identificar brechas y orientar la planificación del siguiente año.</x:v>
      </x:c>
      <x:c r="L387" s="24" t="n">
        <x:v>1</x:v>
      </x:c>
      <x:c r="M387" s="58" t="n">
        <x:v>46013</x:v>
      </x:c>
      <x:c r="N387" s="24" t="n">
        <x:v>1.5</x:v>
      </x:c>
      <x:c r="O387" s="24" t="n">
        <x:v>83</x:v>
      </x:c>
      <x:c r="P387" s="24" t="n">
        <x:v>80</x:v>
      </x:c>
      <x:c r="Q387" s="64" t="n">
        <x:f>IFERROR(P387/O387,0)</x:f>
        <x:v>0.963855421686747</x:v>
      </x:c>
      <x:c r="R387" s="24" t="str">
        <x:v>Retroalimentación grupal</x:v>
      </x:c>
      <x:c r="S387" s="70" t="n">
        <x:v>4.9</x:v>
      </x:c>
      <x:c r="T387" s="24" t="str">
        <x:f>IF(XOR(X387="Reprogramada",X387="Cancelada"),"",IF(AND(Q387&gt;=0.8,S387&gt;=4),"Sí",IF(AND(Q387&gt;=0.65,S387&gt;=3.5),"Parcial","No")))</x:f>
        <x:v>Sí</x:v>
      </x:c>
      <x:c r="U387" s="24" t="str">
        <x:v>Carlos Felipe Parada Ramón</x:v>
      </x:c>
      <x:c r="V387" s="11" t="str">
        <x:v>Humano (facilitador interno) / Logístico / Material de apoyo</x:v>
      </x:c>
      <x:c r="W387" s="11" t="str">
        <x:v>Camila Andrea Galván</x:v>
      </x:c>
      <x:c r="X387" s="11" t="str">
        <x:v>Ejecutada</x:v>
      </x:c>
      <x:c r="Y387" s="52" t="str">
        <x:v>Actividad ejecutada satisfactoriamente; mantener evidencia y seguimiento.</x:v>
      </x:c>
    </x:row>
    <x:row r="388">
      <x:c r="A388" s="23" t="n">
        <x:v>387</x:v>
      </x:c>
      <x:c r="B388" s="24" t="n">
        <x:v>2025</x:v>
      </x:c>
      <x:c r="C388" s="24" t="str">
        <x:v>Diciembre</x:v>
      </x:c>
      <x:c r="D388" s="24" t="n">
        <x:v>12</x:v>
      </x:c>
      <x:c r="E388" s="24" t="str">
        <x:v>General</x:v>
      </x:c>
      <x:c r="F388" s="24" t="str">
        <x:v>Capacitación</x:v>
      </x:c>
      <x:c r="G388" s="24" t="str">
        <x:v>Interno</x:v>
      </x:c>
      <x:c r="H388" s="24" t="str">
        <x:v>Todos</x:v>
      </x:c>
      <x:c r="I388" s="24" t="str">
        <x:v>Barrancabermeja</x:v>
      </x:c>
      <x:c r="J388" s="11" t="str">
        <x:v>Balance SST 2025 y planificación 2026</x:v>
      </x:c>
      <x:c r="K388" s="11" t="str">
        <x:v>Realizar cierre de gestión, identificar brechas y orientar la planificación del siguiente año.</x:v>
      </x:c>
      <x:c r="L388" s="24" t="n">
        <x:v>1</x:v>
      </x:c>
      <x:c r="M388" s="58" t="n">
        <x:v>46008</x:v>
      </x:c>
      <x:c r="N388" s="24" t="n">
        <x:v>1</x:v>
      </x:c>
      <x:c r="O388" s="24" t="n">
        <x:v>56</x:v>
      </x:c>
      <x:c r="P388" s="24" t="n">
        <x:v>53</x:v>
      </x:c>
      <x:c r="Q388" s="64" t="n">
        <x:f>IFERROR(P388/O388,0)</x:f>
        <x:v>0.9464285714285714</x:v>
      </x:c>
      <x:c r="R388" s="24" t="str">
        <x:v>Retroalimentación grupal</x:v>
      </x:c>
      <x:c r="S388" s="70" t="n">
        <x:v>4.3</x:v>
      </x:c>
      <x:c r="T388" s="24" t="str">
        <x:f>IF(XOR(X388="Reprogramada",X388="Cancelada"),"",IF(AND(Q388&gt;=0.8,S388&gt;=4),"Sí",IF(AND(Q388&gt;=0.65,S388&gt;=3.5),"Parcial","No")))</x:f>
        <x:v>Sí</x:v>
      </x:c>
      <x:c r="U388" s="24" t="str">
        <x:v>Carlos Felipe Parada Ramón</x:v>
      </x:c>
      <x:c r="V388" s="11" t="str">
        <x:v>Humano (facilitador interno) / Logístico / Material de apoyo</x:v>
      </x:c>
      <x:c r="W388" s="11" t="str">
        <x:v>Jesús Guerrero</x:v>
      </x:c>
      <x:c r="X388" s="11" t="str">
        <x:v>Ejecutada</x:v>
      </x:c>
      <x:c r="Y388" s="52" t="str">
        <x:v>Actividad ejecutada satisfactoriamente; mantener evidencia y seguimiento.</x:v>
      </x:c>
    </x:row>
    <x:row r="389">
      <x:c r="A389" s="23" t="n">
        <x:v>388</x:v>
      </x:c>
      <x:c r="B389" s="24" t="n">
        <x:v>2025</x:v>
      </x:c>
      <x:c r="C389" s="24" t="str">
        <x:v>Diciembre</x:v>
      </x:c>
      <x:c r="D389" s="24" t="n">
        <x:v>12</x:v>
      </x:c>
      <x:c r="E389" s="24" t="str">
        <x:v>General</x:v>
      </x:c>
      <x:c r="F389" s="24" t="str">
        <x:v>Capacitación</x:v>
      </x:c>
      <x:c r="G389" s="24" t="str">
        <x:v>Interno</x:v>
      </x:c>
      <x:c r="H389" s="24" t="str">
        <x:v>Todos</x:v>
      </x:c>
      <x:c r="I389" s="24" t="str">
        <x:v>Ocaña</x:v>
      </x:c>
      <x:c r="J389" s="11" t="str">
        <x:v>Balance SST 2025 y planificación 2026</x:v>
      </x:c>
      <x:c r="K389" s="11" t="str">
        <x:v>Realizar cierre de gestión, identificar brechas y orientar la planificación del siguiente año.</x:v>
      </x:c>
      <x:c r="L389" s="24" t="n">
        <x:v>1</x:v>
      </x:c>
      <x:c r="M389" s="58" t="n">
        <x:v>46007</x:v>
      </x:c>
      <x:c r="N389" s="24" t="n">
        <x:v>1</x:v>
      </x:c>
      <x:c r="O389" s="24" t="n">
        <x:v>39</x:v>
      </x:c>
      <x:c r="P389" s="24" t="n">
        <x:v>34</x:v>
      </x:c>
      <x:c r="Q389" s="64" t="n">
        <x:f>IFERROR(P389/O389,0)</x:f>
        <x:v>0.8717948717948718</x:v>
      </x:c>
      <x:c r="R389" s="24" t="str">
        <x:v>Retroalimentación grupal</x:v>
      </x:c>
      <x:c r="S389" s="70" t="n">
        <x:v>4.4</x:v>
      </x:c>
      <x:c r="T389" s="24" t="str">
        <x:f>IF(XOR(X389="Reprogramada",X389="Cancelada"),"",IF(AND(Q389&gt;=0.8,S389&gt;=4),"Sí",IF(AND(Q389&gt;=0.65,S389&gt;=3.5),"Parcial","No")))</x:f>
        <x:v>Sí</x:v>
      </x:c>
      <x:c r="U389" s="24" t="str">
        <x:v>Carlos Felipe Parada Ramón</x:v>
      </x:c>
      <x:c r="V389" s="11" t="str">
        <x:v>Humano (facilitador interno) / Logístico / Material de apoyo</x:v>
      </x:c>
      <x:c r="W389" s="11" t="str">
        <x:v>Carlos Felipe Parada Ramón</x:v>
      </x:c>
      <x:c r="X389" s="11" t="str">
        <x:v>Ejecutada</x:v>
      </x:c>
      <x:c r="Y389" s="52" t="str">
        <x:v>Actividad ejecutada satisfactoriamente; mantener evidencia y seguimiento.</x:v>
      </x:c>
    </x:row>
    <x:row r="390">
      <x:c r="A390" s="23" t="n">
        <x:v>389</x:v>
      </x:c>
      <x:c r="B390" s="24" t="n">
        <x:v>2025</x:v>
      </x:c>
      <x:c r="C390" s="24" t="str">
        <x:v>Diciembre</x:v>
      </x:c>
      <x:c r="D390" s="24" t="n">
        <x:v>12</x:v>
      </x:c>
      <x:c r="E390" s="24" t="str">
        <x:v>General</x:v>
      </x:c>
      <x:c r="F390" s="24" t="str">
        <x:v>Capacitación</x:v>
      </x:c>
      <x:c r="G390" s="24" t="str">
        <x:v>Interno</x:v>
      </x:c>
      <x:c r="H390" s="24" t="str">
        <x:v>Todos</x:v>
      </x:c>
      <x:c r="I390" s="24" t="str">
        <x:v>Girón</x:v>
      </x:c>
      <x:c r="J390" s="11" t="str">
        <x:v>Balance SST 2025 y planificación 2026</x:v>
      </x:c>
      <x:c r="K390" s="11" t="str">
        <x:v>Realizar cierre de gestión, identificar brechas y orientar la planificación del siguiente año.</x:v>
      </x:c>
      <x:c r="L390" s="24" t="n">
        <x:v>1</x:v>
      </x:c>
      <x:c r="M390" s="58" t="n">
        <x:v>46014</x:v>
      </x:c>
      <x:c r="N390" s="24" t="n">
        <x:v>1.5</x:v>
      </x:c>
      <x:c r="O390" s="24" t="n">
        <x:v>44</x:v>
      </x:c>
      <x:c r="P390" s="24" t="n">
        <x:v>42</x:v>
      </x:c>
      <x:c r="Q390" s="64" t="n">
        <x:f>IFERROR(P390/O390,0)</x:f>
        <x:v>0.9545454545454546</x:v>
      </x:c>
      <x:c r="R390" s="24" t="str">
        <x:v>Retroalimentación grupal</x:v>
      </x:c>
      <x:c r="S390" s="70" t="n">
        <x:v>4.5</x:v>
      </x:c>
      <x:c r="T390" s="24" t="str">
        <x:f>IF(XOR(X390="Reprogramada",X390="Cancelada"),"",IF(AND(Q390&gt;=0.8,S390&gt;=4),"Sí",IF(AND(Q390&gt;=0.65,S390&gt;=3.5),"Parcial","No")))</x:f>
        <x:v>Sí</x:v>
      </x:c>
      <x:c r="U390" s="24" t="str">
        <x:v>Carlos Felipe Parada Ramón</x:v>
      </x:c>
      <x:c r="V390" s="11" t="str">
        <x:v>Humano (facilitador interno) / Logístico / Material de apoyo</x:v>
      </x:c>
      <x:c r="W390" s="11" t="str">
        <x:v>Camila Andrea Galván</x:v>
      </x:c>
      <x:c r="X390" s="11" t="str">
        <x:v>Ejecutada</x:v>
      </x:c>
      <x:c r="Y390" s="52" t="str">
        <x:v>Actividad ejecutada satisfactoriamente; mantener evidencia y seguimiento.</x:v>
      </x:c>
    </x:row>
    <x:row r="391">
      <x:c r="A391" s="23" t="n">
        <x:v>390</x:v>
      </x:c>
      <x:c r="B391" s="24" t="n">
        <x:v>2025</x:v>
      </x:c>
      <x:c r="C391" s="24" t="str">
        <x:v>Diciembre</x:v>
      </x:c>
      <x:c r="D391" s="24" t="n">
        <x:v>12</x:v>
      </x:c>
      <x:c r="E391" s="24" t="str">
        <x:v>General</x:v>
      </x:c>
      <x:c r="F391" s="24" t="str">
        <x:v>Capacitación</x:v>
      </x:c>
      <x:c r="G391" s="24" t="str">
        <x:v>Interno</x:v>
      </x:c>
      <x:c r="H391" s="24" t="str">
        <x:v>Todos</x:v>
      </x:c>
      <x:c r="I391" s="24" t="str">
        <x:v>Valledupar</x:v>
      </x:c>
      <x:c r="J391" s="11" t="str">
        <x:v>Balance SST 2025 y planificación 2026</x:v>
      </x:c>
      <x:c r="K391" s="11" t="str">
        <x:v>Realizar cierre de gestión, identificar brechas y orientar la planificación del siguiente año.</x:v>
      </x:c>
      <x:c r="L391" s="24" t="n">
        <x:v>1</x:v>
      </x:c>
      <x:c r="M391" s="58" t="n">
        <x:v>46008</x:v>
      </x:c>
      <x:c r="N391" s="24" t="n">
        <x:v>1</x:v>
      </x:c>
      <x:c r="O391" s="24" t="n">
        <x:v>50</x:v>
      </x:c>
      <x:c r="P391" s="24" t="n">
        <x:v>42</x:v>
      </x:c>
      <x:c r="Q391" s="64" t="n">
        <x:f>IFERROR(P391/O391,0)</x:f>
        <x:v>0.84</x:v>
      </x:c>
      <x:c r="R391" s="24" t="str">
        <x:v>Retroalimentación grupal</x:v>
      </x:c>
      <x:c r="S391" s="70" t="n">
        <x:v>4.5</x:v>
      </x:c>
      <x:c r="T391" s="24" t="str">
        <x:f>IF(XOR(X391="Reprogramada",X391="Cancelada"),"",IF(AND(Q391&gt;=0.8,S391&gt;=4),"Sí",IF(AND(Q391&gt;=0.65,S391&gt;=3.5),"Parcial","No")))</x:f>
        <x:v>Sí</x:v>
      </x:c>
      <x:c r="U391" s="24" t="str">
        <x:v>Carlos Felipe Parada Ramón</x:v>
      </x:c>
      <x:c r="V391" s="11" t="str">
        <x:v>Humano (facilitador interno) / Logístico / Material de apoyo</x:v>
      </x:c>
      <x:c r="W391" s="11" t="str">
        <x:v>Jesús Guerrero</x:v>
      </x:c>
      <x:c r="X391" s="11" t="str">
        <x:v>Ejecutada</x:v>
      </x:c>
      <x:c r="Y391" s="52" t="str">
        <x:v>Actividad ejecutada satisfactoriamente; mantener evidencia y seguimiento.</x:v>
      </x:c>
    </x:row>
    <x:row r="392">
      <x:c r="A392" s="23" t="n">
        <x:v>391</x:v>
      </x:c>
      <x:c r="B392" s="24" t="n">
        <x:v>2025</x:v>
      </x:c>
      <x:c r="C392" s="24" t="str">
        <x:v>Diciembre</x:v>
      </x:c>
      <x:c r="D392" s="24" t="n">
        <x:v>12</x:v>
      </x:c>
      <x:c r="E392" s="24" t="str">
        <x:v>General</x:v>
      </x:c>
      <x:c r="F392" s="24" t="str">
        <x:v>Capacitación</x:v>
      </x:c>
      <x:c r="G392" s="24" t="str">
        <x:v>Interno</x:v>
      </x:c>
      <x:c r="H392" s="24" t="str">
        <x:v>Todos</x:v>
      </x:c>
      <x:c r="I392" s="24" t="str">
        <x:v>Arauca</x:v>
      </x:c>
      <x:c r="J392" s="11" t="str">
        <x:v>Balance SST 2025 y planificación 2026</x:v>
      </x:c>
      <x:c r="K392" s="11" t="str">
        <x:v>Realizar cierre de gestión, identificar brechas y orientar la planificación del siguiente año.</x:v>
      </x:c>
      <x:c r="L392" s="24" t="n">
        <x:v>1</x:v>
      </x:c>
      <x:c r="M392" s="58" t="n">
        <x:v>46011</x:v>
      </x:c>
      <x:c r="N392" s="24" t="n">
        <x:v>1.5</x:v>
      </x:c>
      <x:c r="O392" s="24" t="n">
        <x:v>31</x:v>
      </x:c>
      <x:c r="P392" s="24" t="n">
        <x:v>30</x:v>
      </x:c>
      <x:c r="Q392" s="64" t="n">
        <x:f>IFERROR(P392/O392,0)</x:f>
        <x:v>0.967741935483871</x:v>
      </x:c>
      <x:c r="R392" s="24" t="str">
        <x:v>Retroalimentación grupal</x:v>
      </x:c>
      <x:c r="S392" s="70" t="n">
        <x:v>4.4</x:v>
      </x:c>
      <x:c r="T392" s="24" t="str">
        <x:f>IF(XOR(X392="Reprogramada",X392="Cancelada"),"",IF(AND(Q392&gt;=0.8,S392&gt;=4),"Sí",IF(AND(Q392&gt;=0.65,S392&gt;=3.5),"Parcial","No")))</x:f>
        <x:v>Sí</x:v>
      </x:c>
      <x:c r="U392" s="24" t="str">
        <x:v>Carlos Felipe Parada Ramón</x:v>
      </x:c>
      <x:c r="V392" s="11" t="str">
        <x:v>Humano (facilitador interno) / Logístico / Material de apoyo</x:v>
      </x:c>
      <x:c r="W392" s="11" t="str">
        <x:v>Carlos Felipe Parada Ramón</x:v>
      </x:c>
      <x:c r="X392" s="11" t="str">
        <x:v>Ejecutada</x:v>
      </x:c>
      <x:c r="Y392" s="52" t="str">
        <x:v>Actividad ejecutada satisfactoriamente; mantener evidencia y seguimiento.</x:v>
      </x:c>
    </x:row>
    <x:row r="393">
      <x:c r="A393" s="23" t="n">
        <x:v>392</x:v>
      </x:c>
      <x:c r="B393" s="24" t="n">
        <x:v>2025</x:v>
      </x:c>
      <x:c r="C393" s="24" t="str">
        <x:v>Diciembre</x:v>
      </x:c>
      <x:c r="D393" s="24" t="n">
        <x:v>12</x:v>
      </x:c>
      <x:c r="E393" s="24" t="str">
        <x:v>General</x:v>
      </x:c>
      <x:c r="F393" s="24" t="str">
        <x:v>Capacitación</x:v>
      </x:c>
      <x:c r="G393" s="24" t="str">
        <x:v>Interno</x:v>
      </x:c>
      <x:c r="H393" s="24" t="str">
        <x:v>Todos</x:v>
      </x:c>
      <x:c r="I393" s="24" t="str">
        <x:v>Bogotá</x:v>
      </x:c>
      <x:c r="J393" s="11" t="str">
        <x:v>Balance SST 2025 y planificación 2026</x:v>
      </x:c>
      <x:c r="K393" s="11" t="str">
        <x:v>Realizar cierre de gestión, identificar brechas y orientar la planificación del siguiente año.</x:v>
      </x:c>
      <x:c r="L393" s="24" t="n">
        <x:v>1</x:v>
      </x:c>
      <x:c r="M393" s="58" t="n">
        <x:v>46014</x:v>
      </x:c>
      <x:c r="N393" s="24" t="n">
        <x:v>1</x:v>
      </x:c>
      <x:c r="O393" s="24" t="n">
        <x:v>67</x:v>
      </x:c>
      <x:c r="P393" s="24" t="n">
        <x:v>59</x:v>
      </x:c>
      <x:c r="Q393" s="64" t="n">
        <x:f>IFERROR(P393/O393,0)</x:f>
        <x:v>0.8805970149253731</x:v>
      </x:c>
      <x:c r="R393" s="24" t="str">
        <x:v>Retroalimentación grupal</x:v>
      </x:c>
      <x:c r="S393" s="70" t="n">
        <x:v>4.6</x:v>
      </x:c>
      <x:c r="T393" s="24" t="str">
        <x:f>IF(XOR(X393="Reprogramada",X393="Cancelada"),"",IF(AND(Q393&gt;=0.8,S393&gt;=4),"Sí",IF(AND(Q393&gt;=0.65,S393&gt;=3.5),"Parcial","No")))</x:f>
        <x:v>Sí</x:v>
      </x:c>
      <x:c r="U393" s="24" t="str">
        <x:v>Carlos Felipe Parada Ramón</x:v>
      </x:c>
      <x:c r="V393" s="11" t="str">
        <x:v>Humano (facilitador interno) / Logístico / Material de apoyo</x:v>
      </x:c>
      <x:c r="W393" s="11" t="str">
        <x:v>Camila Andrea Galván</x:v>
      </x:c>
      <x:c r="X393" s="11" t="str">
        <x:v>Ejecutada</x:v>
      </x:c>
      <x:c r="Y393" s="52" t="str">
        <x:v>Actividad ejecutada satisfactoriamente; mantener evidencia y seguimiento.</x:v>
      </x:c>
    </x:row>
    <x:row r="394">
      <x:c r="A394" s="23" t="n">
        <x:v>393</x:v>
      </x:c>
      <x:c r="B394" s="24" t="n">
        <x:v>2025</x:v>
      </x:c>
      <x:c r="C394" s="24" t="str">
        <x:v>Diciembre</x:v>
      </x:c>
      <x:c r="D394" s="24" t="n">
        <x:v>12</x:v>
      </x:c>
      <x:c r="E394" s="24" t="str">
        <x:v>General</x:v>
      </x:c>
      <x:c r="F394" s="24" t="str">
        <x:v>Capacitación</x:v>
      </x:c>
      <x:c r="G394" s="24" t="str">
        <x:v>Interno</x:v>
      </x:c>
      <x:c r="H394" s="24" t="str">
        <x:v>Todos</x:v>
      </x:c>
      <x:c r="I394" s="24" t="str">
        <x:v>Tibú</x:v>
      </x:c>
      <x:c r="J394" s="11" t="str">
        <x:v>Balance SST 2025 y planificación 2026</x:v>
      </x:c>
      <x:c r="K394" s="11" t="str">
        <x:v>Realizar cierre de gestión, identificar brechas y orientar la planificación del siguiente año.</x:v>
      </x:c>
      <x:c r="L394" s="24" t="n">
        <x:v>1</x:v>
      </x:c>
      <x:c r="M394" s="58"/>
      <x:c r="N394" s="24" t="n">
        <x:v>0</x:v>
      </x:c>
      <x:c r="O394" s="24" t="n">
        <x:v>33</x:v>
      </x:c>
      <x:c r="P394" s="24"/>
      <x:c r="Q394" s="64" t="n">
        <x:f>IFERROR(P394/O394,0)</x:f>
        <x:v>0</x:v>
      </x:c>
      <x:c r="R394" s="24" t="str">
        <x:v>Retroalimentación grupal</x:v>
      </x:c>
      <x:c r="S394" s="70"/>
      <x:c r="T394" s="24" t="str">
        <x:f>IF(XOR(X394="Reprogramada",X394="Cancelada"),"",IF(AND(Q394&gt;=0.8,S394&gt;=4),"Sí",IF(AND(Q394&gt;=0.65,S394&gt;=3.5),"Parcial","No")))</x:f>
      </x:c>
      <x:c r="U394" s="24" t="str">
        <x:v>Carlos Felipe Parada Ramón</x:v>
      </x:c>
      <x:c r="V394" s="11" t="str">
        <x:v>Humano (facilitador interno) / Logístico / Material de apoyo</x:v>
      </x:c>
      <x:c r="W394" s="11" t="str">
        <x:v>Jesús Guerrero</x:v>
      </x:c>
      <x:c r="X394" s="11" t="str">
        <x:v>Cancelada</x:v>
      </x:c>
      <x:c r="Y394" s="52" t="str">
        <x:v>Actividad cancelada por reorganización operativa o priorización de otras necesidades.</x:v>
      </x:c>
    </x:row>
    <x:row r="395">
      <x:c r="A395" s="23" t="n">
        <x:v>394</x:v>
      </x:c>
      <x:c r="B395" s="24" t="n">
        <x:v>2025</x:v>
      </x:c>
      <x:c r="C395" s="24" t="str">
        <x:v>Diciembre</x:v>
      </x:c>
      <x:c r="D395" s="24" t="n">
        <x:v>12</x:v>
      </x:c>
      <x:c r="E395" s="24" t="str">
        <x:v>General</x:v>
      </x:c>
      <x:c r="F395" s="24" t="str">
        <x:v>Capacitación</x:v>
      </x:c>
      <x:c r="G395" s="24" t="str">
        <x:v>Interno</x:v>
      </x:c>
      <x:c r="H395" s="24" t="str">
        <x:v>Todos</x:v>
      </x:c>
      <x:c r="I395" s="24" t="str">
        <x:v>Medellín</x:v>
      </x:c>
      <x:c r="J395" s="11" t="str">
        <x:v>Balance SST 2025 y planificación 2026</x:v>
      </x:c>
      <x:c r="K395" s="11" t="str">
        <x:v>Realizar cierre de gestión, identificar brechas y orientar la planificación del siguiente año.</x:v>
      </x:c>
      <x:c r="L395" s="24" t="n">
        <x:v>1</x:v>
      </x:c>
      <x:c r="M395" s="58" t="n">
        <x:v>46017</x:v>
      </x:c>
      <x:c r="N395" s="24" t="n">
        <x:v>1</x:v>
      </x:c>
      <x:c r="O395" s="24" t="n">
        <x:v>62</x:v>
      </x:c>
      <x:c r="P395" s="24" t="n">
        <x:v>57</x:v>
      </x:c>
      <x:c r="Q395" s="64" t="n">
        <x:f>IFERROR(P395/O395,0)</x:f>
        <x:v>0.9193548387096774</x:v>
      </x:c>
      <x:c r="R395" s="24" t="str">
        <x:v>Retroalimentación grupal</x:v>
      </x:c>
      <x:c r="S395" s="70" t="n">
        <x:v>4.4</x:v>
      </x:c>
      <x:c r="T395" s="24" t="str">
        <x:f>IF(XOR(X395="Reprogramada",X395="Cancelada"),"",IF(AND(Q395&gt;=0.8,S395&gt;=4),"Sí",IF(AND(Q395&gt;=0.65,S395&gt;=3.5),"Parcial","No")))</x:f>
        <x:v>Sí</x:v>
      </x:c>
      <x:c r="U395" s="24" t="str">
        <x:v>Carlos Felipe Parada Ramón</x:v>
      </x:c>
      <x:c r="V395" s="11" t="str">
        <x:v>Humano (facilitador interno) / Logístico / Material de apoyo</x:v>
      </x:c>
      <x:c r="W395" s="11" t="str">
        <x:v>Carlos Felipe Parada Ramón</x:v>
      </x:c>
      <x:c r="X395" s="11" t="str">
        <x:v>Ejecutada</x:v>
      </x:c>
      <x:c r="Y395" s="52" t="str">
        <x:v>Actividad ejecutada satisfactoriamente; mantener evidencia y seguimiento.</x:v>
      </x:c>
    </x:row>
    <x:row r="396">
      <x:c r="A396" s="23" t="n">
        <x:v>395</x:v>
      </x:c>
      <x:c r="B396" s="24" t="n">
        <x:v>2025</x:v>
      </x:c>
      <x:c r="C396" s="24" t="str">
        <x:v>Diciembre</x:v>
      </x:c>
      <x:c r="D396" s="24" t="n">
        <x:v>12</x:v>
      </x:c>
      <x:c r="E396" s="24" t="str">
        <x:v>General</x:v>
      </x:c>
      <x:c r="F396" s="24" t="str">
        <x:v>Capacitación</x:v>
      </x:c>
      <x:c r="G396" s="24" t="str">
        <x:v>Interno</x:v>
      </x:c>
      <x:c r="H396" s="24" t="str">
        <x:v>Todos</x:v>
      </x:c>
      <x:c r="I396" s="24" t="str">
        <x:v>Ábrego</x:v>
      </x:c>
      <x:c r="J396" s="11" t="str">
        <x:v>Balance SST 2025 y planificación 2026</x:v>
      </x:c>
      <x:c r="K396" s="11" t="str">
        <x:v>Realizar cierre de gestión, identificar brechas y orientar la planificación del siguiente año.</x:v>
      </x:c>
      <x:c r="L396" s="24" t="n">
        <x:v>1</x:v>
      </x:c>
      <x:c r="M396" s="58" t="n">
        <x:v>46007</x:v>
      </x:c>
      <x:c r="N396" s="24" t="n">
        <x:v>1</x:v>
      </x:c>
      <x:c r="O396" s="24" t="n">
        <x:v>26</x:v>
      </x:c>
      <x:c r="P396" s="24" t="n">
        <x:v>25</x:v>
      </x:c>
      <x:c r="Q396" s="64" t="n">
        <x:f>IFERROR(P396/O396,0)</x:f>
        <x:v>0.9615384615384616</x:v>
      </x:c>
      <x:c r="R396" s="24" t="str">
        <x:v>Retroalimentación grupal</x:v>
      </x:c>
      <x:c r="S396" s="70" t="n">
        <x:v>4.1</x:v>
      </x:c>
      <x:c r="T396" s="24" t="str">
        <x:f>IF(XOR(X396="Reprogramada",X396="Cancelada"),"",IF(AND(Q396&gt;=0.8,S396&gt;=4),"Sí",IF(AND(Q396&gt;=0.65,S396&gt;=3.5),"Parcial","No")))</x:f>
        <x:v>Sí</x:v>
      </x:c>
      <x:c r="U396" s="24" t="str">
        <x:v>Carlos Felipe Parada Ramón</x:v>
      </x:c>
      <x:c r="V396" s="11" t="str">
        <x:v>Humano (facilitador interno) / Logístico / Material de apoyo</x:v>
      </x:c>
      <x:c r="W396" s="11" t="str">
        <x:v>Camila Andrea Galván</x:v>
      </x:c>
      <x:c r="X396" s="11" t="str">
        <x:v>Ejecutada</x:v>
      </x:c>
      <x:c r="Y396" s="52" t="str">
        <x:v>Actividad ejecutada satisfactoriamente; mantener evidencia y seguimiento.</x:v>
      </x:c>
    </x:row>
    <x:row r="397">
      <x:c r="A397" s="23" t="n">
        <x:v>396</x:v>
      </x:c>
      <x:c r="B397" s="24" t="n">
        <x:v>2025</x:v>
      </x:c>
      <x:c r="C397" s="24" t="str">
        <x:v>Diciembre</x:v>
      </x:c>
      <x:c r="D397" s="24" t="n">
        <x:v>12</x:v>
      </x:c>
      <x:c r="E397" s="24" t="str">
        <x:v>General</x:v>
      </x:c>
      <x:c r="F397" s="24" t="str">
        <x:v>Capacitación</x:v>
      </x:c>
      <x:c r="G397" s="24" t="str">
        <x:v>Interno</x:v>
      </x:c>
      <x:c r="H397" s="24" t="str">
        <x:v>Todos</x:v>
      </x:c>
      <x:c r="I397" s="24" t="str">
        <x:v>Pamplona</x:v>
      </x:c>
      <x:c r="J397" s="11" t="str">
        <x:v>Balance SST 2025 y planificación 2026</x:v>
      </x:c>
      <x:c r="K397" s="11" t="str">
        <x:v>Realizar cierre de gestión, identificar brechas y orientar la planificación del siguiente año.</x:v>
      </x:c>
      <x:c r="L397" s="24" t="n">
        <x:v>1</x:v>
      </x:c>
      <x:c r="M397" s="58" t="n">
        <x:v>46009</x:v>
      </x:c>
      <x:c r="N397" s="24" t="n">
        <x:v>1</x:v>
      </x:c>
      <x:c r="O397" s="24" t="n">
        <x:v>29</x:v>
      </x:c>
      <x:c r="P397" s="24" t="n">
        <x:v>26</x:v>
      </x:c>
      <x:c r="Q397" s="64" t="n">
        <x:f>IFERROR(P397/O397,0)</x:f>
        <x:v>0.896551724137931</x:v>
      </x:c>
      <x:c r="R397" s="24" t="str">
        <x:v>Retroalimentación grupal</x:v>
      </x:c>
      <x:c r="S397" s="70" t="n">
        <x:v>4.5</x:v>
      </x:c>
      <x:c r="T397" s="24" t="str">
        <x:f>IF(XOR(X397="Reprogramada",X397="Cancelada"),"",IF(AND(Q397&gt;=0.8,S397&gt;=4),"Sí",IF(AND(Q397&gt;=0.65,S397&gt;=3.5),"Parcial","No")))</x:f>
        <x:v>Sí</x:v>
      </x:c>
      <x:c r="U397" s="24" t="str">
        <x:v>Carlos Felipe Parada Ramón</x:v>
      </x:c>
      <x:c r="V397" s="11" t="str">
        <x:v>Humano (facilitador interno) / Logístico / Material de apoyo</x:v>
      </x:c>
      <x:c r="W397" s="11" t="str">
        <x:v>Jesús Guerrero</x:v>
      </x:c>
      <x:c r="X397" s="11" t="str">
        <x:v>Ejecutada</x:v>
      </x:c>
      <x:c r="Y397" s="52" t="str">
        <x:v>Actividad ejecutada satisfactoriamente; mantener evidencia y seguimiento.</x:v>
      </x:c>
    </x:row>
    <x:row r="398">
      <x:c r="A398" s="23" t="n">
        <x:v>397</x:v>
      </x:c>
      <x:c r="B398" s="24" t="n">
        <x:v>2026</x:v>
      </x:c>
      <x:c r="C398" s="24" t="str">
        <x:v>Enero</x:v>
      </x:c>
      <x:c r="D398" s="24" t="n">
        <x:v>1</x:v>
      </x:c>
      <x:c r="E398" s="24" t="str">
        <x:v>General</x:v>
      </x:c>
      <x:c r="F398" s="24" t="str">
        <x:v>Capacitación</x:v>
      </x:c>
      <x:c r="G398" s="24" t="str">
        <x:v>Interno</x:v>
      </x:c>
      <x:c r="H398" s="24" t="str">
        <x:v>Todos</x:v>
      </x:c>
      <x:c r="I398" s="24" t="str">
        <x:v>Cúcuta</x:v>
      </x:c>
      <x:c r="J398" s="11" t="str">
        <x:v>Reinducción 2026 y objetivos del SG-SST</x:v>
      </x:c>
      <x:c r="K398" s="11" t="str">
        <x:v>Socializar el plan de trabajo 2026, responsabilidades y metas estratégicas del SG-SST.</x:v>
      </x:c>
      <x:c r="L398" s="24" t="n">
        <x:v>2</x:v>
      </x:c>
      <x:c r="M398" s="58" t="n">
        <x:v>46048</x:v>
      </x:c>
      <x:c r="N398" s="24" t="n">
        <x:v>2</x:v>
      </x:c>
      <x:c r="O398" s="24" t="n">
        <x:v>85</x:v>
      </x:c>
      <x:c r="P398" s="24" t="n">
        <x:v>67</x:v>
      </x:c>
      <x:c r="Q398" s="64" t="n">
        <x:f>IFERROR(P398/O398,0)</x:f>
        <x:v>0.788235294117647</x:v>
      </x:c>
      <x:c r="R398" s="24" t="str">
        <x:v>Evaluación escrita</x:v>
      </x:c>
      <x:c r="S398" s="70" t="n">
        <x:v>4.3</x:v>
      </x:c>
      <x:c r="T398" s="24" t="str">
        <x:f>IF(XOR(X398="Reprogramada",X398="Cancelada"),"",IF(AND(Q398&gt;=0.8,S398&gt;=4),"Sí",IF(AND(Q398&gt;=0.65,S398&gt;=3.5),"Parcial","No")))</x:f>
        <x:v>Parcial</x:v>
      </x:c>
      <x:c r="U398" s="24" t="str">
        <x:v>Carlos Felipe Parada Ramón</x:v>
      </x:c>
      <x:c r="V398" s="11" t="str">
        <x:v>Humano (facilitador interno) / Logístico / Material de apoyo</x:v>
      </x:c>
      <x:c r="W398" s="11" t="str">
        <x:v>Carlos Felipe Parada Ramón</x:v>
      </x:c>
      <x:c r="X398" s="11" t="str">
        <x:v>Ejecutada</x:v>
      </x:c>
      <x:c r="Y398" s="52" t="str">
        <x:v>Actividad ejecutada satisfactoriamente; mantener evidencia y seguimiento.</x:v>
      </x:c>
    </x:row>
    <x:row r="399">
      <x:c r="A399" s="23" t="n">
        <x:v>398</x:v>
      </x:c>
      <x:c r="B399" s="24" t="n">
        <x:v>2026</x:v>
      </x:c>
      <x:c r="C399" s="24" t="str">
        <x:v>Enero</x:v>
      </x:c>
      <x:c r="D399" s="24" t="n">
        <x:v>1</x:v>
      </x:c>
      <x:c r="E399" s="24" t="str">
        <x:v>General</x:v>
      </x:c>
      <x:c r="F399" s="24" t="str">
        <x:v>Capacitación</x:v>
      </x:c>
      <x:c r="G399" s="24" t="str">
        <x:v>Interno</x:v>
      </x:c>
      <x:c r="H399" s="24" t="str">
        <x:v>Todos</x:v>
      </x:c>
      <x:c r="I399" s="24" t="str">
        <x:v>Barrancabermeja</x:v>
      </x:c>
      <x:c r="J399" s="11" t="str">
        <x:v>Reinducción 2026 y objetivos del SG-SST</x:v>
      </x:c>
      <x:c r="K399" s="11" t="str">
        <x:v>Socializar el plan de trabajo 2026, responsabilidades y metas estratégicas del SG-SST.</x:v>
      </x:c>
      <x:c r="L399" s="24" t="n">
        <x:v>2</x:v>
      </x:c>
      <x:c r="M399" s="58" t="n">
        <x:v>46040</x:v>
      </x:c>
      <x:c r="N399" s="24" t="n">
        <x:v>2</x:v>
      </x:c>
      <x:c r="O399" s="24" t="n">
        <x:v>57</x:v>
      </x:c>
      <x:c r="P399" s="24" t="n">
        <x:v>53</x:v>
      </x:c>
      <x:c r="Q399" s="64" t="n">
        <x:f>IFERROR(P399/O399,0)</x:f>
        <x:v>0.9298245614035088</x:v>
      </x:c>
      <x:c r="R399" s="24" t="str">
        <x:v>Evaluación escrita</x:v>
      </x:c>
      <x:c r="S399" s="70" t="n">
        <x:v>4.1</x:v>
      </x:c>
      <x:c r="T399" s="24" t="str">
        <x:f>IF(XOR(X399="Reprogramada",X399="Cancelada"),"",IF(AND(Q399&gt;=0.8,S399&gt;=4),"Sí",IF(AND(Q399&gt;=0.65,S399&gt;=3.5),"Parcial","No")))</x:f>
        <x:v>Sí</x:v>
      </x:c>
      <x:c r="U399" s="24" t="str">
        <x:v>Carlos Felipe Parada Ramón</x:v>
      </x:c>
      <x:c r="V399" s="11" t="str">
        <x:v>Humano (facilitador interno) / Logístico / Material de apoyo</x:v>
      </x:c>
      <x:c r="W399" s="11" t="str">
        <x:v>Camila Andrea Galván</x:v>
      </x:c>
      <x:c r="X399" s="11" t="str">
        <x:v>Ejecutada</x:v>
      </x:c>
      <x:c r="Y399" s="52" t="str">
        <x:v>Actividad ejecutada satisfactoriamente; mantener evidencia y seguimiento.</x:v>
      </x:c>
    </x:row>
    <x:row r="400">
      <x:c r="A400" s="23" t="n">
        <x:v>399</x:v>
      </x:c>
      <x:c r="B400" s="24" t="n">
        <x:v>2026</x:v>
      </x:c>
      <x:c r="C400" s="24" t="str">
        <x:v>Enero</x:v>
      </x:c>
      <x:c r="D400" s="24" t="n">
        <x:v>1</x:v>
      </x:c>
      <x:c r="E400" s="24" t="str">
        <x:v>General</x:v>
      </x:c>
      <x:c r="F400" s="24" t="str">
        <x:v>Capacitación</x:v>
      </x:c>
      <x:c r="G400" s="24" t="str">
        <x:v>Interno</x:v>
      </x:c>
      <x:c r="H400" s="24" t="str">
        <x:v>Todos</x:v>
      </x:c>
      <x:c r="I400" s="24" t="str">
        <x:v>Ocaña</x:v>
      </x:c>
      <x:c r="J400" s="11" t="str">
        <x:v>Reinducción 2026 y objetivos del SG-SST</x:v>
      </x:c>
      <x:c r="K400" s="11" t="str">
        <x:v>Socializar el plan de trabajo 2026, responsabilidades y metas estratégicas del SG-SST.</x:v>
      </x:c>
      <x:c r="L400" s="24" t="n">
        <x:v>2</x:v>
      </x:c>
      <x:c r="M400" s="58" t="n">
        <x:v>46035</x:v>
      </x:c>
      <x:c r="N400" s="24" t="n">
        <x:v>2</x:v>
      </x:c>
      <x:c r="O400" s="24" t="n">
        <x:v>39</x:v>
      </x:c>
      <x:c r="P400" s="24" t="n">
        <x:v>32</x:v>
      </x:c>
      <x:c r="Q400" s="64" t="n">
        <x:f>IFERROR(P400/O400,0)</x:f>
        <x:v>0.8205128205128205</x:v>
      </x:c>
      <x:c r="R400" s="24" t="str">
        <x:v>Evaluación escrita</x:v>
      </x:c>
      <x:c r="S400" s="70" t="n">
        <x:v>4.4</x:v>
      </x:c>
      <x:c r="T400" s="24" t="str">
        <x:f>IF(XOR(X400="Reprogramada",X400="Cancelada"),"",IF(AND(Q400&gt;=0.8,S400&gt;=4),"Sí",IF(AND(Q400&gt;=0.65,S400&gt;=3.5),"Parcial","No")))</x:f>
        <x:v>Sí</x:v>
      </x:c>
      <x:c r="U400" s="24" t="str">
        <x:v>Carlos Felipe Parada Ramón</x:v>
      </x:c>
      <x:c r="V400" s="11" t="str">
        <x:v>Humano (facilitador interno) / Logístico / Material de apoyo</x:v>
      </x:c>
      <x:c r="W400" s="11" t="str">
        <x:v>Jesús Guerrero</x:v>
      </x:c>
      <x:c r="X400" s="11" t="str">
        <x:v>Ejecutada</x:v>
      </x:c>
      <x:c r="Y400" s="52" t="str">
        <x:v>Actividad ejecutada satisfactoriamente; mantener evidencia y seguimiento.</x:v>
      </x:c>
    </x:row>
    <x:row r="401">
      <x:c r="A401" s="23" t="n">
        <x:v>400</x:v>
      </x:c>
      <x:c r="B401" s="24" t="n">
        <x:v>2026</x:v>
      </x:c>
      <x:c r="C401" s="24" t="str">
        <x:v>Enero</x:v>
      </x:c>
      <x:c r="D401" s="24" t="n">
        <x:v>1</x:v>
      </x:c>
      <x:c r="E401" s="24" t="str">
        <x:v>General</x:v>
      </x:c>
      <x:c r="F401" s="24" t="str">
        <x:v>Capacitación</x:v>
      </x:c>
      <x:c r="G401" s="24" t="str">
        <x:v>Interno</x:v>
      </x:c>
      <x:c r="H401" s="24" t="str">
        <x:v>Todos</x:v>
      </x:c>
      <x:c r="I401" s="24" t="str">
        <x:v>Girón</x:v>
      </x:c>
      <x:c r="J401" s="11" t="str">
        <x:v>Reinducción 2026 y objetivos del SG-SST</x:v>
      </x:c>
      <x:c r="K401" s="11" t="str">
        <x:v>Socializar el plan de trabajo 2026, responsabilidades y metas estratégicas del SG-SST.</x:v>
      </x:c>
      <x:c r="L401" s="24" t="n">
        <x:v>2</x:v>
      </x:c>
      <x:c r="M401" s="58" t="n">
        <x:v>46048</x:v>
      </x:c>
      <x:c r="N401" s="24" t="n">
        <x:v>2</x:v>
      </x:c>
      <x:c r="O401" s="24" t="n">
        <x:v>45</x:v>
      </x:c>
      <x:c r="P401" s="24" t="n">
        <x:v>37</x:v>
      </x:c>
      <x:c r="Q401" s="64" t="n">
        <x:f>IFERROR(P401/O401,0)</x:f>
        <x:v>0.8222222222222222</x:v>
      </x:c>
      <x:c r="R401" s="24" t="str">
        <x:v>Evaluación escrita</x:v>
      </x:c>
      <x:c r="S401" s="70" t="n">
        <x:v>4.3</x:v>
      </x:c>
      <x:c r="T401" s="24" t="str">
        <x:f>IF(XOR(X401="Reprogramada",X401="Cancelada"),"",IF(AND(Q401&gt;=0.8,S401&gt;=4),"Sí",IF(AND(Q401&gt;=0.65,S401&gt;=3.5),"Parcial","No")))</x:f>
        <x:v>Sí</x:v>
      </x:c>
      <x:c r="U401" s="24" t="str">
        <x:v>Carlos Felipe Parada Ramón</x:v>
      </x:c>
      <x:c r="V401" s="11" t="str">
        <x:v>Humano (facilitador interno) / Logístico / Material de apoyo</x:v>
      </x:c>
      <x:c r="W401" s="11" t="str">
        <x:v>Carlos Felipe Parada Ramón</x:v>
      </x:c>
      <x:c r="X401" s="11" t="str">
        <x:v>Ejecutada</x:v>
      </x:c>
      <x:c r="Y401" s="52" t="str">
        <x:v>Actividad ejecutada satisfactoriamente; mantener evidencia y seguimiento.</x:v>
      </x:c>
    </x:row>
    <x:row r="402">
      <x:c r="A402" s="23" t="n">
        <x:v>401</x:v>
      </x:c>
      <x:c r="B402" s="24" t="n">
        <x:v>2026</x:v>
      </x:c>
      <x:c r="C402" s="24" t="str">
        <x:v>Enero</x:v>
      </x:c>
      <x:c r="D402" s="24" t="n">
        <x:v>1</x:v>
      </x:c>
      <x:c r="E402" s="24" t="str">
        <x:v>General</x:v>
      </x:c>
      <x:c r="F402" s="24" t="str">
        <x:v>Capacitación</x:v>
      </x:c>
      <x:c r="G402" s="24" t="str">
        <x:v>Interno</x:v>
      </x:c>
      <x:c r="H402" s="24" t="str">
        <x:v>Todos</x:v>
      </x:c>
      <x:c r="I402" s="24" t="str">
        <x:v>Valledupar</x:v>
      </x:c>
      <x:c r="J402" s="11" t="str">
        <x:v>Reinducción 2026 y objetivos del SG-SST</x:v>
      </x:c>
      <x:c r="K402" s="11" t="str">
        <x:v>Socializar el plan de trabajo 2026, responsabilidades y metas estratégicas del SG-SST.</x:v>
      </x:c>
      <x:c r="L402" s="24" t="n">
        <x:v>2</x:v>
      </x:c>
      <x:c r="M402" s="58" t="n">
        <x:v>46039</x:v>
      </x:c>
      <x:c r="N402" s="24" t="n">
        <x:v>2</x:v>
      </x:c>
      <x:c r="O402" s="24" t="n">
        <x:v>51</x:v>
      </x:c>
      <x:c r="P402" s="24" t="n">
        <x:v>44</x:v>
      </x:c>
      <x:c r="Q402" s="64" t="n">
        <x:f>IFERROR(P402/O402,0)</x:f>
        <x:v>0.8627450980392157</x:v>
      </x:c>
      <x:c r="R402" s="24" t="str">
        <x:v>Evaluación escrita</x:v>
      </x:c>
      <x:c r="S402" s="70" t="n">
        <x:v>4.8</x:v>
      </x:c>
      <x:c r="T402" s="24" t="str">
        <x:f>IF(XOR(X402="Reprogramada",X402="Cancelada"),"",IF(AND(Q402&gt;=0.8,S402&gt;=4),"Sí",IF(AND(Q402&gt;=0.65,S402&gt;=3.5),"Parcial","No")))</x:f>
        <x:v>Sí</x:v>
      </x:c>
      <x:c r="U402" s="24" t="str">
        <x:v>Carlos Felipe Parada Ramón</x:v>
      </x:c>
      <x:c r="V402" s="11" t="str">
        <x:v>Humano (facilitador interno) / Logístico / Material de apoyo</x:v>
      </x:c>
      <x:c r="W402" s="11" t="str">
        <x:v>Camila Andrea Galván</x:v>
      </x:c>
      <x:c r="X402" s="11" t="str">
        <x:v>Ejecutada</x:v>
      </x:c>
      <x:c r="Y402" s="52" t="str">
        <x:v>Actividad ejecutada satisfactoriamente; mantener evidencia y seguimiento.</x:v>
      </x:c>
    </x:row>
    <x:row r="403">
      <x:c r="A403" s="23" t="n">
        <x:v>402</x:v>
      </x:c>
      <x:c r="B403" s="24" t="n">
        <x:v>2026</x:v>
      </x:c>
      <x:c r="C403" s="24" t="str">
        <x:v>Enero</x:v>
      </x:c>
      <x:c r="D403" s="24" t="n">
        <x:v>1</x:v>
      </x:c>
      <x:c r="E403" s="24" t="str">
        <x:v>General</x:v>
      </x:c>
      <x:c r="F403" s="24" t="str">
        <x:v>Capacitación</x:v>
      </x:c>
      <x:c r="G403" s="24" t="str">
        <x:v>Interno</x:v>
      </x:c>
      <x:c r="H403" s="24" t="str">
        <x:v>Todos</x:v>
      </x:c>
      <x:c r="I403" s="24" t="str">
        <x:v>Arauca</x:v>
      </x:c>
      <x:c r="J403" s="11" t="str">
        <x:v>Reinducción 2026 y objetivos del SG-SST</x:v>
      </x:c>
      <x:c r="K403" s="11" t="str">
        <x:v>Socializar el plan de trabajo 2026, responsabilidades y metas estratégicas del SG-SST.</x:v>
      </x:c>
      <x:c r="L403" s="24" t="n">
        <x:v>2</x:v>
      </x:c>
      <x:c r="M403" s="58" t="n">
        <x:v>46039</x:v>
      </x:c>
      <x:c r="N403" s="24" t="n">
        <x:v>2.5</x:v>
      </x:c>
      <x:c r="O403" s="24" t="n">
        <x:v>32</x:v>
      </x:c>
      <x:c r="P403" s="24" t="n">
        <x:v>30</x:v>
      </x:c>
      <x:c r="Q403" s="64" t="n">
        <x:f>IFERROR(P403/O403,0)</x:f>
        <x:v>0.9375</x:v>
      </x:c>
      <x:c r="R403" s="24" t="str">
        <x:v>Evaluación escrita</x:v>
      </x:c>
      <x:c r="S403" s="70" t="n">
        <x:v>4.8</x:v>
      </x:c>
      <x:c r="T403" s="24" t="str">
        <x:f>IF(XOR(X403="Reprogramada",X403="Cancelada"),"",IF(AND(Q403&gt;=0.8,S403&gt;=4),"Sí",IF(AND(Q403&gt;=0.65,S403&gt;=3.5),"Parcial","No")))</x:f>
        <x:v>Sí</x:v>
      </x:c>
      <x:c r="U403" s="24" t="str">
        <x:v>Carlos Felipe Parada Ramón</x:v>
      </x:c>
      <x:c r="V403" s="11" t="str">
        <x:v>Humano (facilitador interno) / Logístico / Material de apoyo</x:v>
      </x:c>
      <x:c r="W403" s="11" t="str">
        <x:v>Jesús Guerrero</x:v>
      </x:c>
      <x:c r="X403" s="11" t="str">
        <x:v>Ejecutada</x:v>
      </x:c>
      <x:c r="Y403" s="52" t="str">
        <x:v>Actividad ejecutada satisfactoriamente; mantener evidencia y seguimiento.</x:v>
      </x:c>
    </x:row>
    <x:row r="404">
      <x:c r="A404" s="23" t="n">
        <x:v>403</x:v>
      </x:c>
      <x:c r="B404" s="24" t="n">
        <x:v>2026</x:v>
      </x:c>
      <x:c r="C404" s="24" t="str">
        <x:v>Enero</x:v>
      </x:c>
      <x:c r="D404" s="24" t="n">
        <x:v>1</x:v>
      </x:c>
      <x:c r="E404" s="24" t="str">
        <x:v>General</x:v>
      </x:c>
      <x:c r="F404" s="24" t="str">
        <x:v>Capacitación</x:v>
      </x:c>
      <x:c r="G404" s="24" t="str">
        <x:v>Interno</x:v>
      </x:c>
      <x:c r="H404" s="24" t="str">
        <x:v>Todos</x:v>
      </x:c>
      <x:c r="I404" s="24" t="str">
        <x:v>Bogotá</x:v>
      </x:c>
      <x:c r="J404" s="11" t="str">
        <x:v>Reinducción 2026 y objetivos del SG-SST</x:v>
      </x:c>
      <x:c r="K404" s="11" t="str">
        <x:v>Socializar el plan de trabajo 2026, responsabilidades y metas estratégicas del SG-SST.</x:v>
      </x:c>
      <x:c r="L404" s="24" t="n">
        <x:v>2</x:v>
      </x:c>
      <x:c r="M404" s="58" t="n">
        <x:v>46044</x:v>
      </x:c>
      <x:c r="N404" s="24" t="n">
        <x:v>2</x:v>
      </x:c>
      <x:c r="O404" s="24" t="n">
        <x:v>69</x:v>
      </x:c>
      <x:c r="P404" s="24" t="n">
        <x:v>60</x:v>
      </x:c>
      <x:c r="Q404" s="64" t="n">
        <x:f>IFERROR(P404/O404,0)</x:f>
        <x:v>0.8695652173913043</x:v>
      </x:c>
      <x:c r="R404" s="24" t="str">
        <x:v>Evaluación escrita</x:v>
      </x:c>
      <x:c r="S404" s="70" t="n">
        <x:v>4.4</x:v>
      </x:c>
      <x:c r="T404" s="24" t="str">
        <x:f>IF(XOR(X404="Reprogramada",X404="Cancelada"),"",IF(AND(Q404&gt;=0.8,S404&gt;=4),"Sí",IF(AND(Q404&gt;=0.65,S404&gt;=3.5),"Parcial","No")))</x:f>
        <x:v>Sí</x:v>
      </x:c>
      <x:c r="U404" s="24" t="str">
        <x:v>Carlos Felipe Parada Ramón</x:v>
      </x:c>
      <x:c r="V404" s="11" t="str">
        <x:v>Humano (facilitador interno) / Logístico / Material de apoyo</x:v>
      </x:c>
      <x:c r="W404" s="11" t="str">
        <x:v>Carlos Felipe Parada Ramón</x:v>
      </x:c>
      <x:c r="X404" s="11" t="str">
        <x:v>Ejecutada</x:v>
      </x:c>
      <x:c r="Y404" s="52" t="str">
        <x:v>Actividad ejecutada satisfactoriamente; mantener evidencia y seguimiento.</x:v>
      </x:c>
    </x:row>
    <x:row r="405">
      <x:c r="A405" s="23" t="n">
        <x:v>404</x:v>
      </x:c>
      <x:c r="B405" s="24" t="n">
        <x:v>2026</x:v>
      </x:c>
      <x:c r="C405" s="24" t="str">
        <x:v>Enero</x:v>
      </x:c>
      <x:c r="D405" s="24" t="n">
        <x:v>1</x:v>
      </x:c>
      <x:c r="E405" s="24" t="str">
        <x:v>General</x:v>
      </x:c>
      <x:c r="F405" s="24" t="str">
        <x:v>Capacitación</x:v>
      </x:c>
      <x:c r="G405" s="24" t="str">
        <x:v>Interno</x:v>
      </x:c>
      <x:c r="H405" s="24" t="str">
        <x:v>Todos</x:v>
      </x:c>
      <x:c r="I405" s="24" t="str">
        <x:v>Tibú</x:v>
      </x:c>
      <x:c r="J405" s="11" t="str">
        <x:v>Reinducción 2026 y objetivos del SG-SST</x:v>
      </x:c>
      <x:c r="K405" s="11" t="str">
        <x:v>Socializar el plan de trabajo 2026, responsabilidades y metas estratégicas del SG-SST.</x:v>
      </x:c>
      <x:c r="L405" s="24" t="n">
        <x:v>2</x:v>
      </x:c>
      <x:c r="M405" s="58" t="n">
        <x:v>46039</x:v>
      </x:c>
      <x:c r="N405" s="24" t="n">
        <x:v>2</x:v>
      </x:c>
      <x:c r="O405" s="24" t="n">
        <x:v>34</x:v>
      </x:c>
      <x:c r="P405" s="24" t="n">
        <x:v>31</x:v>
      </x:c>
      <x:c r="Q405" s="64" t="n">
        <x:f>IFERROR(P405/O405,0)</x:f>
        <x:v>0.9117647058823529</x:v>
      </x:c>
      <x:c r="R405" s="24" t="str">
        <x:v>Evaluación escrita</x:v>
      </x:c>
      <x:c r="S405" s="70" t="n">
        <x:v>4.9</x:v>
      </x:c>
      <x:c r="T405" s="24" t="str">
        <x:f>IF(XOR(X405="Reprogramada",X405="Cancelada"),"",IF(AND(Q405&gt;=0.8,S405&gt;=4),"Sí",IF(AND(Q405&gt;=0.65,S405&gt;=3.5),"Parcial","No")))</x:f>
        <x:v>Sí</x:v>
      </x:c>
      <x:c r="U405" s="24" t="str">
        <x:v>Carlos Felipe Parada Ramón</x:v>
      </x:c>
      <x:c r="V405" s="11" t="str">
        <x:v>Humano (facilitador interno) / Logístico / Material de apoyo</x:v>
      </x:c>
      <x:c r="W405" s="11" t="str">
        <x:v>Camila Andrea Galván</x:v>
      </x:c>
      <x:c r="X405" s="11" t="str">
        <x:v>Ejecutada</x:v>
      </x:c>
      <x:c r="Y405" s="52" t="str">
        <x:v>Actividad ejecutada satisfactoriamente; mantener evidencia y seguimiento.</x:v>
      </x:c>
    </x:row>
    <x:row r="406">
      <x:c r="A406" s="23" t="n">
        <x:v>405</x:v>
      </x:c>
      <x:c r="B406" s="24" t="n">
        <x:v>2026</x:v>
      </x:c>
      <x:c r="C406" s="24" t="str">
        <x:v>Enero</x:v>
      </x:c>
      <x:c r="D406" s="24" t="n">
        <x:v>1</x:v>
      </x:c>
      <x:c r="E406" s="24" t="str">
        <x:v>General</x:v>
      </x:c>
      <x:c r="F406" s="24" t="str">
        <x:v>Capacitación</x:v>
      </x:c>
      <x:c r="G406" s="24" t="str">
        <x:v>Interno</x:v>
      </x:c>
      <x:c r="H406" s="24" t="str">
        <x:v>Todos</x:v>
      </x:c>
      <x:c r="I406" s="24" t="str">
        <x:v>Medellín</x:v>
      </x:c>
      <x:c r="J406" s="11" t="str">
        <x:v>Reinducción 2026 y objetivos del SG-SST</x:v>
      </x:c>
      <x:c r="K406" s="11" t="str">
        <x:v>Socializar el plan de trabajo 2026, responsabilidades y metas estratégicas del SG-SST.</x:v>
      </x:c>
      <x:c r="L406" s="24" t="n">
        <x:v>2</x:v>
      </x:c>
      <x:c r="M406" s="58" t="n">
        <x:v>46037</x:v>
      </x:c>
      <x:c r="N406" s="24" t="n">
        <x:v>2</x:v>
      </x:c>
      <x:c r="O406" s="24" t="n">
        <x:v>63</x:v>
      </x:c>
      <x:c r="P406" s="24" t="n">
        <x:v>53</x:v>
      </x:c>
      <x:c r="Q406" s="64" t="n">
        <x:f>IFERROR(P406/O406,0)</x:f>
        <x:v>0.8412698412698413</x:v>
      </x:c>
      <x:c r="R406" s="24" t="str">
        <x:v>Evaluación escrita</x:v>
      </x:c>
      <x:c r="S406" s="70" t="n">
        <x:v>4.2</x:v>
      </x:c>
      <x:c r="T406" s="24" t="str">
        <x:f>IF(XOR(X406="Reprogramada",X406="Cancelada"),"",IF(AND(Q406&gt;=0.8,S406&gt;=4),"Sí",IF(AND(Q406&gt;=0.65,S406&gt;=3.5),"Parcial","No")))</x:f>
        <x:v>Sí</x:v>
      </x:c>
      <x:c r="U406" s="24" t="str">
        <x:v>Carlos Felipe Parada Ramón</x:v>
      </x:c>
      <x:c r="V406" s="11" t="str">
        <x:v>Humano (facilitador interno) / Logístico / Material de apoyo</x:v>
      </x:c>
      <x:c r="W406" s="11" t="str">
        <x:v>Jesús Guerrero</x:v>
      </x:c>
      <x:c r="X406" s="11" t="str">
        <x:v>Ejecutada</x:v>
      </x:c>
      <x:c r="Y406" s="52" t="str">
        <x:v>Actividad ejecutada satisfactoriamente; mantener evidencia y seguimiento.</x:v>
      </x:c>
    </x:row>
    <x:row r="407">
      <x:c r="A407" s="23" t="n">
        <x:v>406</x:v>
      </x:c>
      <x:c r="B407" s="24" t="n">
        <x:v>2026</x:v>
      </x:c>
      <x:c r="C407" s="24" t="str">
        <x:v>Enero</x:v>
      </x:c>
      <x:c r="D407" s="24" t="n">
        <x:v>1</x:v>
      </x:c>
      <x:c r="E407" s="24" t="str">
        <x:v>General</x:v>
      </x:c>
      <x:c r="F407" s="24" t="str">
        <x:v>Capacitación</x:v>
      </x:c>
      <x:c r="G407" s="24" t="str">
        <x:v>Interno</x:v>
      </x:c>
      <x:c r="H407" s="24" t="str">
        <x:v>Todos</x:v>
      </x:c>
      <x:c r="I407" s="24" t="str">
        <x:v>Ábrego</x:v>
      </x:c>
      <x:c r="J407" s="11" t="str">
        <x:v>Reinducción 2026 y objetivos del SG-SST</x:v>
      </x:c>
      <x:c r="K407" s="11" t="str">
        <x:v>Socializar el plan de trabajo 2026, responsabilidades y metas estratégicas del SG-SST.</x:v>
      </x:c>
      <x:c r="L407" s="24" t="n">
        <x:v>2</x:v>
      </x:c>
      <x:c r="M407" s="58" t="n">
        <x:v>46033</x:v>
      </x:c>
      <x:c r="N407" s="24" t="n">
        <x:v>2</x:v>
      </x:c>
      <x:c r="O407" s="24" t="n">
        <x:v>26</x:v>
      </x:c>
      <x:c r="P407" s="24" t="n">
        <x:v>23</x:v>
      </x:c>
      <x:c r="Q407" s="64" t="n">
        <x:f>IFERROR(P407/O407,0)</x:f>
        <x:v>0.8846153846153846</x:v>
      </x:c>
      <x:c r="R407" s="24" t="str">
        <x:v>Evaluación escrita</x:v>
      </x:c>
      <x:c r="S407" s="70" t="n">
        <x:v>4.8</x:v>
      </x:c>
      <x:c r="T407" s="24" t="str">
        <x:f>IF(XOR(X407="Reprogramada",X407="Cancelada"),"",IF(AND(Q407&gt;=0.8,S407&gt;=4),"Sí",IF(AND(Q407&gt;=0.65,S407&gt;=3.5),"Parcial","No")))</x:f>
        <x:v>Sí</x:v>
      </x:c>
      <x:c r="U407" s="24" t="str">
        <x:v>Carlos Felipe Parada Ramón</x:v>
      </x:c>
      <x:c r="V407" s="11" t="str">
        <x:v>Humano (facilitador interno) / Logístico / Material de apoyo</x:v>
      </x:c>
      <x:c r="W407" s="11" t="str">
        <x:v>Carlos Felipe Parada Ramón</x:v>
      </x:c>
      <x:c r="X407" s="11" t="str">
        <x:v>Ejecutada</x:v>
      </x:c>
      <x:c r="Y407" s="52" t="str">
        <x:v>Actividad ejecutada satisfactoriamente; mantener evidencia y seguimiento.</x:v>
      </x:c>
    </x:row>
    <x:row r="408">
      <x:c r="A408" s="23" t="n">
        <x:v>407</x:v>
      </x:c>
      <x:c r="B408" s="24" t="n">
        <x:v>2026</x:v>
      </x:c>
      <x:c r="C408" s="24" t="str">
        <x:v>Enero</x:v>
      </x:c>
      <x:c r="D408" s="24" t="n">
        <x:v>1</x:v>
      </x:c>
      <x:c r="E408" s="24" t="str">
        <x:v>General</x:v>
      </x:c>
      <x:c r="F408" s="24" t="str">
        <x:v>Capacitación</x:v>
      </x:c>
      <x:c r="G408" s="24" t="str">
        <x:v>Interno</x:v>
      </x:c>
      <x:c r="H408" s="24" t="str">
        <x:v>Todos</x:v>
      </x:c>
      <x:c r="I408" s="24" t="str">
        <x:v>Pamplona</x:v>
      </x:c>
      <x:c r="J408" s="11" t="str">
        <x:v>Reinducción 2026 y objetivos del SG-SST</x:v>
      </x:c>
      <x:c r="K408" s="11" t="str">
        <x:v>Socializar el plan de trabajo 2026, responsabilidades y metas estratégicas del SG-SST.</x:v>
      </x:c>
      <x:c r="L408" s="24" t="n">
        <x:v>2</x:v>
      </x:c>
      <x:c r="M408" s="58"/>
      <x:c r="N408" s="24"/>
      <x:c r="O408" s="24" t="n">
        <x:v>29</x:v>
      </x:c>
      <x:c r="P408" s="24"/>
      <x:c r="Q408" s="64" t="n">
        <x:f>IFERROR(P408/O408,0)</x:f>
        <x:v>0</x:v>
      </x:c>
      <x:c r="R408" s="24" t="str">
        <x:v>Evaluación escrita</x:v>
      </x:c>
      <x:c r="S408" s="70"/>
      <x:c r="T408" s="24" t="str">
        <x:f>IF(XOR(X408="Reprogramada",X408="Cancelada"),"",IF(AND(Q408&gt;=0.8,S408&gt;=4),"Sí",IF(AND(Q408&gt;=0.65,S408&gt;=3.5),"Parcial","No")))</x:f>
      </x:c>
      <x:c r="U408" s="24" t="str">
        <x:v>Carlos Felipe Parada Ramón</x:v>
      </x:c>
      <x:c r="V408" s="11" t="str">
        <x:v>Humano (facilitador interno) / Logístico / Material de apoyo</x:v>
      </x:c>
      <x:c r="W408" s="11" t="str">
        <x:v>Camila Andrea Galván</x:v>
      </x:c>
      <x:c r="X408" s="11" t="str">
        <x:v>Reprogramada</x:v>
      </x:c>
      <x:c r="Y408" s="52" t="str">
        <x:v>Actividad reprogramada por operación, disponibilidad del facilitador o ajustes logísticos.</x:v>
      </x:c>
    </x:row>
    <x:row r="409">
      <x:c r="A409" s="23" t="n">
        <x:v>408</x:v>
      </x:c>
      <x:c r="B409" s="24" t="n">
        <x:v>2026</x:v>
      </x:c>
      <x:c r="C409" s="24" t="str">
        <x:v>Febrero</x:v>
      </x:c>
      <x:c r="D409" s="24" t="n">
        <x:v>2</x:v>
      </x:c>
      <x:c r="E409" s="24" t="str">
        <x:v>Biomecánico</x:v>
      </x:c>
      <x:c r="F409" s="24" t="str">
        <x:v>Taller</x:v>
      </x:c>
      <x:c r="G409" s="24" t="str">
        <x:v>Interno</x:v>
      </x:c>
      <x:c r="H409" s="24" t="str">
        <x:v>Todos</x:v>
      </x:c>
      <x:c r="I409" s="24" t="str">
        <x:v>Cúcuta</x:v>
      </x:c>
      <x:c r="J409" s="11" t="str">
        <x:v>Higiene postural y pausas activas</x:v>
      </x:c>
      <x:c r="K409" s="11" t="str">
        <x:v>Fortalecer prácticas de autocuidado osteomuscular y hábitos posturales seguros durante la jornada.</x:v>
      </x:c>
      <x:c r="L409" s="24" t="n">
        <x:v>2</x:v>
      </x:c>
      <x:c r="M409" s="58" t="n">
        <x:v>46072</x:v>
      </x:c>
      <x:c r="N409" s="24" t="n">
        <x:v>2</x:v>
      </x:c>
      <x:c r="O409" s="24" t="n">
        <x:v>85</x:v>
      </x:c>
      <x:c r="P409" s="24" t="n">
        <x:v>73</x:v>
      </x:c>
      <x:c r="Q409" s="64" t="n">
        <x:f>IFERROR(P409/O409,0)</x:f>
        <x:v>0.8588235294117647</x:v>
      </x:c>
      <x:c r="R409" s="24" t="str">
        <x:v>Taller práctico</x:v>
      </x:c>
      <x:c r="S409" s="70" t="n">
        <x:v>4.7</x:v>
      </x:c>
      <x:c r="T409" s="24" t="str">
        <x:f>IF(XOR(X409="Reprogramada",X409="Cancelada"),"",IF(AND(Q409&gt;=0.8,S409&gt;=4),"Sí",IF(AND(Q409&gt;=0.65,S409&gt;=3.5),"Parcial","No")))</x:f>
        <x:v>Sí</x:v>
      </x:c>
      <x:c r="U409" s="24" t="str">
        <x:v>Camila Andrea Galván</x:v>
      </x:c>
      <x:c r="V409" s="11" t="str">
        <x:v>Humano (facilitador interno) / Logístico / Material de apoyo</x:v>
      </x:c>
      <x:c r="W409" s="11" t="str">
        <x:v>Jesús Guerrero</x:v>
      </x:c>
      <x:c r="X409" s="11" t="str">
        <x:v>Ejecutada</x:v>
      </x:c>
      <x:c r="Y409" s="52" t="str">
        <x:v>Actividad ejecutada satisfactoriamente; mantener evidencia y seguimiento.</x:v>
      </x:c>
    </x:row>
    <x:row r="410">
      <x:c r="A410" s="23" t="n">
        <x:v>409</x:v>
      </x:c>
      <x:c r="B410" s="24" t="n">
        <x:v>2026</x:v>
      </x:c>
      <x:c r="C410" s="24" t="str">
        <x:v>Febrero</x:v>
      </x:c>
      <x:c r="D410" s="24" t="n">
        <x:v>2</x:v>
      </x:c>
      <x:c r="E410" s="24" t="str">
        <x:v>Biomecánico</x:v>
      </x:c>
      <x:c r="F410" s="24" t="str">
        <x:v>Taller</x:v>
      </x:c>
      <x:c r="G410" s="24" t="str">
        <x:v>Interno</x:v>
      </x:c>
      <x:c r="H410" s="24" t="str">
        <x:v>Todos</x:v>
      </x:c>
      <x:c r="I410" s="24" t="str">
        <x:v>Barrancabermeja</x:v>
      </x:c>
      <x:c r="J410" s="11" t="str">
        <x:v>Higiene postural y pausas activas</x:v>
      </x:c>
      <x:c r="K410" s="11" t="str">
        <x:v>Fortalecer prácticas de autocuidado osteomuscular y hábitos posturales seguros durante la jornada.</x:v>
      </x:c>
      <x:c r="L410" s="24" t="n">
        <x:v>2</x:v>
      </x:c>
      <x:c r="M410" s="58" t="n">
        <x:v>46078</x:v>
      </x:c>
      <x:c r="N410" s="24" t="n">
        <x:v>2</x:v>
      </x:c>
      <x:c r="O410" s="24" t="n">
        <x:v>57</x:v>
      </x:c>
      <x:c r="P410" s="24" t="n">
        <x:v>55</x:v>
      </x:c>
      <x:c r="Q410" s="64" t="n">
        <x:f>IFERROR(P410/O410,0)</x:f>
        <x:v>0.9649122807017544</x:v>
      </x:c>
      <x:c r="R410" s="24" t="str">
        <x:v>Taller práctico</x:v>
      </x:c>
      <x:c r="S410" s="70" t="n">
        <x:v>4.7</x:v>
      </x:c>
      <x:c r="T410" s="24" t="str">
        <x:f>IF(XOR(X410="Reprogramada",X410="Cancelada"),"",IF(AND(Q410&gt;=0.8,S410&gt;=4),"Sí",IF(AND(Q410&gt;=0.65,S410&gt;=3.5),"Parcial","No")))</x:f>
        <x:v>Sí</x:v>
      </x:c>
      <x:c r="U410" s="24" t="str">
        <x:v>Camila Andrea Galván</x:v>
      </x:c>
      <x:c r="V410" s="11" t="str">
        <x:v>Humano (facilitador interno) / Logístico / Material de apoyo</x:v>
      </x:c>
      <x:c r="W410" s="11" t="str">
        <x:v>Carlos Felipe Parada Ramón</x:v>
      </x:c>
      <x:c r="X410" s="11" t="str">
        <x:v>Ejecutada</x:v>
      </x:c>
      <x:c r="Y410" s="52" t="str">
        <x:v>Actividad ejecutada satisfactoriamente; mantener evidencia y seguimiento.</x:v>
      </x:c>
    </x:row>
    <x:row r="411">
      <x:c r="A411" s="23" t="n">
        <x:v>410</x:v>
      </x:c>
      <x:c r="B411" s="24" t="n">
        <x:v>2026</x:v>
      </x:c>
      <x:c r="C411" s="24" t="str">
        <x:v>Febrero</x:v>
      </x:c>
      <x:c r="D411" s="24" t="n">
        <x:v>2</x:v>
      </x:c>
      <x:c r="E411" s="24" t="str">
        <x:v>Biomecánico</x:v>
      </x:c>
      <x:c r="F411" s="24" t="str">
        <x:v>Taller</x:v>
      </x:c>
      <x:c r="G411" s="24" t="str">
        <x:v>Interno</x:v>
      </x:c>
      <x:c r="H411" s="24" t="str">
        <x:v>Todos</x:v>
      </x:c>
      <x:c r="I411" s="24" t="str">
        <x:v>Ocaña</x:v>
      </x:c>
      <x:c r="J411" s="11" t="str">
        <x:v>Higiene postural y pausas activas</x:v>
      </x:c>
      <x:c r="K411" s="11" t="str">
        <x:v>Fortalecer prácticas de autocuidado osteomuscular y hábitos posturales seguros durante la jornada.</x:v>
      </x:c>
      <x:c r="L411" s="24" t="n">
        <x:v>2</x:v>
      </x:c>
      <x:c r="M411" s="58" t="n">
        <x:v>46068</x:v>
      </x:c>
      <x:c r="N411" s="24" t="n">
        <x:v>2</x:v>
      </x:c>
      <x:c r="O411" s="24" t="n">
        <x:v>39</x:v>
      </x:c>
      <x:c r="P411" s="24" t="n">
        <x:v>32</x:v>
      </x:c>
      <x:c r="Q411" s="64" t="n">
        <x:f>IFERROR(P411/O411,0)</x:f>
        <x:v>0.8205128205128205</x:v>
      </x:c>
      <x:c r="R411" s="24" t="str">
        <x:v>Taller práctico</x:v>
      </x:c>
      <x:c r="S411" s="70" t="n">
        <x:v>5</x:v>
      </x:c>
      <x:c r="T411" s="24" t="str">
        <x:f>IF(XOR(X411="Reprogramada",X411="Cancelada"),"",IF(AND(Q411&gt;=0.8,S411&gt;=4),"Sí",IF(AND(Q411&gt;=0.65,S411&gt;=3.5),"Parcial","No")))</x:f>
        <x:v>Sí</x:v>
      </x:c>
      <x:c r="U411" s="24" t="str">
        <x:v>Camila Andrea Galván</x:v>
      </x:c>
      <x:c r="V411" s="11" t="str">
        <x:v>Humano (facilitador interno) / Logístico / Material de apoyo</x:v>
      </x:c>
      <x:c r="W411" s="11" t="str">
        <x:v>Camila Andrea Galván</x:v>
      </x:c>
      <x:c r="X411" s="11" t="str">
        <x:v>Ejecutada</x:v>
      </x:c>
      <x:c r="Y411" s="52" t="str">
        <x:v>Actividad ejecutada satisfactoriamente; mantener evidencia y seguimiento.</x:v>
      </x:c>
    </x:row>
    <x:row r="412">
      <x:c r="A412" s="23" t="n">
        <x:v>411</x:v>
      </x:c>
      <x:c r="B412" s="24" t="n">
        <x:v>2026</x:v>
      </x:c>
      <x:c r="C412" s="24" t="str">
        <x:v>Febrero</x:v>
      </x:c>
      <x:c r="D412" s="24" t="n">
        <x:v>2</x:v>
      </x:c>
      <x:c r="E412" s="24" t="str">
        <x:v>Biomecánico</x:v>
      </x:c>
      <x:c r="F412" s="24" t="str">
        <x:v>Taller</x:v>
      </x:c>
      <x:c r="G412" s="24" t="str">
        <x:v>Interno</x:v>
      </x:c>
      <x:c r="H412" s="24" t="str">
        <x:v>Todos</x:v>
      </x:c>
      <x:c r="I412" s="24" t="str">
        <x:v>Girón</x:v>
      </x:c>
      <x:c r="J412" s="11" t="str">
        <x:v>Higiene postural y pausas activas</x:v>
      </x:c>
      <x:c r="K412" s="11" t="str">
        <x:v>Fortalecer prácticas de autocuidado osteomuscular y hábitos posturales seguros durante la jornada.</x:v>
      </x:c>
      <x:c r="L412" s="24" t="n">
        <x:v>2</x:v>
      </x:c>
      <x:c r="M412" s="58" t="n">
        <x:v>46071</x:v>
      </x:c>
      <x:c r="N412" s="24" t="n">
        <x:v>2.5</x:v>
      </x:c>
      <x:c r="O412" s="24" t="n">
        <x:v>45</x:v>
      </x:c>
      <x:c r="P412" s="24" t="n">
        <x:v>38</x:v>
      </x:c>
      <x:c r="Q412" s="64" t="n">
        <x:f>IFERROR(P412/O412,0)</x:f>
        <x:v>0.8444444444444444</x:v>
      </x:c>
      <x:c r="R412" s="24" t="str">
        <x:v>Taller práctico</x:v>
      </x:c>
      <x:c r="S412" s="70" t="n">
        <x:v>4.7</x:v>
      </x:c>
      <x:c r="T412" s="24" t="str">
        <x:f>IF(XOR(X412="Reprogramada",X412="Cancelada"),"",IF(AND(Q412&gt;=0.8,S412&gt;=4),"Sí",IF(AND(Q412&gt;=0.65,S412&gt;=3.5),"Parcial","No")))</x:f>
        <x:v>Sí</x:v>
      </x:c>
      <x:c r="U412" s="24" t="str">
        <x:v>Camila Andrea Galván</x:v>
      </x:c>
      <x:c r="V412" s="11" t="str">
        <x:v>Humano (facilitador interno) / Logístico / Material de apoyo</x:v>
      </x:c>
      <x:c r="W412" s="11" t="str">
        <x:v>Jesús Guerrero</x:v>
      </x:c>
      <x:c r="X412" s="11" t="str">
        <x:v>Ejecutada</x:v>
      </x:c>
      <x:c r="Y412" s="52" t="str">
        <x:v>Actividad ejecutada satisfactoriamente; mantener evidencia y seguimiento.</x:v>
      </x:c>
    </x:row>
    <x:row r="413">
      <x:c r="A413" s="23" t="n">
        <x:v>412</x:v>
      </x:c>
      <x:c r="B413" s="24" t="n">
        <x:v>2026</x:v>
      </x:c>
      <x:c r="C413" s="24" t="str">
        <x:v>Febrero</x:v>
      </x:c>
      <x:c r="D413" s="24" t="n">
        <x:v>2</x:v>
      </x:c>
      <x:c r="E413" s="24" t="str">
        <x:v>Biomecánico</x:v>
      </x:c>
      <x:c r="F413" s="24" t="str">
        <x:v>Taller</x:v>
      </x:c>
      <x:c r="G413" s="24" t="str">
        <x:v>Interno</x:v>
      </x:c>
      <x:c r="H413" s="24" t="str">
        <x:v>Todos</x:v>
      </x:c>
      <x:c r="I413" s="24" t="str">
        <x:v>Valledupar</x:v>
      </x:c>
      <x:c r="J413" s="11" t="str">
        <x:v>Higiene postural y pausas activas</x:v>
      </x:c>
      <x:c r="K413" s="11" t="str">
        <x:v>Fortalecer prácticas de autocuidado osteomuscular y hábitos posturales seguros durante la jornada.</x:v>
      </x:c>
      <x:c r="L413" s="24" t="n">
        <x:v>2</x:v>
      </x:c>
      <x:c r="M413" s="58"/>
      <x:c r="N413" s="24" t="n">
        <x:v>0</x:v>
      </x:c>
      <x:c r="O413" s="24" t="n">
        <x:v>51</x:v>
      </x:c>
      <x:c r="P413" s="24"/>
      <x:c r="Q413" s="64" t="n">
        <x:f>IFERROR(P413/O413,0)</x:f>
        <x:v>0</x:v>
      </x:c>
      <x:c r="R413" s="24" t="str">
        <x:v>Taller práctico</x:v>
      </x:c>
      <x:c r="S413" s="70"/>
      <x:c r="T413" s="24" t="str">
        <x:f>IF(XOR(X413="Reprogramada",X413="Cancelada"),"",IF(AND(Q413&gt;=0.8,S413&gt;=4),"Sí",IF(AND(Q413&gt;=0.65,S413&gt;=3.5),"Parcial","No")))</x:f>
      </x:c>
      <x:c r="U413" s="24" t="str">
        <x:v>Camila Andrea Galván</x:v>
      </x:c>
      <x:c r="V413" s="11" t="str">
        <x:v>Humano (facilitador interno) / Logístico / Material de apoyo</x:v>
      </x:c>
      <x:c r="W413" s="11" t="str">
        <x:v>Carlos Felipe Parada Ramón</x:v>
      </x:c>
      <x:c r="X413" s="11" t="str">
        <x:v>Cancelada</x:v>
      </x:c>
      <x:c r="Y413" s="52" t="str">
        <x:v>Actividad cancelada por reorganización operativa o priorización de otras necesidades.</x:v>
      </x:c>
    </x:row>
    <x:row r="414">
      <x:c r="A414" s="23" t="n">
        <x:v>413</x:v>
      </x:c>
      <x:c r="B414" s="24" t="n">
        <x:v>2026</x:v>
      </x:c>
      <x:c r="C414" s="24" t="str">
        <x:v>Febrero</x:v>
      </x:c>
      <x:c r="D414" s="24" t="n">
        <x:v>2</x:v>
      </x:c>
      <x:c r="E414" s="24" t="str">
        <x:v>Biomecánico</x:v>
      </x:c>
      <x:c r="F414" s="24" t="str">
        <x:v>Taller</x:v>
      </x:c>
      <x:c r="G414" s="24" t="str">
        <x:v>Interno</x:v>
      </x:c>
      <x:c r="H414" s="24" t="str">
        <x:v>Todos</x:v>
      </x:c>
      <x:c r="I414" s="24" t="str">
        <x:v>Arauca</x:v>
      </x:c>
      <x:c r="J414" s="11" t="str">
        <x:v>Higiene postural y pausas activas</x:v>
      </x:c>
      <x:c r="K414" s="11" t="str">
        <x:v>Fortalecer prácticas de autocuidado osteomuscular y hábitos posturales seguros durante la jornada.</x:v>
      </x:c>
      <x:c r="L414" s="24" t="n">
        <x:v>2</x:v>
      </x:c>
      <x:c r="M414" s="58" t="n">
        <x:v>46074</x:v>
      </x:c>
      <x:c r="N414" s="24" t="n">
        <x:v>2</x:v>
      </x:c>
      <x:c r="O414" s="24" t="n">
        <x:v>32</x:v>
      </x:c>
      <x:c r="P414" s="24" t="n">
        <x:v>28</x:v>
      </x:c>
      <x:c r="Q414" s="64" t="n">
        <x:f>IFERROR(P414/O414,0)</x:f>
        <x:v>0.875</x:v>
      </x:c>
      <x:c r="R414" s="24" t="str">
        <x:v>Taller práctico</x:v>
      </x:c>
      <x:c r="S414" s="70" t="n">
        <x:v>4.3</x:v>
      </x:c>
      <x:c r="T414" s="24" t="str">
        <x:f>IF(XOR(X414="Reprogramada",X414="Cancelada"),"",IF(AND(Q414&gt;=0.8,S414&gt;=4),"Sí",IF(AND(Q414&gt;=0.65,S414&gt;=3.5),"Parcial","No")))</x:f>
        <x:v>Sí</x:v>
      </x:c>
      <x:c r="U414" s="24" t="str">
        <x:v>Camila Andrea Galván</x:v>
      </x:c>
      <x:c r="V414" s="11" t="str">
        <x:v>Humano (facilitador interno) / Logístico / Material de apoyo</x:v>
      </x:c>
      <x:c r="W414" s="11" t="str">
        <x:v>Camila Andrea Galván</x:v>
      </x:c>
      <x:c r="X414" s="11" t="str">
        <x:v>Ejecutada</x:v>
      </x:c>
      <x:c r="Y414" s="52" t="str">
        <x:v>Actividad ejecutada satisfactoriamente; mantener evidencia y seguimiento.</x:v>
      </x:c>
    </x:row>
    <x:row r="415">
      <x:c r="A415" s="23" t="n">
        <x:v>414</x:v>
      </x:c>
      <x:c r="B415" s="24" t="n">
        <x:v>2026</x:v>
      </x:c>
      <x:c r="C415" s="24" t="str">
        <x:v>Febrero</x:v>
      </x:c>
      <x:c r="D415" s="24" t="n">
        <x:v>2</x:v>
      </x:c>
      <x:c r="E415" s="24" t="str">
        <x:v>Biomecánico</x:v>
      </x:c>
      <x:c r="F415" s="24" t="str">
        <x:v>Taller</x:v>
      </x:c>
      <x:c r="G415" s="24" t="str">
        <x:v>Interno</x:v>
      </x:c>
      <x:c r="H415" s="24" t="str">
        <x:v>Todos</x:v>
      </x:c>
      <x:c r="I415" s="24" t="str">
        <x:v>Bogotá</x:v>
      </x:c>
      <x:c r="J415" s="11" t="str">
        <x:v>Higiene postural y pausas activas</x:v>
      </x:c>
      <x:c r="K415" s="11" t="str">
        <x:v>Fortalecer prácticas de autocuidado osteomuscular y hábitos posturales seguros durante la jornada.</x:v>
      </x:c>
      <x:c r="L415" s="24" t="n">
        <x:v>2</x:v>
      </x:c>
      <x:c r="M415" s="58" t="n">
        <x:v>46079</x:v>
      </x:c>
      <x:c r="N415" s="24" t="n">
        <x:v>2.5</x:v>
      </x:c>
      <x:c r="O415" s="24" t="n">
        <x:v>69</x:v>
      </x:c>
      <x:c r="P415" s="24" t="n">
        <x:v>65</x:v>
      </x:c>
      <x:c r="Q415" s="64" t="n">
        <x:f>IFERROR(P415/O415,0)</x:f>
        <x:v>0.9420289855072463</x:v>
      </x:c>
      <x:c r="R415" s="24" t="str">
        <x:v>Taller práctico</x:v>
      </x:c>
      <x:c r="S415" s="70" t="n">
        <x:v>4.9</x:v>
      </x:c>
      <x:c r="T415" s="24" t="str">
        <x:f>IF(XOR(X415="Reprogramada",X415="Cancelada"),"",IF(AND(Q415&gt;=0.8,S415&gt;=4),"Sí",IF(AND(Q415&gt;=0.65,S415&gt;=3.5),"Parcial","No")))</x:f>
        <x:v>Sí</x:v>
      </x:c>
      <x:c r="U415" s="24" t="str">
        <x:v>Camila Andrea Galván</x:v>
      </x:c>
      <x:c r="V415" s="11" t="str">
        <x:v>Humano (facilitador interno) / Logístico / Material de apoyo</x:v>
      </x:c>
      <x:c r="W415" s="11" t="str">
        <x:v>Jesús Guerrero</x:v>
      </x:c>
      <x:c r="X415" s="11" t="str">
        <x:v>Ejecutada</x:v>
      </x:c>
      <x:c r="Y415" s="52" t="str">
        <x:v>Actividad ejecutada satisfactoriamente; mantener evidencia y seguimiento.</x:v>
      </x:c>
    </x:row>
    <x:row r="416">
      <x:c r="A416" s="23" t="n">
        <x:v>415</x:v>
      </x:c>
      <x:c r="B416" s="24" t="n">
        <x:v>2026</x:v>
      </x:c>
      <x:c r="C416" s="24" t="str">
        <x:v>Febrero</x:v>
      </x:c>
      <x:c r="D416" s="24" t="n">
        <x:v>2</x:v>
      </x:c>
      <x:c r="E416" s="24" t="str">
        <x:v>Biomecánico</x:v>
      </x:c>
      <x:c r="F416" s="24" t="str">
        <x:v>Taller</x:v>
      </x:c>
      <x:c r="G416" s="24" t="str">
        <x:v>Interno</x:v>
      </x:c>
      <x:c r="H416" s="24" t="str">
        <x:v>Todos</x:v>
      </x:c>
      <x:c r="I416" s="24" t="str">
        <x:v>Tibú</x:v>
      </x:c>
      <x:c r="J416" s="11" t="str">
        <x:v>Higiene postural y pausas activas</x:v>
      </x:c>
      <x:c r="K416" s="11" t="str">
        <x:v>Fortalecer prácticas de autocuidado osteomuscular y hábitos posturales seguros durante la jornada.</x:v>
      </x:c>
      <x:c r="L416" s="24" t="n">
        <x:v>2</x:v>
      </x:c>
      <x:c r="M416" s="58" t="n">
        <x:v>46072</x:v>
      </x:c>
      <x:c r="N416" s="24" t="n">
        <x:v>2</x:v>
      </x:c>
      <x:c r="O416" s="24" t="n">
        <x:v>34</x:v>
      </x:c>
      <x:c r="P416" s="24" t="n">
        <x:v>28</x:v>
      </x:c>
      <x:c r="Q416" s="64" t="n">
        <x:f>IFERROR(P416/O416,0)</x:f>
        <x:v>0.8235294117647058</x:v>
      </x:c>
      <x:c r="R416" s="24" t="str">
        <x:v>Taller práctico</x:v>
      </x:c>
      <x:c r="S416" s="70" t="n">
        <x:v>4.4</x:v>
      </x:c>
      <x:c r="T416" s="24" t="str">
        <x:f>IF(XOR(X416="Reprogramada",X416="Cancelada"),"",IF(AND(Q416&gt;=0.8,S416&gt;=4),"Sí",IF(AND(Q416&gt;=0.65,S416&gt;=3.5),"Parcial","No")))</x:f>
        <x:v>Sí</x:v>
      </x:c>
      <x:c r="U416" s="24" t="str">
        <x:v>Camila Andrea Galván</x:v>
      </x:c>
      <x:c r="V416" s="11" t="str">
        <x:v>Humano (facilitador interno) / Logístico / Material de apoyo</x:v>
      </x:c>
      <x:c r="W416" s="11" t="str">
        <x:v>Carlos Felipe Parada Ramón</x:v>
      </x:c>
      <x:c r="X416" s="11" t="str">
        <x:v>Ejecutada</x:v>
      </x:c>
      <x:c r="Y416" s="52" t="str">
        <x:v>Actividad ejecutada satisfactoriamente; mantener evidencia y seguimiento.</x:v>
      </x:c>
    </x:row>
    <x:row r="417">
      <x:c r="A417" s="23" t="n">
        <x:v>416</x:v>
      </x:c>
      <x:c r="B417" s="24" t="n">
        <x:v>2026</x:v>
      </x:c>
      <x:c r="C417" s="24" t="str">
        <x:v>Febrero</x:v>
      </x:c>
      <x:c r="D417" s="24" t="n">
        <x:v>2</x:v>
      </x:c>
      <x:c r="E417" s="24" t="str">
        <x:v>Biomecánico</x:v>
      </x:c>
      <x:c r="F417" s="24" t="str">
        <x:v>Taller</x:v>
      </x:c>
      <x:c r="G417" s="24" t="str">
        <x:v>Interno</x:v>
      </x:c>
      <x:c r="H417" s="24" t="str">
        <x:v>Todos</x:v>
      </x:c>
      <x:c r="I417" s="24" t="str">
        <x:v>Medellín</x:v>
      </x:c>
      <x:c r="J417" s="11" t="str">
        <x:v>Higiene postural y pausas activas</x:v>
      </x:c>
      <x:c r="K417" s="11" t="str">
        <x:v>Fortalecer prácticas de autocuidado osteomuscular y hábitos posturales seguros durante la jornada.</x:v>
      </x:c>
      <x:c r="L417" s="24" t="n">
        <x:v>2</x:v>
      </x:c>
      <x:c r="M417" s="58" t="n">
        <x:v>46075</x:v>
      </x:c>
      <x:c r="N417" s="24" t="n">
        <x:v>2</x:v>
      </x:c>
      <x:c r="O417" s="24" t="n">
        <x:v>63</x:v>
      </x:c>
      <x:c r="P417" s="24" t="n">
        <x:v>60</x:v>
      </x:c>
      <x:c r="Q417" s="64" t="n">
        <x:f>IFERROR(P417/O417,0)</x:f>
        <x:v>0.9523809523809523</x:v>
      </x:c>
      <x:c r="R417" s="24" t="str">
        <x:v>Taller práctico</x:v>
      </x:c>
      <x:c r="S417" s="70" t="n">
        <x:v>5</x:v>
      </x:c>
      <x:c r="T417" s="24" t="str">
        <x:f>IF(XOR(X417="Reprogramada",X417="Cancelada"),"",IF(AND(Q417&gt;=0.8,S417&gt;=4),"Sí",IF(AND(Q417&gt;=0.65,S417&gt;=3.5),"Parcial","No")))</x:f>
        <x:v>Sí</x:v>
      </x:c>
      <x:c r="U417" s="24" t="str">
        <x:v>Camila Andrea Galván</x:v>
      </x:c>
      <x:c r="V417" s="11" t="str">
        <x:v>Humano (facilitador interno) / Logístico / Material de apoyo</x:v>
      </x:c>
      <x:c r="W417" s="11" t="str">
        <x:v>Camila Andrea Galván</x:v>
      </x:c>
      <x:c r="X417" s="11" t="str">
        <x:v>Ejecutada</x:v>
      </x:c>
      <x:c r="Y417" s="52" t="str">
        <x:v>Actividad ejecutada satisfactoriamente; mantener evidencia y seguimiento.</x:v>
      </x:c>
    </x:row>
    <x:row r="418">
      <x:c r="A418" s="23" t="n">
        <x:v>417</x:v>
      </x:c>
      <x:c r="B418" s="24" t="n">
        <x:v>2026</x:v>
      </x:c>
      <x:c r="C418" s="24" t="str">
        <x:v>Febrero</x:v>
      </x:c>
      <x:c r="D418" s="24" t="n">
        <x:v>2</x:v>
      </x:c>
      <x:c r="E418" s="24" t="str">
        <x:v>Biomecánico</x:v>
      </x:c>
      <x:c r="F418" s="24" t="str">
        <x:v>Taller</x:v>
      </x:c>
      <x:c r="G418" s="24" t="str">
        <x:v>Interno</x:v>
      </x:c>
      <x:c r="H418" s="24" t="str">
        <x:v>Todos</x:v>
      </x:c>
      <x:c r="I418" s="24" t="str">
        <x:v>Ábrego</x:v>
      </x:c>
      <x:c r="J418" s="11" t="str">
        <x:v>Higiene postural y pausas activas</x:v>
      </x:c>
      <x:c r="K418" s="11" t="str">
        <x:v>Fortalecer prácticas de autocuidado osteomuscular y hábitos posturales seguros durante la jornada.</x:v>
      </x:c>
      <x:c r="L418" s="24" t="n">
        <x:v>2</x:v>
      </x:c>
      <x:c r="M418" s="58" t="n">
        <x:v>46072</x:v>
      </x:c>
      <x:c r="N418" s="24" t="n">
        <x:v>1.5</x:v>
      </x:c>
      <x:c r="O418" s="24" t="n">
        <x:v>26</x:v>
      </x:c>
      <x:c r="P418" s="24" t="n">
        <x:v>24</x:v>
      </x:c>
      <x:c r="Q418" s="64" t="n">
        <x:f>IFERROR(P418/O418,0)</x:f>
        <x:v>0.9230769230769231</x:v>
      </x:c>
      <x:c r="R418" s="24" t="str">
        <x:v>Taller práctico</x:v>
      </x:c>
      <x:c r="S418" s="70" t="n">
        <x:v>4.7</x:v>
      </x:c>
      <x:c r="T418" s="24" t="str">
        <x:f>IF(XOR(X418="Reprogramada",X418="Cancelada"),"",IF(AND(Q418&gt;=0.8,S418&gt;=4),"Sí",IF(AND(Q418&gt;=0.65,S418&gt;=3.5),"Parcial","No")))</x:f>
        <x:v>Sí</x:v>
      </x:c>
      <x:c r="U418" s="24" t="str">
        <x:v>Camila Andrea Galván</x:v>
      </x:c>
      <x:c r="V418" s="11" t="str">
        <x:v>Humano (facilitador interno) / Logístico / Material de apoyo</x:v>
      </x:c>
      <x:c r="W418" s="11" t="str">
        <x:v>Jesús Guerrero</x:v>
      </x:c>
      <x:c r="X418" s="11" t="str">
        <x:v>Ejecutada</x:v>
      </x:c>
      <x:c r="Y418" s="52" t="str">
        <x:v>Actividad ejecutada satisfactoriamente; mantener evidencia y seguimiento.</x:v>
      </x:c>
    </x:row>
    <x:row r="419">
      <x:c r="A419" s="23" t="n">
        <x:v>418</x:v>
      </x:c>
      <x:c r="B419" s="24" t="n">
        <x:v>2026</x:v>
      </x:c>
      <x:c r="C419" s="24" t="str">
        <x:v>Febrero</x:v>
      </x:c>
      <x:c r="D419" s="24" t="n">
        <x:v>2</x:v>
      </x:c>
      <x:c r="E419" s="24" t="str">
        <x:v>Biomecánico</x:v>
      </x:c>
      <x:c r="F419" s="24" t="str">
        <x:v>Taller</x:v>
      </x:c>
      <x:c r="G419" s="24" t="str">
        <x:v>Interno</x:v>
      </x:c>
      <x:c r="H419" s="24" t="str">
        <x:v>Todos</x:v>
      </x:c>
      <x:c r="I419" s="24" t="str">
        <x:v>Pamplona</x:v>
      </x:c>
      <x:c r="J419" s="11" t="str">
        <x:v>Higiene postural y pausas activas</x:v>
      </x:c>
      <x:c r="K419" s="11" t="str">
        <x:v>Fortalecer prácticas de autocuidado osteomuscular y hábitos posturales seguros durante la jornada.</x:v>
      </x:c>
      <x:c r="L419" s="24" t="n">
        <x:v>2</x:v>
      </x:c>
      <x:c r="M419" s="58" t="n">
        <x:v>46076</x:v>
      </x:c>
      <x:c r="N419" s="24" t="n">
        <x:v>2</x:v>
      </x:c>
      <x:c r="O419" s="24" t="n">
        <x:v>29</x:v>
      </x:c>
      <x:c r="P419" s="24" t="n">
        <x:v>26</x:v>
      </x:c>
      <x:c r="Q419" s="64" t="n">
        <x:f>IFERROR(P419/O419,0)</x:f>
        <x:v>0.896551724137931</x:v>
      </x:c>
      <x:c r="R419" s="24" t="str">
        <x:v>Taller práctico</x:v>
      </x:c>
      <x:c r="S419" s="70" t="n">
        <x:v>4.7</x:v>
      </x:c>
      <x:c r="T419" s="24" t="str">
        <x:f>IF(XOR(X419="Reprogramada",X419="Cancelada"),"",IF(AND(Q419&gt;=0.8,S419&gt;=4),"Sí",IF(AND(Q419&gt;=0.65,S419&gt;=3.5),"Parcial","No")))</x:f>
        <x:v>Sí</x:v>
      </x:c>
      <x:c r="U419" s="24" t="str">
        <x:v>Camila Andrea Galván</x:v>
      </x:c>
      <x:c r="V419" s="11" t="str">
        <x:v>Humano (facilitador interno) / Logístico / Material de apoyo</x:v>
      </x:c>
      <x:c r="W419" s="11" t="str">
        <x:v>Carlos Felipe Parada Ramón</x:v>
      </x:c>
      <x:c r="X419" s="11" t="str">
        <x:v>Ejecutada</x:v>
      </x:c>
      <x:c r="Y419" s="52" t="str">
        <x:v>Actividad ejecutada satisfactoriamente; mantener evidencia y seguimiento.</x:v>
      </x:c>
    </x:row>
    <x:row r="420">
      <x:c r="A420" s="23" t="n">
        <x:v>419</x:v>
      </x:c>
      <x:c r="B420" s="24" t="n">
        <x:v>2026</x:v>
      </x:c>
      <x:c r="C420" s="24" t="str">
        <x:v>Marzo</x:v>
      </x:c>
      <x:c r="D420" s="24" t="n">
        <x:v>3</x:v>
      </x:c>
      <x:c r="E420" s="24" t="str">
        <x:v>General</x:v>
      </x:c>
      <x:c r="F420" s="24" t="str">
        <x:v>Socialización</x:v>
      </x:c>
      <x:c r="G420" s="24" t="str">
        <x:v>Interno</x:v>
      </x:c>
      <x:c r="H420" s="24" t="str">
        <x:v>Todos</x:v>
      </x:c>
      <x:c r="I420" s="24" t="str">
        <x:v>Cúcuta</x:v>
      </x:c>
      <x:c r="J420" s="11" t="str">
        <x:v>Reporte oportuno de incidentes y condiciones inseguras</x:v>
      </x:c>
      <x:c r="K420" s="11" t="str">
        <x:v>Incrementar la cultura de reporte y la intervención temprana frente a actos y condiciones inseguras.</x:v>
      </x:c>
      <x:c r="L420" s="24" t="n">
        <x:v>1</x:v>
      </x:c>
      <x:c r="M420" s="58" t="n">
        <x:v>46095</x:v>
      </x:c>
      <x:c r="N420" s="24" t="n">
        <x:v>1</x:v>
      </x:c>
      <x:c r="O420" s="24" t="n">
        <x:v>85</x:v>
      </x:c>
      <x:c r="P420" s="24" t="n">
        <x:v>67</x:v>
      </x:c>
      <x:c r="Q420" s="64" t="n">
        <x:f>IFERROR(P420/O420,0)</x:f>
        <x:v>0.788235294117647</x:v>
      </x:c>
      <x:c r="R420" s="24" t="str">
        <x:v>Formulario / taller</x:v>
      </x:c>
      <x:c r="S420" s="70" t="n">
        <x:v>4.8</x:v>
      </x:c>
      <x:c r="T420" s="24" t="str">
        <x:f>IF(XOR(X420="Reprogramada",X420="Cancelada"),"",IF(AND(Q420&gt;=0.8,S420&gt;=4),"Sí",IF(AND(Q420&gt;=0.65,S420&gt;=3.5),"Parcial","No")))</x:f>
        <x:v>Parcial</x:v>
      </x:c>
      <x:c r="U420" s="24" t="str">
        <x:v>Jesús Guerrero</x:v>
      </x:c>
      <x:c r="V420" s="11" t="str">
        <x:v>Humano (facilitador interno) / Logístico / Material de apoyo</x:v>
      </x:c>
      <x:c r="W420" s="11" t="str">
        <x:v>Camila Andrea Galván</x:v>
      </x:c>
      <x:c r="X420" s="11" t="str">
        <x:v>Ejecutada</x:v>
      </x:c>
      <x:c r="Y420" s="52" t="str">
        <x:v>Actividad ejecutada satisfactoriamente; mantener evidencia y seguimiento.</x:v>
      </x:c>
    </x:row>
    <x:row r="421">
      <x:c r="A421" s="23" t="n">
        <x:v>420</x:v>
      </x:c>
      <x:c r="B421" s="24" t="n">
        <x:v>2026</x:v>
      </x:c>
      <x:c r="C421" s="24" t="str">
        <x:v>Marzo</x:v>
      </x:c>
      <x:c r="D421" s="24" t="n">
        <x:v>3</x:v>
      </x:c>
      <x:c r="E421" s="24" t="str">
        <x:v>General</x:v>
      </x:c>
      <x:c r="F421" s="24" t="str">
        <x:v>Socialización</x:v>
      </x:c>
      <x:c r="G421" s="24" t="str">
        <x:v>Interno</x:v>
      </x:c>
      <x:c r="H421" s="24" t="str">
        <x:v>Todos</x:v>
      </x:c>
      <x:c r="I421" s="24" t="str">
        <x:v>Barrancabermeja</x:v>
      </x:c>
      <x:c r="J421" s="11" t="str">
        <x:v>Reporte oportuno de incidentes y condiciones inseguras</x:v>
      </x:c>
      <x:c r="K421" s="11" t="str">
        <x:v>Incrementar la cultura de reporte y la intervención temprana frente a actos y condiciones inseguras.</x:v>
      </x:c>
      <x:c r="L421" s="24" t="n">
        <x:v>1</x:v>
      </x:c>
      <x:c r="M421" s="58" t="n">
        <x:v>46105</x:v>
      </x:c>
      <x:c r="N421" s="24" t="n">
        <x:v>1</x:v>
      </x:c>
      <x:c r="O421" s="24" t="n">
        <x:v>57</x:v>
      </x:c>
      <x:c r="P421" s="24" t="n">
        <x:v>51</x:v>
      </x:c>
      <x:c r="Q421" s="64" t="n">
        <x:f>IFERROR(P421/O421,0)</x:f>
        <x:v>0.8947368421052632</x:v>
      </x:c>
      <x:c r="R421" s="24" t="str">
        <x:v>Formulario / taller</x:v>
      </x:c>
      <x:c r="S421" s="70" t="n">
        <x:v>4.4</x:v>
      </x:c>
      <x:c r="T421" s="24" t="str">
        <x:f>IF(XOR(X421="Reprogramada",X421="Cancelada"),"",IF(AND(Q421&gt;=0.8,S421&gt;=4),"Sí",IF(AND(Q421&gt;=0.65,S421&gt;=3.5),"Parcial","No")))</x:f>
        <x:v>Sí</x:v>
      </x:c>
      <x:c r="U421" s="24" t="str">
        <x:v>Jesús Guerrero</x:v>
      </x:c>
      <x:c r="V421" s="11" t="str">
        <x:v>Humano (facilitador interno) / Logístico / Material de apoyo</x:v>
      </x:c>
      <x:c r="W421" s="11" t="str">
        <x:v>Jesús Guerrero</x:v>
      </x:c>
      <x:c r="X421" s="11" t="str">
        <x:v>Ejecutada</x:v>
      </x:c>
      <x:c r="Y421" s="52" t="str">
        <x:v>Actividad ejecutada satisfactoriamente; mantener evidencia y seguimiento.</x:v>
      </x:c>
    </x:row>
    <x:row r="422">
      <x:c r="A422" s="23" t="n">
        <x:v>421</x:v>
      </x:c>
      <x:c r="B422" s="24" t="n">
        <x:v>2026</x:v>
      </x:c>
      <x:c r="C422" s="24" t="str">
        <x:v>Marzo</x:v>
      </x:c>
      <x:c r="D422" s="24" t="n">
        <x:v>3</x:v>
      </x:c>
      <x:c r="E422" s="24" t="str">
        <x:v>General</x:v>
      </x:c>
      <x:c r="F422" s="24" t="str">
        <x:v>Socialización</x:v>
      </x:c>
      <x:c r="G422" s="24" t="str">
        <x:v>Interno</x:v>
      </x:c>
      <x:c r="H422" s="24" t="str">
        <x:v>Todos</x:v>
      </x:c>
      <x:c r="I422" s="24" t="str">
        <x:v>Ocaña</x:v>
      </x:c>
      <x:c r="J422" s="11" t="str">
        <x:v>Reporte oportuno de incidentes y condiciones inseguras</x:v>
      </x:c>
      <x:c r="K422" s="11" t="str">
        <x:v>Incrementar la cultura de reporte y la intervención temprana frente a actos y condiciones inseguras.</x:v>
      </x:c>
      <x:c r="L422" s="24" t="n">
        <x:v>1</x:v>
      </x:c>
      <x:c r="M422" s="58" t="n">
        <x:v>46094</x:v>
      </x:c>
      <x:c r="N422" s="24" t="n">
        <x:v>1</x:v>
      </x:c>
      <x:c r="O422" s="24" t="n">
        <x:v>39</x:v>
      </x:c>
      <x:c r="P422" s="24" t="n">
        <x:v>34</x:v>
      </x:c>
      <x:c r="Q422" s="64" t="n">
        <x:f>IFERROR(P422/O422,0)</x:f>
        <x:v>0.8717948717948718</x:v>
      </x:c>
      <x:c r="R422" s="24" t="str">
        <x:v>Formulario / taller</x:v>
      </x:c>
      <x:c r="S422" s="70" t="n">
        <x:v>4.8</x:v>
      </x:c>
      <x:c r="T422" s="24" t="str">
        <x:f>IF(XOR(X422="Reprogramada",X422="Cancelada"),"",IF(AND(Q422&gt;=0.8,S422&gt;=4),"Sí",IF(AND(Q422&gt;=0.65,S422&gt;=3.5),"Parcial","No")))</x:f>
        <x:v>Sí</x:v>
      </x:c>
      <x:c r="U422" s="24" t="str">
        <x:v>Jesús Guerrero</x:v>
      </x:c>
      <x:c r="V422" s="11" t="str">
        <x:v>Humano (facilitador interno) / Logístico / Material de apoyo</x:v>
      </x:c>
      <x:c r="W422" s="11" t="str">
        <x:v>Carlos Felipe Parada Ramón</x:v>
      </x:c>
      <x:c r="X422" s="11" t="str">
        <x:v>Ejecutada</x:v>
      </x:c>
      <x:c r="Y422" s="52" t="str">
        <x:v>Actividad ejecutada satisfactoriamente; mantener evidencia y seguimiento.</x:v>
      </x:c>
    </x:row>
    <x:row r="423">
      <x:c r="A423" s="23" t="n">
        <x:v>422</x:v>
      </x:c>
      <x:c r="B423" s="24" t="n">
        <x:v>2026</x:v>
      </x:c>
      <x:c r="C423" s="24" t="str">
        <x:v>Marzo</x:v>
      </x:c>
      <x:c r="D423" s="24" t="n">
        <x:v>3</x:v>
      </x:c>
      <x:c r="E423" s="24" t="str">
        <x:v>General</x:v>
      </x:c>
      <x:c r="F423" s="24" t="str">
        <x:v>Socialización</x:v>
      </x:c>
      <x:c r="G423" s="24" t="str">
        <x:v>Interno</x:v>
      </x:c>
      <x:c r="H423" s="24" t="str">
        <x:v>Todos</x:v>
      </x:c>
      <x:c r="I423" s="24" t="str">
        <x:v>Girón</x:v>
      </x:c>
      <x:c r="J423" s="11" t="str">
        <x:v>Reporte oportuno de incidentes y condiciones inseguras</x:v>
      </x:c>
      <x:c r="K423" s="11" t="str">
        <x:v>Incrementar la cultura de reporte y la intervención temprana frente a actos y condiciones inseguras.</x:v>
      </x:c>
      <x:c r="L423" s="24" t="n">
        <x:v>1</x:v>
      </x:c>
      <x:c r="M423" s="58" t="n">
        <x:v>46106</x:v>
      </x:c>
      <x:c r="N423" s="24" t="n">
        <x:v>1</x:v>
      </x:c>
      <x:c r="O423" s="24" t="n">
        <x:v>45</x:v>
      </x:c>
      <x:c r="P423" s="24" t="n">
        <x:v>36</x:v>
      </x:c>
      <x:c r="Q423" s="64" t="n">
        <x:f>IFERROR(P423/O423,0)</x:f>
        <x:v>0.8</x:v>
      </x:c>
      <x:c r="R423" s="24" t="str">
        <x:v>Formulario / taller</x:v>
      </x:c>
      <x:c r="S423" s="70" t="n">
        <x:v>4.5</x:v>
      </x:c>
      <x:c r="T423" s="24" t="str">
        <x:f>IF(XOR(X423="Reprogramada",X423="Cancelada"),"",IF(AND(Q423&gt;=0.8,S423&gt;=4),"Sí",IF(AND(Q423&gt;=0.65,S423&gt;=3.5),"Parcial","No")))</x:f>
        <x:v>Sí</x:v>
      </x:c>
      <x:c r="U423" s="24" t="str">
        <x:v>Jesús Guerrero</x:v>
      </x:c>
      <x:c r="V423" s="11" t="str">
        <x:v>Humano (facilitador interno) / Logístico / Material de apoyo</x:v>
      </x:c>
      <x:c r="W423" s="11" t="str">
        <x:v>Camila Andrea Galván</x:v>
      </x:c>
      <x:c r="X423" s="11" t="str">
        <x:v>Ejecutada</x:v>
      </x:c>
      <x:c r="Y423" s="52" t="str">
        <x:v>Actividad ejecutada satisfactoriamente; mantener evidencia y seguimiento.</x:v>
      </x:c>
    </x:row>
    <x:row r="424">
      <x:c r="A424" s="23" t="n">
        <x:v>423</x:v>
      </x:c>
      <x:c r="B424" s="24" t="n">
        <x:v>2026</x:v>
      </x:c>
      <x:c r="C424" s="24" t="str">
        <x:v>Marzo</x:v>
      </x:c>
      <x:c r="D424" s="24" t="n">
        <x:v>3</x:v>
      </x:c>
      <x:c r="E424" s="24" t="str">
        <x:v>General</x:v>
      </x:c>
      <x:c r="F424" s="24" t="str">
        <x:v>Socialización</x:v>
      </x:c>
      <x:c r="G424" s="24" t="str">
        <x:v>Interno</x:v>
      </x:c>
      <x:c r="H424" s="24" t="str">
        <x:v>Todos</x:v>
      </x:c>
      <x:c r="I424" s="24" t="str">
        <x:v>Valledupar</x:v>
      </x:c>
      <x:c r="J424" s="11" t="str">
        <x:v>Reporte oportuno de incidentes y condiciones inseguras</x:v>
      </x:c>
      <x:c r="K424" s="11" t="str">
        <x:v>Incrementar la cultura de reporte y la intervención temprana frente a actos y condiciones inseguras.</x:v>
      </x:c>
      <x:c r="L424" s="24" t="n">
        <x:v>1</x:v>
      </x:c>
      <x:c r="M424" s="58" t="n">
        <x:v>46096</x:v>
      </x:c>
      <x:c r="N424" s="24" t="n">
        <x:v>1</x:v>
      </x:c>
      <x:c r="O424" s="24" t="n">
        <x:v>51</x:v>
      </x:c>
      <x:c r="P424" s="24" t="n">
        <x:v>40</x:v>
      </x:c>
      <x:c r="Q424" s="64" t="n">
        <x:f>IFERROR(P424/O424,0)</x:f>
        <x:v>0.7843137254901961</x:v>
      </x:c>
      <x:c r="R424" s="24" t="str">
        <x:v>Formulario / taller</x:v>
      </x:c>
      <x:c r="S424" s="70" t="n">
        <x:v>4.5</x:v>
      </x:c>
      <x:c r="T424" s="24" t="str">
        <x:f>IF(XOR(X424="Reprogramada",X424="Cancelada"),"",IF(AND(Q424&gt;=0.8,S424&gt;=4),"Sí",IF(AND(Q424&gt;=0.65,S424&gt;=3.5),"Parcial","No")))</x:f>
        <x:v>Parcial</x:v>
      </x:c>
      <x:c r="U424" s="24" t="str">
        <x:v>Jesús Guerrero</x:v>
      </x:c>
      <x:c r="V424" s="11" t="str">
        <x:v>Humano (facilitador interno) / Logístico / Material de apoyo</x:v>
      </x:c>
      <x:c r="W424" s="11" t="str">
        <x:v>Jesús Guerrero</x:v>
      </x:c>
      <x:c r="X424" s="11" t="str">
        <x:v>Ejecutada</x:v>
      </x:c>
      <x:c r="Y424" s="52" t="str">
        <x:v>Actividad ejecutada satisfactoriamente; mantener evidencia y seguimiento.</x:v>
      </x:c>
    </x:row>
    <x:row r="425">
      <x:c r="A425" s="23" t="n">
        <x:v>424</x:v>
      </x:c>
      <x:c r="B425" s="24" t="n">
        <x:v>2026</x:v>
      </x:c>
      <x:c r="C425" s="24" t="str">
        <x:v>Marzo</x:v>
      </x:c>
      <x:c r="D425" s="24" t="n">
        <x:v>3</x:v>
      </x:c>
      <x:c r="E425" s="24" t="str">
        <x:v>General</x:v>
      </x:c>
      <x:c r="F425" s="24" t="str">
        <x:v>Socialización</x:v>
      </x:c>
      <x:c r="G425" s="24" t="str">
        <x:v>Interno</x:v>
      </x:c>
      <x:c r="H425" s="24" t="str">
        <x:v>Todos</x:v>
      </x:c>
      <x:c r="I425" s="24" t="str">
        <x:v>Arauca</x:v>
      </x:c>
      <x:c r="J425" s="11" t="str">
        <x:v>Reporte oportuno de incidentes y condiciones inseguras</x:v>
      </x:c>
      <x:c r="K425" s="11" t="str">
        <x:v>Incrementar la cultura de reporte y la intervención temprana frente a actos y condiciones inseguras.</x:v>
      </x:c>
      <x:c r="L425" s="24" t="n">
        <x:v>1</x:v>
      </x:c>
      <x:c r="M425" s="58" t="n">
        <x:v>46104</x:v>
      </x:c>
      <x:c r="N425" s="24" t="n">
        <x:v>1</x:v>
      </x:c>
      <x:c r="O425" s="24" t="n">
        <x:v>32</x:v>
      </x:c>
      <x:c r="P425" s="24" t="n">
        <x:v>29</x:v>
      </x:c>
      <x:c r="Q425" s="64" t="n">
        <x:f>IFERROR(P425/O425,0)</x:f>
        <x:v>0.90625</x:v>
      </x:c>
      <x:c r="R425" s="24" t="str">
        <x:v>Formulario / taller</x:v>
      </x:c>
      <x:c r="S425" s="70" t="n">
        <x:v>4.5</x:v>
      </x:c>
      <x:c r="T425" s="24" t="str">
        <x:f>IF(XOR(X425="Reprogramada",X425="Cancelada"),"",IF(AND(Q425&gt;=0.8,S425&gt;=4),"Sí",IF(AND(Q425&gt;=0.65,S425&gt;=3.5),"Parcial","No")))</x:f>
        <x:v>Sí</x:v>
      </x:c>
      <x:c r="U425" s="24" t="str">
        <x:v>Jesús Guerrero</x:v>
      </x:c>
      <x:c r="V425" s="11" t="str">
        <x:v>Humano (facilitador interno) / Logístico / Material de apoyo</x:v>
      </x:c>
      <x:c r="W425" s="11" t="str">
        <x:v>Carlos Felipe Parada Ramón</x:v>
      </x:c>
      <x:c r="X425" s="11" t="str">
        <x:v>Ejecutada</x:v>
      </x:c>
      <x:c r="Y425" s="52" t="str">
        <x:v>Actividad ejecutada satisfactoriamente; mantener evidencia y seguimiento.</x:v>
      </x:c>
    </x:row>
    <x:row r="426">
      <x:c r="A426" s="23" t="n">
        <x:v>425</x:v>
      </x:c>
      <x:c r="B426" s="24" t="n">
        <x:v>2026</x:v>
      </x:c>
      <x:c r="C426" s="24" t="str">
        <x:v>Marzo</x:v>
      </x:c>
      <x:c r="D426" s="24" t="n">
        <x:v>3</x:v>
      </x:c>
      <x:c r="E426" s="24" t="str">
        <x:v>General</x:v>
      </x:c>
      <x:c r="F426" s="24" t="str">
        <x:v>Socialización</x:v>
      </x:c>
      <x:c r="G426" s="24" t="str">
        <x:v>Interno</x:v>
      </x:c>
      <x:c r="H426" s="24" t="str">
        <x:v>Todos</x:v>
      </x:c>
      <x:c r="I426" s="24" t="str">
        <x:v>Bogotá</x:v>
      </x:c>
      <x:c r="J426" s="11" t="str">
        <x:v>Reporte oportuno de incidentes y condiciones inseguras</x:v>
      </x:c>
      <x:c r="K426" s="11" t="str">
        <x:v>Incrementar la cultura de reporte y la intervención temprana frente a actos y condiciones inseguras.</x:v>
      </x:c>
      <x:c r="L426" s="24" t="n">
        <x:v>1</x:v>
      </x:c>
      <x:c r="M426" s="58" t="n">
        <x:v>46091</x:v>
      </x:c>
      <x:c r="N426" s="24" t="n">
        <x:v>1</x:v>
      </x:c>
      <x:c r="O426" s="24" t="n">
        <x:v>69</x:v>
      </x:c>
      <x:c r="P426" s="24" t="n">
        <x:v>57</x:v>
      </x:c>
      <x:c r="Q426" s="64" t="n">
        <x:f>IFERROR(P426/O426,0)</x:f>
        <x:v>0.8260869565217391</x:v>
      </x:c>
      <x:c r="R426" s="24" t="str">
        <x:v>Formulario / taller</x:v>
      </x:c>
      <x:c r="S426" s="70" t="n">
        <x:v>4.6</x:v>
      </x:c>
      <x:c r="T426" s="24" t="str">
        <x:f>IF(XOR(X426="Reprogramada",X426="Cancelada"),"",IF(AND(Q426&gt;=0.8,S426&gt;=4),"Sí",IF(AND(Q426&gt;=0.65,S426&gt;=3.5),"Parcial","No")))</x:f>
        <x:v>Sí</x:v>
      </x:c>
      <x:c r="U426" s="24" t="str">
        <x:v>Jesús Guerrero</x:v>
      </x:c>
      <x:c r="V426" s="11" t="str">
        <x:v>Humano (facilitador interno) / Logístico / Material de apoyo</x:v>
      </x:c>
      <x:c r="W426" s="11" t="str">
        <x:v>Camila Andrea Galván</x:v>
      </x:c>
      <x:c r="X426" s="11" t="str">
        <x:v>Ejecutada</x:v>
      </x:c>
      <x:c r="Y426" s="52" t="str">
        <x:v>Actividad ejecutada satisfactoriamente; mantener evidencia y seguimiento.</x:v>
      </x:c>
    </x:row>
    <x:row r="427">
      <x:c r="A427" s="23" t="n">
        <x:v>426</x:v>
      </x:c>
      <x:c r="B427" s="24" t="n">
        <x:v>2026</x:v>
      </x:c>
      <x:c r="C427" s="24" t="str">
        <x:v>Marzo</x:v>
      </x:c>
      <x:c r="D427" s="24" t="n">
        <x:v>3</x:v>
      </x:c>
      <x:c r="E427" s="24" t="str">
        <x:v>General</x:v>
      </x:c>
      <x:c r="F427" s="24" t="str">
        <x:v>Socialización</x:v>
      </x:c>
      <x:c r="G427" s="24" t="str">
        <x:v>Interno</x:v>
      </x:c>
      <x:c r="H427" s="24" t="str">
        <x:v>Todos</x:v>
      </x:c>
      <x:c r="I427" s="24" t="str">
        <x:v>Tibú</x:v>
      </x:c>
      <x:c r="J427" s="11" t="str">
        <x:v>Reporte oportuno de incidentes y condiciones inseguras</x:v>
      </x:c>
      <x:c r="K427" s="11" t="str">
        <x:v>Incrementar la cultura de reporte y la intervención temprana frente a actos y condiciones inseguras.</x:v>
      </x:c>
      <x:c r="L427" s="24" t="n">
        <x:v>1</x:v>
      </x:c>
      <x:c r="M427" s="58"/>
      <x:c r="N427" s="24"/>
      <x:c r="O427" s="24" t="n">
        <x:v>34</x:v>
      </x:c>
      <x:c r="P427" s="24"/>
      <x:c r="Q427" s="64" t="n">
        <x:f>IFERROR(P427/O427,0)</x:f>
        <x:v>0</x:v>
      </x:c>
      <x:c r="R427" s="24" t="str">
        <x:v>Formulario / taller</x:v>
      </x:c>
      <x:c r="S427" s="70"/>
      <x:c r="T427" s="24" t="str">
        <x:f>IF(XOR(X427="Reprogramada",X427="Cancelada"),"",IF(AND(Q427&gt;=0.8,S427&gt;=4),"Sí",IF(AND(Q427&gt;=0.65,S427&gt;=3.5),"Parcial","No")))</x:f>
      </x:c>
      <x:c r="U427" s="24" t="str">
        <x:v>Jesús Guerrero</x:v>
      </x:c>
      <x:c r="V427" s="11" t="str">
        <x:v>Humano (facilitador interno) / Logístico / Material de apoyo</x:v>
      </x:c>
      <x:c r="W427" s="11" t="str">
        <x:v>Jesús Guerrero</x:v>
      </x:c>
      <x:c r="X427" s="11" t="str">
        <x:v>Reprogramada</x:v>
      </x:c>
      <x:c r="Y427" s="52" t="str">
        <x:v>Actividad reprogramada por operación, disponibilidad del facilitador o ajustes logísticos.</x:v>
      </x:c>
    </x:row>
    <x:row r="428">
      <x:c r="A428" s="23" t="n">
        <x:v>427</x:v>
      </x:c>
      <x:c r="B428" s="24" t="n">
        <x:v>2026</x:v>
      </x:c>
      <x:c r="C428" s="24" t="str">
        <x:v>Marzo</x:v>
      </x:c>
      <x:c r="D428" s="24" t="n">
        <x:v>3</x:v>
      </x:c>
      <x:c r="E428" s="24" t="str">
        <x:v>General</x:v>
      </x:c>
      <x:c r="F428" s="24" t="str">
        <x:v>Socialización</x:v>
      </x:c>
      <x:c r="G428" s="24" t="str">
        <x:v>Interno</x:v>
      </x:c>
      <x:c r="H428" s="24" t="str">
        <x:v>Todos</x:v>
      </x:c>
      <x:c r="I428" s="24" t="str">
        <x:v>Medellín</x:v>
      </x:c>
      <x:c r="J428" s="11" t="str">
        <x:v>Reporte oportuno de incidentes y condiciones inseguras</x:v>
      </x:c>
      <x:c r="K428" s="11" t="str">
        <x:v>Incrementar la cultura de reporte y la intervención temprana frente a actos y condiciones inseguras.</x:v>
      </x:c>
      <x:c r="L428" s="24" t="n">
        <x:v>1</x:v>
      </x:c>
      <x:c r="M428" s="58" t="n">
        <x:v>46101</x:v>
      </x:c>
      <x:c r="N428" s="24" t="n">
        <x:v>1</x:v>
      </x:c>
      <x:c r="O428" s="24" t="n">
        <x:v>63</x:v>
      </x:c>
      <x:c r="P428" s="24" t="n">
        <x:v>54</x:v>
      </x:c>
      <x:c r="Q428" s="64" t="n">
        <x:f>IFERROR(P428/O428,0)</x:f>
        <x:v>0.8571428571428571</x:v>
      </x:c>
      <x:c r="R428" s="24" t="str">
        <x:v>Formulario / taller</x:v>
      </x:c>
      <x:c r="S428" s="70" t="n">
        <x:v>4.4</x:v>
      </x:c>
      <x:c r="T428" s="24" t="str">
        <x:f>IF(XOR(X428="Reprogramada",X428="Cancelada"),"",IF(AND(Q428&gt;=0.8,S428&gt;=4),"Sí",IF(AND(Q428&gt;=0.65,S428&gt;=3.5),"Parcial","No")))</x:f>
        <x:v>Sí</x:v>
      </x:c>
      <x:c r="U428" s="24" t="str">
        <x:v>Jesús Guerrero</x:v>
      </x:c>
      <x:c r="V428" s="11" t="str">
        <x:v>Humano (facilitador interno) / Logístico / Material de apoyo</x:v>
      </x:c>
      <x:c r="W428" s="11" t="str">
        <x:v>Carlos Felipe Parada Ramón</x:v>
      </x:c>
      <x:c r="X428" s="11" t="str">
        <x:v>Ejecutada</x:v>
      </x:c>
      <x:c r="Y428" s="52" t="str">
        <x:v>Actividad ejecutada satisfactoriamente; mantener evidencia y seguimiento.</x:v>
      </x:c>
    </x:row>
    <x:row r="429">
      <x:c r="A429" s="23" t="n">
        <x:v>428</x:v>
      </x:c>
      <x:c r="B429" s="24" t="n">
        <x:v>2026</x:v>
      </x:c>
      <x:c r="C429" s="24" t="str">
        <x:v>Marzo</x:v>
      </x:c>
      <x:c r="D429" s="24" t="n">
        <x:v>3</x:v>
      </x:c>
      <x:c r="E429" s="24" t="str">
        <x:v>General</x:v>
      </x:c>
      <x:c r="F429" s="24" t="str">
        <x:v>Socialización</x:v>
      </x:c>
      <x:c r="G429" s="24" t="str">
        <x:v>Interno</x:v>
      </x:c>
      <x:c r="H429" s="24" t="str">
        <x:v>Todos</x:v>
      </x:c>
      <x:c r="I429" s="24" t="str">
        <x:v>Ábrego</x:v>
      </x:c>
      <x:c r="J429" s="11" t="str">
        <x:v>Reporte oportuno de incidentes y condiciones inseguras</x:v>
      </x:c>
      <x:c r="K429" s="11" t="str">
        <x:v>Incrementar la cultura de reporte y la intervención temprana frente a actos y condiciones inseguras.</x:v>
      </x:c>
      <x:c r="L429" s="24" t="n">
        <x:v>1</x:v>
      </x:c>
      <x:c r="M429" s="58"/>
      <x:c r="N429" s="24"/>
      <x:c r="O429" s="24" t="n">
        <x:v>26</x:v>
      </x:c>
      <x:c r="P429" s="24"/>
      <x:c r="Q429" s="64" t="n">
        <x:f>IFERROR(P429/O429,0)</x:f>
        <x:v>0</x:v>
      </x:c>
      <x:c r="R429" s="24" t="str">
        <x:v>Formulario / taller</x:v>
      </x:c>
      <x:c r="S429" s="70"/>
      <x:c r="T429" s="24" t="str">
        <x:f>IF(XOR(X429="Reprogramada",X429="Cancelada"),"",IF(AND(Q429&gt;=0.8,S429&gt;=4),"Sí",IF(AND(Q429&gt;=0.65,S429&gt;=3.5),"Parcial","No")))</x:f>
      </x:c>
      <x:c r="U429" s="24" t="str">
        <x:v>Jesús Guerrero</x:v>
      </x:c>
      <x:c r="V429" s="11" t="str">
        <x:v>Humano (facilitador interno) / Logístico / Material de apoyo</x:v>
      </x:c>
      <x:c r="W429" s="11" t="str">
        <x:v>Camila Andrea Galván</x:v>
      </x:c>
      <x:c r="X429" s="11" t="str">
        <x:v>Reprogramada</x:v>
      </x:c>
      <x:c r="Y429" s="52" t="str">
        <x:v>Actividad reprogramada por operación, disponibilidad del facilitador o ajustes logísticos.</x:v>
      </x:c>
    </x:row>
    <x:row r="430">
      <x:c r="A430" s="23" t="n">
        <x:v>429</x:v>
      </x:c>
      <x:c r="B430" s="24" t="n">
        <x:v>2026</x:v>
      </x:c>
      <x:c r="C430" s="24" t="str">
        <x:v>Marzo</x:v>
      </x:c>
      <x:c r="D430" s="24" t="n">
        <x:v>3</x:v>
      </x:c>
      <x:c r="E430" s="24" t="str">
        <x:v>General</x:v>
      </x:c>
      <x:c r="F430" s="24" t="str">
        <x:v>Socialización</x:v>
      </x:c>
      <x:c r="G430" s="24" t="str">
        <x:v>Interno</x:v>
      </x:c>
      <x:c r="H430" s="24" t="str">
        <x:v>Todos</x:v>
      </x:c>
      <x:c r="I430" s="24" t="str">
        <x:v>Pamplona</x:v>
      </x:c>
      <x:c r="J430" s="11" t="str">
        <x:v>Reporte oportuno de incidentes y condiciones inseguras</x:v>
      </x:c>
      <x:c r="K430" s="11" t="str">
        <x:v>Incrementar la cultura de reporte y la intervención temprana frente a actos y condiciones inseguras.</x:v>
      </x:c>
      <x:c r="L430" s="24" t="n">
        <x:v>1</x:v>
      </x:c>
      <x:c r="M430" s="58" t="n">
        <x:v>46107</x:v>
      </x:c>
      <x:c r="N430" s="24" t="n">
        <x:v>1</x:v>
      </x:c>
      <x:c r="O430" s="24" t="n">
        <x:v>29</x:v>
      </x:c>
      <x:c r="P430" s="24" t="n">
        <x:v>26</x:v>
      </x:c>
      <x:c r="Q430" s="64" t="n">
        <x:f>IFERROR(P430/O430,0)</x:f>
        <x:v>0.896551724137931</x:v>
      </x:c>
      <x:c r="R430" s="24" t="str">
        <x:v>Formulario / taller</x:v>
      </x:c>
      <x:c r="S430" s="70" t="n">
        <x:v>4.3</x:v>
      </x:c>
      <x:c r="T430" s="24" t="str">
        <x:f>IF(XOR(X430="Reprogramada",X430="Cancelada"),"",IF(AND(Q430&gt;=0.8,S430&gt;=4),"Sí",IF(AND(Q430&gt;=0.65,S430&gt;=3.5),"Parcial","No")))</x:f>
        <x:v>Sí</x:v>
      </x:c>
      <x:c r="U430" s="24" t="str">
        <x:v>Jesús Guerrero</x:v>
      </x:c>
      <x:c r="V430" s="11" t="str">
        <x:v>Humano (facilitador interno) / Logístico / Material de apoyo</x:v>
      </x:c>
      <x:c r="W430" s="11" t="str">
        <x:v>Jesús Guerrero</x:v>
      </x:c>
      <x:c r="X430" s="11" t="str">
        <x:v>Ejecutada</x:v>
      </x:c>
      <x:c r="Y430" s="52" t="str">
        <x:v>Actividad ejecutada satisfactoriamente; mantener evidencia y seguimiento.</x:v>
      </x:c>
    </x:row>
    <x:row r="431">
      <x:c r="A431" s="23" t="n">
        <x:v>430</x:v>
      </x:c>
      <x:c r="B431" s="24" t="n">
        <x:v>2026</x:v>
      </x:c>
      <x:c r="C431" s="24" t="str">
        <x:v>Abril</x:v>
      </x:c>
      <x:c r="D431" s="24" t="n">
        <x:v>4</x:v>
      </x:c>
      <x:c r="E431" s="24" t="str">
        <x:v>Emergencias</x:v>
      </x:c>
      <x:c r="F431" s="24" t="str">
        <x:v>Taller</x:v>
      </x:c>
      <x:c r="G431" s="24" t="str">
        <x:v>Externo</x:v>
      </x:c>
      <x:c r="H431" s="24" t="str">
        <x:v>Todos</x:v>
      </x:c>
      <x:c r="I431" s="24" t="str">
        <x:v>Cúcuta</x:v>
      </x:c>
      <x:c r="J431" s="11" t="str">
        <x:v>Prevención de emergencias y uso de extintores</x:v>
      </x:c>
      <x:c r="K431" s="11" t="str">
        <x:v>Actualizar al personal en prevención, control inicial y respuesta ante eventos de emergencia.</x:v>
      </x:c>
      <x:c r="L431" s="24" t="n">
        <x:v>3</x:v>
      </x:c>
      <x:c r="M431" s="58" t="n">
        <x:v>46126</x:v>
      </x:c>
      <x:c r="N431" s="24" t="n">
        <x:v>3</x:v>
      </x:c>
      <x:c r="O431" s="24" t="n">
        <x:v>85</x:v>
      </x:c>
      <x:c r="P431" s="24" t="n">
        <x:v>68</x:v>
      </x:c>
      <x:c r="Q431" s="64" t="n">
        <x:f>IFERROR(P431/O431,0)</x:f>
        <x:v>0.8</x:v>
      </x:c>
      <x:c r="R431" s="24" t="str">
        <x:v>Taller práctico</x:v>
      </x:c>
      <x:c r="S431" s="70" t="n">
        <x:v>4.8</x:v>
      </x:c>
      <x:c r="T431" s="24" t="str">
        <x:f>IF(XOR(X431="Reprogramada",X431="Cancelada"),"",IF(AND(Q431&gt;=0.8,S431&gt;=4),"Sí",IF(AND(Q431&gt;=0.65,S431&gt;=3.5),"Parcial","No")))</x:f>
        <x:v>Sí</x:v>
      </x:c>
      <x:c r="U431" s="24" t="str">
        <x:v>Brigada Externa SST</x:v>
      </x:c>
      <x:c r="V431" s="11" t="str">
        <x:v>Humano (facilitador externo) / Financiero / Logístico / Material didáctico</x:v>
      </x:c>
      <x:c r="W431" s="11" t="str">
        <x:v>Carlos Felipe Parada Ramón</x:v>
      </x:c>
      <x:c r="X431" s="11" t="str">
        <x:v>Ejecutada</x:v>
      </x:c>
      <x:c r="Y431" s="52" t="str">
        <x:v>Actividad ejecutada satisfactoriamente; mantener evidencia y seguimiento.</x:v>
      </x:c>
    </x:row>
    <x:row r="432">
      <x:c r="A432" s="23" t="n">
        <x:v>431</x:v>
      </x:c>
      <x:c r="B432" s="24" t="n">
        <x:v>2026</x:v>
      </x:c>
      <x:c r="C432" s="24" t="str">
        <x:v>Abril</x:v>
      </x:c>
      <x:c r="D432" s="24" t="n">
        <x:v>4</x:v>
      </x:c>
      <x:c r="E432" s="24" t="str">
        <x:v>Emergencias</x:v>
      </x:c>
      <x:c r="F432" s="24" t="str">
        <x:v>Taller</x:v>
      </x:c>
      <x:c r="G432" s="24" t="str">
        <x:v>Externo</x:v>
      </x:c>
      <x:c r="H432" s="24" t="str">
        <x:v>Todos</x:v>
      </x:c>
      <x:c r="I432" s="24" t="str">
        <x:v>Barrancabermeja</x:v>
      </x:c>
      <x:c r="J432" s="11" t="str">
        <x:v>Prevención de emergencias y uso de extintores</x:v>
      </x:c>
      <x:c r="K432" s="11" t="str">
        <x:v>Actualizar al personal en prevención, control inicial y respuesta ante eventos de emergencia.</x:v>
      </x:c>
      <x:c r="L432" s="24" t="n">
        <x:v>3</x:v>
      </x:c>
      <x:c r="M432" s="58" t="n">
        <x:v>46128</x:v>
      </x:c>
      <x:c r="N432" s="24" t="n">
        <x:v>3</x:v>
      </x:c>
      <x:c r="O432" s="24" t="n">
        <x:v>57</x:v>
      </x:c>
      <x:c r="P432" s="24" t="n">
        <x:v>51</x:v>
      </x:c>
      <x:c r="Q432" s="64" t="n">
        <x:f>IFERROR(P432/O432,0)</x:f>
        <x:v>0.8947368421052632</x:v>
      </x:c>
      <x:c r="R432" s="24" t="str">
        <x:v>Taller práctico</x:v>
      </x:c>
      <x:c r="S432" s="70" t="n">
        <x:v>4.7</x:v>
      </x:c>
      <x:c r="T432" s="24" t="str">
        <x:f>IF(XOR(X432="Reprogramada",X432="Cancelada"),"",IF(AND(Q432&gt;=0.8,S432&gt;=4),"Sí",IF(AND(Q432&gt;=0.65,S432&gt;=3.5),"Parcial","No")))</x:f>
        <x:v>Sí</x:v>
      </x:c>
      <x:c r="U432" s="24" t="str">
        <x:v>Brigada Externa SST</x:v>
      </x:c>
      <x:c r="V432" s="11" t="str">
        <x:v>Humano (facilitador externo) / Financiero / Logístico / Material didáctico</x:v>
      </x:c>
      <x:c r="W432" s="11" t="str">
        <x:v>Camila Andrea Galván</x:v>
      </x:c>
      <x:c r="X432" s="11" t="str">
        <x:v>Ejecutada</x:v>
      </x:c>
      <x:c r="Y432" s="52" t="str">
        <x:v>Actividad ejecutada satisfactoriamente; mantener evidencia y seguimiento.</x:v>
      </x:c>
    </x:row>
    <x:row r="433">
      <x:c r="A433" s="23" t="n">
        <x:v>432</x:v>
      </x:c>
      <x:c r="B433" s="24" t="n">
        <x:v>2026</x:v>
      </x:c>
      <x:c r="C433" s="24" t="str">
        <x:v>Abril</x:v>
      </x:c>
      <x:c r="D433" s="24" t="n">
        <x:v>4</x:v>
      </x:c>
      <x:c r="E433" s="24" t="str">
        <x:v>Emergencias</x:v>
      </x:c>
      <x:c r="F433" s="24" t="str">
        <x:v>Taller</x:v>
      </x:c>
      <x:c r="G433" s="24" t="str">
        <x:v>Externo</x:v>
      </x:c>
      <x:c r="H433" s="24" t="str">
        <x:v>Todos</x:v>
      </x:c>
      <x:c r="I433" s="24" t="str">
        <x:v>Ocaña</x:v>
      </x:c>
      <x:c r="J433" s="11" t="str">
        <x:v>Prevención de emergencias y uso de extintores</x:v>
      </x:c>
      <x:c r="K433" s="11" t="str">
        <x:v>Actualizar al personal en prevención, control inicial y respuesta ante eventos de emergencia.</x:v>
      </x:c>
      <x:c r="L433" s="24" t="n">
        <x:v>3</x:v>
      </x:c>
      <x:c r="M433" s="58" t="n">
        <x:v>46130</x:v>
      </x:c>
      <x:c r="N433" s="24" t="n">
        <x:v>2.5</x:v>
      </x:c>
      <x:c r="O433" s="24" t="n">
        <x:v>39</x:v>
      </x:c>
      <x:c r="P433" s="24" t="n">
        <x:v>33</x:v>
      </x:c>
      <x:c r="Q433" s="64" t="n">
        <x:f>IFERROR(P433/O433,0)</x:f>
        <x:v>0.8461538461538461</x:v>
      </x:c>
      <x:c r="R433" s="24" t="str">
        <x:v>Taller práctico</x:v>
      </x:c>
      <x:c r="S433" s="70" t="n">
        <x:v>4.9</x:v>
      </x:c>
      <x:c r="T433" s="24" t="str">
        <x:f>IF(XOR(X433="Reprogramada",X433="Cancelada"),"",IF(AND(Q433&gt;=0.8,S433&gt;=4),"Sí",IF(AND(Q433&gt;=0.65,S433&gt;=3.5),"Parcial","No")))</x:f>
        <x:v>Sí</x:v>
      </x:c>
      <x:c r="U433" s="24" t="str">
        <x:v>Brigada Externa SST</x:v>
      </x:c>
      <x:c r="V433" s="11" t="str">
        <x:v>Humano (facilitador externo) / Financiero / Logístico / Material didáctico</x:v>
      </x:c>
      <x:c r="W433" s="11" t="str">
        <x:v>Jesús Guerrero</x:v>
      </x:c>
      <x:c r="X433" s="11" t="str">
        <x:v>Ejecutada</x:v>
      </x:c>
      <x:c r="Y433" s="52" t="str">
        <x:v>Actividad ejecutada satisfactoriamente; mantener evidencia y seguimiento.</x:v>
      </x:c>
    </x:row>
    <x:row r="434">
      <x:c r="A434" s="23" t="n">
        <x:v>433</x:v>
      </x:c>
      <x:c r="B434" s="24" t="n">
        <x:v>2026</x:v>
      </x:c>
      <x:c r="C434" s="24" t="str">
        <x:v>Abril</x:v>
      </x:c>
      <x:c r="D434" s="24" t="n">
        <x:v>4</x:v>
      </x:c>
      <x:c r="E434" s="24" t="str">
        <x:v>Emergencias</x:v>
      </x:c>
      <x:c r="F434" s="24" t="str">
        <x:v>Taller</x:v>
      </x:c>
      <x:c r="G434" s="24" t="str">
        <x:v>Externo</x:v>
      </x:c>
      <x:c r="H434" s="24" t="str">
        <x:v>Todos</x:v>
      </x:c>
      <x:c r="I434" s="24" t="str">
        <x:v>Girón</x:v>
      </x:c>
      <x:c r="J434" s="11" t="str">
        <x:v>Prevención de emergencias y uso de extintores</x:v>
      </x:c>
      <x:c r="K434" s="11" t="str">
        <x:v>Actualizar al personal en prevención, control inicial y respuesta ante eventos de emergencia.</x:v>
      </x:c>
      <x:c r="L434" s="24" t="n">
        <x:v>3</x:v>
      </x:c>
      <x:c r="M434" s="58" t="n">
        <x:v>46122</x:v>
      </x:c>
      <x:c r="N434" s="24" t="n">
        <x:v>2.5</x:v>
      </x:c>
      <x:c r="O434" s="24" t="n">
        <x:v>45</x:v>
      </x:c>
      <x:c r="P434" s="24" t="n">
        <x:v>37</x:v>
      </x:c>
      <x:c r="Q434" s="64" t="n">
        <x:f>IFERROR(P434/O434,0)</x:f>
        <x:v>0.8222222222222222</x:v>
      </x:c>
      <x:c r="R434" s="24" t="str">
        <x:v>Taller práctico</x:v>
      </x:c>
      <x:c r="S434" s="70" t="n">
        <x:v>4.7</x:v>
      </x:c>
      <x:c r="T434" s="24" t="str">
        <x:f>IF(XOR(X434="Reprogramada",X434="Cancelada"),"",IF(AND(Q434&gt;=0.8,S434&gt;=4),"Sí",IF(AND(Q434&gt;=0.65,S434&gt;=3.5),"Parcial","No")))</x:f>
        <x:v>Sí</x:v>
      </x:c>
      <x:c r="U434" s="24" t="str">
        <x:v>Brigada Externa SST</x:v>
      </x:c>
      <x:c r="V434" s="11" t="str">
        <x:v>Humano (facilitador externo) / Financiero / Logístico / Material didáctico</x:v>
      </x:c>
      <x:c r="W434" s="11" t="str">
        <x:v>Carlos Felipe Parada Ramón</x:v>
      </x:c>
      <x:c r="X434" s="11" t="str">
        <x:v>Ejecutada</x:v>
      </x:c>
      <x:c r="Y434" s="52" t="str">
        <x:v>Actividad ejecutada satisfactoriamente; mantener evidencia y seguimiento.</x:v>
      </x:c>
    </x:row>
    <x:row r="435">
      <x:c r="A435" s="23" t="n">
        <x:v>434</x:v>
      </x:c>
      <x:c r="B435" s="24" t="n">
        <x:v>2026</x:v>
      </x:c>
      <x:c r="C435" s="24" t="str">
        <x:v>Abril</x:v>
      </x:c>
      <x:c r="D435" s="24" t="n">
        <x:v>4</x:v>
      </x:c>
      <x:c r="E435" s="24" t="str">
        <x:v>Emergencias</x:v>
      </x:c>
      <x:c r="F435" s="24" t="str">
        <x:v>Taller</x:v>
      </x:c>
      <x:c r="G435" s="24" t="str">
        <x:v>Externo</x:v>
      </x:c>
      <x:c r="H435" s="24" t="str">
        <x:v>Todos</x:v>
      </x:c>
      <x:c r="I435" s="24" t="str">
        <x:v>Valledupar</x:v>
      </x:c>
      <x:c r="J435" s="11" t="str">
        <x:v>Prevención de emergencias y uso de extintores</x:v>
      </x:c>
      <x:c r="K435" s="11" t="str">
        <x:v>Actualizar al personal en prevención, control inicial y respuesta ante eventos de emergencia.</x:v>
      </x:c>
      <x:c r="L435" s="24" t="n">
        <x:v>3</x:v>
      </x:c>
      <x:c r="M435" s="58" t="n">
        <x:v>46135</x:v>
      </x:c>
      <x:c r="N435" s="24" t="n">
        <x:v>3</x:v>
      </x:c>
      <x:c r="O435" s="24" t="n">
        <x:v>51</x:v>
      </x:c>
      <x:c r="P435" s="24" t="n">
        <x:v>42</x:v>
      </x:c>
      <x:c r="Q435" s="64" t="n">
        <x:f>IFERROR(P435/O435,0)</x:f>
        <x:v>0.8235294117647058</x:v>
      </x:c>
      <x:c r="R435" s="24" t="str">
        <x:v>Taller práctico</x:v>
      </x:c>
      <x:c r="S435" s="70" t="n">
        <x:v>4.7</x:v>
      </x:c>
      <x:c r="T435" s="24" t="str">
        <x:f>IF(XOR(X435="Reprogramada",X435="Cancelada"),"",IF(AND(Q435&gt;=0.8,S435&gt;=4),"Sí",IF(AND(Q435&gt;=0.65,S435&gt;=3.5),"Parcial","No")))</x:f>
        <x:v>Sí</x:v>
      </x:c>
      <x:c r="U435" s="24" t="str">
        <x:v>Brigada Externa SST</x:v>
      </x:c>
      <x:c r="V435" s="11" t="str">
        <x:v>Humano (facilitador externo) / Financiero / Logístico / Material didáctico</x:v>
      </x:c>
      <x:c r="W435" s="11" t="str">
        <x:v>Camila Andrea Galván</x:v>
      </x:c>
      <x:c r="X435" s="11" t="str">
        <x:v>Ejecutada</x:v>
      </x:c>
      <x:c r="Y435" s="52" t="str">
        <x:v>Actividad ejecutada satisfactoriamente; mantener evidencia y seguimiento.</x:v>
      </x:c>
    </x:row>
    <x:row r="436">
      <x:c r="A436" s="23" t="n">
        <x:v>435</x:v>
      </x:c>
      <x:c r="B436" s="24" t="n">
        <x:v>2026</x:v>
      </x:c>
      <x:c r="C436" s="24" t="str">
        <x:v>Abril</x:v>
      </x:c>
      <x:c r="D436" s="24" t="n">
        <x:v>4</x:v>
      </x:c>
      <x:c r="E436" s="24" t="str">
        <x:v>Emergencias</x:v>
      </x:c>
      <x:c r="F436" s="24" t="str">
        <x:v>Taller</x:v>
      </x:c>
      <x:c r="G436" s="24" t="str">
        <x:v>Externo</x:v>
      </x:c>
      <x:c r="H436" s="24" t="str">
        <x:v>Todos</x:v>
      </x:c>
      <x:c r="I436" s="24" t="str">
        <x:v>Arauca</x:v>
      </x:c>
      <x:c r="J436" s="11" t="str">
        <x:v>Prevención de emergencias y uso de extintores</x:v>
      </x:c>
      <x:c r="K436" s="11" t="str">
        <x:v>Actualizar al personal en prevención, control inicial y respuesta ante eventos de emergencia.</x:v>
      </x:c>
      <x:c r="L436" s="24" t="n">
        <x:v>3</x:v>
      </x:c>
      <x:c r="M436" s="58" t="n">
        <x:v>46135</x:v>
      </x:c>
      <x:c r="N436" s="24" t="n">
        <x:v>3</x:v>
      </x:c>
      <x:c r="O436" s="24" t="n">
        <x:v>32</x:v>
      </x:c>
      <x:c r="P436" s="24" t="n">
        <x:v>31</x:v>
      </x:c>
      <x:c r="Q436" s="64" t="n">
        <x:f>IFERROR(P436/O436,0)</x:f>
        <x:v>0.96875</x:v>
      </x:c>
      <x:c r="R436" s="24" t="str">
        <x:v>Taller práctico</x:v>
      </x:c>
      <x:c r="S436" s="70" t="n">
        <x:v>4.9</x:v>
      </x:c>
      <x:c r="T436" s="24" t="str">
        <x:f>IF(XOR(X436="Reprogramada",X436="Cancelada"),"",IF(AND(Q436&gt;=0.8,S436&gt;=4),"Sí",IF(AND(Q436&gt;=0.65,S436&gt;=3.5),"Parcial","No")))</x:f>
        <x:v>Sí</x:v>
      </x:c>
      <x:c r="U436" s="24" t="str">
        <x:v>Brigada Externa SST</x:v>
      </x:c>
      <x:c r="V436" s="11" t="str">
        <x:v>Humano (facilitador externo) / Financiero / Logístico / Material didáctico</x:v>
      </x:c>
      <x:c r="W436" s="11" t="str">
        <x:v>Jesús Guerrero</x:v>
      </x:c>
      <x:c r="X436" s="11" t="str">
        <x:v>Ejecutada</x:v>
      </x:c>
      <x:c r="Y436" s="52" t="str">
        <x:v>Actividad ejecutada satisfactoriamente; mantener evidencia y seguimiento.</x:v>
      </x:c>
    </x:row>
    <x:row r="437">
      <x:c r="A437" s="23" t="n">
        <x:v>436</x:v>
      </x:c>
      <x:c r="B437" s="24" t="n">
        <x:v>2026</x:v>
      </x:c>
      <x:c r="C437" s="24" t="str">
        <x:v>Abril</x:v>
      </x:c>
      <x:c r="D437" s="24" t="n">
        <x:v>4</x:v>
      </x:c>
      <x:c r="E437" s="24" t="str">
        <x:v>Emergencias</x:v>
      </x:c>
      <x:c r="F437" s="24" t="str">
        <x:v>Taller</x:v>
      </x:c>
      <x:c r="G437" s="24" t="str">
        <x:v>Externo</x:v>
      </x:c>
      <x:c r="H437" s="24" t="str">
        <x:v>Todos</x:v>
      </x:c>
      <x:c r="I437" s="24" t="str">
        <x:v>Bogotá</x:v>
      </x:c>
      <x:c r="J437" s="11" t="str">
        <x:v>Prevención de emergencias y uso de extintores</x:v>
      </x:c>
      <x:c r="K437" s="11" t="str">
        <x:v>Actualizar al personal en prevención, control inicial y respuesta ante eventos de emergencia.</x:v>
      </x:c>
      <x:c r="L437" s="24" t="n">
        <x:v>3</x:v>
      </x:c>
      <x:c r="M437" s="58" t="n">
        <x:v>46131</x:v>
      </x:c>
      <x:c r="N437" s="24" t="n">
        <x:v>2.5</x:v>
      </x:c>
      <x:c r="O437" s="24" t="n">
        <x:v>69</x:v>
      </x:c>
      <x:c r="P437" s="24" t="n">
        <x:v>59</x:v>
      </x:c>
      <x:c r="Q437" s="64" t="n">
        <x:f>IFERROR(P437/O437,0)</x:f>
        <x:v>0.855072463768116</x:v>
      </x:c>
      <x:c r="R437" s="24" t="str">
        <x:v>Taller práctico</x:v>
      </x:c>
      <x:c r="S437" s="70" t="n">
        <x:v>4.3</x:v>
      </x:c>
      <x:c r="T437" s="24" t="str">
        <x:f>IF(XOR(X437="Reprogramada",X437="Cancelada"),"",IF(AND(Q437&gt;=0.8,S437&gt;=4),"Sí",IF(AND(Q437&gt;=0.65,S437&gt;=3.5),"Parcial","No")))</x:f>
        <x:v>Sí</x:v>
      </x:c>
      <x:c r="U437" s="24" t="str">
        <x:v>Brigada Externa SST</x:v>
      </x:c>
      <x:c r="V437" s="11" t="str">
        <x:v>Humano (facilitador externo) / Financiero / Logístico / Material didáctico</x:v>
      </x:c>
      <x:c r="W437" s="11" t="str">
        <x:v>Carlos Felipe Parada Ramón</x:v>
      </x:c>
      <x:c r="X437" s="11" t="str">
        <x:v>Ejecutada</x:v>
      </x:c>
      <x:c r="Y437" s="52" t="str">
        <x:v>Actividad ejecutada satisfactoriamente; mantener evidencia y seguimiento.</x:v>
      </x:c>
    </x:row>
    <x:row r="438">
      <x:c r="A438" s="23" t="n">
        <x:v>437</x:v>
      </x:c>
      <x:c r="B438" s="24" t="n">
        <x:v>2026</x:v>
      </x:c>
      <x:c r="C438" s="24" t="str">
        <x:v>Abril</x:v>
      </x:c>
      <x:c r="D438" s="24" t="n">
        <x:v>4</x:v>
      </x:c>
      <x:c r="E438" s="24" t="str">
        <x:v>Emergencias</x:v>
      </x:c>
      <x:c r="F438" s="24" t="str">
        <x:v>Taller</x:v>
      </x:c>
      <x:c r="G438" s="24" t="str">
        <x:v>Externo</x:v>
      </x:c>
      <x:c r="H438" s="24" t="str">
        <x:v>Todos</x:v>
      </x:c>
      <x:c r="I438" s="24" t="str">
        <x:v>Tibú</x:v>
      </x:c>
      <x:c r="J438" s="11" t="str">
        <x:v>Prevención de emergencias y uso de extintores</x:v>
      </x:c>
      <x:c r="K438" s="11" t="str">
        <x:v>Actualizar al personal en prevención, control inicial y respuesta ante eventos de emergencia.</x:v>
      </x:c>
      <x:c r="L438" s="24" t="n">
        <x:v>3</x:v>
      </x:c>
      <x:c r="M438" s="58" t="n">
        <x:v>46124</x:v>
      </x:c>
      <x:c r="N438" s="24" t="n">
        <x:v>3</x:v>
      </x:c>
      <x:c r="O438" s="24" t="n">
        <x:v>34</x:v>
      </x:c>
      <x:c r="P438" s="24" t="n">
        <x:v>33</x:v>
      </x:c>
      <x:c r="Q438" s="64" t="n">
        <x:f>IFERROR(P438/O438,0)</x:f>
        <x:v>0.9705882352941176</x:v>
      </x:c>
      <x:c r="R438" s="24" t="str">
        <x:v>Taller práctico</x:v>
      </x:c>
      <x:c r="S438" s="70" t="n">
        <x:v>4.8</x:v>
      </x:c>
      <x:c r="T438" s="24" t="str">
        <x:f>IF(XOR(X438="Reprogramada",X438="Cancelada"),"",IF(AND(Q438&gt;=0.8,S438&gt;=4),"Sí",IF(AND(Q438&gt;=0.65,S438&gt;=3.5),"Parcial","No")))</x:f>
        <x:v>Sí</x:v>
      </x:c>
      <x:c r="U438" s="24" t="str">
        <x:v>Brigada Externa SST</x:v>
      </x:c>
      <x:c r="V438" s="11" t="str">
        <x:v>Humano (facilitador externo) / Financiero / Logístico / Material didáctico</x:v>
      </x:c>
      <x:c r="W438" s="11" t="str">
        <x:v>Camila Andrea Galván</x:v>
      </x:c>
      <x:c r="X438" s="11" t="str">
        <x:v>Ejecutada</x:v>
      </x:c>
      <x:c r="Y438" s="52" t="str">
        <x:v>Actividad ejecutada satisfactoriamente; mantener evidencia y seguimiento.</x:v>
      </x:c>
    </x:row>
    <x:row r="439">
      <x:c r="A439" s="23" t="n">
        <x:v>438</x:v>
      </x:c>
      <x:c r="B439" s="24" t="n">
        <x:v>2026</x:v>
      </x:c>
      <x:c r="C439" s="24" t="str">
        <x:v>Abril</x:v>
      </x:c>
      <x:c r="D439" s="24" t="n">
        <x:v>4</x:v>
      </x:c>
      <x:c r="E439" s="24" t="str">
        <x:v>Emergencias</x:v>
      </x:c>
      <x:c r="F439" s="24" t="str">
        <x:v>Taller</x:v>
      </x:c>
      <x:c r="G439" s="24" t="str">
        <x:v>Externo</x:v>
      </x:c>
      <x:c r="H439" s="24" t="str">
        <x:v>Todos</x:v>
      </x:c>
      <x:c r="I439" s="24" t="str">
        <x:v>Medellín</x:v>
      </x:c>
      <x:c r="J439" s="11" t="str">
        <x:v>Prevención de emergencias y uso de extintores</x:v>
      </x:c>
      <x:c r="K439" s="11" t="str">
        <x:v>Actualizar al personal en prevención, control inicial y respuesta ante eventos de emergencia.</x:v>
      </x:c>
      <x:c r="L439" s="24" t="n">
        <x:v>3</x:v>
      </x:c>
      <x:c r="M439" s="58" t="n">
        <x:v>46129</x:v>
      </x:c>
      <x:c r="N439" s="24" t="n">
        <x:v>2.5</x:v>
      </x:c>
      <x:c r="O439" s="24" t="n">
        <x:v>63</x:v>
      </x:c>
      <x:c r="P439" s="24" t="n">
        <x:v>54</x:v>
      </x:c>
      <x:c r="Q439" s="64" t="n">
        <x:f>IFERROR(P439/O439,0)</x:f>
        <x:v>0.8571428571428571</x:v>
      </x:c>
      <x:c r="R439" s="24" t="str">
        <x:v>Taller práctico</x:v>
      </x:c>
      <x:c r="S439" s="70" t="n">
        <x:v>4.3</x:v>
      </x:c>
      <x:c r="T439" s="24" t="str">
        <x:f>IF(XOR(X439="Reprogramada",X439="Cancelada"),"",IF(AND(Q439&gt;=0.8,S439&gt;=4),"Sí",IF(AND(Q439&gt;=0.65,S439&gt;=3.5),"Parcial","No")))</x:f>
        <x:v>Sí</x:v>
      </x:c>
      <x:c r="U439" s="24" t="str">
        <x:v>Brigada Externa SST</x:v>
      </x:c>
      <x:c r="V439" s="11" t="str">
        <x:v>Humano (facilitador externo) / Financiero / Logístico / Material didáctico</x:v>
      </x:c>
      <x:c r="W439" s="11" t="str">
        <x:v>Jesús Guerrero</x:v>
      </x:c>
      <x:c r="X439" s="11" t="str">
        <x:v>Ejecutada</x:v>
      </x:c>
      <x:c r="Y439" s="52" t="str">
        <x:v>Actividad ejecutada satisfactoriamente; mantener evidencia y seguimiento.</x:v>
      </x:c>
    </x:row>
    <x:row r="440">
      <x:c r="A440" s="23" t="n">
        <x:v>439</x:v>
      </x:c>
      <x:c r="B440" s="24" t="n">
        <x:v>2026</x:v>
      </x:c>
      <x:c r="C440" s="24" t="str">
        <x:v>Abril</x:v>
      </x:c>
      <x:c r="D440" s="24" t="n">
        <x:v>4</x:v>
      </x:c>
      <x:c r="E440" s="24" t="str">
        <x:v>Emergencias</x:v>
      </x:c>
      <x:c r="F440" s="24" t="str">
        <x:v>Taller</x:v>
      </x:c>
      <x:c r="G440" s="24" t="str">
        <x:v>Externo</x:v>
      </x:c>
      <x:c r="H440" s="24" t="str">
        <x:v>Todos</x:v>
      </x:c>
      <x:c r="I440" s="24" t="str">
        <x:v>Ábrego</x:v>
      </x:c>
      <x:c r="J440" s="11" t="str">
        <x:v>Prevención de emergencias y uso de extintores</x:v>
      </x:c>
      <x:c r="K440" s="11" t="str">
        <x:v>Actualizar al personal en prevención, control inicial y respuesta ante eventos de emergencia.</x:v>
      </x:c>
      <x:c r="L440" s="24" t="n">
        <x:v>3</x:v>
      </x:c>
      <x:c r="M440" s="58" t="n">
        <x:v>46132</x:v>
      </x:c>
      <x:c r="N440" s="24" t="n">
        <x:v>2.5</x:v>
      </x:c>
      <x:c r="O440" s="24" t="n">
        <x:v>26</x:v>
      </x:c>
      <x:c r="P440" s="24" t="n">
        <x:v>23</x:v>
      </x:c>
      <x:c r="Q440" s="64" t="n">
        <x:f>IFERROR(P440/O440,0)</x:f>
        <x:v>0.8846153846153846</x:v>
      </x:c>
      <x:c r="R440" s="24" t="str">
        <x:v>Taller práctico</x:v>
      </x:c>
      <x:c r="S440" s="70" t="n">
        <x:v>4.8</x:v>
      </x:c>
      <x:c r="T440" s="24" t="str">
        <x:f>IF(XOR(X440="Reprogramada",X440="Cancelada"),"",IF(AND(Q440&gt;=0.8,S440&gt;=4),"Sí",IF(AND(Q440&gt;=0.65,S440&gt;=3.5),"Parcial","No")))</x:f>
        <x:v>Sí</x:v>
      </x:c>
      <x:c r="U440" s="24" t="str">
        <x:v>Brigada Externa SST</x:v>
      </x:c>
      <x:c r="V440" s="11" t="str">
        <x:v>Humano (facilitador externo) / Financiero / Logístico / Material didáctico</x:v>
      </x:c>
      <x:c r="W440" s="11" t="str">
        <x:v>Carlos Felipe Parada Ramón</x:v>
      </x:c>
      <x:c r="X440" s="11" t="str">
        <x:v>Ejecutada</x:v>
      </x:c>
      <x:c r="Y440" s="52" t="str">
        <x:v>Actividad ejecutada satisfactoriamente; mantener evidencia y seguimiento.</x:v>
      </x:c>
    </x:row>
    <x:row r="441">
      <x:c r="A441" s="23" t="n">
        <x:v>440</x:v>
      </x:c>
      <x:c r="B441" s="24" t="n">
        <x:v>2026</x:v>
      </x:c>
      <x:c r="C441" s="24" t="str">
        <x:v>Abril</x:v>
      </x:c>
      <x:c r="D441" s="24" t="n">
        <x:v>4</x:v>
      </x:c>
      <x:c r="E441" s="24" t="str">
        <x:v>Emergencias</x:v>
      </x:c>
      <x:c r="F441" s="24" t="str">
        <x:v>Taller</x:v>
      </x:c>
      <x:c r="G441" s="24" t="str">
        <x:v>Externo</x:v>
      </x:c>
      <x:c r="H441" s="24" t="str">
        <x:v>Todos</x:v>
      </x:c>
      <x:c r="I441" s="24" t="str">
        <x:v>Pamplona</x:v>
      </x:c>
      <x:c r="J441" s="11" t="str">
        <x:v>Prevención de emergencias y uso de extintores</x:v>
      </x:c>
      <x:c r="K441" s="11" t="str">
        <x:v>Actualizar al personal en prevención, control inicial y respuesta ante eventos de emergencia.</x:v>
      </x:c>
      <x:c r="L441" s="24" t="n">
        <x:v>3</x:v>
      </x:c>
      <x:c r="M441" s="58" t="n">
        <x:v>46132</x:v>
      </x:c>
      <x:c r="N441" s="24" t="n">
        <x:v>3</x:v>
      </x:c>
      <x:c r="O441" s="24" t="n">
        <x:v>29</x:v>
      </x:c>
      <x:c r="P441" s="24" t="n">
        <x:v>26</x:v>
      </x:c>
      <x:c r="Q441" s="64" t="n">
        <x:f>IFERROR(P441/O441,0)</x:f>
        <x:v>0.896551724137931</x:v>
      </x:c>
      <x:c r="R441" s="24" t="str">
        <x:v>Taller práctico</x:v>
      </x:c>
      <x:c r="S441" s="70" t="n">
        <x:v>4.4</x:v>
      </x:c>
      <x:c r="T441" s="24" t="str">
        <x:f>IF(XOR(X441="Reprogramada",X441="Cancelada"),"",IF(AND(Q441&gt;=0.8,S441&gt;=4),"Sí",IF(AND(Q441&gt;=0.65,S441&gt;=3.5),"Parcial","No")))</x:f>
        <x:v>Sí</x:v>
      </x:c>
      <x:c r="U441" s="24" t="str">
        <x:v>Brigada Externa SST</x:v>
      </x:c>
      <x:c r="V441" s="11" t="str">
        <x:v>Humano (facilitador externo) / Financiero / Logístico / Material didáctico</x:v>
      </x:c>
      <x:c r="W441" s="11" t="str">
        <x:v>Camila Andrea Galván</x:v>
      </x:c>
      <x:c r="X441" s="11" t="str">
        <x:v>Ejecutada</x:v>
      </x:c>
      <x:c r="Y441" s="52" t="str">
        <x:v>Actividad ejecutada satisfactoriamente; mantener evidencia y seguimiento.</x:v>
      </x:c>
    </x:row>
    <x:row r="442">
      <x:c r="A442" s="23" t="n">
        <x:v>441</x:v>
      </x:c>
      <x:c r="B442" s="24" t="n">
        <x:v>2026</x:v>
      </x:c>
      <x:c r="C442" s="24" t="str">
        <x:v>Mayo</x:v>
      </x:c>
      <x:c r="D442" s="24" t="n">
        <x:v>5</x:v>
      </x:c>
      <x:c r="E442" s="24" t="str">
        <x:v>Psicosocial</x:v>
      </x:c>
      <x:c r="F442" s="24" t="str">
        <x:v>Capacitación</x:v>
      </x:c>
      <x:c r="G442" s="24" t="str">
        <x:v>Externo</x:v>
      </x:c>
      <x:c r="H442" s="24" t="str">
        <x:v>Todos</x:v>
      </x:c>
      <x:c r="I442" s="24" t="str">
        <x:v>Cúcuta</x:v>
      </x:c>
      <x:c r="J442" s="11" t="str">
        <x:v>Riesgo psicosocial y autocuidado laboral</x:v>
      </x:c>
      <x:c r="K442" s="11" t="str">
        <x:v>Promover estrategias de autocuidado, bienestar y prevención del riesgo psicosocial en el trabajo.</x:v>
      </x:c>
      <x:c r="L442" s="24" t="n">
        <x:v>2</x:v>
      </x:c>
      <x:c r="M442" s="58" t="n">
        <x:v>46166</x:v>
      </x:c>
      <x:c r="N442" s="24" t="n">
        <x:v>2</x:v>
      </x:c>
      <x:c r="O442" s="24" t="n">
        <x:v>85</x:v>
      </x:c>
      <x:c r="P442" s="24" t="n">
        <x:v>70</x:v>
      </x:c>
      <x:c r="Q442" s="64" t="n">
        <x:f>IFERROR(P442/O442,0)</x:f>
        <x:v>0.8235294117647058</x:v>
      </x:c>
      <x:c r="R442" s="24" t="str">
        <x:v>Encuesta de percepción</x:v>
      </x:c>
      <x:c r="S442" s="70" t="n">
        <x:v>4.8</x:v>
      </x:c>
      <x:c r="T442" s="24" t="str">
        <x:f>IF(XOR(X442="Reprogramada",X442="Cancelada"),"",IF(AND(Q442&gt;=0.8,S442&gt;=4),"Sí",IF(AND(Q442&gt;=0.65,S442&gt;=3.5),"Parcial","No")))</x:f>
        <x:v>Sí</x:v>
      </x:c>
      <x:c r="U442" s="24" t="str">
        <x:v>Psicología SST</x:v>
      </x:c>
      <x:c r="V442" s="11" t="str">
        <x:v>Humano (facilitador externo) / Financiero / Logístico / Material didáctico</x:v>
      </x:c>
      <x:c r="W442" s="11" t="str">
        <x:v>Jesús Guerrero</x:v>
      </x:c>
      <x:c r="X442" s="11" t="str">
        <x:v>Ejecutada</x:v>
      </x:c>
      <x:c r="Y442" s="52" t="str">
        <x:v>Actividad ejecutada satisfactoriamente; mantener evidencia y seguimiento.</x:v>
      </x:c>
    </x:row>
    <x:row r="443">
      <x:c r="A443" s="23" t="n">
        <x:v>442</x:v>
      </x:c>
      <x:c r="B443" s="24" t="n">
        <x:v>2026</x:v>
      </x:c>
      <x:c r="C443" s="24" t="str">
        <x:v>Mayo</x:v>
      </x:c>
      <x:c r="D443" s="24" t="n">
        <x:v>5</x:v>
      </x:c>
      <x:c r="E443" s="24" t="str">
        <x:v>Psicosocial</x:v>
      </x:c>
      <x:c r="F443" s="24" t="str">
        <x:v>Capacitación</x:v>
      </x:c>
      <x:c r="G443" s="24" t="str">
        <x:v>Externo</x:v>
      </x:c>
      <x:c r="H443" s="24" t="str">
        <x:v>Todos</x:v>
      </x:c>
      <x:c r="I443" s="24" t="str">
        <x:v>Barrancabermeja</x:v>
      </x:c>
      <x:c r="J443" s="11" t="str">
        <x:v>Riesgo psicosocial y autocuidado laboral</x:v>
      </x:c>
      <x:c r="K443" s="11" t="str">
        <x:v>Promover estrategias de autocuidado, bienestar y prevención del riesgo psicosocial en el trabajo.</x:v>
      </x:c>
      <x:c r="L443" s="24" t="n">
        <x:v>2</x:v>
      </x:c>
      <x:c r="M443" s="58" t="n">
        <x:v>46159</x:v>
      </x:c>
      <x:c r="N443" s="24" t="n">
        <x:v>2</x:v>
      </x:c>
      <x:c r="O443" s="24" t="n">
        <x:v>57</x:v>
      </x:c>
      <x:c r="P443" s="24" t="n">
        <x:v>51</x:v>
      </x:c>
      <x:c r="Q443" s="64" t="n">
        <x:f>IFERROR(P443/O443,0)</x:f>
        <x:v>0.8947368421052632</x:v>
      </x:c>
      <x:c r="R443" s="24" t="str">
        <x:v>Encuesta de percepción</x:v>
      </x:c>
      <x:c r="S443" s="70" t="n">
        <x:v>4.9</x:v>
      </x:c>
      <x:c r="T443" s="24" t="str">
        <x:f>IF(XOR(X443="Reprogramada",X443="Cancelada"),"",IF(AND(Q443&gt;=0.8,S443&gt;=4),"Sí",IF(AND(Q443&gt;=0.65,S443&gt;=3.5),"Parcial","No")))</x:f>
        <x:v>Sí</x:v>
      </x:c>
      <x:c r="U443" s="24" t="str">
        <x:v>Psicología SST</x:v>
      </x:c>
      <x:c r="V443" s="11" t="str">
        <x:v>Humano (facilitador externo) / Financiero / Logístico / Material didáctico</x:v>
      </x:c>
      <x:c r="W443" s="11" t="str">
        <x:v>Carlos Felipe Parada Ramón</x:v>
      </x:c>
      <x:c r="X443" s="11" t="str">
        <x:v>Ejecutada</x:v>
      </x:c>
      <x:c r="Y443" s="52" t="str">
        <x:v>Actividad ejecutada satisfactoriamente; mantener evidencia y seguimiento.</x:v>
      </x:c>
    </x:row>
    <x:row r="444">
      <x:c r="A444" s="23" t="n">
        <x:v>443</x:v>
      </x:c>
      <x:c r="B444" s="24" t="n">
        <x:v>2026</x:v>
      </x:c>
      <x:c r="C444" s="24" t="str">
        <x:v>Mayo</x:v>
      </x:c>
      <x:c r="D444" s="24" t="n">
        <x:v>5</x:v>
      </x:c>
      <x:c r="E444" s="24" t="str">
        <x:v>Psicosocial</x:v>
      </x:c>
      <x:c r="F444" s="24" t="str">
        <x:v>Capacitación</x:v>
      </x:c>
      <x:c r="G444" s="24" t="str">
        <x:v>Externo</x:v>
      </x:c>
      <x:c r="H444" s="24" t="str">
        <x:v>Todos</x:v>
      </x:c>
      <x:c r="I444" s="24" t="str">
        <x:v>Ocaña</x:v>
      </x:c>
      <x:c r="J444" s="11" t="str">
        <x:v>Riesgo psicosocial y autocuidado laboral</x:v>
      </x:c>
      <x:c r="K444" s="11" t="str">
        <x:v>Promover estrategias de autocuidado, bienestar y prevención del riesgo psicosocial en el trabajo.</x:v>
      </x:c>
      <x:c r="L444" s="24" t="n">
        <x:v>2</x:v>
      </x:c>
      <x:c r="M444" s="58" t="n">
        <x:v>46167</x:v>
      </x:c>
      <x:c r="N444" s="24" t="n">
        <x:v>2</x:v>
      </x:c>
      <x:c r="O444" s="24" t="n">
        <x:v>39</x:v>
      </x:c>
      <x:c r="P444" s="24" t="n">
        <x:v>33</x:v>
      </x:c>
      <x:c r="Q444" s="64" t="n">
        <x:f>IFERROR(P444/O444,0)</x:f>
        <x:v>0.8461538461538461</x:v>
      </x:c>
      <x:c r="R444" s="24" t="str">
        <x:v>Encuesta de percepción</x:v>
      </x:c>
      <x:c r="S444" s="70" t="n">
        <x:v>4.2</x:v>
      </x:c>
      <x:c r="T444" s="24" t="str">
        <x:f>IF(XOR(X444="Reprogramada",X444="Cancelada"),"",IF(AND(Q444&gt;=0.8,S444&gt;=4),"Sí",IF(AND(Q444&gt;=0.65,S444&gt;=3.5),"Parcial","No")))</x:f>
        <x:v>Sí</x:v>
      </x:c>
      <x:c r="U444" s="24" t="str">
        <x:v>Psicología SST</x:v>
      </x:c>
      <x:c r="V444" s="11" t="str">
        <x:v>Humano (facilitador externo) / Financiero / Logístico / Material didáctico</x:v>
      </x:c>
      <x:c r="W444" s="11" t="str">
        <x:v>Camila Andrea Galván</x:v>
      </x:c>
      <x:c r="X444" s="11" t="str">
        <x:v>Ejecutada</x:v>
      </x:c>
      <x:c r="Y444" s="52" t="str">
        <x:v>Actividad ejecutada satisfactoriamente; mantener evidencia y seguimiento.</x:v>
      </x:c>
    </x:row>
    <x:row r="445">
      <x:c r="A445" s="23" t="n">
        <x:v>444</x:v>
      </x:c>
      <x:c r="B445" s="24" t="n">
        <x:v>2026</x:v>
      </x:c>
      <x:c r="C445" s="24" t="str">
        <x:v>Mayo</x:v>
      </x:c>
      <x:c r="D445" s="24" t="n">
        <x:v>5</x:v>
      </x:c>
      <x:c r="E445" s="24" t="str">
        <x:v>Psicosocial</x:v>
      </x:c>
      <x:c r="F445" s="24" t="str">
        <x:v>Capacitación</x:v>
      </x:c>
      <x:c r="G445" s="24" t="str">
        <x:v>Externo</x:v>
      </x:c>
      <x:c r="H445" s="24" t="str">
        <x:v>Todos</x:v>
      </x:c>
      <x:c r="I445" s="24" t="str">
        <x:v>Girón</x:v>
      </x:c>
      <x:c r="J445" s="11" t="str">
        <x:v>Riesgo psicosocial y autocuidado laboral</x:v>
      </x:c>
      <x:c r="K445" s="11" t="str">
        <x:v>Promover estrategias de autocuidado, bienestar y prevención del riesgo psicosocial en el trabajo.</x:v>
      </x:c>
      <x:c r="L445" s="24" t="n">
        <x:v>2</x:v>
      </x:c>
      <x:c r="M445" s="58" t="n">
        <x:v>46164</x:v>
      </x:c>
      <x:c r="N445" s="24" t="n">
        <x:v>2.5</x:v>
      </x:c>
      <x:c r="O445" s="24" t="n">
        <x:v>45</x:v>
      </x:c>
      <x:c r="P445" s="24" t="n">
        <x:v>38</x:v>
      </x:c>
      <x:c r="Q445" s="64" t="n">
        <x:f>IFERROR(P445/O445,0)</x:f>
        <x:v>0.8444444444444444</x:v>
      </x:c>
      <x:c r="R445" s="24" t="str">
        <x:v>Encuesta de percepción</x:v>
      </x:c>
      <x:c r="S445" s="70" t="n">
        <x:v>4.7</x:v>
      </x:c>
      <x:c r="T445" s="24" t="str">
        <x:f>IF(XOR(X445="Reprogramada",X445="Cancelada"),"",IF(AND(Q445&gt;=0.8,S445&gt;=4),"Sí",IF(AND(Q445&gt;=0.65,S445&gt;=3.5),"Parcial","No")))</x:f>
        <x:v>Sí</x:v>
      </x:c>
      <x:c r="U445" s="24" t="str">
        <x:v>Psicología SST</x:v>
      </x:c>
      <x:c r="V445" s="11" t="str">
        <x:v>Humano (facilitador externo) / Financiero / Logístico / Material didáctico</x:v>
      </x:c>
      <x:c r="W445" s="11" t="str">
        <x:v>Jesús Guerrero</x:v>
      </x:c>
      <x:c r="X445" s="11" t="str">
        <x:v>Ejecutada</x:v>
      </x:c>
      <x:c r="Y445" s="52" t="str">
        <x:v>Actividad ejecutada satisfactoriamente; mantener evidencia y seguimiento.</x:v>
      </x:c>
    </x:row>
    <x:row r="446">
      <x:c r="A446" s="23" t="n">
        <x:v>445</x:v>
      </x:c>
      <x:c r="B446" s="24" t="n">
        <x:v>2026</x:v>
      </x:c>
      <x:c r="C446" s="24" t="str">
        <x:v>Mayo</x:v>
      </x:c>
      <x:c r="D446" s="24" t="n">
        <x:v>5</x:v>
      </x:c>
      <x:c r="E446" s="24" t="str">
        <x:v>Psicosocial</x:v>
      </x:c>
      <x:c r="F446" s="24" t="str">
        <x:v>Capacitación</x:v>
      </x:c>
      <x:c r="G446" s="24" t="str">
        <x:v>Externo</x:v>
      </x:c>
      <x:c r="H446" s="24" t="str">
        <x:v>Todos</x:v>
      </x:c>
      <x:c r="I446" s="24" t="str">
        <x:v>Valledupar</x:v>
      </x:c>
      <x:c r="J446" s="11" t="str">
        <x:v>Riesgo psicosocial y autocuidado laboral</x:v>
      </x:c>
      <x:c r="K446" s="11" t="str">
        <x:v>Promover estrategias de autocuidado, bienestar y prevención del riesgo psicosocial en el trabajo.</x:v>
      </x:c>
      <x:c r="L446" s="24" t="n">
        <x:v>2</x:v>
      </x:c>
      <x:c r="M446" s="58"/>
      <x:c r="N446" s="24"/>
      <x:c r="O446" s="24" t="n">
        <x:v>51</x:v>
      </x:c>
      <x:c r="P446" s="24"/>
      <x:c r="Q446" s="64" t="n">
        <x:f>IFERROR(P446/O446,0)</x:f>
        <x:v>0</x:v>
      </x:c>
      <x:c r="R446" s="24" t="str">
        <x:v>Encuesta de percepción</x:v>
      </x:c>
      <x:c r="S446" s="70"/>
      <x:c r="T446" s="24" t="str">
        <x:f>IF(XOR(X446="Reprogramada",X446="Cancelada"),"",IF(AND(Q446&gt;=0.8,S446&gt;=4),"Sí",IF(AND(Q446&gt;=0.65,S446&gt;=3.5),"Parcial","No")))</x:f>
      </x:c>
      <x:c r="U446" s="24" t="str">
        <x:v>Psicología SST</x:v>
      </x:c>
      <x:c r="V446" s="11" t="str">
        <x:v>Humano (facilitador externo) / Financiero / Logístico / Material didáctico</x:v>
      </x:c>
      <x:c r="W446" s="11" t="str">
        <x:v>Carlos Felipe Parada Ramón</x:v>
      </x:c>
      <x:c r="X446" s="11" t="str">
        <x:v>Reprogramada</x:v>
      </x:c>
      <x:c r="Y446" s="52" t="str">
        <x:v>Actividad reprogramada por operación, disponibilidad del facilitador o ajustes logísticos.</x:v>
      </x:c>
    </x:row>
    <x:row r="447">
      <x:c r="A447" s="23" t="n">
        <x:v>446</x:v>
      </x:c>
      <x:c r="B447" s="24" t="n">
        <x:v>2026</x:v>
      </x:c>
      <x:c r="C447" s="24" t="str">
        <x:v>Mayo</x:v>
      </x:c>
      <x:c r="D447" s="24" t="n">
        <x:v>5</x:v>
      </x:c>
      <x:c r="E447" s="24" t="str">
        <x:v>Psicosocial</x:v>
      </x:c>
      <x:c r="F447" s="24" t="str">
        <x:v>Capacitación</x:v>
      </x:c>
      <x:c r="G447" s="24" t="str">
        <x:v>Externo</x:v>
      </x:c>
      <x:c r="H447" s="24" t="str">
        <x:v>Todos</x:v>
      </x:c>
      <x:c r="I447" s="24" t="str">
        <x:v>Arauca</x:v>
      </x:c>
      <x:c r="J447" s="11" t="str">
        <x:v>Riesgo psicosocial y autocuidado laboral</x:v>
      </x:c>
      <x:c r="K447" s="11" t="str">
        <x:v>Promover estrategias de autocuidado, bienestar y prevención del riesgo psicosocial en el trabajo.</x:v>
      </x:c>
      <x:c r="L447" s="24" t="n">
        <x:v>2</x:v>
      </x:c>
      <x:c r="M447" s="58" t="n">
        <x:v>46163</x:v>
      </x:c>
      <x:c r="N447" s="24" t="n">
        <x:v>2</x:v>
      </x:c>
      <x:c r="O447" s="24" t="n">
        <x:v>32</x:v>
      </x:c>
      <x:c r="P447" s="24" t="n">
        <x:v>30</x:v>
      </x:c>
      <x:c r="Q447" s="64" t="n">
        <x:f>IFERROR(P447/O447,0)</x:f>
        <x:v>0.9375</x:v>
      </x:c>
      <x:c r="R447" s="24" t="str">
        <x:v>Encuesta de percepción</x:v>
      </x:c>
      <x:c r="S447" s="70" t="n">
        <x:v>4.6</x:v>
      </x:c>
      <x:c r="T447" s="24" t="str">
        <x:f>IF(XOR(X447="Reprogramada",X447="Cancelada"),"",IF(AND(Q447&gt;=0.8,S447&gt;=4),"Sí",IF(AND(Q447&gt;=0.65,S447&gt;=3.5),"Parcial","No")))</x:f>
        <x:v>Sí</x:v>
      </x:c>
      <x:c r="U447" s="24" t="str">
        <x:v>Psicología SST</x:v>
      </x:c>
      <x:c r="V447" s="11" t="str">
        <x:v>Humano (facilitador externo) / Financiero / Logístico / Material didáctico</x:v>
      </x:c>
      <x:c r="W447" s="11" t="str">
        <x:v>Camila Andrea Galván</x:v>
      </x:c>
      <x:c r="X447" s="11" t="str">
        <x:v>Ejecutada</x:v>
      </x:c>
      <x:c r="Y447" s="52" t="str">
        <x:v>Actividad ejecutada satisfactoriamente; mantener evidencia y seguimiento.</x:v>
      </x:c>
    </x:row>
    <x:row r="448">
      <x:c r="A448" s="23" t="n">
        <x:v>447</x:v>
      </x:c>
      <x:c r="B448" s="24" t="n">
        <x:v>2026</x:v>
      </x:c>
      <x:c r="C448" s="24" t="str">
        <x:v>Mayo</x:v>
      </x:c>
      <x:c r="D448" s="24" t="n">
        <x:v>5</x:v>
      </x:c>
      <x:c r="E448" s="24" t="str">
        <x:v>Psicosocial</x:v>
      </x:c>
      <x:c r="F448" s="24" t="str">
        <x:v>Capacitación</x:v>
      </x:c>
      <x:c r="G448" s="24" t="str">
        <x:v>Externo</x:v>
      </x:c>
      <x:c r="H448" s="24" t="str">
        <x:v>Todos</x:v>
      </x:c>
      <x:c r="I448" s="24" t="str">
        <x:v>Bogotá</x:v>
      </x:c>
      <x:c r="J448" s="11" t="str">
        <x:v>Riesgo psicosocial y autocuidado laboral</x:v>
      </x:c>
      <x:c r="K448" s="11" t="str">
        <x:v>Promover estrategias de autocuidado, bienestar y prevención del riesgo psicosocial en el trabajo.</x:v>
      </x:c>
      <x:c r="L448" s="24" t="n">
        <x:v>2</x:v>
      </x:c>
      <x:c r="M448" s="58"/>
      <x:c r="N448" s="24"/>
      <x:c r="O448" s="24" t="n">
        <x:v>69</x:v>
      </x:c>
      <x:c r="P448" s="24"/>
      <x:c r="Q448" s="64" t="n">
        <x:f>IFERROR(P448/O448,0)</x:f>
        <x:v>0</x:v>
      </x:c>
      <x:c r="R448" s="24" t="str">
        <x:v>Encuesta de percepción</x:v>
      </x:c>
      <x:c r="S448" s="70"/>
      <x:c r="T448" s="24" t="str">
        <x:f>IF(XOR(X448="Reprogramada",X448="Cancelada"),"",IF(AND(Q448&gt;=0.8,S448&gt;=4),"Sí",IF(AND(Q448&gt;=0.65,S448&gt;=3.5),"Parcial","No")))</x:f>
      </x:c>
      <x:c r="U448" s="24" t="str">
        <x:v>Psicología SST</x:v>
      </x:c>
      <x:c r="V448" s="11" t="str">
        <x:v>Humano (facilitador externo) / Financiero / Logístico / Material didáctico</x:v>
      </x:c>
      <x:c r="W448" s="11" t="str">
        <x:v>Jesús Guerrero</x:v>
      </x:c>
      <x:c r="X448" s="11" t="str">
        <x:v>Reprogramada</x:v>
      </x:c>
      <x:c r="Y448" s="52" t="str">
        <x:v>Actividad reprogramada por operación, disponibilidad del facilitador o ajustes logísticos.</x:v>
      </x:c>
    </x:row>
    <x:row r="449">
      <x:c r="A449" s="23" t="n">
        <x:v>448</x:v>
      </x:c>
      <x:c r="B449" s="24" t="n">
        <x:v>2026</x:v>
      </x:c>
      <x:c r="C449" s="24" t="str">
        <x:v>Mayo</x:v>
      </x:c>
      <x:c r="D449" s="24" t="n">
        <x:v>5</x:v>
      </x:c>
      <x:c r="E449" s="24" t="str">
        <x:v>Psicosocial</x:v>
      </x:c>
      <x:c r="F449" s="24" t="str">
        <x:v>Capacitación</x:v>
      </x:c>
      <x:c r="G449" s="24" t="str">
        <x:v>Externo</x:v>
      </x:c>
      <x:c r="H449" s="24" t="str">
        <x:v>Todos</x:v>
      </x:c>
      <x:c r="I449" s="24" t="str">
        <x:v>Tibú</x:v>
      </x:c>
      <x:c r="J449" s="11" t="str">
        <x:v>Riesgo psicosocial y autocuidado laboral</x:v>
      </x:c>
      <x:c r="K449" s="11" t="str">
        <x:v>Promover estrategias de autocuidado, bienestar y prevención del riesgo psicosocial en el trabajo.</x:v>
      </x:c>
      <x:c r="L449" s="24" t="n">
        <x:v>2</x:v>
      </x:c>
      <x:c r="M449" s="58" t="n">
        <x:v>46164</x:v>
      </x:c>
      <x:c r="N449" s="24" t="n">
        <x:v>1.5</x:v>
      </x:c>
      <x:c r="O449" s="24" t="n">
        <x:v>34</x:v>
      </x:c>
      <x:c r="P449" s="24" t="n">
        <x:v>31</x:v>
      </x:c>
      <x:c r="Q449" s="64" t="n">
        <x:f>IFERROR(P449/O449,0)</x:f>
        <x:v>0.9117647058823529</x:v>
      </x:c>
      <x:c r="R449" s="24" t="str">
        <x:v>Encuesta de percepción</x:v>
      </x:c>
      <x:c r="S449" s="70" t="n">
        <x:v>4.2</x:v>
      </x:c>
      <x:c r="T449" s="24" t="str">
        <x:f>IF(XOR(X449="Reprogramada",X449="Cancelada"),"",IF(AND(Q449&gt;=0.8,S449&gt;=4),"Sí",IF(AND(Q449&gt;=0.65,S449&gt;=3.5),"Parcial","No")))</x:f>
        <x:v>Sí</x:v>
      </x:c>
      <x:c r="U449" s="24" t="str">
        <x:v>Psicología SST</x:v>
      </x:c>
      <x:c r="V449" s="11" t="str">
        <x:v>Humano (facilitador externo) / Financiero / Logístico / Material didáctico</x:v>
      </x:c>
      <x:c r="W449" s="11" t="str">
        <x:v>Carlos Felipe Parada Ramón</x:v>
      </x:c>
      <x:c r="X449" s="11" t="str">
        <x:v>Ejecutada</x:v>
      </x:c>
      <x:c r="Y449" s="52" t="str">
        <x:v>Actividad ejecutada satisfactoriamente; mantener evidencia y seguimiento.</x:v>
      </x:c>
    </x:row>
    <x:row r="450">
      <x:c r="A450" s="23" t="n">
        <x:v>449</x:v>
      </x:c>
      <x:c r="B450" s="24" t="n">
        <x:v>2026</x:v>
      </x:c>
      <x:c r="C450" s="24" t="str">
        <x:v>Mayo</x:v>
      </x:c>
      <x:c r="D450" s="24" t="n">
        <x:v>5</x:v>
      </x:c>
      <x:c r="E450" s="24" t="str">
        <x:v>Psicosocial</x:v>
      </x:c>
      <x:c r="F450" s="24" t="str">
        <x:v>Capacitación</x:v>
      </x:c>
      <x:c r="G450" s="24" t="str">
        <x:v>Externo</x:v>
      </x:c>
      <x:c r="H450" s="24" t="str">
        <x:v>Todos</x:v>
      </x:c>
      <x:c r="I450" s="24" t="str">
        <x:v>Medellín</x:v>
      </x:c>
      <x:c r="J450" s="11" t="str">
        <x:v>Riesgo psicosocial y autocuidado laboral</x:v>
      </x:c>
      <x:c r="K450" s="11" t="str">
        <x:v>Promover estrategias de autocuidado, bienestar y prevención del riesgo psicosocial en el trabajo.</x:v>
      </x:c>
      <x:c r="L450" s="24" t="n">
        <x:v>2</x:v>
      </x:c>
      <x:c r="M450" s="58" t="n">
        <x:v>46165</x:v>
      </x:c>
      <x:c r="N450" s="24" t="n">
        <x:v>2</x:v>
      </x:c>
      <x:c r="O450" s="24" t="n">
        <x:v>63</x:v>
      </x:c>
      <x:c r="P450" s="24" t="n">
        <x:v>49</x:v>
      </x:c>
      <x:c r="Q450" s="64" t="n">
        <x:f>IFERROR(P450/O450,0)</x:f>
        <x:v>0.7777777777777778</x:v>
      </x:c>
      <x:c r="R450" s="24" t="str">
        <x:v>Encuesta de percepción</x:v>
      </x:c>
      <x:c r="S450" s="70" t="n">
        <x:v>4.9</x:v>
      </x:c>
      <x:c r="T450" s="24" t="str">
        <x:f>IF(XOR(X450="Reprogramada",X450="Cancelada"),"",IF(AND(Q450&gt;=0.8,S450&gt;=4),"Sí",IF(AND(Q450&gt;=0.65,S450&gt;=3.5),"Parcial","No")))</x:f>
        <x:v>Parcial</x:v>
      </x:c>
      <x:c r="U450" s="24" t="str">
        <x:v>Psicología SST</x:v>
      </x:c>
      <x:c r="V450" s="11" t="str">
        <x:v>Humano (facilitador externo) / Financiero / Logístico / Material didáctico</x:v>
      </x:c>
      <x:c r="W450" s="11" t="str">
        <x:v>Camila Andrea Galván</x:v>
      </x:c>
      <x:c r="X450" s="11" t="str">
        <x:v>Ejecutada</x:v>
      </x:c>
      <x:c r="Y450" s="52" t="str">
        <x:v>Actividad ejecutada satisfactoriamente; mantener evidencia y seguimiento.</x:v>
      </x:c>
    </x:row>
    <x:row r="451">
      <x:c r="A451" s="23" t="n">
        <x:v>450</x:v>
      </x:c>
      <x:c r="B451" s="24" t="n">
        <x:v>2026</x:v>
      </x:c>
      <x:c r="C451" s="24" t="str">
        <x:v>Mayo</x:v>
      </x:c>
      <x:c r="D451" s="24" t="n">
        <x:v>5</x:v>
      </x:c>
      <x:c r="E451" s="24" t="str">
        <x:v>Psicosocial</x:v>
      </x:c>
      <x:c r="F451" s="24" t="str">
        <x:v>Capacitación</x:v>
      </x:c>
      <x:c r="G451" s="24" t="str">
        <x:v>Externo</x:v>
      </x:c>
      <x:c r="H451" s="24" t="str">
        <x:v>Todos</x:v>
      </x:c>
      <x:c r="I451" s="24" t="str">
        <x:v>Ábrego</x:v>
      </x:c>
      <x:c r="J451" s="11" t="str">
        <x:v>Riesgo psicosocial y autocuidado laboral</x:v>
      </x:c>
      <x:c r="K451" s="11" t="str">
        <x:v>Promover estrategias de autocuidado, bienestar y prevención del riesgo psicosocial en el trabajo.</x:v>
      </x:c>
      <x:c r="L451" s="24" t="n">
        <x:v>2</x:v>
      </x:c>
      <x:c r="M451" s="58" t="n">
        <x:v>46153</x:v>
      </x:c>
      <x:c r="N451" s="24" t="n">
        <x:v>2</x:v>
      </x:c>
      <x:c r="O451" s="24" t="n">
        <x:v>26</x:v>
      </x:c>
      <x:c r="P451" s="24" t="n">
        <x:v>21</x:v>
      </x:c>
      <x:c r="Q451" s="64" t="n">
        <x:f>IFERROR(P451/O451,0)</x:f>
        <x:v>0.8076923076923077</x:v>
      </x:c>
      <x:c r="R451" s="24" t="str">
        <x:v>Encuesta de percepción</x:v>
      </x:c>
      <x:c r="S451" s="70" t="n">
        <x:v>4.7</x:v>
      </x:c>
      <x:c r="T451" s="24" t="str">
        <x:f>IF(XOR(X451="Reprogramada",X451="Cancelada"),"",IF(AND(Q451&gt;=0.8,S451&gt;=4),"Sí",IF(AND(Q451&gt;=0.65,S451&gt;=3.5),"Parcial","No")))</x:f>
        <x:v>Sí</x:v>
      </x:c>
      <x:c r="U451" s="24" t="str">
        <x:v>Psicología SST</x:v>
      </x:c>
      <x:c r="V451" s="11" t="str">
        <x:v>Humano (facilitador externo) / Financiero / Logístico / Material didáctico</x:v>
      </x:c>
      <x:c r="W451" s="11" t="str">
        <x:v>Jesús Guerrero</x:v>
      </x:c>
      <x:c r="X451" s="11" t="str">
        <x:v>Ejecutada</x:v>
      </x:c>
      <x:c r="Y451" s="52" t="str">
        <x:v>Actividad ejecutada satisfactoriamente; mantener evidencia y seguimiento.</x:v>
      </x:c>
    </x:row>
    <x:row r="452">
      <x:c r="A452" s="26" t="n">
        <x:v>451</x:v>
      </x:c>
      <x:c r="B452" s="27" t="n">
        <x:v>2026</x:v>
      </x:c>
      <x:c r="C452" s="27" t="str">
        <x:v>Mayo</x:v>
      </x:c>
      <x:c r="D452" s="27" t="n">
        <x:v>5</x:v>
      </x:c>
      <x:c r="E452" s="27" t="str">
        <x:v>Psicosocial</x:v>
      </x:c>
      <x:c r="F452" s="27" t="str">
        <x:v>Capacitación</x:v>
      </x:c>
      <x:c r="G452" s="27" t="str">
        <x:v>Externo</x:v>
      </x:c>
      <x:c r="H452" s="27" t="str">
        <x:v>Todos</x:v>
      </x:c>
      <x:c r="I452" s="27" t="str">
        <x:v>Pamplona</x:v>
      </x:c>
      <x:c r="J452" s="48" t="str">
        <x:v>Riesgo psicosocial y autocuidado laboral</x:v>
      </x:c>
      <x:c r="K452" s="48" t="str">
        <x:v>Promover estrategias de autocuidado, bienestar y prevención del riesgo psicosocial en el trabajo.</x:v>
      </x:c>
      <x:c r="L452" s="27" t="n">
        <x:v>2</x:v>
      </x:c>
      <x:c r="M452" s="59" t="n">
        <x:v>46155</x:v>
      </x:c>
      <x:c r="N452" s="27" t="n">
        <x:v>2</x:v>
      </x:c>
      <x:c r="O452" s="27" t="n">
        <x:v>29</x:v>
      </x:c>
      <x:c r="P452" s="27" t="n">
        <x:v>26</x:v>
      </x:c>
      <x:c r="Q452" s="65" t="n">
        <x:f>IFERROR(P452/O452,0)</x:f>
        <x:v>0.896551724137931</x:v>
      </x:c>
      <x:c r="R452" s="27" t="str">
        <x:v>Encuesta de percepción</x:v>
      </x:c>
      <x:c r="S452" s="71" t="n">
        <x:v>4.5</x:v>
      </x:c>
      <x:c r="T452" s="27" t="str">
        <x:f>IF(XOR(X452="Reprogramada",X452="Cancelada"),"",IF(AND(Q452&gt;=0.8,S452&gt;=4),"Sí",IF(AND(Q452&gt;=0.65,S452&gt;=3.5),"Parcial","No")))</x:f>
        <x:v>Sí</x:v>
      </x:c>
      <x:c r="U452" s="27" t="str">
        <x:v>Psicología SST</x:v>
      </x:c>
      <x:c r="V452" s="48" t="str">
        <x:v>Humano (facilitador externo) / Financiero / Logístico / Material didáctico</x:v>
      </x:c>
      <x:c r="W452" s="48" t="str">
        <x:v>Carlos Felipe Parada Ramón</x:v>
      </x:c>
      <x:c r="X452" s="48" t="str">
        <x:v>Ejecutada</x:v>
      </x:c>
      <x:c r="Y452" s="53" t="str">
        <x:v>Actividad ejecutada satisfactoriamente; mantener evidencia y seguimiento.</x:v>
      </x:c>
    </x:row>
  </x:sheetData>
  <x:conditionalFormatting sqref="Q2:Q452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conditionalFormatting sqref="X2:X452">
    <x:cfRule type="expression" dxfId="0" priority="2">
      <x:formula>X2="Cancelada"</x:formula>
    </x:cfRule>
    <x:cfRule type="expression" dxfId="1" priority="3">
      <x:formula>X2="Reprogramada"</x:formula>
    </x:cfRule>
    <x:cfRule type="expression" dxfId="2" priority="4">
      <x:formula>X2="Ejecutada"</x:formula>
    </x:cfRule>
  </x:conditionalFormatting>
  <x:conditionalFormatting sqref="T2:T452">
    <x:cfRule type="expression" dxfId="3" priority="5">
      <x:formula>T2="No"</x:formula>
    </x:cfRule>
    <x:cfRule type="expression" dxfId="4" priority="6">
      <x:formula>T2="Parcial"</x:formula>
    </x:cfRule>
    <x:cfRule type="expression" dxfId="5" priority="7">
      <x:formula>T2="Sí"</x:formula>
    </x:cfRule>
  </x:conditionalFormatting>
  <x:dataValidations count="8">
    <x:dataValidation type="list" sqref="E2:E452">
      <x:formula1>"ATEL,Acoso laboral,Alturas,Biomecánico,COPASST/CCL,EPP,Emergencias,General,Inspecciones,Locativo,PESV,Prevención del consumo,Primeros auxilios,Psicosocial,Riesgo eléctrico,Riesgo público"</x:formula1>
    </x:dataValidation>
    <x:dataValidation type="list" sqref="F2:F452">
      <x:formula1>"Capacitación,Curso,Simulacro,Socialización,Taller"</x:formula1>
    </x:dataValidation>
    <x:dataValidation type="list" sqref="G2:G452">
      <x:formula1>"Interno,Externo"</x:formula1>
    </x:dataValidation>
    <x:dataValidation type="list" sqref="H2:H452">
      <x:formula1>"Brigadistas,Conductores,Líderes,Operativos,Todos"</x:formula1>
    </x:dataValidation>
    <x:dataValidation type="list" sqref="I2:I452">
      <x:formula1>"Cúcuta,Barrancabermeja,Ocaña,Girón,Valledupar,Arauca,Bogotá,Tibú,Medellín,Ábrego,Pamplona"</x:formula1>
    </x:dataValidation>
    <x:dataValidation type="list" sqref="R2:R452">
      <x:formula1>"Caso práctico,Encuesta de comprensión,Encuesta de percepción,Evaluación escrita,Formulario / taller,Inspección,Lista de chequeo,Observación en puesto,Prueba práctica,Retroalimentación grupal,Simulacro,Taller práctico"</x:formula1>
    </x:dataValidation>
    <x:dataValidation type="list" sqref="T2:T452">
      <x:formula1>"Sí,Parcial,No"</x:formula1>
    </x:dataValidation>
    <x:dataValidation type="list" sqref="X2:X452">
      <x:formula1>"Ejecutada,Reprogramada,Cancelada"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d61417711f42a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.920000076293945" hidden="0" customWidth="1"/>
    <x:col min="2" max="2" width="20.860000610351562" hidden="0" customWidth="1"/>
    <x:col min="3" max="3" width="11.4399995803833" hidden="0" customWidth="1"/>
    <x:col min="4" max="4" width="15.479999542236328" hidden="0" customWidth="1"/>
    <x:col min="5" max="5" width="11.84000015258789" hidden="0" customWidth="1"/>
    <x:col min="6" max="6" width="16.149999618530273" hidden="0" customWidth="1"/>
    <x:col min="7" max="7" width="16.690000534057617" hidden="0" customWidth="1"/>
    <x:col min="8" max="8" width="19.25" hidden="0" customWidth="1"/>
    <x:col min="9" max="9" width="19.780000686645508" hidden="0" customWidth="1"/>
    <x:col min="10" max="10" width="13.460000038146973" hidden="0" customWidth="1"/>
    <x:col min="11" max="11" width="27.31999969482422" hidden="0" customWidth="1"/>
    <x:col min="12" max="12" width="21.270000457763672" hidden="0" customWidth="1"/>
    <x:col min="13" max="13" width="22.209999084472656" hidden="0" customWidth="1"/>
  </x:cols>
  <x:sheetData>
    <x:row r="1" ht="18" customHeight="1">
      <x:c r="A1" s="17" t="str">
        <x:v>Año</x:v>
      </x:c>
      <x:c r="B1" s="17" t="str">
        <x:v>Actividades planeadas</x:v>
      </x:c>
      <x:c r="C1" s="17" t="str">
        <x:v>Ejecutadas</x:v>
      </x:c>
      <x:c r="D1" s="17" t="str">
        <x:v>Reprogramadas</x:v>
      </x:c>
      <x:c r="E1" s="17" t="str">
        <x:v>Canceladas</x:v>
      </x:c>
      <x:c r="F1" s="17" t="str">
        <x:v>Horas planeadas</x:v>
      </x:c>
      <x:c r="G1" s="17" t="str">
        <x:v>Horas ejecutadas</x:v>
      </x:c>
      <x:c r="H1" s="17" t="str">
        <x:v>Cobertura promedio</x:v>
      </x:c>
      <x:c r="I1" s="17" t="str">
        <x:v>Actividades efectivas</x:v>
      </x:c>
      <x:c r="J1" s="17" t="str">
        <x:v>% Efectividad</x:v>
      </x:c>
      <x:c r="K1" s="17" t="str">
        <x:v>Población objetivo acumulada</x:v>
      </x:c>
      <x:c r="L1" s="17" t="str">
        <x:v>Asistentes acumulados</x:v>
      </x:c>
      <x:c r="M1" s="17" t="str">
        <x:v>% Asistencia acumulada</x:v>
      </x:c>
    </x:row>
    <x:row r="2">
      <x:c r="A2" s="41" t="n">
        <x:v>2023</x:v>
      </x:c>
      <x:c r="B2" s="42" t="n">
        <x:f>COUNTIFS(Registro!$B:$B,$A2)</x:f>
        <x:v>132</x:v>
      </x:c>
      <x:c r="C2" s="42" t="n">
        <x:f>COUNTIFS(Registro!$B:$B,$A2,Registro!$X:$X,"Ejecutada")</x:f>
        <x:v>115</x:v>
      </x:c>
      <x:c r="D2" s="42" t="n">
        <x:f>COUNTIFS(Registro!$B:$B,$A2,Registro!$X:$X,"Reprogramada")</x:f>
        <x:v>10</x:v>
      </x:c>
      <x:c r="E2" s="42" t="n">
        <x:f>COUNTIFS(Registro!$B:$B,$A2,Registro!$X:$X,"Cancelada")</x:f>
        <x:v>7</x:v>
      </x:c>
      <x:c r="F2" s="42" t="n">
        <x:f>SUMIFS(Registro!$L:$L,Registro!$B:$B,$A2)</x:f>
        <x:v>220</x:v>
      </x:c>
      <x:c r="G2" s="42" t="n">
        <x:f>SUMIFS(Registro!$N:$N,Registro!$B:$B,$A2)</x:f>
        <x:v>197.5</x:v>
      </x:c>
      <x:c r="H2" s="63" t="n">
        <x:f>IFERROR(SUMIFS(Registro!$Q:$Q,Registro!$B:$B,$A2,Registro!$X:$X,"Ejecutada")/COUNTIFS(Registro!$B:$B,$A2,Registro!$X:$X,"Ejecutada"),0)</x:f>
        <x:v>0.8736137632706662</x:v>
      </x:c>
      <x:c r="I2" s="42" t="n">
        <x:f>COUNTIFS(Registro!$B:$B,$A2,Registro!$T:$T,"Sí")</x:f>
        <x:v>102</x:v>
      </x:c>
      <x:c r="J2" s="63" t="n">
        <x:f>IFERROR(I2/C2,0)</x:f>
        <x:v>0.8869565217391304</x:v>
      </x:c>
      <x:c r="K2" s="42" t="n">
        <x:f>SUMIFS(Registro!$O:$O,Registro!$B:$B,$A2)</x:f>
        <x:v>5832</x:v>
      </x:c>
      <x:c r="L2" s="42" t="n">
        <x:f>SUMIFS(Registro!$P:$P,Registro!$B:$B,$A2)</x:f>
        <x:v>4354</x:v>
      </x:c>
      <x:c r="M2" s="75" t="n">
        <x:f>IFERROR(L2/K2,0)</x:f>
        <x:v>0.7465706447187929</x:v>
      </x:c>
    </x:row>
    <x:row r="3">
      <x:c r="A3" s="23" t="n">
        <x:v>2024</x:v>
      </x:c>
      <x:c r="B3" s="24" t="n">
        <x:f>COUNTIFS(Registro!$B:$B,$A3)</x:f>
        <x:v>132</x:v>
      </x:c>
      <x:c r="C3" s="24" t="n">
        <x:f>COUNTIFS(Registro!$B:$B,$A3,Registro!$X:$X,"Ejecutada")</x:f>
        <x:v>110</x:v>
      </x:c>
      <x:c r="D3" s="24" t="n">
        <x:f>COUNTIFS(Registro!$B:$B,$A3,Registro!$X:$X,"Reprogramada")</x:f>
        <x:v>13</x:v>
      </x:c>
      <x:c r="E3" s="24" t="n">
        <x:f>COUNTIFS(Registro!$B:$B,$A3,Registro!$X:$X,"Cancelada")</x:f>
        <x:v>9</x:v>
      </x:c>
      <x:c r="F3" s="24" t="n">
        <x:f>SUMIFS(Registro!$L:$L,Registro!$B:$B,$A3)</x:f>
        <x:v>253</x:v>
      </x:c>
      <x:c r="G3" s="24" t="n">
        <x:f>SUMIFS(Registro!$N:$N,Registro!$B:$B,$A3)</x:f>
        <x:v>214</x:v>
      </x:c>
      <x:c r="H3" s="64" t="n">
        <x:f>IFERROR(SUMIFS(Registro!$Q:$Q,Registro!$B:$B,$A3,Registro!$X:$X,"Ejecutada")/COUNTIFS(Registro!$B:$B,$A3,Registro!$X:$X,"Ejecutada"),0)</x:f>
        <x:v>0.8706171103671104</x:v>
      </x:c>
      <x:c r="I3" s="24" t="n">
        <x:f>COUNTIFS(Registro!$B:$B,$A3,Registro!$T:$T,"Sí")</x:f>
        <x:v>99</x:v>
      </x:c>
      <x:c r="J3" s="64" t="n">
        <x:f>IFERROR(I3/C3,0)</x:f>
        <x:v>0.9</x:v>
      </x:c>
      <x:c r="K3" s="24" t="n">
        <x:f>SUMIFS(Registro!$O:$O,Registro!$B:$B,$A3)</x:f>
        <x:v>6012</x:v>
      </x:c>
      <x:c r="L3" s="24" t="n">
        <x:f>SUMIFS(Registro!$P:$P,Registro!$B:$B,$A3)</x:f>
        <x:v>4317</x:v>
      </x:c>
      <x:c r="M3" s="76" t="n">
        <x:f>IFERROR(L3/K3,0)</x:f>
        <x:v>0.7180638722554891</x:v>
      </x:c>
    </x:row>
    <x:row r="4">
      <x:c r="A4" s="23" t="n">
        <x:v>2025</x:v>
      </x:c>
      <x:c r="B4" s="24" t="n">
        <x:f>COUNTIFS(Registro!$B:$B,$A4)</x:f>
        <x:v>132</x:v>
      </x:c>
      <x:c r="C4" s="24" t="n">
        <x:f>COUNTIFS(Registro!$B:$B,$A4,Registro!$X:$X,"Ejecutada")</x:f>
        <x:v>115</x:v>
      </x:c>
      <x:c r="D4" s="24" t="n">
        <x:f>COUNTIFS(Registro!$B:$B,$A4,Registro!$X:$X,"Reprogramada")</x:f>
        <x:v>7</x:v>
      </x:c>
      <x:c r="E4" s="24" t="n">
        <x:f>COUNTIFS(Registro!$B:$B,$A4,Registro!$X:$X,"Cancelada")</x:f>
        <x:v>10</x:v>
      </x:c>
      <x:c r="F4" s="24" t="n">
        <x:f>SUMIFS(Registro!$L:$L,Registro!$B:$B,$A4)</x:f>
        <x:v>231</x:v>
      </x:c>
      <x:c r="G4" s="24" t="n">
        <x:f>SUMIFS(Registro!$N:$N,Registro!$B:$B,$A4)</x:f>
        <x:v>200.5</x:v>
      </x:c>
      <x:c r="H4" s="64" t="n">
        <x:f>IFERROR(SUMIFS(Registro!$Q:$Q,Registro!$B:$B,$A4,Registro!$X:$X,"Ejecutada")/COUNTIFS(Registro!$B:$B,$A4,Registro!$X:$X,"Ejecutada"),0)</x:f>
        <x:v>0.8658722839935535</x:v>
      </x:c>
      <x:c r="I4" s="24" t="n">
        <x:f>COUNTIFS(Registro!$B:$B,$A4,Registro!$T:$T,"Sí")</x:f>
        <x:v>96</x:v>
      </x:c>
      <x:c r="J4" s="64" t="n">
        <x:f>IFERROR(I4/C4,0)</x:f>
        <x:v>0.8347826086956521</x:v>
      </x:c>
      <x:c r="K4" s="24" t="n">
        <x:f>SUMIFS(Registro!$O:$O,Registro!$B:$B,$A4)</x:f>
        <x:v>6240</x:v>
      </x:c>
      <x:c r="L4" s="24" t="n">
        <x:f>SUMIFS(Registro!$P:$P,Registro!$B:$B,$A4)</x:f>
        <x:v>4799</x:v>
      </x:c>
      <x:c r="M4" s="76" t="n">
        <x:f>IFERROR(L4/K4,0)</x:f>
        <x:v>0.7690705128205129</x:v>
      </x:c>
    </x:row>
    <x:row r="5">
      <x:c r="A5" s="26" t="n">
        <x:v>2026</x:v>
      </x:c>
      <x:c r="B5" s="27" t="n">
        <x:f>COUNTIFS(Registro!$B:$B,$A5)</x:f>
        <x:v>55</x:v>
      </x:c>
      <x:c r="C5" s="27" t="n">
        <x:f>COUNTIFS(Registro!$B:$B,$A5,Registro!$X:$X,"Ejecutada")</x:f>
        <x:v>49</x:v>
      </x:c>
      <x:c r="D5" s="27" t="n">
        <x:f>COUNTIFS(Registro!$B:$B,$A5,Registro!$X:$X,"Reprogramada")</x:f>
        <x:v>5</x:v>
      </x:c>
      <x:c r="E5" s="27" t="n">
        <x:f>COUNTIFS(Registro!$B:$B,$A5,Registro!$X:$X,"Cancelada")</x:f>
        <x:v>1</x:v>
      </x:c>
      <x:c r="F5" s="27" t="n">
        <x:f>SUMIFS(Registro!$L:$L,Registro!$B:$B,$A5)</x:f>
        <x:v>110</x:v>
      </x:c>
      <x:c r="G5" s="27" t="n">
        <x:f>SUMIFS(Registro!$N:$N,Registro!$B:$B,$A5)</x:f>
        <x:v>98.5</x:v>
      </x:c>
      <x:c r="H5" s="65" t="n">
        <x:f>IFERROR(SUMIFS(Registro!$Q:$Q,Registro!$B:$B,$A5,Registro!$X:$X,"Ejecutada")/COUNTIFS(Registro!$B:$B,$A5,Registro!$X:$X,"Ejecutada"),0)</x:f>
        <x:v>0.8684518884870698</x:v>
      </x:c>
      <x:c r="I5" s="27" t="n">
        <x:f>COUNTIFS(Registro!$B:$B,$A5,Registro!$T:$T,"Sí")</x:f>
        <x:v>45</x:v>
      </x:c>
      <x:c r="J5" s="65" t="n">
        <x:f>IFERROR(I5/C5,0)</x:f>
        <x:v>0.9183673469387755</x:v>
      </x:c>
      <x:c r="K5" s="27" t="n">
        <x:f>SUMIFS(Registro!$O:$O,Registro!$B:$B,$A5)</x:f>
        <x:v>2650</x:v>
      </x:c>
      <x:c r="L5" s="27" t="n">
        <x:f>SUMIFS(Registro!$P:$P,Registro!$B:$B,$A5)</x:f>
        <x:v>2059</x:v>
      </x:c>
      <x:c r="M5" s="77" t="n">
        <x:f>IFERROR(L5/K5,0)</x:f>
        <x:v>0.7769811320754717</x:v>
      </x:c>
    </x:row>
  </x:sheetData>
  <x:pageMargins left="0.7" right="0.7" top="0.75" bottom="0.75" header="0.3" footer="0.3"/>
  <x:tableParts count="1">
    <x:tablePart xmlns:r="http://schemas.openxmlformats.org/officeDocument/2006/relationships" r:id="Rfb72d6da0d1940b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.920000076293945" hidden="0" customWidth="1"/>
    <x:col min="2" max="2" width="13.729999542236328" hidden="0" customWidth="1"/>
    <x:col min="3" max="3" width="20.860000610351562" hidden="0" customWidth="1"/>
    <x:col min="4" max="4" width="11.4399995803833" hidden="0" customWidth="1"/>
    <x:col min="5" max="5" width="15.479999542236328" hidden="0" customWidth="1"/>
    <x:col min="6" max="6" width="11.84000015258789" hidden="0" customWidth="1"/>
    <x:col min="7" max="7" width="16.149999618530273" hidden="0" customWidth="1"/>
    <x:col min="8" max="8" width="16.690000534057617" hidden="0" customWidth="1"/>
    <x:col min="9" max="9" width="19.25" hidden="0" customWidth="1"/>
    <x:col min="10" max="10" width="19.780000686645508" hidden="0" customWidth="1"/>
    <x:col min="11" max="11" width="13.460000038146973" hidden="0" customWidth="1"/>
    <x:col min="12" max="12" width="27.31999969482422" hidden="0" customWidth="1"/>
    <x:col min="13" max="13" width="21.270000457763672" hidden="0" customWidth="1"/>
    <x:col min="14" max="14" width="22.209999084472656" hidden="0" customWidth="1"/>
  </x:cols>
  <x:sheetData>
    <x:row r="1" ht="18" customHeight="1">
      <x:c r="A1" s="17" t="str">
        <x:v>Año</x:v>
      </x:c>
      <x:c r="B1" s="17" t="str">
        <x:v>Sede</x:v>
      </x:c>
      <x:c r="C1" s="17" t="str">
        <x:v>Actividades planeadas</x:v>
      </x:c>
      <x:c r="D1" s="17" t="str">
        <x:v>Ejecutadas</x:v>
      </x:c>
      <x:c r="E1" s="17" t="str">
        <x:v>Reprogramadas</x:v>
      </x:c>
      <x:c r="F1" s="17" t="str">
        <x:v>Canceladas</x:v>
      </x:c>
      <x:c r="G1" s="17" t="str">
        <x:v>Horas planeadas</x:v>
      </x:c>
      <x:c r="H1" s="17" t="str">
        <x:v>Horas ejecutadas</x:v>
      </x:c>
      <x:c r="I1" s="81" t="str">
        <x:v>Cobertura promedio</x:v>
      </x:c>
      <x:c r="J1" s="17" t="str">
        <x:v>Actividades efectivas</x:v>
      </x:c>
      <x:c r="K1" s="81" t="str">
        <x:v>% Efectividad</x:v>
      </x:c>
      <x:c r="L1" s="17" t="str">
        <x:v>Población objetivo acumulada</x:v>
      </x:c>
      <x:c r="M1" s="17" t="str">
        <x:v>Asistentes acumulados</x:v>
      </x:c>
      <x:c r="N1" s="81" t="str">
        <x:v>% Asistencia acumulada</x:v>
      </x:c>
    </x:row>
    <x:row r="2">
      <x:c r="A2" s="41" t="n">
        <x:v>2023</x:v>
      </x:c>
      <x:c r="B2" s="42" t="str">
        <x:v>Cúcuta</x:v>
      </x:c>
      <x:c r="C2" s="42" t="n">
        <x:f>COUNTIFS(Registro!$B:$B,$A2,Registro!$I:$I,$B2)</x:f>
        <x:v>12</x:v>
      </x:c>
      <x:c r="D2" s="42" t="n">
        <x:f>COUNTIFS(Registro!$B:$B,$A2,Registro!$I:$I,$B2,Registro!$X:$X,"Ejecutada")</x:f>
        <x:v>10</x:v>
      </x:c>
      <x:c r="E2" s="42" t="n">
        <x:f>COUNTIFS(Registro!$B:$B,$A2,Registro!$I:$I,$B2,Registro!$X:$X,"Reprogramada")</x:f>
        <x:v>1</x:v>
      </x:c>
      <x:c r="F2" s="42" t="n">
        <x:f>COUNTIFS(Registro!$B:$B,$A2,Registro!$I:$I,$B2,Registro!$X:$X,"Cancelada")</x:f>
        <x:v>1</x:v>
      </x:c>
      <x:c r="G2" s="42" t="n">
        <x:f>SUMIFS(Registro!$L:$L,Registro!$B:$B,$A2,Registro!$I:$I,$B2)</x:f>
        <x:v>20</x:v>
      </x:c>
      <x:c r="H2" s="42" t="n">
        <x:f>SUMIFS(Registro!$N:$N,Registro!$B:$B,$A2,Registro!$I:$I,$B2)</x:f>
        <x:v>19.5</x:v>
      </x:c>
      <x:c r="I2" s="42" t="n">
        <x:f>IFERROR(SUMIFS(Registro!$Q:$Q,Registro!$B:$B,$A2,Registro!$I:$I,$B2,Registro!$X:$X,"Ejecutada")/COUNTIFS(Registro!$B:$B,$A2,Registro!$I:$I,$B2,Registro!$X:$X,"Ejecutada"),0)</x:f>
        <x:v>0.8294871794871795</x:v>
      </x:c>
      <x:c r="J2" s="42" t="n">
        <x:f>COUNTIFS(Registro!$B:$B,$A2,Registro!$I:$I,$B2,Registro!$T:$T,"Sí")</x:f>
        <x:v>7</x:v>
      </x:c>
      <x:c r="K2" s="42" t="n">
        <x:f>IFERROR(J2/D2,0)</x:f>
        <x:v>0.7</x:v>
      </x:c>
      <x:c r="L2" s="42" t="n">
        <x:f>SUMIFS(Registro!$O:$O,Registro!$B:$B,$A2,Registro!$I:$I,$B2)</x:f>
        <x:v>936</x:v>
      </x:c>
      <x:c r="M2" s="42" t="n">
        <x:f>SUMIFS(Registro!$P:$P,Registro!$B:$B,$A2,Registro!$I:$I,$B2)</x:f>
        <x:v>647</x:v>
      </x:c>
      <x:c r="N2" s="43" t="n">
        <x:f>IFERROR(M2/L2,0)</x:f>
        <x:v>0.6912393162393162</x:v>
      </x:c>
    </x:row>
    <x:row r="3">
      <x:c r="A3" s="23" t="n">
        <x:v>2023</x:v>
      </x:c>
      <x:c r="B3" s="24" t="str">
        <x:v>Barrancabermeja</x:v>
      </x:c>
      <x:c r="C3" s="24" t="n">
        <x:f>COUNTIFS(Registro!$B:$B,$A3,Registro!$I:$I,$B3)</x:f>
        <x:v>12</x:v>
      </x:c>
      <x:c r="D3" s="24" t="n">
        <x:f>COUNTIFS(Registro!$B:$B,$A3,Registro!$I:$I,$B3,Registro!$X:$X,"Ejecutada")</x:f>
        <x:v>12</x:v>
      </x:c>
      <x:c r="E3" s="24" t="n">
        <x:f>COUNTIFS(Registro!$B:$B,$A3,Registro!$I:$I,$B3,Registro!$X:$X,"Reprogramada")</x:f>
        <x:v>0</x:v>
      </x:c>
      <x:c r="F3" s="24" t="n">
        <x:f>COUNTIFS(Registro!$B:$B,$A3,Registro!$I:$I,$B3,Registro!$X:$X,"Cancelada")</x:f>
        <x:v>0</x:v>
      </x:c>
      <x:c r="G3" s="24" t="n">
        <x:f>SUMIFS(Registro!$L:$L,Registro!$B:$B,$A3,Registro!$I:$I,$B3)</x:f>
        <x:v>20</x:v>
      </x:c>
      <x:c r="H3" s="24" t="n">
        <x:f>SUMIFS(Registro!$N:$N,Registro!$B:$B,$A3,Registro!$I:$I,$B3)</x:f>
        <x:v>19.5</x:v>
      </x:c>
      <x:c r="I3" s="24" t="n">
        <x:f>IFERROR(SUMIFS(Registro!$Q:$Q,Registro!$B:$B,$A3,Registro!$I:$I,$B3,Registro!$X:$X,"Ejecutada")/COUNTIFS(Registro!$B:$B,$A3,Registro!$I:$I,$B3,Registro!$X:$X,"Ejecutada"),0)</x:f>
        <x:v>0.8862179487179488</x:v>
      </x:c>
      <x:c r="J3" s="24" t="n">
        <x:f>COUNTIFS(Registro!$B:$B,$A3,Registro!$I:$I,$B3,Registro!$T:$T,"Sí")</x:f>
        <x:v>11</x:v>
      </x:c>
      <x:c r="K3" s="24" t="n">
        <x:f>IFERROR(J3/D3,0)</x:f>
        <x:v>0.9166666666666666</x:v>
      </x:c>
      <x:c r="L3" s="24" t="n">
        <x:f>SUMIFS(Registro!$O:$O,Registro!$B:$B,$A3,Registro!$I:$I,$B3)</x:f>
        <x:v>624</x:v>
      </x:c>
      <x:c r="M3" s="24" t="n">
        <x:f>SUMIFS(Registro!$P:$P,Registro!$B:$B,$A3,Registro!$I:$I,$B3)</x:f>
        <x:v>553</x:v>
      </x:c>
      <x:c r="N3" s="25" t="n">
        <x:f>IFERROR(M3/L3,0)</x:f>
        <x:v>0.8862179487179487</x:v>
      </x:c>
    </x:row>
    <x:row r="4">
      <x:c r="A4" s="23" t="n">
        <x:v>2023</x:v>
      </x:c>
      <x:c r="B4" s="24" t="str">
        <x:v>Ocaña</x:v>
      </x:c>
      <x:c r="C4" s="24" t="n">
        <x:f>COUNTIFS(Registro!$B:$B,$A4,Registro!$I:$I,$B4)</x:f>
        <x:v>12</x:v>
      </x:c>
      <x:c r="D4" s="24" t="n">
        <x:f>COUNTIFS(Registro!$B:$B,$A4,Registro!$I:$I,$B4,Registro!$X:$X,"Ejecutada")</x:f>
        <x:v>10</x:v>
      </x:c>
      <x:c r="E4" s="24" t="n">
        <x:f>COUNTIFS(Registro!$B:$B,$A4,Registro!$I:$I,$B4,Registro!$X:$X,"Reprogramada")</x:f>
        <x:v>1</x:v>
      </x:c>
      <x:c r="F4" s="24" t="n">
        <x:f>COUNTIFS(Registro!$B:$B,$A4,Registro!$I:$I,$B4,Registro!$X:$X,"Cancelada")</x:f>
        <x:v>1</x:v>
      </x:c>
      <x:c r="G4" s="24" t="n">
        <x:f>SUMIFS(Registro!$L:$L,Registro!$B:$B,$A4,Registro!$I:$I,$B4)</x:f>
        <x:v>20</x:v>
      </x:c>
      <x:c r="H4" s="24" t="n">
        <x:f>SUMIFS(Registro!$N:$N,Registro!$B:$B,$A4,Registro!$I:$I,$B4)</x:f>
        <x:v>17</x:v>
      </x:c>
      <x:c r="I4" s="24" t="n">
        <x:f>IFERROR(SUMIFS(Registro!$Q:$Q,Registro!$B:$B,$A4,Registro!$I:$I,$B4,Registro!$X:$X,"Ejecutada")/COUNTIFS(Registro!$B:$B,$A4,Registro!$I:$I,$B4,Registro!$X:$X,"Ejecutada"),0)</x:f>
        <x:v>0.8472222222222223</x:v>
      </x:c>
      <x:c r="J4" s="24" t="n">
        <x:f>COUNTIFS(Registro!$B:$B,$A4,Registro!$I:$I,$B4,Registro!$T:$T,"Sí")</x:f>
        <x:v>9</x:v>
      </x:c>
      <x:c r="K4" s="24" t="n">
        <x:f>IFERROR(J4/D4,0)</x:f>
        <x:v>0.9</x:v>
      </x:c>
      <x:c r="L4" s="24" t="n">
        <x:f>SUMIFS(Registro!$O:$O,Registro!$B:$B,$A4,Registro!$I:$I,$B4)</x:f>
        <x:v>432</x:v>
      </x:c>
      <x:c r="M4" s="24" t="n">
        <x:f>SUMIFS(Registro!$P:$P,Registro!$B:$B,$A4,Registro!$I:$I,$B4)</x:f>
        <x:v>305</x:v>
      </x:c>
      <x:c r="N4" s="25" t="n">
        <x:f>IFERROR(M4/L4,0)</x:f>
        <x:v>0.7060185185185185</x:v>
      </x:c>
    </x:row>
    <x:row r="5">
      <x:c r="A5" s="23" t="n">
        <x:v>2023</x:v>
      </x:c>
      <x:c r="B5" s="24" t="str">
        <x:v>Girón</x:v>
      </x:c>
      <x:c r="C5" s="24" t="n">
        <x:f>COUNTIFS(Registro!$B:$B,$A5,Registro!$I:$I,$B5)</x:f>
        <x:v>12</x:v>
      </x:c>
      <x:c r="D5" s="24" t="n">
        <x:f>COUNTIFS(Registro!$B:$B,$A5,Registro!$I:$I,$B5,Registro!$X:$X,"Ejecutada")</x:f>
        <x:v>10</x:v>
      </x:c>
      <x:c r="E5" s="24" t="n">
        <x:f>COUNTIFS(Registro!$B:$B,$A5,Registro!$I:$I,$B5,Registro!$X:$X,"Reprogramada")</x:f>
        <x:v>1</x:v>
      </x:c>
      <x:c r="F5" s="24" t="n">
        <x:f>COUNTIFS(Registro!$B:$B,$A5,Registro!$I:$I,$B5,Registro!$X:$X,"Cancelada")</x:f>
        <x:v>1</x:v>
      </x:c>
      <x:c r="G5" s="24" t="n">
        <x:f>SUMIFS(Registro!$L:$L,Registro!$B:$B,$A5,Registro!$I:$I,$B5)</x:f>
        <x:v>20</x:v>
      </x:c>
      <x:c r="H5" s="24" t="n">
        <x:f>SUMIFS(Registro!$N:$N,Registro!$B:$B,$A5,Registro!$I:$I,$B5)</x:f>
        <x:v>17</x:v>
      </x:c>
      <x:c r="I5" s="24" t="n">
        <x:f>IFERROR(SUMIFS(Registro!$Q:$Q,Registro!$B:$B,$A5,Registro!$I:$I,$B5,Registro!$X:$X,"Ejecutada")/COUNTIFS(Registro!$B:$B,$A5,Registro!$I:$I,$B5,Registro!$X:$X,"Ejecutada"),0)</x:f>
        <x:v>0.8829268292682928</x:v>
      </x:c>
      <x:c r="J5" s="24" t="n">
        <x:f>COUNTIFS(Registro!$B:$B,$A5,Registro!$I:$I,$B5,Registro!$T:$T,"Sí")</x:f>
        <x:v>9</x:v>
      </x:c>
      <x:c r="K5" s="24" t="n">
        <x:f>IFERROR(J5/D5,0)</x:f>
        <x:v>0.9</x:v>
      </x:c>
      <x:c r="L5" s="24" t="n">
        <x:f>SUMIFS(Registro!$O:$O,Registro!$B:$B,$A5,Registro!$I:$I,$B5)</x:f>
        <x:v>492</x:v>
      </x:c>
      <x:c r="M5" s="24" t="n">
        <x:f>SUMIFS(Registro!$P:$P,Registro!$B:$B,$A5,Registro!$I:$I,$B5)</x:f>
        <x:v>362</x:v>
      </x:c>
      <x:c r="N5" s="25" t="n">
        <x:f>IFERROR(M5/L5,0)</x:f>
        <x:v>0.7357723577235772</x:v>
      </x:c>
    </x:row>
    <x:row r="6">
      <x:c r="A6" s="23" t="n">
        <x:v>2023</x:v>
      </x:c>
      <x:c r="B6" s="24" t="str">
        <x:v>Valledupar</x:v>
      </x:c>
      <x:c r="C6" s="24" t="n">
        <x:f>COUNTIFS(Registro!$B:$B,$A6,Registro!$I:$I,$B6)</x:f>
        <x:v>12</x:v>
      </x:c>
      <x:c r="D6" s="24" t="n">
        <x:f>COUNTIFS(Registro!$B:$B,$A6,Registro!$I:$I,$B6,Registro!$X:$X,"Ejecutada")</x:f>
        <x:v>11</x:v>
      </x:c>
      <x:c r="E6" s="24" t="n">
        <x:f>COUNTIFS(Registro!$B:$B,$A6,Registro!$I:$I,$B6,Registro!$X:$X,"Reprogramada")</x:f>
        <x:v>1</x:v>
      </x:c>
      <x:c r="F6" s="24" t="n">
        <x:f>COUNTIFS(Registro!$B:$B,$A6,Registro!$I:$I,$B6,Registro!$X:$X,"Cancelada")</x:f>
        <x:v>0</x:v>
      </x:c>
      <x:c r="G6" s="24" t="n">
        <x:f>SUMIFS(Registro!$L:$L,Registro!$B:$B,$A6,Registro!$I:$I,$B6)</x:f>
        <x:v>20</x:v>
      </x:c>
      <x:c r="H6" s="24" t="n">
        <x:f>SUMIFS(Registro!$N:$N,Registro!$B:$B,$A6,Registro!$I:$I,$B6)</x:f>
        <x:v>19.5</x:v>
      </x:c>
      <x:c r="I6" s="24" t="n">
        <x:f>IFERROR(SUMIFS(Registro!$Q:$Q,Registro!$B:$B,$A6,Registro!$I:$I,$B6,Registro!$X:$X,"Ejecutada")/COUNTIFS(Registro!$B:$B,$A6,Registro!$I:$I,$B6,Registro!$X:$X,"Ejecutada"),0)</x:f>
        <x:v>0.8974854932301741</x:v>
      </x:c>
      <x:c r="J6" s="24" t="n">
        <x:f>COUNTIFS(Registro!$B:$B,$A6,Registro!$I:$I,$B6,Registro!$T:$T,"Sí")</x:f>
        <x:v>11</x:v>
      </x:c>
      <x:c r="K6" s="24" t="n">
        <x:f>IFERROR(J6/D6,0)</x:f>
        <x:v>1</x:v>
      </x:c>
      <x:c r="L6" s="24" t="n">
        <x:f>SUMIFS(Registro!$O:$O,Registro!$B:$B,$A6,Registro!$I:$I,$B6)</x:f>
        <x:v>564</x:v>
      </x:c>
      <x:c r="M6" s="24" t="n">
        <x:f>SUMIFS(Registro!$P:$P,Registro!$B:$B,$A6,Registro!$I:$I,$B6)</x:f>
        <x:v>464</x:v>
      </x:c>
      <x:c r="N6" s="25" t="n">
        <x:f>IFERROR(M6/L6,0)</x:f>
        <x:v>0.8226950354609929</x:v>
      </x:c>
    </x:row>
    <x:row r="7">
      <x:c r="A7" s="23" t="n">
        <x:v>2023</x:v>
      </x:c>
      <x:c r="B7" s="24" t="str">
        <x:v>Arauca</x:v>
      </x:c>
      <x:c r="C7" s="24" t="n">
        <x:f>COUNTIFS(Registro!$B:$B,$A7,Registro!$I:$I,$B7)</x:f>
        <x:v>12</x:v>
      </x:c>
      <x:c r="D7" s="24" t="n">
        <x:f>COUNTIFS(Registro!$B:$B,$A7,Registro!$I:$I,$B7,Registro!$X:$X,"Ejecutada")</x:f>
        <x:v>11</x:v>
      </x:c>
      <x:c r="E7" s="24" t="n">
        <x:f>COUNTIFS(Registro!$B:$B,$A7,Registro!$I:$I,$B7,Registro!$X:$X,"Reprogramada")</x:f>
        <x:v>1</x:v>
      </x:c>
      <x:c r="F7" s="24" t="n">
        <x:f>COUNTIFS(Registro!$B:$B,$A7,Registro!$I:$I,$B7,Registro!$X:$X,"Cancelada")</x:f>
        <x:v>0</x:v>
      </x:c>
      <x:c r="G7" s="24" t="n">
        <x:f>SUMIFS(Registro!$L:$L,Registro!$B:$B,$A7,Registro!$I:$I,$B7)</x:f>
        <x:v>20</x:v>
      </x:c>
      <x:c r="H7" s="24" t="n">
        <x:f>SUMIFS(Registro!$N:$N,Registro!$B:$B,$A7,Registro!$I:$I,$B7)</x:f>
        <x:v>17</x:v>
      </x:c>
      <x:c r="I7" s="24" t="n">
        <x:f>IFERROR(SUMIFS(Registro!$Q:$Q,Registro!$B:$B,$A7,Registro!$I:$I,$B7,Registro!$X:$X,"Ejecutada")/COUNTIFS(Registro!$B:$B,$A7,Registro!$I:$I,$B7,Registro!$X:$X,"Ejecutada"),0)</x:f>
        <x:v>0.8808777429467084</x:v>
      </x:c>
      <x:c r="J7" s="24" t="n">
        <x:f>COUNTIFS(Registro!$B:$B,$A7,Registro!$I:$I,$B7,Registro!$T:$T,"Sí")</x:f>
        <x:v>10</x:v>
      </x:c>
      <x:c r="K7" s="24" t="n">
        <x:f>IFERROR(J7/D7,0)</x:f>
        <x:v>0.9090909090909091</x:v>
      </x:c>
      <x:c r="L7" s="24" t="n">
        <x:f>SUMIFS(Registro!$O:$O,Registro!$B:$B,$A7,Registro!$I:$I,$B7)</x:f>
        <x:v>348</x:v>
      </x:c>
      <x:c r="M7" s="24" t="n">
        <x:f>SUMIFS(Registro!$P:$P,Registro!$B:$B,$A7,Registro!$I:$I,$B7)</x:f>
        <x:v>281</x:v>
      </x:c>
      <x:c r="N7" s="25" t="n">
        <x:f>IFERROR(M7/L7,0)</x:f>
        <x:v>0.8074712643678161</x:v>
      </x:c>
    </x:row>
    <x:row r="8">
      <x:c r="A8" s="23" t="n">
        <x:v>2023</x:v>
      </x:c>
      <x:c r="B8" s="24" t="str">
        <x:v>Bogotá</x:v>
      </x:c>
      <x:c r="C8" s="24" t="n">
        <x:f>COUNTIFS(Registro!$B:$B,$A8,Registro!$I:$I,$B8)</x:f>
        <x:v>12</x:v>
      </x:c>
      <x:c r="D8" s="24" t="n">
        <x:f>COUNTIFS(Registro!$B:$B,$A8,Registro!$I:$I,$B8,Registro!$X:$X,"Ejecutada")</x:f>
        <x:v>9</x:v>
      </x:c>
      <x:c r="E8" s="24" t="n">
        <x:f>COUNTIFS(Registro!$B:$B,$A8,Registro!$I:$I,$B8,Registro!$X:$X,"Reprogramada")</x:f>
        <x:v>1</x:v>
      </x:c>
      <x:c r="F8" s="24" t="n">
        <x:f>COUNTIFS(Registro!$B:$B,$A8,Registro!$I:$I,$B8,Registro!$X:$X,"Cancelada")</x:f>
        <x:v>2</x:v>
      </x:c>
      <x:c r="G8" s="24" t="n">
        <x:f>SUMIFS(Registro!$L:$L,Registro!$B:$B,$A8,Registro!$I:$I,$B8)</x:f>
        <x:v>20</x:v>
      </x:c>
      <x:c r="H8" s="24" t="n">
        <x:f>SUMIFS(Registro!$N:$N,Registro!$B:$B,$A8,Registro!$I:$I,$B8)</x:f>
        <x:v>17</x:v>
      </x:c>
      <x:c r="I8" s="24" t="n">
        <x:f>IFERROR(SUMIFS(Registro!$Q:$Q,Registro!$B:$B,$A8,Registro!$I:$I,$B8,Registro!$X:$X,"Ejecutada")/COUNTIFS(Registro!$B:$B,$A8,Registro!$I:$I,$B8,Registro!$X:$X,"Ejecutada"),0)</x:f>
        <x:v>0.8888888888888888</x:v>
      </x:c>
      <x:c r="J8" s="24" t="n">
        <x:f>COUNTIFS(Registro!$B:$B,$A8,Registro!$I:$I,$B8,Registro!$T:$T,"Sí")</x:f>
        <x:v>9</x:v>
      </x:c>
      <x:c r="K8" s="24" t="n">
        <x:f>IFERROR(J8/D8,0)</x:f>
        <x:v>1</x:v>
      </x:c>
      <x:c r="L8" s="24" t="n">
        <x:f>SUMIFS(Registro!$O:$O,Registro!$B:$B,$A8,Registro!$I:$I,$B8)</x:f>
        <x:v>756</x:v>
      </x:c>
      <x:c r="M8" s="24" t="n">
        <x:f>SUMIFS(Registro!$P:$P,Registro!$B:$B,$A8,Registro!$I:$I,$B8)</x:f>
        <x:v>504</x:v>
      </x:c>
      <x:c r="N8" s="25" t="n">
        <x:f>IFERROR(M8/L8,0)</x:f>
        <x:v>0.6666666666666666</x:v>
      </x:c>
    </x:row>
    <x:row r="9">
      <x:c r="A9" s="23" t="n">
        <x:v>2023</x:v>
      </x:c>
      <x:c r="B9" s="24" t="str">
        <x:v>Tibú</x:v>
      </x:c>
      <x:c r="C9" s="24" t="n">
        <x:f>COUNTIFS(Registro!$B:$B,$A9,Registro!$I:$I,$B9)</x:f>
        <x:v>12</x:v>
      </x:c>
      <x:c r="D9" s="24" t="n">
        <x:f>COUNTIFS(Registro!$B:$B,$A9,Registro!$I:$I,$B9,Registro!$X:$X,"Ejecutada")</x:f>
        <x:v>12</x:v>
      </x:c>
      <x:c r="E9" s="24" t="n">
        <x:f>COUNTIFS(Registro!$B:$B,$A9,Registro!$I:$I,$B9,Registro!$X:$X,"Reprogramada")</x:f>
        <x:v>0</x:v>
      </x:c>
      <x:c r="F9" s="24" t="n">
        <x:f>COUNTIFS(Registro!$B:$B,$A9,Registro!$I:$I,$B9,Registro!$X:$X,"Cancelada")</x:f>
        <x:v>0</x:v>
      </x:c>
      <x:c r="G9" s="24" t="n">
        <x:f>SUMIFS(Registro!$L:$L,Registro!$B:$B,$A9,Registro!$I:$I,$B9)</x:f>
        <x:v>20</x:v>
      </x:c>
      <x:c r="H9" s="24" t="n">
        <x:f>SUMIFS(Registro!$N:$N,Registro!$B:$B,$A9,Registro!$I:$I,$B9)</x:f>
        <x:v>21</x:v>
      </x:c>
      <x:c r="I9" s="24" t="n">
        <x:f>IFERROR(SUMIFS(Registro!$Q:$Q,Registro!$B:$B,$A9,Registro!$I:$I,$B9,Registro!$X:$X,"Ejecutada")/COUNTIFS(Registro!$B:$B,$A9,Registro!$I:$I,$B9,Registro!$X:$X,"Ejecutada"),0)</x:f>
        <x:v>0.8844086021505376</x:v>
      </x:c>
      <x:c r="J9" s="24" t="n">
        <x:f>COUNTIFS(Registro!$B:$B,$A9,Registro!$I:$I,$B9,Registro!$T:$T,"Sí")</x:f>
        <x:v>9</x:v>
      </x:c>
      <x:c r="K9" s="24" t="n">
        <x:f>IFERROR(J9/D9,0)</x:f>
        <x:v>0.75</x:v>
      </x:c>
      <x:c r="L9" s="24" t="n">
        <x:f>SUMIFS(Registro!$O:$O,Registro!$B:$B,$A9,Registro!$I:$I,$B9)</x:f>
        <x:v>372</x:v>
      </x:c>
      <x:c r="M9" s="24" t="n">
        <x:f>SUMIFS(Registro!$P:$P,Registro!$B:$B,$A9,Registro!$I:$I,$B9)</x:f>
        <x:v>329</x:v>
      </x:c>
      <x:c r="N9" s="25" t="n">
        <x:f>IFERROR(M9/L9,0)</x:f>
        <x:v>0.8844086021505376</x:v>
      </x:c>
    </x:row>
    <x:row r="10">
      <x:c r="A10" s="23" t="n">
        <x:v>2023</x:v>
      </x:c>
      <x:c r="B10" s="24" t="str">
        <x:v>Medellín</x:v>
      </x:c>
      <x:c r="C10" s="24" t="n">
        <x:f>COUNTIFS(Registro!$B:$B,$A10,Registro!$I:$I,$B10)</x:f>
        <x:v>12</x:v>
      </x:c>
      <x:c r="D10" s="24" t="n">
        <x:f>COUNTIFS(Registro!$B:$B,$A10,Registro!$I:$I,$B10,Registro!$X:$X,"Ejecutada")</x:f>
        <x:v>9</x:v>
      </x:c>
      <x:c r="E10" s="24" t="n">
        <x:f>COUNTIFS(Registro!$B:$B,$A10,Registro!$I:$I,$B10,Registro!$X:$X,"Reprogramada")</x:f>
        <x:v>3</x:v>
      </x:c>
      <x:c r="F10" s="24" t="n">
        <x:f>COUNTIFS(Registro!$B:$B,$A10,Registro!$I:$I,$B10,Registro!$X:$X,"Cancelada")</x:f>
        <x:v>0</x:v>
      </x:c>
      <x:c r="G10" s="24" t="n">
        <x:f>SUMIFS(Registro!$L:$L,Registro!$B:$B,$A10,Registro!$I:$I,$B10)</x:f>
        <x:v>20</x:v>
      </x:c>
      <x:c r="H10" s="24" t="n">
        <x:f>SUMIFS(Registro!$N:$N,Registro!$B:$B,$A10,Registro!$I:$I,$B10)</x:f>
        <x:v>14.5</x:v>
      </x:c>
      <x:c r="I10" s="24" t="n">
        <x:f>IFERROR(SUMIFS(Registro!$Q:$Q,Registro!$B:$B,$A10,Registro!$I:$I,$B10,Registro!$X:$X,"Ejecutada")/COUNTIFS(Registro!$B:$B,$A10,Registro!$I:$I,$B10,Registro!$X:$X,"Ejecutada"),0)</x:f>
        <x:v>0.8409961685823755</x:v>
      </x:c>
      <x:c r="J10" s="24" t="n">
        <x:f>COUNTIFS(Registro!$B:$B,$A10,Registro!$I:$I,$B10,Registro!$T:$T,"Sí")</x:f>
        <x:v>8</x:v>
      </x:c>
      <x:c r="K10" s="24" t="n">
        <x:f>IFERROR(J10/D10,0)</x:f>
        <x:v>0.8888888888888888</x:v>
      </x:c>
      <x:c r="L10" s="24" t="n">
        <x:f>SUMIFS(Registro!$O:$O,Registro!$B:$B,$A10,Registro!$I:$I,$B10)</x:f>
        <x:v>696</x:v>
      </x:c>
      <x:c r="M10" s="24" t="n">
        <x:f>SUMIFS(Registro!$P:$P,Registro!$B:$B,$A10,Registro!$I:$I,$B10)</x:f>
        <x:v>439</x:v>
      </x:c>
      <x:c r="N10" s="25" t="n">
        <x:f>IFERROR(M10/L10,0)</x:f>
        <x:v>0.6307471264367817</x:v>
      </x:c>
    </x:row>
    <x:row r="11">
      <x:c r="A11" s="23" t="n">
        <x:v>2023</x:v>
      </x:c>
      <x:c r="B11" s="24" t="str">
        <x:v>Ábrego</x:v>
      </x:c>
      <x:c r="C11" s="24" t="n">
        <x:f>COUNTIFS(Registro!$B:$B,$A11,Registro!$I:$I,$B11)</x:f>
        <x:v>12</x:v>
      </x:c>
      <x:c r="D11" s="24" t="n">
        <x:f>COUNTIFS(Registro!$B:$B,$A11,Registro!$I:$I,$B11,Registro!$X:$X,"Ejecutada")</x:f>
        <x:v>11</x:v>
      </x:c>
      <x:c r="E11" s="24" t="n">
        <x:f>COUNTIFS(Registro!$B:$B,$A11,Registro!$I:$I,$B11,Registro!$X:$X,"Reprogramada")</x:f>
        <x:v>0</x:v>
      </x:c>
      <x:c r="F11" s="24" t="n">
        <x:f>COUNTIFS(Registro!$B:$B,$A11,Registro!$I:$I,$B11,Registro!$X:$X,"Cancelada")</x:f>
        <x:v>1</x:v>
      </x:c>
      <x:c r="G11" s="24" t="n">
        <x:f>SUMIFS(Registro!$L:$L,Registro!$B:$B,$A11,Registro!$I:$I,$B11)</x:f>
        <x:v>20</x:v>
      </x:c>
      <x:c r="H11" s="24" t="n">
        <x:f>SUMIFS(Registro!$N:$N,Registro!$B:$B,$A11,Registro!$I:$I,$B11)</x:f>
        <x:v>17</x:v>
      </x:c>
      <x:c r="I11" s="24" t="n">
        <x:f>IFERROR(SUMIFS(Registro!$Q:$Q,Registro!$B:$B,$A11,Registro!$I:$I,$B11,Registro!$X:$X,"Ejecutada")/COUNTIFS(Registro!$B:$B,$A11,Registro!$I:$I,$B11,Registro!$X:$X,"Ejecutada"),0)</x:f>
        <x:v>0.8863636363636364</x:v>
      </x:c>
      <x:c r="J11" s="24" t="n">
        <x:f>COUNTIFS(Registro!$B:$B,$A11,Registro!$I:$I,$B11,Registro!$T:$T,"Sí")</x:f>
        <x:v>11</x:v>
      </x:c>
      <x:c r="K11" s="24" t="n">
        <x:f>IFERROR(J11/D11,0)</x:f>
        <x:v>1</x:v>
      </x:c>
      <x:c r="L11" s="24" t="n">
        <x:f>SUMIFS(Registro!$O:$O,Registro!$B:$B,$A11,Registro!$I:$I,$B11)</x:f>
        <x:v>288</x:v>
      </x:c>
      <x:c r="M11" s="24" t="n">
        <x:f>SUMIFS(Registro!$P:$P,Registro!$B:$B,$A11,Registro!$I:$I,$B11)</x:f>
        <x:v>234</x:v>
      </x:c>
      <x:c r="N11" s="25" t="n">
        <x:f>IFERROR(M11/L11,0)</x:f>
        <x:v>0.8125</x:v>
      </x:c>
    </x:row>
    <x:row r="12">
      <x:c r="A12" s="23" t="n">
        <x:v>2023</x:v>
      </x:c>
      <x:c r="B12" s="24" t="str">
        <x:v>Pamplona</x:v>
      </x:c>
      <x:c r="C12" s="24" t="n">
        <x:f>COUNTIFS(Registro!$B:$B,$A12,Registro!$I:$I,$B12)</x:f>
        <x:v>12</x:v>
      </x:c>
      <x:c r="D12" s="24" t="n">
        <x:f>COUNTIFS(Registro!$B:$B,$A12,Registro!$I:$I,$B12,Registro!$X:$X,"Ejecutada")</x:f>
        <x:v>10</x:v>
      </x:c>
      <x:c r="E12" s="24" t="n">
        <x:f>COUNTIFS(Registro!$B:$B,$A12,Registro!$I:$I,$B12,Registro!$X:$X,"Reprogramada")</x:f>
        <x:v>1</x:v>
      </x:c>
      <x:c r="F12" s="24" t="n">
        <x:f>COUNTIFS(Registro!$B:$B,$A12,Registro!$I:$I,$B12,Registro!$X:$X,"Cancelada")</x:f>
        <x:v>1</x:v>
      </x:c>
      <x:c r="G12" s="24" t="n">
        <x:f>SUMIFS(Registro!$L:$L,Registro!$B:$B,$A12,Registro!$I:$I,$B12)</x:f>
        <x:v>20</x:v>
      </x:c>
      <x:c r="H12" s="24" t="n">
        <x:f>SUMIFS(Registro!$N:$N,Registro!$B:$B,$A12,Registro!$I:$I,$B12)</x:f>
        <x:v>18.5</x:v>
      </x:c>
      <x:c r="I12" s="24" t="n">
        <x:f>IFERROR(SUMIFS(Registro!$Q:$Q,Registro!$B:$B,$A12,Registro!$I:$I,$B12,Registro!$X:$X,"Ejecutada")/COUNTIFS(Registro!$B:$B,$A12,Registro!$I:$I,$B12,Registro!$X:$X,"Ejecutada"),0)</x:f>
        <x:v>0.874074074074074</x:v>
      </x:c>
      <x:c r="J12" s="24" t="n">
        <x:f>COUNTIFS(Registro!$B:$B,$A12,Registro!$I:$I,$B12,Registro!$T:$T,"Sí")</x:f>
        <x:v>8</x:v>
      </x:c>
      <x:c r="K12" s="24" t="n">
        <x:f>IFERROR(J12/D12,0)</x:f>
        <x:v>0.8</x:v>
      </x:c>
      <x:c r="L12" s="24" t="n">
        <x:f>SUMIFS(Registro!$O:$O,Registro!$B:$B,$A12,Registro!$I:$I,$B12)</x:f>
        <x:v>324</x:v>
      </x:c>
      <x:c r="M12" s="24" t="n">
        <x:f>SUMIFS(Registro!$P:$P,Registro!$B:$B,$A12,Registro!$I:$I,$B12)</x:f>
        <x:v>236</x:v>
      </x:c>
      <x:c r="N12" s="25" t="n">
        <x:f>IFERROR(M12/L12,0)</x:f>
        <x:v>0.7283950617283951</x:v>
      </x:c>
    </x:row>
    <x:row r="13">
      <x:c r="A13" s="23" t="n">
        <x:v>2024</x:v>
      </x:c>
      <x:c r="B13" s="24" t="str">
        <x:v>Cúcuta</x:v>
      </x:c>
      <x:c r="C13" s="24" t="n">
        <x:f>COUNTIFS(Registro!$B:$B,$A13,Registro!$I:$I,$B13)</x:f>
        <x:v>12</x:v>
      </x:c>
      <x:c r="D13" s="24" t="n">
        <x:f>COUNTIFS(Registro!$B:$B,$A13,Registro!$I:$I,$B13,Registro!$X:$X,"Ejecutada")</x:f>
        <x:v>10</x:v>
      </x:c>
      <x:c r="E13" s="24" t="n">
        <x:f>COUNTIFS(Registro!$B:$B,$A13,Registro!$I:$I,$B13,Registro!$X:$X,"Reprogramada")</x:f>
        <x:v>1</x:v>
      </x:c>
      <x:c r="F13" s="24" t="n">
        <x:f>COUNTIFS(Registro!$B:$B,$A13,Registro!$I:$I,$B13,Registro!$X:$X,"Cancelada")</x:f>
        <x:v>1</x:v>
      </x:c>
      <x:c r="G13" s="24" t="n">
        <x:f>SUMIFS(Registro!$L:$L,Registro!$B:$B,$A13,Registro!$I:$I,$B13)</x:f>
        <x:v>23</x:v>
      </x:c>
      <x:c r="H13" s="24" t="n">
        <x:f>SUMIFS(Registro!$N:$N,Registro!$B:$B,$A13,Registro!$I:$I,$B13)</x:f>
        <x:v>20</x:v>
      </x:c>
      <x:c r="I13" s="24" t="n">
        <x:f>IFERROR(SUMIFS(Registro!$Q:$Q,Registro!$B:$B,$A13,Registro!$I:$I,$B13,Registro!$X:$X,"Ejecutada")/COUNTIFS(Registro!$B:$B,$A13,Registro!$I:$I,$B13,Registro!$X:$X,"Ejecutada"),0)</x:f>
        <x:v>0.8525000000000003</x:v>
      </x:c>
      <x:c r="J13" s="24" t="n">
        <x:f>COUNTIFS(Registro!$B:$B,$A13,Registro!$I:$I,$B13,Registro!$T:$T,"Sí")</x:f>
        <x:v>9</x:v>
      </x:c>
      <x:c r="K13" s="24" t="n">
        <x:f>IFERROR(J13/D13,0)</x:f>
        <x:v>0.9</x:v>
      </x:c>
      <x:c r="L13" s="24" t="n">
        <x:f>SUMIFS(Registro!$O:$O,Registro!$B:$B,$A13,Registro!$I:$I,$B13)</x:f>
        <x:v>960</x:v>
      </x:c>
      <x:c r="M13" s="24" t="n">
        <x:f>SUMIFS(Registro!$P:$P,Registro!$B:$B,$A13,Registro!$I:$I,$B13)</x:f>
        <x:v>682</x:v>
      </x:c>
      <x:c r="N13" s="25" t="n">
        <x:f>IFERROR(M13/L13,0)</x:f>
        <x:v>0.7104166666666667</x:v>
      </x:c>
    </x:row>
    <x:row r="14">
      <x:c r="A14" s="23" t="n">
        <x:v>2024</x:v>
      </x:c>
      <x:c r="B14" s="24" t="str">
        <x:v>Barrancabermeja</x:v>
      </x:c>
      <x:c r="C14" s="24" t="n">
        <x:f>COUNTIFS(Registro!$B:$B,$A14,Registro!$I:$I,$B14)</x:f>
        <x:v>12</x:v>
      </x:c>
      <x:c r="D14" s="24" t="n">
        <x:f>COUNTIFS(Registro!$B:$B,$A14,Registro!$I:$I,$B14,Registro!$X:$X,"Ejecutada")</x:f>
        <x:v>10</x:v>
      </x:c>
      <x:c r="E14" s="24" t="n">
        <x:f>COUNTIFS(Registro!$B:$B,$A14,Registro!$I:$I,$B14,Registro!$X:$X,"Reprogramada")</x:f>
        <x:v>1</x:v>
      </x:c>
      <x:c r="F14" s="24" t="n">
        <x:f>COUNTIFS(Registro!$B:$B,$A14,Registro!$I:$I,$B14,Registro!$X:$X,"Cancelada")</x:f>
        <x:v>1</x:v>
      </x:c>
      <x:c r="G14" s="24" t="n">
        <x:f>SUMIFS(Registro!$L:$L,Registro!$B:$B,$A14,Registro!$I:$I,$B14)</x:f>
        <x:v>23</x:v>
      </x:c>
      <x:c r="H14" s="24" t="n">
        <x:f>SUMIFS(Registro!$N:$N,Registro!$B:$B,$A14,Registro!$I:$I,$B14)</x:f>
        <x:v>19</x:v>
      </x:c>
      <x:c r="I14" s="24" t="n">
        <x:f>IFERROR(SUMIFS(Registro!$Q:$Q,Registro!$B:$B,$A14,Registro!$I:$I,$B14,Registro!$X:$X,"Ejecutada")/COUNTIFS(Registro!$B:$B,$A14,Registro!$I:$I,$B14,Registro!$X:$X,"Ejecutada"),0)</x:f>
        <x:v>0.85</x:v>
      </x:c>
      <x:c r="J14" s="24" t="n">
        <x:f>COUNTIFS(Registro!$B:$B,$A14,Registro!$I:$I,$B14,Registro!$T:$T,"Sí")</x:f>
        <x:v>8</x:v>
      </x:c>
      <x:c r="K14" s="24" t="n">
        <x:f>IFERROR(J14/D14,0)</x:f>
        <x:v>0.8</x:v>
      </x:c>
      <x:c r="L14" s="24" t="n">
        <x:f>SUMIFS(Registro!$O:$O,Registro!$B:$B,$A14,Registro!$I:$I,$B14)</x:f>
        <x:v>648</x:v>
      </x:c>
      <x:c r="M14" s="24" t="n">
        <x:f>SUMIFS(Registro!$P:$P,Registro!$B:$B,$A14,Registro!$I:$I,$B14)</x:f>
        <x:v>459</x:v>
      </x:c>
      <x:c r="N14" s="25" t="n">
        <x:f>IFERROR(M14/L14,0)</x:f>
        <x:v>0.7083333333333334</x:v>
      </x:c>
    </x:row>
    <x:row r="15">
      <x:c r="A15" s="23" t="n">
        <x:v>2024</x:v>
      </x:c>
      <x:c r="B15" s="24" t="str">
        <x:v>Ocaña</x:v>
      </x:c>
      <x:c r="C15" s="24" t="n">
        <x:f>COUNTIFS(Registro!$B:$B,$A15,Registro!$I:$I,$B15)</x:f>
        <x:v>12</x:v>
      </x:c>
      <x:c r="D15" s="24" t="n">
        <x:f>COUNTIFS(Registro!$B:$B,$A15,Registro!$I:$I,$B15,Registro!$X:$X,"Ejecutada")</x:f>
        <x:v>12</x:v>
      </x:c>
      <x:c r="E15" s="24" t="n">
        <x:f>COUNTIFS(Registro!$B:$B,$A15,Registro!$I:$I,$B15,Registro!$X:$X,"Reprogramada")</x:f>
        <x:v>0</x:v>
      </x:c>
      <x:c r="F15" s="24" t="n">
        <x:f>COUNTIFS(Registro!$B:$B,$A15,Registro!$I:$I,$B15,Registro!$X:$X,"Cancelada")</x:f>
        <x:v>0</x:v>
      </x:c>
      <x:c r="G15" s="24" t="n">
        <x:f>SUMIFS(Registro!$L:$L,Registro!$B:$B,$A15,Registro!$I:$I,$B15)</x:f>
        <x:v>23</x:v>
      </x:c>
      <x:c r="H15" s="24" t="n">
        <x:f>SUMIFS(Registro!$N:$N,Registro!$B:$B,$A15,Registro!$I:$I,$B15)</x:f>
        <x:v>23.5</x:v>
      </x:c>
      <x:c r="I15" s="24" t="n">
        <x:f>IFERROR(SUMIFS(Registro!$Q:$Q,Registro!$B:$B,$A15,Registro!$I:$I,$B15,Registro!$X:$X,"Ejecutada")/COUNTIFS(Registro!$B:$B,$A15,Registro!$I:$I,$B15,Registro!$X:$X,"Ejecutada"),0)</x:f>
        <x:v>0.8828828828828827</x:v>
      </x:c>
      <x:c r="J15" s="24" t="n">
        <x:f>COUNTIFS(Registro!$B:$B,$A15,Registro!$I:$I,$B15,Registro!$T:$T,"Sí")</x:f>
        <x:v>11</x:v>
      </x:c>
      <x:c r="K15" s="24" t="n">
        <x:f>IFERROR(J15/D15,0)</x:f>
        <x:v>0.9166666666666666</x:v>
      </x:c>
      <x:c r="L15" s="24" t="n">
        <x:f>SUMIFS(Registro!$O:$O,Registro!$B:$B,$A15,Registro!$I:$I,$B15)</x:f>
        <x:v>444</x:v>
      </x:c>
      <x:c r="M15" s="24" t="n">
        <x:f>SUMIFS(Registro!$P:$P,Registro!$B:$B,$A15,Registro!$I:$I,$B15)</x:f>
        <x:v>392</x:v>
      </x:c>
      <x:c r="N15" s="25" t="n">
        <x:f>IFERROR(M15/L15,0)</x:f>
        <x:v>0.8828828828828829</x:v>
      </x:c>
    </x:row>
    <x:row r="16">
      <x:c r="A16" s="23" t="n">
        <x:v>2024</x:v>
      </x:c>
      <x:c r="B16" s="24" t="str">
        <x:v>Girón</x:v>
      </x:c>
      <x:c r="C16" s="24" t="n">
        <x:f>COUNTIFS(Registro!$B:$B,$A16,Registro!$I:$I,$B16)</x:f>
        <x:v>12</x:v>
      </x:c>
      <x:c r="D16" s="24" t="n">
        <x:f>COUNTIFS(Registro!$B:$B,$A16,Registro!$I:$I,$B16,Registro!$X:$X,"Ejecutada")</x:f>
        <x:v>10</x:v>
      </x:c>
      <x:c r="E16" s="24" t="n">
        <x:f>COUNTIFS(Registro!$B:$B,$A16,Registro!$I:$I,$B16,Registro!$X:$X,"Reprogramada")</x:f>
        <x:v>2</x:v>
      </x:c>
      <x:c r="F16" s="24" t="n">
        <x:f>COUNTIFS(Registro!$B:$B,$A16,Registro!$I:$I,$B16,Registro!$X:$X,"Cancelada")</x:f>
        <x:v>0</x:v>
      </x:c>
      <x:c r="G16" s="24" t="n">
        <x:f>SUMIFS(Registro!$L:$L,Registro!$B:$B,$A16,Registro!$I:$I,$B16)</x:f>
        <x:v>23</x:v>
      </x:c>
      <x:c r="H16" s="24" t="n">
        <x:f>SUMIFS(Registro!$N:$N,Registro!$B:$B,$A16,Registro!$I:$I,$B16)</x:f>
        <x:v>19</x:v>
      </x:c>
      <x:c r="I16" s="24" t="n">
        <x:f>IFERROR(SUMIFS(Registro!$Q:$Q,Registro!$B:$B,$A16,Registro!$I:$I,$B16,Registro!$X:$X,"Ejecutada")/COUNTIFS(Registro!$B:$B,$A16,Registro!$I:$I,$B16,Registro!$X:$X,"Ejecutada"),0)</x:f>
        <x:v>0.869047619047619</x:v>
      </x:c>
      <x:c r="J16" s="24" t="n">
        <x:f>COUNTIFS(Registro!$B:$B,$A16,Registro!$I:$I,$B16,Registro!$T:$T,"Sí")</x:f>
        <x:v>9</x:v>
      </x:c>
      <x:c r="K16" s="24" t="n">
        <x:f>IFERROR(J16/D16,0)</x:f>
        <x:v>0.9</x:v>
      </x:c>
      <x:c r="L16" s="24" t="n">
        <x:f>SUMIFS(Registro!$O:$O,Registro!$B:$B,$A16,Registro!$I:$I,$B16)</x:f>
        <x:v>504</x:v>
      </x:c>
      <x:c r="M16" s="24" t="n">
        <x:f>SUMIFS(Registro!$P:$P,Registro!$B:$B,$A16,Registro!$I:$I,$B16)</x:f>
        <x:v>365</x:v>
      </x:c>
      <x:c r="N16" s="25" t="n">
        <x:f>IFERROR(M16/L16,0)</x:f>
        <x:v>0.7242063492063492</x:v>
      </x:c>
    </x:row>
    <x:row r="17">
      <x:c r="A17" s="23" t="n">
        <x:v>2024</x:v>
      </x:c>
      <x:c r="B17" s="24" t="str">
        <x:v>Valledupar</x:v>
      </x:c>
      <x:c r="C17" s="24" t="n">
        <x:f>COUNTIFS(Registro!$B:$B,$A17,Registro!$I:$I,$B17)</x:f>
        <x:v>12</x:v>
      </x:c>
      <x:c r="D17" s="24" t="n">
        <x:f>COUNTIFS(Registro!$B:$B,$A17,Registro!$I:$I,$B17,Registro!$X:$X,"Ejecutada")</x:f>
        <x:v>8</x:v>
      </x:c>
      <x:c r="E17" s="24" t="n">
        <x:f>COUNTIFS(Registro!$B:$B,$A17,Registro!$I:$I,$B17,Registro!$X:$X,"Reprogramada")</x:f>
        <x:v>1</x:v>
      </x:c>
      <x:c r="F17" s="24" t="n">
        <x:f>COUNTIFS(Registro!$B:$B,$A17,Registro!$I:$I,$B17,Registro!$X:$X,"Cancelada")</x:f>
        <x:v>3</x:v>
      </x:c>
      <x:c r="G17" s="24" t="n">
        <x:f>SUMIFS(Registro!$L:$L,Registro!$B:$B,$A17,Registro!$I:$I,$B17)</x:f>
        <x:v>23</x:v>
      </x:c>
      <x:c r="H17" s="24" t="n">
        <x:f>SUMIFS(Registro!$N:$N,Registro!$B:$B,$A17,Registro!$I:$I,$B17)</x:f>
        <x:v>16.5</x:v>
      </x:c>
      <x:c r="I17" s="24" t="n">
        <x:f>IFERROR(SUMIFS(Registro!$Q:$Q,Registro!$B:$B,$A17,Registro!$I:$I,$B17,Registro!$X:$X,"Ejecutada")/COUNTIFS(Registro!$B:$B,$A17,Registro!$I:$I,$B17,Registro!$X:$X,"Ejecutada"),0)</x:f>
        <x:v>0.8671875000000001</x:v>
      </x:c>
      <x:c r="J17" s="24" t="n">
        <x:f>COUNTIFS(Registro!$B:$B,$A17,Registro!$I:$I,$B17,Registro!$T:$T,"Sí")</x:f>
        <x:v>8</x:v>
      </x:c>
      <x:c r="K17" s="24" t="n">
        <x:f>IFERROR(J17/D17,0)</x:f>
        <x:v>1</x:v>
      </x:c>
      <x:c r="L17" s="24" t="n">
        <x:f>SUMIFS(Registro!$O:$O,Registro!$B:$B,$A17,Registro!$I:$I,$B17)</x:f>
        <x:v>576</x:v>
      </x:c>
      <x:c r="M17" s="24" t="n">
        <x:f>SUMIFS(Registro!$P:$P,Registro!$B:$B,$A17,Registro!$I:$I,$B17)</x:f>
        <x:v>333</x:v>
      </x:c>
      <x:c r="N17" s="25" t="n">
        <x:f>IFERROR(M17/L17,0)</x:f>
        <x:v>0.578125</x:v>
      </x:c>
    </x:row>
    <x:row r="18">
      <x:c r="A18" s="23" t="n">
        <x:v>2024</x:v>
      </x:c>
      <x:c r="B18" s="24" t="str">
        <x:v>Arauca</x:v>
      </x:c>
      <x:c r="C18" s="24" t="n">
        <x:f>COUNTIFS(Registro!$B:$B,$A18,Registro!$I:$I,$B18)</x:f>
        <x:v>12</x:v>
      </x:c>
      <x:c r="D18" s="24" t="n">
        <x:f>COUNTIFS(Registro!$B:$B,$A18,Registro!$I:$I,$B18,Registro!$X:$X,"Ejecutada")</x:f>
        <x:v>10</x:v>
      </x:c>
      <x:c r="E18" s="24" t="n">
        <x:f>COUNTIFS(Registro!$B:$B,$A18,Registro!$I:$I,$B18,Registro!$X:$X,"Reprogramada")</x:f>
        <x:v>2</x:v>
      </x:c>
      <x:c r="F18" s="24" t="n">
        <x:f>COUNTIFS(Registro!$B:$B,$A18,Registro!$I:$I,$B18,Registro!$X:$X,"Cancelada")</x:f>
        <x:v>0</x:v>
      </x:c>
      <x:c r="G18" s="24" t="n">
        <x:f>SUMIFS(Registro!$L:$L,Registro!$B:$B,$A18,Registro!$I:$I,$B18)</x:f>
        <x:v>23</x:v>
      </x:c>
      <x:c r="H18" s="24" t="n">
        <x:f>SUMIFS(Registro!$N:$N,Registro!$B:$B,$A18,Registro!$I:$I,$B18)</x:f>
        <x:v>18.5</x:v>
      </x:c>
      <x:c r="I18" s="24" t="n">
        <x:f>IFERROR(SUMIFS(Registro!$Q:$Q,Registro!$B:$B,$A18,Registro!$I:$I,$B18,Registro!$X:$X,"Ejecutada")/COUNTIFS(Registro!$B:$B,$A18,Registro!$I:$I,$B18,Registro!$X:$X,"Ejecutada"),0)</x:f>
        <x:v>0.9000000000000001</x:v>
      </x:c>
      <x:c r="J18" s="24" t="n">
        <x:f>COUNTIFS(Registro!$B:$B,$A18,Registro!$I:$I,$B18,Registro!$T:$T,"Sí")</x:f>
        <x:v>10</x:v>
      </x:c>
      <x:c r="K18" s="24" t="n">
        <x:f>IFERROR(J18/D18,0)</x:f>
        <x:v>1</x:v>
      </x:c>
      <x:c r="L18" s="24" t="n">
        <x:f>SUMIFS(Registro!$O:$O,Registro!$B:$B,$A18,Registro!$I:$I,$B18)</x:f>
        <x:v>360</x:v>
      </x:c>
      <x:c r="M18" s="24" t="n">
        <x:f>SUMIFS(Registro!$P:$P,Registro!$B:$B,$A18,Registro!$I:$I,$B18)</x:f>
        <x:v>270</x:v>
      </x:c>
      <x:c r="N18" s="25" t="n">
        <x:f>IFERROR(M18/L18,0)</x:f>
        <x:v>0.75</x:v>
      </x:c>
    </x:row>
    <x:row r="19">
      <x:c r="A19" s="23" t="n">
        <x:v>2024</x:v>
      </x:c>
      <x:c r="B19" s="24" t="str">
        <x:v>Bogotá</x:v>
      </x:c>
      <x:c r="C19" s="24" t="n">
        <x:f>COUNTIFS(Registro!$B:$B,$A19,Registro!$I:$I,$B19)</x:f>
        <x:v>12</x:v>
      </x:c>
      <x:c r="D19" s="24" t="n">
        <x:f>COUNTIFS(Registro!$B:$B,$A19,Registro!$I:$I,$B19,Registro!$X:$X,"Ejecutada")</x:f>
        <x:v>10</x:v>
      </x:c>
      <x:c r="E19" s="24" t="n">
        <x:f>COUNTIFS(Registro!$B:$B,$A19,Registro!$I:$I,$B19,Registro!$X:$X,"Reprogramada")</x:f>
        <x:v>1</x:v>
      </x:c>
      <x:c r="F19" s="24" t="n">
        <x:f>COUNTIFS(Registro!$B:$B,$A19,Registro!$I:$I,$B19,Registro!$X:$X,"Cancelada")</x:f>
        <x:v>1</x:v>
      </x:c>
      <x:c r="G19" s="24" t="n">
        <x:f>SUMIFS(Registro!$L:$L,Registro!$B:$B,$A19,Registro!$I:$I,$B19)</x:f>
        <x:v>23</x:v>
      </x:c>
      <x:c r="H19" s="24" t="n">
        <x:f>SUMIFS(Registro!$N:$N,Registro!$B:$B,$A19,Registro!$I:$I,$B19)</x:f>
        <x:v>22</x:v>
      </x:c>
      <x:c r="I19" s="24" t="n">
        <x:f>IFERROR(SUMIFS(Registro!$Q:$Q,Registro!$B:$B,$A19,Registro!$I:$I,$B19,Registro!$X:$X,"Ejecutada")/COUNTIFS(Registro!$B:$B,$A19,Registro!$I:$I,$B19,Registro!$X:$X,"Ejecutada"),0)</x:f>
        <x:v>0.8307692307692308</x:v>
      </x:c>
      <x:c r="J19" s="24" t="n">
        <x:f>COUNTIFS(Registro!$B:$B,$A19,Registro!$I:$I,$B19,Registro!$T:$T,"Sí")</x:f>
        <x:v>8</x:v>
      </x:c>
      <x:c r="K19" s="24" t="n">
        <x:f>IFERROR(J19/D19,0)</x:f>
        <x:v>0.8</x:v>
      </x:c>
      <x:c r="L19" s="24" t="n">
        <x:f>SUMIFS(Registro!$O:$O,Registro!$B:$B,$A19,Registro!$I:$I,$B19)</x:f>
        <x:v>780</x:v>
      </x:c>
      <x:c r="M19" s="24" t="n">
        <x:f>SUMIFS(Registro!$P:$P,Registro!$B:$B,$A19,Registro!$I:$I,$B19)</x:f>
        <x:v>540</x:v>
      </x:c>
      <x:c r="N19" s="25" t="n">
        <x:f>IFERROR(M19/L19,0)</x:f>
        <x:v>0.6923076923076923</x:v>
      </x:c>
    </x:row>
    <x:row r="20">
      <x:c r="A20" s="23" t="n">
        <x:v>2024</x:v>
      </x:c>
      <x:c r="B20" s="24" t="str">
        <x:v>Tibú</x:v>
      </x:c>
      <x:c r="C20" s="24" t="n">
        <x:f>COUNTIFS(Registro!$B:$B,$A20,Registro!$I:$I,$B20)</x:f>
        <x:v>12</x:v>
      </x:c>
      <x:c r="D20" s="24" t="n">
        <x:f>COUNTIFS(Registro!$B:$B,$A20,Registro!$I:$I,$B20,Registro!$X:$X,"Ejecutada")</x:f>
        <x:v>10</x:v>
      </x:c>
      <x:c r="E20" s="24" t="n">
        <x:f>COUNTIFS(Registro!$B:$B,$A20,Registro!$I:$I,$B20,Registro!$X:$X,"Reprogramada")</x:f>
        <x:v>1</x:v>
      </x:c>
      <x:c r="F20" s="24" t="n">
        <x:f>COUNTIFS(Registro!$B:$B,$A20,Registro!$I:$I,$B20,Registro!$X:$X,"Cancelada")</x:f>
        <x:v>1</x:v>
      </x:c>
      <x:c r="G20" s="24" t="n">
        <x:f>SUMIFS(Registro!$L:$L,Registro!$B:$B,$A20,Registro!$I:$I,$B20)</x:f>
        <x:v>23</x:v>
      </x:c>
      <x:c r="H20" s="24" t="n">
        <x:f>SUMIFS(Registro!$N:$N,Registro!$B:$B,$A20,Registro!$I:$I,$B20)</x:f>
        <x:v>19</x:v>
      </x:c>
      <x:c r="I20" s="24" t="n">
        <x:f>IFERROR(SUMIFS(Registro!$Q:$Q,Registro!$B:$B,$A20,Registro!$I:$I,$B20,Registro!$X:$X,"Ejecutada")/COUNTIFS(Registro!$B:$B,$A20,Registro!$I:$I,$B20,Registro!$X:$X,"Ejecutada"),0)</x:f>
        <x:v>0.8625</x:v>
      </x:c>
      <x:c r="J20" s="24" t="n">
        <x:f>COUNTIFS(Registro!$B:$B,$A20,Registro!$I:$I,$B20,Registro!$T:$T,"Sí")</x:f>
        <x:v>8</x:v>
      </x:c>
      <x:c r="K20" s="24" t="n">
        <x:f>IFERROR(J20/D20,0)</x:f>
        <x:v>0.8</x:v>
      </x:c>
      <x:c r="L20" s="24" t="n">
        <x:f>SUMIFS(Registro!$O:$O,Registro!$B:$B,$A20,Registro!$I:$I,$B20)</x:f>
        <x:v>384</x:v>
      </x:c>
      <x:c r="M20" s="24" t="n">
        <x:f>SUMIFS(Registro!$P:$P,Registro!$B:$B,$A20,Registro!$I:$I,$B20)</x:f>
        <x:v>276</x:v>
      </x:c>
      <x:c r="N20" s="25" t="n">
        <x:f>IFERROR(M20/L20,0)</x:f>
        <x:v>0.71875</x:v>
      </x:c>
    </x:row>
    <x:row r="21">
      <x:c r="A21" s="23" t="n">
        <x:v>2024</x:v>
      </x:c>
      <x:c r="B21" s="24" t="str">
        <x:v>Medellín</x:v>
      </x:c>
      <x:c r="C21" s="24" t="n">
        <x:f>COUNTIFS(Registro!$B:$B,$A21,Registro!$I:$I,$B21)</x:f>
        <x:v>12</x:v>
      </x:c>
      <x:c r="D21" s="24" t="n">
        <x:f>COUNTIFS(Registro!$B:$B,$A21,Registro!$I:$I,$B21,Registro!$X:$X,"Ejecutada")</x:f>
        <x:v>10</x:v>
      </x:c>
      <x:c r="E21" s="24" t="n">
        <x:f>COUNTIFS(Registro!$B:$B,$A21,Registro!$I:$I,$B21,Registro!$X:$X,"Reprogramada")</x:f>
        <x:v>0</x:v>
      </x:c>
      <x:c r="F21" s="24" t="n">
        <x:f>COUNTIFS(Registro!$B:$B,$A21,Registro!$I:$I,$B21,Registro!$X:$X,"Cancelada")</x:f>
        <x:v>2</x:v>
      </x:c>
      <x:c r="G21" s="24" t="n">
        <x:f>SUMIFS(Registro!$L:$L,Registro!$B:$B,$A21,Registro!$I:$I,$B21)</x:f>
        <x:v>23</x:v>
      </x:c>
      <x:c r="H21" s="24" t="n">
        <x:f>SUMIFS(Registro!$N:$N,Registro!$B:$B,$A21,Registro!$I:$I,$B21)</x:f>
        <x:v>18</x:v>
      </x:c>
      <x:c r="I21" s="24" t="n">
        <x:f>IFERROR(SUMIFS(Registro!$Q:$Q,Registro!$B:$B,$A21,Registro!$I:$I,$B21,Registro!$X:$X,"Ejecutada")/COUNTIFS(Registro!$B:$B,$A21,Registro!$I:$I,$B21,Registro!$X:$X,"Ejecutada"),0)</x:f>
        <x:v>0.8833333333333334</x:v>
      </x:c>
      <x:c r="J21" s="24" t="n">
        <x:f>COUNTIFS(Registro!$B:$B,$A21,Registro!$I:$I,$B21,Registro!$T:$T,"Sí")</x:f>
        <x:v>9</x:v>
      </x:c>
      <x:c r="K21" s="24" t="n">
        <x:f>IFERROR(J21/D21,0)</x:f>
        <x:v>0.9</x:v>
      </x:c>
      <x:c r="L21" s="24" t="n">
        <x:f>SUMIFS(Registro!$O:$O,Registro!$B:$B,$A21,Registro!$I:$I,$B21)</x:f>
        <x:v>720</x:v>
      </x:c>
      <x:c r="M21" s="24" t="n">
        <x:f>SUMIFS(Registro!$P:$P,Registro!$B:$B,$A21,Registro!$I:$I,$B21)</x:f>
        <x:v>530</x:v>
      </x:c>
      <x:c r="N21" s="25" t="n">
        <x:f>IFERROR(M21/L21,0)</x:f>
        <x:v>0.7361111111111112</x:v>
      </x:c>
    </x:row>
    <x:row r="22">
      <x:c r="A22" s="23" t="n">
        <x:v>2024</x:v>
      </x:c>
      <x:c r="B22" s="24" t="str">
        <x:v>Ábrego</x:v>
      </x:c>
      <x:c r="C22" s="24" t="n">
        <x:f>COUNTIFS(Registro!$B:$B,$A22,Registro!$I:$I,$B22)</x:f>
        <x:v>12</x:v>
      </x:c>
      <x:c r="D22" s="24" t="n">
        <x:f>COUNTIFS(Registro!$B:$B,$A22,Registro!$I:$I,$B22,Registro!$X:$X,"Ejecutada")</x:f>
        <x:v>10</x:v>
      </x:c>
      <x:c r="E22" s="24" t="n">
        <x:f>COUNTIFS(Registro!$B:$B,$A22,Registro!$I:$I,$B22,Registro!$X:$X,"Reprogramada")</x:f>
        <x:v>2</x:v>
      </x:c>
      <x:c r="F22" s="24" t="n">
        <x:f>COUNTIFS(Registro!$B:$B,$A22,Registro!$I:$I,$B22,Registro!$X:$X,"Cancelada")</x:f>
        <x:v>0</x:v>
      </x:c>
      <x:c r="G22" s="24" t="n">
        <x:f>SUMIFS(Registro!$L:$L,Registro!$B:$B,$A22,Registro!$I:$I,$B22)</x:f>
        <x:v>23</x:v>
      </x:c>
      <x:c r="H22" s="24" t="n">
        <x:f>SUMIFS(Registro!$N:$N,Registro!$B:$B,$A22,Registro!$I:$I,$B22)</x:f>
        <x:v>19.5</x:v>
      </x:c>
      <x:c r="I22" s="24" t="n">
        <x:f>IFERROR(SUMIFS(Registro!$Q:$Q,Registro!$B:$B,$A22,Registro!$I:$I,$B22,Registro!$X:$X,"Ejecutada")/COUNTIFS(Registro!$B:$B,$A22,Registro!$I:$I,$B22,Registro!$X:$X,"Ejecutada"),0)</x:f>
        <x:v>0.9040000000000001</x:v>
      </x:c>
      <x:c r="J22" s="24" t="n">
        <x:f>COUNTIFS(Registro!$B:$B,$A22,Registro!$I:$I,$B22,Registro!$T:$T,"Sí")</x:f>
        <x:v>10</x:v>
      </x:c>
      <x:c r="K22" s="24" t="n">
        <x:f>IFERROR(J22/D22,0)</x:f>
        <x:v>1</x:v>
      </x:c>
      <x:c r="L22" s="24" t="n">
        <x:f>SUMIFS(Registro!$O:$O,Registro!$B:$B,$A22,Registro!$I:$I,$B22)</x:f>
        <x:v>300</x:v>
      </x:c>
      <x:c r="M22" s="24" t="n">
        <x:f>SUMIFS(Registro!$P:$P,Registro!$B:$B,$A22,Registro!$I:$I,$B22)</x:f>
        <x:v>226</x:v>
      </x:c>
      <x:c r="N22" s="25" t="n">
        <x:f>IFERROR(M22/L22,0)</x:f>
        <x:v>0.7533333333333333</x:v>
      </x:c>
    </x:row>
    <x:row r="23">
      <x:c r="A23" s="23" t="n">
        <x:v>2024</x:v>
      </x:c>
      <x:c r="B23" s="24" t="str">
        <x:v>Pamplona</x:v>
      </x:c>
      <x:c r="C23" s="24" t="n">
        <x:f>COUNTIFS(Registro!$B:$B,$A23,Registro!$I:$I,$B23)</x:f>
        <x:v>12</x:v>
      </x:c>
      <x:c r="D23" s="24" t="n">
        <x:f>COUNTIFS(Registro!$B:$B,$A23,Registro!$I:$I,$B23,Registro!$X:$X,"Ejecutada")</x:f>
        <x:v>10</x:v>
      </x:c>
      <x:c r="E23" s="24" t="n">
        <x:f>COUNTIFS(Registro!$B:$B,$A23,Registro!$I:$I,$B23,Registro!$X:$X,"Reprogramada")</x:f>
        <x:v>2</x:v>
      </x:c>
      <x:c r="F23" s="24" t="n">
        <x:f>COUNTIFS(Registro!$B:$B,$A23,Registro!$I:$I,$B23,Registro!$X:$X,"Cancelada")</x:f>
        <x:v>0</x:v>
      </x:c>
      <x:c r="G23" s="24" t="n">
        <x:f>SUMIFS(Registro!$L:$L,Registro!$B:$B,$A23,Registro!$I:$I,$B23)</x:f>
        <x:v>23</x:v>
      </x:c>
      <x:c r="H23" s="24" t="n">
        <x:f>SUMIFS(Registro!$N:$N,Registro!$B:$B,$A23,Registro!$I:$I,$B23)</x:f>
        <x:v>19</x:v>
      </x:c>
      <x:c r="I23" s="24" t="n">
        <x:f>IFERROR(SUMIFS(Registro!$Q:$Q,Registro!$B:$B,$A23,Registro!$I:$I,$B23,Registro!$X:$X,"Ejecutada")/COUNTIFS(Registro!$B:$B,$A23,Registro!$I:$I,$B23,Registro!$X:$X,"Ejecutada"),0)</x:f>
        <x:v>0.8714285714285716</x:v>
      </x:c>
      <x:c r="J23" s="24" t="n">
        <x:f>COUNTIFS(Registro!$B:$B,$A23,Registro!$I:$I,$B23,Registro!$T:$T,"Sí")</x:f>
        <x:v>9</x:v>
      </x:c>
      <x:c r="K23" s="24" t="n">
        <x:f>IFERROR(J23/D23,0)</x:f>
        <x:v>0.9</x:v>
      </x:c>
      <x:c r="L23" s="24" t="n">
        <x:f>SUMIFS(Registro!$O:$O,Registro!$B:$B,$A23,Registro!$I:$I,$B23)</x:f>
        <x:v>336</x:v>
      </x:c>
      <x:c r="M23" s="24" t="n">
        <x:f>SUMIFS(Registro!$P:$P,Registro!$B:$B,$A23,Registro!$I:$I,$B23)</x:f>
        <x:v>244</x:v>
      </x:c>
      <x:c r="N23" s="25" t="n">
        <x:f>IFERROR(M23/L23,0)</x:f>
        <x:v>0.7261904761904762</x:v>
      </x:c>
    </x:row>
    <x:row r="24">
      <x:c r="A24" s="23" t="n">
        <x:v>2025</x:v>
      </x:c>
      <x:c r="B24" s="24" t="str">
        <x:v>Cúcuta</x:v>
      </x:c>
      <x:c r="C24" s="24" t="n">
        <x:f>COUNTIFS(Registro!$B:$B,$A24,Registro!$I:$I,$B24)</x:f>
        <x:v>12</x:v>
      </x:c>
      <x:c r="D24" s="24" t="n">
        <x:f>COUNTIFS(Registro!$B:$B,$A24,Registro!$I:$I,$B24,Registro!$X:$X,"Ejecutada")</x:f>
        <x:v>12</x:v>
      </x:c>
      <x:c r="E24" s="24" t="n">
        <x:f>COUNTIFS(Registro!$B:$B,$A24,Registro!$I:$I,$B24,Registro!$X:$X,"Reprogramada")</x:f>
        <x:v>0</x:v>
      </x:c>
      <x:c r="F24" s="24" t="n">
        <x:f>COUNTIFS(Registro!$B:$B,$A24,Registro!$I:$I,$B24,Registro!$X:$X,"Cancelada")</x:f>
        <x:v>0</x:v>
      </x:c>
      <x:c r="G24" s="24" t="n">
        <x:f>SUMIFS(Registro!$L:$L,Registro!$B:$B,$A24,Registro!$I:$I,$B24)</x:f>
        <x:v>21</x:v>
      </x:c>
      <x:c r="H24" s="24" t="n">
        <x:f>SUMIFS(Registro!$N:$N,Registro!$B:$B,$A24,Registro!$I:$I,$B24)</x:f>
        <x:v>21.5</x:v>
      </x:c>
      <x:c r="I24" s="24" t="n">
        <x:f>IFERROR(SUMIFS(Registro!$Q:$Q,Registro!$B:$B,$A24,Registro!$I:$I,$B24,Registro!$X:$X,"Ejecutada")/COUNTIFS(Registro!$B:$B,$A24,Registro!$I:$I,$B24,Registro!$X:$X,"Ejecutada"),0)</x:f>
        <x:v>0.894578313253012</x:v>
      </x:c>
      <x:c r="J24" s="24" t="n">
        <x:f>COUNTIFS(Registro!$B:$B,$A24,Registro!$I:$I,$B24,Registro!$T:$T,"Sí")</x:f>
        <x:v>11</x:v>
      </x:c>
      <x:c r="K24" s="24" t="n">
        <x:f>IFERROR(J24/D24,0)</x:f>
        <x:v>0.9166666666666666</x:v>
      </x:c>
      <x:c r="L24" s="24" t="n">
        <x:f>SUMIFS(Registro!$O:$O,Registro!$B:$B,$A24,Registro!$I:$I,$B24)</x:f>
        <x:v>996</x:v>
      </x:c>
      <x:c r="M24" s="24" t="n">
        <x:f>SUMIFS(Registro!$P:$P,Registro!$B:$B,$A24,Registro!$I:$I,$B24)</x:f>
        <x:v>891</x:v>
      </x:c>
      <x:c r="N24" s="25" t="n">
        <x:f>IFERROR(M24/L24,0)</x:f>
        <x:v>0.8945783132530121</x:v>
      </x:c>
    </x:row>
    <x:row r="25">
      <x:c r="A25" s="23" t="n">
        <x:v>2025</x:v>
      </x:c>
      <x:c r="B25" s="24" t="str">
        <x:v>Barrancabermeja</x:v>
      </x:c>
      <x:c r="C25" s="24" t="n">
        <x:f>COUNTIFS(Registro!$B:$B,$A25,Registro!$I:$I,$B25)</x:f>
        <x:v>12</x:v>
      </x:c>
      <x:c r="D25" s="24" t="n">
        <x:f>COUNTIFS(Registro!$B:$B,$A25,Registro!$I:$I,$B25,Registro!$X:$X,"Ejecutada")</x:f>
        <x:v>12</x:v>
      </x:c>
      <x:c r="E25" s="24" t="n">
        <x:f>COUNTIFS(Registro!$B:$B,$A25,Registro!$I:$I,$B25,Registro!$X:$X,"Reprogramada")</x:f>
        <x:v>0</x:v>
      </x:c>
      <x:c r="F25" s="24" t="n">
        <x:f>COUNTIFS(Registro!$B:$B,$A25,Registro!$I:$I,$B25,Registro!$X:$X,"Cancelada")</x:f>
        <x:v>0</x:v>
      </x:c>
      <x:c r="G25" s="24" t="n">
        <x:f>SUMIFS(Registro!$L:$L,Registro!$B:$B,$A25,Registro!$I:$I,$B25)</x:f>
        <x:v>21</x:v>
      </x:c>
      <x:c r="H25" s="24" t="n">
        <x:f>SUMIFS(Registro!$N:$N,Registro!$B:$B,$A25,Registro!$I:$I,$B25)</x:f>
        <x:v>20</x:v>
      </x:c>
      <x:c r="I25" s="24" t="n">
        <x:f>IFERROR(SUMIFS(Registro!$Q:$Q,Registro!$B:$B,$A25,Registro!$I:$I,$B25,Registro!$X:$X,"Ejecutada")/COUNTIFS(Registro!$B:$B,$A25,Registro!$I:$I,$B25,Registro!$X:$X,"Ejecutada"),0)</x:f>
        <x:v>0.8690476190476191</x:v>
      </x:c>
      <x:c r="J25" s="24" t="n">
        <x:f>COUNTIFS(Registro!$B:$B,$A25,Registro!$I:$I,$B25,Registro!$T:$T,"Sí")</x:f>
        <x:v>11</x:v>
      </x:c>
      <x:c r="K25" s="24" t="n">
        <x:f>IFERROR(J25/D25,0)</x:f>
        <x:v>0.9166666666666666</x:v>
      </x:c>
      <x:c r="L25" s="24" t="n">
        <x:f>SUMIFS(Registro!$O:$O,Registro!$B:$B,$A25,Registro!$I:$I,$B25)</x:f>
        <x:v>672</x:v>
      </x:c>
      <x:c r="M25" s="24" t="n">
        <x:f>SUMIFS(Registro!$P:$P,Registro!$B:$B,$A25,Registro!$I:$I,$B25)</x:f>
        <x:v>584</x:v>
      </x:c>
      <x:c r="N25" s="25" t="n">
        <x:f>IFERROR(M25/L25,0)</x:f>
        <x:v>0.8690476190476191</x:v>
      </x:c>
    </x:row>
    <x:row r="26">
      <x:c r="A26" s="23" t="n">
        <x:v>2025</x:v>
      </x:c>
      <x:c r="B26" s="24" t="str">
        <x:v>Ocaña</x:v>
      </x:c>
      <x:c r="C26" s="24" t="n">
        <x:f>COUNTIFS(Registro!$B:$B,$A26,Registro!$I:$I,$B26)</x:f>
        <x:v>12</x:v>
      </x:c>
      <x:c r="D26" s="24" t="n">
        <x:f>COUNTIFS(Registro!$B:$B,$A26,Registro!$I:$I,$B26,Registro!$X:$X,"Ejecutada")</x:f>
        <x:v>10</x:v>
      </x:c>
      <x:c r="E26" s="24" t="n">
        <x:f>COUNTIFS(Registro!$B:$B,$A26,Registro!$I:$I,$B26,Registro!$X:$X,"Reprogramada")</x:f>
        <x:v>0</x:v>
      </x:c>
      <x:c r="F26" s="24" t="n">
        <x:f>COUNTIFS(Registro!$B:$B,$A26,Registro!$I:$I,$B26,Registro!$X:$X,"Cancelada")</x:f>
        <x:v>2</x:v>
      </x:c>
      <x:c r="G26" s="24" t="n">
        <x:f>SUMIFS(Registro!$L:$L,Registro!$B:$B,$A26,Registro!$I:$I,$B26)</x:f>
        <x:v>21</x:v>
      </x:c>
      <x:c r="H26" s="24" t="n">
        <x:f>SUMIFS(Registro!$N:$N,Registro!$B:$B,$A26,Registro!$I:$I,$B26)</x:f>
        <x:v>17.5</x:v>
      </x:c>
      <x:c r="I26" s="24" t="n">
        <x:f>IFERROR(SUMIFS(Registro!$Q:$Q,Registro!$B:$B,$A26,Registro!$I:$I,$B26,Registro!$X:$X,"Ejecutada")/COUNTIFS(Registro!$B:$B,$A26,Registro!$I:$I,$B26,Registro!$X:$X,"Ejecutada"),0)</x:f>
        <x:v>0.8615384615384615</x:v>
      </x:c>
      <x:c r="J26" s="24" t="n">
        <x:f>COUNTIFS(Registro!$B:$B,$A26,Registro!$I:$I,$B26,Registro!$T:$T,"Sí")</x:f>
        <x:v>7</x:v>
      </x:c>
      <x:c r="K26" s="24" t="n">
        <x:f>IFERROR(J26/D26,0)</x:f>
        <x:v>0.7</x:v>
      </x:c>
      <x:c r="L26" s="24" t="n">
        <x:f>SUMIFS(Registro!$O:$O,Registro!$B:$B,$A26,Registro!$I:$I,$B26)</x:f>
        <x:v>468</x:v>
      </x:c>
      <x:c r="M26" s="24" t="n">
        <x:f>SUMIFS(Registro!$P:$P,Registro!$B:$B,$A26,Registro!$I:$I,$B26)</x:f>
        <x:v>336</x:v>
      </x:c>
      <x:c r="N26" s="25" t="n">
        <x:f>IFERROR(M26/L26,0)</x:f>
        <x:v>0.717948717948718</x:v>
      </x:c>
    </x:row>
    <x:row r="27">
      <x:c r="A27" s="23" t="n">
        <x:v>2025</x:v>
      </x:c>
      <x:c r="B27" s="24" t="str">
        <x:v>Girón</x:v>
      </x:c>
      <x:c r="C27" s="24" t="n">
        <x:f>COUNTIFS(Registro!$B:$B,$A27,Registro!$I:$I,$B27)</x:f>
        <x:v>12</x:v>
      </x:c>
      <x:c r="D27" s="24" t="n">
        <x:f>COUNTIFS(Registro!$B:$B,$A27,Registro!$I:$I,$B27,Registro!$X:$X,"Ejecutada")</x:f>
        <x:v>10</x:v>
      </x:c>
      <x:c r="E27" s="24" t="n">
        <x:f>COUNTIFS(Registro!$B:$B,$A27,Registro!$I:$I,$B27,Registro!$X:$X,"Reprogramada")</x:f>
        <x:v>1</x:v>
      </x:c>
      <x:c r="F27" s="24" t="n">
        <x:f>COUNTIFS(Registro!$B:$B,$A27,Registro!$I:$I,$B27,Registro!$X:$X,"Cancelada")</x:f>
        <x:v>1</x:v>
      </x:c>
      <x:c r="G27" s="24" t="n">
        <x:f>SUMIFS(Registro!$L:$L,Registro!$B:$B,$A27,Registro!$I:$I,$B27)</x:f>
        <x:v>21</x:v>
      </x:c>
      <x:c r="H27" s="24" t="n">
        <x:f>SUMIFS(Registro!$N:$N,Registro!$B:$B,$A27,Registro!$I:$I,$B27)</x:f>
        <x:v>18.5</x:v>
      </x:c>
      <x:c r="I27" s="24" t="n">
        <x:f>IFERROR(SUMIFS(Registro!$Q:$Q,Registro!$B:$B,$A27,Registro!$I:$I,$B27,Registro!$X:$X,"Ejecutada")/COUNTIFS(Registro!$B:$B,$A27,Registro!$I:$I,$B27,Registro!$X:$X,"Ejecutada"),0)</x:f>
        <x:v>0.9045454545454547</x:v>
      </x:c>
      <x:c r="J27" s="24" t="n">
        <x:f>COUNTIFS(Registro!$B:$B,$A27,Registro!$I:$I,$B27,Registro!$T:$T,"Sí")</x:f>
        <x:v>10</x:v>
      </x:c>
      <x:c r="K27" s="24" t="n">
        <x:f>IFERROR(J27/D27,0)</x:f>
        <x:v>1</x:v>
      </x:c>
      <x:c r="L27" s="24" t="n">
        <x:f>SUMIFS(Registro!$O:$O,Registro!$B:$B,$A27,Registro!$I:$I,$B27)</x:f>
        <x:v>528</x:v>
      </x:c>
      <x:c r="M27" s="24" t="n">
        <x:f>SUMIFS(Registro!$P:$P,Registro!$B:$B,$A27,Registro!$I:$I,$B27)</x:f>
        <x:v>398</x:v>
      </x:c>
      <x:c r="N27" s="25" t="n">
        <x:f>IFERROR(M27/L27,0)</x:f>
        <x:v>0.7537878787878788</x:v>
      </x:c>
    </x:row>
    <x:row r="28">
      <x:c r="A28" s="23" t="n">
        <x:v>2025</x:v>
      </x:c>
      <x:c r="B28" s="24" t="str">
        <x:v>Valledupar</x:v>
      </x:c>
      <x:c r="C28" s="24" t="n">
        <x:f>COUNTIFS(Registro!$B:$B,$A28,Registro!$I:$I,$B28)</x:f>
        <x:v>12</x:v>
      </x:c>
      <x:c r="D28" s="24" t="n">
        <x:f>COUNTIFS(Registro!$B:$B,$A28,Registro!$I:$I,$B28,Registro!$X:$X,"Ejecutada")</x:f>
        <x:v>10</x:v>
      </x:c>
      <x:c r="E28" s="24" t="n">
        <x:f>COUNTIFS(Registro!$B:$B,$A28,Registro!$I:$I,$B28,Registro!$X:$X,"Reprogramada")</x:f>
        <x:v>1</x:v>
      </x:c>
      <x:c r="F28" s="24" t="n">
        <x:f>COUNTIFS(Registro!$B:$B,$A28,Registro!$I:$I,$B28,Registro!$X:$X,"Cancelada")</x:f>
        <x:v>1</x:v>
      </x:c>
      <x:c r="G28" s="24" t="n">
        <x:f>SUMIFS(Registro!$L:$L,Registro!$B:$B,$A28,Registro!$I:$I,$B28)</x:f>
        <x:v>21</x:v>
      </x:c>
      <x:c r="H28" s="24" t="n">
        <x:f>SUMIFS(Registro!$N:$N,Registro!$B:$B,$A28,Registro!$I:$I,$B28)</x:f>
        <x:v>16.5</x:v>
      </x:c>
      <x:c r="I28" s="24" t="n">
        <x:f>IFERROR(SUMIFS(Registro!$Q:$Q,Registro!$B:$B,$A28,Registro!$I:$I,$B28,Registro!$X:$X,"Ejecutada")/COUNTIFS(Registro!$B:$B,$A28,Registro!$I:$I,$B28,Registro!$X:$X,"Ejecutada"),0)</x:f>
        <x:v>0.876</x:v>
      </x:c>
      <x:c r="J28" s="24" t="n">
        <x:f>COUNTIFS(Registro!$B:$B,$A28,Registro!$I:$I,$B28,Registro!$T:$T,"Sí")</x:f>
        <x:v>10</x:v>
      </x:c>
      <x:c r="K28" s="24" t="n">
        <x:f>IFERROR(J28/D28,0)</x:f>
        <x:v>1</x:v>
      </x:c>
      <x:c r="L28" s="24" t="n">
        <x:f>SUMIFS(Registro!$O:$O,Registro!$B:$B,$A28,Registro!$I:$I,$B28)</x:f>
        <x:v>600</x:v>
      </x:c>
      <x:c r="M28" s="24" t="n">
        <x:f>SUMIFS(Registro!$P:$P,Registro!$B:$B,$A28,Registro!$I:$I,$B28)</x:f>
        <x:v>438</x:v>
      </x:c>
      <x:c r="N28" s="25" t="n">
        <x:f>IFERROR(M28/L28,0)</x:f>
        <x:v>0.73</x:v>
      </x:c>
    </x:row>
    <x:row r="29">
      <x:c r="A29" s="23" t="n">
        <x:v>2025</x:v>
      </x:c>
      <x:c r="B29" s="24" t="str">
        <x:v>Arauca</x:v>
      </x:c>
      <x:c r="C29" s="24" t="n">
        <x:f>COUNTIFS(Registro!$B:$B,$A29,Registro!$I:$I,$B29)</x:f>
        <x:v>12</x:v>
      </x:c>
      <x:c r="D29" s="24" t="n">
        <x:f>COUNTIFS(Registro!$B:$B,$A29,Registro!$I:$I,$B29,Registro!$X:$X,"Ejecutada")</x:f>
        <x:v>12</x:v>
      </x:c>
      <x:c r="E29" s="24" t="n">
        <x:f>COUNTIFS(Registro!$B:$B,$A29,Registro!$I:$I,$B29,Registro!$X:$X,"Reprogramada")</x:f>
        <x:v>0</x:v>
      </x:c>
      <x:c r="F29" s="24" t="n">
        <x:f>COUNTIFS(Registro!$B:$B,$A29,Registro!$I:$I,$B29,Registro!$X:$X,"Cancelada")</x:f>
        <x:v>0</x:v>
      </x:c>
      <x:c r="G29" s="24" t="n">
        <x:f>SUMIFS(Registro!$L:$L,Registro!$B:$B,$A29,Registro!$I:$I,$B29)</x:f>
        <x:v>21</x:v>
      </x:c>
      <x:c r="H29" s="24" t="n">
        <x:f>SUMIFS(Registro!$N:$N,Registro!$B:$B,$A29,Registro!$I:$I,$B29)</x:f>
        <x:v>20.5</x:v>
      </x:c>
      <x:c r="I29" s="24" t="n">
        <x:f>IFERROR(SUMIFS(Registro!$Q:$Q,Registro!$B:$B,$A29,Registro!$I:$I,$B29,Registro!$X:$X,"Ejecutada")/COUNTIFS(Registro!$B:$B,$A29,Registro!$I:$I,$B29,Registro!$X:$X,"Ejecutada"),0)</x:f>
        <x:v>0.85752688172043</x:v>
      </x:c>
      <x:c r="J29" s="24" t="n">
        <x:f>COUNTIFS(Registro!$B:$B,$A29,Registro!$I:$I,$B29,Registro!$T:$T,"Sí")</x:f>
        <x:v>11</x:v>
      </x:c>
      <x:c r="K29" s="24" t="n">
        <x:f>IFERROR(J29/D29,0)</x:f>
        <x:v>0.9166666666666666</x:v>
      </x:c>
      <x:c r="L29" s="24" t="n">
        <x:f>SUMIFS(Registro!$O:$O,Registro!$B:$B,$A29,Registro!$I:$I,$B29)</x:f>
        <x:v>372</x:v>
      </x:c>
      <x:c r="M29" s="24" t="n">
        <x:f>SUMIFS(Registro!$P:$P,Registro!$B:$B,$A29,Registro!$I:$I,$B29)</x:f>
        <x:v>319</x:v>
      </x:c>
      <x:c r="N29" s="25" t="n">
        <x:f>IFERROR(M29/L29,0)</x:f>
        <x:v>0.8575268817204301</x:v>
      </x:c>
    </x:row>
    <x:row r="30">
      <x:c r="A30" s="23" t="n">
        <x:v>2025</x:v>
      </x:c>
      <x:c r="B30" s="24" t="str">
        <x:v>Bogotá</x:v>
      </x:c>
      <x:c r="C30" s="24" t="n">
        <x:f>COUNTIFS(Registro!$B:$B,$A30,Registro!$I:$I,$B30)</x:f>
        <x:v>12</x:v>
      </x:c>
      <x:c r="D30" s="24" t="n">
        <x:f>COUNTIFS(Registro!$B:$B,$A30,Registro!$I:$I,$B30,Registro!$X:$X,"Ejecutada")</x:f>
        <x:v>9</x:v>
      </x:c>
      <x:c r="E30" s="24" t="n">
        <x:f>COUNTIFS(Registro!$B:$B,$A30,Registro!$I:$I,$B30,Registro!$X:$X,"Reprogramada")</x:f>
        <x:v>2</x:v>
      </x:c>
      <x:c r="F30" s="24" t="n">
        <x:f>COUNTIFS(Registro!$B:$B,$A30,Registro!$I:$I,$B30,Registro!$X:$X,"Cancelada")</x:f>
        <x:v>1</x:v>
      </x:c>
      <x:c r="G30" s="24" t="n">
        <x:f>SUMIFS(Registro!$L:$L,Registro!$B:$B,$A30,Registro!$I:$I,$B30)</x:f>
        <x:v>21</x:v>
      </x:c>
      <x:c r="H30" s="24" t="n">
        <x:f>SUMIFS(Registro!$N:$N,Registro!$B:$B,$A30,Registro!$I:$I,$B30)</x:f>
        <x:v>13</x:v>
      </x:c>
      <x:c r="I30" s="24" t="n">
        <x:f>IFERROR(SUMIFS(Registro!$Q:$Q,Registro!$B:$B,$A30,Registro!$I:$I,$B30,Registro!$X:$X,"Ejecutada")/COUNTIFS(Registro!$B:$B,$A30,Registro!$I:$I,$B30,Registro!$X:$X,"Ejecutada"),0)</x:f>
        <x:v>0.835820895522388</x:v>
      </x:c>
      <x:c r="J30" s="24" t="n">
        <x:f>COUNTIFS(Registro!$B:$B,$A30,Registro!$I:$I,$B30,Registro!$T:$T,"Sí")</x:f>
        <x:v>7</x:v>
      </x:c>
      <x:c r="K30" s="24" t="n">
        <x:f>IFERROR(J30/D30,0)</x:f>
        <x:v>0.7777777777777778</x:v>
      </x:c>
      <x:c r="L30" s="24" t="n">
        <x:f>SUMIFS(Registro!$O:$O,Registro!$B:$B,$A30,Registro!$I:$I,$B30)</x:f>
        <x:v>804</x:v>
      </x:c>
      <x:c r="M30" s="24" t="n">
        <x:f>SUMIFS(Registro!$P:$P,Registro!$B:$B,$A30,Registro!$I:$I,$B30)</x:f>
        <x:v>504</x:v>
      </x:c>
      <x:c r="N30" s="25" t="n">
        <x:f>IFERROR(M30/L30,0)</x:f>
        <x:v>0.6268656716417911</x:v>
      </x:c>
    </x:row>
    <x:row r="31">
      <x:c r="A31" s="23" t="n">
        <x:v>2025</x:v>
      </x:c>
      <x:c r="B31" s="24" t="str">
        <x:v>Tibú</x:v>
      </x:c>
      <x:c r="C31" s="24" t="n">
        <x:f>COUNTIFS(Registro!$B:$B,$A31,Registro!$I:$I,$B31)</x:f>
        <x:v>12</x:v>
      </x:c>
      <x:c r="D31" s="24" t="n">
        <x:f>COUNTIFS(Registro!$B:$B,$A31,Registro!$I:$I,$B31,Registro!$X:$X,"Ejecutada")</x:f>
        <x:v>9</x:v>
      </x:c>
      <x:c r="E31" s="24" t="n">
        <x:f>COUNTIFS(Registro!$B:$B,$A31,Registro!$I:$I,$B31,Registro!$X:$X,"Reprogramada")</x:f>
        <x:v>0</x:v>
      </x:c>
      <x:c r="F31" s="24" t="n">
        <x:f>COUNTIFS(Registro!$B:$B,$A31,Registro!$I:$I,$B31,Registro!$X:$X,"Cancelada")</x:f>
        <x:v>3</x:v>
      </x:c>
      <x:c r="G31" s="24" t="n">
        <x:f>SUMIFS(Registro!$L:$L,Registro!$B:$B,$A31,Registro!$I:$I,$B31)</x:f>
        <x:v>21</x:v>
      </x:c>
      <x:c r="H31" s="24" t="n">
        <x:f>SUMIFS(Registro!$N:$N,Registro!$B:$B,$A31,Registro!$I:$I,$B31)</x:f>
        <x:v>17</x:v>
      </x:c>
      <x:c r="I31" s="24" t="n">
        <x:f>IFERROR(SUMIFS(Registro!$Q:$Q,Registro!$B:$B,$A31,Registro!$I:$I,$B31,Registro!$X:$X,"Ejecutada")/COUNTIFS(Registro!$B:$B,$A31,Registro!$I:$I,$B31,Registro!$X:$X,"Ejecutada"),0)</x:f>
        <x:v>0.8383838383838385</x:v>
      </x:c>
      <x:c r="J31" s="24" t="n">
        <x:f>COUNTIFS(Registro!$B:$B,$A31,Registro!$I:$I,$B31,Registro!$T:$T,"Sí")</x:f>
        <x:v>5</x:v>
      </x:c>
      <x:c r="K31" s="24" t="n">
        <x:f>IFERROR(J31/D31,0)</x:f>
        <x:v>0.5555555555555556</x:v>
      </x:c>
      <x:c r="L31" s="24" t="n">
        <x:f>SUMIFS(Registro!$O:$O,Registro!$B:$B,$A31,Registro!$I:$I,$B31)</x:f>
        <x:v>396</x:v>
      </x:c>
      <x:c r="M31" s="24" t="n">
        <x:f>SUMIFS(Registro!$P:$P,Registro!$B:$B,$A31,Registro!$I:$I,$B31)</x:f>
        <x:v>249</x:v>
      </x:c>
      <x:c r="N31" s="25" t="n">
        <x:f>IFERROR(M31/L31,0)</x:f>
        <x:v>0.6287878787878788</x:v>
      </x:c>
    </x:row>
    <x:row r="32">
      <x:c r="A32" s="23" t="n">
        <x:v>2025</x:v>
      </x:c>
      <x:c r="B32" s="24" t="str">
        <x:v>Medellín</x:v>
      </x:c>
      <x:c r="C32" s="24" t="n">
        <x:f>COUNTIFS(Registro!$B:$B,$A32,Registro!$I:$I,$B32)</x:f>
        <x:v>12</x:v>
      </x:c>
      <x:c r="D32" s="24" t="n">
        <x:f>COUNTIFS(Registro!$B:$B,$A32,Registro!$I:$I,$B32,Registro!$X:$X,"Ejecutada")</x:f>
        <x:v>12</x:v>
      </x:c>
      <x:c r="E32" s="24" t="n">
        <x:f>COUNTIFS(Registro!$B:$B,$A32,Registro!$I:$I,$B32,Registro!$X:$X,"Reprogramada")</x:f>
        <x:v>0</x:v>
      </x:c>
      <x:c r="F32" s="24" t="n">
        <x:f>COUNTIFS(Registro!$B:$B,$A32,Registro!$I:$I,$B32,Registro!$X:$X,"Cancelada")</x:f>
        <x:v>0</x:v>
      </x:c>
      <x:c r="G32" s="24" t="n">
        <x:f>SUMIFS(Registro!$L:$L,Registro!$B:$B,$A32,Registro!$I:$I,$B32)</x:f>
        <x:v>21</x:v>
      </x:c>
      <x:c r="H32" s="24" t="n">
        <x:f>SUMIFS(Registro!$N:$N,Registro!$B:$B,$A32,Registro!$I:$I,$B32)</x:f>
        <x:v>22</x:v>
      </x:c>
      <x:c r="I32" s="24" t="n">
        <x:f>IFERROR(SUMIFS(Registro!$Q:$Q,Registro!$B:$B,$A32,Registro!$I:$I,$B32,Registro!$X:$X,"Ejecutada")/COUNTIFS(Registro!$B:$B,$A32,Registro!$I:$I,$B32,Registro!$X:$X,"Ejecutada"),0)</x:f>
        <x:v>0.842741935483871</x:v>
      </x:c>
      <x:c r="J32" s="24" t="n">
        <x:f>COUNTIFS(Registro!$B:$B,$A32,Registro!$I:$I,$B32,Registro!$T:$T,"Sí")</x:f>
        <x:v>9</x:v>
      </x:c>
      <x:c r="K32" s="24" t="n">
        <x:f>IFERROR(J32/D32,0)</x:f>
        <x:v>0.75</x:v>
      </x:c>
      <x:c r="L32" s="24" t="n">
        <x:f>SUMIFS(Registro!$O:$O,Registro!$B:$B,$A32,Registro!$I:$I,$B32)</x:f>
        <x:v>744</x:v>
      </x:c>
      <x:c r="M32" s="24" t="n">
        <x:f>SUMIFS(Registro!$P:$P,Registro!$B:$B,$A32,Registro!$I:$I,$B32)</x:f>
        <x:v>627</x:v>
      </x:c>
      <x:c r="N32" s="25" t="n">
        <x:f>IFERROR(M32/L32,0)</x:f>
        <x:v>0.842741935483871</x:v>
      </x:c>
    </x:row>
    <x:row r="33">
      <x:c r="A33" s="23" t="n">
        <x:v>2025</x:v>
      </x:c>
      <x:c r="B33" s="24" t="str">
        <x:v>Ábrego</x:v>
      </x:c>
      <x:c r="C33" s="24" t="n">
        <x:f>COUNTIFS(Registro!$B:$B,$A33,Registro!$I:$I,$B33)</x:f>
        <x:v>12</x:v>
      </x:c>
      <x:c r="D33" s="24" t="n">
        <x:f>COUNTIFS(Registro!$B:$B,$A33,Registro!$I:$I,$B33,Registro!$X:$X,"Ejecutada")</x:f>
        <x:v>10</x:v>
      </x:c>
      <x:c r="E33" s="24" t="n">
        <x:f>COUNTIFS(Registro!$B:$B,$A33,Registro!$I:$I,$B33,Registro!$X:$X,"Reprogramada")</x:f>
        <x:v>2</x:v>
      </x:c>
      <x:c r="F33" s="24" t="n">
        <x:f>COUNTIFS(Registro!$B:$B,$A33,Registro!$I:$I,$B33,Registro!$X:$X,"Cancelada")</x:f>
        <x:v>0</x:v>
      </x:c>
      <x:c r="G33" s="24" t="n">
        <x:f>SUMIFS(Registro!$L:$L,Registro!$B:$B,$A33,Registro!$I:$I,$B33)</x:f>
        <x:v>21</x:v>
      </x:c>
      <x:c r="H33" s="24" t="n">
        <x:f>SUMIFS(Registro!$N:$N,Registro!$B:$B,$A33,Registro!$I:$I,$B33)</x:f>
        <x:v>18</x:v>
      </x:c>
      <x:c r="I33" s="24" t="n">
        <x:f>IFERROR(SUMIFS(Registro!$Q:$Q,Registro!$B:$B,$A33,Registro!$I:$I,$B33,Registro!$X:$X,"Ejecutada")/COUNTIFS(Registro!$B:$B,$A33,Registro!$I:$I,$B33,Registro!$X:$X,"Ejecutada"),0)</x:f>
        <x:v>0.8692307692307691</x:v>
      </x:c>
      <x:c r="J33" s="24" t="n">
        <x:f>COUNTIFS(Registro!$B:$B,$A33,Registro!$I:$I,$B33,Registro!$T:$T,"Sí")</x:f>
        <x:v>9</x:v>
      </x:c>
      <x:c r="K33" s="24" t="n">
        <x:f>IFERROR(J33/D33,0)</x:f>
        <x:v>0.9</x:v>
      </x:c>
      <x:c r="L33" s="24" t="n">
        <x:f>SUMIFS(Registro!$O:$O,Registro!$B:$B,$A33,Registro!$I:$I,$B33)</x:f>
        <x:v>312</x:v>
      </x:c>
      <x:c r="M33" s="24" t="n">
        <x:f>SUMIFS(Registro!$P:$P,Registro!$B:$B,$A33,Registro!$I:$I,$B33)</x:f>
        <x:v>226</x:v>
      </x:c>
      <x:c r="N33" s="25" t="n">
        <x:f>IFERROR(M33/L33,0)</x:f>
        <x:v>0.7243589743589743</x:v>
      </x:c>
    </x:row>
    <x:row r="34">
      <x:c r="A34" s="23" t="n">
        <x:v>2025</x:v>
      </x:c>
      <x:c r="B34" s="24" t="str">
        <x:v>Pamplona</x:v>
      </x:c>
      <x:c r="C34" s="24" t="n">
        <x:f>COUNTIFS(Registro!$B:$B,$A34,Registro!$I:$I,$B34)</x:f>
        <x:v>12</x:v>
      </x:c>
      <x:c r="D34" s="24" t="n">
        <x:f>COUNTIFS(Registro!$B:$B,$A34,Registro!$I:$I,$B34,Registro!$X:$X,"Ejecutada")</x:f>
        <x:v>9</x:v>
      </x:c>
      <x:c r="E34" s="24" t="n">
        <x:f>COUNTIFS(Registro!$B:$B,$A34,Registro!$I:$I,$B34,Registro!$X:$X,"Reprogramada")</x:f>
        <x:v>1</x:v>
      </x:c>
      <x:c r="F34" s="24" t="n">
        <x:f>COUNTIFS(Registro!$B:$B,$A34,Registro!$I:$I,$B34,Registro!$X:$X,"Cancelada")</x:f>
        <x:v>2</x:v>
      </x:c>
      <x:c r="G34" s="24" t="n">
        <x:f>SUMIFS(Registro!$L:$L,Registro!$B:$B,$A34,Registro!$I:$I,$B34)</x:f>
        <x:v>21</x:v>
      </x:c>
      <x:c r="H34" s="24" t="n">
        <x:f>SUMIFS(Registro!$N:$N,Registro!$B:$B,$A34,Registro!$I:$I,$B34)</x:f>
        <x:v>16</x:v>
      </x:c>
      <x:c r="I34" s="24" t="n">
        <x:f>IFERROR(SUMIFS(Registro!$Q:$Q,Registro!$B:$B,$A34,Registro!$I:$I,$B34,Registro!$X:$X,"Ejecutada")/COUNTIFS(Registro!$B:$B,$A34,Registro!$I:$I,$B34,Registro!$X:$X,"Ejecutada"),0)</x:f>
        <x:v>0.8697318007662835</x:v>
      </x:c>
      <x:c r="J34" s="24" t="n">
        <x:f>COUNTIFS(Registro!$B:$B,$A34,Registro!$I:$I,$B34,Registro!$T:$T,"Sí")</x:f>
        <x:v>6</x:v>
      </x:c>
      <x:c r="K34" s="24" t="n">
        <x:f>IFERROR(J34/D34,0)</x:f>
        <x:v>0.6666666666666666</x:v>
      </x:c>
      <x:c r="L34" s="24" t="n">
        <x:f>SUMIFS(Registro!$O:$O,Registro!$B:$B,$A34,Registro!$I:$I,$B34)</x:f>
        <x:v>348</x:v>
      </x:c>
      <x:c r="M34" s="24" t="n">
        <x:f>SUMIFS(Registro!$P:$P,Registro!$B:$B,$A34,Registro!$I:$I,$B34)</x:f>
        <x:v>227</x:v>
      </x:c>
      <x:c r="N34" s="25" t="n">
        <x:f>IFERROR(M34/L34,0)</x:f>
        <x:v>0.6522988505747126</x:v>
      </x:c>
    </x:row>
    <x:row r="35">
      <x:c r="A35" s="23" t="n">
        <x:v>2026</x:v>
      </x:c>
      <x:c r="B35" s="24" t="str">
        <x:v>Cúcuta</x:v>
      </x:c>
      <x:c r="C35" s="24" t="n">
        <x:f>COUNTIFS(Registro!$B:$B,$A35,Registro!$I:$I,$B35)</x:f>
        <x:v>5</x:v>
      </x:c>
      <x:c r="D35" s="24" t="n">
        <x:f>COUNTIFS(Registro!$B:$B,$A35,Registro!$I:$I,$B35,Registro!$X:$X,"Ejecutada")</x:f>
        <x:v>5</x:v>
      </x:c>
      <x:c r="E35" s="24" t="n">
        <x:f>COUNTIFS(Registro!$B:$B,$A35,Registro!$I:$I,$B35,Registro!$X:$X,"Reprogramada")</x:f>
        <x:v>0</x:v>
      </x:c>
      <x:c r="F35" s="24" t="n">
        <x:f>COUNTIFS(Registro!$B:$B,$A35,Registro!$I:$I,$B35,Registro!$X:$X,"Cancelada")</x:f>
        <x:v>0</x:v>
      </x:c>
      <x:c r="G35" s="24" t="n">
        <x:f>SUMIFS(Registro!$L:$L,Registro!$B:$B,$A35,Registro!$I:$I,$B35)</x:f>
        <x:v>10</x:v>
      </x:c>
      <x:c r="H35" s="24" t="n">
        <x:f>SUMIFS(Registro!$N:$N,Registro!$B:$B,$A35,Registro!$I:$I,$B35)</x:f>
        <x:v>10</x:v>
      </x:c>
      <x:c r="I35" s="24" t="n">
        <x:f>IFERROR(SUMIFS(Registro!$Q:$Q,Registro!$B:$B,$A35,Registro!$I:$I,$B35,Registro!$X:$X,"Ejecutada")/COUNTIFS(Registro!$B:$B,$A35,Registro!$I:$I,$B35,Registro!$X:$X,"Ejecutada"),0)</x:f>
        <x:v>0.8117647058823529</x:v>
      </x:c>
      <x:c r="J35" s="24" t="n">
        <x:f>COUNTIFS(Registro!$B:$B,$A35,Registro!$I:$I,$B35,Registro!$T:$T,"Sí")</x:f>
        <x:v>3</x:v>
      </x:c>
      <x:c r="K35" s="24" t="n">
        <x:f>IFERROR(J35/D35,0)</x:f>
        <x:v>0.6</x:v>
      </x:c>
      <x:c r="L35" s="24" t="n">
        <x:f>SUMIFS(Registro!$O:$O,Registro!$B:$B,$A35,Registro!$I:$I,$B35)</x:f>
        <x:v>425</x:v>
      </x:c>
      <x:c r="M35" s="24" t="n">
        <x:f>SUMIFS(Registro!$P:$P,Registro!$B:$B,$A35,Registro!$I:$I,$B35)</x:f>
        <x:v>345</x:v>
      </x:c>
      <x:c r="N35" s="25" t="n">
        <x:f>IFERROR(M35/L35,0)</x:f>
        <x:v>0.8117647058823529</x:v>
      </x:c>
    </x:row>
    <x:row r="36">
      <x:c r="A36" s="23" t="n">
        <x:v>2026</x:v>
      </x:c>
      <x:c r="B36" s="24" t="str">
        <x:v>Barrancabermeja</x:v>
      </x:c>
      <x:c r="C36" s="24" t="n">
        <x:f>COUNTIFS(Registro!$B:$B,$A36,Registro!$I:$I,$B36)</x:f>
        <x:v>5</x:v>
      </x:c>
      <x:c r="D36" s="24" t="n">
        <x:f>COUNTIFS(Registro!$B:$B,$A36,Registro!$I:$I,$B36,Registro!$X:$X,"Ejecutada")</x:f>
        <x:v>5</x:v>
      </x:c>
      <x:c r="E36" s="24" t="n">
        <x:f>COUNTIFS(Registro!$B:$B,$A36,Registro!$I:$I,$B36,Registro!$X:$X,"Reprogramada")</x:f>
        <x:v>0</x:v>
      </x:c>
      <x:c r="F36" s="24" t="n">
        <x:f>COUNTIFS(Registro!$B:$B,$A36,Registro!$I:$I,$B36,Registro!$X:$X,"Cancelada")</x:f>
        <x:v>0</x:v>
      </x:c>
      <x:c r="G36" s="24" t="n">
        <x:f>SUMIFS(Registro!$L:$L,Registro!$B:$B,$A36,Registro!$I:$I,$B36)</x:f>
        <x:v>10</x:v>
      </x:c>
      <x:c r="H36" s="24" t="n">
        <x:f>SUMIFS(Registro!$N:$N,Registro!$B:$B,$A36,Registro!$I:$I,$B36)</x:f>
        <x:v>10</x:v>
      </x:c>
      <x:c r="I36" s="24" t="n">
        <x:f>IFERROR(SUMIFS(Registro!$Q:$Q,Registro!$B:$B,$A36,Registro!$I:$I,$B36,Registro!$X:$X,"Ejecutada")/COUNTIFS(Registro!$B:$B,$A36,Registro!$I:$I,$B36,Registro!$X:$X,"Ejecutada"),0)</x:f>
        <x:v>0.9157894736842106</x:v>
      </x:c>
      <x:c r="J36" s="24" t="n">
        <x:f>COUNTIFS(Registro!$B:$B,$A36,Registro!$I:$I,$B36,Registro!$T:$T,"Sí")</x:f>
        <x:v>5</x:v>
      </x:c>
      <x:c r="K36" s="24" t="n">
        <x:f>IFERROR(J36/D36,0)</x:f>
        <x:v>1</x:v>
      </x:c>
      <x:c r="L36" s="24" t="n">
        <x:f>SUMIFS(Registro!$O:$O,Registro!$B:$B,$A36,Registro!$I:$I,$B36)</x:f>
        <x:v>285</x:v>
      </x:c>
      <x:c r="M36" s="24" t="n">
        <x:f>SUMIFS(Registro!$P:$P,Registro!$B:$B,$A36,Registro!$I:$I,$B36)</x:f>
        <x:v>261</x:v>
      </x:c>
      <x:c r="N36" s="25" t="n">
        <x:f>IFERROR(M36/L36,0)</x:f>
        <x:v>0.9157894736842105</x:v>
      </x:c>
    </x:row>
    <x:row r="37">
      <x:c r="A37" s="23" t="n">
        <x:v>2026</x:v>
      </x:c>
      <x:c r="B37" s="24" t="str">
        <x:v>Ocaña</x:v>
      </x:c>
      <x:c r="C37" s="24" t="n">
        <x:f>COUNTIFS(Registro!$B:$B,$A37,Registro!$I:$I,$B37)</x:f>
        <x:v>5</x:v>
      </x:c>
      <x:c r="D37" s="24" t="n">
        <x:f>COUNTIFS(Registro!$B:$B,$A37,Registro!$I:$I,$B37,Registro!$X:$X,"Ejecutada")</x:f>
        <x:v>5</x:v>
      </x:c>
      <x:c r="E37" s="24" t="n">
        <x:f>COUNTIFS(Registro!$B:$B,$A37,Registro!$I:$I,$B37,Registro!$X:$X,"Reprogramada")</x:f>
        <x:v>0</x:v>
      </x:c>
      <x:c r="F37" s="24" t="n">
        <x:f>COUNTIFS(Registro!$B:$B,$A37,Registro!$I:$I,$B37,Registro!$X:$X,"Cancelada")</x:f>
        <x:v>0</x:v>
      </x:c>
      <x:c r="G37" s="24" t="n">
        <x:f>SUMIFS(Registro!$L:$L,Registro!$B:$B,$A37,Registro!$I:$I,$B37)</x:f>
        <x:v>10</x:v>
      </x:c>
      <x:c r="H37" s="24" t="n">
        <x:f>SUMIFS(Registro!$N:$N,Registro!$B:$B,$A37,Registro!$I:$I,$B37)</x:f>
        <x:v>9.5</x:v>
      </x:c>
      <x:c r="I37" s="24" t="n">
        <x:f>IFERROR(SUMIFS(Registro!$Q:$Q,Registro!$B:$B,$A37,Registro!$I:$I,$B37,Registro!$X:$X,"Ejecutada")/COUNTIFS(Registro!$B:$B,$A37,Registro!$I:$I,$B37,Registro!$X:$X,"Ejecutada"),0)</x:f>
        <x:v>0.841025641025641</x:v>
      </x:c>
      <x:c r="J37" s="24" t="n">
        <x:f>COUNTIFS(Registro!$B:$B,$A37,Registro!$I:$I,$B37,Registro!$T:$T,"Sí")</x:f>
        <x:v>5</x:v>
      </x:c>
      <x:c r="K37" s="24" t="n">
        <x:f>IFERROR(J37/D37,0)</x:f>
        <x:v>1</x:v>
      </x:c>
      <x:c r="L37" s="24" t="n">
        <x:f>SUMIFS(Registro!$O:$O,Registro!$B:$B,$A37,Registro!$I:$I,$B37)</x:f>
        <x:v>195</x:v>
      </x:c>
      <x:c r="M37" s="24" t="n">
        <x:f>SUMIFS(Registro!$P:$P,Registro!$B:$B,$A37,Registro!$I:$I,$B37)</x:f>
        <x:v>164</x:v>
      </x:c>
      <x:c r="N37" s="25" t="n">
        <x:f>IFERROR(M37/L37,0)</x:f>
        <x:v>0.841025641025641</x:v>
      </x:c>
    </x:row>
    <x:row r="38">
      <x:c r="A38" s="23" t="n">
        <x:v>2026</x:v>
      </x:c>
      <x:c r="B38" s="24" t="str">
        <x:v>Girón</x:v>
      </x:c>
      <x:c r="C38" s="24" t="n">
        <x:f>COUNTIFS(Registro!$B:$B,$A38,Registro!$I:$I,$B38)</x:f>
        <x:v>5</x:v>
      </x:c>
      <x:c r="D38" s="24" t="n">
        <x:f>COUNTIFS(Registro!$B:$B,$A38,Registro!$I:$I,$B38,Registro!$X:$X,"Ejecutada")</x:f>
        <x:v>5</x:v>
      </x:c>
      <x:c r="E38" s="24" t="n">
        <x:f>COUNTIFS(Registro!$B:$B,$A38,Registro!$I:$I,$B38,Registro!$X:$X,"Reprogramada")</x:f>
        <x:v>0</x:v>
      </x:c>
      <x:c r="F38" s="24" t="n">
        <x:f>COUNTIFS(Registro!$B:$B,$A38,Registro!$I:$I,$B38,Registro!$X:$X,"Cancelada")</x:f>
        <x:v>0</x:v>
      </x:c>
      <x:c r="G38" s="24" t="n">
        <x:f>SUMIFS(Registro!$L:$L,Registro!$B:$B,$A38,Registro!$I:$I,$B38)</x:f>
        <x:v>10</x:v>
      </x:c>
      <x:c r="H38" s="24" t="n">
        <x:f>SUMIFS(Registro!$N:$N,Registro!$B:$B,$A38,Registro!$I:$I,$B38)</x:f>
        <x:v>10.5</x:v>
      </x:c>
      <x:c r="I38" s="24" t="n">
        <x:f>IFERROR(SUMIFS(Registro!$Q:$Q,Registro!$B:$B,$A38,Registro!$I:$I,$B38,Registro!$X:$X,"Ejecutada")/COUNTIFS(Registro!$B:$B,$A38,Registro!$I:$I,$B38,Registro!$X:$X,"Ejecutada"),0)</x:f>
        <x:v>0.8266666666666665</x:v>
      </x:c>
      <x:c r="J38" s="24" t="n">
        <x:f>COUNTIFS(Registro!$B:$B,$A38,Registro!$I:$I,$B38,Registro!$T:$T,"Sí")</x:f>
        <x:v>5</x:v>
      </x:c>
      <x:c r="K38" s="24" t="n">
        <x:f>IFERROR(J38/D38,0)</x:f>
        <x:v>1</x:v>
      </x:c>
      <x:c r="L38" s="24" t="n">
        <x:f>SUMIFS(Registro!$O:$O,Registro!$B:$B,$A38,Registro!$I:$I,$B38)</x:f>
        <x:v>225</x:v>
      </x:c>
      <x:c r="M38" s="24" t="n">
        <x:f>SUMIFS(Registro!$P:$P,Registro!$B:$B,$A38,Registro!$I:$I,$B38)</x:f>
        <x:v>186</x:v>
      </x:c>
      <x:c r="N38" s="25" t="n">
        <x:f>IFERROR(M38/L38,0)</x:f>
        <x:v>0.8266666666666667</x:v>
      </x:c>
    </x:row>
    <x:row r="39">
      <x:c r="A39" s="23" t="n">
        <x:v>2026</x:v>
      </x:c>
      <x:c r="B39" s="24" t="str">
        <x:v>Valledupar</x:v>
      </x:c>
      <x:c r="C39" s="24" t="n">
        <x:f>COUNTIFS(Registro!$B:$B,$A39,Registro!$I:$I,$B39)</x:f>
        <x:v>5</x:v>
      </x:c>
      <x:c r="D39" s="24" t="n">
        <x:f>COUNTIFS(Registro!$B:$B,$A39,Registro!$I:$I,$B39,Registro!$X:$X,"Ejecutada")</x:f>
        <x:v>3</x:v>
      </x:c>
      <x:c r="E39" s="24" t="n">
        <x:f>COUNTIFS(Registro!$B:$B,$A39,Registro!$I:$I,$B39,Registro!$X:$X,"Reprogramada")</x:f>
        <x:v>1</x:v>
      </x:c>
      <x:c r="F39" s="24" t="n">
        <x:f>COUNTIFS(Registro!$B:$B,$A39,Registro!$I:$I,$B39,Registro!$X:$X,"Cancelada")</x:f>
        <x:v>1</x:v>
      </x:c>
      <x:c r="G39" s="24" t="n">
        <x:f>SUMIFS(Registro!$L:$L,Registro!$B:$B,$A39,Registro!$I:$I,$B39)</x:f>
        <x:v>10</x:v>
      </x:c>
      <x:c r="H39" s="24" t="n">
        <x:f>SUMIFS(Registro!$N:$N,Registro!$B:$B,$A39,Registro!$I:$I,$B39)</x:f>
        <x:v>6</x:v>
      </x:c>
      <x:c r="I39" s="24" t="n">
        <x:f>IFERROR(SUMIFS(Registro!$Q:$Q,Registro!$B:$B,$A39,Registro!$I:$I,$B39,Registro!$X:$X,"Ejecutada")/COUNTIFS(Registro!$B:$B,$A39,Registro!$I:$I,$B39,Registro!$X:$X,"Ejecutada"),0)</x:f>
        <x:v>0.823529411764706</x:v>
      </x:c>
      <x:c r="J39" s="24" t="n">
        <x:f>COUNTIFS(Registro!$B:$B,$A39,Registro!$I:$I,$B39,Registro!$T:$T,"Sí")</x:f>
        <x:v>2</x:v>
      </x:c>
      <x:c r="K39" s="24" t="n">
        <x:f>IFERROR(J39/D39,0)</x:f>
        <x:v>0.6666666666666666</x:v>
      </x:c>
      <x:c r="L39" s="24" t="n">
        <x:f>SUMIFS(Registro!$O:$O,Registro!$B:$B,$A39,Registro!$I:$I,$B39)</x:f>
        <x:v>255</x:v>
      </x:c>
      <x:c r="M39" s="24" t="n">
        <x:f>SUMIFS(Registro!$P:$P,Registro!$B:$B,$A39,Registro!$I:$I,$B39)</x:f>
        <x:v>126</x:v>
      </x:c>
      <x:c r="N39" s="25" t="n">
        <x:f>IFERROR(M39/L39,0)</x:f>
        <x:v>0.49411764705882355</x:v>
      </x:c>
    </x:row>
    <x:row r="40">
      <x:c r="A40" s="23" t="n">
        <x:v>2026</x:v>
      </x:c>
      <x:c r="B40" s="24" t="str">
        <x:v>Arauca</x:v>
      </x:c>
      <x:c r="C40" s="24" t="n">
        <x:f>COUNTIFS(Registro!$B:$B,$A40,Registro!$I:$I,$B40)</x:f>
        <x:v>5</x:v>
      </x:c>
      <x:c r="D40" s="24" t="n">
        <x:f>COUNTIFS(Registro!$B:$B,$A40,Registro!$I:$I,$B40,Registro!$X:$X,"Ejecutada")</x:f>
        <x:v>5</x:v>
      </x:c>
      <x:c r="E40" s="24" t="n">
        <x:f>COUNTIFS(Registro!$B:$B,$A40,Registro!$I:$I,$B40,Registro!$X:$X,"Reprogramada")</x:f>
        <x:v>0</x:v>
      </x:c>
      <x:c r="F40" s="24" t="n">
        <x:f>COUNTIFS(Registro!$B:$B,$A40,Registro!$I:$I,$B40,Registro!$X:$X,"Cancelada")</x:f>
        <x:v>0</x:v>
      </x:c>
      <x:c r="G40" s="24" t="n">
        <x:f>SUMIFS(Registro!$L:$L,Registro!$B:$B,$A40,Registro!$I:$I,$B40)</x:f>
        <x:v>10</x:v>
      </x:c>
      <x:c r="H40" s="24" t="n">
        <x:f>SUMIFS(Registro!$N:$N,Registro!$B:$B,$A40,Registro!$I:$I,$B40)</x:f>
        <x:v>10.5</x:v>
      </x:c>
      <x:c r="I40" s="24" t="n">
        <x:f>IFERROR(SUMIFS(Registro!$Q:$Q,Registro!$B:$B,$A40,Registro!$I:$I,$B40,Registro!$X:$X,"Ejecutada")/COUNTIFS(Registro!$B:$B,$A40,Registro!$I:$I,$B40,Registro!$X:$X,"Ejecutada"),0)</x:f>
        <x:v>0.925</x:v>
      </x:c>
      <x:c r="J40" s="24" t="n">
        <x:f>COUNTIFS(Registro!$B:$B,$A40,Registro!$I:$I,$B40,Registro!$T:$T,"Sí")</x:f>
        <x:v>5</x:v>
      </x:c>
      <x:c r="K40" s="24" t="n">
        <x:f>IFERROR(J40/D40,0)</x:f>
        <x:v>1</x:v>
      </x:c>
      <x:c r="L40" s="24" t="n">
        <x:f>SUMIFS(Registro!$O:$O,Registro!$B:$B,$A40,Registro!$I:$I,$B40)</x:f>
        <x:v>160</x:v>
      </x:c>
      <x:c r="M40" s="24" t="n">
        <x:f>SUMIFS(Registro!$P:$P,Registro!$B:$B,$A40,Registro!$I:$I,$B40)</x:f>
        <x:v>148</x:v>
      </x:c>
      <x:c r="N40" s="25" t="n">
        <x:f>IFERROR(M40/L40,0)</x:f>
        <x:v>0.925</x:v>
      </x:c>
    </x:row>
    <x:row r="41">
      <x:c r="A41" s="23" t="n">
        <x:v>2026</x:v>
      </x:c>
      <x:c r="B41" s="24" t="str">
        <x:v>Bogotá</x:v>
      </x:c>
      <x:c r="C41" s="24" t="n">
        <x:f>COUNTIFS(Registro!$B:$B,$A41,Registro!$I:$I,$B41)</x:f>
        <x:v>5</x:v>
      </x:c>
      <x:c r="D41" s="24" t="n">
        <x:f>COUNTIFS(Registro!$B:$B,$A41,Registro!$I:$I,$B41,Registro!$X:$X,"Ejecutada")</x:f>
        <x:v>4</x:v>
      </x:c>
      <x:c r="E41" s="24" t="n">
        <x:f>COUNTIFS(Registro!$B:$B,$A41,Registro!$I:$I,$B41,Registro!$X:$X,"Reprogramada")</x:f>
        <x:v>1</x:v>
      </x:c>
      <x:c r="F41" s="24" t="n">
        <x:f>COUNTIFS(Registro!$B:$B,$A41,Registro!$I:$I,$B41,Registro!$X:$X,"Cancelada")</x:f>
        <x:v>0</x:v>
      </x:c>
      <x:c r="G41" s="24" t="n">
        <x:f>SUMIFS(Registro!$L:$L,Registro!$B:$B,$A41,Registro!$I:$I,$B41)</x:f>
        <x:v>10</x:v>
      </x:c>
      <x:c r="H41" s="24" t="n">
        <x:f>SUMIFS(Registro!$N:$N,Registro!$B:$B,$A41,Registro!$I:$I,$B41)</x:f>
        <x:v>8</x:v>
      </x:c>
      <x:c r="I41" s="24" t="n">
        <x:f>IFERROR(SUMIFS(Registro!$Q:$Q,Registro!$B:$B,$A41,Registro!$I:$I,$B41,Registro!$X:$X,"Ejecutada")/COUNTIFS(Registro!$B:$B,$A41,Registro!$I:$I,$B41,Registro!$X:$X,"Ejecutada"),0)</x:f>
        <x:v>0.8731884057971016</x:v>
      </x:c>
      <x:c r="J41" s="24" t="n">
        <x:f>COUNTIFS(Registro!$B:$B,$A41,Registro!$I:$I,$B41,Registro!$T:$T,"Sí")</x:f>
        <x:v>4</x:v>
      </x:c>
      <x:c r="K41" s="24" t="n">
        <x:f>IFERROR(J41/D41,0)</x:f>
        <x:v>1</x:v>
      </x:c>
      <x:c r="L41" s="24" t="n">
        <x:f>SUMIFS(Registro!$O:$O,Registro!$B:$B,$A41,Registro!$I:$I,$B41)</x:f>
        <x:v>345</x:v>
      </x:c>
      <x:c r="M41" s="24" t="n">
        <x:f>SUMIFS(Registro!$P:$P,Registro!$B:$B,$A41,Registro!$I:$I,$B41)</x:f>
        <x:v>241</x:v>
      </x:c>
      <x:c r="N41" s="25" t="n">
        <x:f>IFERROR(M41/L41,0)</x:f>
        <x:v>0.6985507246376812</x:v>
      </x:c>
    </x:row>
    <x:row r="42">
      <x:c r="A42" s="23" t="n">
        <x:v>2026</x:v>
      </x:c>
      <x:c r="B42" s="24" t="str">
        <x:v>Tibú</x:v>
      </x:c>
      <x:c r="C42" s="24" t="n">
        <x:f>COUNTIFS(Registro!$B:$B,$A42,Registro!$I:$I,$B42)</x:f>
        <x:v>5</x:v>
      </x:c>
      <x:c r="D42" s="24" t="n">
        <x:f>COUNTIFS(Registro!$B:$B,$A42,Registro!$I:$I,$B42,Registro!$X:$X,"Ejecutada")</x:f>
        <x:v>4</x:v>
      </x:c>
      <x:c r="E42" s="24" t="n">
        <x:f>COUNTIFS(Registro!$B:$B,$A42,Registro!$I:$I,$B42,Registro!$X:$X,"Reprogramada")</x:f>
        <x:v>1</x:v>
      </x:c>
      <x:c r="F42" s="24" t="n">
        <x:f>COUNTIFS(Registro!$B:$B,$A42,Registro!$I:$I,$B42,Registro!$X:$X,"Cancelada")</x:f>
        <x:v>0</x:v>
      </x:c>
      <x:c r="G42" s="24" t="n">
        <x:f>SUMIFS(Registro!$L:$L,Registro!$B:$B,$A42,Registro!$I:$I,$B42)</x:f>
        <x:v>10</x:v>
      </x:c>
      <x:c r="H42" s="24" t="n">
        <x:f>SUMIFS(Registro!$N:$N,Registro!$B:$B,$A42,Registro!$I:$I,$B42)</x:f>
        <x:v>8.5</x:v>
      </x:c>
      <x:c r="I42" s="24" t="n">
        <x:f>IFERROR(SUMIFS(Registro!$Q:$Q,Registro!$B:$B,$A42,Registro!$I:$I,$B42,Registro!$X:$X,"Ejecutada")/COUNTIFS(Registro!$B:$B,$A42,Registro!$I:$I,$B42,Registro!$X:$X,"Ejecutada"),0)</x:f>
        <x:v>0.9044117647058824</x:v>
      </x:c>
      <x:c r="J42" s="24" t="n">
        <x:f>COUNTIFS(Registro!$B:$B,$A42,Registro!$I:$I,$B42,Registro!$T:$T,"Sí")</x:f>
        <x:v>4</x:v>
      </x:c>
      <x:c r="K42" s="24" t="n">
        <x:f>IFERROR(J42/D42,0)</x:f>
        <x:v>1</x:v>
      </x:c>
      <x:c r="L42" s="24" t="n">
        <x:f>SUMIFS(Registro!$O:$O,Registro!$B:$B,$A42,Registro!$I:$I,$B42)</x:f>
        <x:v>170</x:v>
      </x:c>
      <x:c r="M42" s="24" t="n">
        <x:f>SUMIFS(Registro!$P:$P,Registro!$B:$B,$A42,Registro!$I:$I,$B42)</x:f>
        <x:v>123</x:v>
      </x:c>
      <x:c r="N42" s="25" t="n">
        <x:f>IFERROR(M42/L42,0)</x:f>
        <x:v>0.7235294117647059</x:v>
      </x:c>
    </x:row>
    <x:row r="43">
      <x:c r="A43" s="23" t="n">
        <x:v>2026</x:v>
      </x:c>
      <x:c r="B43" s="24" t="str">
        <x:v>Medellín</x:v>
      </x:c>
      <x:c r="C43" s="24" t="n">
        <x:f>COUNTIFS(Registro!$B:$B,$A43,Registro!$I:$I,$B43)</x:f>
        <x:v>5</x:v>
      </x:c>
      <x:c r="D43" s="24" t="n">
        <x:f>COUNTIFS(Registro!$B:$B,$A43,Registro!$I:$I,$B43,Registro!$X:$X,"Ejecutada")</x:f>
        <x:v>5</x:v>
      </x:c>
      <x:c r="E43" s="24" t="n">
        <x:f>COUNTIFS(Registro!$B:$B,$A43,Registro!$I:$I,$B43,Registro!$X:$X,"Reprogramada")</x:f>
        <x:v>0</x:v>
      </x:c>
      <x:c r="F43" s="24" t="n">
        <x:f>COUNTIFS(Registro!$B:$B,$A43,Registro!$I:$I,$B43,Registro!$X:$X,"Cancelada")</x:f>
        <x:v>0</x:v>
      </x:c>
      <x:c r="G43" s="24" t="n">
        <x:f>SUMIFS(Registro!$L:$L,Registro!$B:$B,$A43,Registro!$I:$I,$B43)</x:f>
        <x:v>10</x:v>
      </x:c>
      <x:c r="H43" s="24" t="n">
        <x:f>SUMIFS(Registro!$N:$N,Registro!$B:$B,$A43,Registro!$I:$I,$B43)</x:f>
        <x:v>9.5</x:v>
      </x:c>
      <x:c r="I43" s="24" t="n">
        <x:f>IFERROR(SUMIFS(Registro!$Q:$Q,Registro!$B:$B,$A43,Registro!$I:$I,$B43,Registro!$X:$X,"Ejecutada")/COUNTIFS(Registro!$B:$B,$A43,Registro!$I:$I,$B43,Registro!$X:$X,"Ejecutada"),0)</x:f>
        <x:v>0.8571428571428571</x:v>
      </x:c>
      <x:c r="J43" s="24" t="n">
        <x:f>COUNTIFS(Registro!$B:$B,$A43,Registro!$I:$I,$B43,Registro!$T:$T,"Sí")</x:f>
        <x:v>4</x:v>
      </x:c>
      <x:c r="K43" s="24" t="n">
        <x:f>IFERROR(J43/D43,0)</x:f>
        <x:v>0.8</x:v>
      </x:c>
      <x:c r="L43" s="24" t="n">
        <x:f>SUMIFS(Registro!$O:$O,Registro!$B:$B,$A43,Registro!$I:$I,$B43)</x:f>
        <x:v>315</x:v>
      </x:c>
      <x:c r="M43" s="24" t="n">
        <x:f>SUMIFS(Registro!$P:$P,Registro!$B:$B,$A43,Registro!$I:$I,$B43)</x:f>
        <x:v>270</x:v>
      </x:c>
      <x:c r="N43" s="25" t="n">
        <x:f>IFERROR(M43/L43,0)</x:f>
        <x:v>0.8571428571428571</x:v>
      </x:c>
    </x:row>
    <x:row r="44">
      <x:c r="A44" s="23" t="n">
        <x:v>2026</x:v>
      </x:c>
      <x:c r="B44" s="24" t="str">
        <x:v>Ábrego</x:v>
      </x:c>
      <x:c r="C44" s="24" t="n">
        <x:f>COUNTIFS(Registro!$B:$B,$A44,Registro!$I:$I,$B44)</x:f>
        <x:v>5</x:v>
      </x:c>
      <x:c r="D44" s="24" t="n">
        <x:f>COUNTIFS(Registro!$B:$B,$A44,Registro!$I:$I,$B44,Registro!$X:$X,"Ejecutada")</x:f>
        <x:v>4</x:v>
      </x:c>
      <x:c r="E44" s="24" t="n">
        <x:f>COUNTIFS(Registro!$B:$B,$A44,Registro!$I:$I,$B44,Registro!$X:$X,"Reprogramada")</x:f>
        <x:v>1</x:v>
      </x:c>
      <x:c r="F44" s="24" t="n">
        <x:f>COUNTIFS(Registro!$B:$B,$A44,Registro!$I:$I,$B44,Registro!$X:$X,"Cancelada")</x:f>
        <x:v>0</x:v>
      </x:c>
      <x:c r="G44" s="24" t="n">
        <x:f>SUMIFS(Registro!$L:$L,Registro!$B:$B,$A44,Registro!$I:$I,$B44)</x:f>
        <x:v>10</x:v>
      </x:c>
      <x:c r="H44" s="24" t="n">
        <x:f>SUMIFS(Registro!$N:$N,Registro!$B:$B,$A44,Registro!$I:$I,$B44)</x:f>
        <x:v>8</x:v>
      </x:c>
      <x:c r="I44" s="24" t="n">
        <x:f>IFERROR(SUMIFS(Registro!$Q:$Q,Registro!$B:$B,$A44,Registro!$I:$I,$B44,Registro!$X:$X,"Ejecutada")/COUNTIFS(Registro!$B:$B,$A44,Registro!$I:$I,$B44,Registro!$X:$X,"Ejecutada"),0)</x:f>
        <x:v>0.875</x:v>
      </x:c>
      <x:c r="J44" s="24" t="n">
        <x:f>COUNTIFS(Registro!$B:$B,$A44,Registro!$I:$I,$B44,Registro!$T:$T,"Sí")</x:f>
        <x:v>4</x:v>
      </x:c>
      <x:c r="K44" s="24" t="n">
        <x:f>IFERROR(J44/D44,0)</x:f>
        <x:v>1</x:v>
      </x:c>
      <x:c r="L44" s="24" t="n">
        <x:f>SUMIFS(Registro!$O:$O,Registro!$B:$B,$A44,Registro!$I:$I,$B44)</x:f>
        <x:v>130</x:v>
      </x:c>
      <x:c r="M44" s="24" t="n">
        <x:f>SUMIFS(Registro!$P:$P,Registro!$B:$B,$A44,Registro!$I:$I,$B44)</x:f>
        <x:v>91</x:v>
      </x:c>
      <x:c r="N44" s="25" t="n">
        <x:f>IFERROR(M44/L44,0)</x:f>
        <x:v>0.7</x:v>
      </x:c>
    </x:row>
    <x:row r="45">
      <x:c r="A45" s="26" t="n">
        <x:v>2026</x:v>
      </x:c>
      <x:c r="B45" s="27" t="str">
        <x:v>Pamplona</x:v>
      </x:c>
      <x:c r="C45" s="27" t="n">
        <x:f>COUNTIFS(Registro!$B:$B,$A45,Registro!$I:$I,$B45)</x:f>
        <x:v>5</x:v>
      </x:c>
      <x:c r="D45" s="27" t="n">
        <x:f>COUNTIFS(Registro!$B:$B,$A45,Registro!$I:$I,$B45,Registro!$X:$X,"Ejecutada")</x:f>
        <x:v>4</x:v>
      </x:c>
      <x:c r="E45" s="27" t="n">
        <x:f>COUNTIFS(Registro!$B:$B,$A45,Registro!$I:$I,$B45,Registro!$X:$X,"Reprogramada")</x:f>
        <x:v>1</x:v>
      </x:c>
      <x:c r="F45" s="27" t="n">
        <x:f>COUNTIFS(Registro!$B:$B,$A45,Registro!$I:$I,$B45,Registro!$X:$X,"Cancelada")</x:f>
        <x:v>0</x:v>
      </x:c>
      <x:c r="G45" s="27" t="n">
        <x:f>SUMIFS(Registro!$L:$L,Registro!$B:$B,$A45,Registro!$I:$I,$B45)</x:f>
        <x:v>10</x:v>
      </x:c>
      <x:c r="H45" s="27" t="n">
        <x:f>SUMIFS(Registro!$N:$N,Registro!$B:$B,$A45,Registro!$I:$I,$B45)</x:f>
        <x:v>8</x:v>
      </x:c>
      <x:c r="I45" s="27" t="n">
        <x:f>IFERROR(SUMIFS(Registro!$Q:$Q,Registro!$B:$B,$A45,Registro!$I:$I,$B45,Registro!$X:$X,"Ejecutada")/COUNTIFS(Registro!$B:$B,$A45,Registro!$I:$I,$B45,Registro!$X:$X,"Ejecutada"),0)</x:f>
        <x:v>0.896551724137931</x:v>
      </x:c>
      <x:c r="J45" s="27" t="n">
        <x:f>COUNTIFS(Registro!$B:$B,$A45,Registro!$I:$I,$B45,Registro!$T:$T,"Sí")</x:f>
        <x:v>4</x:v>
      </x:c>
      <x:c r="K45" s="27" t="n">
        <x:f>IFERROR(J45/D45,0)</x:f>
        <x:v>1</x:v>
      </x:c>
      <x:c r="L45" s="27" t="n">
        <x:f>SUMIFS(Registro!$O:$O,Registro!$B:$B,$A45,Registro!$I:$I,$B45)</x:f>
        <x:v>145</x:v>
      </x:c>
      <x:c r="M45" s="27" t="n">
        <x:f>SUMIFS(Registro!$P:$P,Registro!$B:$B,$A45,Registro!$I:$I,$B45)</x:f>
        <x:v>104</x:v>
      </x:c>
      <x:c r="N45" s="28" t="n">
        <x:f>IFERROR(M45/L45,0)</x:f>
        <x:v>0.7172413793103448</x:v>
      </x:c>
    </x:row>
  </x:sheetData>
  <x:pageMargins left="0.7" right="0.7" top="0.75" bottom="0.75" header="0.3" footer="0.3"/>
  <x:tableParts count="1">
    <x:tablePart xmlns:r="http://schemas.openxmlformats.org/officeDocument/2006/relationships" r:id="R069999911ba9449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.920000076293945" hidden="0" customWidth="1"/>
    <x:col min="2" max="2" width="8.479999542236328" hidden="0" customWidth="1"/>
    <x:col min="3" max="3" width="9.149999618530273" hidden="0" customWidth="1"/>
    <x:col min="4" max="4" width="20.860000610351562" hidden="0" customWidth="1"/>
    <x:col min="5" max="5" width="11.4399995803833" hidden="0" customWidth="1"/>
    <x:col min="6" max="6" width="15.479999542236328" hidden="0" customWidth="1"/>
    <x:col min="7" max="7" width="11.84000015258789" hidden="0" customWidth="1"/>
    <x:col min="8" max="8" width="16.149999618530273" hidden="0" customWidth="1"/>
    <x:col min="9" max="9" width="16.690000534057617" hidden="0" customWidth="1"/>
    <x:col min="10" max="10" width="19.25" hidden="0" customWidth="1"/>
    <x:col min="11" max="11" width="19.780000686645508" hidden="0" customWidth="1"/>
    <x:col min="12" max="12" width="13.460000038146973" hidden="0" customWidth="1"/>
    <x:col min="13" max="13" width="27.31999969482422" hidden="0" customWidth="1"/>
    <x:col min="14" max="14" width="21.270000457763672" hidden="0" customWidth="1"/>
    <x:col min="15" max="15" width="22.209999084472656" hidden="0" customWidth="1"/>
  </x:cols>
  <x:sheetData>
    <x:row r="1" ht="18" customHeight="1">
      <x:c r="A1" s="17" t="str">
        <x:v>Año</x:v>
      </x:c>
      <x:c r="B1" s="17" t="str">
        <x:v>N° mes</x:v>
      </x:c>
      <x:c r="C1" s="17" t="str">
        <x:v>Mes</x:v>
      </x:c>
      <x:c r="D1" s="17" t="str">
        <x:v>Actividades planeadas</x:v>
      </x:c>
      <x:c r="E1" s="17" t="str">
        <x:v>Ejecutadas</x:v>
      </x:c>
      <x:c r="F1" s="17" t="str">
        <x:v>Reprogramadas</x:v>
      </x:c>
      <x:c r="G1" s="17" t="str">
        <x:v>Canceladas</x:v>
      </x:c>
      <x:c r="H1" s="17" t="str">
        <x:v>Horas planeadas</x:v>
      </x:c>
      <x:c r="I1" s="17" t="str">
        <x:v>Horas ejecutadas</x:v>
      </x:c>
      <x:c r="J1" s="81" t="str">
        <x:v>Cobertura promedio</x:v>
      </x:c>
      <x:c r="K1" s="17" t="str">
        <x:v>Actividades efectivas</x:v>
      </x:c>
      <x:c r="L1" s="81" t="str">
        <x:v>% Efectividad</x:v>
      </x:c>
      <x:c r="M1" s="17" t="str">
        <x:v>Población objetivo acumulada</x:v>
      </x:c>
      <x:c r="N1" s="17" t="str">
        <x:v>Asistentes acumulados</x:v>
      </x:c>
      <x:c r="O1" s="81" t="str">
        <x:v>% Asistencia acumulada</x:v>
      </x:c>
    </x:row>
    <x:row r="2">
      <x:c r="A2" s="41" t="n">
        <x:v>2023</x:v>
      </x:c>
      <x:c r="B2" s="42" t="n">
        <x:v>1</x:v>
      </x:c>
      <x:c r="C2" s="42" t="str">
        <x:v>Enero</x:v>
      </x:c>
      <x:c r="D2" s="42" t="n">
        <x:f>COUNTIFS(Registro!$B:$B,$A2,Registro!$D:$D,$B2)</x:f>
        <x:v>11</x:v>
      </x:c>
      <x:c r="E2" s="42" t="n">
        <x:f>COUNTIFS(Registro!$B:$B,$A2,Registro!$D:$D,$B2,Registro!$X:$X,"Ejecutada")</x:f>
        <x:v>10</x:v>
      </x:c>
      <x:c r="F2" s="42" t="n">
        <x:f>COUNTIFS(Registro!$B:$B,$A2,Registro!$D:$D,$B2,Registro!$X:$X,"Reprogramada")</x:f>
        <x:v>1</x:v>
      </x:c>
      <x:c r="G2" s="42" t="n">
        <x:f>COUNTIFS(Registro!$B:$B,$A2,Registro!$D:$D,$B2,Registro!$X:$X,"Cancelada")</x:f>
        <x:v>0</x:v>
      </x:c>
      <x:c r="H2" s="42" t="n">
        <x:f>SUMIFS(Registro!$L:$L,Registro!$B:$B,$A2,Registro!$D:$D,$B2)</x:f>
        <x:v>22</x:v>
      </x:c>
      <x:c r="I2" s="42" t="n">
        <x:f>SUMIFS(Registro!$N:$N,Registro!$B:$B,$A2,Registro!$D:$D,$B2)</x:f>
        <x:v>19.5</x:v>
      </x:c>
      <x:c r="J2" s="42" t="n">
        <x:f>IFERROR(SUMIFS(Registro!$Q:$Q,Registro!$B:$B,$A2,Registro!$D:$D,$B2,Registro!$X:$X,"Ejecutada")/COUNTIFS(Registro!$B:$B,$A2,Registro!$D:$D,$B2,Registro!$X:$X,"Ejecutada"),0)</x:f>
        <x:v>0.8805534560782855</x:v>
      </x:c>
      <x:c r="K2" s="42" t="n">
        <x:f>COUNTIFS(Registro!$B:$B,$A2,Registro!$D:$D,$B2,Registro!$T:$T,"Sí")</x:f>
        <x:v>9</x:v>
      </x:c>
      <x:c r="L2" s="42" t="n">
        <x:f>IFERROR(K2/E2,0)</x:f>
        <x:v>0.9</x:v>
      </x:c>
      <x:c r="M2" s="42" t="n">
        <x:f>SUMIFS(Registro!$O:$O,Registro!$B:$B,$A2,Registro!$D:$D,$B2)</x:f>
        <x:v>486</x:v>
      </x:c>
      <x:c r="N2" s="42" t="n">
        <x:f>SUMIFS(Registro!$P:$P,Registro!$B:$B,$A2,Registro!$D:$D,$B2)</x:f>
        <x:v>370</x:v>
      </x:c>
      <x:c r="O2" s="43" t="n">
        <x:f>IFERROR(N2/M2,0)</x:f>
        <x:v>0.7613168724279835</x:v>
      </x:c>
    </x:row>
    <x:row r="3">
      <x:c r="A3" s="23" t="n">
        <x:v>2023</x:v>
      </x:c>
      <x:c r="B3" s="24" t="n">
        <x:v>2</x:v>
      </x:c>
      <x:c r="C3" s="24" t="str">
        <x:v>Febrero</x:v>
      </x:c>
      <x:c r="D3" s="24" t="n">
        <x:f>COUNTIFS(Registro!$B:$B,$A3,Registro!$D:$D,$B3)</x:f>
        <x:v>11</x:v>
      </x:c>
      <x:c r="E3" s="24" t="n">
        <x:f>COUNTIFS(Registro!$B:$B,$A3,Registro!$D:$D,$B3,Registro!$X:$X,"Ejecutada")</x:f>
        <x:v>9</x:v>
      </x:c>
      <x:c r="F3" s="24" t="n">
        <x:f>COUNTIFS(Registro!$B:$B,$A3,Registro!$D:$D,$B3,Registro!$X:$X,"Reprogramada")</x:f>
        <x:v>2</x:v>
      </x:c>
      <x:c r="G3" s="24" t="n">
        <x:f>COUNTIFS(Registro!$B:$B,$A3,Registro!$D:$D,$B3,Registro!$X:$X,"Cancelada")</x:f>
        <x:v>0</x:v>
      </x:c>
      <x:c r="H3" s="24" t="n">
        <x:f>SUMIFS(Registro!$L:$L,Registro!$B:$B,$A3,Registro!$D:$D,$B3)</x:f>
        <x:v>22</x:v>
      </x:c>
      <x:c r="I3" s="24" t="n">
        <x:f>SUMIFS(Registro!$N:$N,Registro!$B:$B,$A3,Registro!$D:$D,$B3)</x:f>
        <x:v>17</x:v>
      </x:c>
      <x:c r="J3" s="24" t="n">
        <x:f>IFERROR(SUMIFS(Registro!$Q:$Q,Registro!$B:$B,$A3,Registro!$D:$D,$B3,Registro!$X:$X,"Ejecutada")/COUNTIFS(Registro!$B:$B,$A3,Registro!$D:$D,$B3,Registro!$X:$X,"Ejecutada"),0)</x:f>
        <x:v>0.8363267761212083</x:v>
      </x:c>
      <x:c r="K3" s="24" t="n">
        <x:f>COUNTIFS(Registro!$B:$B,$A3,Registro!$D:$D,$B3,Registro!$T:$T,"Sí")</x:f>
        <x:v>8</x:v>
      </x:c>
      <x:c r="L3" s="24" t="n">
        <x:f>IFERROR(K3/E3,0)</x:f>
        <x:v>0.8888888888888888</x:v>
      </x:c>
      <x:c r="M3" s="24" t="n">
        <x:f>SUMIFS(Registro!$O:$O,Registro!$B:$B,$A3,Registro!$D:$D,$B3)</x:f>
        <x:v>486</x:v>
      </x:c>
      <x:c r="N3" s="24" t="n">
        <x:f>SUMIFS(Registro!$P:$P,Registro!$B:$B,$A3,Registro!$D:$D,$B3)</x:f>
        <x:v>335</x:v>
      </x:c>
      <x:c r="O3" s="25" t="n">
        <x:f>IFERROR(N3/M3,0)</x:f>
        <x:v>0.6893004115226338</x:v>
      </x:c>
    </x:row>
    <x:row r="4">
      <x:c r="A4" s="23" t="n">
        <x:v>2023</x:v>
      </x:c>
      <x:c r="B4" s="24" t="n">
        <x:v>3</x:v>
      </x:c>
      <x:c r="C4" s="24" t="str">
        <x:v>Marzo</x:v>
      </x:c>
      <x:c r="D4" s="24" t="n">
        <x:f>COUNTIFS(Registro!$B:$B,$A4,Registro!$D:$D,$B4)</x:f>
        <x:v>11</x:v>
      </x:c>
      <x:c r="E4" s="24" t="n">
        <x:f>COUNTIFS(Registro!$B:$B,$A4,Registro!$D:$D,$B4,Registro!$X:$X,"Ejecutada")</x:f>
        <x:v>9</x:v>
      </x:c>
      <x:c r="F4" s="24" t="n">
        <x:f>COUNTIFS(Registro!$B:$B,$A4,Registro!$D:$D,$B4,Registro!$X:$X,"Reprogramada")</x:f>
        <x:v>0</x:v>
      </x:c>
      <x:c r="G4" s="24" t="n">
        <x:f>COUNTIFS(Registro!$B:$B,$A4,Registro!$D:$D,$B4,Registro!$X:$X,"Cancelada")</x:f>
        <x:v>2</x:v>
      </x:c>
      <x:c r="H4" s="24" t="n">
        <x:f>SUMIFS(Registro!$L:$L,Registro!$B:$B,$A4,Registro!$D:$D,$B4)</x:f>
        <x:v>11</x:v>
      </x:c>
      <x:c r="I4" s="24" t="n">
        <x:f>SUMIFS(Registro!$N:$N,Registro!$B:$B,$A4,Registro!$D:$D,$B4)</x:f>
        <x:v>9.5</x:v>
      </x:c>
      <x:c r="J4" s="24" t="n">
        <x:f>IFERROR(SUMIFS(Registro!$Q:$Q,Registro!$B:$B,$A4,Registro!$D:$D,$B4,Registro!$X:$X,"Ejecutada")/COUNTIFS(Registro!$B:$B,$A4,Registro!$D:$D,$B4,Registro!$X:$X,"Ejecutada"),0)</x:f>
        <x:v>0.8440893216024399</x:v>
      </x:c>
      <x:c r="K4" s="24" t="n">
        <x:f>COUNTIFS(Registro!$B:$B,$A4,Registro!$D:$D,$B4,Registro!$T:$T,"Sí")</x:f>
        <x:v>7</x:v>
      </x:c>
      <x:c r="L4" s="24" t="n">
        <x:f>IFERROR(K4/E4,0)</x:f>
        <x:v>0.7777777777777778</x:v>
      </x:c>
      <x:c r="M4" s="24" t="n">
        <x:f>SUMIFS(Registro!$O:$O,Registro!$B:$B,$A4,Registro!$D:$D,$B4)</x:f>
        <x:v>486</x:v>
      </x:c>
      <x:c r="N4" s="24" t="n">
        <x:f>SUMIFS(Registro!$P:$P,Registro!$B:$B,$A4,Registro!$D:$D,$B4)</x:f>
        <x:v>335</x:v>
      </x:c>
      <x:c r="O4" s="25" t="n">
        <x:f>IFERROR(N4/M4,0)</x:f>
        <x:v>0.6893004115226338</x:v>
      </x:c>
    </x:row>
    <x:row r="5">
      <x:c r="A5" s="23" t="n">
        <x:v>2023</x:v>
      </x:c>
      <x:c r="B5" s="24" t="n">
        <x:v>4</x:v>
      </x:c>
      <x:c r="C5" s="24" t="str">
        <x:v>Abril</x:v>
      </x:c>
      <x:c r="D5" s="24" t="n">
        <x:f>COUNTIFS(Registro!$B:$B,$A5,Registro!$D:$D,$B5)</x:f>
        <x:v>11</x:v>
      </x:c>
      <x:c r="E5" s="24" t="n">
        <x:f>COUNTIFS(Registro!$B:$B,$A5,Registro!$D:$D,$B5,Registro!$X:$X,"Ejecutada")</x:f>
        <x:v>10</x:v>
      </x:c>
      <x:c r="F5" s="24" t="n">
        <x:f>COUNTIFS(Registro!$B:$B,$A5,Registro!$D:$D,$B5,Registro!$X:$X,"Reprogramada")</x:f>
        <x:v>1</x:v>
      </x:c>
      <x:c r="G5" s="24" t="n">
        <x:f>COUNTIFS(Registro!$B:$B,$A5,Registro!$D:$D,$B5,Registro!$X:$X,"Cancelada")</x:f>
        <x:v>0</x:v>
      </x:c>
      <x:c r="H5" s="24" t="n">
        <x:f>SUMIFS(Registro!$L:$L,Registro!$B:$B,$A5,Registro!$D:$D,$B5)</x:f>
        <x:v>33</x:v>
      </x:c>
      <x:c r="I5" s="24" t="n">
        <x:f>SUMIFS(Registro!$N:$N,Registro!$B:$B,$A5,Registro!$D:$D,$B5)</x:f>
        <x:v>30.5</x:v>
      </x:c>
      <x:c r="J5" s="24" t="n">
        <x:f>IFERROR(SUMIFS(Registro!$Q:$Q,Registro!$B:$B,$A5,Registro!$D:$D,$B5,Registro!$X:$X,"Ejecutada")/COUNTIFS(Registro!$B:$B,$A5,Registro!$D:$D,$B5,Registro!$X:$X,"Ejecutada"),0)</x:f>
        <x:v>0.8831066390341082</x:v>
      </x:c>
      <x:c r="K5" s="24" t="n">
        <x:f>COUNTIFS(Registro!$B:$B,$A5,Registro!$D:$D,$B5,Registro!$T:$T,"Sí")</x:f>
        <x:v>10</x:v>
      </x:c>
      <x:c r="L5" s="24" t="n">
        <x:f>IFERROR(K5/E5,0)</x:f>
        <x:v>1</x:v>
      </x:c>
      <x:c r="M5" s="24" t="n">
        <x:f>SUMIFS(Registro!$O:$O,Registro!$B:$B,$A5,Registro!$D:$D,$B5)</x:f>
        <x:v>486</x:v>
      </x:c>
      <x:c r="N5" s="24" t="n">
        <x:f>SUMIFS(Registro!$P:$P,Registro!$B:$B,$A5,Registro!$D:$D,$B5)</x:f>
        <x:v>374</x:v>
      </x:c>
      <x:c r="O5" s="25" t="n">
        <x:f>IFERROR(N5/M5,0)</x:f>
        <x:v>0.7695473251028807</x:v>
      </x:c>
    </x:row>
    <x:row r="6">
      <x:c r="A6" s="23" t="n">
        <x:v>2023</x:v>
      </x:c>
      <x:c r="B6" s="24" t="n">
        <x:v>5</x:v>
      </x:c>
      <x:c r="C6" s="24" t="str">
        <x:v>Mayo</x:v>
      </x:c>
      <x:c r="D6" s="24" t="n">
        <x:f>COUNTIFS(Registro!$B:$B,$A6,Registro!$D:$D,$B6)</x:f>
        <x:v>11</x:v>
      </x:c>
      <x:c r="E6" s="24" t="n">
        <x:f>COUNTIFS(Registro!$B:$B,$A6,Registro!$D:$D,$B6,Registro!$X:$X,"Ejecutada")</x:f>
        <x:v>10</x:v>
      </x:c>
      <x:c r="F6" s="24" t="n">
        <x:f>COUNTIFS(Registro!$B:$B,$A6,Registro!$D:$D,$B6,Registro!$X:$X,"Reprogramada")</x:f>
        <x:v>0</x:v>
      </x:c>
      <x:c r="G6" s="24" t="n">
        <x:f>COUNTIFS(Registro!$B:$B,$A6,Registro!$D:$D,$B6,Registro!$X:$X,"Cancelada")</x:f>
        <x:v>1</x:v>
      </x:c>
      <x:c r="H6" s="24" t="n">
        <x:f>SUMIFS(Registro!$L:$L,Registro!$B:$B,$A6,Registro!$D:$D,$B6)</x:f>
        <x:v>22</x:v>
      </x:c>
      <x:c r="I6" s="24" t="n">
        <x:f>SUMIFS(Registro!$N:$N,Registro!$B:$B,$A6,Registro!$D:$D,$B6)</x:f>
        <x:v>20.5</x:v>
      </x:c>
      <x:c r="J6" s="24" t="n">
        <x:f>IFERROR(SUMIFS(Registro!$Q:$Q,Registro!$B:$B,$A6,Registro!$D:$D,$B6,Registro!$X:$X,"Ejecutada")/COUNTIFS(Registro!$B:$B,$A6,Registro!$D:$D,$B6,Registro!$X:$X,"Ejecutada"),0)</x:f>
        <x:v>0.9032150011172211</x:v>
      </x:c>
      <x:c r="K6" s="24" t="n">
        <x:f>COUNTIFS(Registro!$B:$B,$A6,Registro!$D:$D,$B6,Registro!$T:$T,"Sí")</x:f>
        <x:v>9</x:v>
      </x:c>
      <x:c r="L6" s="24" t="n">
        <x:f>IFERROR(K6/E6,0)</x:f>
        <x:v>0.9</x:v>
      </x:c>
      <x:c r="M6" s="24" t="n">
        <x:f>SUMIFS(Registro!$O:$O,Registro!$B:$B,$A6,Registro!$D:$D,$B6)</x:f>
        <x:v>486</x:v>
      </x:c>
      <x:c r="N6" s="24" t="n">
        <x:f>SUMIFS(Registro!$P:$P,Registro!$B:$B,$A6,Registro!$D:$D,$B6)</x:f>
        <x:v>398</x:v>
      </x:c>
      <x:c r="O6" s="25" t="n">
        <x:f>IFERROR(N6/M6,0)</x:f>
        <x:v>0.8189300411522634</x:v>
      </x:c>
    </x:row>
    <x:row r="7">
      <x:c r="A7" s="23" t="n">
        <x:v>2023</x:v>
      </x:c>
      <x:c r="B7" s="24" t="n">
        <x:v>6</x:v>
      </x:c>
      <x:c r="C7" s="24" t="str">
        <x:v>Junio</x:v>
      </x:c>
      <x:c r="D7" s="24" t="n">
        <x:f>COUNTIFS(Registro!$B:$B,$A7,Registro!$D:$D,$B7)</x:f>
        <x:v>11</x:v>
      </x:c>
      <x:c r="E7" s="24" t="n">
        <x:f>COUNTIFS(Registro!$B:$B,$A7,Registro!$D:$D,$B7,Registro!$X:$X,"Ejecutada")</x:f>
        <x:v>10</x:v>
      </x:c>
      <x:c r="F7" s="24" t="n">
        <x:f>COUNTIFS(Registro!$B:$B,$A7,Registro!$D:$D,$B7,Registro!$X:$X,"Reprogramada")</x:f>
        <x:v>0</x:v>
      </x:c>
      <x:c r="G7" s="24" t="n">
        <x:f>COUNTIFS(Registro!$B:$B,$A7,Registro!$D:$D,$B7,Registro!$X:$X,"Cancelada")</x:f>
        <x:v>1</x:v>
      </x:c>
      <x:c r="H7" s="24" t="n">
        <x:f>SUMIFS(Registro!$L:$L,Registro!$B:$B,$A7,Registro!$D:$D,$B7)</x:f>
        <x:v>22</x:v>
      </x:c>
      <x:c r="I7" s="24" t="n">
        <x:f>SUMIFS(Registro!$N:$N,Registro!$B:$B,$A7,Registro!$D:$D,$B7)</x:f>
        <x:v>20.5</x:v>
      </x:c>
      <x:c r="J7" s="24" t="n">
        <x:f>IFERROR(SUMIFS(Registro!$Q:$Q,Registro!$B:$B,$A7,Registro!$D:$D,$B7,Registro!$X:$X,"Ejecutada")/COUNTIFS(Registro!$B:$B,$A7,Registro!$D:$D,$B7,Registro!$X:$X,"Ejecutada"),0)</x:f>
        <x:v>0.8448510082248747</x:v>
      </x:c>
      <x:c r="K7" s="24" t="n">
        <x:f>COUNTIFS(Registro!$B:$B,$A7,Registro!$D:$D,$B7,Registro!$T:$T,"Sí")</x:f>
        <x:v>8</x:v>
      </x:c>
      <x:c r="L7" s="24" t="n">
        <x:f>IFERROR(K7/E7,0)</x:f>
        <x:v>0.8</x:v>
      </x:c>
      <x:c r="M7" s="24" t="n">
        <x:f>SUMIFS(Registro!$O:$O,Registro!$B:$B,$A7,Registro!$D:$D,$B7)</x:f>
        <x:v>486</x:v>
      </x:c>
      <x:c r="N7" s="24" t="n">
        <x:f>SUMIFS(Registro!$P:$P,Registro!$B:$B,$A7,Registro!$D:$D,$B7)</x:f>
        <x:v>389</x:v>
      </x:c>
      <x:c r="O7" s="25" t="n">
        <x:f>IFERROR(N7/M7,0)</x:f>
        <x:v>0.8004115226337448</x:v>
      </x:c>
    </x:row>
    <x:row r="8">
      <x:c r="A8" s="23" t="n">
        <x:v>2023</x:v>
      </x:c>
      <x:c r="B8" s="24" t="n">
        <x:v>7</x:v>
      </x:c>
      <x:c r="C8" s="24" t="str">
        <x:v>Julio</x:v>
      </x:c>
      <x:c r="D8" s="24" t="n">
        <x:f>COUNTIFS(Registro!$B:$B,$A8,Registro!$D:$D,$B8)</x:f>
        <x:v>11</x:v>
      </x:c>
      <x:c r="E8" s="24" t="n">
        <x:f>COUNTIFS(Registro!$B:$B,$A8,Registro!$D:$D,$B8,Registro!$X:$X,"Ejecutada")</x:f>
        <x:v>10</x:v>
      </x:c>
      <x:c r="F8" s="24" t="n">
        <x:f>COUNTIFS(Registro!$B:$B,$A8,Registro!$D:$D,$B8,Registro!$X:$X,"Reprogramada")</x:f>
        <x:v>1</x:v>
      </x:c>
      <x:c r="G8" s="24" t="n">
        <x:f>COUNTIFS(Registro!$B:$B,$A8,Registro!$D:$D,$B8,Registro!$X:$X,"Cancelada")</x:f>
        <x:v>0</x:v>
      </x:c>
      <x:c r="H8" s="24" t="n">
        <x:f>SUMIFS(Registro!$L:$L,Registro!$B:$B,$A8,Registro!$D:$D,$B8)</x:f>
        <x:v>22</x:v>
      </x:c>
      <x:c r="I8" s="24" t="n">
        <x:f>SUMIFS(Registro!$N:$N,Registro!$B:$B,$A8,Registro!$D:$D,$B8)</x:f>
        <x:v>20</x:v>
      </x:c>
      <x:c r="J8" s="24" t="n">
        <x:f>IFERROR(SUMIFS(Registro!$Q:$Q,Registro!$B:$B,$A8,Registro!$D:$D,$B8,Registro!$X:$X,"Ejecutada")/COUNTIFS(Registro!$B:$B,$A8,Registro!$D:$D,$B8,Registro!$X:$X,"Ejecutada"),0)</x:f>
        <x:v>0.8662671446445496</x:v>
      </x:c>
      <x:c r="K8" s="24" t="n">
        <x:f>COUNTIFS(Registro!$B:$B,$A8,Registro!$D:$D,$B8,Registro!$T:$T,"Sí")</x:f>
        <x:v>10</x:v>
      </x:c>
      <x:c r="L8" s="24" t="n">
        <x:f>IFERROR(K8/E8,0)</x:f>
        <x:v>1</x:v>
      </x:c>
      <x:c r="M8" s="24" t="n">
        <x:f>SUMIFS(Registro!$O:$O,Registro!$B:$B,$A8,Registro!$D:$D,$B8)</x:f>
        <x:v>486</x:v>
      </x:c>
      <x:c r="N8" s="24" t="n">
        <x:f>SUMIFS(Registro!$P:$P,Registro!$B:$B,$A8,Registro!$D:$D,$B8)</x:f>
        <x:v>389</x:v>
      </x:c>
      <x:c r="O8" s="25" t="n">
        <x:f>IFERROR(N8/M8,0)</x:f>
        <x:v>0.8004115226337448</x:v>
      </x:c>
    </x:row>
    <x:row r="9">
      <x:c r="A9" s="23" t="n">
        <x:v>2023</x:v>
      </x:c>
      <x:c r="B9" s="24" t="n">
        <x:v>8</x:v>
      </x:c>
      <x:c r="C9" s="24" t="str">
        <x:v>Agosto</x:v>
      </x:c>
      <x:c r="D9" s="24" t="n">
        <x:f>COUNTIFS(Registro!$B:$B,$A9,Registro!$D:$D,$B9)</x:f>
        <x:v>11</x:v>
      </x:c>
      <x:c r="E9" s="24" t="n">
        <x:f>COUNTIFS(Registro!$B:$B,$A9,Registro!$D:$D,$B9,Registro!$X:$X,"Ejecutada")</x:f>
        <x:v>10</x:v>
      </x:c>
      <x:c r="F9" s="24" t="n">
        <x:f>COUNTIFS(Registro!$B:$B,$A9,Registro!$D:$D,$B9,Registro!$X:$X,"Reprogramada")</x:f>
        <x:v>1</x:v>
      </x:c>
      <x:c r="G9" s="24" t="n">
        <x:f>COUNTIFS(Registro!$B:$B,$A9,Registro!$D:$D,$B9,Registro!$X:$X,"Cancelada")</x:f>
        <x:v>0</x:v>
      </x:c>
      <x:c r="H9" s="24" t="n">
        <x:f>SUMIFS(Registro!$L:$L,Registro!$B:$B,$A9,Registro!$D:$D,$B9)</x:f>
        <x:v>11</x:v>
      </x:c>
      <x:c r="I9" s="24" t="n">
        <x:f>SUMIFS(Registro!$N:$N,Registro!$B:$B,$A9,Registro!$D:$D,$B9)</x:f>
        <x:v>11.5</x:v>
      </x:c>
      <x:c r="J9" s="24" t="n">
        <x:f>IFERROR(SUMIFS(Registro!$Q:$Q,Registro!$B:$B,$A9,Registro!$D:$D,$B9,Registro!$X:$X,"Ejecutada")/COUNTIFS(Registro!$B:$B,$A9,Registro!$D:$D,$B9,Registro!$X:$X,"Ejecutada"),0)</x:f>
        <x:v>0.8560519704841466</x:v>
      </x:c>
      <x:c r="K9" s="24" t="n">
        <x:f>COUNTIFS(Registro!$B:$B,$A9,Registro!$D:$D,$B9,Registro!$T:$T,"Sí")</x:f>
        <x:v>7</x:v>
      </x:c>
      <x:c r="L9" s="24" t="n">
        <x:f>IFERROR(K9/E9,0)</x:f>
        <x:v>0.7</x:v>
      </x:c>
      <x:c r="M9" s="24" t="n">
        <x:f>SUMIFS(Registro!$O:$O,Registro!$B:$B,$A9,Registro!$D:$D,$B9)</x:f>
        <x:v>486</x:v>
      </x:c>
      <x:c r="N9" s="24" t="n">
        <x:f>SUMIFS(Registro!$P:$P,Registro!$B:$B,$A9,Registro!$D:$D,$B9)</x:f>
        <x:v>358</x:v>
      </x:c>
      <x:c r="O9" s="25" t="n">
        <x:f>IFERROR(N9/M9,0)</x:f>
        <x:v>0.7366255144032922</x:v>
      </x:c>
    </x:row>
    <x:row r="10">
      <x:c r="A10" s="23" t="n">
        <x:v>2023</x:v>
      </x:c>
      <x:c r="B10" s="24" t="n">
        <x:v>9</x:v>
      </x:c>
      <x:c r="C10" s="24" t="str">
        <x:v>Septiembre</x:v>
      </x:c>
      <x:c r="D10" s="24" t="n">
        <x:f>COUNTIFS(Registro!$B:$B,$A10,Registro!$D:$D,$B10)</x:f>
        <x:v>11</x:v>
      </x:c>
      <x:c r="E10" s="24" t="n">
        <x:f>COUNTIFS(Registro!$B:$B,$A10,Registro!$D:$D,$B10,Registro!$X:$X,"Ejecutada")</x:f>
        <x:v>9</x:v>
      </x:c>
      <x:c r="F10" s="24" t="n">
        <x:f>COUNTIFS(Registro!$B:$B,$A10,Registro!$D:$D,$B10,Registro!$X:$X,"Reprogramada")</x:f>
        <x:v>1</x:v>
      </x:c>
      <x:c r="G10" s="24" t="n">
        <x:f>COUNTIFS(Registro!$B:$B,$A10,Registro!$D:$D,$B10,Registro!$X:$X,"Cancelada")</x:f>
        <x:v>1</x:v>
      </x:c>
      <x:c r="H10" s="24" t="n">
        <x:f>SUMIFS(Registro!$L:$L,Registro!$B:$B,$A10,Registro!$D:$D,$B10)</x:f>
        <x:v>11</x:v>
      </x:c>
      <x:c r="I10" s="24" t="n">
        <x:f>SUMIFS(Registro!$N:$N,Registro!$B:$B,$A10,Registro!$D:$D,$B10)</x:f>
        <x:v>9</x:v>
      </x:c>
      <x:c r="J10" s="24" t="n">
        <x:f>IFERROR(SUMIFS(Registro!$Q:$Q,Registro!$B:$B,$A10,Registro!$D:$D,$B10,Registro!$X:$X,"Ejecutada")/COUNTIFS(Registro!$B:$B,$A10,Registro!$D:$D,$B10,Registro!$X:$X,"Ejecutada"),0)</x:f>
        <x:v>0.8997802201601668</x:v>
      </x:c>
      <x:c r="K10" s="24" t="n">
        <x:f>COUNTIFS(Registro!$B:$B,$A10,Registro!$D:$D,$B10,Registro!$T:$T,"Sí")</x:f>
        <x:v>8</x:v>
      </x:c>
      <x:c r="L10" s="24" t="n">
        <x:f>IFERROR(K10/E10,0)</x:f>
        <x:v>0.8888888888888888</x:v>
      </x:c>
      <x:c r="M10" s="24" t="n">
        <x:f>SUMIFS(Registro!$O:$O,Registro!$B:$B,$A10,Registro!$D:$D,$B10)</x:f>
        <x:v>486</x:v>
      </x:c>
      <x:c r="N10" s="24" t="n">
        <x:f>SUMIFS(Registro!$P:$P,Registro!$B:$B,$A10,Registro!$D:$D,$B10)</x:f>
        <x:v>369</x:v>
      </x:c>
      <x:c r="O10" s="25" t="n">
        <x:f>IFERROR(N10/M10,0)</x:f>
        <x:v>0.7592592592592593</x:v>
      </x:c>
    </x:row>
    <x:row r="11">
      <x:c r="A11" s="23" t="n">
        <x:v>2023</x:v>
      </x:c>
      <x:c r="B11" s="24" t="n">
        <x:v>10</x:v>
      </x:c>
      <x:c r="C11" s="24" t="str">
        <x:v>Octubre</x:v>
      </x:c>
      <x:c r="D11" s="24" t="n">
        <x:f>COUNTIFS(Registro!$B:$B,$A11,Registro!$D:$D,$B11)</x:f>
        <x:v>11</x:v>
      </x:c>
      <x:c r="E11" s="24" t="n">
        <x:f>COUNTIFS(Registro!$B:$B,$A11,Registro!$D:$D,$B11,Registro!$X:$X,"Ejecutada")</x:f>
        <x:v>10</x:v>
      </x:c>
      <x:c r="F11" s="24" t="n">
        <x:f>COUNTIFS(Registro!$B:$B,$A11,Registro!$D:$D,$B11,Registro!$X:$X,"Reprogramada")</x:f>
        <x:v>0</x:v>
      </x:c>
      <x:c r="G11" s="24" t="n">
        <x:f>COUNTIFS(Registro!$B:$B,$A11,Registro!$D:$D,$B11,Registro!$X:$X,"Cancelada")</x:f>
        <x:v>1</x:v>
      </x:c>
      <x:c r="H11" s="24" t="n">
        <x:f>SUMIFS(Registro!$L:$L,Registro!$B:$B,$A11,Registro!$D:$D,$B11)</x:f>
        <x:v>22</x:v>
      </x:c>
      <x:c r="I11" s="24" t="n">
        <x:f>SUMIFS(Registro!$N:$N,Registro!$B:$B,$A11,Registro!$D:$D,$B11)</x:f>
        <x:v>20</x:v>
      </x:c>
      <x:c r="J11" s="24" t="n">
        <x:f>IFERROR(SUMIFS(Registro!$Q:$Q,Registro!$B:$B,$A11,Registro!$D:$D,$B11,Registro!$X:$X,"Ejecutada")/COUNTIFS(Registro!$B:$B,$A11,Registro!$D:$D,$B11,Registro!$X:$X,"Ejecutada"),0)</x:f>
        <x:v>0.8850422830952646</x:v>
      </x:c>
      <x:c r="K11" s="24" t="n">
        <x:f>COUNTIFS(Registro!$B:$B,$A11,Registro!$D:$D,$B11,Registro!$T:$T,"Sí")</x:f>
        <x:v>10</x:v>
      </x:c>
      <x:c r="L11" s="24" t="n">
        <x:f>IFERROR(K11/E11,0)</x:f>
        <x:v>1</x:v>
      </x:c>
      <x:c r="M11" s="24" t="n">
        <x:f>SUMIFS(Registro!$O:$O,Registro!$B:$B,$A11,Registro!$D:$D,$B11)</x:f>
        <x:v>486</x:v>
      </x:c>
      <x:c r="N11" s="24" t="n">
        <x:f>SUMIFS(Registro!$P:$P,Registro!$B:$B,$A11,Registro!$D:$D,$B11)</x:f>
        <x:v>371</x:v>
      </x:c>
      <x:c r="O11" s="25" t="n">
        <x:f>IFERROR(N11/M11,0)</x:f>
        <x:v>0.7633744855967078</x:v>
      </x:c>
    </x:row>
    <x:row r="12">
      <x:c r="A12" s="23" t="n">
        <x:v>2023</x:v>
      </x:c>
      <x:c r="B12" s="24" t="n">
        <x:v>11</x:v>
      </x:c>
      <x:c r="C12" s="24" t="str">
        <x:v>Noviembre</x:v>
      </x:c>
      <x:c r="D12" s="24" t="n">
        <x:f>COUNTIFS(Registro!$B:$B,$A12,Registro!$D:$D,$B12)</x:f>
        <x:v>11</x:v>
      </x:c>
      <x:c r="E12" s="24" t="n">
        <x:f>COUNTIFS(Registro!$B:$B,$A12,Registro!$D:$D,$B12,Registro!$X:$X,"Ejecutada")</x:f>
        <x:v>8</x:v>
      </x:c>
      <x:c r="F12" s="24" t="n">
        <x:f>COUNTIFS(Registro!$B:$B,$A12,Registro!$D:$D,$B12,Registro!$X:$X,"Reprogramada")</x:f>
        <x:v>3</x:v>
      </x:c>
      <x:c r="G12" s="24" t="n">
        <x:f>COUNTIFS(Registro!$B:$B,$A12,Registro!$D:$D,$B12,Registro!$X:$X,"Cancelada")</x:f>
        <x:v>0</x:v>
      </x:c>
      <x:c r="H12" s="24" t="n">
        <x:f>SUMIFS(Registro!$L:$L,Registro!$B:$B,$A12,Registro!$D:$D,$B12)</x:f>
        <x:v>11</x:v>
      </x:c>
      <x:c r="I12" s="24" t="n">
        <x:f>SUMIFS(Registro!$N:$N,Registro!$B:$B,$A12,Registro!$D:$D,$B12)</x:f>
        <x:v>9</x:v>
      </x:c>
      <x:c r="J12" s="24" t="n">
        <x:f>IFERROR(SUMIFS(Registro!$Q:$Q,Registro!$B:$B,$A12,Registro!$D:$D,$B12,Registro!$X:$X,"Ejecutada")/COUNTIFS(Registro!$B:$B,$A12,Registro!$D:$D,$B12,Registro!$X:$X,"Ejecutada"),0)</x:f>
        <x:v>0.8954890230138474</x:v>
      </x:c>
      <x:c r="K12" s="24" t="n">
        <x:f>COUNTIFS(Registro!$B:$B,$A12,Registro!$D:$D,$B12,Registro!$T:$T,"Sí")</x:f>
        <x:v>7</x:v>
      </x:c>
      <x:c r="L12" s="24" t="n">
        <x:f>IFERROR(K12/E12,0)</x:f>
        <x:v>0.875</x:v>
      </x:c>
      <x:c r="M12" s="24" t="n">
        <x:f>SUMIFS(Registro!$O:$O,Registro!$B:$B,$A12,Registro!$D:$D,$B12)</x:f>
        <x:v>486</x:v>
      </x:c>
      <x:c r="N12" s="24" t="n">
        <x:f>SUMIFS(Registro!$P:$P,Registro!$B:$B,$A12,Registro!$D:$D,$B12)</x:f>
        <x:v>302</x:v>
      </x:c>
      <x:c r="O12" s="25" t="n">
        <x:f>IFERROR(N12/M12,0)</x:f>
        <x:v>0.6213991769547325</x:v>
      </x:c>
    </x:row>
    <x:row r="13">
      <x:c r="A13" s="23" t="n">
        <x:v>2023</x:v>
      </x:c>
      <x:c r="B13" s="24" t="n">
        <x:v>12</x:v>
      </x:c>
      <x:c r="C13" s="24" t="str">
        <x:v>Diciembre</x:v>
      </x:c>
      <x:c r="D13" s="24" t="n">
        <x:f>COUNTIFS(Registro!$B:$B,$A13,Registro!$D:$D,$B13)</x:f>
        <x:v>11</x:v>
      </x:c>
      <x:c r="E13" s="24" t="n">
        <x:f>COUNTIFS(Registro!$B:$B,$A13,Registro!$D:$D,$B13,Registro!$X:$X,"Ejecutada")</x:f>
        <x:v>10</x:v>
      </x:c>
      <x:c r="F13" s="24" t="n">
        <x:f>COUNTIFS(Registro!$B:$B,$A13,Registro!$D:$D,$B13,Registro!$X:$X,"Reprogramada")</x:f>
        <x:v>0</x:v>
      </x:c>
      <x:c r="G13" s="24" t="n">
        <x:f>COUNTIFS(Registro!$B:$B,$A13,Registro!$D:$D,$B13,Registro!$X:$X,"Cancelada")</x:f>
        <x:v>1</x:v>
      </x:c>
      <x:c r="H13" s="24" t="n">
        <x:f>SUMIFS(Registro!$L:$L,Registro!$B:$B,$A13,Registro!$D:$D,$B13)</x:f>
        <x:v>11</x:v>
      </x:c>
      <x:c r="I13" s="24" t="n">
        <x:f>SUMIFS(Registro!$N:$N,Registro!$B:$B,$A13,Registro!$D:$D,$B13)</x:f>
        <x:v>10.5</x:v>
      </x:c>
      <x:c r="J13" s="24" t="n">
        <x:f>IFERROR(SUMIFS(Registro!$Q:$Q,Registro!$B:$B,$A13,Registro!$D:$D,$B13,Registro!$X:$X,"Ejecutada")/COUNTIFS(Registro!$B:$B,$A13,Registro!$D:$D,$B13,Registro!$X:$X,"Ejecutada"),0)</x:f>
        <x:v>0.8889028704276993</x:v>
      </x:c>
      <x:c r="K13" s="24" t="n">
        <x:f>COUNTIFS(Registro!$B:$B,$A13,Registro!$D:$D,$B13,Registro!$T:$T,"Sí")</x:f>
        <x:v>9</x:v>
      </x:c>
      <x:c r="L13" s="24" t="n">
        <x:f>IFERROR(K13/E13,0)</x:f>
        <x:v>0.9</x:v>
      </x:c>
      <x:c r="M13" s="24" t="n">
        <x:f>SUMIFS(Registro!$O:$O,Registro!$B:$B,$A13,Registro!$D:$D,$B13)</x:f>
        <x:v>486</x:v>
      </x:c>
      <x:c r="N13" s="24" t="n">
        <x:f>SUMIFS(Registro!$P:$P,Registro!$B:$B,$A13,Registro!$D:$D,$B13)</x:f>
        <x:v>364</x:v>
      </x:c>
      <x:c r="O13" s="25" t="n">
        <x:f>IFERROR(N13/M13,0)</x:f>
        <x:v>0.7489711934156379</x:v>
      </x:c>
    </x:row>
    <x:row r="14">
      <x:c r="A14" s="23" t="n">
        <x:v>2024</x:v>
      </x:c>
      <x:c r="B14" s="24" t="n">
        <x:v>1</x:v>
      </x:c>
      <x:c r="C14" s="24" t="str">
        <x:v>Enero</x:v>
      </x:c>
      <x:c r="D14" s="24" t="n">
        <x:f>COUNTIFS(Registro!$B:$B,$A14,Registro!$D:$D,$B14)</x:f>
        <x:v>11</x:v>
      </x:c>
      <x:c r="E14" s="24" t="n">
        <x:f>COUNTIFS(Registro!$B:$B,$A14,Registro!$D:$D,$B14,Registro!$X:$X,"Ejecutada")</x:f>
        <x:v>9</x:v>
      </x:c>
      <x:c r="F14" s="24" t="n">
        <x:f>COUNTIFS(Registro!$B:$B,$A14,Registro!$D:$D,$B14,Registro!$X:$X,"Reprogramada")</x:f>
        <x:v>1</x:v>
      </x:c>
      <x:c r="G14" s="24" t="n">
        <x:f>COUNTIFS(Registro!$B:$B,$A14,Registro!$D:$D,$B14,Registro!$X:$X,"Cancelada")</x:f>
        <x:v>1</x:v>
      </x:c>
      <x:c r="H14" s="24" t="n">
        <x:f>SUMIFS(Registro!$L:$L,Registro!$B:$B,$A14,Registro!$D:$D,$B14)</x:f>
        <x:v>22</x:v>
      </x:c>
      <x:c r="I14" s="24" t="n">
        <x:f>SUMIFS(Registro!$N:$N,Registro!$B:$B,$A14,Registro!$D:$D,$B14)</x:f>
        <x:v>18.5</x:v>
      </x:c>
      <x:c r="J14" s="24" t="n">
        <x:f>IFERROR(SUMIFS(Registro!$Q:$Q,Registro!$B:$B,$A14,Registro!$D:$D,$B14,Registro!$X:$X,"Ejecutada")/COUNTIFS(Registro!$B:$B,$A14,Registro!$D:$D,$B14,Registro!$X:$X,"Ejecutada"),0)</x:f>
        <x:v>0.8698039446650557</x:v>
      </x:c>
      <x:c r="K14" s="24" t="n">
        <x:f>COUNTIFS(Registro!$B:$B,$A14,Registro!$D:$D,$B14,Registro!$T:$T,"Sí")</x:f>
        <x:v>9</x:v>
      </x:c>
      <x:c r="L14" s="24" t="n">
        <x:f>IFERROR(K14/E14,0)</x:f>
        <x:v>1</x:v>
      </x:c>
      <x:c r="M14" s="24" t="n">
        <x:f>SUMIFS(Registro!$O:$O,Registro!$B:$B,$A14,Registro!$D:$D,$B14)</x:f>
        <x:v>501</x:v>
      </x:c>
      <x:c r="N14" s="24" t="n">
        <x:f>SUMIFS(Registro!$P:$P,Registro!$B:$B,$A14,Registro!$D:$D,$B14)</x:f>
        <x:v>355</x:v>
      </x:c>
      <x:c r="O14" s="25" t="n">
        <x:f>IFERROR(N14/M14,0)</x:f>
        <x:v>0.7085828343313373</x:v>
      </x:c>
    </x:row>
    <x:row r="15">
      <x:c r="A15" s="23" t="n">
        <x:v>2024</x:v>
      </x:c>
      <x:c r="B15" s="24" t="n">
        <x:v>2</x:v>
      </x:c>
      <x:c r="C15" s="24" t="str">
        <x:v>Febrero</x:v>
      </x:c>
      <x:c r="D15" s="24" t="n">
        <x:f>COUNTIFS(Registro!$B:$B,$A15,Registro!$D:$D,$B15)</x:f>
        <x:v>11</x:v>
      </x:c>
      <x:c r="E15" s="24" t="n">
        <x:f>COUNTIFS(Registro!$B:$B,$A15,Registro!$D:$D,$B15,Registro!$X:$X,"Ejecutada")</x:f>
        <x:v>10</x:v>
      </x:c>
      <x:c r="F15" s="24" t="n">
        <x:f>COUNTIFS(Registro!$B:$B,$A15,Registro!$D:$D,$B15,Registro!$X:$X,"Reprogramada")</x:f>
        <x:v>0</x:v>
      </x:c>
      <x:c r="G15" s="24" t="n">
        <x:f>COUNTIFS(Registro!$B:$B,$A15,Registro!$D:$D,$B15,Registro!$X:$X,"Cancelada")</x:f>
        <x:v>1</x:v>
      </x:c>
      <x:c r="H15" s="24" t="n">
        <x:f>SUMIFS(Registro!$L:$L,Registro!$B:$B,$A15,Registro!$D:$D,$B15)</x:f>
        <x:v>22</x:v>
      </x:c>
      <x:c r="I15" s="24" t="n">
        <x:f>SUMIFS(Registro!$N:$N,Registro!$B:$B,$A15,Registro!$D:$D,$B15)</x:f>
        <x:v>19</x:v>
      </x:c>
      <x:c r="J15" s="24" t="n">
        <x:f>IFERROR(SUMIFS(Registro!$Q:$Q,Registro!$B:$B,$A15,Registro!$D:$D,$B15,Registro!$X:$X,"Ejecutada")/COUNTIFS(Registro!$B:$B,$A15,Registro!$D:$D,$B15,Registro!$X:$X,"Ejecutada"),0)</x:f>
        <x:v>0.8870945945945946</x:v>
      </x:c>
      <x:c r="K15" s="24" t="n">
        <x:f>COUNTIFS(Registro!$B:$B,$A15,Registro!$D:$D,$B15,Registro!$T:$T,"Sí")</x:f>
        <x:v>10</x:v>
      </x:c>
      <x:c r="L15" s="24" t="n">
        <x:f>IFERROR(K15/E15,0)</x:f>
        <x:v>1</x:v>
      </x:c>
      <x:c r="M15" s="24" t="n">
        <x:f>SUMIFS(Registro!$O:$O,Registro!$B:$B,$A15,Registro!$D:$D,$B15)</x:f>
        <x:v>501</x:v>
      </x:c>
      <x:c r="N15" s="24" t="n">
        <x:f>SUMIFS(Registro!$P:$P,Registro!$B:$B,$A15,Registro!$D:$D,$B15)</x:f>
        <x:v>400</x:v>
      </x:c>
      <x:c r="O15" s="25" t="n">
        <x:f>IFERROR(N15/M15,0)</x:f>
        <x:v>0.7984031936127745</x:v>
      </x:c>
    </x:row>
    <x:row r="16">
      <x:c r="A16" s="23" t="n">
        <x:v>2024</x:v>
      </x:c>
      <x:c r="B16" s="24" t="n">
        <x:v>3</x:v>
      </x:c>
      <x:c r="C16" s="24" t="str">
        <x:v>Marzo</x:v>
      </x:c>
      <x:c r="D16" s="24" t="n">
        <x:f>COUNTIFS(Registro!$B:$B,$A16,Registro!$D:$D,$B16)</x:f>
        <x:v>11</x:v>
      </x:c>
      <x:c r="E16" s="24" t="n">
        <x:f>COUNTIFS(Registro!$B:$B,$A16,Registro!$D:$D,$B16,Registro!$X:$X,"Ejecutada")</x:f>
        <x:v>8</x:v>
      </x:c>
      <x:c r="F16" s="24" t="n">
        <x:f>COUNTIFS(Registro!$B:$B,$A16,Registro!$D:$D,$B16,Registro!$X:$X,"Reprogramada")</x:f>
        <x:v>2</x:v>
      </x:c>
      <x:c r="G16" s="24" t="n">
        <x:f>COUNTIFS(Registro!$B:$B,$A16,Registro!$D:$D,$B16,Registro!$X:$X,"Cancelada")</x:f>
        <x:v>1</x:v>
      </x:c>
      <x:c r="H16" s="24" t="n">
        <x:f>SUMIFS(Registro!$L:$L,Registro!$B:$B,$A16,Registro!$D:$D,$B16)</x:f>
        <x:v>11</x:v>
      </x:c>
      <x:c r="I16" s="24" t="n">
        <x:f>SUMIFS(Registro!$N:$N,Registro!$B:$B,$A16,Registro!$D:$D,$B16)</x:f>
        <x:v>8</x:v>
      </x:c>
      <x:c r="J16" s="24" t="n">
        <x:f>IFERROR(SUMIFS(Registro!$Q:$Q,Registro!$B:$B,$A16,Registro!$D:$D,$B16,Registro!$X:$X,"Ejecutada")/COUNTIFS(Registro!$B:$B,$A16,Registro!$D:$D,$B16,Registro!$X:$X,"Ejecutada"),0)</x:f>
        <x:v>0.8816551596239096</x:v>
      </x:c>
      <x:c r="K16" s="24" t="n">
        <x:f>COUNTIFS(Registro!$B:$B,$A16,Registro!$D:$D,$B16,Registro!$T:$T,"Sí")</x:f>
        <x:v>7</x:v>
      </x:c>
      <x:c r="L16" s="24" t="n">
        <x:f>IFERROR(K16/E16,0)</x:f>
        <x:v>0.875</x:v>
      </x:c>
      <x:c r="M16" s="24" t="n">
        <x:f>SUMIFS(Registro!$O:$O,Registro!$B:$B,$A16,Registro!$D:$D,$B16)</x:f>
        <x:v>501</x:v>
      </x:c>
      <x:c r="N16" s="24" t="n">
        <x:f>SUMIFS(Registro!$P:$P,Registro!$B:$B,$A16,Registro!$D:$D,$B16)</x:f>
        <x:v>271</x:v>
      </x:c>
      <x:c r="O16" s="25" t="n">
        <x:f>IFERROR(N16/M16,0)</x:f>
        <x:v>0.5409181636726547</x:v>
      </x:c>
    </x:row>
    <x:row r="17">
      <x:c r="A17" s="23" t="n">
        <x:v>2024</x:v>
      </x:c>
      <x:c r="B17" s="24" t="n">
        <x:v>4</x:v>
      </x:c>
      <x:c r="C17" s="24" t="str">
        <x:v>Abril</x:v>
      </x:c>
      <x:c r="D17" s="24" t="n">
        <x:f>COUNTIFS(Registro!$B:$B,$A17,Registro!$D:$D,$B17)</x:f>
        <x:v>11</x:v>
      </x:c>
      <x:c r="E17" s="24" t="n">
        <x:f>COUNTIFS(Registro!$B:$B,$A17,Registro!$D:$D,$B17,Registro!$X:$X,"Ejecutada")</x:f>
        <x:v>11</x:v>
      </x:c>
      <x:c r="F17" s="24" t="n">
        <x:f>COUNTIFS(Registro!$B:$B,$A17,Registro!$D:$D,$B17,Registro!$X:$X,"Reprogramada")</x:f>
        <x:v>0</x:v>
      </x:c>
      <x:c r="G17" s="24" t="n">
        <x:f>COUNTIFS(Registro!$B:$B,$A17,Registro!$D:$D,$B17,Registro!$X:$X,"Cancelada")</x:f>
        <x:v>0</x:v>
      </x:c>
      <x:c r="H17" s="24" t="n">
        <x:f>SUMIFS(Registro!$L:$L,Registro!$B:$B,$A17,Registro!$D:$D,$B17)</x:f>
        <x:v>44</x:v>
      </x:c>
      <x:c r="I17" s="24" t="n">
        <x:f>SUMIFS(Registro!$N:$N,Registro!$B:$B,$A17,Registro!$D:$D,$B17)</x:f>
        <x:v>43.5</x:v>
      </x:c>
      <x:c r="J17" s="24" t="n">
        <x:f>IFERROR(SUMIFS(Registro!$Q:$Q,Registro!$B:$B,$A17,Registro!$D:$D,$B17,Registro!$X:$X,"Ejecutada")/COUNTIFS(Registro!$B:$B,$A17,Registro!$D:$D,$B17,Registro!$X:$X,"Ejecutada"),0)</x:f>
        <x:v>0.8109633747133747</x:v>
      </x:c>
      <x:c r="K17" s="24" t="n">
        <x:f>COUNTIFS(Registro!$B:$B,$A17,Registro!$D:$D,$B17,Registro!$T:$T,"Sí")</x:f>
        <x:v>6</x:v>
      </x:c>
      <x:c r="L17" s="24" t="n">
        <x:f>IFERROR(K17/E17,0)</x:f>
        <x:v>0.5454545454545454</x:v>
      </x:c>
      <x:c r="M17" s="24" t="n">
        <x:f>SUMIFS(Registro!$O:$O,Registro!$B:$B,$A17,Registro!$D:$D,$B17)</x:f>
        <x:v>501</x:v>
      </x:c>
      <x:c r="N17" s="24" t="n">
        <x:f>SUMIFS(Registro!$P:$P,Registro!$B:$B,$A17,Registro!$D:$D,$B17)</x:f>
        <x:v>403</x:v>
      </x:c>
      <x:c r="O17" s="25" t="n">
        <x:f>IFERROR(N17/M17,0)</x:f>
        <x:v>0.8043912175648703</x:v>
      </x:c>
    </x:row>
    <x:row r="18">
      <x:c r="A18" s="23" t="n">
        <x:v>2024</x:v>
      </x:c>
      <x:c r="B18" s="24" t="n">
        <x:v>5</x:v>
      </x:c>
      <x:c r="C18" s="24" t="str">
        <x:v>Mayo</x:v>
      </x:c>
      <x:c r="D18" s="24" t="n">
        <x:f>COUNTIFS(Registro!$B:$B,$A18,Registro!$D:$D,$B18)</x:f>
        <x:v>11</x:v>
      </x:c>
      <x:c r="E18" s="24" t="n">
        <x:f>COUNTIFS(Registro!$B:$B,$A18,Registro!$D:$D,$B18,Registro!$X:$X,"Ejecutada")</x:f>
        <x:v>9</x:v>
      </x:c>
      <x:c r="F18" s="24" t="n">
        <x:f>COUNTIFS(Registro!$B:$B,$A18,Registro!$D:$D,$B18,Registro!$X:$X,"Reprogramada")</x:f>
        <x:v>1</x:v>
      </x:c>
      <x:c r="G18" s="24" t="n">
        <x:f>COUNTIFS(Registro!$B:$B,$A18,Registro!$D:$D,$B18,Registro!$X:$X,"Cancelada")</x:f>
        <x:v>1</x:v>
      </x:c>
      <x:c r="H18" s="24" t="n">
        <x:f>SUMIFS(Registro!$L:$L,Registro!$B:$B,$A18,Registro!$D:$D,$B18)</x:f>
        <x:v>22</x:v>
      </x:c>
      <x:c r="I18" s="24" t="n">
        <x:f>SUMIFS(Registro!$N:$N,Registro!$B:$B,$A18,Registro!$D:$D,$B18)</x:f>
        <x:v>17</x:v>
      </x:c>
      <x:c r="J18" s="24" t="n">
        <x:f>IFERROR(SUMIFS(Registro!$Q:$Q,Registro!$B:$B,$A18,Registro!$D:$D,$B18,Registro!$X:$X,"Ejecutada")/COUNTIFS(Registro!$B:$B,$A18,Registro!$D:$D,$B18,Registro!$X:$X,"Ejecutada"),0)</x:f>
        <x:v>0.8933074283074283</x:v>
      </x:c>
      <x:c r="K18" s="24" t="n">
        <x:f>COUNTIFS(Registro!$B:$B,$A18,Registro!$D:$D,$B18,Registro!$T:$T,"Sí")</x:f>
        <x:v>9</x:v>
      </x:c>
      <x:c r="L18" s="24" t="n">
        <x:f>IFERROR(K18/E18,0)</x:f>
        <x:v>1</x:v>
      </x:c>
      <x:c r="M18" s="24" t="n">
        <x:f>SUMIFS(Registro!$O:$O,Registro!$B:$B,$A18,Registro!$D:$D,$B18)</x:f>
        <x:v>501</x:v>
      </x:c>
      <x:c r="N18" s="24" t="n">
        <x:f>SUMIFS(Registro!$P:$P,Registro!$B:$B,$A18,Registro!$D:$D,$B18)</x:f>
        <x:v>363</x:v>
      </x:c>
      <x:c r="O18" s="25" t="n">
        <x:f>IFERROR(N18/M18,0)</x:f>
        <x:v>0.7245508982035929</x:v>
      </x:c>
    </x:row>
    <x:row r="19">
      <x:c r="A19" s="23" t="n">
        <x:v>2024</x:v>
      </x:c>
      <x:c r="B19" s="24" t="n">
        <x:v>6</x:v>
      </x:c>
      <x:c r="C19" s="24" t="str">
        <x:v>Junio</x:v>
      </x:c>
      <x:c r="D19" s="24" t="n">
        <x:f>COUNTIFS(Registro!$B:$B,$A19,Registro!$D:$D,$B19)</x:f>
        <x:v>11</x:v>
      </x:c>
      <x:c r="E19" s="24" t="n">
        <x:f>COUNTIFS(Registro!$B:$B,$A19,Registro!$D:$D,$B19,Registro!$X:$X,"Ejecutada")</x:f>
        <x:v>8</x:v>
      </x:c>
      <x:c r="F19" s="24" t="n">
        <x:f>COUNTIFS(Registro!$B:$B,$A19,Registro!$D:$D,$B19,Registro!$X:$X,"Reprogramada")</x:f>
        <x:v>2</x:v>
      </x:c>
      <x:c r="G19" s="24" t="n">
        <x:f>COUNTIFS(Registro!$B:$B,$A19,Registro!$D:$D,$B19,Registro!$X:$X,"Cancelada")</x:f>
        <x:v>1</x:v>
      </x:c>
      <x:c r="H19" s="24" t="n">
        <x:f>SUMIFS(Registro!$L:$L,Registro!$B:$B,$A19,Registro!$D:$D,$B19)</x:f>
        <x:v>22</x:v>
      </x:c>
      <x:c r="I19" s="24" t="n">
        <x:f>SUMIFS(Registro!$N:$N,Registro!$B:$B,$A19,Registro!$D:$D,$B19)</x:f>
        <x:v>17</x:v>
      </x:c>
      <x:c r="J19" s="24" t="n">
        <x:f>IFERROR(SUMIFS(Registro!$Q:$Q,Registro!$B:$B,$A19,Registro!$D:$D,$B19,Registro!$X:$X,"Ejecutada")/COUNTIFS(Registro!$B:$B,$A19,Registro!$D:$D,$B19,Registro!$X:$X,"Ejecutada"),0)</x:f>
        <x:v>0.840366516929017</x:v>
      </x:c>
      <x:c r="K19" s="24" t="n">
        <x:f>COUNTIFS(Registro!$B:$B,$A19,Registro!$D:$D,$B19,Registro!$T:$T,"Sí")</x:f>
        <x:v>6</x:v>
      </x:c>
      <x:c r="L19" s="24" t="n">
        <x:f>IFERROR(K19/E19,0)</x:f>
        <x:v>0.75</x:v>
      </x:c>
      <x:c r="M19" s="24" t="n">
        <x:f>SUMIFS(Registro!$O:$O,Registro!$B:$B,$A19,Registro!$D:$D,$B19)</x:f>
        <x:v>501</x:v>
      </x:c>
      <x:c r="N19" s="24" t="n">
        <x:f>SUMIFS(Registro!$P:$P,Registro!$B:$B,$A19,Registro!$D:$D,$B19)</x:f>
        <x:v>318</x:v>
      </x:c>
      <x:c r="O19" s="25" t="n">
        <x:f>IFERROR(N19/M19,0)</x:f>
        <x:v>0.6347305389221557</x:v>
      </x:c>
    </x:row>
    <x:row r="20">
      <x:c r="A20" s="23" t="n">
        <x:v>2024</x:v>
      </x:c>
      <x:c r="B20" s="24" t="n">
        <x:v>7</x:v>
      </x:c>
      <x:c r="C20" s="24" t="str">
        <x:v>Julio</x:v>
      </x:c>
      <x:c r="D20" s="24" t="n">
        <x:f>COUNTIFS(Registro!$B:$B,$A20,Registro!$D:$D,$B20)</x:f>
        <x:v>11</x:v>
      </x:c>
      <x:c r="E20" s="24" t="n">
        <x:f>COUNTIFS(Registro!$B:$B,$A20,Registro!$D:$D,$B20,Registro!$X:$X,"Ejecutada")</x:f>
        <x:v>9</x:v>
      </x:c>
      <x:c r="F20" s="24" t="n">
        <x:f>COUNTIFS(Registro!$B:$B,$A20,Registro!$D:$D,$B20,Registro!$X:$X,"Reprogramada")</x:f>
        <x:v>1</x:v>
      </x:c>
      <x:c r="G20" s="24" t="n">
        <x:f>COUNTIFS(Registro!$B:$B,$A20,Registro!$D:$D,$B20,Registro!$X:$X,"Cancelada")</x:f>
        <x:v>1</x:v>
      </x:c>
      <x:c r="H20" s="24" t="n">
        <x:f>SUMIFS(Registro!$L:$L,Registro!$B:$B,$A20,Registro!$D:$D,$B20)</x:f>
        <x:v>33</x:v>
      </x:c>
      <x:c r="I20" s="24" t="n">
        <x:f>SUMIFS(Registro!$N:$N,Registro!$B:$B,$A20,Registro!$D:$D,$B20)</x:f>
        <x:v>26</x:v>
      </x:c>
      <x:c r="J20" s="24" t="n">
        <x:f>IFERROR(SUMIFS(Registro!$Q:$Q,Registro!$B:$B,$A20,Registro!$D:$D,$B20,Registro!$X:$X,"Ejecutada")/COUNTIFS(Registro!$B:$B,$A20,Registro!$D:$D,$B20,Registro!$X:$X,"Ejecutada"),0)</x:f>
        <x:v>0.8556217145106033</x:v>
      </x:c>
      <x:c r="K20" s="24" t="n">
        <x:f>COUNTIFS(Registro!$B:$B,$A20,Registro!$D:$D,$B20,Registro!$T:$T,"Sí")</x:f>
        <x:v>8</x:v>
      </x:c>
      <x:c r="L20" s="24" t="n">
        <x:f>IFERROR(K20/E20,0)</x:f>
        <x:v>0.8888888888888888</x:v>
      </x:c>
      <x:c r="M20" s="24" t="n">
        <x:f>SUMIFS(Registro!$O:$O,Registro!$B:$B,$A20,Registro!$D:$D,$B20)</x:f>
        <x:v>501</x:v>
      </x:c>
      <x:c r="N20" s="24" t="n">
        <x:f>SUMIFS(Registro!$P:$P,Registro!$B:$B,$A20,Registro!$D:$D,$B20)</x:f>
        <x:v>351</x:v>
      </x:c>
      <x:c r="O20" s="25" t="n">
        <x:f>IFERROR(N20/M20,0)</x:f>
        <x:v>0.7005988023952096</x:v>
      </x:c>
    </x:row>
    <x:row r="21">
      <x:c r="A21" s="23" t="n">
        <x:v>2024</x:v>
      </x:c>
      <x:c r="B21" s="24" t="n">
        <x:v>8</x:v>
      </x:c>
      <x:c r="C21" s="24" t="str">
        <x:v>Agosto</x:v>
      </x:c>
      <x:c r="D21" s="24" t="n">
        <x:f>COUNTIFS(Registro!$B:$B,$A21,Registro!$D:$D,$B21)</x:f>
        <x:v>11</x:v>
      </x:c>
      <x:c r="E21" s="24" t="n">
        <x:f>COUNTIFS(Registro!$B:$B,$A21,Registro!$D:$D,$B21,Registro!$X:$X,"Ejecutada")</x:f>
        <x:v>8</x:v>
      </x:c>
      <x:c r="F21" s="24" t="n">
        <x:f>COUNTIFS(Registro!$B:$B,$A21,Registro!$D:$D,$B21,Registro!$X:$X,"Reprogramada")</x:f>
        <x:v>1</x:v>
      </x:c>
      <x:c r="G21" s="24" t="n">
        <x:f>COUNTIFS(Registro!$B:$B,$A21,Registro!$D:$D,$B21,Registro!$X:$X,"Cancelada")</x:f>
        <x:v>2</x:v>
      </x:c>
      <x:c r="H21" s="24" t="n">
        <x:f>SUMIFS(Registro!$L:$L,Registro!$B:$B,$A21,Registro!$D:$D,$B21)</x:f>
        <x:v>22</x:v>
      </x:c>
      <x:c r="I21" s="24" t="n">
        <x:f>SUMIFS(Registro!$N:$N,Registro!$B:$B,$A21,Registro!$D:$D,$B21)</x:f>
        <x:v>13.5</x:v>
      </x:c>
      <x:c r="J21" s="24" t="n">
        <x:f>IFERROR(SUMIFS(Registro!$Q:$Q,Registro!$B:$B,$A21,Registro!$D:$D,$B21,Registro!$X:$X,"Ejecutada")/COUNTIFS(Registro!$B:$B,$A21,Registro!$D:$D,$B21,Registro!$X:$X,"Ejecutada"),0)</x:f>
        <x:v>0.8813215653840653</x:v>
      </x:c>
      <x:c r="K21" s="24" t="n">
        <x:f>COUNTIFS(Registro!$B:$B,$A21,Registro!$D:$D,$B21,Registro!$T:$T,"Sí")</x:f>
        <x:v>7</x:v>
      </x:c>
      <x:c r="L21" s="24" t="n">
        <x:f>IFERROR(K21/E21,0)</x:f>
        <x:v>0.875</x:v>
      </x:c>
      <x:c r="M21" s="24" t="n">
        <x:f>SUMIFS(Registro!$O:$O,Registro!$B:$B,$A21,Registro!$D:$D,$B21)</x:f>
        <x:v>501</x:v>
      </x:c>
      <x:c r="N21" s="24" t="n">
        <x:f>SUMIFS(Registro!$P:$P,Registro!$B:$B,$A21,Registro!$D:$D,$B21)</x:f>
        <x:v>302</x:v>
      </x:c>
      <x:c r="O21" s="25" t="n">
        <x:f>IFERROR(N21/M21,0)</x:f>
        <x:v>0.6027944111776448</x:v>
      </x:c>
    </x:row>
    <x:row r="22">
      <x:c r="A22" s="23" t="n">
        <x:v>2024</x:v>
      </x:c>
      <x:c r="B22" s="24" t="n">
        <x:v>9</x:v>
      </x:c>
      <x:c r="C22" s="24" t="str">
        <x:v>Septiembre</x:v>
      </x:c>
      <x:c r="D22" s="24" t="n">
        <x:f>COUNTIFS(Registro!$B:$B,$A22,Registro!$D:$D,$B22)</x:f>
        <x:v>11</x:v>
      </x:c>
      <x:c r="E22" s="24" t="n">
        <x:f>COUNTIFS(Registro!$B:$B,$A22,Registro!$D:$D,$B22,Registro!$X:$X,"Ejecutada")</x:f>
        <x:v>10</x:v>
      </x:c>
      <x:c r="F22" s="24" t="n">
        <x:f>COUNTIFS(Registro!$B:$B,$A22,Registro!$D:$D,$B22,Registro!$X:$X,"Reprogramada")</x:f>
        <x:v>1</x:v>
      </x:c>
      <x:c r="G22" s="24" t="n">
        <x:f>COUNTIFS(Registro!$B:$B,$A22,Registro!$D:$D,$B22,Registro!$X:$X,"Cancelada")</x:f>
        <x:v>0</x:v>
      </x:c>
      <x:c r="H22" s="24" t="n">
        <x:f>SUMIFS(Registro!$L:$L,Registro!$B:$B,$A22,Registro!$D:$D,$B22)</x:f>
        <x:v>11</x:v>
      </x:c>
      <x:c r="I22" s="24" t="n">
        <x:f>SUMIFS(Registro!$N:$N,Registro!$B:$B,$A22,Registro!$D:$D,$B22)</x:f>
        <x:v>10.5</x:v>
      </x:c>
      <x:c r="J22" s="24" t="n">
        <x:f>IFERROR(SUMIFS(Registro!$Q:$Q,Registro!$B:$B,$A22,Registro!$D:$D,$B22,Registro!$X:$X,"Ejecutada")/COUNTIFS(Registro!$B:$B,$A22,Registro!$D:$D,$B22,Registro!$X:$X,"Ejecutada"),0)</x:f>
        <x:v>0.8605406835406836</x:v>
      </x:c>
      <x:c r="K22" s="24" t="n">
        <x:f>COUNTIFS(Registro!$B:$B,$A22,Registro!$D:$D,$B22,Registro!$T:$T,"Sí")</x:f>
        <x:v>9</x:v>
      </x:c>
      <x:c r="L22" s="24" t="n">
        <x:f>IFERROR(K22/E22,0)</x:f>
        <x:v>0.9</x:v>
      </x:c>
      <x:c r="M22" s="24" t="n">
        <x:f>SUMIFS(Registro!$O:$O,Registro!$B:$B,$A22,Registro!$D:$D,$B22)</x:f>
        <x:v>501</x:v>
      </x:c>
      <x:c r="N22" s="24" t="n">
        <x:f>SUMIFS(Registro!$P:$P,Registro!$B:$B,$A22,Registro!$D:$D,$B22)</x:f>
        <x:v>397</x:v>
      </x:c>
      <x:c r="O22" s="25" t="n">
        <x:f>IFERROR(N22/M22,0)</x:f>
        <x:v>0.7924151696606786</x:v>
      </x:c>
    </x:row>
    <x:row r="23">
      <x:c r="A23" s="23" t="n">
        <x:v>2024</x:v>
      </x:c>
      <x:c r="B23" s="24" t="n">
        <x:v>10</x:v>
      </x:c>
      <x:c r="C23" s="24" t="str">
        <x:v>Octubre</x:v>
      </x:c>
      <x:c r="D23" s="24" t="n">
        <x:f>COUNTIFS(Registro!$B:$B,$A23,Registro!$D:$D,$B23)</x:f>
        <x:v>11</x:v>
      </x:c>
      <x:c r="E23" s="24" t="n">
        <x:f>COUNTIFS(Registro!$B:$B,$A23,Registro!$D:$D,$B23,Registro!$X:$X,"Ejecutada")</x:f>
        <x:v>11</x:v>
      </x:c>
      <x:c r="F23" s="24" t="n">
        <x:f>COUNTIFS(Registro!$B:$B,$A23,Registro!$D:$D,$B23,Registro!$X:$X,"Reprogramada")</x:f>
        <x:v>0</x:v>
      </x:c>
      <x:c r="G23" s="24" t="n">
        <x:f>COUNTIFS(Registro!$B:$B,$A23,Registro!$D:$D,$B23,Registro!$X:$X,"Cancelada")</x:f>
        <x:v>0</x:v>
      </x:c>
      <x:c r="H23" s="24" t="n">
        <x:f>SUMIFS(Registro!$L:$L,Registro!$B:$B,$A23,Registro!$D:$D,$B23)</x:f>
        <x:v>22</x:v>
      </x:c>
      <x:c r="I23" s="24" t="n">
        <x:f>SUMIFS(Registro!$N:$N,Registro!$B:$B,$A23,Registro!$D:$D,$B23)</x:f>
        <x:v>23</x:v>
      </x:c>
      <x:c r="J23" s="24" t="n">
        <x:f>IFERROR(SUMIFS(Registro!$Q:$Q,Registro!$B:$B,$A23,Registro!$D:$D,$B23,Registro!$X:$X,"Ejecutada")/COUNTIFS(Registro!$B:$B,$A23,Registro!$D:$D,$B23,Registro!$X:$X,"Ejecutada"),0)</x:f>
        <x:v>0.9093062968062969</x:v>
      </x:c>
      <x:c r="K23" s="24" t="n">
        <x:f>COUNTIFS(Registro!$B:$B,$A23,Registro!$D:$D,$B23,Registro!$T:$T,"Sí")</x:f>
        <x:v>11</x:v>
      </x:c>
      <x:c r="L23" s="24" t="n">
        <x:f>IFERROR(K23/E23,0)</x:f>
        <x:v>1</x:v>
      </x:c>
      <x:c r="M23" s="24" t="n">
        <x:f>SUMIFS(Registro!$O:$O,Registro!$B:$B,$A23,Registro!$D:$D,$B23)</x:f>
        <x:v>501</x:v>
      </x:c>
      <x:c r="N23" s="24" t="n">
        <x:f>SUMIFS(Registro!$P:$P,Registro!$B:$B,$A23,Registro!$D:$D,$B23)</x:f>
        <x:v>453</x:v>
      </x:c>
      <x:c r="O23" s="25" t="n">
        <x:f>IFERROR(N23/M23,0)</x:f>
        <x:v>0.9041916167664671</x:v>
      </x:c>
    </x:row>
    <x:row r="24">
      <x:c r="A24" s="23" t="n">
        <x:v>2024</x:v>
      </x:c>
      <x:c r="B24" s="24" t="n">
        <x:v>11</x:v>
      </x:c>
      <x:c r="C24" s="24" t="str">
        <x:v>Noviembre</x:v>
      </x:c>
      <x:c r="D24" s="24" t="n">
        <x:f>COUNTIFS(Registro!$B:$B,$A24,Registro!$D:$D,$B24)</x:f>
        <x:v>11</x:v>
      </x:c>
      <x:c r="E24" s="24" t="n">
        <x:f>COUNTIFS(Registro!$B:$B,$A24,Registro!$D:$D,$B24,Registro!$X:$X,"Ejecutada")</x:f>
        <x:v>9</x:v>
      </x:c>
      <x:c r="F24" s="24" t="n">
        <x:f>COUNTIFS(Registro!$B:$B,$A24,Registro!$D:$D,$B24,Registro!$X:$X,"Reprogramada")</x:f>
        <x:v>1</x:v>
      </x:c>
      <x:c r="G24" s="24" t="n">
        <x:f>COUNTIFS(Registro!$B:$B,$A24,Registro!$D:$D,$B24,Registro!$X:$X,"Cancelada")</x:f>
        <x:v>1</x:v>
      </x:c>
      <x:c r="H24" s="24" t="n">
        <x:f>SUMIFS(Registro!$L:$L,Registro!$B:$B,$A24,Registro!$D:$D,$B24)</x:f>
        <x:v>11</x:v>
      </x:c>
      <x:c r="I24" s="24" t="n">
        <x:f>SUMIFS(Registro!$N:$N,Registro!$B:$B,$A24,Registro!$D:$D,$B24)</x:f>
        <x:v>9.5</x:v>
      </x:c>
      <x:c r="J24" s="24" t="n">
        <x:f>IFERROR(SUMIFS(Registro!$Q:$Q,Registro!$B:$B,$A24,Registro!$D:$D,$B24,Registro!$X:$X,"Ejecutada")/COUNTIFS(Registro!$B:$B,$A24,Registro!$D:$D,$B24,Registro!$X:$X,"Ejecutada"),0)</x:f>
        <x:v>0.8980909633687413</x:v>
      </x:c>
      <x:c r="K24" s="24" t="n">
        <x:f>COUNTIFS(Registro!$B:$B,$A24,Registro!$D:$D,$B24,Registro!$T:$T,"Sí")</x:f>
        <x:v>9</x:v>
      </x:c>
      <x:c r="L24" s="24" t="n">
        <x:f>IFERROR(K24/E24,0)</x:f>
        <x:v>1</x:v>
      </x:c>
      <x:c r="M24" s="24" t="n">
        <x:f>SUMIFS(Registro!$O:$O,Registro!$B:$B,$A24,Registro!$D:$D,$B24)</x:f>
        <x:v>501</x:v>
      </x:c>
      <x:c r="N24" s="24" t="n">
        <x:f>SUMIFS(Registro!$P:$P,Registro!$B:$B,$A24,Registro!$D:$D,$B24)</x:f>
        <x:v>402</x:v>
      </x:c>
      <x:c r="O24" s="25" t="n">
        <x:f>IFERROR(N24/M24,0)</x:f>
        <x:v>0.8023952095808383</x:v>
      </x:c>
    </x:row>
    <x:row r="25">
      <x:c r="A25" s="23" t="n">
        <x:v>2024</x:v>
      </x:c>
      <x:c r="B25" s="24" t="n">
        <x:v>12</x:v>
      </x:c>
      <x:c r="C25" s="24" t="str">
        <x:v>Diciembre</x:v>
      </x:c>
      <x:c r="D25" s="24" t="n">
        <x:f>COUNTIFS(Registro!$B:$B,$A25,Registro!$D:$D,$B25)</x:f>
        <x:v>11</x:v>
      </x:c>
      <x:c r="E25" s="24" t="n">
        <x:f>COUNTIFS(Registro!$B:$B,$A25,Registro!$D:$D,$B25,Registro!$X:$X,"Ejecutada")</x:f>
        <x:v>8</x:v>
      </x:c>
      <x:c r="F25" s="24" t="n">
        <x:f>COUNTIFS(Registro!$B:$B,$A25,Registro!$D:$D,$B25,Registro!$X:$X,"Reprogramada")</x:f>
        <x:v>3</x:v>
      </x:c>
      <x:c r="G25" s="24" t="n">
        <x:f>COUNTIFS(Registro!$B:$B,$A25,Registro!$D:$D,$B25,Registro!$X:$X,"Cancelada")</x:f>
        <x:v>0</x:v>
      </x:c>
      <x:c r="H25" s="24" t="n">
        <x:f>SUMIFS(Registro!$L:$L,Registro!$B:$B,$A25,Registro!$D:$D,$B25)</x:f>
        <x:v>11</x:v>
      </x:c>
      <x:c r="I25" s="24" t="n">
        <x:f>SUMIFS(Registro!$N:$N,Registro!$B:$B,$A25,Registro!$D:$D,$B25)</x:f>
        <x:v>8.5</x:v>
      </x:c>
      <x:c r="J25" s="24" t="n">
        <x:f>IFERROR(SUMIFS(Registro!$Q:$Q,Registro!$B:$B,$A25,Registro!$D:$D,$B25,Registro!$X:$X,"Ejecutada")/COUNTIFS(Registro!$B:$B,$A25,Registro!$D:$D,$B25,Registro!$X:$X,"Ejecutada"),0)</x:f>
        <x:v>0.8613000723938223</x:v>
      </x:c>
      <x:c r="K25" s="24" t="n">
        <x:f>COUNTIFS(Registro!$B:$B,$A25,Registro!$D:$D,$B25,Registro!$T:$T,"Sí")</x:f>
        <x:v>8</x:v>
      </x:c>
      <x:c r="L25" s="24" t="n">
        <x:f>IFERROR(K25/E25,0)</x:f>
        <x:v>1</x:v>
      </x:c>
      <x:c r="M25" s="24" t="n">
        <x:f>SUMIFS(Registro!$O:$O,Registro!$B:$B,$A25,Registro!$D:$D,$B25)</x:f>
        <x:v>501</x:v>
      </x:c>
      <x:c r="N25" s="24" t="n">
        <x:f>SUMIFS(Registro!$P:$P,Registro!$B:$B,$A25,Registro!$D:$D,$B25)</x:f>
        <x:v>302</x:v>
      </x:c>
      <x:c r="O25" s="25" t="n">
        <x:f>IFERROR(N25/M25,0)</x:f>
        <x:v>0.6027944111776448</x:v>
      </x:c>
    </x:row>
    <x:row r="26">
      <x:c r="A26" s="23" t="n">
        <x:v>2025</x:v>
      </x:c>
      <x:c r="B26" s="24" t="n">
        <x:v>1</x:v>
      </x:c>
      <x:c r="C26" s="24" t="str">
        <x:v>Enero</x:v>
      </x:c>
      <x:c r="D26" s="24" t="n">
        <x:f>COUNTIFS(Registro!$B:$B,$A26,Registro!$D:$D,$B26)</x:f>
        <x:v>11</x:v>
      </x:c>
      <x:c r="E26" s="24" t="n">
        <x:f>COUNTIFS(Registro!$B:$B,$A26,Registro!$D:$D,$B26,Registro!$X:$X,"Ejecutada")</x:f>
        <x:v>10</x:v>
      </x:c>
      <x:c r="F26" s="24" t="n">
        <x:f>COUNTIFS(Registro!$B:$B,$A26,Registro!$D:$D,$B26,Registro!$X:$X,"Reprogramada")</x:f>
        <x:v>0</x:v>
      </x:c>
      <x:c r="G26" s="24" t="n">
        <x:f>COUNTIFS(Registro!$B:$B,$A26,Registro!$D:$D,$B26,Registro!$X:$X,"Cancelada")</x:f>
        <x:v>1</x:v>
      </x:c>
      <x:c r="H26" s="24" t="n">
        <x:f>SUMIFS(Registro!$L:$L,Registro!$B:$B,$A26,Registro!$D:$D,$B26)</x:f>
        <x:v>22</x:v>
      </x:c>
      <x:c r="I26" s="24" t="n">
        <x:f>SUMIFS(Registro!$N:$N,Registro!$B:$B,$A26,Registro!$D:$D,$B26)</x:f>
        <x:v>19</x:v>
      </x:c>
      <x:c r="J26" s="24" t="n">
        <x:f>IFERROR(SUMIFS(Registro!$Q:$Q,Registro!$B:$B,$A26,Registro!$D:$D,$B26,Registro!$X:$X,"Ejecutada")/COUNTIFS(Registro!$B:$B,$A26,Registro!$D:$D,$B26,Registro!$X:$X,"Ejecutada"),0)</x:f>
        <x:v>0.8912971303808028</x:v>
      </x:c>
      <x:c r="K26" s="24" t="n">
        <x:f>COUNTIFS(Registro!$B:$B,$A26,Registro!$D:$D,$B26,Registro!$T:$T,"Sí")</x:f>
        <x:v>10</x:v>
      </x:c>
      <x:c r="L26" s="24" t="n">
        <x:f>IFERROR(K26/E26,0)</x:f>
        <x:v>1</x:v>
      </x:c>
      <x:c r="M26" s="24" t="n">
        <x:f>SUMIFS(Registro!$O:$O,Registro!$B:$B,$A26,Registro!$D:$D,$B26)</x:f>
        <x:v>520</x:v>
      </x:c>
      <x:c r="N26" s="24" t="n">
        <x:f>SUMIFS(Registro!$P:$P,Registro!$B:$B,$A26,Registro!$D:$D,$B26)</x:f>
        <x:v>433</x:v>
      </x:c>
      <x:c r="O26" s="25" t="n">
        <x:f>IFERROR(N26/M26,0)</x:f>
        <x:v>0.8326923076923077</x:v>
      </x:c>
    </x:row>
    <x:row r="27">
      <x:c r="A27" s="23" t="n">
        <x:v>2025</x:v>
      </x:c>
      <x:c r="B27" s="24" t="n">
        <x:v>2</x:v>
      </x:c>
      <x:c r="C27" s="24" t="str">
        <x:v>Febrero</x:v>
      </x:c>
      <x:c r="D27" s="24" t="n">
        <x:f>COUNTIFS(Registro!$B:$B,$A27,Registro!$D:$D,$B27)</x:f>
        <x:v>11</x:v>
      </x:c>
      <x:c r="E27" s="24" t="n">
        <x:f>COUNTIFS(Registro!$B:$B,$A27,Registro!$D:$D,$B27,Registro!$X:$X,"Ejecutada")</x:f>
        <x:v>8</x:v>
      </x:c>
      <x:c r="F27" s="24" t="n">
        <x:f>COUNTIFS(Registro!$B:$B,$A27,Registro!$D:$D,$B27,Registro!$X:$X,"Reprogramada")</x:f>
        <x:v>2</x:v>
      </x:c>
      <x:c r="G27" s="24" t="n">
        <x:f>COUNTIFS(Registro!$B:$B,$A27,Registro!$D:$D,$B27,Registro!$X:$X,"Cancelada")</x:f>
        <x:v>1</x:v>
      </x:c>
      <x:c r="H27" s="24" t="n">
        <x:f>SUMIFS(Registro!$L:$L,Registro!$B:$B,$A27,Registro!$D:$D,$B27)</x:f>
        <x:v>22</x:v>
      </x:c>
      <x:c r="I27" s="24" t="n">
        <x:f>SUMIFS(Registro!$N:$N,Registro!$B:$B,$A27,Registro!$D:$D,$B27)</x:f>
        <x:v>16</x:v>
      </x:c>
      <x:c r="J27" s="24" t="n">
        <x:f>IFERROR(SUMIFS(Registro!$Q:$Q,Registro!$B:$B,$A27,Registro!$D:$D,$B27,Registro!$X:$X,"Ejecutada")/COUNTIFS(Registro!$B:$B,$A27,Registro!$D:$D,$B27,Registro!$X:$X,"Ejecutada"),0)</x:f>
        <x:v>0.8458282219749195</x:v>
      </x:c>
      <x:c r="K27" s="24" t="n">
        <x:f>COUNTIFS(Registro!$B:$B,$A27,Registro!$D:$D,$B27,Registro!$T:$T,"Sí")</x:f>
        <x:v>6</x:v>
      </x:c>
      <x:c r="L27" s="24" t="n">
        <x:f>IFERROR(K27/E27,0)</x:f>
        <x:v>0.75</x:v>
      </x:c>
      <x:c r="M27" s="24" t="n">
        <x:f>SUMIFS(Registro!$O:$O,Registro!$B:$B,$A27,Registro!$D:$D,$B27)</x:f>
        <x:v>520</x:v>
      </x:c>
      <x:c r="N27" s="24" t="n">
        <x:f>SUMIFS(Registro!$P:$P,Registro!$B:$B,$A27,Registro!$D:$D,$B27)</x:f>
        <x:v>317</x:v>
      </x:c>
      <x:c r="O27" s="25" t="n">
        <x:f>IFERROR(N27/M27,0)</x:f>
        <x:v>0.6096153846153847</x:v>
      </x:c>
    </x:row>
    <x:row r="28">
      <x:c r="A28" s="23" t="n">
        <x:v>2025</x:v>
      </x:c>
      <x:c r="B28" s="24" t="n">
        <x:v>3</x:v>
      </x:c>
      <x:c r="C28" s="24" t="str">
        <x:v>Marzo</x:v>
      </x:c>
      <x:c r="D28" s="24" t="n">
        <x:f>COUNTIFS(Registro!$B:$B,$A28,Registro!$D:$D,$B28)</x:f>
        <x:v>11</x:v>
      </x:c>
      <x:c r="E28" s="24" t="n">
        <x:f>COUNTIFS(Registro!$B:$B,$A28,Registro!$D:$D,$B28,Registro!$X:$X,"Ejecutada")</x:f>
        <x:v>10</x:v>
      </x:c>
      <x:c r="F28" s="24" t="n">
        <x:f>COUNTIFS(Registro!$B:$B,$A28,Registro!$D:$D,$B28,Registro!$X:$X,"Reprogramada")</x:f>
        <x:v>1</x:v>
      </x:c>
      <x:c r="G28" s="24" t="n">
        <x:f>COUNTIFS(Registro!$B:$B,$A28,Registro!$D:$D,$B28,Registro!$X:$X,"Cancelada")</x:f>
        <x:v>0</x:v>
      </x:c>
      <x:c r="H28" s="24" t="n">
        <x:f>SUMIFS(Registro!$L:$L,Registro!$B:$B,$A28,Registro!$D:$D,$B28)</x:f>
        <x:v>22</x:v>
      </x:c>
      <x:c r="I28" s="24" t="n">
        <x:f>SUMIFS(Registro!$N:$N,Registro!$B:$B,$A28,Registro!$D:$D,$B28)</x:f>
        <x:v>19.5</x:v>
      </x:c>
      <x:c r="J28" s="24" t="n">
        <x:f>IFERROR(SUMIFS(Registro!$Q:$Q,Registro!$B:$B,$A28,Registro!$D:$D,$B28,Registro!$X:$X,"Ejecutada")/COUNTIFS(Registro!$B:$B,$A28,Registro!$D:$D,$B28,Registro!$X:$X,"Ejecutada"),0)</x:f>
        <x:v>0.8245032911238646</x:v>
      </x:c>
      <x:c r="K28" s="24" t="n">
        <x:f>COUNTIFS(Registro!$B:$B,$A28,Registro!$D:$D,$B28,Registro!$T:$T,"Sí")</x:f>
        <x:v>6</x:v>
      </x:c>
      <x:c r="L28" s="24" t="n">
        <x:f>IFERROR(K28/E28,0)</x:f>
        <x:v>0.6</x:v>
      </x:c>
      <x:c r="M28" s="24" t="n">
        <x:f>SUMIFS(Registro!$O:$O,Registro!$B:$B,$A28,Registro!$D:$D,$B28)</x:f>
        <x:v>520</x:v>
      </x:c>
      <x:c r="N28" s="24" t="n">
        <x:f>SUMIFS(Registro!$P:$P,Registro!$B:$B,$A28,Registro!$D:$D,$B28)</x:f>
        <x:v>405</x:v>
      </x:c>
      <x:c r="O28" s="25" t="n">
        <x:f>IFERROR(N28/M28,0)</x:f>
        <x:v>0.7788461538461539</x:v>
      </x:c>
    </x:row>
    <x:row r="29">
      <x:c r="A29" s="23" t="n">
        <x:v>2025</x:v>
      </x:c>
      <x:c r="B29" s="24" t="n">
        <x:v>4</x:v>
      </x:c>
      <x:c r="C29" s="24" t="str">
        <x:v>Abril</x:v>
      </x:c>
      <x:c r="D29" s="24" t="n">
        <x:f>COUNTIFS(Registro!$B:$B,$A29,Registro!$D:$D,$B29)</x:f>
        <x:v>11</x:v>
      </x:c>
      <x:c r="E29" s="24" t="n">
        <x:f>COUNTIFS(Registro!$B:$B,$A29,Registro!$D:$D,$B29,Registro!$X:$X,"Ejecutada")</x:f>
        <x:v>8</x:v>
      </x:c>
      <x:c r="F29" s="24" t="n">
        <x:f>COUNTIFS(Registro!$B:$B,$A29,Registro!$D:$D,$B29,Registro!$X:$X,"Reprogramada")</x:f>
        <x:v>2</x:v>
      </x:c>
      <x:c r="G29" s="24" t="n">
        <x:f>COUNTIFS(Registro!$B:$B,$A29,Registro!$D:$D,$B29,Registro!$X:$X,"Cancelada")</x:f>
        <x:v>1</x:v>
      </x:c>
      <x:c r="H29" s="24" t="n">
        <x:f>SUMIFS(Registro!$L:$L,Registro!$B:$B,$A29,Registro!$D:$D,$B29)</x:f>
        <x:v>22</x:v>
      </x:c>
      <x:c r="I29" s="24" t="n">
        <x:f>SUMIFS(Registro!$N:$N,Registro!$B:$B,$A29,Registro!$D:$D,$B29)</x:f>
        <x:v>16</x:v>
      </x:c>
      <x:c r="J29" s="24" t="n">
        <x:f>IFERROR(SUMIFS(Registro!$Q:$Q,Registro!$B:$B,$A29,Registro!$D:$D,$B29,Registro!$X:$X,"Ejecutada")/COUNTIFS(Registro!$B:$B,$A29,Registro!$D:$D,$B29,Registro!$X:$X,"Ejecutada"),0)</x:f>
        <x:v>0.8659406134671489</x:v>
      </x:c>
      <x:c r="K29" s="24" t="n">
        <x:f>COUNTIFS(Registro!$B:$B,$A29,Registro!$D:$D,$B29,Registro!$T:$T,"Sí")</x:f>
        <x:v>6</x:v>
      </x:c>
      <x:c r="L29" s="24" t="n">
        <x:f>IFERROR(K29/E29,0)</x:f>
        <x:v>0.75</x:v>
      </x:c>
      <x:c r="M29" s="24" t="n">
        <x:f>SUMIFS(Registro!$O:$O,Registro!$B:$B,$A29,Registro!$D:$D,$B29)</x:f>
        <x:v>520</x:v>
      </x:c>
      <x:c r="N29" s="24" t="n">
        <x:f>SUMIFS(Registro!$P:$P,Registro!$B:$B,$A29,Registro!$D:$D,$B29)</x:f>
        <x:v>315</x:v>
      </x:c>
      <x:c r="O29" s="25" t="n">
        <x:f>IFERROR(N29/M29,0)</x:f>
        <x:v>0.6057692307692307</x:v>
      </x:c>
    </x:row>
    <x:row r="30">
      <x:c r="A30" s="23" t="n">
        <x:v>2025</x:v>
      </x:c>
      <x:c r="B30" s="24" t="n">
        <x:v>5</x:v>
      </x:c>
      <x:c r="C30" s="24" t="str">
        <x:v>Mayo</x:v>
      </x:c>
      <x:c r="D30" s="24" t="n">
        <x:f>COUNTIFS(Registro!$B:$B,$A30,Registro!$D:$D,$B30)</x:f>
        <x:v>11</x:v>
      </x:c>
      <x:c r="E30" s="24" t="n">
        <x:f>COUNTIFS(Registro!$B:$B,$A30,Registro!$D:$D,$B30,Registro!$X:$X,"Ejecutada")</x:f>
        <x:v>10</x:v>
      </x:c>
      <x:c r="F30" s="24" t="n">
        <x:f>COUNTIFS(Registro!$B:$B,$A30,Registro!$D:$D,$B30,Registro!$X:$X,"Reprogramada")</x:f>
        <x:v>0</x:v>
      </x:c>
      <x:c r="G30" s="24" t="n">
        <x:f>COUNTIFS(Registro!$B:$B,$A30,Registro!$D:$D,$B30,Registro!$X:$X,"Cancelada")</x:f>
        <x:v>1</x:v>
      </x:c>
      <x:c r="H30" s="24" t="n">
        <x:f>SUMIFS(Registro!$L:$L,Registro!$B:$B,$A30,Registro!$D:$D,$B30)</x:f>
        <x:v>22</x:v>
      </x:c>
      <x:c r="I30" s="24" t="n">
        <x:f>SUMIFS(Registro!$N:$N,Registro!$B:$B,$A30,Registro!$D:$D,$B30)</x:f>
        <x:v>20.5</x:v>
      </x:c>
      <x:c r="J30" s="24" t="n">
        <x:f>IFERROR(SUMIFS(Registro!$Q:$Q,Registro!$B:$B,$A30,Registro!$D:$D,$B30,Registro!$X:$X,"Ejecutada")/COUNTIFS(Registro!$B:$B,$A30,Registro!$D:$D,$B30,Registro!$X:$X,"Ejecutada"),0)</x:f>
        <x:v>0.8639432453134475</x:v>
      </x:c>
      <x:c r="K30" s="24" t="n">
        <x:f>COUNTIFS(Registro!$B:$B,$A30,Registro!$D:$D,$B30,Registro!$T:$T,"Sí")</x:f>
        <x:v>10</x:v>
      </x:c>
      <x:c r="L30" s="24" t="n">
        <x:f>IFERROR(K30/E30,0)</x:f>
        <x:v>1</x:v>
      </x:c>
      <x:c r="M30" s="24" t="n">
        <x:f>SUMIFS(Registro!$O:$O,Registro!$B:$B,$A30,Registro!$D:$D,$B30)</x:f>
        <x:v>520</x:v>
      </x:c>
      <x:c r="N30" s="24" t="n">
        <x:f>SUMIFS(Registro!$P:$P,Registro!$B:$B,$A30,Registro!$D:$D,$B30)</x:f>
        <x:v>422</x:v>
      </x:c>
      <x:c r="O30" s="25" t="n">
        <x:f>IFERROR(N30/M30,0)</x:f>
        <x:v>0.8115384615384615</x:v>
      </x:c>
    </x:row>
    <x:row r="31">
      <x:c r="A31" s="23" t="n">
        <x:v>2025</x:v>
      </x:c>
      <x:c r="B31" s="24" t="n">
        <x:v>6</x:v>
      </x:c>
      <x:c r="C31" s="24" t="str">
        <x:v>Junio</x:v>
      </x:c>
      <x:c r="D31" s="24" t="n">
        <x:f>COUNTIFS(Registro!$B:$B,$A31,Registro!$D:$D,$B31)</x:f>
        <x:v>11</x:v>
      </x:c>
      <x:c r="E31" s="24" t="n">
        <x:f>COUNTIFS(Registro!$B:$B,$A31,Registro!$D:$D,$B31,Registro!$X:$X,"Ejecutada")</x:f>
        <x:v>9</x:v>
      </x:c>
      <x:c r="F31" s="24" t="n">
        <x:f>COUNTIFS(Registro!$B:$B,$A31,Registro!$D:$D,$B31,Registro!$X:$X,"Reprogramada")</x:f>
        <x:v>1</x:v>
      </x:c>
      <x:c r="G31" s="24" t="n">
        <x:f>COUNTIFS(Registro!$B:$B,$A31,Registro!$D:$D,$B31,Registro!$X:$X,"Cancelada")</x:f>
        <x:v>1</x:v>
      </x:c>
      <x:c r="H31" s="24" t="n">
        <x:f>SUMIFS(Registro!$L:$L,Registro!$B:$B,$A31,Registro!$D:$D,$B31)</x:f>
        <x:v>22</x:v>
      </x:c>
      <x:c r="I31" s="24" t="n">
        <x:f>SUMIFS(Registro!$N:$N,Registro!$B:$B,$A31,Registro!$D:$D,$B31)</x:f>
        <x:v>18.5</x:v>
      </x:c>
      <x:c r="J31" s="24" t="n">
        <x:f>IFERROR(SUMIFS(Registro!$Q:$Q,Registro!$B:$B,$A31,Registro!$D:$D,$B31,Registro!$X:$X,"Ejecutada")/COUNTIFS(Registro!$B:$B,$A31,Registro!$D:$D,$B31,Registro!$X:$X,"Ejecutada"),0)</x:f>
        <x:v>0.7787992646606496</x:v>
      </x:c>
      <x:c r="K31" s="24" t="n">
        <x:f>COUNTIFS(Registro!$B:$B,$A31,Registro!$D:$D,$B31,Registro!$T:$T,"Sí")</x:f>
        <x:v>3</x:v>
      </x:c>
      <x:c r="L31" s="24" t="n">
        <x:f>IFERROR(K31/E31,0)</x:f>
        <x:v>0.3333333333333333</x:v>
      </x:c>
      <x:c r="M31" s="24" t="n">
        <x:f>SUMIFS(Registro!$O:$O,Registro!$B:$B,$A31,Registro!$D:$D,$B31)</x:f>
        <x:v>520</x:v>
      </x:c>
      <x:c r="N31" s="24" t="n">
        <x:f>SUMIFS(Registro!$P:$P,Registro!$B:$B,$A31,Registro!$D:$D,$B31)</x:f>
        <x:v>350</x:v>
      </x:c>
      <x:c r="O31" s="25" t="n">
        <x:f>IFERROR(N31/M31,0)</x:f>
        <x:v>0.6730769230769231</x:v>
      </x:c>
    </x:row>
    <x:row r="32">
      <x:c r="A32" s="23" t="n">
        <x:v>2025</x:v>
      </x:c>
      <x:c r="B32" s="24" t="n">
        <x:v>7</x:v>
      </x:c>
      <x:c r="C32" s="24" t="str">
        <x:v>Julio</x:v>
      </x:c>
      <x:c r="D32" s="24" t="n">
        <x:f>COUNTIFS(Registro!$B:$B,$A32,Registro!$D:$D,$B32)</x:f>
        <x:v>11</x:v>
      </x:c>
      <x:c r="E32" s="24" t="n">
        <x:f>COUNTIFS(Registro!$B:$B,$A32,Registro!$D:$D,$B32,Registro!$X:$X,"Ejecutada")</x:f>
        <x:v>10</x:v>
      </x:c>
      <x:c r="F32" s="24" t="n">
        <x:f>COUNTIFS(Registro!$B:$B,$A32,Registro!$D:$D,$B32,Registro!$X:$X,"Reprogramada")</x:f>
        <x:v>0</x:v>
      </x:c>
      <x:c r="G32" s="24" t="n">
        <x:f>COUNTIFS(Registro!$B:$B,$A32,Registro!$D:$D,$B32,Registro!$X:$X,"Cancelada")</x:f>
        <x:v>1</x:v>
      </x:c>
      <x:c r="H32" s="24" t="n">
        <x:f>SUMIFS(Registro!$L:$L,Registro!$B:$B,$A32,Registro!$D:$D,$B32)</x:f>
        <x:v>22</x:v>
      </x:c>
      <x:c r="I32" s="24" t="n">
        <x:f>SUMIFS(Registro!$N:$N,Registro!$B:$B,$A32,Registro!$D:$D,$B32)</x:f>
        <x:v>19.5</x:v>
      </x:c>
      <x:c r="J32" s="24" t="n">
        <x:f>IFERROR(SUMIFS(Registro!$Q:$Q,Registro!$B:$B,$A32,Registro!$D:$D,$B32,Registro!$X:$X,"Ejecutada")/COUNTIFS(Registro!$B:$B,$A32,Registro!$D:$D,$B32,Registro!$X:$X,"Ejecutada"),0)</x:f>
        <x:v>0.8595635651016746</x:v>
      </x:c>
      <x:c r="K32" s="24" t="n">
        <x:f>COUNTIFS(Registro!$B:$B,$A32,Registro!$D:$D,$B32,Registro!$T:$T,"Sí")</x:f>
        <x:v>9</x:v>
      </x:c>
      <x:c r="L32" s="24" t="n">
        <x:f>IFERROR(K32/E32,0)</x:f>
        <x:v>0.9</x:v>
      </x:c>
      <x:c r="M32" s="24" t="n">
        <x:f>SUMIFS(Registro!$O:$O,Registro!$B:$B,$A32,Registro!$D:$D,$B32)</x:f>
        <x:v>520</x:v>
      </x:c>
      <x:c r="N32" s="24" t="n">
        <x:f>SUMIFS(Registro!$P:$P,Registro!$B:$B,$A32,Registro!$D:$D,$B32)</x:f>
        <x:v>406</x:v>
      </x:c>
      <x:c r="O32" s="25" t="n">
        <x:f>IFERROR(N32/M32,0)</x:f>
        <x:v>0.7807692307692308</x:v>
      </x:c>
    </x:row>
    <x:row r="33">
      <x:c r="A33" s="23" t="n">
        <x:v>2025</x:v>
      </x:c>
      <x:c r="B33" s="24" t="n">
        <x:v>8</x:v>
      </x:c>
      <x:c r="C33" s="24" t="str">
        <x:v>Agosto</x:v>
      </x:c>
      <x:c r="D33" s="24" t="n">
        <x:f>COUNTIFS(Registro!$B:$B,$A33,Registro!$D:$D,$B33)</x:f>
        <x:v>11</x:v>
      </x:c>
      <x:c r="E33" s="24" t="n">
        <x:f>COUNTIFS(Registro!$B:$B,$A33,Registro!$D:$D,$B33,Registro!$X:$X,"Ejecutada")</x:f>
        <x:v>9</x:v>
      </x:c>
      <x:c r="F33" s="24" t="n">
        <x:f>COUNTIFS(Registro!$B:$B,$A33,Registro!$D:$D,$B33,Registro!$X:$X,"Reprogramada")</x:f>
        <x:v>1</x:v>
      </x:c>
      <x:c r="G33" s="24" t="n">
        <x:f>COUNTIFS(Registro!$B:$B,$A33,Registro!$D:$D,$B33,Registro!$X:$X,"Cancelada")</x:f>
        <x:v>1</x:v>
      </x:c>
      <x:c r="H33" s="24" t="n">
        <x:f>SUMIFS(Registro!$L:$L,Registro!$B:$B,$A33,Registro!$D:$D,$B33)</x:f>
        <x:v>22</x:v>
      </x:c>
      <x:c r="I33" s="24" t="n">
        <x:f>SUMIFS(Registro!$N:$N,Registro!$B:$B,$A33,Registro!$D:$D,$B33)</x:f>
        <x:v>17.5</x:v>
      </x:c>
      <x:c r="J33" s="24" t="n">
        <x:f>IFERROR(SUMIFS(Registro!$Q:$Q,Registro!$B:$B,$A33,Registro!$D:$D,$B33,Registro!$X:$X,"Ejecutada")/COUNTIFS(Registro!$B:$B,$A33,Registro!$D:$D,$B33,Registro!$X:$X,"Ejecutada"),0)</x:f>
        <x:v>0.8944904724641916</x:v>
      </x:c>
      <x:c r="K33" s="24" t="n">
        <x:f>COUNTIFS(Registro!$B:$B,$A33,Registro!$D:$D,$B33,Registro!$T:$T,"Sí")</x:f>
        <x:v>8</x:v>
      </x:c>
      <x:c r="L33" s="24" t="n">
        <x:f>IFERROR(K33/E33,0)</x:f>
        <x:v>0.8888888888888888</x:v>
      </x:c>
      <x:c r="M33" s="24" t="n">
        <x:f>SUMIFS(Registro!$O:$O,Registro!$B:$B,$A33,Registro!$D:$D,$B33)</x:f>
        <x:v>520</x:v>
      </x:c>
      <x:c r="N33" s="24" t="n">
        <x:f>SUMIFS(Registro!$P:$P,Registro!$B:$B,$A33,Registro!$D:$D,$B33)</x:f>
        <x:v>386</x:v>
      </x:c>
      <x:c r="O33" s="25" t="n">
        <x:f>IFERROR(N33/M33,0)</x:f>
        <x:v>0.7423076923076923</x:v>
      </x:c>
    </x:row>
    <x:row r="34">
      <x:c r="A34" s="23" t="n">
        <x:v>2025</x:v>
      </x:c>
      <x:c r="B34" s="24" t="n">
        <x:v>9</x:v>
      </x:c>
      <x:c r="C34" s="24" t="str">
        <x:v>Septiembre</x:v>
      </x:c>
      <x:c r="D34" s="24" t="n">
        <x:f>COUNTIFS(Registro!$B:$B,$A34,Registro!$D:$D,$B34)</x:f>
        <x:v>11</x:v>
      </x:c>
      <x:c r="E34" s="24" t="n">
        <x:f>COUNTIFS(Registro!$B:$B,$A34,Registro!$D:$D,$B34,Registro!$X:$X,"Ejecutada")</x:f>
        <x:v>9</x:v>
      </x:c>
      <x:c r="F34" s="24" t="n">
        <x:f>COUNTIFS(Registro!$B:$B,$A34,Registro!$D:$D,$B34,Registro!$X:$X,"Reprogramada")</x:f>
        <x:v>0</x:v>
      </x:c>
      <x:c r="G34" s="24" t="n">
        <x:f>COUNTIFS(Registro!$B:$B,$A34,Registro!$D:$D,$B34,Registro!$X:$X,"Cancelada")</x:f>
        <x:v>2</x:v>
      </x:c>
      <x:c r="H34" s="24" t="n">
        <x:f>SUMIFS(Registro!$L:$L,Registro!$B:$B,$A34,Registro!$D:$D,$B34)</x:f>
        <x:v>11</x:v>
      </x:c>
      <x:c r="I34" s="24" t="n">
        <x:f>SUMIFS(Registro!$N:$N,Registro!$B:$B,$A34,Registro!$D:$D,$B34)</x:f>
        <x:v>10</x:v>
      </x:c>
      <x:c r="J34" s="24" t="n">
        <x:f>IFERROR(SUMIFS(Registro!$Q:$Q,Registro!$B:$B,$A34,Registro!$D:$D,$B34,Registro!$X:$X,"Ejecutada")/COUNTIFS(Registro!$B:$B,$A34,Registro!$D:$D,$B34,Registro!$X:$X,"Ejecutada"),0)</x:f>
        <x:v>0.865491530689685</x:v>
      </x:c>
      <x:c r="K34" s="24" t="n">
        <x:f>COUNTIFS(Registro!$B:$B,$A34,Registro!$D:$D,$B34,Registro!$T:$T,"Sí")</x:f>
        <x:v>8</x:v>
      </x:c>
      <x:c r="L34" s="24" t="n">
        <x:f>IFERROR(K34/E34,0)</x:f>
        <x:v>0.8888888888888888</x:v>
      </x:c>
      <x:c r="M34" s="24" t="n">
        <x:f>SUMIFS(Registro!$O:$O,Registro!$B:$B,$A34,Registro!$D:$D,$B34)</x:f>
        <x:v>520</x:v>
      </x:c>
      <x:c r="N34" s="24" t="n">
        <x:f>SUMIFS(Registro!$P:$P,Registro!$B:$B,$A34,Registro!$D:$D,$B34)</x:f>
        <x:v>395</x:v>
      </x:c>
      <x:c r="O34" s="25" t="n">
        <x:f>IFERROR(N34/M34,0)</x:f>
        <x:v>0.7596153846153846</x:v>
      </x:c>
    </x:row>
    <x:row r="35">
      <x:c r="A35" s="23" t="n">
        <x:v>2025</x:v>
      </x:c>
      <x:c r="B35" s="24" t="n">
        <x:v>10</x:v>
      </x:c>
      <x:c r="C35" s="24" t="str">
        <x:v>Octubre</x:v>
      </x:c>
      <x:c r="D35" s="24" t="n">
        <x:f>COUNTIFS(Registro!$B:$B,$A35,Registro!$D:$D,$B35)</x:f>
        <x:v>11</x:v>
      </x:c>
      <x:c r="E35" s="24" t="n">
        <x:f>COUNTIFS(Registro!$B:$B,$A35,Registro!$D:$D,$B35,Registro!$X:$X,"Ejecutada")</x:f>
        <x:v>11</x:v>
      </x:c>
      <x:c r="F35" s="24" t="n">
        <x:f>COUNTIFS(Registro!$B:$B,$A35,Registro!$D:$D,$B35,Registro!$X:$X,"Reprogramada")</x:f>
        <x:v>0</x:v>
      </x:c>
      <x:c r="G35" s="24" t="n">
        <x:f>COUNTIFS(Registro!$B:$B,$A35,Registro!$D:$D,$B35,Registro!$X:$X,"Cancelada")</x:f>
        <x:v>0</x:v>
      </x:c>
      <x:c r="H35" s="24" t="n">
        <x:f>SUMIFS(Registro!$L:$L,Registro!$B:$B,$A35,Registro!$D:$D,$B35)</x:f>
        <x:v>22</x:v>
      </x:c>
      <x:c r="I35" s="24" t="n">
        <x:f>SUMIFS(Registro!$N:$N,Registro!$B:$B,$A35,Registro!$D:$D,$B35)</x:f>
        <x:v>21</x:v>
      </x:c>
      <x:c r="J35" s="24" t="n">
        <x:f>IFERROR(SUMIFS(Registro!$Q:$Q,Registro!$B:$B,$A35,Registro!$D:$D,$B35,Registro!$X:$X,"Ejecutada")/COUNTIFS(Registro!$B:$B,$A35,Registro!$D:$D,$B35,Registro!$X:$X,"Ejecutada"),0)</x:f>
        <x:v>0.8983967650310856</x:v>
      </x:c>
      <x:c r="K35" s="24" t="n">
        <x:f>COUNTIFS(Registro!$B:$B,$A35,Registro!$D:$D,$B35,Registro!$T:$T,"Sí")</x:f>
        <x:v>11</x:v>
      </x:c>
      <x:c r="L35" s="24" t="n">
        <x:f>IFERROR(K35/E35,0)</x:f>
        <x:v>1</x:v>
      </x:c>
      <x:c r="M35" s="24" t="n">
        <x:f>SUMIFS(Registro!$O:$O,Registro!$B:$B,$A35,Registro!$D:$D,$B35)</x:f>
        <x:v>520</x:v>
      </x:c>
      <x:c r="N35" s="24" t="n">
        <x:f>SUMIFS(Registro!$P:$P,Registro!$B:$B,$A35,Registro!$D:$D,$B35)</x:f>
        <x:v>469</x:v>
      </x:c>
      <x:c r="O35" s="25" t="n">
        <x:f>IFERROR(N35/M35,0)</x:f>
        <x:v>0.9019230769230769</x:v>
      </x:c>
    </x:row>
    <x:row r="36">
      <x:c r="A36" s="23" t="n">
        <x:v>2025</x:v>
      </x:c>
      <x:c r="B36" s="24" t="n">
        <x:v>11</x:v>
      </x:c>
      <x:c r="C36" s="24" t="str">
        <x:v>Noviembre</x:v>
      </x:c>
      <x:c r="D36" s="24" t="n">
        <x:f>COUNTIFS(Registro!$B:$B,$A36,Registro!$D:$D,$B36)</x:f>
        <x:v>11</x:v>
      </x:c>
      <x:c r="E36" s="24" t="n">
        <x:f>COUNTIFS(Registro!$B:$B,$A36,Registro!$D:$D,$B36,Registro!$X:$X,"Ejecutada")</x:f>
        <x:v>11</x:v>
      </x:c>
      <x:c r="F36" s="24" t="n">
        <x:f>COUNTIFS(Registro!$B:$B,$A36,Registro!$D:$D,$B36,Registro!$X:$X,"Reprogramada")</x:f>
        <x:v>0</x:v>
      </x:c>
      <x:c r="G36" s="24" t="n">
        <x:f>COUNTIFS(Registro!$B:$B,$A36,Registro!$D:$D,$B36,Registro!$X:$X,"Cancelada")</x:f>
        <x:v>0</x:v>
      </x:c>
      <x:c r="H36" s="24" t="n">
        <x:f>SUMIFS(Registro!$L:$L,Registro!$B:$B,$A36,Registro!$D:$D,$B36)</x:f>
        <x:v>11</x:v>
      </x:c>
      <x:c r="I36" s="24" t="n">
        <x:f>SUMIFS(Registro!$N:$N,Registro!$B:$B,$A36,Registro!$D:$D,$B36)</x:f>
        <x:v>11.5</x:v>
      </x:c>
      <x:c r="J36" s="24" t="n">
        <x:f>IFERROR(SUMIFS(Registro!$Q:$Q,Registro!$B:$B,$A36,Registro!$D:$D,$B36,Registro!$X:$X,"Ejecutada")/COUNTIFS(Registro!$B:$B,$A36,Registro!$D:$D,$B36,Registro!$X:$X,"Ejecutada"),0)</x:f>
        <x:v>0.8685714124182321</x:v>
      </x:c>
      <x:c r="K36" s="24" t="n">
        <x:f>COUNTIFS(Registro!$B:$B,$A36,Registro!$D:$D,$B36,Registro!$T:$T,"Sí")</x:f>
        <x:v>9</x:v>
      </x:c>
      <x:c r="L36" s="24" t="n">
        <x:f>IFERROR(K36/E36,0)</x:f>
        <x:v>0.8181818181818182</x:v>
      </x:c>
      <x:c r="M36" s="24" t="n">
        <x:f>SUMIFS(Registro!$O:$O,Registro!$B:$B,$A36,Registro!$D:$D,$B36)</x:f>
        <x:v>520</x:v>
      </x:c>
      <x:c r="N36" s="24" t="n">
        <x:f>SUMIFS(Registro!$P:$P,Registro!$B:$B,$A36,Registro!$D:$D,$B36)</x:f>
        <x:v>453</x:v>
      </x:c>
      <x:c r="O36" s="25" t="n">
        <x:f>IFERROR(N36/M36,0)</x:f>
        <x:v>0.8711538461538462</x:v>
      </x:c>
    </x:row>
    <x:row r="37">
      <x:c r="A37" s="23" t="n">
        <x:v>2025</x:v>
      </x:c>
      <x:c r="B37" s="24" t="n">
        <x:v>12</x:v>
      </x:c>
      <x:c r="C37" s="24" t="str">
        <x:v>Diciembre</x:v>
      </x:c>
      <x:c r="D37" s="24" t="n">
        <x:f>COUNTIFS(Registro!$B:$B,$A37,Registro!$D:$D,$B37)</x:f>
        <x:v>11</x:v>
      </x:c>
      <x:c r="E37" s="24" t="n">
        <x:f>COUNTIFS(Registro!$B:$B,$A37,Registro!$D:$D,$B37,Registro!$X:$X,"Ejecutada")</x:f>
        <x:v>10</x:v>
      </x:c>
      <x:c r="F37" s="24" t="n">
        <x:f>COUNTIFS(Registro!$B:$B,$A37,Registro!$D:$D,$B37,Registro!$X:$X,"Reprogramada")</x:f>
        <x:v>0</x:v>
      </x:c>
      <x:c r="G37" s="24" t="n">
        <x:f>COUNTIFS(Registro!$B:$B,$A37,Registro!$D:$D,$B37,Registro!$X:$X,"Cancelada")</x:f>
        <x:v>1</x:v>
      </x:c>
      <x:c r="H37" s="24" t="n">
        <x:f>SUMIFS(Registro!$L:$L,Registro!$B:$B,$A37,Registro!$D:$D,$B37)</x:f>
        <x:v>11</x:v>
      </x:c>
      <x:c r="I37" s="24" t="n">
        <x:f>SUMIFS(Registro!$N:$N,Registro!$B:$B,$A37,Registro!$D:$D,$B37)</x:f>
        <x:v>11.5</x:v>
      </x:c>
      <x:c r="J37" s="24" t="n">
        <x:f>IFERROR(SUMIFS(Registro!$Q:$Q,Registro!$B:$B,$A37,Registro!$D:$D,$B37,Registro!$X:$X,"Ejecutada")/COUNTIFS(Registro!$B:$B,$A37,Registro!$D:$D,$B37,Registro!$X:$X,"Ejecutada"),0)</x:f>
        <x:v>0.9202408294250958</x:v>
      </x:c>
      <x:c r="K37" s="24" t="n">
        <x:f>COUNTIFS(Registro!$B:$B,$A37,Registro!$D:$D,$B37,Registro!$T:$T,"Sí")</x:f>
        <x:v>10</x:v>
      </x:c>
      <x:c r="L37" s="24" t="n">
        <x:f>IFERROR(K37/E37,0)</x:f>
        <x:v>1</x:v>
      </x:c>
      <x:c r="M37" s="24" t="n">
        <x:f>SUMIFS(Registro!$O:$O,Registro!$B:$B,$A37,Registro!$D:$D,$B37)</x:f>
        <x:v>520</x:v>
      </x:c>
      <x:c r="N37" s="24" t="n">
        <x:f>SUMIFS(Registro!$P:$P,Registro!$B:$B,$A37,Registro!$D:$D,$B37)</x:f>
        <x:v>448</x:v>
      </x:c>
      <x:c r="O37" s="25" t="n">
        <x:f>IFERROR(N37/M37,0)</x:f>
        <x:v>0.8615384615384616</x:v>
      </x:c>
    </x:row>
    <x:row r="38">
      <x:c r="A38" s="23" t="n">
        <x:v>2026</x:v>
      </x:c>
      <x:c r="B38" s="24" t="n">
        <x:v>1</x:v>
      </x:c>
      <x:c r="C38" s="24" t="str">
        <x:v>Enero</x:v>
      </x:c>
      <x:c r="D38" s="24" t="n">
        <x:f>COUNTIFS(Registro!$B:$B,$A38,Registro!$D:$D,$B38)</x:f>
        <x:v>11</x:v>
      </x:c>
      <x:c r="E38" s="24" t="n">
        <x:f>COUNTIFS(Registro!$B:$B,$A38,Registro!$D:$D,$B38,Registro!$X:$X,"Ejecutada")</x:f>
        <x:v>10</x:v>
      </x:c>
      <x:c r="F38" s="24" t="n">
        <x:f>COUNTIFS(Registro!$B:$B,$A38,Registro!$D:$D,$B38,Registro!$X:$X,"Reprogramada")</x:f>
        <x:v>1</x:v>
      </x:c>
      <x:c r="G38" s="24" t="n">
        <x:f>COUNTIFS(Registro!$B:$B,$A38,Registro!$D:$D,$B38,Registro!$X:$X,"Cancelada")</x:f>
        <x:v>0</x:v>
      </x:c>
      <x:c r="H38" s="24" t="n">
        <x:f>SUMIFS(Registro!$L:$L,Registro!$B:$B,$A38,Registro!$D:$D,$B38)</x:f>
        <x:v>22</x:v>
      </x:c>
      <x:c r="I38" s="24" t="n">
        <x:f>SUMIFS(Registro!$N:$N,Registro!$B:$B,$A38,Registro!$D:$D,$B38)</x:f>
        <x:v>20.5</x:v>
      </x:c>
      <x:c r="J38" s="24" t="n">
        <x:f>IFERROR(SUMIFS(Registro!$Q:$Q,Registro!$B:$B,$A38,Registro!$D:$D,$B38,Registro!$X:$X,"Ejecutada")/COUNTIFS(Registro!$B:$B,$A38,Registro!$D:$D,$B38,Registro!$X:$X,"Ejecutada"),0)</x:f>
        <x:v>0.8668255145454298</x:v>
      </x:c>
      <x:c r="K38" s="24" t="n">
        <x:f>COUNTIFS(Registro!$B:$B,$A38,Registro!$D:$D,$B38,Registro!$T:$T,"Sí")</x:f>
        <x:v>9</x:v>
      </x:c>
      <x:c r="L38" s="24" t="n">
        <x:f>IFERROR(K38/E38,0)</x:f>
        <x:v>0.9</x:v>
      </x:c>
      <x:c r="M38" s="24" t="n">
        <x:f>SUMIFS(Registro!$O:$O,Registro!$B:$B,$A38,Registro!$D:$D,$B38)</x:f>
        <x:v>530</x:v>
      </x:c>
      <x:c r="N38" s="24" t="n">
        <x:f>SUMIFS(Registro!$P:$P,Registro!$B:$B,$A38,Registro!$D:$D,$B38)</x:f>
        <x:v>430</x:v>
      </x:c>
      <x:c r="O38" s="25" t="n">
        <x:f>IFERROR(N38/M38,0)</x:f>
        <x:v>0.8113207547169812</x:v>
      </x:c>
    </x:row>
    <x:row r="39">
      <x:c r="A39" s="23" t="n">
        <x:v>2026</x:v>
      </x:c>
      <x:c r="B39" s="24" t="n">
        <x:v>2</x:v>
      </x:c>
      <x:c r="C39" s="24" t="str">
        <x:v>Febrero</x:v>
      </x:c>
      <x:c r="D39" s="24" t="n">
        <x:f>COUNTIFS(Registro!$B:$B,$A39,Registro!$D:$D,$B39)</x:f>
        <x:v>11</x:v>
      </x:c>
      <x:c r="E39" s="24" t="n">
        <x:f>COUNTIFS(Registro!$B:$B,$A39,Registro!$D:$D,$B39,Registro!$X:$X,"Ejecutada")</x:f>
        <x:v>10</x:v>
      </x:c>
      <x:c r="F39" s="24" t="n">
        <x:f>COUNTIFS(Registro!$B:$B,$A39,Registro!$D:$D,$B39,Registro!$X:$X,"Reprogramada")</x:f>
        <x:v>0</x:v>
      </x:c>
      <x:c r="G39" s="24" t="n">
        <x:f>COUNTIFS(Registro!$B:$B,$A39,Registro!$D:$D,$B39,Registro!$X:$X,"Cancelada")</x:f>
        <x:v>1</x:v>
      </x:c>
      <x:c r="H39" s="24" t="n">
        <x:f>SUMIFS(Registro!$L:$L,Registro!$B:$B,$A39,Registro!$D:$D,$B39)</x:f>
        <x:v>22</x:v>
      </x:c>
      <x:c r="I39" s="24" t="n">
        <x:f>SUMIFS(Registro!$N:$N,Registro!$B:$B,$A39,Registro!$D:$D,$B39)</x:f>
        <x:v>20.5</x:v>
      </x:c>
      <x:c r="J39" s="24" t="n">
        <x:f>IFERROR(SUMIFS(Registro!$Q:$Q,Registro!$B:$B,$A39,Registro!$D:$D,$B39,Registro!$X:$X,"Ejecutada")/COUNTIFS(Registro!$B:$B,$A39,Registro!$D:$D,$B39,Registro!$X:$X,"Ejecutada"),0)</x:f>
        <x:v>0.8901261071938542</x:v>
      </x:c>
      <x:c r="K39" s="24" t="n">
        <x:f>COUNTIFS(Registro!$B:$B,$A39,Registro!$D:$D,$B39,Registro!$T:$T,"Sí")</x:f>
        <x:v>10</x:v>
      </x:c>
      <x:c r="L39" s="24" t="n">
        <x:f>IFERROR(K39/E39,0)</x:f>
        <x:v>1</x:v>
      </x:c>
      <x:c r="M39" s="24" t="n">
        <x:f>SUMIFS(Registro!$O:$O,Registro!$B:$B,$A39,Registro!$D:$D,$B39)</x:f>
        <x:v>530</x:v>
      </x:c>
      <x:c r="N39" s="24" t="n">
        <x:f>SUMIFS(Registro!$P:$P,Registro!$B:$B,$A39,Registro!$D:$D,$B39)</x:f>
        <x:v>429</x:v>
      </x:c>
      <x:c r="O39" s="25" t="n">
        <x:f>IFERROR(N39/M39,0)</x:f>
        <x:v>0.809433962264151</x:v>
      </x:c>
    </x:row>
    <x:row r="40">
      <x:c r="A40" s="23" t="n">
        <x:v>2026</x:v>
      </x:c>
      <x:c r="B40" s="24" t="n">
        <x:v>3</x:v>
      </x:c>
      <x:c r="C40" s="24" t="str">
        <x:v>Marzo</x:v>
      </x:c>
      <x:c r="D40" s="24" t="n">
        <x:f>COUNTIFS(Registro!$B:$B,$A40,Registro!$D:$D,$B40)</x:f>
        <x:v>11</x:v>
      </x:c>
      <x:c r="E40" s="24" t="n">
        <x:f>COUNTIFS(Registro!$B:$B,$A40,Registro!$D:$D,$B40,Registro!$X:$X,"Ejecutada")</x:f>
        <x:v>9</x:v>
      </x:c>
      <x:c r="F40" s="24" t="n">
        <x:f>COUNTIFS(Registro!$B:$B,$A40,Registro!$D:$D,$B40,Registro!$X:$X,"Reprogramada")</x:f>
        <x:v>2</x:v>
      </x:c>
      <x:c r="G40" s="24" t="n">
        <x:f>COUNTIFS(Registro!$B:$B,$A40,Registro!$D:$D,$B40,Registro!$X:$X,"Cancelada")</x:f>
        <x:v>0</x:v>
      </x:c>
      <x:c r="H40" s="24" t="n">
        <x:f>SUMIFS(Registro!$L:$L,Registro!$B:$B,$A40,Registro!$D:$D,$B40)</x:f>
        <x:v>11</x:v>
      </x:c>
      <x:c r="I40" s="24" t="n">
        <x:f>SUMIFS(Registro!$N:$N,Registro!$B:$B,$A40,Registro!$D:$D,$B40)</x:f>
        <x:v>9</x:v>
      </x:c>
      <x:c r="J40" s="24" t="n">
        <x:f>IFERROR(SUMIFS(Registro!$Q:$Q,Registro!$B:$B,$A40,Registro!$D:$D,$B40,Registro!$X:$X,"Ejecutada")/COUNTIFS(Registro!$B:$B,$A40,Registro!$D:$D,$B40,Registro!$X:$X,"Ejecutada"),0)</x:f>
        <x:v>0.8472346968122783</x:v>
      </x:c>
      <x:c r="K40" s="24" t="n">
        <x:f>COUNTIFS(Registro!$B:$B,$A40,Registro!$D:$D,$B40,Registro!$T:$T,"Sí")</x:f>
        <x:v>7</x:v>
      </x:c>
      <x:c r="L40" s="24" t="n">
        <x:f>IFERROR(K40/E40,0)</x:f>
        <x:v>0.7777777777777778</x:v>
      </x:c>
      <x:c r="M40" s="24" t="n">
        <x:f>SUMIFS(Registro!$O:$O,Registro!$B:$B,$A40,Registro!$D:$D,$B40)</x:f>
        <x:v>530</x:v>
      </x:c>
      <x:c r="N40" s="24" t="n">
        <x:f>SUMIFS(Registro!$P:$P,Registro!$B:$B,$A40,Registro!$D:$D,$B40)</x:f>
        <x:v>394</x:v>
      </x:c>
      <x:c r="O40" s="25" t="n">
        <x:f>IFERROR(N40/M40,0)</x:f>
        <x:v>0.7433962264150943</x:v>
      </x:c>
    </x:row>
    <x:row r="41">
      <x:c r="A41" s="23" t="n">
        <x:v>2026</x:v>
      </x:c>
      <x:c r="B41" s="24" t="n">
        <x:v>4</x:v>
      </x:c>
      <x:c r="C41" s="24" t="str">
        <x:v>Abril</x:v>
      </x:c>
      <x:c r="D41" s="24" t="n">
        <x:f>COUNTIFS(Registro!$B:$B,$A41,Registro!$D:$D,$B41)</x:f>
        <x:v>11</x:v>
      </x:c>
      <x:c r="E41" s="24" t="n">
        <x:f>COUNTIFS(Registro!$B:$B,$A41,Registro!$D:$D,$B41,Registro!$X:$X,"Ejecutada")</x:f>
        <x:v>11</x:v>
      </x:c>
      <x:c r="F41" s="24" t="n">
        <x:f>COUNTIFS(Registro!$B:$B,$A41,Registro!$D:$D,$B41,Registro!$X:$X,"Reprogramada")</x:f>
        <x:v>0</x:v>
      </x:c>
      <x:c r="G41" s="24" t="n">
        <x:f>COUNTIFS(Registro!$B:$B,$A41,Registro!$D:$D,$B41,Registro!$X:$X,"Cancelada")</x:f>
        <x:v>0</x:v>
      </x:c>
      <x:c r="H41" s="24" t="n">
        <x:f>SUMIFS(Registro!$L:$L,Registro!$B:$B,$A41,Registro!$D:$D,$B41)</x:f>
        <x:v>33</x:v>
      </x:c>
      <x:c r="I41" s="24" t="n">
        <x:f>SUMIFS(Registro!$N:$N,Registro!$B:$B,$A41,Registro!$D:$D,$B41)</x:f>
        <x:v>30.5</x:v>
      </x:c>
      <x:c r="J41" s="24" t="n">
        <x:f>IFERROR(SUMIFS(Registro!$Q:$Q,Registro!$B:$B,$A41,Registro!$D:$D,$B41,Registro!$X:$X,"Ejecutada")/COUNTIFS(Registro!$B:$B,$A41,Registro!$D:$D,$B41,Registro!$X:$X,"Ejecutada"),0)</x:f>
        <x:v>0.874487544291313</x:v>
      </x:c>
      <x:c r="K41" s="24" t="n">
        <x:f>COUNTIFS(Registro!$B:$B,$A41,Registro!$D:$D,$B41,Registro!$T:$T,"Sí")</x:f>
        <x:v>11</x:v>
      </x:c>
      <x:c r="L41" s="24" t="n">
        <x:f>IFERROR(K41/E41,0)</x:f>
        <x:v>1</x:v>
      </x:c>
      <x:c r="M41" s="24" t="n">
        <x:f>SUMIFS(Registro!$O:$O,Registro!$B:$B,$A41,Registro!$D:$D,$B41)</x:f>
        <x:v>530</x:v>
      </x:c>
      <x:c r="N41" s="24" t="n">
        <x:f>SUMIFS(Registro!$P:$P,Registro!$B:$B,$A41,Registro!$D:$D,$B41)</x:f>
        <x:v>457</x:v>
      </x:c>
      <x:c r="O41" s="25" t="n">
        <x:f>IFERROR(N41/M41,0)</x:f>
        <x:v>0.8622641509433963</x:v>
      </x:c>
    </x:row>
    <x:row r="42">
      <x:c r="A42" s="26" t="n">
        <x:v>2026</x:v>
      </x:c>
      <x:c r="B42" s="27" t="n">
        <x:v>5</x:v>
      </x:c>
      <x:c r="C42" s="27" t="str">
        <x:v>Mayo</x:v>
      </x:c>
      <x:c r="D42" s="27" t="n">
        <x:f>COUNTIFS(Registro!$B:$B,$A42,Registro!$D:$D,$B42)</x:f>
        <x:v>11</x:v>
      </x:c>
      <x:c r="E42" s="27" t="n">
        <x:f>COUNTIFS(Registro!$B:$B,$A42,Registro!$D:$D,$B42,Registro!$X:$X,"Ejecutada")</x:f>
        <x:v>9</x:v>
      </x:c>
      <x:c r="F42" s="27" t="n">
        <x:f>COUNTIFS(Registro!$B:$B,$A42,Registro!$D:$D,$B42,Registro!$X:$X,"Reprogramada")</x:f>
        <x:v>2</x:v>
      </x:c>
      <x:c r="G42" s="27" t="n">
        <x:f>COUNTIFS(Registro!$B:$B,$A42,Registro!$D:$D,$B42,Registro!$X:$X,"Cancelada")</x:f>
        <x:v>0</x:v>
      </x:c>
      <x:c r="H42" s="27" t="n">
        <x:f>SUMIFS(Registro!$L:$L,Registro!$B:$B,$A42,Registro!$D:$D,$B42)</x:f>
        <x:v>22</x:v>
      </x:c>
      <x:c r="I42" s="27" t="n">
        <x:f>SUMIFS(Registro!$N:$N,Registro!$B:$B,$A42,Registro!$D:$D,$B42)</x:f>
        <x:v>18</x:v>
      </x:c>
      <x:c r="J42" s="27" t="n">
        <x:f>IFERROR(SUMIFS(Registro!$Q:$Q,Registro!$B:$B,$A42,Registro!$D:$D,$B42,Registro!$X:$X,"Ejecutada")/COUNTIFS(Registro!$B:$B,$A42,Registro!$D:$D,$B42,Registro!$X:$X,"Ejecutada"),0)</x:f>
        <x:v>0.8600167844398476</x:v>
      </x:c>
      <x:c r="K42" s="27" t="n">
        <x:f>COUNTIFS(Registro!$B:$B,$A42,Registro!$D:$D,$B42,Registro!$T:$T,"Sí")</x:f>
        <x:v>8</x:v>
      </x:c>
      <x:c r="L42" s="27" t="n">
        <x:f>IFERROR(K42/E42,0)</x:f>
        <x:v>0.8888888888888888</x:v>
      </x:c>
      <x:c r="M42" s="27" t="n">
        <x:f>SUMIFS(Registro!$O:$O,Registro!$B:$B,$A42,Registro!$D:$D,$B42)</x:f>
        <x:v>530</x:v>
      </x:c>
      <x:c r="N42" s="27" t="n">
        <x:f>SUMIFS(Registro!$P:$P,Registro!$B:$B,$A42,Registro!$D:$D,$B42)</x:f>
        <x:v>349</x:v>
      </x:c>
      <x:c r="O42" s="28" t="n">
        <x:f>IFERROR(N42/M42,0)</x:f>
        <x:v>0.6584905660377358</x:v>
      </x:c>
    </x:row>
  </x:sheetData>
  <x:pageMargins left="0.7" right="0.7" top="0.75" bottom="0.75" header="0.3" footer="0.3"/>
  <x:tableParts count="1">
    <x:tablePart xmlns:r="http://schemas.openxmlformats.org/officeDocument/2006/relationships" r:id="R1c7540f2f39d4287"/>
  </x:tableParts>
</x:worksheet>
</file>

<file path=xl/worksheets/sheet7.xml><?xml version="1.0" encoding="utf-8"?>
<x:worksheet xmlns:x="http://schemas.openxmlformats.org/spreadsheetml/2006/main">
  <x:sheetFormatPr defaultRowHeight="15"/>
  <x:cols>
    <x:col min="8" max="8" width="18" hidden="0" customWidth="1"/>
    <x:col min="9" max="9" width="12" hidden="0" customWidth="1"/>
    <x:col min="10" max="10" width="12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18" customHeight="1">
      <x:c r="A1" s="83" t="str">
        <x:v>Dashboard | Plan de Formación y Capacitaciones 2023-2026 (corte mayo 2026)</x:v>
      </x:c>
      <x:c r="B1" s="83"/>
      <x:c r="C1" s="83"/>
      <x:c r="D1" s="83"/>
      <x:c r="E1" s="83"/>
      <x:c r="F1" s="83"/>
      <x:c r="G1" s="83"/>
      <x:c r="H1" s="83"/>
      <x:c r="I1" s="83"/>
      <x:c r="J1" s="103"/>
      <x:c r="K1" s="103"/>
      <x:c r="L1" s="64"/>
    </x:row>
    <x:row r="2">
      <x:c r="H2" s="37" t="str">
        <x:v>Sedes 2026 | Ejecución y cobertura</x:v>
      </x:c>
      <x:c r="I2" s="37"/>
      <x:c r="J2" s="37"/>
      <x:c r="K2" s="37"/>
      <x:c r="L2" s="37"/>
      <x:c r="M2" s="37"/>
      <x:c r="N2" s="37"/>
    </x:row>
    <x:row r="3">
      <x:c r="A3" s="7" t="str">
        <x:v>Año analizado</x:v>
      </x:c>
      <x:c r="B3" s="7"/>
      <x:c r="C3" s="7"/>
      <x:c r="D3" s="87" t="n">
        <x:f>MAX(Resumen_Anual!A2:A5)</x:f>
        <x:v>2026</x:v>
      </x:c>
      <x:c r="E3" s="87"/>
      <x:c r="F3" s="87"/>
      <x:c r="H3" s="94" t="str">
        <x:v>Sede</x:v>
      </x:c>
      <x:c r="I3" s="95" t="str">
        <x:v>Planeadas</x:v>
      </x:c>
      <x:c r="J3" s="95" t="str">
        <x:v>Ejecutadas</x:v>
      </x:c>
      <x:c r="K3" s="95" t="str">
        <x:v>Cobertura prom.</x:v>
      </x:c>
      <x:c r="L3" s="96" t="str">
        <x:v>% Efectividad</x:v>
      </x:c>
    </x:row>
    <x:row r="4">
      <x:c r="H4" s="23" t="str">
        <x:f>Resumen_Sedes!B35</x:f>
        <x:v>Cúcuta</x:v>
      </x:c>
      <x:c r="I4" s="24" t="n">
        <x:f>Resumen_Sedes!C35</x:f>
        <x:v>5</x:v>
      </x:c>
      <x:c r="J4" s="24" t="n">
        <x:f>Resumen_Sedes!D35</x:f>
        <x:v>5</x:v>
      </x:c>
      <x:c r="K4" s="64" t="n">
        <x:f>Resumen_Sedes!I35</x:f>
        <x:v>0.8117647058823529</x:v>
      </x:c>
      <x:c r="L4" s="76" t="n">
        <x:f>Resumen_Sedes!K35</x:f>
        <x:v>0.6</x:v>
      </x:c>
    </x:row>
    <x:row r="5">
      <x:c r="A5" s="7" t="str">
        <x:v>Actividades planeadas 2026</x:v>
      </x:c>
      <x:c r="B5" s="7"/>
      <x:c r="C5" s="7"/>
      <x:c r="D5" s="87" t="n">
        <x:f>INDEX(Resumen_Anual!B2:B5,MATCH(MAX(Resumen_Anual!A2:A5),Resumen_Anual!A2:A5,0))</x:f>
        <x:v>55</x:v>
      </x:c>
      <x:c r="E5" s="87"/>
      <x:c r="F5" s="87"/>
      <x:c r="H5" s="23" t="str">
        <x:f>Resumen_Sedes!B36</x:f>
        <x:v>Barrancabermeja</x:v>
      </x:c>
      <x:c r="I5" s="24" t="n">
        <x:f>Resumen_Sedes!C36</x:f>
        <x:v>5</x:v>
      </x:c>
      <x:c r="J5" s="24" t="n">
        <x:f>Resumen_Sedes!D36</x:f>
        <x:v>5</x:v>
      </x:c>
      <x:c r="K5" s="64" t="n">
        <x:f>Resumen_Sedes!I36</x:f>
        <x:v>0.9157894736842106</x:v>
      </x:c>
      <x:c r="L5" s="76" t="n">
        <x:f>Resumen_Sedes!K36</x:f>
        <x:v>1</x:v>
      </x:c>
    </x:row>
    <x:row r="6">
      <x:c r="H6" s="23" t="str">
        <x:f>Resumen_Sedes!B37</x:f>
        <x:v>Ocaña</x:v>
      </x:c>
      <x:c r="I6" s="24" t="n">
        <x:f>Resumen_Sedes!C37</x:f>
        <x:v>5</x:v>
      </x:c>
      <x:c r="J6" s="24" t="n">
        <x:f>Resumen_Sedes!D37</x:f>
        <x:v>5</x:v>
      </x:c>
      <x:c r="K6" s="64" t="n">
        <x:f>Resumen_Sedes!I37</x:f>
        <x:v>0.841025641025641</x:v>
      </x:c>
      <x:c r="L6" s="76" t="n">
        <x:f>Resumen_Sedes!K37</x:f>
        <x:v>1</x:v>
      </x:c>
    </x:row>
    <x:row r="7">
      <x:c r="A7" s="7" t="str">
        <x:v>Actividades ejecutadas 2026</x:v>
      </x:c>
      <x:c r="B7" s="7"/>
      <x:c r="C7" s="7"/>
      <x:c r="D7" s="87" t="n">
        <x:f>INDEX(Resumen_Anual!C2:C5,MATCH(MAX(Resumen_Anual!A2:A5),Resumen_Anual!A2:A5,0))</x:f>
        <x:v>49</x:v>
      </x:c>
      <x:c r="E7" s="87"/>
      <x:c r="F7" s="87"/>
      <x:c r="H7" s="23" t="str">
        <x:f>Resumen_Sedes!B38</x:f>
        <x:v>Girón</x:v>
      </x:c>
      <x:c r="I7" s="24" t="n">
        <x:f>Resumen_Sedes!C38</x:f>
        <x:v>5</x:v>
      </x:c>
      <x:c r="J7" s="24" t="n">
        <x:f>Resumen_Sedes!D38</x:f>
        <x:v>5</x:v>
      </x:c>
      <x:c r="K7" s="64" t="n">
        <x:f>Resumen_Sedes!I38</x:f>
        <x:v>0.8266666666666665</x:v>
      </x:c>
      <x:c r="L7" s="76" t="n">
        <x:f>Resumen_Sedes!K38</x:f>
        <x:v>1</x:v>
      </x:c>
    </x:row>
    <x:row r="8">
      <x:c r="H8" s="23" t="str">
        <x:f>Resumen_Sedes!B39</x:f>
        <x:v>Valledupar</x:v>
      </x:c>
      <x:c r="I8" s="24" t="n">
        <x:f>Resumen_Sedes!C39</x:f>
        <x:v>5</x:v>
      </x:c>
      <x:c r="J8" s="24" t="n">
        <x:f>Resumen_Sedes!D39</x:f>
        <x:v>3</x:v>
      </x:c>
      <x:c r="K8" s="64" t="n">
        <x:f>Resumen_Sedes!I39</x:f>
        <x:v>0.823529411764706</x:v>
      </x:c>
      <x:c r="L8" s="76" t="n">
        <x:f>Resumen_Sedes!K39</x:f>
        <x:v>0.6666666666666666</x:v>
      </x:c>
    </x:row>
    <x:row r="9">
      <x:c r="A9" s="7" t="str">
        <x:v>% Cobertura promedio 2026</x:v>
      </x:c>
      <x:c r="B9" s="7"/>
      <x:c r="C9" s="7"/>
      <x:c r="D9" s="105" t="n">
        <x:f>INDEX(Resumen_Anual!H2:H5,MATCH(MAX(Resumen_Anual!A2:A5),Resumen_Anual!A2:A5,0))</x:f>
        <x:v>0.8684518884870698</x:v>
      </x:c>
      <x:c r="E9" s="105"/>
      <x:c r="F9" s="105"/>
      <x:c r="H9" s="23" t="str">
        <x:f>Resumen_Sedes!B40</x:f>
        <x:v>Arauca</x:v>
      </x:c>
      <x:c r="I9" s="24" t="n">
        <x:f>Resumen_Sedes!C40</x:f>
        <x:v>5</x:v>
      </x:c>
      <x:c r="J9" s="24" t="n">
        <x:f>Resumen_Sedes!D40</x:f>
        <x:v>5</x:v>
      </x:c>
      <x:c r="K9" s="64" t="n">
        <x:f>Resumen_Sedes!I40</x:f>
        <x:v>0.925</x:v>
      </x:c>
      <x:c r="L9" s="76" t="n">
        <x:f>Resumen_Sedes!K40</x:f>
        <x:v>1</x:v>
      </x:c>
    </x:row>
    <x:row r="10">
      <x:c r="D10" s="64"/>
      <x:c r="E10" s="64"/>
      <x:c r="F10" s="64"/>
      <x:c r="H10" s="23" t="str">
        <x:f>Resumen_Sedes!B41</x:f>
        <x:v>Bogotá</x:v>
      </x:c>
      <x:c r="I10" s="24" t="n">
        <x:f>Resumen_Sedes!C41</x:f>
        <x:v>5</x:v>
      </x:c>
      <x:c r="J10" s="24" t="n">
        <x:f>Resumen_Sedes!D41</x:f>
        <x:v>4</x:v>
      </x:c>
      <x:c r="K10" s="64" t="n">
        <x:f>Resumen_Sedes!I41</x:f>
        <x:v>0.8731884057971016</x:v>
      </x:c>
      <x:c r="L10" s="76" t="n">
        <x:f>Resumen_Sedes!K41</x:f>
        <x:v>1</x:v>
      </x:c>
    </x:row>
    <x:row r="11">
      <x:c r="A11" s="7" t="str">
        <x:v>% Efectividad 2026</x:v>
      </x:c>
      <x:c r="B11" s="7"/>
      <x:c r="C11" s="7"/>
      <x:c r="D11" s="105" t="n">
        <x:f>INDEX(Resumen_Anual!J2:J5,MATCH(MAX(Resumen_Anual!A2:A5),Resumen_Anual!A2:A5,0))</x:f>
        <x:v>0.9183673469387755</x:v>
      </x:c>
      <x:c r="E11" s="105"/>
      <x:c r="F11" s="105"/>
      <x:c r="H11" s="23" t="str">
        <x:f>Resumen_Sedes!B42</x:f>
        <x:v>Tibú</x:v>
      </x:c>
      <x:c r="I11" s="24" t="n">
        <x:f>Resumen_Sedes!C42</x:f>
        <x:v>5</x:v>
      </x:c>
      <x:c r="J11" s="24" t="n">
        <x:f>Resumen_Sedes!D42</x:f>
        <x:v>4</x:v>
      </x:c>
      <x:c r="K11" s="64" t="n">
        <x:f>Resumen_Sedes!I42</x:f>
        <x:v>0.9044117647058824</x:v>
      </x:c>
      <x:c r="L11" s="76" t="n">
        <x:f>Resumen_Sedes!K42</x:f>
        <x:v>1</x:v>
      </x:c>
    </x:row>
    <x:row r="12">
      <x:c r="D12" s="64"/>
      <x:c r="E12" s="64"/>
      <x:c r="F12" s="64"/>
      <x:c r="H12" s="23" t="str">
        <x:f>Resumen_Sedes!B43</x:f>
        <x:v>Medellín</x:v>
      </x:c>
      <x:c r="I12" s="24" t="n">
        <x:f>Resumen_Sedes!C43</x:f>
        <x:v>5</x:v>
      </x:c>
      <x:c r="J12" s="24" t="n">
        <x:f>Resumen_Sedes!D43</x:f>
        <x:v>5</x:v>
      </x:c>
      <x:c r="K12" s="64" t="n">
        <x:f>Resumen_Sedes!I43</x:f>
        <x:v>0.8571428571428571</x:v>
      </x:c>
      <x:c r="L12" s="76" t="n">
        <x:f>Resumen_Sedes!K43</x:f>
        <x:v>0.8</x:v>
      </x:c>
    </x:row>
    <x:row r="13">
      <x:c r="A13" s="7" t="str">
        <x:v>% Asistencia acumulada 2026</x:v>
      </x:c>
      <x:c r="B13" s="7"/>
      <x:c r="C13" s="7"/>
      <x:c r="D13" s="105" t="n">
        <x:f>INDEX(Resumen_Anual!M2:M5,MATCH(MAX(Resumen_Anual!A2:A5),Resumen_Anual!A2:A5,0))</x:f>
        <x:v>0.7769811320754717</x:v>
      </x:c>
      <x:c r="E13" s="105"/>
      <x:c r="F13" s="105"/>
      <x:c r="H13" s="23" t="str">
        <x:f>Resumen_Sedes!B44</x:f>
        <x:v>Ábrego</x:v>
      </x:c>
      <x:c r="I13" s="24" t="n">
        <x:f>Resumen_Sedes!C44</x:f>
        <x:v>5</x:v>
      </x:c>
      <x:c r="J13" s="24" t="n">
        <x:f>Resumen_Sedes!D44</x:f>
        <x:v>4</x:v>
      </x:c>
      <x:c r="K13" s="64" t="n">
        <x:f>Resumen_Sedes!I44</x:f>
        <x:v>0.875</x:v>
      </x:c>
      <x:c r="L13" s="76" t="n">
        <x:f>Resumen_Sedes!K44</x:f>
        <x:v>1</x:v>
      </x:c>
    </x:row>
    <x:row r="14">
      <x:c r="H14" s="26" t="str">
        <x:f>Resumen_Sedes!B45</x:f>
        <x:v>Pamplona</x:v>
      </x:c>
      <x:c r="I14" s="27" t="n">
        <x:f>Resumen_Sedes!C45</x:f>
        <x:v>5</x:v>
      </x:c>
      <x:c r="J14" s="27" t="n">
        <x:f>Resumen_Sedes!D45</x:f>
        <x:v>4</x:v>
      </x:c>
      <x:c r="K14" s="65" t="n">
        <x:f>Resumen_Sedes!I45</x:f>
        <x:v>0.896551724137931</x:v>
      </x:c>
      <x:c r="L14" s="77" t="n">
        <x:f>Resumen_Sedes!K45</x:f>
        <x:v>1</x:v>
      </x:c>
    </x:row>
    <x:row r="17">
      <x:c r="H17" s="37" t="str">
        <x:v>Seguimiento mensual 2026 (enero-mayo)</x:v>
      </x:c>
      <x:c r="I17" s="37"/>
      <x:c r="J17" s="37"/>
      <x:c r="K17" s="37"/>
      <x:c r="L17" s="37"/>
      <x:c r="M17" s="37"/>
      <x:c r="N17" s="37"/>
    </x:row>
    <x:row r="18">
      <x:c r="H18" s="94" t="str">
        <x:v>Mes</x:v>
      </x:c>
      <x:c r="I18" s="95" t="str">
        <x:v>Planeadas</x:v>
      </x:c>
      <x:c r="J18" s="95" t="str">
        <x:v>Ejecutadas</x:v>
      </x:c>
      <x:c r="K18" s="95" t="str">
        <x:v>Cobertura prom.</x:v>
      </x:c>
      <x:c r="L18" s="95" t="str">
        <x:v>% Efectividad</x:v>
      </x:c>
      <x:c r="M18" s="96" t="str">
        <x:v>% Asistencia</x:v>
      </x:c>
    </x:row>
    <x:row r="19">
      <x:c r="H19" s="23" t="str">
        <x:f>Resumen_Mensual!C38</x:f>
        <x:v>Enero</x:v>
      </x:c>
      <x:c r="I19" s="24" t="n">
        <x:f>Resumen_Mensual!D38</x:f>
        <x:v>11</x:v>
      </x:c>
      <x:c r="J19" s="24" t="n">
        <x:f>Resumen_Mensual!E38</x:f>
        <x:v>10</x:v>
      </x:c>
      <x:c r="K19" s="64" t="n">
        <x:f>Resumen_Mensual!J38</x:f>
        <x:v>0.8668255145454298</x:v>
      </x:c>
      <x:c r="L19" s="64" t="n">
        <x:f>Resumen_Mensual!L38</x:f>
        <x:v>0.9</x:v>
      </x:c>
      <x:c r="M19" s="76" t="n">
        <x:f>Resumen_Mensual!O38</x:f>
        <x:v>0.8113207547169812</x:v>
      </x:c>
    </x:row>
    <x:row r="20">
      <x:c r="H20" s="23" t="str">
        <x:f>Resumen_Mensual!C39</x:f>
        <x:v>Febrero</x:v>
      </x:c>
      <x:c r="I20" s="24" t="n">
        <x:f>Resumen_Mensual!D39</x:f>
        <x:v>11</x:v>
      </x:c>
      <x:c r="J20" s="24" t="n">
        <x:f>Resumen_Mensual!E39</x:f>
        <x:v>10</x:v>
      </x:c>
      <x:c r="K20" s="64" t="n">
        <x:f>Resumen_Mensual!J39</x:f>
        <x:v>0.8901261071938542</x:v>
      </x:c>
      <x:c r="L20" s="64" t="n">
        <x:f>Resumen_Mensual!L39</x:f>
        <x:v>1</x:v>
      </x:c>
      <x:c r="M20" s="76" t="n">
        <x:f>Resumen_Mensual!O39</x:f>
        <x:v>0.809433962264151</x:v>
      </x:c>
    </x:row>
    <x:row r="21">
      <x:c r="H21" s="23" t="str">
        <x:f>Resumen_Mensual!C40</x:f>
        <x:v>Marzo</x:v>
      </x:c>
      <x:c r="I21" s="24" t="n">
        <x:f>Resumen_Mensual!D40</x:f>
        <x:v>11</x:v>
      </x:c>
      <x:c r="J21" s="24" t="n">
        <x:f>Resumen_Mensual!E40</x:f>
        <x:v>9</x:v>
      </x:c>
      <x:c r="K21" s="64" t="n">
        <x:f>Resumen_Mensual!J40</x:f>
        <x:v>0.8472346968122783</x:v>
      </x:c>
      <x:c r="L21" s="64" t="n">
        <x:f>Resumen_Mensual!L40</x:f>
        <x:v>0.7777777777777778</x:v>
      </x:c>
      <x:c r="M21" s="76" t="n">
        <x:f>Resumen_Mensual!O40</x:f>
        <x:v>0.7433962264150943</x:v>
      </x:c>
    </x:row>
    <x:row r="22">
      <x:c r="H22" s="23" t="str">
        <x:f>Resumen_Mensual!C41</x:f>
        <x:v>Abril</x:v>
      </x:c>
      <x:c r="I22" s="24" t="n">
        <x:f>Resumen_Mensual!D41</x:f>
        <x:v>11</x:v>
      </x:c>
      <x:c r="J22" s="24" t="n">
        <x:f>Resumen_Mensual!E41</x:f>
        <x:v>11</x:v>
      </x:c>
      <x:c r="K22" s="64" t="n">
        <x:f>Resumen_Mensual!J41</x:f>
        <x:v>0.874487544291313</x:v>
      </x:c>
      <x:c r="L22" s="64" t="n">
        <x:f>Resumen_Mensual!L41</x:f>
        <x:v>1</x:v>
      </x:c>
      <x:c r="M22" s="76" t="n">
        <x:f>Resumen_Mensual!O41</x:f>
        <x:v>0.8622641509433963</x:v>
      </x:c>
    </x:row>
    <x:row r="23">
      <x:c r="H23" s="26" t="str">
        <x:f>Resumen_Mensual!C42</x:f>
        <x:v>Mayo</x:v>
      </x:c>
      <x:c r="I23" s="27" t="n">
        <x:f>Resumen_Mensual!D42</x:f>
        <x:v>11</x:v>
      </x:c>
      <x:c r="J23" s="27" t="n">
        <x:f>Resumen_Mensual!E42</x:f>
        <x:v>9</x:v>
      </x:c>
      <x:c r="K23" s="65" t="n">
        <x:f>Resumen_Mensual!J42</x:f>
        <x:v>0.8600167844398476</x:v>
      </x:c>
      <x:c r="L23" s="65" t="n">
        <x:f>Resumen_Mensual!L42</x:f>
        <x:v>0.8888888888888888</x:v>
      </x:c>
      <x:c r="M23" s="77" t="n">
        <x:f>Resumen_Mensual!O42</x:f>
        <x:v>0.6584905660377358</x:v>
      </x:c>
    </x:row>
  </x:sheetData>
  <x:mergeCells>
    <x:mergeCell ref="A1:K1"/>
    <x:mergeCell ref="A3:C3"/>
    <x:mergeCell ref="D3:F3"/>
    <x:mergeCell ref="A5:C5"/>
    <x:mergeCell ref="D5:F5"/>
    <x:mergeCell ref="A7:C7"/>
    <x:mergeCell ref="D7:F7"/>
    <x:mergeCell ref="A9:C9"/>
    <x:mergeCell ref="D9:F9"/>
    <x:mergeCell ref="A11:C11"/>
    <x:mergeCell ref="D11:F11"/>
    <x:mergeCell ref="A13:C13"/>
    <x:mergeCell ref="D13:F13"/>
    <x:mergeCell ref="H2:N2"/>
    <x:mergeCell ref="H17:N17"/>
  </x:mergeCells>
  <x:pageMargins left="0.7" right="0.7" top="0.75" bottom="0.75" header="0.3" footer="0.3"/>
  <x:drawing xmlns:r="http://schemas.openxmlformats.org/officeDocument/2006/relationships" r:id="Rffc9fdb404374c75"/>
</x:worksheet>
</file>